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sukyang\Desktop\1.양진석문서\1.PJT_FY2015\3.대성전기\6.Workingfile\4.Sales\"/>
    </mc:Choice>
  </mc:AlternateContent>
  <xr:revisionPtr revIDLastSave="0" documentId="8_{52E53920-0598-4959-8C49-3EF481D60A79}" xr6:coauthVersionLast="47" xr6:coauthVersionMax="47" xr10:uidLastSave="{00000000-0000-0000-0000-000000000000}"/>
  <bookViews>
    <workbookView xWindow="0" yWindow="0" windowWidth="19560" windowHeight="8295" tabRatio="715" xr2:uid="{00000000-000D-0000-FFFF-FFFF00000000}"/>
  </bookViews>
  <sheets>
    <sheet name="총괄" sheetId="14" r:id="rId1"/>
    <sheet name="자재별매출단가" sheetId="15" r:id="rId2"/>
    <sheet name="KE30_2012년" sheetId="13" r:id="rId3"/>
    <sheet name="KE30_2013년" sheetId="12" r:id="rId4"/>
    <sheet name="KE30_2014년" sheetId="11" r:id="rId5"/>
    <sheet name="KE30_2015년" sheetId="10" r:id="rId6"/>
  </sheets>
  <definedNames>
    <definedName name="_xlnm._FilterDatabase" localSheetId="2" hidden="1">KE30_2012년!$A$4:$BE$4</definedName>
    <definedName name="_xlnm._FilterDatabase" localSheetId="3" hidden="1">KE30_2013년!$A$4:$BE$4</definedName>
    <definedName name="_xlnm._FilterDatabase" localSheetId="4" hidden="1">KE30_2014년!$A$4:$BE$4</definedName>
    <definedName name="_xlnm._FilterDatabase" localSheetId="5" hidden="1">KE30_2015년!$A$4:$AG$4</definedName>
    <definedName name="_xlnm.Print_Area" localSheetId="5">KE30_2015년!$B$1:$AF$54</definedName>
    <definedName name="_xlnm.Print_Titles" localSheetId="5">KE30_2015년!$B:$C,KE30_2015년!$2:$4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4" i="15" l="1"/>
  <c r="AG63" i="15"/>
  <c r="AG62" i="15"/>
  <c r="AG61" i="15"/>
  <c r="AA64" i="15"/>
  <c r="AA63" i="15"/>
  <c r="AA62" i="15"/>
  <c r="AA61" i="15"/>
  <c r="U65" i="15"/>
  <c r="U64" i="15"/>
  <c r="U63" i="15"/>
  <c r="U62" i="15"/>
  <c r="U61" i="15"/>
  <c r="N59" i="15"/>
  <c r="M59" i="15"/>
  <c r="N58" i="15"/>
  <c r="M58" i="15"/>
  <c r="N57" i="15"/>
  <c r="M57" i="15"/>
  <c r="M56" i="15"/>
  <c r="N56" i="15"/>
  <c r="O65" i="15"/>
  <c r="O64" i="15"/>
  <c r="O63" i="15"/>
  <c r="O62" i="15"/>
  <c r="O61" i="15"/>
  <c r="AF59" i="15"/>
  <c r="AE59" i="15"/>
  <c r="AF58" i="15"/>
  <c r="AE58" i="15"/>
  <c r="AF57" i="15"/>
  <c r="AE57" i="15"/>
  <c r="AG57" i="15" s="1"/>
  <c r="F6" i="15" s="1"/>
  <c r="AF56" i="15"/>
  <c r="AE56" i="15"/>
  <c r="Z59" i="15"/>
  <c r="Y59" i="15"/>
  <c r="Z58" i="15"/>
  <c r="Y58" i="15"/>
  <c r="Z57" i="15"/>
  <c r="Y57" i="15"/>
  <c r="Z56" i="15"/>
  <c r="Y56" i="15"/>
  <c r="T59" i="15"/>
  <c r="S59" i="15"/>
  <c r="T58" i="15"/>
  <c r="S58" i="15"/>
  <c r="T57" i="15"/>
  <c r="S57" i="15"/>
  <c r="T56" i="15"/>
  <c r="S56" i="15"/>
  <c r="U56" i="15" s="1"/>
  <c r="D5" i="15" s="1"/>
  <c r="O59" i="15"/>
  <c r="O57" i="15"/>
  <c r="C6" i="15" s="1"/>
  <c r="O56" i="15"/>
  <c r="C5" i="15" s="1"/>
  <c r="AG51" i="15"/>
  <c r="AG50" i="15"/>
  <c r="AG49" i="15"/>
  <c r="AG48" i="15"/>
  <c r="AG47" i="15"/>
  <c r="AG46" i="15"/>
  <c r="AG45" i="15"/>
  <c r="AG44" i="15"/>
  <c r="AG43" i="15"/>
  <c r="AG42" i="15"/>
  <c r="AG41" i="15"/>
  <c r="AG40" i="15"/>
  <c r="AG39" i="15"/>
  <c r="AG38" i="15"/>
  <c r="AG37" i="15"/>
  <c r="AG36" i="15"/>
  <c r="AG35" i="15"/>
  <c r="AG34" i="15"/>
  <c r="AG33" i="15"/>
  <c r="AG32" i="15"/>
  <c r="AG31" i="15"/>
  <c r="AG30" i="15"/>
  <c r="AG29" i="15"/>
  <c r="AG28" i="15"/>
  <c r="AG27" i="15"/>
  <c r="AG26" i="15"/>
  <c r="AG25" i="15"/>
  <c r="AG24" i="15"/>
  <c r="AG23" i="15"/>
  <c r="AG22" i="15"/>
  <c r="AG21" i="15"/>
  <c r="AG20" i="15"/>
  <c r="AG19" i="15"/>
  <c r="AG18" i="15"/>
  <c r="AG17" i="15"/>
  <c r="AG16" i="15"/>
  <c r="AG15" i="15"/>
  <c r="AG14" i="15"/>
  <c r="AG13" i="15"/>
  <c r="AG12" i="15"/>
  <c r="AG11" i="15"/>
  <c r="AG10" i="15"/>
  <c r="AG9" i="15"/>
  <c r="AG8" i="15"/>
  <c r="AG7" i="15"/>
  <c r="AG6" i="15"/>
  <c r="AG5" i="15"/>
  <c r="AG4" i="15"/>
  <c r="AG3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8" i="15"/>
  <c r="AA7" i="15"/>
  <c r="AA6" i="15"/>
  <c r="AA5" i="15"/>
  <c r="AA4" i="15"/>
  <c r="AA3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U29" i="15"/>
  <c r="U28" i="15"/>
  <c r="U27" i="15"/>
  <c r="U26" i="15"/>
  <c r="U25" i="15"/>
  <c r="U24" i="15"/>
  <c r="U23" i="15"/>
  <c r="U22" i="15"/>
  <c r="U21" i="15"/>
  <c r="U20" i="15"/>
  <c r="U19" i="15"/>
  <c r="U18" i="15"/>
  <c r="U17" i="15"/>
  <c r="U16" i="15"/>
  <c r="U15" i="15"/>
  <c r="U14" i="15"/>
  <c r="U13" i="15"/>
  <c r="U12" i="15"/>
  <c r="U11" i="15"/>
  <c r="U10" i="15"/>
  <c r="U9" i="15"/>
  <c r="U8" i="15"/>
  <c r="U7" i="15"/>
  <c r="U6" i="15"/>
  <c r="U5" i="15"/>
  <c r="U4" i="15"/>
  <c r="U3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3" i="15"/>
  <c r="O12" i="15"/>
  <c r="O11" i="15"/>
  <c r="O10" i="15"/>
  <c r="O9" i="15"/>
  <c r="O8" i="15"/>
  <c r="O7" i="15"/>
  <c r="O6" i="15"/>
  <c r="O5" i="15"/>
  <c r="O4" i="15"/>
  <c r="U57" i="15" l="1"/>
  <c r="D6" i="15" s="1"/>
  <c r="U58" i="15"/>
  <c r="D7" i="15" s="1"/>
  <c r="U59" i="15"/>
  <c r="AA56" i="15"/>
  <c r="E5" i="15" s="1"/>
  <c r="AA57" i="15"/>
  <c r="E6" i="15" s="1"/>
  <c r="AA58" i="15"/>
  <c r="E7" i="15" s="1"/>
  <c r="AA59" i="15"/>
  <c r="AG56" i="15"/>
  <c r="F5" i="15" s="1"/>
  <c r="AG58" i="15"/>
  <c r="F7" i="15" s="1"/>
  <c r="AG59" i="15"/>
  <c r="O58" i="15"/>
  <c r="C7" i="15" s="1"/>
  <c r="R53" i="10" l="1"/>
  <c r="Q53" i="10"/>
  <c r="R52" i="10"/>
  <c r="Q52" i="10"/>
  <c r="R51" i="10"/>
  <c r="Q51" i="10"/>
  <c r="R50" i="10"/>
  <c r="Q50" i="10"/>
  <c r="R49" i="10"/>
  <c r="Q49" i="10"/>
  <c r="R48" i="10"/>
  <c r="Q48" i="10"/>
  <c r="R47" i="10"/>
  <c r="Q47" i="10"/>
  <c r="R46" i="10"/>
  <c r="Q46" i="10"/>
  <c r="R45" i="10"/>
  <c r="Q45" i="10"/>
  <c r="R44" i="10"/>
  <c r="Q44" i="10"/>
  <c r="R43" i="10"/>
  <c r="Q43" i="10"/>
  <c r="R42" i="10"/>
  <c r="Q42" i="10"/>
  <c r="R41" i="10"/>
  <c r="Q41" i="10"/>
  <c r="R40" i="10"/>
  <c r="Q40" i="10"/>
  <c r="R39" i="10"/>
  <c r="Q39" i="10"/>
  <c r="R38" i="10"/>
  <c r="Q38" i="10"/>
  <c r="R37" i="10"/>
  <c r="Q37" i="10"/>
  <c r="R36" i="10"/>
  <c r="Q36" i="10"/>
  <c r="R35" i="10"/>
  <c r="Q35" i="10"/>
  <c r="R34" i="10"/>
  <c r="Q34" i="10"/>
  <c r="R33" i="10"/>
  <c r="Q33" i="10"/>
  <c r="R32" i="10"/>
  <c r="Q32" i="10"/>
  <c r="R31" i="10"/>
  <c r="Q31" i="10"/>
  <c r="R30" i="10"/>
  <c r="Q30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54" i="10" l="1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E56" i="13"/>
  <c r="E57" i="13"/>
  <c r="E58" i="13"/>
  <c r="E55" i="13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R56" i="12"/>
  <c r="AS56" i="12"/>
  <c r="AT56" i="12"/>
  <c r="AU56" i="12"/>
  <c r="AV56" i="12"/>
  <c r="AW56" i="12"/>
  <c r="AX56" i="12"/>
  <c r="AY56" i="12"/>
  <c r="AZ56" i="12"/>
  <c r="BA56" i="12"/>
  <c r="BB56" i="12"/>
  <c r="BC56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E57" i="12"/>
  <c r="E58" i="12"/>
  <c r="E59" i="12"/>
  <c r="E56" i="12"/>
  <c r="H59" i="13"/>
  <c r="AR60" i="12"/>
  <c r="AB60" i="12"/>
  <c r="L60" i="12"/>
  <c r="AK57" i="11"/>
  <c r="AL57" i="11"/>
  <c r="AM57" i="11"/>
  <c r="AN57" i="11"/>
  <c r="AO57" i="11"/>
  <c r="AP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AK58" i="11"/>
  <c r="AL58" i="11"/>
  <c r="AM58" i="11"/>
  <c r="AN58" i="11"/>
  <c r="AO58" i="11"/>
  <c r="AP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AK59" i="11"/>
  <c r="AL59" i="11"/>
  <c r="AM59" i="11"/>
  <c r="AN59" i="11"/>
  <c r="AO59" i="11"/>
  <c r="AP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AK60" i="11"/>
  <c r="AL60" i="11"/>
  <c r="AM60" i="11"/>
  <c r="AN60" i="11"/>
  <c r="AO60" i="11"/>
  <c r="AP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AK61" i="11"/>
  <c r="AL61" i="11"/>
  <c r="AM61" i="11"/>
  <c r="AN61" i="11"/>
  <c r="AO61" i="11"/>
  <c r="AP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E57" i="11"/>
  <c r="AF57" i="11"/>
  <c r="AG57" i="11"/>
  <c r="AH57" i="11"/>
  <c r="AI57" i="11"/>
  <c r="AJ57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E58" i="11"/>
  <c r="AF58" i="11"/>
  <c r="AG58" i="11"/>
  <c r="AH58" i="11"/>
  <c r="AI58" i="11"/>
  <c r="AJ58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E59" i="11"/>
  <c r="AF59" i="11"/>
  <c r="AG59" i="11"/>
  <c r="AH59" i="11"/>
  <c r="AI59" i="11"/>
  <c r="AJ59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E60" i="11"/>
  <c r="AF60" i="11"/>
  <c r="AG60" i="11"/>
  <c r="AH60" i="11"/>
  <c r="AI60" i="11"/>
  <c r="AJ60" i="11"/>
  <c r="E58" i="11"/>
  <c r="E59" i="11"/>
  <c r="E60" i="11"/>
  <c r="E57" i="11"/>
  <c r="AB61" i="11"/>
  <c r="L61" i="11"/>
  <c r="F56" i="10"/>
  <c r="G56" i="10"/>
  <c r="H56" i="10"/>
  <c r="I56" i="10"/>
  <c r="J56" i="10"/>
  <c r="K56" i="10"/>
  <c r="L56" i="10"/>
  <c r="M56" i="10"/>
  <c r="N56" i="10"/>
  <c r="O56" i="10"/>
  <c r="P56" i="10"/>
  <c r="S56" i="10"/>
  <c r="T56" i="10"/>
  <c r="U56" i="10"/>
  <c r="V56" i="10"/>
  <c r="W56" i="10"/>
  <c r="X56" i="10"/>
  <c r="Z56" i="10"/>
  <c r="AA56" i="10"/>
  <c r="AB56" i="10"/>
  <c r="AC56" i="10"/>
  <c r="AD56" i="10"/>
  <c r="AE56" i="10"/>
  <c r="F57" i="10"/>
  <c r="G57" i="10"/>
  <c r="H57" i="10"/>
  <c r="I57" i="10"/>
  <c r="J57" i="10"/>
  <c r="K57" i="10"/>
  <c r="L57" i="10"/>
  <c r="M57" i="10"/>
  <c r="N57" i="10"/>
  <c r="O57" i="10"/>
  <c r="P57" i="10"/>
  <c r="S57" i="10"/>
  <c r="T57" i="10"/>
  <c r="U57" i="10"/>
  <c r="V57" i="10"/>
  <c r="W57" i="10"/>
  <c r="X57" i="10"/>
  <c r="Z57" i="10"/>
  <c r="AA57" i="10"/>
  <c r="AB57" i="10"/>
  <c r="AC57" i="10"/>
  <c r="AD57" i="10"/>
  <c r="AE57" i="10"/>
  <c r="F58" i="10"/>
  <c r="G58" i="10"/>
  <c r="H58" i="10"/>
  <c r="I58" i="10"/>
  <c r="J58" i="10"/>
  <c r="K58" i="10"/>
  <c r="L58" i="10"/>
  <c r="M58" i="10"/>
  <c r="N58" i="10"/>
  <c r="O58" i="10"/>
  <c r="P58" i="10"/>
  <c r="S58" i="10"/>
  <c r="T58" i="10"/>
  <c r="U58" i="10"/>
  <c r="V58" i="10"/>
  <c r="W58" i="10"/>
  <c r="X58" i="10"/>
  <c r="Z58" i="10"/>
  <c r="AA58" i="10"/>
  <c r="AB58" i="10"/>
  <c r="AC58" i="10"/>
  <c r="AD58" i="10"/>
  <c r="AE58" i="10"/>
  <c r="F59" i="10"/>
  <c r="G59" i="10"/>
  <c r="H59" i="10"/>
  <c r="I59" i="10"/>
  <c r="J59" i="10"/>
  <c r="K59" i="10"/>
  <c r="L59" i="10"/>
  <c r="M59" i="10"/>
  <c r="N59" i="10"/>
  <c r="O59" i="10"/>
  <c r="P59" i="10"/>
  <c r="S59" i="10"/>
  <c r="T59" i="10"/>
  <c r="U59" i="10"/>
  <c r="V59" i="10"/>
  <c r="W59" i="10"/>
  <c r="X59" i="10"/>
  <c r="Z59" i="10"/>
  <c r="AA59" i="10"/>
  <c r="AB59" i="10"/>
  <c r="AC59" i="10"/>
  <c r="AD59" i="10"/>
  <c r="AE59" i="10"/>
  <c r="E57" i="10"/>
  <c r="E58" i="10"/>
  <c r="E59" i="10"/>
  <c r="E56" i="10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BD52" i="13"/>
  <c r="AQ52" i="13"/>
  <c r="AD52" i="13"/>
  <c r="D52" i="13" s="1"/>
  <c r="AC52" i="13"/>
  <c r="BD28" i="13"/>
  <c r="AQ28" i="13"/>
  <c r="AD28" i="13"/>
  <c r="D28" i="13" s="1"/>
  <c r="AC28" i="13"/>
  <c r="BD27" i="13"/>
  <c r="AQ27" i="13"/>
  <c r="AD27" i="13"/>
  <c r="D27" i="13" s="1"/>
  <c r="AC27" i="13"/>
  <c r="BD26" i="13"/>
  <c r="AQ26" i="13"/>
  <c r="AD26" i="13"/>
  <c r="D26" i="13" s="1"/>
  <c r="AC26" i="13"/>
  <c r="BD25" i="13"/>
  <c r="AQ25" i="13"/>
  <c r="AD25" i="13"/>
  <c r="D25" i="13" s="1"/>
  <c r="AC25" i="13"/>
  <c r="BD14" i="13"/>
  <c r="AQ14" i="13"/>
  <c r="AD14" i="13"/>
  <c r="D14" i="13" s="1"/>
  <c r="AC14" i="13"/>
  <c r="BD13" i="13"/>
  <c r="AQ13" i="13"/>
  <c r="AD13" i="13"/>
  <c r="D13" i="13" s="1"/>
  <c r="AC13" i="13"/>
  <c r="BD12" i="13"/>
  <c r="AQ12" i="13"/>
  <c r="AD12" i="13"/>
  <c r="D12" i="13" s="1"/>
  <c r="AC12" i="13"/>
  <c r="BD11" i="13"/>
  <c r="AQ11" i="13"/>
  <c r="AD11" i="13"/>
  <c r="D11" i="13" s="1"/>
  <c r="AC11" i="13"/>
  <c r="BD10" i="13"/>
  <c r="AQ10" i="13"/>
  <c r="AD10" i="13"/>
  <c r="D10" i="13" s="1"/>
  <c r="AC10" i="13"/>
  <c r="BD9" i="13"/>
  <c r="AQ9" i="13"/>
  <c r="AD9" i="13"/>
  <c r="D9" i="13" s="1"/>
  <c r="AC9" i="13"/>
  <c r="BD8" i="13"/>
  <c r="AQ8" i="13"/>
  <c r="AD8" i="13"/>
  <c r="D8" i="13" s="1"/>
  <c r="AC8" i="13"/>
  <c r="BD7" i="13"/>
  <c r="AQ7" i="13"/>
  <c r="AD7" i="13"/>
  <c r="D7" i="13" s="1"/>
  <c r="AC7" i="13"/>
  <c r="BD6" i="13"/>
  <c r="AQ6" i="13"/>
  <c r="AD6" i="13"/>
  <c r="D6" i="13" s="1"/>
  <c r="AC6" i="13"/>
  <c r="BD24" i="13"/>
  <c r="AQ24" i="13"/>
  <c r="AD24" i="13"/>
  <c r="D24" i="13" s="1"/>
  <c r="AC24" i="13"/>
  <c r="BD23" i="13"/>
  <c r="AQ23" i="13"/>
  <c r="AD23" i="13"/>
  <c r="D23" i="13" s="1"/>
  <c r="AC23" i="13"/>
  <c r="BD47" i="13"/>
  <c r="AQ47" i="13"/>
  <c r="AD47" i="13"/>
  <c r="D47" i="13" s="1"/>
  <c r="AC47" i="13"/>
  <c r="BD46" i="13"/>
  <c r="AQ46" i="13"/>
  <c r="AD46" i="13"/>
  <c r="D46" i="13" s="1"/>
  <c r="AC46" i="13"/>
  <c r="BD45" i="13"/>
  <c r="AQ45" i="13"/>
  <c r="AD45" i="13"/>
  <c r="D45" i="13" s="1"/>
  <c r="AC45" i="13"/>
  <c r="BD44" i="13"/>
  <c r="AQ44" i="13"/>
  <c r="AD44" i="13"/>
  <c r="D44" i="13" s="1"/>
  <c r="AC44" i="13"/>
  <c r="BD43" i="13"/>
  <c r="AQ43" i="13"/>
  <c r="AD43" i="13"/>
  <c r="D43" i="13" s="1"/>
  <c r="AC43" i="13"/>
  <c r="BD5" i="13"/>
  <c r="BD55" i="13" s="1"/>
  <c r="AQ5" i="13"/>
  <c r="AQ55" i="13" s="1"/>
  <c r="AD5" i="13"/>
  <c r="AC5" i="13"/>
  <c r="AC55" i="13" s="1"/>
  <c r="BD42" i="13"/>
  <c r="AQ42" i="13"/>
  <c r="AD42" i="13"/>
  <c r="D42" i="13" s="1"/>
  <c r="AC42" i="13"/>
  <c r="BD41" i="13"/>
  <c r="AQ41" i="13"/>
  <c r="AD41" i="13"/>
  <c r="D41" i="13" s="1"/>
  <c r="AC41" i="13"/>
  <c r="BD40" i="13"/>
  <c r="AQ40" i="13"/>
  <c r="AD40" i="13"/>
  <c r="D40" i="13" s="1"/>
  <c r="AC40" i="13"/>
  <c r="BD39" i="13"/>
  <c r="AQ39" i="13"/>
  <c r="AD39" i="13"/>
  <c r="D39" i="13" s="1"/>
  <c r="AC39" i="13"/>
  <c r="BD38" i="13"/>
  <c r="AQ38" i="13"/>
  <c r="AD38" i="13"/>
  <c r="D38" i="13" s="1"/>
  <c r="AC38" i="13"/>
  <c r="BD37" i="13"/>
  <c r="AQ37" i="13"/>
  <c r="AD37" i="13"/>
  <c r="D37" i="13" s="1"/>
  <c r="AC37" i="13"/>
  <c r="BD36" i="13"/>
  <c r="AQ36" i="13"/>
  <c r="AD36" i="13"/>
  <c r="D36" i="13" s="1"/>
  <c r="AC36" i="13"/>
  <c r="BD35" i="13"/>
  <c r="AQ35" i="13"/>
  <c r="AD35" i="13"/>
  <c r="D35" i="13" s="1"/>
  <c r="AC35" i="13"/>
  <c r="BD22" i="13"/>
  <c r="AQ22" i="13"/>
  <c r="AD22" i="13"/>
  <c r="D22" i="13" s="1"/>
  <c r="AC22" i="13"/>
  <c r="BD34" i="13"/>
  <c r="AQ34" i="13"/>
  <c r="AD34" i="13"/>
  <c r="D34" i="13" s="1"/>
  <c r="AC34" i="13"/>
  <c r="BD33" i="13"/>
  <c r="AQ33" i="13"/>
  <c r="AD33" i="13"/>
  <c r="D33" i="13" s="1"/>
  <c r="AC33" i="13"/>
  <c r="BD51" i="13"/>
  <c r="AQ51" i="13"/>
  <c r="AD51" i="13"/>
  <c r="D51" i="13" s="1"/>
  <c r="AC51" i="13"/>
  <c r="BD21" i="13"/>
  <c r="AQ21" i="13"/>
  <c r="AD21" i="13"/>
  <c r="D21" i="13" s="1"/>
  <c r="AC21" i="13"/>
  <c r="BD20" i="13"/>
  <c r="AQ20" i="13"/>
  <c r="AD20" i="13"/>
  <c r="D20" i="13" s="1"/>
  <c r="AC20" i="13"/>
  <c r="BD50" i="13"/>
  <c r="AQ50" i="13"/>
  <c r="AD50" i="13"/>
  <c r="D50" i="13" s="1"/>
  <c r="AC50" i="13"/>
  <c r="BD49" i="13"/>
  <c r="AQ49" i="13"/>
  <c r="AD49" i="13"/>
  <c r="D49" i="13" s="1"/>
  <c r="AC49" i="13"/>
  <c r="BD48" i="13"/>
  <c r="BD58" i="13" s="1"/>
  <c r="AQ48" i="13"/>
  <c r="AQ58" i="13" s="1"/>
  <c r="AD48" i="13"/>
  <c r="AC48" i="13"/>
  <c r="AC58" i="13" s="1"/>
  <c r="BD32" i="13"/>
  <c r="AQ32" i="13"/>
  <c r="AD32" i="13"/>
  <c r="D32" i="13" s="1"/>
  <c r="AC32" i="13"/>
  <c r="BD31" i="13"/>
  <c r="AQ31" i="13"/>
  <c r="AD31" i="13"/>
  <c r="D31" i="13" s="1"/>
  <c r="AC31" i="13"/>
  <c r="BD30" i="13"/>
  <c r="AQ30" i="13"/>
  <c r="AD30" i="13"/>
  <c r="D30" i="13" s="1"/>
  <c r="AC30" i="13"/>
  <c r="BD19" i="13"/>
  <c r="AQ19" i="13"/>
  <c r="AD19" i="13"/>
  <c r="D19" i="13" s="1"/>
  <c r="AC19" i="13"/>
  <c r="BD18" i="13"/>
  <c r="AQ18" i="13"/>
  <c r="AD18" i="13"/>
  <c r="D18" i="13" s="1"/>
  <c r="AC18" i="13"/>
  <c r="BD17" i="13"/>
  <c r="AQ17" i="13"/>
  <c r="AD17" i="13"/>
  <c r="D17" i="13" s="1"/>
  <c r="AC17" i="13"/>
  <c r="BD29" i="13"/>
  <c r="BD57" i="13" s="1"/>
  <c r="AQ29" i="13"/>
  <c r="AQ57" i="13" s="1"/>
  <c r="AD29" i="13"/>
  <c r="AC29" i="13"/>
  <c r="AC57" i="13" s="1"/>
  <c r="BD16" i="13"/>
  <c r="AQ16" i="13"/>
  <c r="AD16" i="13"/>
  <c r="D16" i="13" s="1"/>
  <c r="AC16" i="13"/>
  <c r="BD15" i="13"/>
  <c r="BD53" i="13" s="1"/>
  <c r="AQ15" i="13"/>
  <c r="AQ53" i="13" s="1"/>
  <c r="AD15" i="13"/>
  <c r="AC15" i="13"/>
  <c r="AC56" i="13" s="1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BD53" i="12"/>
  <c r="AQ53" i="12"/>
  <c r="AD53" i="12"/>
  <c r="D53" i="12" s="1"/>
  <c r="AC53" i="12"/>
  <c r="BD30" i="12"/>
  <c r="AQ30" i="12"/>
  <c r="AD30" i="12"/>
  <c r="D30" i="12" s="1"/>
  <c r="AC30" i="12"/>
  <c r="BD29" i="12"/>
  <c r="AQ29" i="12"/>
  <c r="AD29" i="12"/>
  <c r="D29" i="12" s="1"/>
  <c r="AC29" i="12"/>
  <c r="BD28" i="12"/>
  <c r="AQ28" i="12"/>
  <c r="AD28" i="12"/>
  <c r="D28" i="12" s="1"/>
  <c r="AC28" i="12"/>
  <c r="BD27" i="12"/>
  <c r="AQ27" i="12"/>
  <c r="AD27" i="12"/>
  <c r="D27" i="12" s="1"/>
  <c r="AC27" i="12"/>
  <c r="BD26" i="12"/>
  <c r="AQ26" i="12"/>
  <c r="AD26" i="12"/>
  <c r="D26" i="12" s="1"/>
  <c r="AC26" i="12"/>
  <c r="BD15" i="12"/>
  <c r="AQ15" i="12"/>
  <c r="AD15" i="12"/>
  <c r="D15" i="12" s="1"/>
  <c r="AC15" i="12"/>
  <c r="BD14" i="12"/>
  <c r="AQ14" i="12"/>
  <c r="AD14" i="12"/>
  <c r="D14" i="12" s="1"/>
  <c r="AC14" i="12"/>
  <c r="BD13" i="12"/>
  <c r="AQ13" i="12"/>
  <c r="AD13" i="12"/>
  <c r="D13" i="12" s="1"/>
  <c r="AC13" i="12"/>
  <c r="BD12" i="12"/>
  <c r="AQ12" i="12"/>
  <c r="AD12" i="12"/>
  <c r="D12" i="12" s="1"/>
  <c r="AC12" i="12"/>
  <c r="BD11" i="12"/>
  <c r="AQ11" i="12"/>
  <c r="AD11" i="12"/>
  <c r="D11" i="12" s="1"/>
  <c r="AC11" i="12"/>
  <c r="BD10" i="12"/>
  <c r="AQ10" i="12"/>
  <c r="AD10" i="12"/>
  <c r="D10" i="12" s="1"/>
  <c r="AC10" i="12"/>
  <c r="BD9" i="12"/>
  <c r="AQ9" i="12"/>
  <c r="AD9" i="12"/>
  <c r="D9" i="12" s="1"/>
  <c r="AC9" i="12"/>
  <c r="BD8" i="12"/>
  <c r="AQ8" i="12"/>
  <c r="AD8" i="12"/>
  <c r="D8" i="12" s="1"/>
  <c r="AC8" i="12"/>
  <c r="BD7" i="12"/>
  <c r="AQ7" i="12"/>
  <c r="AD7" i="12"/>
  <c r="D7" i="12" s="1"/>
  <c r="AC7" i="12"/>
  <c r="BD25" i="12"/>
  <c r="AQ25" i="12"/>
  <c r="AD25" i="12"/>
  <c r="D25" i="12" s="1"/>
  <c r="AC25" i="12"/>
  <c r="BD24" i="12"/>
  <c r="AQ24" i="12"/>
  <c r="AD24" i="12"/>
  <c r="D24" i="12" s="1"/>
  <c r="AC24" i="12"/>
  <c r="BD48" i="12"/>
  <c r="AQ48" i="12"/>
  <c r="AD48" i="12"/>
  <c r="D48" i="12" s="1"/>
  <c r="AC48" i="12"/>
  <c r="BD47" i="12"/>
  <c r="AQ47" i="12"/>
  <c r="AD47" i="12"/>
  <c r="D47" i="12" s="1"/>
  <c r="AC47" i="12"/>
  <c r="BD46" i="12"/>
  <c r="AQ46" i="12"/>
  <c r="AD46" i="12"/>
  <c r="D46" i="12" s="1"/>
  <c r="AC46" i="12"/>
  <c r="BD45" i="12"/>
  <c r="AQ45" i="12"/>
  <c r="AD45" i="12"/>
  <c r="D45" i="12" s="1"/>
  <c r="AC45" i="12"/>
  <c r="BD44" i="12"/>
  <c r="AQ44" i="12"/>
  <c r="AD44" i="12"/>
  <c r="D44" i="12" s="1"/>
  <c r="AC44" i="12"/>
  <c r="BD6" i="12"/>
  <c r="AQ6" i="12"/>
  <c r="AD6" i="12"/>
  <c r="D6" i="12" s="1"/>
  <c r="AC6" i="12"/>
  <c r="BD43" i="12"/>
  <c r="AQ43" i="12"/>
  <c r="AD43" i="12"/>
  <c r="D43" i="12" s="1"/>
  <c r="AC43" i="12"/>
  <c r="BD42" i="12"/>
  <c r="AQ42" i="12"/>
  <c r="AD42" i="12"/>
  <c r="D42" i="12" s="1"/>
  <c r="AC42" i="12"/>
  <c r="BD41" i="12"/>
  <c r="AQ41" i="12"/>
  <c r="AD41" i="12"/>
  <c r="D41" i="12" s="1"/>
  <c r="AC41" i="12"/>
  <c r="BD23" i="12"/>
  <c r="AQ23" i="12"/>
  <c r="AD23" i="12"/>
  <c r="D23" i="12" s="1"/>
  <c r="AC23" i="12"/>
  <c r="BD40" i="12"/>
  <c r="AQ40" i="12"/>
  <c r="AD40" i="12"/>
  <c r="D40" i="12" s="1"/>
  <c r="AC40" i="12"/>
  <c r="BD39" i="12"/>
  <c r="AQ39" i="12"/>
  <c r="AD39" i="12"/>
  <c r="D39" i="12" s="1"/>
  <c r="AC39" i="12"/>
  <c r="BD38" i="12"/>
  <c r="AQ38" i="12"/>
  <c r="AD38" i="12"/>
  <c r="D38" i="12" s="1"/>
  <c r="AC38" i="12"/>
  <c r="BD37" i="12"/>
  <c r="AQ37" i="12"/>
  <c r="AD37" i="12"/>
  <c r="D37" i="12" s="1"/>
  <c r="AC37" i="12"/>
  <c r="BD22" i="12"/>
  <c r="AQ22" i="12"/>
  <c r="AD22" i="12"/>
  <c r="D22" i="12" s="1"/>
  <c r="AC22" i="12"/>
  <c r="BD36" i="12"/>
  <c r="AQ36" i="12"/>
  <c r="AD36" i="12"/>
  <c r="D36" i="12" s="1"/>
  <c r="AC36" i="12"/>
  <c r="BD35" i="12"/>
  <c r="AQ35" i="12"/>
  <c r="AD35" i="12"/>
  <c r="D35" i="12" s="1"/>
  <c r="AC35" i="12"/>
  <c r="BD52" i="12"/>
  <c r="AQ52" i="12"/>
  <c r="AD52" i="12"/>
  <c r="D52" i="12" s="1"/>
  <c r="AC52" i="12"/>
  <c r="BD21" i="12"/>
  <c r="AQ21" i="12"/>
  <c r="AD21" i="12"/>
  <c r="D21" i="12" s="1"/>
  <c r="AC21" i="12"/>
  <c r="BD20" i="12"/>
  <c r="AQ20" i="12"/>
  <c r="AD20" i="12"/>
  <c r="D20" i="12" s="1"/>
  <c r="AC20" i="12"/>
  <c r="BD51" i="12"/>
  <c r="AQ51" i="12"/>
  <c r="AD51" i="12"/>
  <c r="D51" i="12" s="1"/>
  <c r="AC51" i="12"/>
  <c r="BD50" i="12"/>
  <c r="AQ50" i="12"/>
  <c r="AD50" i="12"/>
  <c r="D50" i="12" s="1"/>
  <c r="AC50" i="12"/>
  <c r="BD49" i="12"/>
  <c r="BD59" i="12" s="1"/>
  <c r="AQ49" i="12"/>
  <c r="AQ59" i="12" s="1"/>
  <c r="AD49" i="12"/>
  <c r="AC49" i="12"/>
  <c r="AC59" i="12" s="1"/>
  <c r="BD34" i="12"/>
  <c r="AQ34" i="12"/>
  <c r="AD34" i="12"/>
  <c r="D34" i="12" s="1"/>
  <c r="AC34" i="12"/>
  <c r="BD33" i="12"/>
  <c r="AQ33" i="12"/>
  <c r="AD33" i="12"/>
  <c r="D33" i="12" s="1"/>
  <c r="AC33" i="12"/>
  <c r="BD32" i="12"/>
  <c r="AQ32" i="12"/>
  <c r="AD32" i="12"/>
  <c r="D32" i="12" s="1"/>
  <c r="AC32" i="12"/>
  <c r="BD19" i="12"/>
  <c r="AQ19" i="12"/>
  <c r="AD19" i="12"/>
  <c r="D19" i="12" s="1"/>
  <c r="AC19" i="12"/>
  <c r="BD18" i="12"/>
  <c r="AQ18" i="12"/>
  <c r="AD18" i="12"/>
  <c r="D18" i="12" s="1"/>
  <c r="AC18" i="12"/>
  <c r="BD17" i="12"/>
  <c r="AQ17" i="12"/>
  <c r="AD17" i="12"/>
  <c r="D17" i="12" s="1"/>
  <c r="AC17" i="12"/>
  <c r="BD31" i="12"/>
  <c r="BD58" i="12" s="1"/>
  <c r="AQ31" i="12"/>
  <c r="AQ58" i="12" s="1"/>
  <c r="AD31" i="12"/>
  <c r="AC31" i="12"/>
  <c r="AC58" i="12" s="1"/>
  <c r="BD16" i="12"/>
  <c r="BD57" i="12" s="1"/>
  <c r="AQ16" i="12"/>
  <c r="AQ57" i="12" s="1"/>
  <c r="AD16" i="12"/>
  <c r="AC16" i="12"/>
  <c r="AC57" i="12" s="1"/>
  <c r="BD5" i="12"/>
  <c r="BD54" i="12" s="1"/>
  <c r="AQ5" i="12"/>
  <c r="AQ54" i="12" s="1"/>
  <c r="AD5" i="12"/>
  <c r="AC5" i="12"/>
  <c r="AC56" i="12" s="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BD54" i="11"/>
  <c r="AQ54" i="11"/>
  <c r="AD54" i="11"/>
  <c r="D54" i="11" s="1"/>
  <c r="AC54" i="11"/>
  <c r="BD31" i="11"/>
  <c r="AQ31" i="11"/>
  <c r="AD31" i="11"/>
  <c r="D31" i="11" s="1"/>
  <c r="AC31" i="11"/>
  <c r="BD30" i="11"/>
  <c r="AQ30" i="11"/>
  <c r="AD30" i="11"/>
  <c r="D30" i="11" s="1"/>
  <c r="AC30" i="11"/>
  <c r="BD29" i="11"/>
  <c r="AQ29" i="11"/>
  <c r="AD29" i="11"/>
  <c r="D29" i="11" s="1"/>
  <c r="AC29" i="11"/>
  <c r="BD28" i="11"/>
  <c r="AQ28" i="11"/>
  <c r="AD28" i="11"/>
  <c r="D28" i="11" s="1"/>
  <c r="AC28" i="11"/>
  <c r="BD15" i="11"/>
  <c r="AQ15" i="11"/>
  <c r="AD15" i="11"/>
  <c r="D15" i="11" s="1"/>
  <c r="AC15" i="11"/>
  <c r="BD14" i="11"/>
  <c r="AQ14" i="11"/>
  <c r="AD14" i="11"/>
  <c r="D14" i="11" s="1"/>
  <c r="AC14" i="11"/>
  <c r="BD13" i="11"/>
  <c r="AQ13" i="11"/>
  <c r="AD13" i="11"/>
  <c r="D13" i="11" s="1"/>
  <c r="AC13" i="11"/>
  <c r="BD12" i="11"/>
  <c r="AQ12" i="11"/>
  <c r="AD12" i="11"/>
  <c r="D12" i="11" s="1"/>
  <c r="AC12" i="11"/>
  <c r="BD11" i="11"/>
  <c r="AQ11" i="11"/>
  <c r="AD11" i="11"/>
  <c r="D11" i="11" s="1"/>
  <c r="AC11" i="11"/>
  <c r="BD10" i="11"/>
  <c r="AQ10" i="11"/>
  <c r="AD10" i="11"/>
  <c r="D10" i="11" s="1"/>
  <c r="AC10" i="11"/>
  <c r="BD9" i="11"/>
  <c r="AQ9" i="11"/>
  <c r="AD9" i="11"/>
  <c r="D9" i="11" s="1"/>
  <c r="AC9" i="11"/>
  <c r="BD8" i="11"/>
  <c r="AQ8" i="11"/>
  <c r="AD8" i="11"/>
  <c r="D8" i="11" s="1"/>
  <c r="AC8" i="11"/>
  <c r="BD7" i="11"/>
  <c r="AQ7" i="11"/>
  <c r="AD7" i="11"/>
  <c r="D7" i="11" s="1"/>
  <c r="AC7" i="11"/>
  <c r="BD27" i="11"/>
  <c r="AQ27" i="11"/>
  <c r="AD27" i="11"/>
  <c r="D27" i="11" s="1"/>
  <c r="AC27" i="11"/>
  <c r="BD26" i="11"/>
  <c r="AQ26" i="11"/>
  <c r="AD26" i="11"/>
  <c r="D26" i="11" s="1"/>
  <c r="AC26" i="11"/>
  <c r="BD49" i="11"/>
  <c r="AQ49" i="11"/>
  <c r="AD49" i="11"/>
  <c r="D49" i="11" s="1"/>
  <c r="AC49" i="11"/>
  <c r="BD48" i="11"/>
  <c r="AQ48" i="11"/>
  <c r="AD48" i="11"/>
  <c r="D48" i="11" s="1"/>
  <c r="AC48" i="11"/>
  <c r="BD47" i="11"/>
  <c r="AQ47" i="11"/>
  <c r="AD47" i="11"/>
  <c r="D47" i="11" s="1"/>
  <c r="AC47" i="11"/>
  <c r="BD46" i="11"/>
  <c r="AQ46" i="11"/>
  <c r="AD46" i="11"/>
  <c r="D46" i="11" s="1"/>
  <c r="AC46" i="11"/>
  <c r="BD45" i="11"/>
  <c r="AQ45" i="11"/>
  <c r="AD45" i="11"/>
  <c r="D45" i="11" s="1"/>
  <c r="AC45" i="11"/>
  <c r="BD6" i="11"/>
  <c r="AQ6" i="11"/>
  <c r="AD6" i="11"/>
  <c r="D6" i="11" s="1"/>
  <c r="AC6" i="11"/>
  <c r="BD44" i="11"/>
  <c r="AQ44" i="11"/>
  <c r="AD44" i="11"/>
  <c r="D44" i="11" s="1"/>
  <c r="AC44" i="11"/>
  <c r="BD43" i="11"/>
  <c r="AQ43" i="11"/>
  <c r="AD43" i="11"/>
  <c r="D43" i="11" s="1"/>
  <c r="AC43" i="11"/>
  <c r="BD42" i="11"/>
  <c r="AQ42" i="11"/>
  <c r="AD42" i="11"/>
  <c r="D42" i="11" s="1"/>
  <c r="AC42" i="11"/>
  <c r="BD25" i="11"/>
  <c r="AQ25" i="11"/>
  <c r="AD25" i="11"/>
  <c r="D25" i="11" s="1"/>
  <c r="AC25" i="11"/>
  <c r="BD41" i="11"/>
  <c r="AQ41" i="11"/>
  <c r="AD41" i="11"/>
  <c r="D41" i="11" s="1"/>
  <c r="AC41" i="11"/>
  <c r="BD40" i="11"/>
  <c r="AQ40" i="11"/>
  <c r="AD40" i="11"/>
  <c r="D40" i="11" s="1"/>
  <c r="AC40" i="11"/>
  <c r="BD39" i="11"/>
  <c r="AQ39" i="11"/>
  <c r="AD39" i="11"/>
  <c r="D39" i="11" s="1"/>
  <c r="AC39" i="11"/>
  <c r="BD38" i="11"/>
  <c r="AQ38" i="11"/>
  <c r="AD38" i="11"/>
  <c r="D38" i="11" s="1"/>
  <c r="AC38" i="11"/>
  <c r="BD37" i="11"/>
  <c r="AQ37" i="11"/>
  <c r="AD37" i="11"/>
  <c r="D37" i="11" s="1"/>
  <c r="AC37" i="11"/>
  <c r="BD24" i="11"/>
  <c r="AQ24" i="11"/>
  <c r="AD24" i="11"/>
  <c r="D24" i="11" s="1"/>
  <c r="AC24" i="11"/>
  <c r="BD36" i="11"/>
  <c r="AQ36" i="11"/>
  <c r="AD36" i="11"/>
  <c r="D36" i="11" s="1"/>
  <c r="AC36" i="11"/>
  <c r="BD35" i="11"/>
  <c r="AQ35" i="11"/>
  <c r="AD35" i="11"/>
  <c r="D35" i="11" s="1"/>
  <c r="AC35" i="11"/>
  <c r="BD53" i="11"/>
  <c r="AQ53" i="11"/>
  <c r="AD53" i="11"/>
  <c r="D53" i="11" s="1"/>
  <c r="AC53" i="11"/>
  <c r="BD23" i="11"/>
  <c r="AQ23" i="11"/>
  <c r="AD23" i="11"/>
  <c r="D23" i="11" s="1"/>
  <c r="AC23" i="11"/>
  <c r="BD22" i="11"/>
  <c r="AQ22" i="11"/>
  <c r="AD22" i="11"/>
  <c r="D22" i="11" s="1"/>
  <c r="AC22" i="11"/>
  <c r="BD52" i="11"/>
  <c r="AQ52" i="11"/>
  <c r="AD52" i="11"/>
  <c r="D52" i="11" s="1"/>
  <c r="AC52" i="11"/>
  <c r="BD51" i="11"/>
  <c r="AQ51" i="11"/>
  <c r="AD51" i="11"/>
  <c r="D51" i="11" s="1"/>
  <c r="AC51" i="11"/>
  <c r="BD50" i="11"/>
  <c r="BD60" i="11" s="1"/>
  <c r="AQ50" i="11"/>
  <c r="AQ60" i="11" s="1"/>
  <c r="AD50" i="11"/>
  <c r="AC50" i="11"/>
  <c r="AC60" i="11" s="1"/>
  <c r="BD34" i="11"/>
  <c r="AQ34" i="11"/>
  <c r="AD34" i="11"/>
  <c r="D34" i="11" s="1"/>
  <c r="AC34" i="11"/>
  <c r="BD33" i="11"/>
  <c r="AQ33" i="11"/>
  <c r="AD33" i="11"/>
  <c r="D33" i="11" s="1"/>
  <c r="AC33" i="11"/>
  <c r="BD21" i="11"/>
  <c r="AQ21" i="11"/>
  <c r="AD21" i="11"/>
  <c r="D21" i="11" s="1"/>
  <c r="AC21" i="11"/>
  <c r="BD20" i="11"/>
  <c r="AQ20" i="11"/>
  <c r="AD20" i="11"/>
  <c r="D20" i="11" s="1"/>
  <c r="AC20" i="11"/>
  <c r="BD19" i="11"/>
  <c r="AQ19" i="11"/>
  <c r="AD19" i="11"/>
  <c r="D19" i="11" s="1"/>
  <c r="AC19" i="11"/>
  <c r="BD18" i="11"/>
  <c r="AQ18" i="11"/>
  <c r="AD18" i="11"/>
  <c r="D18" i="11" s="1"/>
  <c r="AC18" i="11"/>
  <c r="BD32" i="11"/>
  <c r="BD59" i="11" s="1"/>
  <c r="AQ32" i="11"/>
  <c r="AQ59" i="11" s="1"/>
  <c r="AD32" i="11"/>
  <c r="AC32" i="11"/>
  <c r="AC59" i="11" s="1"/>
  <c r="BD17" i="11"/>
  <c r="AQ17" i="11"/>
  <c r="AD17" i="11"/>
  <c r="D17" i="11" s="1"/>
  <c r="AC17" i="11"/>
  <c r="BD5" i="11"/>
  <c r="BD57" i="11" s="1"/>
  <c r="AQ5" i="11"/>
  <c r="AQ57" i="11" s="1"/>
  <c r="AD5" i="11"/>
  <c r="AC5" i="11"/>
  <c r="AC57" i="11" s="1"/>
  <c r="BD16" i="11"/>
  <c r="BD55" i="11" s="1"/>
  <c r="AQ16" i="11"/>
  <c r="AD16" i="11"/>
  <c r="AC16" i="11"/>
  <c r="AC55" i="11" l="1"/>
  <c r="AC58" i="11"/>
  <c r="AD55" i="11"/>
  <c r="D16" i="11"/>
  <c r="D58" i="11" s="1"/>
  <c r="E7" i="14" s="1"/>
  <c r="AQ55" i="11"/>
  <c r="AQ58" i="11"/>
  <c r="AD57" i="11"/>
  <c r="E17" i="14" s="1"/>
  <c r="D5" i="11"/>
  <c r="D32" i="11"/>
  <c r="D59" i="11" s="1"/>
  <c r="E8" i="14" s="1"/>
  <c r="AD59" i="11"/>
  <c r="E19" i="14" s="1"/>
  <c r="AD60" i="11"/>
  <c r="E20" i="14" s="1"/>
  <c r="D50" i="11"/>
  <c r="D60" i="11" s="1"/>
  <c r="E9" i="14" s="1"/>
  <c r="AQ61" i="11"/>
  <c r="AD54" i="12"/>
  <c r="AD56" i="12"/>
  <c r="D17" i="14" s="1"/>
  <c r="D5" i="12"/>
  <c r="AD57" i="12"/>
  <c r="D18" i="14" s="1"/>
  <c r="D16" i="12"/>
  <c r="D57" i="12" s="1"/>
  <c r="D7" i="14" s="1"/>
  <c r="AD58" i="12"/>
  <c r="D19" i="14" s="1"/>
  <c r="D31" i="12"/>
  <c r="D58" i="12" s="1"/>
  <c r="D8" i="14" s="1"/>
  <c r="AD59" i="12"/>
  <c r="D20" i="14" s="1"/>
  <c r="D49" i="12"/>
  <c r="D59" i="12" s="1"/>
  <c r="D9" i="14" s="1"/>
  <c r="AD56" i="13"/>
  <c r="C18" i="14" s="1"/>
  <c r="D15" i="13"/>
  <c r="D56" i="13" s="1"/>
  <c r="C7" i="14" s="1"/>
  <c r="AD57" i="13"/>
  <c r="C19" i="14" s="1"/>
  <c r="D29" i="13"/>
  <c r="D57" i="13" s="1"/>
  <c r="C8" i="14" s="1"/>
  <c r="AD58" i="13"/>
  <c r="C20" i="14" s="1"/>
  <c r="D48" i="13"/>
  <c r="D58" i="13" s="1"/>
  <c r="C9" i="14" s="1"/>
  <c r="AD55" i="13"/>
  <c r="C17" i="14" s="1"/>
  <c r="C21" i="14" s="1"/>
  <c r="D5" i="13"/>
  <c r="AJ61" i="11"/>
  <c r="AF61" i="11"/>
  <c r="X61" i="11"/>
  <c r="T61" i="11"/>
  <c r="P61" i="11"/>
  <c r="H61" i="11"/>
  <c r="AN60" i="12"/>
  <c r="X60" i="12"/>
  <c r="H60" i="12"/>
  <c r="BC60" i="12"/>
  <c r="AZ60" i="12"/>
  <c r="AY60" i="12"/>
  <c r="AV60" i="12"/>
  <c r="AU60" i="12"/>
  <c r="AM60" i="12"/>
  <c r="AJ60" i="12"/>
  <c r="AI60" i="12"/>
  <c r="AF60" i="12"/>
  <c r="AE60" i="12"/>
  <c r="AA60" i="12"/>
  <c r="W60" i="12"/>
  <c r="T60" i="12"/>
  <c r="S60" i="12"/>
  <c r="P60" i="12"/>
  <c r="O60" i="12"/>
  <c r="K60" i="12"/>
  <c r="G60" i="12"/>
  <c r="BB60" i="12"/>
  <c r="AX60" i="12"/>
  <c r="AT60" i="12"/>
  <c r="AP60" i="12"/>
  <c r="AL60" i="12"/>
  <c r="AH60" i="12"/>
  <c r="Z60" i="12"/>
  <c r="V60" i="12"/>
  <c r="R60" i="12"/>
  <c r="N60" i="12"/>
  <c r="J60" i="12"/>
  <c r="F60" i="12"/>
  <c r="BC59" i="13"/>
  <c r="AY59" i="13"/>
  <c r="AU59" i="13"/>
  <c r="AB59" i="13"/>
  <c r="X59" i="13"/>
  <c r="P59" i="13"/>
  <c r="L59" i="13"/>
  <c r="BB59" i="13"/>
  <c r="AX59" i="13"/>
  <c r="AT59" i="13"/>
  <c r="AN59" i="13"/>
  <c r="U60" i="10"/>
  <c r="G60" i="10"/>
  <c r="AB60" i="10"/>
  <c r="AZ59" i="13"/>
  <c r="T59" i="13"/>
  <c r="AA59" i="13"/>
  <c r="W59" i="13"/>
  <c r="S59" i="13"/>
  <c r="O59" i="13"/>
  <c r="K59" i="13"/>
  <c r="G59" i="13"/>
  <c r="Z59" i="13"/>
  <c r="V59" i="13"/>
  <c r="R59" i="13"/>
  <c r="N59" i="13"/>
  <c r="J59" i="13"/>
  <c r="F59" i="13"/>
  <c r="AF59" i="13"/>
  <c r="AJ59" i="13"/>
  <c r="AV59" i="13"/>
  <c r="AR59" i="13"/>
  <c r="AM59" i="13"/>
  <c r="AI59" i="13"/>
  <c r="AE59" i="13"/>
  <c r="AP59" i="13"/>
  <c r="AL59" i="13"/>
  <c r="AH59" i="13"/>
  <c r="AC60" i="12"/>
  <c r="AC59" i="13"/>
  <c r="AC61" i="11"/>
  <c r="AD59" i="13"/>
  <c r="E60" i="10"/>
  <c r="O60" i="10"/>
  <c r="AG61" i="11"/>
  <c r="Y61" i="11"/>
  <c r="U61" i="11"/>
  <c r="Q61" i="11"/>
  <c r="M61" i="11"/>
  <c r="I61" i="11"/>
  <c r="K60" i="10"/>
  <c r="AI61" i="11"/>
  <c r="AE61" i="11"/>
  <c r="AA61" i="11"/>
  <c r="W61" i="11"/>
  <c r="S61" i="11"/>
  <c r="O61" i="11"/>
  <c r="K61" i="11"/>
  <c r="G61" i="11"/>
  <c r="AH61" i="11"/>
  <c r="Z61" i="11"/>
  <c r="V61" i="11"/>
  <c r="R61" i="11"/>
  <c r="N61" i="11"/>
  <c r="J61" i="11"/>
  <c r="F61" i="11"/>
  <c r="BD56" i="12"/>
  <c r="BD60" i="12" s="1"/>
  <c r="AD58" i="11"/>
  <c r="BD58" i="11"/>
  <c r="BD61" i="11" s="1"/>
  <c r="BA60" i="12"/>
  <c r="AW60" i="12"/>
  <c r="AS60" i="12"/>
  <c r="AO60" i="12"/>
  <c r="AK60" i="12"/>
  <c r="AG60" i="12"/>
  <c r="Y60" i="12"/>
  <c r="U60" i="12"/>
  <c r="Q60" i="12"/>
  <c r="M60" i="12"/>
  <c r="I60" i="12"/>
  <c r="AQ56" i="12"/>
  <c r="AQ60" i="12" s="1"/>
  <c r="BA59" i="13"/>
  <c r="AW59" i="13"/>
  <c r="AS59" i="13"/>
  <c r="AO59" i="13"/>
  <c r="AK59" i="13"/>
  <c r="AG59" i="13"/>
  <c r="Y59" i="13"/>
  <c r="U59" i="13"/>
  <c r="Q59" i="13"/>
  <c r="M59" i="13"/>
  <c r="I59" i="13"/>
  <c r="BD56" i="13"/>
  <c r="BD59" i="13" s="1"/>
  <c r="AD60" i="12"/>
  <c r="AQ56" i="13"/>
  <c r="AQ59" i="13" s="1"/>
  <c r="E59" i="13"/>
  <c r="E60" i="12"/>
  <c r="E61" i="11"/>
  <c r="V60" i="10"/>
  <c r="P60" i="10"/>
  <c r="H60" i="10"/>
  <c r="AE60" i="10"/>
  <c r="AA60" i="10"/>
  <c r="X60" i="10"/>
  <c r="T60" i="10"/>
  <c r="N60" i="10"/>
  <c r="J60" i="10"/>
  <c r="F60" i="10"/>
  <c r="AD60" i="10"/>
  <c r="Z60" i="10"/>
  <c r="W60" i="10"/>
  <c r="S60" i="10"/>
  <c r="M60" i="10"/>
  <c r="I60" i="10"/>
  <c r="AC60" i="10"/>
  <c r="L60" i="10"/>
  <c r="AD53" i="13"/>
  <c r="AC53" i="13"/>
  <c r="AC54" i="12"/>
  <c r="AF5" i="10"/>
  <c r="AF17" i="10"/>
  <c r="AF32" i="10"/>
  <c r="AF18" i="10"/>
  <c r="AF19" i="10"/>
  <c r="AF20" i="10"/>
  <c r="AF21" i="10"/>
  <c r="AF33" i="10"/>
  <c r="AF48" i="10"/>
  <c r="AF49" i="10"/>
  <c r="AF50" i="10"/>
  <c r="AF22" i="10"/>
  <c r="AF23" i="10"/>
  <c r="AF51" i="10"/>
  <c r="AF34" i="10"/>
  <c r="AF35" i="10"/>
  <c r="AF24" i="10"/>
  <c r="AF36" i="10"/>
  <c r="AF37" i="10"/>
  <c r="AF38" i="10"/>
  <c r="AF39" i="10"/>
  <c r="AF25" i="10"/>
  <c r="AF40" i="10"/>
  <c r="AF41" i="10"/>
  <c r="AF42" i="10"/>
  <c r="AF6" i="10"/>
  <c r="AF52" i="10"/>
  <c r="AF43" i="10"/>
  <c r="AF44" i="10"/>
  <c r="AF45" i="10"/>
  <c r="AF46" i="10"/>
  <c r="AF47" i="10"/>
  <c r="AF26" i="10"/>
  <c r="AF27" i="10"/>
  <c r="AF7" i="10"/>
  <c r="AF8" i="10"/>
  <c r="AF9" i="10"/>
  <c r="AF10" i="10"/>
  <c r="AF11" i="10"/>
  <c r="AF12" i="10"/>
  <c r="AF13" i="10"/>
  <c r="AF14" i="10"/>
  <c r="AF15" i="10"/>
  <c r="AF28" i="10"/>
  <c r="AF29" i="10"/>
  <c r="AF30" i="10"/>
  <c r="Y5" i="10"/>
  <c r="D5" i="10" s="1"/>
  <c r="Y17" i="10"/>
  <c r="D17" i="10" s="1"/>
  <c r="Y32" i="10"/>
  <c r="D32" i="10" s="1"/>
  <c r="Y18" i="10"/>
  <c r="D18" i="10" s="1"/>
  <c r="Y19" i="10"/>
  <c r="D19" i="10" s="1"/>
  <c r="Y20" i="10"/>
  <c r="D20" i="10" s="1"/>
  <c r="Y21" i="10"/>
  <c r="D21" i="10" s="1"/>
  <c r="Y33" i="10"/>
  <c r="D33" i="10" s="1"/>
  <c r="Y48" i="10"/>
  <c r="D48" i="10" s="1"/>
  <c r="Y49" i="10"/>
  <c r="D49" i="10" s="1"/>
  <c r="Y50" i="10"/>
  <c r="D50" i="10" s="1"/>
  <c r="Y22" i="10"/>
  <c r="D22" i="10" s="1"/>
  <c r="Y23" i="10"/>
  <c r="D23" i="10" s="1"/>
  <c r="Y51" i="10"/>
  <c r="D51" i="10" s="1"/>
  <c r="Y34" i="10"/>
  <c r="D34" i="10" s="1"/>
  <c r="Y35" i="10"/>
  <c r="D35" i="10" s="1"/>
  <c r="Y24" i="10"/>
  <c r="D24" i="10" s="1"/>
  <c r="Y36" i="10"/>
  <c r="D36" i="10" s="1"/>
  <c r="Y37" i="10"/>
  <c r="D37" i="10" s="1"/>
  <c r="Y38" i="10"/>
  <c r="D38" i="10" s="1"/>
  <c r="Y39" i="10"/>
  <c r="D39" i="10" s="1"/>
  <c r="Y25" i="10"/>
  <c r="D25" i="10" s="1"/>
  <c r="Y40" i="10"/>
  <c r="D40" i="10" s="1"/>
  <c r="Y41" i="10"/>
  <c r="D41" i="10" s="1"/>
  <c r="Y42" i="10"/>
  <c r="D42" i="10" s="1"/>
  <c r="Y6" i="10"/>
  <c r="D6" i="10" s="1"/>
  <c r="Y52" i="10"/>
  <c r="D52" i="10" s="1"/>
  <c r="Y43" i="10"/>
  <c r="D43" i="10" s="1"/>
  <c r="Y44" i="10"/>
  <c r="D44" i="10" s="1"/>
  <c r="Y45" i="10"/>
  <c r="D45" i="10" s="1"/>
  <c r="Y46" i="10"/>
  <c r="D46" i="10" s="1"/>
  <c r="Y47" i="10"/>
  <c r="D47" i="10" s="1"/>
  <c r="Y26" i="10"/>
  <c r="D26" i="10" s="1"/>
  <c r="Y27" i="10"/>
  <c r="D27" i="10" s="1"/>
  <c r="Y7" i="10"/>
  <c r="D7" i="10" s="1"/>
  <c r="Y8" i="10"/>
  <c r="D8" i="10" s="1"/>
  <c r="Y9" i="10"/>
  <c r="D9" i="10" s="1"/>
  <c r="Y10" i="10"/>
  <c r="D10" i="10" s="1"/>
  <c r="Y11" i="10"/>
  <c r="D11" i="10" s="1"/>
  <c r="Y12" i="10"/>
  <c r="D12" i="10" s="1"/>
  <c r="Y13" i="10"/>
  <c r="D13" i="10" s="1"/>
  <c r="Y14" i="10"/>
  <c r="D14" i="10" s="1"/>
  <c r="Y15" i="10"/>
  <c r="D15" i="10" s="1"/>
  <c r="Y28" i="10"/>
  <c r="D28" i="10" s="1"/>
  <c r="Y29" i="10"/>
  <c r="D29" i="10" s="1"/>
  <c r="Y30" i="10"/>
  <c r="D30" i="10" s="1"/>
  <c r="Y31" i="10"/>
  <c r="Y53" i="10"/>
  <c r="AE54" i="10"/>
  <c r="AD54" i="10"/>
  <c r="AC54" i="10"/>
  <c r="AB54" i="10"/>
  <c r="AA54" i="10"/>
  <c r="Z54" i="10"/>
  <c r="X54" i="10"/>
  <c r="W54" i="10"/>
  <c r="V54" i="10"/>
  <c r="U54" i="10"/>
  <c r="T54" i="10"/>
  <c r="S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AF53" i="10"/>
  <c r="AF31" i="10"/>
  <c r="R58" i="10"/>
  <c r="F19" i="14" s="1"/>
  <c r="R56" i="10"/>
  <c r="F17" i="14" s="1"/>
  <c r="AF16" i="10"/>
  <c r="Y16" i="10"/>
  <c r="D16" i="10" s="1"/>
  <c r="R57" i="10"/>
  <c r="F18" i="14" s="1"/>
  <c r="D53" i="10" l="1"/>
  <c r="D31" i="10"/>
  <c r="D57" i="10" s="1"/>
  <c r="F7" i="14" s="1"/>
  <c r="D59" i="10"/>
  <c r="F9" i="14" s="1"/>
  <c r="D58" i="10"/>
  <c r="F8" i="14" s="1"/>
  <c r="D56" i="10"/>
  <c r="D54" i="10"/>
  <c r="AD61" i="11"/>
  <c r="E18" i="14"/>
  <c r="D55" i="13"/>
  <c r="D53" i="13"/>
  <c r="D56" i="12"/>
  <c r="D54" i="12"/>
  <c r="D21" i="14"/>
  <c r="D57" i="11"/>
  <c r="D55" i="11"/>
  <c r="E21" i="14"/>
  <c r="R59" i="10"/>
  <c r="Y57" i="10"/>
  <c r="Y56" i="10"/>
  <c r="AF58" i="10"/>
  <c r="Q57" i="10"/>
  <c r="Q56" i="10"/>
  <c r="Q58" i="10"/>
  <c r="Q59" i="10"/>
  <c r="Y59" i="10"/>
  <c r="AF57" i="10"/>
  <c r="Y58" i="10"/>
  <c r="AF59" i="10"/>
  <c r="AF56" i="10"/>
  <c r="Y54" i="10"/>
  <c r="AF54" i="10"/>
  <c r="Q54" i="10"/>
  <c r="R60" i="10" l="1"/>
  <c r="F20" i="14"/>
  <c r="F21" i="14" s="1"/>
  <c r="E6" i="14"/>
  <c r="E10" i="14" s="1"/>
  <c r="D61" i="11"/>
  <c r="D60" i="12"/>
  <c r="D6" i="14"/>
  <c r="D10" i="14" s="1"/>
  <c r="C6" i="14"/>
  <c r="C10" i="14" s="1"/>
  <c r="D59" i="13"/>
  <c r="D60" i="10"/>
  <c r="F6" i="14"/>
  <c r="F10" i="14"/>
  <c r="R64" i="10"/>
  <c r="R63" i="10"/>
  <c r="R62" i="10"/>
  <c r="Y60" i="10"/>
  <c r="R65" i="10"/>
  <c r="AF60" i="10"/>
  <c r="Q60" i="10"/>
</calcChain>
</file>

<file path=xl/sharedStrings.xml><?xml version="1.0" encoding="utf-8"?>
<sst xmlns="http://schemas.openxmlformats.org/spreadsheetml/2006/main" count="1539" uniqueCount="174">
  <si>
    <t>자재별 매출(본사전체)</t>
    <phoneticPr fontId="8" type="noConversion"/>
  </si>
  <si>
    <t>2012년</t>
  </si>
  <si>
    <t>2013년</t>
  </si>
  <si>
    <t>2014년</t>
  </si>
  <si>
    <t>2015년</t>
  </si>
  <si>
    <t>백만원</t>
  </si>
  <si>
    <t>12개월</t>
  </si>
  <si>
    <t>6개월</t>
  </si>
  <si>
    <t>HMI</t>
    <phoneticPr fontId="4" type="noConversion"/>
  </si>
  <si>
    <t>BCS</t>
    <phoneticPr fontId="4" type="noConversion"/>
  </si>
  <si>
    <t>MC</t>
    <phoneticPr fontId="4" type="noConversion"/>
  </si>
  <si>
    <t>기타</t>
    <phoneticPr fontId="4" type="noConversion"/>
  </si>
  <si>
    <t>합계</t>
    <phoneticPr fontId="4" type="noConversion"/>
  </si>
  <si>
    <t>일시불매출 용역과제 로열티 제외</t>
    <phoneticPr fontId="4" type="noConversion"/>
  </si>
  <si>
    <t>자재별 매출(본사 제품매출)</t>
    <phoneticPr fontId="8" type="noConversion"/>
  </si>
  <si>
    <t>2012년</t>
    <phoneticPr fontId="4" type="noConversion"/>
  </si>
  <si>
    <t>2014년</t>
    <phoneticPr fontId="4" type="noConversion"/>
  </si>
  <si>
    <t>2015년 반기</t>
    <phoneticPr fontId="4" type="noConversion"/>
  </si>
  <si>
    <t>제품군별 매출단가</t>
    <phoneticPr fontId="4" type="noConversion"/>
  </si>
  <si>
    <t>수량</t>
    <phoneticPr fontId="4" type="noConversion"/>
  </si>
  <si>
    <t>매출</t>
    <phoneticPr fontId="4" type="noConversion"/>
  </si>
  <si>
    <t>단가</t>
    <phoneticPr fontId="4" type="noConversion"/>
  </si>
  <si>
    <t>1.HMI</t>
  </si>
  <si>
    <t>AUD</t>
  </si>
  <si>
    <t>Audio SW Assy</t>
  </si>
  <si>
    <t>RLP</t>
  </si>
  <si>
    <t>Interior Lamp</t>
  </si>
  <si>
    <t>SGS</t>
  </si>
  <si>
    <t>Gear Shift Module</t>
  </si>
  <si>
    <t>2.BCS</t>
  </si>
  <si>
    <t>SHT</t>
  </si>
  <si>
    <t>Haptic Switch</t>
  </si>
  <si>
    <t>3.MC</t>
  </si>
  <si>
    <t>SIH</t>
  </si>
  <si>
    <t>Inhibitor Switch</t>
  </si>
  <si>
    <t>SIP</t>
  </si>
  <si>
    <t>In Panel Switch</t>
  </si>
  <si>
    <t>SMF</t>
  </si>
  <si>
    <t>Muti Function Switch</t>
  </si>
  <si>
    <t>SPW</t>
  </si>
  <si>
    <t>Power Window Switch</t>
  </si>
  <si>
    <t>SRM</t>
  </si>
  <si>
    <t>Remocon Switch</t>
  </si>
  <si>
    <t>SSM</t>
  </si>
  <si>
    <t>Micro Switch</t>
  </si>
  <si>
    <t>SSW</t>
  </si>
  <si>
    <t>General Switch</t>
  </si>
  <si>
    <t>ABS</t>
  </si>
  <si>
    <t>Anti-lock Brake Syst</t>
  </si>
  <si>
    <t>BCM</t>
  </si>
  <si>
    <t>Body Control Module</t>
  </si>
  <si>
    <t>ATS</t>
  </si>
  <si>
    <t>Anti Theft Alarm Sys</t>
  </si>
  <si>
    <t>BLT</t>
  </si>
  <si>
    <t>Ballast</t>
  </si>
  <si>
    <t>CTS</t>
  </si>
  <si>
    <t>Current Sensor</t>
  </si>
  <si>
    <t>CVT</t>
  </si>
  <si>
    <t>Converter</t>
  </si>
  <si>
    <t>BTC</t>
  </si>
  <si>
    <t>Body Control System</t>
  </si>
  <si>
    <t>GAC</t>
  </si>
  <si>
    <t>Glass Antenna</t>
  </si>
  <si>
    <t>HFC</t>
  </si>
  <si>
    <t>Hands Free Unit</t>
  </si>
  <si>
    <t>PSM</t>
  </si>
  <si>
    <t>Power Seat Module</t>
  </si>
  <si>
    <t>RER</t>
  </si>
  <si>
    <t>eRelay</t>
  </si>
  <si>
    <t>SAS</t>
  </si>
  <si>
    <t>Steering Angle Senso</t>
  </si>
  <si>
    <t>SEN</t>
  </si>
  <si>
    <t>Yaw &amp; G Sensor (SYG로</t>
  </si>
  <si>
    <t>SYG</t>
  </si>
  <si>
    <t>Yaw &amp; G Sensor</t>
  </si>
  <si>
    <t>TOS</t>
  </si>
  <si>
    <t>Torque Only Sensor</t>
  </si>
  <si>
    <t>TAS</t>
  </si>
  <si>
    <t>Torque  Angle Sensor</t>
  </si>
  <si>
    <t>UTC</t>
  </si>
  <si>
    <t>Control Unit</t>
  </si>
  <si>
    <t>VES</t>
  </si>
  <si>
    <t>Virtual Engine Sound</t>
  </si>
  <si>
    <t>BJB</t>
  </si>
  <si>
    <t>Junction Box</t>
  </si>
  <si>
    <t>DCB</t>
  </si>
  <si>
    <t>Connector (Bec用)</t>
  </si>
  <si>
    <t>DCM</t>
  </si>
  <si>
    <t>Connector (MOLD)</t>
  </si>
  <si>
    <t>DCW</t>
  </si>
  <si>
    <t>Connector (Wire用)</t>
  </si>
  <si>
    <t>DCP</t>
  </si>
  <si>
    <t>Connector (PRESS)</t>
  </si>
  <si>
    <t>MTB</t>
  </si>
  <si>
    <t>Brushless DC Motor</t>
  </si>
  <si>
    <t>MTC</t>
  </si>
  <si>
    <t>Moter for MDPS</t>
  </si>
  <si>
    <t>R28</t>
  </si>
  <si>
    <t>280 RELAY</t>
  </si>
  <si>
    <t>RCC</t>
  </si>
  <si>
    <t>ISO Micro (RIS로 변경)</t>
  </si>
  <si>
    <t>RCE</t>
  </si>
  <si>
    <t>ISO Mini (RIS로 변경)</t>
  </si>
  <si>
    <t>RCJ</t>
  </si>
  <si>
    <t>280 Micro(R28로 변경)</t>
  </si>
  <si>
    <t>280 Mini (R28로 변경)</t>
  </si>
  <si>
    <t>RCP</t>
  </si>
  <si>
    <t>ICM Relay</t>
  </si>
  <si>
    <t>RIC</t>
  </si>
  <si>
    <t>ISO Type Relay</t>
  </si>
  <si>
    <t>RIS</t>
  </si>
  <si>
    <t>JIS Type Relay</t>
  </si>
  <si>
    <t>RJI</t>
  </si>
  <si>
    <t>PCB Type Relay</t>
  </si>
  <si>
    <t>RPC</t>
  </si>
  <si>
    <t>Solenoid RELAY</t>
  </si>
  <si>
    <t>RSO</t>
  </si>
  <si>
    <t>Ring Shape Terminal</t>
  </si>
  <si>
    <t>RST</t>
  </si>
  <si>
    <t>Relay 기타(RPC/RSP/RER</t>
  </si>
  <si>
    <t>RTC</t>
  </si>
  <si>
    <t>Stop Signal Relay</t>
  </si>
  <si>
    <t>RYG</t>
  </si>
  <si>
    <t>4.기타</t>
  </si>
  <si>
    <t>기타 (부품)</t>
  </si>
  <si>
    <t>ETB</t>
  </si>
  <si>
    <t>기타 (원자재)</t>
  </si>
  <si>
    <t>ETC</t>
  </si>
  <si>
    <t>Machinery</t>
  </si>
  <si>
    <t>FAC</t>
  </si>
  <si>
    <t>Molding Tool</t>
  </si>
  <si>
    <t>MEP</t>
  </si>
  <si>
    <t>Royalty</t>
  </si>
  <si>
    <t>ROY</t>
  </si>
  <si>
    <t xml:space="preserve">    미지정</t>
  </si>
  <si>
    <t>2012년 자재그룹별 월별손익실적 Report</t>
    <phoneticPr fontId="1" type="noConversion"/>
  </si>
  <si>
    <t>사업구분</t>
    <phoneticPr fontId="4" type="noConversion"/>
  </si>
  <si>
    <t>자재그룹3</t>
  </si>
  <si>
    <t>재재그룹3내역</t>
  </si>
  <si>
    <t xml:space="preserve">             제품(상품)매출</t>
    <phoneticPr fontId="1" type="noConversion"/>
  </si>
  <si>
    <t xml:space="preserve">          설비매출</t>
    <phoneticPr fontId="1" type="noConversion"/>
  </si>
  <si>
    <t xml:space="preserve">          기타매출</t>
    <phoneticPr fontId="1" type="noConversion"/>
  </si>
  <si>
    <t>전체</t>
    <phoneticPr fontId="4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</si>
  <si>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</si>
  <si>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</si>
  <si>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</si>
  <si>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</si>
  <si>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</si>
  <si>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</si>
  <si>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</si>
  <si>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</si>
  <si>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</si>
  <si>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</si>
  <si>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</si>
  <si>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</si>
  <si>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</si>
  <si>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매출액</t>
    <phoneticPr fontId="4" type="noConversion"/>
  </si>
  <si>
    <t>수량</t>
    <phoneticPr fontId="1" type="noConversion"/>
  </si>
  <si>
    <t>매출액</t>
    <phoneticPr fontId="1" type="noConversion"/>
  </si>
  <si>
    <t>1월</t>
  </si>
  <si>
    <t>1.HMI</t>
    <phoneticPr fontId="4" type="noConversion"/>
  </si>
  <si>
    <t>2.BCS</t>
    <phoneticPr fontId="4" type="noConversion"/>
  </si>
  <si>
    <t>3.MC</t>
    <phoneticPr fontId="4" type="noConversion"/>
  </si>
  <si>
    <t>4.기타</t>
    <phoneticPr fontId="4" type="noConversion"/>
  </si>
  <si>
    <t>총계</t>
  </si>
  <si>
    <t>총계</t>
    <phoneticPr fontId="4" type="noConversion"/>
  </si>
  <si>
    <t>2013년 자재그룹별 월별손익실적 Report</t>
  </si>
  <si>
    <t>2014년 자재그룹별 월별손익실적 Report</t>
  </si>
  <si>
    <t>2015년 자재그룹별 월별손익실적 Report</t>
    <phoneticPr fontId="1" type="noConversion"/>
  </si>
  <si>
    <t>현재 데이터(2015.08.25 13:09:13)</t>
  </si>
  <si>
    <t>자재그룹3</t>
    <phoneticPr fontId="4" type="noConversion"/>
  </si>
  <si>
    <t>재재그룹3내역</t>
    <phoneticPr fontId="1" type="noConversion"/>
  </si>
  <si>
    <t xml:space="preserve">     설비매출</t>
    <phoneticPr fontId="1" type="noConversion"/>
  </si>
  <si>
    <t xml:space="preserve">     기타매출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</si>
</sst>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,,;\(#,##0,,\);\-"/>
  </numFmts>
  <fonts count="1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FFFF"/>
      <name val="맑은 고딕"/>
      <family val="2"/>
      <charset val="129"/>
      <scheme val="major"/>
    </font>
    <font>
      <sz val="8"/>
      <name val="맑은 고딕"/>
      <family val="2"/>
      <charset val="129"/>
      <scheme val="minor"/>
    </font>
    <font>
      <b/>
      <sz val="8"/>
      <color rgb="FF000000"/>
      <name val="맑은 고딕"/>
      <family val="2"/>
      <charset val="129"/>
      <scheme val="major"/>
    </font>
    <font>
      <sz val="11"/>
      <color theme="1"/>
      <name val="맑은 고딕"/>
      <family val="2"/>
      <scheme val="minor"/>
    </font>
    <font>
      <b/>
      <sz val="8"/>
      <color rgb="FF00000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09DAD"/>
      </left>
      <right/>
      <top style="thin">
        <color rgb="FF409DAD"/>
      </top>
      <bottom style="thin">
        <color rgb="FF409DAD"/>
      </bottom>
      <diagonal/>
    </border>
    <border>
      <left/>
      <right/>
      <top style="thin">
        <color rgb="FF409DAD"/>
      </top>
      <bottom style="thin">
        <color rgb="FF409DAD"/>
      </bottom>
      <diagonal/>
    </border>
    <border>
      <left/>
      <right style="thin">
        <color rgb="FF409DAD"/>
      </right>
      <top style="thin">
        <color rgb="FF409DAD"/>
      </top>
      <bottom style="thin">
        <color rgb="FF409DAD"/>
      </bottom>
      <diagonal/>
    </border>
    <border>
      <left style="thin">
        <color rgb="FF409DAD"/>
      </left>
      <right/>
      <top style="thin">
        <color rgb="FF409DAD"/>
      </top>
      <bottom/>
      <diagonal/>
    </border>
    <border>
      <left/>
      <right/>
      <top style="thin">
        <color rgb="FF409DAD"/>
      </top>
      <bottom/>
      <diagonal/>
    </border>
    <border>
      <left/>
      <right style="thin">
        <color rgb="FF409DAD"/>
      </right>
      <top style="thin">
        <color rgb="FF409DAD"/>
      </top>
      <bottom/>
      <diagonal/>
    </border>
    <border>
      <left style="thin">
        <color rgb="FF409DAD"/>
      </left>
      <right/>
      <top/>
      <bottom style="thin">
        <color rgb="FF409DAD"/>
      </bottom>
      <diagonal/>
    </border>
    <border>
      <left/>
      <right/>
      <top/>
      <bottom style="thin">
        <color rgb="FF409DAD"/>
      </bottom>
      <diagonal/>
    </border>
    <border>
      <left/>
      <right style="thin">
        <color rgb="FF409DAD"/>
      </right>
      <top/>
      <bottom style="thin">
        <color rgb="FF409DAD"/>
      </bottom>
      <diagonal/>
    </border>
    <border>
      <left style="thin">
        <color rgb="FF409DAD"/>
      </left>
      <right/>
      <top/>
      <bottom/>
      <diagonal/>
    </border>
    <border>
      <left/>
      <right style="thin">
        <color rgb="FF409DAD"/>
      </right>
      <top/>
      <bottom/>
      <diagonal/>
    </border>
    <border>
      <left style="thin">
        <color rgb="FF409DAD"/>
      </left>
      <right/>
      <top style="thin">
        <color rgb="FF409DAD"/>
      </top>
      <bottom style="medium">
        <color rgb="FF409DAD"/>
      </bottom>
      <diagonal/>
    </border>
    <border>
      <left/>
      <right/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 style="thin">
        <color rgb="FF409DAD"/>
      </top>
      <bottom style="medium">
        <color rgb="FF409DAD"/>
      </bottom>
      <diagonal/>
    </border>
    <border>
      <left style="thin">
        <color rgb="FF409DAD"/>
      </left>
      <right/>
      <top/>
      <bottom style="medium">
        <color rgb="FF409DAD"/>
      </bottom>
      <diagonal/>
    </border>
    <border>
      <left/>
      <right/>
      <top/>
      <bottom style="medium">
        <color rgb="FF409DAD"/>
      </bottom>
      <diagonal/>
    </border>
    <border>
      <left/>
      <right style="thin">
        <color rgb="FF409DAD"/>
      </right>
      <top/>
      <bottom style="medium">
        <color rgb="FF409DAD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/>
  </cellStyleXfs>
  <cellXfs count="11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2" fillId="0" borderId="12" xfId="1" applyNumberFormat="1" applyFont="1" applyBorder="1">
      <alignment vertical="center"/>
    </xf>
    <xf numFmtId="176" fontId="2" fillId="0" borderId="1" xfId="1" applyNumberFormat="1" applyFont="1" applyBorder="1">
      <alignment vertical="center"/>
    </xf>
    <xf numFmtId="176" fontId="2" fillId="0" borderId="2" xfId="1" applyNumberFormat="1" applyFont="1" applyBorder="1">
      <alignment vertical="center"/>
    </xf>
    <xf numFmtId="176" fontId="2" fillId="0" borderId="2" xfId="1" applyNumberFormat="1" applyFont="1" applyBorder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0" fillId="0" borderId="2" xfId="0" applyBorder="1">
      <alignment vertical="center"/>
    </xf>
    <xf numFmtId="176" fontId="2" fillId="0" borderId="3" xfId="1" applyNumberFormat="1" applyFon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>
      <alignment vertical="center"/>
    </xf>
    <xf numFmtId="176" fontId="2" fillId="0" borderId="6" xfId="1" applyNumberFormat="1" applyFont="1" applyBorder="1">
      <alignment vertical="center"/>
    </xf>
    <xf numFmtId="176" fontId="2" fillId="0" borderId="7" xfId="1" applyNumberFormat="1" applyFont="1" applyBorder="1">
      <alignment vertical="center"/>
    </xf>
    <xf numFmtId="176" fontId="2" fillId="0" borderId="8" xfId="1" applyNumberFormat="1" applyFont="1" applyBorder="1">
      <alignment vertical="center"/>
    </xf>
    <xf numFmtId="176" fontId="2" fillId="0" borderId="13" xfId="1" applyNumberFormat="1" applyFont="1" applyBorder="1">
      <alignment vertical="center"/>
    </xf>
    <xf numFmtId="176" fontId="2" fillId="0" borderId="12" xfId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6" fontId="5" fillId="2" borderId="10" xfId="1" applyNumberFormat="1" applyFont="1" applyFill="1" applyBorder="1">
      <alignment vertical="center"/>
    </xf>
    <xf numFmtId="176" fontId="5" fillId="2" borderId="11" xfId="1" applyNumberFormat="1" applyFont="1" applyFill="1" applyBorder="1">
      <alignment vertical="center"/>
    </xf>
    <xf numFmtId="176" fontId="5" fillId="0" borderId="9" xfId="1" applyNumberFormat="1" applyFont="1" applyBorder="1">
      <alignment vertical="center"/>
    </xf>
    <xf numFmtId="176" fontId="5" fillId="0" borderId="4" xfId="1" applyNumberFormat="1" applyFont="1" applyBorder="1">
      <alignment vertical="center"/>
    </xf>
    <xf numFmtId="176" fontId="5" fillId="0" borderId="5" xfId="1" applyNumberFormat="1" applyFont="1" applyBorder="1">
      <alignment vertical="center"/>
    </xf>
    <xf numFmtId="176" fontId="5" fillId="0" borderId="0" xfId="1" applyNumberFormat="1" applyFont="1">
      <alignment vertical="center"/>
    </xf>
    <xf numFmtId="176" fontId="2" fillId="2" borderId="10" xfId="1" applyNumberFormat="1" applyFont="1" applyFill="1" applyBorder="1">
      <alignment vertical="center"/>
    </xf>
    <xf numFmtId="176" fontId="2" fillId="2" borderId="11" xfId="1" applyNumberFormat="1" applyFont="1" applyFill="1" applyBorder="1">
      <alignment vertical="center"/>
    </xf>
    <xf numFmtId="176" fontId="2" fillId="0" borderId="9" xfId="1" applyNumberFormat="1" applyFont="1" applyBorder="1">
      <alignment vertical="center"/>
    </xf>
    <xf numFmtId="176" fontId="2" fillId="0" borderId="4" xfId="1" applyNumberFormat="1" applyFont="1" applyBorder="1">
      <alignment vertical="center"/>
    </xf>
    <xf numFmtId="176" fontId="2" fillId="0" borderId="14" xfId="1" applyNumberFormat="1" applyFont="1" applyBorder="1">
      <alignment vertical="center"/>
    </xf>
    <xf numFmtId="176" fontId="2" fillId="0" borderId="5" xfId="1" applyNumberFormat="1" applyFont="1" applyBorder="1">
      <alignment vertical="center"/>
    </xf>
    <xf numFmtId="176" fontId="2" fillId="0" borderId="15" xfId="1" applyNumberFormat="1" applyFont="1" applyBorder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2" xfId="0" applyFill="1" applyBorder="1">
      <alignment vertical="center"/>
    </xf>
    <xf numFmtId="176" fontId="2" fillId="0" borderId="3" xfId="1" applyNumberFormat="1" applyFont="1" applyFill="1" applyBorder="1">
      <alignment vertical="center"/>
    </xf>
    <xf numFmtId="176" fontId="2" fillId="0" borderId="1" xfId="1" applyNumberFormat="1" applyFont="1" applyFill="1" applyBorder="1">
      <alignment vertical="center"/>
    </xf>
    <xf numFmtId="176" fontId="2" fillId="0" borderId="2" xfId="1" applyNumberFormat="1" applyFont="1" applyFill="1" applyBorder="1">
      <alignment vertical="center"/>
    </xf>
    <xf numFmtId="176" fontId="2" fillId="0" borderId="12" xfId="1" applyNumberFormat="1" applyFont="1" applyFill="1" applyBorder="1">
      <alignment vertical="center"/>
    </xf>
    <xf numFmtId="176" fontId="2" fillId="0" borderId="15" xfId="1" applyNumberFormat="1" applyFont="1" applyFill="1" applyBorder="1">
      <alignment vertical="center"/>
    </xf>
    <xf numFmtId="176" fontId="2" fillId="0" borderId="0" xfId="1" applyNumberFormat="1" applyFont="1" applyFill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2" fillId="0" borderId="0" xfId="2" applyNumberFormat="1" applyFont="1">
      <alignment vertical="center"/>
    </xf>
    <xf numFmtId="0" fontId="6" fillId="0" borderId="0" xfId="0" applyFont="1">
      <alignment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9" fillId="4" borderId="24" xfId="0" applyNumberFormat="1" applyFont="1" applyFill="1" applyBorder="1" applyAlignment="1">
      <alignment horizontal="left"/>
    </xf>
    <xf numFmtId="0" fontId="9" fillId="4" borderId="25" xfId="3" applyNumberFormat="1" applyFont="1" applyFill="1" applyBorder="1" applyAlignment="1">
      <alignment horizontal="right"/>
    </xf>
    <xf numFmtId="0" fontId="11" fillId="4" borderId="26" xfId="3" applyNumberFormat="1" applyFont="1" applyFill="1" applyBorder="1" applyAlignment="1">
      <alignment horizontal="right"/>
    </xf>
    <xf numFmtId="0" fontId="11" fillId="4" borderId="27" xfId="0" applyNumberFormat="1" applyFont="1" applyFill="1" applyBorder="1" applyAlignment="1">
      <alignment horizontal="left"/>
    </xf>
    <xf numFmtId="0" fontId="11" fillId="4" borderId="28" xfId="3" applyNumberFormat="1" applyFont="1" applyFill="1" applyBorder="1" applyAlignment="1">
      <alignment horizontal="right"/>
    </xf>
    <xf numFmtId="0" fontId="11" fillId="4" borderId="29" xfId="3" applyNumberFormat="1" applyFont="1" applyFill="1" applyBorder="1" applyAlignment="1">
      <alignment horizontal="right"/>
    </xf>
    <xf numFmtId="0" fontId="0" fillId="5" borderId="10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0" xfId="0" applyFill="1">
      <alignment vertical="center"/>
    </xf>
    <xf numFmtId="176" fontId="0" fillId="5" borderId="16" xfId="0" applyNumberFormat="1" applyFill="1" applyBorder="1">
      <alignment vertical="center"/>
    </xf>
    <xf numFmtId="0" fontId="6" fillId="0" borderId="24" xfId="0" applyFont="1" applyBorder="1">
      <alignment vertical="center"/>
    </xf>
    <xf numFmtId="177" fontId="6" fillId="0" borderId="25" xfId="0" applyNumberFormat="1" applyFont="1" applyBorder="1">
      <alignment vertical="center"/>
    </xf>
    <xf numFmtId="177" fontId="6" fillId="0" borderId="26" xfId="0" applyNumberFormat="1" applyFont="1" applyBorder="1">
      <alignment vertical="center"/>
    </xf>
    <xf numFmtId="0" fontId="6" fillId="0" borderId="30" xfId="0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31" xfId="0" applyNumberFormat="1" applyFont="1" applyBorder="1">
      <alignment vertical="center"/>
    </xf>
    <xf numFmtId="0" fontId="6" fillId="0" borderId="27" xfId="0" applyFont="1" applyBorder="1">
      <alignment vertical="center"/>
    </xf>
    <xf numFmtId="177" fontId="6" fillId="0" borderId="28" xfId="0" applyNumberFormat="1" applyFont="1" applyBorder="1">
      <alignment vertical="center"/>
    </xf>
    <xf numFmtId="177" fontId="6" fillId="0" borderId="29" xfId="0" applyNumberFormat="1" applyFont="1" applyBorder="1">
      <alignment vertical="center"/>
    </xf>
    <xf numFmtId="0" fontId="12" fillId="0" borderId="32" xfId="0" applyFont="1" applyBorder="1">
      <alignment vertical="center"/>
    </xf>
    <xf numFmtId="177" fontId="12" fillId="0" borderId="33" xfId="0" applyNumberFormat="1" applyFont="1" applyBorder="1">
      <alignment vertical="center"/>
    </xf>
    <xf numFmtId="177" fontId="12" fillId="0" borderId="34" xfId="0" applyNumberFormat="1" applyFont="1" applyBorder="1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2" xfId="0" applyFont="1" applyFill="1" applyBorder="1">
      <alignment vertical="center"/>
    </xf>
    <xf numFmtId="0" fontId="6" fillId="0" borderId="12" xfId="0" applyFont="1" applyFill="1" applyBorder="1" applyAlignment="1">
      <alignment horizontal="left" vertical="center"/>
    </xf>
    <xf numFmtId="41" fontId="6" fillId="0" borderId="0" xfId="1" applyFont="1">
      <alignment vertical="center"/>
    </xf>
    <xf numFmtId="176" fontId="6" fillId="0" borderId="1" xfId="1" applyNumberFormat="1" applyFont="1" applyFill="1" applyBorder="1">
      <alignment vertical="center"/>
    </xf>
    <xf numFmtId="176" fontId="6" fillId="0" borderId="2" xfId="1" applyNumberFormat="1" applyFont="1" applyFill="1" applyBorder="1">
      <alignment vertical="center"/>
    </xf>
    <xf numFmtId="176" fontId="6" fillId="0" borderId="1" xfId="1" applyNumberFormat="1" applyFont="1" applyBorder="1">
      <alignment vertical="center"/>
    </xf>
    <xf numFmtId="176" fontId="6" fillId="0" borderId="2" xfId="1" applyNumberFormat="1" applyFont="1" applyBorder="1">
      <alignment vertical="center"/>
    </xf>
    <xf numFmtId="0" fontId="12" fillId="0" borderId="0" xfId="0" applyFont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41" fontId="6" fillId="5" borderId="0" xfId="1" applyFont="1" applyFill="1">
      <alignment vertical="center"/>
    </xf>
    <xf numFmtId="0" fontId="6" fillId="5" borderId="12" xfId="0" applyFont="1" applyFill="1" applyBorder="1" applyAlignment="1">
      <alignment horizontal="center" vertical="center"/>
    </xf>
    <xf numFmtId="176" fontId="6" fillId="5" borderId="1" xfId="1" applyNumberFormat="1" applyFont="1" applyFill="1" applyBorder="1">
      <alignment vertical="center"/>
    </xf>
    <xf numFmtId="176" fontId="6" fillId="5" borderId="2" xfId="1" applyNumberFormat="1" applyFont="1" applyFill="1" applyBorder="1">
      <alignment vertical="center"/>
    </xf>
    <xf numFmtId="41" fontId="6" fillId="0" borderId="25" xfId="1" applyFont="1" applyBorder="1">
      <alignment vertical="center"/>
    </xf>
    <xf numFmtId="41" fontId="6" fillId="0" borderId="26" xfId="1" applyFont="1" applyBorder="1">
      <alignment vertical="center"/>
    </xf>
    <xf numFmtId="41" fontId="6" fillId="0" borderId="0" xfId="1" applyFont="1" applyBorder="1">
      <alignment vertical="center"/>
    </xf>
    <xf numFmtId="41" fontId="6" fillId="0" borderId="31" xfId="1" applyFont="1" applyBorder="1">
      <alignment vertical="center"/>
    </xf>
    <xf numFmtId="0" fontId="6" fillId="0" borderId="35" xfId="0" applyFont="1" applyBorder="1">
      <alignment vertical="center"/>
    </xf>
    <xf numFmtId="41" fontId="6" fillId="0" borderId="36" xfId="1" applyFont="1" applyBorder="1">
      <alignment vertical="center"/>
    </xf>
    <xf numFmtId="41" fontId="6" fillId="0" borderId="37" xfId="1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9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71"/>
  <sheetViews>
    <sheetView showGridLines="0" tabSelected="1" workbookViewId="0">
      <selection activeCell="L15" sqref="L15"/>
    </sheetView>
  </sheetViews>
  <sheetFormatPr defaultRowHeight="11.25"/>
  <cols>
    <col min="1" max="2" width="9" style="48"/>
    <col min="3" max="6" width="7.625" style="48" customWidth="1"/>
    <col min="7" max="16384" width="9" style="48"/>
  </cols>
  <sheetData>
    <row r="3" spans="2:6" ht="19.5" customHeight="1">
      <c r="B3" s="49" t="s">
        <v>0</v>
      </c>
      <c r="C3" s="50"/>
      <c r="D3" s="50"/>
      <c r="E3" s="50"/>
      <c r="F3" s="51"/>
    </row>
    <row r="4" spans="2:6" ht="12" customHeight="1">
      <c r="B4" s="52"/>
      <c r="C4" s="53" t="s">
        <v>1</v>
      </c>
      <c r="D4" s="53" t="s">
        <v>2</v>
      </c>
      <c r="E4" s="53" t="s">
        <v>3</v>
      </c>
      <c r="F4" s="54" t="s">
        <v>4</v>
      </c>
    </row>
    <row r="5" spans="2:6" ht="12" customHeight="1">
      <c r="B5" s="55" t="s">
        <v>5</v>
      </c>
      <c r="C5" s="56" t="s">
        <v>6</v>
      </c>
      <c r="D5" s="56" t="s">
        <v>6</v>
      </c>
      <c r="E5" s="56" t="s">
        <v>6</v>
      </c>
      <c r="F5" s="57" t="s">
        <v>7</v>
      </c>
    </row>
    <row r="6" spans="2:6" ht="12" customHeight="1">
      <c r="B6" s="62" t="s">
        <v>8</v>
      </c>
      <c r="C6" s="63">
        <f>KE30_2012년!D55</f>
        <v>350442096639</v>
      </c>
      <c r="D6" s="63">
        <f>KE30_2013년!D56</f>
        <v>380508279003</v>
      </c>
      <c r="E6" s="63">
        <f>KE30_2014년!D57</f>
        <v>402019353206</v>
      </c>
      <c r="F6" s="64">
        <f>KE30_2015년!D56</f>
        <v>213180221895</v>
      </c>
    </row>
    <row r="7" spans="2:6" ht="12" customHeight="1">
      <c r="B7" s="65" t="s">
        <v>9</v>
      </c>
      <c r="C7" s="66">
        <f>KE30_2012년!D56</f>
        <v>61089704286</v>
      </c>
      <c r="D7" s="66">
        <f>KE30_2013년!D57</f>
        <v>61363157093</v>
      </c>
      <c r="E7" s="66">
        <f>KE30_2014년!D58</f>
        <v>71219560638</v>
      </c>
      <c r="F7" s="67">
        <f>KE30_2015년!D57</f>
        <v>38745918546</v>
      </c>
    </row>
    <row r="8" spans="2:6" ht="12" customHeight="1">
      <c r="B8" s="65" t="s">
        <v>10</v>
      </c>
      <c r="C8" s="66">
        <f>KE30_2012년!D57</f>
        <v>113462074158</v>
      </c>
      <c r="D8" s="66">
        <f>KE30_2013년!D58</f>
        <v>97513231444</v>
      </c>
      <c r="E8" s="66">
        <f>KE30_2014년!D59</f>
        <v>78313283801</v>
      </c>
      <c r="F8" s="67">
        <f>KE30_2015년!D58</f>
        <v>37338408142</v>
      </c>
    </row>
    <row r="9" spans="2:6" ht="12" customHeight="1">
      <c r="B9" s="68" t="s">
        <v>11</v>
      </c>
      <c r="C9" s="69">
        <f>KE30_2012년!D58</f>
        <v>3575635267</v>
      </c>
      <c r="D9" s="69">
        <f>KE30_2013년!D59</f>
        <v>8347933881</v>
      </c>
      <c r="E9" s="69">
        <f>KE30_2014년!D60</f>
        <v>20594964018</v>
      </c>
      <c r="F9" s="70">
        <f>KE30_2015년!D59</f>
        <v>6529430517</v>
      </c>
    </row>
    <row r="10" spans="2:6" ht="12" customHeight="1" thickBot="1">
      <c r="B10" s="71" t="s">
        <v>12</v>
      </c>
      <c r="C10" s="72">
        <f>SUM(C6:C9)</f>
        <v>528569510350</v>
      </c>
      <c r="D10" s="72">
        <f t="shared" ref="D10:F10" si="0">SUM(D6:D9)</f>
        <v>547732601421</v>
      </c>
      <c r="E10" s="72">
        <f t="shared" si="0"/>
        <v>572147161663</v>
      </c>
      <c r="F10" s="73">
        <f t="shared" si="0"/>
        <v>295793979100</v>
      </c>
    </row>
    <row r="11" spans="2:6" ht="12" customHeight="1"/>
    <row r="12" spans="2:6" ht="12" customHeight="1">
      <c r="B12" s="48" t="s">
        <v>13</v>
      </c>
    </row>
    <row r="13" spans="2:6" ht="12" customHeight="1"/>
    <row r="14" spans="2:6" ht="19.5" customHeight="1">
      <c r="B14" s="49" t="s">
        <v>14</v>
      </c>
      <c r="C14" s="50"/>
      <c r="D14" s="50"/>
      <c r="E14" s="50"/>
      <c r="F14" s="51"/>
    </row>
    <row r="15" spans="2:6" ht="12" customHeight="1">
      <c r="B15" s="52"/>
      <c r="C15" s="53" t="s">
        <v>1</v>
      </c>
      <c r="D15" s="53" t="s">
        <v>2</v>
      </c>
      <c r="E15" s="53" t="s">
        <v>3</v>
      </c>
      <c r="F15" s="54" t="s">
        <v>4</v>
      </c>
    </row>
    <row r="16" spans="2:6" ht="12" customHeight="1">
      <c r="B16" s="55" t="s">
        <v>5</v>
      </c>
      <c r="C16" s="56" t="s">
        <v>6</v>
      </c>
      <c r="D16" s="56" t="s">
        <v>6</v>
      </c>
      <c r="E16" s="56" t="s">
        <v>6</v>
      </c>
      <c r="F16" s="57" t="s">
        <v>7</v>
      </c>
    </row>
    <row r="17" spans="2:6" ht="12" customHeight="1">
      <c r="B17" s="62" t="s">
        <v>8</v>
      </c>
      <c r="C17" s="63">
        <f>KE30_2012년!AD55</f>
        <v>344300425820</v>
      </c>
      <c r="D17" s="63">
        <f>KE30_2013년!AD56</f>
        <v>370110132581</v>
      </c>
      <c r="E17" s="63">
        <f>KE30_2014년!AD57</f>
        <v>386880090767</v>
      </c>
      <c r="F17" s="64">
        <f>KE30_2015년!R56</f>
        <v>203789426654</v>
      </c>
    </row>
    <row r="18" spans="2:6" ht="12" customHeight="1">
      <c r="B18" s="65" t="s">
        <v>9</v>
      </c>
      <c r="C18" s="66">
        <f>KE30_2012년!AD56</f>
        <v>60993142137</v>
      </c>
      <c r="D18" s="66">
        <f>KE30_2013년!AD57</f>
        <v>61301951475</v>
      </c>
      <c r="E18" s="66">
        <f>KE30_2014년!AD58</f>
        <v>70906329634</v>
      </c>
      <c r="F18" s="67">
        <f>KE30_2015년!R57</f>
        <v>38325480789</v>
      </c>
    </row>
    <row r="19" spans="2:6" ht="12" customHeight="1">
      <c r="B19" s="65" t="s">
        <v>10</v>
      </c>
      <c r="C19" s="66">
        <f>KE30_2012년!AD57</f>
        <v>113018611634</v>
      </c>
      <c r="D19" s="66">
        <f>KE30_2013년!AD58</f>
        <v>97080812148</v>
      </c>
      <c r="E19" s="66">
        <f>KE30_2014년!AD59</f>
        <v>77934425530</v>
      </c>
      <c r="F19" s="67">
        <f>KE30_2015년!R58</f>
        <v>36927417898</v>
      </c>
    </row>
    <row r="20" spans="2:6" ht="12" customHeight="1">
      <c r="B20" s="68" t="s">
        <v>11</v>
      </c>
      <c r="C20" s="69">
        <f>KE30_2012년!AD58</f>
        <v>1032359252</v>
      </c>
      <c r="D20" s="69">
        <f>KE30_2013년!AD59</f>
        <v>280216072</v>
      </c>
      <c r="E20" s="69">
        <f>KE30_2014년!AD60</f>
        <v>450482101</v>
      </c>
      <c r="F20" s="70">
        <f>KE30_2015년!R59</f>
        <v>164872829</v>
      </c>
    </row>
    <row r="21" spans="2:6" ht="12" customHeight="1" thickBot="1">
      <c r="B21" s="71" t="s">
        <v>12</v>
      </c>
      <c r="C21" s="72">
        <f>SUM(C17:C20)</f>
        <v>519344538843</v>
      </c>
      <c r="D21" s="72">
        <f t="shared" ref="D21:F21" si="1">SUM(D17:D20)</f>
        <v>528773112276</v>
      </c>
      <c r="E21" s="72">
        <f t="shared" si="1"/>
        <v>536171328032</v>
      </c>
      <c r="F21" s="73">
        <f t="shared" si="1"/>
        <v>279207198170</v>
      </c>
    </row>
    <row r="22" spans="2:6" ht="12" customHeight="1"/>
    <row r="23" spans="2:6" ht="12" customHeight="1"/>
    <row r="24" spans="2:6" ht="12" customHeight="1"/>
    <row r="25" spans="2:6" ht="12" customHeight="1"/>
    <row r="26" spans="2:6" ht="12" customHeight="1"/>
    <row r="27" spans="2:6" ht="12" customHeight="1"/>
    <row r="28" spans="2:6" ht="12" customHeight="1"/>
    <row r="29" spans="2:6" ht="12" customHeight="1"/>
    <row r="30" spans="2:6" ht="12" customHeight="1"/>
    <row r="31" spans="2:6" ht="12" customHeight="1"/>
    <row r="32" spans="2: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showGridLines="0" workbookViewId="0">
      <selection activeCell="B13" sqref="B13"/>
    </sheetView>
  </sheetViews>
  <sheetFormatPr defaultRowHeight="11.25"/>
  <cols>
    <col min="1" max="1" width="9" style="48"/>
    <col min="2" max="2" width="7.5" style="48" customWidth="1"/>
    <col min="3" max="6" width="7.625" style="48" customWidth="1"/>
    <col min="7" max="11" width="9" style="48"/>
    <col min="12" max="12" width="19" style="48" customWidth="1"/>
    <col min="13" max="13" width="11.125" style="48" customWidth="1"/>
    <col min="14" max="14" width="12.75" style="48" bestFit="1" customWidth="1"/>
    <col min="15" max="15" width="9.125" style="48" bestFit="1" customWidth="1"/>
    <col min="16" max="16" width="9.125" style="48" customWidth="1"/>
    <col min="17" max="18" width="9" style="48"/>
    <col min="19" max="19" width="11.125" style="48" bestFit="1" customWidth="1"/>
    <col min="20" max="20" width="12.75" style="48" bestFit="1" customWidth="1"/>
    <col min="21" max="21" width="9.125" style="48" bestFit="1" customWidth="1"/>
    <col min="22" max="22" width="9.125" style="48" customWidth="1"/>
    <col min="23" max="24" width="9" style="48"/>
    <col min="25" max="26" width="11.125" style="48" bestFit="1" customWidth="1"/>
    <col min="27" max="27" width="9.125" style="48" bestFit="1" customWidth="1"/>
    <col min="28" max="28" width="9.125" style="48" customWidth="1"/>
    <col min="29" max="29" width="17.5" style="48" customWidth="1"/>
    <col min="30" max="30" width="9" style="48"/>
    <col min="31" max="31" width="10" style="48" bestFit="1" customWidth="1"/>
    <col min="32" max="32" width="12.75" style="48" bestFit="1" customWidth="1"/>
    <col min="33" max="33" width="9.125" style="48" bestFit="1" customWidth="1"/>
    <col min="34" max="16384" width="9" style="48"/>
  </cols>
  <sheetData>
    <row r="1" spans="1:33" s="86" customFormat="1">
      <c r="B1" s="48"/>
      <c r="C1" s="48"/>
      <c r="D1" s="48"/>
      <c r="E1" s="48"/>
      <c r="F1" s="48"/>
      <c r="M1" s="86" t="s">
        <v>15</v>
      </c>
      <c r="S1" s="86">
        <v>2013</v>
      </c>
      <c r="Y1" s="86" t="s">
        <v>16</v>
      </c>
      <c r="AE1" s="86" t="s">
        <v>17</v>
      </c>
    </row>
    <row r="2" spans="1:33" s="86" customFormat="1" ht="19.5" customHeight="1">
      <c r="B2" s="49" t="s">
        <v>18</v>
      </c>
      <c r="C2" s="50"/>
      <c r="D2" s="50"/>
      <c r="E2" s="50"/>
      <c r="F2" s="51"/>
      <c r="M2" s="86" t="s">
        <v>19</v>
      </c>
      <c r="N2" s="86" t="s">
        <v>20</v>
      </c>
      <c r="O2" s="86" t="s">
        <v>21</v>
      </c>
      <c r="S2" s="86" t="s">
        <v>19</v>
      </c>
      <c r="T2" s="86" t="s">
        <v>20</v>
      </c>
      <c r="U2" s="86" t="s">
        <v>21</v>
      </c>
      <c r="Y2" s="86" t="s">
        <v>19</v>
      </c>
      <c r="Z2" s="86" t="s">
        <v>20</v>
      </c>
      <c r="AA2" s="86" t="s">
        <v>21</v>
      </c>
      <c r="AE2" s="86" t="s">
        <v>19</v>
      </c>
      <c r="AF2" s="86" t="s">
        <v>20</v>
      </c>
      <c r="AG2" s="86" t="s">
        <v>21</v>
      </c>
    </row>
    <row r="3" spans="1:33">
      <c r="B3" s="52"/>
      <c r="C3" s="53" t="s">
        <v>1</v>
      </c>
      <c r="D3" s="53" t="s">
        <v>2</v>
      </c>
      <c r="E3" s="53" t="s">
        <v>3</v>
      </c>
      <c r="F3" s="54" t="s">
        <v>4</v>
      </c>
      <c r="J3" s="48" t="s">
        <v>22</v>
      </c>
      <c r="K3" s="78" t="s">
        <v>23</v>
      </c>
      <c r="L3" s="79" t="s">
        <v>24</v>
      </c>
      <c r="P3" s="48" t="s">
        <v>22</v>
      </c>
      <c r="Q3" s="48" t="s">
        <v>23</v>
      </c>
      <c r="R3" s="48" t="s">
        <v>24</v>
      </c>
      <c r="S3" s="82">
        <v>53765</v>
      </c>
      <c r="T3" s="83">
        <v>16461322</v>
      </c>
      <c r="U3" s="81">
        <f>T3/S3</f>
        <v>306.17171022040361</v>
      </c>
      <c r="V3" s="81" t="s">
        <v>22</v>
      </c>
      <c r="W3" s="81" t="s">
        <v>23</v>
      </c>
      <c r="X3" s="81" t="s">
        <v>24</v>
      </c>
      <c r="Y3" s="82">
        <v>9564169</v>
      </c>
      <c r="Z3" s="83">
        <v>2841064046</v>
      </c>
      <c r="AA3" s="81">
        <f>Z3/Y3</f>
        <v>297.05289042884959</v>
      </c>
      <c r="AB3" s="81" t="s">
        <v>22</v>
      </c>
      <c r="AC3" s="81" t="s">
        <v>24</v>
      </c>
      <c r="AD3" s="48" t="s">
        <v>23</v>
      </c>
      <c r="AE3" s="84">
        <v>7194763</v>
      </c>
      <c r="AF3" s="85">
        <v>2239582516</v>
      </c>
      <c r="AG3" s="81">
        <f>AF3/AE3</f>
        <v>311.27953985419674</v>
      </c>
    </row>
    <row r="4" spans="1:33">
      <c r="B4" s="55" t="s">
        <v>5</v>
      </c>
      <c r="C4" s="56" t="s">
        <v>6</v>
      </c>
      <c r="D4" s="56" t="s">
        <v>6</v>
      </c>
      <c r="E4" s="56" t="s">
        <v>6</v>
      </c>
      <c r="F4" s="57" t="s">
        <v>7</v>
      </c>
      <c r="J4" s="48" t="s">
        <v>22</v>
      </c>
      <c r="K4" s="78" t="s">
        <v>25</v>
      </c>
      <c r="L4" s="79" t="s">
        <v>26</v>
      </c>
      <c r="M4" s="82">
        <v>12985170</v>
      </c>
      <c r="N4" s="83">
        <v>47712326409</v>
      </c>
      <c r="O4" s="81">
        <f>N4/M4</f>
        <v>3674.3705634196549</v>
      </c>
      <c r="P4" s="81" t="s">
        <v>22</v>
      </c>
      <c r="Q4" s="48" t="s">
        <v>25</v>
      </c>
      <c r="R4" s="48" t="s">
        <v>26</v>
      </c>
      <c r="S4" s="82">
        <v>13141046</v>
      </c>
      <c r="T4" s="83">
        <v>52294228059</v>
      </c>
      <c r="U4" s="81">
        <f t="shared" ref="U4:U51" si="0">T4/S4</f>
        <v>3979.4570431455759</v>
      </c>
      <c r="V4" s="81" t="s">
        <v>22</v>
      </c>
      <c r="W4" s="81" t="s">
        <v>25</v>
      </c>
      <c r="X4" s="81" t="s">
        <v>26</v>
      </c>
      <c r="Y4" s="82">
        <v>13730677</v>
      </c>
      <c r="Z4" s="83">
        <v>57825467801</v>
      </c>
      <c r="AA4" s="81">
        <f t="shared" ref="AA4:AA51" si="1">Z4/Y4</f>
        <v>4211.4068957415575</v>
      </c>
      <c r="AB4" s="81" t="s">
        <v>22</v>
      </c>
      <c r="AC4" s="81" t="s">
        <v>26</v>
      </c>
      <c r="AD4" s="48" t="s">
        <v>25</v>
      </c>
      <c r="AE4" s="84">
        <v>7483810</v>
      </c>
      <c r="AF4" s="85">
        <v>29649172036</v>
      </c>
      <c r="AG4" s="81">
        <f t="shared" ref="AG4:AG51" si="2">AF4/AE4</f>
        <v>3961.7750899608623</v>
      </c>
    </row>
    <row r="5" spans="1:33">
      <c r="B5" s="62" t="s">
        <v>22</v>
      </c>
      <c r="C5" s="93">
        <f>O56</f>
        <v>417.31546837637592</v>
      </c>
      <c r="D5" s="93">
        <f>U56</f>
        <v>309.19673980671672</v>
      </c>
      <c r="E5" s="93">
        <f>AA56</f>
        <v>293.38131244575561</v>
      </c>
      <c r="F5" s="94">
        <f>AG56</f>
        <v>262.8654009992855</v>
      </c>
      <c r="J5" s="48" t="s">
        <v>22</v>
      </c>
      <c r="K5" s="78" t="s">
        <v>27</v>
      </c>
      <c r="L5" s="79" t="s">
        <v>28</v>
      </c>
      <c r="M5" s="82">
        <v>3782</v>
      </c>
      <c r="N5" s="83">
        <v>451683356</v>
      </c>
      <c r="O5" s="81">
        <f t="shared" ref="O5:O51" si="3">N5/M5</f>
        <v>119429.76097303015</v>
      </c>
      <c r="P5" s="81" t="s">
        <v>22</v>
      </c>
      <c r="Q5" s="48" t="s">
        <v>27</v>
      </c>
      <c r="R5" s="48" t="s">
        <v>28</v>
      </c>
      <c r="S5" s="82">
        <v>196</v>
      </c>
      <c r="T5" s="83">
        <v>34294026</v>
      </c>
      <c r="U5" s="81">
        <f t="shared" si="0"/>
        <v>174969.52040816325</v>
      </c>
      <c r="V5" s="81" t="s">
        <v>22</v>
      </c>
      <c r="W5" s="81" t="s">
        <v>27</v>
      </c>
      <c r="X5" s="81" t="s">
        <v>28</v>
      </c>
      <c r="Y5" s="82">
        <v>1446</v>
      </c>
      <c r="Z5" s="83">
        <v>32171610</v>
      </c>
      <c r="AA5" s="81">
        <f t="shared" si="1"/>
        <v>22248.69294605809</v>
      </c>
      <c r="AB5" s="81" t="s">
        <v>22</v>
      </c>
      <c r="AC5" s="81" t="s">
        <v>28</v>
      </c>
      <c r="AD5" s="48" t="s">
        <v>27</v>
      </c>
      <c r="AE5" s="84">
        <v>1366</v>
      </c>
      <c r="AF5" s="85">
        <v>143575344</v>
      </c>
      <c r="AG5" s="81">
        <f t="shared" si="2"/>
        <v>105106.40117130308</v>
      </c>
    </row>
    <row r="6" spans="1:33">
      <c r="B6" s="65" t="s">
        <v>29</v>
      </c>
      <c r="C6" s="95">
        <f>O57</f>
        <v>5565.1621585001349</v>
      </c>
      <c r="D6" s="95">
        <f>U57</f>
        <v>4807.5991429884261</v>
      </c>
      <c r="E6" s="95">
        <f>AA57</f>
        <v>5206.2962831831373</v>
      </c>
      <c r="F6" s="96">
        <f>AG57</f>
        <v>4692.9790349837758</v>
      </c>
      <c r="J6" s="48" t="s">
        <v>22</v>
      </c>
      <c r="K6" s="78" t="s">
        <v>30</v>
      </c>
      <c r="L6" s="79" t="s">
        <v>31</v>
      </c>
      <c r="M6" s="82">
        <v>4176</v>
      </c>
      <c r="N6" s="83">
        <v>198946076</v>
      </c>
      <c r="O6" s="81">
        <f t="shared" si="3"/>
        <v>47640.343869731798</v>
      </c>
      <c r="P6" s="81" t="s">
        <v>22</v>
      </c>
      <c r="Q6" s="48" t="s">
        <v>30</v>
      </c>
      <c r="R6" s="48" t="s">
        <v>31</v>
      </c>
      <c r="S6" s="82">
        <v>7976</v>
      </c>
      <c r="T6" s="83">
        <v>349302176</v>
      </c>
      <c r="U6" s="81">
        <f t="shared" si="0"/>
        <v>43794.154463390172</v>
      </c>
      <c r="V6" s="81" t="s">
        <v>22</v>
      </c>
      <c r="W6" s="81" t="s">
        <v>30</v>
      </c>
      <c r="X6" s="81" t="s">
        <v>31</v>
      </c>
      <c r="Y6" s="82">
        <v>5419</v>
      </c>
      <c r="Z6" s="83">
        <v>242516749</v>
      </c>
      <c r="AA6" s="81">
        <f t="shared" si="1"/>
        <v>44753.044657685918</v>
      </c>
      <c r="AB6" s="81" t="s">
        <v>22</v>
      </c>
      <c r="AC6" s="81" t="s">
        <v>31</v>
      </c>
      <c r="AD6" s="48" t="s">
        <v>30</v>
      </c>
      <c r="AE6" s="84">
        <v>2607</v>
      </c>
      <c r="AF6" s="85">
        <v>103972242</v>
      </c>
      <c r="AG6" s="81">
        <f t="shared" si="2"/>
        <v>39881.949367088608</v>
      </c>
    </row>
    <row r="7" spans="1:33" ht="12" thickBot="1">
      <c r="B7" s="97" t="s">
        <v>32</v>
      </c>
      <c r="C7" s="98">
        <f>O58</f>
        <v>517.74194596172697</v>
      </c>
      <c r="D7" s="98">
        <f>U58</f>
        <v>469.01405956921508</v>
      </c>
      <c r="E7" s="98">
        <f>AA58</f>
        <v>499.76504764790019</v>
      </c>
      <c r="F7" s="99">
        <f>AG58</f>
        <v>506.6882503511905</v>
      </c>
      <c r="J7" s="48" t="s">
        <v>22</v>
      </c>
      <c r="K7" s="78" t="s">
        <v>33</v>
      </c>
      <c r="L7" s="79" t="s">
        <v>34</v>
      </c>
      <c r="M7" s="82">
        <v>10379181</v>
      </c>
      <c r="N7" s="83">
        <v>21020779619</v>
      </c>
      <c r="O7" s="81">
        <f t="shared" si="3"/>
        <v>2025.283075707033</v>
      </c>
      <c r="P7" s="81" t="s">
        <v>22</v>
      </c>
      <c r="Q7" s="48" t="s">
        <v>33</v>
      </c>
      <c r="R7" s="48" t="s">
        <v>34</v>
      </c>
      <c r="S7" s="82">
        <v>22816479</v>
      </c>
      <c r="T7" s="83">
        <v>23498654145</v>
      </c>
      <c r="U7" s="81">
        <f t="shared" si="0"/>
        <v>1029.8983530719179</v>
      </c>
      <c r="V7" s="81" t="s">
        <v>22</v>
      </c>
      <c r="W7" s="81" t="s">
        <v>33</v>
      </c>
      <c r="X7" s="81" t="s">
        <v>34</v>
      </c>
      <c r="Y7" s="82">
        <v>26561020</v>
      </c>
      <c r="Z7" s="83">
        <v>17133877264</v>
      </c>
      <c r="AA7" s="81">
        <f t="shared" si="1"/>
        <v>645.07602735135924</v>
      </c>
      <c r="AB7" s="81" t="s">
        <v>22</v>
      </c>
      <c r="AC7" s="81" t="s">
        <v>34</v>
      </c>
      <c r="AD7" s="48" t="s">
        <v>33</v>
      </c>
      <c r="AE7" s="84">
        <v>13964567</v>
      </c>
      <c r="AF7" s="85">
        <v>8636597129</v>
      </c>
      <c r="AG7" s="81">
        <f t="shared" si="2"/>
        <v>618.46508588486847</v>
      </c>
    </row>
    <row r="8" spans="1:33" s="88" customFormat="1">
      <c r="A8" s="48"/>
      <c r="B8" s="48"/>
      <c r="C8" s="48"/>
      <c r="D8" s="48"/>
      <c r="E8" s="48"/>
      <c r="F8" s="48"/>
      <c r="G8" s="48"/>
      <c r="H8" s="48"/>
      <c r="I8" s="48"/>
      <c r="J8" s="48" t="s">
        <v>22</v>
      </c>
      <c r="K8" s="90" t="s">
        <v>35</v>
      </c>
      <c r="L8" s="87" t="s">
        <v>36</v>
      </c>
      <c r="M8" s="91">
        <v>193278592</v>
      </c>
      <c r="N8" s="92">
        <v>81809705723</v>
      </c>
      <c r="O8" s="89">
        <f t="shared" si="3"/>
        <v>423.27349799299037</v>
      </c>
      <c r="P8" s="89" t="s">
        <v>22</v>
      </c>
      <c r="Q8" s="88" t="s">
        <v>35</v>
      </c>
      <c r="R8" s="88" t="s">
        <v>36</v>
      </c>
      <c r="S8" s="91">
        <v>265450578</v>
      </c>
      <c r="T8" s="92">
        <v>88560042103</v>
      </c>
      <c r="U8" s="89">
        <f t="shared" si="0"/>
        <v>333.62158323497795</v>
      </c>
      <c r="V8" s="89" t="s">
        <v>22</v>
      </c>
      <c r="W8" s="89" t="s">
        <v>35</v>
      </c>
      <c r="X8" s="89" t="s">
        <v>36</v>
      </c>
      <c r="Y8" s="91">
        <v>275257222</v>
      </c>
      <c r="Z8" s="92">
        <v>96539120068</v>
      </c>
      <c r="AA8" s="89">
        <f t="shared" si="1"/>
        <v>350.72329571065711</v>
      </c>
      <c r="AB8" s="89" t="s">
        <v>22</v>
      </c>
      <c r="AC8" s="89" t="s">
        <v>36</v>
      </c>
      <c r="AD8" s="88" t="s">
        <v>35</v>
      </c>
      <c r="AE8" s="91">
        <v>165594998</v>
      </c>
      <c r="AF8" s="92">
        <v>53178346904</v>
      </c>
      <c r="AG8" s="89">
        <f t="shared" si="2"/>
        <v>321.13498321972264</v>
      </c>
    </row>
    <row r="9" spans="1:33" s="88" customFormat="1">
      <c r="A9" s="48"/>
      <c r="B9" s="48"/>
      <c r="C9" s="48"/>
      <c r="D9" s="48"/>
      <c r="E9" s="48"/>
      <c r="F9" s="48"/>
      <c r="G9" s="48"/>
      <c r="H9" s="48"/>
      <c r="I9" s="48"/>
      <c r="J9" s="48" t="s">
        <v>22</v>
      </c>
      <c r="K9" s="90" t="s">
        <v>37</v>
      </c>
      <c r="L9" s="87" t="s">
        <v>38</v>
      </c>
      <c r="M9" s="91">
        <v>123862757</v>
      </c>
      <c r="N9" s="92">
        <v>61340570290</v>
      </c>
      <c r="O9" s="89">
        <f t="shared" si="3"/>
        <v>495.23013838614946</v>
      </c>
      <c r="P9" s="89" t="s">
        <v>22</v>
      </c>
      <c r="Q9" s="88" t="s">
        <v>37</v>
      </c>
      <c r="R9" s="88" t="s">
        <v>38</v>
      </c>
      <c r="S9" s="91">
        <v>187675250</v>
      </c>
      <c r="T9" s="92">
        <v>63053947057</v>
      </c>
      <c r="U9" s="89">
        <f t="shared" si="0"/>
        <v>335.97369422446485</v>
      </c>
      <c r="V9" s="89" t="s">
        <v>22</v>
      </c>
      <c r="W9" s="89" t="s">
        <v>37</v>
      </c>
      <c r="X9" s="89" t="s">
        <v>38</v>
      </c>
      <c r="Y9" s="91">
        <v>221548623</v>
      </c>
      <c r="Z9" s="92">
        <v>67045057389</v>
      </c>
      <c r="AA9" s="89">
        <f t="shared" si="1"/>
        <v>302.62005911451774</v>
      </c>
      <c r="AB9" s="89" t="s">
        <v>22</v>
      </c>
      <c r="AC9" s="89" t="s">
        <v>38</v>
      </c>
      <c r="AD9" s="88" t="s">
        <v>37</v>
      </c>
      <c r="AE9" s="91">
        <v>134621697</v>
      </c>
      <c r="AF9" s="92">
        <v>33881300453</v>
      </c>
      <c r="AG9" s="89">
        <f t="shared" si="2"/>
        <v>251.67785882984376</v>
      </c>
    </row>
    <row r="10" spans="1:33" s="88" customFormat="1">
      <c r="A10" s="48"/>
      <c r="B10" s="48"/>
      <c r="C10" s="48"/>
      <c r="D10" s="48"/>
      <c r="E10" s="48"/>
      <c r="F10" s="48"/>
      <c r="G10" s="48"/>
      <c r="H10" s="48"/>
      <c r="I10" s="48"/>
      <c r="J10" s="48" t="s">
        <v>22</v>
      </c>
      <c r="K10" s="90" t="s">
        <v>39</v>
      </c>
      <c r="L10" s="87" t="s">
        <v>40</v>
      </c>
      <c r="M10" s="91">
        <v>404281506</v>
      </c>
      <c r="N10" s="92">
        <v>84763916614</v>
      </c>
      <c r="O10" s="89">
        <f t="shared" si="3"/>
        <v>209.66558043345174</v>
      </c>
      <c r="P10" s="89" t="s">
        <v>22</v>
      </c>
      <c r="Q10" s="88" t="s">
        <v>39</v>
      </c>
      <c r="R10" s="88" t="s">
        <v>40</v>
      </c>
      <c r="S10" s="91">
        <v>682029596</v>
      </c>
      <c r="T10" s="92">
        <v>88236117189</v>
      </c>
      <c r="U10" s="89">
        <f t="shared" si="0"/>
        <v>129.37285670078165</v>
      </c>
      <c r="V10" s="89" t="s">
        <v>22</v>
      </c>
      <c r="W10" s="89" t="s">
        <v>39</v>
      </c>
      <c r="X10" s="89" t="s">
        <v>40</v>
      </c>
      <c r="Y10" s="91">
        <v>745931574</v>
      </c>
      <c r="Z10" s="92">
        <v>96351828752</v>
      </c>
      <c r="AA10" s="89">
        <f t="shared" si="1"/>
        <v>129.16979534104021</v>
      </c>
      <c r="AB10" s="89" t="s">
        <v>22</v>
      </c>
      <c r="AC10" s="89" t="s">
        <v>40</v>
      </c>
      <c r="AD10" s="88" t="s">
        <v>39</v>
      </c>
      <c r="AE10" s="91">
        <v>431844645</v>
      </c>
      <c r="AF10" s="92">
        <v>53306389299</v>
      </c>
      <c r="AG10" s="89">
        <f t="shared" si="2"/>
        <v>123.43881049862271</v>
      </c>
    </row>
    <row r="11" spans="1:33">
      <c r="J11" s="48" t="s">
        <v>22</v>
      </c>
      <c r="K11" s="78" t="s">
        <v>41</v>
      </c>
      <c r="L11" s="79" t="s">
        <v>42</v>
      </c>
      <c r="M11" s="82">
        <v>13112389</v>
      </c>
      <c r="N11" s="83">
        <v>41663283327</v>
      </c>
      <c r="O11" s="81">
        <f t="shared" si="3"/>
        <v>3177.3983617325571</v>
      </c>
      <c r="P11" s="81" t="s">
        <v>22</v>
      </c>
      <c r="Q11" s="48" t="s">
        <v>41</v>
      </c>
      <c r="R11" s="48" t="s">
        <v>42</v>
      </c>
      <c r="S11" s="82">
        <v>12872767</v>
      </c>
      <c r="T11" s="83">
        <v>51035830487</v>
      </c>
      <c r="U11" s="81">
        <f t="shared" si="0"/>
        <v>3964.6356130737081</v>
      </c>
      <c r="V11" s="81" t="s">
        <v>22</v>
      </c>
      <c r="W11" s="81" t="s">
        <v>41</v>
      </c>
      <c r="X11" s="81" t="s">
        <v>42</v>
      </c>
      <c r="Y11" s="82">
        <v>15944313</v>
      </c>
      <c r="Z11" s="83">
        <v>47614762613</v>
      </c>
      <c r="AA11" s="81">
        <f t="shared" si="1"/>
        <v>2986.3163507264312</v>
      </c>
      <c r="AB11" s="81" t="s">
        <v>22</v>
      </c>
      <c r="AC11" s="81" t="s">
        <v>42</v>
      </c>
      <c r="AD11" s="48" t="s">
        <v>41</v>
      </c>
      <c r="AE11" s="84">
        <v>7235419</v>
      </c>
      <c r="AF11" s="85">
        <v>21480670846</v>
      </c>
      <c r="AG11" s="81">
        <f t="shared" si="2"/>
        <v>2968.8219640078896</v>
      </c>
    </row>
    <row r="12" spans="1:33">
      <c r="J12" s="48" t="s">
        <v>22</v>
      </c>
      <c r="K12" s="78" t="s">
        <v>43</v>
      </c>
      <c r="L12" s="79" t="s">
        <v>44</v>
      </c>
      <c r="M12" s="82">
        <v>2390244</v>
      </c>
      <c r="N12" s="83">
        <v>409100463</v>
      </c>
      <c r="O12" s="81">
        <f t="shared" si="3"/>
        <v>171.15426835084619</v>
      </c>
      <c r="P12" s="81" t="s">
        <v>22</v>
      </c>
      <c r="Q12" s="48" t="s">
        <v>43</v>
      </c>
      <c r="R12" s="48" t="s">
        <v>44</v>
      </c>
      <c r="S12" s="82">
        <v>18161</v>
      </c>
      <c r="T12" s="83">
        <v>50373</v>
      </c>
      <c r="U12" s="81">
        <f t="shared" si="0"/>
        <v>2.773690876053081</v>
      </c>
      <c r="V12" s="81" t="s">
        <v>22</v>
      </c>
      <c r="W12" s="81" t="s">
        <v>43</v>
      </c>
      <c r="X12" s="81" t="s">
        <v>44</v>
      </c>
      <c r="Y12" s="82">
        <v>438902</v>
      </c>
      <c r="Z12" s="83">
        <v>13394410</v>
      </c>
      <c r="AA12" s="81">
        <f t="shared" si="1"/>
        <v>30.517997183881594</v>
      </c>
      <c r="AB12" s="81" t="s">
        <v>22</v>
      </c>
      <c r="AC12" s="81" t="s">
        <v>44</v>
      </c>
      <c r="AD12" s="48" t="s">
        <v>43</v>
      </c>
      <c r="AE12" s="84">
        <v>394923</v>
      </c>
      <c r="AF12" s="85">
        <v>4233421</v>
      </c>
      <c r="AG12" s="81">
        <f t="shared" si="2"/>
        <v>10.719611164708057</v>
      </c>
    </row>
    <row r="13" spans="1:33">
      <c r="J13" s="48" t="s">
        <v>22</v>
      </c>
      <c r="K13" s="78" t="s">
        <v>45</v>
      </c>
      <c r="L13" s="79" t="s">
        <v>46</v>
      </c>
      <c r="M13" s="82">
        <v>64738541</v>
      </c>
      <c r="N13" s="83">
        <v>4930113943</v>
      </c>
      <c r="O13" s="81">
        <f t="shared" si="3"/>
        <v>76.154233117487152</v>
      </c>
      <c r="P13" s="81" t="s">
        <v>22</v>
      </c>
      <c r="Q13" s="48" t="s">
        <v>45</v>
      </c>
      <c r="R13" s="48" t="s">
        <v>46</v>
      </c>
      <c r="S13" s="82">
        <v>12939474</v>
      </c>
      <c r="T13" s="83">
        <v>3031205644</v>
      </c>
      <c r="U13" s="81">
        <f t="shared" si="0"/>
        <v>234.26034504957465</v>
      </c>
      <c r="V13" s="81" t="s">
        <v>22</v>
      </c>
      <c r="W13" s="81" t="s">
        <v>45</v>
      </c>
      <c r="X13" s="81" t="s">
        <v>46</v>
      </c>
      <c r="Y13" s="82">
        <v>9710343</v>
      </c>
      <c r="Z13" s="83">
        <v>1240830065</v>
      </c>
      <c r="AA13" s="81">
        <f t="shared" si="1"/>
        <v>127.78437023285377</v>
      </c>
      <c r="AB13" s="81" t="s">
        <v>22</v>
      </c>
      <c r="AC13" s="81" t="s">
        <v>46</v>
      </c>
      <c r="AD13" s="48" t="s">
        <v>45</v>
      </c>
      <c r="AE13" s="84">
        <v>6922711</v>
      </c>
      <c r="AF13" s="85">
        <v>1165586464</v>
      </c>
      <c r="AG13" s="81">
        <f t="shared" si="2"/>
        <v>168.37138860772896</v>
      </c>
    </row>
    <row r="14" spans="1:33">
      <c r="J14" s="48" t="s">
        <v>29</v>
      </c>
      <c r="K14" s="78" t="s">
        <v>47</v>
      </c>
      <c r="L14" s="79" t="s">
        <v>48</v>
      </c>
      <c r="M14" s="82">
        <v>0</v>
      </c>
      <c r="N14" s="83">
        <v>0</v>
      </c>
      <c r="O14" s="81"/>
      <c r="P14" s="81" t="s">
        <v>29</v>
      </c>
      <c r="Q14" s="48" t="s">
        <v>49</v>
      </c>
      <c r="R14" s="48" t="s">
        <v>50</v>
      </c>
      <c r="S14" s="82">
        <v>-9994</v>
      </c>
      <c r="T14" s="83">
        <v>2158392511</v>
      </c>
      <c r="U14" s="81">
        <f t="shared" si="0"/>
        <v>-215968.83239943968</v>
      </c>
      <c r="V14" s="81" t="s">
        <v>29</v>
      </c>
      <c r="W14" s="81" t="s">
        <v>51</v>
      </c>
      <c r="X14" s="81" t="s">
        <v>52</v>
      </c>
      <c r="Y14" s="82">
        <v>597</v>
      </c>
      <c r="Z14" s="83">
        <v>21950730</v>
      </c>
      <c r="AA14" s="81">
        <f t="shared" si="1"/>
        <v>36768.391959798995</v>
      </c>
      <c r="AB14" s="81" t="s">
        <v>29</v>
      </c>
      <c r="AC14" s="81" t="s">
        <v>52</v>
      </c>
      <c r="AD14" s="48" t="s">
        <v>51</v>
      </c>
      <c r="AE14" s="84">
        <v>5222</v>
      </c>
      <c r="AF14" s="85">
        <v>121313032</v>
      </c>
      <c r="AG14" s="81">
        <f t="shared" si="2"/>
        <v>23231.143623132899</v>
      </c>
    </row>
    <row r="15" spans="1:33">
      <c r="J15" s="48" t="s">
        <v>29</v>
      </c>
      <c r="K15" s="78" t="s">
        <v>49</v>
      </c>
      <c r="L15" s="79" t="s">
        <v>50</v>
      </c>
      <c r="M15" s="82">
        <v>14573</v>
      </c>
      <c r="N15" s="83">
        <v>55109982</v>
      </c>
      <c r="O15" s="81">
        <f t="shared" si="3"/>
        <v>3781.6497632608248</v>
      </c>
      <c r="P15" s="81" t="s">
        <v>29</v>
      </c>
      <c r="Q15" s="48" t="s">
        <v>53</v>
      </c>
      <c r="R15" s="48" t="s">
        <v>54</v>
      </c>
      <c r="S15" s="82">
        <v>290863</v>
      </c>
      <c r="T15" s="83">
        <v>8075465260</v>
      </c>
      <c r="U15" s="81">
        <f t="shared" si="0"/>
        <v>27763.810660001443</v>
      </c>
      <c r="V15" s="81" t="s">
        <v>29</v>
      </c>
      <c r="W15" s="81" t="s">
        <v>49</v>
      </c>
      <c r="X15" s="81" t="s">
        <v>50</v>
      </c>
      <c r="Y15" s="82">
        <v>-5500</v>
      </c>
      <c r="Z15" s="83">
        <v>1352678957</v>
      </c>
      <c r="AA15" s="81">
        <f t="shared" si="1"/>
        <v>-245941.62854545456</v>
      </c>
      <c r="AB15" s="81" t="s">
        <v>29</v>
      </c>
      <c r="AC15" s="81" t="s">
        <v>50</v>
      </c>
      <c r="AD15" s="48" t="s">
        <v>49</v>
      </c>
      <c r="AE15" s="84">
        <v>40000</v>
      </c>
      <c r="AF15" s="85">
        <v>1940866257</v>
      </c>
      <c r="AG15" s="81">
        <f t="shared" si="2"/>
        <v>48521.656425000001</v>
      </c>
    </row>
    <row r="16" spans="1:33">
      <c r="J16" s="48" t="s">
        <v>29</v>
      </c>
      <c r="K16" s="78" t="s">
        <v>53</v>
      </c>
      <c r="L16" s="79" t="s">
        <v>54</v>
      </c>
      <c r="M16" s="82">
        <v>196446</v>
      </c>
      <c r="N16" s="83">
        <v>5679426019</v>
      </c>
      <c r="O16" s="81">
        <f t="shared" si="3"/>
        <v>28910.876368060435</v>
      </c>
      <c r="P16" s="81" t="s">
        <v>29</v>
      </c>
      <c r="Q16" s="48" t="s">
        <v>55</v>
      </c>
      <c r="R16" s="48" t="s">
        <v>56</v>
      </c>
      <c r="S16" s="82">
        <v>320</v>
      </c>
      <c r="T16" s="83">
        <v>613580</v>
      </c>
      <c r="U16" s="81">
        <f t="shared" si="0"/>
        <v>1917.4375</v>
      </c>
      <c r="V16" s="81" t="s">
        <v>29</v>
      </c>
      <c r="W16" s="81" t="s">
        <v>53</v>
      </c>
      <c r="X16" s="81" t="s">
        <v>54</v>
      </c>
      <c r="Y16" s="82">
        <v>390339</v>
      </c>
      <c r="Z16" s="83">
        <v>10345800233</v>
      </c>
      <c r="AA16" s="81">
        <f t="shared" si="1"/>
        <v>26504.654244131383</v>
      </c>
      <c r="AB16" s="81" t="s">
        <v>29</v>
      </c>
      <c r="AC16" s="81" t="s">
        <v>54</v>
      </c>
      <c r="AD16" s="48" t="s">
        <v>53</v>
      </c>
      <c r="AE16" s="84">
        <v>282396</v>
      </c>
      <c r="AF16" s="85">
        <v>7040741554</v>
      </c>
      <c r="AG16" s="81">
        <f t="shared" si="2"/>
        <v>24932.157516395415</v>
      </c>
    </row>
    <row r="17" spans="10:33">
      <c r="J17" s="48" t="s">
        <v>29</v>
      </c>
      <c r="K17" s="78" t="s">
        <v>55</v>
      </c>
      <c r="L17" s="79" t="s">
        <v>56</v>
      </c>
      <c r="M17" s="82">
        <v>10036</v>
      </c>
      <c r="N17" s="83">
        <v>19474732</v>
      </c>
      <c r="O17" s="81">
        <f t="shared" si="3"/>
        <v>1940.4874451972898</v>
      </c>
      <c r="P17" s="81" t="s">
        <v>29</v>
      </c>
      <c r="Q17" s="48" t="s">
        <v>57</v>
      </c>
      <c r="R17" s="48" t="s">
        <v>58</v>
      </c>
      <c r="S17" s="82">
        <v>716144</v>
      </c>
      <c r="T17" s="83">
        <v>12988961761</v>
      </c>
      <c r="U17" s="81">
        <f t="shared" si="0"/>
        <v>18137.360308820571</v>
      </c>
      <c r="V17" s="81" t="s">
        <v>29</v>
      </c>
      <c r="W17" s="81" t="s">
        <v>59</v>
      </c>
      <c r="X17" s="81" t="s">
        <v>60</v>
      </c>
      <c r="Y17" s="82">
        <v>0</v>
      </c>
      <c r="Z17" s="83">
        <v>0</v>
      </c>
      <c r="AA17" s="81" t="e">
        <f t="shared" si="1"/>
        <v>#DIV/0!</v>
      </c>
      <c r="AB17" s="81" t="s">
        <v>29</v>
      </c>
      <c r="AC17" s="81" t="s">
        <v>60</v>
      </c>
      <c r="AD17" s="48" t="s">
        <v>59</v>
      </c>
      <c r="AE17" s="84">
        <v>0</v>
      </c>
      <c r="AF17" s="85">
        <v>0</v>
      </c>
      <c r="AG17" s="81" t="e">
        <f t="shared" si="2"/>
        <v>#DIV/0!</v>
      </c>
    </row>
    <row r="18" spans="10:33">
      <c r="J18" s="48" t="s">
        <v>29</v>
      </c>
      <c r="K18" s="78" t="s">
        <v>57</v>
      </c>
      <c r="L18" s="79" t="s">
        <v>58</v>
      </c>
      <c r="M18" s="82">
        <v>621208</v>
      </c>
      <c r="N18" s="83">
        <v>14800366522</v>
      </c>
      <c r="O18" s="81">
        <f t="shared" si="3"/>
        <v>23825.138314381013</v>
      </c>
      <c r="P18" s="81" t="s">
        <v>29</v>
      </c>
      <c r="Q18" s="48" t="s">
        <v>61</v>
      </c>
      <c r="R18" s="48" t="s">
        <v>62</v>
      </c>
      <c r="S18" s="82">
        <v>892831</v>
      </c>
      <c r="T18" s="83">
        <v>684717559</v>
      </c>
      <c r="U18" s="81">
        <f t="shared" si="0"/>
        <v>766.9061210912256</v>
      </c>
      <c r="V18" s="81" t="s">
        <v>29</v>
      </c>
      <c r="W18" s="81" t="s">
        <v>55</v>
      </c>
      <c r="X18" s="81" t="s">
        <v>56</v>
      </c>
      <c r="Y18" s="82">
        <v>41629</v>
      </c>
      <c r="Z18" s="83">
        <v>1396956428</v>
      </c>
      <c r="AA18" s="81">
        <f t="shared" si="1"/>
        <v>33557.290062216241</v>
      </c>
      <c r="AB18" s="81" t="s">
        <v>29</v>
      </c>
      <c r="AC18" s="81" t="s">
        <v>56</v>
      </c>
      <c r="AD18" s="48" t="s">
        <v>55</v>
      </c>
      <c r="AE18" s="84">
        <v>42022</v>
      </c>
      <c r="AF18" s="85">
        <v>1235206441</v>
      </c>
      <c r="AG18" s="81">
        <f t="shared" si="2"/>
        <v>29394.28016277188</v>
      </c>
    </row>
    <row r="19" spans="10:33">
      <c r="J19" s="48" t="s">
        <v>29</v>
      </c>
      <c r="K19" s="78" t="s">
        <v>61</v>
      </c>
      <c r="L19" s="79" t="s">
        <v>62</v>
      </c>
      <c r="M19" s="82">
        <v>541463</v>
      </c>
      <c r="N19" s="83">
        <v>2690925449</v>
      </c>
      <c r="O19" s="81">
        <f t="shared" si="3"/>
        <v>4969.7309862354396</v>
      </c>
      <c r="P19" s="81" t="s">
        <v>29</v>
      </c>
      <c r="Q19" s="48" t="s">
        <v>63</v>
      </c>
      <c r="R19" s="48" t="s">
        <v>64</v>
      </c>
      <c r="S19" s="82">
        <v>1333847</v>
      </c>
      <c r="T19" s="83">
        <v>1469091229</v>
      </c>
      <c r="U19" s="81">
        <f t="shared" si="0"/>
        <v>1101.3941096692499</v>
      </c>
      <c r="V19" s="81" t="s">
        <v>29</v>
      </c>
      <c r="W19" s="81" t="s">
        <v>57</v>
      </c>
      <c r="X19" s="81" t="s">
        <v>58</v>
      </c>
      <c r="Y19" s="82">
        <v>670861</v>
      </c>
      <c r="Z19" s="83">
        <v>12732048470</v>
      </c>
      <c r="AA19" s="81">
        <f t="shared" si="1"/>
        <v>18978.668412681614</v>
      </c>
      <c r="AB19" s="81" t="s">
        <v>29</v>
      </c>
      <c r="AC19" s="81" t="s">
        <v>58</v>
      </c>
      <c r="AD19" s="48" t="s">
        <v>57</v>
      </c>
      <c r="AE19" s="84">
        <v>542610</v>
      </c>
      <c r="AF19" s="85">
        <v>7160485484</v>
      </c>
      <c r="AG19" s="81">
        <f t="shared" si="2"/>
        <v>13196.375820570944</v>
      </c>
    </row>
    <row r="20" spans="10:33">
      <c r="J20" s="48" t="s">
        <v>29</v>
      </c>
      <c r="K20" s="78" t="s">
        <v>63</v>
      </c>
      <c r="L20" s="79" t="s">
        <v>64</v>
      </c>
      <c r="M20" s="82">
        <v>988498</v>
      </c>
      <c r="N20" s="83">
        <v>1982852523</v>
      </c>
      <c r="O20" s="81">
        <f t="shared" si="3"/>
        <v>2005.9246685375185</v>
      </c>
      <c r="P20" s="81" t="s">
        <v>29</v>
      </c>
      <c r="Q20" s="48" t="s">
        <v>65</v>
      </c>
      <c r="R20" s="48" t="s">
        <v>66</v>
      </c>
      <c r="S20" s="82">
        <v>435220</v>
      </c>
      <c r="T20" s="83">
        <v>9995009884</v>
      </c>
      <c r="U20" s="81">
        <f t="shared" si="0"/>
        <v>22965.419521161712</v>
      </c>
      <c r="V20" s="81" t="s">
        <v>29</v>
      </c>
      <c r="W20" s="81" t="s">
        <v>61</v>
      </c>
      <c r="X20" s="81" t="s">
        <v>62</v>
      </c>
      <c r="Y20" s="82">
        <v>150375</v>
      </c>
      <c r="Z20" s="83">
        <v>529630919</v>
      </c>
      <c r="AA20" s="81">
        <f t="shared" si="1"/>
        <v>3522.0676242726518</v>
      </c>
      <c r="AB20" s="81" t="s">
        <v>29</v>
      </c>
      <c r="AC20" s="81" t="s">
        <v>62</v>
      </c>
      <c r="AD20" s="48" t="s">
        <v>61</v>
      </c>
      <c r="AE20" s="84">
        <v>74660</v>
      </c>
      <c r="AF20" s="85">
        <v>265791342</v>
      </c>
      <c r="AG20" s="81">
        <f t="shared" si="2"/>
        <v>3560.0233324403966</v>
      </c>
    </row>
    <row r="21" spans="10:33">
      <c r="J21" s="48" t="s">
        <v>29</v>
      </c>
      <c r="K21" s="78" t="s">
        <v>65</v>
      </c>
      <c r="L21" s="79" t="s">
        <v>66</v>
      </c>
      <c r="M21" s="82">
        <v>271620</v>
      </c>
      <c r="N21" s="83">
        <v>6660427435</v>
      </c>
      <c r="O21" s="81">
        <f t="shared" si="3"/>
        <v>24521.123021132466</v>
      </c>
      <c r="P21" s="81" t="s">
        <v>29</v>
      </c>
      <c r="Q21" s="48" t="s">
        <v>67</v>
      </c>
      <c r="R21" s="48" t="s">
        <v>68</v>
      </c>
      <c r="S21" s="82">
        <v>0</v>
      </c>
      <c r="T21" s="83">
        <v>21722735</v>
      </c>
      <c r="U21" s="81" t="e">
        <f t="shared" si="0"/>
        <v>#DIV/0!</v>
      </c>
      <c r="V21" s="81" t="s">
        <v>29</v>
      </c>
      <c r="W21" s="81" t="s">
        <v>63</v>
      </c>
      <c r="X21" s="81" t="s">
        <v>64</v>
      </c>
      <c r="Y21" s="82">
        <v>1101705</v>
      </c>
      <c r="Z21" s="83">
        <v>1739851024</v>
      </c>
      <c r="AA21" s="81">
        <f t="shared" si="1"/>
        <v>1579.2349349417493</v>
      </c>
      <c r="AB21" s="81" t="s">
        <v>29</v>
      </c>
      <c r="AC21" s="81" t="s">
        <v>64</v>
      </c>
      <c r="AD21" s="48" t="s">
        <v>63</v>
      </c>
      <c r="AE21" s="84">
        <v>448142</v>
      </c>
      <c r="AF21" s="85">
        <v>582347608</v>
      </c>
      <c r="AG21" s="81">
        <f t="shared" si="2"/>
        <v>1299.4711676209772</v>
      </c>
    </row>
    <row r="22" spans="10:33">
      <c r="J22" s="48" t="s">
        <v>29</v>
      </c>
      <c r="K22" s="78" t="s">
        <v>69</v>
      </c>
      <c r="L22" s="79" t="s">
        <v>70</v>
      </c>
      <c r="M22" s="82">
        <v>333663</v>
      </c>
      <c r="N22" s="83">
        <v>3941143276</v>
      </c>
      <c r="O22" s="81">
        <f t="shared" si="3"/>
        <v>11811.748009218882</v>
      </c>
      <c r="P22" s="81" t="s">
        <v>29</v>
      </c>
      <c r="Q22" s="48" t="s">
        <v>69</v>
      </c>
      <c r="R22" s="48" t="s">
        <v>70</v>
      </c>
      <c r="S22" s="82">
        <v>303577</v>
      </c>
      <c r="T22" s="83">
        <v>3639025030</v>
      </c>
      <c r="U22" s="81">
        <f t="shared" si="0"/>
        <v>11987.156569832365</v>
      </c>
      <c r="V22" s="81" t="s">
        <v>29</v>
      </c>
      <c r="W22" s="81" t="s">
        <v>65</v>
      </c>
      <c r="X22" s="81" t="s">
        <v>66</v>
      </c>
      <c r="Y22" s="82">
        <v>464830</v>
      </c>
      <c r="Z22" s="83">
        <v>10921259368</v>
      </c>
      <c r="AA22" s="81">
        <f t="shared" si="1"/>
        <v>23495.168917668827</v>
      </c>
      <c r="AB22" s="81" t="s">
        <v>29</v>
      </c>
      <c r="AC22" s="81" t="s">
        <v>66</v>
      </c>
      <c r="AD22" s="48" t="s">
        <v>65</v>
      </c>
      <c r="AE22" s="84">
        <v>205791</v>
      </c>
      <c r="AF22" s="85">
        <v>3978255603</v>
      </c>
      <c r="AG22" s="81">
        <f t="shared" si="2"/>
        <v>19331.533463562548</v>
      </c>
    </row>
    <row r="23" spans="10:33">
      <c r="J23" s="48" t="s">
        <v>29</v>
      </c>
      <c r="K23" s="78" t="s">
        <v>71</v>
      </c>
      <c r="L23" s="79" t="s">
        <v>72</v>
      </c>
      <c r="M23" s="82">
        <v>359349</v>
      </c>
      <c r="N23" s="83">
        <v>10456755336</v>
      </c>
      <c r="O23" s="81">
        <f t="shared" si="3"/>
        <v>29099.163587487372</v>
      </c>
      <c r="P23" s="81" t="s">
        <v>29</v>
      </c>
      <c r="Q23" s="48" t="s">
        <v>71</v>
      </c>
      <c r="R23" s="48" t="s">
        <v>72</v>
      </c>
      <c r="S23" s="82">
        <v>108012</v>
      </c>
      <c r="T23" s="83">
        <v>3027160948</v>
      </c>
      <c r="U23" s="81">
        <f t="shared" si="0"/>
        <v>28026.154019923713</v>
      </c>
      <c r="V23" s="81" t="s">
        <v>29</v>
      </c>
      <c r="W23" s="81" t="s">
        <v>67</v>
      </c>
      <c r="X23" s="81" t="s">
        <v>68</v>
      </c>
      <c r="Y23" s="82">
        <v>0</v>
      </c>
      <c r="Z23" s="83">
        <v>15453819</v>
      </c>
      <c r="AA23" s="81" t="e">
        <f t="shared" si="1"/>
        <v>#DIV/0!</v>
      </c>
      <c r="AB23" s="81" t="s">
        <v>29</v>
      </c>
      <c r="AC23" s="81" t="s">
        <v>68</v>
      </c>
      <c r="AD23" s="48" t="s">
        <v>67</v>
      </c>
      <c r="AE23" s="84">
        <v>0</v>
      </c>
      <c r="AF23" s="85">
        <v>3999486</v>
      </c>
      <c r="AG23" s="81" t="e">
        <f t="shared" si="2"/>
        <v>#DIV/0!</v>
      </c>
    </row>
    <row r="24" spans="10:33">
      <c r="J24" s="48" t="s">
        <v>29</v>
      </c>
      <c r="K24" s="78" t="s">
        <v>73</v>
      </c>
      <c r="L24" s="79" t="s">
        <v>74</v>
      </c>
      <c r="M24" s="82">
        <v>109644</v>
      </c>
      <c r="N24" s="83">
        <v>3128250200</v>
      </c>
      <c r="O24" s="81">
        <f t="shared" si="3"/>
        <v>28530.974791142242</v>
      </c>
      <c r="P24" s="81" t="s">
        <v>29</v>
      </c>
      <c r="Q24" s="48" t="s">
        <v>73</v>
      </c>
      <c r="R24" s="48" t="s">
        <v>74</v>
      </c>
      <c r="S24" s="82">
        <v>100429</v>
      </c>
      <c r="T24" s="83">
        <v>3080241889</v>
      </c>
      <c r="U24" s="81">
        <f t="shared" si="0"/>
        <v>30670.840982186419</v>
      </c>
      <c r="V24" s="81" t="s">
        <v>29</v>
      </c>
      <c r="W24" s="81" t="s">
        <v>69</v>
      </c>
      <c r="X24" s="81" t="s">
        <v>70</v>
      </c>
      <c r="Y24" s="82">
        <v>436034</v>
      </c>
      <c r="Z24" s="83">
        <v>4626224416</v>
      </c>
      <c r="AA24" s="81">
        <f t="shared" si="1"/>
        <v>10609.779090621374</v>
      </c>
      <c r="AB24" s="81" t="s">
        <v>29</v>
      </c>
      <c r="AC24" s="81" t="s">
        <v>70</v>
      </c>
      <c r="AD24" s="48" t="s">
        <v>69</v>
      </c>
      <c r="AE24" s="84">
        <v>339156</v>
      </c>
      <c r="AF24" s="85">
        <v>3635824955</v>
      </c>
      <c r="AG24" s="81">
        <f t="shared" si="2"/>
        <v>10720.214163983535</v>
      </c>
    </row>
    <row r="25" spans="10:33">
      <c r="J25" s="48" t="s">
        <v>29</v>
      </c>
      <c r="K25" s="78" t="s">
        <v>75</v>
      </c>
      <c r="L25" s="79" t="s">
        <v>76</v>
      </c>
      <c r="M25" s="82">
        <v>103</v>
      </c>
      <c r="N25" s="83">
        <v>14224839</v>
      </c>
      <c r="O25" s="81">
        <f t="shared" si="3"/>
        <v>138105.23300970873</v>
      </c>
      <c r="P25" s="81" t="s">
        <v>29</v>
      </c>
      <c r="Q25" s="48" t="s">
        <v>77</v>
      </c>
      <c r="R25" s="48" t="s">
        <v>78</v>
      </c>
      <c r="S25" s="82">
        <v>0</v>
      </c>
      <c r="T25" s="83">
        <v>0</v>
      </c>
      <c r="U25" s="81" t="e">
        <f t="shared" si="0"/>
        <v>#DIV/0!</v>
      </c>
      <c r="V25" s="81" t="s">
        <v>29</v>
      </c>
      <c r="W25" s="81" t="s">
        <v>71</v>
      </c>
      <c r="X25" s="81" t="s">
        <v>72</v>
      </c>
      <c r="Y25" s="82">
        <v>24774</v>
      </c>
      <c r="Z25" s="83">
        <v>401861703</v>
      </c>
      <c r="AA25" s="81">
        <f t="shared" si="1"/>
        <v>16221.106926616614</v>
      </c>
      <c r="AB25" s="81" t="s">
        <v>29</v>
      </c>
      <c r="AC25" s="81" t="s">
        <v>72</v>
      </c>
      <c r="AD25" s="48" t="s">
        <v>71</v>
      </c>
      <c r="AE25" s="84">
        <v>8940</v>
      </c>
      <c r="AF25" s="85">
        <v>142359753</v>
      </c>
      <c r="AG25" s="81">
        <f t="shared" si="2"/>
        <v>15923.909731543625</v>
      </c>
    </row>
    <row r="26" spans="10:33">
      <c r="J26" s="48" t="s">
        <v>29</v>
      </c>
      <c r="K26" s="78" t="s">
        <v>79</v>
      </c>
      <c r="L26" s="79" t="s">
        <v>80</v>
      </c>
      <c r="M26" s="82">
        <v>7448920</v>
      </c>
      <c r="N26" s="83">
        <v>9375501824</v>
      </c>
      <c r="O26" s="81">
        <f t="shared" si="3"/>
        <v>1258.63908110169</v>
      </c>
      <c r="P26" s="81" t="s">
        <v>29</v>
      </c>
      <c r="Q26" s="48" t="s">
        <v>75</v>
      </c>
      <c r="R26" s="48" t="s">
        <v>76</v>
      </c>
      <c r="S26" s="82">
        <v>0</v>
      </c>
      <c r="T26" s="83">
        <v>10102893</v>
      </c>
      <c r="U26" s="81" t="e">
        <f t="shared" si="0"/>
        <v>#DIV/0!</v>
      </c>
      <c r="V26" s="81" t="s">
        <v>29</v>
      </c>
      <c r="W26" s="81" t="s">
        <v>73</v>
      </c>
      <c r="X26" s="81" t="s">
        <v>74</v>
      </c>
      <c r="Y26" s="82">
        <v>15577</v>
      </c>
      <c r="Z26" s="83">
        <v>634615606</v>
      </c>
      <c r="AA26" s="81">
        <f t="shared" si="1"/>
        <v>40740.553765166595</v>
      </c>
      <c r="AB26" s="81" t="s">
        <v>29</v>
      </c>
      <c r="AC26" s="81" t="s">
        <v>74</v>
      </c>
      <c r="AD26" s="48" t="s">
        <v>73</v>
      </c>
      <c r="AE26" s="84">
        <v>585</v>
      </c>
      <c r="AF26" s="85">
        <v>24961824</v>
      </c>
      <c r="AG26" s="81">
        <f t="shared" si="2"/>
        <v>42669.784615384619</v>
      </c>
    </row>
    <row r="27" spans="10:33">
      <c r="J27" s="48" t="s">
        <v>29</v>
      </c>
      <c r="K27" s="78" t="s">
        <v>81</v>
      </c>
      <c r="L27" s="79" t="s">
        <v>82</v>
      </c>
      <c r="M27" s="82">
        <v>64291</v>
      </c>
      <c r="N27" s="83">
        <v>2188684000</v>
      </c>
      <c r="O27" s="81">
        <f t="shared" si="3"/>
        <v>34043.396431848938</v>
      </c>
      <c r="P27" s="81" t="s">
        <v>29</v>
      </c>
      <c r="Q27" s="48" t="s">
        <v>79</v>
      </c>
      <c r="R27" s="48" t="s">
        <v>80</v>
      </c>
      <c r="S27" s="82">
        <v>8506885</v>
      </c>
      <c r="T27" s="83">
        <v>13747816026</v>
      </c>
      <c r="U27" s="81">
        <f t="shared" si="0"/>
        <v>1616.081095018917</v>
      </c>
      <c r="V27" s="81" t="s">
        <v>29</v>
      </c>
      <c r="W27" s="81" t="s">
        <v>75</v>
      </c>
      <c r="X27" s="81" t="s">
        <v>76</v>
      </c>
      <c r="Y27" s="82">
        <v>23867</v>
      </c>
      <c r="Z27" s="83">
        <v>432452923</v>
      </c>
      <c r="AA27" s="81">
        <f t="shared" si="1"/>
        <v>18119.282817279087</v>
      </c>
      <c r="AB27" s="81" t="s">
        <v>29</v>
      </c>
      <c r="AC27" s="81" t="s">
        <v>76</v>
      </c>
      <c r="AD27" s="48" t="s">
        <v>75</v>
      </c>
      <c r="AE27" s="84">
        <v>5280</v>
      </c>
      <c r="AF27" s="85">
        <v>111176241</v>
      </c>
      <c r="AG27" s="81">
        <f t="shared" si="2"/>
        <v>21056.106250000001</v>
      </c>
    </row>
    <row r="28" spans="10:33">
      <c r="J28" s="48" t="s">
        <v>32</v>
      </c>
      <c r="K28" s="78" t="s">
        <v>83</v>
      </c>
      <c r="L28" s="79" t="s">
        <v>84</v>
      </c>
      <c r="M28" s="82">
        <v>37527661</v>
      </c>
      <c r="N28" s="83">
        <v>36755787638</v>
      </c>
      <c r="O28" s="81">
        <f t="shared" si="3"/>
        <v>979.43188193903154</v>
      </c>
      <c r="P28" s="81" t="s">
        <v>29</v>
      </c>
      <c r="Q28" s="48" t="s">
        <v>81</v>
      </c>
      <c r="R28" s="48" t="s">
        <v>82</v>
      </c>
      <c r="S28" s="82">
        <v>72919</v>
      </c>
      <c r="T28" s="83">
        <v>2403630170</v>
      </c>
      <c r="U28" s="81">
        <f t="shared" si="0"/>
        <v>32963.016086342381</v>
      </c>
      <c r="V28" s="81" t="s">
        <v>29</v>
      </c>
      <c r="W28" s="81" t="s">
        <v>79</v>
      </c>
      <c r="X28" s="81" t="s">
        <v>80</v>
      </c>
      <c r="Y28" s="82">
        <v>10224303</v>
      </c>
      <c r="Z28" s="83">
        <v>22857785470</v>
      </c>
      <c r="AA28" s="81">
        <f t="shared" si="1"/>
        <v>2235.6326362784826</v>
      </c>
      <c r="AB28" s="81" t="s">
        <v>29</v>
      </c>
      <c r="AC28" s="81" t="s">
        <v>80</v>
      </c>
      <c r="AD28" s="48" t="s">
        <v>79</v>
      </c>
      <c r="AE28" s="84">
        <v>6132277</v>
      </c>
      <c r="AF28" s="85">
        <v>10770658340</v>
      </c>
      <c r="AG28" s="81">
        <f t="shared" si="2"/>
        <v>1756.3880985806741</v>
      </c>
    </row>
    <row r="29" spans="10:33">
      <c r="J29" s="48" t="s">
        <v>32</v>
      </c>
      <c r="K29" s="78" t="s">
        <v>85</v>
      </c>
      <c r="L29" s="79" t="s">
        <v>86</v>
      </c>
      <c r="M29" s="82">
        <v>575019</v>
      </c>
      <c r="N29" s="83">
        <v>-6946893</v>
      </c>
      <c r="O29" s="81">
        <f t="shared" si="3"/>
        <v>-12.081153840133979</v>
      </c>
      <c r="P29" s="81" t="s">
        <v>32</v>
      </c>
      <c r="Q29" s="48" t="s">
        <v>83</v>
      </c>
      <c r="R29" s="48" t="s">
        <v>84</v>
      </c>
      <c r="S29" s="82">
        <v>28927303</v>
      </c>
      <c r="T29" s="83">
        <v>29472950573</v>
      </c>
      <c r="U29" s="81">
        <f t="shared" si="0"/>
        <v>1018.862718484333</v>
      </c>
      <c r="V29" s="81" t="s">
        <v>29</v>
      </c>
      <c r="W29" s="81" t="s">
        <v>81</v>
      </c>
      <c r="X29" s="81" t="s">
        <v>82</v>
      </c>
      <c r="Y29" s="82">
        <v>79951</v>
      </c>
      <c r="Z29" s="83">
        <v>2897759568</v>
      </c>
      <c r="AA29" s="81">
        <f t="shared" si="1"/>
        <v>36244.194168928472</v>
      </c>
      <c r="AB29" s="81" t="s">
        <v>29</v>
      </c>
      <c r="AC29" s="81" t="s">
        <v>82</v>
      </c>
      <c r="AD29" s="48" t="s">
        <v>81</v>
      </c>
      <c r="AE29" s="84">
        <v>39476</v>
      </c>
      <c r="AF29" s="85">
        <v>1311492869</v>
      </c>
      <c r="AG29" s="81">
        <f t="shared" si="2"/>
        <v>33222.53695916506</v>
      </c>
    </row>
    <row r="30" spans="10:33">
      <c r="J30" s="48" t="s">
        <v>32</v>
      </c>
      <c r="K30" s="78" t="s">
        <v>87</v>
      </c>
      <c r="L30" s="79" t="s">
        <v>88</v>
      </c>
      <c r="M30" s="82">
        <v>233480</v>
      </c>
      <c r="N30" s="83">
        <v>53436104</v>
      </c>
      <c r="O30" s="81">
        <f t="shared" si="3"/>
        <v>228.86801439095424</v>
      </c>
      <c r="P30" s="81" t="s">
        <v>32</v>
      </c>
      <c r="Q30" s="48" t="s">
        <v>85</v>
      </c>
      <c r="R30" s="48" t="s">
        <v>86</v>
      </c>
      <c r="S30" s="82">
        <v>52098</v>
      </c>
      <c r="T30" s="83">
        <v>-25389243</v>
      </c>
      <c r="U30" s="81">
        <f t="shared" si="0"/>
        <v>-487.33623171714845</v>
      </c>
      <c r="V30" s="81" t="s">
        <v>32</v>
      </c>
      <c r="W30" s="81" t="s">
        <v>83</v>
      </c>
      <c r="X30" s="81" t="s">
        <v>84</v>
      </c>
      <c r="Y30" s="82">
        <v>21166537</v>
      </c>
      <c r="Z30" s="83">
        <v>20373149410</v>
      </c>
      <c r="AA30" s="81">
        <f t="shared" si="1"/>
        <v>962.51689211135488</v>
      </c>
      <c r="AB30" s="81" t="s">
        <v>32</v>
      </c>
      <c r="AC30" s="81" t="s">
        <v>84</v>
      </c>
      <c r="AD30" s="48" t="s">
        <v>83</v>
      </c>
      <c r="AE30" s="84">
        <v>10218548</v>
      </c>
      <c r="AF30" s="85">
        <v>8051337462</v>
      </c>
      <c r="AG30" s="81">
        <f t="shared" si="2"/>
        <v>787.91404238645259</v>
      </c>
    </row>
    <row r="31" spans="10:33">
      <c r="J31" s="48" t="s">
        <v>32</v>
      </c>
      <c r="K31" s="78" t="s">
        <v>89</v>
      </c>
      <c r="L31" s="79" t="s">
        <v>90</v>
      </c>
      <c r="M31" s="82">
        <v>120375</v>
      </c>
      <c r="N31" s="83">
        <v>64125</v>
      </c>
      <c r="O31" s="81">
        <f t="shared" si="3"/>
        <v>0.53271028037383172</v>
      </c>
      <c r="P31" s="81" t="s">
        <v>32</v>
      </c>
      <c r="Q31" s="48" t="s">
        <v>87</v>
      </c>
      <c r="R31" s="48" t="s">
        <v>88</v>
      </c>
      <c r="S31" s="82">
        <v>87750</v>
      </c>
      <c r="T31" s="83">
        <v>1579500</v>
      </c>
      <c r="U31" s="81">
        <f t="shared" si="0"/>
        <v>18</v>
      </c>
      <c r="V31" s="81" t="s">
        <v>32</v>
      </c>
      <c r="W31" s="81" t="s">
        <v>91</v>
      </c>
      <c r="X31" s="81" t="s">
        <v>92</v>
      </c>
      <c r="Y31" s="82">
        <v>0</v>
      </c>
      <c r="Z31" s="83">
        <v>0</v>
      </c>
      <c r="AA31" s="81" t="e">
        <f t="shared" si="1"/>
        <v>#DIV/0!</v>
      </c>
      <c r="AB31" s="81" t="s">
        <v>32</v>
      </c>
      <c r="AC31" s="81" t="s">
        <v>90</v>
      </c>
      <c r="AD31" s="48" t="s">
        <v>89</v>
      </c>
      <c r="AE31" s="84">
        <v>0</v>
      </c>
      <c r="AF31" s="85">
        <v>0</v>
      </c>
      <c r="AG31" s="81" t="e">
        <f t="shared" si="2"/>
        <v>#DIV/0!</v>
      </c>
    </row>
    <row r="32" spans="10:33">
      <c r="J32" s="48" t="s">
        <v>32</v>
      </c>
      <c r="K32" s="78" t="s">
        <v>93</v>
      </c>
      <c r="L32" s="79" t="s">
        <v>94</v>
      </c>
      <c r="M32" s="82">
        <v>2273000</v>
      </c>
      <c r="N32" s="83">
        <v>56204227</v>
      </c>
      <c r="O32" s="81">
        <f t="shared" si="3"/>
        <v>24.726892652881656</v>
      </c>
      <c r="P32" s="81" t="s">
        <v>32</v>
      </c>
      <c r="Q32" s="48" t="s">
        <v>89</v>
      </c>
      <c r="R32" s="48" t="s">
        <v>90</v>
      </c>
      <c r="S32" s="82">
        <v>-2400</v>
      </c>
      <c r="T32" s="83">
        <v>-514800</v>
      </c>
      <c r="U32" s="81">
        <f t="shared" si="0"/>
        <v>214.5</v>
      </c>
      <c r="V32" s="81" t="s">
        <v>32</v>
      </c>
      <c r="W32" s="81" t="s">
        <v>89</v>
      </c>
      <c r="X32" s="81" t="s">
        <v>90</v>
      </c>
      <c r="Y32" s="82">
        <v>0</v>
      </c>
      <c r="Z32" s="83">
        <v>0</v>
      </c>
      <c r="AA32" s="81" t="e">
        <f t="shared" si="1"/>
        <v>#DIV/0!</v>
      </c>
      <c r="AB32" s="81" t="s">
        <v>32</v>
      </c>
      <c r="AC32" s="81" t="s">
        <v>94</v>
      </c>
      <c r="AD32" s="48" t="s">
        <v>93</v>
      </c>
      <c r="AE32" s="84">
        <v>50000</v>
      </c>
      <c r="AF32" s="85">
        <v>0</v>
      </c>
      <c r="AG32" s="81">
        <f t="shared" si="2"/>
        <v>0</v>
      </c>
    </row>
    <row r="33" spans="10:33">
      <c r="J33" s="48" t="s">
        <v>32</v>
      </c>
      <c r="K33" s="78" t="s">
        <v>95</v>
      </c>
      <c r="L33" s="79" t="s">
        <v>96</v>
      </c>
      <c r="M33" s="82">
        <v>0</v>
      </c>
      <c r="N33" s="83">
        <v>0</v>
      </c>
      <c r="O33" s="81" t="e">
        <f t="shared" si="3"/>
        <v>#DIV/0!</v>
      </c>
      <c r="P33" s="81" t="s">
        <v>32</v>
      </c>
      <c r="Q33" s="48" t="s">
        <v>93</v>
      </c>
      <c r="R33" s="48" t="s">
        <v>94</v>
      </c>
      <c r="S33" s="82">
        <v>8571088</v>
      </c>
      <c r="T33" s="83">
        <v>92803086</v>
      </c>
      <c r="U33" s="81">
        <f t="shared" si="0"/>
        <v>10.827456910954595</v>
      </c>
      <c r="V33" s="81" t="s">
        <v>32</v>
      </c>
      <c r="W33" s="81" t="s">
        <v>93</v>
      </c>
      <c r="X33" s="81" t="s">
        <v>94</v>
      </c>
      <c r="Y33" s="82">
        <v>3000068</v>
      </c>
      <c r="Z33" s="83">
        <v>57523882</v>
      </c>
      <c r="AA33" s="81">
        <f t="shared" si="1"/>
        <v>19.174192718298386</v>
      </c>
      <c r="AB33" s="81" t="s">
        <v>32</v>
      </c>
      <c r="AC33" s="81" t="s">
        <v>96</v>
      </c>
      <c r="AD33" s="48" t="s">
        <v>95</v>
      </c>
      <c r="AE33" s="84">
        <v>98</v>
      </c>
      <c r="AF33" s="85">
        <v>82908000</v>
      </c>
      <c r="AG33" s="81">
        <f t="shared" si="2"/>
        <v>846000</v>
      </c>
    </row>
    <row r="34" spans="10:33">
      <c r="J34" s="48" t="s">
        <v>32</v>
      </c>
      <c r="K34" s="78" t="s">
        <v>97</v>
      </c>
      <c r="L34" s="79" t="s">
        <v>98</v>
      </c>
      <c r="M34" s="82">
        <v>9381486</v>
      </c>
      <c r="N34" s="83">
        <v>5904455012</v>
      </c>
      <c r="O34" s="81">
        <f t="shared" si="3"/>
        <v>629.37310912151872</v>
      </c>
      <c r="P34" s="81" t="s">
        <v>32</v>
      </c>
      <c r="Q34" s="48" t="s">
        <v>95</v>
      </c>
      <c r="R34" s="48" t="s">
        <v>96</v>
      </c>
      <c r="S34" s="82">
        <v>0</v>
      </c>
      <c r="T34" s="83">
        <v>0</v>
      </c>
      <c r="U34" s="81" t="e">
        <f t="shared" si="0"/>
        <v>#DIV/0!</v>
      </c>
      <c r="V34" s="81" t="s">
        <v>32</v>
      </c>
      <c r="W34" s="81" t="s">
        <v>95</v>
      </c>
      <c r="X34" s="81" t="s">
        <v>96</v>
      </c>
      <c r="Y34" s="82">
        <v>939027</v>
      </c>
      <c r="Z34" s="83">
        <v>96871604</v>
      </c>
      <c r="AA34" s="81">
        <f t="shared" si="1"/>
        <v>103.16168118701592</v>
      </c>
      <c r="AB34" s="81" t="s">
        <v>32</v>
      </c>
      <c r="AC34" s="81" t="s">
        <v>98</v>
      </c>
      <c r="AD34" s="48" t="s">
        <v>97</v>
      </c>
      <c r="AE34" s="84">
        <v>10359929</v>
      </c>
      <c r="AF34" s="85">
        <v>6305911729</v>
      </c>
      <c r="AG34" s="81">
        <f t="shared" si="2"/>
        <v>608.6829097960034</v>
      </c>
    </row>
    <row r="35" spans="10:33">
      <c r="J35" s="48" t="s">
        <v>32</v>
      </c>
      <c r="K35" s="78" t="s">
        <v>99</v>
      </c>
      <c r="L35" s="79" t="s">
        <v>100</v>
      </c>
      <c r="M35" s="82">
        <v>21370427</v>
      </c>
      <c r="N35" s="83">
        <v>13907706782</v>
      </c>
      <c r="O35" s="81">
        <f t="shared" si="3"/>
        <v>650.7921803340663</v>
      </c>
      <c r="P35" s="81" t="s">
        <v>32</v>
      </c>
      <c r="Q35" s="48" t="s">
        <v>97</v>
      </c>
      <c r="R35" s="48" t="s">
        <v>98</v>
      </c>
      <c r="S35" s="82">
        <v>30221441</v>
      </c>
      <c r="T35" s="83">
        <v>18844379509</v>
      </c>
      <c r="U35" s="81">
        <f t="shared" si="0"/>
        <v>623.54338130336009</v>
      </c>
      <c r="V35" s="81" t="s">
        <v>32</v>
      </c>
      <c r="W35" s="81" t="s">
        <v>97</v>
      </c>
      <c r="X35" s="81" t="s">
        <v>98</v>
      </c>
      <c r="Y35" s="82">
        <v>21184169</v>
      </c>
      <c r="Z35" s="83">
        <v>12516080059</v>
      </c>
      <c r="AA35" s="81">
        <f t="shared" si="1"/>
        <v>590.82232864550883</v>
      </c>
      <c r="AB35" s="81" t="s">
        <v>32</v>
      </c>
      <c r="AC35" s="81" t="s">
        <v>100</v>
      </c>
      <c r="AD35" s="48" t="s">
        <v>99</v>
      </c>
      <c r="AE35" s="84">
        <v>47652</v>
      </c>
      <c r="AF35" s="85">
        <v>30749492</v>
      </c>
      <c r="AG35" s="81">
        <f t="shared" si="2"/>
        <v>645.29278938974232</v>
      </c>
    </row>
    <row r="36" spans="10:33">
      <c r="J36" s="48" t="s">
        <v>32</v>
      </c>
      <c r="K36" s="78" t="s">
        <v>101</v>
      </c>
      <c r="L36" s="79" t="s">
        <v>102</v>
      </c>
      <c r="M36" s="82">
        <v>7408022</v>
      </c>
      <c r="N36" s="83">
        <v>6686725874</v>
      </c>
      <c r="O36" s="81">
        <f t="shared" si="3"/>
        <v>902.6331015215668</v>
      </c>
      <c r="P36" s="81" t="s">
        <v>32</v>
      </c>
      <c r="Q36" s="48" t="s">
        <v>99</v>
      </c>
      <c r="R36" s="48" t="s">
        <v>100</v>
      </c>
      <c r="S36" s="82">
        <v>21119532</v>
      </c>
      <c r="T36" s="83">
        <v>419563907</v>
      </c>
      <c r="U36" s="81">
        <f t="shared" si="0"/>
        <v>19.866155509506555</v>
      </c>
      <c r="V36" s="81" t="s">
        <v>32</v>
      </c>
      <c r="W36" s="81" t="s">
        <v>99</v>
      </c>
      <c r="X36" s="81" t="s">
        <v>100</v>
      </c>
      <c r="Y36" s="82">
        <v>3452901</v>
      </c>
      <c r="Z36" s="83">
        <v>651264675</v>
      </c>
      <c r="AA36" s="81">
        <f t="shared" si="1"/>
        <v>188.61376998645486</v>
      </c>
      <c r="AB36" s="81" t="s">
        <v>32</v>
      </c>
      <c r="AC36" s="81" t="s">
        <v>102</v>
      </c>
      <c r="AD36" s="48" t="s">
        <v>101</v>
      </c>
      <c r="AE36" s="84">
        <v>5662656</v>
      </c>
      <c r="AF36" s="85">
        <v>3572285482</v>
      </c>
      <c r="AG36" s="81">
        <f t="shared" si="2"/>
        <v>630.84981358570963</v>
      </c>
    </row>
    <row r="37" spans="10:33">
      <c r="J37" s="48" t="s">
        <v>32</v>
      </c>
      <c r="K37" s="78" t="s">
        <v>103</v>
      </c>
      <c r="L37" s="79" t="s">
        <v>104</v>
      </c>
      <c r="M37" s="82">
        <v>21311009</v>
      </c>
      <c r="N37" s="83">
        <v>13635092798</v>
      </c>
      <c r="O37" s="81">
        <f t="shared" si="3"/>
        <v>639.81451080049749</v>
      </c>
      <c r="P37" s="81" t="s">
        <v>32</v>
      </c>
      <c r="Q37" s="48" t="s">
        <v>101</v>
      </c>
      <c r="R37" s="48" t="s">
        <v>102</v>
      </c>
      <c r="S37" s="82">
        <v>2416969</v>
      </c>
      <c r="T37" s="83">
        <v>1535708018</v>
      </c>
      <c r="U37" s="81">
        <f t="shared" si="0"/>
        <v>635.38589779182109</v>
      </c>
      <c r="V37" s="81" t="s">
        <v>32</v>
      </c>
      <c r="W37" s="81" t="s">
        <v>101</v>
      </c>
      <c r="X37" s="81" t="s">
        <v>102</v>
      </c>
      <c r="Y37" s="82">
        <v>9399644</v>
      </c>
      <c r="Z37" s="83">
        <v>5734610189</v>
      </c>
      <c r="AA37" s="81">
        <f t="shared" si="1"/>
        <v>610.0880191845564</v>
      </c>
      <c r="AB37" s="81" t="s">
        <v>32</v>
      </c>
      <c r="AC37" s="81" t="s">
        <v>105</v>
      </c>
      <c r="AD37" s="48" t="s">
        <v>106</v>
      </c>
      <c r="AE37" s="84">
        <v>156170</v>
      </c>
      <c r="AF37" s="85">
        <v>19533</v>
      </c>
      <c r="AG37" s="81">
        <f t="shared" si="2"/>
        <v>0.12507523852212332</v>
      </c>
    </row>
    <row r="38" spans="10:33">
      <c r="J38" s="48" t="s">
        <v>32</v>
      </c>
      <c r="K38" s="78" t="s">
        <v>106</v>
      </c>
      <c r="L38" s="79" t="s">
        <v>105</v>
      </c>
      <c r="M38" s="82">
        <v>16595452</v>
      </c>
      <c r="N38" s="83">
        <v>3080368601</v>
      </c>
      <c r="O38" s="81">
        <f t="shared" si="3"/>
        <v>185.61522765393795</v>
      </c>
      <c r="P38" s="81" t="s">
        <v>32</v>
      </c>
      <c r="Q38" s="48" t="s">
        <v>106</v>
      </c>
      <c r="R38" s="48" t="s">
        <v>105</v>
      </c>
      <c r="S38" s="82">
        <v>10286920</v>
      </c>
      <c r="T38" s="83">
        <v>1857813</v>
      </c>
      <c r="U38" s="81">
        <f t="shared" si="0"/>
        <v>0.18059953805415033</v>
      </c>
      <c r="V38" s="81" t="s">
        <v>32</v>
      </c>
      <c r="W38" s="81" t="s">
        <v>103</v>
      </c>
      <c r="X38" s="81" t="s">
        <v>104</v>
      </c>
      <c r="Y38" s="82">
        <v>0</v>
      </c>
      <c r="Z38" s="83">
        <v>0</v>
      </c>
      <c r="AA38" s="81" t="e">
        <f t="shared" si="1"/>
        <v>#DIV/0!</v>
      </c>
      <c r="AB38" s="81" t="s">
        <v>32</v>
      </c>
      <c r="AC38" s="81" t="s">
        <v>107</v>
      </c>
      <c r="AD38" s="48" t="s">
        <v>108</v>
      </c>
      <c r="AE38" s="84">
        <v>21955</v>
      </c>
      <c r="AF38" s="85">
        <v>71996383</v>
      </c>
      <c r="AG38" s="81">
        <f t="shared" si="2"/>
        <v>3279.2704623092691</v>
      </c>
    </row>
    <row r="39" spans="10:33">
      <c r="J39" s="48" t="s">
        <v>32</v>
      </c>
      <c r="K39" s="78" t="s">
        <v>108</v>
      </c>
      <c r="L39" s="79" t="s">
        <v>107</v>
      </c>
      <c r="M39" s="82">
        <v>30920</v>
      </c>
      <c r="N39" s="83">
        <v>89121248</v>
      </c>
      <c r="O39" s="81">
        <f t="shared" si="3"/>
        <v>2882.3172056921085</v>
      </c>
      <c r="P39" s="81" t="s">
        <v>32</v>
      </c>
      <c r="Q39" s="48" t="s">
        <v>108</v>
      </c>
      <c r="R39" s="48" t="s">
        <v>107</v>
      </c>
      <c r="S39" s="82">
        <v>80869</v>
      </c>
      <c r="T39" s="83">
        <v>255450339</v>
      </c>
      <c r="U39" s="81">
        <f t="shared" si="0"/>
        <v>3158.8165922665053</v>
      </c>
      <c r="V39" s="81" t="s">
        <v>32</v>
      </c>
      <c r="W39" s="81" t="s">
        <v>106</v>
      </c>
      <c r="X39" s="81" t="s">
        <v>105</v>
      </c>
      <c r="Y39" s="82">
        <v>1665690</v>
      </c>
      <c r="Z39" s="83">
        <v>0</v>
      </c>
      <c r="AA39" s="81">
        <f t="shared" si="1"/>
        <v>0</v>
      </c>
      <c r="AB39" s="81" t="s">
        <v>32</v>
      </c>
      <c r="AC39" s="81" t="s">
        <v>109</v>
      </c>
      <c r="AD39" s="48" t="s">
        <v>110</v>
      </c>
      <c r="AE39" s="84">
        <v>19574167</v>
      </c>
      <c r="AF39" s="85">
        <v>14553075728</v>
      </c>
      <c r="AG39" s="81">
        <f t="shared" si="2"/>
        <v>743.48378288588219</v>
      </c>
    </row>
    <row r="40" spans="10:33">
      <c r="J40" s="48" t="s">
        <v>32</v>
      </c>
      <c r="K40" s="78" t="s">
        <v>110</v>
      </c>
      <c r="L40" s="79" t="s">
        <v>109</v>
      </c>
      <c r="M40" s="82">
        <v>11634009</v>
      </c>
      <c r="N40" s="83">
        <v>11696160876</v>
      </c>
      <c r="O40" s="81">
        <f t="shared" si="3"/>
        <v>1005.3422578579748</v>
      </c>
      <c r="P40" s="81" t="s">
        <v>32</v>
      </c>
      <c r="Q40" s="48" t="s">
        <v>110</v>
      </c>
      <c r="R40" s="48" t="s">
        <v>109</v>
      </c>
      <c r="S40" s="82">
        <v>40517466</v>
      </c>
      <c r="T40" s="83">
        <v>36155549524</v>
      </c>
      <c r="U40" s="81">
        <f t="shared" si="0"/>
        <v>892.34478592516132</v>
      </c>
      <c r="V40" s="81" t="s">
        <v>32</v>
      </c>
      <c r="W40" s="81" t="s">
        <v>108</v>
      </c>
      <c r="X40" s="81" t="s">
        <v>107</v>
      </c>
      <c r="Y40" s="82">
        <v>67459</v>
      </c>
      <c r="Z40" s="83">
        <v>218329249</v>
      </c>
      <c r="AA40" s="81">
        <f t="shared" si="1"/>
        <v>3236.4732504187727</v>
      </c>
      <c r="AB40" s="81" t="s">
        <v>32</v>
      </c>
      <c r="AC40" s="81" t="s">
        <v>111</v>
      </c>
      <c r="AD40" s="48" t="s">
        <v>112</v>
      </c>
      <c r="AE40" s="84">
        <v>1995339</v>
      </c>
      <c r="AF40" s="85">
        <v>1459567233</v>
      </c>
      <c r="AG40" s="81">
        <f t="shared" si="2"/>
        <v>731.48835009990785</v>
      </c>
    </row>
    <row r="41" spans="10:33">
      <c r="J41" s="48" t="s">
        <v>32</v>
      </c>
      <c r="K41" s="78" t="s">
        <v>112</v>
      </c>
      <c r="L41" s="79" t="s">
        <v>111</v>
      </c>
      <c r="M41" s="82">
        <v>536974</v>
      </c>
      <c r="N41" s="83">
        <v>420565085</v>
      </c>
      <c r="O41" s="81">
        <f t="shared" si="3"/>
        <v>783.21312577517722</v>
      </c>
      <c r="P41" s="81" t="s">
        <v>32</v>
      </c>
      <c r="Q41" s="48" t="s">
        <v>112</v>
      </c>
      <c r="R41" s="48" t="s">
        <v>111</v>
      </c>
      <c r="S41" s="82">
        <v>2977334</v>
      </c>
      <c r="T41" s="83">
        <v>2281394850</v>
      </c>
      <c r="U41" s="81">
        <f t="shared" si="0"/>
        <v>766.25425632461793</v>
      </c>
      <c r="V41" s="81" t="s">
        <v>32</v>
      </c>
      <c r="W41" s="81" t="s">
        <v>110</v>
      </c>
      <c r="X41" s="81" t="s">
        <v>109</v>
      </c>
      <c r="Y41" s="82">
        <v>39492036</v>
      </c>
      <c r="Z41" s="83">
        <v>30959960402</v>
      </c>
      <c r="AA41" s="81">
        <f t="shared" si="1"/>
        <v>783.95452698361771</v>
      </c>
      <c r="AB41" s="81" t="s">
        <v>32</v>
      </c>
      <c r="AC41" s="81" t="s">
        <v>113</v>
      </c>
      <c r="AD41" s="48" t="s">
        <v>114</v>
      </c>
      <c r="AE41" s="84">
        <v>151855</v>
      </c>
      <c r="AF41" s="85">
        <v>114766386</v>
      </c>
      <c r="AG41" s="81">
        <f t="shared" si="2"/>
        <v>755.76297125547399</v>
      </c>
    </row>
    <row r="42" spans="10:33">
      <c r="J42" s="48" t="s">
        <v>32</v>
      </c>
      <c r="K42" s="78" t="s">
        <v>114</v>
      </c>
      <c r="L42" s="79" t="s">
        <v>113</v>
      </c>
      <c r="M42" s="82">
        <v>72160</v>
      </c>
      <c r="N42" s="83">
        <v>82025285</v>
      </c>
      <c r="O42" s="81">
        <f t="shared" si="3"/>
        <v>1136.7140382483369</v>
      </c>
      <c r="P42" s="81" t="s">
        <v>32</v>
      </c>
      <c r="Q42" s="48" t="s">
        <v>114</v>
      </c>
      <c r="R42" s="48" t="s">
        <v>113</v>
      </c>
      <c r="S42" s="82">
        <v>263549</v>
      </c>
      <c r="T42" s="83">
        <v>310393869</v>
      </c>
      <c r="U42" s="81">
        <f t="shared" si="0"/>
        <v>1177.7463355960372</v>
      </c>
      <c r="V42" s="81" t="s">
        <v>32</v>
      </c>
      <c r="W42" s="81" t="s">
        <v>112</v>
      </c>
      <c r="X42" s="81" t="s">
        <v>111</v>
      </c>
      <c r="Y42" s="82">
        <v>3549456</v>
      </c>
      <c r="Z42" s="83">
        <v>2540600416</v>
      </c>
      <c r="AA42" s="81">
        <f t="shared" si="1"/>
        <v>715.77177347740053</v>
      </c>
      <c r="AB42" s="81" t="s">
        <v>32</v>
      </c>
      <c r="AC42" s="81" t="s">
        <v>115</v>
      </c>
      <c r="AD42" s="48" t="s">
        <v>116</v>
      </c>
      <c r="AE42" s="84">
        <v>26907</v>
      </c>
      <c r="AF42" s="85">
        <v>54178236</v>
      </c>
      <c r="AG42" s="81">
        <f t="shared" si="2"/>
        <v>2013.5368491470622</v>
      </c>
    </row>
    <row r="43" spans="10:33">
      <c r="J43" s="48" t="s">
        <v>32</v>
      </c>
      <c r="K43" s="78" t="s">
        <v>116</v>
      </c>
      <c r="L43" s="79" t="s">
        <v>115</v>
      </c>
      <c r="M43" s="82">
        <v>15347</v>
      </c>
      <c r="N43" s="83">
        <v>34621986</v>
      </c>
      <c r="O43" s="81">
        <f t="shared" si="3"/>
        <v>2255.9448752199128</v>
      </c>
      <c r="P43" s="81" t="s">
        <v>32</v>
      </c>
      <c r="Q43" s="48" t="s">
        <v>116</v>
      </c>
      <c r="R43" s="48" t="s">
        <v>115</v>
      </c>
      <c r="S43" s="82">
        <v>53101</v>
      </c>
      <c r="T43" s="83">
        <v>123123588</v>
      </c>
      <c r="U43" s="81">
        <f t="shared" si="0"/>
        <v>2318.6679723545694</v>
      </c>
      <c r="V43" s="81" t="s">
        <v>32</v>
      </c>
      <c r="W43" s="81" t="s">
        <v>114</v>
      </c>
      <c r="X43" s="81" t="s">
        <v>113</v>
      </c>
      <c r="Y43" s="82">
        <v>389826</v>
      </c>
      <c r="Z43" s="83">
        <v>378604214</v>
      </c>
      <c r="AA43" s="81">
        <f t="shared" si="1"/>
        <v>971.21334646739831</v>
      </c>
      <c r="AB43" s="81" t="s">
        <v>32</v>
      </c>
      <c r="AC43" s="81" t="s">
        <v>117</v>
      </c>
      <c r="AD43" s="48" t="s">
        <v>118</v>
      </c>
      <c r="AE43" s="84">
        <v>1168931</v>
      </c>
      <c r="AF43" s="85">
        <v>1893134952</v>
      </c>
      <c r="AG43" s="81">
        <f t="shared" si="2"/>
        <v>1619.5437985646715</v>
      </c>
    </row>
    <row r="44" spans="10:33">
      <c r="J44" s="48" t="s">
        <v>32</v>
      </c>
      <c r="K44" s="78" t="s">
        <v>118</v>
      </c>
      <c r="L44" s="79" t="s">
        <v>117</v>
      </c>
      <c r="M44" s="82">
        <v>3209532</v>
      </c>
      <c r="N44" s="83">
        <v>6349372463</v>
      </c>
      <c r="O44" s="81">
        <f t="shared" si="3"/>
        <v>1978.2860750414702</v>
      </c>
      <c r="P44" s="81" t="s">
        <v>32</v>
      </c>
      <c r="Q44" s="48" t="s">
        <v>118</v>
      </c>
      <c r="R44" s="48" t="s">
        <v>117</v>
      </c>
      <c r="S44" s="82">
        <v>323600</v>
      </c>
      <c r="T44" s="83">
        <v>4679681092</v>
      </c>
      <c r="U44" s="81">
        <f t="shared" si="0"/>
        <v>14461.313634116193</v>
      </c>
      <c r="V44" s="81" t="s">
        <v>32</v>
      </c>
      <c r="W44" s="81" t="s">
        <v>116</v>
      </c>
      <c r="X44" s="81" t="s">
        <v>115</v>
      </c>
      <c r="Y44" s="82">
        <v>10293</v>
      </c>
      <c r="Z44" s="83">
        <v>21557214</v>
      </c>
      <c r="AA44" s="81">
        <f t="shared" si="1"/>
        <v>2094.356747303993</v>
      </c>
      <c r="AB44" s="81" t="s">
        <v>32</v>
      </c>
      <c r="AC44" s="81" t="s">
        <v>119</v>
      </c>
      <c r="AD44" s="48" t="s">
        <v>120</v>
      </c>
      <c r="AE44" s="84">
        <v>23437750</v>
      </c>
      <c r="AF44" s="85">
        <v>737423526</v>
      </c>
      <c r="AG44" s="81">
        <f t="shared" si="2"/>
        <v>31.463068169939522</v>
      </c>
    </row>
    <row r="45" spans="10:33">
      <c r="J45" s="48" t="s">
        <v>32</v>
      </c>
      <c r="K45" s="78" t="s">
        <v>120</v>
      </c>
      <c r="L45" s="79" t="s">
        <v>119</v>
      </c>
      <c r="M45" s="82">
        <v>83976988</v>
      </c>
      <c r="N45" s="83">
        <v>3874298749</v>
      </c>
      <c r="O45" s="81">
        <f t="shared" si="3"/>
        <v>46.135243014431524</v>
      </c>
      <c r="P45" s="81" t="s">
        <v>32</v>
      </c>
      <c r="Q45" s="48" t="s">
        <v>120</v>
      </c>
      <c r="R45" s="48" t="s">
        <v>119</v>
      </c>
      <c r="S45" s="82">
        <v>61056510</v>
      </c>
      <c r="T45" s="83">
        <v>2932280523</v>
      </c>
      <c r="U45" s="81">
        <f t="shared" si="0"/>
        <v>48.02568183147055</v>
      </c>
      <c r="V45" s="81" t="s">
        <v>32</v>
      </c>
      <c r="W45" s="81" t="s">
        <v>118</v>
      </c>
      <c r="X45" s="81" t="s">
        <v>117</v>
      </c>
      <c r="Y45" s="82">
        <v>529048</v>
      </c>
      <c r="Z45" s="83">
        <v>2695646549</v>
      </c>
      <c r="AA45" s="81">
        <f t="shared" si="1"/>
        <v>5095.2778367936371</v>
      </c>
      <c r="AB45" s="81" t="s">
        <v>32</v>
      </c>
      <c r="AC45" s="81" t="s">
        <v>121</v>
      </c>
      <c r="AD45" s="48" t="s">
        <v>122</v>
      </c>
      <c r="AE45" s="84">
        <v>8000</v>
      </c>
      <c r="AF45" s="85">
        <v>63756</v>
      </c>
      <c r="AG45" s="81">
        <f t="shared" si="2"/>
        <v>7.9695</v>
      </c>
    </row>
    <row r="46" spans="10:33">
      <c r="J46" s="48" t="s">
        <v>32</v>
      </c>
      <c r="K46" s="78" t="s">
        <v>122</v>
      </c>
      <c r="L46" s="79" t="s">
        <v>121</v>
      </c>
      <c r="M46" s="82">
        <v>2019534</v>
      </c>
      <c r="N46" s="83">
        <v>10399551674</v>
      </c>
      <c r="O46" s="81">
        <f t="shared" si="3"/>
        <v>5149.4808574651379</v>
      </c>
      <c r="P46" s="81" t="s">
        <v>32</v>
      </c>
      <c r="Q46" s="48" t="s">
        <v>122</v>
      </c>
      <c r="R46" s="48" t="s">
        <v>121</v>
      </c>
      <c r="S46" s="82">
        <v>36000</v>
      </c>
      <c r="T46" s="83">
        <v>0</v>
      </c>
      <c r="U46" s="81">
        <f t="shared" si="0"/>
        <v>0</v>
      </c>
      <c r="V46" s="81" t="s">
        <v>32</v>
      </c>
      <c r="W46" s="81" t="s">
        <v>120</v>
      </c>
      <c r="X46" s="81" t="s">
        <v>119</v>
      </c>
      <c r="Y46" s="82">
        <v>51061975</v>
      </c>
      <c r="Z46" s="83">
        <v>1682583518</v>
      </c>
      <c r="AA46" s="81">
        <f t="shared" si="1"/>
        <v>32.951790799317891</v>
      </c>
      <c r="AB46" s="81" t="s">
        <v>123</v>
      </c>
      <c r="AC46" s="81" t="s">
        <v>124</v>
      </c>
      <c r="AD46" s="48" t="s">
        <v>125</v>
      </c>
      <c r="AE46" s="84">
        <v>208468</v>
      </c>
      <c r="AF46" s="85">
        <v>55297340</v>
      </c>
      <c r="AG46" s="81">
        <f t="shared" si="2"/>
        <v>265.25577066983902</v>
      </c>
    </row>
    <row r="47" spans="10:33">
      <c r="J47" s="48" t="s">
        <v>123</v>
      </c>
      <c r="K47" s="78" t="s">
        <v>125</v>
      </c>
      <c r="L47" s="79" t="s">
        <v>124</v>
      </c>
      <c r="M47" s="82">
        <v>14860377</v>
      </c>
      <c r="N47" s="83">
        <v>793628661</v>
      </c>
      <c r="O47" s="81">
        <f t="shared" si="3"/>
        <v>53.405688227156013</v>
      </c>
      <c r="P47" s="81" t="s">
        <v>123</v>
      </c>
      <c r="Q47" s="48" t="s">
        <v>125</v>
      </c>
      <c r="R47" s="48" t="s">
        <v>124</v>
      </c>
      <c r="S47" s="82">
        <v>871694</v>
      </c>
      <c r="T47" s="83">
        <v>56410133</v>
      </c>
      <c r="U47" s="81">
        <f t="shared" si="0"/>
        <v>64.713228495320607</v>
      </c>
      <c r="V47" s="81" t="s">
        <v>32</v>
      </c>
      <c r="W47" s="81" t="s">
        <v>122</v>
      </c>
      <c r="X47" s="81" t="s">
        <v>121</v>
      </c>
      <c r="Y47" s="82">
        <v>34000</v>
      </c>
      <c r="Z47" s="83">
        <v>7644149</v>
      </c>
      <c r="AA47" s="81">
        <f t="shared" si="1"/>
        <v>224.82791176470587</v>
      </c>
      <c r="AB47" s="81" t="s">
        <v>123</v>
      </c>
      <c r="AC47" s="81" t="s">
        <v>126</v>
      </c>
      <c r="AD47" s="48" t="s">
        <v>127</v>
      </c>
      <c r="AE47" s="84">
        <v>438351505</v>
      </c>
      <c r="AF47" s="85">
        <v>109575489</v>
      </c>
      <c r="AG47" s="81">
        <f t="shared" si="2"/>
        <v>0.24997174128556945</v>
      </c>
    </row>
    <row r="48" spans="10:33">
      <c r="J48" s="48" t="s">
        <v>123</v>
      </c>
      <c r="K48" s="78" t="s">
        <v>127</v>
      </c>
      <c r="L48" s="79" t="s">
        <v>126</v>
      </c>
      <c r="M48" s="82">
        <v>286507394</v>
      </c>
      <c r="N48" s="83">
        <v>238730591</v>
      </c>
      <c r="O48" s="81">
        <f t="shared" si="3"/>
        <v>0.83324408374605508</v>
      </c>
      <c r="P48" s="81" t="s">
        <v>123</v>
      </c>
      <c r="Q48" s="48" t="s">
        <v>127</v>
      </c>
      <c r="R48" s="48" t="s">
        <v>126</v>
      </c>
      <c r="S48" s="82">
        <v>475627467</v>
      </c>
      <c r="T48" s="83">
        <v>219063755</v>
      </c>
      <c r="U48" s="81">
        <f t="shared" si="0"/>
        <v>0.46057843627437101</v>
      </c>
      <c r="V48" s="81" t="s">
        <v>123</v>
      </c>
      <c r="W48" s="81" t="s">
        <v>125</v>
      </c>
      <c r="X48" s="81" t="s">
        <v>124</v>
      </c>
      <c r="Y48" s="82">
        <v>9249</v>
      </c>
      <c r="Z48" s="83">
        <v>14907713</v>
      </c>
      <c r="AA48" s="81">
        <f t="shared" si="1"/>
        <v>1611.8188993404692</v>
      </c>
      <c r="AB48" s="81" t="s">
        <v>123</v>
      </c>
      <c r="AC48" s="81" t="s">
        <v>128</v>
      </c>
      <c r="AD48" s="48" t="s">
        <v>129</v>
      </c>
      <c r="AE48" s="84">
        <v>0</v>
      </c>
      <c r="AF48" s="85">
        <v>0</v>
      </c>
      <c r="AG48" s="81" t="e">
        <f t="shared" si="2"/>
        <v>#DIV/0!</v>
      </c>
    </row>
    <row r="49" spans="10:33">
      <c r="J49" s="48" t="s">
        <v>123</v>
      </c>
      <c r="K49" s="78" t="s">
        <v>129</v>
      </c>
      <c r="L49" s="79" t="s">
        <v>128</v>
      </c>
      <c r="M49" s="82">
        <v>19</v>
      </c>
      <c r="N49" s="83">
        <v>0</v>
      </c>
      <c r="O49" s="81">
        <f t="shared" si="3"/>
        <v>0</v>
      </c>
      <c r="P49" s="81" t="s">
        <v>123</v>
      </c>
      <c r="Q49" s="48" t="s">
        <v>129</v>
      </c>
      <c r="R49" s="48" t="s">
        <v>128</v>
      </c>
      <c r="S49" s="82">
        <v>20</v>
      </c>
      <c r="T49" s="83">
        <v>0</v>
      </c>
      <c r="U49" s="81">
        <f t="shared" si="0"/>
        <v>0</v>
      </c>
      <c r="V49" s="81" t="s">
        <v>123</v>
      </c>
      <c r="W49" s="81" t="s">
        <v>127</v>
      </c>
      <c r="X49" s="81" t="s">
        <v>126</v>
      </c>
      <c r="Y49" s="82">
        <v>636317629</v>
      </c>
      <c r="Z49" s="83">
        <v>435574388</v>
      </c>
      <c r="AA49" s="81">
        <f t="shared" si="1"/>
        <v>0.68452352747875855</v>
      </c>
      <c r="AB49" s="81" t="s">
        <v>123</v>
      </c>
      <c r="AC49" s="81" t="s">
        <v>130</v>
      </c>
      <c r="AD49" s="48" t="s">
        <v>131</v>
      </c>
      <c r="AE49" s="84">
        <v>20</v>
      </c>
      <c r="AF49" s="85">
        <v>0</v>
      </c>
      <c r="AG49" s="81">
        <f t="shared" si="2"/>
        <v>0</v>
      </c>
    </row>
    <row r="50" spans="10:33">
      <c r="J50" s="48" t="s">
        <v>123</v>
      </c>
      <c r="K50" s="78" t="s">
        <v>131</v>
      </c>
      <c r="L50" s="79" t="s">
        <v>130</v>
      </c>
      <c r="M50" s="82">
        <v>33</v>
      </c>
      <c r="N50" s="83">
        <v>0</v>
      </c>
      <c r="O50" s="81">
        <f t="shared" si="3"/>
        <v>0</v>
      </c>
      <c r="P50" s="81" t="s">
        <v>123</v>
      </c>
      <c r="Q50" s="48" t="s">
        <v>131</v>
      </c>
      <c r="R50" s="48" t="s">
        <v>130</v>
      </c>
      <c r="S50" s="82">
        <v>28</v>
      </c>
      <c r="T50" s="83">
        <v>0</v>
      </c>
      <c r="U50" s="81">
        <f t="shared" si="0"/>
        <v>0</v>
      </c>
      <c r="V50" s="81" t="s">
        <v>123</v>
      </c>
      <c r="W50" s="81" t="s">
        <v>129</v>
      </c>
      <c r="X50" s="81" t="s">
        <v>128</v>
      </c>
      <c r="Y50" s="82">
        <v>25</v>
      </c>
      <c r="Z50" s="83">
        <v>0</v>
      </c>
      <c r="AA50" s="81">
        <f t="shared" si="1"/>
        <v>0</v>
      </c>
      <c r="AB50" s="81" t="s">
        <v>123</v>
      </c>
      <c r="AC50" s="81" t="s">
        <v>132</v>
      </c>
      <c r="AD50" s="48" t="s">
        <v>133</v>
      </c>
      <c r="AE50" s="84">
        <v>0</v>
      </c>
      <c r="AF50" s="85">
        <v>0</v>
      </c>
      <c r="AG50" s="81" t="e">
        <f t="shared" si="2"/>
        <v>#DIV/0!</v>
      </c>
    </row>
    <row r="51" spans="10:33">
      <c r="J51" s="48" t="s">
        <v>123</v>
      </c>
      <c r="K51" s="80"/>
      <c r="L51" s="79" t="s">
        <v>134</v>
      </c>
      <c r="M51" s="82">
        <v>1050000</v>
      </c>
      <c r="N51" s="83">
        <v>0</v>
      </c>
      <c r="O51" s="81">
        <f t="shared" si="3"/>
        <v>0</v>
      </c>
      <c r="P51" s="81" t="s">
        <v>123</v>
      </c>
      <c r="S51" s="82">
        <v>204</v>
      </c>
      <c r="T51" s="83">
        <v>4742184</v>
      </c>
      <c r="U51" s="81">
        <f t="shared" si="0"/>
        <v>23246</v>
      </c>
      <c r="V51" s="81" t="s">
        <v>123</v>
      </c>
      <c r="W51" s="81" t="s">
        <v>131</v>
      </c>
      <c r="X51" s="81" t="s">
        <v>130</v>
      </c>
      <c r="Y51" s="82">
        <v>47</v>
      </c>
      <c r="Z51" s="83">
        <v>0</v>
      </c>
      <c r="AA51" s="81">
        <f t="shared" si="1"/>
        <v>0</v>
      </c>
      <c r="AB51" s="81" t="s">
        <v>123</v>
      </c>
      <c r="AC51" s="81" t="s">
        <v>134</v>
      </c>
      <c r="AE51" s="84">
        <v>0</v>
      </c>
      <c r="AF51" s="85">
        <v>0</v>
      </c>
      <c r="AG51" s="81" t="e">
        <f t="shared" si="2"/>
        <v>#DIV/0!</v>
      </c>
    </row>
    <row r="52" spans="10:33">
      <c r="V52" s="48" t="s">
        <v>123</v>
      </c>
      <c r="X52" s="48" t="s">
        <v>134</v>
      </c>
      <c r="Y52" s="82">
        <v>0</v>
      </c>
      <c r="Z52" s="83">
        <v>0</v>
      </c>
    </row>
    <row r="54" spans="10:33">
      <c r="J54" s="86"/>
      <c r="K54" s="86"/>
      <c r="L54" s="86"/>
      <c r="M54" s="86" t="s">
        <v>15</v>
      </c>
      <c r="N54" s="86"/>
      <c r="O54" s="86"/>
      <c r="P54" s="86"/>
      <c r="Q54" s="86"/>
      <c r="R54" s="86"/>
      <c r="S54" s="86">
        <v>2013</v>
      </c>
      <c r="T54" s="86"/>
      <c r="U54" s="86"/>
      <c r="V54" s="86"/>
      <c r="W54" s="86"/>
      <c r="X54" s="86"/>
      <c r="Y54" s="86" t="s">
        <v>16</v>
      </c>
      <c r="Z54" s="86"/>
      <c r="AA54" s="86"/>
      <c r="AB54" s="86"/>
      <c r="AC54" s="86"/>
      <c r="AD54" s="86"/>
      <c r="AE54" s="86" t="s">
        <v>17</v>
      </c>
      <c r="AF54" s="86"/>
      <c r="AG54" s="86"/>
    </row>
    <row r="55" spans="10:33">
      <c r="J55" s="86"/>
      <c r="K55" s="86"/>
      <c r="L55" s="86"/>
      <c r="M55" s="86" t="s">
        <v>19</v>
      </c>
      <c r="N55" s="86" t="s">
        <v>20</v>
      </c>
      <c r="O55" s="86" t="s">
        <v>21</v>
      </c>
      <c r="P55" s="86"/>
      <c r="Q55" s="86"/>
      <c r="R55" s="86"/>
      <c r="S55" s="86" t="s">
        <v>19</v>
      </c>
      <c r="T55" s="86" t="s">
        <v>20</v>
      </c>
      <c r="U55" s="86" t="s">
        <v>21</v>
      </c>
      <c r="V55" s="86"/>
      <c r="W55" s="86"/>
      <c r="X55" s="86"/>
      <c r="Y55" s="86" t="s">
        <v>19</v>
      </c>
      <c r="Z55" s="86" t="s">
        <v>20</v>
      </c>
      <c r="AA55" s="86" t="s">
        <v>21</v>
      </c>
      <c r="AB55" s="86"/>
      <c r="AC55" s="86"/>
      <c r="AD55" s="86"/>
      <c r="AE55" s="86" t="s">
        <v>19</v>
      </c>
      <c r="AF55" s="86" t="s">
        <v>20</v>
      </c>
      <c r="AG55" s="86" t="s">
        <v>21</v>
      </c>
    </row>
    <row r="56" spans="10:33">
      <c r="J56" s="48" t="s">
        <v>22</v>
      </c>
      <c r="M56" s="81">
        <f>SUMIF($J$3:$J$51,$J56,M$3:M$51)</f>
        <v>825036338</v>
      </c>
      <c r="N56" s="81">
        <f>SUMIF($J$3:$J$51,$J56,N$3:N$51)</f>
        <v>344300425820</v>
      </c>
      <c r="O56" s="81">
        <f>N56/M56</f>
        <v>417.31546837637592</v>
      </c>
      <c r="S56" s="81">
        <f>SUMIF($P$3:$P$50,$J56,S$3:S$50)</f>
        <v>1197005288</v>
      </c>
      <c r="T56" s="81">
        <f>SUMIF($P$3:$P$50,$J56,T$3:T$50)</f>
        <v>370110132581</v>
      </c>
      <c r="U56" s="81">
        <f>T56/S56</f>
        <v>309.19673980671672</v>
      </c>
      <c r="Y56" s="81">
        <f>SUMIF($V$3:$V$51,$J56,Y$3:Y$51)</f>
        <v>1318693708</v>
      </c>
      <c r="Z56" s="81">
        <f>SUMIF($V$3:$V$51,$J56,Z$3:Z$51)</f>
        <v>386880090767</v>
      </c>
      <c r="AA56" s="81">
        <f>Z56/Y56</f>
        <v>293.38131244575561</v>
      </c>
      <c r="AE56" s="81">
        <f>SUMIF($AB$3:$AB$51,$J56,AE$3:AE$51)</f>
        <v>775261506</v>
      </c>
      <c r="AF56" s="81">
        <f>SUMIF($AB$3:$AB$51,$J56,AF$3:AF$51)</f>
        <v>203789426654</v>
      </c>
      <c r="AG56" s="81">
        <f>AF56/AE56</f>
        <v>262.8654009992855</v>
      </c>
    </row>
    <row r="57" spans="10:33">
      <c r="J57" s="48" t="s">
        <v>29</v>
      </c>
      <c r="M57" s="81">
        <f t="shared" ref="M57:N59" si="4">SUMIF($J$3:$J$51,$J57,M$3:M$51)</f>
        <v>10959814</v>
      </c>
      <c r="N57" s="81">
        <f t="shared" si="4"/>
        <v>60993142137</v>
      </c>
      <c r="O57" s="81">
        <f t="shared" ref="O57:O59" si="5">N57/M57</f>
        <v>5565.1621585001349</v>
      </c>
      <c r="S57" s="81">
        <f>SUMIF($P$3:$P$50,$J57,S$3:S$50)</f>
        <v>12751053</v>
      </c>
      <c r="T57" s="81">
        <f>SUMIF($P$3:$P$50,$J57,T$3:T$50)</f>
        <v>61301951475</v>
      </c>
      <c r="U57" s="81">
        <f t="shared" ref="U57:U59" si="6">T57/S57</f>
        <v>4807.5991429884261</v>
      </c>
      <c r="Y57" s="81">
        <f>SUMIF($V$3:$V$51,$J57,Y$3:Y$51)</f>
        <v>13619342</v>
      </c>
      <c r="Z57" s="81">
        <f>SUMIF($V$3:$V$51,$J57,Z$3:Z$51)</f>
        <v>70906329634</v>
      </c>
      <c r="AA57" s="81">
        <f t="shared" ref="AA57:AA59" si="7">Z57/Y57</f>
        <v>5206.2962831831373</v>
      </c>
      <c r="AE57" s="81">
        <f t="shared" ref="AE57:AF59" si="8">SUMIF($AB$3:$AB$51,$J57,AE$3:AE$51)</f>
        <v>8166557</v>
      </c>
      <c r="AF57" s="81">
        <f t="shared" si="8"/>
        <v>38325480789</v>
      </c>
      <c r="AG57" s="81">
        <f>AF57/AE57</f>
        <v>4692.9790349837758</v>
      </c>
    </row>
    <row r="58" spans="10:33">
      <c r="J58" s="48" t="s">
        <v>32</v>
      </c>
      <c r="M58" s="81">
        <f t="shared" si="4"/>
        <v>218291395</v>
      </c>
      <c r="N58" s="81">
        <f t="shared" si="4"/>
        <v>113018611634</v>
      </c>
      <c r="O58" s="81">
        <f t="shared" si="5"/>
        <v>517.74194596172697</v>
      </c>
      <c r="S58" s="81">
        <f>SUMIF($P$3:$P$50,$J58,S$3:S$50)</f>
        <v>206989130</v>
      </c>
      <c r="T58" s="81">
        <f>SUMIF($P$3:$P$50,$J58,T$3:T$50)</f>
        <v>97080812148</v>
      </c>
      <c r="U58" s="81">
        <f t="shared" si="6"/>
        <v>469.01405956921508</v>
      </c>
      <c r="Y58" s="81">
        <f>SUMIF($V$3:$V$51,$J58,Y$3:Y$51)</f>
        <v>155942129</v>
      </c>
      <c r="Z58" s="81">
        <f>SUMIF($V$3:$V$51,$J58,Z$3:Z$51)</f>
        <v>77934425530</v>
      </c>
      <c r="AA58" s="81">
        <f t="shared" si="7"/>
        <v>499.76504764790019</v>
      </c>
      <c r="AE58" s="81">
        <f t="shared" si="8"/>
        <v>72879957</v>
      </c>
      <c r="AF58" s="81">
        <f t="shared" si="8"/>
        <v>36927417898</v>
      </c>
      <c r="AG58" s="81">
        <f t="shared" ref="AG58:AG59" si="9">AF58/AE58</f>
        <v>506.6882503511905</v>
      </c>
    </row>
    <row r="59" spans="10:33">
      <c r="J59" s="48" t="s">
        <v>123</v>
      </c>
      <c r="M59" s="81">
        <f t="shared" si="4"/>
        <v>302417823</v>
      </c>
      <c r="N59" s="81">
        <f t="shared" si="4"/>
        <v>1032359252</v>
      </c>
      <c r="O59" s="81">
        <f t="shared" si="5"/>
        <v>3.4136852178847938</v>
      </c>
      <c r="S59" s="81">
        <f>SUMIF($P$3:$P$50,$J59,S$3:S$50)</f>
        <v>476499209</v>
      </c>
      <c r="T59" s="81">
        <f>SUMIF($P$3:$P$50,$J59,T$3:T$50)</f>
        <v>275473888</v>
      </c>
      <c r="U59" s="81">
        <f t="shared" si="6"/>
        <v>0.57812034689022962</v>
      </c>
      <c r="Y59" s="81">
        <f>SUMIF($V$3:$V$51,$J59,Y$3:Y$51)</f>
        <v>636326950</v>
      </c>
      <c r="Z59" s="81">
        <f>SUMIF($V$3:$V$51,$J59,Z$3:Z$51)</f>
        <v>450482101</v>
      </c>
      <c r="AA59" s="81">
        <f t="shared" si="7"/>
        <v>0.70794125724205148</v>
      </c>
      <c r="AE59" s="81">
        <f t="shared" si="8"/>
        <v>438559993</v>
      </c>
      <c r="AF59" s="81">
        <f t="shared" si="8"/>
        <v>164872829</v>
      </c>
      <c r="AG59" s="81">
        <f t="shared" si="9"/>
        <v>0.37594133443904904</v>
      </c>
    </row>
    <row r="60" spans="10:33">
      <c r="T60" s="81"/>
    </row>
    <row r="61" spans="10:33" ht="12" customHeight="1">
      <c r="M61" s="48">
        <v>825036338</v>
      </c>
      <c r="N61" s="48">
        <v>344300425820</v>
      </c>
      <c r="O61" s="81">
        <f>N61/M61</f>
        <v>417.31546837637592</v>
      </c>
      <c r="S61" s="48">
        <v>1197005288</v>
      </c>
      <c r="T61" s="81">
        <v>370110132581</v>
      </c>
      <c r="U61" s="81">
        <f>T61/S61</f>
        <v>309.19673980671672</v>
      </c>
      <c r="Y61" s="48">
        <v>1318693708</v>
      </c>
      <c r="Z61" s="81">
        <v>386880090767</v>
      </c>
      <c r="AA61" s="81">
        <f t="shared" ref="AA61:AA64" si="10">Z61/Y61</f>
        <v>293.38131244575561</v>
      </c>
      <c r="AE61" s="48">
        <v>775261506</v>
      </c>
      <c r="AF61" s="81">
        <v>203789426654</v>
      </c>
      <c r="AG61" s="81">
        <f t="shared" ref="AG61:AG64" si="11">AF61/AE61</f>
        <v>262.8654009992855</v>
      </c>
    </row>
    <row r="62" spans="10:33" ht="12" customHeight="1">
      <c r="M62" s="48">
        <v>10959814</v>
      </c>
      <c r="N62" s="48">
        <v>60993142137</v>
      </c>
      <c r="O62" s="81">
        <f t="shared" ref="O62:O65" si="12">N62/M62</f>
        <v>5565.1621585001349</v>
      </c>
      <c r="S62" s="48">
        <v>12751053</v>
      </c>
      <c r="T62" s="81">
        <v>61301951475</v>
      </c>
      <c r="U62" s="81">
        <f t="shared" ref="U62:U65" si="13">T62/S62</f>
        <v>4807.5991429884261</v>
      </c>
      <c r="Y62" s="48">
        <v>13619342</v>
      </c>
      <c r="Z62" s="81">
        <v>70906329634</v>
      </c>
      <c r="AA62" s="81">
        <f t="shared" si="10"/>
        <v>5206.2962831831373</v>
      </c>
      <c r="AE62" s="48">
        <v>8166557</v>
      </c>
      <c r="AF62" s="81">
        <v>38325480789</v>
      </c>
      <c r="AG62" s="81">
        <f t="shared" si="11"/>
        <v>4692.9790349837758</v>
      </c>
    </row>
    <row r="63" spans="10:33" ht="12" customHeight="1">
      <c r="M63" s="48">
        <v>218291395</v>
      </c>
      <c r="N63" s="48">
        <v>113018611634</v>
      </c>
      <c r="O63" s="81">
        <f t="shared" si="12"/>
        <v>517.74194596172697</v>
      </c>
      <c r="S63" s="48">
        <v>206989130</v>
      </c>
      <c r="T63" s="81">
        <v>97080812148</v>
      </c>
      <c r="U63" s="81">
        <f t="shared" si="13"/>
        <v>469.01405956921508</v>
      </c>
      <c r="Y63" s="48">
        <v>155942129</v>
      </c>
      <c r="Z63" s="81">
        <v>77934425530</v>
      </c>
      <c r="AA63" s="81">
        <f t="shared" si="10"/>
        <v>499.76504764790019</v>
      </c>
      <c r="AE63" s="48">
        <v>72879957</v>
      </c>
      <c r="AF63" s="81">
        <v>36927417898</v>
      </c>
      <c r="AG63" s="81">
        <f t="shared" si="11"/>
        <v>506.6882503511905</v>
      </c>
    </row>
    <row r="64" spans="10:33" ht="12" customHeight="1">
      <c r="M64" s="48">
        <v>302417823</v>
      </c>
      <c r="N64" s="48">
        <v>1032359252</v>
      </c>
      <c r="O64" s="81">
        <f t="shared" si="12"/>
        <v>3.4136852178847938</v>
      </c>
      <c r="S64" s="48">
        <v>476499413</v>
      </c>
      <c r="T64" s="81">
        <v>280216072</v>
      </c>
      <c r="U64" s="81">
        <f t="shared" si="13"/>
        <v>0.58807222916767787</v>
      </c>
      <c r="Y64" s="48">
        <v>636326950</v>
      </c>
      <c r="Z64" s="81">
        <v>450482101</v>
      </c>
      <c r="AA64" s="81">
        <f t="shared" si="10"/>
        <v>0.70794125724205148</v>
      </c>
      <c r="AE64" s="48">
        <v>438559993</v>
      </c>
      <c r="AF64" s="81">
        <v>164872829</v>
      </c>
      <c r="AG64" s="81">
        <f t="shared" si="11"/>
        <v>0.37594133443904904</v>
      </c>
    </row>
    <row r="65" spans="13:33" ht="12" customHeight="1">
      <c r="M65" s="48">
        <v>1356705370</v>
      </c>
      <c r="N65" s="48">
        <v>519344538843</v>
      </c>
      <c r="O65" s="81">
        <f t="shared" si="12"/>
        <v>382.79832182207696</v>
      </c>
      <c r="S65" s="48">
        <v>1893244884</v>
      </c>
      <c r="T65" s="81">
        <v>528773112276</v>
      </c>
      <c r="U65" s="81">
        <f t="shared" si="13"/>
        <v>279.29462096779656</v>
      </c>
      <c r="Y65" s="48">
        <v>2124582129</v>
      </c>
      <c r="Z65" s="81">
        <v>536171328032</v>
      </c>
      <c r="AA65" s="81"/>
      <c r="AE65" s="48">
        <v>1294868013</v>
      </c>
      <c r="AF65" s="81">
        <v>279207198170</v>
      </c>
      <c r="AG65" s="8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9"/>
  <sheetViews>
    <sheetView zoomScale="70" zoomScaleNormal="70" workbookViewId="0">
      <pane xSplit="3" ySplit="4" topLeftCell="Y5" activePane="bottomRight" state="frozen"/>
      <selection pane="bottomRight" activeCell="AC55" sqref="AC55:AD59"/>
      <selection pane="bottomLeft" activeCell="A5" sqref="A5"/>
      <selection pane="topRight" activeCell="C1" sqref="C1"/>
    </sheetView>
  </sheetViews>
  <sheetFormatPr defaultRowHeight="16.5"/>
  <cols>
    <col min="1" max="2" width="15.625" style="2" customWidth="1"/>
    <col min="3" max="3" width="30.625" customWidth="1"/>
    <col min="4" max="4" width="16.375" customWidth="1"/>
    <col min="5" max="56" width="15.625" style="5" customWidth="1"/>
    <col min="57" max="16384" width="9" style="5"/>
  </cols>
  <sheetData>
    <row r="1" spans="1:56" s="4" customFormat="1" ht="36.75" customHeight="1" thickBot="1">
      <c r="A1" s="1" t="s">
        <v>135</v>
      </c>
      <c r="B1" s="1"/>
      <c r="C1" s="3"/>
      <c r="D1" s="3"/>
    </row>
    <row r="2" spans="1:56">
      <c r="A2" s="108" t="s">
        <v>136</v>
      </c>
      <c r="B2" s="111" t="s">
        <v>137</v>
      </c>
      <c r="C2" s="113" t="s">
        <v>138</v>
      </c>
      <c r="D2" s="58"/>
      <c r="E2" s="27" t="s">
        <v>139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E2" s="29" t="s">
        <v>140</v>
      </c>
      <c r="AF2" s="30"/>
      <c r="AG2" s="30"/>
      <c r="AH2" s="30"/>
      <c r="AI2" s="30"/>
      <c r="AJ2" s="30"/>
      <c r="AK2" s="30"/>
      <c r="AL2" s="31"/>
      <c r="AM2" s="31"/>
      <c r="AN2" s="31"/>
      <c r="AO2" s="31"/>
      <c r="AP2" s="31"/>
      <c r="AQ2" s="32"/>
      <c r="AR2" s="29" t="s">
        <v>141</v>
      </c>
      <c r="AS2" s="30"/>
      <c r="AT2" s="30"/>
      <c r="AU2" s="30"/>
      <c r="AV2" s="30"/>
      <c r="AW2" s="30"/>
      <c r="AX2" s="30"/>
      <c r="AY2" s="31"/>
      <c r="AZ2" s="31"/>
      <c r="BA2" s="31"/>
      <c r="BB2" s="31"/>
      <c r="BC2" s="31"/>
      <c r="BD2" s="32"/>
    </row>
    <row r="3" spans="1:56">
      <c r="A3" s="109"/>
      <c r="B3" s="112"/>
      <c r="C3" s="114"/>
      <c r="D3" s="59" t="s">
        <v>142</v>
      </c>
      <c r="E3" s="115" t="s">
        <v>143</v>
      </c>
      <c r="F3" s="106"/>
      <c r="G3" s="106" t="s">
        <v>144</v>
      </c>
      <c r="H3" s="106"/>
      <c r="I3" s="106" t="s">
        <v>145</v>
      </c>
      <c r="J3" s="106"/>
      <c r="K3" s="106" t="s">
        <v>146</v>
      </c>
      <c r="L3" s="106"/>
      <c r="M3" s="106" t="s">
        <v>147</v>
      </c>
      <c r="N3" s="106"/>
      <c r="O3" s="106" t="s">
        <v>148</v>
      </c>
      <c r="P3" s="106"/>
      <c r="Q3" s="106" t="s">
        <v>149</v>
      </c>
      <c r="R3" s="106"/>
      <c r="S3" s="106" t="s">
        <v>150</v>
      </c>
      <c r="T3" s="106"/>
      <c r="U3" s="106" t="s">
        <v>151</v>
      </c>
      <c r="V3" s="106"/>
      <c r="W3" s="106" t="s">
        <v>152</v>
      </c>
      <c r="X3" s="106"/>
      <c r="Y3" s="106" t="s">
        <v>153</v>
      </c>
      <c r="Z3" s="106"/>
      <c r="AA3" s="106" t="s">
        <v>154</v>
      </c>
      <c r="AB3" s="106"/>
      <c r="AC3" s="106" t="s">
        <v>155</v>
      </c>
      <c r="AD3" s="107"/>
      <c r="AE3" s="6"/>
      <c r="AF3" s="7"/>
      <c r="AG3" s="7"/>
      <c r="AH3" s="7"/>
      <c r="AI3" s="7"/>
      <c r="AJ3" s="7"/>
      <c r="AK3" s="7"/>
      <c r="AL3" s="33"/>
      <c r="AM3" s="33"/>
      <c r="AN3" s="33"/>
      <c r="AO3" s="33"/>
      <c r="AP3" s="33"/>
      <c r="AQ3" s="8"/>
      <c r="AR3" s="6"/>
      <c r="AS3" s="7"/>
      <c r="AT3" s="7"/>
      <c r="AU3" s="7"/>
      <c r="AV3" s="7"/>
      <c r="AW3" s="7"/>
      <c r="AX3" s="7"/>
      <c r="AY3" s="33"/>
      <c r="AZ3" s="33"/>
      <c r="BA3" s="33"/>
      <c r="BB3" s="33"/>
      <c r="BC3" s="33"/>
      <c r="BD3" s="8"/>
    </row>
    <row r="4" spans="1:56" s="10" customFormat="1">
      <c r="A4" s="110"/>
      <c r="B4" s="112"/>
      <c r="C4" s="114"/>
      <c r="D4" s="59" t="s">
        <v>156</v>
      </c>
      <c r="E4" s="76" t="s">
        <v>157</v>
      </c>
      <c r="F4" s="74" t="s">
        <v>158</v>
      </c>
      <c r="G4" s="74" t="s">
        <v>157</v>
      </c>
      <c r="H4" s="74" t="s">
        <v>158</v>
      </c>
      <c r="I4" s="74" t="s">
        <v>157</v>
      </c>
      <c r="J4" s="74" t="s">
        <v>158</v>
      </c>
      <c r="K4" s="74" t="s">
        <v>157</v>
      </c>
      <c r="L4" s="74" t="s">
        <v>158</v>
      </c>
      <c r="M4" s="74" t="s">
        <v>157</v>
      </c>
      <c r="N4" s="74" t="s">
        <v>158</v>
      </c>
      <c r="O4" s="74" t="s">
        <v>157</v>
      </c>
      <c r="P4" s="74" t="s">
        <v>158</v>
      </c>
      <c r="Q4" s="74" t="s">
        <v>157</v>
      </c>
      <c r="R4" s="74" t="s">
        <v>158</v>
      </c>
      <c r="S4" s="74" t="s">
        <v>157</v>
      </c>
      <c r="T4" s="74" t="s">
        <v>158</v>
      </c>
      <c r="U4" s="74" t="s">
        <v>157</v>
      </c>
      <c r="V4" s="74" t="s">
        <v>158</v>
      </c>
      <c r="W4" s="74" t="s">
        <v>157</v>
      </c>
      <c r="X4" s="74" t="s">
        <v>158</v>
      </c>
      <c r="Y4" s="74" t="s">
        <v>157</v>
      </c>
      <c r="Z4" s="74" t="s">
        <v>158</v>
      </c>
      <c r="AA4" s="74" t="s">
        <v>157</v>
      </c>
      <c r="AB4" s="74" t="s">
        <v>158</v>
      </c>
      <c r="AC4" s="74" t="s">
        <v>157</v>
      </c>
      <c r="AD4" s="77" t="s">
        <v>158</v>
      </c>
      <c r="AE4" s="6" t="s">
        <v>159</v>
      </c>
      <c r="AF4" s="7" t="s">
        <v>144</v>
      </c>
      <c r="AG4" s="7" t="s">
        <v>145</v>
      </c>
      <c r="AH4" s="7" t="s">
        <v>146</v>
      </c>
      <c r="AI4" s="7" t="s">
        <v>147</v>
      </c>
      <c r="AJ4" s="7" t="s">
        <v>148</v>
      </c>
      <c r="AK4" s="7" t="s">
        <v>149</v>
      </c>
      <c r="AL4" s="7" t="s">
        <v>150</v>
      </c>
      <c r="AM4" s="7" t="s">
        <v>151</v>
      </c>
      <c r="AN4" s="7" t="s">
        <v>152</v>
      </c>
      <c r="AO4" s="7" t="s">
        <v>153</v>
      </c>
      <c r="AP4" s="7" t="s">
        <v>154</v>
      </c>
      <c r="AQ4" s="8" t="s">
        <v>155</v>
      </c>
      <c r="AR4" s="6" t="s">
        <v>159</v>
      </c>
      <c r="AS4" s="7" t="s">
        <v>144</v>
      </c>
      <c r="AT4" s="7" t="s">
        <v>145</v>
      </c>
      <c r="AU4" s="7" t="s">
        <v>146</v>
      </c>
      <c r="AV4" s="7" t="s">
        <v>147</v>
      </c>
      <c r="AW4" s="7" t="s">
        <v>148</v>
      </c>
      <c r="AX4" s="7" t="s">
        <v>149</v>
      </c>
      <c r="AY4" s="7" t="s">
        <v>150</v>
      </c>
      <c r="AZ4" s="7" t="s">
        <v>151</v>
      </c>
      <c r="BA4" s="7" t="s">
        <v>152</v>
      </c>
      <c r="BB4" s="7" t="s">
        <v>153</v>
      </c>
      <c r="BC4" s="7" t="s">
        <v>154</v>
      </c>
      <c r="BD4" s="9" t="s">
        <v>155</v>
      </c>
    </row>
    <row r="5" spans="1:56" s="41" customFormat="1">
      <c r="A5" s="44" t="s">
        <v>160</v>
      </c>
      <c r="B5" s="42" t="s">
        <v>25</v>
      </c>
      <c r="C5" s="35" t="s">
        <v>26</v>
      </c>
      <c r="D5" s="61">
        <f>AD5+AQ5+BD5</f>
        <v>47712326409</v>
      </c>
      <c r="E5" s="36">
        <v>1045019</v>
      </c>
      <c r="F5" s="37">
        <v>3617195871</v>
      </c>
      <c r="G5" s="37">
        <v>1198935</v>
      </c>
      <c r="H5" s="37">
        <v>4203019770</v>
      </c>
      <c r="I5" s="37">
        <v>1124601</v>
      </c>
      <c r="J5" s="37">
        <v>4195230940</v>
      </c>
      <c r="K5" s="37">
        <v>1140715</v>
      </c>
      <c r="L5" s="37">
        <v>4168909585</v>
      </c>
      <c r="M5" s="37">
        <v>1037295</v>
      </c>
      <c r="N5" s="37">
        <v>3904389774</v>
      </c>
      <c r="O5" s="37">
        <v>1111043</v>
      </c>
      <c r="P5" s="37">
        <v>4620388686</v>
      </c>
      <c r="Q5" s="37">
        <v>1053299</v>
      </c>
      <c r="R5" s="37">
        <v>4027283548</v>
      </c>
      <c r="S5" s="37">
        <v>856791</v>
      </c>
      <c r="T5" s="37">
        <v>2927348135</v>
      </c>
      <c r="U5" s="37">
        <v>1078174</v>
      </c>
      <c r="V5" s="37">
        <v>3708338544</v>
      </c>
      <c r="W5" s="37">
        <v>1130235</v>
      </c>
      <c r="X5" s="37">
        <v>4070084738</v>
      </c>
      <c r="Y5" s="37">
        <v>1167950</v>
      </c>
      <c r="Z5" s="37">
        <v>4055053504</v>
      </c>
      <c r="AA5" s="37">
        <v>1041113</v>
      </c>
      <c r="AB5" s="37">
        <v>4215083314</v>
      </c>
      <c r="AC5" s="37">
        <f t="shared" ref="AC5:AC52" si="0">SUM(E5,G5,I5,K5,M5,O5,Q5,S5,U5,W5,Y5,AA5)</f>
        <v>12985170</v>
      </c>
      <c r="AD5" s="38">
        <f t="shared" ref="AD5:AD52" si="1">SUM(F5,H5,J5,L5,N5,P5,R5,T5,V5,X5,Z5,AB5)</f>
        <v>47712326409</v>
      </c>
      <c r="AE5" s="39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38">
        <f t="shared" ref="AQ5:AQ52" si="2">SUM(AE5:AP5)</f>
        <v>0</v>
      </c>
      <c r="AR5" s="39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40">
        <v>0</v>
      </c>
      <c r="AZ5" s="40">
        <v>0</v>
      </c>
      <c r="BA5" s="40">
        <v>0</v>
      </c>
      <c r="BB5" s="40">
        <v>0</v>
      </c>
      <c r="BC5" s="40">
        <v>0</v>
      </c>
      <c r="BD5" s="38">
        <f t="shared" ref="BD5:BD52" si="3">SUM(AR5:BC5)</f>
        <v>0</v>
      </c>
    </row>
    <row r="6" spans="1:56" s="41" customFormat="1">
      <c r="A6" s="44" t="s">
        <v>160</v>
      </c>
      <c r="B6" s="42" t="s">
        <v>27</v>
      </c>
      <c r="C6" s="35" t="s">
        <v>28</v>
      </c>
      <c r="D6" s="61">
        <f t="shared" ref="D6:D52" si="4">AD6+AQ6+BD6</f>
        <v>451683356</v>
      </c>
      <c r="E6" s="36">
        <v>412</v>
      </c>
      <c r="F6" s="37">
        <v>35134289</v>
      </c>
      <c r="G6" s="37">
        <v>600</v>
      </c>
      <c r="H6" s="37">
        <v>34412633</v>
      </c>
      <c r="I6" s="37">
        <v>564</v>
      </c>
      <c r="J6" s="37">
        <v>136693131</v>
      </c>
      <c r="K6" s="37">
        <v>475</v>
      </c>
      <c r="L6" s="37">
        <v>-312606769</v>
      </c>
      <c r="M6" s="37">
        <v>321</v>
      </c>
      <c r="N6" s="37">
        <v>397973288</v>
      </c>
      <c r="O6" s="37">
        <v>442</v>
      </c>
      <c r="P6" s="37">
        <v>44285232</v>
      </c>
      <c r="Q6" s="37">
        <v>365</v>
      </c>
      <c r="R6" s="37">
        <v>33017596</v>
      </c>
      <c r="S6" s="37">
        <v>199</v>
      </c>
      <c r="T6" s="37">
        <v>33193516</v>
      </c>
      <c r="U6" s="37">
        <v>294</v>
      </c>
      <c r="V6" s="37">
        <v>30880440</v>
      </c>
      <c r="W6" s="37">
        <v>90</v>
      </c>
      <c r="X6" s="37">
        <v>15300000</v>
      </c>
      <c r="Y6" s="37">
        <v>10</v>
      </c>
      <c r="Z6" s="37">
        <v>1700000</v>
      </c>
      <c r="AA6" s="37">
        <v>10</v>
      </c>
      <c r="AB6" s="37">
        <v>1700000</v>
      </c>
      <c r="AC6" s="37">
        <f t="shared" si="0"/>
        <v>3782</v>
      </c>
      <c r="AD6" s="38">
        <f t="shared" si="1"/>
        <v>451683356</v>
      </c>
      <c r="AE6" s="39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38">
        <f t="shared" si="2"/>
        <v>0</v>
      </c>
      <c r="AR6" s="39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38">
        <f t="shared" si="3"/>
        <v>0</v>
      </c>
    </row>
    <row r="7" spans="1:56" s="41" customFormat="1">
      <c r="A7" s="44" t="s">
        <v>160</v>
      </c>
      <c r="B7" s="42" t="s">
        <v>30</v>
      </c>
      <c r="C7" s="35" t="s">
        <v>31</v>
      </c>
      <c r="D7" s="61">
        <f t="shared" si="4"/>
        <v>198946076</v>
      </c>
      <c r="E7" s="36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1182</v>
      </c>
      <c r="L7" s="37">
        <v>15957000</v>
      </c>
      <c r="M7" s="37">
        <v>998</v>
      </c>
      <c r="N7" s="37">
        <v>92277798</v>
      </c>
      <c r="O7" s="37">
        <v>-90</v>
      </c>
      <c r="P7" s="37">
        <v>-4591998</v>
      </c>
      <c r="Q7" s="37">
        <v>693</v>
      </c>
      <c r="R7" s="37">
        <v>34864830</v>
      </c>
      <c r="S7" s="37">
        <v>192</v>
      </c>
      <c r="T7" s="37">
        <v>9666450</v>
      </c>
      <c r="U7" s="37">
        <v>-86</v>
      </c>
      <c r="V7" s="37">
        <v>-4324740</v>
      </c>
      <c r="W7" s="37">
        <v>320</v>
      </c>
      <c r="X7" s="37">
        <v>16098340</v>
      </c>
      <c r="Y7" s="37">
        <v>-43</v>
      </c>
      <c r="Z7" s="37">
        <v>-2121844</v>
      </c>
      <c r="AA7" s="37">
        <v>1010</v>
      </c>
      <c r="AB7" s="37">
        <v>41120240</v>
      </c>
      <c r="AC7" s="37">
        <f t="shared" si="0"/>
        <v>4176</v>
      </c>
      <c r="AD7" s="38">
        <f t="shared" si="1"/>
        <v>198946076</v>
      </c>
      <c r="AE7" s="39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38">
        <f t="shared" si="2"/>
        <v>0</v>
      </c>
      <c r="AR7" s="39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38">
        <f t="shared" si="3"/>
        <v>0</v>
      </c>
    </row>
    <row r="8" spans="1:56" s="41" customFormat="1">
      <c r="A8" s="44" t="s">
        <v>160</v>
      </c>
      <c r="B8" s="42" t="s">
        <v>33</v>
      </c>
      <c r="C8" s="35" t="s">
        <v>34</v>
      </c>
      <c r="D8" s="61">
        <f t="shared" si="4"/>
        <v>21042114878</v>
      </c>
      <c r="E8" s="36">
        <v>534115</v>
      </c>
      <c r="F8" s="37">
        <v>1827401114</v>
      </c>
      <c r="G8" s="37">
        <v>569032</v>
      </c>
      <c r="H8" s="37">
        <v>1819745747</v>
      </c>
      <c r="I8" s="37">
        <v>562115</v>
      </c>
      <c r="J8" s="37">
        <v>1780111199</v>
      </c>
      <c r="K8" s="37">
        <v>605588</v>
      </c>
      <c r="L8" s="37">
        <v>1648605982</v>
      </c>
      <c r="M8" s="37">
        <v>565222</v>
      </c>
      <c r="N8" s="37">
        <v>1580908731</v>
      </c>
      <c r="O8" s="37">
        <v>444901</v>
      </c>
      <c r="P8" s="37">
        <v>1614461689</v>
      </c>
      <c r="Q8" s="37">
        <v>566225</v>
      </c>
      <c r="R8" s="37">
        <v>1510688676</v>
      </c>
      <c r="S8" s="37">
        <v>878410</v>
      </c>
      <c r="T8" s="37">
        <v>1627619460</v>
      </c>
      <c r="U8" s="37">
        <v>399328</v>
      </c>
      <c r="V8" s="37">
        <v>1736235630</v>
      </c>
      <c r="W8" s="37">
        <v>1317782</v>
      </c>
      <c r="X8" s="37">
        <v>1856538770</v>
      </c>
      <c r="Y8" s="37">
        <v>2049064</v>
      </c>
      <c r="Z8" s="37">
        <v>1912752235</v>
      </c>
      <c r="AA8" s="37">
        <v>1887399</v>
      </c>
      <c r="AB8" s="37">
        <v>2105710386</v>
      </c>
      <c r="AC8" s="37">
        <f t="shared" si="0"/>
        <v>10379181</v>
      </c>
      <c r="AD8" s="38">
        <f t="shared" si="1"/>
        <v>21020779619</v>
      </c>
      <c r="AE8" s="39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38">
        <f t="shared" si="2"/>
        <v>0</v>
      </c>
      <c r="AR8" s="39">
        <v>282225</v>
      </c>
      <c r="AS8" s="37">
        <v>336256</v>
      </c>
      <c r="AT8" s="37">
        <v>373528</v>
      </c>
      <c r="AU8" s="37">
        <v>509838</v>
      </c>
      <c r="AV8" s="37">
        <v>467772</v>
      </c>
      <c r="AW8" s="37">
        <v>173448</v>
      </c>
      <c r="AX8" s="37">
        <v>652328</v>
      </c>
      <c r="AY8" s="40">
        <v>2329774</v>
      </c>
      <c r="AZ8" s="40">
        <v>0</v>
      </c>
      <c r="BA8" s="40">
        <v>1401593</v>
      </c>
      <c r="BB8" s="40">
        <v>7201305</v>
      </c>
      <c r="BC8" s="40">
        <v>7607192</v>
      </c>
      <c r="BD8" s="38">
        <f t="shared" si="3"/>
        <v>21335259</v>
      </c>
    </row>
    <row r="9" spans="1:56" s="41" customFormat="1">
      <c r="A9" s="44" t="s">
        <v>160</v>
      </c>
      <c r="B9" s="42" t="s">
        <v>35</v>
      </c>
      <c r="C9" s="35" t="s">
        <v>36</v>
      </c>
      <c r="D9" s="61">
        <f t="shared" si="4"/>
        <v>84367715472</v>
      </c>
      <c r="E9" s="36">
        <v>17615386</v>
      </c>
      <c r="F9" s="37">
        <v>6272014915</v>
      </c>
      <c r="G9" s="37">
        <v>12958105</v>
      </c>
      <c r="H9" s="37">
        <v>6394704509</v>
      </c>
      <c r="I9" s="37">
        <v>16529106</v>
      </c>
      <c r="J9" s="37">
        <v>7263550295</v>
      </c>
      <c r="K9" s="37">
        <v>18894037</v>
      </c>
      <c r="L9" s="37">
        <v>7043417897</v>
      </c>
      <c r="M9" s="37">
        <v>13809373</v>
      </c>
      <c r="N9" s="37">
        <v>6648296227</v>
      </c>
      <c r="O9" s="37">
        <v>7101796</v>
      </c>
      <c r="P9" s="37">
        <v>7284738896</v>
      </c>
      <c r="Q9" s="37">
        <v>9340584</v>
      </c>
      <c r="R9" s="37">
        <v>7246697965</v>
      </c>
      <c r="S9" s="37">
        <v>8754599</v>
      </c>
      <c r="T9" s="37">
        <v>5756013659</v>
      </c>
      <c r="U9" s="37">
        <v>8624607</v>
      </c>
      <c r="V9" s="37">
        <v>6438778511</v>
      </c>
      <c r="W9" s="37">
        <v>22690311</v>
      </c>
      <c r="X9" s="37">
        <v>6890720769</v>
      </c>
      <c r="Y9" s="37">
        <v>28821041</v>
      </c>
      <c r="Z9" s="37">
        <v>7248040267</v>
      </c>
      <c r="AA9" s="37">
        <v>28139647</v>
      </c>
      <c r="AB9" s="37">
        <v>7322731813</v>
      </c>
      <c r="AC9" s="37">
        <f t="shared" si="0"/>
        <v>193278592</v>
      </c>
      <c r="AD9" s="38">
        <f t="shared" si="1"/>
        <v>81809705723</v>
      </c>
      <c r="AE9" s="39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38">
        <f t="shared" si="2"/>
        <v>0</v>
      </c>
      <c r="AR9" s="39">
        <v>192653802</v>
      </c>
      <c r="AS9" s="37">
        <v>181919454</v>
      </c>
      <c r="AT9" s="37">
        <v>112306257</v>
      </c>
      <c r="AU9" s="37">
        <v>124430043</v>
      </c>
      <c r="AV9" s="37">
        <v>135844569</v>
      </c>
      <c r="AW9" s="37">
        <v>78029527</v>
      </c>
      <c r="AX9" s="37">
        <v>89397679</v>
      </c>
      <c r="AY9" s="40">
        <v>72790654</v>
      </c>
      <c r="AZ9" s="40">
        <v>89981240</v>
      </c>
      <c r="BA9" s="40">
        <v>803737638</v>
      </c>
      <c r="BB9" s="40">
        <v>326476098</v>
      </c>
      <c r="BC9" s="40">
        <v>350442788</v>
      </c>
      <c r="BD9" s="38">
        <f t="shared" si="3"/>
        <v>2558009749</v>
      </c>
    </row>
    <row r="10" spans="1:56" s="41" customFormat="1">
      <c r="A10" s="44" t="s">
        <v>160</v>
      </c>
      <c r="B10" s="42" t="s">
        <v>37</v>
      </c>
      <c r="C10" s="35" t="s">
        <v>38</v>
      </c>
      <c r="D10" s="61">
        <f t="shared" si="4"/>
        <v>61886048901</v>
      </c>
      <c r="E10" s="36">
        <v>8409371</v>
      </c>
      <c r="F10" s="37">
        <v>4706305315</v>
      </c>
      <c r="G10" s="37">
        <v>10010541</v>
      </c>
      <c r="H10" s="37">
        <v>5319646822</v>
      </c>
      <c r="I10" s="37">
        <v>13025742</v>
      </c>
      <c r="J10" s="37">
        <v>6088899091</v>
      </c>
      <c r="K10" s="37">
        <v>8344100</v>
      </c>
      <c r="L10" s="37">
        <v>5905529384</v>
      </c>
      <c r="M10" s="37">
        <v>10600065</v>
      </c>
      <c r="N10" s="37">
        <v>5413670247</v>
      </c>
      <c r="O10" s="37">
        <v>8091590</v>
      </c>
      <c r="P10" s="37">
        <v>5608799026</v>
      </c>
      <c r="Q10" s="37">
        <v>9254235</v>
      </c>
      <c r="R10" s="37">
        <v>4882752985</v>
      </c>
      <c r="S10" s="37">
        <v>10330420</v>
      </c>
      <c r="T10" s="37">
        <v>4255931769</v>
      </c>
      <c r="U10" s="37">
        <v>8810776</v>
      </c>
      <c r="V10" s="37">
        <v>4622688355</v>
      </c>
      <c r="W10" s="37">
        <v>13239741</v>
      </c>
      <c r="X10" s="37">
        <v>4424038550</v>
      </c>
      <c r="Y10" s="37">
        <v>12192914</v>
      </c>
      <c r="Z10" s="37">
        <v>4917486980</v>
      </c>
      <c r="AA10" s="37">
        <v>11553262</v>
      </c>
      <c r="AB10" s="37">
        <v>5194821766</v>
      </c>
      <c r="AC10" s="37">
        <f t="shared" si="0"/>
        <v>123862757</v>
      </c>
      <c r="AD10" s="38">
        <f t="shared" si="1"/>
        <v>61340570290</v>
      </c>
      <c r="AE10" s="39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38">
        <f t="shared" si="2"/>
        <v>0</v>
      </c>
      <c r="AR10" s="39">
        <v>23014884</v>
      </c>
      <c r="AS10" s="37">
        <v>36689804</v>
      </c>
      <c r="AT10" s="37">
        <v>42992745</v>
      </c>
      <c r="AU10" s="37">
        <v>30228253</v>
      </c>
      <c r="AV10" s="37">
        <v>15473913</v>
      </c>
      <c r="AW10" s="37">
        <v>24173169</v>
      </c>
      <c r="AX10" s="37">
        <v>38205572</v>
      </c>
      <c r="AY10" s="40">
        <v>43234939</v>
      </c>
      <c r="AZ10" s="40">
        <v>23729506</v>
      </c>
      <c r="BA10" s="40">
        <v>86829960</v>
      </c>
      <c r="BB10" s="40">
        <v>110955228</v>
      </c>
      <c r="BC10" s="40">
        <v>69950638</v>
      </c>
      <c r="BD10" s="38">
        <f t="shared" si="3"/>
        <v>545478611</v>
      </c>
    </row>
    <row r="11" spans="1:56" s="41" customFormat="1">
      <c r="A11" s="44" t="s">
        <v>160</v>
      </c>
      <c r="B11" s="42" t="s">
        <v>39</v>
      </c>
      <c r="C11" s="35" t="s">
        <v>40</v>
      </c>
      <c r="D11" s="61">
        <f t="shared" si="4"/>
        <v>87757162794</v>
      </c>
      <c r="E11" s="36">
        <v>18634205</v>
      </c>
      <c r="F11" s="37">
        <v>6997179445</v>
      </c>
      <c r="G11" s="37">
        <v>22104438</v>
      </c>
      <c r="H11" s="37">
        <v>6830805581</v>
      </c>
      <c r="I11" s="37">
        <v>25203767</v>
      </c>
      <c r="J11" s="37">
        <v>6270714160</v>
      </c>
      <c r="K11" s="37">
        <v>15224570</v>
      </c>
      <c r="L11" s="37">
        <v>7247815958</v>
      </c>
      <c r="M11" s="37">
        <v>16961204</v>
      </c>
      <c r="N11" s="37">
        <v>7665068239</v>
      </c>
      <c r="O11" s="37">
        <v>19740128</v>
      </c>
      <c r="P11" s="37">
        <v>7733464190</v>
      </c>
      <c r="Q11" s="37">
        <v>25740518</v>
      </c>
      <c r="R11" s="37">
        <v>7125423407</v>
      </c>
      <c r="S11" s="37">
        <v>20568124</v>
      </c>
      <c r="T11" s="37">
        <v>5368700168</v>
      </c>
      <c r="U11" s="37">
        <v>26342946</v>
      </c>
      <c r="V11" s="37">
        <v>6820829707</v>
      </c>
      <c r="W11" s="37">
        <v>64245329</v>
      </c>
      <c r="X11" s="37">
        <v>7085135542</v>
      </c>
      <c r="Y11" s="37">
        <v>79624852</v>
      </c>
      <c r="Z11" s="37">
        <v>7897732904</v>
      </c>
      <c r="AA11" s="37">
        <v>69891425</v>
      </c>
      <c r="AB11" s="37">
        <v>7721047313</v>
      </c>
      <c r="AC11" s="37">
        <f t="shared" si="0"/>
        <v>404281506</v>
      </c>
      <c r="AD11" s="38">
        <f t="shared" si="1"/>
        <v>84763916614</v>
      </c>
      <c r="AE11" s="39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38">
        <f t="shared" si="2"/>
        <v>0</v>
      </c>
      <c r="AR11" s="39">
        <v>156595132</v>
      </c>
      <c r="AS11" s="37">
        <v>145481873</v>
      </c>
      <c r="AT11" s="37">
        <v>141853398</v>
      </c>
      <c r="AU11" s="37">
        <v>63672842</v>
      </c>
      <c r="AV11" s="37">
        <v>180907728</v>
      </c>
      <c r="AW11" s="37">
        <v>100207248</v>
      </c>
      <c r="AX11" s="37">
        <v>117579138</v>
      </c>
      <c r="AY11" s="40">
        <v>109011305</v>
      </c>
      <c r="AZ11" s="40">
        <v>109718533</v>
      </c>
      <c r="BA11" s="40">
        <v>1045911275</v>
      </c>
      <c r="BB11" s="40">
        <v>424685950</v>
      </c>
      <c r="BC11" s="40">
        <v>397621758</v>
      </c>
      <c r="BD11" s="38">
        <f t="shared" si="3"/>
        <v>2993246180</v>
      </c>
    </row>
    <row r="12" spans="1:56" s="41" customFormat="1">
      <c r="A12" s="44" t="s">
        <v>160</v>
      </c>
      <c r="B12" s="42" t="s">
        <v>41</v>
      </c>
      <c r="C12" s="35" t="s">
        <v>42</v>
      </c>
      <c r="D12" s="61">
        <f t="shared" si="4"/>
        <v>41663951325</v>
      </c>
      <c r="E12" s="36">
        <v>1096821</v>
      </c>
      <c r="F12" s="37">
        <v>2733147093</v>
      </c>
      <c r="G12" s="37">
        <v>1200284</v>
      </c>
      <c r="H12" s="37">
        <v>3205221439</v>
      </c>
      <c r="I12" s="37">
        <v>974987</v>
      </c>
      <c r="J12" s="37">
        <v>3205566356</v>
      </c>
      <c r="K12" s="37">
        <v>1040733</v>
      </c>
      <c r="L12" s="37">
        <v>3159478620</v>
      </c>
      <c r="M12" s="37">
        <v>1021858</v>
      </c>
      <c r="N12" s="37">
        <v>3447292822</v>
      </c>
      <c r="O12" s="37">
        <v>836230</v>
      </c>
      <c r="P12" s="37">
        <v>3567987996</v>
      </c>
      <c r="Q12" s="37">
        <v>1821941</v>
      </c>
      <c r="R12" s="37">
        <v>3530567866</v>
      </c>
      <c r="S12" s="37">
        <v>776429</v>
      </c>
      <c r="T12" s="37">
        <v>2926080397</v>
      </c>
      <c r="U12" s="37">
        <v>775782</v>
      </c>
      <c r="V12" s="37">
        <v>3473961566</v>
      </c>
      <c r="W12" s="37">
        <v>1070739</v>
      </c>
      <c r="X12" s="37">
        <v>4207635283</v>
      </c>
      <c r="Y12" s="37">
        <v>1523849</v>
      </c>
      <c r="Z12" s="37">
        <v>4556714289</v>
      </c>
      <c r="AA12" s="37">
        <v>972736</v>
      </c>
      <c r="AB12" s="37">
        <v>3649629600</v>
      </c>
      <c r="AC12" s="37">
        <f t="shared" si="0"/>
        <v>13112389</v>
      </c>
      <c r="AD12" s="38">
        <f t="shared" si="1"/>
        <v>41663283327</v>
      </c>
      <c r="AE12" s="39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38">
        <f t="shared" si="2"/>
        <v>0</v>
      </c>
      <c r="AR12" s="39">
        <v>0</v>
      </c>
      <c r="AS12" s="37">
        <v>0</v>
      </c>
      <c r="AT12" s="37">
        <v>0</v>
      </c>
      <c r="AU12" s="37">
        <v>667998</v>
      </c>
      <c r="AV12" s="37">
        <v>0</v>
      </c>
      <c r="AW12" s="37">
        <v>0</v>
      </c>
      <c r="AX12" s="37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38">
        <f t="shared" si="3"/>
        <v>667998</v>
      </c>
    </row>
    <row r="13" spans="1:56" s="41" customFormat="1">
      <c r="A13" s="44" t="s">
        <v>160</v>
      </c>
      <c r="B13" s="42" t="s">
        <v>43</v>
      </c>
      <c r="C13" s="35" t="s">
        <v>44</v>
      </c>
      <c r="D13" s="61">
        <f t="shared" si="4"/>
        <v>409100463</v>
      </c>
      <c r="E13" s="36">
        <v>744918</v>
      </c>
      <c r="F13" s="37">
        <v>171927154</v>
      </c>
      <c r="G13" s="37">
        <v>634393</v>
      </c>
      <c r="H13" s="37">
        <v>156064451</v>
      </c>
      <c r="I13" s="37">
        <v>9600</v>
      </c>
      <c r="J13" s="37">
        <v>2869304</v>
      </c>
      <c r="K13" s="37">
        <v>819227</v>
      </c>
      <c r="L13" s="37">
        <v>28378124</v>
      </c>
      <c r="M13" s="37">
        <v>51570</v>
      </c>
      <c r="N13" s="37">
        <v>15402600</v>
      </c>
      <c r="O13" s="37">
        <v>46400</v>
      </c>
      <c r="P13" s="37">
        <v>14485426</v>
      </c>
      <c r="Q13" s="37">
        <v>18200</v>
      </c>
      <c r="R13" s="37">
        <v>5495465</v>
      </c>
      <c r="S13" s="37">
        <v>66200</v>
      </c>
      <c r="T13" s="37">
        <v>14880977</v>
      </c>
      <c r="U13" s="37">
        <v>9</v>
      </c>
      <c r="V13" s="37">
        <v>29839</v>
      </c>
      <c r="W13" s="37">
        <v>297</v>
      </c>
      <c r="X13" s="37">
        <v>501128</v>
      </c>
      <c r="Y13" s="37">
        <v>-695</v>
      </c>
      <c r="Z13" s="37">
        <v>-1137130</v>
      </c>
      <c r="AA13" s="37">
        <v>125</v>
      </c>
      <c r="AB13" s="37">
        <v>203125</v>
      </c>
      <c r="AC13" s="37">
        <f t="shared" si="0"/>
        <v>2390244</v>
      </c>
      <c r="AD13" s="38">
        <f t="shared" si="1"/>
        <v>409100463</v>
      </c>
      <c r="AE13" s="39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38">
        <f t="shared" si="2"/>
        <v>0</v>
      </c>
      <c r="AR13" s="39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38">
        <f t="shared" si="3"/>
        <v>0</v>
      </c>
    </row>
    <row r="14" spans="1:56" s="41" customFormat="1">
      <c r="A14" s="44" t="s">
        <v>160</v>
      </c>
      <c r="B14" s="42" t="s">
        <v>45</v>
      </c>
      <c r="C14" s="35" t="s">
        <v>46</v>
      </c>
      <c r="D14" s="61">
        <f t="shared" si="4"/>
        <v>4953046965</v>
      </c>
      <c r="E14" s="36">
        <v>563881</v>
      </c>
      <c r="F14" s="37">
        <v>342563513</v>
      </c>
      <c r="G14" s="37">
        <v>11814783</v>
      </c>
      <c r="H14" s="37">
        <v>950228649</v>
      </c>
      <c r="I14" s="37">
        <v>30080959</v>
      </c>
      <c r="J14" s="37">
        <v>936299408</v>
      </c>
      <c r="K14" s="37">
        <v>2945434</v>
      </c>
      <c r="L14" s="37">
        <v>183800381</v>
      </c>
      <c r="M14" s="37">
        <v>2744943</v>
      </c>
      <c r="N14" s="37">
        <v>241646198</v>
      </c>
      <c r="O14" s="37">
        <v>1649492</v>
      </c>
      <c r="P14" s="37">
        <v>182405883</v>
      </c>
      <c r="Q14" s="37">
        <v>2756337</v>
      </c>
      <c r="R14" s="37">
        <v>196226603</v>
      </c>
      <c r="S14" s="37">
        <v>1939907</v>
      </c>
      <c r="T14" s="37">
        <v>249277773</v>
      </c>
      <c r="U14" s="37">
        <v>2594767</v>
      </c>
      <c r="V14" s="37">
        <v>259059438</v>
      </c>
      <c r="W14" s="37">
        <v>3331603</v>
      </c>
      <c r="X14" s="37">
        <v>500311281</v>
      </c>
      <c r="Y14" s="37">
        <v>2312101</v>
      </c>
      <c r="Z14" s="37">
        <v>449325586</v>
      </c>
      <c r="AA14" s="37">
        <v>2004334</v>
      </c>
      <c r="AB14" s="37">
        <v>438969230</v>
      </c>
      <c r="AC14" s="37">
        <f t="shared" si="0"/>
        <v>64738541</v>
      </c>
      <c r="AD14" s="38">
        <f t="shared" si="1"/>
        <v>4930113943</v>
      </c>
      <c r="AE14" s="39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38">
        <f t="shared" si="2"/>
        <v>0</v>
      </c>
      <c r="AR14" s="39">
        <v>0</v>
      </c>
      <c r="AS14" s="37">
        <v>1733916</v>
      </c>
      <c r="AT14" s="37">
        <v>6049232</v>
      </c>
      <c r="AU14" s="37">
        <v>0</v>
      </c>
      <c r="AV14" s="37">
        <v>1825566</v>
      </c>
      <c r="AW14" s="37">
        <v>205000</v>
      </c>
      <c r="AX14" s="37">
        <v>2511307</v>
      </c>
      <c r="AY14" s="40">
        <v>85344</v>
      </c>
      <c r="AZ14" s="40">
        <v>8744769</v>
      </c>
      <c r="BA14" s="40">
        <v>1615402</v>
      </c>
      <c r="BB14" s="40">
        <v>81785</v>
      </c>
      <c r="BC14" s="40">
        <v>80701</v>
      </c>
      <c r="BD14" s="38">
        <f t="shared" si="3"/>
        <v>22933022</v>
      </c>
    </row>
    <row r="15" spans="1:56" s="41" customFormat="1">
      <c r="A15" s="44" t="s">
        <v>29</v>
      </c>
      <c r="B15" s="42" t="s">
        <v>47</v>
      </c>
      <c r="C15" s="35" t="s">
        <v>48</v>
      </c>
      <c r="D15" s="61">
        <f t="shared" si="4"/>
        <v>0</v>
      </c>
      <c r="E15" s="36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f t="shared" si="0"/>
        <v>0</v>
      </c>
      <c r="AD15" s="38">
        <f t="shared" si="1"/>
        <v>0</v>
      </c>
      <c r="AE15" s="39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38">
        <f t="shared" si="2"/>
        <v>0</v>
      </c>
      <c r="AR15" s="39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38">
        <f t="shared" si="3"/>
        <v>0</v>
      </c>
    </row>
    <row r="16" spans="1:56" s="41" customFormat="1">
      <c r="A16" s="44" t="s">
        <v>161</v>
      </c>
      <c r="B16" s="42" t="s">
        <v>49</v>
      </c>
      <c r="C16" s="35" t="s">
        <v>50</v>
      </c>
      <c r="D16" s="61">
        <f t="shared" si="4"/>
        <v>55109982</v>
      </c>
      <c r="E16" s="36">
        <v>0</v>
      </c>
      <c r="F16" s="37">
        <v>0</v>
      </c>
      <c r="G16" s="37">
        <v>0</v>
      </c>
      <c r="H16" s="37">
        <v>0</v>
      </c>
      <c r="I16" s="37">
        <v>20</v>
      </c>
      <c r="J16" s="37">
        <v>392976</v>
      </c>
      <c r="K16" s="37">
        <v>899</v>
      </c>
      <c r="L16" s="37">
        <v>5111716</v>
      </c>
      <c r="M16" s="37">
        <v>1583</v>
      </c>
      <c r="N16" s="37">
        <v>8670814</v>
      </c>
      <c r="O16" s="37">
        <v>1797</v>
      </c>
      <c r="P16" s="37">
        <v>10526160</v>
      </c>
      <c r="Q16" s="37">
        <v>1759</v>
      </c>
      <c r="R16" s="37">
        <v>10197004</v>
      </c>
      <c r="S16" s="37">
        <v>1010</v>
      </c>
      <c r="T16" s="37">
        <v>5665040</v>
      </c>
      <c r="U16" s="37">
        <v>1805</v>
      </c>
      <c r="V16" s="37">
        <v>10129660</v>
      </c>
      <c r="W16" s="37">
        <v>3800</v>
      </c>
      <c r="X16" s="37">
        <v>2969032</v>
      </c>
      <c r="Y16" s="37">
        <v>900</v>
      </c>
      <c r="Z16" s="37">
        <v>687525</v>
      </c>
      <c r="AA16" s="37">
        <v>1000</v>
      </c>
      <c r="AB16" s="37">
        <v>760055</v>
      </c>
      <c r="AC16" s="37">
        <f t="shared" si="0"/>
        <v>14573</v>
      </c>
      <c r="AD16" s="38">
        <f t="shared" si="1"/>
        <v>55109982</v>
      </c>
      <c r="AE16" s="39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38">
        <f t="shared" si="2"/>
        <v>0</v>
      </c>
      <c r="AR16" s="39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38">
        <f t="shared" si="3"/>
        <v>0</v>
      </c>
    </row>
    <row r="17" spans="1:56" s="41" customFormat="1">
      <c r="A17" s="44" t="s">
        <v>161</v>
      </c>
      <c r="B17" s="42" t="s">
        <v>53</v>
      </c>
      <c r="C17" s="35" t="s">
        <v>54</v>
      </c>
      <c r="D17" s="61">
        <f t="shared" si="4"/>
        <v>5679426019</v>
      </c>
      <c r="E17" s="36">
        <v>4320</v>
      </c>
      <c r="F17" s="37">
        <v>134724000</v>
      </c>
      <c r="G17" s="37">
        <v>8120</v>
      </c>
      <c r="H17" s="37">
        <v>250203150</v>
      </c>
      <c r="I17" s="37">
        <v>9854</v>
      </c>
      <c r="J17" s="37">
        <v>304331828</v>
      </c>
      <c r="K17" s="37">
        <v>10170</v>
      </c>
      <c r="L17" s="37">
        <v>292426334</v>
      </c>
      <c r="M17" s="37">
        <v>21285</v>
      </c>
      <c r="N17" s="37">
        <v>643595270</v>
      </c>
      <c r="O17" s="37">
        <v>22461</v>
      </c>
      <c r="P17" s="37">
        <v>676557155</v>
      </c>
      <c r="Q17" s="37">
        <v>19599</v>
      </c>
      <c r="R17" s="37">
        <v>460365422</v>
      </c>
      <c r="S17" s="37">
        <v>15030</v>
      </c>
      <c r="T17" s="37">
        <v>394211636</v>
      </c>
      <c r="U17" s="37">
        <v>20171</v>
      </c>
      <c r="V17" s="37">
        <v>569685662</v>
      </c>
      <c r="W17" s="37">
        <v>20927</v>
      </c>
      <c r="X17" s="37">
        <v>699510521</v>
      </c>
      <c r="Y17" s="37">
        <v>26428</v>
      </c>
      <c r="Z17" s="37">
        <v>719260562</v>
      </c>
      <c r="AA17" s="37">
        <v>18081</v>
      </c>
      <c r="AB17" s="37">
        <v>534554479</v>
      </c>
      <c r="AC17" s="37">
        <f t="shared" si="0"/>
        <v>196446</v>
      </c>
      <c r="AD17" s="38">
        <f t="shared" si="1"/>
        <v>5679426019</v>
      </c>
      <c r="AE17" s="39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38">
        <f t="shared" si="2"/>
        <v>0</v>
      </c>
      <c r="AR17" s="39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38">
        <f t="shared" si="3"/>
        <v>0</v>
      </c>
    </row>
    <row r="18" spans="1:56" s="41" customFormat="1">
      <c r="A18" s="44" t="s">
        <v>161</v>
      </c>
      <c r="B18" s="42" t="s">
        <v>55</v>
      </c>
      <c r="C18" s="35" t="s">
        <v>56</v>
      </c>
      <c r="D18" s="61">
        <f t="shared" si="4"/>
        <v>19474732</v>
      </c>
      <c r="E18" s="36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864</v>
      </c>
      <c r="V18" s="37">
        <v>1673568</v>
      </c>
      <c r="W18" s="37">
        <v>3312</v>
      </c>
      <c r="X18" s="37">
        <v>6415344</v>
      </c>
      <c r="Y18" s="37">
        <v>3168</v>
      </c>
      <c r="Z18" s="37">
        <v>6136416</v>
      </c>
      <c r="AA18" s="37">
        <v>2692</v>
      </c>
      <c r="AB18" s="37">
        <v>5249404</v>
      </c>
      <c r="AC18" s="37">
        <f t="shared" si="0"/>
        <v>10036</v>
      </c>
      <c r="AD18" s="38">
        <f t="shared" si="1"/>
        <v>19474732</v>
      </c>
      <c r="AE18" s="39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38">
        <f t="shared" si="2"/>
        <v>0</v>
      </c>
      <c r="AR18" s="39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38">
        <f t="shared" si="3"/>
        <v>0</v>
      </c>
    </row>
    <row r="19" spans="1:56" s="41" customFormat="1">
      <c r="A19" s="44" t="s">
        <v>161</v>
      </c>
      <c r="B19" s="42" t="s">
        <v>57</v>
      </c>
      <c r="C19" s="35" t="s">
        <v>58</v>
      </c>
      <c r="D19" s="61">
        <f t="shared" si="4"/>
        <v>14800366522</v>
      </c>
      <c r="E19" s="36">
        <v>42584</v>
      </c>
      <c r="F19" s="37">
        <v>1071970530</v>
      </c>
      <c r="G19" s="37">
        <v>61201</v>
      </c>
      <c r="H19" s="37">
        <v>1435571510</v>
      </c>
      <c r="I19" s="37">
        <v>48443</v>
      </c>
      <c r="J19" s="37">
        <v>1173724927</v>
      </c>
      <c r="K19" s="37">
        <v>60706</v>
      </c>
      <c r="L19" s="37">
        <v>1514123019</v>
      </c>
      <c r="M19" s="37">
        <v>52790</v>
      </c>
      <c r="N19" s="37">
        <v>1242169758</v>
      </c>
      <c r="O19" s="37">
        <v>60257</v>
      </c>
      <c r="P19" s="37">
        <v>1428001762</v>
      </c>
      <c r="Q19" s="37">
        <v>58065</v>
      </c>
      <c r="R19" s="37">
        <v>1338900196</v>
      </c>
      <c r="S19" s="37">
        <v>49226</v>
      </c>
      <c r="T19" s="37">
        <v>1116010715</v>
      </c>
      <c r="U19" s="37">
        <v>47323</v>
      </c>
      <c r="V19" s="37">
        <v>1096288994</v>
      </c>
      <c r="W19" s="37">
        <v>43984</v>
      </c>
      <c r="X19" s="37">
        <v>1049958463</v>
      </c>
      <c r="Y19" s="37">
        <v>47580</v>
      </c>
      <c r="Z19" s="37">
        <v>1143510052</v>
      </c>
      <c r="AA19" s="37">
        <v>49049</v>
      </c>
      <c r="AB19" s="37">
        <v>1190136596</v>
      </c>
      <c r="AC19" s="37">
        <f t="shared" si="0"/>
        <v>621208</v>
      </c>
      <c r="AD19" s="38">
        <f t="shared" si="1"/>
        <v>14800366522</v>
      </c>
      <c r="AE19" s="39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38">
        <f t="shared" si="2"/>
        <v>0</v>
      </c>
      <c r="AR19" s="39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38">
        <f t="shared" si="3"/>
        <v>0</v>
      </c>
    </row>
    <row r="20" spans="1:56" s="41" customFormat="1">
      <c r="A20" s="44" t="s">
        <v>161</v>
      </c>
      <c r="B20" s="42" t="s">
        <v>61</v>
      </c>
      <c r="C20" s="35" t="s">
        <v>62</v>
      </c>
      <c r="D20" s="61">
        <f t="shared" si="4"/>
        <v>2690925449</v>
      </c>
      <c r="E20" s="36">
        <v>48957</v>
      </c>
      <c r="F20" s="37">
        <v>238171444</v>
      </c>
      <c r="G20" s="37">
        <v>52751</v>
      </c>
      <c r="H20" s="37">
        <v>277263286</v>
      </c>
      <c r="I20" s="37">
        <v>58136</v>
      </c>
      <c r="J20" s="37">
        <v>245120753</v>
      </c>
      <c r="K20" s="37">
        <v>55049</v>
      </c>
      <c r="L20" s="37">
        <v>281183571</v>
      </c>
      <c r="M20" s="37">
        <v>55206</v>
      </c>
      <c r="N20" s="37">
        <v>272956330</v>
      </c>
      <c r="O20" s="37">
        <v>62541</v>
      </c>
      <c r="P20" s="37">
        <v>321738431</v>
      </c>
      <c r="Q20" s="37">
        <v>51330</v>
      </c>
      <c r="R20" s="37">
        <v>275793872</v>
      </c>
      <c r="S20" s="37">
        <v>32483</v>
      </c>
      <c r="T20" s="37">
        <v>185837177</v>
      </c>
      <c r="U20" s="37">
        <v>40595</v>
      </c>
      <c r="V20" s="37">
        <v>212719820</v>
      </c>
      <c r="W20" s="37">
        <v>37416</v>
      </c>
      <c r="X20" s="37">
        <v>200048434</v>
      </c>
      <c r="Y20" s="37">
        <v>21902</v>
      </c>
      <c r="Z20" s="37">
        <v>80573972</v>
      </c>
      <c r="AA20" s="37">
        <v>25097</v>
      </c>
      <c r="AB20" s="37">
        <v>99518359</v>
      </c>
      <c r="AC20" s="37">
        <f t="shared" si="0"/>
        <v>541463</v>
      </c>
      <c r="AD20" s="38">
        <f t="shared" si="1"/>
        <v>2690925449</v>
      </c>
      <c r="AE20" s="39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38">
        <f t="shared" si="2"/>
        <v>0</v>
      </c>
      <c r="AR20" s="39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38">
        <f t="shared" si="3"/>
        <v>0</v>
      </c>
    </row>
    <row r="21" spans="1:56" s="41" customFormat="1">
      <c r="A21" s="44" t="s">
        <v>161</v>
      </c>
      <c r="B21" s="42" t="s">
        <v>63</v>
      </c>
      <c r="C21" s="35" t="s">
        <v>64</v>
      </c>
      <c r="D21" s="61">
        <f t="shared" si="4"/>
        <v>1992234081</v>
      </c>
      <c r="E21" s="36">
        <v>67801</v>
      </c>
      <c r="F21" s="37">
        <v>136575073</v>
      </c>
      <c r="G21" s="37">
        <v>91583</v>
      </c>
      <c r="H21" s="37">
        <v>194792261</v>
      </c>
      <c r="I21" s="37">
        <v>-134410</v>
      </c>
      <c r="J21" s="37">
        <v>165739781</v>
      </c>
      <c r="K21" s="37">
        <v>99098</v>
      </c>
      <c r="L21" s="37">
        <v>196762131</v>
      </c>
      <c r="M21" s="37">
        <v>110219</v>
      </c>
      <c r="N21" s="37">
        <v>170271354</v>
      </c>
      <c r="O21" s="37">
        <v>106066</v>
      </c>
      <c r="P21" s="37">
        <v>149615475</v>
      </c>
      <c r="Q21" s="37">
        <v>169531</v>
      </c>
      <c r="R21" s="37">
        <v>227047806</v>
      </c>
      <c r="S21" s="37">
        <v>50630</v>
      </c>
      <c r="T21" s="37">
        <v>85499455</v>
      </c>
      <c r="U21" s="37">
        <v>63788</v>
      </c>
      <c r="V21" s="37">
        <v>120580211</v>
      </c>
      <c r="W21" s="37">
        <v>121299</v>
      </c>
      <c r="X21" s="37">
        <v>181890843</v>
      </c>
      <c r="Y21" s="37">
        <v>172816</v>
      </c>
      <c r="Z21" s="37">
        <v>185828663</v>
      </c>
      <c r="AA21" s="37">
        <v>70077</v>
      </c>
      <c r="AB21" s="37">
        <v>168249470</v>
      </c>
      <c r="AC21" s="37">
        <f t="shared" si="0"/>
        <v>988498</v>
      </c>
      <c r="AD21" s="38">
        <f t="shared" si="1"/>
        <v>1982852523</v>
      </c>
      <c r="AE21" s="39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38">
        <f t="shared" si="2"/>
        <v>0</v>
      </c>
      <c r="AR21" s="39">
        <v>0</v>
      </c>
      <c r="AS21" s="37">
        <v>191497</v>
      </c>
      <c r="AT21" s="37">
        <v>22397</v>
      </c>
      <c r="AU21" s="37">
        <v>201237</v>
      </c>
      <c r="AV21" s="37">
        <v>25794</v>
      </c>
      <c r="AW21" s="37">
        <v>285019</v>
      </c>
      <c r="AX21" s="37">
        <v>2414276</v>
      </c>
      <c r="AY21" s="40">
        <v>1482618</v>
      </c>
      <c r="AZ21" s="40">
        <v>21376</v>
      </c>
      <c r="BA21" s="40">
        <v>4279842</v>
      </c>
      <c r="BB21" s="40">
        <v>448282</v>
      </c>
      <c r="BC21" s="40">
        <v>9220</v>
      </c>
      <c r="BD21" s="38">
        <f t="shared" si="3"/>
        <v>9381558</v>
      </c>
    </row>
    <row r="22" spans="1:56" s="41" customFormat="1">
      <c r="A22" s="44" t="s">
        <v>161</v>
      </c>
      <c r="B22" s="42" t="s">
        <v>65</v>
      </c>
      <c r="C22" s="35" t="s">
        <v>66</v>
      </c>
      <c r="D22" s="61">
        <f t="shared" si="4"/>
        <v>6660427435</v>
      </c>
      <c r="E22" s="36">
        <v>15486</v>
      </c>
      <c r="F22" s="37">
        <v>379759002</v>
      </c>
      <c r="G22" s="37">
        <v>24727</v>
      </c>
      <c r="H22" s="37">
        <v>629791170</v>
      </c>
      <c r="I22" s="37">
        <v>14736</v>
      </c>
      <c r="J22" s="37">
        <v>316033181</v>
      </c>
      <c r="K22" s="37">
        <v>20652</v>
      </c>
      <c r="L22" s="37">
        <v>508459856</v>
      </c>
      <c r="M22" s="37">
        <v>23952</v>
      </c>
      <c r="N22" s="37">
        <v>618682097</v>
      </c>
      <c r="O22" s="37">
        <v>22126</v>
      </c>
      <c r="P22" s="37">
        <v>553701598</v>
      </c>
      <c r="Q22" s="37">
        <v>24660</v>
      </c>
      <c r="R22" s="37">
        <v>619399984</v>
      </c>
      <c r="S22" s="37">
        <v>22749</v>
      </c>
      <c r="T22" s="37">
        <v>591773348</v>
      </c>
      <c r="U22" s="37">
        <v>18987</v>
      </c>
      <c r="V22" s="37">
        <v>459674282</v>
      </c>
      <c r="W22" s="37">
        <v>22532</v>
      </c>
      <c r="X22" s="37">
        <v>533379875</v>
      </c>
      <c r="Y22" s="37">
        <v>30296</v>
      </c>
      <c r="Z22" s="37">
        <v>737760865</v>
      </c>
      <c r="AA22" s="37">
        <v>30717</v>
      </c>
      <c r="AB22" s="37">
        <v>712012177</v>
      </c>
      <c r="AC22" s="37">
        <f t="shared" si="0"/>
        <v>271620</v>
      </c>
      <c r="AD22" s="38">
        <f t="shared" si="1"/>
        <v>6660427435</v>
      </c>
      <c r="AE22" s="39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38">
        <f t="shared" si="2"/>
        <v>0</v>
      </c>
      <c r="AR22" s="39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38">
        <f t="shared" si="3"/>
        <v>0</v>
      </c>
    </row>
    <row r="23" spans="1:56" s="41" customFormat="1">
      <c r="A23" s="44" t="s">
        <v>161</v>
      </c>
      <c r="B23" s="42" t="s">
        <v>69</v>
      </c>
      <c r="C23" s="35" t="s">
        <v>70</v>
      </c>
      <c r="D23" s="61">
        <f t="shared" si="4"/>
        <v>3941143276</v>
      </c>
      <c r="E23" s="36">
        <v>25257</v>
      </c>
      <c r="F23" s="37">
        <v>279442054</v>
      </c>
      <c r="G23" s="37">
        <v>34809</v>
      </c>
      <c r="H23" s="37">
        <v>390841672</v>
      </c>
      <c r="I23" s="37">
        <v>38303</v>
      </c>
      <c r="J23" s="37">
        <v>442833704</v>
      </c>
      <c r="K23" s="37">
        <v>26068</v>
      </c>
      <c r="L23" s="37">
        <v>313717921</v>
      </c>
      <c r="M23" s="37">
        <v>41949</v>
      </c>
      <c r="N23" s="37">
        <v>503724120</v>
      </c>
      <c r="O23" s="37">
        <v>21896</v>
      </c>
      <c r="P23" s="37">
        <v>264545321</v>
      </c>
      <c r="Q23" s="37">
        <v>20070</v>
      </c>
      <c r="R23" s="37">
        <v>255168120</v>
      </c>
      <c r="S23" s="37">
        <v>25268</v>
      </c>
      <c r="T23" s="37">
        <v>285991065</v>
      </c>
      <c r="U23" s="37">
        <v>28884</v>
      </c>
      <c r="V23" s="37">
        <v>340157213</v>
      </c>
      <c r="W23" s="37">
        <v>22835</v>
      </c>
      <c r="X23" s="37">
        <v>273992424</v>
      </c>
      <c r="Y23" s="37">
        <v>25641</v>
      </c>
      <c r="Z23" s="37">
        <v>312189856</v>
      </c>
      <c r="AA23" s="37">
        <v>22683</v>
      </c>
      <c r="AB23" s="37">
        <v>278539806</v>
      </c>
      <c r="AC23" s="37">
        <f t="shared" si="0"/>
        <v>333663</v>
      </c>
      <c r="AD23" s="38">
        <f t="shared" si="1"/>
        <v>3941143276</v>
      </c>
      <c r="AE23" s="39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38">
        <f t="shared" si="2"/>
        <v>0</v>
      </c>
      <c r="AR23" s="39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38">
        <f t="shared" si="3"/>
        <v>0</v>
      </c>
    </row>
    <row r="24" spans="1:56" s="41" customFormat="1">
      <c r="A24" s="44" t="s">
        <v>161</v>
      </c>
      <c r="B24" s="42" t="s">
        <v>71</v>
      </c>
      <c r="C24" s="35" t="s">
        <v>72</v>
      </c>
      <c r="D24" s="61">
        <f t="shared" si="4"/>
        <v>10456751653</v>
      </c>
      <c r="E24" s="36">
        <v>50536</v>
      </c>
      <c r="F24" s="37">
        <v>1531762737</v>
      </c>
      <c r="G24" s="37">
        <v>47551</v>
      </c>
      <c r="H24" s="37">
        <v>1344835452</v>
      </c>
      <c r="I24" s="37">
        <v>47574</v>
      </c>
      <c r="J24" s="37">
        <v>1380070872</v>
      </c>
      <c r="K24" s="37">
        <v>43387</v>
      </c>
      <c r="L24" s="37">
        <v>1256970482</v>
      </c>
      <c r="M24" s="37">
        <v>43803</v>
      </c>
      <c r="N24" s="37">
        <v>1237162011</v>
      </c>
      <c r="O24" s="37">
        <v>41116</v>
      </c>
      <c r="P24" s="37">
        <v>1214288856</v>
      </c>
      <c r="Q24" s="37">
        <v>40149</v>
      </c>
      <c r="R24" s="37">
        <v>1193340697</v>
      </c>
      <c r="S24" s="37">
        <v>30076</v>
      </c>
      <c r="T24" s="37">
        <v>873240328</v>
      </c>
      <c r="U24" s="37">
        <v>15157</v>
      </c>
      <c r="V24" s="37">
        <v>425083901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f t="shared" si="0"/>
        <v>359349</v>
      </c>
      <c r="AD24" s="38">
        <f t="shared" si="1"/>
        <v>10456755336</v>
      </c>
      <c r="AE24" s="39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38">
        <f t="shared" si="2"/>
        <v>0</v>
      </c>
      <c r="AR24" s="39">
        <v>-3683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38">
        <f t="shared" si="3"/>
        <v>-3683</v>
      </c>
    </row>
    <row r="25" spans="1:56" s="41" customFormat="1">
      <c r="A25" s="44" t="s">
        <v>161</v>
      </c>
      <c r="B25" s="42" t="s">
        <v>73</v>
      </c>
      <c r="C25" s="35" t="s">
        <v>74</v>
      </c>
      <c r="D25" s="61">
        <f t="shared" si="4"/>
        <v>3128250200</v>
      </c>
      <c r="E25" s="36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15057</v>
      </c>
      <c r="V25" s="37">
        <v>460125765</v>
      </c>
      <c r="W25" s="37">
        <v>23031</v>
      </c>
      <c r="X25" s="37">
        <v>627258170</v>
      </c>
      <c r="Y25" s="37">
        <v>37892</v>
      </c>
      <c r="Z25" s="37">
        <v>1059213814</v>
      </c>
      <c r="AA25" s="37">
        <v>33664</v>
      </c>
      <c r="AB25" s="37">
        <v>981652451</v>
      </c>
      <c r="AC25" s="37">
        <f t="shared" si="0"/>
        <v>109644</v>
      </c>
      <c r="AD25" s="38">
        <f t="shared" si="1"/>
        <v>3128250200</v>
      </c>
      <c r="AE25" s="39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38">
        <f t="shared" si="2"/>
        <v>0</v>
      </c>
      <c r="AR25" s="39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38">
        <f t="shared" si="3"/>
        <v>0</v>
      </c>
    </row>
    <row r="26" spans="1:56" s="41" customFormat="1">
      <c r="A26" s="44" t="s">
        <v>161</v>
      </c>
      <c r="B26" s="42" t="s">
        <v>75</v>
      </c>
      <c r="C26" s="35" t="s">
        <v>76</v>
      </c>
      <c r="D26" s="61">
        <f t="shared" si="4"/>
        <v>14224839</v>
      </c>
      <c r="E26" s="36">
        <v>0</v>
      </c>
      <c r="F26" s="37">
        <v>8850250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329672</v>
      </c>
      <c r="M26" s="37">
        <v>0</v>
      </c>
      <c r="N26" s="37">
        <v>1693928</v>
      </c>
      <c r="O26" s="37">
        <v>103</v>
      </c>
      <c r="P26" s="37">
        <v>1764720</v>
      </c>
      <c r="Q26" s="37">
        <v>0</v>
      </c>
      <c r="R26" s="37">
        <v>-56007</v>
      </c>
      <c r="S26" s="37">
        <v>0</v>
      </c>
      <c r="T26" s="37">
        <v>1641621</v>
      </c>
      <c r="U26" s="37">
        <v>0</v>
      </c>
      <c r="V26" s="37">
        <v>-23961</v>
      </c>
      <c r="W26" s="37">
        <v>0</v>
      </c>
      <c r="X26" s="37">
        <v>-1046</v>
      </c>
      <c r="Y26" s="37">
        <v>0</v>
      </c>
      <c r="Z26" s="37">
        <v>-36889</v>
      </c>
      <c r="AA26" s="37">
        <v>0</v>
      </c>
      <c r="AB26" s="37">
        <v>62551</v>
      </c>
      <c r="AC26" s="37">
        <f t="shared" si="0"/>
        <v>103</v>
      </c>
      <c r="AD26" s="38">
        <f t="shared" si="1"/>
        <v>14224839</v>
      </c>
      <c r="AE26" s="39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38">
        <f t="shared" si="2"/>
        <v>0</v>
      </c>
      <c r="AR26" s="39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38">
        <f t="shared" si="3"/>
        <v>0</v>
      </c>
    </row>
    <row r="27" spans="1:56" s="41" customFormat="1">
      <c r="A27" s="44" t="s">
        <v>161</v>
      </c>
      <c r="B27" s="42" t="s">
        <v>79</v>
      </c>
      <c r="C27" s="35" t="s">
        <v>80</v>
      </c>
      <c r="D27" s="61">
        <f t="shared" si="4"/>
        <v>9462686098</v>
      </c>
      <c r="E27" s="36">
        <v>619977</v>
      </c>
      <c r="F27" s="37">
        <v>1132032375</v>
      </c>
      <c r="G27" s="37">
        <v>636069</v>
      </c>
      <c r="H27" s="37">
        <v>737481340</v>
      </c>
      <c r="I27" s="37">
        <v>536848</v>
      </c>
      <c r="J27" s="37">
        <v>740727693</v>
      </c>
      <c r="K27" s="37">
        <v>544966</v>
      </c>
      <c r="L27" s="37">
        <v>735251111</v>
      </c>
      <c r="M27" s="37">
        <v>469747</v>
      </c>
      <c r="N27" s="37">
        <v>725628926</v>
      </c>
      <c r="O27" s="37">
        <v>524092</v>
      </c>
      <c r="P27" s="37">
        <v>824860783</v>
      </c>
      <c r="Q27" s="37">
        <v>992561</v>
      </c>
      <c r="R27" s="37">
        <v>898913358</v>
      </c>
      <c r="S27" s="37">
        <v>543099</v>
      </c>
      <c r="T27" s="37">
        <v>572260917</v>
      </c>
      <c r="U27" s="37">
        <v>486006</v>
      </c>
      <c r="V27" s="37">
        <v>722519101</v>
      </c>
      <c r="W27" s="37">
        <v>772972</v>
      </c>
      <c r="X27" s="37">
        <v>669489665</v>
      </c>
      <c r="Y27" s="37">
        <v>787377</v>
      </c>
      <c r="Z27" s="37">
        <v>804951555</v>
      </c>
      <c r="AA27" s="37">
        <v>535206</v>
      </c>
      <c r="AB27" s="37">
        <v>811385000</v>
      </c>
      <c r="AC27" s="37">
        <f t="shared" si="0"/>
        <v>7448920</v>
      </c>
      <c r="AD27" s="38">
        <f t="shared" si="1"/>
        <v>9375501824</v>
      </c>
      <c r="AE27" s="39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38">
        <f t="shared" si="2"/>
        <v>0</v>
      </c>
      <c r="AR27" s="39">
        <v>8142951</v>
      </c>
      <c r="AS27" s="37">
        <v>19441191</v>
      </c>
      <c r="AT27" s="37">
        <v>1800727</v>
      </c>
      <c r="AU27" s="37">
        <v>2509398</v>
      </c>
      <c r="AV27" s="37">
        <v>1847062</v>
      </c>
      <c r="AW27" s="37">
        <v>7065572</v>
      </c>
      <c r="AX27" s="37">
        <v>24688564</v>
      </c>
      <c r="AY27" s="40">
        <v>2239819</v>
      </c>
      <c r="AZ27" s="40">
        <v>1634044</v>
      </c>
      <c r="BA27" s="40">
        <v>9024569</v>
      </c>
      <c r="BB27" s="40">
        <v>8153229</v>
      </c>
      <c r="BC27" s="40">
        <v>637148</v>
      </c>
      <c r="BD27" s="38">
        <f t="shared" si="3"/>
        <v>87184274</v>
      </c>
    </row>
    <row r="28" spans="1:56" s="41" customFormat="1">
      <c r="A28" s="44" t="s">
        <v>161</v>
      </c>
      <c r="B28" s="42" t="s">
        <v>81</v>
      </c>
      <c r="C28" s="35" t="s">
        <v>82</v>
      </c>
      <c r="D28" s="61">
        <f t="shared" si="4"/>
        <v>2188684000</v>
      </c>
      <c r="E28" s="36">
        <v>3644</v>
      </c>
      <c r="F28" s="37">
        <v>122952860</v>
      </c>
      <c r="G28" s="37">
        <v>4632</v>
      </c>
      <c r="H28" s="37">
        <v>155795560</v>
      </c>
      <c r="I28" s="37">
        <v>4441</v>
      </c>
      <c r="J28" s="37">
        <v>152986240</v>
      </c>
      <c r="K28" s="37">
        <v>4755</v>
      </c>
      <c r="L28" s="37">
        <v>165142920</v>
      </c>
      <c r="M28" s="37">
        <v>4380</v>
      </c>
      <c r="N28" s="37">
        <v>148449000</v>
      </c>
      <c r="O28" s="37">
        <v>5058</v>
      </c>
      <c r="P28" s="37">
        <v>171488760</v>
      </c>
      <c r="Q28" s="37">
        <v>6208</v>
      </c>
      <c r="R28" s="37">
        <v>212539360</v>
      </c>
      <c r="S28" s="37">
        <v>3554</v>
      </c>
      <c r="T28" s="37">
        <v>120936660</v>
      </c>
      <c r="U28" s="37">
        <v>6252</v>
      </c>
      <c r="V28" s="37">
        <v>211960560</v>
      </c>
      <c r="W28" s="37">
        <v>5604</v>
      </c>
      <c r="X28" s="37">
        <v>190783680</v>
      </c>
      <c r="Y28" s="37">
        <v>8415</v>
      </c>
      <c r="Z28" s="37">
        <v>285765680</v>
      </c>
      <c r="AA28" s="37">
        <v>7348</v>
      </c>
      <c r="AB28" s="37">
        <v>249882720</v>
      </c>
      <c r="AC28" s="37">
        <f t="shared" si="0"/>
        <v>64291</v>
      </c>
      <c r="AD28" s="38">
        <f t="shared" si="1"/>
        <v>2188684000</v>
      </c>
      <c r="AE28" s="39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38">
        <f t="shared" si="2"/>
        <v>0</v>
      </c>
      <c r="AR28" s="39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38">
        <f t="shared" si="3"/>
        <v>0</v>
      </c>
    </row>
    <row r="29" spans="1:56" s="41" customFormat="1">
      <c r="A29" s="44" t="s">
        <v>162</v>
      </c>
      <c r="B29" s="42" t="s">
        <v>83</v>
      </c>
      <c r="C29" s="35" t="s">
        <v>84</v>
      </c>
      <c r="D29" s="61">
        <f t="shared" si="4"/>
        <v>36895483703</v>
      </c>
      <c r="E29" s="36">
        <v>965014</v>
      </c>
      <c r="F29" s="37">
        <v>2889012455</v>
      </c>
      <c r="G29" s="37">
        <v>1800629</v>
      </c>
      <c r="H29" s="37">
        <v>2803875134</v>
      </c>
      <c r="I29" s="37">
        <v>8791177</v>
      </c>
      <c r="J29" s="37">
        <v>3422951091</v>
      </c>
      <c r="K29" s="37">
        <v>2007538</v>
      </c>
      <c r="L29" s="37">
        <v>3145169612</v>
      </c>
      <c r="M29" s="37">
        <v>3712412</v>
      </c>
      <c r="N29" s="37">
        <v>3000179788</v>
      </c>
      <c r="O29" s="37">
        <v>4195882</v>
      </c>
      <c r="P29" s="37">
        <v>3287868292</v>
      </c>
      <c r="Q29" s="37">
        <v>2901523</v>
      </c>
      <c r="R29" s="37">
        <v>3338514276</v>
      </c>
      <c r="S29" s="37">
        <v>614556</v>
      </c>
      <c r="T29" s="37">
        <v>3218132768</v>
      </c>
      <c r="U29" s="37">
        <v>2442078</v>
      </c>
      <c r="V29" s="37">
        <v>3076604187</v>
      </c>
      <c r="W29" s="37">
        <v>924053</v>
      </c>
      <c r="X29" s="37">
        <v>3049042773</v>
      </c>
      <c r="Y29" s="37">
        <v>6405822</v>
      </c>
      <c r="Z29" s="37">
        <v>2691937518</v>
      </c>
      <c r="AA29" s="37">
        <v>2766977</v>
      </c>
      <c r="AB29" s="37">
        <v>2832499744</v>
      </c>
      <c r="AC29" s="37">
        <f t="shared" si="0"/>
        <v>37527661</v>
      </c>
      <c r="AD29" s="38">
        <f t="shared" si="1"/>
        <v>36755787638</v>
      </c>
      <c r="AE29" s="39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38">
        <f t="shared" si="2"/>
        <v>0</v>
      </c>
      <c r="AR29" s="39">
        <v>0</v>
      </c>
      <c r="AS29" s="37">
        <v>0</v>
      </c>
      <c r="AT29" s="37">
        <v>347258</v>
      </c>
      <c r="AU29" s="37">
        <v>0</v>
      </c>
      <c r="AV29" s="37">
        <v>598642</v>
      </c>
      <c r="AW29" s="37">
        <v>3730526</v>
      </c>
      <c r="AX29" s="37">
        <v>0</v>
      </c>
      <c r="AY29" s="40">
        <v>0</v>
      </c>
      <c r="AZ29" s="40">
        <v>568639</v>
      </c>
      <c r="BA29" s="40">
        <v>0</v>
      </c>
      <c r="BB29" s="40">
        <v>5775000</v>
      </c>
      <c r="BC29" s="40">
        <v>128676000</v>
      </c>
      <c r="BD29" s="38">
        <f t="shared" si="3"/>
        <v>139696065</v>
      </c>
    </row>
    <row r="30" spans="1:56" s="41" customFormat="1">
      <c r="A30" s="44" t="s">
        <v>162</v>
      </c>
      <c r="B30" s="42" t="s">
        <v>85</v>
      </c>
      <c r="C30" s="35" t="s">
        <v>86</v>
      </c>
      <c r="D30" s="61">
        <f t="shared" si="4"/>
        <v>-6321893</v>
      </c>
      <c r="E30" s="36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-6965784</v>
      </c>
      <c r="O30" s="37">
        <v>575000</v>
      </c>
      <c r="P30" s="37">
        <v>0</v>
      </c>
      <c r="Q30" s="37">
        <v>19</v>
      </c>
      <c r="R30" s="37">
        <v>18891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f t="shared" si="0"/>
        <v>575019</v>
      </c>
      <c r="AD30" s="38">
        <f t="shared" si="1"/>
        <v>-6946893</v>
      </c>
      <c r="AE30" s="39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38">
        <f t="shared" si="2"/>
        <v>0</v>
      </c>
      <c r="AR30" s="39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625000</v>
      </c>
      <c r="AX30" s="37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38">
        <f t="shared" si="3"/>
        <v>625000</v>
      </c>
    </row>
    <row r="31" spans="1:56" s="41" customFormat="1">
      <c r="A31" s="44" t="s">
        <v>162</v>
      </c>
      <c r="B31" s="42" t="s">
        <v>87</v>
      </c>
      <c r="C31" s="35" t="s">
        <v>88</v>
      </c>
      <c r="D31" s="61">
        <f t="shared" si="4"/>
        <v>53436104</v>
      </c>
      <c r="E31" s="36">
        <v>20000</v>
      </c>
      <c r="F31" s="37">
        <v>5450000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6965784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211800</v>
      </c>
      <c r="V31" s="37">
        <v>35885800</v>
      </c>
      <c r="W31" s="37">
        <v>1680</v>
      </c>
      <c r="X31" s="37">
        <v>1140960</v>
      </c>
      <c r="Y31" s="37">
        <v>0</v>
      </c>
      <c r="Z31" s="37">
        <v>3993560</v>
      </c>
      <c r="AA31" s="37">
        <v>0</v>
      </c>
      <c r="AB31" s="37">
        <v>0</v>
      </c>
      <c r="AC31" s="37">
        <f t="shared" si="0"/>
        <v>233480</v>
      </c>
      <c r="AD31" s="38">
        <f t="shared" si="1"/>
        <v>53436104</v>
      </c>
      <c r="AE31" s="39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38">
        <f t="shared" si="2"/>
        <v>0</v>
      </c>
      <c r="AR31" s="39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38">
        <f t="shared" si="3"/>
        <v>0</v>
      </c>
    </row>
    <row r="32" spans="1:56" s="41" customFormat="1">
      <c r="A32" s="44" t="s">
        <v>162</v>
      </c>
      <c r="B32" s="42" t="s">
        <v>89</v>
      </c>
      <c r="C32" s="35" t="s">
        <v>90</v>
      </c>
      <c r="D32" s="61">
        <f t="shared" si="4"/>
        <v>304125</v>
      </c>
      <c r="E32" s="36">
        <v>375</v>
      </c>
      <c r="F32" s="37">
        <v>64125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120000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f t="shared" si="0"/>
        <v>120375</v>
      </c>
      <c r="AD32" s="38">
        <f t="shared" si="1"/>
        <v>64125</v>
      </c>
      <c r="AE32" s="39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38">
        <f t="shared" si="2"/>
        <v>0</v>
      </c>
      <c r="AR32" s="39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240000</v>
      </c>
      <c r="AX32" s="37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38">
        <f t="shared" si="3"/>
        <v>240000</v>
      </c>
    </row>
    <row r="33" spans="1:56" s="41" customFormat="1">
      <c r="A33" s="44" t="s">
        <v>162</v>
      </c>
      <c r="B33" s="42" t="s">
        <v>93</v>
      </c>
      <c r="C33" s="35" t="s">
        <v>94</v>
      </c>
      <c r="D33" s="61">
        <f t="shared" si="4"/>
        <v>65491474</v>
      </c>
      <c r="E33" s="36">
        <v>0</v>
      </c>
      <c r="F33" s="37">
        <v>0</v>
      </c>
      <c r="G33" s="37">
        <v>0</v>
      </c>
      <c r="H33" s="37">
        <v>0</v>
      </c>
      <c r="I33" s="37">
        <v>2000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7000</v>
      </c>
      <c r="P33" s="37">
        <v>0</v>
      </c>
      <c r="Q33" s="37">
        <v>2000</v>
      </c>
      <c r="R33" s="37">
        <v>0</v>
      </c>
      <c r="S33" s="37">
        <v>2000</v>
      </c>
      <c r="T33" s="37">
        <v>0</v>
      </c>
      <c r="U33" s="37">
        <v>4000</v>
      </c>
      <c r="V33" s="37">
        <v>0</v>
      </c>
      <c r="W33" s="37">
        <v>1252000</v>
      </c>
      <c r="X33" s="37">
        <v>0</v>
      </c>
      <c r="Y33" s="37">
        <v>2000</v>
      </c>
      <c r="Z33" s="37">
        <v>23920000</v>
      </c>
      <c r="AA33" s="37">
        <v>1002000</v>
      </c>
      <c r="AB33" s="37">
        <v>32284227</v>
      </c>
      <c r="AC33" s="37">
        <f t="shared" si="0"/>
        <v>2273000</v>
      </c>
      <c r="AD33" s="38">
        <f t="shared" si="1"/>
        <v>56204227</v>
      </c>
      <c r="AE33" s="39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38">
        <f t="shared" si="2"/>
        <v>0</v>
      </c>
      <c r="AR33" s="39">
        <v>0</v>
      </c>
      <c r="AS33" s="37">
        <v>0</v>
      </c>
      <c r="AT33" s="37">
        <v>31795</v>
      </c>
      <c r="AU33" s="37">
        <v>0</v>
      </c>
      <c r="AV33" s="37">
        <v>0</v>
      </c>
      <c r="AW33" s="37">
        <v>326445</v>
      </c>
      <c r="AX33" s="37">
        <v>32029</v>
      </c>
      <c r="AY33" s="40">
        <v>31916</v>
      </c>
      <c r="AZ33" s="40">
        <v>63051</v>
      </c>
      <c r="BA33" s="40">
        <v>4572072</v>
      </c>
      <c r="BB33" s="40">
        <v>30496</v>
      </c>
      <c r="BC33" s="40">
        <v>4199443</v>
      </c>
      <c r="BD33" s="38">
        <f t="shared" si="3"/>
        <v>9287247</v>
      </c>
    </row>
    <row r="34" spans="1:56" s="41" customFormat="1">
      <c r="A34" s="44" t="s">
        <v>162</v>
      </c>
      <c r="B34" s="42" t="s">
        <v>95</v>
      </c>
      <c r="C34" s="35" t="s">
        <v>96</v>
      </c>
      <c r="D34" s="61">
        <f t="shared" si="4"/>
        <v>0</v>
      </c>
      <c r="E34" s="36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f t="shared" si="0"/>
        <v>0</v>
      </c>
      <c r="AD34" s="38">
        <f t="shared" si="1"/>
        <v>0</v>
      </c>
      <c r="AE34" s="39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38">
        <f t="shared" si="2"/>
        <v>0</v>
      </c>
      <c r="AR34" s="39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38">
        <f t="shared" si="3"/>
        <v>0</v>
      </c>
    </row>
    <row r="35" spans="1:56" s="41" customFormat="1">
      <c r="A35" s="44" t="s">
        <v>162</v>
      </c>
      <c r="B35" s="42" t="s">
        <v>97</v>
      </c>
      <c r="C35" s="35" t="s">
        <v>98</v>
      </c>
      <c r="D35" s="61">
        <f t="shared" si="4"/>
        <v>5904455012</v>
      </c>
      <c r="E35" s="36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1355294</v>
      </c>
      <c r="V35" s="37">
        <v>901768009</v>
      </c>
      <c r="W35" s="37">
        <v>3129123</v>
      </c>
      <c r="X35" s="37">
        <v>1987459178</v>
      </c>
      <c r="Y35" s="37">
        <v>2685034</v>
      </c>
      <c r="Z35" s="37">
        <v>1658082132</v>
      </c>
      <c r="AA35" s="37">
        <v>2212035</v>
      </c>
      <c r="AB35" s="37">
        <v>1357145693</v>
      </c>
      <c r="AC35" s="37">
        <f t="shared" si="0"/>
        <v>9381486</v>
      </c>
      <c r="AD35" s="38">
        <f t="shared" si="1"/>
        <v>5904455012</v>
      </c>
      <c r="AE35" s="39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38">
        <f t="shared" si="2"/>
        <v>0</v>
      </c>
      <c r="AR35" s="39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38">
        <f t="shared" si="3"/>
        <v>0</v>
      </c>
    </row>
    <row r="36" spans="1:56" s="41" customFormat="1">
      <c r="A36" s="44" t="s">
        <v>162</v>
      </c>
      <c r="B36" s="42" t="s">
        <v>99</v>
      </c>
      <c r="C36" s="35" t="s">
        <v>100</v>
      </c>
      <c r="D36" s="61">
        <f t="shared" si="4"/>
        <v>13908137112</v>
      </c>
      <c r="E36" s="36">
        <v>2016390</v>
      </c>
      <c r="F36" s="37">
        <v>1399583705</v>
      </c>
      <c r="G36" s="37">
        <v>2172084</v>
      </c>
      <c r="H36" s="37">
        <v>1560191772</v>
      </c>
      <c r="I36" s="37">
        <v>2522797</v>
      </c>
      <c r="J36" s="37">
        <v>1869451505</v>
      </c>
      <c r="K36" s="37">
        <v>1930680</v>
      </c>
      <c r="L36" s="37">
        <v>1234113478</v>
      </c>
      <c r="M36" s="37">
        <v>2802094</v>
      </c>
      <c r="N36" s="37">
        <v>1904257407</v>
      </c>
      <c r="O36" s="37">
        <v>1988205</v>
      </c>
      <c r="P36" s="37">
        <v>1380380821</v>
      </c>
      <c r="Q36" s="37">
        <v>2316460</v>
      </c>
      <c r="R36" s="37">
        <v>1578365013</v>
      </c>
      <c r="S36" s="37">
        <v>1987184</v>
      </c>
      <c r="T36" s="37">
        <v>1379747205</v>
      </c>
      <c r="U36" s="37">
        <v>1772965</v>
      </c>
      <c r="V36" s="37">
        <v>1239300350</v>
      </c>
      <c r="W36" s="37">
        <v>576568</v>
      </c>
      <c r="X36" s="37">
        <v>333897672</v>
      </c>
      <c r="Y36" s="37">
        <v>0</v>
      </c>
      <c r="Z36" s="37">
        <v>0</v>
      </c>
      <c r="AA36" s="37">
        <v>1285000</v>
      </c>
      <c r="AB36" s="37">
        <v>28417854</v>
      </c>
      <c r="AC36" s="37">
        <f t="shared" si="0"/>
        <v>21370427</v>
      </c>
      <c r="AD36" s="38">
        <f t="shared" si="1"/>
        <v>13907706782</v>
      </c>
      <c r="AE36" s="39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38">
        <f t="shared" si="2"/>
        <v>0</v>
      </c>
      <c r="AR36" s="39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40">
        <v>0</v>
      </c>
      <c r="AZ36" s="40">
        <v>0</v>
      </c>
      <c r="BA36" s="40">
        <v>100000</v>
      </c>
      <c r="BB36" s="40">
        <v>0</v>
      </c>
      <c r="BC36" s="40">
        <v>330330</v>
      </c>
      <c r="BD36" s="38">
        <f t="shared" si="3"/>
        <v>430330</v>
      </c>
    </row>
    <row r="37" spans="1:56" s="41" customFormat="1">
      <c r="A37" s="44" t="s">
        <v>162</v>
      </c>
      <c r="B37" s="42" t="s">
        <v>101</v>
      </c>
      <c r="C37" s="35" t="s">
        <v>102</v>
      </c>
      <c r="D37" s="61">
        <f t="shared" si="4"/>
        <v>6694674474</v>
      </c>
      <c r="E37" s="36">
        <v>799990</v>
      </c>
      <c r="F37" s="37">
        <v>750918979</v>
      </c>
      <c r="G37" s="37">
        <v>867725</v>
      </c>
      <c r="H37" s="37">
        <v>811942858</v>
      </c>
      <c r="I37" s="37">
        <v>893094</v>
      </c>
      <c r="J37" s="37">
        <v>934900035</v>
      </c>
      <c r="K37" s="37">
        <v>679778</v>
      </c>
      <c r="L37" s="37">
        <v>608816330</v>
      </c>
      <c r="M37" s="37">
        <v>887404</v>
      </c>
      <c r="N37" s="37">
        <v>811738542</v>
      </c>
      <c r="O37" s="37">
        <v>827076</v>
      </c>
      <c r="P37" s="37">
        <v>748380920</v>
      </c>
      <c r="Q37" s="37">
        <v>845136</v>
      </c>
      <c r="R37" s="37">
        <v>737410633</v>
      </c>
      <c r="S37" s="37">
        <v>916899</v>
      </c>
      <c r="T37" s="37">
        <v>817567772</v>
      </c>
      <c r="U37" s="37">
        <v>562420</v>
      </c>
      <c r="V37" s="37">
        <v>434309305</v>
      </c>
      <c r="W37" s="37">
        <v>128500</v>
      </c>
      <c r="X37" s="37">
        <v>30740500</v>
      </c>
      <c r="Y37" s="37">
        <v>0</v>
      </c>
      <c r="Z37" s="37">
        <v>0</v>
      </c>
      <c r="AA37" s="37">
        <v>0</v>
      </c>
      <c r="AB37" s="37">
        <v>0</v>
      </c>
      <c r="AC37" s="37">
        <f t="shared" si="0"/>
        <v>7408022</v>
      </c>
      <c r="AD37" s="38">
        <f t="shared" si="1"/>
        <v>6686725874</v>
      </c>
      <c r="AE37" s="39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38">
        <f t="shared" si="2"/>
        <v>0</v>
      </c>
      <c r="AR37" s="39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40">
        <v>0</v>
      </c>
      <c r="AZ37" s="40">
        <v>3996269</v>
      </c>
      <c r="BA37" s="40">
        <v>3952331</v>
      </c>
      <c r="BB37" s="40">
        <v>0</v>
      </c>
      <c r="BC37" s="40">
        <v>0</v>
      </c>
      <c r="BD37" s="38">
        <f t="shared" si="3"/>
        <v>7948600</v>
      </c>
    </row>
    <row r="38" spans="1:56" s="41" customFormat="1">
      <c r="A38" s="44" t="s">
        <v>162</v>
      </c>
      <c r="B38" s="42" t="s">
        <v>103</v>
      </c>
      <c r="C38" s="35" t="s">
        <v>104</v>
      </c>
      <c r="D38" s="61">
        <f t="shared" si="4"/>
        <v>13635092798</v>
      </c>
      <c r="E38" s="36">
        <v>2736681</v>
      </c>
      <c r="F38" s="37">
        <v>1757612041</v>
      </c>
      <c r="G38" s="37">
        <v>2669061</v>
      </c>
      <c r="H38" s="37">
        <v>1724653447</v>
      </c>
      <c r="I38" s="37">
        <v>3072334</v>
      </c>
      <c r="J38" s="37">
        <v>1973969798</v>
      </c>
      <c r="K38" s="37">
        <v>2399991</v>
      </c>
      <c r="L38" s="37">
        <v>1561116551</v>
      </c>
      <c r="M38" s="37">
        <v>2716359</v>
      </c>
      <c r="N38" s="37">
        <v>1761016217</v>
      </c>
      <c r="O38" s="37">
        <v>2010869</v>
      </c>
      <c r="P38" s="37">
        <v>1290987138</v>
      </c>
      <c r="Q38" s="37">
        <v>2286032</v>
      </c>
      <c r="R38" s="37">
        <v>1446873919</v>
      </c>
      <c r="S38" s="37">
        <v>2440210</v>
      </c>
      <c r="T38" s="37">
        <v>1528383455</v>
      </c>
      <c r="U38" s="37">
        <v>979472</v>
      </c>
      <c r="V38" s="37">
        <v>590480232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f t="shared" si="0"/>
        <v>21311009</v>
      </c>
      <c r="AD38" s="38">
        <f t="shared" si="1"/>
        <v>13635092798</v>
      </c>
      <c r="AE38" s="39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38">
        <f t="shared" si="2"/>
        <v>0</v>
      </c>
      <c r="AR38" s="39">
        <v>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38">
        <f t="shared" si="3"/>
        <v>0</v>
      </c>
    </row>
    <row r="39" spans="1:56" s="41" customFormat="1">
      <c r="A39" s="44" t="s">
        <v>162</v>
      </c>
      <c r="B39" s="42" t="s">
        <v>106</v>
      </c>
      <c r="C39" s="35" t="s">
        <v>105</v>
      </c>
      <c r="D39" s="61">
        <f t="shared" si="4"/>
        <v>3238032962</v>
      </c>
      <c r="E39" s="36">
        <v>514787</v>
      </c>
      <c r="F39" s="37">
        <v>313441986</v>
      </c>
      <c r="G39" s="37">
        <v>1335079</v>
      </c>
      <c r="H39" s="37">
        <v>360011223</v>
      </c>
      <c r="I39" s="37">
        <v>1656623</v>
      </c>
      <c r="J39" s="37">
        <v>442694512</v>
      </c>
      <c r="K39" s="37">
        <v>2298491</v>
      </c>
      <c r="L39" s="37">
        <v>403806463</v>
      </c>
      <c r="M39" s="37">
        <v>1838744</v>
      </c>
      <c r="N39" s="37">
        <v>451207791</v>
      </c>
      <c r="O39" s="37">
        <v>1152561</v>
      </c>
      <c r="P39" s="37">
        <v>354358132</v>
      </c>
      <c r="Q39" s="37">
        <v>2689980</v>
      </c>
      <c r="R39" s="37">
        <v>336795763</v>
      </c>
      <c r="S39" s="37">
        <v>1160599</v>
      </c>
      <c r="T39" s="37">
        <v>326228392</v>
      </c>
      <c r="U39" s="37">
        <v>1370303</v>
      </c>
      <c r="V39" s="37">
        <v>91773093</v>
      </c>
      <c r="W39" s="37">
        <v>1034545</v>
      </c>
      <c r="X39" s="37">
        <v>7500</v>
      </c>
      <c r="Y39" s="37">
        <v>263460</v>
      </c>
      <c r="Z39" s="37">
        <v>43746</v>
      </c>
      <c r="AA39" s="37">
        <v>1280280</v>
      </c>
      <c r="AB39" s="37">
        <v>0</v>
      </c>
      <c r="AC39" s="37">
        <f t="shared" si="0"/>
        <v>16595452</v>
      </c>
      <c r="AD39" s="38">
        <f t="shared" si="1"/>
        <v>3080368601</v>
      </c>
      <c r="AE39" s="39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38">
        <f t="shared" si="2"/>
        <v>0</v>
      </c>
      <c r="AR39" s="39">
        <v>1837791</v>
      </c>
      <c r="AS39" s="37">
        <v>9372661</v>
      </c>
      <c r="AT39" s="37">
        <v>11455412</v>
      </c>
      <c r="AU39" s="37">
        <v>22288080</v>
      </c>
      <c r="AV39" s="37">
        <v>18419593</v>
      </c>
      <c r="AW39" s="37">
        <v>17644396</v>
      </c>
      <c r="AX39" s="37">
        <v>25558703</v>
      </c>
      <c r="AY39" s="40">
        <v>8148689</v>
      </c>
      <c r="AZ39" s="40">
        <v>14215928</v>
      </c>
      <c r="BA39" s="40">
        <v>11543889</v>
      </c>
      <c r="BB39" s="40">
        <v>3074513</v>
      </c>
      <c r="BC39" s="40">
        <v>14104706</v>
      </c>
      <c r="BD39" s="38">
        <f t="shared" si="3"/>
        <v>157664361</v>
      </c>
    </row>
    <row r="40" spans="1:56" s="41" customFormat="1">
      <c r="A40" s="44" t="s">
        <v>162</v>
      </c>
      <c r="B40" s="42" t="s">
        <v>108</v>
      </c>
      <c r="C40" s="35" t="s">
        <v>107</v>
      </c>
      <c r="D40" s="61">
        <f t="shared" si="4"/>
        <v>89121248</v>
      </c>
      <c r="E40" s="36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3246</v>
      </c>
      <c r="V40" s="37">
        <v>15023824</v>
      </c>
      <c r="W40" s="37">
        <v>9885</v>
      </c>
      <c r="X40" s="37">
        <v>32111326</v>
      </c>
      <c r="Y40" s="37">
        <v>6632</v>
      </c>
      <c r="Z40" s="37">
        <v>9301994</v>
      </c>
      <c r="AA40" s="37">
        <v>11157</v>
      </c>
      <c r="AB40" s="37">
        <v>32684104</v>
      </c>
      <c r="AC40" s="37">
        <f t="shared" si="0"/>
        <v>30920</v>
      </c>
      <c r="AD40" s="38">
        <f t="shared" si="1"/>
        <v>89121248</v>
      </c>
      <c r="AE40" s="39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38">
        <f t="shared" si="2"/>
        <v>0</v>
      </c>
      <c r="AR40" s="39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38">
        <f t="shared" si="3"/>
        <v>0</v>
      </c>
    </row>
    <row r="41" spans="1:56" s="41" customFormat="1">
      <c r="A41" s="44" t="s">
        <v>162</v>
      </c>
      <c r="B41" s="42" t="s">
        <v>110</v>
      </c>
      <c r="C41" s="35" t="s">
        <v>109</v>
      </c>
      <c r="D41" s="61">
        <f t="shared" si="4"/>
        <v>11696160876</v>
      </c>
      <c r="E41" s="36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1100836</v>
      </c>
      <c r="V41" s="37">
        <v>1058197699</v>
      </c>
      <c r="W41" s="37">
        <v>2970061</v>
      </c>
      <c r="X41" s="37">
        <v>3112417663</v>
      </c>
      <c r="Y41" s="37">
        <v>3810553</v>
      </c>
      <c r="Z41" s="37">
        <v>3838160534</v>
      </c>
      <c r="AA41" s="37">
        <v>3752559</v>
      </c>
      <c r="AB41" s="37">
        <v>3687384980</v>
      </c>
      <c r="AC41" s="37">
        <f t="shared" si="0"/>
        <v>11634009</v>
      </c>
      <c r="AD41" s="38">
        <f t="shared" si="1"/>
        <v>11696160876</v>
      </c>
      <c r="AE41" s="39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38">
        <f t="shared" si="2"/>
        <v>0</v>
      </c>
      <c r="AR41" s="39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38">
        <f t="shared" si="3"/>
        <v>0</v>
      </c>
    </row>
    <row r="42" spans="1:56" s="41" customFormat="1">
      <c r="A42" s="44" t="s">
        <v>162</v>
      </c>
      <c r="B42" s="42" t="s">
        <v>112</v>
      </c>
      <c r="C42" s="35" t="s">
        <v>111</v>
      </c>
      <c r="D42" s="61">
        <f t="shared" si="4"/>
        <v>420565085</v>
      </c>
      <c r="E42" s="36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10279</v>
      </c>
      <c r="V42" s="37">
        <v>10651724</v>
      </c>
      <c r="W42" s="37">
        <v>202960</v>
      </c>
      <c r="X42" s="37">
        <v>159553684</v>
      </c>
      <c r="Y42" s="37">
        <v>114410</v>
      </c>
      <c r="Z42" s="37">
        <v>90030687</v>
      </c>
      <c r="AA42" s="37">
        <v>209325</v>
      </c>
      <c r="AB42" s="37">
        <v>160328990</v>
      </c>
      <c r="AC42" s="37">
        <f t="shared" si="0"/>
        <v>536974</v>
      </c>
      <c r="AD42" s="38">
        <f t="shared" si="1"/>
        <v>420565085</v>
      </c>
      <c r="AE42" s="39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38">
        <f t="shared" si="2"/>
        <v>0</v>
      </c>
      <c r="AR42" s="39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38">
        <f t="shared" si="3"/>
        <v>0</v>
      </c>
    </row>
    <row r="43" spans="1:56" s="41" customFormat="1">
      <c r="A43" s="44" t="s">
        <v>162</v>
      </c>
      <c r="B43" s="42" t="s">
        <v>114</v>
      </c>
      <c r="C43" s="35" t="s">
        <v>113</v>
      </c>
      <c r="D43" s="61">
        <f t="shared" si="4"/>
        <v>82025285</v>
      </c>
      <c r="E43" s="36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22680</v>
      </c>
      <c r="V43" s="37">
        <v>27117282</v>
      </c>
      <c r="W43" s="37">
        <v>14200</v>
      </c>
      <c r="X43" s="37">
        <v>15408379</v>
      </c>
      <c r="Y43" s="37">
        <v>15120</v>
      </c>
      <c r="Z43" s="37">
        <v>17025808</v>
      </c>
      <c r="AA43" s="37">
        <v>20160</v>
      </c>
      <c r="AB43" s="37">
        <v>22473816</v>
      </c>
      <c r="AC43" s="37">
        <f t="shared" si="0"/>
        <v>72160</v>
      </c>
      <c r="AD43" s="38">
        <f t="shared" si="1"/>
        <v>82025285</v>
      </c>
      <c r="AE43" s="39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40">
        <v>0</v>
      </c>
      <c r="AM43" s="40">
        <v>0</v>
      </c>
      <c r="AN43" s="40">
        <v>0</v>
      </c>
      <c r="AO43" s="40">
        <v>0</v>
      </c>
      <c r="AP43" s="40">
        <v>0</v>
      </c>
      <c r="AQ43" s="38">
        <f t="shared" si="2"/>
        <v>0</v>
      </c>
      <c r="AR43" s="39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38">
        <f t="shared" si="3"/>
        <v>0</v>
      </c>
    </row>
    <row r="44" spans="1:56" s="41" customFormat="1">
      <c r="A44" s="44" t="s">
        <v>162</v>
      </c>
      <c r="B44" s="42" t="s">
        <v>116</v>
      </c>
      <c r="C44" s="35" t="s">
        <v>115</v>
      </c>
      <c r="D44" s="61">
        <f t="shared" si="4"/>
        <v>34621986</v>
      </c>
      <c r="E44" s="36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2128</v>
      </c>
      <c r="V44" s="37">
        <v>4838064</v>
      </c>
      <c r="W44" s="37">
        <v>3845</v>
      </c>
      <c r="X44" s="37">
        <v>8775480</v>
      </c>
      <c r="Y44" s="37">
        <v>4484</v>
      </c>
      <c r="Z44" s="37">
        <v>10247412</v>
      </c>
      <c r="AA44" s="37">
        <v>4890</v>
      </c>
      <c r="AB44" s="37">
        <v>10761030</v>
      </c>
      <c r="AC44" s="37">
        <f t="shared" si="0"/>
        <v>15347</v>
      </c>
      <c r="AD44" s="38">
        <f t="shared" si="1"/>
        <v>34621986</v>
      </c>
      <c r="AE44" s="39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38">
        <f t="shared" si="2"/>
        <v>0</v>
      </c>
      <c r="AR44" s="39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38">
        <f t="shared" si="3"/>
        <v>0</v>
      </c>
    </row>
    <row r="45" spans="1:56" s="41" customFormat="1">
      <c r="A45" s="44" t="s">
        <v>162</v>
      </c>
      <c r="B45" s="42" t="s">
        <v>118</v>
      </c>
      <c r="C45" s="35" t="s">
        <v>117</v>
      </c>
      <c r="D45" s="61">
        <f t="shared" si="4"/>
        <v>6349372463</v>
      </c>
      <c r="E45" s="36">
        <v>142850</v>
      </c>
      <c r="F45" s="37">
        <v>336473527</v>
      </c>
      <c r="G45" s="37">
        <v>285271</v>
      </c>
      <c r="H45" s="37">
        <v>453112693</v>
      </c>
      <c r="I45" s="37">
        <v>220341</v>
      </c>
      <c r="J45" s="37">
        <v>446574943</v>
      </c>
      <c r="K45" s="37">
        <v>260588</v>
      </c>
      <c r="L45" s="37">
        <v>470787499</v>
      </c>
      <c r="M45" s="37">
        <v>284182</v>
      </c>
      <c r="N45" s="37">
        <v>482431232</v>
      </c>
      <c r="O45" s="37">
        <v>360280</v>
      </c>
      <c r="P45" s="37">
        <v>500789227</v>
      </c>
      <c r="Q45" s="37">
        <v>221699</v>
      </c>
      <c r="R45" s="37">
        <v>535219139</v>
      </c>
      <c r="S45" s="37">
        <v>165945</v>
      </c>
      <c r="T45" s="37">
        <v>376542592</v>
      </c>
      <c r="U45" s="37">
        <v>288467</v>
      </c>
      <c r="V45" s="37">
        <v>708441825</v>
      </c>
      <c r="W45" s="37">
        <v>304895</v>
      </c>
      <c r="X45" s="37">
        <v>558441672</v>
      </c>
      <c r="Y45" s="37">
        <v>443513</v>
      </c>
      <c r="Z45" s="37">
        <v>776156343</v>
      </c>
      <c r="AA45" s="37">
        <v>231501</v>
      </c>
      <c r="AB45" s="37">
        <v>704401771</v>
      </c>
      <c r="AC45" s="37">
        <f t="shared" si="0"/>
        <v>3209532</v>
      </c>
      <c r="AD45" s="38">
        <f t="shared" si="1"/>
        <v>6349372463</v>
      </c>
      <c r="AE45" s="39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38">
        <f t="shared" si="2"/>
        <v>0</v>
      </c>
      <c r="AR45" s="39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38">
        <f t="shared" si="3"/>
        <v>0</v>
      </c>
    </row>
    <row r="46" spans="1:56" s="41" customFormat="1">
      <c r="A46" s="44" t="s">
        <v>162</v>
      </c>
      <c r="B46" s="42" t="s">
        <v>120</v>
      </c>
      <c r="C46" s="35" t="s">
        <v>119</v>
      </c>
      <c r="D46" s="61">
        <f t="shared" si="4"/>
        <v>3999693348</v>
      </c>
      <c r="E46" s="36">
        <v>5701662</v>
      </c>
      <c r="F46" s="37">
        <v>236005870</v>
      </c>
      <c r="G46" s="37">
        <v>8028441</v>
      </c>
      <c r="H46" s="37">
        <v>394879813</v>
      </c>
      <c r="I46" s="37">
        <v>4112583</v>
      </c>
      <c r="J46" s="37">
        <v>286136397</v>
      </c>
      <c r="K46" s="37">
        <v>7787411</v>
      </c>
      <c r="L46" s="37">
        <v>299694737</v>
      </c>
      <c r="M46" s="37">
        <v>8823606</v>
      </c>
      <c r="N46" s="37">
        <v>369741953</v>
      </c>
      <c r="O46" s="37">
        <v>6394277</v>
      </c>
      <c r="P46" s="37">
        <v>436691876</v>
      </c>
      <c r="Q46" s="37">
        <v>8596915</v>
      </c>
      <c r="R46" s="37">
        <v>421547359</v>
      </c>
      <c r="S46" s="37">
        <v>6925443</v>
      </c>
      <c r="T46" s="37">
        <v>274939181</v>
      </c>
      <c r="U46" s="37">
        <v>8709270</v>
      </c>
      <c r="V46" s="37">
        <v>403780774</v>
      </c>
      <c r="W46" s="37">
        <v>7456200</v>
      </c>
      <c r="X46" s="37">
        <v>275698319</v>
      </c>
      <c r="Y46" s="37">
        <v>5005850</v>
      </c>
      <c r="Z46" s="37">
        <v>130795268</v>
      </c>
      <c r="AA46" s="37">
        <v>6435330</v>
      </c>
      <c r="AB46" s="37">
        <v>344387202</v>
      </c>
      <c r="AC46" s="37">
        <f t="shared" si="0"/>
        <v>83976988</v>
      </c>
      <c r="AD46" s="38">
        <f t="shared" si="1"/>
        <v>3874298749</v>
      </c>
      <c r="AE46" s="39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38">
        <f t="shared" si="2"/>
        <v>0</v>
      </c>
      <c r="AR46" s="39">
        <v>5469784</v>
      </c>
      <c r="AS46" s="37">
        <v>16690273</v>
      </c>
      <c r="AT46" s="37">
        <v>5836325</v>
      </c>
      <c r="AU46" s="37">
        <v>5992053</v>
      </c>
      <c r="AV46" s="37">
        <v>8660463</v>
      </c>
      <c r="AW46" s="37">
        <v>4404345</v>
      </c>
      <c r="AX46" s="37">
        <v>20126551</v>
      </c>
      <c r="AY46" s="40">
        <v>18918760</v>
      </c>
      <c r="AZ46" s="40">
        <v>4516677</v>
      </c>
      <c r="BA46" s="40">
        <v>27634633</v>
      </c>
      <c r="BB46" s="40">
        <v>3412612</v>
      </c>
      <c r="BC46" s="40">
        <v>3732123</v>
      </c>
      <c r="BD46" s="38">
        <f t="shared" si="3"/>
        <v>125394599</v>
      </c>
    </row>
    <row r="47" spans="1:56" s="41" customFormat="1">
      <c r="A47" s="44" t="s">
        <v>162</v>
      </c>
      <c r="B47" s="42" t="s">
        <v>122</v>
      </c>
      <c r="C47" s="35" t="s">
        <v>121</v>
      </c>
      <c r="D47" s="61">
        <f t="shared" si="4"/>
        <v>10401727996</v>
      </c>
      <c r="E47" s="36">
        <v>222950</v>
      </c>
      <c r="F47" s="37">
        <v>1194916139</v>
      </c>
      <c r="G47" s="37">
        <v>236164</v>
      </c>
      <c r="H47" s="37">
        <v>1236374234</v>
      </c>
      <c r="I47" s="37">
        <v>285546</v>
      </c>
      <c r="J47" s="37">
        <v>1475670567</v>
      </c>
      <c r="K47" s="37">
        <v>238459</v>
      </c>
      <c r="L47" s="37">
        <v>1237709958</v>
      </c>
      <c r="M47" s="37">
        <v>249965</v>
      </c>
      <c r="N47" s="37">
        <v>1289054637</v>
      </c>
      <c r="O47" s="37">
        <v>240383</v>
      </c>
      <c r="P47" s="37">
        <v>1242790654</v>
      </c>
      <c r="Q47" s="37">
        <v>238437</v>
      </c>
      <c r="R47" s="37">
        <v>1113974177</v>
      </c>
      <c r="S47" s="37">
        <v>185843</v>
      </c>
      <c r="T47" s="37">
        <v>974389416</v>
      </c>
      <c r="U47" s="37">
        <v>114385</v>
      </c>
      <c r="V47" s="37">
        <v>601018426</v>
      </c>
      <c r="W47" s="37">
        <v>6402</v>
      </c>
      <c r="X47" s="37">
        <v>33653466</v>
      </c>
      <c r="Y47" s="37">
        <v>1000</v>
      </c>
      <c r="Z47" s="37">
        <v>0</v>
      </c>
      <c r="AA47" s="37">
        <v>0</v>
      </c>
      <c r="AB47" s="37">
        <v>0</v>
      </c>
      <c r="AC47" s="37">
        <f t="shared" si="0"/>
        <v>2019534</v>
      </c>
      <c r="AD47" s="38">
        <f t="shared" si="1"/>
        <v>10399551674</v>
      </c>
      <c r="AE47" s="39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38">
        <f t="shared" si="2"/>
        <v>0</v>
      </c>
      <c r="AR47" s="39">
        <v>0</v>
      </c>
      <c r="AS47" s="37">
        <v>0</v>
      </c>
      <c r="AT47" s="37">
        <v>281592</v>
      </c>
      <c r="AU47" s="37">
        <v>0</v>
      </c>
      <c r="AV47" s="37">
        <v>293276</v>
      </c>
      <c r="AW47" s="37">
        <v>286524</v>
      </c>
      <c r="AX47" s="37">
        <v>1141813</v>
      </c>
      <c r="AY47" s="40">
        <v>0</v>
      </c>
      <c r="AZ47" s="40">
        <v>0</v>
      </c>
      <c r="BA47" s="40">
        <v>0</v>
      </c>
      <c r="BB47" s="40">
        <v>173117</v>
      </c>
      <c r="BC47" s="40">
        <v>0</v>
      </c>
      <c r="BD47" s="38">
        <f t="shared" si="3"/>
        <v>2176322</v>
      </c>
    </row>
    <row r="48" spans="1:56" s="41" customFormat="1">
      <c r="A48" s="44" t="s">
        <v>163</v>
      </c>
      <c r="B48" s="42" t="s">
        <v>125</v>
      </c>
      <c r="C48" s="35" t="s">
        <v>124</v>
      </c>
      <c r="D48" s="61">
        <f t="shared" si="4"/>
        <v>804658876</v>
      </c>
      <c r="E48" s="36">
        <v>1442188</v>
      </c>
      <c r="F48" s="37">
        <v>78075889</v>
      </c>
      <c r="G48" s="37">
        <v>1441924</v>
      </c>
      <c r="H48" s="37">
        <v>71738178</v>
      </c>
      <c r="I48" s="37">
        <v>1473074</v>
      </c>
      <c r="J48" s="37">
        <v>77011186</v>
      </c>
      <c r="K48" s="37">
        <v>1253558</v>
      </c>
      <c r="L48" s="37">
        <v>77849300</v>
      </c>
      <c r="M48" s="37">
        <v>1227900</v>
      </c>
      <c r="N48" s="37">
        <v>54086910</v>
      </c>
      <c r="O48" s="37">
        <v>1201676</v>
      </c>
      <c r="P48" s="37">
        <v>61600760</v>
      </c>
      <c r="Q48" s="37">
        <v>1208742</v>
      </c>
      <c r="R48" s="37">
        <v>77407849</v>
      </c>
      <c r="S48" s="37">
        <v>1202337</v>
      </c>
      <c r="T48" s="37">
        <v>60617300</v>
      </c>
      <c r="U48" s="37">
        <v>1203364</v>
      </c>
      <c r="V48" s="37">
        <v>56860400</v>
      </c>
      <c r="W48" s="37">
        <v>1202601</v>
      </c>
      <c r="X48" s="37">
        <v>54318639</v>
      </c>
      <c r="Y48" s="37">
        <v>1001228</v>
      </c>
      <c r="Z48" s="37">
        <v>40602575</v>
      </c>
      <c r="AA48" s="37">
        <v>1001785</v>
      </c>
      <c r="AB48" s="37">
        <v>83459675</v>
      </c>
      <c r="AC48" s="37">
        <f t="shared" si="0"/>
        <v>14860377</v>
      </c>
      <c r="AD48" s="38">
        <f t="shared" si="1"/>
        <v>793628661</v>
      </c>
      <c r="AE48" s="39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38">
        <f t="shared" si="2"/>
        <v>0</v>
      </c>
      <c r="AR48" s="39">
        <v>0</v>
      </c>
      <c r="AS48" s="37">
        <v>0</v>
      </c>
      <c r="AT48" s="37">
        <v>3780560</v>
      </c>
      <c r="AU48" s="37">
        <v>253611</v>
      </c>
      <c r="AV48" s="37">
        <v>0</v>
      </c>
      <c r="AW48" s="37">
        <v>87626</v>
      </c>
      <c r="AX48" s="37">
        <v>261884</v>
      </c>
      <c r="AY48" s="40">
        <v>250780</v>
      </c>
      <c r="AZ48" s="40">
        <v>5823999</v>
      </c>
      <c r="BA48" s="40">
        <v>289524</v>
      </c>
      <c r="BB48" s="40">
        <v>282231</v>
      </c>
      <c r="BC48" s="40">
        <v>0</v>
      </c>
      <c r="BD48" s="38">
        <f t="shared" si="3"/>
        <v>11030215</v>
      </c>
    </row>
    <row r="49" spans="1:56" s="41" customFormat="1">
      <c r="A49" s="44" t="s">
        <v>163</v>
      </c>
      <c r="B49" s="42" t="s">
        <v>127</v>
      </c>
      <c r="C49" s="35" t="s">
        <v>126</v>
      </c>
      <c r="D49" s="61">
        <f t="shared" si="4"/>
        <v>1306097818</v>
      </c>
      <c r="E49" s="36">
        <v>22598064</v>
      </c>
      <c r="F49" s="37">
        <v>7436246</v>
      </c>
      <c r="G49" s="37">
        <v>21260583</v>
      </c>
      <c r="H49" s="37">
        <v>377831</v>
      </c>
      <c r="I49" s="37">
        <v>20482592</v>
      </c>
      <c r="J49" s="37">
        <v>8242747</v>
      </c>
      <c r="K49" s="37">
        <v>15604100</v>
      </c>
      <c r="L49" s="37">
        <v>13843567</v>
      </c>
      <c r="M49" s="37">
        <v>9549000</v>
      </c>
      <c r="N49" s="37">
        <v>11610929</v>
      </c>
      <c r="O49" s="37">
        <v>33415709</v>
      </c>
      <c r="P49" s="37">
        <v>22731853</v>
      </c>
      <c r="Q49" s="37">
        <v>15008152</v>
      </c>
      <c r="R49" s="37">
        <v>45879</v>
      </c>
      <c r="S49" s="37">
        <v>13448460</v>
      </c>
      <c r="T49" s="37">
        <v>192808</v>
      </c>
      <c r="U49" s="37">
        <v>8517120</v>
      </c>
      <c r="V49" s="37">
        <v>12787425</v>
      </c>
      <c r="W49" s="37">
        <v>42819562</v>
      </c>
      <c r="X49" s="37">
        <v>47615274</v>
      </c>
      <c r="Y49" s="37">
        <v>39528626</v>
      </c>
      <c r="Z49" s="37">
        <v>99044249</v>
      </c>
      <c r="AA49" s="37">
        <v>44275426</v>
      </c>
      <c r="AB49" s="37">
        <v>14801783</v>
      </c>
      <c r="AC49" s="37">
        <f t="shared" si="0"/>
        <v>286507394</v>
      </c>
      <c r="AD49" s="38">
        <f t="shared" si="1"/>
        <v>238730591</v>
      </c>
      <c r="AE49" s="39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38">
        <f t="shared" si="2"/>
        <v>0</v>
      </c>
      <c r="AR49" s="39">
        <v>84976222</v>
      </c>
      <c r="AS49" s="37">
        <v>89769506</v>
      </c>
      <c r="AT49" s="37">
        <v>85994009</v>
      </c>
      <c r="AU49" s="37">
        <v>52779035</v>
      </c>
      <c r="AV49" s="37">
        <v>26221769</v>
      </c>
      <c r="AW49" s="37">
        <v>93347230</v>
      </c>
      <c r="AX49" s="37">
        <v>41716891</v>
      </c>
      <c r="AY49" s="40">
        <v>40011694</v>
      </c>
      <c r="AZ49" s="40">
        <v>26489741</v>
      </c>
      <c r="BA49" s="40">
        <v>163687352</v>
      </c>
      <c r="BB49" s="40">
        <v>161286541</v>
      </c>
      <c r="BC49" s="40">
        <v>201087237</v>
      </c>
      <c r="BD49" s="38">
        <f t="shared" si="3"/>
        <v>1067367227</v>
      </c>
    </row>
    <row r="50" spans="1:56" s="41" customFormat="1">
      <c r="A50" s="44" t="s">
        <v>163</v>
      </c>
      <c r="B50" s="42" t="s">
        <v>129</v>
      </c>
      <c r="C50" s="35" t="s">
        <v>128</v>
      </c>
      <c r="D50" s="61">
        <f t="shared" si="4"/>
        <v>1392993530</v>
      </c>
      <c r="E50" s="36">
        <v>8</v>
      </c>
      <c r="F50" s="37">
        <v>0</v>
      </c>
      <c r="G50" s="37">
        <v>1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2</v>
      </c>
      <c r="N50" s="37">
        <v>0</v>
      </c>
      <c r="O50" s="37">
        <v>1</v>
      </c>
      <c r="P50" s="37">
        <v>0</v>
      </c>
      <c r="Q50" s="37">
        <v>-1</v>
      </c>
      <c r="R50" s="37">
        <v>0</v>
      </c>
      <c r="S50" s="37">
        <v>0</v>
      </c>
      <c r="T50" s="37">
        <v>0</v>
      </c>
      <c r="U50" s="37">
        <v>2</v>
      </c>
      <c r="V50" s="37">
        <v>0</v>
      </c>
      <c r="W50" s="37">
        <v>0</v>
      </c>
      <c r="X50" s="37">
        <v>0</v>
      </c>
      <c r="Y50" s="37">
        <v>5</v>
      </c>
      <c r="Z50" s="37">
        <v>0</v>
      </c>
      <c r="AA50" s="37">
        <v>1</v>
      </c>
      <c r="AB50" s="37">
        <v>0</v>
      </c>
      <c r="AC50" s="37">
        <f t="shared" si="0"/>
        <v>19</v>
      </c>
      <c r="AD50" s="38">
        <f t="shared" si="1"/>
        <v>0</v>
      </c>
      <c r="AE50" s="39">
        <v>194362973</v>
      </c>
      <c r="AF50" s="37">
        <v>26830911</v>
      </c>
      <c r="AG50" s="37">
        <v>0</v>
      </c>
      <c r="AH50" s="37">
        <v>0</v>
      </c>
      <c r="AI50" s="37">
        <v>430024288</v>
      </c>
      <c r="AJ50" s="37">
        <v>14824960</v>
      </c>
      <c r="AK50" s="37">
        <v>-14824960</v>
      </c>
      <c r="AL50" s="40">
        <v>0</v>
      </c>
      <c r="AM50" s="40">
        <v>71820510</v>
      </c>
      <c r="AN50" s="40">
        <v>0</v>
      </c>
      <c r="AO50" s="40">
        <v>401254848</v>
      </c>
      <c r="AP50" s="40">
        <v>268700000</v>
      </c>
      <c r="AQ50" s="38">
        <f t="shared" si="2"/>
        <v>1392993530</v>
      </c>
      <c r="AR50" s="39">
        <v>0</v>
      </c>
      <c r="AS50" s="37">
        <v>0</v>
      </c>
      <c r="AT50" s="37">
        <v>0</v>
      </c>
      <c r="AU50" s="37">
        <v>0</v>
      </c>
      <c r="AV50" s="37">
        <v>0</v>
      </c>
      <c r="AW50" s="37">
        <v>0</v>
      </c>
      <c r="AX50" s="37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38">
        <f t="shared" si="3"/>
        <v>0</v>
      </c>
    </row>
    <row r="51" spans="1:56" s="41" customFormat="1">
      <c r="A51" s="44" t="s">
        <v>163</v>
      </c>
      <c r="B51" s="42" t="s">
        <v>131</v>
      </c>
      <c r="C51" s="35" t="s">
        <v>130</v>
      </c>
      <c r="D51" s="61">
        <f t="shared" si="4"/>
        <v>102761343</v>
      </c>
      <c r="E51" s="36">
        <v>3</v>
      </c>
      <c r="F51" s="37">
        <v>0</v>
      </c>
      <c r="G51" s="37">
        <v>3</v>
      </c>
      <c r="H51" s="37">
        <v>0</v>
      </c>
      <c r="I51" s="37">
        <v>2</v>
      </c>
      <c r="J51" s="37">
        <v>0</v>
      </c>
      <c r="K51" s="37">
        <v>2</v>
      </c>
      <c r="L51" s="37">
        <v>0</v>
      </c>
      <c r="M51" s="37">
        <v>3</v>
      </c>
      <c r="N51" s="37">
        <v>0</v>
      </c>
      <c r="O51" s="37">
        <v>4</v>
      </c>
      <c r="P51" s="37">
        <v>0</v>
      </c>
      <c r="Q51" s="37">
        <v>2</v>
      </c>
      <c r="R51" s="37">
        <v>0</v>
      </c>
      <c r="S51" s="37">
        <v>3</v>
      </c>
      <c r="T51" s="37">
        <v>0</v>
      </c>
      <c r="U51" s="37">
        <v>3</v>
      </c>
      <c r="V51" s="37">
        <v>0</v>
      </c>
      <c r="W51" s="37">
        <v>5</v>
      </c>
      <c r="X51" s="37">
        <v>0</v>
      </c>
      <c r="Y51" s="37">
        <v>1</v>
      </c>
      <c r="Z51" s="37">
        <v>0</v>
      </c>
      <c r="AA51" s="37">
        <v>2</v>
      </c>
      <c r="AB51" s="37">
        <v>0</v>
      </c>
      <c r="AC51" s="37">
        <f t="shared" si="0"/>
        <v>33</v>
      </c>
      <c r="AD51" s="38">
        <f t="shared" si="1"/>
        <v>0</v>
      </c>
      <c r="AE51" s="39">
        <v>11446800</v>
      </c>
      <c r="AF51" s="37">
        <v>12106998</v>
      </c>
      <c r="AG51" s="37">
        <v>1540680</v>
      </c>
      <c r="AH51" s="37">
        <v>2116520</v>
      </c>
      <c r="AI51" s="37">
        <v>994000</v>
      </c>
      <c r="AJ51" s="37">
        <v>11490240</v>
      </c>
      <c r="AK51" s="37">
        <v>2790500</v>
      </c>
      <c r="AL51" s="40">
        <v>1301050</v>
      </c>
      <c r="AM51" s="40">
        <v>4338950</v>
      </c>
      <c r="AN51" s="40">
        <v>49023005</v>
      </c>
      <c r="AO51" s="40">
        <v>732600</v>
      </c>
      <c r="AP51" s="40">
        <v>4880000</v>
      </c>
      <c r="AQ51" s="38">
        <f t="shared" si="2"/>
        <v>102761343</v>
      </c>
      <c r="AR51" s="39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38">
        <f t="shared" si="3"/>
        <v>0</v>
      </c>
    </row>
    <row r="52" spans="1:56" s="41" customFormat="1">
      <c r="A52" s="44" t="s">
        <v>123</v>
      </c>
      <c r="B52" s="34"/>
      <c r="C52" s="35" t="s">
        <v>134</v>
      </c>
      <c r="D52" s="61">
        <f t="shared" si="4"/>
        <v>-30876300</v>
      </c>
      <c r="E52" s="36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1050000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f t="shared" si="0"/>
        <v>1050000</v>
      </c>
      <c r="AD52" s="38">
        <f t="shared" si="1"/>
        <v>0</v>
      </c>
      <c r="AE52" s="39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38">
        <f t="shared" si="2"/>
        <v>0</v>
      </c>
      <c r="AR52" s="39">
        <v>-6029600</v>
      </c>
      <c r="AS52" s="37">
        <v>-27739700</v>
      </c>
      <c r="AT52" s="37">
        <v>-59498100</v>
      </c>
      <c r="AU52" s="37">
        <v>-53553800</v>
      </c>
      <c r="AV52" s="37">
        <v>-145085400</v>
      </c>
      <c r="AW52" s="37">
        <v>-84157900</v>
      </c>
      <c r="AX52" s="37">
        <v>-34000200</v>
      </c>
      <c r="AY52" s="40">
        <v>-3492700</v>
      </c>
      <c r="AZ52" s="40">
        <v>19925300</v>
      </c>
      <c r="BA52" s="40">
        <v>88931500</v>
      </c>
      <c r="BB52" s="40">
        <v>126084100</v>
      </c>
      <c r="BC52" s="40">
        <v>147740200</v>
      </c>
      <c r="BD52" s="38">
        <f t="shared" si="3"/>
        <v>-30876300</v>
      </c>
    </row>
    <row r="53" spans="1:56" ht="17.25" thickBot="1">
      <c r="A53" s="45"/>
      <c r="B53" s="13" t="s">
        <v>164</v>
      </c>
      <c r="C53" s="14"/>
      <c r="D53" s="15">
        <f t="shared" ref="D53:AJ53" si="5">SUBTOTAL(9,D5:D52)</f>
        <v>528569510350</v>
      </c>
      <c r="E53" s="15">
        <f t="shared" si="5"/>
        <v>86683652</v>
      </c>
      <c r="F53" s="16">
        <f t="shared" si="5"/>
        <v>40708099996</v>
      </c>
      <c r="G53" s="16">
        <f t="shared" si="5"/>
        <v>101549519</v>
      </c>
      <c r="H53" s="16">
        <f t="shared" si="5"/>
        <v>43747582185</v>
      </c>
      <c r="I53" s="16">
        <f t="shared" si="5"/>
        <v>131647549</v>
      </c>
      <c r="J53" s="16">
        <f t="shared" si="5"/>
        <v>45739498620</v>
      </c>
      <c r="K53" s="16">
        <f t="shared" si="5"/>
        <v>84342407</v>
      </c>
      <c r="L53" s="16">
        <f t="shared" si="5"/>
        <v>43411672390</v>
      </c>
      <c r="M53" s="16">
        <f t="shared" si="5"/>
        <v>79709434</v>
      </c>
      <c r="N53" s="16">
        <f t="shared" si="5"/>
        <v>45115254938</v>
      </c>
      <c r="O53" s="16">
        <f t="shared" si="5"/>
        <v>93428368</v>
      </c>
      <c r="P53" s="16">
        <f t="shared" si="5"/>
        <v>45610093720</v>
      </c>
      <c r="Q53" s="16">
        <f t="shared" si="5"/>
        <v>88251425</v>
      </c>
      <c r="R53" s="16">
        <f t="shared" si="5"/>
        <v>43670801651</v>
      </c>
      <c r="S53" s="16">
        <f t="shared" si="5"/>
        <v>73993875</v>
      </c>
      <c r="T53" s="16">
        <f t="shared" si="5"/>
        <v>36358521155</v>
      </c>
      <c r="U53" s="16">
        <f t="shared" si="5"/>
        <v>78041598</v>
      </c>
      <c r="V53" s="16">
        <f t="shared" si="5"/>
        <v>40985890485</v>
      </c>
      <c r="W53" s="16">
        <f t="shared" si="5"/>
        <v>170141244</v>
      </c>
      <c r="X53" s="16">
        <f t="shared" si="5"/>
        <v>43202342291</v>
      </c>
      <c r="Y53" s="16">
        <f t="shared" si="5"/>
        <v>188141196</v>
      </c>
      <c r="Z53" s="16">
        <f t="shared" si="5"/>
        <v>45760730688</v>
      </c>
      <c r="AA53" s="16">
        <f t="shared" si="5"/>
        <v>180775103</v>
      </c>
      <c r="AB53" s="16">
        <f t="shared" si="5"/>
        <v>45034050724</v>
      </c>
      <c r="AC53" s="16">
        <f t="shared" si="5"/>
        <v>1356705370</v>
      </c>
      <c r="AD53" s="16">
        <f t="shared" si="5"/>
        <v>519344538843</v>
      </c>
      <c r="AE53" s="18">
        <f t="shared" si="5"/>
        <v>205809773</v>
      </c>
      <c r="AF53" s="16">
        <f t="shared" si="5"/>
        <v>38937909</v>
      </c>
      <c r="AG53" s="16">
        <f t="shared" si="5"/>
        <v>1540680</v>
      </c>
      <c r="AH53" s="16">
        <f t="shared" si="5"/>
        <v>2116520</v>
      </c>
      <c r="AI53" s="16">
        <f t="shared" si="5"/>
        <v>431018288</v>
      </c>
      <c r="AJ53" s="16">
        <f t="shared" si="5"/>
        <v>26315200</v>
      </c>
      <c r="AK53" s="16">
        <f t="shared" ref="AK53:BD53" si="6">SUBTOTAL(9,AK5:AK52)</f>
        <v>-12034460</v>
      </c>
      <c r="AL53" s="16">
        <f t="shared" si="6"/>
        <v>1301050</v>
      </c>
      <c r="AM53" s="16">
        <f t="shared" si="6"/>
        <v>76159460</v>
      </c>
      <c r="AN53" s="16">
        <f t="shared" si="6"/>
        <v>49023005</v>
      </c>
      <c r="AO53" s="16">
        <f t="shared" si="6"/>
        <v>401987448</v>
      </c>
      <c r="AP53" s="16">
        <f t="shared" si="6"/>
        <v>273580000</v>
      </c>
      <c r="AQ53" s="17">
        <f t="shared" si="6"/>
        <v>1495754873</v>
      </c>
      <c r="AR53" s="18">
        <f t="shared" si="6"/>
        <v>466939508</v>
      </c>
      <c r="AS53" s="16">
        <f t="shared" si="6"/>
        <v>473886731</v>
      </c>
      <c r="AT53" s="16">
        <f t="shared" si="6"/>
        <v>353627135</v>
      </c>
      <c r="AU53" s="16">
        <f t="shared" si="6"/>
        <v>249978588</v>
      </c>
      <c r="AV53" s="16">
        <f t="shared" si="6"/>
        <v>245500747</v>
      </c>
      <c r="AW53" s="16">
        <f t="shared" si="6"/>
        <v>246673175</v>
      </c>
      <c r="AX53" s="16">
        <f t="shared" si="6"/>
        <v>330286535</v>
      </c>
      <c r="AY53" s="16">
        <f t="shared" si="6"/>
        <v>295043592</v>
      </c>
      <c r="AZ53" s="16">
        <f t="shared" si="6"/>
        <v>309429072</v>
      </c>
      <c r="BA53" s="16">
        <f t="shared" si="6"/>
        <v>2253511580</v>
      </c>
      <c r="BB53" s="16">
        <f t="shared" si="6"/>
        <v>1178120487</v>
      </c>
      <c r="BC53" s="16">
        <f t="shared" si="6"/>
        <v>1326219484</v>
      </c>
      <c r="BD53" s="17">
        <f t="shared" si="6"/>
        <v>7729216634</v>
      </c>
    </row>
    <row r="54" spans="1:56" ht="17.25" thickBot="1">
      <c r="D54" s="60"/>
    </row>
    <row r="55" spans="1:56">
      <c r="A55" s="100" t="s">
        <v>160</v>
      </c>
      <c r="B55" s="101"/>
      <c r="C55" s="101"/>
      <c r="D55" s="30">
        <f>SUMIF($A$5:$A$52,$A55,D$5:D$52)</f>
        <v>350442096639</v>
      </c>
      <c r="E55" s="30">
        <f>SUMIF($A$5:$A$52,$A55,E$5:E$52)</f>
        <v>48644128</v>
      </c>
      <c r="F55" s="30">
        <f t="shared" ref="F55:BD58" si="7">SUMIF($A$5:$A$52,$A55,F$5:F$52)</f>
        <v>26702868709</v>
      </c>
      <c r="G55" s="30">
        <f t="shared" si="7"/>
        <v>60491111</v>
      </c>
      <c r="H55" s="30">
        <f t="shared" si="7"/>
        <v>28913849601</v>
      </c>
      <c r="I55" s="30">
        <f t="shared" si="7"/>
        <v>87511441</v>
      </c>
      <c r="J55" s="30">
        <f t="shared" si="7"/>
        <v>29879933884</v>
      </c>
      <c r="K55" s="30">
        <f t="shared" si="7"/>
        <v>49016061</v>
      </c>
      <c r="L55" s="30">
        <f t="shared" si="7"/>
        <v>29089286162</v>
      </c>
      <c r="M55" s="30">
        <f t="shared" si="7"/>
        <v>46792849</v>
      </c>
      <c r="N55" s="30">
        <f t="shared" si="7"/>
        <v>29406925924</v>
      </c>
      <c r="O55" s="30">
        <f t="shared" si="7"/>
        <v>39021932</v>
      </c>
      <c r="P55" s="30">
        <f t="shared" si="7"/>
        <v>30666425026</v>
      </c>
      <c r="Q55" s="30">
        <f t="shared" si="7"/>
        <v>50552397</v>
      </c>
      <c r="R55" s="30">
        <f t="shared" si="7"/>
        <v>28593018941</v>
      </c>
      <c r="S55" s="30">
        <f t="shared" si="7"/>
        <v>44171271</v>
      </c>
      <c r="T55" s="30">
        <f t="shared" si="7"/>
        <v>23168712304</v>
      </c>
      <c r="U55" s="30">
        <f t="shared" si="7"/>
        <v>48626597</v>
      </c>
      <c r="V55" s="30">
        <f t="shared" si="7"/>
        <v>27086477290</v>
      </c>
      <c r="W55" s="30">
        <f t="shared" si="7"/>
        <v>107026447</v>
      </c>
      <c r="X55" s="30">
        <f t="shared" si="7"/>
        <v>29066364401</v>
      </c>
      <c r="Y55" s="30">
        <f t="shared" si="7"/>
        <v>127691043</v>
      </c>
      <c r="Z55" s="30">
        <f t="shared" si="7"/>
        <v>31035546791</v>
      </c>
      <c r="AA55" s="30">
        <f t="shared" si="7"/>
        <v>115491061</v>
      </c>
      <c r="AB55" s="30">
        <f t="shared" si="7"/>
        <v>30691016787</v>
      </c>
      <c r="AC55" s="30">
        <f t="shared" si="7"/>
        <v>825036338</v>
      </c>
      <c r="AD55" s="30">
        <f t="shared" si="7"/>
        <v>344300425820</v>
      </c>
      <c r="AE55" s="30">
        <f t="shared" si="7"/>
        <v>0</v>
      </c>
      <c r="AF55" s="30">
        <f t="shared" si="7"/>
        <v>0</v>
      </c>
      <c r="AG55" s="30">
        <f t="shared" si="7"/>
        <v>0</v>
      </c>
      <c r="AH55" s="30">
        <f t="shared" si="7"/>
        <v>0</v>
      </c>
      <c r="AI55" s="30">
        <f t="shared" si="7"/>
        <v>0</v>
      </c>
      <c r="AJ55" s="30">
        <f t="shared" si="7"/>
        <v>0</v>
      </c>
      <c r="AK55" s="30">
        <f t="shared" si="7"/>
        <v>0</v>
      </c>
      <c r="AL55" s="30">
        <f t="shared" si="7"/>
        <v>0</v>
      </c>
      <c r="AM55" s="30">
        <f t="shared" si="7"/>
        <v>0</v>
      </c>
      <c r="AN55" s="30">
        <f t="shared" si="7"/>
        <v>0</v>
      </c>
      <c r="AO55" s="30">
        <f t="shared" si="7"/>
        <v>0</v>
      </c>
      <c r="AP55" s="30">
        <f t="shared" si="7"/>
        <v>0</v>
      </c>
      <c r="AQ55" s="30">
        <f t="shared" si="7"/>
        <v>0</v>
      </c>
      <c r="AR55" s="30">
        <f t="shared" si="7"/>
        <v>372546043</v>
      </c>
      <c r="AS55" s="30">
        <f t="shared" si="7"/>
        <v>366161303</v>
      </c>
      <c r="AT55" s="30">
        <f t="shared" si="7"/>
        <v>303575160</v>
      </c>
      <c r="AU55" s="30">
        <f t="shared" si="7"/>
        <v>219508974</v>
      </c>
      <c r="AV55" s="30">
        <f t="shared" si="7"/>
        <v>334519548</v>
      </c>
      <c r="AW55" s="30">
        <f t="shared" si="7"/>
        <v>202788392</v>
      </c>
      <c r="AX55" s="30">
        <f t="shared" si="7"/>
        <v>248346024</v>
      </c>
      <c r="AY55" s="30">
        <f t="shared" si="7"/>
        <v>227452016</v>
      </c>
      <c r="AZ55" s="30">
        <f t="shared" si="7"/>
        <v>232174048</v>
      </c>
      <c r="BA55" s="30">
        <f t="shared" si="7"/>
        <v>1939495868</v>
      </c>
      <c r="BB55" s="30">
        <f t="shared" si="7"/>
        <v>869400366</v>
      </c>
      <c r="BC55" s="30">
        <f t="shared" si="7"/>
        <v>825703077</v>
      </c>
      <c r="BD55" s="32">
        <f t="shared" si="7"/>
        <v>6141670819</v>
      </c>
    </row>
    <row r="56" spans="1:56">
      <c r="A56" s="102" t="s">
        <v>161</v>
      </c>
      <c r="B56" s="103"/>
      <c r="C56" s="103"/>
      <c r="D56" s="7">
        <f>SUMIF($A$5:$A$52,$A56,D$5:D$52)</f>
        <v>61089704286</v>
      </c>
      <c r="E56" s="7">
        <f t="shared" ref="E56:T58" si="8">SUMIF($A$5:$A$52,$A56,E$5:E$52)</f>
        <v>878562</v>
      </c>
      <c r="F56" s="7">
        <f t="shared" si="8"/>
        <v>5036240325</v>
      </c>
      <c r="G56" s="7">
        <f t="shared" si="8"/>
        <v>961443</v>
      </c>
      <c r="H56" s="7">
        <f t="shared" si="8"/>
        <v>5416575401</v>
      </c>
      <c r="I56" s="7">
        <f t="shared" si="8"/>
        <v>623945</v>
      </c>
      <c r="J56" s="7">
        <f t="shared" si="8"/>
        <v>4921961955</v>
      </c>
      <c r="K56" s="7">
        <f t="shared" si="8"/>
        <v>865750</v>
      </c>
      <c r="L56" s="7">
        <f t="shared" si="8"/>
        <v>5269478733</v>
      </c>
      <c r="M56" s="7">
        <f t="shared" si="8"/>
        <v>824914</v>
      </c>
      <c r="N56" s="7">
        <f t="shared" si="8"/>
        <v>5573003608</v>
      </c>
      <c r="O56" s="7">
        <f t="shared" si="8"/>
        <v>867513</v>
      </c>
      <c r="P56" s="7">
        <f t="shared" si="8"/>
        <v>5617089021</v>
      </c>
      <c r="Q56" s="7">
        <f t="shared" si="8"/>
        <v>1383932</v>
      </c>
      <c r="R56" s="7">
        <f t="shared" si="8"/>
        <v>5491609812</v>
      </c>
      <c r="S56" s="7">
        <f t="shared" si="8"/>
        <v>773125</v>
      </c>
      <c r="T56" s="7">
        <f t="shared" si="8"/>
        <v>4233067962</v>
      </c>
      <c r="U56" s="7">
        <f t="shared" si="7"/>
        <v>744889</v>
      </c>
      <c r="V56" s="7">
        <f t="shared" si="7"/>
        <v>4630574776</v>
      </c>
      <c r="W56" s="7">
        <f t="shared" si="7"/>
        <v>1077712</v>
      </c>
      <c r="X56" s="7">
        <f t="shared" si="7"/>
        <v>4435695405</v>
      </c>
      <c r="Y56" s="7">
        <f t="shared" si="7"/>
        <v>1162415</v>
      </c>
      <c r="Z56" s="7">
        <f t="shared" si="7"/>
        <v>5335842071</v>
      </c>
      <c r="AA56" s="7">
        <f t="shared" si="7"/>
        <v>795614</v>
      </c>
      <c r="AB56" s="7">
        <f t="shared" si="7"/>
        <v>5032003068</v>
      </c>
      <c r="AC56" s="7">
        <f t="shared" si="7"/>
        <v>10959814</v>
      </c>
      <c r="AD56" s="7">
        <f t="shared" si="7"/>
        <v>60993142137</v>
      </c>
      <c r="AE56" s="7">
        <f t="shared" si="7"/>
        <v>0</v>
      </c>
      <c r="AF56" s="7">
        <f t="shared" si="7"/>
        <v>0</v>
      </c>
      <c r="AG56" s="7">
        <f t="shared" si="7"/>
        <v>0</v>
      </c>
      <c r="AH56" s="7">
        <f t="shared" si="7"/>
        <v>0</v>
      </c>
      <c r="AI56" s="7">
        <f t="shared" si="7"/>
        <v>0</v>
      </c>
      <c r="AJ56" s="7">
        <f t="shared" si="7"/>
        <v>0</v>
      </c>
      <c r="AK56" s="7">
        <f t="shared" si="7"/>
        <v>0</v>
      </c>
      <c r="AL56" s="7">
        <f t="shared" si="7"/>
        <v>0</v>
      </c>
      <c r="AM56" s="7">
        <f t="shared" si="7"/>
        <v>0</v>
      </c>
      <c r="AN56" s="7">
        <f t="shared" si="7"/>
        <v>0</v>
      </c>
      <c r="AO56" s="7">
        <f t="shared" si="7"/>
        <v>0</v>
      </c>
      <c r="AP56" s="7">
        <f t="shared" si="7"/>
        <v>0</v>
      </c>
      <c r="AQ56" s="7">
        <f t="shared" si="7"/>
        <v>0</v>
      </c>
      <c r="AR56" s="7">
        <f t="shared" si="7"/>
        <v>8139268</v>
      </c>
      <c r="AS56" s="7">
        <f t="shared" si="7"/>
        <v>19632688</v>
      </c>
      <c r="AT56" s="7">
        <f t="shared" si="7"/>
        <v>1823124</v>
      </c>
      <c r="AU56" s="7">
        <f t="shared" si="7"/>
        <v>2710635</v>
      </c>
      <c r="AV56" s="7">
        <f t="shared" si="7"/>
        <v>1872856</v>
      </c>
      <c r="AW56" s="7">
        <f t="shared" si="7"/>
        <v>7350591</v>
      </c>
      <c r="AX56" s="7">
        <f t="shared" si="7"/>
        <v>27102840</v>
      </c>
      <c r="AY56" s="7">
        <f t="shared" si="7"/>
        <v>3722437</v>
      </c>
      <c r="AZ56" s="7">
        <f t="shared" si="7"/>
        <v>1655420</v>
      </c>
      <c r="BA56" s="7">
        <f t="shared" si="7"/>
        <v>13304411</v>
      </c>
      <c r="BB56" s="7">
        <f t="shared" si="7"/>
        <v>8601511</v>
      </c>
      <c r="BC56" s="7">
        <f t="shared" si="7"/>
        <v>646368</v>
      </c>
      <c r="BD56" s="8">
        <f t="shared" si="7"/>
        <v>96562149</v>
      </c>
    </row>
    <row r="57" spans="1:56">
      <c r="A57" s="102" t="s">
        <v>162</v>
      </c>
      <c r="B57" s="103"/>
      <c r="C57" s="103"/>
      <c r="D57" s="7">
        <f>SUMIF($A$5:$A$52,$A57,D$5:D$52)</f>
        <v>113462074158</v>
      </c>
      <c r="E57" s="7">
        <f t="shared" si="8"/>
        <v>13120699</v>
      </c>
      <c r="F57" s="7">
        <f t="shared" si="7"/>
        <v>8883478827</v>
      </c>
      <c r="G57" s="7">
        <f t="shared" si="7"/>
        <v>17394454</v>
      </c>
      <c r="H57" s="7">
        <f t="shared" si="7"/>
        <v>9345041174</v>
      </c>
      <c r="I57" s="7">
        <f t="shared" si="7"/>
        <v>21556495</v>
      </c>
      <c r="J57" s="7">
        <f t="shared" si="7"/>
        <v>10852348848</v>
      </c>
      <c r="K57" s="7">
        <f t="shared" si="7"/>
        <v>17602936</v>
      </c>
      <c r="L57" s="7">
        <f t="shared" si="7"/>
        <v>8961214628</v>
      </c>
      <c r="M57" s="7">
        <f t="shared" si="7"/>
        <v>21314766</v>
      </c>
      <c r="N57" s="7">
        <f t="shared" si="7"/>
        <v>10069627567</v>
      </c>
      <c r="O57" s="7">
        <f t="shared" si="7"/>
        <v>17871533</v>
      </c>
      <c r="P57" s="7">
        <f t="shared" si="7"/>
        <v>9242247060</v>
      </c>
      <c r="Q57" s="7">
        <f t="shared" si="7"/>
        <v>20098201</v>
      </c>
      <c r="R57" s="7">
        <f t="shared" si="7"/>
        <v>9508719170</v>
      </c>
      <c r="S57" s="7">
        <f t="shared" si="7"/>
        <v>14398679</v>
      </c>
      <c r="T57" s="7">
        <f t="shared" si="7"/>
        <v>8895930781</v>
      </c>
      <c r="U57" s="7">
        <f t="shared" si="7"/>
        <v>18949623</v>
      </c>
      <c r="V57" s="7">
        <f t="shared" si="7"/>
        <v>9199190594</v>
      </c>
      <c r="W57" s="7">
        <f t="shared" si="7"/>
        <v>18014917</v>
      </c>
      <c r="X57" s="7">
        <f t="shared" si="7"/>
        <v>9598348572</v>
      </c>
      <c r="Y57" s="7">
        <f t="shared" si="7"/>
        <v>18757878</v>
      </c>
      <c r="Z57" s="7">
        <f t="shared" si="7"/>
        <v>9249695002</v>
      </c>
      <c r="AA57" s="7">
        <f t="shared" si="7"/>
        <v>19211214</v>
      </c>
      <c r="AB57" s="7">
        <f t="shared" si="7"/>
        <v>9212769411</v>
      </c>
      <c r="AC57" s="7">
        <f t="shared" si="7"/>
        <v>218291395</v>
      </c>
      <c r="AD57" s="7">
        <f t="shared" si="7"/>
        <v>113018611634</v>
      </c>
      <c r="AE57" s="7">
        <f t="shared" si="7"/>
        <v>0</v>
      </c>
      <c r="AF57" s="7">
        <f t="shared" si="7"/>
        <v>0</v>
      </c>
      <c r="AG57" s="7">
        <f t="shared" si="7"/>
        <v>0</v>
      </c>
      <c r="AH57" s="7">
        <f t="shared" si="7"/>
        <v>0</v>
      </c>
      <c r="AI57" s="7">
        <f t="shared" si="7"/>
        <v>0</v>
      </c>
      <c r="AJ57" s="7">
        <f t="shared" si="7"/>
        <v>0</v>
      </c>
      <c r="AK57" s="7">
        <f t="shared" si="7"/>
        <v>0</v>
      </c>
      <c r="AL57" s="7">
        <f t="shared" si="7"/>
        <v>0</v>
      </c>
      <c r="AM57" s="7">
        <f t="shared" si="7"/>
        <v>0</v>
      </c>
      <c r="AN57" s="7">
        <f t="shared" si="7"/>
        <v>0</v>
      </c>
      <c r="AO57" s="7">
        <f t="shared" si="7"/>
        <v>0</v>
      </c>
      <c r="AP57" s="7">
        <f t="shared" si="7"/>
        <v>0</v>
      </c>
      <c r="AQ57" s="7">
        <f t="shared" si="7"/>
        <v>0</v>
      </c>
      <c r="AR57" s="7">
        <f t="shared" si="7"/>
        <v>7307575</v>
      </c>
      <c r="AS57" s="7">
        <f t="shared" si="7"/>
        <v>26062934</v>
      </c>
      <c r="AT57" s="7">
        <f t="shared" si="7"/>
        <v>17952382</v>
      </c>
      <c r="AU57" s="7">
        <f t="shared" si="7"/>
        <v>28280133</v>
      </c>
      <c r="AV57" s="7">
        <f t="shared" si="7"/>
        <v>27971974</v>
      </c>
      <c r="AW57" s="7">
        <f t="shared" si="7"/>
        <v>27257236</v>
      </c>
      <c r="AX57" s="7">
        <f t="shared" si="7"/>
        <v>46859096</v>
      </c>
      <c r="AY57" s="7">
        <f t="shared" si="7"/>
        <v>27099365</v>
      </c>
      <c r="AZ57" s="7">
        <f t="shared" si="7"/>
        <v>23360564</v>
      </c>
      <c r="BA57" s="7">
        <f t="shared" si="7"/>
        <v>47802925</v>
      </c>
      <c r="BB57" s="7">
        <f t="shared" si="7"/>
        <v>12465738</v>
      </c>
      <c r="BC57" s="7">
        <f t="shared" si="7"/>
        <v>151042602</v>
      </c>
      <c r="BD57" s="8">
        <f t="shared" si="7"/>
        <v>443462524</v>
      </c>
    </row>
    <row r="58" spans="1:56">
      <c r="A58" s="102" t="s">
        <v>163</v>
      </c>
      <c r="B58" s="103"/>
      <c r="C58" s="103"/>
      <c r="D58" s="7">
        <f>SUMIF($A$5:$A$52,$A58,D$5:D$52)</f>
        <v>3575635267</v>
      </c>
      <c r="E58" s="7">
        <f t="shared" si="8"/>
        <v>24040263</v>
      </c>
      <c r="F58" s="7">
        <f t="shared" si="7"/>
        <v>85512135</v>
      </c>
      <c r="G58" s="7">
        <f t="shared" si="7"/>
        <v>22702511</v>
      </c>
      <c r="H58" s="7">
        <f t="shared" si="7"/>
        <v>72116009</v>
      </c>
      <c r="I58" s="7">
        <f t="shared" si="7"/>
        <v>21955668</v>
      </c>
      <c r="J58" s="7">
        <f t="shared" si="7"/>
        <v>85253933</v>
      </c>
      <c r="K58" s="7">
        <f t="shared" si="7"/>
        <v>16857660</v>
      </c>
      <c r="L58" s="7">
        <f t="shared" si="7"/>
        <v>91692867</v>
      </c>
      <c r="M58" s="7">
        <f t="shared" si="7"/>
        <v>10776905</v>
      </c>
      <c r="N58" s="7">
        <f t="shared" si="7"/>
        <v>65697839</v>
      </c>
      <c r="O58" s="7">
        <f t="shared" si="7"/>
        <v>35667390</v>
      </c>
      <c r="P58" s="7">
        <f t="shared" si="7"/>
        <v>84332613</v>
      </c>
      <c r="Q58" s="7">
        <f t="shared" si="7"/>
        <v>16216895</v>
      </c>
      <c r="R58" s="7">
        <f t="shared" si="7"/>
        <v>77453728</v>
      </c>
      <c r="S58" s="7">
        <f t="shared" si="7"/>
        <v>14650800</v>
      </c>
      <c r="T58" s="7">
        <f t="shared" si="7"/>
        <v>60810108</v>
      </c>
      <c r="U58" s="7">
        <f t="shared" si="7"/>
        <v>9720489</v>
      </c>
      <c r="V58" s="7">
        <f t="shared" si="7"/>
        <v>69647825</v>
      </c>
      <c r="W58" s="7">
        <f t="shared" si="7"/>
        <v>44022168</v>
      </c>
      <c r="X58" s="7">
        <f t="shared" si="7"/>
        <v>101933913</v>
      </c>
      <c r="Y58" s="7">
        <f t="shared" si="7"/>
        <v>40529860</v>
      </c>
      <c r="Z58" s="7">
        <f t="shared" si="7"/>
        <v>139646824</v>
      </c>
      <c r="AA58" s="7">
        <f t="shared" si="7"/>
        <v>45277214</v>
      </c>
      <c r="AB58" s="7">
        <f t="shared" si="7"/>
        <v>98261458</v>
      </c>
      <c r="AC58" s="7">
        <f t="shared" si="7"/>
        <v>302417823</v>
      </c>
      <c r="AD58" s="7">
        <f t="shared" si="7"/>
        <v>1032359252</v>
      </c>
      <c r="AE58" s="7">
        <f t="shared" si="7"/>
        <v>205809773</v>
      </c>
      <c r="AF58" s="7">
        <f t="shared" si="7"/>
        <v>38937909</v>
      </c>
      <c r="AG58" s="7">
        <f t="shared" si="7"/>
        <v>1540680</v>
      </c>
      <c r="AH58" s="7">
        <f t="shared" si="7"/>
        <v>2116520</v>
      </c>
      <c r="AI58" s="7">
        <f t="shared" si="7"/>
        <v>431018288</v>
      </c>
      <c r="AJ58" s="7">
        <f t="shared" si="7"/>
        <v>26315200</v>
      </c>
      <c r="AK58" s="7">
        <f t="shared" si="7"/>
        <v>-12034460</v>
      </c>
      <c r="AL58" s="7">
        <f t="shared" si="7"/>
        <v>1301050</v>
      </c>
      <c r="AM58" s="7">
        <f t="shared" si="7"/>
        <v>76159460</v>
      </c>
      <c r="AN58" s="7">
        <f t="shared" si="7"/>
        <v>49023005</v>
      </c>
      <c r="AO58" s="7">
        <f t="shared" si="7"/>
        <v>401987448</v>
      </c>
      <c r="AP58" s="7">
        <f t="shared" si="7"/>
        <v>273580000</v>
      </c>
      <c r="AQ58" s="7">
        <f t="shared" si="7"/>
        <v>1495754873</v>
      </c>
      <c r="AR58" s="7">
        <f t="shared" si="7"/>
        <v>78946622</v>
      </c>
      <c r="AS58" s="7">
        <f t="shared" si="7"/>
        <v>62029806</v>
      </c>
      <c r="AT58" s="7">
        <f t="shared" si="7"/>
        <v>30276469</v>
      </c>
      <c r="AU58" s="7">
        <f t="shared" si="7"/>
        <v>-521154</v>
      </c>
      <c r="AV58" s="7">
        <f t="shared" si="7"/>
        <v>-118863631</v>
      </c>
      <c r="AW58" s="7">
        <f t="shared" si="7"/>
        <v>9276956</v>
      </c>
      <c r="AX58" s="7">
        <f t="shared" si="7"/>
        <v>7978575</v>
      </c>
      <c r="AY58" s="7">
        <f t="shared" si="7"/>
        <v>36769774</v>
      </c>
      <c r="AZ58" s="7">
        <f t="shared" si="7"/>
        <v>52239040</v>
      </c>
      <c r="BA58" s="7">
        <f t="shared" si="7"/>
        <v>252908376</v>
      </c>
      <c r="BB58" s="7">
        <f t="shared" si="7"/>
        <v>287652872</v>
      </c>
      <c r="BC58" s="7">
        <f t="shared" si="7"/>
        <v>348827437</v>
      </c>
      <c r="BD58" s="8">
        <f t="shared" si="7"/>
        <v>1047521142</v>
      </c>
    </row>
    <row r="59" spans="1:56" ht="17.25" thickBot="1">
      <c r="A59" s="104" t="s">
        <v>165</v>
      </c>
      <c r="B59" s="105"/>
      <c r="C59" s="105"/>
      <c r="D59" s="16">
        <f>SUM(D55:D58)</f>
        <v>528569510350</v>
      </c>
      <c r="E59" s="16">
        <f>SUM(E55:E58)</f>
        <v>86683652</v>
      </c>
      <c r="F59" s="16">
        <f t="shared" ref="F59:BD59" si="9">SUM(F55:F58)</f>
        <v>40708099996</v>
      </c>
      <c r="G59" s="16">
        <f t="shared" si="9"/>
        <v>101549519</v>
      </c>
      <c r="H59" s="16">
        <f t="shared" si="9"/>
        <v>43747582185</v>
      </c>
      <c r="I59" s="16">
        <f t="shared" si="9"/>
        <v>131647549</v>
      </c>
      <c r="J59" s="16">
        <f t="shared" si="9"/>
        <v>45739498620</v>
      </c>
      <c r="K59" s="16">
        <f t="shared" si="9"/>
        <v>84342407</v>
      </c>
      <c r="L59" s="16">
        <f t="shared" si="9"/>
        <v>43411672390</v>
      </c>
      <c r="M59" s="16">
        <f t="shared" si="9"/>
        <v>79709434</v>
      </c>
      <c r="N59" s="16">
        <f t="shared" si="9"/>
        <v>45115254938</v>
      </c>
      <c r="O59" s="16">
        <f t="shared" si="9"/>
        <v>93428368</v>
      </c>
      <c r="P59" s="16">
        <f t="shared" si="9"/>
        <v>45610093720</v>
      </c>
      <c r="Q59" s="16">
        <f t="shared" si="9"/>
        <v>88251425</v>
      </c>
      <c r="R59" s="16">
        <f t="shared" si="9"/>
        <v>43670801651</v>
      </c>
      <c r="S59" s="16">
        <f t="shared" si="9"/>
        <v>73993875</v>
      </c>
      <c r="T59" s="16">
        <f t="shared" si="9"/>
        <v>36358521155</v>
      </c>
      <c r="U59" s="16">
        <f t="shared" si="9"/>
        <v>78041598</v>
      </c>
      <c r="V59" s="16">
        <f t="shared" si="9"/>
        <v>40985890485</v>
      </c>
      <c r="W59" s="16">
        <f t="shared" si="9"/>
        <v>170141244</v>
      </c>
      <c r="X59" s="16">
        <f t="shared" si="9"/>
        <v>43202342291</v>
      </c>
      <c r="Y59" s="16">
        <f t="shared" si="9"/>
        <v>188141196</v>
      </c>
      <c r="Z59" s="16">
        <f t="shared" si="9"/>
        <v>45760730688</v>
      </c>
      <c r="AA59" s="16">
        <f t="shared" si="9"/>
        <v>180775103</v>
      </c>
      <c r="AB59" s="16">
        <f t="shared" si="9"/>
        <v>45034050724</v>
      </c>
      <c r="AC59" s="16">
        <f t="shared" si="9"/>
        <v>1356705370</v>
      </c>
      <c r="AD59" s="16">
        <f t="shared" si="9"/>
        <v>519344538843</v>
      </c>
      <c r="AE59" s="16">
        <f t="shared" si="9"/>
        <v>205809773</v>
      </c>
      <c r="AF59" s="16">
        <f t="shared" si="9"/>
        <v>38937909</v>
      </c>
      <c r="AG59" s="16">
        <f t="shared" si="9"/>
        <v>1540680</v>
      </c>
      <c r="AH59" s="16">
        <f t="shared" si="9"/>
        <v>2116520</v>
      </c>
      <c r="AI59" s="16">
        <f t="shared" si="9"/>
        <v>431018288</v>
      </c>
      <c r="AJ59" s="16">
        <f t="shared" si="9"/>
        <v>26315200</v>
      </c>
      <c r="AK59" s="16">
        <f t="shared" si="9"/>
        <v>-12034460</v>
      </c>
      <c r="AL59" s="16">
        <f t="shared" si="9"/>
        <v>1301050</v>
      </c>
      <c r="AM59" s="16">
        <f t="shared" si="9"/>
        <v>76159460</v>
      </c>
      <c r="AN59" s="16">
        <f t="shared" si="9"/>
        <v>49023005</v>
      </c>
      <c r="AO59" s="16">
        <f t="shared" si="9"/>
        <v>401987448</v>
      </c>
      <c r="AP59" s="16">
        <f t="shared" si="9"/>
        <v>273580000</v>
      </c>
      <c r="AQ59" s="16">
        <f t="shared" si="9"/>
        <v>1495754873</v>
      </c>
      <c r="AR59" s="16">
        <f t="shared" si="9"/>
        <v>466939508</v>
      </c>
      <c r="AS59" s="16">
        <f t="shared" si="9"/>
        <v>473886731</v>
      </c>
      <c r="AT59" s="16">
        <f t="shared" si="9"/>
        <v>353627135</v>
      </c>
      <c r="AU59" s="16">
        <f t="shared" si="9"/>
        <v>249978588</v>
      </c>
      <c r="AV59" s="16">
        <f t="shared" si="9"/>
        <v>245500747</v>
      </c>
      <c r="AW59" s="16">
        <f t="shared" si="9"/>
        <v>246673175</v>
      </c>
      <c r="AX59" s="16">
        <f t="shared" si="9"/>
        <v>330286535</v>
      </c>
      <c r="AY59" s="16">
        <f t="shared" si="9"/>
        <v>295043592</v>
      </c>
      <c r="AZ59" s="16">
        <f t="shared" si="9"/>
        <v>309429072</v>
      </c>
      <c r="BA59" s="16">
        <f t="shared" si="9"/>
        <v>2253511580</v>
      </c>
      <c r="BB59" s="16">
        <f t="shared" si="9"/>
        <v>1178120487</v>
      </c>
      <c r="BC59" s="16">
        <f t="shared" si="9"/>
        <v>1326219484</v>
      </c>
      <c r="BD59" s="17">
        <f t="shared" si="9"/>
        <v>7729216634</v>
      </c>
    </row>
  </sheetData>
  <autoFilter ref="A4:BE4" xr:uid="{00000000-0009-0000-0000-000002000000}">
    <sortState xmlns:xlrd2="http://schemas.microsoft.com/office/spreadsheetml/2017/richdata2" ref="A7:BD52">
      <sortCondition ref="A4"/>
    </sortState>
  </autoFilter>
  <mergeCells count="21">
    <mergeCell ref="A2:A4"/>
    <mergeCell ref="K3:L3"/>
    <mergeCell ref="B2:B4"/>
    <mergeCell ref="C2:C4"/>
    <mergeCell ref="E3:F3"/>
    <mergeCell ref="G3:H3"/>
    <mergeCell ref="I3:J3"/>
    <mergeCell ref="Y3:Z3"/>
    <mergeCell ref="AA3:AB3"/>
    <mergeCell ref="AC3:AD3"/>
    <mergeCell ref="M3:N3"/>
    <mergeCell ref="O3:P3"/>
    <mergeCell ref="Q3:R3"/>
    <mergeCell ref="S3:T3"/>
    <mergeCell ref="U3:V3"/>
    <mergeCell ref="W3:X3"/>
    <mergeCell ref="A55:C55"/>
    <mergeCell ref="A56:C56"/>
    <mergeCell ref="A57:C57"/>
    <mergeCell ref="A58:C58"/>
    <mergeCell ref="A59:C5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60"/>
  <sheetViews>
    <sheetView zoomScale="70" zoomScaleNormal="70" workbookViewId="0">
      <pane xSplit="3" ySplit="4" topLeftCell="D26" activePane="bottomRight" state="frozen"/>
      <selection pane="bottomRight" activeCell="A5" sqref="A5:A53"/>
      <selection pane="bottomLeft" activeCell="A5" sqref="A5"/>
      <selection pane="topRight" activeCell="C1" sqref="C1"/>
    </sheetView>
  </sheetViews>
  <sheetFormatPr defaultRowHeight="16.5"/>
  <cols>
    <col min="1" max="2" width="15.625" style="2" customWidth="1"/>
    <col min="3" max="3" width="30.625" customWidth="1"/>
    <col min="4" max="4" width="16.375" customWidth="1"/>
    <col min="5" max="56" width="15.625" style="5" customWidth="1"/>
    <col min="57" max="16384" width="9" style="5"/>
  </cols>
  <sheetData>
    <row r="1" spans="1:56" s="4" customFormat="1" ht="36.75" customHeight="1" thickBot="1">
      <c r="A1" s="46" t="s">
        <v>166</v>
      </c>
      <c r="B1" s="1"/>
      <c r="C1" s="3"/>
      <c r="D1" s="3"/>
    </row>
    <row r="2" spans="1:56">
      <c r="A2" s="108" t="s">
        <v>136</v>
      </c>
      <c r="B2" s="111" t="s">
        <v>137</v>
      </c>
      <c r="C2" s="113" t="s">
        <v>138</v>
      </c>
      <c r="D2" s="58"/>
      <c r="E2" s="27" t="s">
        <v>139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E2" s="29" t="s">
        <v>140</v>
      </c>
      <c r="AF2" s="30"/>
      <c r="AG2" s="30"/>
      <c r="AH2" s="30"/>
      <c r="AI2" s="30"/>
      <c r="AJ2" s="30"/>
      <c r="AK2" s="30"/>
      <c r="AL2" s="31"/>
      <c r="AM2" s="31"/>
      <c r="AN2" s="31"/>
      <c r="AO2" s="31"/>
      <c r="AP2" s="31"/>
      <c r="AQ2" s="32"/>
      <c r="AR2" s="29" t="s">
        <v>141</v>
      </c>
      <c r="AS2" s="30"/>
      <c r="AT2" s="30"/>
      <c r="AU2" s="30"/>
      <c r="AV2" s="30"/>
      <c r="AW2" s="30"/>
      <c r="AX2" s="30"/>
      <c r="AY2" s="31"/>
      <c r="AZ2" s="31"/>
      <c r="BA2" s="31"/>
      <c r="BB2" s="31"/>
      <c r="BC2" s="31"/>
      <c r="BD2" s="32"/>
    </row>
    <row r="3" spans="1:56">
      <c r="A3" s="109"/>
      <c r="B3" s="112"/>
      <c r="C3" s="114"/>
      <c r="D3" s="59" t="s">
        <v>142</v>
      </c>
      <c r="E3" s="115" t="s">
        <v>143</v>
      </c>
      <c r="F3" s="106"/>
      <c r="G3" s="106" t="s">
        <v>144</v>
      </c>
      <c r="H3" s="106"/>
      <c r="I3" s="106" t="s">
        <v>145</v>
      </c>
      <c r="J3" s="106"/>
      <c r="K3" s="106" t="s">
        <v>146</v>
      </c>
      <c r="L3" s="106"/>
      <c r="M3" s="106" t="s">
        <v>147</v>
      </c>
      <c r="N3" s="106"/>
      <c r="O3" s="106" t="s">
        <v>148</v>
      </c>
      <c r="P3" s="106"/>
      <c r="Q3" s="106" t="s">
        <v>149</v>
      </c>
      <c r="R3" s="106"/>
      <c r="S3" s="106" t="s">
        <v>150</v>
      </c>
      <c r="T3" s="106"/>
      <c r="U3" s="106" t="s">
        <v>151</v>
      </c>
      <c r="V3" s="106"/>
      <c r="W3" s="106" t="s">
        <v>152</v>
      </c>
      <c r="X3" s="106"/>
      <c r="Y3" s="106" t="s">
        <v>153</v>
      </c>
      <c r="Z3" s="106"/>
      <c r="AA3" s="106" t="s">
        <v>154</v>
      </c>
      <c r="AB3" s="106"/>
      <c r="AC3" s="106" t="s">
        <v>155</v>
      </c>
      <c r="AD3" s="107"/>
      <c r="AE3" s="6"/>
      <c r="AF3" s="7"/>
      <c r="AG3" s="7"/>
      <c r="AH3" s="7"/>
      <c r="AI3" s="7"/>
      <c r="AJ3" s="7"/>
      <c r="AK3" s="7"/>
      <c r="AL3" s="33"/>
      <c r="AM3" s="33"/>
      <c r="AN3" s="33"/>
      <c r="AO3" s="33"/>
      <c r="AP3" s="33"/>
      <c r="AQ3" s="8"/>
      <c r="AR3" s="6"/>
      <c r="AS3" s="7"/>
      <c r="AT3" s="7"/>
      <c r="AU3" s="7"/>
      <c r="AV3" s="7"/>
      <c r="AW3" s="7"/>
      <c r="AX3" s="7"/>
      <c r="AY3" s="33"/>
      <c r="AZ3" s="33"/>
      <c r="BA3" s="33"/>
      <c r="BB3" s="33"/>
      <c r="BC3" s="33"/>
      <c r="BD3" s="8"/>
    </row>
    <row r="4" spans="1:56" s="10" customFormat="1">
      <c r="A4" s="110"/>
      <c r="B4" s="112"/>
      <c r="C4" s="114"/>
      <c r="D4" s="59" t="s">
        <v>156</v>
      </c>
      <c r="E4" s="76" t="s">
        <v>157</v>
      </c>
      <c r="F4" s="74" t="s">
        <v>158</v>
      </c>
      <c r="G4" s="74" t="s">
        <v>157</v>
      </c>
      <c r="H4" s="74" t="s">
        <v>158</v>
      </c>
      <c r="I4" s="74" t="s">
        <v>157</v>
      </c>
      <c r="J4" s="74" t="s">
        <v>158</v>
      </c>
      <c r="K4" s="74" t="s">
        <v>157</v>
      </c>
      <c r="L4" s="74" t="s">
        <v>158</v>
      </c>
      <c r="M4" s="74" t="s">
        <v>157</v>
      </c>
      <c r="N4" s="74" t="s">
        <v>158</v>
      </c>
      <c r="O4" s="74" t="s">
        <v>157</v>
      </c>
      <c r="P4" s="74" t="s">
        <v>158</v>
      </c>
      <c r="Q4" s="74" t="s">
        <v>157</v>
      </c>
      <c r="R4" s="74" t="s">
        <v>158</v>
      </c>
      <c r="S4" s="74" t="s">
        <v>157</v>
      </c>
      <c r="T4" s="74" t="s">
        <v>158</v>
      </c>
      <c r="U4" s="74" t="s">
        <v>157</v>
      </c>
      <c r="V4" s="74" t="s">
        <v>158</v>
      </c>
      <c r="W4" s="74" t="s">
        <v>157</v>
      </c>
      <c r="X4" s="74" t="s">
        <v>158</v>
      </c>
      <c r="Y4" s="74" t="s">
        <v>157</v>
      </c>
      <c r="Z4" s="74" t="s">
        <v>158</v>
      </c>
      <c r="AA4" s="74" t="s">
        <v>157</v>
      </c>
      <c r="AB4" s="74" t="s">
        <v>158</v>
      </c>
      <c r="AC4" s="74" t="s">
        <v>157</v>
      </c>
      <c r="AD4" s="77" t="s">
        <v>158</v>
      </c>
      <c r="AE4" s="6" t="s">
        <v>159</v>
      </c>
      <c r="AF4" s="7" t="s">
        <v>144</v>
      </c>
      <c r="AG4" s="7" t="s">
        <v>145</v>
      </c>
      <c r="AH4" s="7" t="s">
        <v>146</v>
      </c>
      <c r="AI4" s="7" t="s">
        <v>147</v>
      </c>
      <c r="AJ4" s="7" t="s">
        <v>148</v>
      </c>
      <c r="AK4" s="7" t="s">
        <v>149</v>
      </c>
      <c r="AL4" s="7" t="s">
        <v>150</v>
      </c>
      <c r="AM4" s="7" t="s">
        <v>151</v>
      </c>
      <c r="AN4" s="7" t="s">
        <v>152</v>
      </c>
      <c r="AO4" s="7" t="s">
        <v>153</v>
      </c>
      <c r="AP4" s="7" t="s">
        <v>154</v>
      </c>
      <c r="AQ4" s="8" t="s">
        <v>155</v>
      </c>
      <c r="AR4" s="6" t="s">
        <v>159</v>
      </c>
      <c r="AS4" s="7" t="s">
        <v>144</v>
      </c>
      <c r="AT4" s="7" t="s">
        <v>145</v>
      </c>
      <c r="AU4" s="7" t="s">
        <v>146</v>
      </c>
      <c r="AV4" s="7" t="s">
        <v>147</v>
      </c>
      <c r="AW4" s="7" t="s">
        <v>148</v>
      </c>
      <c r="AX4" s="7" t="s">
        <v>149</v>
      </c>
      <c r="AY4" s="7" t="s">
        <v>150</v>
      </c>
      <c r="AZ4" s="7" t="s">
        <v>151</v>
      </c>
      <c r="BA4" s="7" t="s">
        <v>152</v>
      </c>
      <c r="BB4" s="7" t="s">
        <v>153</v>
      </c>
      <c r="BC4" s="7" t="s">
        <v>154</v>
      </c>
      <c r="BD4" s="9" t="s">
        <v>155</v>
      </c>
    </row>
    <row r="5" spans="1:56" s="41" customFormat="1">
      <c r="A5" s="44" t="s">
        <v>160</v>
      </c>
      <c r="B5" s="42" t="s">
        <v>23</v>
      </c>
      <c r="C5" s="35" t="s">
        <v>24</v>
      </c>
      <c r="D5" s="61">
        <f>AD5+AQ5+BD5</f>
        <v>16461322</v>
      </c>
      <c r="E5" s="36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19748</v>
      </c>
      <c r="V5" s="37">
        <v>6414814</v>
      </c>
      <c r="W5" s="37">
        <v>1500</v>
      </c>
      <c r="X5" s="37">
        <v>74224</v>
      </c>
      <c r="Y5" s="37">
        <v>29586</v>
      </c>
      <c r="Z5" s="37">
        <v>8892476</v>
      </c>
      <c r="AA5" s="37">
        <v>2931</v>
      </c>
      <c r="AB5" s="37">
        <v>1079808</v>
      </c>
      <c r="AC5" s="37">
        <f t="shared" ref="AC5:AC36" si="0">SUM(E5,G5,I5,K5,M5,O5,Q5,S5,U5,W5,Y5,AA5)</f>
        <v>53765</v>
      </c>
      <c r="AD5" s="38">
        <f t="shared" ref="AD5:AD36" si="1">SUM(F5,H5,J5,L5,N5,P5,R5,T5,V5,X5,Z5,AB5)</f>
        <v>16461322</v>
      </c>
      <c r="AE5" s="39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38">
        <f t="shared" ref="AQ5:AQ36" si="2">SUM(AE5:AP5)</f>
        <v>0</v>
      </c>
      <c r="AR5" s="39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40">
        <v>0</v>
      </c>
      <c r="AZ5" s="40">
        <v>0</v>
      </c>
      <c r="BA5" s="40">
        <v>0</v>
      </c>
      <c r="BB5" s="40">
        <v>0</v>
      </c>
      <c r="BC5" s="40">
        <v>0</v>
      </c>
      <c r="BD5" s="38">
        <f t="shared" ref="BD5:BD36" si="3">SUM(AR5:BC5)</f>
        <v>0</v>
      </c>
    </row>
    <row r="6" spans="1:56" s="41" customFormat="1">
      <c r="A6" s="44" t="s">
        <v>160</v>
      </c>
      <c r="B6" s="42" t="s">
        <v>25</v>
      </c>
      <c r="C6" s="35" t="s">
        <v>26</v>
      </c>
      <c r="D6" s="61">
        <f t="shared" ref="D6:D53" si="4">AD6+AQ6+BD6</f>
        <v>52294228059</v>
      </c>
      <c r="E6" s="36">
        <v>1304892</v>
      </c>
      <c r="F6" s="37">
        <v>4198657606</v>
      </c>
      <c r="G6" s="37">
        <v>1050090</v>
      </c>
      <c r="H6" s="37">
        <v>4305059704</v>
      </c>
      <c r="I6" s="37">
        <v>1135376</v>
      </c>
      <c r="J6" s="37">
        <v>4232932559</v>
      </c>
      <c r="K6" s="37">
        <v>1159866</v>
      </c>
      <c r="L6" s="37">
        <v>4123128031</v>
      </c>
      <c r="M6" s="37">
        <v>1161115</v>
      </c>
      <c r="N6" s="37">
        <v>4377901255</v>
      </c>
      <c r="O6" s="37">
        <v>1154089</v>
      </c>
      <c r="P6" s="37">
        <v>4305065433</v>
      </c>
      <c r="Q6" s="37">
        <v>1065468</v>
      </c>
      <c r="R6" s="37">
        <v>4210677263</v>
      </c>
      <c r="S6" s="37">
        <v>953500</v>
      </c>
      <c r="T6" s="37">
        <v>4034339247</v>
      </c>
      <c r="U6" s="37">
        <v>909860</v>
      </c>
      <c r="V6" s="37">
        <v>4416025452</v>
      </c>
      <c r="W6" s="37">
        <v>1086360</v>
      </c>
      <c r="X6" s="37">
        <v>4761467371</v>
      </c>
      <c r="Y6" s="37">
        <v>1173653</v>
      </c>
      <c r="Z6" s="37">
        <v>4731546516</v>
      </c>
      <c r="AA6" s="37">
        <v>986777</v>
      </c>
      <c r="AB6" s="37">
        <v>4597427622</v>
      </c>
      <c r="AC6" s="37">
        <f t="shared" si="0"/>
        <v>13141046</v>
      </c>
      <c r="AD6" s="38">
        <f t="shared" si="1"/>
        <v>52294228059</v>
      </c>
      <c r="AE6" s="39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38">
        <f t="shared" si="2"/>
        <v>0</v>
      </c>
      <c r="AR6" s="39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38">
        <f t="shared" si="3"/>
        <v>0</v>
      </c>
    </row>
    <row r="7" spans="1:56" s="41" customFormat="1">
      <c r="A7" s="44" t="s">
        <v>160</v>
      </c>
      <c r="B7" s="42" t="s">
        <v>27</v>
      </c>
      <c r="C7" s="35" t="s">
        <v>28</v>
      </c>
      <c r="D7" s="61">
        <f t="shared" si="4"/>
        <v>34294026</v>
      </c>
      <c r="E7" s="36">
        <v>10</v>
      </c>
      <c r="F7" s="37">
        <v>3060000</v>
      </c>
      <c r="G7" s="37">
        <v>8</v>
      </c>
      <c r="H7" s="37">
        <v>1360000</v>
      </c>
      <c r="I7" s="37">
        <v>20</v>
      </c>
      <c r="J7" s="37">
        <v>3400000</v>
      </c>
      <c r="K7" s="37">
        <v>20</v>
      </c>
      <c r="L7" s="37">
        <v>3015000</v>
      </c>
      <c r="M7" s="37">
        <v>18</v>
      </c>
      <c r="N7" s="37">
        <v>3418000</v>
      </c>
      <c r="O7" s="37">
        <v>0</v>
      </c>
      <c r="P7" s="37">
        <v>2</v>
      </c>
      <c r="Q7" s="37">
        <v>21</v>
      </c>
      <c r="R7" s="37">
        <v>3531000</v>
      </c>
      <c r="S7" s="37">
        <v>10</v>
      </c>
      <c r="T7" s="37">
        <v>1731006</v>
      </c>
      <c r="U7" s="37">
        <v>30</v>
      </c>
      <c r="V7" s="37">
        <v>5100000</v>
      </c>
      <c r="W7" s="37">
        <v>35</v>
      </c>
      <c r="X7" s="37">
        <v>5755010</v>
      </c>
      <c r="Y7" s="37">
        <v>4</v>
      </c>
      <c r="Z7" s="37">
        <v>524020</v>
      </c>
      <c r="AA7" s="37">
        <v>20</v>
      </c>
      <c r="AB7" s="37">
        <v>3399988</v>
      </c>
      <c r="AC7" s="37">
        <f t="shared" si="0"/>
        <v>196</v>
      </c>
      <c r="AD7" s="38">
        <f t="shared" si="1"/>
        <v>34294026</v>
      </c>
      <c r="AE7" s="39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38">
        <f t="shared" si="2"/>
        <v>0</v>
      </c>
      <c r="AR7" s="39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38">
        <f t="shared" si="3"/>
        <v>0</v>
      </c>
    </row>
    <row r="8" spans="1:56" s="41" customFormat="1">
      <c r="A8" s="44" t="s">
        <v>160</v>
      </c>
      <c r="B8" s="42" t="s">
        <v>30</v>
      </c>
      <c r="C8" s="35" t="s">
        <v>31</v>
      </c>
      <c r="D8" s="61">
        <f t="shared" si="4"/>
        <v>349302176</v>
      </c>
      <c r="E8" s="36">
        <v>1203</v>
      </c>
      <c r="F8" s="37">
        <v>52478970</v>
      </c>
      <c r="G8" s="37">
        <v>455</v>
      </c>
      <c r="H8" s="37">
        <v>19266334</v>
      </c>
      <c r="I8" s="37">
        <v>370</v>
      </c>
      <c r="J8" s="37">
        <v>-3767976</v>
      </c>
      <c r="K8" s="37">
        <v>736</v>
      </c>
      <c r="L8" s="37">
        <v>52063432</v>
      </c>
      <c r="M8" s="37">
        <v>1048</v>
      </c>
      <c r="N8" s="37">
        <v>41842264</v>
      </c>
      <c r="O8" s="37">
        <v>676</v>
      </c>
      <c r="P8" s="37">
        <v>28691712</v>
      </c>
      <c r="Q8" s="37">
        <v>695</v>
      </c>
      <c r="R8" s="37">
        <v>44243568</v>
      </c>
      <c r="S8" s="37">
        <v>499</v>
      </c>
      <c r="T8" s="37">
        <v>20739252</v>
      </c>
      <c r="U8" s="37">
        <v>553</v>
      </c>
      <c r="V8" s="37">
        <v>20744879</v>
      </c>
      <c r="W8" s="37">
        <v>560</v>
      </c>
      <c r="X8" s="37">
        <v>22952113</v>
      </c>
      <c r="Y8" s="37">
        <v>413</v>
      </c>
      <c r="Z8" s="37">
        <v>17416012</v>
      </c>
      <c r="AA8" s="37">
        <v>768</v>
      </c>
      <c r="AB8" s="37">
        <v>32631616</v>
      </c>
      <c r="AC8" s="37">
        <f t="shared" si="0"/>
        <v>7976</v>
      </c>
      <c r="AD8" s="38">
        <f t="shared" si="1"/>
        <v>349302176</v>
      </c>
      <c r="AE8" s="39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38">
        <f t="shared" si="2"/>
        <v>0</v>
      </c>
      <c r="AR8" s="39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38">
        <f t="shared" si="3"/>
        <v>0</v>
      </c>
    </row>
    <row r="9" spans="1:56" s="41" customFormat="1">
      <c r="A9" s="44" t="s">
        <v>160</v>
      </c>
      <c r="B9" s="42" t="s">
        <v>33</v>
      </c>
      <c r="C9" s="35" t="s">
        <v>34</v>
      </c>
      <c r="D9" s="61">
        <f t="shared" si="4"/>
        <v>23607295007</v>
      </c>
      <c r="E9" s="36">
        <v>2369692</v>
      </c>
      <c r="F9" s="37">
        <v>1988896450</v>
      </c>
      <c r="G9" s="37">
        <v>1005734</v>
      </c>
      <c r="H9" s="37">
        <v>1510124208</v>
      </c>
      <c r="I9" s="37">
        <v>1630870</v>
      </c>
      <c r="J9" s="37">
        <v>1742965627</v>
      </c>
      <c r="K9" s="37">
        <v>2733717</v>
      </c>
      <c r="L9" s="37">
        <v>1842453219</v>
      </c>
      <c r="M9" s="37">
        <v>1042624</v>
      </c>
      <c r="N9" s="37">
        <v>1943848911</v>
      </c>
      <c r="O9" s="37">
        <v>748537</v>
      </c>
      <c r="P9" s="37">
        <v>1867707291</v>
      </c>
      <c r="Q9" s="37">
        <v>2129381</v>
      </c>
      <c r="R9" s="37">
        <v>2127029138</v>
      </c>
      <c r="S9" s="37">
        <v>2520519</v>
      </c>
      <c r="T9" s="37">
        <v>2666040302</v>
      </c>
      <c r="U9" s="37">
        <v>1538056</v>
      </c>
      <c r="V9" s="37">
        <v>2225510877</v>
      </c>
      <c r="W9" s="37">
        <v>1975111</v>
      </c>
      <c r="X9" s="37">
        <v>2506726248</v>
      </c>
      <c r="Y9" s="37">
        <v>2789704</v>
      </c>
      <c r="Z9" s="37">
        <v>1465620441</v>
      </c>
      <c r="AA9" s="37">
        <v>2332534</v>
      </c>
      <c r="AB9" s="37">
        <v>1611731433</v>
      </c>
      <c r="AC9" s="37">
        <f t="shared" si="0"/>
        <v>22816479</v>
      </c>
      <c r="AD9" s="38">
        <f t="shared" si="1"/>
        <v>23498654145</v>
      </c>
      <c r="AE9" s="39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38">
        <f t="shared" si="2"/>
        <v>0</v>
      </c>
      <c r="AR9" s="39">
        <v>8831427</v>
      </c>
      <c r="AS9" s="37">
        <v>3606446</v>
      </c>
      <c r="AT9" s="37">
        <v>6895110</v>
      </c>
      <c r="AU9" s="37">
        <v>10352249</v>
      </c>
      <c r="AV9" s="37">
        <v>4455173</v>
      </c>
      <c r="AW9" s="37">
        <v>1347638</v>
      </c>
      <c r="AX9" s="37">
        <v>10777455</v>
      </c>
      <c r="AY9" s="40">
        <v>15334104</v>
      </c>
      <c r="AZ9" s="40">
        <v>7667363</v>
      </c>
      <c r="BA9" s="40">
        <v>8859702</v>
      </c>
      <c r="BB9" s="40">
        <v>15801843</v>
      </c>
      <c r="BC9" s="40">
        <v>14712352</v>
      </c>
      <c r="BD9" s="38">
        <f t="shared" si="3"/>
        <v>108640862</v>
      </c>
    </row>
    <row r="10" spans="1:56" s="41" customFormat="1">
      <c r="A10" s="44" t="s">
        <v>160</v>
      </c>
      <c r="B10" s="42" t="s">
        <v>35</v>
      </c>
      <c r="C10" s="35" t="s">
        <v>36</v>
      </c>
      <c r="D10" s="61">
        <f t="shared" si="4"/>
        <v>93519027902</v>
      </c>
      <c r="E10" s="36">
        <v>27125198</v>
      </c>
      <c r="F10" s="37">
        <v>7330129478</v>
      </c>
      <c r="G10" s="37">
        <v>16616136</v>
      </c>
      <c r="H10" s="37">
        <v>5488579776</v>
      </c>
      <c r="I10" s="37">
        <v>27607414</v>
      </c>
      <c r="J10" s="37">
        <v>8040233898</v>
      </c>
      <c r="K10" s="37">
        <v>19622712</v>
      </c>
      <c r="L10" s="37">
        <v>6910038058</v>
      </c>
      <c r="M10" s="37">
        <v>21112173</v>
      </c>
      <c r="N10" s="37">
        <v>7195521210</v>
      </c>
      <c r="O10" s="37">
        <v>17117665</v>
      </c>
      <c r="P10" s="37">
        <v>7447103871</v>
      </c>
      <c r="Q10" s="37">
        <v>18911228</v>
      </c>
      <c r="R10" s="37">
        <v>7115883040</v>
      </c>
      <c r="S10" s="37">
        <v>19011817</v>
      </c>
      <c r="T10" s="37">
        <v>6879090903</v>
      </c>
      <c r="U10" s="37">
        <v>18793938</v>
      </c>
      <c r="V10" s="37">
        <v>6874427201</v>
      </c>
      <c r="W10" s="37">
        <v>24802674</v>
      </c>
      <c r="X10" s="37">
        <v>8302417168</v>
      </c>
      <c r="Y10" s="37">
        <v>30060276</v>
      </c>
      <c r="Z10" s="37">
        <v>8060982402</v>
      </c>
      <c r="AA10" s="37">
        <v>24669347</v>
      </c>
      <c r="AB10" s="37">
        <v>8915635098</v>
      </c>
      <c r="AC10" s="37">
        <f t="shared" si="0"/>
        <v>265450578</v>
      </c>
      <c r="AD10" s="38">
        <f t="shared" si="1"/>
        <v>88560042103</v>
      </c>
      <c r="AE10" s="39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38">
        <f t="shared" si="2"/>
        <v>0</v>
      </c>
      <c r="AR10" s="39">
        <v>384147210</v>
      </c>
      <c r="AS10" s="37">
        <v>311861153</v>
      </c>
      <c r="AT10" s="37">
        <v>300582673</v>
      </c>
      <c r="AU10" s="37">
        <v>266547198</v>
      </c>
      <c r="AV10" s="37">
        <v>332928330</v>
      </c>
      <c r="AW10" s="37">
        <v>350269220</v>
      </c>
      <c r="AX10" s="37">
        <v>441877271</v>
      </c>
      <c r="AY10" s="40">
        <v>446305621</v>
      </c>
      <c r="AZ10" s="40">
        <v>378150459</v>
      </c>
      <c r="BA10" s="40">
        <v>787164243</v>
      </c>
      <c r="BB10" s="40">
        <v>495389261</v>
      </c>
      <c r="BC10" s="40">
        <v>463763160</v>
      </c>
      <c r="BD10" s="38">
        <f t="shared" si="3"/>
        <v>4958985799</v>
      </c>
    </row>
    <row r="11" spans="1:56" s="41" customFormat="1">
      <c r="A11" s="44" t="s">
        <v>160</v>
      </c>
      <c r="B11" s="42" t="s">
        <v>37</v>
      </c>
      <c r="C11" s="35" t="s">
        <v>38</v>
      </c>
      <c r="D11" s="61">
        <f t="shared" si="4"/>
        <v>63953738859</v>
      </c>
      <c r="E11" s="36">
        <v>14802933</v>
      </c>
      <c r="F11" s="37">
        <v>5289865072</v>
      </c>
      <c r="G11" s="37">
        <v>9339032</v>
      </c>
      <c r="H11" s="37">
        <v>4142389369</v>
      </c>
      <c r="I11" s="37">
        <v>10792485</v>
      </c>
      <c r="J11" s="37">
        <v>4345139460</v>
      </c>
      <c r="K11" s="37">
        <v>14404760</v>
      </c>
      <c r="L11" s="37">
        <v>5070421802</v>
      </c>
      <c r="M11" s="37">
        <v>14235142</v>
      </c>
      <c r="N11" s="37">
        <v>4890012012</v>
      </c>
      <c r="O11" s="37">
        <v>12760137</v>
      </c>
      <c r="P11" s="37">
        <v>4927096967</v>
      </c>
      <c r="Q11" s="37">
        <v>17805969</v>
      </c>
      <c r="R11" s="37">
        <v>5080950686</v>
      </c>
      <c r="S11" s="37">
        <v>19177843</v>
      </c>
      <c r="T11" s="37">
        <v>5799485027</v>
      </c>
      <c r="U11" s="37">
        <v>21119748</v>
      </c>
      <c r="V11" s="37">
        <v>5339459981</v>
      </c>
      <c r="W11" s="37">
        <v>16672946</v>
      </c>
      <c r="X11" s="37">
        <v>6024609471</v>
      </c>
      <c r="Y11" s="37">
        <v>16215562</v>
      </c>
      <c r="Z11" s="37">
        <v>5955384128</v>
      </c>
      <c r="AA11" s="37">
        <v>20348693</v>
      </c>
      <c r="AB11" s="37">
        <v>6189133082</v>
      </c>
      <c r="AC11" s="37">
        <f t="shared" si="0"/>
        <v>187675250</v>
      </c>
      <c r="AD11" s="38">
        <f t="shared" si="1"/>
        <v>63053947057</v>
      </c>
      <c r="AE11" s="39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38">
        <f t="shared" si="2"/>
        <v>0</v>
      </c>
      <c r="AR11" s="39">
        <v>76929380</v>
      </c>
      <c r="AS11" s="37">
        <v>53725525</v>
      </c>
      <c r="AT11" s="37">
        <v>78260835</v>
      </c>
      <c r="AU11" s="37">
        <v>61125033</v>
      </c>
      <c r="AV11" s="37">
        <v>63756368</v>
      </c>
      <c r="AW11" s="37">
        <v>52211182</v>
      </c>
      <c r="AX11" s="37">
        <v>35639719</v>
      </c>
      <c r="AY11" s="40">
        <v>67657820</v>
      </c>
      <c r="AZ11" s="40">
        <v>122268623</v>
      </c>
      <c r="BA11" s="40">
        <v>89717561</v>
      </c>
      <c r="BB11" s="40">
        <v>110209126</v>
      </c>
      <c r="BC11" s="40">
        <v>88290630</v>
      </c>
      <c r="BD11" s="38">
        <f t="shared" si="3"/>
        <v>899791802</v>
      </c>
    </row>
    <row r="12" spans="1:56" s="41" customFormat="1">
      <c r="A12" s="44" t="s">
        <v>160</v>
      </c>
      <c r="B12" s="42" t="s">
        <v>39</v>
      </c>
      <c r="C12" s="35" t="s">
        <v>40</v>
      </c>
      <c r="D12" s="61">
        <f t="shared" si="4"/>
        <v>92625554786</v>
      </c>
      <c r="E12" s="36">
        <v>70777498</v>
      </c>
      <c r="F12" s="37">
        <v>7811017021</v>
      </c>
      <c r="G12" s="37">
        <v>34462267</v>
      </c>
      <c r="H12" s="37">
        <v>7194267113</v>
      </c>
      <c r="I12" s="37">
        <v>70251233</v>
      </c>
      <c r="J12" s="37">
        <v>7436666759</v>
      </c>
      <c r="K12" s="37">
        <v>59658413</v>
      </c>
      <c r="L12" s="37">
        <v>7704060342</v>
      </c>
      <c r="M12" s="37">
        <v>48123826</v>
      </c>
      <c r="N12" s="37">
        <v>7340796375</v>
      </c>
      <c r="O12" s="37">
        <v>39330354</v>
      </c>
      <c r="P12" s="37">
        <v>7598389741</v>
      </c>
      <c r="Q12" s="37">
        <v>55736523</v>
      </c>
      <c r="R12" s="37">
        <v>7165613757</v>
      </c>
      <c r="S12" s="37">
        <v>64216378</v>
      </c>
      <c r="T12" s="37">
        <v>6137206794</v>
      </c>
      <c r="U12" s="37">
        <v>46168214</v>
      </c>
      <c r="V12" s="37">
        <v>6074938879</v>
      </c>
      <c r="W12" s="37">
        <v>69351306</v>
      </c>
      <c r="X12" s="37">
        <v>7436979422</v>
      </c>
      <c r="Y12" s="37">
        <v>65519908</v>
      </c>
      <c r="Z12" s="37">
        <v>7881156510</v>
      </c>
      <c r="AA12" s="37">
        <v>58433676</v>
      </c>
      <c r="AB12" s="37">
        <v>8455024476</v>
      </c>
      <c r="AC12" s="37">
        <f t="shared" si="0"/>
        <v>682029596</v>
      </c>
      <c r="AD12" s="38">
        <f t="shared" si="1"/>
        <v>88236117189</v>
      </c>
      <c r="AE12" s="39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38">
        <f t="shared" si="2"/>
        <v>0</v>
      </c>
      <c r="AR12" s="39">
        <v>343232165</v>
      </c>
      <c r="AS12" s="37">
        <v>255795476</v>
      </c>
      <c r="AT12" s="37">
        <v>375986899</v>
      </c>
      <c r="AU12" s="37">
        <v>378183763</v>
      </c>
      <c r="AV12" s="37">
        <v>329752616</v>
      </c>
      <c r="AW12" s="37">
        <v>269974844</v>
      </c>
      <c r="AX12" s="37">
        <v>378701845</v>
      </c>
      <c r="AY12" s="40">
        <v>376108880</v>
      </c>
      <c r="AZ12" s="40">
        <v>360207058</v>
      </c>
      <c r="BA12" s="40">
        <v>498913709</v>
      </c>
      <c r="BB12" s="40">
        <v>444957973</v>
      </c>
      <c r="BC12" s="40">
        <v>377622369</v>
      </c>
      <c r="BD12" s="38">
        <f t="shared" si="3"/>
        <v>4389437597</v>
      </c>
    </row>
    <row r="13" spans="1:56" s="41" customFormat="1">
      <c r="A13" s="44" t="s">
        <v>160</v>
      </c>
      <c r="B13" s="42" t="s">
        <v>41</v>
      </c>
      <c r="C13" s="35" t="s">
        <v>42</v>
      </c>
      <c r="D13" s="61">
        <f t="shared" si="4"/>
        <v>51035830487</v>
      </c>
      <c r="E13" s="36">
        <v>918298</v>
      </c>
      <c r="F13" s="37">
        <v>4539980886</v>
      </c>
      <c r="G13" s="37">
        <v>914110</v>
      </c>
      <c r="H13" s="37">
        <v>4263796903</v>
      </c>
      <c r="I13" s="37">
        <v>891917</v>
      </c>
      <c r="J13" s="37">
        <v>4007592683</v>
      </c>
      <c r="K13" s="37">
        <v>931767</v>
      </c>
      <c r="L13" s="37">
        <v>4117581933</v>
      </c>
      <c r="M13" s="37">
        <v>987939</v>
      </c>
      <c r="N13" s="37">
        <v>4076029234</v>
      </c>
      <c r="O13" s="37">
        <v>1217429</v>
      </c>
      <c r="P13" s="37">
        <v>4447220076</v>
      </c>
      <c r="Q13" s="37">
        <v>1205267</v>
      </c>
      <c r="R13" s="37">
        <v>4243028904</v>
      </c>
      <c r="S13" s="37">
        <v>1192874</v>
      </c>
      <c r="T13" s="37">
        <v>3688240557</v>
      </c>
      <c r="U13" s="37">
        <v>1531652</v>
      </c>
      <c r="V13" s="37">
        <v>3489271860</v>
      </c>
      <c r="W13" s="37">
        <v>1272254</v>
      </c>
      <c r="X13" s="37">
        <v>4480646546</v>
      </c>
      <c r="Y13" s="37">
        <v>735306</v>
      </c>
      <c r="Z13" s="37">
        <v>4664239249</v>
      </c>
      <c r="AA13" s="37">
        <v>1073954</v>
      </c>
      <c r="AB13" s="37">
        <v>5018201656</v>
      </c>
      <c r="AC13" s="37">
        <f t="shared" si="0"/>
        <v>12872767</v>
      </c>
      <c r="AD13" s="38">
        <f t="shared" si="1"/>
        <v>51035830487</v>
      </c>
      <c r="AE13" s="39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38">
        <f t="shared" si="2"/>
        <v>0</v>
      </c>
      <c r="AR13" s="39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38">
        <f t="shared" si="3"/>
        <v>0</v>
      </c>
    </row>
    <row r="14" spans="1:56" s="41" customFormat="1">
      <c r="A14" s="44" t="s">
        <v>160</v>
      </c>
      <c r="B14" s="42" t="s">
        <v>43</v>
      </c>
      <c r="C14" s="35" t="s">
        <v>44</v>
      </c>
      <c r="D14" s="61">
        <f t="shared" si="4"/>
        <v>140959</v>
      </c>
      <c r="E14" s="36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-715500</v>
      </c>
      <c r="W14" s="37">
        <v>720</v>
      </c>
      <c r="X14" s="37">
        <v>2432</v>
      </c>
      <c r="Y14" s="37">
        <v>62</v>
      </c>
      <c r="Z14" s="37">
        <v>686</v>
      </c>
      <c r="AA14" s="37">
        <v>17379</v>
      </c>
      <c r="AB14" s="37">
        <v>762755</v>
      </c>
      <c r="AC14" s="37">
        <f t="shared" si="0"/>
        <v>18161</v>
      </c>
      <c r="AD14" s="38">
        <f t="shared" si="1"/>
        <v>50373</v>
      </c>
      <c r="AE14" s="39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38">
        <f t="shared" si="2"/>
        <v>0</v>
      </c>
      <c r="AR14" s="39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90586</v>
      </c>
      <c r="BD14" s="38">
        <f t="shared" si="3"/>
        <v>90586</v>
      </c>
    </row>
    <row r="15" spans="1:56" s="41" customFormat="1">
      <c r="A15" s="44" t="s">
        <v>160</v>
      </c>
      <c r="B15" s="42" t="s">
        <v>45</v>
      </c>
      <c r="C15" s="35" t="s">
        <v>46</v>
      </c>
      <c r="D15" s="61">
        <f t="shared" si="4"/>
        <v>3072405420</v>
      </c>
      <c r="E15" s="36">
        <v>1864872</v>
      </c>
      <c r="F15" s="37">
        <v>316248353</v>
      </c>
      <c r="G15" s="37">
        <v>1464776</v>
      </c>
      <c r="H15" s="37">
        <v>343234017</v>
      </c>
      <c r="I15" s="37">
        <v>1361232</v>
      </c>
      <c r="J15" s="37">
        <v>312653701</v>
      </c>
      <c r="K15" s="37">
        <v>1247907</v>
      </c>
      <c r="L15" s="37">
        <v>331927190</v>
      </c>
      <c r="M15" s="37">
        <v>710413</v>
      </c>
      <c r="N15" s="37">
        <v>262424847</v>
      </c>
      <c r="O15" s="37">
        <v>1786247</v>
      </c>
      <c r="P15" s="37">
        <v>254633393</v>
      </c>
      <c r="Q15" s="37">
        <v>439827</v>
      </c>
      <c r="R15" s="37">
        <v>210499545</v>
      </c>
      <c r="S15" s="37">
        <v>1479448</v>
      </c>
      <c r="T15" s="37">
        <v>270709017</v>
      </c>
      <c r="U15" s="37">
        <v>847617</v>
      </c>
      <c r="V15" s="37">
        <v>237942102</v>
      </c>
      <c r="W15" s="37">
        <v>431289</v>
      </c>
      <c r="X15" s="37">
        <v>218751091</v>
      </c>
      <c r="Y15" s="37">
        <v>668460</v>
      </c>
      <c r="Z15" s="37">
        <v>157125196</v>
      </c>
      <c r="AA15" s="37">
        <v>637386</v>
      </c>
      <c r="AB15" s="37">
        <v>115057192</v>
      </c>
      <c r="AC15" s="37">
        <f t="shared" si="0"/>
        <v>12939474</v>
      </c>
      <c r="AD15" s="38">
        <f t="shared" si="1"/>
        <v>3031205644</v>
      </c>
      <c r="AE15" s="39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38">
        <f t="shared" si="2"/>
        <v>0</v>
      </c>
      <c r="AR15" s="39">
        <v>516668</v>
      </c>
      <c r="AS15" s="37">
        <v>0</v>
      </c>
      <c r="AT15" s="37">
        <v>0</v>
      </c>
      <c r="AU15" s="37">
        <v>9585137</v>
      </c>
      <c r="AV15" s="37">
        <v>1892459</v>
      </c>
      <c r="AW15" s="37">
        <v>40000</v>
      </c>
      <c r="AX15" s="37">
        <v>2598551</v>
      </c>
      <c r="AY15" s="40">
        <v>5184599</v>
      </c>
      <c r="AZ15" s="40">
        <v>14728596</v>
      </c>
      <c r="BA15" s="40">
        <v>1834972</v>
      </c>
      <c r="BB15" s="40">
        <v>4805838</v>
      </c>
      <c r="BC15" s="40">
        <v>12956</v>
      </c>
      <c r="BD15" s="38">
        <f t="shared" si="3"/>
        <v>41199776</v>
      </c>
    </row>
    <row r="16" spans="1:56" s="41" customFormat="1">
      <c r="A16" s="44" t="s">
        <v>161</v>
      </c>
      <c r="B16" s="42" t="s">
        <v>49</v>
      </c>
      <c r="C16" s="35" t="s">
        <v>50</v>
      </c>
      <c r="D16" s="61">
        <f t="shared" si="4"/>
        <v>2158392511</v>
      </c>
      <c r="E16" s="36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-54396</v>
      </c>
      <c r="N16" s="37">
        <v>-959197</v>
      </c>
      <c r="O16" s="37">
        <v>8400</v>
      </c>
      <c r="P16" s="37">
        <v>421129980</v>
      </c>
      <c r="Q16" s="37">
        <v>0</v>
      </c>
      <c r="R16" s="37">
        <v>0</v>
      </c>
      <c r="S16" s="37">
        <v>0</v>
      </c>
      <c r="T16" s="37">
        <v>0</v>
      </c>
      <c r="U16" s="37">
        <v>12500</v>
      </c>
      <c r="V16" s="37">
        <v>620582392</v>
      </c>
      <c r="W16" s="37">
        <v>11506</v>
      </c>
      <c r="X16" s="37">
        <v>564191122</v>
      </c>
      <c r="Y16" s="37">
        <v>0</v>
      </c>
      <c r="Z16" s="37">
        <v>0</v>
      </c>
      <c r="AA16" s="37">
        <v>11996</v>
      </c>
      <c r="AB16" s="37">
        <v>553448214</v>
      </c>
      <c r="AC16" s="37">
        <f t="shared" si="0"/>
        <v>-9994</v>
      </c>
      <c r="AD16" s="38">
        <f t="shared" si="1"/>
        <v>2158392511</v>
      </c>
      <c r="AE16" s="39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38">
        <f t="shared" si="2"/>
        <v>0</v>
      </c>
      <c r="AR16" s="39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38">
        <f t="shared" si="3"/>
        <v>0</v>
      </c>
    </row>
    <row r="17" spans="1:56" s="41" customFormat="1">
      <c r="A17" s="44" t="s">
        <v>161</v>
      </c>
      <c r="B17" s="42" t="s">
        <v>53</v>
      </c>
      <c r="C17" s="35" t="s">
        <v>54</v>
      </c>
      <c r="D17" s="61">
        <f t="shared" si="4"/>
        <v>8075465260</v>
      </c>
      <c r="E17" s="36">
        <v>24120</v>
      </c>
      <c r="F17" s="37">
        <v>690120484</v>
      </c>
      <c r="G17" s="37">
        <v>21853</v>
      </c>
      <c r="H17" s="37">
        <v>615464472</v>
      </c>
      <c r="I17" s="37">
        <v>24127</v>
      </c>
      <c r="J17" s="37">
        <v>680003411</v>
      </c>
      <c r="K17" s="37">
        <v>19814</v>
      </c>
      <c r="L17" s="37">
        <v>578229155</v>
      </c>
      <c r="M17" s="37">
        <v>22500</v>
      </c>
      <c r="N17" s="37">
        <v>644938403</v>
      </c>
      <c r="O17" s="37">
        <v>27195</v>
      </c>
      <c r="P17" s="37">
        <v>750336936</v>
      </c>
      <c r="Q17" s="37">
        <v>29880</v>
      </c>
      <c r="R17" s="37">
        <v>849167537</v>
      </c>
      <c r="S17" s="37">
        <v>21737</v>
      </c>
      <c r="T17" s="37">
        <v>617711924</v>
      </c>
      <c r="U17" s="37">
        <v>16552</v>
      </c>
      <c r="V17" s="37">
        <v>477384895</v>
      </c>
      <c r="W17" s="37">
        <v>29239</v>
      </c>
      <c r="X17" s="37">
        <v>717716701</v>
      </c>
      <c r="Y17" s="37">
        <v>27163</v>
      </c>
      <c r="Z17" s="37">
        <v>770344882</v>
      </c>
      <c r="AA17" s="37">
        <v>26683</v>
      </c>
      <c r="AB17" s="37">
        <v>684046460</v>
      </c>
      <c r="AC17" s="37">
        <f t="shared" si="0"/>
        <v>290863</v>
      </c>
      <c r="AD17" s="38">
        <f t="shared" si="1"/>
        <v>8075465260</v>
      </c>
      <c r="AE17" s="39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38">
        <f t="shared" si="2"/>
        <v>0</v>
      </c>
      <c r="AR17" s="39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38">
        <f t="shared" si="3"/>
        <v>0</v>
      </c>
    </row>
    <row r="18" spans="1:56" s="41" customFormat="1">
      <c r="A18" s="44" t="s">
        <v>161</v>
      </c>
      <c r="B18" s="42" t="s">
        <v>55</v>
      </c>
      <c r="C18" s="35" t="s">
        <v>56</v>
      </c>
      <c r="D18" s="61">
        <f t="shared" si="4"/>
        <v>613580</v>
      </c>
      <c r="E18" s="36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220</v>
      </c>
      <c r="R18" s="37">
        <v>384880</v>
      </c>
      <c r="S18" s="37">
        <v>0</v>
      </c>
      <c r="T18" s="37">
        <v>0</v>
      </c>
      <c r="U18" s="37">
        <v>100</v>
      </c>
      <c r="V18" s="37">
        <v>228700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f t="shared" si="0"/>
        <v>320</v>
      </c>
      <c r="AD18" s="38">
        <f t="shared" si="1"/>
        <v>613580</v>
      </c>
      <c r="AE18" s="39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38">
        <f t="shared" si="2"/>
        <v>0</v>
      </c>
      <c r="AR18" s="39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38">
        <f t="shared" si="3"/>
        <v>0</v>
      </c>
    </row>
    <row r="19" spans="1:56" s="41" customFormat="1">
      <c r="A19" s="44" t="s">
        <v>161</v>
      </c>
      <c r="B19" s="42" t="s">
        <v>57</v>
      </c>
      <c r="C19" s="35" t="s">
        <v>58</v>
      </c>
      <c r="D19" s="61">
        <f t="shared" si="4"/>
        <v>12989251197</v>
      </c>
      <c r="E19" s="36">
        <v>34144</v>
      </c>
      <c r="F19" s="37">
        <v>763899593</v>
      </c>
      <c r="G19" s="37">
        <v>38215</v>
      </c>
      <c r="H19" s="37">
        <v>902499786</v>
      </c>
      <c r="I19" s="37">
        <v>51938</v>
      </c>
      <c r="J19" s="37">
        <v>1174034012</v>
      </c>
      <c r="K19" s="37">
        <v>67330</v>
      </c>
      <c r="L19" s="37">
        <v>1530562617</v>
      </c>
      <c r="M19" s="37">
        <v>41012</v>
      </c>
      <c r="N19" s="37">
        <v>918485100</v>
      </c>
      <c r="O19" s="37">
        <v>41685</v>
      </c>
      <c r="P19" s="37">
        <v>961049248</v>
      </c>
      <c r="Q19" s="37">
        <v>55656</v>
      </c>
      <c r="R19" s="37">
        <v>1278646114</v>
      </c>
      <c r="S19" s="37">
        <v>24448</v>
      </c>
      <c r="T19" s="37">
        <v>572358064</v>
      </c>
      <c r="U19" s="37">
        <v>41626</v>
      </c>
      <c r="V19" s="37">
        <v>967885426</v>
      </c>
      <c r="W19" s="37">
        <v>61334</v>
      </c>
      <c r="X19" s="37">
        <v>1429855738</v>
      </c>
      <c r="Y19" s="37">
        <v>65861</v>
      </c>
      <c r="Z19" s="37">
        <v>1048331654</v>
      </c>
      <c r="AA19" s="37">
        <v>192895</v>
      </c>
      <c r="AB19" s="37">
        <v>1441354409</v>
      </c>
      <c r="AC19" s="37">
        <f t="shared" si="0"/>
        <v>716144</v>
      </c>
      <c r="AD19" s="38">
        <f t="shared" si="1"/>
        <v>12988961761</v>
      </c>
      <c r="AE19" s="39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38">
        <f t="shared" si="2"/>
        <v>0</v>
      </c>
      <c r="AR19" s="39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40">
        <v>0</v>
      </c>
      <c r="AZ19" s="40">
        <v>0</v>
      </c>
      <c r="BA19" s="40">
        <v>0</v>
      </c>
      <c r="BB19" s="40">
        <v>30250</v>
      </c>
      <c r="BC19" s="40">
        <v>259186</v>
      </c>
      <c r="BD19" s="38">
        <f t="shared" si="3"/>
        <v>289436</v>
      </c>
    </row>
    <row r="20" spans="1:56" s="41" customFormat="1">
      <c r="A20" s="44" t="s">
        <v>161</v>
      </c>
      <c r="B20" s="42" t="s">
        <v>61</v>
      </c>
      <c r="C20" s="35" t="s">
        <v>62</v>
      </c>
      <c r="D20" s="61">
        <f t="shared" si="4"/>
        <v>686147022</v>
      </c>
      <c r="E20" s="36">
        <v>14975</v>
      </c>
      <c r="F20" s="37">
        <v>59972383</v>
      </c>
      <c r="G20" s="37">
        <v>13112</v>
      </c>
      <c r="H20" s="37">
        <v>44540266</v>
      </c>
      <c r="I20" s="37">
        <v>20174</v>
      </c>
      <c r="J20" s="37">
        <v>69078005</v>
      </c>
      <c r="K20" s="37">
        <v>16975</v>
      </c>
      <c r="L20" s="37">
        <v>54705809</v>
      </c>
      <c r="M20" s="37">
        <v>26928</v>
      </c>
      <c r="N20" s="37">
        <v>61187558</v>
      </c>
      <c r="O20" s="37">
        <v>239191</v>
      </c>
      <c r="P20" s="37">
        <v>51153128</v>
      </c>
      <c r="Q20" s="37">
        <v>16944</v>
      </c>
      <c r="R20" s="37">
        <v>50737143</v>
      </c>
      <c r="S20" s="37">
        <v>121119</v>
      </c>
      <c r="T20" s="37">
        <v>60975850</v>
      </c>
      <c r="U20" s="37">
        <v>17851</v>
      </c>
      <c r="V20" s="37">
        <v>65695215</v>
      </c>
      <c r="W20" s="37">
        <v>12651</v>
      </c>
      <c r="X20" s="37">
        <v>51584099</v>
      </c>
      <c r="Y20" s="37">
        <v>13011</v>
      </c>
      <c r="Z20" s="37">
        <v>41138504</v>
      </c>
      <c r="AA20" s="37">
        <v>379900</v>
      </c>
      <c r="AB20" s="37">
        <v>73949599</v>
      </c>
      <c r="AC20" s="37">
        <f t="shared" si="0"/>
        <v>892831</v>
      </c>
      <c r="AD20" s="38">
        <f t="shared" si="1"/>
        <v>684717559</v>
      </c>
      <c r="AE20" s="39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38">
        <f t="shared" si="2"/>
        <v>0</v>
      </c>
      <c r="AR20" s="39">
        <v>0</v>
      </c>
      <c r="AS20" s="37">
        <v>0</v>
      </c>
      <c r="AT20" s="37">
        <v>0</v>
      </c>
      <c r="AU20" s="37">
        <v>0</v>
      </c>
      <c r="AV20" s="37">
        <v>62152</v>
      </c>
      <c r="AW20" s="37">
        <v>445344</v>
      </c>
      <c r="AX20" s="37">
        <v>0</v>
      </c>
      <c r="AY20" s="40">
        <v>199585</v>
      </c>
      <c r="AZ20" s="40">
        <v>0</v>
      </c>
      <c r="BA20" s="40">
        <v>0</v>
      </c>
      <c r="BB20" s="40">
        <v>0</v>
      </c>
      <c r="BC20" s="40">
        <v>722382</v>
      </c>
      <c r="BD20" s="38">
        <f t="shared" si="3"/>
        <v>1429463</v>
      </c>
    </row>
    <row r="21" spans="1:56" s="41" customFormat="1">
      <c r="A21" s="44" t="s">
        <v>161</v>
      </c>
      <c r="B21" s="42" t="s">
        <v>63</v>
      </c>
      <c r="C21" s="35" t="s">
        <v>64</v>
      </c>
      <c r="D21" s="61">
        <f t="shared" si="4"/>
        <v>1471082693</v>
      </c>
      <c r="E21" s="36">
        <v>66881</v>
      </c>
      <c r="F21" s="37">
        <v>139524324</v>
      </c>
      <c r="G21" s="37">
        <v>60668</v>
      </c>
      <c r="H21" s="37">
        <v>-33735355</v>
      </c>
      <c r="I21" s="37">
        <v>60997</v>
      </c>
      <c r="J21" s="37">
        <v>155413269</v>
      </c>
      <c r="K21" s="37">
        <v>60899</v>
      </c>
      <c r="L21" s="37">
        <v>128409231</v>
      </c>
      <c r="M21" s="37">
        <v>101897</v>
      </c>
      <c r="N21" s="37">
        <v>143467188</v>
      </c>
      <c r="O21" s="37">
        <v>224279</v>
      </c>
      <c r="P21" s="37">
        <v>147341676</v>
      </c>
      <c r="Q21" s="37">
        <v>47241</v>
      </c>
      <c r="R21" s="37">
        <v>99233917</v>
      </c>
      <c r="S21" s="37">
        <v>165606</v>
      </c>
      <c r="T21" s="37">
        <v>114349941</v>
      </c>
      <c r="U21" s="37">
        <v>43877</v>
      </c>
      <c r="V21" s="37">
        <v>120857425</v>
      </c>
      <c r="W21" s="37">
        <v>43037</v>
      </c>
      <c r="X21" s="37">
        <v>139116244</v>
      </c>
      <c r="Y21" s="37">
        <v>57236</v>
      </c>
      <c r="Z21" s="37">
        <v>134338801</v>
      </c>
      <c r="AA21" s="37">
        <v>401229</v>
      </c>
      <c r="AB21" s="37">
        <v>180774568</v>
      </c>
      <c r="AC21" s="37">
        <f t="shared" si="0"/>
        <v>1333847</v>
      </c>
      <c r="AD21" s="38">
        <f t="shared" si="1"/>
        <v>1469091229</v>
      </c>
      <c r="AE21" s="39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38">
        <f t="shared" si="2"/>
        <v>0</v>
      </c>
      <c r="AR21" s="39">
        <v>12373</v>
      </c>
      <c r="AS21" s="37">
        <v>0</v>
      </c>
      <c r="AT21" s="37">
        <v>0</v>
      </c>
      <c r="AU21" s="37">
        <v>81480</v>
      </c>
      <c r="AV21" s="37">
        <v>771155</v>
      </c>
      <c r="AW21" s="37">
        <v>264541</v>
      </c>
      <c r="AX21" s="37">
        <v>0</v>
      </c>
      <c r="AY21" s="40">
        <v>224753</v>
      </c>
      <c r="AZ21" s="40">
        <v>0</v>
      </c>
      <c r="BA21" s="40">
        <v>0</v>
      </c>
      <c r="BB21" s="40">
        <v>0</v>
      </c>
      <c r="BC21" s="40">
        <v>637162</v>
      </c>
      <c r="BD21" s="38">
        <f t="shared" si="3"/>
        <v>1991464</v>
      </c>
    </row>
    <row r="22" spans="1:56" s="41" customFormat="1">
      <c r="A22" s="44" t="s">
        <v>161</v>
      </c>
      <c r="B22" s="42" t="s">
        <v>65</v>
      </c>
      <c r="C22" s="35" t="s">
        <v>66</v>
      </c>
      <c r="D22" s="61">
        <f t="shared" si="4"/>
        <v>9995009884</v>
      </c>
      <c r="E22" s="36">
        <v>36196</v>
      </c>
      <c r="F22" s="37">
        <v>833679897</v>
      </c>
      <c r="G22" s="37">
        <v>37067</v>
      </c>
      <c r="H22" s="37">
        <v>880070331</v>
      </c>
      <c r="I22" s="37">
        <v>29728</v>
      </c>
      <c r="J22" s="37">
        <v>685842406</v>
      </c>
      <c r="K22" s="37">
        <v>34060</v>
      </c>
      <c r="L22" s="37">
        <v>767259938</v>
      </c>
      <c r="M22" s="37">
        <v>33176</v>
      </c>
      <c r="N22" s="37">
        <v>754979568</v>
      </c>
      <c r="O22" s="37">
        <v>40605</v>
      </c>
      <c r="P22" s="37">
        <v>909803745</v>
      </c>
      <c r="Q22" s="37">
        <v>37189</v>
      </c>
      <c r="R22" s="37">
        <v>872822853</v>
      </c>
      <c r="S22" s="37">
        <v>30468</v>
      </c>
      <c r="T22" s="37">
        <v>696530895</v>
      </c>
      <c r="U22" s="37">
        <v>33449</v>
      </c>
      <c r="V22" s="37">
        <v>850199548</v>
      </c>
      <c r="W22" s="37">
        <v>43415</v>
      </c>
      <c r="X22" s="37">
        <v>928586598</v>
      </c>
      <c r="Y22" s="37">
        <v>43989</v>
      </c>
      <c r="Z22" s="37">
        <v>1006440508</v>
      </c>
      <c r="AA22" s="37">
        <v>35878</v>
      </c>
      <c r="AB22" s="37">
        <v>808793597</v>
      </c>
      <c r="AC22" s="37">
        <f t="shared" si="0"/>
        <v>435220</v>
      </c>
      <c r="AD22" s="38">
        <f t="shared" si="1"/>
        <v>9995009884</v>
      </c>
      <c r="AE22" s="39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38">
        <f t="shared" si="2"/>
        <v>0</v>
      </c>
      <c r="AR22" s="39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38">
        <f t="shared" si="3"/>
        <v>0</v>
      </c>
    </row>
    <row r="23" spans="1:56" s="41" customFormat="1">
      <c r="A23" s="44" t="s">
        <v>161</v>
      </c>
      <c r="B23" s="42" t="s">
        <v>67</v>
      </c>
      <c r="C23" s="35" t="s">
        <v>68</v>
      </c>
      <c r="D23" s="61">
        <f t="shared" si="4"/>
        <v>21722735</v>
      </c>
      <c r="E23" s="36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4005678</v>
      </c>
      <c r="Y23" s="37">
        <v>0</v>
      </c>
      <c r="Z23" s="37">
        <v>4396442</v>
      </c>
      <c r="AA23" s="37">
        <v>0</v>
      </c>
      <c r="AB23" s="37">
        <v>13320615</v>
      </c>
      <c r="AC23" s="37">
        <f t="shared" si="0"/>
        <v>0</v>
      </c>
      <c r="AD23" s="38">
        <f t="shared" si="1"/>
        <v>21722735</v>
      </c>
      <c r="AE23" s="39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38">
        <f t="shared" si="2"/>
        <v>0</v>
      </c>
      <c r="AR23" s="39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38">
        <f t="shared" si="3"/>
        <v>0</v>
      </c>
    </row>
    <row r="24" spans="1:56" s="41" customFormat="1">
      <c r="A24" s="44" t="s">
        <v>161</v>
      </c>
      <c r="B24" s="42" t="s">
        <v>69</v>
      </c>
      <c r="C24" s="35" t="s">
        <v>70</v>
      </c>
      <c r="D24" s="61">
        <f t="shared" si="4"/>
        <v>3639025030</v>
      </c>
      <c r="E24" s="36">
        <v>22712</v>
      </c>
      <c r="F24" s="37">
        <v>284736704</v>
      </c>
      <c r="G24" s="37">
        <v>23757</v>
      </c>
      <c r="H24" s="37">
        <v>287193051</v>
      </c>
      <c r="I24" s="37">
        <v>22470</v>
      </c>
      <c r="J24" s="37">
        <v>269802679</v>
      </c>
      <c r="K24" s="37">
        <v>26400</v>
      </c>
      <c r="L24" s="37">
        <v>316480792</v>
      </c>
      <c r="M24" s="37">
        <v>25329</v>
      </c>
      <c r="N24" s="37">
        <v>304841789</v>
      </c>
      <c r="O24" s="37">
        <v>28390</v>
      </c>
      <c r="P24" s="37">
        <v>339906574</v>
      </c>
      <c r="Q24" s="37">
        <v>21422</v>
      </c>
      <c r="R24" s="37">
        <v>262503755</v>
      </c>
      <c r="S24" s="37">
        <v>26912</v>
      </c>
      <c r="T24" s="37">
        <v>319049707</v>
      </c>
      <c r="U24" s="37">
        <v>18520</v>
      </c>
      <c r="V24" s="37">
        <v>219235604</v>
      </c>
      <c r="W24" s="37">
        <v>35027</v>
      </c>
      <c r="X24" s="37">
        <v>415052854</v>
      </c>
      <c r="Y24" s="37">
        <v>22118</v>
      </c>
      <c r="Z24" s="37">
        <v>264645646</v>
      </c>
      <c r="AA24" s="37">
        <v>30520</v>
      </c>
      <c r="AB24" s="37">
        <v>355575875</v>
      </c>
      <c r="AC24" s="37">
        <f t="shared" si="0"/>
        <v>303577</v>
      </c>
      <c r="AD24" s="38">
        <f t="shared" si="1"/>
        <v>3639025030</v>
      </c>
      <c r="AE24" s="39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38">
        <f t="shared" si="2"/>
        <v>0</v>
      </c>
      <c r="AR24" s="39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38">
        <f t="shared" si="3"/>
        <v>0</v>
      </c>
    </row>
    <row r="25" spans="1:56" s="41" customFormat="1">
      <c r="A25" s="44" t="s">
        <v>161</v>
      </c>
      <c r="B25" s="42" t="s">
        <v>71</v>
      </c>
      <c r="C25" s="35" t="s">
        <v>72</v>
      </c>
      <c r="D25" s="61">
        <f t="shared" si="4"/>
        <v>3027160948</v>
      </c>
      <c r="E25" s="36">
        <v>0</v>
      </c>
      <c r="F25" s="37">
        <v>0</v>
      </c>
      <c r="G25" s="37">
        <v>0</v>
      </c>
      <c r="H25" s="37">
        <v>0</v>
      </c>
      <c r="I25" s="37">
        <v>12080</v>
      </c>
      <c r="J25" s="37">
        <v>338771480</v>
      </c>
      <c r="K25" s="37">
        <v>22993</v>
      </c>
      <c r="L25" s="37">
        <v>645091212</v>
      </c>
      <c r="M25" s="37">
        <v>23375</v>
      </c>
      <c r="N25" s="37">
        <v>653197860</v>
      </c>
      <c r="O25" s="37">
        <v>19571</v>
      </c>
      <c r="P25" s="37">
        <v>548849124</v>
      </c>
      <c r="Q25" s="37">
        <v>10396</v>
      </c>
      <c r="R25" s="37">
        <v>291545424</v>
      </c>
      <c r="S25" s="37">
        <v>14606</v>
      </c>
      <c r="T25" s="37">
        <v>409610664</v>
      </c>
      <c r="U25" s="37">
        <v>4991</v>
      </c>
      <c r="V25" s="37">
        <v>140095184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f t="shared" si="0"/>
        <v>108012</v>
      </c>
      <c r="AD25" s="38">
        <f t="shared" si="1"/>
        <v>3027160948</v>
      </c>
      <c r="AE25" s="39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38">
        <f t="shared" si="2"/>
        <v>0</v>
      </c>
      <c r="AR25" s="39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38">
        <f t="shared" si="3"/>
        <v>0</v>
      </c>
    </row>
    <row r="26" spans="1:56" s="41" customFormat="1">
      <c r="A26" s="44" t="s">
        <v>161</v>
      </c>
      <c r="B26" s="42" t="s">
        <v>73</v>
      </c>
      <c r="C26" s="35" t="s">
        <v>74</v>
      </c>
      <c r="D26" s="61">
        <f t="shared" si="4"/>
        <v>3080241889</v>
      </c>
      <c r="E26" s="36">
        <v>39449</v>
      </c>
      <c r="F26" s="37">
        <v>1178245171</v>
      </c>
      <c r="G26" s="37">
        <v>30641</v>
      </c>
      <c r="H26" s="37">
        <v>885162330</v>
      </c>
      <c r="I26" s="37">
        <v>17846</v>
      </c>
      <c r="J26" s="37">
        <v>538637428</v>
      </c>
      <c r="K26" s="37">
        <v>4153</v>
      </c>
      <c r="L26" s="37">
        <v>158601200</v>
      </c>
      <c r="M26" s="37">
        <v>2828</v>
      </c>
      <c r="N26" s="37">
        <v>84557737</v>
      </c>
      <c r="O26" s="37">
        <v>2220</v>
      </c>
      <c r="P26" s="37">
        <v>81591399</v>
      </c>
      <c r="Q26" s="37">
        <v>-322</v>
      </c>
      <c r="R26" s="37">
        <v>-9060996</v>
      </c>
      <c r="S26" s="37">
        <v>1042</v>
      </c>
      <c r="T26" s="37">
        <v>43675713</v>
      </c>
      <c r="U26" s="37">
        <v>1537</v>
      </c>
      <c r="V26" s="37">
        <v>63688603</v>
      </c>
      <c r="W26" s="37">
        <v>720</v>
      </c>
      <c r="X26" s="37">
        <v>40452430</v>
      </c>
      <c r="Y26" s="37">
        <v>315</v>
      </c>
      <c r="Z26" s="37">
        <v>14690874</v>
      </c>
      <c r="AA26" s="37">
        <v>0</v>
      </c>
      <c r="AB26" s="37">
        <v>0</v>
      </c>
      <c r="AC26" s="37">
        <f t="shared" si="0"/>
        <v>100429</v>
      </c>
      <c r="AD26" s="38">
        <f t="shared" si="1"/>
        <v>3080241889</v>
      </c>
      <c r="AE26" s="39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38">
        <f t="shared" si="2"/>
        <v>0</v>
      </c>
      <c r="AR26" s="39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38">
        <f t="shared" si="3"/>
        <v>0</v>
      </c>
    </row>
    <row r="27" spans="1:56" s="41" customFormat="1">
      <c r="A27" s="44" t="s">
        <v>161</v>
      </c>
      <c r="B27" s="42" t="s">
        <v>77</v>
      </c>
      <c r="C27" s="35" t="s">
        <v>78</v>
      </c>
      <c r="D27" s="61">
        <f t="shared" si="4"/>
        <v>0</v>
      </c>
      <c r="E27" s="36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f t="shared" si="0"/>
        <v>0</v>
      </c>
      <c r="AD27" s="38">
        <f t="shared" si="1"/>
        <v>0</v>
      </c>
      <c r="AE27" s="39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38">
        <f t="shared" si="2"/>
        <v>0</v>
      </c>
      <c r="AR27" s="39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38">
        <f t="shared" si="3"/>
        <v>0</v>
      </c>
    </row>
    <row r="28" spans="1:56" s="41" customFormat="1">
      <c r="A28" s="44" t="s">
        <v>161</v>
      </c>
      <c r="B28" s="42" t="s">
        <v>75</v>
      </c>
      <c r="C28" s="35" t="s">
        <v>76</v>
      </c>
      <c r="D28" s="61">
        <f t="shared" si="4"/>
        <v>10102893</v>
      </c>
      <c r="E28" s="36">
        <v>0</v>
      </c>
      <c r="F28" s="37">
        <v>-27480</v>
      </c>
      <c r="G28" s="37">
        <v>0</v>
      </c>
      <c r="H28" s="37">
        <v>37934</v>
      </c>
      <c r="I28" s="37">
        <v>0</v>
      </c>
      <c r="J28" s="37">
        <v>12845</v>
      </c>
      <c r="K28" s="37">
        <v>0</v>
      </c>
      <c r="L28" s="37">
        <v>64668</v>
      </c>
      <c r="M28" s="37">
        <v>0</v>
      </c>
      <c r="N28" s="37">
        <v>2299781</v>
      </c>
      <c r="O28" s="37">
        <v>0</v>
      </c>
      <c r="P28" s="37">
        <v>35396</v>
      </c>
      <c r="Q28" s="37">
        <v>0</v>
      </c>
      <c r="R28" s="37">
        <v>45253</v>
      </c>
      <c r="S28" s="37">
        <v>0</v>
      </c>
      <c r="T28" s="37">
        <v>1967924</v>
      </c>
      <c r="U28" s="37">
        <v>0</v>
      </c>
      <c r="V28" s="37">
        <v>2861406</v>
      </c>
      <c r="W28" s="37">
        <v>0</v>
      </c>
      <c r="X28" s="37">
        <v>-14337</v>
      </c>
      <c r="Y28" s="37">
        <v>0</v>
      </c>
      <c r="Z28" s="37">
        <v>-9409</v>
      </c>
      <c r="AA28" s="37">
        <v>0</v>
      </c>
      <c r="AB28" s="37">
        <v>2828912</v>
      </c>
      <c r="AC28" s="37">
        <f t="shared" si="0"/>
        <v>0</v>
      </c>
      <c r="AD28" s="38">
        <f t="shared" si="1"/>
        <v>10102893</v>
      </c>
      <c r="AE28" s="39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38">
        <f t="shared" si="2"/>
        <v>0</v>
      </c>
      <c r="AR28" s="39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38">
        <f t="shared" si="3"/>
        <v>0</v>
      </c>
    </row>
    <row r="29" spans="1:56" s="41" customFormat="1">
      <c r="A29" s="44" t="s">
        <v>161</v>
      </c>
      <c r="B29" s="42" t="s">
        <v>79</v>
      </c>
      <c r="C29" s="35" t="s">
        <v>80</v>
      </c>
      <c r="D29" s="61">
        <f t="shared" si="4"/>
        <v>13805306081</v>
      </c>
      <c r="E29" s="36">
        <v>651604</v>
      </c>
      <c r="F29" s="37">
        <v>842252136</v>
      </c>
      <c r="G29" s="37">
        <v>533369</v>
      </c>
      <c r="H29" s="37">
        <v>795359983</v>
      </c>
      <c r="I29" s="37">
        <v>365646</v>
      </c>
      <c r="J29" s="37">
        <v>895727609</v>
      </c>
      <c r="K29" s="37">
        <v>570806</v>
      </c>
      <c r="L29" s="37">
        <v>875445024</v>
      </c>
      <c r="M29" s="37">
        <v>630198</v>
      </c>
      <c r="N29" s="37">
        <v>884441685</v>
      </c>
      <c r="O29" s="37">
        <v>1234244</v>
      </c>
      <c r="P29" s="37">
        <v>935659997</v>
      </c>
      <c r="Q29" s="37">
        <v>533174</v>
      </c>
      <c r="R29" s="37">
        <v>876835533</v>
      </c>
      <c r="S29" s="37">
        <v>842176</v>
      </c>
      <c r="T29" s="37">
        <v>1108275288</v>
      </c>
      <c r="U29" s="37">
        <v>348803</v>
      </c>
      <c r="V29" s="37">
        <v>1198678839</v>
      </c>
      <c r="W29" s="37">
        <v>809848</v>
      </c>
      <c r="X29" s="37">
        <v>1654422594</v>
      </c>
      <c r="Y29" s="37">
        <v>808063</v>
      </c>
      <c r="Z29" s="37">
        <v>1691531124</v>
      </c>
      <c r="AA29" s="37">
        <v>1178954</v>
      </c>
      <c r="AB29" s="37">
        <v>1989186214</v>
      </c>
      <c r="AC29" s="37">
        <f t="shared" si="0"/>
        <v>8506885</v>
      </c>
      <c r="AD29" s="38">
        <f t="shared" si="1"/>
        <v>13747816026</v>
      </c>
      <c r="AE29" s="39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38">
        <f t="shared" si="2"/>
        <v>0</v>
      </c>
      <c r="AR29" s="39">
        <v>129249</v>
      </c>
      <c r="AS29" s="37">
        <v>27035</v>
      </c>
      <c r="AT29" s="37">
        <v>13864714</v>
      </c>
      <c r="AU29" s="37">
        <v>1926454</v>
      </c>
      <c r="AV29" s="37">
        <v>1586730</v>
      </c>
      <c r="AW29" s="37">
        <v>28019114</v>
      </c>
      <c r="AX29" s="37">
        <v>13966</v>
      </c>
      <c r="AY29" s="40">
        <v>66769</v>
      </c>
      <c r="AZ29" s="40">
        <v>2124554</v>
      </c>
      <c r="BA29" s="40">
        <v>7229500</v>
      </c>
      <c r="BB29" s="40">
        <v>2619546</v>
      </c>
      <c r="BC29" s="40">
        <v>-117576</v>
      </c>
      <c r="BD29" s="38">
        <f t="shared" si="3"/>
        <v>57490055</v>
      </c>
    </row>
    <row r="30" spans="1:56" s="41" customFormat="1">
      <c r="A30" s="44" t="s">
        <v>161</v>
      </c>
      <c r="B30" s="42" t="s">
        <v>81</v>
      </c>
      <c r="C30" s="35" t="s">
        <v>82</v>
      </c>
      <c r="D30" s="61">
        <f t="shared" si="4"/>
        <v>2403635370</v>
      </c>
      <c r="E30" s="36">
        <v>4368</v>
      </c>
      <c r="F30" s="37">
        <v>149535040</v>
      </c>
      <c r="G30" s="37">
        <v>6121</v>
      </c>
      <c r="H30" s="37">
        <v>207752840</v>
      </c>
      <c r="I30" s="37">
        <v>6281</v>
      </c>
      <c r="J30" s="37">
        <v>212812560</v>
      </c>
      <c r="K30" s="37">
        <v>6479</v>
      </c>
      <c r="L30" s="37">
        <v>219253440</v>
      </c>
      <c r="M30" s="37">
        <v>6900</v>
      </c>
      <c r="N30" s="37">
        <v>233807640</v>
      </c>
      <c r="O30" s="37">
        <v>6564</v>
      </c>
      <c r="P30" s="37">
        <v>222197880</v>
      </c>
      <c r="Q30" s="37">
        <v>5618</v>
      </c>
      <c r="R30" s="37">
        <v>190334970</v>
      </c>
      <c r="S30" s="37">
        <v>5775</v>
      </c>
      <c r="T30" s="37">
        <v>196407010</v>
      </c>
      <c r="U30" s="37">
        <v>4776</v>
      </c>
      <c r="V30" s="37">
        <v>164928600</v>
      </c>
      <c r="W30" s="37">
        <v>5956</v>
      </c>
      <c r="X30" s="37">
        <v>201627040</v>
      </c>
      <c r="Y30" s="37">
        <v>5664</v>
      </c>
      <c r="Z30" s="37">
        <v>196687120</v>
      </c>
      <c r="AA30" s="37">
        <v>8417</v>
      </c>
      <c r="AB30" s="37">
        <v>208286030</v>
      </c>
      <c r="AC30" s="37">
        <f t="shared" si="0"/>
        <v>72919</v>
      </c>
      <c r="AD30" s="38">
        <f t="shared" si="1"/>
        <v>2403630170</v>
      </c>
      <c r="AE30" s="39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38">
        <f t="shared" si="2"/>
        <v>0</v>
      </c>
      <c r="AR30" s="39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5200</v>
      </c>
      <c r="BD30" s="38">
        <f t="shared" si="3"/>
        <v>5200</v>
      </c>
    </row>
    <row r="31" spans="1:56" s="41" customFormat="1">
      <c r="A31" s="44" t="s">
        <v>162</v>
      </c>
      <c r="B31" s="42" t="s">
        <v>83</v>
      </c>
      <c r="C31" s="35" t="s">
        <v>84</v>
      </c>
      <c r="D31" s="61">
        <f t="shared" si="4"/>
        <v>29673264057</v>
      </c>
      <c r="E31" s="36">
        <v>2219989</v>
      </c>
      <c r="F31" s="37">
        <v>2273097298</v>
      </c>
      <c r="G31" s="37">
        <v>2451444</v>
      </c>
      <c r="H31" s="37">
        <v>2267773594</v>
      </c>
      <c r="I31" s="37">
        <v>1501336</v>
      </c>
      <c r="J31" s="37">
        <v>2190225185</v>
      </c>
      <c r="K31" s="37">
        <v>1662478</v>
      </c>
      <c r="L31" s="37">
        <v>2819473908</v>
      </c>
      <c r="M31" s="37">
        <v>1390825</v>
      </c>
      <c r="N31" s="37">
        <v>2679198261</v>
      </c>
      <c r="O31" s="37">
        <v>5010918</v>
      </c>
      <c r="P31" s="37">
        <v>2535101847</v>
      </c>
      <c r="Q31" s="37">
        <v>827239</v>
      </c>
      <c r="R31" s="37">
        <v>2740869785</v>
      </c>
      <c r="S31" s="37">
        <v>3977776</v>
      </c>
      <c r="T31" s="37">
        <v>2559920718</v>
      </c>
      <c r="U31" s="37">
        <v>1612237</v>
      </c>
      <c r="V31" s="37">
        <v>1988246909</v>
      </c>
      <c r="W31" s="37">
        <v>2083032</v>
      </c>
      <c r="X31" s="37">
        <v>2599684908</v>
      </c>
      <c r="Y31" s="37">
        <v>4378385</v>
      </c>
      <c r="Z31" s="37">
        <v>2487766288</v>
      </c>
      <c r="AA31" s="37">
        <v>1811644</v>
      </c>
      <c r="AB31" s="37">
        <v>2331591872</v>
      </c>
      <c r="AC31" s="37">
        <f t="shared" si="0"/>
        <v>28927303</v>
      </c>
      <c r="AD31" s="38">
        <f t="shared" si="1"/>
        <v>29472950573</v>
      </c>
      <c r="AE31" s="39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38">
        <f t="shared" si="2"/>
        <v>0</v>
      </c>
      <c r="AR31" s="39">
        <v>0</v>
      </c>
      <c r="AS31" s="37">
        <v>0</v>
      </c>
      <c r="AT31" s="37">
        <v>0</v>
      </c>
      <c r="AU31" s="37">
        <v>460503</v>
      </c>
      <c r="AV31" s="37">
        <v>0</v>
      </c>
      <c r="AW31" s="37">
        <v>144578989</v>
      </c>
      <c r="AX31" s="37">
        <v>1223754</v>
      </c>
      <c r="AY31" s="40">
        <v>7324743</v>
      </c>
      <c r="AZ31" s="40">
        <v>12084589</v>
      </c>
      <c r="BA31" s="40">
        <v>2343652</v>
      </c>
      <c r="BB31" s="40">
        <v>3874286</v>
      </c>
      <c r="BC31" s="40">
        <v>28422968</v>
      </c>
      <c r="BD31" s="38">
        <f t="shared" si="3"/>
        <v>200313484</v>
      </c>
    </row>
    <row r="32" spans="1:56" s="41" customFormat="1">
      <c r="A32" s="44" t="s">
        <v>162</v>
      </c>
      <c r="B32" s="42" t="s">
        <v>85</v>
      </c>
      <c r="C32" s="35" t="s">
        <v>86</v>
      </c>
      <c r="D32" s="61">
        <f t="shared" si="4"/>
        <v>-25389243</v>
      </c>
      <c r="E32" s="3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52098</v>
      </c>
      <c r="N32" s="37">
        <v>-25389243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f t="shared" si="0"/>
        <v>52098</v>
      </c>
      <c r="AD32" s="38">
        <f t="shared" si="1"/>
        <v>-25389243</v>
      </c>
      <c r="AE32" s="39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38">
        <f t="shared" si="2"/>
        <v>0</v>
      </c>
      <c r="AR32" s="39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0</v>
      </c>
      <c r="AX32" s="37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38">
        <f t="shared" si="3"/>
        <v>0</v>
      </c>
    </row>
    <row r="33" spans="1:56" s="41" customFormat="1">
      <c r="A33" s="44" t="s">
        <v>162</v>
      </c>
      <c r="B33" s="42" t="s">
        <v>87</v>
      </c>
      <c r="C33" s="35" t="s">
        <v>88</v>
      </c>
      <c r="D33" s="61">
        <f t="shared" si="4"/>
        <v>1579500</v>
      </c>
      <c r="E33" s="36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87750</v>
      </c>
      <c r="N33" s="37">
        <v>1579500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f t="shared" si="0"/>
        <v>87750</v>
      </c>
      <c r="AD33" s="38">
        <f t="shared" si="1"/>
        <v>1579500</v>
      </c>
      <c r="AE33" s="39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38">
        <f t="shared" si="2"/>
        <v>0</v>
      </c>
      <c r="AR33" s="39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38">
        <f t="shared" si="3"/>
        <v>0</v>
      </c>
    </row>
    <row r="34" spans="1:56" s="41" customFormat="1">
      <c r="A34" s="44" t="s">
        <v>162</v>
      </c>
      <c r="B34" s="42" t="s">
        <v>89</v>
      </c>
      <c r="C34" s="35" t="s">
        <v>90</v>
      </c>
      <c r="D34" s="61">
        <f t="shared" si="4"/>
        <v>-514800</v>
      </c>
      <c r="E34" s="36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-2400</v>
      </c>
      <c r="N34" s="37">
        <v>-514800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f t="shared" si="0"/>
        <v>-2400</v>
      </c>
      <c r="AD34" s="38">
        <f t="shared" si="1"/>
        <v>-514800</v>
      </c>
      <c r="AE34" s="39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38">
        <f t="shared" si="2"/>
        <v>0</v>
      </c>
      <c r="AR34" s="39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38">
        <f t="shared" si="3"/>
        <v>0</v>
      </c>
    </row>
    <row r="35" spans="1:56" s="41" customFormat="1">
      <c r="A35" s="44" t="s">
        <v>162</v>
      </c>
      <c r="B35" s="42" t="s">
        <v>93</v>
      </c>
      <c r="C35" s="35" t="s">
        <v>94</v>
      </c>
      <c r="D35" s="61">
        <f t="shared" si="4"/>
        <v>140447079</v>
      </c>
      <c r="E35" s="36">
        <v>502000</v>
      </c>
      <c r="F35" s="37">
        <v>0</v>
      </c>
      <c r="G35" s="37">
        <v>438009</v>
      </c>
      <c r="H35" s="37">
        <v>17648708</v>
      </c>
      <c r="I35" s="37">
        <v>1004</v>
      </c>
      <c r="J35" s="37">
        <v>3828230</v>
      </c>
      <c r="K35" s="37">
        <v>1124005</v>
      </c>
      <c r="L35" s="37">
        <v>8423062</v>
      </c>
      <c r="M35" s="37">
        <v>1009005</v>
      </c>
      <c r="N35" s="37">
        <v>5809410</v>
      </c>
      <c r="O35" s="37">
        <v>525003</v>
      </c>
      <c r="P35" s="37">
        <v>2525646</v>
      </c>
      <c r="Q35" s="37">
        <v>448008</v>
      </c>
      <c r="R35" s="37">
        <v>6735056</v>
      </c>
      <c r="S35" s="37">
        <v>1011000</v>
      </c>
      <c r="T35" s="37">
        <v>674744</v>
      </c>
      <c r="U35" s="37">
        <v>503008</v>
      </c>
      <c r="V35" s="37">
        <v>6768000</v>
      </c>
      <c r="W35" s="37">
        <v>1002020</v>
      </c>
      <c r="X35" s="37">
        <v>17548230</v>
      </c>
      <c r="Y35" s="37">
        <v>1508016</v>
      </c>
      <c r="Z35" s="37">
        <v>13536000</v>
      </c>
      <c r="AA35" s="37">
        <v>500010</v>
      </c>
      <c r="AB35" s="37">
        <v>9306000</v>
      </c>
      <c r="AC35" s="37">
        <f t="shared" si="0"/>
        <v>8571088</v>
      </c>
      <c r="AD35" s="38">
        <f t="shared" si="1"/>
        <v>92803086</v>
      </c>
      <c r="AE35" s="39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38">
        <f t="shared" si="2"/>
        <v>0</v>
      </c>
      <c r="AR35" s="39">
        <v>2317685</v>
      </c>
      <c r="AS35" s="37">
        <v>3471015</v>
      </c>
      <c r="AT35" s="37">
        <v>17159</v>
      </c>
      <c r="AU35" s="37">
        <v>5484068</v>
      </c>
      <c r="AV35" s="37">
        <v>5255480</v>
      </c>
      <c r="AW35" s="37">
        <v>3442004</v>
      </c>
      <c r="AX35" s="37">
        <v>2540950</v>
      </c>
      <c r="AY35" s="40">
        <v>6135755</v>
      </c>
      <c r="AZ35" s="40">
        <v>2705409</v>
      </c>
      <c r="BA35" s="40">
        <v>5289484</v>
      </c>
      <c r="BB35" s="40">
        <v>8382905</v>
      </c>
      <c r="BC35" s="40">
        <v>2602079</v>
      </c>
      <c r="BD35" s="38">
        <f t="shared" si="3"/>
        <v>47643993</v>
      </c>
    </row>
    <row r="36" spans="1:56" s="41" customFormat="1">
      <c r="A36" s="44" t="s">
        <v>162</v>
      </c>
      <c r="B36" s="42" t="s">
        <v>95</v>
      </c>
      <c r="C36" s="35" t="s">
        <v>96</v>
      </c>
      <c r="D36" s="61">
        <f t="shared" si="4"/>
        <v>0</v>
      </c>
      <c r="E36" s="36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f t="shared" si="0"/>
        <v>0</v>
      </c>
      <c r="AD36" s="38">
        <f t="shared" si="1"/>
        <v>0</v>
      </c>
      <c r="AE36" s="39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38">
        <f t="shared" si="2"/>
        <v>0</v>
      </c>
      <c r="AR36" s="39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40">
        <v>0</v>
      </c>
      <c r="AZ36" s="40">
        <v>0</v>
      </c>
      <c r="BA36" s="40">
        <v>0</v>
      </c>
      <c r="BB36" s="40">
        <v>0</v>
      </c>
      <c r="BC36" s="40">
        <v>0</v>
      </c>
      <c r="BD36" s="38">
        <f t="shared" si="3"/>
        <v>0</v>
      </c>
    </row>
    <row r="37" spans="1:56" s="41" customFormat="1">
      <c r="A37" s="44" t="s">
        <v>162</v>
      </c>
      <c r="B37" s="42" t="s">
        <v>97</v>
      </c>
      <c r="C37" s="35" t="s">
        <v>98</v>
      </c>
      <c r="D37" s="61">
        <f t="shared" si="4"/>
        <v>18844379509</v>
      </c>
      <c r="E37" s="36">
        <v>2749372</v>
      </c>
      <c r="F37" s="37">
        <v>1676281553</v>
      </c>
      <c r="G37" s="37">
        <v>2577360</v>
      </c>
      <c r="H37" s="37">
        <v>1590120480</v>
      </c>
      <c r="I37" s="37">
        <v>2751006</v>
      </c>
      <c r="J37" s="37">
        <v>1729713559</v>
      </c>
      <c r="K37" s="37">
        <v>2492466</v>
      </c>
      <c r="L37" s="37">
        <v>1614385758</v>
      </c>
      <c r="M37" s="37">
        <v>2919652</v>
      </c>
      <c r="N37" s="37">
        <v>1819645334</v>
      </c>
      <c r="O37" s="37">
        <v>2309931</v>
      </c>
      <c r="P37" s="37">
        <v>1467906697</v>
      </c>
      <c r="Q37" s="37">
        <v>2494722</v>
      </c>
      <c r="R37" s="37">
        <v>1584774026</v>
      </c>
      <c r="S37" s="37">
        <v>2565346</v>
      </c>
      <c r="T37" s="37">
        <v>1650438905</v>
      </c>
      <c r="U37" s="37">
        <v>2643458</v>
      </c>
      <c r="V37" s="37">
        <v>1627140085</v>
      </c>
      <c r="W37" s="37">
        <v>2657381</v>
      </c>
      <c r="X37" s="37">
        <v>1587288625</v>
      </c>
      <c r="Y37" s="37">
        <v>2160712</v>
      </c>
      <c r="Z37" s="37">
        <v>1336670887</v>
      </c>
      <c r="AA37" s="37">
        <v>1900035</v>
      </c>
      <c r="AB37" s="37">
        <v>1160013600</v>
      </c>
      <c r="AC37" s="37">
        <f t="shared" ref="AC37:AC53" si="5">SUM(E37,G37,I37,K37,M37,O37,Q37,S37,U37,W37,Y37,AA37)</f>
        <v>30221441</v>
      </c>
      <c r="AD37" s="38">
        <f t="shared" ref="AD37:AD53" si="6">SUM(F37,H37,J37,L37,N37,P37,R37,T37,V37,X37,Z37,AB37)</f>
        <v>18844379509</v>
      </c>
      <c r="AE37" s="39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38">
        <f t="shared" ref="AQ37:AQ53" si="7">SUM(AE37:AP37)</f>
        <v>0</v>
      </c>
      <c r="AR37" s="39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38">
        <f t="shared" ref="BD37:BD53" si="8">SUM(AR37:BC37)</f>
        <v>0</v>
      </c>
    </row>
    <row r="38" spans="1:56" s="41" customFormat="1">
      <c r="A38" s="44" t="s">
        <v>162</v>
      </c>
      <c r="B38" s="42" t="s">
        <v>99</v>
      </c>
      <c r="C38" s="35" t="s">
        <v>100</v>
      </c>
      <c r="D38" s="61">
        <f t="shared" si="4"/>
        <v>431258958</v>
      </c>
      <c r="E38" s="36">
        <v>2961000</v>
      </c>
      <c r="F38" s="37">
        <v>45908089</v>
      </c>
      <c r="G38" s="37">
        <v>3172500</v>
      </c>
      <c r="H38" s="37">
        <v>54364586</v>
      </c>
      <c r="I38" s="37">
        <v>2500000</v>
      </c>
      <c r="J38" s="37">
        <v>47659058</v>
      </c>
      <c r="K38" s="37">
        <v>2055040</v>
      </c>
      <c r="L38" s="37">
        <v>42918516</v>
      </c>
      <c r="M38" s="37">
        <v>1201018</v>
      </c>
      <c r="N38" s="37">
        <v>22466469</v>
      </c>
      <c r="O38" s="37">
        <v>1999384</v>
      </c>
      <c r="P38" s="37">
        <v>77148957</v>
      </c>
      <c r="Q38" s="37">
        <v>1825000</v>
      </c>
      <c r="R38" s="37">
        <v>34175241</v>
      </c>
      <c r="S38" s="37">
        <v>732500</v>
      </c>
      <c r="T38" s="37">
        <v>12176575</v>
      </c>
      <c r="U38" s="37">
        <v>2462518</v>
      </c>
      <c r="V38" s="37">
        <v>41989584</v>
      </c>
      <c r="W38" s="37">
        <v>2189500</v>
      </c>
      <c r="X38" s="37">
        <v>40364095</v>
      </c>
      <c r="Y38" s="37">
        <v>21036</v>
      </c>
      <c r="Z38" s="37">
        <v>392737</v>
      </c>
      <c r="AA38" s="37">
        <v>36</v>
      </c>
      <c r="AB38" s="37">
        <v>0</v>
      </c>
      <c r="AC38" s="37">
        <f t="shared" si="5"/>
        <v>21119532</v>
      </c>
      <c r="AD38" s="38">
        <f t="shared" si="6"/>
        <v>419563907</v>
      </c>
      <c r="AE38" s="39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38">
        <f t="shared" si="7"/>
        <v>0</v>
      </c>
      <c r="AR38" s="39">
        <v>2234063</v>
      </c>
      <c r="AS38" s="37">
        <v>2127051</v>
      </c>
      <c r="AT38" s="37">
        <v>850839</v>
      </c>
      <c r="AU38" s="37">
        <v>689832</v>
      </c>
      <c r="AV38" s="37">
        <v>554096</v>
      </c>
      <c r="AW38" s="37">
        <v>755832</v>
      </c>
      <c r="AX38" s="37">
        <v>614064</v>
      </c>
      <c r="AY38" s="40">
        <v>366597</v>
      </c>
      <c r="AZ38" s="40">
        <v>1961287</v>
      </c>
      <c r="BA38" s="40">
        <v>1069083</v>
      </c>
      <c r="BB38" s="40">
        <v>237858</v>
      </c>
      <c r="BC38" s="40">
        <v>234449</v>
      </c>
      <c r="BD38" s="38">
        <f t="shared" si="8"/>
        <v>11695051</v>
      </c>
    </row>
    <row r="39" spans="1:56" s="41" customFormat="1">
      <c r="A39" s="44" t="s">
        <v>162</v>
      </c>
      <c r="B39" s="42" t="s">
        <v>101</v>
      </c>
      <c r="C39" s="35" t="s">
        <v>102</v>
      </c>
      <c r="D39" s="61">
        <f t="shared" si="4"/>
        <v>1535708018</v>
      </c>
      <c r="E39" s="36">
        <v>0</v>
      </c>
      <c r="F39" s="37">
        <v>0</v>
      </c>
      <c r="G39" s="37">
        <v>0</v>
      </c>
      <c r="H39" s="37">
        <v>0</v>
      </c>
      <c r="I39" s="37">
        <v>10368</v>
      </c>
      <c r="J39" s="37">
        <v>7096366</v>
      </c>
      <c r="K39" s="37">
        <v>63072</v>
      </c>
      <c r="L39" s="37">
        <v>43464309</v>
      </c>
      <c r="M39" s="37">
        <v>78624</v>
      </c>
      <c r="N39" s="37">
        <v>53551272</v>
      </c>
      <c r="O39" s="37">
        <v>71505</v>
      </c>
      <c r="P39" s="37">
        <v>47309071</v>
      </c>
      <c r="Q39" s="37">
        <v>76680</v>
      </c>
      <c r="R39" s="37">
        <v>53117436</v>
      </c>
      <c r="S39" s="37">
        <v>282960</v>
      </c>
      <c r="T39" s="37">
        <v>185030388</v>
      </c>
      <c r="U39" s="37">
        <v>168588</v>
      </c>
      <c r="V39" s="37">
        <v>109951963</v>
      </c>
      <c r="W39" s="37">
        <v>691848</v>
      </c>
      <c r="X39" s="37">
        <v>430945149</v>
      </c>
      <c r="Y39" s="37">
        <v>581040</v>
      </c>
      <c r="Z39" s="37">
        <v>361483560</v>
      </c>
      <c r="AA39" s="37">
        <v>392284</v>
      </c>
      <c r="AB39" s="37">
        <v>243758504</v>
      </c>
      <c r="AC39" s="37">
        <f t="shared" si="5"/>
        <v>2416969</v>
      </c>
      <c r="AD39" s="38">
        <f t="shared" si="6"/>
        <v>1535708018</v>
      </c>
      <c r="AE39" s="39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38">
        <f t="shared" si="7"/>
        <v>0</v>
      </c>
      <c r="AR39" s="39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38">
        <f t="shared" si="8"/>
        <v>0</v>
      </c>
    </row>
    <row r="40" spans="1:56" s="41" customFormat="1">
      <c r="A40" s="44" t="s">
        <v>162</v>
      </c>
      <c r="B40" s="42" t="s">
        <v>106</v>
      </c>
      <c r="C40" s="35" t="s">
        <v>105</v>
      </c>
      <c r="D40" s="61">
        <f t="shared" si="4"/>
        <v>115673721</v>
      </c>
      <c r="E40" s="36">
        <v>1892100</v>
      </c>
      <c r="F40" s="37">
        <v>0</v>
      </c>
      <c r="G40" s="37">
        <v>1149370</v>
      </c>
      <c r="H40" s="37">
        <v>1854388</v>
      </c>
      <c r="I40" s="37">
        <v>1269980</v>
      </c>
      <c r="J40" s="37">
        <v>0</v>
      </c>
      <c r="K40" s="37">
        <v>1045100</v>
      </c>
      <c r="L40" s="37">
        <v>0</v>
      </c>
      <c r="M40" s="37">
        <v>557060</v>
      </c>
      <c r="N40" s="37">
        <v>0</v>
      </c>
      <c r="O40" s="37">
        <v>1152140</v>
      </c>
      <c r="P40" s="37">
        <v>0</v>
      </c>
      <c r="Q40" s="37">
        <v>961350</v>
      </c>
      <c r="R40" s="37">
        <v>0</v>
      </c>
      <c r="S40" s="37">
        <v>299180</v>
      </c>
      <c r="T40" s="37">
        <v>0</v>
      </c>
      <c r="U40" s="37">
        <v>987890</v>
      </c>
      <c r="V40" s="37">
        <v>0</v>
      </c>
      <c r="W40" s="37">
        <v>951660</v>
      </c>
      <c r="X40" s="37">
        <v>0</v>
      </c>
      <c r="Y40" s="37">
        <v>120</v>
      </c>
      <c r="Z40" s="37">
        <v>3425</v>
      </c>
      <c r="AA40" s="37">
        <v>20970</v>
      </c>
      <c r="AB40" s="37">
        <v>0</v>
      </c>
      <c r="AC40" s="37">
        <f t="shared" si="5"/>
        <v>10286920</v>
      </c>
      <c r="AD40" s="38">
        <f t="shared" si="6"/>
        <v>1857813</v>
      </c>
      <c r="AE40" s="39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38">
        <f t="shared" si="7"/>
        <v>0</v>
      </c>
      <c r="AR40" s="39">
        <v>20322209</v>
      </c>
      <c r="AS40" s="37">
        <v>12525723</v>
      </c>
      <c r="AT40" s="37">
        <v>14236465</v>
      </c>
      <c r="AU40" s="37">
        <v>11806338</v>
      </c>
      <c r="AV40" s="37">
        <v>6269397</v>
      </c>
      <c r="AW40" s="37">
        <v>13205225</v>
      </c>
      <c r="AX40" s="37">
        <v>10897129</v>
      </c>
      <c r="AY40" s="40">
        <v>3375261</v>
      </c>
      <c r="AZ40" s="40">
        <v>10720030</v>
      </c>
      <c r="BA40" s="40">
        <v>10207700</v>
      </c>
      <c r="BB40" s="40">
        <v>0</v>
      </c>
      <c r="BC40" s="40">
        <v>250431</v>
      </c>
      <c r="BD40" s="38">
        <f t="shared" si="8"/>
        <v>113815908</v>
      </c>
    </row>
    <row r="41" spans="1:56" s="41" customFormat="1">
      <c r="A41" s="44" t="s">
        <v>162</v>
      </c>
      <c r="B41" s="42" t="s">
        <v>108</v>
      </c>
      <c r="C41" s="35" t="s">
        <v>107</v>
      </c>
      <c r="D41" s="61">
        <f t="shared" si="4"/>
        <v>255450339</v>
      </c>
      <c r="E41" s="36">
        <v>5966</v>
      </c>
      <c r="F41" s="37">
        <v>19517376</v>
      </c>
      <c r="G41" s="37">
        <v>9665</v>
      </c>
      <c r="H41" s="37">
        <v>33361466</v>
      </c>
      <c r="I41" s="37">
        <v>4587</v>
      </c>
      <c r="J41" s="37">
        <v>17313306</v>
      </c>
      <c r="K41" s="37">
        <v>11514</v>
      </c>
      <c r="L41" s="37">
        <v>34648798</v>
      </c>
      <c r="M41" s="37">
        <v>10750</v>
      </c>
      <c r="N41" s="37">
        <v>31857789</v>
      </c>
      <c r="O41" s="37">
        <v>9143</v>
      </c>
      <c r="P41" s="37">
        <v>27674595</v>
      </c>
      <c r="Q41" s="37">
        <v>10393</v>
      </c>
      <c r="R41" s="37">
        <v>30840283</v>
      </c>
      <c r="S41" s="37">
        <v>5488</v>
      </c>
      <c r="T41" s="37">
        <v>16577056</v>
      </c>
      <c r="U41" s="37">
        <v>5012</v>
      </c>
      <c r="V41" s="37">
        <v>15823150</v>
      </c>
      <c r="W41" s="37">
        <v>3296</v>
      </c>
      <c r="X41" s="37">
        <v>11667978</v>
      </c>
      <c r="Y41" s="37">
        <v>3019</v>
      </c>
      <c r="Z41" s="37">
        <v>8531107</v>
      </c>
      <c r="AA41" s="37">
        <v>2036</v>
      </c>
      <c r="AB41" s="37">
        <v>7637435</v>
      </c>
      <c r="AC41" s="37">
        <f t="shared" si="5"/>
        <v>80869</v>
      </c>
      <c r="AD41" s="38">
        <f t="shared" si="6"/>
        <v>255450339</v>
      </c>
      <c r="AE41" s="39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38">
        <f t="shared" si="7"/>
        <v>0</v>
      </c>
      <c r="AR41" s="39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38">
        <f t="shared" si="8"/>
        <v>0</v>
      </c>
    </row>
    <row r="42" spans="1:56" s="41" customFormat="1">
      <c r="A42" s="44" t="s">
        <v>162</v>
      </c>
      <c r="B42" s="42" t="s">
        <v>110</v>
      </c>
      <c r="C42" s="35" t="s">
        <v>109</v>
      </c>
      <c r="D42" s="61">
        <f t="shared" si="4"/>
        <v>36155549524</v>
      </c>
      <c r="E42" s="36">
        <v>3859603</v>
      </c>
      <c r="F42" s="37">
        <v>3771998060</v>
      </c>
      <c r="G42" s="37">
        <v>2864105</v>
      </c>
      <c r="H42" s="37">
        <v>2654045358</v>
      </c>
      <c r="I42" s="37">
        <v>3408557</v>
      </c>
      <c r="J42" s="37">
        <v>3396200692</v>
      </c>
      <c r="K42" s="37">
        <v>3740126</v>
      </c>
      <c r="L42" s="37">
        <v>3829571247</v>
      </c>
      <c r="M42" s="37">
        <v>3353640</v>
      </c>
      <c r="N42" s="37">
        <v>2665686277</v>
      </c>
      <c r="O42" s="37">
        <v>3306687</v>
      </c>
      <c r="P42" s="37">
        <v>3160440203</v>
      </c>
      <c r="Q42" s="37">
        <v>3489064</v>
      </c>
      <c r="R42" s="37">
        <v>3098104710</v>
      </c>
      <c r="S42" s="37">
        <v>3267471</v>
      </c>
      <c r="T42" s="37">
        <v>2933745692</v>
      </c>
      <c r="U42" s="37">
        <v>3031226</v>
      </c>
      <c r="V42" s="37">
        <v>2540949317</v>
      </c>
      <c r="W42" s="37">
        <v>3767667</v>
      </c>
      <c r="X42" s="37">
        <v>3133242857</v>
      </c>
      <c r="Y42" s="37">
        <v>3119720</v>
      </c>
      <c r="Z42" s="37">
        <v>2499313385</v>
      </c>
      <c r="AA42" s="37">
        <v>3309600</v>
      </c>
      <c r="AB42" s="37">
        <v>2472251726</v>
      </c>
      <c r="AC42" s="37">
        <f t="shared" si="5"/>
        <v>40517466</v>
      </c>
      <c r="AD42" s="38">
        <f t="shared" si="6"/>
        <v>36155549524</v>
      </c>
      <c r="AE42" s="39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38">
        <f t="shared" si="7"/>
        <v>0</v>
      </c>
      <c r="AR42" s="39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38">
        <f t="shared" si="8"/>
        <v>0</v>
      </c>
    </row>
    <row r="43" spans="1:56" s="41" customFormat="1">
      <c r="A43" s="44" t="s">
        <v>162</v>
      </c>
      <c r="B43" s="42" t="s">
        <v>112</v>
      </c>
      <c r="C43" s="35" t="s">
        <v>111</v>
      </c>
      <c r="D43" s="61">
        <f t="shared" si="4"/>
        <v>2281394850</v>
      </c>
      <c r="E43" s="36">
        <v>242771</v>
      </c>
      <c r="F43" s="37">
        <v>182185239</v>
      </c>
      <c r="G43" s="37">
        <v>243995</v>
      </c>
      <c r="H43" s="37">
        <v>185187755</v>
      </c>
      <c r="I43" s="37">
        <v>276783</v>
      </c>
      <c r="J43" s="37">
        <v>210621482</v>
      </c>
      <c r="K43" s="37">
        <v>257362</v>
      </c>
      <c r="L43" s="37">
        <v>200829443</v>
      </c>
      <c r="M43" s="37">
        <v>165891</v>
      </c>
      <c r="N43" s="37">
        <v>133918743</v>
      </c>
      <c r="O43" s="37">
        <v>184957</v>
      </c>
      <c r="P43" s="37">
        <v>149615759</v>
      </c>
      <c r="Q43" s="37">
        <v>205312</v>
      </c>
      <c r="R43" s="37">
        <v>163499256</v>
      </c>
      <c r="S43" s="37">
        <v>258885</v>
      </c>
      <c r="T43" s="37">
        <v>202758628</v>
      </c>
      <c r="U43" s="37">
        <v>218613</v>
      </c>
      <c r="V43" s="37">
        <v>169437371</v>
      </c>
      <c r="W43" s="37">
        <v>342840</v>
      </c>
      <c r="X43" s="37">
        <v>253107399</v>
      </c>
      <c r="Y43" s="37">
        <v>312031</v>
      </c>
      <c r="Z43" s="37">
        <v>232962264</v>
      </c>
      <c r="AA43" s="37">
        <v>267894</v>
      </c>
      <c r="AB43" s="37">
        <v>197271511</v>
      </c>
      <c r="AC43" s="37">
        <f t="shared" si="5"/>
        <v>2977334</v>
      </c>
      <c r="AD43" s="38">
        <f t="shared" si="6"/>
        <v>2281394850</v>
      </c>
      <c r="AE43" s="39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40">
        <v>0</v>
      </c>
      <c r="AM43" s="40">
        <v>0</v>
      </c>
      <c r="AN43" s="40">
        <v>0</v>
      </c>
      <c r="AO43" s="40">
        <v>0</v>
      </c>
      <c r="AP43" s="40">
        <v>0</v>
      </c>
      <c r="AQ43" s="38">
        <f t="shared" si="7"/>
        <v>0</v>
      </c>
      <c r="AR43" s="39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38">
        <f t="shared" si="8"/>
        <v>0</v>
      </c>
    </row>
    <row r="44" spans="1:56" s="41" customFormat="1">
      <c r="A44" s="44" t="s">
        <v>162</v>
      </c>
      <c r="B44" s="42" t="s">
        <v>114</v>
      </c>
      <c r="C44" s="35" t="s">
        <v>113</v>
      </c>
      <c r="D44" s="61">
        <f t="shared" si="4"/>
        <v>310393869</v>
      </c>
      <c r="E44" s="36">
        <v>33560</v>
      </c>
      <c r="F44" s="37">
        <v>40311269</v>
      </c>
      <c r="G44" s="37">
        <v>10760</v>
      </c>
      <c r="H44" s="37">
        <v>11589848</v>
      </c>
      <c r="I44" s="37">
        <v>18440</v>
      </c>
      <c r="J44" s="37">
        <v>22682125</v>
      </c>
      <c r="K44" s="37">
        <v>20960</v>
      </c>
      <c r="L44" s="37">
        <v>26288079</v>
      </c>
      <c r="M44" s="37">
        <v>30240</v>
      </c>
      <c r="N44" s="37">
        <v>38135721</v>
      </c>
      <c r="O44" s="37">
        <v>48740</v>
      </c>
      <c r="P44" s="37">
        <v>60678001</v>
      </c>
      <c r="Q44" s="37">
        <v>10080</v>
      </c>
      <c r="R44" s="37">
        <v>12731563</v>
      </c>
      <c r="S44" s="37">
        <v>23080</v>
      </c>
      <c r="T44" s="37">
        <v>29418690</v>
      </c>
      <c r="U44" s="37">
        <v>800</v>
      </c>
      <c r="V44" s="37">
        <v>594400</v>
      </c>
      <c r="W44" s="37">
        <v>21405</v>
      </c>
      <c r="X44" s="37">
        <v>24879466</v>
      </c>
      <c r="Y44" s="37">
        <v>4384</v>
      </c>
      <c r="Z44" s="37">
        <v>4428257</v>
      </c>
      <c r="AA44" s="37">
        <v>41100</v>
      </c>
      <c r="AB44" s="37">
        <v>38656450</v>
      </c>
      <c r="AC44" s="37">
        <f t="shared" si="5"/>
        <v>263549</v>
      </c>
      <c r="AD44" s="38">
        <f t="shared" si="6"/>
        <v>310393869</v>
      </c>
      <c r="AE44" s="39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38">
        <f t="shared" si="7"/>
        <v>0</v>
      </c>
      <c r="AR44" s="39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38">
        <f t="shared" si="8"/>
        <v>0</v>
      </c>
    </row>
    <row r="45" spans="1:56" s="41" customFormat="1">
      <c r="A45" s="44" t="s">
        <v>162</v>
      </c>
      <c r="B45" s="42" t="s">
        <v>116</v>
      </c>
      <c r="C45" s="35" t="s">
        <v>115</v>
      </c>
      <c r="D45" s="61">
        <f t="shared" si="4"/>
        <v>123123588</v>
      </c>
      <c r="E45" s="36">
        <v>988</v>
      </c>
      <c r="F45" s="37">
        <v>3278184</v>
      </c>
      <c r="G45" s="37">
        <v>910</v>
      </c>
      <c r="H45" s="37">
        <v>3019380</v>
      </c>
      <c r="I45" s="37">
        <v>8651</v>
      </c>
      <c r="J45" s="37">
        <v>18609528</v>
      </c>
      <c r="K45" s="37">
        <v>6344</v>
      </c>
      <c r="L45" s="37">
        <v>14196252</v>
      </c>
      <c r="M45" s="37">
        <v>7772</v>
      </c>
      <c r="N45" s="37">
        <v>16619106</v>
      </c>
      <c r="O45" s="37">
        <v>7257</v>
      </c>
      <c r="P45" s="37">
        <v>15929046</v>
      </c>
      <c r="Q45" s="37">
        <v>5605</v>
      </c>
      <c r="R45" s="37">
        <v>11836860</v>
      </c>
      <c r="S45" s="37">
        <v>963</v>
      </c>
      <c r="T45" s="37">
        <v>3195234</v>
      </c>
      <c r="U45" s="37">
        <v>5207</v>
      </c>
      <c r="V45" s="37">
        <v>11905446</v>
      </c>
      <c r="W45" s="37">
        <v>6649</v>
      </c>
      <c r="X45" s="37">
        <v>15393462</v>
      </c>
      <c r="Y45" s="37">
        <v>1525</v>
      </c>
      <c r="Z45" s="37">
        <v>5059950</v>
      </c>
      <c r="AA45" s="37">
        <v>1230</v>
      </c>
      <c r="AB45" s="37">
        <v>4081140</v>
      </c>
      <c r="AC45" s="37">
        <f t="shared" si="5"/>
        <v>53101</v>
      </c>
      <c r="AD45" s="38">
        <f t="shared" si="6"/>
        <v>123123588</v>
      </c>
      <c r="AE45" s="39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38">
        <f t="shared" si="7"/>
        <v>0</v>
      </c>
      <c r="AR45" s="39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38">
        <f t="shared" si="8"/>
        <v>0</v>
      </c>
    </row>
    <row r="46" spans="1:56" s="41" customFormat="1">
      <c r="A46" s="44" t="s">
        <v>162</v>
      </c>
      <c r="B46" s="42" t="s">
        <v>118</v>
      </c>
      <c r="C46" s="35" t="s">
        <v>117</v>
      </c>
      <c r="D46" s="61">
        <f t="shared" si="4"/>
        <v>4679681092</v>
      </c>
      <c r="E46" s="36">
        <v>15953</v>
      </c>
      <c r="F46" s="37">
        <v>381153972</v>
      </c>
      <c r="G46" s="37">
        <v>28532</v>
      </c>
      <c r="H46" s="37">
        <v>191980306</v>
      </c>
      <c r="I46" s="37">
        <v>26398</v>
      </c>
      <c r="J46" s="37">
        <v>575541177</v>
      </c>
      <c r="K46" s="37">
        <v>42185</v>
      </c>
      <c r="L46" s="37">
        <v>416456107</v>
      </c>
      <c r="M46" s="37">
        <v>22775</v>
      </c>
      <c r="N46" s="37">
        <v>427937925</v>
      </c>
      <c r="O46" s="37">
        <v>27317</v>
      </c>
      <c r="P46" s="37">
        <v>506616149</v>
      </c>
      <c r="Q46" s="37">
        <v>26857</v>
      </c>
      <c r="R46" s="37">
        <v>471545283</v>
      </c>
      <c r="S46" s="37">
        <v>24434</v>
      </c>
      <c r="T46" s="37">
        <v>453965449</v>
      </c>
      <c r="U46" s="37">
        <v>18030</v>
      </c>
      <c r="V46" s="37">
        <v>349989080</v>
      </c>
      <c r="W46" s="37">
        <v>32798</v>
      </c>
      <c r="X46" s="37">
        <v>498510538</v>
      </c>
      <c r="Y46" s="37">
        <v>18501</v>
      </c>
      <c r="Z46" s="37">
        <v>175610200</v>
      </c>
      <c r="AA46" s="37">
        <v>39820</v>
      </c>
      <c r="AB46" s="37">
        <v>230374906</v>
      </c>
      <c r="AC46" s="37">
        <f t="shared" si="5"/>
        <v>323600</v>
      </c>
      <c r="AD46" s="38">
        <f t="shared" si="6"/>
        <v>4679681092</v>
      </c>
      <c r="AE46" s="39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38">
        <f t="shared" si="7"/>
        <v>0</v>
      </c>
      <c r="AR46" s="39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38">
        <f t="shared" si="8"/>
        <v>0</v>
      </c>
    </row>
    <row r="47" spans="1:56" s="41" customFormat="1">
      <c r="A47" s="44" t="s">
        <v>162</v>
      </c>
      <c r="B47" s="42" t="s">
        <v>120</v>
      </c>
      <c r="C47" s="35" t="s">
        <v>119</v>
      </c>
      <c r="D47" s="61">
        <f t="shared" si="4"/>
        <v>2988236167</v>
      </c>
      <c r="E47" s="36">
        <v>7856320</v>
      </c>
      <c r="F47" s="37">
        <v>406780405</v>
      </c>
      <c r="G47" s="37">
        <v>5363360</v>
      </c>
      <c r="H47" s="37">
        <v>354199883</v>
      </c>
      <c r="I47" s="37">
        <v>4513040</v>
      </c>
      <c r="J47" s="37">
        <v>277344678</v>
      </c>
      <c r="K47" s="37">
        <v>4882710</v>
      </c>
      <c r="L47" s="37">
        <v>207936906</v>
      </c>
      <c r="M47" s="37">
        <v>4415350</v>
      </c>
      <c r="N47" s="37">
        <v>193401983</v>
      </c>
      <c r="O47" s="37">
        <v>4631150</v>
      </c>
      <c r="P47" s="37">
        <v>177713443</v>
      </c>
      <c r="Q47" s="37">
        <v>4692700</v>
      </c>
      <c r="R47" s="37">
        <v>245203540</v>
      </c>
      <c r="S47" s="37">
        <v>4389950</v>
      </c>
      <c r="T47" s="37">
        <v>217318359</v>
      </c>
      <c r="U47" s="37">
        <v>2258886</v>
      </c>
      <c r="V47" s="37">
        <v>140974534</v>
      </c>
      <c r="W47" s="37">
        <v>8257358</v>
      </c>
      <c r="X47" s="37">
        <v>290209845</v>
      </c>
      <c r="Y47" s="37">
        <v>5223266</v>
      </c>
      <c r="Z47" s="37">
        <v>261904936</v>
      </c>
      <c r="AA47" s="37">
        <v>4572420</v>
      </c>
      <c r="AB47" s="37">
        <v>159292011</v>
      </c>
      <c r="AC47" s="37">
        <f t="shared" si="5"/>
        <v>61056510</v>
      </c>
      <c r="AD47" s="38">
        <f t="shared" si="6"/>
        <v>2932280523</v>
      </c>
      <c r="AE47" s="39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38">
        <f t="shared" si="7"/>
        <v>0</v>
      </c>
      <c r="AR47" s="39">
        <v>6978114</v>
      </c>
      <c r="AS47" s="37">
        <v>5477893</v>
      </c>
      <c r="AT47" s="37">
        <v>1956051</v>
      </c>
      <c r="AU47" s="37">
        <v>3711400</v>
      </c>
      <c r="AV47" s="37">
        <v>5464453</v>
      </c>
      <c r="AW47" s="37">
        <v>1677983</v>
      </c>
      <c r="AX47" s="37">
        <v>1885462</v>
      </c>
      <c r="AY47" s="40">
        <v>1884792</v>
      </c>
      <c r="AZ47" s="40">
        <v>1888904</v>
      </c>
      <c r="BA47" s="40">
        <v>5847791</v>
      </c>
      <c r="BB47" s="40">
        <v>6286040</v>
      </c>
      <c r="BC47" s="40">
        <v>12896761</v>
      </c>
      <c r="BD47" s="38">
        <f t="shared" si="8"/>
        <v>55955644</v>
      </c>
    </row>
    <row r="48" spans="1:56" s="41" customFormat="1">
      <c r="A48" s="44" t="s">
        <v>162</v>
      </c>
      <c r="B48" s="42" t="s">
        <v>122</v>
      </c>
      <c r="C48" s="35" t="s">
        <v>121</v>
      </c>
      <c r="D48" s="61">
        <f t="shared" si="4"/>
        <v>2995216</v>
      </c>
      <c r="E48" s="36">
        <v>4000</v>
      </c>
      <c r="F48" s="37">
        <v>0</v>
      </c>
      <c r="G48" s="37">
        <v>4000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4000</v>
      </c>
      <c r="P48" s="37">
        <v>0</v>
      </c>
      <c r="Q48" s="37">
        <v>0</v>
      </c>
      <c r="R48" s="37">
        <v>0</v>
      </c>
      <c r="S48" s="37">
        <v>8000</v>
      </c>
      <c r="T48" s="37">
        <v>0</v>
      </c>
      <c r="U48" s="37">
        <v>0</v>
      </c>
      <c r="V48" s="37">
        <v>0</v>
      </c>
      <c r="W48" s="37">
        <v>4000</v>
      </c>
      <c r="X48" s="37">
        <v>0</v>
      </c>
      <c r="Y48" s="37">
        <v>4000</v>
      </c>
      <c r="Z48" s="37">
        <v>0</v>
      </c>
      <c r="AA48" s="37">
        <v>8000</v>
      </c>
      <c r="AB48" s="37">
        <v>0</v>
      </c>
      <c r="AC48" s="37">
        <f t="shared" si="5"/>
        <v>36000</v>
      </c>
      <c r="AD48" s="38">
        <f t="shared" si="6"/>
        <v>0</v>
      </c>
      <c r="AE48" s="39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38">
        <f t="shared" si="7"/>
        <v>0</v>
      </c>
      <c r="AR48" s="39">
        <v>291962</v>
      </c>
      <c r="AS48" s="37">
        <v>298155</v>
      </c>
      <c r="AT48" s="37">
        <v>0</v>
      </c>
      <c r="AU48" s="37">
        <v>0</v>
      </c>
      <c r="AV48" s="37">
        <v>0</v>
      </c>
      <c r="AW48" s="37">
        <v>365290</v>
      </c>
      <c r="AX48" s="37">
        <v>0</v>
      </c>
      <c r="AY48" s="40">
        <v>704738</v>
      </c>
      <c r="AZ48" s="40">
        <v>0</v>
      </c>
      <c r="BA48" s="40">
        <v>333177</v>
      </c>
      <c r="BB48" s="40">
        <v>334154</v>
      </c>
      <c r="BC48" s="40">
        <v>667740</v>
      </c>
      <c r="BD48" s="38">
        <f t="shared" si="8"/>
        <v>2995216</v>
      </c>
    </row>
    <row r="49" spans="1:56" s="41" customFormat="1">
      <c r="A49" s="44" t="s">
        <v>163</v>
      </c>
      <c r="B49" s="42" t="s">
        <v>125</v>
      </c>
      <c r="C49" s="35" t="s">
        <v>124</v>
      </c>
      <c r="D49" s="61">
        <f t="shared" si="4"/>
        <v>71415176</v>
      </c>
      <c r="E49" s="36">
        <v>850000</v>
      </c>
      <c r="F49" s="37">
        <v>34595000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9100</v>
      </c>
      <c r="P49" s="37">
        <v>10030312</v>
      </c>
      <c r="Q49" s="37">
        <v>0</v>
      </c>
      <c r="R49" s="37">
        <v>0</v>
      </c>
      <c r="S49" s="37">
        <v>0</v>
      </c>
      <c r="T49" s="37">
        <v>0</v>
      </c>
      <c r="U49" s="37">
        <v>6250</v>
      </c>
      <c r="V49" s="37">
        <v>7433575</v>
      </c>
      <c r="W49" s="37">
        <v>5500</v>
      </c>
      <c r="X49" s="37">
        <v>4244148</v>
      </c>
      <c r="Y49" s="37">
        <v>0</v>
      </c>
      <c r="Z49" s="37">
        <v>0</v>
      </c>
      <c r="AA49" s="37">
        <v>844</v>
      </c>
      <c r="AB49" s="37">
        <v>107098</v>
      </c>
      <c r="AC49" s="37">
        <f t="shared" si="5"/>
        <v>871694</v>
      </c>
      <c r="AD49" s="38">
        <f t="shared" si="6"/>
        <v>56410133</v>
      </c>
      <c r="AE49" s="39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38">
        <f t="shared" si="7"/>
        <v>0</v>
      </c>
      <c r="AR49" s="39">
        <v>0</v>
      </c>
      <c r="AS49" s="37">
        <v>0</v>
      </c>
      <c r="AT49" s="37">
        <v>0</v>
      </c>
      <c r="AU49" s="37">
        <v>0</v>
      </c>
      <c r="AV49" s="37">
        <v>0</v>
      </c>
      <c r="AW49" s="37">
        <v>10000</v>
      </c>
      <c r="AX49" s="37">
        <v>0</v>
      </c>
      <c r="AY49" s="40">
        <v>0</v>
      </c>
      <c r="AZ49" s="40">
        <v>8520264</v>
      </c>
      <c r="BA49" s="40">
        <v>6394063</v>
      </c>
      <c r="BB49" s="40">
        <v>0</v>
      </c>
      <c r="BC49" s="40">
        <v>80716</v>
      </c>
      <c r="BD49" s="38">
        <f t="shared" si="8"/>
        <v>15005043</v>
      </c>
    </row>
    <row r="50" spans="1:56" s="41" customFormat="1">
      <c r="A50" s="44" t="s">
        <v>163</v>
      </c>
      <c r="B50" s="42" t="s">
        <v>127</v>
      </c>
      <c r="C50" s="35" t="s">
        <v>126</v>
      </c>
      <c r="D50" s="61">
        <f t="shared" si="4"/>
        <v>2465339873</v>
      </c>
      <c r="E50" s="36">
        <v>50517620</v>
      </c>
      <c r="F50" s="37">
        <v>26424095</v>
      </c>
      <c r="G50" s="37">
        <v>27602025</v>
      </c>
      <c r="H50" s="37">
        <v>0</v>
      </c>
      <c r="I50" s="37">
        <v>37357000</v>
      </c>
      <c r="J50" s="37">
        <v>0</v>
      </c>
      <c r="K50" s="37">
        <v>40352000</v>
      </c>
      <c r="L50" s="37">
        <v>0</v>
      </c>
      <c r="M50" s="37">
        <v>33574572</v>
      </c>
      <c r="N50" s="37">
        <v>3939201</v>
      </c>
      <c r="O50" s="37">
        <v>20647467</v>
      </c>
      <c r="P50" s="37">
        <v>391607</v>
      </c>
      <c r="Q50" s="37">
        <v>26052048</v>
      </c>
      <c r="R50" s="37">
        <v>46762383</v>
      </c>
      <c r="S50" s="37">
        <v>40763036</v>
      </c>
      <c r="T50" s="37">
        <v>1264622</v>
      </c>
      <c r="U50" s="37">
        <v>34810830</v>
      </c>
      <c r="V50" s="37">
        <v>30146510</v>
      </c>
      <c r="W50" s="37">
        <v>55291200</v>
      </c>
      <c r="X50" s="37">
        <v>79387775</v>
      </c>
      <c r="Y50" s="37">
        <v>50231925</v>
      </c>
      <c r="Z50" s="37">
        <v>4869</v>
      </c>
      <c r="AA50" s="37">
        <v>58427744</v>
      </c>
      <c r="AB50" s="37">
        <v>30742693</v>
      </c>
      <c r="AC50" s="37">
        <f t="shared" si="5"/>
        <v>475627467</v>
      </c>
      <c r="AD50" s="38">
        <f t="shared" si="6"/>
        <v>219063755</v>
      </c>
      <c r="AE50" s="39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38">
        <f t="shared" si="7"/>
        <v>0</v>
      </c>
      <c r="AR50" s="39">
        <v>252065088</v>
      </c>
      <c r="AS50" s="37">
        <v>126476065</v>
      </c>
      <c r="AT50" s="37">
        <v>172332414</v>
      </c>
      <c r="AU50" s="37">
        <v>189023227</v>
      </c>
      <c r="AV50" s="37">
        <v>155491615</v>
      </c>
      <c r="AW50" s="37">
        <v>102999671</v>
      </c>
      <c r="AX50" s="37">
        <v>131431972</v>
      </c>
      <c r="AY50" s="40">
        <v>211758873</v>
      </c>
      <c r="AZ50" s="40">
        <v>145202291</v>
      </c>
      <c r="BA50" s="40">
        <v>239085326</v>
      </c>
      <c r="BB50" s="40">
        <v>239938869</v>
      </c>
      <c r="BC50" s="40">
        <v>280470707</v>
      </c>
      <c r="BD50" s="38">
        <f t="shared" si="8"/>
        <v>2246276118</v>
      </c>
    </row>
    <row r="51" spans="1:56" s="41" customFormat="1">
      <c r="A51" s="44" t="s">
        <v>163</v>
      </c>
      <c r="B51" s="42" t="s">
        <v>129</v>
      </c>
      <c r="C51" s="35" t="s">
        <v>128</v>
      </c>
      <c r="D51" s="61">
        <f t="shared" si="4"/>
        <v>2707807103</v>
      </c>
      <c r="E51" s="36">
        <v>0</v>
      </c>
      <c r="F51" s="37">
        <v>0</v>
      </c>
      <c r="G51" s="37">
        <v>0</v>
      </c>
      <c r="H51" s="37">
        <v>0</v>
      </c>
      <c r="I51" s="37">
        <v>5</v>
      </c>
      <c r="J51" s="37">
        <v>0</v>
      </c>
      <c r="K51" s="37">
        <v>4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1</v>
      </c>
      <c r="R51" s="37">
        <v>0</v>
      </c>
      <c r="S51" s="37">
        <v>6</v>
      </c>
      <c r="T51" s="37">
        <v>0</v>
      </c>
      <c r="U51" s="37">
        <v>2</v>
      </c>
      <c r="V51" s="37">
        <v>0</v>
      </c>
      <c r="W51" s="37">
        <v>0</v>
      </c>
      <c r="X51" s="37">
        <v>0</v>
      </c>
      <c r="Y51" s="37">
        <v>2</v>
      </c>
      <c r="Z51" s="37">
        <v>0</v>
      </c>
      <c r="AA51" s="37">
        <v>0</v>
      </c>
      <c r="AB51" s="37">
        <v>0</v>
      </c>
      <c r="AC51" s="37">
        <f t="shared" si="5"/>
        <v>20</v>
      </c>
      <c r="AD51" s="38">
        <f t="shared" si="6"/>
        <v>0</v>
      </c>
      <c r="AE51" s="39">
        <v>0</v>
      </c>
      <c r="AF51" s="37">
        <v>0</v>
      </c>
      <c r="AG51" s="37">
        <v>542098488</v>
      </c>
      <c r="AH51" s="37">
        <v>198350774</v>
      </c>
      <c r="AI51" s="37">
        <v>0</v>
      </c>
      <c r="AJ51" s="37">
        <v>0</v>
      </c>
      <c r="AK51" s="37">
        <v>109598835</v>
      </c>
      <c r="AL51" s="40">
        <v>826600072</v>
      </c>
      <c r="AM51" s="40">
        <v>613571351</v>
      </c>
      <c r="AN51" s="40">
        <v>0</v>
      </c>
      <c r="AO51" s="40">
        <v>73570391</v>
      </c>
      <c r="AP51" s="40">
        <v>344017192</v>
      </c>
      <c r="AQ51" s="38">
        <f t="shared" si="7"/>
        <v>2707807103</v>
      </c>
      <c r="AR51" s="39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38">
        <f t="shared" si="8"/>
        <v>0</v>
      </c>
    </row>
    <row r="52" spans="1:56" s="41" customFormat="1">
      <c r="A52" s="44" t="s">
        <v>163</v>
      </c>
      <c r="B52" s="42" t="s">
        <v>131</v>
      </c>
      <c r="C52" s="35" t="s">
        <v>130</v>
      </c>
      <c r="D52" s="61">
        <f t="shared" si="4"/>
        <v>1006263545</v>
      </c>
      <c r="E52" s="36">
        <v>1</v>
      </c>
      <c r="F52" s="37">
        <v>0</v>
      </c>
      <c r="G52" s="37">
        <v>0</v>
      </c>
      <c r="H52" s="37">
        <v>0</v>
      </c>
      <c r="I52" s="37">
        <v>2</v>
      </c>
      <c r="J52" s="37">
        <v>0</v>
      </c>
      <c r="K52" s="37">
        <v>1</v>
      </c>
      <c r="L52" s="37">
        <v>0</v>
      </c>
      <c r="M52" s="37">
        <v>0</v>
      </c>
      <c r="N52" s="37">
        <v>0</v>
      </c>
      <c r="O52" s="37">
        <v>2</v>
      </c>
      <c r="P52" s="37">
        <v>0</v>
      </c>
      <c r="Q52" s="37">
        <v>1</v>
      </c>
      <c r="R52" s="37">
        <v>0</v>
      </c>
      <c r="S52" s="37">
        <v>7</v>
      </c>
      <c r="T52" s="37">
        <v>0</v>
      </c>
      <c r="U52" s="37">
        <v>9</v>
      </c>
      <c r="V52" s="37">
        <v>0</v>
      </c>
      <c r="W52" s="37">
        <v>2</v>
      </c>
      <c r="X52" s="37">
        <v>0</v>
      </c>
      <c r="Y52" s="37">
        <v>2</v>
      </c>
      <c r="Z52" s="37">
        <v>0</v>
      </c>
      <c r="AA52" s="37">
        <v>1</v>
      </c>
      <c r="AB52" s="37">
        <v>0</v>
      </c>
      <c r="AC52" s="37">
        <f t="shared" si="5"/>
        <v>28</v>
      </c>
      <c r="AD52" s="38">
        <f t="shared" si="6"/>
        <v>0</v>
      </c>
      <c r="AE52" s="39">
        <v>3038300</v>
      </c>
      <c r="AF52" s="37">
        <v>0</v>
      </c>
      <c r="AG52" s="37">
        <v>20011871</v>
      </c>
      <c r="AH52" s="37">
        <v>257930</v>
      </c>
      <c r="AI52" s="37">
        <v>0</v>
      </c>
      <c r="AJ52" s="37">
        <v>464324</v>
      </c>
      <c r="AK52" s="37">
        <v>424670</v>
      </c>
      <c r="AL52" s="40">
        <v>355282036</v>
      </c>
      <c r="AM52" s="40">
        <v>494056918</v>
      </c>
      <c r="AN52" s="40">
        <v>66857471</v>
      </c>
      <c r="AO52" s="40">
        <v>20092010</v>
      </c>
      <c r="AP52" s="40">
        <v>45778015</v>
      </c>
      <c r="AQ52" s="38">
        <f t="shared" si="7"/>
        <v>1006263545</v>
      </c>
      <c r="AR52" s="39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38">
        <f t="shared" si="8"/>
        <v>0</v>
      </c>
    </row>
    <row r="53" spans="1:56" s="41" customFormat="1">
      <c r="A53" s="44" t="s">
        <v>123</v>
      </c>
      <c r="B53" s="34"/>
      <c r="C53" s="35" t="s">
        <v>134</v>
      </c>
      <c r="D53" s="61">
        <f t="shared" si="4"/>
        <v>2097108184</v>
      </c>
      <c r="E53" s="36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204</v>
      </c>
      <c r="V53" s="37">
        <v>4742184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f t="shared" si="5"/>
        <v>204</v>
      </c>
      <c r="AD53" s="38">
        <f t="shared" si="6"/>
        <v>4742184</v>
      </c>
      <c r="AE53" s="39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37">
        <v>0</v>
      </c>
      <c r="AL53" s="40">
        <v>0</v>
      </c>
      <c r="AM53" s="40">
        <v>0</v>
      </c>
      <c r="AN53" s="40">
        <v>0</v>
      </c>
      <c r="AO53" s="40">
        <v>0</v>
      </c>
      <c r="AP53" s="40">
        <v>0</v>
      </c>
      <c r="AQ53" s="38">
        <f t="shared" si="7"/>
        <v>0</v>
      </c>
      <c r="AR53" s="39">
        <v>243072000</v>
      </c>
      <c r="AS53" s="37">
        <v>200267000</v>
      </c>
      <c r="AT53" s="37">
        <v>130852000</v>
      </c>
      <c r="AU53" s="37">
        <v>115757000</v>
      </c>
      <c r="AV53" s="37">
        <v>46667000</v>
      </c>
      <c r="AW53" s="37">
        <v>-75073000</v>
      </c>
      <c r="AX53" s="37">
        <v>91212000</v>
      </c>
      <c r="AY53" s="40">
        <v>80332000</v>
      </c>
      <c r="AZ53" s="40">
        <v>277570000</v>
      </c>
      <c r="BA53" s="40">
        <v>313260000</v>
      </c>
      <c r="BB53" s="40">
        <v>335390000</v>
      </c>
      <c r="BC53" s="40">
        <v>333060000</v>
      </c>
      <c r="BD53" s="38">
        <f t="shared" si="8"/>
        <v>2092366000</v>
      </c>
    </row>
    <row r="54" spans="1:56" ht="17.25" thickBot="1">
      <c r="A54" s="45"/>
      <c r="B54" s="13" t="s">
        <v>164</v>
      </c>
      <c r="C54" s="14"/>
      <c r="D54" s="15">
        <f t="shared" ref="D54:AJ54" si="9">SUBTOTAL(9,D5:D53)</f>
        <v>547732601421</v>
      </c>
      <c r="E54" s="15">
        <f t="shared" si="9"/>
        <v>193770288</v>
      </c>
      <c r="F54" s="16">
        <f t="shared" si="9"/>
        <v>45333802628</v>
      </c>
      <c r="G54" s="16">
        <f t="shared" si="9"/>
        <v>111533446</v>
      </c>
      <c r="H54" s="16">
        <f t="shared" si="9"/>
        <v>39217568814</v>
      </c>
      <c r="I54" s="16">
        <f t="shared" si="9"/>
        <v>167929361</v>
      </c>
      <c r="J54" s="16">
        <f t="shared" si="9"/>
        <v>43634787801</v>
      </c>
      <c r="K54" s="16">
        <f t="shared" si="9"/>
        <v>158345174</v>
      </c>
      <c r="L54" s="16">
        <f t="shared" si="9"/>
        <v>44687384478</v>
      </c>
      <c r="M54" s="16">
        <f t="shared" si="9"/>
        <v>137108667</v>
      </c>
      <c r="N54" s="16">
        <f t="shared" si="9"/>
        <v>42884882168</v>
      </c>
      <c r="O54" s="16">
        <f t="shared" si="9"/>
        <v>115932179</v>
      </c>
      <c r="P54" s="16">
        <f t="shared" si="9"/>
        <v>44484044902</v>
      </c>
      <c r="Q54" s="16">
        <f t="shared" si="9"/>
        <v>139176857</v>
      </c>
      <c r="R54" s="16">
        <f t="shared" si="9"/>
        <v>43464848706</v>
      </c>
      <c r="S54" s="16">
        <f t="shared" si="9"/>
        <v>167416859</v>
      </c>
      <c r="T54" s="16">
        <f t="shared" si="9"/>
        <v>41904980145</v>
      </c>
      <c r="U54" s="16">
        <f t="shared" si="9"/>
        <v>140206766</v>
      </c>
      <c r="V54" s="16">
        <f t="shared" si="9"/>
        <v>40627534490</v>
      </c>
      <c r="W54" s="16">
        <f t="shared" si="9"/>
        <v>193955644</v>
      </c>
      <c r="X54" s="16">
        <f t="shared" si="9"/>
        <v>48893452332</v>
      </c>
      <c r="Y54" s="16">
        <f t="shared" si="9"/>
        <v>185804038</v>
      </c>
      <c r="Z54" s="16">
        <f t="shared" si="9"/>
        <v>45503091647</v>
      </c>
      <c r="AA54" s="16">
        <f t="shared" si="9"/>
        <v>182065605</v>
      </c>
      <c r="AB54" s="16">
        <f t="shared" si="9"/>
        <v>48136734165</v>
      </c>
      <c r="AC54" s="16">
        <f t="shared" si="9"/>
        <v>1893244884</v>
      </c>
      <c r="AD54" s="16">
        <f t="shared" si="9"/>
        <v>528773112276</v>
      </c>
      <c r="AE54" s="18">
        <f t="shared" si="9"/>
        <v>3038300</v>
      </c>
      <c r="AF54" s="16">
        <f t="shared" si="9"/>
        <v>0</v>
      </c>
      <c r="AG54" s="16">
        <f t="shared" si="9"/>
        <v>562110359</v>
      </c>
      <c r="AH54" s="16">
        <f t="shared" si="9"/>
        <v>198608704</v>
      </c>
      <c r="AI54" s="16">
        <f t="shared" si="9"/>
        <v>0</v>
      </c>
      <c r="AJ54" s="16">
        <f t="shared" si="9"/>
        <v>464324</v>
      </c>
      <c r="AK54" s="16">
        <f t="shared" ref="AK54:BD54" si="10">SUBTOTAL(9,AK5:AK53)</f>
        <v>110023505</v>
      </c>
      <c r="AL54" s="16">
        <f t="shared" si="10"/>
        <v>1181882108</v>
      </c>
      <c r="AM54" s="16">
        <f t="shared" si="10"/>
        <v>1107628269</v>
      </c>
      <c r="AN54" s="16">
        <f t="shared" si="10"/>
        <v>66857471</v>
      </c>
      <c r="AO54" s="16">
        <f t="shared" si="10"/>
        <v>93662401</v>
      </c>
      <c r="AP54" s="16">
        <f t="shared" si="10"/>
        <v>389795207</v>
      </c>
      <c r="AQ54" s="17">
        <f t="shared" si="10"/>
        <v>3714070648</v>
      </c>
      <c r="AR54" s="18">
        <f t="shared" si="10"/>
        <v>1341079593</v>
      </c>
      <c r="AS54" s="16">
        <f t="shared" si="10"/>
        <v>975658537</v>
      </c>
      <c r="AT54" s="16">
        <f t="shared" si="10"/>
        <v>1095835159</v>
      </c>
      <c r="AU54" s="16">
        <f t="shared" si="10"/>
        <v>1054733682</v>
      </c>
      <c r="AV54" s="16">
        <f t="shared" si="10"/>
        <v>954907024</v>
      </c>
      <c r="AW54" s="16">
        <f t="shared" si="10"/>
        <v>894533877</v>
      </c>
      <c r="AX54" s="16">
        <f t="shared" si="10"/>
        <v>1109414138</v>
      </c>
      <c r="AY54" s="16">
        <f t="shared" si="10"/>
        <v>1222964890</v>
      </c>
      <c r="AZ54" s="16">
        <f t="shared" si="10"/>
        <v>1345799427</v>
      </c>
      <c r="BA54" s="16">
        <f t="shared" si="10"/>
        <v>1977549963</v>
      </c>
      <c r="BB54" s="16">
        <f t="shared" si="10"/>
        <v>1668257949</v>
      </c>
      <c r="BC54" s="16">
        <f t="shared" si="10"/>
        <v>1604684258</v>
      </c>
      <c r="BD54" s="17">
        <f t="shared" si="10"/>
        <v>15245418497</v>
      </c>
    </row>
    <row r="55" spans="1:56" ht="17.25" thickBot="1">
      <c r="D55" s="60"/>
    </row>
    <row r="56" spans="1:56">
      <c r="A56" s="100" t="s">
        <v>160</v>
      </c>
      <c r="B56" s="101"/>
      <c r="C56" s="101"/>
      <c r="D56" s="30">
        <f>SUMIF($A$5:$A$53,$A56,D$5:D$53)</f>
        <v>380508279003</v>
      </c>
      <c r="E56" s="30">
        <f>SUMIF($A$5:$A$53,$A56,E$5:E$53)</f>
        <v>119164596</v>
      </c>
      <c r="F56" s="30">
        <f t="shared" ref="F56:BD59" si="11">SUMIF($A$5:$A$53,$A56,F$5:F$53)</f>
        <v>31530333836</v>
      </c>
      <c r="G56" s="30">
        <f t="shared" si="11"/>
        <v>64852608</v>
      </c>
      <c r="H56" s="30">
        <f t="shared" si="11"/>
        <v>27268077424</v>
      </c>
      <c r="I56" s="30">
        <f t="shared" si="11"/>
        <v>113670917</v>
      </c>
      <c r="J56" s="30">
        <f t="shared" si="11"/>
        <v>30117816711</v>
      </c>
      <c r="K56" s="30">
        <f t="shared" si="11"/>
        <v>99759898</v>
      </c>
      <c r="L56" s="30">
        <f t="shared" si="11"/>
        <v>30154689007</v>
      </c>
      <c r="M56" s="30">
        <f t="shared" si="11"/>
        <v>87374298</v>
      </c>
      <c r="N56" s="30">
        <f t="shared" si="11"/>
        <v>30131794108</v>
      </c>
      <c r="O56" s="30">
        <f t="shared" si="11"/>
        <v>74115134</v>
      </c>
      <c r="P56" s="30">
        <f t="shared" si="11"/>
        <v>30875908486</v>
      </c>
      <c r="Q56" s="30">
        <f t="shared" si="11"/>
        <v>97294379</v>
      </c>
      <c r="R56" s="30">
        <f t="shared" si="11"/>
        <v>30201456901</v>
      </c>
      <c r="S56" s="30">
        <f t="shared" si="11"/>
        <v>108552888</v>
      </c>
      <c r="T56" s="30">
        <f t="shared" si="11"/>
        <v>29497582105</v>
      </c>
      <c r="U56" s="30">
        <f t="shared" si="11"/>
        <v>90929416</v>
      </c>
      <c r="V56" s="30">
        <f t="shared" si="11"/>
        <v>28689120545</v>
      </c>
      <c r="W56" s="30">
        <f t="shared" si="11"/>
        <v>115594755</v>
      </c>
      <c r="X56" s="30">
        <f t="shared" si="11"/>
        <v>33760381096</v>
      </c>
      <c r="Y56" s="30">
        <f t="shared" si="11"/>
        <v>117192934</v>
      </c>
      <c r="Z56" s="30">
        <f t="shared" si="11"/>
        <v>32942887636</v>
      </c>
      <c r="AA56" s="30">
        <f t="shared" si="11"/>
        <v>108503465</v>
      </c>
      <c r="AB56" s="30">
        <f t="shared" si="11"/>
        <v>34940084726</v>
      </c>
      <c r="AC56" s="30">
        <f t="shared" si="11"/>
        <v>1197005288</v>
      </c>
      <c r="AD56" s="30">
        <f>SUMIF($A$5:$A$53,$A56,AD$5:AD$53)</f>
        <v>370110132581</v>
      </c>
      <c r="AE56" s="30">
        <f t="shared" si="11"/>
        <v>0</v>
      </c>
      <c r="AF56" s="30">
        <f t="shared" si="11"/>
        <v>0</v>
      </c>
      <c r="AG56" s="30">
        <f t="shared" si="11"/>
        <v>0</v>
      </c>
      <c r="AH56" s="30">
        <f t="shared" si="11"/>
        <v>0</v>
      </c>
      <c r="AI56" s="30">
        <f t="shared" si="11"/>
        <v>0</v>
      </c>
      <c r="AJ56" s="30">
        <f t="shared" si="11"/>
        <v>0</v>
      </c>
      <c r="AK56" s="30">
        <f t="shared" si="11"/>
        <v>0</v>
      </c>
      <c r="AL56" s="30">
        <f t="shared" si="11"/>
        <v>0</v>
      </c>
      <c r="AM56" s="30">
        <f t="shared" si="11"/>
        <v>0</v>
      </c>
      <c r="AN56" s="30">
        <f t="shared" si="11"/>
        <v>0</v>
      </c>
      <c r="AO56" s="30">
        <f t="shared" si="11"/>
        <v>0</v>
      </c>
      <c r="AP56" s="30">
        <f t="shared" si="11"/>
        <v>0</v>
      </c>
      <c r="AQ56" s="30">
        <f t="shared" si="11"/>
        <v>0</v>
      </c>
      <c r="AR56" s="30">
        <f t="shared" si="11"/>
        <v>813656850</v>
      </c>
      <c r="AS56" s="30">
        <f t="shared" si="11"/>
        <v>624988600</v>
      </c>
      <c r="AT56" s="30">
        <f t="shared" si="11"/>
        <v>761725517</v>
      </c>
      <c r="AU56" s="30">
        <f t="shared" si="11"/>
        <v>725793380</v>
      </c>
      <c r="AV56" s="30">
        <f t="shared" si="11"/>
        <v>732784946</v>
      </c>
      <c r="AW56" s="30">
        <f t="shared" si="11"/>
        <v>673842884</v>
      </c>
      <c r="AX56" s="30">
        <f t="shared" si="11"/>
        <v>869594841</v>
      </c>
      <c r="AY56" s="30">
        <f t="shared" si="11"/>
        <v>910591024</v>
      </c>
      <c r="AZ56" s="30">
        <f t="shared" si="11"/>
        <v>883022099</v>
      </c>
      <c r="BA56" s="30">
        <f t="shared" si="11"/>
        <v>1386490187</v>
      </c>
      <c r="BB56" s="30">
        <f t="shared" si="11"/>
        <v>1071164041</v>
      </c>
      <c r="BC56" s="30">
        <f t="shared" si="11"/>
        <v>944492053</v>
      </c>
      <c r="BD56" s="32">
        <f t="shared" si="11"/>
        <v>10398146422</v>
      </c>
    </row>
    <row r="57" spans="1:56">
      <c r="A57" s="102" t="s">
        <v>161</v>
      </c>
      <c r="B57" s="103"/>
      <c r="C57" s="103"/>
      <c r="D57" s="7">
        <f t="shared" ref="D57:T59" si="12">SUMIF($A$5:$A$53,$A57,D$5:D$53)</f>
        <v>61363157093</v>
      </c>
      <c r="E57" s="7">
        <f t="shared" si="12"/>
        <v>894449</v>
      </c>
      <c r="F57" s="7">
        <f t="shared" si="12"/>
        <v>4941938252</v>
      </c>
      <c r="G57" s="7">
        <f t="shared" si="12"/>
        <v>764803</v>
      </c>
      <c r="H57" s="7">
        <f t="shared" si="12"/>
        <v>4584345638</v>
      </c>
      <c r="I57" s="7">
        <f t="shared" si="12"/>
        <v>611287</v>
      </c>
      <c r="J57" s="7">
        <f t="shared" si="12"/>
        <v>5020135704</v>
      </c>
      <c r="K57" s="7">
        <f t="shared" si="12"/>
        <v>829909</v>
      </c>
      <c r="L57" s="7">
        <f t="shared" si="12"/>
        <v>5274103086</v>
      </c>
      <c r="M57" s="7">
        <f t="shared" si="12"/>
        <v>859747</v>
      </c>
      <c r="N57" s="7">
        <f t="shared" si="12"/>
        <v>4685245112</v>
      </c>
      <c r="O57" s="7">
        <f t="shared" si="12"/>
        <v>1872344</v>
      </c>
      <c r="P57" s="7">
        <f t="shared" si="12"/>
        <v>5369055083</v>
      </c>
      <c r="Q57" s="7">
        <f t="shared" si="12"/>
        <v>757418</v>
      </c>
      <c r="R57" s="7">
        <f t="shared" si="12"/>
        <v>4763196383</v>
      </c>
      <c r="S57" s="7">
        <f t="shared" si="12"/>
        <v>1253889</v>
      </c>
      <c r="T57" s="7">
        <f t="shared" si="12"/>
        <v>4140912980</v>
      </c>
      <c r="U57" s="7">
        <f t="shared" si="11"/>
        <v>544582</v>
      </c>
      <c r="V57" s="7">
        <f t="shared" si="11"/>
        <v>4892321837</v>
      </c>
      <c r="W57" s="7">
        <f t="shared" si="11"/>
        <v>1052733</v>
      </c>
      <c r="X57" s="7">
        <f t="shared" si="11"/>
        <v>6146596761</v>
      </c>
      <c r="Y57" s="7">
        <f t="shared" si="11"/>
        <v>1043420</v>
      </c>
      <c r="Z57" s="7">
        <f t="shared" si="11"/>
        <v>5172536146</v>
      </c>
      <c r="AA57" s="7">
        <f t="shared" si="11"/>
        <v>2266472</v>
      </c>
      <c r="AB57" s="7">
        <f t="shared" si="11"/>
        <v>6311564493</v>
      </c>
      <c r="AC57" s="7">
        <f t="shared" si="11"/>
        <v>12751053</v>
      </c>
      <c r="AD57" s="7">
        <f t="shared" si="11"/>
        <v>61301951475</v>
      </c>
      <c r="AE57" s="7">
        <f t="shared" si="11"/>
        <v>0</v>
      </c>
      <c r="AF57" s="7">
        <f t="shared" si="11"/>
        <v>0</v>
      </c>
      <c r="AG57" s="7">
        <f t="shared" si="11"/>
        <v>0</v>
      </c>
      <c r="AH57" s="7">
        <f t="shared" si="11"/>
        <v>0</v>
      </c>
      <c r="AI57" s="7">
        <f t="shared" si="11"/>
        <v>0</v>
      </c>
      <c r="AJ57" s="7">
        <f t="shared" si="11"/>
        <v>0</v>
      </c>
      <c r="AK57" s="7">
        <f t="shared" si="11"/>
        <v>0</v>
      </c>
      <c r="AL57" s="7">
        <f t="shared" si="11"/>
        <v>0</v>
      </c>
      <c r="AM57" s="7">
        <f t="shared" si="11"/>
        <v>0</v>
      </c>
      <c r="AN57" s="7">
        <f t="shared" si="11"/>
        <v>0</v>
      </c>
      <c r="AO57" s="7">
        <f t="shared" si="11"/>
        <v>0</v>
      </c>
      <c r="AP57" s="7">
        <f t="shared" si="11"/>
        <v>0</v>
      </c>
      <c r="AQ57" s="7">
        <f t="shared" si="11"/>
        <v>0</v>
      </c>
      <c r="AR57" s="7">
        <f t="shared" si="11"/>
        <v>141622</v>
      </c>
      <c r="AS57" s="7">
        <f t="shared" si="11"/>
        <v>27035</v>
      </c>
      <c r="AT57" s="7">
        <f t="shared" si="11"/>
        <v>13864714</v>
      </c>
      <c r="AU57" s="7">
        <f t="shared" si="11"/>
        <v>2007934</v>
      </c>
      <c r="AV57" s="7">
        <f t="shared" si="11"/>
        <v>2420037</v>
      </c>
      <c r="AW57" s="7">
        <f t="shared" si="11"/>
        <v>28728999</v>
      </c>
      <c r="AX57" s="7">
        <f t="shared" si="11"/>
        <v>13966</v>
      </c>
      <c r="AY57" s="7">
        <f t="shared" si="11"/>
        <v>491107</v>
      </c>
      <c r="AZ57" s="7">
        <f t="shared" si="11"/>
        <v>2124554</v>
      </c>
      <c r="BA57" s="7">
        <f t="shared" si="11"/>
        <v>7229500</v>
      </c>
      <c r="BB57" s="7">
        <f t="shared" si="11"/>
        <v>2649796</v>
      </c>
      <c r="BC57" s="7">
        <f t="shared" si="11"/>
        <v>1506354</v>
      </c>
      <c r="BD57" s="8">
        <f t="shared" si="11"/>
        <v>61205618</v>
      </c>
    </row>
    <row r="58" spans="1:56">
      <c r="A58" s="102" t="s">
        <v>162</v>
      </c>
      <c r="B58" s="103"/>
      <c r="C58" s="103"/>
      <c r="D58" s="7">
        <f t="shared" si="12"/>
        <v>97513231444</v>
      </c>
      <c r="E58" s="7">
        <f t="shared" si="12"/>
        <v>22343622</v>
      </c>
      <c r="F58" s="7">
        <f t="shared" si="11"/>
        <v>8800511445</v>
      </c>
      <c r="G58" s="7">
        <f t="shared" si="11"/>
        <v>18314010</v>
      </c>
      <c r="H58" s="7">
        <f t="shared" si="11"/>
        <v>7365145752</v>
      </c>
      <c r="I58" s="7">
        <f t="shared" si="11"/>
        <v>16290150</v>
      </c>
      <c r="J58" s="7">
        <f t="shared" si="11"/>
        <v>8496835386</v>
      </c>
      <c r="K58" s="7">
        <f t="shared" si="11"/>
        <v>17403362</v>
      </c>
      <c r="L58" s="7">
        <f t="shared" si="11"/>
        <v>9258592385</v>
      </c>
      <c r="M58" s="7">
        <f t="shared" si="11"/>
        <v>15300050</v>
      </c>
      <c r="N58" s="7">
        <f t="shared" si="11"/>
        <v>8063903747</v>
      </c>
      <c r="O58" s="7">
        <f t="shared" si="11"/>
        <v>19288132</v>
      </c>
      <c r="P58" s="7">
        <f t="shared" si="11"/>
        <v>8228659414</v>
      </c>
      <c r="Q58" s="7">
        <f t="shared" si="11"/>
        <v>15073010</v>
      </c>
      <c r="R58" s="7">
        <f t="shared" si="11"/>
        <v>8453433039</v>
      </c>
      <c r="S58" s="7">
        <f t="shared" si="11"/>
        <v>16847033</v>
      </c>
      <c r="T58" s="7">
        <f t="shared" si="11"/>
        <v>8265220438</v>
      </c>
      <c r="U58" s="7">
        <f t="shared" si="11"/>
        <v>13915473</v>
      </c>
      <c r="V58" s="7">
        <f t="shared" si="11"/>
        <v>7003769839</v>
      </c>
      <c r="W58" s="7">
        <f t="shared" si="11"/>
        <v>22011454</v>
      </c>
      <c r="X58" s="7">
        <f t="shared" si="11"/>
        <v>8902842552</v>
      </c>
      <c r="Y58" s="7">
        <f t="shared" si="11"/>
        <v>17335755</v>
      </c>
      <c r="Z58" s="7">
        <f t="shared" si="11"/>
        <v>7387662996</v>
      </c>
      <c r="AA58" s="7">
        <f t="shared" si="11"/>
        <v>12867079</v>
      </c>
      <c r="AB58" s="7">
        <f t="shared" si="11"/>
        <v>6854235155</v>
      </c>
      <c r="AC58" s="7">
        <f t="shared" si="11"/>
        <v>206989130</v>
      </c>
      <c r="AD58" s="7">
        <f t="shared" si="11"/>
        <v>97080812148</v>
      </c>
      <c r="AE58" s="7">
        <f t="shared" si="11"/>
        <v>0</v>
      </c>
      <c r="AF58" s="7">
        <f t="shared" si="11"/>
        <v>0</v>
      </c>
      <c r="AG58" s="7">
        <f t="shared" si="11"/>
        <v>0</v>
      </c>
      <c r="AH58" s="7">
        <f t="shared" si="11"/>
        <v>0</v>
      </c>
      <c r="AI58" s="7">
        <f t="shared" si="11"/>
        <v>0</v>
      </c>
      <c r="AJ58" s="7">
        <f t="shared" si="11"/>
        <v>0</v>
      </c>
      <c r="AK58" s="7">
        <f t="shared" si="11"/>
        <v>0</v>
      </c>
      <c r="AL58" s="7">
        <f t="shared" si="11"/>
        <v>0</v>
      </c>
      <c r="AM58" s="7">
        <f t="shared" si="11"/>
        <v>0</v>
      </c>
      <c r="AN58" s="7">
        <f t="shared" si="11"/>
        <v>0</v>
      </c>
      <c r="AO58" s="7">
        <f t="shared" si="11"/>
        <v>0</v>
      </c>
      <c r="AP58" s="7">
        <f t="shared" si="11"/>
        <v>0</v>
      </c>
      <c r="AQ58" s="7">
        <f t="shared" si="11"/>
        <v>0</v>
      </c>
      <c r="AR58" s="7">
        <f t="shared" si="11"/>
        <v>32144033</v>
      </c>
      <c r="AS58" s="7">
        <f t="shared" si="11"/>
        <v>23899837</v>
      </c>
      <c r="AT58" s="7">
        <f t="shared" si="11"/>
        <v>17060514</v>
      </c>
      <c r="AU58" s="7">
        <f t="shared" si="11"/>
        <v>22152141</v>
      </c>
      <c r="AV58" s="7">
        <f t="shared" si="11"/>
        <v>17543426</v>
      </c>
      <c r="AW58" s="7">
        <f t="shared" si="11"/>
        <v>164025323</v>
      </c>
      <c r="AX58" s="7">
        <f t="shared" si="11"/>
        <v>17161359</v>
      </c>
      <c r="AY58" s="7">
        <f t="shared" si="11"/>
        <v>19791886</v>
      </c>
      <c r="AZ58" s="7">
        <f t="shared" si="11"/>
        <v>29360219</v>
      </c>
      <c r="BA58" s="7">
        <f t="shared" si="11"/>
        <v>25090887</v>
      </c>
      <c r="BB58" s="7">
        <f t="shared" si="11"/>
        <v>19115243</v>
      </c>
      <c r="BC58" s="7">
        <f t="shared" si="11"/>
        <v>45074428</v>
      </c>
      <c r="BD58" s="8">
        <f t="shared" si="11"/>
        <v>432419296</v>
      </c>
    </row>
    <row r="59" spans="1:56">
      <c r="A59" s="102" t="s">
        <v>163</v>
      </c>
      <c r="B59" s="103"/>
      <c r="C59" s="103"/>
      <c r="D59" s="7">
        <f t="shared" si="12"/>
        <v>8347933881</v>
      </c>
      <c r="E59" s="7">
        <f t="shared" si="12"/>
        <v>51367621</v>
      </c>
      <c r="F59" s="7">
        <f t="shared" si="11"/>
        <v>61019095</v>
      </c>
      <c r="G59" s="7">
        <f t="shared" si="11"/>
        <v>27602025</v>
      </c>
      <c r="H59" s="7">
        <f t="shared" si="11"/>
        <v>0</v>
      </c>
      <c r="I59" s="7">
        <f t="shared" si="11"/>
        <v>37357007</v>
      </c>
      <c r="J59" s="7">
        <f t="shared" si="11"/>
        <v>0</v>
      </c>
      <c r="K59" s="7">
        <f t="shared" si="11"/>
        <v>40352005</v>
      </c>
      <c r="L59" s="7">
        <f t="shared" si="11"/>
        <v>0</v>
      </c>
      <c r="M59" s="7">
        <f t="shared" si="11"/>
        <v>33574572</v>
      </c>
      <c r="N59" s="7">
        <f t="shared" si="11"/>
        <v>3939201</v>
      </c>
      <c r="O59" s="7">
        <f t="shared" si="11"/>
        <v>20656569</v>
      </c>
      <c r="P59" s="7">
        <f t="shared" si="11"/>
        <v>10421919</v>
      </c>
      <c r="Q59" s="7">
        <f t="shared" si="11"/>
        <v>26052050</v>
      </c>
      <c r="R59" s="7">
        <f t="shared" si="11"/>
        <v>46762383</v>
      </c>
      <c r="S59" s="7">
        <f t="shared" si="11"/>
        <v>40763049</v>
      </c>
      <c r="T59" s="7">
        <f t="shared" si="11"/>
        <v>1264622</v>
      </c>
      <c r="U59" s="7">
        <f t="shared" si="11"/>
        <v>34817295</v>
      </c>
      <c r="V59" s="7">
        <f t="shared" si="11"/>
        <v>42322269</v>
      </c>
      <c r="W59" s="7">
        <f t="shared" si="11"/>
        <v>55296702</v>
      </c>
      <c r="X59" s="7">
        <f t="shared" si="11"/>
        <v>83631923</v>
      </c>
      <c r="Y59" s="7">
        <f t="shared" si="11"/>
        <v>50231929</v>
      </c>
      <c r="Z59" s="7">
        <f t="shared" si="11"/>
        <v>4869</v>
      </c>
      <c r="AA59" s="7">
        <f t="shared" si="11"/>
        <v>58428589</v>
      </c>
      <c r="AB59" s="7">
        <f t="shared" si="11"/>
        <v>30849791</v>
      </c>
      <c r="AC59" s="7">
        <f t="shared" si="11"/>
        <v>476499413</v>
      </c>
      <c r="AD59" s="7">
        <f t="shared" si="11"/>
        <v>280216072</v>
      </c>
      <c r="AE59" s="7">
        <f t="shared" si="11"/>
        <v>3038300</v>
      </c>
      <c r="AF59" s="7">
        <f t="shared" si="11"/>
        <v>0</v>
      </c>
      <c r="AG59" s="7">
        <f t="shared" si="11"/>
        <v>562110359</v>
      </c>
      <c r="AH59" s="7">
        <f t="shared" si="11"/>
        <v>198608704</v>
      </c>
      <c r="AI59" s="7">
        <f t="shared" si="11"/>
        <v>0</v>
      </c>
      <c r="AJ59" s="7">
        <f t="shared" si="11"/>
        <v>464324</v>
      </c>
      <c r="AK59" s="7">
        <f t="shared" si="11"/>
        <v>110023505</v>
      </c>
      <c r="AL59" s="7">
        <f t="shared" si="11"/>
        <v>1181882108</v>
      </c>
      <c r="AM59" s="7">
        <f t="shared" si="11"/>
        <v>1107628269</v>
      </c>
      <c r="AN59" s="7">
        <f t="shared" si="11"/>
        <v>66857471</v>
      </c>
      <c r="AO59" s="7">
        <f t="shared" si="11"/>
        <v>93662401</v>
      </c>
      <c r="AP59" s="7">
        <f t="shared" si="11"/>
        <v>389795207</v>
      </c>
      <c r="AQ59" s="7">
        <f t="shared" si="11"/>
        <v>3714070648</v>
      </c>
      <c r="AR59" s="7">
        <f t="shared" si="11"/>
        <v>495137088</v>
      </c>
      <c r="AS59" s="7">
        <f t="shared" si="11"/>
        <v>326743065</v>
      </c>
      <c r="AT59" s="7">
        <f t="shared" si="11"/>
        <v>303184414</v>
      </c>
      <c r="AU59" s="7">
        <f t="shared" si="11"/>
        <v>304780227</v>
      </c>
      <c r="AV59" s="7">
        <f t="shared" si="11"/>
        <v>202158615</v>
      </c>
      <c r="AW59" s="7">
        <f t="shared" si="11"/>
        <v>27936671</v>
      </c>
      <c r="AX59" s="7">
        <f t="shared" si="11"/>
        <v>222643972</v>
      </c>
      <c r="AY59" s="7">
        <f t="shared" si="11"/>
        <v>292090873</v>
      </c>
      <c r="AZ59" s="7">
        <f t="shared" si="11"/>
        <v>431292555</v>
      </c>
      <c r="BA59" s="7">
        <f t="shared" si="11"/>
        <v>558739389</v>
      </c>
      <c r="BB59" s="7">
        <f t="shared" si="11"/>
        <v>575328869</v>
      </c>
      <c r="BC59" s="7">
        <f t="shared" si="11"/>
        <v>613611423</v>
      </c>
      <c r="BD59" s="8">
        <f t="shared" si="11"/>
        <v>4353647161</v>
      </c>
    </row>
    <row r="60" spans="1:56" ht="17.25" thickBot="1">
      <c r="A60" s="104" t="s">
        <v>165</v>
      </c>
      <c r="B60" s="105"/>
      <c r="C60" s="105"/>
      <c r="D60" s="16">
        <f>SUM(D56:D59)</f>
        <v>547732601421</v>
      </c>
      <c r="E60" s="16">
        <f>SUM(E56:E59)</f>
        <v>193770288</v>
      </c>
      <c r="F60" s="16">
        <f t="shared" ref="F60:BD60" si="13">SUM(F56:F59)</f>
        <v>45333802628</v>
      </c>
      <c r="G60" s="16">
        <f t="shared" si="13"/>
        <v>111533446</v>
      </c>
      <c r="H60" s="16">
        <f t="shared" si="13"/>
        <v>39217568814</v>
      </c>
      <c r="I60" s="16">
        <f t="shared" si="13"/>
        <v>167929361</v>
      </c>
      <c r="J60" s="16">
        <f t="shared" si="13"/>
        <v>43634787801</v>
      </c>
      <c r="K60" s="16">
        <f t="shared" si="13"/>
        <v>158345174</v>
      </c>
      <c r="L60" s="16">
        <f t="shared" si="13"/>
        <v>44687384478</v>
      </c>
      <c r="M60" s="16">
        <f t="shared" si="13"/>
        <v>137108667</v>
      </c>
      <c r="N60" s="16">
        <f t="shared" si="13"/>
        <v>42884882168</v>
      </c>
      <c r="O60" s="16">
        <f t="shared" si="13"/>
        <v>115932179</v>
      </c>
      <c r="P60" s="16">
        <f t="shared" si="13"/>
        <v>44484044902</v>
      </c>
      <c r="Q60" s="16">
        <f t="shared" si="13"/>
        <v>139176857</v>
      </c>
      <c r="R60" s="16">
        <f t="shared" si="13"/>
        <v>43464848706</v>
      </c>
      <c r="S60" s="16">
        <f t="shared" si="13"/>
        <v>167416859</v>
      </c>
      <c r="T60" s="16">
        <f t="shared" si="13"/>
        <v>41904980145</v>
      </c>
      <c r="U60" s="16">
        <f t="shared" si="13"/>
        <v>140206766</v>
      </c>
      <c r="V60" s="16">
        <f t="shared" si="13"/>
        <v>40627534490</v>
      </c>
      <c r="W60" s="16">
        <f t="shared" si="13"/>
        <v>193955644</v>
      </c>
      <c r="X60" s="16">
        <f t="shared" si="13"/>
        <v>48893452332</v>
      </c>
      <c r="Y60" s="16">
        <f t="shared" si="13"/>
        <v>185804038</v>
      </c>
      <c r="Z60" s="16">
        <f t="shared" si="13"/>
        <v>45503091647</v>
      </c>
      <c r="AA60" s="16">
        <f t="shared" si="13"/>
        <v>182065605</v>
      </c>
      <c r="AB60" s="16">
        <f t="shared" si="13"/>
        <v>48136734165</v>
      </c>
      <c r="AC60" s="16">
        <f t="shared" si="13"/>
        <v>1893244884</v>
      </c>
      <c r="AD60" s="16">
        <f t="shared" si="13"/>
        <v>528773112276</v>
      </c>
      <c r="AE60" s="16">
        <f t="shared" si="13"/>
        <v>3038300</v>
      </c>
      <c r="AF60" s="16">
        <f t="shared" si="13"/>
        <v>0</v>
      </c>
      <c r="AG60" s="16">
        <f t="shared" si="13"/>
        <v>562110359</v>
      </c>
      <c r="AH60" s="16">
        <f t="shared" si="13"/>
        <v>198608704</v>
      </c>
      <c r="AI60" s="16">
        <f t="shared" si="13"/>
        <v>0</v>
      </c>
      <c r="AJ60" s="16">
        <f t="shared" si="13"/>
        <v>464324</v>
      </c>
      <c r="AK60" s="16">
        <f t="shared" si="13"/>
        <v>110023505</v>
      </c>
      <c r="AL60" s="16">
        <f t="shared" si="13"/>
        <v>1181882108</v>
      </c>
      <c r="AM60" s="16">
        <f t="shared" si="13"/>
        <v>1107628269</v>
      </c>
      <c r="AN60" s="16">
        <f t="shared" si="13"/>
        <v>66857471</v>
      </c>
      <c r="AO60" s="16">
        <f t="shared" si="13"/>
        <v>93662401</v>
      </c>
      <c r="AP60" s="16">
        <f t="shared" si="13"/>
        <v>389795207</v>
      </c>
      <c r="AQ60" s="16">
        <f t="shared" si="13"/>
        <v>3714070648</v>
      </c>
      <c r="AR60" s="16">
        <f t="shared" si="13"/>
        <v>1341079593</v>
      </c>
      <c r="AS60" s="16">
        <f t="shared" si="13"/>
        <v>975658537</v>
      </c>
      <c r="AT60" s="16">
        <f t="shared" si="13"/>
        <v>1095835159</v>
      </c>
      <c r="AU60" s="16">
        <f t="shared" si="13"/>
        <v>1054733682</v>
      </c>
      <c r="AV60" s="16">
        <f t="shared" si="13"/>
        <v>954907024</v>
      </c>
      <c r="AW60" s="16">
        <f t="shared" si="13"/>
        <v>894533877</v>
      </c>
      <c r="AX60" s="16">
        <f t="shared" si="13"/>
        <v>1109414138</v>
      </c>
      <c r="AY60" s="16">
        <f t="shared" si="13"/>
        <v>1222964890</v>
      </c>
      <c r="AZ60" s="16">
        <f t="shared" si="13"/>
        <v>1345799427</v>
      </c>
      <c r="BA60" s="16">
        <f t="shared" si="13"/>
        <v>1977549963</v>
      </c>
      <c r="BB60" s="16">
        <f t="shared" si="13"/>
        <v>1668257949</v>
      </c>
      <c r="BC60" s="16">
        <f t="shared" si="13"/>
        <v>1604684258</v>
      </c>
      <c r="BD60" s="17">
        <f t="shared" si="13"/>
        <v>15245418497</v>
      </c>
    </row>
  </sheetData>
  <autoFilter ref="A4:BE4" xr:uid="{00000000-0009-0000-0000-000003000000}">
    <sortState xmlns:xlrd2="http://schemas.microsoft.com/office/spreadsheetml/2017/richdata2" ref="A7:BD53">
      <sortCondition ref="A4"/>
    </sortState>
  </autoFilter>
  <mergeCells count="21">
    <mergeCell ref="K3:L3"/>
    <mergeCell ref="B2:B4"/>
    <mergeCell ref="C2:C4"/>
    <mergeCell ref="E3:F3"/>
    <mergeCell ref="G3:H3"/>
    <mergeCell ref="I3:J3"/>
    <mergeCell ref="Y3:Z3"/>
    <mergeCell ref="AA3:AB3"/>
    <mergeCell ref="AC3:AD3"/>
    <mergeCell ref="M3:N3"/>
    <mergeCell ref="O3:P3"/>
    <mergeCell ref="Q3:R3"/>
    <mergeCell ref="S3:T3"/>
    <mergeCell ref="U3:V3"/>
    <mergeCell ref="W3:X3"/>
    <mergeCell ref="A60:C60"/>
    <mergeCell ref="A2:A4"/>
    <mergeCell ref="A56:C56"/>
    <mergeCell ref="A57:C57"/>
    <mergeCell ref="A58:C58"/>
    <mergeCell ref="A59:C5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1"/>
  <sheetViews>
    <sheetView zoomScale="70" zoomScaleNormal="70" workbookViewId="0">
      <pane xSplit="3" ySplit="4" topLeftCell="V45" activePane="bottomRight" state="frozen"/>
      <selection pane="bottomRight" activeCell="AC57" sqref="AC57:AD61"/>
      <selection pane="bottomLeft" activeCell="A5" sqref="A5"/>
      <selection pane="topRight" activeCell="C1" sqref="C1"/>
    </sheetView>
  </sheetViews>
  <sheetFormatPr defaultRowHeight="16.5"/>
  <cols>
    <col min="1" max="2" width="15.625" style="2" customWidth="1"/>
    <col min="3" max="3" width="30.625" customWidth="1"/>
    <col min="4" max="4" width="16.375" customWidth="1"/>
    <col min="5" max="56" width="15.625" style="5" customWidth="1"/>
    <col min="57" max="16384" width="9" style="5"/>
  </cols>
  <sheetData>
    <row r="1" spans="1:56" s="4" customFormat="1" ht="36.75" customHeight="1" thickBot="1">
      <c r="A1" s="46" t="s">
        <v>167</v>
      </c>
      <c r="B1" s="1"/>
      <c r="C1" s="3"/>
      <c r="D1" s="3"/>
    </row>
    <row r="2" spans="1:56">
      <c r="A2" s="108" t="s">
        <v>136</v>
      </c>
      <c r="B2" s="111" t="s">
        <v>137</v>
      </c>
      <c r="C2" s="113" t="s">
        <v>138</v>
      </c>
      <c r="D2" s="58"/>
      <c r="E2" s="27" t="s">
        <v>139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E2" s="29" t="s">
        <v>140</v>
      </c>
      <c r="AF2" s="30"/>
      <c r="AG2" s="30"/>
      <c r="AH2" s="30"/>
      <c r="AI2" s="30"/>
      <c r="AJ2" s="30"/>
      <c r="AK2" s="30"/>
      <c r="AL2" s="31"/>
      <c r="AM2" s="31"/>
      <c r="AN2" s="31"/>
      <c r="AO2" s="31"/>
      <c r="AP2" s="31"/>
      <c r="AQ2" s="32"/>
      <c r="AR2" s="29" t="s">
        <v>141</v>
      </c>
      <c r="AS2" s="30"/>
      <c r="AT2" s="30"/>
      <c r="AU2" s="30"/>
      <c r="AV2" s="30"/>
      <c r="AW2" s="30"/>
      <c r="AX2" s="30"/>
      <c r="AY2" s="31"/>
      <c r="AZ2" s="31"/>
      <c r="BA2" s="31"/>
      <c r="BB2" s="31"/>
      <c r="BC2" s="31"/>
      <c r="BD2" s="32"/>
    </row>
    <row r="3" spans="1:56">
      <c r="A3" s="109"/>
      <c r="B3" s="112"/>
      <c r="C3" s="114"/>
      <c r="D3" s="59" t="s">
        <v>142</v>
      </c>
      <c r="E3" s="115" t="s">
        <v>143</v>
      </c>
      <c r="F3" s="106"/>
      <c r="G3" s="106" t="s">
        <v>144</v>
      </c>
      <c r="H3" s="106"/>
      <c r="I3" s="106" t="s">
        <v>145</v>
      </c>
      <c r="J3" s="106"/>
      <c r="K3" s="106" t="s">
        <v>146</v>
      </c>
      <c r="L3" s="106"/>
      <c r="M3" s="106" t="s">
        <v>147</v>
      </c>
      <c r="N3" s="106"/>
      <c r="O3" s="106" t="s">
        <v>148</v>
      </c>
      <c r="P3" s="106"/>
      <c r="Q3" s="106" t="s">
        <v>149</v>
      </c>
      <c r="R3" s="106"/>
      <c r="S3" s="106" t="s">
        <v>150</v>
      </c>
      <c r="T3" s="106"/>
      <c r="U3" s="106" t="s">
        <v>151</v>
      </c>
      <c r="V3" s="106"/>
      <c r="W3" s="106" t="s">
        <v>152</v>
      </c>
      <c r="X3" s="106"/>
      <c r="Y3" s="106" t="s">
        <v>153</v>
      </c>
      <c r="Z3" s="106"/>
      <c r="AA3" s="106" t="s">
        <v>154</v>
      </c>
      <c r="AB3" s="106"/>
      <c r="AC3" s="106" t="s">
        <v>155</v>
      </c>
      <c r="AD3" s="107"/>
      <c r="AE3" s="6"/>
      <c r="AF3" s="7"/>
      <c r="AG3" s="7"/>
      <c r="AH3" s="7"/>
      <c r="AI3" s="7"/>
      <c r="AJ3" s="7"/>
      <c r="AK3" s="7"/>
      <c r="AL3" s="33"/>
      <c r="AM3" s="33"/>
      <c r="AN3" s="33"/>
      <c r="AO3" s="33"/>
      <c r="AP3" s="33"/>
      <c r="AQ3" s="8"/>
      <c r="AR3" s="6"/>
      <c r="AS3" s="7"/>
      <c r="AT3" s="7"/>
      <c r="AU3" s="7"/>
      <c r="AV3" s="7"/>
      <c r="AW3" s="7"/>
      <c r="AX3" s="7"/>
      <c r="AY3" s="33"/>
      <c r="AZ3" s="33"/>
      <c r="BA3" s="33"/>
      <c r="BB3" s="33"/>
      <c r="BC3" s="33"/>
      <c r="BD3" s="8"/>
    </row>
    <row r="4" spans="1:56" s="10" customFormat="1">
      <c r="A4" s="110"/>
      <c r="B4" s="112"/>
      <c r="C4" s="114"/>
      <c r="D4" s="59" t="s">
        <v>156</v>
      </c>
      <c r="E4" s="76" t="s">
        <v>157</v>
      </c>
      <c r="F4" s="74" t="s">
        <v>158</v>
      </c>
      <c r="G4" s="74" t="s">
        <v>157</v>
      </c>
      <c r="H4" s="74" t="s">
        <v>158</v>
      </c>
      <c r="I4" s="74" t="s">
        <v>157</v>
      </c>
      <c r="J4" s="74" t="s">
        <v>158</v>
      </c>
      <c r="K4" s="74" t="s">
        <v>157</v>
      </c>
      <c r="L4" s="74" t="s">
        <v>158</v>
      </c>
      <c r="M4" s="74" t="s">
        <v>157</v>
      </c>
      <c r="N4" s="74" t="s">
        <v>158</v>
      </c>
      <c r="O4" s="74" t="s">
        <v>157</v>
      </c>
      <c r="P4" s="74" t="s">
        <v>158</v>
      </c>
      <c r="Q4" s="74" t="s">
        <v>157</v>
      </c>
      <c r="R4" s="74" t="s">
        <v>158</v>
      </c>
      <c r="S4" s="74" t="s">
        <v>157</v>
      </c>
      <c r="T4" s="74" t="s">
        <v>158</v>
      </c>
      <c r="U4" s="74" t="s">
        <v>157</v>
      </c>
      <c r="V4" s="74" t="s">
        <v>158</v>
      </c>
      <c r="W4" s="74" t="s">
        <v>157</v>
      </c>
      <c r="X4" s="74" t="s">
        <v>158</v>
      </c>
      <c r="Y4" s="74" t="s">
        <v>157</v>
      </c>
      <c r="Z4" s="74" t="s">
        <v>158</v>
      </c>
      <c r="AA4" s="74" t="s">
        <v>157</v>
      </c>
      <c r="AB4" s="74" t="s">
        <v>158</v>
      </c>
      <c r="AC4" s="74" t="s">
        <v>157</v>
      </c>
      <c r="AD4" s="77" t="s">
        <v>158</v>
      </c>
      <c r="AE4" s="6" t="s">
        <v>159</v>
      </c>
      <c r="AF4" s="7" t="s">
        <v>144</v>
      </c>
      <c r="AG4" s="7" t="s">
        <v>145</v>
      </c>
      <c r="AH4" s="7" t="s">
        <v>146</v>
      </c>
      <c r="AI4" s="7" t="s">
        <v>147</v>
      </c>
      <c r="AJ4" s="7" t="s">
        <v>148</v>
      </c>
      <c r="AK4" s="7" t="s">
        <v>149</v>
      </c>
      <c r="AL4" s="7" t="s">
        <v>150</v>
      </c>
      <c r="AM4" s="7" t="s">
        <v>151</v>
      </c>
      <c r="AN4" s="7" t="s">
        <v>152</v>
      </c>
      <c r="AO4" s="7" t="s">
        <v>153</v>
      </c>
      <c r="AP4" s="7" t="s">
        <v>154</v>
      </c>
      <c r="AQ4" s="8" t="s">
        <v>155</v>
      </c>
      <c r="AR4" s="6" t="s">
        <v>159</v>
      </c>
      <c r="AS4" s="7" t="s">
        <v>144</v>
      </c>
      <c r="AT4" s="7" t="s">
        <v>145</v>
      </c>
      <c r="AU4" s="7" t="s">
        <v>146</v>
      </c>
      <c r="AV4" s="7" t="s">
        <v>147</v>
      </c>
      <c r="AW4" s="7" t="s">
        <v>148</v>
      </c>
      <c r="AX4" s="7" t="s">
        <v>149</v>
      </c>
      <c r="AY4" s="7" t="s">
        <v>150</v>
      </c>
      <c r="AZ4" s="7" t="s">
        <v>151</v>
      </c>
      <c r="BA4" s="7" t="s">
        <v>152</v>
      </c>
      <c r="BB4" s="7" t="s">
        <v>153</v>
      </c>
      <c r="BC4" s="7" t="s">
        <v>154</v>
      </c>
      <c r="BD4" s="9" t="s">
        <v>155</v>
      </c>
    </row>
    <row r="5" spans="1:56" s="41" customFormat="1">
      <c r="A5" s="44" t="s">
        <v>160</v>
      </c>
      <c r="B5" s="42" t="s">
        <v>23</v>
      </c>
      <c r="C5" s="35" t="s">
        <v>24</v>
      </c>
      <c r="D5" s="61">
        <f>AD5+AQ5+BD5</f>
        <v>2972834598</v>
      </c>
      <c r="E5" s="36">
        <v>47970</v>
      </c>
      <c r="F5" s="37">
        <v>5124564</v>
      </c>
      <c r="G5" s="37">
        <v>75043</v>
      </c>
      <c r="H5" s="37">
        <v>6420908</v>
      </c>
      <c r="I5" s="37">
        <v>2962</v>
      </c>
      <c r="J5" s="37">
        <v>1133871</v>
      </c>
      <c r="K5" s="37">
        <v>8213</v>
      </c>
      <c r="L5" s="37">
        <v>6525627</v>
      </c>
      <c r="M5" s="37">
        <v>67284</v>
      </c>
      <c r="N5" s="37">
        <v>21479617</v>
      </c>
      <c r="O5" s="37">
        <v>445700</v>
      </c>
      <c r="P5" s="37">
        <v>138318216</v>
      </c>
      <c r="Q5" s="37">
        <v>1042390</v>
      </c>
      <c r="R5" s="37">
        <v>375153245</v>
      </c>
      <c r="S5" s="37">
        <v>1254683</v>
      </c>
      <c r="T5" s="37">
        <v>424833840</v>
      </c>
      <c r="U5" s="37">
        <v>1490087</v>
      </c>
      <c r="V5" s="37">
        <v>256689907</v>
      </c>
      <c r="W5" s="37">
        <v>2093442</v>
      </c>
      <c r="X5" s="37">
        <v>535260643</v>
      </c>
      <c r="Y5" s="37">
        <v>761547</v>
      </c>
      <c r="Z5" s="37">
        <v>410534677</v>
      </c>
      <c r="AA5" s="37">
        <v>2274848</v>
      </c>
      <c r="AB5" s="37">
        <v>659588931</v>
      </c>
      <c r="AC5" s="37">
        <f t="shared" ref="AC5:AC36" si="0">SUM(E5,G5,I5,K5,M5,O5,Q5,S5,U5,W5,Y5,AA5)</f>
        <v>9564169</v>
      </c>
      <c r="AD5" s="38">
        <f t="shared" ref="AD5:AD36" si="1">SUM(F5,H5,J5,L5,N5,P5,R5,T5,V5,X5,Z5,AB5)</f>
        <v>2841064046</v>
      </c>
      <c r="AE5" s="39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38">
        <f t="shared" ref="AQ5:AQ36" si="2">SUM(AE5:AP5)</f>
        <v>0</v>
      </c>
      <c r="AR5" s="39">
        <v>0</v>
      </c>
      <c r="AS5" s="37">
        <v>7730239</v>
      </c>
      <c r="AT5" s="37">
        <v>0</v>
      </c>
      <c r="AU5" s="37">
        <v>0</v>
      </c>
      <c r="AV5" s="37">
        <v>0</v>
      </c>
      <c r="AW5" s="37">
        <v>374344</v>
      </c>
      <c r="AX5" s="37">
        <v>5248876</v>
      </c>
      <c r="AY5" s="40">
        <v>0</v>
      </c>
      <c r="AZ5" s="40">
        <v>5030850</v>
      </c>
      <c r="BA5" s="40">
        <v>48324476</v>
      </c>
      <c r="BB5" s="40">
        <v>31833848</v>
      </c>
      <c r="BC5" s="40">
        <v>33227919</v>
      </c>
      <c r="BD5" s="38">
        <f t="shared" ref="BD5:BD36" si="3">SUM(AR5:BC5)</f>
        <v>131770552</v>
      </c>
    </row>
    <row r="6" spans="1:56" s="41" customFormat="1">
      <c r="A6" s="44" t="s">
        <v>160</v>
      </c>
      <c r="B6" s="42" t="s">
        <v>25</v>
      </c>
      <c r="C6" s="35" t="s">
        <v>26</v>
      </c>
      <c r="D6" s="61">
        <f t="shared" ref="D6:D54" si="4">AD6+AQ6+BD6</f>
        <v>57825467801</v>
      </c>
      <c r="E6" s="36">
        <v>1110179</v>
      </c>
      <c r="F6" s="37">
        <v>4312438278</v>
      </c>
      <c r="G6" s="37">
        <v>994966</v>
      </c>
      <c r="H6" s="37">
        <v>4004825026</v>
      </c>
      <c r="I6" s="37">
        <v>1143783</v>
      </c>
      <c r="J6" s="37">
        <v>4788039246</v>
      </c>
      <c r="K6" s="37">
        <v>1308554</v>
      </c>
      <c r="L6" s="37">
        <v>5623348223</v>
      </c>
      <c r="M6" s="37">
        <v>1095815</v>
      </c>
      <c r="N6" s="37">
        <v>4203639341</v>
      </c>
      <c r="O6" s="37">
        <v>1178180</v>
      </c>
      <c r="P6" s="37">
        <v>5309508145</v>
      </c>
      <c r="Q6" s="37">
        <v>1297706</v>
      </c>
      <c r="R6" s="37">
        <v>5679744697</v>
      </c>
      <c r="S6" s="37">
        <v>906428</v>
      </c>
      <c r="T6" s="37">
        <v>3990989722</v>
      </c>
      <c r="U6" s="37">
        <v>1115913</v>
      </c>
      <c r="V6" s="37">
        <v>4941401218</v>
      </c>
      <c r="W6" s="37">
        <v>1135275</v>
      </c>
      <c r="X6" s="37">
        <v>4862391653</v>
      </c>
      <c r="Y6" s="37">
        <v>1180322</v>
      </c>
      <c r="Z6" s="37">
        <v>4967514182</v>
      </c>
      <c r="AA6" s="37">
        <v>1263556</v>
      </c>
      <c r="AB6" s="37">
        <v>5141628070</v>
      </c>
      <c r="AC6" s="37">
        <f t="shared" si="0"/>
        <v>13730677</v>
      </c>
      <c r="AD6" s="38">
        <f t="shared" si="1"/>
        <v>57825467801</v>
      </c>
      <c r="AE6" s="39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38">
        <f t="shared" si="2"/>
        <v>0</v>
      </c>
      <c r="AR6" s="39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38">
        <f t="shared" si="3"/>
        <v>0</v>
      </c>
    </row>
    <row r="7" spans="1:56" s="41" customFormat="1">
      <c r="A7" s="44" t="s">
        <v>160</v>
      </c>
      <c r="B7" s="42" t="s">
        <v>27</v>
      </c>
      <c r="C7" s="35" t="s">
        <v>28</v>
      </c>
      <c r="D7" s="61">
        <f t="shared" si="4"/>
        <v>32171610</v>
      </c>
      <c r="E7" s="36">
        <v>158</v>
      </c>
      <c r="F7" s="37">
        <v>5674720</v>
      </c>
      <c r="G7" s="37">
        <v>158</v>
      </c>
      <c r="H7" s="37">
        <v>4054774</v>
      </c>
      <c r="I7" s="37">
        <v>162</v>
      </c>
      <c r="J7" s="37">
        <v>-4311328</v>
      </c>
      <c r="K7" s="37">
        <v>153</v>
      </c>
      <c r="L7" s="37">
        <v>4615517</v>
      </c>
      <c r="M7" s="37">
        <v>63</v>
      </c>
      <c r="N7" s="37">
        <v>116407</v>
      </c>
      <c r="O7" s="37">
        <v>81</v>
      </c>
      <c r="P7" s="37">
        <v>3171152</v>
      </c>
      <c r="Q7" s="37">
        <v>0</v>
      </c>
      <c r="R7" s="37">
        <v>0</v>
      </c>
      <c r="S7" s="37">
        <v>148</v>
      </c>
      <c r="T7" s="37">
        <v>4642304</v>
      </c>
      <c r="U7" s="37">
        <v>16</v>
      </c>
      <c r="V7" s="37">
        <v>2210000</v>
      </c>
      <c r="W7" s="37">
        <v>158</v>
      </c>
      <c r="X7" s="37">
        <v>5662304</v>
      </c>
      <c r="Y7" s="37">
        <v>141</v>
      </c>
      <c r="Z7" s="37">
        <v>2772304</v>
      </c>
      <c r="AA7" s="37">
        <v>208</v>
      </c>
      <c r="AB7" s="37">
        <v>3563456</v>
      </c>
      <c r="AC7" s="37">
        <f t="shared" si="0"/>
        <v>1446</v>
      </c>
      <c r="AD7" s="38">
        <f t="shared" si="1"/>
        <v>32171610</v>
      </c>
      <c r="AE7" s="39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38">
        <f t="shared" si="2"/>
        <v>0</v>
      </c>
      <c r="AR7" s="39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38">
        <f t="shared" si="3"/>
        <v>0</v>
      </c>
    </row>
    <row r="8" spans="1:56" s="41" customFormat="1">
      <c r="A8" s="44" t="s">
        <v>160</v>
      </c>
      <c r="B8" s="42" t="s">
        <v>30</v>
      </c>
      <c r="C8" s="35" t="s">
        <v>31</v>
      </c>
      <c r="D8" s="61">
        <f t="shared" si="4"/>
        <v>242516749</v>
      </c>
      <c r="E8" s="36">
        <v>349</v>
      </c>
      <c r="F8" s="37">
        <v>15921708</v>
      </c>
      <c r="G8" s="37">
        <v>528</v>
      </c>
      <c r="H8" s="37">
        <v>22482864</v>
      </c>
      <c r="I8" s="37">
        <v>659</v>
      </c>
      <c r="J8" s="37">
        <v>26408097</v>
      </c>
      <c r="K8" s="37">
        <v>336</v>
      </c>
      <c r="L8" s="37">
        <v>13575944</v>
      </c>
      <c r="M8" s="37">
        <v>592</v>
      </c>
      <c r="N8" s="37">
        <v>24952768</v>
      </c>
      <c r="O8" s="37">
        <v>688</v>
      </c>
      <c r="P8" s="37">
        <v>28275424</v>
      </c>
      <c r="Q8" s="37">
        <v>428</v>
      </c>
      <c r="R8" s="37">
        <v>17684688</v>
      </c>
      <c r="S8" s="37">
        <v>512</v>
      </c>
      <c r="T8" s="37">
        <v>20807564</v>
      </c>
      <c r="U8" s="37">
        <v>304</v>
      </c>
      <c r="V8" s="37">
        <v>21708956</v>
      </c>
      <c r="W8" s="37">
        <v>272</v>
      </c>
      <c r="X8" s="37">
        <v>12003712</v>
      </c>
      <c r="Y8" s="37">
        <v>399</v>
      </c>
      <c r="Z8" s="37">
        <v>17306800</v>
      </c>
      <c r="AA8" s="37">
        <v>352</v>
      </c>
      <c r="AB8" s="37">
        <v>21388224</v>
      </c>
      <c r="AC8" s="37">
        <f t="shared" si="0"/>
        <v>5419</v>
      </c>
      <c r="AD8" s="38">
        <f t="shared" si="1"/>
        <v>242516749</v>
      </c>
      <c r="AE8" s="39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38">
        <f t="shared" si="2"/>
        <v>0</v>
      </c>
      <c r="AR8" s="39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38">
        <f t="shared" si="3"/>
        <v>0</v>
      </c>
    </row>
    <row r="9" spans="1:56" s="41" customFormat="1">
      <c r="A9" s="44" t="s">
        <v>160</v>
      </c>
      <c r="B9" s="42" t="s">
        <v>33</v>
      </c>
      <c r="C9" s="35" t="s">
        <v>34</v>
      </c>
      <c r="D9" s="61">
        <f t="shared" si="4"/>
        <v>17286577002</v>
      </c>
      <c r="E9" s="36">
        <v>1762144</v>
      </c>
      <c r="F9" s="37">
        <v>1344684578</v>
      </c>
      <c r="G9" s="37">
        <v>2805081</v>
      </c>
      <c r="H9" s="37">
        <v>1596811972</v>
      </c>
      <c r="I9" s="37">
        <v>1832287</v>
      </c>
      <c r="J9" s="37">
        <v>1610107009</v>
      </c>
      <c r="K9" s="37">
        <v>1265739</v>
      </c>
      <c r="L9" s="37">
        <v>1400838584</v>
      </c>
      <c r="M9" s="37">
        <v>1380235</v>
      </c>
      <c r="N9" s="37">
        <v>1698381705</v>
      </c>
      <c r="O9" s="37">
        <v>2028423</v>
      </c>
      <c r="P9" s="37">
        <v>1284868583</v>
      </c>
      <c r="Q9" s="37">
        <v>1722593</v>
      </c>
      <c r="R9" s="37">
        <v>1262184029</v>
      </c>
      <c r="S9" s="37">
        <v>3080491</v>
      </c>
      <c r="T9" s="37">
        <v>1254778962</v>
      </c>
      <c r="U9" s="37">
        <v>1722191</v>
      </c>
      <c r="V9" s="37">
        <v>1348938490</v>
      </c>
      <c r="W9" s="37">
        <v>3256476</v>
      </c>
      <c r="X9" s="37">
        <v>1455577092</v>
      </c>
      <c r="Y9" s="37">
        <v>3276654</v>
      </c>
      <c r="Z9" s="37">
        <v>1581082361</v>
      </c>
      <c r="AA9" s="37">
        <v>2428706</v>
      </c>
      <c r="AB9" s="37">
        <v>1295623899</v>
      </c>
      <c r="AC9" s="37">
        <f t="shared" si="0"/>
        <v>26561020</v>
      </c>
      <c r="AD9" s="38">
        <f t="shared" si="1"/>
        <v>17133877264</v>
      </c>
      <c r="AE9" s="39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38">
        <f t="shared" si="2"/>
        <v>0</v>
      </c>
      <c r="AR9" s="39">
        <v>8839888</v>
      </c>
      <c r="AS9" s="37">
        <v>13608168</v>
      </c>
      <c r="AT9" s="37">
        <v>11140678</v>
      </c>
      <c r="AU9" s="37">
        <v>7268619</v>
      </c>
      <c r="AV9" s="37">
        <v>5926958</v>
      </c>
      <c r="AW9" s="37">
        <v>12715062</v>
      </c>
      <c r="AX9" s="37">
        <v>10685311</v>
      </c>
      <c r="AY9" s="40">
        <v>14950036</v>
      </c>
      <c r="AZ9" s="40">
        <v>8283421</v>
      </c>
      <c r="BA9" s="40">
        <v>19843512</v>
      </c>
      <c r="BB9" s="40">
        <v>22853905</v>
      </c>
      <c r="BC9" s="40">
        <v>16584180</v>
      </c>
      <c r="BD9" s="38">
        <f t="shared" si="3"/>
        <v>152699738</v>
      </c>
    </row>
    <row r="10" spans="1:56" s="41" customFormat="1">
      <c r="A10" s="44" t="s">
        <v>160</v>
      </c>
      <c r="B10" s="42" t="s">
        <v>35</v>
      </c>
      <c r="C10" s="35" t="s">
        <v>36</v>
      </c>
      <c r="D10" s="61">
        <f t="shared" si="4"/>
        <v>104184153852</v>
      </c>
      <c r="E10" s="36">
        <v>17480866</v>
      </c>
      <c r="F10" s="37">
        <v>8241758516</v>
      </c>
      <c r="G10" s="37">
        <v>24265637</v>
      </c>
      <c r="H10" s="37">
        <v>7282572018</v>
      </c>
      <c r="I10" s="37">
        <v>21594433</v>
      </c>
      <c r="J10" s="37">
        <v>8805169876</v>
      </c>
      <c r="K10" s="37">
        <v>20251398</v>
      </c>
      <c r="L10" s="37">
        <v>8535051899</v>
      </c>
      <c r="M10" s="37">
        <v>27920744</v>
      </c>
      <c r="N10" s="37">
        <v>7849000783</v>
      </c>
      <c r="O10" s="37">
        <v>17058501</v>
      </c>
      <c r="P10" s="37">
        <v>7686221848</v>
      </c>
      <c r="Q10" s="37">
        <v>20265686</v>
      </c>
      <c r="R10" s="37">
        <v>7473162929</v>
      </c>
      <c r="S10" s="37">
        <v>19965526</v>
      </c>
      <c r="T10" s="37">
        <v>6868490952</v>
      </c>
      <c r="U10" s="37">
        <v>28216654</v>
      </c>
      <c r="V10" s="37">
        <v>7544473077</v>
      </c>
      <c r="W10" s="37">
        <v>24556453</v>
      </c>
      <c r="X10" s="37">
        <v>8372614637</v>
      </c>
      <c r="Y10" s="37">
        <v>24364177</v>
      </c>
      <c r="Z10" s="37">
        <v>8476045190</v>
      </c>
      <c r="AA10" s="37">
        <v>29317147</v>
      </c>
      <c r="AB10" s="37">
        <v>9404558343</v>
      </c>
      <c r="AC10" s="37">
        <f t="shared" si="0"/>
        <v>275257222</v>
      </c>
      <c r="AD10" s="38">
        <f t="shared" si="1"/>
        <v>96539120068</v>
      </c>
      <c r="AE10" s="39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38">
        <f t="shared" si="2"/>
        <v>0</v>
      </c>
      <c r="AR10" s="39">
        <v>712329940</v>
      </c>
      <c r="AS10" s="37">
        <v>580543540</v>
      </c>
      <c r="AT10" s="37">
        <v>401818170</v>
      </c>
      <c r="AU10" s="37">
        <v>481686278</v>
      </c>
      <c r="AV10" s="37">
        <v>622674979</v>
      </c>
      <c r="AW10" s="37">
        <v>522864775</v>
      </c>
      <c r="AX10" s="37">
        <v>640502919</v>
      </c>
      <c r="AY10" s="40">
        <v>408618554</v>
      </c>
      <c r="AZ10" s="40">
        <v>552351697</v>
      </c>
      <c r="BA10" s="40">
        <v>918451735</v>
      </c>
      <c r="BB10" s="40">
        <v>830082907</v>
      </c>
      <c r="BC10" s="40">
        <v>973108290</v>
      </c>
      <c r="BD10" s="38">
        <f t="shared" si="3"/>
        <v>7645033784</v>
      </c>
    </row>
    <row r="11" spans="1:56" s="41" customFormat="1">
      <c r="A11" s="44" t="s">
        <v>160</v>
      </c>
      <c r="B11" s="42" t="s">
        <v>37</v>
      </c>
      <c r="C11" s="35" t="s">
        <v>38</v>
      </c>
      <c r="D11" s="61">
        <f t="shared" si="4"/>
        <v>68555727839</v>
      </c>
      <c r="E11" s="36">
        <v>15832525</v>
      </c>
      <c r="F11" s="37">
        <v>5518507206</v>
      </c>
      <c r="G11" s="37">
        <v>15574890</v>
      </c>
      <c r="H11" s="37">
        <v>5540769932</v>
      </c>
      <c r="I11" s="37">
        <v>23520997</v>
      </c>
      <c r="J11" s="37">
        <v>6294632359</v>
      </c>
      <c r="K11" s="37">
        <v>13405175</v>
      </c>
      <c r="L11" s="37">
        <v>5586679508</v>
      </c>
      <c r="M11" s="37">
        <v>14069206</v>
      </c>
      <c r="N11" s="37">
        <v>5401867585</v>
      </c>
      <c r="O11" s="37">
        <v>16521256</v>
      </c>
      <c r="P11" s="37">
        <v>5349672559</v>
      </c>
      <c r="Q11" s="37">
        <v>21470014</v>
      </c>
      <c r="R11" s="37">
        <v>5982640824</v>
      </c>
      <c r="S11" s="37">
        <v>17217984</v>
      </c>
      <c r="T11" s="37">
        <v>4560167082</v>
      </c>
      <c r="U11" s="37">
        <v>20312119</v>
      </c>
      <c r="V11" s="37">
        <v>4859679961</v>
      </c>
      <c r="W11" s="37">
        <v>23408316</v>
      </c>
      <c r="X11" s="37">
        <v>5531262182</v>
      </c>
      <c r="Y11" s="37">
        <v>19985963</v>
      </c>
      <c r="Z11" s="37">
        <v>5961573333</v>
      </c>
      <c r="AA11" s="37">
        <v>20230178</v>
      </c>
      <c r="AB11" s="37">
        <v>6457604858</v>
      </c>
      <c r="AC11" s="37">
        <f t="shared" si="0"/>
        <v>221548623</v>
      </c>
      <c r="AD11" s="38">
        <f t="shared" si="1"/>
        <v>67045057389</v>
      </c>
      <c r="AE11" s="39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38">
        <f t="shared" si="2"/>
        <v>0</v>
      </c>
      <c r="AR11" s="39">
        <v>157434746</v>
      </c>
      <c r="AS11" s="37">
        <v>128168500</v>
      </c>
      <c r="AT11" s="37">
        <v>89622189</v>
      </c>
      <c r="AU11" s="37">
        <v>138054482</v>
      </c>
      <c r="AV11" s="37">
        <v>98032400</v>
      </c>
      <c r="AW11" s="37">
        <v>124540149</v>
      </c>
      <c r="AX11" s="37">
        <v>77196517</v>
      </c>
      <c r="AY11" s="40">
        <v>46316206</v>
      </c>
      <c r="AZ11" s="40">
        <v>136233027</v>
      </c>
      <c r="BA11" s="40">
        <v>200879026</v>
      </c>
      <c r="BB11" s="40">
        <v>127807481</v>
      </c>
      <c r="BC11" s="40">
        <v>186385727</v>
      </c>
      <c r="BD11" s="38">
        <f t="shared" si="3"/>
        <v>1510670450</v>
      </c>
    </row>
    <row r="12" spans="1:56" s="41" customFormat="1">
      <c r="A12" s="44" t="s">
        <v>160</v>
      </c>
      <c r="B12" s="42" t="s">
        <v>39</v>
      </c>
      <c r="C12" s="35" t="s">
        <v>40</v>
      </c>
      <c r="D12" s="61">
        <f t="shared" si="4"/>
        <v>101997493988</v>
      </c>
      <c r="E12" s="36">
        <v>39586693</v>
      </c>
      <c r="F12" s="37">
        <v>7820542369</v>
      </c>
      <c r="G12" s="37">
        <v>61032782</v>
      </c>
      <c r="H12" s="37">
        <v>8035352799</v>
      </c>
      <c r="I12" s="37">
        <v>57078376</v>
      </c>
      <c r="J12" s="37">
        <v>8458488060</v>
      </c>
      <c r="K12" s="37">
        <v>69066432</v>
      </c>
      <c r="L12" s="37">
        <v>8005757953</v>
      </c>
      <c r="M12" s="37">
        <v>77593263</v>
      </c>
      <c r="N12" s="37">
        <v>7114148536</v>
      </c>
      <c r="O12" s="37">
        <v>50657590</v>
      </c>
      <c r="P12" s="37">
        <v>8377397753</v>
      </c>
      <c r="Q12" s="37">
        <v>52966454</v>
      </c>
      <c r="R12" s="37">
        <v>8687089238</v>
      </c>
      <c r="S12" s="37">
        <v>53147772</v>
      </c>
      <c r="T12" s="37">
        <v>6465411755</v>
      </c>
      <c r="U12" s="37">
        <v>61731436</v>
      </c>
      <c r="V12" s="37">
        <v>6429629839</v>
      </c>
      <c r="W12" s="37">
        <v>71072904</v>
      </c>
      <c r="X12" s="37">
        <v>8151640598</v>
      </c>
      <c r="Y12" s="37">
        <v>78766980</v>
      </c>
      <c r="Z12" s="37">
        <v>9178410766</v>
      </c>
      <c r="AA12" s="37">
        <v>73230892</v>
      </c>
      <c r="AB12" s="37">
        <v>9627959086</v>
      </c>
      <c r="AC12" s="37">
        <f t="shared" si="0"/>
        <v>745931574</v>
      </c>
      <c r="AD12" s="38">
        <f t="shared" si="1"/>
        <v>96351828752</v>
      </c>
      <c r="AE12" s="39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38">
        <f t="shared" si="2"/>
        <v>0</v>
      </c>
      <c r="AR12" s="39">
        <v>272676283</v>
      </c>
      <c r="AS12" s="37">
        <v>450512899</v>
      </c>
      <c r="AT12" s="37">
        <v>494989595</v>
      </c>
      <c r="AU12" s="37">
        <v>437570136</v>
      </c>
      <c r="AV12" s="37">
        <v>518723293</v>
      </c>
      <c r="AW12" s="37">
        <v>390399402</v>
      </c>
      <c r="AX12" s="37">
        <v>516830671</v>
      </c>
      <c r="AY12" s="40">
        <v>355353082</v>
      </c>
      <c r="AZ12" s="40">
        <v>446074955</v>
      </c>
      <c r="BA12" s="40">
        <v>523195872</v>
      </c>
      <c r="BB12" s="40">
        <v>724916223</v>
      </c>
      <c r="BC12" s="40">
        <v>514422825</v>
      </c>
      <c r="BD12" s="38">
        <f t="shared" si="3"/>
        <v>5645665236</v>
      </c>
    </row>
    <row r="13" spans="1:56" s="41" customFormat="1">
      <c r="A13" s="44" t="s">
        <v>160</v>
      </c>
      <c r="B13" s="42" t="s">
        <v>41</v>
      </c>
      <c r="C13" s="35" t="s">
        <v>42</v>
      </c>
      <c r="D13" s="61">
        <f t="shared" si="4"/>
        <v>47617924195</v>
      </c>
      <c r="E13" s="36">
        <v>1075532</v>
      </c>
      <c r="F13" s="37">
        <v>4483396863</v>
      </c>
      <c r="G13" s="37">
        <v>943687</v>
      </c>
      <c r="H13" s="37">
        <v>4071162304</v>
      </c>
      <c r="I13" s="37">
        <v>1515687</v>
      </c>
      <c r="J13" s="37">
        <v>4530471629</v>
      </c>
      <c r="K13" s="37">
        <v>1091987</v>
      </c>
      <c r="L13" s="37">
        <v>4833303493</v>
      </c>
      <c r="M13" s="37">
        <v>1275475</v>
      </c>
      <c r="N13" s="37">
        <v>4156694525</v>
      </c>
      <c r="O13" s="37">
        <v>1667887</v>
      </c>
      <c r="P13" s="37">
        <v>3772584960</v>
      </c>
      <c r="Q13" s="37">
        <v>1304939</v>
      </c>
      <c r="R13" s="37">
        <v>4123222554</v>
      </c>
      <c r="S13" s="37">
        <v>1418111</v>
      </c>
      <c r="T13" s="37">
        <v>3892489215</v>
      </c>
      <c r="U13" s="37">
        <v>1740494</v>
      </c>
      <c r="V13" s="37">
        <v>2969397789</v>
      </c>
      <c r="W13" s="37">
        <v>1062180</v>
      </c>
      <c r="X13" s="37">
        <v>3496052344</v>
      </c>
      <c r="Y13" s="37">
        <v>1159990</v>
      </c>
      <c r="Z13" s="37">
        <v>3571834651</v>
      </c>
      <c r="AA13" s="37">
        <v>1688344</v>
      </c>
      <c r="AB13" s="37">
        <v>3714152286</v>
      </c>
      <c r="AC13" s="37">
        <f t="shared" si="0"/>
        <v>15944313</v>
      </c>
      <c r="AD13" s="38">
        <f t="shared" si="1"/>
        <v>47614762613</v>
      </c>
      <c r="AE13" s="39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38">
        <f t="shared" si="2"/>
        <v>0</v>
      </c>
      <c r="AR13" s="39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40">
        <v>0</v>
      </c>
      <c r="AZ13" s="40">
        <v>0</v>
      </c>
      <c r="BA13" s="40">
        <v>505795</v>
      </c>
      <c r="BB13" s="40">
        <v>2655787</v>
      </c>
      <c r="BC13" s="40">
        <v>0</v>
      </c>
      <c r="BD13" s="38">
        <f t="shared" si="3"/>
        <v>3161582</v>
      </c>
    </row>
    <row r="14" spans="1:56" s="41" customFormat="1">
      <c r="A14" s="44" t="s">
        <v>160</v>
      </c>
      <c r="B14" s="42" t="s">
        <v>43</v>
      </c>
      <c r="C14" s="35" t="s">
        <v>44</v>
      </c>
      <c r="D14" s="61">
        <f t="shared" si="4"/>
        <v>19493532</v>
      </c>
      <c r="E14" s="36">
        <v>27367</v>
      </c>
      <c r="F14" s="37">
        <v>887120</v>
      </c>
      <c r="G14" s="37">
        <v>0</v>
      </c>
      <c r="H14" s="37">
        <v>0</v>
      </c>
      <c r="I14" s="37">
        <v>5</v>
      </c>
      <c r="J14" s="37">
        <v>1147</v>
      </c>
      <c r="K14" s="37">
        <v>3608</v>
      </c>
      <c r="L14" s="37">
        <v>5100311</v>
      </c>
      <c r="M14" s="37">
        <v>81600</v>
      </c>
      <c r="N14" s="37">
        <v>629979</v>
      </c>
      <c r="O14" s="37">
        <v>16100</v>
      </c>
      <c r="P14" s="37">
        <v>1023288</v>
      </c>
      <c r="Q14" s="37">
        <v>32503</v>
      </c>
      <c r="R14" s="37">
        <v>679325</v>
      </c>
      <c r="S14" s="37">
        <v>93100</v>
      </c>
      <c r="T14" s="37">
        <v>1758138</v>
      </c>
      <c r="U14" s="37">
        <v>35300</v>
      </c>
      <c r="V14" s="37">
        <v>390941</v>
      </c>
      <c r="W14" s="37">
        <v>46608</v>
      </c>
      <c r="X14" s="37">
        <v>1379450</v>
      </c>
      <c r="Y14" s="37">
        <v>65203</v>
      </c>
      <c r="Z14" s="37">
        <v>747861</v>
      </c>
      <c r="AA14" s="37">
        <v>37508</v>
      </c>
      <c r="AB14" s="37">
        <v>796850</v>
      </c>
      <c r="AC14" s="37">
        <f t="shared" si="0"/>
        <v>438902</v>
      </c>
      <c r="AD14" s="38">
        <f t="shared" si="1"/>
        <v>13394410</v>
      </c>
      <c r="AE14" s="39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38">
        <f t="shared" si="2"/>
        <v>0</v>
      </c>
      <c r="AR14" s="39">
        <v>479543</v>
      </c>
      <c r="AS14" s="37">
        <v>0</v>
      </c>
      <c r="AT14" s="37">
        <v>0</v>
      </c>
      <c r="AU14" s="37">
        <v>0</v>
      </c>
      <c r="AV14" s="37">
        <v>381523</v>
      </c>
      <c r="AW14" s="37">
        <v>660619</v>
      </c>
      <c r="AX14" s="37">
        <v>1483510</v>
      </c>
      <c r="AY14" s="40">
        <v>561452</v>
      </c>
      <c r="AZ14" s="40">
        <v>148218</v>
      </c>
      <c r="BA14" s="40">
        <v>213373</v>
      </c>
      <c r="BB14" s="40">
        <v>1203237</v>
      </c>
      <c r="BC14" s="40">
        <v>967647</v>
      </c>
      <c r="BD14" s="38">
        <f t="shared" si="3"/>
        <v>6099122</v>
      </c>
    </row>
    <row r="15" spans="1:56" s="41" customFormat="1">
      <c r="A15" s="44" t="s">
        <v>160</v>
      </c>
      <c r="B15" s="42" t="s">
        <v>45</v>
      </c>
      <c r="C15" s="35" t="s">
        <v>46</v>
      </c>
      <c r="D15" s="61">
        <f t="shared" si="4"/>
        <v>1284992040</v>
      </c>
      <c r="E15" s="36">
        <v>690723</v>
      </c>
      <c r="F15" s="37">
        <v>120499872</v>
      </c>
      <c r="G15" s="37">
        <v>568302</v>
      </c>
      <c r="H15" s="37">
        <v>126080211</v>
      </c>
      <c r="I15" s="37">
        <v>761309</v>
      </c>
      <c r="J15" s="37">
        <v>176883615</v>
      </c>
      <c r="K15" s="37">
        <v>441335</v>
      </c>
      <c r="L15" s="37">
        <v>120292691</v>
      </c>
      <c r="M15" s="37">
        <v>239958</v>
      </c>
      <c r="N15" s="37">
        <v>90155410</v>
      </c>
      <c r="O15" s="37">
        <v>767233</v>
      </c>
      <c r="P15" s="37">
        <v>88560611</v>
      </c>
      <c r="Q15" s="37">
        <v>810365</v>
      </c>
      <c r="R15" s="37">
        <v>90401607</v>
      </c>
      <c r="S15" s="37">
        <v>1224400</v>
      </c>
      <c r="T15" s="37">
        <v>73931577</v>
      </c>
      <c r="U15" s="37">
        <v>1050131</v>
      </c>
      <c r="V15" s="37">
        <v>103017960</v>
      </c>
      <c r="W15" s="37">
        <v>1046662</v>
      </c>
      <c r="X15" s="37">
        <v>99417217</v>
      </c>
      <c r="Y15" s="37">
        <v>1324859</v>
      </c>
      <c r="Z15" s="37">
        <v>83300802</v>
      </c>
      <c r="AA15" s="37">
        <v>785066</v>
      </c>
      <c r="AB15" s="37">
        <v>68288492</v>
      </c>
      <c r="AC15" s="37">
        <f t="shared" si="0"/>
        <v>9710343</v>
      </c>
      <c r="AD15" s="38">
        <f t="shared" si="1"/>
        <v>1240830065</v>
      </c>
      <c r="AE15" s="39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38">
        <f t="shared" si="2"/>
        <v>0</v>
      </c>
      <c r="AR15" s="39">
        <v>0</v>
      </c>
      <c r="AS15" s="37">
        <v>0</v>
      </c>
      <c r="AT15" s="37">
        <v>0</v>
      </c>
      <c r="AU15" s="37">
        <v>0</v>
      </c>
      <c r="AV15" s="37">
        <v>2370718</v>
      </c>
      <c r="AW15" s="37">
        <v>2504202</v>
      </c>
      <c r="AX15" s="37">
        <v>4867461</v>
      </c>
      <c r="AY15" s="40">
        <v>7990307</v>
      </c>
      <c r="AZ15" s="40">
        <v>6693613</v>
      </c>
      <c r="BA15" s="40">
        <v>7399075</v>
      </c>
      <c r="BB15" s="40">
        <v>7748367</v>
      </c>
      <c r="BC15" s="40">
        <v>4588232</v>
      </c>
      <c r="BD15" s="38">
        <f t="shared" si="3"/>
        <v>44161975</v>
      </c>
    </row>
    <row r="16" spans="1:56" s="41" customFormat="1">
      <c r="A16" s="44" t="s">
        <v>161</v>
      </c>
      <c r="B16" s="42" t="s">
        <v>51</v>
      </c>
      <c r="C16" s="35" t="s">
        <v>52</v>
      </c>
      <c r="D16" s="61">
        <f t="shared" si="4"/>
        <v>21950730</v>
      </c>
      <c r="E16" s="36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-12098</v>
      </c>
      <c r="U16" s="37">
        <v>0</v>
      </c>
      <c r="V16" s="37">
        <v>7844</v>
      </c>
      <c r="W16" s="37">
        <v>0</v>
      </c>
      <c r="X16" s="37">
        <v>14934</v>
      </c>
      <c r="Y16" s="37">
        <v>190</v>
      </c>
      <c r="Z16" s="37">
        <v>6679770</v>
      </c>
      <c r="AA16" s="37">
        <v>407</v>
      </c>
      <c r="AB16" s="37">
        <v>15260280</v>
      </c>
      <c r="AC16" s="37">
        <f t="shared" si="0"/>
        <v>597</v>
      </c>
      <c r="AD16" s="38">
        <f t="shared" si="1"/>
        <v>21950730</v>
      </c>
      <c r="AE16" s="39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38">
        <f t="shared" si="2"/>
        <v>0</v>
      </c>
      <c r="AR16" s="39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38">
        <f t="shared" si="3"/>
        <v>0</v>
      </c>
    </row>
    <row r="17" spans="1:56" s="41" customFormat="1">
      <c r="A17" s="44" t="s">
        <v>161</v>
      </c>
      <c r="B17" s="42" t="s">
        <v>49</v>
      </c>
      <c r="C17" s="35" t="s">
        <v>50</v>
      </c>
      <c r="D17" s="61">
        <f t="shared" si="4"/>
        <v>1352678957</v>
      </c>
      <c r="E17" s="36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8000</v>
      </c>
      <c r="P17" s="37">
        <v>360212857</v>
      </c>
      <c r="Q17" s="37">
        <v>-33500</v>
      </c>
      <c r="R17" s="37">
        <v>-660000</v>
      </c>
      <c r="S17" s="37">
        <v>0</v>
      </c>
      <c r="T17" s="37">
        <v>40807738</v>
      </c>
      <c r="U17" s="37">
        <v>0</v>
      </c>
      <c r="V17" s="37">
        <v>0</v>
      </c>
      <c r="W17" s="37">
        <v>12000</v>
      </c>
      <c r="X17" s="37">
        <v>559945516</v>
      </c>
      <c r="Y17" s="37">
        <v>0</v>
      </c>
      <c r="Z17" s="37">
        <v>813066</v>
      </c>
      <c r="AA17" s="37">
        <v>8000</v>
      </c>
      <c r="AB17" s="37">
        <v>391559780</v>
      </c>
      <c r="AC17" s="37">
        <f t="shared" si="0"/>
        <v>-5500</v>
      </c>
      <c r="AD17" s="38">
        <f t="shared" si="1"/>
        <v>1352678957</v>
      </c>
      <c r="AE17" s="39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38">
        <f t="shared" si="2"/>
        <v>0</v>
      </c>
      <c r="AR17" s="39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38">
        <f t="shared" si="3"/>
        <v>0</v>
      </c>
    </row>
    <row r="18" spans="1:56" s="41" customFormat="1">
      <c r="A18" s="44" t="s">
        <v>161</v>
      </c>
      <c r="B18" s="42" t="s">
        <v>53</v>
      </c>
      <c r="C18" s="35" t="s">
        <v>54</v>
      </c>
      <c r="D18" s="61">
        <f t="shared" si="4"/>
        <v>10345800233</v>
      </c>
      <c r="E18" s="36">
        <v>30829</v>
      </c>
      <c r="F18" s="37">
        <v>831872699</v>
      </c>
      <c r="G18" s="37">
        <v>23667</v>
      </c>
      <c r="H18" s="37">
        <v>625847923</v>
      </c>
      <c r="I18" s="37">
        <v>30581</v>
      </c>
      <c r="J18" s="37">
        <v>816806919</v>
      </c>
      <c r="K18" s="37">
        <v>30000</v>
      </c>
      <c r="L18" s="37">
        <v>799881561</v>
      </c>
      <c r="M18" s="37">
        <v>29773</v>
      </c>
      <c r="N18" s="37">
        <v>797105217</v>
      </c>
      <c r="O18" s="37">
        <v>27109</v>
      </c>
      <c r="P18" s="37">
        <v>735422164</v>
      </c>
      <c r="Q18" s="37">
        <v>33419</v>
      </c>
      <c r="R18" s="37">
        <v>883230747</v>
      </c>
      <c r="S18" s="37">
        <v>30855</v>
      </c>
      <c r="T18" s="37">
        <v>829166510</v>
      </c>
      <c r="U18" s="37">
        <v>31082</v>
      </c>
      <c r="V18" s="37">
        <v>797082721</v>
      </c>
      <c r="W18" s="37">
        <v>38246</v>
      </c>
      <c r="X18" s="37">
        <v>1013020433</v>
      </c>
      <c r="Y18" s="37">
        <v>37697</v>
      </c>
      <c r="Z18" s="37">
        <v>974912210</v>
      </c>
      <c r="AA18" s="37">
        <v>47081</v>
      </c>
      <c r="AB18" s="37">
        <v>1241451129</v>
      </c>
      <c r="AC18" s="37">
        <f t="shared" si="0"/>
        <v>390339</v>
      </c>
      <c r="AD18" s="38">
        <f t="shared" si="1"/>
        <v>10345800233</v>
      </c>
      <c r="AE18" s="39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38">
        <f t="shared" si="2"/>
        <v>0</v>
      </c>
      <c r="AR18" s="39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38">
        <f t="shared" si="3"/>
        <v>0</v>
      </c>
    </row>
    <row r="19" spans="1:56" s="41" customFormat="1">
      <c r="A19" s="44" t="s">
        <v>161</v>
      </c>
      <c r="B19" s="42" t="s">
        <v>59</v>
      </c>
      <c r="C19" s="35" t="s">
        <v>60</v>
      </c>
      <c r="D19" s="61">
        <f t="shared" si="4"/>
        <v>0</v>
      </c>
      <c r="E19" s="36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f t="shared" si="0"/>
        <v>0</v>
      </c>
      <c r="AD19" s="38">
        <f t="shared" si="1"/>
        <v>0</v>
      </c>
      <c r="AE19" s="39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38">
        <f t="shared" si="2"/>
        <v>0</v>
      </c>
      <c r="AR19" s="39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38">
        <f t="shared" si="3"/>
        <v>0</v>
      </c>
    </row>
    <row r="20" spans="1:56" s="41" customFormat="1">
      <c r="A20" s="44" t="s">
        <v>161</v>
      </c>
      <c r="B20" s="42" t="s">
        <v>55</v>
      </c>
      <c r="C20" s="35" t="s">
        <v>56</v>
      </c>
      <c r="D20" s="61">
        <f t="shared" si="4"/>
        <v>1396956428</v>
      </c>
      <c r="E20" s="36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100</v>
      </c>
      <c r="L20" s="37">
        <v>150400</v>
      </c>
      <c r="M20" s="37">
        <v>0</v>
      </c>
      <c r="N20" s="37">
        <v>0</v>
      </c>
      <c r="O20" s="37">
        <v>4719</v>
      </c>
      <c r="P20" s="37">
        <v>162643988</v>
      </c>
      <c r="Q20" s="37">
        <v>6399</v>
      </c>
      <c r="R20" s="37">
        <v>211871188</v>
      </c>
      <c r="S20" s="37">
        <v>3359</v>
      </c>
      <c r="T20" s="37">
        <v>117489748</v>
      </c>
      <c r="U20" s="37">
        <v>5202</v>
      </c>
      <c r="V20" s="37">
        <v>197115598</v>
      </c>
      <c r="W20" s="37">
        <v>6400</v>
      </c>
      <c r="X20" s="37">
        <v>225304400</v>
      </c>
      <c r="Y20" s="37">
        <v>6430</v>
      </c>
      <c r="Z20" s="37">
        <v>222576513</v>
      </c>
      <c r="AA20" s="37">
        <v>9020</v>
      </c>
      <c r="AB20" s="37">
        <v>259804593</v>
      </c>
      <c r="AC20" s="37">
        <f t="shared" si="0"/>
        <v>41629</v>
      </c>
      <c r="AD20" s="38">
        <f t="shared" si="1"/>
        <v>1396956428</v>
      </c>
      <c r="AE20" s="39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38">
        <f t="shared" si="2"/>
        <v>0</v>
      </c>
      <c r="AR20" s="39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38">
        <f t="shared" si="3"/>
        <v>0</v>
      </c>
    </row>
    <row r="21" spans="1:56" s="41" customFormat="1">
      <c r="A21" s="44" t="s">
        <v>161</v>
      </c>
      <c r="B21" s="42" t="s">
        <v>57</v>
      </c>
      <c r="C21" s="35" t="s">
        <v>58</v>
      </c>
      <c r="D21" s="61">
        <f t="shared" si="4"/>
        <v>12732806430</v>
      </c>
      <c r="E21" s="36">
        <v>62351</v>
      </c>
      <c r="F21" s="37">
        <v>1180239976</v>
      </c>
      <c r="G21" s="37">
        <v>49267</v>
      </c>
      <c r="H21" s="37">
        <v>1012106851</v>
      </c>
      <c r="I21" s="37">
        <v>52218</v>
      </c>
      <c r="J21" s="37">
        <v>1175978213</v>
      </c>
      <c r="K21" s="37">
        <v>60890</v>
      </c>
      <c r="L21" s="37">
        <v>1337750640</v>
      </c>
      <c r="M21" s="37">
        <v>64600</v>
      </c>
      <c r="N21" s="37">
        <v>1070641435</v>
      </c>
      <c r="O21" s="37">
        <v>42446</v>
      </c>
      <c r="P21" s="37">
        <v>746981570</v>
      </c>
      <c r="Q21" s="37">
        <v>45596</v>
      </c>
      <c r="R21" s="37">
        <v>907520864</v>
      </c>
      <c r="S21" s="37">
        <v>47232</v>
      </c>
      <c r="T21" s="37">
        <v>889204319</v>
      </c>
      <c r="U21" s="37">
        <v>52724</v>
      </c>
      <c r="V21" s="37">
        <v>1090976009</v>
      </c>
      <c r="W21" s="37">
        <v>47949</v>
      </c>
      <c r="X21" s="37">
        <v>905045430</v>
      </c>
      <c r="Y21" s="37">
        <v>51588</v>
      </c>
      <c r="Z21" s="37">
        <v>1098098655</v>
      </c>
      <c r="AA21" s="37">
        <v>94000</v>
      </c>
      <c r="AB21" s="37">
        <v>1317504508</v>
      </c>
      <c r="AC21" s="37">
        <f t="shared" si="0"/>
        <v>670861</v>
      </c>
      <c r="AD21" s="38">
        <f t="shared" si="1"/>
        <v>12732048470</v>
      </c>
      <c r="AE21" s="39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38">
        <f t="shared" si="2"/>
        <v>0</v>
      </c>
      <c r="AR21" s="39">
        <v>161394</v>
      </c>
      <c r="AS21" s="37">
        <v>0</v>
      </c>
      <c r="AT21" s="37">
        <v>0</v>
      </c>
      <c r="AU21" s="37">
        <v>0</v>
      </c>
      <c r="AV21" s="37">
        <v>193551</v>
      </c>
      <c r="AW21" s="37">
        <v>332273</v>
      </c>
      <c r="AX21" s="37">
        <v>38170</v>
      </c>
      <c r="AY21" s="40">
        <v>2545</v>
      </c>
      <c r="AZ21" s="40">
        <v>0</v>
      </c>
      <c r="BA21" s="40">
        <v>4770</v>
      </c>
      <c r="BB21" s="40">
        <v>0</v>
      </c>
      <c r="BC21" s="40">
        <v>25257</v>
      </c>
      <c r="BD21" s="38">
        <f t="shared" si="3"/>
        <v>757960</v>
      </c>
    </row>
    <row r="22" spans="1:56" s="41" customFormat="1">
      <c r="A22" s="44" t="s">
        <v>161</v>
      </c>
      <c r="B22" s="42" t="s">
        <v>61</v>
      </c>
      <c r="C22" s="35" t="s">
        <v>62</v>
      </c>
      <c r="D22" s="61">
        <f t="shared" si="4"/>
        <v>529630919</v>
      </c>
      <c r="E22" s="36">
        <v>15216</v>
      </c>
      <c r="F22" s="37">
        <v>50589762</v>
      </c>
      <c r="G22" s="37">
        <v>12674</v>
      </c>
      <c r="H22" s="37">
        <v>43182062</v>
      </c>
      <c r="I22" s="37">
        <v>18292</v>
      </c>
      <c r="J22" s="37">
        <v>61714076</v>
      </c>
      <c r="K22" s="37">
        <v>17470</v>
      </c>
      <c r="L22" s="37">
        <v>60896755</v>
      </c>
      <c r="M22" s="37">
        <v>16700</v>
      </c>
      <c r="N22" s="37">
        <v>56763423</v>
      </c>
      <c r="O22" s="37">
        <v>13759</v>
      </c>
      <c r="P22" s="37">
        <v>57252184</v>
      </c>
      <c r="Q22" s="37">
        <v>15791</v>
      </c>
      <c r="R22" s="37">
        <v>45819036</v>
      </c>
      <c r="S22" s="37">
        <v>10522</v>
      </c>
      <c r="T22" s="37">
        <v>39237978</v>
      </c>
      <c r="U22" s="37">
        <v>4885</v>
      </c>
      <c r="V22" s="37">
        <v>31172753</v>
      </c>
      <c r="W22" s="37">
        <v>7180</v>
      </c>
      <c r="X22" s="37">
        <v>20948948</v>
      </c>
      <c r="Y22" s="37">
        <v>8256</v>
      </c>
      <c r="Z22" s="37">
        <v>29091960</v>
      </c>
      <c r="AA22" s="37">
        <v>9630</v>
      </c>
      <c r="AB22" s="37">
        <v>32961982</v>
      </c>
      <c r="AC22" s="37">
        <f t="shared" si="0"/>
        <v>150375</v>
      </c>
      <c r="AD22" s="38">
        <f t="shared" si="1"/>
        <v>529630919</v>
      </c>
      <c r="AE22" s="39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38">
        <f t="shared" si="2"/>
        <v>0</v>
      </c>
      <c r="AR22" s="39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38">
        <f t="shared" si="3"/>
        <v>0</v>
      </c>
    </row>
    <row r="23" spans="1:56" s="41" customFormat="1">
      <c r="A23" s="44" t="s">
        <v>161</v>
      </c>
      <c r="B23" s="42" t="s">
        <v>63</v>
      </c>
      <c r="C23" s="35" t="s">
        <v>64</v>
      </c>
      <c r="D23" s="61">
        <f t="shared" si="4"/>
        <v>1740276624</v>
      </c>
      <c r="E23" s="36">
        <v>166323</v>
      </c>
      <c r="F23" s="37">
        <v>141834779</v>
      </c>
      <c r="G23" s="37">
        <v>56031</v>
      </c>
      <c r="H23" s="37">
        <v>167382849</v>
      </c>
      <c r="I23" s="37">
        <v>64279</v>
      </c>
      <c r="J23" s="37">
        <v>121807585</v>
      </c>
      <c r="K23" s="37">
        <v>75334</v>
      </c>
      <c r="L23" s="37">
        <v>150728731</v>
      </c>
      <c r="M23" s="37">
        <v>79699</v>
      </c>
      <c r="N23" s="37">
        <v>142990455</v>
      </c>
      <c r="O23" s="37">
        <v>115175</v>
      </c>
      <c r="P23" s="37">
        <v>147403397</v>
      </c>
      <c r="Q23" s="37">
        <v>132715</v>
      </c>
      <c r="R23" s="37">
        <v>156805812</v>
      </c>
      <c r="S23" s="37">
        <v>45498</v>
      </c>
      <c r="T23" s="37">
        <v>114566077</v>
      </c>
      <c r="U23" s="37">
        <v>77180</v>
      </c>
      <c r="V23" s="37">
        <v>121411446</v>
      </c>
      <c r="W23" s="37">
        <v>63372</v>
      </c>
      <c r="X23" s="37">
        <v>167644025</v>
      </c>
      <c r="Y23" s="37">
        <v>129456</v>
      </c>
      <c r="Z23" s="37">
        <v>155928309</v>
      </c>
      <c r="AA23" s="37">
        <v>96643</v>
      </c>
      <c r="AB23" s="37">
        <v>151347559</v>
      </c>
      <c r="AC23" s="37">
        <f t="shared" si="0"/>
        <v>1101705</v>
      </c>
      <c r="AD23" s="38">
        <f t="shared" si="1"/>
        <v>1739851024</v>
      </c>
      <c r="AE23" s="39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38">
        <f t="shared" si="2"/>
        <v>0</v>
      </c>
      <c r="AR23" s="39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425600</v>
      </c>
      <c r="AX23" s="37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38">
        <f t="shared" si="3"/>
        <v>425600</v>
      </c>
    </row>
    <row r="24" spans="1:56" s="41" customFormat="1">
      <c r="A24" s="44" t="s">
        <v>161</v>
      </c>
      <c r="B24" s="42" t="s">
        <v>65</v>
      </c>
      <c r="C24" s="35" t="s">
        <v>66</v>
      </c>
      <c r="D24" s="61">
        <f t="shared" si="4"/>
        <v>10921266659</v>
      </c>
      <c r="E24" s="36">
        <v>43673</v>
      </c>
      <c r="F24" s="37">
        <v>1105641863</v>
      </c>
      <c r="G24" s="37">
        <v>37925</v>
      </c>
      <c r="H24" s="37">
        <v>903029811</v>
      </c>
      <c r="I24" s="37">
        <v>46091</v>
      </c>
      <c r="J24" s="37">
        <v>1088701322</v>
      </c>
      <c r="K24" s="37">
        <v>47539</v>
      </c>
      <c r="L24" s="37">
        <v>1119400833</v>
      </c>
      <c r="M24" s="37">
        <v>41149</v>
      </c>
      <c r="N24" s="37">
        <v>951500431</v>
      </c>
      <c r="O24" s="37">
        <v>37459</v>
      </c>
      <c r="P24" s="37">
        <v>863209285</v>
      </c>
      <c r="Q24" s="37">
        <v>37459</v>
      </c>
      <c r="R24" s="37">
        <v>891829534</v>
      </c>
      <c r="S24" s="37">
        <v>28558</v>
      </c>
      <c r="T24" s="37">
        <v>665614324</v>
      </c>
      <c r="U24" s="37">
        <v>33739</v>
      </c>
      <c r="V24" s="37">
        <v>686414840</v>
      </c>
      <c r="W24" s="37">
        <v>29613</v>
      </c>
      <c r="X24" s="37">
        <v>695606544</v>
      </c>
      <c r="Y24" s="37">
        <v>39750</v>
      </c>
      <c r="Z24" s="37">
        <v>947892142</v>
      </c>
      <c r="AA24" s="37">
        <v>41875</v>
      </c>
      <c r="AB24" s="37">
        <v>1002418439</v>
      </c>
      <c r="AC24" s="37">
        <f t="shared" si="0"/>
        <v>464830</v>
      </c>
      <c r="AD24" s="38">
        <f t="shared" si="1"/>
        <v>10921259368</v>
      </c>
      <c r="AE24" s="39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38">
        <f t="shared" si="2"/>
        <v>0</v>
      </c>
      <c r="AR24" s="39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40">
        <v>0</v>
      </c>
      <c r="AZ24" s="40">
        <v>7291</v>
      </c>
      <c r="BA24" s="40">
        <v>0</v>
      </c>
      <c r="BB24" s="40">
        <v>0</v>
      </c>
      <c r="BC24" s="40">
        <v>0</v>
      </c>
      <c r="BD24" s="38">
        <f t="shared" si="3"/>
        <v>7291</v>
      </c>
    </row>
    <row r="25" spans="1:56" s="41" customFormat="1">
      <c r="A25" s="44" t="s">
        <v>161</v>
      </c>
      <c r="B25" s="42" t="s">
        <v>67</v>
      </c>
      <c r="C25" s="35" t="s">
        <v>68</v>
      </c>
      <c r="D25" s="61">
        <f t="shared" si="4"/>
        <v>15453819</v>
      </c>
      <c r="E25" s="36">
        <v>0</v>
      </c>
      <c r="F25" s="37">
        <v>0</v>
      </c>
      <c r="G25" s="37">
        <v>0</v>
      </c>
      <c r="H25" s="37">
        <v>11648520</v>
      </c>
      <c r="I25" s="37">
        <v>0</v>
      </c>
      <c r="J25" s="37">
        <v>3805299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f t="shared" si="0"/>
        <v>0</v>
      </c>
      <c r="AD25" s="38">
        <f t="shared" si="1"/>
        <v>15453819</v>
      </c>
      <c r="AE25" s="39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38">
        <f t="shared" si="2"/>
        <v>0</v>
      </c>
      <c r="AR25" s="39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38">
        <f t="shared" si="3"/>
        <v>0</v>
      </c>
    </row>
    <row r="26" spans="1:56" s="41" customFormat="1">
      <c r="A26" s="44" t="s">
        <v>161</v>
      </c>
      <c r="B26" s="42" t="s">
        <v>69</v>
      </c>
      <c r="C26" s="35" t="s">
        <v>70</v>
      </c>
      <c r="D26" s="61">
        <f t="shared" si="4"/>
        <v>4626224416</v>
      </c>
      <c r="E26" s="36">
        <v>32654</v>
      </c>
      <c r="F26" s="37">
        <v>316761438</v>
      </c>
      <c r="G26" s="37">
        <v>32728</v>
      </c>
      <c r="H26" s="37">
        <v>300954814</v>
      </c>
      <c r="I26" s="37">
        <v>37436</v>
      </c>
      <c r="J26" s="37">
        <v>404541310</v>
      </c>
      <c r="K26" s="37">
        <v>27528</v>
      </c>
      <c r="L26" s="37">
        <v>316175904</v>
      </c>
      <c r="M26" s="37">
        <v>35444</v>
      </c>
      <c r="N26" s="37">
        <v>396672359</v>
      </c>
      <c r="O26" s="37">
        <v>33299</v>
      </c>
      <c r="P26" s="37">
        <v>381452250</v>
      </c>
      <c r="Q26" s="37">
        <v>48996</v>
      </c>
      <c r="R26" s="37">
        <v>498014658</v>
      </c>
      <c r="S26" s="37">
        <v>31452</v>
      </c>
      <c r="T26" s="37">
        <v>340293344</v>
      </c>
      <c r="U26" s="37">
        <v>36812</v>
      </c>
      <c r="V26" s="37">
        <v>396224846</v>
      </c>
      <c r="W26" s="37">
        <v>34985</v>
      </c>
      <c r="X26" s="37">
        <v>371817391</v>
      </c>
      <c r="Y26" s="37">
        <v>38092</v>
      </c>
      <c r="Z26" s="37">
        <v>409617277</v>
      </c>
      <c r="AA26" s="37">
        <v>46608</v>
      </c>
      <c r="AB26" s="37">
        <v>493698825</v>
      </c>
      <c r="AC26" s="37">
        <f t="shared" si="0"/>
        <v>436034</v>
      </c>
      <c r="AD26" s="38">
        <f t="shared" si="1"/>
        <v>4626224416</v>
      </c>
      <c r="AE26" s="39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38">
        <f t="shared" si="2"/>
        <v>0</v>
      </c>
      <c r="AR26" s="39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38">
        <f t="shared" si="3"/>
        <v>0</v>
      </c>
    </row>
    <row r="27" spans="1:56" s="41" customFormat="1">
      <c r="A27" s="44" t="s">
        <v>161</v>
      </c>
      <c r="B27" s="42" t="s">
        <v>71</v>
      </c>
      <c r="C27" s="35" t="s">
        <v>72</v>
      </c>
      <c r="D27" s="61">
        <f t="shared" si="4"/>
        <v>401861703</v>
      </c>
      <c r="E27" s="36">
        <v>0</v>
      </c>
      <c r="F27" s="37">
        <v>0</v>
      </c>
      <c r="G27" s="37">
        <v>0</v>
      </c>
      <c r="H27" s="37">
        <v>5473944</v>
      </c>
      <c r="I27" s="37">
        <v>304</v>
      </c>
      <c r="J27" s="37">
        <v>1109128</v>
      </c>
      <c r="K27" s="37">
        <v>0</v>
      </c>
      <c r="L27" s="37">
        <v>-43040</v>
      </c>
      <c r="M27" s="37">
        <v>120</v>
      </c>
      <c r="N27" s="37">
        <v>6299392</v>
      </c>
      <c r="O27" s="37">
        <v>220</v>
      </c>
      <c r="P27" s="37">
        <v>9241294</v>
      </c>
      <c r="Q27" s="37">
        <v>1110</v>
      </c>
      <c r="R27" s="37">
        <v>16259870</v>
      </c>
      <c r="S27" s="37">
        <v>2160</v>
      </c>
      <c r="T27" s="37">
        <v>33125496</v>
      </c>
      <c r="U27" s="37">
        <v>2160</v>
      </c>
      <c r="V27" s="37">
        <v>31832630</v>
      </c>
      <c r="W27" s="37">
        <v>4860</v>
      </c>
      <c r="X27" s="37">
        <v>76502722</v>
      </c>
      <c r="Y27" s="37">
        <v>9720</v>
      </c>
      <c r="Z27" s="37">
        <v>155112684</v>
      </c>
      <c r="AA27" s="37">
        <v>4120</v>
      </c>
      <c r="AB27" s="37">
        <v>66947583</v>
      </c>
      <c r="AC27" s="37">
        <f t="shared" si="0"/>
        <v>24774</v>
      </c>
      <c r="AD27" s="38">
        <f t="shared" si="1"/>
        <v>401861703</v>
      </c>
      <c r="AE27" s="39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38">
        <f t="shared" si="2"/>
        <v>0</v>
      </c>
      <c r="AR27" s="39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38">
        <f t="shared" si="3"/>
        <v>0</v>
      </c>
    </row>
    <row r="28" spans="1:56" s="41" customFormat="1">
      <c r="A28" s="44" t="s">
        <v>161</v>
      </c>
      <c r="B28" s="42" t="s">
        <v>73</v>
      </c>
      <c r="C28" s="35" t="s">
        <v>74</v>
      </c>
      <c r="D28" s="61">
        <f t="shared" si="4"/>
        <v>634615606</v>
      </c>
      <c r="E28" s="36">
        <v>495</v>
      </c>
      <c r="F28" s="37">
        <v>23773497</v>
      </c>
      <c r="G28" s="37">
        <v>720</v>
      </c>
      <c r="H28" s="37">
        <v>30287435</v>
      </c>
      <c r="I28" s="37">
        <v>3271</v>
      </c>
      <c r="J28" s="37">
        <v>134127781</v>
      </c>
      <c r="K28" s="37">
        <v>1395</v>
      </c>
      <c r="L28" s="37">
        <v>52078513</v>
      </c>
      <c r="M28" s="37">
        <v>0</v>
      </c>
      <c r="N28" s="37">
        <v>1500000</v>
      </c>
      <c r="O28" s="37">
        <v>2115</v>
      </c>
      <c r="P28" s="37">
        <v>80819108</v>
      </c>
      <c r="Q28" s="37">
        <v>336</v>
      </c>
      <c r="R28" s="37">
        <v>12392953</v>
      </c>
      <c r="S28" s="37">
        <v>1530</v>
      </c>
      <c r="T28" s="37">
        <v>62005958</v>
      </c>
      <c r="U28" s="37">
        <v>2205</v>
      </c>
      <c r="V28" s="37">
        <v>92095747</v>
      </c>
      <c r="W28" s="37">
        <v>360</v>
      </c>
      <c r="X28" s="37">
        <v>14725194</v>
      </c>
      <c r="Y28" s="37">
        <v>1845</v>
      </c>
      <c r="Z28" s="37">
        <v>75902637</v>
      </c>
      <c r="AA28" s="37">
        <v>1305</v>
      </c>
      <c r="AB28" s="37">
        <v>54906783</v>
      </c>
      <c r="AC28" s="37">
        <f t="shared" si="0"/>
        <v>15577</v>
      </c>
      <c r="AD28" s="38">
        <f t="shared" si="1"/>
        <v>634615606</v>
      </c>
      <c r="AE28" s="39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38">
        <f t="shared" si="2"/>
        <v>0</v>
      </c>
      <c r="AR28" s="39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38">
        <f t="shared" si="3"/>
        <v>0</v>
      </c>
    </row>
    <row r="29" spans="1:56" s="41" customFormat="1">
      <c r="A29" s="44" t="s">
        <v>161</v>
      </c>
      <c r="B29" s="42" t="s">
        <v>75</v>
      </c>
      <c r="C29" s="35" t="s">
        <v>76</v>
      </c>
      <c r="D29" s="61">
        <f t="shared" si="4"/>
        <v>432452923</v>
      </c>
      <c r="E29" s="36">
        <v>0</v>
      </c>
      <c r="F29" s="37">
        <v>5810610</v>
      </c>
      <c r="G29" s="37">
        <v>0</v>
      </c>
      <c r="H29" s="37">
        <v>7246174</v>
      </c>
      <c r="I29" s="37">
        <v>440</v>
      </c>
      <c r="J29" s="37">
        <v>19550954</v>
      </c>
      <c r="K29" s="37">
        <v>0</v>
      </c>
      <c r="L29" s="37">
        <v>-135087</v>
      </c>
      <c r="M29" s="37">
        <v>0</v>
      </c>
      <c r="N29" s="37">
        <v>-207234</v>
      </c>
      <c r="O29" s="37">
        <v>500</v>
      </c>
      <c r="P29" s="37">
        <v>14559235</v>
      </c>
      <c r="Q29" s="37">
        <v>4830</v>
      </c>
      <c r="R29" s="37">
        <v>71518052</v>
      </c>
      <c r="S29" s="37">
        <v>5940</v>
      </c>
      <c r="T29" s="37">
        <v>95517103</v>
      </c>
      <c r="U29" s="37">
        <v>4860</v>
      </c>
      <c r="V29" s="37">
        <v>82934220</v>
      </c>
      <c r="W29" s="37">
        <v>4320</v>
      </c>
      <c r="X29" s="37">
        <v>68617771</v>
      </c>
      <c r="Y29" s="37">
        <v>2160</v>
      </c>
      <c r="Z29" s="37">
        <v>33193786</v>
      </c>
      <c r="AA29" s="37">
        <v>817</v>
      </c>
      <c r="AB29" s="37">
        <v>33847339</v>
      </c>
      <c r="AC29" s="37">
        <f t="shared" si="0"/>
        <v>23867</v>
      </c>
      <c r="AD29" s="38">
        <f t="shared" si="1"/>
        <v>432452923</v>
      </c>
      <c r="AE29" s="39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38">
        <f t="shared" si="2"/>
        <v>0</v>
      </c>
      <c r="AR29" s="39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38">
        <f t="shared" si="3"/>
        <v>0</v>
      </c>
    </row>
    <row r="30" spans="1:56" s="41" customFormat="1">
      <c r="A30" s="44" t="s">
        <v>161</v>
      </c>
      <c r="B30" s="42" t="s">
        <v>79</v>
      </c>
      <c r="C30" s="35" t="s">
        <v>80</v>
      </c>
      <c r="D30" s="61">
        <f t="shared" si="4"/>
        <v>23169825623</v>
      </c>
      <c r="E30" s="36">
        <v>814392</v>
      </c>
      <c r="F30" s="37">
        <v>1950178606</v>
      </c>
      <c r="G30" s="37">
        <v>786022</v>
      </c>
      <c r="H30" s="37">
        <v>1876702196</v>
      </c>
      <c r="I30" s="37">
        <v>751545</v>
      </c>
      <c r="J30" s="37">
        <v>2130732556</v>
      </c>
      <c r="K30" s="37">
        <v>677804</v>
      </c>
      <c r="L30" s="37">
        <v>2020160127</v>
      </c>
      <c r="M30" s="37">
        <v>956062</v>
      </c>
      <c r="N30" s="37">
        <v>2144200805</v>
      </c>
      <c r="O30" s="37">
        <v>866404</v>
      </c>
      <c r="P30" s="37">
        <v>1886331856</v>
      </c>
      <c r="Q30" s="37">
        <v>1035087</v>
      </c>
      <c r="R30" s="37">
        <v>1919041115</v>
      </c>
      <c r="S30" s="37">
        <v>750572</v>
      </c>
      <c r="T30" s="37">
        <v>1497405959</v>
      </c>
      <c r="U30" s="37">
        <v>585517</v>
      </c>
      <c r="V30" s="37">
        <v>1587514311</v>
      </c>
      <c r="W30" s="37">
        <v>930181</v>
      </c>
      <c r="X30" s="37">
        <v>1718891850</v>
      </c>
      <c r="Y30" s="37">
        <v>1338809</v>
      </c>
      <c r="Z30" s="37">
        <v>2009946786</v>
      </c>
      <c r="AA30" s="37">
        <v>731908</v>
      </c>
      <c r="AB30" s="37">
        <v>2116679303</v>
      </c>
      <c r="AC30" s="37">
        <f t="shared" si="0"/>
        <v>10224303</v>
      </c>
      <c r="AD30" s="38">
        <f t="shared" si="1"/>
        <v>22857785470</v>
      </c>
      <c r="AE30" s="39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38">
        <f t="shared" si="2"/>
        <v>0</v>
      </c>
      <c r="AR30" s="39">
        <v>3434551</v>
      </c>
      <c r="AS30" s="37">
        <v>3863817</v>
      </c>
      <c r="AT30" s="37">
        <v>3550436</v>
      </c>
      <c r="AU30" s="37">
        <v>30362592</v>
      </c>
      <c r="AV30" s="37">
        <v>24938026</v>
      </c>
      <c r="AW30" s="37">
        <v>9551599</v>
      </c>
      <c r="AX30" s="37">
        <v>49095203</v>
      </c>
      <c r="AY30" s="40">
        <v>34089420</v>
      </c>
      <c r="AZ30" s="40">
        <v>38568697</v>
      </c>
      <c r="BA30" s="40">
        <v>17270489</v>
      </c>
      <c r="BB30" s="40">
        <v>68532053</v>
      </c>
      <c r="BC30" s="40">
        <v>28783270</v>
      </c>
      <c r="BD30" s="38">
        <f t="shared" si="3"/>
        <v>312040153</v>
      </c>
    </row>
    <row r="31" spans="1:56" s="41" customFormat="1">
      <c r="A31" s="44" t="s">
        <v>161</v>
      </c>
      <c r="B31" s="42" t="s">
        <v>81</v>
      </c>
      <c r="C31" s="35" t="s">
        <v>82</v>
      </c>
      <c r="D31" s="61">
        <f t="shared" si="4"/>
        <v>2897759568</v>
      </c>
      <c r="E31" s="36">
        <v>6582</v>
      </c>
      <c r="F31" s="37">
        <v>222788000</v>
      </c>
      <c r="G31" s="37">
        <v>6520</v>
      </c>
      <c r="H31" s="37">
        <v>217397280</v>
      </c>
      <c r="I31" s="37">
        <v>6974</v>
      </c>
      <c r="J31" s="37">
        <v>244608865</v>
      </c>
      <c r="K31" s="37">
        <v>7576</v>
      </c>
      <c r="L31" s="37">
        <v>257106926</v>
      </c>
      <c r="M31" s="37">
        <v>6963</v>
      </c>
      <c r="N31" s="37">
        <v>236500732</v>
      </c>
      <c r="O31" s="37">
        <v>6836</v>
      </c>
      <c r="P31" s="37">
        <v>244955089</v>
      </c>
      <c r="Q31" s="37">
        <v>6439</v>
      </c>
      <c r="R31" s="37">
        <v>218603728</v>
      </c>
      <c r="S31" s="37">
        <v>4618</v>
      </c>
      <c r="T31" s="37">
        <v>162705860</v>
      </c>
      <c r="U31" s="37">
        <v>5311</v>
      </c>
      <c r="V31" s="37">
        <v>185747700</v>
      </c>
      <c r="W31" s="37">
        <v>6418</v>
      </c>
      <c r="X31" s="37">
        <v>217820520</v>
      </c>
      <c r="Y31" s="37">
        <v>6710</v>
      </c>
      <c r="Z31" s="37">
        <v>227778252</v>
      </c>
      <c r="AA31" s="37">
        <v>9004</v>
      </c>
      <c r="AB31" s="37">
        <v>461746616</v>
      </c>
      <c r="AC31" s="37">
        <f t="shared" si="0"/>
        <v>79951</v>
      </c>
      <c r="AD31" s="38">
        <f t="shared" si="1"/>
        <v>2897759568</v>
      </c>
      <c r="AE31" s="39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38">
        <f t="shared" si="2"/>
        <v>0</v>
      </c>
      <c r="AR31" s="39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38">
        <f t="shared" si="3"/>
        <v>0</v>
      </c>
    </row>
    <row r="32" spans="1:56" s="41" customFormat="1">
      <c r="A32" s="44" t="s">
        <v>162</v>
      </c>
      <c r="B32" s="42" t="s">
        <v>83</v>
      </c>
      <c r="C32" s="35" t="s">
        <v>84</v>
      </c>
      <c r="D32" s="61">
        <f t="shared" si="4"/>
        <v>20629234379</v>
      </c>
      <c r="E32" s="36">
        <v>1574439</v>
      </c>
      <c r="F32" s="37">
        <v>2171978061</v>
      </c>
      <c r="G32" s="37">
        <v>1265911</v>
      </c>
      <c r="H32" s="37">
        <v>2163620727</v>
      </c>
      <c r="I32" s="37">
        <v>2037245</v>
      </c>
      <c r="J32" s="37">
        <v>2622797924</v>
      </c>
      <c r="K32" s="37">
        <v>2151659</v>
      </c>
      <c r="L32" s="37">
        <v>1793447836</v>
      </c>
      <c r="M32" s="37">
        <v>2743694</v>
      </c>
      <c r="N32" s="37">
        <v>1501300647</v>
      </c>
      <c r="O32" s="37">
        <v>2176117</v>
      </c>
      <c r="P32" s="37">
        <v>1498012145</v>
      </c>
      <c r="Q32" s="37">
        <v>3037171</v>
      </c>
      <c r="R32" s="37">
        <v>1566552485</v>
      </c>
      <c r="S32" s="37">
        <v>1804762</v>
      </c>
      <c r="T32" s="37">
        <v>1281556380</v>
      </c>
      <c r="U32" s="37">
        <v>701982</v>
      </c>
      <c r="V32" s="37">
        <v>1176577418</v>
      </c>
      <c r="W32" s="37">
        <v>693364</v>
      </c>
      <c r="X32" s="37">
        <v>1462939053</v>
      </c>
      <c r="Y32" s="37">
        <v>1695032</v>
      </c>
      <c r="Z32" s="37">
        <v>1203105812</v>
      </c>
      <c r="AA32" s="37">
        <v>1285161</v>
      </c>
      <c r="AB32" s="37">
        <v>1931260922</v>
      </c>
      <c r="AC32" s="37">
        <f t="shared" si="0"/>
        <v>21166537</v>
      </c>
      <c r="AD32" s="38">
        <f t="shared" si="1"/>
        <v>20373149410</v>
      </c>
      <c r="AE32" s="39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38">
        <f t="shared" si="2"/>
        <v>0</v>
      </c>
      <c r="AR32" s="39">
        <v>33768934</v>
      </c>
      <c r="AS32" s="37">
        <v>14183525</v>
      </c>
      <c r="AT32" s="37">
        <v>8120061</v>
      </c>
      <c r="AU32" s="37">
        <v>12354608</v>
      </c>
      <c r="AV32" s="37">
        <v>9012609</v>
      </c>
      <c r="AW32" s="37">
        <v>2310186</v>
      </c>
      <c r="AX32" s="37">
        <v>39905469</v>
      </c>
      <c r="AY32" s="40">
        <v>12030114</v>
      </c>
      <c r="AZ32" s="40">
        <v>7514527</v>
      </c>
      <c r="BA32" s="40">
        <v>19596922</v>
      </c>
      <c r="BB32" s="40">
        <v>54237685</v>
      </c>
      <c r="BC32" s="40">
        <v>43050329</v>
      </c>
      <c r="BD32" s="38">
        <f t="shared" si="3"/>
        <v>256084969</v>
      </c>
    </row>
    <row r="33" spans="1:56" s="41" customFormat="1">
      <c r="A33" s="44" t="s">
        <v>162</v>
      </c>
      <c r="B33" s="42" t="s">
        <v>91</v>
      </c>
      <c r="C33" s="35" t="s">
        <v>92</v>
      </c>
      <c r="D33" s="61">
        <f t="shared" si="4"/>
        <v>0</v>
      </c>
      <c r="E33" s="36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f t="shared" si="0"/>
        <v>0</v>
      </c>
      <c r="AD33" s="38">
        <f t="shared" si="1"/>
        <v>0</v>
      </c>
      <c r="AE33" s="39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38">
        <f t="shared" si="2"/>
        <v>0</v>
      </c>
      <c r="AR33" s="39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38">
        <f t="shared" si="3"/>
        <v>0</v>
      </c>
    </row>
    <row r="34" spans="1:56" s="41" customFormat="1">
      <c r="A34" s="44" t="s">
        <v>162</v>
      </c>
      <c r="B34" s="42" t="s">
        <v>89</v>
      </c>
      <c r="C34" s="35" t="s">
        <v>90</v>
      </c>
      <c r="D34" s="61">
        <f t="shared" si="4"/>
        <v>0</v>
      </c>
      <c r="E34" s="36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f t="shared" si="0"/>
        <v>0</v>
      </c>
      <c r="AD34" s="38">
        <f t="shared" si="1"/>
        <v>0</v>
      </c>
      <c r="AE34" s="39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38">
        <f t="shared" si="2"/>
        <v>0</v>
      </c>
      <c r="AR34" s="39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38">
        <f t="shared" si="3"/>
        <v>0</v>
      </c>
    </row>
    <row r="35" spans="1:56" s="41" customFormat="1">
      <c r="A35" s="44" t="s">
        <v>162</v>
      </c>
      <c r="B35" s="42" t="s">
        <v>93</v>
      </c>
      <c r="C35" s="35" t="s">
        <v>94</v>
      </c>
      <c r="D35" s="61">
        <f t="shared" si="4"/>
        <v>73074879</v>
      </c>
      <c r="E35" s="36">
        <v>1000000</v>
      </c>
      <c r="F35" s="37">
        <v>0</v>
      </c>
      <c r="G35" s="37">
        <v>3</v>
      </c>
      <c r="H35" s="37">
        <v>2538000</v>
      </c>
      <c r="I35" s="37">
        <v>1000008</v>
      </c>
      <c r="J35" s="37">
        <v>6768000</v>
      </c>
      <c r="K35" s="37">
        <v>500037</v>
      </c>
      <c r="L35" s="37">
        <v>31159882</v>
      </c>
      <c r="M35" s="37">
        <v>500020</v>
      </c>
      <c r="N35" s="37">
        <v>17058000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f t="shared" si="0"/>
        <v>3000068</v>
      </c>
      <c r="AD35" s="38">
        <f t="shared" si="1"/>
        <v>57523882</v>
      </c>
      <c r="AE35" s="39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38">
        <f t="shared" si="2"/>
        <v>0</v>
      </c>
      <c r="AR35" s="39">
        <v>5224324</v>
      </c>
      <c r="AS35" s="37">
        <v>0</v>
      </c>
      <c r="AT35" s="37">
        <v>5249900</v>
      </c>
      <c r="AU35" s="37">
        <v>2552404</v>
      </c>
      <c r="AV35" s="37">
        <v>2524369</v>
      </c>
      <c r="AW35" s="37">
        <v>0</v>
      </c>
      <c r="AX35" s="37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38">
        <f t="shared" si="3"/>
        <v>15550997</v>
      </c>
    </row>
    <row r="36" spans="1:56" s="41" customFormat="1">
      <c r="A36" s="44" t="s">
        <v>162</v>
      </c>
      <c r="B36" s="42" t="s">
        <v>95</v>
      </c>
      <c r="C36" s="35" t="s">
        <v>96</v>
      </c>
      <c r="D36" s="61">
        <f t="shared" si="4"/>
        <v>100941254</v>
      </c>
      <c r="E36" s="36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10</v>
      </c>
      <c r="P36" s="37">
        <v>8460000</v>
      </c>
      <c r="Q36" s="37">
        <v>975032</v>
      </c>
      <c r="R36" s="37">
        <v>27072000</v>
      </c>
      <c r="S36" s="37">
        <v>10</v>
      </c>
      <c r="T36" s="37">
        <v>8460000</v>
      </c>
      <c r="U36" s="37">
        <v>-36071</v>
      </c>
      <c r="V36" s="37">
        <v>13963604</v>
      </c>
      <c r="W36" s="37">
        <v>10</v>
      </c>
      <c r="X36" s="37">
        <v>8460000</v>
      </c>
      <c r="Y36" s="37">
        <v>12</v>
      </c>
      <c r="Z36" s="37">
        <v>10152000</v>
      </c>
      <c r="AA36" s="37">
        <v>24</v>
      </c>
      <c r="AB36" s="37">
        <v>20304000</v>
      </c>
      <c r="AC36" s="37">
        <f t="shared" si="0"/>
        <v>939027</v>
      </c>
      <c r="AD36" s="38">
        <f t="shared" si="1"/>
        <v>96871604</v>
      </c>
      <c r="AE36" s="39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38">
        <f t="shared" si="2"/>
        <v>0</v>
      </c>
      <c r="AR36" s="39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4069650</v>
      </c>
      <c r="AY36" s="40">
        <v>0</v>
      </c>
      <c r="AZ36" s="40">
        <v>0</v>
      </c>
      <c r="BA36" s="40">
        <v>0</v>
      </c>
      <c r="BB36" s="40">
        <v>0</v>
      </c>
      <c r="BC36" s="40">
        <v>0</v>
      </c>
      <c r="BD36" s="38">
        <f t="shared" si="3"/>
        <v>4069650</v>
      </c>
    </row>
    <row r="37" spans="1:56" s="41" customFormat="1">
      <c r="A37" s="44" t="s">
        <v>162</v>
      </c>
      <c r="B37" s="42" t="s">
        <v>97</v>
      </c>
      <c r="C37" s="35" t="s">
        <v>98</v>
      </c>
      <c r="D37" s="61">
        <f t="shared" si="4"/>
        <v>12516080059</v>
      </c>
      <c r="E37" s="36">
        <v>1811355</v>
      </c>
      <c r="F37" s="37">
        <v>1083241575</v>
      </c>
      <c r="G37" s="37">
        <v>1533201</v>
      </c>
      <c r="H37" s="37">
        <v>922930529</v>
      </c>
      <c r="I37" s="37">
        <v>1861307</v>
      </c>
      <c r="J37" s="37">
        <v>1110908634</v>
      </c>
      <c r="K37" s="37">
        <v>1943628</v>
      </c>
      <c r="L37" s="37">
        <v>1125812007</v>
      </c>
      <c r="M37" s="37">
        <v>1880148</v>
      </c>
      <c r="N37" s="37">
        <v>1096806508</v>
      </c>
      <c r="O37" s="37">
        <v>1810540</v>
      </c>
      <c r="P37" s="37">
        <v>1049828887</v>
      </c>
      <c r="Q37" s="37">
        <v>1657822</v>
      </c>
      <c r="R37" s="37">
        <v>961050749</v>
      </c>
      <c r="S37" s="37">
        <v>1712154</v>
      </c>
      <c r="T37" s="37">
        <v>995276110</v>
      </c>
      <c r="U37" s="37">
        <v>1727809</v>
      </c>
      <c r="V37" s="37">
        <v>1008085014</v>
      </c>
      <c r="W37" s="37">
        <v>1867638</v>
      </c>
      <c r="X37" s="37">
        <v>1102692729</v>
      </c>
      <c r="Y37" s="37">
        <v>1820674</v>
      </c>
      <c r="Z37" s="37">
        <v>1110000477</v>
      </c>
      <c r="AA37" s="37">
        <v>1557893</v>
      </c>
      <c r="AB37" s="37">
        <v>949446840</v>
      </c>
      <c r="AC37" s="37">
        <f t="shared" ref="AC37:AC54" si="5">SUM(E37,G37,I37,K37,M37,O37,Q37,S37,U37,W37,Y37,AA37)</f>
        <v>21184169</v>
      </c>
      <c r="AD37" s="38">
        <f t="shared" ref="AD37:AD54" si="6">SUM(F37,H37,J37,L37,N37,P37,R37,T37,V37,X37,Z37,AB37)</f>
        <v>12516080059</v>
      </c>
      <c r="AE37" s="39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38">
        <f t="shared" ref="AQ37:AQ54" si="7">SUM(AE37:AP37)</f>
        <v>0</v>
      </c>
      <c r="AR37" s="39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38">
        <f t="shared" ref="BD37:BD54" si="8">SUM(AR37:BC37)</f>
        <v>0</v>
      </c>
    </row>
    <row r="38" spans="1:56" s="41" customFormat="1">
      <c r="A38" s="44" t="s">
        <v>162</v>
      </c>
      <c r="B38" s="42" t="s">
        <v>99</v>
      </c>
      <c r="C38" s="35" t="s">
        <v>100</v>
      </c>
      <c r="D38" s="61">
        <f t="shared" si="4"/>
        <v>655441407</v>
      </c>
      <c r="E38" s="36">
        <v>55386</v>
      </c>
      <c r="F38" s="37">
        <v>40610520</v>
      </c>
      <c r="G38" s="37">
        <v>1487287</v>
      </c>
      <c r="H38" s="37">
        <v>64626810</v>
      </c>
      <c r="I38" s="37">
        <v>699066</v>
      </c>
      <c r="J38" s="37">
        <v>54222705</v>
      </c>
      <c r="K38" s="37">
        <v>167067</v>
      </c>
      <c r="L38" s="37">
        <v>117733590</v>
      </c>
      <c r="M38" s="37">
        <v>138915</v>
      </c>
      <c r="N38" s="37">
        <v>90653850</v>
      </c>
      <c r="O38" s="37">
        <v>0</v>
      </c>
      <c r="P38" s="37">
        <v>0</v>
      </c>
      <c r="Q38" s="37">
        <v>129879</v>
      </c>
      <c r="R38" s="37">
        <v>90284310</v>
      </c>
      <c r="S38" s="37">
        <v>558383</v>
      </c>
      <c r="T38" s="37">
        <v>33933870</v>
      </c>
      <c r="U38" s="37">
        <v>86175</v>
      </c>
      <c r="V38" s="37">
        <v>62925750</v>
      </c>
      <c r="W38" s="37">
        <v>62712</v>
      </c>
      <c r="X38" s="37">
        <v>42691680</v>
      </c>
      <c r="Y38" s="37">
        <v>58581</v>
      </c>
      <c r="Z38" s="37">
        <v>45171090</v>
      </c>
      <c r="AA38" s="37">
        <v>9450</v>
      </c>
      <c r="AB38" s="37">
        <v>8410500</v>
      </c>
      <c r="AC38" s="37">
        <f t="shared" si="5"/>
        <v>3452901</v>
      </c>
      <c r="AD38" s="38">
        <f t="shared" si="6"/>
        <v>651264675</v>
      </c>
      <c r="AE38" s="39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38">
        <f t="shared" si="7"/>
        <v>0</v>
      </c>
      <c r="AR38" s="39">
        <v>59729</v>
      </c>
      <c r="AS38" s="37">
        <v>1124621</v>
      </c>
      <c r="AT38" s="37">
        <v>0</v>
      </c>
      <c r="AU38" s="37">
        <v>231128</v>
      </c>
      <c r="AV38" s="37">
        <v>0</v>
      </c>
      <c r="AW38" s="37">
        <v>0</v>
      </c>
      <c r="AX38" s="37">
        <v>0</v>
      </c>
      <c r="AY38" s="40">
        <v>2761254</v>
      </c>
      <c r="AZ38" s="40">
        <v>0</v>
      </c>
      <c r="BA38" s="40">
        <v>0</v>
      </c>
      <c r="BB38" s="40">
        <v>0</v>
      </c>
      <c r="BC38" s="40">
        <v>0</v>
      </c>
      <c r="BD38" s="38">
        <f t="shared" si="8"/>
        <v>4176732</v>
      </c>
    </row>
    <row r="39" spans="1:56" s="41" customFormat="1">
      <c r="A39" s="44" t="s">
        <v>162</v>
      </c>
      <c r="B39" s="42" t="s">
        <v>101</v>
      </c>
      <c r="C39" s="35" t="s">
        <v>102</v>
      </c>
      <c r="D39" s="61">
        <f t="shared" si="4"/>
        <v>5734610189</v>
      </c>
      <c r="E39" s="36">
        <v>690092</v>
      </c>
      <c r="F39" s="37">
        <v>425351692</v>
      </c>
      <c r="G39" s="37">
        <v>740772</v>
      </c>
      <c r="H39" s="37">
        <v>456548911</v>
      </c>
      <c r="I39" s="37">
        <v>702972</v>
      </c>
      <c r="J39" s="37">
        <v>438770119</v>
      </c>
      <c r="K39" s="37">
        <v>977700</v>
      </c>
      <c r="L39" s="37">
        <v>588079732</v>
      </c>
      <c r="M39" s="37">
        <v>604260</v>
      </c>
      <c r="N39" s="37">
        <v>357861853</v>
      </c>
      <c r="O39" s="37">
        <v>887352</v>
      </c>
      <c r="P39" s="37">
        <v>523455182</v>
      </c>
      <c r="Q39" s="37">
        <v>819612</v>
      </c>
      <c r="R39" s="37">
        <v>487117908</v>
      </c>
      <c r="S39" s="37">
        <v>632556</v>
      </c>
      <c r="T39" s="37">
        <v>377496211</v>
      </c>
      <c r="U39" s="37">
        <v>944784</v>
      </c>
      <c r="V39" s="37">
        <v>567699530</v>
      </c>
      <c r="W39" s="37">
        <v>978588</v>
      </c>
      <c r="X39" s="37">
        <v>604038160</v>
      </c>
      <c r="Y39" s="37">
        <v>731700</v>
      </c>
      <c r="Z39" s="37">
        <v>466748517</v>
      </c>
      <c r="AA39" s="37">
        <v>689256</v>
      </c>
      <c r="AB39" s="37">
        <v>441442374</v>
      </c>
      <c r="AC39" s="37">
        <f t="shared" si="5"/>
        <v>9399644</v>
      </c>
      <c r="AD39" s="38">
        <f t="shared" si="6"/>
        <v>5734610189</v>
      </c>
      <c r="AE39" s="39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38">
        <f t="shared" si="7"/>
        <v>0</v>
      </c>
      <c r="AR39" s="39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38">
        <f t="shared" si="8"/>
        <v>0</v>
      </c>
    </row>
    <row r="40" spans="1:56" s="41" customFormat="1">
      <c r="A40" s="44" t="s">
        <v>162</v>
      </c>
      <c r="B40" s="42" t="s">
        <v>103</v>
      </c>
      <c r="C40" s="35" t="s">
        <v>104</v>
      </c>
      <c r="D40" s="61">
        <f t="shared" si="4"/>
        <v>0</v>
      </c>
      <c r="E40" s="36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f t="shared" si="5"/>
        <v>0</v>
      </c>
      <c r="AD40" s="38">
        <f t="shared" si="6"/>
        <v>0</v>
      </c>
      <c r="AE40" s="39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38">
        <f t="shared" si="7"/>
        <v>0</v>
      </c>
      <c r="AR40" s="39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38">
        <f t="shared" si="8"/>
        <v>0</v>
      </c>
    </row>
    <row r="41" spans="1:56" s="41" customFormat="1">
      <c r="A41" s="44" t="s">
        <v>162</v>
      </c>
      <c r="B41" s="42" t="s">
        <v>106</v>
      </c>
      <c r="C41" s="35" t="s">
        <v>105</v>
      </c>
      <c r="D41" s="61">
        <f t="shared" si="4"/>
        <v>18532914</v>
      </c>
      <c r="E41" s="36">
        <v>0</v>
      </c>
      <c r="F41" s="37">
        <v>0</v>
      </c>
      <c r="G41" s="37">
        <v>1262630</v>
      </c>
      <c r="H41" s="37">
        <v>0</v>
      </c>
      <c r="I41" s="37">
        <v>157380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45550</v>
      </c>
      <c r="R41" s="37">
        <v>0</v>
      </c>
      <c r="S41" s="37">
        <v>0</v>
      </c>
      <c r="T41" s="37">
        <v>0</v>
      </c>
      <c r="U41" s="37">
        <v>22620</v>
      </c>
      <c r="V41" s="37">
        <v>0</v>
      </c>
      <c r="W41" s="37">
        <v>134370</v>
      </c>
      <c r="X41" s="37">
        <v>0</v>
      </c>
      <c r="Y41" s="37">
        <v>0</v>
      </c>
      <c r="Z41" s="37">
        <v>0</v>
      </c>
      <c r="AA41" s="37">
        <v>43140</v>
      </c>
      <c r="AB41" s="37">
        <v>0</v>
      </c>
      <c r="AC41" s="37">
        <f t="shared" si="5"/>
        <v>1665690</v>
      </c>
      <c r="AD41" s="38">
        <f t="shared" si="6"/>
        <v>0</v>
      </c>
      <c r="AE41" s="39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38">
        <f t="shared" si="7"/>
        <v>0</v>
      </c>
      <c r="AR41" s="39">
        <v>0</v>
      </c>
      <c r="AS41" s="37">
        <v>13698753</v>
      </c>
      <c r="AT41" s="37">
        <v>1900506</v>
      </c>
      <c r="AU41" s="37">
        <v>0</v>
      </c>
      <c r="AV41" s="37">
        <v>0</v>
      </c>
      <c r="AW41" s="37">
        <v>0</v>
      </c>
      <c r="AX41" s="37">
        <v>529759</v>
      </c>
      <c r="AY41" s="40">
        <v>0</v>
      </c>
      <c r="AZ41" s="40">
        <v>266095</v>
      </c>
      <c r="BA41" s="40">
        <v>1601814</v>
      </c>
      <c r="BB41" s="40">
        <v>0</v>
      </c>
      <c r="BC41" s="40">
        <v>535987</v>
      </c>
      <c r="BD41" s="38">
        <f t="shared" si="8"/>
        <v>18532914</v>
      </c>
    </row>
    <row r="42" spans="1:56" s="41" customFormat="1">
      <c r="A42" s="44" t="s">
        <v>162</v>
      </c>
      <c r="B42" s="42" t="s">
        <v>108</v>
      </c>
      <c r="C42" s="35" t="s">
        <v>107</v>
      </c>
      <c r="D42" s="61">
        <f t="shared" si="4"/>
        <v>218329249</v>
      </c>
      <c r="E42" s="36">
        <v>3662</v>
      </c>
      <c r="F42" s="37">
        <v>13457468</v>
      </c>
      <c r="G42" s="37">
        <v>8045</v>
      </c>
      <c r="H42" s="37">
        <v>24090648</v>
      </c>
      <c r="I42" s="37">
        <v>7245</v>
      </c>
      <c r="J42" s="37">
        <v>19278185</v>
      </c>
      <c r="K42" s="37">
        <v>6756</v>
      </c>
      <c r="L42" s="37">
        <v>19233591</v>
      </c>
      <c r="M42" s="37">
        <v>8209</v>
      </c>
      <c r="N42" s="37">
        <v>21284523</v>
      </c>
      <c r="O42" s="37">
        <v>6186</v>
      </c>
      <c r="P42" s="37">
        <v>19907301</v>
      </c>
      <c r="Q42" s="37">
        <v>4569</v>
      </c>
      <c r="R42" s="37">
        <v>15824205</v>
      </c>
      <c r="S42" s="37">
        <v>4362</v>
      </c>
      <c r="T42" s="37">
        <v>16868688</v>
      </c>
      <c r="U42" s="37">
        <v>4521</v>
      </c>
      <c r="V42" s="37">
        <v>14569719</v>
      </c>
      <c r="W42" s="37">
        <v>6387</v>
      </c>
      <c r="X42" s="37">
        <v>22112146</v>
      </c>
      <c r="Y42" s="37">
        <v>4127</v>
      </c>
      <c r="Z42" s="37">
        <v>14410254</v>
      </c>
      <c r="AA42" s="37">
        <v>3390</v>
      </c>
      <c r="AB42" s="37">
        <v>17292521</v>
      </c>
      <c r="AC42" s="37">
        <f t="shared" si="5"/>
        <v>67459</v>
      </c>
      <c r="AD42" s="38">
        <f t="shared" si="6"/>
        <v>218329249</v>
      </c>
      <c r="AE42" s="39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38">
        <f t="shared" si="7"/>
        <v>0</v>
      </c>
      <c r="AR42" s="39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38">
        <f t="shared" si="8"/>
        <v>0</v>
      </c>
    </row>
    <row r="43" spans="1:56" s="41" customFormat="1">
      <c r="A43" s="44" t="s">
        <v>162</v>
      </c>
      <c r="B43" s="42" t="s">
        <v>110</v>
      </c>
      <c r="C43" s="35" t="s">
        <v>109</v>
      </c>
      <c r="D43" s="61">
        <f t="shared" si="4"/>
        <v>30959960402</v>
      </c>
      <c r="E43" s="36">
        <v>3610971</v>
      </c>
      <c r="F43" s="37">
        <v>2781131154</v>
      </c>
      <c r="G43" s="37">
        <v>3004051</v>
      </c>
      <c r="H43" s="37">
        <v>2559532639</v>
      </c>
      <c r="I43" s="37">
        <v>3406160</v>
      </c>
      <c r="J43" s="37">
        <v>2756923715</v>
      </c>
      <c r="K43" s="37">
        <v>3749348</v>
      </c>
      <c r="L43" s="37">
        <v>2893427352</v>
      </c>
      <c r="M43" s="37">
        <v>3393558</v>
      </c>
      <c r="N43" s="37">
        <v>2596947175</v>
      </c>
      <c r="O43" s="37">
        <v>3400455</v>
      </c>
      <c r="P43" s="37">
        <v>2818457578</v>
      </c>
      <c r="Q43" s="37">
        <v>3703672</v>
      </c>
      <c r="R43" s="37">
        <v>2890835517</v>
      </c>
      <c r="S43" s="37">
        <v>3160453</v>
      </c>
      <c r="T43" s="37">
        <v>2349232562</v>
      </c>
      <c r="U43" s="37">
        <v>2573911</v>
      </c>
      <c r="V43" s="37">
        <v>2010943600</v>
      </c>
      <c r="W43" s="37">
        <v>3171957</v>
      </c>
      <c r="X43" s="37">
        <v>2499276099</v>
      </c>
      <c r="Y43" s="37">
        <v>2815224</v>
      </c>
      <c r="Z43" s="37">
        <v>2205157454</v>
      </c>
      <c r="AA43" s="37">
        <v>3502276</v>
      </c>
      <c r="AB43" s="37">
        <v>2598095557</v>
      </c>
      <c r="AC43" s="37">
        <f t="shared" si="5"/>
        <v>39492036</v>
      </c>
      <c r="AD43" s="38">
        <f t="shared" si="6"/>
        <v>30959960402</v>
      </c>
      <c r="AE43" s="39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40">
        <v>0</v>
      </c>
      <c r="AM43" s="40">
        <v>0</v>
      </c>
      <c r="AN43" s="40">
        <v>0</v>
      </c>
      <c r="AO43" s="40">
        <v>0</v>
      </c>
      <c r="AP43" s="40">
        <v>0</v>
      </c>
      <c r="AQ43" s="38">
        <f t="shared" si="7"/>
        <v>0</v>
      </c>
      <c r="AR43" s="39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38">
        <f t="shared" si="8"/>
        <v>0</v>
      </c>
    </row>
    <row r="44" spans="1:56" s="41" customFormat="1">
      <c r="A44" s="44" t="s">
        <v>162</v>
      </c>
      <c r="B44" s="42" t="s">
        <v>112</v>
      </c>
      <c r="C44" s="35" t="s">
        <v>111</v>
      </c>
      <c r="D44" s="61">
        <f t="shared" si="4"/>
        <v>2540600416</v>
      </c>
      <c r="E44" s="36">
        <v>163109</v>
      </c>
      <c r="F44" s="37">
        <v>119130758</v>
      </c>
      <c r="G44" s="37">
        <v>265483</v>
      </c>
      <c r="H44" s="37">
        <v>194021802</v>
      </c>
      <c r="I44" s="37">
        <v>234025</v>
      </c>
      <c r="J44" s="37">
        <v>172887649</v>
      </c>
      <c r="K44" s="37">
        <v>248245</v>
      </c>
      <c r="L44" s="37">
        <v>176883826</v>
      </c>
      <c r="M44" s="37">
        <v>275646</v>
      </c>
      <c r="N44" s="37">
        <v>192346864</v>
      </c>
      <c r="O44" s="37">
        <v>273668</v>
      </c>
      <c r="P44" s="37">
        <v>190701215</v>
      </c>
      <c r="Q44" s="37">
        <v>349827</v>
      </c>
      <c r="R44" s="37">
        <v>243170658</v>
      </c>
      <c r="S44" s="37">
        <v>343716</v>
      </c>
      <c r="T44" s="37">
        <v>235865222</v>
      </c>
      <c r="U44" s="37">
        <v>183542</v>
      </c>
      <c r="V44" s="37">
        <v>131006649</v>
      </c>
      <c r="W44" s="37">
        <v>371606</v>
      </c>
      <c r="X44" s="37">
        <v>264323893</v>
      </c>
      <c r="Y44" s="37">
        <v>398825</v>
      </c>
      <c r="Z44" s="37">
        <v>292226753</v>
      </c>
      <c r="AA44" s="37">
        <v>441764</v>
      </c>
      <c r="AB44" s="37">
        <v>328035127</v>
      </c>
      <c r="AC44" s="37">
        <f t="shared" si="5"/>
        <v>3549456</v>
      </c>
      <c r="AD44" s="38">
        <f t="shared" si="6"/>
        <v>2540600416</v>
      </c>
      <c r="AE44" s="39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38">
        <f t="shared" si="7"/>
        <v>0</v>
      </c>
      <c r="AR44" s="39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38">
        <f t="shared" si="8"/>
        <v>0</v>
      </c>
    </row>
    <row r="45" spans="1:56" s="41" customFormat="1">
      <c r="A45" s="44" t="s">
        <v>162</v>
      </c>
      <c r="B45" s="42" t="s">
        <v>114</v>
      </c>
      <c r="C45" s="35" t="s">
        <v>113</v>
      </c>
      <c r="D45" s="61">
        <f t="shared" si="4"/>
        <v>378604214</v>
      </c>
      <c r="E45" s="36">
        <v>38104</v>
      </c>
      <c r="F45" s="37">
        <v>46064155</v>
      </c>
      <c r="G45" s="37">
        <v>33160</v>
      </c>
      <c r="H45" s="37">
        <v>40386807</v>
      </c>
      <c r="I45" s="37">
        <v>35280</v>
      </c>
      <c r="J45" s="37">
        <v>42497532</v>
      </c>
      <c r="K45" s="37">
        <v>14844</v>
      </c>
      <c r="L45" s="37">
        <v>17721968</v>
      </c>
      <c r="M45" s="37">
        <v>41800</v>
      </c>
      <c r="N45" s="37">
        <v>46746237</v>
      </c>
      <c r="O45" s="37">
        <v>12600</v>
      </c>
      <c r="P45" s="37">
        <v>14652372</v>
      </c>
      <c r="Q45" s="37">
        <v>10080</v>
      </c>
      <c r="R45" s="37">
        <v>11710115</v>
      </c>
      <c r="S45" s="37">
        <v>23326</v>
      </c>
      <c r="T45" s="37">
        <v>26628319</v>
      </c>
      <c r="U45" s="37">
        <v>12072</v>
      </c>
      <c r="V45" s="37">
        <v>14061709</v>
      </c>
      <c r="W45" s="37">
        <v>6640</v>
      </c>
      <c r="X45" s="37">
        <v>7283172</v>
      </c>
      <c r="Y45" s="37">
        <v>128360</v>
      </c>
      <c r="Z45" s="37">
        <v>69179486</v>
      </c>
      <c r="AA45" s="37">
        <v>33560</v>
      </c>
      <c r="AB45" s="37">
        <v>41672342</v>
      </c>
      <c r="AC45" s="37">
        <f t="shared" si="5"/>
        <v>389826</v>
      </c>
      <c r="AD45" s="38">
        <f t="shared" si="6"/>
        <v>378604214</v>
      </c>
      <c r="AE45" s="39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38">
        <f t="shared" si="7"/>
        <v>0</v>
      </c>
      <c r="AR45" s="39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38">
        <f t="shared" si="8"/>
        <v>0</v>
      </c>
    </row>
    <row r="46" spans="1:56" s="41" customFormat="1">
      <c r="A46" s="44" t="s">
        <v>162</v>
      </c>
      <c r="B46" s="42" t="s">
        <v>116</v>
      </c>
      <c r="C46" s="35" t="s">
        <v>115</v>
      </c>
      <c r="D46" s="61">
        <f t="shared" si="4"/>
        <v>21557214</v>
      </c>
      <c r="E46" s="36">
        <v>15</v>
      </c>
      <c r="F46" s="37">
        <v>49770</v>
      </c>
      <c r="G46" s="37">
        <v>4160</v>
      </c>
      <c r="H46" s="37">
        <v>8431500</v>
      </c>
      <c r="I46" s="37">
        <v>150</v>
      </c>
      <c r="J46" s="37">
        <v>497700</v>
      </c>
      <c r="K46" s="37">
        <v>150</v>
      </c>
      <c r="L46" s="37">
        <v>497700</v>
      </c>
      <c r="M46" s="37">
        <v>0</v>
      </c>
      <c r="N46" s="37">
        <v>0</v>
      </c>
      <c r="O46" s="37">
        <v>0</v>
      </c>
      <c r="P46" s="37">
        <v>0</v>
      </c>
      <c r="Q46" s="37">
        <v>100</v>
      </c>
      <c r="R46" s="37">
        <v>331800</v>
      </c>
      <c r="S46" s="37">
        <v>1540</v>
      </c>
      <c r="T46" s="37">
        <v>3072300</v>
      </c>
      <c r="U46" s="37">
        <v>100</v>
      </c>
      <c r="V46" s="37">
        <v>331800</v>
      </c>
      <c r="W46" s="37">
        <v>60</v>
      </c>
      <c r="X46" s="37">
        <v>199080</v>
      </c>
      <c r="Y46" s="37">
        <v>40</v>
      </c>
      <c r="Z46" s="37">
        <v>132720</v>
      </c>
      <c r="AA46" s="37">
        <v>3978</v>
      </c>
      <c r="AB46" s="37">
        <v>8012844</v>
      </c>
      <c r="AC46" s="37">
        <f t="shared" si="5"/>
        <v>10293</v>
      </c>
      <c r="AD46" s="38">
        <f t="shared" si="6"/>
        <v>21557214</v>
      </c>
      <c r="AE46" s="39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38">
        <f t="shared" si="7"/>
        <v>0</v>
      </c>
      <c r="AR46" s="39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38">
        <f t="shared" si="8"/>
        <v>0</v>
      </c>
    </row>
    <row r="47" spans="1:56" s="41" customFormat="1">
      <c r="A47" s="44" t="s">
        <v>162</v>
      </c>
      <c r="B47" s="42" t="s">
        <v>118</v>
      </c>
      <c r="C47" s="35" t="s">
        <v>117</v>
      </c>
      <c r="D47" s="61">
        <f t="shared" si="4"/>
        <v>2695646549</v>
      </c>
      <c r="E47" s="36">
        <v>26800</v>
      </c>
      <c r="F47" s="37">
        <v>272249126</v>
      </c>
      <c r="G47" s="37">
        <v>19483</v>
      </c>
      <c r="H47" s="37">
        <v>211216370</v>
      </c>
      <c r="I47" s="37">
        <v>21489</v>
      </c>
      <c r="J47" s="37">
        <v>231116298</v>
      </c>
      <c r="K47" s="37">
        <v>36015</v>
      </c>
      <c r="L47" s="37">
        <v>267984203</v>
      </c>
      <c r="M47" s="37">
        <v>19983</v>
      </c>
      <c r="N47" s="37">
        <v>219112483</v>
      </c>
      <c r="O47" s="37">
        <v>48314</v>
      </c>
      <c r="P47" s="37">
        <v>258638576</v>
      </c>
      <c r="Q47" s="37">
        <v>42164</v>
      </c>
      <c r="R47" s="37">
        <v>244843015</v>
      </c>
      <c r="S47" s="37">
        <v>12633</v>
      </c>
      <c r="T47" s="37">
        <v>129139235</v>
      </c>
      <c r="U47" s="37">
        <v>12919</v>
      </c>
      <c r="V47" s="37">
        <v>147869129</v>
      </c>
      <c r="W47" s="37">
        <v>48882</v>
      </c>
      <c r="X47" s="37">
        <v>235003856</v>
      </c>
      <c r="Y47" s="37">
        <v>75137</v>
      </c>
      <c r="Z47" s="37">
        <v>255200083</v>
      </c>
      <c r="AA47" s="37">
        <v>165229</v>
      </c>
      <c r="AB47" s="37">
        <v>223274175</v>
      </c>
      <c r="AC47" s="37">
        <f t="shared" si="5"/>
        <v>529048</v>
      </c>
      <c r="AD47" s="38">
        <f t="shared" si="6"/>
        <v>2695646549</v>
      </c>
      <c r="AE47" s="39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38">
        <f t="shared" si="7"/>
        <v>0</v>
      </c>
      <c r="AR47" s="39">
        <v>0</v>
      </c>
      <c r="AS47" s="37">
        <v>0</v>
      </c>
      <c r="AT47" s="37">
        <v>0</v>
      </c>
      <c r="AU47" s="37">
        <v>0</v>
      </c>
      <c r="AV47" s="37">
        <v>0</v>
      </c>
      <c r="AW47" s="37">
        <v>0</v>
      </c>
      <c r="AX47" s="37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38">
        <f t="shared" si="8"/>
        <v>0</v>
      </c>
    </row>
    <row r="48" spans="1:56" s="41" customFormat="1">
      <c r="A48" s="44" t="s">
        <v>162</v>
      </c>
      <c r="B48" s="42" t="s">
        <v>120</v>
      </c>
      <c r="C48" s="35" t="s">
        <v>119</v>
      </c>
      <c r="D48" s="61">
        <f t="shared" si="4"/>
        <v>1761709641</v>
      </c>
      <c r="E48" s="36">
        <v>1607031</v>
      </c>
      <c r="F48" s="37">
        <v>118559560</v>
      </c>
      <c r="G48" s="37">
        <v>4521922</v>
      </c>
      <c r="H48" s="37">
        <v>145001334</v>
      </c>
      <c r="I48" s="37">
        <v>4264660</v>
      </c>
      <c r="J48" s="37">
        <v>160056773</v>
      </c>
      <c r="K48" s="37">
        <v>5163318</v>
      </c>
      <c r="L48" s="37">
        <v>171027575</v>
      </c>
      <c r="M48" s="37">
        <v>7089879</v>
      </c>
      <c r="N48" s="37">
        <v>208703379</v>
      </c>
      <c r="O48" s="37">
        <v>2192450</v>
      </c>
      <c r="P48" s="37">
        <v>60314526</v>
      </c>
      <c r="Q48" s="37">
        <v>2194850</v>
      </c>
      <c r="R48" s="37">
        <v>52666878</v>
      </c>
      <c r="S48" s="37">
        <v>1721305</v>
      </c>
      <c r="T48" s="37">
        <v>23781600</v>
      </c>
      <c r="U48" s="37">
        <v>3918650</v>
      </c>
      <c r="V48" s="37">
        <v>119857981</v>
      </c>
      <c r="W48" s="37">
        <v>6049990</v>
      </c>
      <c r="X48" s="37">
        <v>235156373</v>
      </c>
      <c r="Y48" s="37">
        <v>4741210</v>
      </c>
      <c r="Z48" s="37">
        <v>148146059</v>
      </c>
      <c r="AA48" s="37">
        <v>7596710</v>
      </c>
      <c r="AB48" s="37">
        <v>239311480</v>
      </c>
      <c r="AC48" s="37">
        <f t="shared" si="5"/>
        <v>51061975</v>
      </c>
      <c r="AD48" s="38">
        <f t="shared" si="6"/>
        <v>1682583518</v>
      </c>
      <c r="AE48" s="39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38">
        <f t="shared" si="7"/>
        <v>0</v>
      </c>
      <c r="AR48" s="39">
        <v>1758920</v>
      </c>
      <c r="AS48" s="37">
        <v>3689021</v>
      </c>
      <c r="AT48" s="37">
        <v>5289497</v>
      </c>
      <c r="AU48" s="37">
        <v>8357470</v>
      </c>
      <c r="AV48" s="37">
        <v>8388101</v>
      </c>
      <c r="AW48" s="37">
        <v>5225266</v>
      </c>
      <c r="AX48" s="37">
        <v>1856901</v>
      </c>
      <c r="AY48" s="40">
        <v>3816201</v>
      </c>
      <c r="AZ48" s="40">
        <v>4110530</v>
      </c>
      <c r="BA48" s="40">
        <v>12522956</v>
      </c>
      <c r="BB48" s="40">
        <v>13235481</v>
      </c>
      <c r="BC48" s="40">
        <v>10875779</v>
      </c>
      <c r="BD48" s="38">
        <f t="shared" si="8"/>
        <v>79126123</v>
      </c>
    </row>
    <row r="49" spans="1:56" s="41" customFormat="1">
      <c r="A49" s="44" t="s">
        <v>162</v>
      </c>
      <c r="B49" s="42" t="s">
        <v>122</v>
      </c>
      <c r="C49" s="35" t="s">
        <v>121</v>
      </c>
      <c r="D49" s="61">
        <f t="shared" si="4"/>
        <v>8961035</v>
      </c>
      <c r="E49" s="36">
        <v>0</v>
      </c>
      <c r="F49" s="37">
        <v>0</v>
      </c>
      <c r="G49" s="37">
        <v>0</v>
      </c>
      <c r="H49" s="37">
        <v>0</v>
      </c>
      <c r="I49" s="37">
        <v>4000</v>
      </c>
      <c r="J49" s="37">
        <v>0</v>
      </c>
      <c r="K49" s="37">
        <v>0</v>
      </c>
      <c r="L49" s="37">
        <v>0</v>
      </c>
      <c r="M49" s="37">
        <v>4000</v>
      </c>
      <c r="N49" s="37">
        <v>765176</v>
      </c>
      <c r="O49" s="37">
        <v>0</v>
      </c>
      <c r="P49" s="37">
        <v>0</v>
      </c>
      <c r="Q49" s="37">
        <v>4000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4000</v>
      </c>
      <c r="X49" s="37">
        <v>0</v>
      </c>
      <c r="Y49" s="37">
        <v>18000</v>
      </c>
      <c r="Z49" s="37">
        <v>6878973</v>
      </c>
      <c r="AA49" s="37">
        <v>0</v>
      </c>
      <c r="AB49" s="37">
        <v>0</v>
      </c>
      <c r="AC49" s="37">
        <f t="shared" si="5"/>
        <v>34000</v>
      </c>
      <c r="AD49" s="38">
        <f t="shared" si="6"/>
        <v>7644149</v>
      </c>
      <c r="AE49" s="39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38">
        <f t="shared" si="7"/>
        <v>0</v>
      </c>
      <c r="AR49" s="39">
        <v>0</v>
      </c>
      <c r="AS49" s="37">
        <v>0</v>
      </c>
      <c r="AT49" s="37">
        <v>338881</v>
      </c>
      <c r="AU49" s="37">
        <v>0</v>
      </c>
      <c r="AV49" s="37">
        <v>322745</v>
      </c>
      <c r="AW49" s="37">
        <v>0</v>
      </c>
      <c r="AX49" s="37">
        <v>322934</v>
      </c>
      <c r="AY49" s="40">
        <v>0</v>
      </c>
      <c r="AZ49" s="40">
        <v>0</v>
      </c>
      <c r="BA49" s="40">
        <v>332326</v>
      </c>
      <c r="BB49" s="40">
        <v>0</v>
      </c>
      <c r="BC49" s="40">
        <v>0</v>
      </c>
      <c r="BD49" s="38">
        <f t="shared" si="8"/>
        <v>1316886</v>
      </c>
    </row>
    <row r="50" spans="1:56" s="41" customFormat="1">
      <c r="A50" s="44" t="s">
        <v>163</v>
      </c>
      <c r="B50" s="42" t="s">
        <v>125</v>
      </c>
      <c r="C50" s="35" t="s">
        <v>124</v>
      </c>
      <c r="D50" s="61">
        <f t="shared" si="4"/>
        <v>21240442</v>
      </c>
      <c r="E50" s="36">
        <v>0</v>
      </c>
      <c r="F50" s="37">
        <v>0</v>
      </c>
      <c r="G50" s="37">
        <v>32</v>
      </c>
      <c r="H50" s="37">
        <v>79937</v>
      </c>
      <c r="I50" s="37">
        <v>0</v>
      </c>
      <c r="J50" s="37">
        <v>0</v>
      </c>
      <c r="K50" s="37">
        <v>2670</v>
      </c>
      <c r="L50" s="37">
        <v>52725</v>
      </c>
      <c r="M50" s="37">
        <v>0</v>
      </c>
      <c r="N50" s="37">
        <v>0</v>
      </c>
      <c r="O50" s="37">
        <v>2000</v>
      </c>
      <c r="P50" s="37">
        <v>0</v>
      </c>
      <c r="Q50" s="37">
        <v>488</v>
      </c>
      <c r="R50" s="37">
        <v>14178926</v>
      </c>
      <c r="S50" s="37">
        <v>76</v>
      </c>
      <c r="T50" s="37">
        <v>178110</v>
      </c>
      <c r="U50" s="37">
        <v>0</v>
      </c>
      <c r="V50" s="37">
        <v>0</v>
      </c>
      <c r="W50" s="37">
        <v>3983</v>
      </c>
      <c r="X50" s="37">
        <v>418015</v>
      </c>
      <c r="Y50" s="37">
        <v>0</v>
      </c>
      <c r="Z50" s="37">
        <v>0</v>
      </c>
      <c r="AA50" s="37">
        <v>0</v>
      </c>
      <c r="AB50" s="37">
        <v>0</v>
      </c>
      <c r="AC50" s="37">
        <f t="shared" si="5"/>
        <v>9249</v>
      </c>
      <c r="AD50" s="38">
        <f t="shared" si="6"/>
        <v>14907713</v>
      </c>
      <c r="AE50" s="39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38">
        <f t="shared" si="7"/>
        <v>0</v>
      </c>
      <c r="AR50" s="39">
        <v>0</v>
      </c>
      <c r="AS50" s="37">
        <v>0</v>
      </c>
      <c r="AT50" s="37">
        <v>0</v>
      </c>
      <c r="AU50" s="37">
        <v>4350432</v>
      </c>
      <c r="AV50" s="37">
        <v>0</v>
      </c>
      <c r="AW50" s="37">
        <v>712775</v>
      </c>
      <c r="AX50" s="37">
        <v>78072</v>
      </c>
      <c r="AY50" s="40">
        <v>0</v>
      </c>
      <c r="AZ50" s="40">
        <v>0</v>
      </c>
      <c r="BA50" s="40">
        <v>1191450</v>
      </c>
      <c r="BB50" s="40">
        <v>0</v>
      </c>
      <c r="BC50" s="40">
        <v>0</v>
      </c>
      <c r="BD50" s="38">
        <f t="shared" si="8"/>
        <v>6332729</v>
      </c>
    </row>
    <row r="51" spans="1:56" s="41" customFormat="1">
      <c r="A51" s="44" t="s">
        <v>163</v>
      </c>
      <c r="B51" s="42" t="s">
        <v>127</v>
      </c>
      <c r="C51" s="35" t="s">
        <v>126</v>
      </c>
      <c r="D51" s="61">
        <f t="shared" si="4"/>
        <v>3401614712</v>
      </c>
      <c r="E51" s="36">
        <v>26657000</v>
      </c>
      <c r="F51" s="37">
        <v>0</v>
      </c>
      <c r="G51" s="37">
        <v>54879625</v>
      </c>
      <c r="H51" s="37">
        <v>16315264</v>
      </c>
      <c r="I51" s="37">
        <v>52150100</v>
      </c>
      <c r="J51" s="37">
        <v>22673</v>
      </c>
      <c r="K51" s="37">
        <v>50800600</v>
      </c>
      <c r="L51" s="37">
        <v>29270847</v>
      </c>
      <c r="M51" s="37">
        <v>59305800</v>
      </c>
      <c r="N51" s="37">
        <v>74979518</v>
      </c>
      <c r="O51" s="37">
        <v>54992279</v>
      </c>
      <c r="P51" s="37">
        <v>91656070</v>
      </c>
      <c r="Q51" s="37">
        <v>27471600</v>
      </c>
      <c r="R51" s="37">
        <v>41562196</v>
      </c>
      <c r="S51" s="37">
        <v>59118800</v>
      </c>
      <c r="T51" s="37">
        <v>20712329</v>
      </c>
      <c r="U51" s="37">
        <v>50216600</v>
      </c>
      <c r="V51" s="37">
        <v>17621590</v>
      </c>
      <c r="W51" s="37">
        <v>64038400</v>
      </c>
      <c r="X51" s="37">
        <v>40832134</v>
      </c>
      <c r="Y51" s="37">
        <v>79296825</v>
      </c>
      <c r="Z51" s="37">
        <v>76448609</v>
      </c>
      <c r="AA51" s="37">
        <v>57390000</v>
      </c>
      <c r="AB51" s="37">
        <v>26153158</v>
      </c>
      <c r="AC51" s="37">
        <f t="shared" si="5"/>
        <v>636317629</v>
      </c>
      <c r="AD51" s="38">
        <f t="shared" si="6"/>
        <v>435574388</v>
      </c>
      <c r="AE51" s="39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38">
        <f t="shared" si="7"/>
        <v>0</v>
      </c>
      <c r="AR51" s="39">
        <v>130841787</v>
      </c>
      <c r="AS51" s="37">
        <v>252754306</v>
      </c>
      <c r="AT51" s="37">
        <v>243292536</v>
      </c>
      <c r="AU51" s="37">
        <v>234625173</v>
      </c>
      <c r="AV51" s="37">
        <v>247334354</v>
      </c>
      <c r="AW51" s="37">
        <v>229656478</v>
      </c>
      <c r="AX51" s="37">
        <v>203762501</v>
      </c>
      <c r="AY51" s="40">
        <v>245969158</v>
      </c>
      <c r="AZ51" s="40">
        <v>227001488</v>
      </c>
      <c r="BA51" s="40">
        <v>292284446</v>
      </c>
      <c r="BB51" s="40">
        <v>358475568</v>
      </c>
      <c r="BC51" s="40">
        <v>300042529</v>
      </c>
      <c r="BD51" s="38">
        <f t="shared" si="8"/>
        <v>2966040324</v>
      </c>
    </row>
    <row r="52" spans="1:56" s="41" customFormat="1">
      <c r="A52" s="44" t="s">
        <v>163</v>
      </c>
      <c r="B52" s="42" t="s">
        <v>129</v>
      </c>
      <c r="C52" s="35" t="s">
        <v>128</v>
      </c>
      <c r="D52" s="61">
        <f t="shared" si="4"/>
        <v>7083701086</v>
      </c>
      <c r="E52" s="36">
        <v>1</v>
      </c>
      <c r="F52" s="37">
        <v>0</v>
      </c>
      <c r="G52" s="37">
        <v>7</v>
      </c>
      <c r="H52" s="37">
        <v>0</v>
      </c>
      <c r="I52" s="37">
        <v>8</v>
      </c>
      <c r="J52" s="37">
        <v>0</v>
      </c>
      <c r="K52" s="37">
        <v>7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2</v>
      </c>
      <c r="Z52" s="37">
        <v>0</v>
      </c>
      <c r="AA52" s="37">
        <v>0</v>
      </c>
      <c r="AB52" s="37">
        <v>0</v>
      </c>
      <c r="AC52" s="37">
        <f t="shared" si="5"/>
        <v>25</v>
      </c>
      <c r="AD52" s="38">
        <f t="shared" si="6"/>
        <v>0</v>
      </c>
      <c r="AE52" s="39">
        <v>217801814</v>
      </c>
      <c r="AF52" s="37">
        <v>798057607</v>
      </c>
      <c r="AG52" s="37">
        <v>305584449</v>
      </c>
      <c r="AH52" s="37">
        <v>336348077</v>
      </c>
      <c r="AI52" s="37">
        <v>2350570652</v>
      </c>
      <c r="AJ52" s="37">
        <v>180354251</v>
      </c>
      <c r="AK52" s="37">
        <v>529926128</v>
      </c>
      <c r="AL52" s="40">
        <v>452769329</v>
      </c>
      <c r="AM52" s="40">
        <v>546593644</v>
      </c>
      <c r="AN52" s="40">
        <v>244769276</v>
      </c>
      <c r="AO52" s="40">
        <v>657307507</v>
      </c>
      <c r="AP52" s="40">
        <v>463618352</v>
      </c>
      <c r="AQ52" s="38">
        <f t="shared" si="7"/>
        <v>7083701086</v>
      </c>
      <c r="AR52" s="39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38">
        <f t="shared" si="8"/>
        <v>0</v>
      </c>
    </row>
    <row r="53" spans="1:56" s="41" customFormat="1">
      <c r="A53" s="44" t="s">
        <v>163</v>
      </c>
      <c r="B53" s="42" t="s">
        <v>131</v>
      </c>
      <c r="C53" s="35" t="s">
        <v>130</v>
      </c>
      <c r="D53" s="61">
        <f t="shared" si="4"/>
        <v>5557865778</v>
      </c>
      <c r="E53" s="36">
        <v>1</v>
      </c>
      <c r="F53" s="37">
        <v>0</v>
      </c>
      <c r="G53" s="37">
        <v>3</v>
      </c>
      <c r="H53" s="37">
        <v>0</v>
      </c>
      <c r="I53" s="37">
        <v>1</v>
      </c>
      <c r="J53" s="37">
        <v>0</v>
      </c>
      <c r="K53" s="37">
        <v>1</v>
      </c>
      <c r="L53" s="37">
        <v>0</v>
      </c>
      <c r="M53" s="37">
        <v>12</v>
      </c>
      <c r="N53" s="37">
        <v>0</v>
      </c>
      <c r="O53" s="37">
        <v>2</v>
      </c>
      <c r="P53" s="37">
        <v>0</v>
      </c>
      <c r="Q53" s="37">
        <v>6</v>
      </c>
      <c r="R53" s="37">
        <v>0</v>
      </c>
      <c r="S53" s="37">
        <v>5</v>
      </c>
      <c r="T53" s="37">
        <v>0</v>
      </c>
      <c r="U53" s="37">
        <v>2</v>
      </c>
      <c r="V53" s="37">
        <v>0</v>
      </c>
      <c r="W53" s="37">
        <v>7</v>
      </c>
      <c r="X53" s="37">
        <v>0</v>
      </c>
      <c r="Y53" s="37">
        <v>3</v>
      </c>
      <c r="Z53" s="37">
        <v>0</v>
      </c>
      <c r="AA53" s="37">
        <v>4</v>
      </c>
      <c r="AB53" s="37">
        <v>0</v>
      </c>
      <c r="AC53" s="37">
        <f t="shared" si="5"/>
        <v>47</v>
      </c>
      <c r="AD53" s="38">
        <f t="shared" si="6"/>
        <v>0</v>
      </c>
      <c r="AE53" s="39">
        <v>542300</v>
      </c>
      <c r="AF53" s="37">
        <v>548083308</v>
      </c>
      <c r="AG53" s="37">
        <v>1498548103</v>
      </c>
      <c r="AH53" s="37">
        <v>993650656</v>
      </c>
      <c r="AI53" s="37">
        <v>500579057</v>
      </c>
      <c r="AJ53" s="37">
        <v>846074430</v>
      </c>
      <c r="AK53" s="37">
        <v>211269785</v>
      </c>
      <c r="AL53" s="40">
        <v>142753411</v>
      </c>
      <c r="AM53" s="40">
        <v>182483348</v>
      </c>
      <c r="AN53" s="40">
        <v>367204434</v>
      </c>
      <c r="AO53" s="40">
        <v>107798607</v>
      </c>
      <c r="AP53" s="40">
        <v>158878339</v>
      </c>
      <c r="AQ53" s="38">
        <f t="shared" si="7"/>
        <v>5557865778</v>
      </c>
      <c r="AR53" s="39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38">
        <f t="shared" si="8"/>
        <v>0</v>
      </c>
    </row>
    <row r="54" spans="1:56" s="41" customFormat="1">
      <c r="A54" s="44" t="s">
        <v>123</v>
      </c>
      <c r="B54" s="34"/>
      <c r="C54" s="35" t="s">
        <v>134</v>
      </c>
      <c r="D54" s="61">
        <f t="shared" si="4"/>
        <v>4530542000</v>
      </c>
      <c r="E54" s="36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f t="shared" si="5"/>
        <v>0</v>
      </c>
      <c r="AD54" s="38">
        <f t="shared" si="6"/>
        <v>0</v>
      </c>
      <c r="AE54" s="39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38">
        <f t="shared" si="7"/>
        <v>0</v>
      </c>
      <c r="AR54" s="39">
        <v>231131000</v>
      </c>
      <c r="AS54" s="37">
        <v>269371000</v>
      </c>
      <c r="AT54" s="37">
        <v>236359000</v>
      </c>
      <c r="AU54" s="37">
        <v>421401000</v>
      </c>
      <c r="AV54" s="37">
        <v>511839000</v>
      </c>
      <c r="AW54" s="37">
        <v>549801000</v>
      </c>
      <c r="AX54" s="37">
        <v>496231000</v>
      </c>
      <c r="AY54" s="40">
        <v>571765000</v>
      </c>
      <c r="AZ54" s="40">
        <v>474503000</v>
      </c>
      <c r="BA54" s="40">
        <v>388653000</v>
      </c>
      <c r="BB54" s="40">
        <v>165207000</v>
      </c>
      <c r="BC54" s="40">
        <v>214281000</v>
      </c>
      <c r="BD54" s="38">
        <f t="shared" si="8"/>
        <v>4530542000</v>
      </c>
    </row>
    <row r="55" spans="1:56" ht="17.25" thickBot="1">
      <c r="A55" s="45"/>
      <c r="B55" s="13" t="s">
        <v>164</v>
      </c>
      <c r="C55" s="14"/>
      <c r="D55" s="15">
        <f t="shared" ref="D55:AJ55" si="9">SUBTOTAL(9,D5:D54)</f>
        <v>572147161663</v>
      </c>
      <c r="E55" s="15">
        <f t="shared" si="9"/>
        <v>116024987</v>
      </c>
      <c r="F55" s="16">
        <f t="shared" si="9"/>
        <v>44770750863</v>
      </c>
      <c r="G55" s="16">
        <f t="shared" si="9"/>
        <v>176292403</v>
      </c>
      <c r="H55" s="16">
        <f t="shared" si="9"/>
        <v>42701133945</v>
      </c>
      <c r="I55" s="16">
        <f t="shared" si="9"/>
        <v>175043187</v>
      </c>
      <c r="J55" s="16">
        <f t="shared" si="9"/>
        <v>48507255496</v>
      </c>
      <c r="K55" s="16">
        <f t="shared" si="9"/>
        <v>173550611</v>
      </c>
      <c r="L55" s="16">
        <f t="shared" si="9"/>
        <v>47481574847</v>
      </c>
      <c r="M55" s="16">
        <f t="shared" si="9"/>
        <v>200960669</v>
      </c>
      <c r="N55" s="16">
        <f t="shared" si="9"/>
        <v>42789599884</v>
      </c>
      <c r="O55" s="16">
        <f t="shared" si="9"/>
        <v>157301653</v>
      </c>
      <c r="P55" s="16">
        <f t="shared" si="9"/>
        <v>44264170668</v>
      </c>
      <c r="Q55" s="16">
        <f t="shared" si="9"/>
        <v>142694177</v>
      </c>
      <c r="R55" s="16">
        <f t="shared" si="9"/>
        <v>46171411455</v>
      </c>
      <c r="S55" s="16">
        <f t="shared" si="9"/>
        <v>168365532</v>
      </c>
      <c r="T55" s="16">
        <f t="shared" si="9"/>
        <v>37947630363</v>
      </c>
      <c r="U55" s="16">
        <f t="shared" si="9"/>
        <v>178625938</v>
      </c>
      <c r="V55" s="16">
        <f t="shared" si="9"/>
        <v>39063582296</v>
      </c>
      <c r="W55" s="16">
        <f t="shared" si="9"/>
        <v>206303224</v>
      </c>
      <c r="X55" s="16">
        <f t="shared" si="9"/>
        <v>45104593900</v>
      </c>
      <c r="Y55" s="16">
        <f t="shared" si="9"/>
        <v>224340690</v>
      </c>
      <c r="Z55" s="16">
        <f t="shared" si="9"/>
        <v>46501625261</v>
      </c>
      <c r="AA55" s="16">
        <f t="shared" si="9"/>
        <v>205079058</v>
      </c>
      <c r="AB55" s="16">
        <f t="shared" si="9"/>
        <v>50867999054</v>
      </c>
      <c r="AC55" s="16">
        <f t="shared" si="9"/>
        <v>2124582129</v>
      </c>
      <c r="AD55" s="16">
        <f t="shared" si="9"/>
        <v>536171328032</v>
      </c>
      <c r="AE55" s="18">
        <f t="shared" si="9"/>
        <v>218344114</v>
      </c>
      <c r="AF55" s="16">
        <f t="shared" si="9"/>
        <v>1346140915</v>
      </c>
      <c r="AG55" s="16">
        <f t="shared" si="9"/>
        <v>1804132552</v>
      </c>
      <c r="AH55" s="16">
        <f t="shared" si="9"/>
        <v>1329998733</v>
      </c>
      <c r="AI55" s="16">
        <f t="shared" si="9"/>
        <v>2851149709</v>
      </c>
      <c r="AJ55" s="16">
        <f t="shared" si="9"/>
        <v>1026428681</v>
      </c>
      <c r="AK55" s="16">
        <f t="shared" ref="AK55:BD55" si="10">SUBTOTAL(9,AK5:AK54)</f>
        <v>741195913</v>
      </c>
      <c r="AL55" s="16">
        <f t="shared" si="10"/>
        <v>595522740</v>
      </c>
      <c r="AM55" s="16">
        <f t="shared" si="10"/>
        <v>729076992</v>
      </c>
      <c r="AN55" s="16">
        <f t="shared" si="10"/>
        <v>611973710</v>
      </c>
      <c r="AO55" s="16">
        <f t="shared" si="10"/>
        <v>765106114</v>
      </c>
      <c r="AP55" s="16">
        <f t="shared" si="10"/>
        <v>622496691</v>
      </c>
      <c r="AQ55" s="17">
        <f t="shared" si="10"/>
        <v>12641566864</v>
      </c>
      <c r="AR55" s="18">
        <f t="shared" si="10"/>
        <v>1558141039</v>
      </c>
      <c r="AS55" s="16">
        <f t="shared" si="10"/>
        <v>1739248389</v>
      </c>
      <c r="AT55" s="16">
        <f t="shared" si="10"/>
        <v>1501671449</v>
      </c>
      <c r="AU55" s="16">
        <f t="shared" si="10"/>
        <v>1778814322</v>
      </c>
      <c r="AV55" s="16">
        <f t="shared" si="10"/>
        <v>2052662626</v>
      </c>
      <c r="AW55" s="16">
        <f t="shared" si="10"/>
        <v>1852073730</v>
      </c>
      <c r="AX55" s="16">
        <f t="shared" si="10"/>
        <v>2052704924</v>
      </c>
      <c r="AY55" s="16">
        <f t="shared" si="10"/>
        <v>1704223329</v>
      </c>
      <c r="AZ55" s="16">
        <f t="shared" si="10"/>
        <v>1906787409</v>
      </c>
      <c r="BA55" s="16">
        <f t="shared" si="10"/>
        <v>2452271037</v>
      </c>
      <c r="BB55" s="16">
        <f t="shared" si="10"/>
        <v>2408789542</v>
      </c>
      <c r="BC55" s="16">
        <f t="shared" si="10"/>
        <v>2326878971</v>
      </c>
      <c r="BD55" s="17">
        <f t="shared" si="10"/>
        <v>23334266767</v>
      </c>
    </row>
    <row r="56" spans="1:56" ht="17.25" thickBot="1">
      <c r="D56" s="60"/>
    </row>
    <row r="57" spans="1:56">
      <c r="A57" s="100" t="s">
        <v>160</v>
      </c>
      <c r="B57" s="101"/>
      <c r="C57" s="101"/>
      <c r="D57" s="30">
        <f>SUMIF($A$5:$A$54,$A57,D$5:D$54)</f>
        <v>402019353206</v>
      </c>
      <c r="E57" s="30">
        <f>SUMIF($A$5:$A$54,$A57,E$5:E$54)</f>
        <v>77614506</v>
      </c>
      <c r="F57" s="30">
        <f t="shared" ref="F57:AK60" si="11">SUMIF($A$5:$A$54,$A57,F$5:F$54)</f>
        <v>31869435794</v>
      </c>
      <c r="G57" s="30">
        <f t="shared" si="11"/>
        <v>106261074</v>
      </c>
      <c r="H57" s="30">
        <f t="shared" si="11"/>
        <v>30690532808</v>
      </c>
      <c r="I57" s="30">
        <f t="shared" si="11"/>
        <v>107450660</v>
      </c>
      <c r="J57" s="30">
        <f t="shared" si="11"/>
        <v>34687023581</v>
      </c>
      <c r="K57" s="30">
        <f t="shared" si="11"/>
        <v>106842930</v>
      </c>
      <c r="L57" s="30">
        <f t="shared" si="11"/>
        <v>34135089750</v>
      </c>
      <c r="M57" s="30">
        <f t="shared" si="11"/>
        <v>123724235</v>
      </c>
      <c r="N57" s="30">
        <f t="shared" si="11"/>
        <v>30561066656</v>
      </c>
      <c r="O57" s="30">
        <f t="shared" si="11"/>
        <v>90341639</v>
      </c>
      <c r="P57" s="30">
        <f t="shared" si="11"/>
        <v>32039602539</v>
      </c>
      <c r="Q57" s="30">
        <f t="shared" si="11"/>
        <v>100913078</v>
      </c>
      <c r="R57" s="30">
        <f t="shared" si="11"/>
        <v>33691963136</v>
      </c>
      <c r="S57" s="30">
        <f t="shared" si="11"/>
        <v>98309155</v>
      </c>
      <c r="T57" s="30">
        <f t="shared" si="11"/>
        <v>27558301111</v>
      </c>
      <c r="U57" s="30">
        <f t="shared" si="11"/>
        <v>117414645</v>
      </c>
      <c r="V57" s="30">
        <f t="shared" si="11"/>
        <v>28477538138</v>
      </c>
      <c r="W57" s="30">
        <f t="shared" si="11"/>
        <v>127678746</v>
      </c>
      <c r="X57" s="30">
        <f t="shared" si="11"/>
        <v>32523261832</v>
      </c>
      <c r="Y57" s="30">
        <f t="shared" si="11"/>
        <v>130886235</v>
      </c>
      <c r="Z57" s="30">
        <f t="shared" si="11"/>
        <v>34251122927</v>
      </c>
      <c r="AA57" s="30">
        <f t="shared" si="11"/>
        <v>131256805</v>
      </c>
      <c r="AB57" s="30">
        <f t="shared" si="11"/>
        <v>36395152495</v>
      </c>
      <c r="AC57" s="30">
        <f t="shared" si="11"/>
        <v>1318693708</v>
      </c>
      <c r="AD57" s="30">
        <f t="shared" si="11"/>
        <v>386880090767</v>
      </c>
      <c r="AE57" s="30">
        <f t="shared" si="11"/>
        <v>0</v>
      </c>
      <c r="AF57" s="30">
        <f t="shared" si="11"/>
        <v>0</v>
      </c>
      <c r="AG57" s="30">
        <f t="shared" si="11"/>
        <v>0</v>
      </c>
      <c r="AH57" s="30">
        <f t="shared" si="11"/>
        <v>0</v>
      </c>
      <c r="AI57" s="30">
        <f t="shared" si="11"/>
        <v>0</v>
      </c>
      <c r="AJ57" s="30">
        <f t="shared" si="11"/>
        <v>0</v>
      </c>
      <c r="AK57" s="30">
        <f t="shared" si="11"/>
        <v>0</v>
      </c>
      <c r="AL57" s="30">
        <f t="shared" ref="AK57:BD60" si="12">SUMIF($A$5:$A$54,$A57,AL$5:AL$54)</f>
        <v>0</v>
      </c>
      <c r="AM57" s="30">
        <f t="shared" si="12"/>
        <v>0</v>
      </c>
      <c r="AN57" s="30">
        <f t="shared" si="12"/>
        <v>0</v>
      </c>
      <c r="AO57" s="30">
        <f t="shared" si="12"/>
        <v>0</v>
      </c>
      <c r="AP57" s="30">
        <f t="shared" si="12"/>
        <v>0</v>
      </c>
      <c r="AQ57" s="30">
        <f t="shared" si="12"/>
        <v>0</v>
      </c>
      <c r="AR57" s="30">
        <f t="shared" si="12"/>
        <v>1151760400</v>
      </c>
      <c r="AS57" s="30">
        <f t="shared" si="12"/>
        <v>1180563346</v>
      </c>
      <c r="AT57" s="30">
        <f t="shared" si="12"/>
        <v>997570632</v>
      </c>
      <c r="AU57" s="30">
        <f t="shared" si="12"/>
        <v>1064579515</v>
      </c>
      <c r="AV57" s="30">
        <f t="shared" si="12"/>
        <v>1248109871</v>
      </c>
      <c r="AW57" s="30">
        <f t="shared" si="12"/>
        <v>1054058553</v>
      </c>
      <c r="AX57" s="30">
        <f t="shared" si="12"/>
        <v>1256815265</v>
      </c>
      <c r="AY57" s="30">
        <f t="shared" si="12"/>
        <v>833789637</v>
      </c>
      <c r="AZ57" s="30">
        <f t="shared" si="12"/>
        <v>1154815781</v>
      </c>
      <c r="BA57" s="30">
        <f t="shared" si="12"/>
        <v>1718812864</v>
      </c>
      <c r="BB57" s="30">
        <f t="shared" si="12"/>
        <v>1749101755</v>
      </c>
      <c r="BC57" s="30">
        <f t="shared" si="12"/>
        <v>1729284820</v>
      </c>
      <c r="BD57" s="32">
        <f t="shared" si="12"/>
        <v>15139262439</v>
      </c>
    </row>
    <row r="58" spans="1:56">
      <c r="A58" s="102" t="s">
        <v>161</v>
      </c>
      <c r="B58" s="103"/>
      <c r="C58" s="103"/>
      <c r="D58" s="7">
        <f t="shared" ref="D58:T60" si="13">SUMIF($A$5:$A$54,$A58,D$5:D$54)</f>
        <v>71219560638</v>
      </c>
      <c r="E58" s="7">
        <f t="shared" si="13"/>
        <v>1172515</v>
      </c>
      <c r="F58" s="7">
        <f t="shared" si="13"/>
        <v>5829491230</v>
      </c>
      <c r="G58" s="7">
        <f t="shared" si="13"/>
        <v>1005554</v>
      </c>
      <c r="H58" s="7">
        <f t="shared" si="13"/>
        <v>5201259859</v>
      </c>
      <c r="I58" s="7">
        <f t="shared" si="13"/>
        <v>1011431</v>
      </c>
      <c r="J58" s="7">
        <f t="shared" si="13"/>
        <v>6203484008</v>
      </c>
      <c r="K58" s="7">
        <f t="shared" si="13"/>
        <v>945636</v>
      </c>
      <c r="L58" s="7">
        <f t="shared" si="13"/>
        <v>6114152263</v>
      </c>
      <c r="M58" s="7">
        <f t="shared" si="13"/>
        <v>1230510</v>
      </c>
      <c r="N58" s="7">
        <f t="shared" si="13"/>
        <v>5803967015</v>
      </c>
      <c r="O58" s="7">
        <f t="shared" si="13"/>
        <v>1158041</v>
      </c>
      <c r="P58" s="7">
        <f t="shared" si="13"/>
        <v>5690484277</v>
      </c>
      <c r="Q58" s="7">
        <f t="shared" si="13"/>
        <v>1334677</v>
      </c>
      <c r="R58" s="7">
        <f t="shared" si="13"/>
        <v>5832247557</v>
      </c>
      <c r="S58" s="7">
        <f t="shared" si="13"/>
        <v>962296</v>
      </c>
      <c r="T58" s="7">
        <f t="shared" si="13"/>
        <v>4887128316</v>
      </c>
      <c r="U58" s="7">
        <f t="shared" si="11"/>
        <v>841677</v>
      </c>
      <c r="V58" s="7">
        <f t="shared" si="11"/>
        <v>5300530665</v>
      </c>
      <c r="W58" s="7">
        <f t="shared" si="11"/>
        <v>1185884</v>
      </c>
      <c r="X58" s="7">
        <f t="shared" si="11"/>
        <v>6055905678</v>
      </c>
      <c r="Y58" s="7">
        <f t="shared" si="11"/>
        <v>1670703</v>
      </c>
      <c r="Z58" s="7">
        <f t="shared" si="11"/>
        <v>6347544047</v>
      </c>
      <c r="AA58" s="7">
        <f t="shared" si="11"/>
        <v>1100418</v>
      </c>
      <c r="AB58" s="7">
        <f t="shared" si="11"/>
        <v>7640134719</v>
      </c>
      <c r="AC58" s="7">
        <f t="shared" si="11"/>
        <v>13619342</v>
      </c>
      <c r="AD58" s="7">
        <f t="shared" si="11"/>
        <v>70906329634</v>
      </c>
      <c r="AE58" s="7">
        <f t="shared" si="11"/>
        <v>0</v>
      </c>
      <c r="AF58" s="7">
        <f t="shared" si="11"/>
        <v>0</v>
      </c>
      <c r="AG58" s="7">
        <f t="shared" si="11"/>
        <v>0</v>
      </c>
      <c r="AH58" s="7">
        <f t="shared" si="11"/>
        <v>0</v>
      </c>
      <c r="AI58" s="7">
        <f t="shared" si="11"/>
        <v>0</v>
      </c>
      <c r="AJ58" s="7">
        <f t="shared" si="11"/>
        <v>0</v>
      </c>
      <c r="AK58" s="7">
        <f t="shared" si="12"/>
        <v>0</v>
      </c>
      <c r="AL58" s="7">
        <f t="shared" si="12"/>
        <v>0</v>
      </c>
      <c r="AM58" s="7">
        <f t="shared" si="12"/>
        <v>0</v>
      </c>
      <c r="AN58" s="7">
        <f t="shared" si="12"/>
        <v>0</v>
      </c>
      <c r="AO58" s="7">
        <f t="shared" si="12"/>
        <v>0</v>
      </c>
      <c r="AP58" s="7">
        <f t="shared" si="12"/>
        <v>0</v>
      </c>
      <c r="AQ58" s="7">
        <f t="shared" si="12"/>
        <v>0</v>
      </c>
      <c r="AR58" s="7">
        <f t="shared" si="12"/>
        <v>3595945</v>
      </c>
      <c r="AS58" s="7">
        <f t="shared" si="12"/>
        <v>3863817</v>
      </c>
      <c r="AT58" s="7">
        <f t="shared" si="12"/>
        <v>3550436</v>
      </c>
      <c r="AU58" s="7">
        <f t="shared" si="12"/>
        <v>30362592</v>
      </c>
      <c r="AV58" s="7">
        <f t="shared" si="12"/>
        <v>25131577</v>
      </c>
      <c r="AW58" s="7">
        <f t="shared" si="12"/>
        <v>10309472</v>
      </c>
      <c r="AX58" s="7">
        <f t="shared" si="12"/>
        <v>49133373</v>
      </c>
      <c r="AY58" s="7">
        <f t="shared" si="12"/>
        <v>34091965</v>
      </c>
      <c r="AZ58" s="7">
        <f t="shared" si="12"/>
        <v>38575988</v>
      </c>
      <c r="BA58" s="7">
        <f t="shared" si="12"/>
        <v>17275259</v>
      </c>
      <c r="BB58" s="7">
        <f t="shared" si="12"/>
        <v>68532053</v>
      </c>
      <c r="BC58" s="7">
        <f t="shared" si="12"/>
        <v>28808527</v>
      </c>
      <c r="BD58" s="8">
        <f t="shared" si="12"/>
        <v>313231004</v>
      </c>
    </row>
    <row r="59" spans="1:56">
      <c r="A59" s="102" t="s">
        <v>162</v>
      </c>
      <c r="B59" s="103"/>
      <c r="C59" s="103"/>
      <c r="D59" s="7">
        <f t="shared" si="13"/>
        <v>78313283801</v>
      </c>
      <c r="E59" s="7">
        <f t="shared" si="13"/>
        <v>10580964</v>
      </c>
      <c r="F59" s="7">
        <f t="shared" si="11"/>
        <v>7071823839</v>
      </c>
      <c r="G59" s="7">
        <f t="shared" si="11"/>
        <v>14146108</v>
      </c>
      <c r="H59" s="7">
        <f t="shared" si="11"/>
        <v>6792946077</v>
      </c>
      <c r="I59" s="7">
        <f t="shared" si="11"/>
        <v>14430987</v>
      </c>
      <c r="J59" s="7">
        <f t="shared" si="11"/>
        <v>7616725234</v>
      </c>
      <c r="K59" s="7">
        <f t="shared" si="11"/>
        <v>14958767</v>
      </c>
      <c r="L59" s="7">
        <f t="shared" si="11"/>
        <v>7203009262</v>
      </c>
      <c r="M59" s="7">
        <f t="shared" si="11"/>
        <v>16700112</v>
      </c>
      <c r="N59" s="7">
        <f t="shared" si="11"/>
        <v>6349586695</v>
      </c>
      <c r="O59" s="7">
        <f t="shared" si="11"/>
        <v>10807692</v>
      </c>
      <c r="P59" s="7">
        <f t="shared" si="11"/>
        <v>6442427782</v>
      </c>
      <c r="Q59" s="7">
        <f t="shared" si="11"/>
        <v>12974328</v>
      </c>
      <c r="R59" s="7">
        <f t="shared" si="11"/>
        <v>6591459640</v>
      </c>
      <c r="S59" s="7">
        <f t="shared" si="11"/>
        <v>9975200</v>
      </c>
      <c r="T59" s="7">
        <f t="shared" si="11"/>
        <v>5481310497</v>
      </c>
      <c r="U59" s="7">
        <f t="shared" si="11"/>
        <v>10153014</v>
      </c>
      <c r="V59" s="7">
        <f t="shared" si="11"/>
        <v>5267891903</v>
      </c>
      <c r="W59" s="7">
        <f t="shared" si="11"/>
        <v>13396204</v>
      </c>
      <c r="X59" s="7">
        <f t="shared" si="11"/>
        <v>6484176241</v>
      </c>
      <c r="Y59" s="7">
        <f t="shared" si="11"/>
        <v>12486922</v>
      </c>
      <c r="Z59" s="7">
        <f t="shared" si="11"/>
        <v>5826509678</v>
      </c>
      <c r="AA59" s="7">
        <f t="shared" si="11"/>
        <v>15331831</v>
      </c>
      <c r="AB59" s="7">
        <f t="shared" si="11"/>
        <v>6806558682</v>
      </c>
      <c r="AC59" s="7">
        <f t="shared" si="11"/>
        <v>155942129</v>
      </c>
      <c r="AD59" s="7">
        <f t="shared" si="11"/>
        <v>77934425530</v>
      </c>
      <c r="AE59" s="7">
        <f t="shared" si="11"/>
        <v>0</v>
      </c>
      <c r="AF59" s="7">
        <f t="shared" si="11"/>
        <v>0</v>
      </c>
      <c r="AG59" s="7">
        <f t="shared" si="11"/>
        <v>0</v>
      </c>
      <c r="AH59" s="7">
        <f t="shared" si="11"/>
        <v>0</v>
      </c>
      <c r="AI59" s="7">
        <f t="shared" si="11"/>
        <v>0</v>
      </c>
      <c r="AJ59" s="7">
        <f t="shared" si="11"/>
        <v>0</v>
      </c>
      <c r="AK59" s="7">
        <f t="shared" si="12"/>
        <v>0</v>
      </c>
      <c r="AL59" s="7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7">
        <f t="shared" si="12"/>
        <v>0</v>
      </c>
      <c r="AR59" s="7">
        <f t="shared" si="12"/>
        <v>40811907</v>
      </c>
      <c r="AS59" s="7">
        <f t="shared" si="12"/>
        <v>32695920</v>
      </c>
      <c r="AT59" s="7">
        <f t="shared" si="12"/>
        <v>20898845</v>
      </c>
      <c r="AU59" s="7">
        <f t="shared" si="12"/>
        <v>23495610</v>
      </c>
      <c r="AV59" s="7">
        <f t="shared" si="12"/>
        <v>20247824</v>
      </c>
      <c r="AW59" s="7">
        <f t="shared" si="12"/>
        <v>7535452</v>
      </c>
      <c r="AX59" s="7">
        <f t="shared" si="12"/>
        <v>46684713</v>
      </c>
      <c r="AY59" s="7">
        <f t="shared" si="12"/>
        <v>18607569</v>
      </c>
      <c r="AZ59" s="7">
        <f t="shared" si="12"/>
        <v>11891152</v>
      </c>
      <c r="BA59" s="7">
        <f t="shared" si="12"/>
        <v>34054018</v>
      </c>
      <c r="BB59" s="7">
        <f t="shared" si="12"/>
        <v>67473166</v>
      </c>
      <c r="BC59" s="7">
        <f t="shared" si="12"/>
        <v>54462095</v>
      </c>
      <c r="BD59" s="8">
        <f t="shared" si="12"/>
        <v>378858271</v>
      </c>
    </row>
    <row r="60" spans="1:56">
      <c r="A60" s="102" t="s">
        <v>163</v>
      </c>
      <c r="B60" s="103"/>
      <c r="C60" s="103"/>
      <c r="D60" s="7">
        <f t="shared" si="13"/>
        <v>20594964018</v>
      </c>
      <c r="E60" s="7">
        <f t="shared" si="13"/>
        <v>26657002</v>
      </c>
      <c r="F60" s="7">
        <f t="shared" si="11"/>
        <v>0</v>
      </c>
      <c r="G60" s="7">
        <f t="shared" si="11"/>
        <v>54879667</v>
      </c>
      <c r="H60" s="7">
        <f t="shared" si="11"/>
        <v>16395201</v>
      </c>
      <c r="I60" s="7">
        <f t="shared" si="11"/>
        <v>52150109</v>
      </c>
      <c r="J60" s="7">
        <f t="shared" si="11"/>
        <v>22673</v>
      </c>
      <c r="K60" s="7">
        <f t="shared" si="11"/>
        <v>50803278</v>
      </c>
      <c r="L60" s="7">
        <f t="shared" si="11"/>
        <v>29323572</v>
      </c>
      <c r="M60" s="7">
        <f t="shared" si="11"/>
        <v>59305812</v>
      </c>
      <c r="N60" s="7">
        <f t="shared" si="11"/>
        <v>74979518</v>
      </c>
      <c r="O60" s="7">
        <f t="shared" si="11"/>
        <v>54994281</v>
      </c>
      <c r="P60" s="7">
        <f t="shared" si="11"/>
        <v>91656070</v>
      </c>
      <c r="Q60" s="7">
        <f t="shared" si="11"/>
        <v>27472094</v>
      </c>
      <c r="R60" s="7">
        <f t="shared" si="11"/>
        <v>55741122</v>
      </c>
      <c r="S60" s="7">
        <f t="shared" si="11"/>
        <v>59118881</v>
      </c>
      <c r="T60" s="7">
        <f t="shared" si="11"/>
        <v>20890439</v>
      </c>
      <c r="U60" s="7">
        <f t="shared" si="11"/>
        <v>50216602</v>
      </c>
      <c r="V60" s="7">
        <f t="shared" si="11"/>
        <v>17621590</v>
      </c>
      <c r="W60" s="7">
        <f t="shared" si="11"/>
        <v>64042390</v>
      </c>
      <c r="X60" s="7">
        <f t="shared" si="11"/>
        <v>41250149</v>
      </c>
      <c r="Y60" s="7">
        <f t="shared" si="11"/>
        <v>79296830</v>
      </c>
      <c r="Z60" s="7">
        <f t="shared" si="11"/>
        <v>76448609</v>
      </c>
      <c r="AA60" s="7">
        <f t="shared" si="11"/>
        <v>57390004</v>
      </c>
      <c r="AB60" s="7">
        <f t="shared" si="11"/>
        <v>26153158</v>
      </c>
      <c r="AC60" s="7">
        <f t="shared" si="11"/>
        <v>636326950</v>
      </c>
      <c r="AD60" s="7">
        <f t="shared" si="11"/>
        <v>450482101</v>
      </c>
      <c r="AE60" s="7">
        <f t="shared" si="11"/>
        <v>218344114</v>
      </c>
      <c r="AF60" s="7">
        <f t="shared" si="11"/>
        <v>1346140915</v>
      </c>
      <c r="AG60" s="7">
        <f t="shared" si="11"/>
        <v>1804132552</v>
      </c>
      <c r="AH60" s="7">
        <f t="shared" si="11"/>
        <v>1329998733</v>
      </c>
      <c r="AI60" s="7">
        <f t="shared" si="11"/>
        <v>2851149709</v>
      </c>
      <c r="AJ60" s="7">
        <f t="shared" si="11"/>
        <v>1026428681</v>
      </c>
      <c r="AK60" s="7">
        <f t="shared" si="12"/>
        <v>741195913</v>
      </c>
      <c r="AL60" s="7">
        <f t="shared" si="12"/>
        <v>595522740</v>
      </c>
      <c r="AM60" s="7">
        <f t="shared" si="12"/>
        <v>729076992</v>
      </c>
      <c r="AN60" s="7">
        <f t="shared" si="12"/>
        <v>611973710</v>
      </c>
      <c r="AO60" s="7">
        <f t="shared" si="12"/>
        <v>765106114</v>
      </c>
      <c r="AP60" s="7">
        <f t="shared" si="12"/>
        <v>622496691</v>
      </c>
      <c r="AQ60" s="7">
        <f t="shared" si="12"/>
        <v>12641566864</v>
      </c>
      <c r="AR60" s="7">
        <f t="shared" si="12"/>
        <v>361972787</v>
      </c>
      <c r="AS60" s="7">
        <f t="shared" si="12"/>
        <v>522125306</v>
      </c>
      <c r="AT60" s="7">
        <f t="shared" si="12"/>
        <v>479651536</v>
      </c>
      <c r="AU60" s="7">
        <f t="shared" si="12"/>
        <v>660376605</v>
      </c>
      <c r="AV60" s="7">
        <f t="shared" si="12"/>
        <v>759173354</v>
      </c>
      <c r="AW60" s="7">
        <f t="shared" si="12"/>
        <v>780170253</v>
      </c>
      <c r="AX60" s="7">
        <f t="shared" si="12"/>
        <v>700071573</v>
      </c>
      <c r="AY60" s="7">
        <f t="shared" si="12"/>
        <v>817734158</v>
      </c>
      <c r="AZ60" s="7">
        <f t="shared" si="12"/>
        <v>701504488</v>
      </c>
      <c r="BA60" s="7">
        <f t="shared" si="12"/>
        <v>682128896</v>
      </c>
      <c r="BB60" s="7">
        <f t="shared" si="12"/>
        <v>523682568</v>
      </c>
      <c r="BC60" s="7">
        <f t="shared" si="12"/>
        <v>514323529</v>
      </c>
      <c r="BD60" s="8">
        <f t="shared" si="12"/>
        <v>7502915053</v>
      </c>
    </row>
    <row r="61" spans="1:56" ht="17.25" thickBot="1">
      <c r="A61" s="104" t="s">
        <v>165</v>
      </c>
      <c r="B61" s="105"/>
      <c r="C61" s="105"/>
      <c r="D61" s="16">
        <f>SUM(D57:D60)</f>
        <v>572147161663</v>
      </c>
      <c r="E61" s="16">
        <f>SUM(E57:E60)</f>
        <v>116024987</v>
      </c>
      <c r="F61" s="16">
        <f t="shared" ref="F61:AJ61" si="14">SUM(F57:F60)</f>
        <v>44770750863</v>
      </c>
      <c r="G61" s="16">
        <f t="shared" si="14"/>
        <v>176292403</v>
      </c>
      <c r="H61" s="16">
        <f t="shared" si="14"/>
        <v>42701133945</v>
      </c>
      <c r="I61" s="16">
        <f t="shared" si="14"/>
        <v>175043187</v>
      </c>
      <c r="J61" s="16">
        <f t="shared" si="14"/>
        <v>48507255496</v>
      </c>
      <c r="K61" s="16">
        <f t="shared" si="14"/>
        <v>173550611</v>
      </c>
      <c r="L61" s="16">
        <f t="shared" si="14"/>
        <v>47481574847</v>
      </c>
      <c r="M61" s="16">
        <f t="shared" si="14"/>
        <v>200960669</v>
      </c>
      <c r="N61" s="16">
        <f t="shared" si="14"/>
        <v>42789599884</v>
      </c>
      <c r="O61" s="16">
        <f t="shared" si="14"/>
        <v>157301653</v>
      </c>
      <c r="P61" s="16">
        <f t="shared" si="14"/>
        <v>44264170668</v>
      </c>
      <c r="Q61" s="16">
        <f t="shared" si="14"/>
        <v>142694177</v>
      </c>
      <c r="R61" s="16">
        <f t="shared" si="14"/>
        <v>46171411455</v>
      </c>
      <c r="S61" s="16">
        <f t="shared" si="14"/>
        <v>168365532</v>
      </c>
      <c r="T61" s="16">
        <f t="shared" si="14"/>
        <v>37947630363</v>
      </c>
      <c r="U61" s="16">
        <f t="shared" si="14"/>
        <v>178625938</v>
      </c>
      <c r="V61" s="16">
        <f t="shared" si="14"/>
        <v>39063582296</v>
      </c>
      <c r="W61" s="16">
        <f t="shared" si="14"/>
        <v>206303224</v>
      </c>
      <c r="X61" s="16">
        <f t="shared" si="14"/>
        <v>45104593900</v>
      </c>
      <c r="Y61" s="16">
        <f t="shared" si="14"/>
        <v>224340690</v>
      </c>
      <c r="Z61" s="16">
        <f t="shared" si="14"/>
        <v>46501625261</v>
      </c>
      <c r="AA61" s="16">
        <f t="shared" si="14"/>
        <v>205079058</v>
      </c>
      <c r="AB61" s="16">
        <f t="shared" si="14"/>
        <v>50867999054</v>
      </c>
      <c r="AC61" s="16">
        <f t="shared" si="14"/>
        <v>2124582129</v>
      </c>
      <c r="AD61" s="16">
        <f t="shared" si="14"/>
        <v>536171328032</v>
      </c>
      <c r="AE61" s="16">
        <f t="shared" si="14"/>
        <v>218344114</v>
      </c>
      <c r="AF61" s="16">
        <f t="shared" si="14"/>
        <v>1346140915</v>
      </c>
      <c r="AG61" s="16">
        <f t="shared" si="14"/>
        <v>1804132552</v>
      </c>
      <c r="AH61" s="16">
        <f t="shared" si="14"/>
        <v>1329998733</v>
      </c>
      <c r="AI61" s="16">
        <f t="shared" si="14"/>
        <v>2851149709</v>
      </c>
      <c r="AJ61" s="16">
        <f t="shared" si="14"/>
        <v>1026428681</v>
      </c>
      <c r="AK61" s="16">
        <f t="shared" ref="AK61" si="15">SUM(AK57:AK60)</f>
        <v>741195913</v>
      </c>
      <c r="AL61" s="16">
        <f t="shared" ref="AL61" si="16">SUM(AL57:AL60)</f>
        <v>595522740</v>
      </c>
      <c r="AM61" s="16">
        <f t="shared" ref="AM61" si="17">SUM(AM57:AM60)</f>
        <v>729076992</v>
      </c>
      <c r="AN61" s="16">
        <f t="shared" ref="AN61" si="18">SUM(AN57:AN60)</f>
        <v>611973710</v>
      </c>
      <c r="AO61" s="16">
        <f t="shared" ref="AO61" si="19">SUM(AO57:AO60)</f>
        <v>765106114</v>
      </c>
      <c r="AP61" s="16">
        <f t="shared" ref="AP61" si="20">SUM(AP57:AP60)</f>
        <v>622496691</v>
      </c>
      <c r="AQ61" s="16">
        <f t="shared" ref="AQ61" si="21">SUM(AQ57:AQ60)</f>
        <v>12641566864</v>
      </c>
      <c r="AR61" s="16">
        <f t="shared" ref="AR61" si="22">SUM(AR57:AR60)</f>
        <v>1558141039</v>
      </c>
      <c r="AS61" s="16">
        <f t="shared" ref="AS61" si="23">SUM(AS57:AS60)</f>
        <v>1739248389</v>
      </c>
      <c r="AT61" s="16">
        <f t="shared" ref="AT61" si="24">SUM(AT57:AT60)</f>
        <v>1501671449</v>
      </c>
      <c r="AU61" s="16">
        <f t="shared" ref="AU61" si="25">SUM(AU57:AU60)</f>
        <v>1778814322</v>
      </c>
      <c r="AV61" s="16">
        <f t="shared" ref="AV61" si="26">SUM(AV57:AV60)</f>
        <v>2052662626</v>
      </c>
      <c r="AW61" s="16">
        <f t="shared" ref="AW61" si="27">SUM(AW57:AW60)</f>
        <v>1852073730</v>
      </c>
      <c r="AX61" s="16">
        <f t="shared" ref="AX61" si="28">SUM(AX57:AX60)</f>
        <v>2052704924</v>
      </c>
      <c r="AY61" s="16">
        <f t="shared" ref="AY61" si="29">SUM(AY57:AY60)</f>
        <v>1704223329</v>
      </c>
      <c r="AZ61" s="16">
        <f t="shared" ref="AZ61" si="30">SUM(AZ57:AZ60)</f>
        <v>1906787409</v>
      </c>
      <c r="BA61" s="16">
        <f t="shared" ref="BA61" si="31">SUM(BA57:BA60)</f>
        <v>2452271037</v>
      </c>
      <c r="BB61" s="16">
        <f t="shared" ref="BB61" si="32">SUM(BB57:BB60)</f>
        <v>2408789542</v>
      </c>
      <c r="BC61" s="16">
        <f t="shared" ref="BC61" si="33">SUM(BC57:BC60)</f>
        <v>2326878971</v>
      </c>
      <c r="BD61" s="17">
        <f t="shared" ref="BD61" si="34">SUM(BD57:BD60)</f>
        <v>23334266767</v>
      </c>
    </row>
  </sheetData>
  <autoFilter ref="A4:BE4" xr:uid="{00000000-0009-0000-0000-000004000000}">
    <sortState xmlns:xlrd2="http://schemas.microsoft.com/office/spreadsheetml/2017/richdata2" ref="A7:BD54">
      <sortCondition ref="A4"/>
    </sortState>
  </autoFilter>
  <mergeCells count="21">
    <mergeCell ref="K3:L3"/>
    <mergeCell ref="B2:B4"/>
    <mergeCell ref="C2:C4"/>
    <mergeCell ref="E3:F3"/>
    <mergeCell ref="G3:H3"/>
    <mergeCell ref="I3:J3"/>
    <mergeCell ref="Y3:Z3"/>
    <mergeCell ref="AA3:AB3"/>
    <mergeCell ref="AC3:AD3"/>
    <mergeCell ref="M3:N3"/>
    <mergeCell ref="O3:P3"/>
    <mergeCell ref="Q3:R3"/>
    <mergeCell ref="S3:T3"/>
    <mergeCell ref="U3:V3"/>
    <mergeCell ref="W3:X3"/>
    <mergeCell ref="A61:C61"/>
    <mergeCell ref="A2:A4"/>
    <mergeCell ref="A57:C57"/>
    <mergeCell ref="A58:C58"/>
    <mergeCell ref="A59:C59"/>
    <mergeCell ref="A60:C60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F103"/>
  <sheetViews>
    <sheetView zoomScale="70" zoomScaleNormal="70" workbookViewId="0">
      <pane xSplit="3" ySplit="4" topLeftCell="I44" activePane="bottomRight" state="frozen"/>
      <selection pane="bottomRight" activeCell="Q56" sqref="Q56:R60"/>
      <selection pane="bottomLeft" activeCell="D227" sqref="D227"/>
      <selection pane="topRight" activeCell="D227" sqref="D227"/>
    </sheetView>
  </sheetViews>
  <sheetFormatPr defaultRowHeight="16.5"/>
  <cols>
    <col min="1" max="2" width="15.625" style="2" customWidth="1"/>
    <col min="3" max="3" width="30.625" customWidth="1"/>
    <col min="4" max="4" width="16.375" customWidth="1"/>
    <col min="5" max="32" width="15.625" style="5" customWidth="1"/>
    <col min="33" max="16384" width="9" style="5"/>
  </cols>
  <sheetData>
    <row r="1" spans="1:32" s="4" customFormat="1" ht="36.75" customHeight="1" thickBot="1">
      <c r="A1" s="1" t="s">
        <v>168</v>
      </c>
      <c r="B1" s="1"/>
      <c r="C1" s="3"/>
      <c r="D1" s="3"/>
      <c r="E1" s="4" t="s">
        <v>169</v>
      </c>
    </row>
    <row r="2" spans="1:32" s="26" customFormat="1">
      <c r="A2" s="108" t="s">
        <v>136</v>
      </c>
      <c r="B2" s="111" t="s">
        <v>170</v>
      </c>
      <c r="C2" s="113" t="s">
        <v>171</v>
      </c>
      <c r="D2" s="58"/>
      <c r="E2" s="27" t="s">
        <v>139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23" t="s">
        <v>172</v>
      </c>
      <c r="T2" s="24"/>
      <c r="U2" s="24"/>
      <c r="V2" s="24"/>
      <c r="W2" s="24"/>
      <c r="X2" s="24"/>
      <c r="Y2" s="25"/>
      <c r="Z2" s="23" t="s">
        <v>173</v>
      </c>
      <c r="AA2" s="24"/>
      <c r="AB2" s="24"/>
      <c r="AC2" s="24"/>
      <c r="AD2" s="24"/>
      <c r="AE2" s="24"/>
      <c r="AF2" s="25"/>
    </row>
    <row r="3" spans="1:32">
      <c r="A3" s="109"/>
      <c r="B3" s="112"/>
      <c r="C3" s="114"/>
      <c r="D3" s="59" t="s">
        <v>142</v>
      </c>
      <c r="E3" s="115" t="s">
        <v>143</v>
      </c>
      <c r="F3" s="106"/>
      <c r="G3" s="106" t="s">
        <v>144</v>
      </c>
      <c r="H3" s="106"/>
      <c r="I3" s="106" t="s">
        <v>145</v>
      </c>
      <c r="J3" s="106"/>
      <c r="K3" s="106" t="s">
        <v>146</v>
      </c>
      <c r="L3" s="106"/>
      <c r="M3" s="106" t="s">
        <v>147</v>
      </c>
      <c r="N3" s="106"/>
      <c r="O3" s="106" t="s">
        <v>148</v>
      </c>
      <c r="P3" s="106"/>
      <c r="Q3" s="106" t="s">
        <v>155</v>
      </c>
      <c r="R3" s="107"/>
      <c r="S3" s="6"/>
      <c r="T3" s="7"/>
      <c r="U3" s="7"/>
      <c r="V3" s="7"/>
      <c r="W3" s="7"/>
      <c r="X3" s="7"/>
      <c r="Y3" s="8"/>
      <c r="Z3" s="6"/>
      <c r="AA3" s="7"/>
      <c r="AB3" s="7"/>
      <c r="AC3" s="7"/>
      <c r="AD3" s="7"/>
      <c r="AE3" s="7"/>
      <c r="AF3" s="8"/>
    </row>
    <row r="4" spans="1:32" s="10" customFormat="1">
      <c r="A4" s="110"/>
      <c r="B4" s="112"/>
      <c r="C4" s="114"/>
      <c r="D4" s="59" t="s">
        <v>156</v>
      </c>
      <c r="E4" s="76" t="s">
        <v>157</v>
      </c>
      <c r="F4" s="74" t="s">
        <v>158</v>
      </c>
      <c r="G4" s="74" t="s">
        <v>157</v>
      </c>
      <c r="H4" s="74" t="s">
        <v>158</v>
      </c>
      <c r="I4" s="74" t="s">
        <v>157</v>
      </c>
      <c r="J4" s="74" t="s">
        <v>158</v>
      </c>
      <c r="K4" s="74" t="s">
        <v>157</v>
      </c>
      <c r="L4" s="74" t="s">
        <v>158</v>
      </c>
      <c r="M4" s="74" t="s">
        <v>157</v>
      </c>
      <c r="N4" s="74" t="s">
        <v>158</v>
      </c>
      <c r="O4" s="74" t="s">
        <v>157</v>
      </c>
      <c r="P4" s="74" t="s">
        <v>158</v>
      </c>
      <c r="Q4" s="74" t="s">
        <v>157</v>
      </c>
      <c r="R4" s="77" t="s">
        <v>158</v>
      </c>
      <c r="S4" s="19" t="s">
        <v>159</v>
      </c>
      <c r="T4" s="20" t="s">
        <v>144</v>
      </c>
      <c r="U4" s="20" t="s">
        <v>145</v>
      </c>
      <c r="V4" s="20" t="s">
        <v>146</v>
      </c>
      <c r="W4" s="20" t="s">
        <v>147</v>
      </c>
      <c r="X4" s="20" t="s">
        <v>148</v>
      </c>
      <c r="Y4" s="9" t="s">
        <v>155</v>
      </c>
      <c r="Z4" s="19" t="s">
        <v>159</v>
      </c>
      <c r="AA4" s="20" t="s">
        <v>144</v>
      </c>
      <c r="AB4" s="20" t="s">
        <v>145</v>
      </c>
      <c r="AC4" s="20" t="s">
        <v>146</v>
      </c>
      <c r="AD4" s="20" t="s">
        <v>147</v>
      </c>
      <c r="AE4" s="20" t="s">
        <v>148</v>
      </c>
      <c r="AF4" s="9" t="s">
        <v>155</v>
      </c>
    </row>
    <row r="5" spans="1:32">
      <c r="A5" s="43" t="s">
        <v>160</v>
      </c>
      <c r="B5" s="75" t="s">
        <v>23</v>
      </c>
      <c r="C5" s="11" t="s">
        <v>24</v>
      </c>
      <c r="D5" s="61">
        <f>R5+Y5+AF5</f>
        <v>2428541524</v>
      </c>
      <c r="E5" s="12">
        <v>997540</v>
      </c>
      <c r="F5" s="7">
        <v>399547109</v>
      </c>
      <c r="G5" s="7">
        <v>1201194</v>
      </c>
      <c r="H5" s="7">
        <v>363764610</v>
      </c>
      <c r="I5" s="7">
        <v>2557154</v>
      </c>
      <c r="J5" s="7">
        <v>934292129</v>
      </c>
      <c r="K5" s="7">
        <v>1489211</v>
      </c>
      <c r="L5" s="7">
        <v>344453975</v>
      </c>
      <c r="M5" s="7">
        <v>666042</v>
      </c>
      <c r="N5" s="7">
        <v>117564137</v>
      </c>
      <c r="O5" s="7">
        <v>283622</v>
      </c>
      <c r="P5" s="7">
        <v>79960556</v>
      </c>
      <c r="Q5" s="7">
        <f>SUM(E5,G5,I5,K5,M5,O5)</f>
        <v>7194763</v>
      </c>
      <c r="R5" s="8">
        <f>SUM(F5,H5,J5,L5,N5,P5)</f>
        <v>2239582516</v>
      </c>
      <c r="S5" s="6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f t="shared" ref="Y5:Y36" si="0">SUM(S5:X5)</f>
        <v>0</v>
      </c>
      <c r="Z5" s="6">
        <v>31579085</v>
      </c>
      <c r="AA5" s="7">
        <v>31799108</v>
      </c>
      <c r="AB5" s="7">
        <v>64081688</v>
      </c>
      <c r="AC5" s="7">
        <v>20212475</v>
      </c>
      <c r="AD5" s="7">
        <v>20500958</v>
      </c>
      <c r="AE5" s="7">
        <v>20785694</v>
      </c>
      <c r="AF5" s="8">
        <f t="shared" ref="AF5:AF36" si="1">SUM(Z5:AE5)</f>
        <v>188959008</v>
      </c>
    </row>
    <row r="6" spans="1:32">
      <c r="A6" s="43" t="s">
        <v>160</v>
      </c>
      <c r="B6" s="75" t="s">
        <v>25</v>
      </c>
      <c r="C6" s="11" t="s">
        <v>26</v>
      </c>
      <c r="D6" s="61">
        <f t="shared" ref="D6:D53" si="2">R6+Y6+AF6</f>
        <v>29649172036</v>
      </c>
      <c r="E6" s="12">
        <v>1205726</v>
      </c>
      <c r="F6" s="7">
        <v>4767735978</v>
      </c>
      <c r="G6" s="7">
        <v>1139794</v>
      </c>
      <c r="H6" s="7">
        <v>4232567772</v>
      </c>
      <c r="I6" s="7">
        <v>1254730</v>
      </c>
      <c r="J6" s="7">
        <v>4587384731</v>
      </c>
      <c r="K6" s="7">
        <v>1220300</v>
      </c>
      <c r="L6" s="7">
        <v>5084525480</v>
      </c>
      <c r="M6" s="7">
        <v>1290600</v>
      </c>
      <c r="N6" s="7">
        <v>5086605191</v>
      </c>
      <c r="O6" s="7">
        <v>1372660</v>
      </c>
      <c r="P6" s="7">
        <v>5890352884</v>
      </c>
      <c r="Q6" s="7">
        <f t="shared" ref="Q6:Q53" si="3">SUM(E6,G6,I6,K6,M6,O6)</f>
        <v>7483810</v>
      </c>
      <c r="R6" s="8">
        <f t="shared" ref="R6:R53" si="4">SUM(F6,H6,J6,L6,N6,P6)</f>
        <v>29649172036</v>
      </c>
      <c r="S6" s="6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8">
        <f t="shared" si="0"/>
        <v>0</v>
      </c>
      <c r="Z6" s="6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8">
        <f t="shared" si="1"/>
        <v>0</v>
      </c>
    </row>
    <row r="7" spans="1:32">
      <c r="A7" s="43" t="s">
        <v>160</v>
      </c>
      <c r="B7" s="75" t="s">
        <v>27</v>
      </c>
      <c r="C7" s="11" t="s">
        <v>28</v>
      </c>
      <c r="D7" s="61">
        <f t="shared" si="2"/>
        <v>143575344</v>
      </c>
      <c r="E7" s="12">
        <v>301</v>
      </c>
      <c r="F7" s="7">
        <v>30095488</v>
      </c>
      <c r="G7" s="7">
        <v>164</v>
      </c>
      <c r="H7" s="7">
        <v>17372128</v>
      </c>
      <c r="I7" s="7">
        <v>165</v>
      </c>
      <c r="J7" s="7">
        <v>28199690</v>
      </c>
      <c r="K7" s="7">
        <v>190</v>
      </c>
      <c r="L7" s="7">
        <v>22506510</v>
      </c>
      <c r="M7" s="7">
        <v>291</v>
      </c>
      <c r="N7" s="7">
        <v>20345696</v>
      </c>
      <c r="O7" s="7">
        <v>255</v>
      </c>
      <c r="P7" s="7">
        <v>25055832</v>
      </c>
      <c r="Q7" s="7">
        <f t="shared" si="3"/>
        <v>1366</v>
      </c>
      <c r="R7" s="8">
        <f t="shared" si="4"/>
        <v>143575344</v>
      </c>
      <c r="S7" s="6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f t="shared" si="0"/>
        <v>0</v>
      </c>
      <c r="Z7" s="6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8">
        <f t="shared" si="1"/>
        <v>0</v>
      </c>
    </row>
    <row r="8" spans="1:32">
      <c r="A8" s="43" t="s">
        <v>160</v>
      </c>
      <c r="B8" s="75" t="s">
        <v>30</v>
      </c>
      <c r="C8" s="11" t="s">
        <v>31</v>
      </c>
      <c r="D8" s="61">
        <f t="shared" si="2"/>
        <v>103972242</v>
      </c>
      <c r="E8" s="12">
        <v>447</v>
      </c>
      <c r="F8" s="7">
        <v>17219812</v>
      </c>
      <c r="G8" s="7">
        <v>405</v>
      </c>
      <c r="H8" s="7">
        <v>16410302</v>
      </c>
      <c r="I8" s="7">
        <v>190</v>
      </c>
      <c r="J8" s="7">
        <v>7529766</v>
      </c>
      <c r="K8" s="7">
        <v>335</v>
      </c>
      <c r="L8" s="7">
        <v>13294802</v>
      </c>
      <c r="M8" s="7">
        <v>864</v>
      </c>
      <c r="N8" s="7">
        <v>33106962</v>
      </c>
      <c r="O8" s="7">
        <v>366</v>
      </c>
      <c r="P8" s="7">
        <v>16410598</v>
      </c>
      <c r="Q8" s="7">
        <f t="shared" si="3"/>
        <v>2607</v>
      </c>
      <c r="R8" s="8">
        <f t="shared" si="4"/>
        <v>103972242</v>
      </c>
      <c r="S8" s="6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8">
        <f t="shared" si="0"/>
        <v>0</v>
      </c>
      <c r="Z8" s="6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8">
        <f t="shared" si="1"/>
        <v>0</v>
      </c>
    </row>
    <row r="9" spans="1:32">
      <c r="A9" s="43" t="s">
        <v>160</v>
      </c>
      <c r="B9" s="75" t="s">
        <v>33</v>
      </c>
      <c r="C9" s="11" t="s">
        <v>34</v>
      </c>
      <c r="D9" s="61">
        <f t="shared" si="2"/>
        <v>8723970426</v>
      </c>
      <c r="E9" s="12">
        <v>4217794</v>
      </c>
      <c r="F9" s="7">
        <v>1244049216</v>
      </c>
      <c r="G9" s="7">
        <v>2193701</v>
      </c>
      <c r="H9" s="7">
        <v>1244168769</v>
      </c>
      <c r="I9" s="7">
        <v>2260330</v>
      </c>
      <c r="J9" s="7">
        <v>1514933311</v>
      </c>
      <c r="K9" s="7">
        <v>1819388</v>
      </c>
      <c r="L9" s="7">
        <v>1902301110</v>
      </c>
      <c r="M9" s="7">
        <v>2219755</v>
      </c>
      <c r="N9" s="7">
        <v>1293047337</v>
      </c>
      <c r="O9" s="7">
        <v>1253599</v>
      </c>
      <c r="P9" s="7">
        <v>1438097386</v>
      </c>
      <c r="Q9" s="7">
        <f t="shared" si="3"/>
        <v>13964567</v>
      </c>
      <c r="R9" s="8">
        <f t="shared" si="4"/>
        <v>8636597129</v>
      </c>
      <c r="S9" s="6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f t="shared" si="0"/>
        <v>0</v>
      </c>
      <c r="Z9" s="6">
        <v>25988874</v>
      </c>
      <c r="AA9" s="7">
        <v>14244559</v>
      </c>
      <c r="AB9" s="7">
        <v>14725544</v>
      </c>
      <c r="AC9" s="7">
        <v>10715740</v>
      </c>
      <c r="AD9" s="7">
        <v>14383191</v>
      </c>
      <c r="AE9" s="7">
        <v>7315389</v>
      </c>
      <c r="AF9" s="8">
        <f t="shared" si="1"/>
        <v>87373297</v>
      </c>
    </row>
    <row r="10" spans="1:32">
      <c r="A10" s="43" t="s">
        <v>160</v>
      </c>
      <c r="B10" s="75" t="s">
        <v>35</v>
      </c>
      <c r="C10" s="11" t="s">
        <v>36</v>
      </c>
      <c r="D10" s="61">
        <f t="shared" si="2"/>
        <v>57803089053</v>
      </c>
      <c r="E10" s="12">
        <v>30997377</v>
      </c>
      <c r="F10" s="7">
        <v>9086576316</v>
      </c>
      <c r="G10" s="7">
        <v>30639791</v>
      </c>
      <c r="H10" s="7">
        <v>8028108720</v>
      </c>
      <c r="I10" s="7">
        <v>25846689</v>
      </c>
      <c r="J10" s="7">
        <v>9197583394</v>
      </c>
      <c r="K10" s="7">
        <v>28111267</v>
      </c>
      <c r="L10" s="7">
        <v>9753944629</v>
      </c>
      <c r="M10" s="7">
        <v>24339515</v>
      </c>
      <c r="N10" s="7">
        <v>7907682787</v>
      </c>
      <c r="O10" s="7">
        <v>25660359</v>
      </c>
      <c r="P10" s="7">
        <v>9204451058</v>
      </c>
      <c r="Q10" s="7">
        <f t="shared" si="3"/>
        <v>165594998</v>
      </c>
      <c r="R10" s="8">
        <f t="shared" si="4"/>
        <v>53178346904</v>
      </c>
      <c r="S10" s="6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8">
        <f t="shared" si="0"/>
        <v>0</v>
      </c>
      <c r="Z10" s="6">
        <v>993643836</v>
      </c>
      <c r="AA10" s="7">
        <v>995955639</v>
      </c>
      <c r="AB10" s="7">
        <v>630185297</v>
      </c>
      <c r="AC10" s="7">
        <v>623595284</v>
      </c>
      <c r="AD10" s="7">
        <v>422311409</v>
      </c>
      <c r="AE10" s="7">
        <v>959050684</v>
      </c>
      <c r="AF10" s="8">
        <f t="shared" si="1"/>
        <v>4624742149</v>
      </c>
    </row>
    <row r="11" spans="1:32">
      <c r="A11" s="43" t="s">
        <v>160</v>
      </c>
      <c r="B11" s="75" t="s">
        <v>37</v>
      </c>
      <c r="C11" s="11" t="s">
        <v>38</v>
      </c>
      <c r="D11" s="61">
        <f t="shared" si="2"/>
        <v>34678330160</v>
      </c>
      <c r="E11" s="12">
        <v>25150831</v>
      </c>
      <c r="F11" s="7">
        <v>5130908197</v>
      </c>
      <c r="G11" s="7">
        <v>17439308</v>
      </c>
      <c r="H11" s="7">
        <v>5466394147</v>
      </c>
      <c r="I11" s="7">
        <v>32057826</v>
      </c>
      <c r="J11" s="7">
        <v>6101436691</v>
      </c>
      <c r="K11" s="7">
        <v>25693778</v>
      </c>
      <c r="L11" s="7">
        <v>6093743941</v>
      </c>
      <c r="M11" s="7">
        <v>15059327</v>
      </c>
      <c r="N11" s="7">
        <v>4986765861</v>
      </c>
      <c r="O11" s="7">
        <v>19220627</v>
      </c>
      <c r="P11" s="7">
        <v>6102051616</v>
      </c>
      <c r="Q11" s="7">
        <f t="shared" si="3"/>
        <v>134621697</v>
      </c>
      <c r="R11" s="8">
        <f t="shared" si="4"/>
        <v>33881300453</v>
      </c>
      <c r="S11" s="6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8">
        <f t="shared" si="0"/>
        <v>0</v>
      </c>
      <c r="Z11" s="6">
        <v>179426365</v>
      </c>
      <c r="AA11" s="7">
        <v>166080541</v>
      </c>
      <c r="AB11" s="7">
        <v>115782421</v>
      </c>
      <c r="AC11" s="7">
        <v>153492741</v>
      </c>
      <c r="AD11" s="7">
        <v>68604140</v>
      </c>
      <c r="AE11" s="7">
        <v>113643499</v>
      </c>
      <c r="AF11" s="8">
        <f t="shared" si="1"/>
        <v>797029707</v>
      </c>
    </row>
    <row r="12" spans="1:32">
      <c r="A12" s="43" t="s">
        <v>160</v>
      </c>
      <c r="B12" s="75" t="s">
        <v>39</v>
      </c>
      <c r="C12" s="11" t="s">
        <v>40</v>
      </c>
      <c r="D12" s="61">
        <f t="shared" si="2"/>
        <v>56829721110</v>
      </c>
      <c r="E12" s="12">
        <v>94842659</v>
      </c>
      <c r="F12" s="7">
        <v>8952136404</v>
      </c>
      <c r="G12" s="7">
        <v>76260212</v>
      </c>
      <c r="H12" s="7">
        <v>8206943548</v>
      </c>
      <c r="I12" s="7">
        <v>76912975</v>
      </c>
      <c r="J12" s="7">
        <v>9704138470</v>
      </c>
      <c r="K12" s="7">
        <v>75691323</v>
      </c>
      <c r="L12" s="7">
        <v>9366127363</v>
      </c>
      <c r="M12" s="7">
        <v>57994009</v>
      </c>
      <c r="N12" s="7">
        <v>7856411512</v>
      </c>
      <c r="O12" s="7">
        <v>50143467</v>
      </c>
      <c r="P12" s="7">
        <v>9220632002</v>
      </c>
      <c r="Q12" s="7">
        <f t="shared" si="3"/>
        <v>431844645</v>
      </c>
      <c r="R12" s="8">
        <f t="shared" si="4"/>
        <v>53306389299</v>
      </c>
      <c r="S12" s="6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8">
        <f t="shared" si="0"/>
        <v>0</v>
      </c>
      <c r="Z12" s="6">
        <v>868968051</v>
      </c>
      <c r="AA12" s="7">
        <v>664955694</v>
      </c>
      <c r="AB12" s="7">
        <v>543631170</v>
      </c>
      <c r="AC12" s="7">
        <v>621353723</v>
      </c>
      <c r="AD12" s="7">
        <v>429742681</v>
      </c>
      <c r="AE12" s="7">
        <v>394680492</v>
      </c>
      <c r="AF12" s="8">
        <f t="shared" si="1"/>
        <v>3523331811</v>
      </c>
    </row>
    <row r="13" spans="1:32">
      <c r="A13" s="43" t="s">
        <v>160</v>
      </c>
      <c r="B13" s="75" t="s">
        <v>41</v>
      </c>
      <c r="C13" s="11" t="s">
        <v>42</v>
      </c>
      <c r="D13" s="61">
        <f t="shared" si="2"/>
        <v>21597876109</v>
      </c>
      <c r="E13" s="12">
        <v>905817</v>
      </c>
      <c r="F13" s="7">
        <v>3215064502</v>
      </c>
      <c r="G13" s="7">
        <v>1159412</v>
      </c>
      <c r="H13" s="7">
        <v>2914297284</v>
      </c>
      <c r="I13" s="7">
        <v>1159391</v>
      </c>
      <c r="J13" s="7">
        <v>4601221168</v>
      </c>
      <c r="K13" s="7">
        <v>1438897</v>
      </c>
      <c r="L13" s="7">
        <v>4071429655</v>
      </c>
      <c r="M13" s="7">
        <v>1071874</v>
      </c>
      <c r="N13" s="7">
        <v>3372934467</v>
      </c>
      <c r="O13" s="7">
        <v>1500028</v>
      </c>
      <c r="P13" s="7">
        <v>3305723770</v>
      </c>
      <c r="Q13" s="7">
        <f t="shared" si="3"/>
        <v>7235419</v>
      </c>
      <c r="R13" s="8">
        <f t="shared" si="4"/>
        <v>21480670846</v>
      </c>
      <c r="S13" s="6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f t="shared" si="0"/>
        <v>0</v>
      </c>
      <c r="Z13" s="6">
        <v>5892422</v>
      </c>
      <c r="AA13" s="7">
        <v>21316593</v>
      </c>
      <c r="AB13" s="7">
        <v>42406563</v>
      </c>
      <c r="AC13" s="7">
        <v>11700824</v>
      </c>
      <c r="AD13" s="7">
        <v>10387947</v>
      </c>
      <c r="AE13" s="7">
        <v>25500914</v>
      </c>
      <c r="AF13" s="8">
        <f t="shared" si="1"/>
        <v>117205263</v>
      </c>
    </row>
    <row r="14" spans="1:32">
      <c r="A14" s="43" t="s">
        <v>160</v>
      </c>
      <c r="B14" s="75" t="s">
        <v>43</v>
      </c>
      <c r="C14" s="11" t="s">
        <v>44</v>
      </c>
      <c r="D14" s="61">
        <f t="shared" si="2"/>
        <v>9379120</v>
      </c>
      <c r="E14" s="12">
        <v>100518</v>
      </c>
      <c r="F14" s="7">
        <v>1031246</v>
      </c>
      <c r="G14" s="7">
        <v>121417</v>
      </c>
      <c r="H14" s="7">
        <v>489062</v>
      </c>
      <c r="I14" s="7">
        <v>12654</v>
      </c>
      <c r="J14" s="7">
        <v>222872</v>
      </c>
      <c r="K14" s="7">
        <v>16664</v>
      </c>
      <c r="L14" s="7">
        <v>909698</v>
      </c>
      <c r="M14" s="7">
        <v>6514</v>
      </c>
      <c r="N14" s="7">
        <v>116225</v>
      </c>
      <c r="O14" s="7">
        <v>137156</v>
      </c>
      <c r="P14" s="7">
        <v>1464318</v>
      </c>
      <c r="Q14" s="7">
        <f t="shared" si="3"/>
        <v>394923</v>
      </c>
      <c r="R14" s="8">
        <f t="shared" si="4"/>
        <v>4233421</v>
      </c>
      <c r="S14" s="6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f t="shared" si="0"/>
        <v>0</v>
      </c>
      <c r="Z14" s="6">
        <v>671526</v>
      </c>
      <c r="AA14" s="7">
        <v>632888</v>
      </c>
      <c r="AB14" s="7">
        <v>844994</v>
      </c>
      <c r="AC14" s="7">
        <v>867551</v>
      </c>
      <c r="AD14" s="7">
        <v>152102</v>
      </c>
      <c r="AE14" s="7">
        <v>1976638</v>
      </c>
      <c r="AF14" s="8">
        <f t="shared" si="1"/>
        <v>5145699</v>
      </c>
    </row>
    <row r="15" spans="1:32">
      <c r="A15" s="43" t="s">
        <v>160</v>
      </c>
      <c r="B15" s="75" t="s">
        <v>45</v>
      </c>
      <c r="C15" s="11" t="s">
        <v>46</v>
      </c>
      <c r="D15" s="61">
        <f t="shared" si="2"/>
        <v>1212594771</v>
      </c>
      <c r="E15" s="12">
        <v>1455057</v>
      </c>
      <c r="F15" s="7">
        <v>115722526</v>
      </c>
      <c r="G15" s="7">
        <v>938052</v>
      </c>
      <c r="H15" s="7">
        <v>103793410</v>
      </c>
      <c r="I15" s="7">
        <v>953417</v>
      </c>
      <c r="J15" s="7">
        <v>126250425</v>
      </c>
      <c r="K15" s="7">
        <v>1339837</v>
      </c>
      <c r="L15" s="7">
        <v>150734316</v>
      </c>
      <c r="M15" s="7">
        <v>1114346</v>
      </c>
      <c r="N15" s="7">
        <v>319095141</v>
      </c>
      <c r="O15" s="7">
        <v>1122002</v>
      </c>
      <c r="P15" s="7">
        <v>349990646</v>
      </c>
      <c r="Q15" s="7">
        <f t="shared" si="3"/>
        <v>6922711</v>
      </c>
      <c r="R15" s="8">
        <f t="shared" si="4"/>
        <v>1165586464</v>
      </c>
      <c r="S15" s="6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8">
        <f t="shared" si="0"/>
        <v>0</v>
      </c>
      <c r="Z15" s="6">
        <v>9026695</v>
      </c>
      <c r="AA15" s="7">
        <v>10238294</v>
      </c>
      <c r="AB15" s="7">
        <v>10787078</v>
      </c>
      <c r="AC15" s="7">
        <v>9738590</v>
      </c>
      <c r="AD15" s="7">
        <v>4493154</v>
      </c>
      <c r="AE15" s="7">
        <v>2724496</v>
      </c>
      <c r="AF15" s="8">
        <f t="shared" si="1"/>
        <v>47008307</v>
      </c>
    </row>
    <row r="16" spans="1:32">
      <c r="A16" s="43" t="s">
        <v>161</v>
      </c>
      <c r="B16" s="75" t="s">
        <v>51</v>
      </c>
      <c r="C16" s="11" t="s">
        <v>52</v>
      </c>
      <c r="D16" s="61">
        <f t="shared" si="2"/>
        <v>121313032</v>
      </c>
      <c r="E16" s="12">
        <v>1487</v>
      </c>
      <c r="F16" s="7">
        <v>53325763</v>
      </c>
      <c r="G16" s="7">
        <v>194</v>
      </c>
      <c r="H16" s="7">
        <v>5427231</v>
      </c>
      <c r="I16" s="7">
        <v>1813</v>
      </c>
      <c r="J16" s="7">
        <v>22598863</v>
      </c>
      <c r="K16" s="7">
        <v>861</v>
      </c>
      <c r="L16" s="7">
        <v>13414521</v>
      </c>
      <c r="M16" s="7">
        <v>81</v>
      </c>
      <c r="N16" s="7">
        <v>3703118</v>
      </c>
      <c r="O16" s="7">
        <v>786</v>
      </c>
      <c r="P16" s="7">
        <v>22843536</v>
      </c>
      <c r="Q16" s="7">
        <f t="shared" si="3"/>
        <v>5222</v>
      </c>
      <c r="R16" s="8">
        <f t="shared" si="4"/>
        <v>121313032</v>
      </c>
      <c r="S16" s="6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f t="shared" si="0"/>
        <v>0</v>
      </c>
      <c r="Z16" s="6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8">
        <f t="shared" si="1"/>
        <v>0</v>
      </c>
    </row>
    <row r="17" spans="1:32">
      <c r="A17" s="43" t="s">
        <v>161</v>
      </c>
      <c r="B17" s="75" t="s">
        <v>49</v>
      </c>
      <c r="C17" s="11" t="s">
        <v>50</v>
      </c>
      <c r="D17" s="61">
        <f t="shared" si="2"/>
        <v>1940866257</v>
      </c>
      <c r="E17" s="12">
        <v>8000</v>
      </c>
      <c r="F17" s="7">
        <v>384746751</v>
      </c>
      <c r="G17" s="7">
        <v>6000</v>
      </c>
      <c r="H17" s="7">
        <v>291995555</v>
      </c>
      <c r="I17" s="7">
        <v>6000</v>
      </c>
      <c r="J17" s="7">
        <v>293350338</v>
      </c>
      <c r="K17" s="7">
        <v>0</v>
      </c>
      <c r="L17" s="7">
        <v>3178775</v>
      </c>
      <c r="M17" s="7">
        <v>8000</v>
      </c>
      <c r="N17" s="7">
        <v>392449659</v>
      </c>
      <c r="O17" s="7">
        <v>12000</v>
      </c>
      <c r="P17" s="7">
        <v>575145179</v>
      </c>
      <c r="Q17" s="7">
        <f t="shared" si="3"/>
        <v>40000</v>
      </c>
      <c r="R17" s="8">
        <f t="shared" si="4"/>
        <v>1940866257</v>
      </c>
      <c r="S17" s="6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8">
        <f t="shared" si="0"/>
        <v>0</v>
      </c>
      <c r="Z17" s="6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8">
        <f t="shared" si="1"/>
        <v>0</v>
      </c>
    </row>
    <row r="18" spans="1:32">
      <c r="A18" s="43" t="s">
        <v>161</v>
      </c>
      <c r="B18" s="75" t="s">
        <v>53</v>
      </c>
      <c r="C18" s="11" t="s">
        <v>54</v>
      </c>
      <c r="D18" s="61">
        <f t="shared" si="2"/>
        <v>7040741554</v>
      </c>
      <c r="E18" s="12">
        <v>47796</v>
      </c>
      <c r="F18" s="7">
        <v>1241050296</v>
      </c>
      <c r="G18" s="7">
        <v>36637</v>
      </c>
      <c r="H18" s="7">
        <v>914727385</v>
      </c>
      <c r="I18" s="7">
        <v>48859</v>
      </c>
      <c r="J18" s="7">
        <v>1125965630</v>
      </c>
      <c r="K18" s="7">
        <v>50050</v>
      </c>
      <c r="L18" s="7">
        <v>1279225525</v>
      </c>
      <c r="M18" s="7">
        <v>42863</v>
      </c>
      <c r="N18" s="7">
        <v>1088428715</v>
      </c>
      <c r="O18" s="7">
        <v>56191</v>
      </c>
      <c r="P18" s="7">
        <v>1391344003</v>
      </c>
      <c r="Q18" s="7">
        <f t="shared" si="3"/>
        <v>282396</v>
      </c>
      <c r="R18" s="8">
        <f t="shared" si="4"/>
        <v>7040741554</v>
      </c>
      <c r="S18" s="6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8">
        <f t="shared" si="0"/>
        <v>0</v>
      </c>
      <c r="Z18" s="6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8">
        <f t="shared" si="1"/>
        <v>0</v>
      </c>
    </row>
    <row r="19" spans="1:32">
      <c r="A19" s="43" t="s">
        <v>161</v>
      </c>
      <c r="B19" s="75" t="s">
        <v>59</v>
      </c>
      <c r="C19" s="11" t="s">
        <v>60</v>
      </c>
      <c r="D19" s="61">
        <f t="shared" si="2"/>
        <v>0</v>
      </c>
      <c r="E19" s="12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f t="shared" si="3"/>
        <v>0</v>
      </c>
      <c r="R19" s="8">
        <f t="shared" si="4"/>
        <v>0</v>
      </c>
      <c r="S19" s="6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f t="shared" si="0"/>
        <v>0</v>
      </c>
      <c r="Z19" s="6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8">
        <f t="shared" si="1"/>
        <v>0</v>
      </c>
    </row>
    <row r="20" spans="1:32">
      <c r="A20" s="43" t="s">
        <v>161</v>
      </c>
      <c r="B20" s="75" t="s">
        <v>55</v>
      </c>
      <c r="C20" s="11" t="s">
        <v>56</v>
      </c>
      <c r="D20" s="61">
        <f t="shared" si="2"/>
        <v>1235206441</v>
      </c>
      <c r="E20" s="12">
        <v>4016</v>
      </c>
      <c r="F20" s="7">
        <v>153546198</v>
      </c>
      <c r="G20" s="7">
        <v>7000</v>
      </c>
      <c r="H20" s="7">
        <v>175493002</v>
      </c>
      <c r="I20" s="7">
        <v>9976</v>
      </c>
      <c r="J20" s="7">
        <v>328176083</v>
      </c>
      <c r="K20" s="7">
        <v>10980</v>
      </c>
      <c r="L20" s="7">
        <v>305309960</v>
      </c>
      <c r="M20" s="7">
        <v>5779</v>
      </c>
      <c r="N20" s="7">
        <v>138022200</v>
      </c>
      <c r="O20" s="7">
        <v>4271</v>
      </c>
      <c r="P20" s="7">
        <v>134658998</v>
      </c>
      <c r="Q20" s="7">
        <f t="shared" si="3"/>
        <v>42022</v>
      </c>
      <c r="R20" s="8">
        <f t="shared" si="4"/>
        <v>1235206441</v>
      </c>
      <c r="S20" s="6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8">
        <f t="shared" si="0"/>
        <v>0</v>
      </c>
      <c r="Z20" s="6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8">
        <f t="shared" si="1"/>
        <v>0</v>
      </c>
    </row>
    <row r="21" spans="1:32">
      <c r="A21" s="43" t="s">
        <v>161</v>
      </c>
      <c r="B21" s="75" t="s">
        <v>57</v>
      </c>
      <c r="C21" s="11" t="s">
        <v>58</v>
      </c>
      <c r="D21" s="61">
        <f t="shared" si="2"/>
        <v>7161006750</v>
      </c>
      <c r="E21" s="12">
        <v>111788</v>
      </c>
      <c r="F21" s="7">
        <v>943675092</v>
      </c>
      <c r="G21" s="7">
        <v>104371</v>
      </c>
      <c r="H21" s="7">
        <v>831413895</v>
      </c>
      <c r="I21" s="7">
        <v>80070</v>
      </c>
      <c r="J21" s="7">
        <v>1332552507</v>
      </c>
      <c r="K21" s="7">
        <v>87870</v>
      </c>
      <c r="L21" s="7">
        <v>1681632810</v>
      </c>
      <c r="M21" s="7">
        <v>94502</v>
      </c>
      <c r="N21" s="7">
        <v>1292044777</v>
      </c>
      <c r="O21" s="7">
        <v>64009</v>
      </c>
      <c r="P21" s="7">
        <v>1079166403</v>
      </c>
      <c r="Q21" s="7">
        <f t="shared" si="3"/>
        <v>542610</v>
      </c>
      <c r="R21" s="8">
        <f t="shared" si="4"/>
        <v>7160485484</v>
      </c>
      <c r="S21" s="6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8">
        <f t="shared" si="0"/>
        <v>0</v>
      </c>
      <c r="Z21" s="6">
        <v>65910</v>
      </c>
      <c r="AA21" s="7">
        <v>64071</v>
      </c>
      <c r="AB21" s="7">
        <v>83079</v>
      </c>
      <c r="AC21" s="7">
        <v>0</v>
      </c>
      <c r="AD21" s="7">
        <v>302049</v>
      </c>
      <c r="AE21" s="7">
        <v>6157</v>
      </c>
      <c r="AF21" s="8">
        <f t="shared" si="1"/>
        <v>521266</v>
      </c>
    </row>
    <row r="22" spans="1:32">
      <c r="A22" s="43" t="s">
        <v>161</v>
      </c>
      <c r="B22" s="75" t="s">
        <v>61</v>
      </c>
      <c r="C22" s="11" t="s">
        <v>62</v>
      </c>
      <c r="D22" s="61">
        <f t="shared" si="2"/>
        <v>265791342</v>
      </c>
      <c r="E22" s="12">
        <v>14678</v>
      </c>
      <c r="F22" s="7">
        <v>46010144</v>
      </c>
      <c r="G22" s="7">
        <v>7617</v>
      </c>
      <c r="H22" s="7">
        <v>29940410</v>
      </c>
      <c r="I22" s="7">
        <v>8918</v>
      </c>
      <c r="J22" s="7">
        <v>29391725</v>
      </c>
      <c r="K22" s="7">
        <v>20279</v>
      </c>
      <c r="L22" s="7">
        <v>76799547</v>
      </c>
      <c r="M22" s="7">
        <v>13798</v>
      </c>
      <c r="N22" s="7">
        <v>47682215</v>
      </c>
      <c r="O22" s="7">
        <v>9370</v>
      </c>
      <c r="P22" s="7">
        <v>35967301</v>
      </c>
      <c r="Q22" s="7">
        <f t="shared" si="3"/>
        <v>74660</v>
      </c>
      <c r="R22" s="8">
        <f t="shared" si="4"/>
        <v>265791342</v>
      </c>
      <c r="S22" s="6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f t="shared" si="0"/>
        <v>0</v>
      </c>
      <c r="Z22" s="6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8">
        <f t="shared" si="1"/>
        <v>0</v>
      </c>
    </row>
    <row r="23" spans="1:32">
      <c r="A23" s="43" t="s">
        <v>161</v>
      </c>
      <c r="B23" s="75" t="s">
        <v>63</v>
      </c>
      <c r="C23" s="11" t="s">
        <v>64</v>
      </c>
      <c r="D23" s="61">
        <f t="shared" si="2"/>
        <v>582340578</v>
      </c>
      <c r="E23" s="12">
        <v>84473</v>
      </c>
      <c r="F23" s="7">
        <v>100533605</v>
      </c>
      <c r="G23" s="7">
        <v>59928</v>
      </c>
      <c r="H23" s="7">
        <v>88675451</v>
      </c>
      <c r="I23" s="7">
        <v>72146</v>
      </c>
      <c r="J23" s="7">
        <v>109841992</v>
      </c>
      <c r="K23" s="7">
        <v>101513</v>
      </c>
      <c r="L23" s="7">
        <v>93462553</v>
      </c>
      <c r="M23" s="7">
        <v>70321</v>
      </c>
      <c r="N23" s="7">
        <v>97672927</v>
      </c>
      <c r="O23" s="7">
        <v>59761</v>
      </c>
      <c r="P23" s="7">
        <v>92161080</v>
      </c>
      <c r="Q23" s="7">
        <f t="shared" si="3"/>
        <v>448142</v>
      </c>
      <c r="R23" s="8">
        <f t="shared" si="4"/>
        <v>582347608</v>
      </c>
      <c r="S23" s="6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8">
        <f t="shared" si="0"/>
        <v>0</v>
      </c>
      <c r="Z23" s="6">
        <v>0</v>
      </c>
      <c r="AA23" s="7">
        <v>-7030</v>
      </c>
      <c r="AB23" s="7">
        <v>0</v>
      </c>
      <c r="AC23" s="7">
        <v>0</v>
      </c>
      <c r="AD23" s="7">
        <v>0</v>
      </c>
      <c r="AE23" s="7">
        <v>0</v>
      </c>
      <c r="AF23" s="8">
        <f t="shared" si="1"/>
        <v>-7030</v>
      </c>
    </row>
    <row r="24" spans="1:32">
      <c r="A24" s="43" t="s">
        <v>161</v>
      </c>
      <c r="B24" s="75" t="s">
        <v>65</v>
      </c>
      <c r="C24" s="11" t="s">
        <v>66</v>
      </c>
      <c r="D24" s="61">
        <f t="shared" si="2"/>
        <v>3978309380</v>
      </c>
      <c r="E24" s="12">
        <v>35318</v>
      </c>
      <c r="F24" s="7">
        <v>827717489</v>
      </c>
      <c r="G24" s="7">
        <v>29512</v>
      </c>
      <c r="H24" s="7">
        <v>694593721</v>
      </c>
      <c r="I24" s="7">
        <v>30020</v>
      </c>
      <c r="J24" s="7">
        <v>584982072</v>
      </c>
      <c r="K24" s="7">
        <v>38859</v>
      </c>
      <c r="L24" s="7">
        <v>674843918</v>
      </c>
      <c r="M24" s="7">
        <v>32179</v>
      </c>
      <c r="N24" s="7">
        <v>521982613</v>
      </c>
      <c r="O24" s="7">
        <v>39903</v>
      </c>
      <c r="P24" s="7">
        <v>674135790</v>
      </c>
      <c r="Q24" s="7">
        <f t="shared" si="3"/>
        <v>205791</v>
      </c>
      <c r="R24" s="8">
        <f t="shared" si="4"/>
        <v>3978255603</v>
      </c>
      <c r="S24" s="6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8">
        <f t="shared" si="0"/>
        <v>0</v>
      </c>
      <c r="Z24" s="6">
        <v>0</v>
      </c>
      <c r="AA24" s="7">
        <v>0</v>
      </c>
      <c r="AB24" s="7">
        <v>7874</v>
      </c>
      <c r="AC24" s="7">
        <v>15197</v>
      </c>
      <c r="AD24" s="7">
        <v>15099</v>
      </c>
      <c r="AE24" s="7">
        <v>15607</v>
      </c>
      <c r="AF24" s="8">
        <f t="shared" si="1"/>
        <v>53777</v>
      </c>
    </row>
    <row r="25" spans="1:32">
      <c r="A25" s="43" t="s">
        <v>161</v>
      </c>
      <c r="B25" s="75" t="s">
        <v>67</v>
      </c>
      <c r="C25" s="11" t="s">
        <v>68</v>
      </c>
      <c r="D25" s="61">
        <f t="shared" si="2"/>
        <v>3999486</v>
      </c>
      <c r="E25" s="12">
        <v>0</v>
      </c>
      <c r="F25" s="7">
        <v>0</v>
      </c>
      <c r="G25" s="7">
        <v>0</v>
      </c>
      <c r="H25" s="7">
        <v>0</v>
      </c>
      <c r="I25" s="7">
        <v>0</v>
      </c>
      <c r="J25" s="7">
        <v>3999486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f t="shared" si="3"/>
        <v>0</v>
      </c>
      <c r="R25" s="8">
        <f t="shared" si="4"/>
        <v>3999486</v>
      </c>
      <c r="S25" s="6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f t="shared" si="0"/>
        <v>0</v>
      </c>
      <c r="Z25" s="6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8">
        <f t="shared" si="1"/>
        <v>0</v>
      </c>
    </row>
    <row r="26" spans="1:32">
      <c r="A26" s="43" t="s">
        <v>161</v>
      </c>
      <c r="B26" s="75" t="s">
        <v>69</v>
      </c>
      <c r="C26" s="11" t="s">
        <v>70</v>
      </c>
      <c r="D26" s="61">
        <f t="shared" si="2"/>
        <v>3635824955</v>
      </c>
      <c r="E26" s="12">
        <v>54015</v>
      </c>
      <c r="F26" s="7">
        <v>577272394</v>
      </c>
      <c r="G26" s="7">
        <v>38075</v>
      </c>
      <c r="H26" s="7">
        <v>406681205</v>
      </c>
      <c r="I26" s="7">
        <v>53265</v>
      </c>
      <c r="J26" s="7">
        <v>581990967</v>
      </c>
      <c r="K26" s="7">
        <v>69881</v>
      </c>
      <c r="L26" s="7">
        <v>744561917</v>
      </c>
      <c r="M26" s="7">
        <v>63940</v>
      </c>
      <c r="N26" s="7">
        <v>684809082</v>
      </c>
      <c r="O26" s="7">
        <v>59980</v>
      </c>
      <c r="P26" s="7">
        <v>640509390</v>
      </c>
      <c r="Q26" s="7">
        <f t="shared" si="3"/>
        <v>339156</v>
      </c>
      <c r="R26" s="8">
        <f t="shared" si="4"/>
        <v>3635824955</v>
      </c>
      <c r="S26" s="6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f t="shared" si="0"/>
        <v>0</v>
      </c>
      <c r="Z26" s="6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8">
        <f t="shared" si="1"/>
        <v>0</v>
      </c>
    </row>
    <row r="27" spans="1:32">
      <c r="A27" s="43" t="s">
        <v>161</v>
      </c>
      <c r="B27" s="75" t="s">
        <v>71</v>
      </c>
      <c r="C27" s="11" t="s">
        <v>72</v>
      </c>
      <c r="D27" s="61">
        <f t="shared" si="2"/>
        <v>142359753</v>
      </c>
      <c r="E27" s="12">
        <v>6240</v>
      </c>
      <c r="F27" s="7">
        <v>98821160</v>
      </c>
      <c r="G27" s="7">
        <v>2700</v>
      </c>
      <c r="H27" s="7">
        <v>44053483</v>
      </c>
      <c r="I27" s="7">
        <v>0</v>
      </c>
      <c r="J27" s="7">
        <v>-514890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f t="shared" si="3"/>
        <v>8940</v>
      </c>
      <c r="R27" s="8">
        <f t="shared" si="4"/>
        <v>142359753</v>
      </c>
      <c r="S27" s="6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8">
        <f t="shared" si="0"/>
        <v>0</v>
      </c>
      <c r="Z27" s="6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8">
        <f t="shared" si="1"/>
        <v>0</v>
      </c>
    </row>
    <row r="28" spans="1:32">
      <c r="A28" s="43" t="s">
        <v>161</v>
      </c>
      <c r="B28" s="75" t="s">
        <v>73</v>
      </c>
      <c r="C28" s="11" t="s">
        <v>74</v>
      </c>
      <c r="D28" s="61">
        <f t="shared" si="2"/>
        <v>24961824</v>
      </c>
      <c r="E28" s="12">
        <v>360</v>
      </c>
      <c r="F28" s="7">
        <v>14046016</v>
      </c>
      <c r="G28" s="7">
        <v>0</v>
      </c>
      <c r="H28" s="7">
        <v>0</v>
      </c>
      <c r="I28" s="7">
        <v>225</v>
      </c>
      <c r="J28" s="7">
        <v>10915808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f t="shared" si="3"/>
        <v>585</v>
      </c>
      <c r="R28" s="8">
        <f t="shared" si="4"/>
        <v>24961824</v>
      </c>
      <c r="S28" s="6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8">
        <f t="shared" si="0"/>
        <v>0</v>
      </c>
      <c r="Z28" s="6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8">
        <f t="shared" si="1"/>
        <v>0</v>
      </c>
    </row>
    <row r="29" spans="1:32">
      <c r="A29" s="43" t="s">
        <v>161</v>
      </c>
      <c r="B29" s="75" t="s">
        <v>75</v>
      </c>
      <c r="C29" s="11" t="s">
        <v>76</v>
      </c>
      <c r="D29" s="61">
        <f t="shared" si="2"/>
        <v>111176241</v>
      </c>
      <c r="E29" s="12">
        <v>3120</v>
      </c>
      <c r="F29" s="7">
        <v>57213107</v>
      </c>
      <c r="G29" s="7">
        <v>2160</v>
      </c>
      <c r="H29" s="7">
        <v>34436482</v>
      </c>
      <c r="I29" s="7">
        <v>0</v>
      </c>
      <c r="J29" s="7">
        <v>3599892</v>
      </c>
      <c r="K29" s="7">
        <v>0</v>
      </c>
      <c r="L29" s="7">
        <v>0</v>
      </c>
      <c r="M29" s="7">
        <v>0</v>
      </c>
      <c r="N29" s="7">
        <v>3939840</v>
      </c>
      <c r="O29" s="7">
        <v>0</v>
      </c>
      <c r="P29" s="7">
        <v>11986920</v>
      </c>
      <c r="Q29" s="7">
        <f t="shared" si="3"/>
        <v>5280</v>
      </c>
      <c r="R29" s="8">
        <f t="shared" si="4"/>
        <v>111176241</v>
      </c>
      <c r="S29" s="6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8">
        <f t="shared" si="0"/>
        <v>0</v>
      </c>
      <c r="Z29" s="6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8">
        <f t="shared" si="1"/>
        <v>0</v>
      </c>
    </row>
    <row r="30" spans="1:32">
      <c r="A30" s="43" t="s">
        <v>161</v>
      </c>
      <c r="B30" s="75" t="s">
        <v>79</v>
      </c>
      <c r="C30" s="11" t="s">
        <v>80</v>
      </c>
      <c r="D30" s="61">
        <f t="shared" si="2"/>
        <v>11190528084</v>
      </c>
      <c r="E30" s="12">
        <v>1639963</v>
      </c>
      <c r="F30" s="7">
        <v>1991223227</v>
      </c>
      <c r="G30" s="7">
        <v>993572</v>
      </c>
      <c r="H30" s="7">
        <v>1560708606</v>
      </c>
      <c r="I30" s="7">
        <v>727552</v>
      </c>
      <c r="J30" s="7">
        <v>1814397426</v>
      </c>
      <c r="K30" s="7">
        <v>1233331</v>
      </c>
      <c r="L30" s="7">
        <v>1932042598</v>
      </c>
      <c r="M30" s="7">
        <v>878062</v>
      </c>
      <c r="N30" s="7">
        <v>1656898678</v>
      </c>
      <c r="O30" s="7">
        <v>659797</v>
      </c>
      <c r="P30" s="7">
        <v>1815387805</v>
      </c>
      <c r="Q30" s="7">
        <f t="shared" si="3"/>
        <v>6132277</v>
      </c>
      <c r="R30" s="8">
        <f t="shared" si="4"/>
        <v>10770658340</v>
      </c>
      <c r="S30" s="6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8">
        <f t="shared" si="0"/>
        <v>0</v>
      </c>
      <c r="Z30" s="6">
        <v>128389742</v>
      </c>
      <c r="AA30" s="7">
        <v>38947703</v>
      </c>
      <c r="AB30" s="7">
        <v>127506713</v>
      </c>
      <c r="AC30" s="7">
        <v>104339375</v>
      </c>
      <c r="AD30" s="7">
        <v>20559792</v>
      </c>
      <c r="AE30" s="7">
        <v>126419</v>
      </c>
      <c r="AF30" s="8">
        <f t="shared" si="1"/>
        <v>419869744</v>
      </c>
    </row>
    <row r="31" spans="1:32">
      <c r="A31" s="43" t="s">
        <v>161</v>
      </c>
      <c r="B31" s="75" t="s">
        <v>81</v>
      </c>
      <c r="C31" s="11" t="s">
        <v>82</v>
      </c>
      <c r="D31" s="61">
        <f t="shared" si="2"/>
        <v>1311492869</v>
      </c>
      <c r="E31" s="12">
        <v>6437</v>
      </c>
      <c r="F31" s="7">
        <v>222151318</v>
      </c>
      <c r="G31" s="7">
        <v>6498</v>
      </c>
      <c r="H31" s="7">
        <v>227998588</v>
      </c>
      <c r="I31" s="7">
        <v>6483</v>
      </c>
      <c r="J31" s="7">
        <v>190765793</v>
      </c>
      <c r="K31" s="7">
        <v>6569</v>
      </c>
      <c r="L31" s="7">
        <v>225775759</v>
      </c>
      <c r="M31" s="7">
        <v>5507</v>
      </c>
      <c r="N31" s="7">
        <v>180437931</v>
      </c>
      <c r="O31" s="7">
        <v>7982</v>
      </c>
      <c r="P31" s="7">
        <v>264363480</v>
      </c>
      <c r="Q31" s="7">
        <f t="shared" si="3"/>
        <v>39476</v>
      </c>
      <c r="R31" s="8">
        <f t="shared" si="4"/>
        <v>1311492869</v>
      </c>
      <c r="S31" s="6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8">
        <f t="shared" si="0"/>
        <v>0</v>
      </c>
      <c r="Z31" s="6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8">
        <f t="shared" si="1"/>
        <v>0</v>
      </c>
    </row>
    <row r="32" spans="1:32">
      <c r="A32" s="43" t="s">
        <v>162</v>
      </c>
      <c r="B32" s="75" t="s">
        <v>83</v>
      </c>
      <c r="C32" s="11" t="s">
        <v>84</v>
      </c>
      <c r="D32" s="61">
        <f t="shared" si="2"/>
        <v>8393776777</v>
      </c>
      <c r="E32" s="12">
        <v>2053757</v>
      </c>
      <c r="F32" s="7">
        <v>1512062302</v>
      </c>
      <c r="G32" s="7">
        <v>1738212</v>
      </c>
      <c r="H32" s="7">
        <v>1232368234</v>
      </c>
      <c r="I32" s="7">
        <v>1967429</v>
      </c>
      <c r="J32" s="7">
        <v>2065348248</v>
      </c>
      <c r="K32" s="7">
        <v>1426185</v>
      </c>
      <c r="L32" s="7">
        <v>1230805714</v>
      </c>
      <c r="M32" s="7">
        <v>2145231</v>
      </c>
      <c r="N32" s="7">
        <v>947295971</v>
      </c>
      <c r="O32" s="7">
        <v>887734</v>
      </c>
      <c r="P32" s="7">
        <v>1063456993</v>
      </c>
      <c r="Q32" s="7">
        <f t="shared" si="3"/>
        <v>10218548</v>
      </c>
      <c r="R32" s="8">
        <f t="shared" si="4"/>
        <v>8051337462</v>
      </c>
      <c r="S32" s="6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8">
        <f t="shared" si="0"/>
        <v>0</v>
      </c>
      <c r="Z32" s="6">
        <v>87912520</v>
      </c>
      <c r="AA32" s="7">
        <v>32215607</v>
      </c>
      <c r="AB32" s="7">
        <v>94807960</v>
      </c>
      <c r="AC32" s="7">
        <v>107223264</v>
      </c>
      <c r="AD32" s="7">
        <v>11799991</v>
      </c>
      <c r="AE32" s="7">
        <v>8479973</v>
      </c>
      <c r="AF32" s="8">
        <f t="shared" si="1"/>
        <v>342439315</v>
      </c>
    </row>
    <row r="33" spans="1:32">
      <c r="A33" s="43" t="s">
        <v>162</v>
      </c>
      <c r="B33" s="75" t="s">
        <v>89</v>
      </c>
      <c r="C33" s="11" t="s">
        <v>90</v>
      </c>
      <c r="D33" s="61">
        <f t="shared" si="2"/>
        <v>0</v>
      </c>
      <c r="E33" s="12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f t="shared" si="3"/>
        <v>0</v>
      </c>
      <c r="R33" s="8">
        <f t="shared" si="4"/>
        <v>0</v>
      </c>
      <c r="S33" s="6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8">
        <f t="shared" si="0"/>
        <v>0</v>
      </c>
      <c r="Z33" s="6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8">
        <f t="shared" si="1"/>
        <v>0</v>
      </c>
    </row>
    <row r="34" spans="1:32">
      <c r="A34" s="43" t="s">
        <v>162</v>
      </c>
      <c r="B34" s="75" t="s">
        <v>93</v>
      </c>
      <c r="C34" s="11" t="s">
        <v>94</v>
      </c>
      <c r="D34" s="61">
        <f t="shared" si="2"/>
        <v>48841</v>
      </c>
      <c r="E34" s="12">
        <v>40000</v>
      </c>
      <c r="F34" s="7">
        <v>0</v>
      </c>
      <c r="G34" s="7">
        <v>10000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f t="shared" si="3"/>
        <v>50000</v>
      </c>
      <c r="R34" s="8">
        <f t="shared" si="4"/>
        <v>0</v>
      </c>
      <c r="S34" s="6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8">
        <f t="shared" si="0"/>
        <v>0</v>
      </c>
      <c r="Z34" s="6">
        <v>38873</v>
      </c>
      <c r="AA34" s="7">
        <v>9968</v>
      </c>
      <c r="AB34" s="7">
        <v>0</v>
      </c>
      <c r="AC34" s="7">
        <v>0</v>
      </c>
      <c r="AD34" s="7">
        <v>0</v>
      </c>
      <c r="AE34" s="7">
        <v>0</v>
      </c>
      <c r="AF34" s="8">
        <f t="shared" si="1"/>
        <v>48841</v>
      </c>
    </row>
    <row r="35" spans="1:32">
      <c r="A35" s="43" t="s">
        <v>162</v>
      </c>
      <c r="B35" s="75" t="s">
        <v>95</v>
      </c>
      <c r="C35" s="11" t="s">
        <v>96</v>
      </c>
      <c r="D35" s="61">
        <f t="shared" si="2"/>
        <v>82908000</v>
      </c>
      <c r="E35" s="12">
        <v>18</v>
      </c>
      <c r="F35" s="7">
        <v>15228000</v>
      </c>
      <c r="G35" s="7">
        <v>20</v>
      </c>
      <c r="H35" s="7">
        <v>16920000</v>
      </c>
      <c r="I35" s="7">
        <v>18</v>
      </c>
      <c r="J35" s="7">
        <v>15228000</v>
      </c>
      <c r="K35" s="7">
        <v>0</v>
      </c>
      <c r="L35" s="7">
        <v>0</v>
      </c>
      <c r="M35" s="7">
        <v>18</v>
      </c>
      <c r="N35" s="7">
        <v>15228000</v>
      </c>
      <c r="O35" s="7">
        <v>24</v>
      </c>
      <c r="P35" s="7">
        <v>20304000</v>
      </c>
      <c r="Q35" s="7">
        <f t="shared" si="3"/>
        <v>98</v>
      </c>
      <c r="R35" s="8">
        <f t="shared" si="4"/>
        <v>82908000</v>
      </c>
      <c r="S35" s="6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8">
        <f t="shared" si="0"/>
        <v>0</v>
      </c>
      <c r="Z35" s="6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8">
        <f t="shared" si="1"/>
        <v>0</v>
      </c>
    </row>
    <row r="36" spans="1:32">
      <c r="A36" s="43" t="s">
        <v>162</v>
      </c>
      <c r="B36" s="75" t="s">
        <v>97</v>
      </c>
      <c r="C36" s="11" t="s">
        <v>98</v>
      </c>
      <c r="D36" s="61">
        <f t="shared" si="2"/>
        <v>6305911729</v>
      </c>
      <c r="E36" s="12">
        <v>1659185</v>
      </c>
      <c r="F36" s="7">
        <v>982336930</v>
      </c>
      <c r="G36" s="7">
        <v>1691621</v>
      </c>
      <c r="H36" s="7">
        <v>1040001237</v>
      </c>
      <c r="I36" s="7">
        <v>1911471</v>
      </c>
      <c r="J36" s="7">
        <v>1171730198</v>
      </c>
      <c r="K36" s="7">
        <v>1753557</v>
      </c>
      <c r="L36" s="7">
        <v>1073356539</v>
      </c>
      <c r="M36" s="7">
        <v>1671420</v>
      </c>
      <c r="N36" s="7">
        <v>1018944762</v>
      </c>
      <c r="O36" s="7">
        <v>1672675</v>
      </c>
      <c r="P36" s="7">
        <v>1019542063</v>
      </c>
      <c r="Q36" s="7">
        <f t="shared" si="3"/>
        <v>10359929</v>
      </c>
      <c r="R36" s="8">
        <f t="shared" si="4"/>
        <v>6305911729</v>
      </c>
      <c r="S36" s="6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8">
        <f t="shared" si="0"/>
        <v>0</v>
      </c>
      <c r="Z36" s="6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8">
        <f t="shared" si="1"/>
        <v>0</v>
      </c>
    </row>
    <row r="37" spans="1:32">
      <c r="A37" s="43" t="s">
        <v>162</v>
      </c>
      <c r="B37" s="75" t="s">
        <v>99</v>
      </c>
      <c r="C37" s="11" t="s">
        <v>100</v>
      </c>
      <c r="D37" s="61">
        <f t="shared" si="2"/>
        <v>30749492</v>
      </c>
      <c r="E37" s="12">
        <v>122</v>
      </c>
      <c r="F37" s="7">
        <v>96580</v>
      </c>
      <c r="G37" s="7">
        <v>0</v>
      </c>
      <c r="H37" s="7">
        <v>0</v>
      </c>
      <c r="I37" s="7">
        <v>0</v>
      </c>
      <c r="J37" s="7">
        <v>0</v>
      </c>
      <c r="K37" s="7">
        <v>38890</v>
      </c>
      <c r="L37" s="7">
        <v>22100302</v>
      </c>
      <c r="M37" s="7">
        <v>8640</v>
      </c>
      <c r="N37" s="7">
        <v>8552610</v>
      </c>
      <c r="O37" s="7">
        <v>0</v>
      </c>
      <c r="P37" s="7">
        <v>0</v>
      </c>
      <c r="Q37" s="7">
        <f t="shared" si="3"/>
        <v>47652</v>
      </c>
      <c r="R37" s="8">
        <f t="shared" si="4"/>
        <v>30749492</v>
      </c>
      <c r="S37" s="6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8">
        <f t="shared" ref="Y37:Y68" si="5">SUM(S37:X37)</f>
        <v>0</v>
      </c>
      <c r="Z37" s="6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8">
        <f t="shared" ref="AF37:AF68" si="6">SUM(Z37:AE37)</f>
        <v>0</v>
      </c>
    </row>
    <row r="38" spans="1:32">
      <c r="A38" s="43" t="s">
        <v>162</v>
      </c>
      <c r="B38" s="75" t="s">
        <v>101</v>
      </c>
      <c r="C38" s="11" t="s">
        <v>102</v>
      </c>
      <c r="D38" s="61">
        <f t="shared" si="2"/>
        <v>3572285482</v>
      </c>
      <c r="E38" s="12">
        <v>691632</v>
      </c>
      <c r="F38" s="7">
        <v>435356707</v>
      </c>
      <c r="G38" s="7">
        <v>1015524</v>
      </c>
      <c r="H38" s="7">
        <v>642105901</v>
      </c>
      <c r="I38" s="7">
        <v>1141452</v>
      </c>
      <c r="J38" s="7">
        <v>728340648</v>
      </c>
      <c r="K38" s="7">
        <v>962280</v>
      </c>
      <c r="L38" s="7">
        <v>597365071</v>
      </c>
      <c r="M38" s="7">
        <v>930204</v>
      </c>
      <c r="N38" s="7">
        <v>583308862</v>
      </c>
      <c r="O38" s="7">
        <v>921564</v>
      </c>
      <c r="P38" s="7">
        <v>585808293</v>
      </c>
      <c r="Q38" s="7">
        <f t="shared" si="3"/>
        <v>5662656</v>
      </c>
      <c r="R38" s="8">
        <f t="shared" si="4"/>
        <v>3572285482</v>
      </c>
      <c r="S38" s="6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8">
        <f t="shared" si="5"/>
        <v>0</v>
      </c>
      <c r="Z38" s="6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8">
        <f t="shared" si="6"/>
        <v>0</v>
      </c>
    </row>
    <row r="39" spans="1:32">
      <c r="A39" s="43" t="s">
        <v>162</v>
      </c>
      <c r="B39" s="75" t="s">
        <v>106</v>
      </c>
      <c r="C39" s="11" t="s">
        <v>105</v>
      </c>
      <c r="D39" s="61">
        <f t="shared" si="2"/>
        <v>1968715</v>
      </c>
      <c r="E39" s="12">
        <v>22780</v>
      </c>
      <c r="F39" s="7">
        <v>0</v>
      </c>
      <c r="G39" s="7">
        <v>200</v>
      </c>
      <c r="H39" s="7">
        <v>8823</v>
      </c>
      <c r="I39" s="7">
        <v>60830</v>
      </c>
      <c r="J39" s="7">
        <v>0</v>
      </c>
      <c r="K39" s="7">
        <v>0</v>
      </c>
      <c r="L39" s="7">
        <v>0</v>
      </c>
      <c r="M39" s="7">
        <v>10</v>
      </c>
      <c r="N39" s="7">
        <v>10710</v>
      </c>
      <c r="O39" s="7">
        <v>72350</v>
      </c>
      <c r="P39" s="7">
        <v>0</v>
      </c>
      <c r="Q39" s="7">
        <f t="shared" si="3"/>
        <v>156170</v>
      </c>
      <c r="R39" s="8">
        <f t="shared" si="4"/>
        <v>19533</v>
      </c>
      <c r="S39" s="6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8">
        <f t="shared" si="5"/>
        <v>0</v>
      </c>
      <c r="Z39" s="6">
        <v>278699</v>
      </c>
      <c r="AA39" s="7">
        <v>0</v>
      </c>
      <c r="AB39" s="7">
        <v>757314</v>
      </c>
      <c r="AC39" s="7">
        <v>0</v>
      </c>
      <c r="AD39" s="7">
        <v>0</v>
      </c>
      <c r="AE39" s="7">
        <v>913169</v>
      </c>
      <c r="AF39" s="8">
        <f t="shared" si="6"/>
        <v>1949182</v>
      </c>
    </row>
    <row r="40" spans="1:32">
      <c r="A40" s="43" t="s">
        <v>162</v>
      </c>
      <c r="B40" s="75" t="s">
        <v>108</v>
      </c>
      <c r="C40" s="11" t="s">
        <v>107</v>
      </c>
      <c r="D40" s="61">
        <f t="shared" si="2"/>
        <v>71996383</v>
      </c>
      <c r="E40" s="12">
        <v>4006</v>
      </c>
      <c r="F40" s="7">
        <v>14827731</v>
      </c>
      <c r="G40" s="7">
        <v>5129</v>
      </c>
      <c r="H40" s="7">
        <v>15146036</v>
      </c>
      <c r="I40" s="7">
        <v>2581</v>
      </c>
      <c r="J40" s="7">
        <v>10130432</v>
      </c>
      <c r="K40" s="7">
        <v>3899</v>
      </c>
      <c r="L40" s="7">
        <v>13172797</v>
      </c>
      <c r="M40" s="7">
        <v>3148</v>
      </c>
      <c r="N40" s="7">
        <v>9300083</v>
      </c>
      <c r="O40" s="7">
        <v>3192</v>
      </c>
      <c r="P40" s="7">
        <v>9419304</v>
      </c>
      <c r="Q40" s="7">
        <f t="shared" si="3"/>
        <v>21955</v>
      </c>
      <c r="R40" s="8">
        <f t="shared" si="4"/>
        <v>71996383</v>
      </c>
      <c r="S40" s="6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8">
        <f t="shared" si="5"/>
        <v>0</v>
      </c>
      <c r="Z40" s="6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8">
        <f t="shared" si="6"/>
        <v>0</v>
      </c>
    </row>
    <row r="41" spans="1:32">
      <c r="A41" s="43" t="s">
        <v>162</v>
      </c>
      <c r="B41" s="75" t="s">
        <v>110</v>
      </c>
      <c r="C41" s="11" t="s">
        <v>109</v>
      </c>
      <c r="D41" s="61">
        <f t="shared" si="2"/>
        <v>14553075728</v>
      </c>
      <c r="E41" s="12">
        <v>3405290</v>
      </c>
      <c r="F41" s="7">
        <v>2539037782</v>
      </c>
      <c r="G41" s="7">
        <v>2861029</v>
      </c>
      <c r="H41" s="7">
        <v>2175319731</v>
      </c>
      <c r="I41" s="7">
        <v>3271748</v>
      </c>
      <c r="J41" s="7">
        <v>2448647362</v>
      </c>
      <c r="K41" s="7">
        <v>3202778</v>
      </c>
      <c r="L41" s="7">
        <v>2355631454</v>
      </c>
      <c r="M41" s="7">
        <v>3327779</v>
      </c>
      <c r="N41" s="7">
        <v>2408578987</v>
      </c>
      <c r="O41" s="7">
        <v>3505543</v>
      </c>
      <c r="P41" s="7">
        <v>2625860412</v>
      </c>
      <c r="Q41" s="7">
        <f t="shared" si="3"/>
        <v>19574167</v>
      </c>
      <c r="R41" s="8">
        <f t="shared" si="4"/>
        <v>14553075728</v>
      </c>
      <c r="S41" s="6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8">
        <f t="shared" si="5"/>
        <v>0</v>
      </c>
      <c r="Z41" s="6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8">
        <f t="shared" si="6"/>
        <v>0</v>
      </c>
    </row>
    <row r="42" spans="1:32">
      <c r="A42" s="43" t="s">
        <v>162</v>
      </c>
      <c r="B42" s="75" t="s">
        <v>112</v>
      </c>
      <c r="C42" s="11" t="s">
        <v>111</v>
      </c>
      <c r="D42" s="61">
        <f t="shared" si="2"/>
        <v>1459567233</v>
      </c>
      <c r="E42" s="12">
        <v>422695</v>
      </c>
      <c r="F42" s="7">
        <v>304159329</v>
      </c>
      <c r="G42" s="7">
        <v>322300</v>
      </c>
      <c r="H42" s="7">
        <v>247502342</v>
      </c>
      <c r="I42" s="7">
        <v>324206</v>
      </c>
      <c r="J42" s="7">
        <v>237374961</v>
      </c>
      <c r="K42" s="7">
        <v>356990</v>
      </c>
      <c r="L42" s="7">
        <v>257759818</v>
      </c>
      <c r="M42" s="7">
        <v>305485</v>
      </c>
      <c r="N42" s="7">
        <v>218925325</v>
      </c>
      <c r="O42" s="7">
        <v>263663</v>
      </c>
      <c r="P42" s="7">
        <v>193845458</v>
      </c>
      <c r="Q42" s="7">
        <f t="shared" si="3"/>
        <v>1995339</v>
      </c>
      <c r="R42" s="8">
        <f t="shared" si="4"/>
        <v>1459567233</v>
      </c>
      <c r="S42" s="6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8">
        <f t="shared" si="5"/>
        <v>0</v>
      </c>
      <c r="Z42" s="6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8">
        <f t="shared" si="6"/>
        <v>0</v>
      </c>
    </row>
    <row r="43" spans="1:32">
      <c r="A43" s="43" t="s">
        <v>162</v>
      </c>
      <c r="B43" s="75" t="s">
        <v>114</v>
      </c>
      <c r="C43" s="11" t="s">
        <v>113</v>
      </c>
      <c r="D43" s="61">
        <f t="shared" si="2"/>
        <v>114766386</v>
      </c>
      <c r="E43" s="12">
        <v>25600</v>
      </c>
      <c r="F43" s="7">
        <v>31844922</v>
      </c>
      <c r="G43" s="7">
        <v>22720</v>
      </c>
      <c r="H43" s="7">
        <v>22035764</v>
      </c>
      <c r="I43" s="7">
        <v>21120</v>
      </c>
      <c r="J43" s="7">
        <v>20912090</v>
      </c>
      <c r="K43" s="7">
        <v>25015</v>
      </c>
      <c r="L43" s="7">
        <v>8920229</v>
      </c>
      <c r="M43" s="7">
        <v>29560</v>
      </c>
      <c r="N43" s="7">
        <v>16516742</v>
      </c>
      <c r="O43" s="7">
        <v>27840</v>
      </c>
      <c r="P43" s="7">
        <v>14536639</v>
      </c>
      <c r="Q43" s="7">
        <f t="shared" si="3"/>
        <v>151855</v>
      </c>
      <c r="R43" s="8">
        <f t="shared" si="4"/>
        <v>114766386</v>
      </c>
      <c r="S43" s="6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f t="shared" si="5"/>
        <v>0</v>
      </c>
      <c r="Z43" s="6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8">
        <f t="shared" si="6"/>
        <v>0</v>
      </c>
    </row>
    <row r="44" spans="1:32">
      <c r="A44" s="43" t="s">
        <v>162</v>
      </c>
      <c r="B44" s="75" t="s">
        <v>116</v>
      </c>
      <c r="C44" s="11" t="s">
        <v>115</v>
      </c>
      <c r="D44" s="61">
        <f t="shared" si="2"/>
        <v>54178236</v>
      </c>
      <c r="E44" s="12">
        <v>11860</v>
      </c>
      <c r="F44" s="7">
        <v>23793000</v>
      </c>
      <c r="G44" s="7">
        <v>1470</v>
      </c>
      <c r="H44" s="7">
        <v>2932650</v>
      </c>
      <c r="I44" s="7">
        <v>3319</v>
      </c>
      <c r="J44" s="7">
        <v>6752382</v>
      </c>
      <c r="K44" s="7">
        <v>2477</v>
      </c>
      <c r="L44" s="7">
        <v>5069946</v>
      </c>
      <c r="M44" s="7">
        <v>4198</v>
      </c>
      <c r="N44" s="7">
        <v>8372364</v>
      </c>
      <c r="O44" s="7">
        <v>3583</v>
      </c>
      <c r="P44" s="7">
        <v>7257894</v>
      </c>
      <c r="Q44" s="7">
        <f t="shared" si="3"/>
        <v>26907</v>
      </c>
      <c r="R44" s="8">
        <f t="shared" si="4"/>
        <v>54178236</v>
      </c>
      <c r="S44" s="6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8">
        <f t="shared" si="5"/>
        <v>0</v>
      </c>
      <c r="Z44" s="6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8">
        <f t="shared" si="6"/>
        <v>0</v>
      </c>
    </row>
    <row r="45" spans="1:32">
      <c r="A45" s="43" t="s">
        <v>162</v>
      </c>
      <c r="B45" s="75" t="s">
        <v>118</v>
      </c>
      <c r="C45" s="11" t="s">
        <v>117</v>
      </c>
      <c r="D45" s="61">
        <f t="shared" si="2"/>
        <v>1893134952</v>
      </c>
      <c r="E45" s="12">
        <v>173771</v>
      </c>
      <c r="F45" s="7">
        <v>299917540</v>
      </c>
      <c r="G45" s="7">
        <v>188031</v>
      </c>
      <c r="H45" s="7">
        <v>308261932</v>
      </c>
      <c r="I45" s="7">
        <v>194074</v>
      </c>
      <c r="J45" s="7">
        <v>410264509</v>
      </c>
      <c r="K45" s="7">
        <v>235845</v>
      </c>
      <c r="L45" s="7">
        <v>368858625</v>
      </c>
      <c r="M45" s="7">
        <v>203549</v>
      </c>
      <c r="N45" s="7">
        <v>258019557</v>
      </c>
      <c r="O45" s="7">
        <v>173661</v>
      </c>
      <c r="P45" s="7">
        <v>247812789</v>
      </c>
      <c r="Q45" s="7">
        <f t="shared" si="3"/>
        <v>1168931</v>
      </c>
      <c r="R45" s="8">
        <f t="shared" si="4"/>
        <v>1893134952</v>
      </c>
      <c r="S45" s="6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8">
        <f t="shared" si="5"/>
        <v>0</v>
      </c>
      <c r="Z45" s="6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8">
        <f t="shared" si="6"/>
        <v>0</v>
      </c>
    </row>
    <row r="46" spans="1:32">
      <c r="A46" s="43" t="s">
        <v>162</v>
      </c>
      <c r="B46" s="75" t="s">
        <v>120</v>
      </c>
      <c r="C46" s="11" t="s">
        <v>119</v>
      </c>
      <c r="D46" s="61">
        <f t="shared" si="2"/>
        <v>803287890</v>
      </c>
      <c r="E46" s="12">
        <v>6213850</v>
      </c>
      <c r="F46" s="7">
        <v>224386758</v>
      </c>
      <c r="G46" s="7">
        <v>2527500</v>
      </c>
      <c r="H46" s="7">
        <v>104650253</v>
      </c>
      <c r="I46" s="7">
        <v>4653630</v>
      </c>
      <c r="J46" s="7">
        <v>106821832</v>
      </c>
      <c r="K46" s="7">
        <v>5764690</v>
      </c>
      <c r="L46" s="7">
        <v>187912597</v>
      </c>
      <c r="M46" s="7">
        <v>2133170</v>
      </c>
      <c r="N46" s="7">
        <v>60112847</v>
      </c>
      <c r="O46" s="7">
        <v>2144910</v>
      </c>
      <c r="P46" s="7">
        <v>53539239</v>
      </c>
      <c r="Q46" s="7">
        <f t="shared" si="3"/>
        <v>23437750</v>
      </c>
      <c r="R46" s="8">
        <f t="shared" si="4"/>
        <v>737423526</v>
      </c>
      <c r="S46" s="6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8">
        <f t="shared" si="5"/>
        <v>0</v>
      </c>
      <c r="Z46" s="6">
        <v>15535254</v>
      </c>
      <c r="AA46" s="7">
        <v>5229459</v>
      </c>
      <c r="AB46" s="7">
        <v>16518925</v>
      </c>
      <c r="AC46" s="7">
        <v>8944637</v>
      </c>
      <c r="AD46" s="7">
        <v>10609176</v>
      </c>
      <c r="AE46" s="7">
        <v>9026913</v>
      </c>
      <c r="AF46" s="8">
        <f t="shared" si="6"/>
        <v>65864364</v>
      </c>
    </row>
    <row r="47" spans="1:32">
      <c r="A47" s="43" t="s">
        <v>162</v>
      </c>
      <c r="B47" s="75" t="s">
        <v>122</v>
      </c>
      <c r="C47" s="11" t="s">
        <v>121</v>
      </c>
      <c r="D47" s="61">
        <f t="shared" si="2"/>
        <v>752298</v>
      </c>
      <c r="E47" s="12">
        <v>0</v>
      </c>
      <c r="F47" s="7">
        <v>0</v>
      </c>
      <c r="G47" s="7">
        <v>0</v>
      </c>
      <c r="H47" s="7">
        <v>0</v>
      </c>
      <c r="I47" s="7">
        <v>4000</v>
      </c>
      <c r="J47" s="7">
        <v>0</v>
      </c>
      <c r="K47" s="7">
        <v>0</v>
      </c>
      <c r="L47" s="7">
        <v>0</v>
      </c>
      <c r="M47" s="7">
        <v>4000</v>
      </c>
      <c r="N47" s="7">
        <v>63756</v>
      </c>
      <c r="O47" s="7">
        <v>0</v>
      </c>
      <c r="P47" s="7">
        <v>0</v>
      </c>
      <c r="Q47" s="7">
        <f t="shared" si="3"/>
        <v>8000</v>
      </c>
      <c r="R47" s="8">
        <f t="shared" si="4"/>
        <v>63756</v>
      </c>
      <c r="S47" s="6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8">
        <f t="shared" si="5"/>
        <v>0</v>
      </c>
      <c r="Z47" s="6">
        <v>0</v>
      </c>
      <c r="AA47" s="7">
        <v>0</v>
      </c>
      <c r="AB47" s="7">
        <v>346801</v>
      </c>
      <c r="AC47" s="7">
        <v>0</v>
      </c>
      <c r="AD47" s="7">
        <v>341741</v>
      </c>
      <c r="AE47" s="7">
        <v>0</v>
      </c>
      <c r="AF47" s="8">
        <f t="shared" si="6"/>
        <v>688542</v>
      </c>
    </row>
    <row r="48" spans="1:32">
      <c r="A48" s="43" t="s">
        <v>163</v>
      </c>
      <c r="B48" s="75" t="s">
        <v>125</v>
      </c>
      <c r="C48" s="11" t="s">
        <v>124</v>
      </c>
      <c r="D48" s="61">
        <f t="shared" si="2"/>
        <v>62250027</v>
      </c>
      <c r="E48" s="12">
        <v>0</v>
      </c>
      <c r="F48" s="7">
        <v>0</v>
      </c>
      <c r="G48" s="7">
        <v>26165</v>
      </c>
      <c r="H48" s="7">
        <v>1112472</v>
      </c>
      <c r="I48" s="7">
        <v>2210</v>
      </c>
      <c r="J48" s="7">
        <v>20730</v>
      </c>
      <c r="K48" s="7">
        <v>806</v>
      </c>
      <c r="L48" s="7">
        <v>10794</v>
      </c>
      <c r="M48" s="7">
        <v>3362</v>
      </c>
      <c r="N48" s="7">
        <v>53743705</v>
      </c>
      <c r="O48" s="7">
        <v>175925</v>
      </c>
      <c r="P48" s="7">
        <v>409639</v>
      </c>
      <c r="Q48" s="7">
        <f t="shared" si="3"/>
        <v>208468</v>
      </c>
      <c r="R48" s="8">
        <f t="shared" si="4"/>
        <v>55297340</v>
      </c>
      <c r="S48" s="6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f t="shared" si="5"/>
        <v>0</v>
      </c>
      <c r="Z48" s="6">
        <v>0</v>
      </c>
      <c r="AA48" s="7">
        <v>0</v>
      </c>
      <c r="AB48" s="7">
        <v>0</v>
      </c>
      <c r="AC48" s="7">
        <v>110184</v>
      </c>
      <c r="AD48" s="7">
        <v>0</v>
      </c>
      <c r="AE48" s="7">
        <v>6842503</v>
      </c>
      <c r="AF48" s="8">
        <f t="shared" si="6"/>
        <v>6952687</v>
      </c>
    </row>
    <row r="49" spans="1:32">
      <c r="A49" s="43" t="s">
        <v>163</v>
      </c>
      <c r="B49" s="75" t="s">
        <v>127</v>
      </c>
      <c r="C49" s="11" t="s">
        <v>126</v>
      </c>
      <c r="D49" s="61">
        <f t="shared" si="2"/>
        <v>2173457110</v>
      </c>
      <c r="E49" s="12">
        <v>78875000</v>
      </c>
      <c r="F49" s="7">
        <v>0</v>
      </c>
      <c r="G49" s="7">
        <v>66111000</v>
      </c>
      <c r="H49" s="7">
        <v>31098641</v>
      </c>
      <c r="I49" s="7">
        <v>76779200</v>
      </c>
      <c r="J49" s="7">
        <v>4503323</v>
      </c>
      <c r="K49" s="7">
        <v>87343000</v>
      </c>
      <c r="L49" s="7">
        <v>35042818</v>
      </c>
      <c r="M49" s="7">
        <v>69876480</v>
      </c>
      <c r="N49" s="7">
        <v>34966594</v>
      </c>
      <c r="O49" s="7">
        <v>59366825</v>
      </c>
      <c r="P49" s="7">
        <v>3964113</v>
      </c>
      <c r="Q49" s="7">
        <f t="shared" si="3"/>
        <v>438351505</v>
      </c>
      <c r="R49" s="8">
        <f t="shared" si="4"/>
        <v>109575489</v>
      </c>
      <c r="S49" s="6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8">
        <f t="shared" si="5"/>
        <v>0</v>
      </c>
      <c r="Z49" s="6">
        <v>372859149</v>
      </c>
      <c r="AA49" s="7">
        <v>327073953</v>
      </c>
      <c r="AB49" s="7">
        <v>357010679</v>
      </c>
      <c r="AC49" s="7">
        <v>404971547</v>
      </c>
      <c r="AD49" s="7">
        <v>326550411</v>
      </c>
      <c r="AE49" s="7">
        <v>275415882</v>
      </c>
      <c r="AF49" s="8">
        <f t="shared" si="6"/>
        <v>2063881621</v>
      </c>
    </row>
    <row r="50" spans="1:32">
      <c r="A50" s="43" t="s">
        <v>163</v>
      </c>
      <c r="B50" s="75" t="s">
        <v>129</v>
      </c>
      <c r="C50" s="11" t="s">
        <v>128</v>
      </c>
      <c r="D50" s="61">
        <f t="shared" si="2"/>
        <v>625299580</v>
      </c>
      <c r="E50" s="12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f t="shared" si="3"/>
        <v>0</v>
      </c>
      <c r="R50" s="8">
        <f t="shared" si="4"/>
        <v>0</v>
      </c>
      <c r="S50" s="6">
        <v>361017976</v>
      </c>
      <c r="T50" s="7">
        <v>86103932</v>
      </c>
      <c r="U50" s="7">
        <v>85240863</v>
      </c>
      <c r="V50" s="7">
        <v>92936809</v>
      </c>
      <c r="W50" s="7">
        <v>0</v>
      </c>
      <c r="X50" s="7">
        <v>0</v>
      </c>
      <c r="Y50" s="8">
        <f t="shared" si="5"/>
        <v>625299580</v>
      </c>
      <c r="Z50" s="6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8">
        <f t="shared" si="6"/>
        <v>0</v>
      </c>
    </row>
    <row r="51" spans="1:32">
      <c r="A51" s="43" t="s">
        <v>163</v>
      </c>
      <c r="B51" s="75" t="s">
        <v>131</v>
      </c>
      <c r="C51" s="11" t="s">
        <v>130</v>
      </c>
      <c r="D51" s="61">
        <f t="shared" si="2"/>
        <v>2299315800</v>
      </c>
      <c r="E51" s="12">
        <v>3</v>
      </c>
      <c r="F51" s="7">
        <v>0</v>
      </c>
      <c r="G51" s="7">
        <v>1</v>
      </c>
      <c r="H51" s="7">
        <v>0</v>
      </c>
      <c r="I51" s="7">
        <v>3</v>
      </c>
      <c r="J51" s="7">
        <v>0</v>
      </c>
      <c r="K51" s="7">
        <v>3</v>
      </c>
      <c r="L51" s="7">
        <v>0</v>
      </c>
      <c r="M51" s="7">
        <v>8</v>
      </c>
      <c r="N51" s="7">
        <v>0</v>
      </c>
      <c r="O51" s="7">
        <v>2</v>
      </c>
      <c r="P51" s="7">
        <v>0</v>
      </c>
      <c r="Q51" s="7">
        <f t="shared" si="3"/>
        <v>20</v>
      </c>
      <c r="R51" s="8">
        <f t="shared" si="4"/>
        <v>0</v>
      </c>
      <c r="S51" s="6">
        <v>1137820179</v>
      </c>
      <c r="T51" s="7">
        <v>124225827</v>
      </c>
      <c r="U51" s="7">
        <v>153097423</v>
      </c>
      <c r="V51" s="7">
        <v>15585054</v>
      </c>
      <c r="W51" s="7">
        <v>632649135</v>
      </c>
      <c r="X51" s="7">
        <v>235938182</v>
      </c>
      <c r="Y51" s="8">
        <f t="shared" si="5"/>
        <v>2299315800</v>
      </c>
      <c r="Z51" s="6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8">
        <f t="shared" si="6"/>
        <v>0</v>
      </c>
    </row>
    <row r="52" spans="1:32">
      <c r="A52" s="43" t="s">
        <v>163</v>
      </c>
      <c r="B52" s="75" t="s">
        <v>133</v>
      </c>
      <c r="C52" s="11" t="s">
        <v>132</v>
      </c>
      <c r="D52" s="61">
        <f t="shared" si="2"/>
        <v>0</v>
      </c>
      <c r="E52" s="12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f t="shared" si="3"/>
        <v>0</v>
      </c>
      <c r="R52" s="8">
        <f t="shared" si="4"/>
        <v>0</v>
      </c>
      <c r="S52" s="6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8">
        <f t="shared" si="5"/>
        <v>0</v>
      </c>
      <c r="Z52" s="6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8">
        <f t="shared" si="6"/>
        <v>0</v>
      </c>
    </row>
    <row r="53" spans="1:32" s="41" customFormat="1">
      <c r="A53" s="44" t="s">
        <v>123</v>
      </c>
      <c r="B53" s="42"/>
      <c r="C53" s="35" t="s">
        <v>134</v>
      </c>
      <c r="D53" s="61">
        <f t="shared" si="2"/>
        <v>1369108000</v>
      </c>
      <c r="E53" s="36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7">
        <f t="shared" si="3"/>
        <v>0</v>
      </c>
      <c r="R53" s="8">
        <f t="shared" si="4"/>
        <v>0</v>
      </c>
      <c r="S53" s="39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8">
        <f t="shared" si="5"/>
        <v>0</v>
      </c>
      <c r="Z53" s="39">
        <v>296973000</v>
      </c>
      <c r="AA53" s="37">
        <v>198637000</v>
      </c>
      <c r="AB53" s="37">
        <v>194181000</v>
      </c>
      <c r="AC53" s="37">
        <v>324825000</v>
      </c>
      <c r="AD53" s="37">
        <v>223319000</v>
      </c>
      <c r="AE53" s="37">
        <v>131173000</v>
      </c>
      <c r="AF53" s="38">
        <f t="shared" si="6"/>
        <v>1369108000</v>
      </c>
    </row>
    <row r="54" spans="1:32" ht="17.25" thickBot="1">
      <c r="A54" s="45"/>
      <c r="B54" s="13" t="s">
        <v>164</v>
      </c>
      <c r="C54" s="14"/>
      <c r="D54" s="15">
        <f t="shared" ref="D54:AF54" si="7">SUBTOTAL(9,D5:D53)</f>
        <v>295793979100</v>
      </c>
      <c r="E54" s="15">
        <f t="shared" si="7"/>
        <v>255491327</v>
      </c>
      <c r="F54" s="16">
        <f t="shared" si="7"/>
        <v>46054466935</v>
      </c>
      <c r="G54" s="16">
        <f t="shared" si="7"/>
        <v>208908636</v>
      </c>
      <c r="H54" s="16">
        <f t="shared" si="7"/>
        <v>41739918782</v>
      </c>
      <c r="I54" s="16">
        <f t="shared" si="7"/>
        <v>234398139</v>
      </c>
      <c r="J54" s="16">
        <f t="shared" si="7"/>
        <v>50461281054</v>
      </c>
      <c r="K54" s="16">
        <f t="shared" si="7"/>
        <v>239557798</v>
      </c>
      <c r="L54" s="16">
        <f t="shared" si="7"/>
        <v>49990226066</v>
      </c>
      <c r="M54" s="16">
        <f t="shared" si="7"/>
        <v>185624431</v>
      </c>
      <c r="N54" s="16">
        <f t="shared" si="7"/>
        <v>42743687946</v>
      </c>
      <c r="O54" s="16">
        <f t="shared" si="7"/>
        <v>170887682</v>
      </c>
      <c r="P54" s="16">
        <f t="shared" si="7"/>
        <v>48217617387</v>
      </c>
      <c r="Q54" s="16">
        <f t="shared" si="7"/>
        <v>1294868013</v>
      </c>
      <c r="R54" s="17">
        <f>SUBTOTAL(9,R5:R53)</f>
        <v>279207198170</v>
      </c>
      <c r="S54" s="18">
        <f t="shared" si="7"/>
        <v>1498838155</v>
      </c>
      <c r="T54" s="16">
        <f t="shared" si="7"/>
        <v>210329759</v>
      </c>
      <c r="U54" s="16">
        <f t="shared" si="7"/>
        <v>238338286</v>
      </c>
      <c r="V54" s="16">
        <f t="shared" si="7"/>
        <v>108521863</v>
      </c>
      <c r="W54" s="16">
        <f t="shared" si="7"/>
        <v>632649135</v>
      </c>
      <c r="X54" s="16">
        <f t="shared" si="7"/>
        <v>235938182</v>
      </c>
      <c r="Y54" s="17">
        <f t="shared" si="7"/>
        <v>2924615380</v>
      </c>
      <c r="Z54" s="18">
        <f t="shared" si="7"/>
        <v>3017250001</v>
      </c>
      <c r="AA54" s="16">
        <f t="shared" si="7"/>
        <v>2507394047</v>
      </c>
      <c r="AB54" s="16">
        <f t="shared" si="7"/>
        <v>2213665100</v>
      </c>
      <c r="AC54" s="16">
        <f t="shared" si="7"/>
        <v>2402106132</v>
      </c>
      <c r="AD54" s="16">
        <f t="shared" si="7"/>
        <v>1564072841</v>
      </c>
      <c r="AE54" s="16">
        <f t="shared" si="7"/>
        <v>1957677429</v>
      </c>
      <c r="AF54" s="17">
        <f t="shared" si="7"/>
        <v>13662165550</v>
      </c>
    </row>
    <row r="55" spans="1:32" ht="17.25" thickBot="1">
      <c r="D55" s="15"/>
    </row>
    <row r="56" spans="1:32">
      <c r="A56" s="100" t="s">
        <v>160</v>
      </c>
      <c r="B56" s="101"/>
      <c r="C56" s="101"/>
      <c r="D56" s="30">
        <f>SUMIF($A$5:$A$53,$A56,D$5:D$53)</f>
        <v>213180221895</v>
      </c>
      <c r="E56" s="30">
        <f>SUMIF($A$5:$A$53,$A56,E$5:E$53)</f>
        <v>159874067</v>
      </c>
      <c r="F56" s="30">
        <f t="shared" ref="F56:AF59" si="8">SUMIF($A$5:$A$53,$A56,F$5:F$53)</f>
        <v>32960086794</v>
      </c>
      <c r="G56" s="30">
        <f t="shared" si="8"/>
        <v>131093450</v>
      </c>
      <c r="H56" s="30">
        <f t="shared" si="8"/>
        <v>30594309752</v>
      </c>
      <c r="I56" s="30">
        <f t="shared" si="8"/>
        <v>143015521</v>
      </c>
      <c r="J56" s="30">
        <f t="shared" si="8"/>
        <v>36803192647</v>
      </c>
      <c r="K56" s="30">
        <f t="shared" si="8"/>
        <v>136821190</v>
      </c>
      <c r="L56" s="30">
        <f t="shared" si="8"/>
        <v>36803971479</v>
      </c>
      <c r="M56" s="30">
        <f t="shared" si="8"/>
        <v>103763137</v>
      </c>
      <c r="N56" s="30">
        <f t="shared" si="8"/>
        <v>30993675316</v>
      </c>
      <c r="O56" s="30">
        <f t="shared" si="8"/>
        <v>100694141</v>
      </c>
      <c r="P56" s="30">
        <f t="shared" si="8"/>
        <v>35634190666</v>
      </c>
      <c r="Q56" s="30">
        <f t="shared" si="8"/>
        <v>775261506</v>
      </c>
      <c r="R56" s="30">
        <f t="shared" si="8"/>
        <v>203789426654</v>
      </c>
      <c r="S56" s="30">
        <f t="shared" si="8"/>
        <v>0</v>
      </c>
      <c r="T56" s="30">
        <f t="shared" si="8"/>
        <v>0</v>
      </c>
      <c r="U56" s="30">
        <f t="shared" si="8"/>
        <v>0</v>
      </c>
      <c r="V56" s="30">
        <f t="shared" si="8"/>
        <v>0</v>
      </c>
      <c r="W56" s="30">
        <f t="shared" si="8"/>
        <v>0</v>
      </c>
      <c r="X56" s="30">
        <f t="shared" si="8"/>
        <v>0</v>
      </c>
      <c r="Y56" s="30">
        <f t="shared" si="8"/>
        <v>0</v>
      </c>
      <c r="Z56" s="30">
        <f t="shared" si="8"/>
        <v>2115196854</v>
      </c>
      <c r="AA56" s="30">
        <f t="shared" si="8"/>
        <v>1905223316</v>
      </c>
      <c r="AB56" s="30">
        <f t="shared" si="8"/>
        <v>1422444755</v>
      </c>
      <c r="AC56" s="30">
        <f t="shared" si="8"/>
        <v>1451676928</v>
      </c>
      <c r="AD56" s="30">
        <f t="shared" si="8"/>
        <v>970575582</v>
      </c>
      <c r="AE56" s="30">
        <f t="shared" si="8"/>
        <v>1525677806</v>
      </c>
      <c r="AF56" s="32">
        <f t="shared" si="8"/>
        <v>9390795241</v>
      </c>
    </row>
    <row r="57" spans="1:32">
      <c r="A57" s="102" t="s">
        <v>161</v>
      </c>
      <c r="B57" s="103"/>
      <c r="C57" s="103"/>
      <c r="D57" s="7">
        <f t="shared" ref="D57:R59" si="9">SUMIF($A$5:$A$53,$A57,D$5:D$53)</f>
        <v>38745918546</v>
      </c>
      <c r="E57" s="7">
        <f t="shared" si="9"/>
        <v>2017691</v>
      </c>
      <c r="F57" s="7">
        <f t="shared" si="9"/>
        <v>6711332560</v>
      </c>
      <c r="G57" s="7">
        <f t="shared" si="9"/>
        <v>1294264</v>
      </c>
      <c r="H57" s="7">
        <f t="shared" si="9"/>
        <v>5306145014</v>
      </c>
      <c r="I57" s="7">
        <f t="shared" si="9"/>
        <v>1045327</v>
      </c>
      <c r="J57" s="7">
        <f t="shared" si="9"/>
        <v>6432013692</v>
      </c>
      <c r="K57" s="7">
        <f t="shared" si="9"/>
        <v>1620193</v>
      </c>
      <c r="L57" s="7">
        <f t="shared" si="9"/>
        <v>7030247883</v>
      </c>
      <c r="M57" s="7">
        <f t="shared" si="9"/>
        <v>1215032</v>
      </c>
      <c r="N57" s="7">
        <f t="shared" si="9"/>
        <v>6108071755</v>
      </c>
      <c r="O57" s="7">
        <f t="shared" si="9"/>
        <v>974050</v>
      </c>
      <c r="P57" s="7">
        <f t="shared" si="9"/>
        <v>6737669885</v>
      </c>
      <c r="Q57" s="7">
        <f t="shared" si="9"/>
        <v>8166557</v>
      </c>
      <c r="R57" s="7">
        <f t="shared" si="9"/>
        <v>38325480789</v>
      </c>
      <c r="S57" s="7">
        <f t="shared" si="8"/>
        <v>0</v>
      </c>
      <c r="T57" s="7">
        <f t="shared" si="8"/>
        <v>0</v>
      </c>
      <c r="U57" s="7">
        <f t="shared" si="8"/>
        <v>0</v>
      </c>
      <c r="V57" s="7">
        <f t="shared" si="8"/>
        <v>0</v>
      </c>
      <c r="W57" s="7">
        <f t="shared" si="8"/>
        <v>0</v>
      </c>
      <c r="X57" s="7">
        <f t="shared" si="8"/>
        <v>0</v>
      </c>
      <c r="Y57" s="7">
        <f t="shared" si="8"/>
        <v>0</v>
      </c>
      <c r="Z57" s="7">
        <f t="shared" si="8"/>
        <v>128455652</v>
      </c>
      <c r="AA57" s="7">
        <f t="shared" si="8"/>
        <v>39004744</v>
      </c>
      <c r="AB57" s="7">
        <f t="shared" si="8"/>
        <v>127597666</v>
      </c>
      <c r="AC57" s="7">
        <f t="shared" si="8"/>
        <v>104354572</v>
      </c>
      <c r="AD57" s="7">
        <f t="shared" si="8"/>
        <v>20876940</v>
      </c>
      <c r="AE57" s="7">
        <f t="shared" si="8"/>
        <v>148183</v>
      </c>
      <c r="AF57" s="8">
        <f t="shared" si="8"/>
        <v>420437757</v>
      </c>
    </row>
    <row r="58" spans="1:32">
      <c r="A58" s="102" t="s">
        <v>162</v>
      </c>
      <c r="B58" s="103"/>
      <c r="C58" s="103"/>
      <c r="D58" s="7">
        <f t="shared" si="9"/>
        <v>37338408142</v>
      </c>
      <c r="E58" s="7">
        <f t="shared" si="9"/>
        <v>14724566</v>
      </c>
      <c r="F58" s="7">
        <f t="shared" si="8"/>
        <v>6383047581</v>
      </c>
      <c r="G58" s="7">
        <f t="shared" si="8"/>
        <v>10383756</v>
      </c>
      <c r="H58" s="7">
        <f t="shared" si="8"/>
        <v>5807252903</v>
      </c>
      <c r="I58" s="7">
        <f t="shared" si="8"/>
        <v>13555878</v>
      </c>
      <c r="J58" s="7">
        <f t="shared" si="8"/>
        <v>7221550662</v>
      </c>
      <c r="K58" s="7">
        <f t="shared" si="8"/>
        <v>13772606</v>
      </c>
      <c r="L58" s="7">
        <f t="shared" si="8"/>
        <v>6120953092</v>
      </c>
      <c r="M58" s="7">
        <f t="shared" si="8"/>
        <v>10766412</v>
      </c>
      <c r="N58" s="7">
        <f t="shared" si="8"/>
        <v>5553230576</v>
      </c>
      <c r="O58" s="7">
        <f t="shared" si="8"/>
        <v>9676739</v>
      </c>
      <c r="P58" s="7">
        <f t="shared" si="8"/>
        <v>5841383084</v>
      </c>
      <c r="Q58" s="7">
        <f t="shared" si="8"/>
        <v>72879957</v>
      </c>
      <c r="R58" s="7">
        <f t="shared" si="8"/>
        <v>36927417898</v>
      </c>
      <c r="S58" s="7">
        <f t="shared" si="8"/>
        <v>0</v>
      </c>
      <c r="T58" s="7">
        <f t="shared" si="8"/>
        <v>0</v>
      </c>
      <c r="U58" s="7">
        <f t="shared" si="8"/>
        <v>0</v>
      </c>
      <c r="V58" s="7">
        <f t="shared" si="8"/>
        <v>0</v>
      </c>
      <c r="W58" s="7">
        <f t="shared" si="8"/>
        <v>0</v>
      </c>
      <c r="X58" s="7">
        <f t="shared" si="8"/>
        <v>0</v>
      </c>
      <c r="Y58" s="7">
        <f t="shared" si="8"/>
        <v>0</v>
      </c>
      <c r="Z58" s="7">
        <f t="shared" si="8"/>
        <v>103765346</v>
      </c>
      <c r="AA58" s="7">
        <f t="shared" si="8"/>
        <v>37455034</v>
      </c>
      <c r="AB58" s="7">
        <f t="shared" si="8"/>
        <v>112431000</v>
      </c>
      <c r="AC58" s="7">
        <f t="shared" si="8"/>
        <v>116167901</v>
      </c>
      <c r="AD58" s="7">
        <f t="shared" si="8"/>
        <v>22750908</v>
      </c>
      <c r="AE58" s="7">
        <f t="shared" si="8"/>
        <v>18420055</v>
      </c>
      <c r="AF58" s="8">
        <f t="shared" si="8"/>
        <v>410990244</v>
      </c>
    </row>
    <row r="59" spans="1:32">
      <c r="A59" s="102" t="s">
        <v>163</v>
      </c>
      <c r="B59" s="103"/>
      <c r="C59" s="103"/>
      <c r="D59" s="7">
        <f t="shared" si="9"/>
        <v>6529430517</v>
      </c>
      <c r="E59" s="7">
        <f t="shared" si="9"/>
        <v>78875003</v>
      </c>
      <c r="F59" s="7">
        <f t="shared" si="8"/>
        <v>0</v>
      </c>
      <c r="G59" s="7">
        <f t="shared" si="8"/>
        <v>66137166</v>
      </c>
      <c r="H59" s="7">
        <f t="shared" si="8"/>
        <v>32211113</v>
      </c>
      <c r="I59" s="7">
        <f t="shared" si="8"/>
        <v>76781413</v>
      </c>
      <c r="J59" s="7">
        <f t="shared" si="8"/>
        <v>4524053</v>
      </c>
      <c r="K59" s="7">
        <f t="shared" si="8"/>
        <v>87343809</v>
      </c>
      <c r="L59" s="7">
        <f t="shared" si="8"/>
        <v>35053612</v>
      </c>
      <c r="M59" s="7">
        <f t="shared" si="8"/>
        <v>69879850</v>
      </c>
      <c r="N59" s="7">
        <f t="shared" si="8"/>
        <v>88710299</v>
      </c>
      <c r="O59" s="7">
        <f t="shared" si="8"/>
        <v>59542752</v>
      </c>
      <c r="P59" s="7">
        <f t="shared" si="8"/>
        <v>4373752</v>
      </c>
      <c r="Q59" s="7">
        <f t="shared" si="8"/>
        <v>438559993</v>
      </c>
      <c r="R59" s="7">
        <f t="shared" si="8"/>
        <v>164872829</v>
      </c>
      <c r="S59" s="7">
        <f t="shared" si="8"/>
        <v>1498838155</v>
      </c>
      <c r="T59" s="7">
        <f t="shared" si="8"/>
        <v>210329759</v>
      </c>
      <c r="U59" s="7">
        <f t="shared" si="8"/>
        <v>238338286</v>
      </c>
      <c r="V59" s="7">
        <f t="shared" si="8"/>
        <v>108521863</v>
      </c>
      <c r="W59" s="7">
        <f t="shared" si="8"/>
        <v>632649135</v>
      </c>
      <c r="X59" s="7">
        <f t="shared" si="8"/>
        <v>235938182</v>
      </c>
      <c r="Y59" s="7">
        <f t="shared" si="8"/>
        <v>2924615380</v>
      </c>
      <c r="Z59" s="7">
        <f t="shared" si="8"/>
        <v>669832149</v>
      </c>
      <c r="AA59" s="7">
        <f t="shared" si="8"/>
        <v>525710953</v>
      </c>
      <c r="AB59" s="7">
        <f t="shared" si="8"/>
        <v>551191679</v>
      </c>
      <c r="AC59" s="7">
        <f t="shared" si="8"/>
        <v>729906731</v>
      </c>
      <c r="AD59" s="7">
        <f t="shared" si="8"/>
        <v>549869411</v>
      </c>
      <c r="AE59" s="7">
        <f t="shared" si="8"/>
        <v>413431385</v>
      </c>
      <c r="AF59" s="8">
        <f t="shared" si="8"/>
        <v>3439942308</v>
      </c>
    </row>
    <row r="60" spans="1:32" ht="17.25" thickBot="1">
      <c r="A60" s="104" t="s">
        <v>165</v>
      </c>
      <c r="B60" s="105"/>
      <c r="C60" s="105"/>
      <c r="D60" s="16">
        <f>SUM(D56:D59)</f>
        <v>295793979100</v>
      </c>
      <c r="E60" s="16">
        <f>SUM(E56:E59)</f>
        <v>255491327</v>
      </c>
      <c r="F60" s="16">
        <f t="shared" ref="F60:AF60" si="10">SUM(F56:F59)</f>
        <v>46054466935</v>
      </c>
      <c r="G60" s="16">
        <f t="shared" si="10"/>
        <v>208908636</v>
      </c>
      <c r="H60" s="16">
        <f t="shared" si="10"/>
        <v>41739918782</v>
      </c>
      <c r="I60" s="16">
        <f t="shared" si="10"/>
        <v>234398139</v>
      </c>
      <c r="J60" s="16">
        <f t="shared" si="10"/>
        <v>50461281054</v>
      </c>
      <c r="K60" s="16">
        <f t="shared" si="10"/>
        <v>239557798</v>
      </c>
      <c r="L60" s="16">
        <f t="shared" si="10"/>
        <v>49990226066</v>
      </c>
      <c r="M60" s="16">
        <f t="shared" si="10"/>
        <v>185624431</v>
      </c>
      <c r="N60" s="16">
        <f t="shared" si="10"/>
        <v>42743687946</v>
      </c>
      <c r="O60" s="16">
        <f t="shared" si="10"/>
        <v>170887682</v>
      </c>
      <c r="P60" s="16">
        <f t="shared" si="10"/>
        <v>48217617387</v>
      </c>
      <c r="Q60" s="16">
        <f t="shared" si="10"/>
        <v>1294868013</v>
      </c>
      <c r="R60" s="16">
        <f t="shared" si="10"/>
        <v>279207198170</v>
      </c>
      <c r="S60" s="16">
        <f t="shared" si="10"/>
        <v>1498838155</v>
      </c>
      <c r="T60" s="16">
        <f t="shared" si="10"/>
        <v>210329759</v>
      </c>
      <c r="U60" s="16">
        <f t="shared" si="10"/>
        <v>238338286</v>
      </c>
      <c r="V60" s="16">
        <f t="shared" si="10"/>
        <v>108521863</v>
      </c>
      <c r="W60" s="16">
        <f t="shared" si="10"/>
        <v>632649135</v>
      </c>
      <c r="X60" s="16">
        <f t="shared" si="10"/>
        <v>235938182</v>
      </c>
      <c r="Y60" s="16">
        <f t="shared" si="10"/>
        <v>2924615380</v>
      </c>
      <c r="Z60" s="16">
        <f t="shared" si="10"/>
        <v>3017250001</v>
      </c>
      <c r="AA60" s="16">
        <f t="shared" si="10"/>
        <v>2507394047</v>
      </c>
      <c r="AB60" s="16">
        <f t="shared" si="10"/>
        <v>2213665100</v>
      </c>
      <c r="AC60" s="16">
        <f t="shared" si="10"/>
        <v>2402106132</v>
      </c>
      <c r="AD60" s="16">
        <f t="shared" si="10"/>
        <v>1564072841</v>
      </c>
      <c r="AE60" s="16">
        <f t="shared" si="10"/>
        <v>1957677429</v>
      </c>
      <c r="AF60" s="17">
        <f t="shared" si="10"/>
        <v>13662165550</v>
      </c>
    </row>
    <row r="61" spans="1:32">
      <c r="A61"/>
      <c r="D61" s="5"/>
    </row>
    <row r="62" spans="1:32">
      <c r="A62"/>
      <c r="R62" s="47">
        <f>R56/R60</f>
        <v>0.72988600576808693</v>
      </c>
    </row>
    <row r="63" spans="1:32">
      <c r="A63"/>
      <c r="R63" s="47">
        <f>R57/R60</f>
        <v>0.13726537510564069</v>
      </c>
    </row>
    <row r="64" spans="1:32">
      <c r="A64"/>
      <c r="R64" s="47">
        <f>R58/R60</f>
        <v>0.13225811562177606</v>
      </c>
    </row>
    <row r="65" spans="1:18">
      <c r="A65"/>
      <c r="R65" s="47">
        <f>R59/R60</f>
        <v>5.9050350449637906E-4</v>
      </c>
    </row>
    <row r="66" spans="1:18">
      <c r="A66"/>
    </row>
    <row r="67" spans="1:18">
      <c r="A67"/>
    </row>
    <row r="68" spans="1:18">
      <c r="A68"/>
    </row>
    <row r="69" spans="1:18">
      <c r="A69"/>
    </row>
    <row r="70" spans="1:18">
      <c r="A70"/>
    </row>
    <row r="71" spans="1:18">
      <c r="A71"/>
    </row>
    <row r="72" spans="1:18">
      <c r="A72"/>
    </row>
    <row r="73" spans="1:18">
      <c r="A73"/>
    </row>
    <row r="74" spans="1:18">
      <c r="A74"/>
    </row>
    <row r="75" spans="1:18">
      <c r="A75"/>
    </row>
    <row r="76" spans="1:18">
      <c r="A76"/>
    </row>
    <row r="77" spans="1:18">
      <c r="A77"/>
    </row>
    <row r="78" spans="1:18">
      <c r="A78"/>
    </row>
    <row r="79" spans="1:18">
      <c r="A79"/>
    </row>
    <row r="80" spans="1:18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</sheetData>
  <autoFilter ref="A4:AG53" xr:uid="{00000000-0009-0000-0000-000005000000}">
    <sortState xmlns:xlrd2="http://schemas.microsoft.com/office/spreadsheetml/2017/richdata2" ref="A7:AJ53">
      <sortCondition ref="A4"/>
    </sortState>
  </autoFilter>
  <mergeCells count="15">
    <mergeCell ref="A2:A4"/>
    <mergeCell ref="M3:N3"/>
    <mergeCell ref="O3:P3"/>
    <mergeCell ref="Q3:R3"/>
    <mergeCell ref="B2:B4"/>
    <mergeCell ref="C2:C4"/>
    <mergeCell ref="E3:F3"/>
    <mergeCell ref="G3:H3"/>
    <mergeCell ref="I3:J3"/>
    <mergeCell ref="K3:L3"/>
    <mergeCell ref="A56:C56"/>
    <mergeCell ref="A57:C57"/>
    <mergeCell ref="A58:C58"/>
    <mergeCell ref="A59:C59"/>
    <mergeCell ref="A60:C60"/>
  </mergeCells>
  <phoneticPr fontId="4" type="noConversion"/>
  <pageMargins left="0.23622047244094491" right="0.19685039370078741" top="0.47244094488188981" bottom="0.39370078740157483" header="0.31496062992125984" footer="0.31496062992125984"/>
  <pageSetup paperSize="9" scale="24" fitToWidth="6" fitToHeight="2" orientation="landscape" r:id="rId1"/>
  <colBreaks count="1" manualBreakCount="1">
    <brk id="18" max="24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B8F4AC52B259641BE62E3A32AC663D5" ma:contentTypeVersion="0" ma:contentTypeDescription="새 문서를 만듭니다." ma:contentTypeScope="" ma:versionID="2b20d8835c4c23da34b40c39c69aa2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d8f6c9257034a6ffde9c3b3e5e5b89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97049-38EC-414C-AC1B-1A598C6E2598}"/>
</file>

<file path=customXml/itemProps2.xml><?xml version="1.0" encoding="utf-8"?>
<ds:datastoreItem xmlns:ds="http://schemas.openxmlformats.org/officeDocument/2006/customXml" ds:itemID="{7C0BD401-289A-4B1C-BC55-4BF3E0F54AA4}"/>
</file>

<file path=customXml/itemProps3.xml><?xml version="1.0" encoding="utf-8"?>
<ds:datastoreItem xmlns:ds="http://schemas.openxmlformats.org/officeDocument/2006/customXml" ds:itemID="{9A2EBFB0-0FC4-4D16-A1D6-BC15A0AC7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</dc:creator>
  <cp:keywords/>
  <dc:description/>
  <cp:lastModifiedBy>Yang, Jin Suk [KR]</cp:lastModifiedBy>
  <cp:revision/>
  <dcterms:created xsi:type="dcterms:W3CDTF">2015-08-24T08:13:15Z</dcterms:created>
  <dcterms:modified xsi:type="dcterms:W3CDTF">2026-02-25T01:46:16Z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0x010100FB8F4AC52B259641BE62E3A32AC663D5</vt:lpwstr>
  </property>
</Properties>
</file>