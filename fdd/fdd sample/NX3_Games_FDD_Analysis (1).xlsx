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L Overview" sheetId="2" state="visible" r:id="rId4"/>
    <sheet name="QoE" sheetId="3" state="visible" r:id="rId5"/>
    <sheet name="BS Overview" sheetId="4" state="visible" r:id="rId6"/>
    <sheet name="QoA" sheetId="5" state="visible" r:id="rId7"/>
    <sheet name="Revenue" sheetId="6" state="visible" r:id="rId8"/>
    <sheet name="SGA" sheetId="7" state="visible" r:id="rId9"/>
    <sheet name="Labor" sheetId="8" state="visible" r:id="rId10"/>
    <sheet name="NWC" sheetId="9" state="visible" r:id="rId11"/>
    <sheet name="CapEx" sheetId="10" state="visible" r:id="rId12"/>
    <sheet name="Related Part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<sst xmlns="http://schemas.openxmlformats.org/spreadsheetml/2006/main" count="476" uniqueCount="350">
  <si>
    <t xml:space="preserve">Project NX3</t>
  </si>
  <si>
    <t xml:space="preserve">Financial Due Diligence Report</t>
  </si>
  <si>
    <r>
      <rPr>
        <sz val="14"/>
        <color rgb="FF333333"/>
        <rFont val="DejaVu Sans"/>
        <family val="2"/>
      </rPr>
      <t xml:space="preserve">주식회사 엔엑스쓰리게임즈 </t>
    </r>
    <r>
      <rPr>
        <sz val="14"/>
        <color rgb="FF333333"/>
        <rFont val="Arial"/>
        <family val="0"/>
        <charset val="1"/>
      </rPr>
      <t xml:space="preserve">(NX3 Games Inc.)</t>
    </r>
  </si>
  <si>
    <r>
      <rPr>
        <sz val="12"/>
        <color rgb="FF666666"/>
        <rFont val="DejaVu Sans"/>
        <family val="2"/>
      </rPr>
      <t xml:space="preserve">분석기간</t>
    </r>
    <r>
      <rPr>
        <sz val="12"/>
        <color rgb="FF666666"/>
        <rFont val="Arial"/>
        <family val="0"/>
        <charset val="1"/>
      </rPr>
      <t xml:space="preserve">: FY2023 ~ FY2025 (</t>
    </r>
    <r>
      <rPr>
        <sz val="12"/>
        <color rgb="FF666666"/>
        <rFont val="DejaVu Sans"/>
        <family val="2"/>
      </rPr>
      <t xml:space="preserve">가결산</t>
    </r>
    <r>
      <rPr>
        <sz val="12"/>
        <color rgb="FF666666"/>
        <rFont val="Arial"/>
        <family val="0"/>
        <charset val="1"/>
      </rPr>
      <t xml:space="preserve">)</t>
    </r>
  </si>
  <si>
    <t xml:space="preserve">February 2026</t>
  </si>
  <si>
    <t xml:space="preserve">대상회사</t>
  </si>
  <si>
    <t xml:space="preserve">주식회사 엔엑스쓰리게임즈</t>
  </si>
  <si>
    <t xml:space="preserve">설립일</t>
  </si>
  <si>
    <r>
      <rPr>
        <sz val="10"/>
        <color rgb="FF000000"/>
        <rFont val="Arial"/>
        <family val="0"/>
        <charset val="1"/>
      </rPr>
      <t xml:space="preserve">2017</t>
    </r>
    <r>
      <rPr>
        <sz val="10"/>
        <color rgb="FF000000"/>
        <rFont val="DejaVu Sans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월</t>
    </r>
  </si>
  <si>
    <t xml:space="preserve">사업분야</t>
  </si>
  <si>
    <r>
      <rPr>
        <sz val="10"/>
        <color rgb="FF000000"/>
        <rFont val="DejaVu Sans"/>
        <family val="2"/>
      </rPr>
      <t xml:space="preserve">모바일</t>
    </r>
    <r>
      <rPr>
        <sz val="10"/>
        <color rgb="FF000000"/>
        <rFont val="Arial"/>
        <family val="0"/>
        <charset val="1"/>
      </rPr>
      <t xml:space="preserve">/PC </t>
    </r>
    <r>
      <rPr>
        <sz val="10"/>
        <color rgb="FF000000"/>
        <rFont val="DejaVu Sans"/>
        <family val="2"/>
      </rPr>
      <t xml:space="preserve">게임 개발 및 퍼블리싱</t>
    </r>
  </si>
  <si>
    <t xml:space="preserve">주요 제품</t>
  </si>
  <si>
    <r>
      <rPr>
        <sz val="10"/>
        <color rgb="FF000000"/>
        <rFont val="DejaVu Sans"/>
        <family val="2"/>
      </rPr>
      <t xml:space="preserve">서머너즈워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크로니클 등</t>
    </r>
  </si>
  <si>
    <t xml:space="preserve">분석기간</t>
  </si>
  <si>
    <r>
      <rPr>
        <sz val="10"/>
        <color rgb="FF000000"/>
        <rFont val="Arial"/>
        <family val="0"/>
        <charset val="1"/>
      </rPr>
      <t xml:space="preserve">FY2023 (</t>
    </r>
    <r>
      <rPr>
        <sz val="10"/>
        <color rgb="FF000000"/>
        <rFont val="DejaVu Sans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기</t>
    </r>
    <r>
      <rPr>
        <sz val="10"/>
        <color rgb="FF000000"/>
        <rFont val="Arial"/>
        <family val="0"/>
        <charset val="1"/>
      </rPr>
      <t xml:space="preserve">) ~ FY2025 (</t>
    </r>
    <r>
      <rPr>
        <sz val="10"/>
        <color rgb="FF000000"/>
        <rFont val="DejaVu Sans"/>
        <family val="2"/>
      </rPr>
      <t xml:space="preserve">제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가결산</t>
    </r>
    <r>
      <rPr>
        <sz val="10"/>
        <color rgb="FF000000"/>
        <rFont val="Arial"/>
        <family val="0"/>
        <charset val="1"/>
      </rPr>
      <t xml:space="preserve">)</t>
    </r>
  </si>
  <si>
    <t xml:space="preserve">재무제표 기준</t>
  </si>
  <si>
    <r>
      <rPr>
        <sz val="10"/>
        <color rgb="FF000000"/>
        <rFont val="Arial"/>
        <family val="0"/>
        <charset val="1"/>
      </rPr>
      <t xml:space="preserve">K-GAAP (</t>
    </r>
    <r>
      <rPr>
        <sz val="10"/>
        <color rgb="FF000000"/>
        <rFont val="DejaVu Sans"/>
        <family val="2"/>
      </rPr>
      <t xml:space="preserve">일반기업회계기준</t>
    </r>
    <r>
      <rPr>
        <sz val="10"/>
        <color rgb="FF000000"/>
        <rFont val="Arial"/>
        <family val="0"/>
        <charset val="1"/>
      </rPr>
      <t xml:space="preserve">)</t>
    </r>
  </si>
  <si>
    <t xml:space="preserve">통화</t>
  </si>
  <si>
    <r>
      <rPr>
        <sz val="10"/>
        <color rgb="FF000000"/>
        <rFont val="Arial"/>
        <family val="0"/>
        <charset val="1"/>
      </rPr>
      <t xml:space="preserve">KRW (</t>
    </r>
    <r>
      <rPr>
        <sz val="10"/>
        <color rgb="FF000000"/>
        <rFont val="DejaVu Sans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)</t>
    </r>
  </si>
  <si>
    <t xml:space="preserve">Table of Contents</t>
  </si>
  <si>
    <r>
      <rPr>
        <sz val="11"/>
        <color rgb="FF333333"/>
        <rFont val="Arial"/>
        <family val="0"/>
        <charset val="1"/>
      </rPr>
      <t xml:space="preserve">1. PL Overview - </t>
    </r>
    <r>
      <rPr>
        <sz val="11"/>
        <color rgb="FF333333"/>
        <rFont val="DejaVu Sans"/>
        <family val="2"/>
      </rPr>
      <t xml:space="preserve">손익계산서 요약</t>
    </r>
  </si>
  <si>
    <t xml:space="preserve">2. QoE - Quality of Earnings (Adjusted EBITDA)</t>
  </si>
  <si>
    <r>
      <rPr>
        <sz val="11"/>
        <color rgb="FF333333"/>
        <rFont val="Arial"/>
        <family val="0"/>
        <charset val="1"/>
      </rPr>
      <t xml:space="preserve">3. BS Overview - </t>
    </r>
    <r>
      <rPr>
        <sz val="11"/>
        <color rgb="FF333333"/>
        <rFont val="DejaVu Sans"/>
        <family val="2"/>
      </rPr>
      <t xml:space="preserve">재무상태표 요약</t>
    </r>
  </si>
  <si>
    <t xml:space="preserve">4. QoA - Quality of Net Assets / Net Debt</t>
  </si>
  <si>
    <r>
      <rPr>
        <sz val="11"/>
        <color rgb="FF333333"/>
        <rFont val="Arial"/>
        <family val="0"/>
        <charset val="1"/>
      </rPr>
      <t xml:space="preserve">5. Revenue - </t>
    </r>
    <r>
      <rPr>
        <sz val="11"/>
        <color rgb="FF333333"/>
        <rFont val="DejaVu Sans"/>
        <family val="2"/>
      </rPr>
      <t xml:space="preserve">매출 분석</t>
    </r>
  </si>
  <si>
    <r>
      <rPr>
        <sz val="11"/>
        <color rgb="FF333333"/>
        <rFont val="Arial"/>
        <family val="0"/>
        <charset val="1"/>
      </rPr>
      <t xml:space="preserve">6. SGA - </t>
    </r>
    <r>
      <rPr>
        <sz val="11"/>
        <color rgb="FF333333"/>
        <rFont val="DejaVu Sans"/>
        <family val="2"/>
      </rPr>
      <t xml:space="preserve">판관비 분석</t>
    </r>
  </si>
  <si>
    <r>
      <rPr>
        <sz val="11"/>
        <color rgb="FF333333"/>
        <rFont val="Arial"/>
        <family val="0"/>
        <charset val="1"/>
      </rPr>
      <t xml:space="preserve">7. Labor - </t>
    </r>
    <r>
      <rPr>
        <sz val="11"/>
        <color rgb="FF333333"/>
        <rFont val="DejaVu Sans"/>
        <family val="2"/>
      </rPr>
      <t xml:space="preserve">인건비</t>
    </r>
    <r>
      <rPr>
        <sz val="11"/>
        <color rgb="FF333333"/>
        <rFont val="Arial"/>
        <family val="0"/>
        <charset val="1"/>
      </rPr>
      <t xml:space="preserve">/</t>
    </r>
    <r>
      <rPr>
        <sz val="11"/>
        <color rgb="FF333333"/>
        <rFont val="DejaVu Sans"/>
        <family val="2"/>
      </rPr>
      <t xml:space="preserve">인원 분석</t>
    </r>
  </si>
  <si>
    <r>
      <rPr>
        <sz val="11"/>
        <color rgb="FF333333"/>
        <rFont val="Arial"/>
        <family val="0"/>
        <charset val="1"/>
      </rPr>
      <t xml:space="preserve">8. NWC - </t>
    </r>
    <r>
      <rPr>
        <sz val="11"/>
        <color rgb="FF333333"/>
        <rFont val="DejaVu Sans"/>
        <family val="2"/>
      </rPr>
      <t xml:space="preserve">운전자본 분석</t>
    </r>
  </si>
  <si>
    <r>
      <rPr>
        <sz val="11"/>
        <color rgb="FF333333"/>
        <rFont val="Arial"/>
        <family val="0"/>
        <charset val="1"/>
      </rPr>
      <t xml:space="preserve">9. CapEx - </t>
    </r>
    <r>
      <rPr>
        <sz val="11"/>
        <color rgb="FF333333"/>
        <rFont val="DejaVu Sans"/>
        <family val="2"/>
      </rPr>
      <t xml:space="preserve">설비투자</t>
    </r>
    <r>
      <rPr>
        <sz val="11"/>
        <color rgb="FF333333"/>
        <rFont val="Arial"/>
        <family val="0"/>
        <charset val="1"/>
      </rPr>
      <t xml:space="preserve">/</t>
    </r>
    <r>
      <rPr>
        <sz val="11"/>
        <color rgb="FF333333"/>
        <rFont val="DejaVu Sans"/>
        <family val="2"/>
      </rPr>
      <t xml:space="preserve">무형자산</t>
    </r>
  </si>
  <si>
    <r>
      <rPr>
        <sz val="11"/>
        <color rgb="FF333333"/>
        <rFont val="Arial"/>
        <family val="0"/>
        <charset val="1"/>
      </rPr>
      <t xml:space="preserve">10. Related Party - </t>
    </r>
    <r>
      <rPr>
        <sz val="11"/>
        <color rgb="FF333333"/>
        <rFont val="DejaVu Sans"/>
        <family val="2"/>
      </rPr>
      <t xml:space="preserve">특수관계자 거래</t>
    </r>
  </si>
  <si>
    <t xml:space="preserve">Profit &amp; Loss Overview</t>
  </si>
  <si>
    <r>
      <rPr>
        <sz val="9"/>
        <color rgb="FF666666"/>
        <rFont val="DejaVu Sans"/>
        <family val="2"/>
      </rPr>
      <t xml:space="preserve">주식회사 엔엑스쓰리게임즈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DejaVu Sans"/>
        <family val="2"/>
      </rPr>
      <t xml:space="preserve">단위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원 </t>
    </r>
    <r>
      <rPr>
        <sz val="9"/>
        <color rgb="FF666666"/>
        <rFont val="Arial"/>
        <family val="0"/>
        <charset val="1"/>
      </rPr>
      <t xml:space="preserve">(KRW)</t>
    </r>
  </si>
  <si>
    <t xml:space="preserve">구분</t>
  </si>
  <si>
    <r>
      <rPr>
        <b val="true"/>
        <sz val="11"/>
        <color rgb="FFFFFFFF"/>
        <rFont val="Arial"/>
        <family val="0"/>
        <charset val="1"/>
      </rPr>
      <t xml:space="preserve">FY2023 (7</t>
    </r>
    <r>
      <rPr>
        <b val="true"/>
        <sz val="11"/>
        <color rgb="FFFFFFFF"/>
        <rFont val="DejaVu Sans"/>
        <family val="2"/>
      </rPr>
      <t xml:space="preserve">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</si>
  <si>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FY2024 (8</t>
    </r>
    <r>
      <rPr>
        <b val="true"/>
        <sz val="11"/>
        <color rgb="FFFFFFFF"/>
        <rFont val="DejaVu Sans"/>
        <family val="2"/>
      </rPr>
      <t xml:space="preserve">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</si>
  <si>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FY2025 (9</t>
    </r>
    <r>
      <rPr>
        <b val="true"/>
        <sz val="11"/>
        <color rgb="FFFFFFFF"/>
        <rFont val="DejaVu Sans"/>
        <family val="2"/>
      </rPr>
      <t xml:space="preserve">기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가결산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</si>
  <si>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YoY (24/23)</t>
  </si>
  <si>
    <t xml:space="preserve">YoY (25/24)</t>
  </si>
  <si>
    <t xml:space="preserve">Comment</t>
  </si>
  <si>
    <t xml:space="preserve">매출액</t>
  </si>
  <si>
    <t xml:space="preserve">  수입수수료</t>
  </si>
  <si>
    <t xml:space="preserve">  기타 게임매출</t>
  </si>
  <si>
    <t xml:space="preserve">  게임매출</t>
  </si>
  <si>
    <t xml:space="preserve">매출원가</t>
  </si>
  <si>
    <t xml:space="preserve">매출총이익</t>
  </si>
  <si>
    <t xml:space="preserve">판매비와관리비</t>
  </si>
  <si>
    <t xml:space="preserve">  직원급여</t>
  </si>
  <si>
    <t xml:space="preserve">  퇴직급여</t>
  </si>
  <si>
    <t xml:space="preserve">  복리후생비</t>
  </si>
  <si>
    <t xml:space="preserve">  여비교통비</t>
  </si>
  <si>
    <t xml:space="preserve">  접대비</t>
  </si>
  <si>
    <t xml:space="preserve">  통신비</t>
  </si>
  <si>
    <t xml:space="preserve">  세금과공과금</t>
  </si>
  <si>
    <t xml:space="preserve">  감가상각비</t>
  </si>
  <si>
    <t xml:space="preserve">  지급임차료</t>
  </si>
  <si>
    <t xml:space="preserve">  보험료</t>
  </si>
  <si>
    <t xml:space="preserve">  차량유지비</t>
  </si>
  <si>
    <t xml:space="preserve">  교육훈련비</t>
  </si>
  <si>
    <t xml:space="preserve">  도서인쇄비</t>
  </si>
  <si>
    <t xml:space="preserve">  소모품비</t>
  </si>
  <si>
    <t xml:space="preserve">  지급수수료</t>
  </si>
  <si>
    <t xml:space="preserve">  광고선전비</t>
  </si>
  <si>
    <t xml:space="preserve">  건물관리비</t>
  </si>
  <si>
    <t xml:space="preserve">  무형자산상각비</t>
  </si>
  <si>
    <t xml:space="preserve">  외주비</t>
  </si>
  <si>
    <r>
      <rPr>
        <b val="true"/>
        <sz val="10"/>
        <color rgb="FF000000"/>
        <rFont val="DejaVu Sans"/>
        <family val="2"/>
      </rPr>
      <t xml:space="preserve">영업이익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손실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</si>
  <si>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영업외수익</t>
  </si>
  <si>
    <t xml:space="preserve">  이자수익</t>
  </si>
  <si>
    <t xml:space="preserve">  수입임대료</t>
  </si>
  <si>
    <t xml:space="preserve">  외환차익</t>
  </si>
  <si>
    <t xml:space="preserve">  외화환산이익</t>
  </si>
  <si>
    <t xml:space="preserve">  잡이익</t>
  </si>
  <si>
    <t xml:space="preserve">영업외비용</t>
  </si>
  <si>
    <t xml:space="preserve">  이자비용</t>
  </si>
  <si>
    <t xml:space="preserve">  외환차손</t>
  </si>
  <si>
    <t xml:space="preserve">  외화환산손실</t>
  </si>
  <si>
    <t xml:space="preserve">  투자증권손상차손</t>
  </si>
  <si>
    <t xml:space="preserve">  잡손실</t>
  </si>
  <si>
    <r>
      <rPr>
        <b val="true"/>
        <sz val="10"/>
        <color rgb="FF000000"/>
        <rFont val="DejaVu Sans"/>
        <family val="2"/>
      </rPr>
      <t xml:space="preserve">법인세차감전이익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손실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</si>
  <si>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법인세등</t>
  </si>
  <si>
    <r>
      <rPr>
        <b val="true"/>
        <sz val="10"/>
        <color rgb="FF000000"/>
        <rFont val="DejaVu Sans"/>
        <family val="2"/>
      </rPr>
      <t xml:space="preserve">당기순이익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손실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</si>
  <si>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주요 마진 분석</t>
  </si>
  <si>
    <t xml:space="preserve">FY2023</t>
  </si>
  <si>
    <t xml:space="preserve">FY2024</t>
  </si>
  <si>
    <t xml:space="preserve">FY2025</t>
  </si>
  <si>
    <t xml:space="preserve">영업이익률</t>
  </si>
  <si>
    <t xml:space="preserve">당기순이익률</t>
  </si>
  <si>
    <t xml:space="preserve">판관비율</t>
  </si>
  <si>
    <r>
      <rPr>
        <b val="true"/>
        <sz val="10"/>
        <color rgb="FF000000"/>
        <rFont val="DejaVu Sans"/>
        <family val="2"/>
      </rPr>
      <t xml:space="preserve">인건비율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급여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DejaVu Sans"/>
        <family val="2"/>
      </rPr>
      <t xml:space="preserve">퇴직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DejaVu Sans"/>
        <family val="2"/>
      </rPr>
      <t xml:space="preserve">복리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</si>
  <si>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Quality of Earnings (QoE) Analysis</t>
  </si>
  <si>
    <r>
      <rPr>
        <sz val="9"/>
        <color rgb="FF666666"/>
        <rFont val="DejaVu Sans"/>
        <family val="2"/>
      </rPr>
      <t xml:space="preserve">주식회사 엔엑스쓰리게임즈 </t>
    </r>
    <r>
      <rPr>
        <sz val="9"/>
        <color rgb="FF666666"/>
        <rFont val="Arial"/>
        <family val="0"/>
        <charset val="1"/>
      </rPr>
      <t xml:space="preserve">| Adjusted EBITDA Bridge | </t>
    </r>
    <r>
      <rPr>
        <sz val="9"/>
        <color rgb="FF666666"/>
        <rFont val="DejaVu Sans"/>
        <family val="2"/>
      </rPr>
      <t xml:space="preserve">단위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원 </t>
    </r>
    <r>
      <rPr>
        <sz val="9"/>
        <color rgb="FF666666"/>
        <rFont val="Arial"/>
        <family val="0"/>
        <charset val="1"/>
      </rPr>
      <t xml:space="preserve">(KRW)</t>
    </r>
  </si>
  <si>
    <r>
      <rPr>
        <b val="true"/>
        <sz val="11"/>
        <color rgb="FFFFFFFF"/>
        <rFont val="Arial"/>
        <family val="0"/>
        <charset val="1"/>
      </rPr>
      <t xml:space="preserve">FY2025 (9</t>
    </r>
    <r>
      <rPr>
        <b val="true"/>
        <sz val="11"/>
        <color rgb="FFFFFFFF"/>
        <rFont val="DejaVu Sans"/>
        <family val="2"/>
      </rPr>
      <t xml:space="preserve">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</si>
  <si>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비고 </t>
    </r>
    <r>
      <rPr>
        <b val="true"/>
        <sz val="11"/>
        <color rgb="FFFFFFFF"/>
        <rFont val="Arial"/>
        <family val="0"/>
        <charset val="1"/>
      </rPr>
      <t xml:space="preserve">/ Adjustment Rationale</t>
    </r>
  </si>
  <si>
    <r>
      <rPr>
        <b val="true"/>
        <sz val="10"/>
        <color rgb="FF000000"/>
        <rFont val="Arial"/>
        <family val="0"/>
        <charset val="1"/>
      </rPr>
      <t xml:space="preserve">A. Reported Revenue (</t>
    </r>
    <r>
      <rPr>
        <b val="true"/>
        <sz val="10"/>
        <color rgb="FF000000"/>
        <rFont val="DejaVu Sans"/>
        <family val="2"/>
      </rPr>
      <t xml:space="preserve">보고 매출액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</si>
  <si>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퍼블리셔 수수료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컴투스 등</t>
    </r>
    <r>
      <rPr>
        <sz val="9"/>
        <color rgb="FF666666"/>
        <rFont val="Arial"/>
        <family val="0"/>
        <charset val="1"/>
      </rPr>
      <t xml:space="preserve">)</t>
    </r>
  </si>
  <si>
    <t xml:space="preserve">기존 게임 운영수익</t>
  </si>
  <si>
    <r>
      <rPr>
        <sz val="9"/>
        <color rgb="FF666666"/>
        <rFont val="DejaVu Sans"/>
        <family val="2"/>
      </rPr>
      <t xml:space="preserve">서머너즈워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크로니클 글로벌 매출</t>
    </r>
  </si>
  <si>
    <t xml:space="preserve">Revenue Adjustments:</t>
  </si>
  <si>
    <r>
      <rPr>
        <sz val="10"/>
        <color rgb="FF0000FF"/>
        <rFont val="Arial"/>
        <family val="0"/>
        <charset val="1"/>
      </rPr>
      <t xml:space="preserve">  (1) </t>
    </r>
    <r>
      <rPr>
        <sz val="10"/>
        <color rgb="FF0000FF"/>
        <rFont val="DejaVu Sans"/>
        <family val="2"/>
      </rPr>
      <t xml:space="preserve">일회성 수입수수료 </t>
    </r>
    <r>
      <rPr>
        <sz val="10"/>
        <color rgb="FF0000FF"/>
        <rFont val="Arial"/>
        <family val="0"/>
        <charset val="1"/>
      </rPr>
      <t xml:space="preserve">(MG </t>
    </r>
    <r>
      <rPr>
        <sz val="10"/>
        <color rgb="FF0000FF"/>
        <rFont val="DejaVu Sans"/>
        <family val="2"/>
      </rPr>
      <t xml:space="preserve">정산 등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</si>
  <si>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9"/>
        <color rgb="FF666666"/>
        <rFont val="Arial"/>
        <family val="0"/>
        <charset val="1"/>
      </rPr>
      <t xml:space="preserve">FY2024 </t>
    </r>
    <r>
      <rPr>
        <sz val="9"/>
        <color rgb="FF666666"/>
        <rFont val="DejaVu Sans"/>
        <family val="2"/>
      </rPr>
      <t xml:space="preserve">컴투스 </t>
    </r>
    <r>
      <rPr>
        <sz val="9"/>
        <color rgb="FF666666"/>
        <rFont val="Arial"/>
        <family val="0"/>
        <charset val="1"/>
      </rPr>
      <t xml:space="preserve">MG 8,350</t>
    </r>
    <r>
      <rPr>
        <sz val="9"/>
        <color rgb="FF666666"/>
        <rFont val="DejaVu Sans"/>
        <family val="2"/>
      </rPr>
      <t xml:space="preserve">백만원은 일회성으로 판단 </t>
    </r>
    <r>
      <rPr>
        <sz val="9"/>
        <color rgb="FF666666"/>
        <rFont val="Arial"/>
        <family val="0"/>
        <charset val="1"/>
      </rPr>
      <t xml:space="preserve">- </t>
    </r>
    <r>
      <rPr>
        <sz val="9"/>
        <color rgb="FF666666"/>
        <rFont val="DejaVu Sans"/>
        <family val="2"/>
      </rPr>
      <t xml:space="preserve">조정 검토</t>
    </r>
  </si>
  <si>
    <r>
      <rPr>
        <sz val="10"/>
        <color rgb="FF0000FF"/>
        <rFont val="Arial"/>
        <family val="0"/>
        <charset val="1"/>
      </rPr>
      <t xml:space="preserve">  (2) </t>
    </r>
    <r>
      <rPr>
        <sz val="10"/>
        <color rgb="FF0000FF"/>
        <rFont val="DejaVu Sans"/>
        <family val="2"/>
      </rPr>
      <t xml:space="preserve">기타 게임 매출 정규화</t>
    </r>
  </si>
  <si>
    <r>
      <rPr>
        <sz val="9"/>
        <color rgb="FF666666"/>
        <rFont val="DejaVu Sans"/>
        <family val="2"/>
      </rPr>
      <t xml:space="preserve">운영수익은 경상적으로 판단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조정 불요</t>
    </r>
  </si>
  <si>
    <r>
      <rPr>
        <b val="true"/>
        <sz val="10"/>
        <color rgb="FF000000"/>
        <rFont val="Arial"/>
        <family val="0"/>
        <charset val="1"/>
      </rPr>
      <t xml:space="preserve">B. Adjusted Revenue (</t>
    </r>
    <r>
      <rPr>
        <b val="true"/>
        <sz val="10"/>
        <color rgb="FF000000"/>
        <rFont val="DejaVu Sans"/>
        <family val="2"/>
      </rPr>
      <t xml:space="preserve">조정 매출액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</si>
  <si>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C. Reported Operating Profit (</t>
    </r>
    <r>
      <rPr>
        <b val="true"/>
        <sz val="10"/>
        <color rgb="FF000000"/>
        <rFont val="DejaVu Sans"/>
        <family val="2"/>
      </rPr>
      <t xml:space="preserve">보고 영업이익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</si>
  <si>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1F4E79"/>
        <rFont val="Arial"/>
        <family val="0"/>
        <charset val="1"/>
      </rPr>
      <t xml:space="preserve">D. Reported EBITDA </t>
    </r>
    <r>
      <rPr>
        <b val="true"/>
        <sz val="10"/>
        <color rgb="FF1F4E79"/>
        <rFont val="DejaVu Sans"/>
        <family val="2"/>
      </rPr>
      <t xml:space="preserve">산출</t>
    </r>
    <r>
      <rPr>
        <b val="true"/>
        <sz val="10"/>
        <color rgb="FF1F4E79"/>
        <rFont val="Arial"/>
        <family val="0"/>
        <charset val="1"/>
      </rPr>
      <t xml:space="preserve">:</t>
    </r>
  </si>
  <si>
    <r>
      <rPr>
        <sz val="10"/>
        <color rgb="FF000000"/>
        <rFont val="DejaVu Sans"/>
        <family val="2"/>
      </rPr>
      <t xml:space="preserve">  보고 영업이익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손실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</si>
  <si>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(+) </t>
    </r>
    <r>
      <rPr>
        <sz val="10"/>
        <color rgb="FF000000"/>
        <rFont val="DejaVu Sans"/>
        <family val="2"/>
      </rPr>
      <t xml:space="preserve">감가상각비</t>
    </r>
  </si>
  <si>
    <t xml:space="preserve">유형자산 감가상각</t>
  </si>
  <si>
    <r>
      <rPr>
        <sz val="10"/>
        <color rgb="FF000000"/>
        <rFont val="Arial"/>
        <family val="0"/>
        <charset val="1"/>
      </rPr>
      <t xml:space="preserve">  (+) </t>
    </r>
    <r>
      <rPr>
        <sz val="10"/>
        <color rgb="FF000000"/>
        <rFont val="DejaVu Sans"/>
        <family val="2"/>
      </rPr>
      <t xml:space="preserve">무형자산상각비</t>
    </r>
  </si>
  <si>
    <r>
      <rPr>
        <sz val="9"/>
        <color rgb="FF666666"/>
        <rFont val="DejaVu Sans"/>
        <family val="2"/>
      </rPr>
      <t xml:space="preserve">소프트웨어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상표권 상각</t>
    </r>
  </si>
  <si>
    <t xml:space="preserve">D. Reported EBITDA</t>
  </si>
  <si>
    <t xml:space="preserve">E. EBITDA Adjustments:</t>
  </si>
  <si>
    <r>
      <rPr>
        <sz val="10"/>
        <color rgb="FF0000FF"/>
        <rFont val="Arial"/>
        <family val="0"/>
        <charset val="1"/>
      </rPr>
      <t xml:space="preserve">  (1) </t>
    </r>
    <r>
      <rPr>
        <sz val="10"/>
        <color rgb="FF0000FF"/>
        <rFont val="DejaVu Sans"/>
        <family val="2"/>
      </rPr>
      <t xml:space="preserve">일회성 광고선전비 제거</t>
    </r>
  </si>
  <si>
    <r>
      <rPr>
        <sz val="9"/>
        <color rgb="FF666666"/>
        <rFont val="DejaVu Sans"/>
        <family val="2"/>
      </rPr>
      <t xml:space="preserve">론칭 마케팅비 중 일회성 부분 추정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경상 수준 초과분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</si>
  <si>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  (2) </t>
    </r>
    <r>
      <rPr>
        <sz val="10"/>
        <color rgb="FF0000FF"/>
        <rFont val="DejaVu Sans"/>
        <family val="2"/>
      </rPr>
      <t xml:space="preserve">세금과공과금 정규화</t>
    </r>
  </si>
  <si>
    <r>
      <rPr>
        <sz val="9"/>
        <color rgb="FF666666"/>
        <rFont val="Arial"/>
        <family val="0"/>
        <charset val="1"/>
      </rPr>
      <t xml:space="preserve">FY2023 </t>
    </r>
    <r>
      <rPr>
        <sz val="9"/>
        <color rgb="FF666666"/>
        <rFont val="DejaVu Sans"/>
        <family val="2"/>
      </rPr>
      <t xml:space="preserve">주식매수선택권 관련 세금 일회성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경상 </t>
    </r>
    <r>
      <rPr>
        <sz val="9"/>
        <color rgb="FF666666"/>
        <rFont val="Arial"/>
        <family val="0"/>
        <charset val="1"/>
      </rPr>
      <t xml:space="preserve">~200M </t>
    </r>
    <r>
      <rPr>
        <sz val="9"/>
        <color rgb="FF666666"/>
        <rFont val="DejaVu Sans"/>
        <family val="2"/>
      </rPr>
      <t xml:space="preserve">가정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</si>
  <si>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  (3) </t>
    </r>
    <r>
      <rPr>
        <sz val="10"/>
        <color rgb="FF0000FF"/>
        <rFont val="DejaVu Sans"/>
        <family val="2"/>
      </rPr>
      <t xml:space="preserve">스톡옵션비용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비현금성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</si>
  <si>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해당 기간 비용 미인식 </t>
    </r>
    <r>
      <rPr>
        <sz val="9"/>
        <color rgb="FF666666"/>
        <rFont val="Arial"/>
        <family val="0"/>
        <charset val="1"/>
      </rPr>
      <t xml:space="preserve">- </t>
    </r>
    <r>
      <rPr>
        <sz val="9"/>
        <color rgb="FF666666"/>
        <rFont val="DejaVu Sans"/>
        <family val="2"/>
      </rPr>
      <t xml:space="preserve">추가 검토 필요</t>
    </r>
  </si>
  <si>
    <r>
      <rPr>
        <sz val="10"/>
        <color rgb="FF0000FF"/>
        <rFont val="Arial"/>
        <family val="0"/>
        <charset val="1"/>
      </rPr>
      <t xml:space="preserve">  (4) </t>
    </r>
    <r>
      <rPr>
        <sz val="10"/>
        <color rgb="FF0000FF"/>
        <rFont val="DejaVu Sans"/>
        <family val="2"/>
      </rPr>
      <t xml:space="preserve">특수관계자 거래 정규화</t>
    </r>
  </si>
  <si>
    <r>
      <rPr>
        <sz val="9"/>
        <color rgb="FF666666"/>
        <rFont val="DejaVu Sans"/>
        <family val="2"/>
      </rPr>
      <t xml:space="preserve">특수관계자 외주비 </t>
    </r>
    <r>
      <rPr>
        <sz val="9"/>
        <color rgb="FF666666"/>
        <rFont val="Arial"/>
        <family val="0"/>
        <charset val="1"/>
      </rPr>
      <t xml:space="preserve">arm's length </t>
    </r>
    <r>
      <rPr>
        <sz val="9"/>
        <color rgb="FF666666"/>
        <rFont val="DejaVu Sans"/>
        <family val="2"/>
      </rPr>
      <t xml:space="preserve">검토 필요</t>
    </r>
  </si>
  <si>
    <r>
      <rPr>
        <sz val="10"/>
        <color rgb="FF0000FF"/>
        <rFont val="Arial"/>
        <family val="0"/>
        <charset val="1"/>
      </rPr>
      <t xml:space="preserve">  (5) </t>
    </r>
    <r>
      <rPr>
        <sz val="10"/>
        <color rgb="FF0000FF"/>
        <rFont val="DejaVu Sans"/>
        <family val="2"/>
      </rPr>
      <t xml:space="preserve">비경상적 잡이익 제거</t>
    </r>
  </si>
  <si>
    <r>
      <rPr>
        <sz val="9"/>
        <color rgb="FF666666"/>
        <rFont val="DejaVu Sans"/>
        <family val="2"/>
      </rPr>
      <t xml:space="preserve">잡이익 중 일회성 항목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자산처분익 등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</si>
  <si>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  (6) </t>
    </r>
    <r>
      <rPr>
        <sz val="10"/>
        <color rgb="FF0000FF"/>
        <rFont val="DejaVu Sans"/>
        <family val="2"/>
      </rPr>
      <t xml:space="preserve">투자증권 손상차손 </t>
    </r>
    <r>
      <rPr>
        <sz val="10"/>
        <color rgb="FF0000FF"/>
        <rFont val="Arial"/>
        <family val="0"/>
        <charset val="1"/>
      </rPr>
      <t xml:space="preserve">add-back</t>
    </r>
  </si>
  <si>
    <t xml:space="preserve">비경상적 투자손실 가산</t>
  </si>
  <si>
    <r>
      <rPr>
        <sz val="10"/>
        <color rgb="FF0000FF"/>
        <rFont val="Arial"/>
        <family val="0"/>
        <charset val="1"/>
      </rPr>
      <t xml:space="preserve">  (7) </t>
    </r>
    <r>
      <rPr>
        <sz val="10"/>
        <color rgb="FF0000FF"/>
        <rFont val="DejaVu Sans"/>
        <family val="2"/>
      </rPr>
      <t xml:space="preserve">이자비용 </t>
    </r>
    <r>
      <rPr>
        <sz val="10"/>
        <color rgb="FF0000FF"/>
        <rFont val="Arial"/>
        <family val="0"/>
        <charset val="1"/>
      </rPr>
      <t xml:space="preserve">(CB/BW </t>
    </r>
    <r>
      <rPr>
        <sz val="10"/>
        <color rgb="FF0000FF"/>
        <rFont val="DejaVu Sans"/>
        <family val="2"/>
      </rPr>
      <t xml:space="preserve">관련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</si>
  <si>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전환사채 관련 이자비용 </t>
    </r>
    <r>
      <rPr>
        <sz val="9"/>
        <color rgb="FF666666"/>
        <rFont val="Arial"/>
        <family val="0"/>
        <charset val="1"/>
      </rPr>
      <t xml:space="preserve">- </t>
    </r>
    <r>
      <rPr>
        <sz val="9"/>
        <color rgb="FF666666"/>
        <rFont val="DejaVu Sans"/>
        <family val="2"/>
      </rPr>
      <t xml:space="preserve">비경상</t>
    </r>
  </si>
  <si>
    <r>
      <rPr>
        <sz val="10"/>
        <color rgb="FF0000FF"/>
        <rFont val="Arial"/>
        <family val="0"/>
        <charset val="1"/>
      </rPr>
      <t xml:space="preserve">  (8) FY2024 MG </t>
    </r>
    <r>
      <rPr>
        <sz val="10"/>
        <color rgb="FF0000FF"/>
        <rFont val="DejaVu Sans"/>
        <family val="2"/>
      </rPr>
      <t xml:space="preserve">매출 일회성 조정</t>
    </r>
  </si>
  <si>
    <r>
      <rPr>
        <sz val="9"/>
        <color rgb="FF666666"/>
        <rFont val="Arial"/>
        <family val="0"/>
        <charset val="1"/>
      </rPr>
      <t xml:space="preserve">MG </t>
    </r>
    <r>
      <rPr>
        <sz val="9"/>
        <color rgb="FF666666"/>
        <rFont val="DejaVu Sans"/>
        <family val="2"/>
      </rPr>
      <t xml:space="preserve">수입수수료 일회성 제거 </t>
    </r>
    <r>
      <rPr>
        <sz val="9"/>
        <color rgb="FF666666"/>
        <rFont val="Arial"/>
        <family val="0"/>
        <charset val="1"/>
      </rPr>
      <t xml:space="preserve">(Revenue</t>
    </r>
    <r>
      <rPr>
        <sz val="9"/>
        <color rgb="FF666666"/>
        <rFont val="DejaVu Sans"/>
        <family val="2"/>
      </rPr>
      <t xml:space="preserve">에서도 반영</t>
    </r>
    <r>
      <rPr>
        <sz val="9"/>
        <color rgb="FF666666"/>
        <rFont val="Arial"/>
        <family val="0"/>
        <charset val="1"/>
      </rPr>
      <t xml:space="preserve">)</t>
    </r>
  </si>
  <si>
    <r>
      <rPr>
        <b val="true"/>
        <sz val="10"/>
        <color rgb="FF000000"/>
        <rFont val="DejaVu Sans"/>
        <family val="2"/>
      </rPr>
      <t xml:space="preserve">총 </t>
    </r>
    <r>
      <rPr>
        <b val="true"/>
        <sz val="10"/>
        <color rgb="FF000000"/>
        <rFont val="Arial"/>
        <family val="0"/>
        <charset val="1"/>
      </rPr>
      <t xml:space="preserve">EBITDA </t>
    </r>
    <r>
      <rPr>
        <b val="true"/>
        <sz val="10"/>
        <color rgb="FF000000"/>
        <rFont val="DejaVu Sans"/>
        <family val="2"/>
      </rPr>
      <t xml:space="preserve">조정액</t>
    </r>
  </si>
  <si>
    <t xml:space="preserve">F. Adjusted EBITDA</t>
  </si>
  <si>
    <t xml:space="preserve">Adjusted EBITDA Margin</t>
  </si>
  <si>
    <t xml:space="preserve">Adjusted EBITDA / Adjusted Revenue</t>
  </si>
  <si>
    <t xml:space="preserve">Balance Sheet Overview</t>
  </si>
  <si>
    <r>
      <rPr>
        <b val="true"/>
        <sz val="11"/>
        <color rgb="FFFFFFFF"/>
        <rFont val="DejaVu Sans"/>
        <family val="2"/>
      </rPr>
      <t xml:space="preserve">증감 </t>
    </r>
    <r>
      <rPr>
        <b val="true"/>
        <sz val="11"/>
        <color rgb="FFFFFFFF"/>
        <rFont val="Arial"/>
        <family val="0"/>
        <charset val="1"/>
      </rPr>
      <t xml:space="preserve">(25 vs 24)</t>
    </r>
  </si>
  <si>
    <t xml:space="preserve">비고</t>
  </si>
  <si>
    <t xml:space="preserve">자산</t>
  </si>
  <si>
    <r>
      <rPr>
        <b val="true"/>
        <sz val="10"/>
        <color rgb="FF1F4E79"/>
        <rFont val="Arial"/>
        <family val="0"/>
        <charset val="1"/>
      </rPr>
      <t xml:space="preserve">Ⅰ. </t>
    </r>
    <r>
      <rPr>
        <b val="true"/>
        <sz val="10"/>
        <color rgb="FF1F4E79"/>
        <rFont val="DejaVu Sans"/>
        <family val="2"/>
      </rPr>
      <t xml:space="preserve">유동자산</t>
    </r>
  </si>
  <si>
    <t xml:space="preserve">  보통예금</t>
  </si>
  <si>
    <t xml:space="preserve">  정기예적금</t>
  </si>
  <si>
    <t xml:space="preserve">  외상매출금</t>
  </si>
  <si>
    <t xml:space="preserve">  단기대여금</t>
  </si>
  <si>
    <t xml:space="preserve">  미수수익</t>
  </si>
  <si>
    <t xml:space="preserve">  미수금</t>
  </si>
  <si>
    <t xml:space="preserve">  선급금</t>
  </si>
  <si>
    <t xml:space="preserve">  선급비용</t>
  </si>
  <si>
    <t xml:space="preserve">  선납세금</t>
  </si>
  <si>
    <r>
      <rPr>
        <b val="true"/>
        <sz val="10"/>
        <color rgb="FF1F4E79"/>
        <rFont val="Arial"/>
        <family val="0"/>
        <charset val="1"/>
      </rPr>
      <t xml:space="preserve">Ⅱ. </t>
    </r>
    <r>
      <rPr>
        <b val="true"/>
        <sz val="10"/>
        <color rgb="FF1F4E79"/>
        <rFont val="DejaVu Sans"/>
        <family val="2"/>
      </rPr>
      <t xml:space="preserve">비유동자산</t>
    </r>
  </si>
  <si>
    <r>
      <rPr>
        <b val="true"/>
        <sz val="10"/>
        <color rgb="FF000000"/>
        <rFont val="Arial"/>
        <family val="0"/>
        <charset val="1"/>
      </rPr>
      <t xml:space="preserve">  (1) </t>
    </r>
    <r>
      <rPr>
        <b val="true"/>
        <sz val="10"/>
        <color rgb="FF000000"/>
        <rFont val="DejaVu Sans"/>
        <family val="2"/>
      </rPr>
      <t xml:space="preserve">투자자산</t>
    </r>
  </si>
  <si>
    <t xml:space="preserve">    매도가능증권</t>
  </si>
  <si>
    <t xml:space="preserve">    장기대여금</t>
  </si>
  <si>
    <r>
      <rPr>
        <b val="true"/>
        <sz val="10"/>
        <color rgb="FF000000"/>
        <rFont val="Arial"/>
        <family val="0"/>
        <charset val="1"/>
      </rPr>
      <t xml:space="preserve">  (2) </t>
    </r>
    <r>
      <rPr>
        <b val="true"/>
        <sz val="10"/>
        <color rgb="FF000000"/>
        <rFont val="DejaVu Sans"/>
        <family val="2"/>
      </rPr>
      <t xml:space="preserve">유형자산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순액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</si>
  <si>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  비품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순액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</si>
  <si>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  시설장치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순액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</si>
  <si>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  (3) </t>
    </r>
    <r>
      <rPr>
        <b val="true"/>
        <sz val="10"/>
        <color rgb="FF000000"/>
        <rFont val="DejaVu Sans"/>
        <family val="2"/>
      </rPr>
      <t xml:space="preserve">무형자산</t>
    </r>
  </si>
  <si>
    <r>
      <rPr>
        <sz val="10"/>
        <color rgb="FF000000"/>
        <rFont val="DejaVu Sans"/>
        <family val="2"/>
      </rPr>
      <t xml:space="preserve">    소프트웨어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순액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</si>
  <si>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  상표권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순액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</si>
  <si>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  게임 </t>
    </r>
    <r>
      <rPr>
        <sz val="10"/>
        <color rgb="FF000000"/>
        <rFont val="Arial"/>
        <family val="0"/>
        <charset val="1"/>
      </rPr>
      <t xml:space="preserve">IP</t>
    </r>
  </si>
  <si>
    <r>
      <rPr>
        <b val="true"/>
        <sz val="10"/>
        <color rgb="FF000000"/>
        <rFont val="Arial"/>
        <family val="0"/>
        <charset val="1"/>
      </rPr>
      <t xml:space="preserve">  (4) </t>
    </r>
    <r>
      <rPr>
        <b val="true"/>
        <sz val="10"/>
        <color rgb="FF000000"/>
        <rFont val="DejaVu Sans"/>
        <family val="2"/>
      </rPr>
      <t xml:space="preserve">기타비유동자산</t>
    </r>
  </si>
  <si>
    <t xml:space="preserve">    임차보증금</t>
  </si>
  <si>
    <t xml:space="preserve">    기타보증금</t>
  </si>
  <si>
    <t xml:space="preserve">자산총계</t>
  </si>
  <si>
    <t xml:space="preserve">부채</t>
  </si>
  <si>
    <r>
      <rPr>
        <b val="true"/>
        <sz val="10"/>
        <color rgb="FF1F4E79"/>
        <rFont val="Arial"/>
        <family val="0"/>
        <charset val="1"/>
      </rPr>
      <t xml:space="preserve">Ⅰ. </t>
    </r>
    <r>
      <rPr>
        <b val="true"/>
        <sz val="10"/>
        <color rgb="FF1F4E79"/>
        <rFont val="DejaVu Sans"/>
        <family val="2"/>
      </rPr>
      <t xml:space="preserve">유동부채</t>
    </r>
  </si>
  <si>
    <t xml:space="preserve">  미지급금</t>
  </si>
  <si>
    <t xml:space="preserve">  예수금</t>
  </si>
  <si>
    <t xml:space="preserve">  부가세예수금</t>
  </si>
  <si>
    <t xml:space="preserve">  선수금</t>
  </si>
  <si>
    <t xml:space="preserve">  단기차입금</t>
  </si>
  <si>
    <t xml:space="preserve">  미지급비용</t>
  </si>
  <si>
    <t xml:space="preserve">  선수수익</t>
  </si>
  <si>
    <r>
      <rPr>
        <b val="true"/>
        <sz val="10"/>
        <color rgb="FF1F4E79"/>
        <rFont val="Arial"/>
        <family val="0"/>
        <charset val="1"/>
      </rPr>
      <t xml:space="preserve">Ⅱ. </t>
    </r>
    <r>
      <rPr>
        <b val="true"/>
        <sz val="10"/>
        <color rgb="FF1F4E79"/>
        <rFont val="DejaVu Sans"/>
        <family val="2"/>
      </rPr>
      <t xml:space="preserve">비유동부채</t>
    </r>
  </si>
  <si>
    <t xml:space="preserve">부채총계</t>
  </si>
  <si>
    <t xml:space="preserve">자본</t>
  </si>
  <si>
    <r>
      <rPr>
        <b val="true"/>
        <sz val="10"/>
        <color rgb="FF1F4E79"/>
        <rFont val="Arial"/>
        <family val="0"/>
        <charset val="1"/>
      </rPr>
      <t xml:space="preserve">Ⅰ. </t>
    </r>
    <r>
      <rPr>
        <b val="true"/>
        <sz val="10"/>
        <color rgb="FF1F4E79"/>
        <rFont val="DejaVu Sans"/>
        <family val="2"/>
      </rPr>
      <t xml:space="preserve">자본금</t>
    </r>
  </si>
  <si>
    <r>
      <rPr>
        <b val="true"/>
        <sz val="10"/>
        <color rgb="FF1F4E79"/>
        <rFont val="Arial"/>
        <family val="0"/>
        <charset val="1"/>
      </rPr>
      <t xml:space="preserve">Ⅱ. </t>
    </r>
    <r>
      <rPr>
        <b val="true"/>
        <sz val="10"/>
        <color rgb="FF1F4E79"/>
        <rFont val="DejaVu Sans"/>
        <family val="2"/>
      </rPr>
      <t xml:space="preserve">주식발행초과금</t>
    </r>
  </si>
  <si>
    <r>
      <rPr>
        <b val="true"/>
        <sz val="10"/>
        <color rgb="FF1F4E79"/>
        <rFont val="Arial"/>
        <family val="0"/>
        <charset val="1"/>
      </rPr>
      <t xml:space="preserve">Ⅲ. </t>
    </r>
    <r>
      <rPr>
        <b val="true"/>
        <sz val="10"/>
        <color rgb="FF1F4E79"/>
        <rFont val="DejaVu Sans"/>
        <family val="2"/>
      </rPr>
      <t xml:space="preserve">이익잉여금</t>
    </r>
    <r>
      <rPr>
        <b val="true"/>
        <sz val="10"/>
        <color rgb="FF1F4E79"/>
        <rFont val="Arial"/>
        <family val="0"/>
        <charset val="1"/>
      </rPr>
      <t xml:space="preserve">(</t>
    </r>
    <r>
      <rPr>
        <b val="true"/>
        <sz val="10"/>
        <color rgb="FF1F4E79"/>
        <rFont val="DejaVu Sans"/>
        <family val="2"/>
      </rPr>
      <t xml:space="preserve">결손금</t>
    </r>
    <r>
      <rPr>
        <b val="true"/>
        <sz val="10"/>
        <color rgb="FF1F4E79"/>
        <rFont val="Arial"/>
        <family val="0"/>
        <charset val="1"/>
      </rPr>
      <t xml:space="preserve">)</t>
    </r>
  </si>
  <si>
    <t xml:space="preserve">자본총계</t>
  </si>
  <si>
    <t xml:space="preserve">부채및자본총계</t>
  </si>
  <si>
    <t xml:space="preserve">Quality of Net Assets / Net Debt Analysis</t>
  </si>
  <si>
    <r>
      <rPr>
        <b val="true"/>
        <sz val="11"/>
        <color rgb="FFFFFFFF"/>
        <rFont val="Arial"/>
        <family val="0"/>
        <charset val="1"/>
      </rPr>
      <t xml:space="preserve">FY2025 (</t>
    </r>
    <r>
      <rPr>
        <b val="true"/>
        <sz val="11"/>
        <color rgb="FFFFFFFF"/>
        <rFont val="DejaVu Sans"/>
        <family val="2"/>
      </rPr>
      <t xml:space="preserve">가결산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</si>
  <si>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A. Net Debt / (Cash) Analysis</t>
  </si>
  <si>
    <r>
      <rPr>
        <sz val="10"/>
        <color rgb="FF000000"/>
        <rFont val="DejaVu Sans"/>
        <family val="2"/>
      </rPr>
      <t xml:space="preserve">현금 및 현금성자산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보통예금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</si>
  <si>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단기금융상품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정기예적금</t>
    </r>
    <r>
      <rPr>
        <sz val="10"/>
        <color rgb="FF000000"/>
        <rFont val="Arial"/>
        <family val="0"/>
        <charset val="1"/>
      </rPr>
      <t xml:space="preserve">)</t>
    </r>
  </si>
  <si>
    <t xml:space="preserve">Cash &amp; Cash Equivalents</t>
  </si>
  <si>
    <t xml:space="preserve">단기차입금</t>
  </si>
  <si>
    <r>
      <rPr>
        <sz val="9"/>
        <color rgb="FF666666"/>
        <rFont val="Arial"/>
        <family val="0"/>
        <charset val="1"/>
      </rPr>
      <t xml:space="preserve">FY2024 </t>
    </r>
    <r>
      <rPr>
        <sz val="9"/>
        <color rgb="FF666666"/>
        <rFont val="DejaVu Sans"/>
        <family val="2"/>
      </rPr>
      <t xml:space="preserve">임직원 차입금</t>
    </r>
  </si>
  <si>
    <t xml:space="preserve">Total Debt</t>
  </si>
  <si>
    <t xml:space="preserve">Net Debt / (Net Cash)</t>
  </si>
  <si>
    <r>
      <rPr>
        <sz val="9"/>
        <color rgb="FF666666"/>
        <rFont val="DejaVu Sans"/>
        <family val="2"/>
      </rPr>
      <t xml:space="preserve">마이너스 </t>
    </r>
    <r>
      <rPr>
        <sz val="9"/>
        <color rgb="FF666666"/>
        <rFont val="Arial"/>
        <family val="0"/>
        <charset val="1"/>
      </rPr>
      <t xml:space="preserve">= Net Cash </t>
    </r>
    <r>
      <rPr>
        <sz val="9"/>
        <color rgb="FF666666"/>
        <rFont val="DejaVu Sans"/>
        <family val="2"/>
      </rPr>
      <t xml:space="preserve">포지션</t>
    </r>
  </si>
  <si>
    <r>
      <rPr>
        <b val="true"/>
        <sz val="10"/>
        <color rgb="FF1F4E79"/>
        <rFont val="Arial"/>
        <family val="0"/>
        <charset val="1"/>
      </rPr>
      <t xml:space="preserve">Debt-like Items (</t>
    </r>
    <r>
      <rPr>
        <b val="true"/>
        <sz val="10"/>
        <color rgb="FF1F4E79"/>
        <rFont val="DejaVu Sans"/>
        <family val="2"/>
      </rPr>
      <t xml:space="preserve">추가 검토 필요</t>
    </r>
    <r>
      <rPr>
        <b val="true"/>
        <sz val="10"/>
        <color rgb="FF1F4E79"/>
        <rFont val="Arial"/>
        <family val="0"/>
        <charset val="1"/>
      </rPr>
      <t xml:space="preserve">):</t>
    </r>
  </si>
  <si>
    <r>
      <rPr>
        <sz val="10"/>
        <color rgb="FF0000FF"/>
        <rFont val="DejaVu Sans"/>
        <family val="2"/>
      </rPr>
      <t xml:space="preserve">  선수금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계약부채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</si>
  <si>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퍼블리셔 </t>
    </r>
    <r>
      <rPr>
        <sz val="9"/>
        <color rgb="FF666666"/>
        <rFont val="Arial"/>
        <family val="0"/>
        <charset val="1"/>
      </rPr>
      <t xml:space="preserve">MG </t>
    </r>
    <r>
      <rPr>
        <sz val="9"/>
        <color rgb="FF666666"/>
        <rFont val="DejaVu Sans"/>
        <family val="2"/>
      </rPr>
      <t xml:space="preserve">선수금 </t>
    </r>
    <r>
      <rPr>
        <sz val="9"/>
        <color rgb="FF666666"/>
        <rFont val="Arial"/>
        <family val="0"/>
        <charset val="1"/>
      </rPr>
      <t xml:space="preserve">- Debt-like </t>
    </r>
    <r>
      <rPr>
        <sz val="9"/>
        <color rgb="FF666666"/>
        <rFont val="DejaVu Sans"/>
        <family val="2"/>
      </rPr>
      <t xml:space="preserve">여부 검토</t>
    </r>
  </si>
  <si>
    <r>
      <rPr>
        <sz val="10"/>
        <color rgb="FF0000FF"/>
        <rFont val="DejaVu Sans"/>
        <family val="2"/>
      </rPr>
      <t xml:space="preserve">  미지급비용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퇴직 관련</t>
    </r>
    <r>
      <rPr>
        <sz val="10"/>
        <color rgb="FF0000FF"/>
        <rFont val="Arial"/>
        <family val="0"/>
        <charset val="1"/>
      </rPr>
      <t xml:space="preserve">)</t>
    </r>
  </si>
  <si>
    <t xml:space="preserve">미지급상여 등 포함</t>
  </si>
  <si>
    <t xml:space="preserve">B. Net Working Capital Analysis</t>
  </si>
  <si>
    <t xml:space="preserve">Trade &amp; Other Receivables:</t>
  </si>
  <si>
    <t xml:space="preserve">Trade &amp; Other Payables:</t>
  </si>
  <si>
    <t xml:space="preserve">Other NWC Items:</t>
  </si>
  <si>
    <t xml:space="preserve">외주개발비 선급금 포함</t>
  </si>
  <si>
    <r>
      <rPr>
        <sz val="10"/>
        <color rgb="FF000000"/>
        <rFont val="DejaVu Sans"/>
        <family val="2"/>
      </rPr>
      <t xml:space="preserve">  부가세대급금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부가세예수금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순액</t>
    </r>
    <r>
      <rPr>
        <sz val="10"/>
        <color rgb="FF000000"/>
        <rFont val="Arial"/>
        <family val="0"/>
        <charset val="1"/>
      </rPr>
      <t xml:space="preserve">)</t>
    </r>
  </si>
  <si>
    <t xml:space="preserve">Net Working Capital (NWC)</t>
  </si>
  <si>
    <r>
      <rPr>
        <b val="true"/>
        <sz val="10"/>
        <color rgb="FF000000"/>
        <rFont val="Arial"/>
        <family val="0"/>
        <charset val="1"/>
      </rPr>
      <t xml:space="preserve">C. Reported Net Assets (</t>
    </r>
    <r>
      <rPr>
        <b val="true"/>
        <sz val="10"/>
        <color rgb="FF000000"/>
        <rFont val="DejaVu Sans"/>
        <family val="2"/>
      </rPr>
      <t xml:space="preserve">자본총계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</si>
  <si>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D. Net Asset Adjustments:</t>
  </si>
  <si>
    <r>
      <rPr>
        <sz val="10"/>
        <color rgb="FF0000FF"/>
        <rFont val="Arial"/>
        <family val="0"/>
        <charset val="1"/>
      </rPr>
      <t xml:space="preserve">  (1) </t>
    </r>
    <r>
      <rPr>
        <sz val="10"/>
        <color rgb="FF0000FF"/>
        <rFont val="DejaVu Sans"/>
        <family val="2"/>
      </rPr>
      <t xml:space="preserve">매도가능증권 공정가치 조정</t>
    </r>
  </si>
  <si>
    <t xml:space="preserve">장부가 대비 시장가치 차이 검토 필요</t>
  </si>
  <si>
    <r>
      <rPr>
        <sz val="10"/>
        <color rgb="FF0000FF"/>
        <rFont val="Arial"/>
        <family val="0"/>
        <charset val="1"/>
      </rPr>
      <t xml:space="preserve">  (2) </t>
    </r>
    <r>
      <rPr>
        <sz val="10"/>
        <color rgb="FF0000FF"/>
        <rFont val="DejaVu Sans"/>
        <family val="2"/>
      </rPr>
      <t xml:space="preserve">게임 </t>
    </r>
    <r>
      <rPr>
        <sz val="10"/>
        <color rgb="FF0000FF"/>
        <rFont val="Arial"/>
        <family val="0"/>
        <charset val="1"/>
      </rPr>
      <t xml:space="preserve">IP </t>
    </r>
    <r>
      <rPr>
        <sz val="10"/>
        <color rgb="FF0000FF"/>
        <rFont val="DejaVu Sans"/>
        <family val="2"/>
      </rPr>
      <t xml:space="preserve">자산가치 적정성</t>
    </r>
  </si>
  <si>
    <r>
      <rPr>
        <sz val="9"/>
        <color rgb="FF666666"/>
        <rFont val="Arial"/>
        <family val="0"/>
        <charset val="1"/>
      </rPr>
      <t xml:space="preserve">FY2025 8,000M </t>
    </r>
    <r>
      <rPr>
        <sz val="9"/>
        <color rgb="FF666666"/>
        <rFont val="DejaVu Sans"/>
        <family val="2"/>
      </rPr>
      <t xml:space="preserve">게임</t>
    </r>
    <r>
      <rPr>
        <sz val="9"/>
        <color rgb="FF666666"/>
        <rFont val="Arial"/>
        <family val="0"/>
        <charset val="1"/>
      </rPr>
      <t xml:space="preserve">IP </t>
    </r>
    <r>
      <rPr>
        <sz val="9"/>
        <color rgb="FF666666"/>
        <rFont val="DejaVu Sans"/>
        <family val="2"/>
      </rPr>
      <t xml:space="preserve">취득 </t>
    </r>
    <r>
      <rPr>
        <sz val="9"/>
        <color rgb="FF666666"/>
        <rFont val="Arial"/>
        <family val="0"/>
        <charset val="1"/>
      </rPr>
      <t xml:space="preserve">- </t>
    </r>
    <r>
      <rPr>
        <sz val="9"/>
        <color rgb="FF666666"/>
        <rFont val="DejaVu Sans"/>
        <family val="2"/>
      </rPr>
      <t xml:space="preserve">감손 테스트 필요</t>
    </r>
  </si>
  <si>
    <r>
      <rPr>
        <sz val="10"/>
        <color rgb="FF0000FF"/>
        <rFont val="Arial"/>
        <family val="0"/>
        <charset val="1"/>
      </rPr>
      <t xml:space="preserve">  (3) </t>
    </r>
    <r>
      <rPr>
        <sz val="10"/>
        <color rgb="FF0000FF"/>
        <rFont val="DejaVu Sans"/>
        <family val="2"/>
      </rPr>
      <t xml:space="preserve">단기대여금 회수가능성</t>
    </r>
  </si>
  <si>
    <r>
      <rPr>
        <sz val="9"/>
        <color rgb="FF666666"/>
        <rFont val="DejaVu Sans"/>
        <family val="2"/>
      </rPr>
      <t xml:space="preserve">관계사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임직원 대여금 회수가능성 검토</t>
    </r>
  </si>
  <si>
    <r>
      <rPr>
        <sz val="10"/>
        <color rgb="FF0000FF"/>
        <rFont val="Arial"/>
        <family val="0"/>
        <charset val="1"/>
      </rPr>
      <t xml:space="preserve">  (4) </t>
    </r>
    <r>
      <rPr>
        <sz val="10"/>
        <color rgb="FF0000FF"/>
        <rFont val="DejaVu Sans"/>
        <family val="2"/>
      </rPr>
      <t xml:space="preserve">선급금 자산성 검토</t>
    </r>
  </si>
  <si>
    <r>
      <rPr>
        <sz val="9"/>
        <color rgb="FF666666"/>
        <rFont val="DejaVu Sans"/>
        <family val="2"/>
      </rPr>
      <t xml:space="preserve">외주 개발비 선급금 </t>
    </r>
    <r>
      <rPr>
        <sz val="9"/>
        <color rgb="FF666666"/>
        <rFont val="Arial"/>
        <family val="0"/>
        <charset val="1"/>
      </rPr>
      <t xml:space="preserve">- </t>
    </r>
    <r>
      <rPr>
        <sz val="9"/>
        <color rgb="FF666666"/>
        <rFont val="DejaVu Sans"/>
        <family val="2"/>
      </rPr>
      <t xml:space="preserve">자산전환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비용화 적정성</t>
    </r>
  </si>
  <si>
    <r>
      <rPr>
        <sz val="10"/>
        <color rgb="FF0000FF"/>
        <rFont val="Arial"/>
        <family val="0"/>
        <charset val="1"/>
      </rPr>
      <t xml:space="preserve">  (5) </t>
    </r>
    <r>
      <rPr>
        <sz val="10"/>
        <color rgb="FF0000FF"/>
        <rFont val="DejaVu Sans"/>
        <family val="2"/>
      </rPr>
      <t xml:space="preserve">선납세금 환급가능성</t>
    </r>
  </si>
  <si>
    <t xml:space="preserve">세금 환급 가능성 검토</t>
  </si>
  <si>
    <r>
      <rPr>
        <b val="true"/>
        <sz val="10"/>
        <color rgb="FF000000"/>
        <rFont val="DejaVu Sans"/>
        <family val="2"/>
      </rPr>
      <t xml:space="preserve">총 </t>
    </r>
    <r>
      <rPr>
        <b val="true"/>
        <sz val="10"/>
        <color rgb="FF000000"/>
        <rFont val="Arial"/>
        <family val="0"/>
        <charset val="1"/>
      </rPr>
      <t xml:space="preserve">Net Asset </t>
    </r>
    <r>
      <rPr>
        <b val="true"/>
        <sz val="10"/>
        <color rgb="FF000000"/>
        <rFont val="DejaVu Sans"/>
        <family val="2"/>
      </rPr>
      <t xml:space="preserve">조정액</t>
    </r>
  </si>
  <si>
    <t xml:space="preserve">E. Adjusted Net Assets</t>
  </si>
  <si>
    <r>
      <rPr>
        <b val="true"/>
        <sz val="14"/>
        <color rgb="FF002060"/>
        <rFont val="Arial"/>
        <family val="0"/>
        <charset val="1"/>
      </rPr>
      <t xml:space="preserve">Revenue Analysis (</t>
    </r>
    <r>
      <rPr>
        <b val="true"/>
        <sz val="14"/>
        <color rgb="FF002060"/>
        <rFont val="DejaVu Sans"/>
        <family val="2"/>
      </rPr>
      <t xml:space="preserve">매출 분석</t>
    </r>
    <r>
      <rPr>
        <b val="true"/>
        <sz val="14"/>
        <color rgb="FF002060"/>
        <rFont val="Arial"/>
        <family val="0"/>
        <charset val="1"/>
      </rPr>
      <t xml:space="preserve">)</t>
    </r>
  </si>
  <si>
    <t xml:space="preserve">YoY 24/23</t>
  </si>
  <si>
    <t xml:space="preserve">YoY 25/24</t>
  </si>
  <si>
    <t xml:space="preserve">매출액 합계</t>
  </si>
  <si>
    <r>
      <rPr>
        <b val="true"/>
        <sz val="10"/>
        <color rgb="FF1F4E79"/>
        <rFont val="DejaVu Sans"/>
        <family val="2"/>
      </rPr>
      <t xml:space="preserve">매출 유형별 분석</t>
    </r>
    <r>
      <rPr>
        <b val="true"/>
        <sz val="10"/>
        <color rgb="FF1F4E79"/>
        <rFont val="Arial"/>
        <family val="0"/>
        <charset val="1"/>
      </rPr>
      <t xml:space="preserve">:</t>
    </r>
  </si>
  <si>
    <r>
      <rPr>
        <sz val="9"/>
        <color rgb="FF666666"/>
        <rFont val="DejaVu Sans"/>
        <family val="2"/>
      </rPr>
      <t xml:space="preserve">퍼블리셔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컴투스</t>
    </r>
    <r>
      <rPr>
        <sz val="9"/>
        <color rgb="FF666666"/>
        <rFont val="Arial"/>
        <family val="0"/>
        <charset val="1"/>
      </rPr>
      <t xml:space="preserve">) MG/</t>
    </r>
    <r>
      <rPr>
        <sz val="9"/>
        <color rgb="FF666666"/>
        <rFont val="DejaVu Sans"/>
        <family val="2"/>
      </rPr>
      <t xml:space="preserve">런닝 로열티</t>
    </r>
  </si>
  <si>
    <r>
      <rPr>
        <sz val="9"/>
        <color rgb="FF666666"/>
        <rFont val="DejaVu Sans"/>
        <family val="2"/>
      </rPr>
      <t xml:space="preserve">기존 게임 운영매출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감소 추세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</si>
  <si>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게임매출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직접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</si>
  <si>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서머너즈워</t>
    </r>
    <r>
      <rPr>
        <sz val="9"/>
        <color rgb="FF666666"/>
        <rFont val="Arial"/>
        <family val="0"/>
        <charset val="1"/>
      </rPr>
      <t xml:space="preserve">:</t>
    </r>
    <r>
      <rPr>
        <sz val="9"/>
        <color rgb="FF666666"/>
        <rFont val="DejaVu Sans"/>
        <family val="2"/>
      </rPr>
      <t xml:space="preserve">크로니클 등 글로벌 직접 매출</t>
    </r>
  </si>
  <si>
    <r>
      <rPr>
        <b val="true"/>
        <sz val="10"/>
        <color rgb="FF1F4E79"/>
        <rFont val="DejaVu Sans"/>
        <family val="2"/>
      </rPr>
      <t xml:space="preserve">매출 구성비 </t>
    </r>
    <r>
      <rPr>
        <b val="true"/>
        <sz val="10"/>
        <color rgb="FF1F4E79"/>
        <rFont val="Arial"/>
        <family val="0"/>
        <charset val="1"/>
      </rPr>
      <t xml:space="preserve">(%):</t>
    </r>
  </si>
  <si>
    <t xml:space="preserve">  수입수수료 비중</t>
  </si>
  <si>
    <t xml:space="preserve">  기타 게임매출 비중</t>
  </si>
  <si>
    <t xml:space="preserve">  게임매출 비중</t>
  </si>
  <si>
    <t xml:space="preserve">Key Observations:</t>
  </si>
  <si>
    <t xml:space="preserve">  1</t>
  </si>
  <si>
    <r>
      <rPr>
        <sz val="9"/>
        <color rgb="FF666666"/>
        <rFont val="Arial"/>
        <family val="0"/>
        <charset val="1"/>
      </rPr>
      <t xml:space="preserve">FY2023→FY2024: </t>
    </r>
    <r>
      <rPr>
        <sz val="9"/>
        <color rgb="FF666666"/>
        <rFont val="DejaVu Sans"/>
        <family val="2"/>
      </rPr>
      <t xml:space="preserve">매출 </t>
    </r>
    <r>
      <rPr>
        <sz val="9"/>
        <color rgb="FF666666"/>
        <rFont val="Arial"/>
        <family val="0"/>
        <charset val="1"/>
      </rPr>
      <t xml:space="preserve">366% </t>
    </r>
    <r>
      <rPr>
        <sz val="9"/>
        <color rgb="FF666666"/>
        <rFont val="DejaVu Sans"/>
        <family val="2"/>
      </rPr>
      <t xml:space="preserve">급증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서머너즈워</t>
    </r>
    <r>
      <rPr>
        <sz val="9"/>
        <color rgb="FF666666"/>
        <rFont val="Arial"/>
        <family val="0"/>
        <charset val="1"/>
      </rPr>
      <t xml:space="preserve">:</t>
    </r>
    <r>
      <rPr>
        <sz val="9"/>
        <color rgb="FF666666"/>
        <rFont val="DejaVu Sans"/>
        <family val="2"/>
      </rPr>
      <t xml:space="preserve">크로니클 글로벌 론칭 효과</t>
    </r>
  </si>
  <si>
    <t xml:space="preserve">  2</t>
  </si>
  <si>
    <r>
      <rPr>
        <sz val="9"/>
        <color rgb="FF666666"/>
        <rFont val="Arial"/>
        <family val="0"/>
        <charset val="1"/>
      </rPr>
      <t xml:space="preserve">FY2024 </t>
    </r>
    <r>
      <rPr>
        <sz val="9"/>
        <color rgb="FF666666"/>
        <rFont val="DejaVu Sans"/>
        <family val="2"/>
      </rPr>
      <t xml:space="preserve">수입수수료 </t>
    </r>
    <r>
      <rPr>
        <sz val="9"/>
        <color rgb="FF666666"/>
        <rFont val="Arial"/>
        <family val="0"/>
        <charset val="1"/>
      </rPr>
      <t xml:space="preserve">8.35B</t>
    </r>
    <r>
      <rPr>
        <sz val="9"/>
        <color rgb="FF666666"/>
        <rFont val="DejaVu Sans"/>
        <family val="2"/>
      </rPr>
      <t xml:space="preserve">은 컴투스 </t>
    </r>
    <r>
      <rPr>
        <sz val="9"/>
        <color rgb="FF666666"/>
        <rFont val="Arial"/>
        <family val="0"/>
        <charset val="1"/>
      </rPr>
      <t xml:space="preserve">MG </t>
    </r>
    <r>
      <rPr>
        <sz val="9"/>
        <color rgb="FF666666"/>
        <rFont val="DejaVu Sans"/>
        <family val="2"/>
      </rPr>
      <t xml:space="preserve">정산 일회성 가능성 높음</t>
    </r>
  </si>
  <si>
    <t xml:space="preserve">  3</t>
  </si>
  <si>
    <r>
      <rPr>
        <sz val="9"/>
        <color rgb="FF666666"/>
        <rFont val="Arial"/>
        <family val="0"/>
        <charset val="1"/>
      </rPr>
      <t xml:space="preserve">FY2025: </t>
    </r>
    <r>
      <rPr>
        <sz val="9"/>
        <color rgb="FF666666"/>
        <rFont val="DejaVu Sans"/>
        <family val="2"/>
      </rPr>
      <t xml:space="preserve">게임매출 직접판매 중심으로 전환 </t>
    </r>
    <r>
      <rPr>
        <sz val="9"/>
        <color rgb="FF666666"/>
        <rFont val="Arial"/>
        <family val="0"/>
        <charset val="1"/>
      </rPr>
      <t xml:space="preserve">(98.4% </t>
    </r>
    <r>
      <rPr>
        <sz val="9"/>
        <color rgb="FF666666"/>
        <rFont val="DejaVu Sans"/>
        <family val="2"/>
      </rPr>
      <t xml:space="preserve">비중</t>
    </r>
    <r>
      <rPr>
        <sz val="9"/>
        <color rgb="FF666666"/>
        <rFont val="Arial"/>
        <family val="0"/>
        <charset val="1"/>
      </rPr>
      <t xml:space="preserve">)</t>
    </r>
  </si>
  <si>
    <t xml:space="preserve">  4</t>
  </si>
  <si>
    <r>
      <rPr>
        <sz val="9"/>
        <color rgb="FF666666"/>
        <rFont val="DejaVu Sans"/>
        <family val="2"/>
      </rPr>
      <t xml:space="preserve">기타 게임매출 급감 </t>
    </r>
    <r>
      <rPr>
        <sz val="9"/>
        <color rgb="FF666666"/>
        <rFont val="Arial"/>
        <family val="0"/>
        <charset val="1"/>
      </rPr>
      <t xml:space="preserve">(10.6B → 1.3B → 0.2B) - </t>
    </r>
    <r>
      <rPr>
        <sz val="9"/>
        <color rgb="FF666666"/>
        <rFont val="DejaVu Sans"/>
        <family val="2"/>
      </rPr>
      <t xml:space="preserve">기존 게임 </t>
    </r>
    <r>
      <rPr>
        <sz val="9"/>
        <color rgb="FF666666"/>
        <rFont val="Arial"/>
        <family val="0"/>
        <charset val="1"/>
      </rPr>
      <t xml:space="preserve">lifecycle </t>
    </r>
    <r>
      <rPr>
        <sz val="9"/>
        <color rgb="FF666666"/>
        <rFont val="DejaVu Sans"/>
        <family val="2"/>
      </rPr>
      <t xml:space="preserve">종료</t>
    </r>
  </si>
  <si>
    <t xml:space="preserve">  5</t>
  </si>
  <si>
    <r>
      <rPr>
        <sz val="9"/>
        <color rgb="FF666666"/>
        <rFont val="DejaVu Sans"/>
        <family val="2"/>
      </rPr>
      <t xml:space="preserve">매출 지속성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게임매출의 지역별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플랫폼별 세분화 분석 필요</t>
    </r>
  </si>
  <si>
    <r>
      <rPr>
        <b val="true"/>
        <sz val="14"/>
        <color rgb="FF002060"/>
        <rFont val="Arial"/>
        <family val="0"/>
        <charset val="1"/>
      </rPr>
      <t xml:space="preserve">SG&amp;A Analysis (</t>
    </r>
    <r>
      <rPr>
        <b val="true"/>
        <sz val="14"/>
        <color rgb="FF002060"/>
        <rFont val="DejaVu Sans"/>
        <family val="2"/>
      </rPr>
      <t xml:space="preserve">판관비 분석</t>
    </r>
    <r>
      <rPr>
        <b val="true"/>
        <sz val="14"/>
        <color rgb="FF002060"/>
        <rFont val="Arial"/>
        <family val="0"/>
        <charset val="1"/>
      </rPr>
      <t xml:space="preserve">)</t>
    </r>
  </si>
  <si>
    <t xml:space="preserve">과목</t>
  </si>
  <si>
    <t xml:space="preserve">% Rev 23</t>
  </si>
  <si>
    <t xml:space="preserve">% Rev 24</t>
  </si>
  <si>
    <t xml:space="preserve">% Rev 25</t>
  </si>
  <si>
    <t xml:space="preserve">판관비 합계</t>
  </si>
  <si>
    <t xml:space="preserve">인건비 소계</t>
  </si>
  <si>
    <t xml:space="preserve">  잡급</t>
  </si>
  <si>
    <r>
      <rPr>
        <b val="true"/>
        <sz val="10"/>
        <color rgb="FF000000"/>
        <rFont val="DejaVu Sans"/>
        <family val="2"/>
      </rPr>
      <t xml:space="preserve">시설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임차 소계</t>
    </r>
  </si>
  <si>
    <r>
      <rPr>
        <b val="true"/>
        <sz val="10"/>
        <color rgb="FF000000"/>
        <rFont val="DejaVu Sans"/>
        <family val="2"/>
      </rPr>
      <t xml:space="preserve">외주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수수료 소계</t>
    </r>
  </si>
  <si>
    <t xml:space="preserve">마케팅비</t>
  </si>
  <si>
    <t xml:space="preserve">감가상각 소계</t>
  </si>
  <si>
    <t xml:space="preserve">기타 판관비 소계</t>
  </si>
  <si>
    <r>
      <rPr>
        <sz val="10"/>
        <color rgb="FF000000"/>
        <rFont val="DejaVu Sans"/>
        <family val="2"/>
      </rPr>
      <t xml:space="preserve">  수도광열비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전력비</t>
    </r>
  </si>
  <si>
    <t xml:space="preserve">  기타</t>
  </si>
  <si>
    <r>
      <rPr>
        <b val="true"/>
        <sz val="14"/>
        <color rgb="FF002060"/>
        <rFont val="Arial"/>
        <family val="0"/>
        <charset val="1"/>
      </rPr>
      <t xml:space="preserve">Labor Cost &amp; Headcount Analysis (</t>
    </r>
    <r>
      <rPr>
        <b val="true"/>
        <sz val="14"/>
        <color rgb="FF002060"/>
        <rFont val="DejaVu Sans"/>
        <family val="2"/>
      </rPr>
      <t xml:space="preserve">인건비</t>
    </r>
    <r>
      <rPr>
        <b val="true"/>
        <sz val="14"/>
        <color rgb="FF002060"/>
        <rFont val="Arial"/>
        <family val="0"/>
        <charset val="1"/>
      </rPr>
      <t xml:space="preserve">/</t>
    </r>
    <r>
      <rPr>
        <b val="true"/>
        <sz val="14"/>
        <color rgb="FF002060"/>
        <rFont val="DejaVu Sans"/>
        <family val="2"/>
      </rPr>
      <t xml:space="preserve">인원 분석</t>
    </r>
    <r>
      <rPr>
        <b val="true"/>
        <sz val="14"/>
        <color rgb="FF002060"/>
        <rFont val="Arial"/>
        <family val="0"/>
        <charset val="1"/>
      </rPr>
      <t xml:space="preserve">)</t>
    </r>
  </si>
  <si>
    <r>
      <rPr>
        <b val="true"/>
        <sz val="10"/>
        <color rgb="FF1F4E79"/>
        <rFont val="Arial"/>
        <family val="0"/>
        <charset val="1"/>
      </rPr>
      <t xml:space="preserve">A. </t>
    </r>
    <r>
      <rPr>
        <b val="true"/>
        <sz val="10"/>
        <color rgb="FF1F4E79"/>
        <rFont val="DejaVu Sans"/>
        <family val="2"/>
      </rPr>
      <t xml:space="preserve">인건비 분석</t>
    </r>
  </si>
  <si>
    <r>
      <rPr>
        <b val="true"/>
        <sz val="10"/>
        <color rgb="FF000000"/>
        <rFont val="DejaVu Sans"/>
        <family val="2"/>
      </rPr>
      <t xml:space="preserve">급여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총액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</si>
  <si>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급여대장 기준</t>
  </si>
  <si>
    <t xml:space="preserve">퇴직급여</t>
  </si>
  <si>
    <t xml:space="preserve">복리후생비</t>
  </si>
  <si>
    <t xml:space="preserve">인건비 합계</t>
  </si>
  <si>
    <r>
      <rPr>
        <b val="true"/>
        <sz val="10"/>
        <color rgb="FF1F4E79"/>
        <rFont val="Arial"/>
        <family val="0"/>
        <charset val="1"/>
      </rPr>
      <t xml:space="preserve">B. </t>
    </r>
    <r>
      <rPr>
        <b val="true"/>
        <sz val="10"/>
        <color rgb="FF1F4E79"/>
        <rFont val="DejaVu Sans"/>
        <family val="2"/>
      </rPr>
      <t xml:space="preserve">인원 현황 </t>
    </r>
    <r>
      <rPr>
        <b val="true"/>
        <sz val="10"/>
        <color rgb="FF1F4E79"/>
        <rFont val="Arial"/>
        <family val="0"/>
        <charset val="1"/>
      </rPr>
      <t xml:space="preserve">(</t>
    </r>
    <r>
      <rPr>
        <b val="true"/>
        <sz val="10"/>
        <color rgb="FF1F4E79"/>
        <rFont val="DejaVu Sans"/>
        <family val="2"/>
      </rPr>
      <t xml:space="preserve">급여대장 기준</t>
    </r>
    <r>
      <rPr>
        <b val="true"/>
        <sz val="10"/>
        <color rgb="FF1F4E79"/>
        <rFont val="Arial"/>
        <family val="0"/>
        <charset val="1"/>
      </rPr>
      <t xml:space="preserve">)</t>
    </r>
  </si>
  <si>
    <t xml:space="preserve">연간 급여지급 인원수</t>
  </si>
  <si>
    <t xml:space="preserve">급여대장 등재 인원 기준</t>
  </si>
  <si>
    <r>
      <rPr>
        <b val="true"/>
        <sz val="10"/>
        <color rgb="FF1F4E79"/>
        <rFont val="Arial"/>
        <family val="0"/>
        <charset val="1"/>
      </rPr>
      <t xml:space="preserve">C. 1</t>
    </r>
    <r>
      <rPr>
        <b val="true"/>
        <sz val="10"/>
        <color rgb="FF1F4E79"/>
        <rFont val="DejaVu Sans"/>
        <family val="2"/>
      </rPr>
      <t xml:space="preserve">인당 인건비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</si>
  <si>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인당 평균 급여</t>
    </r>
  </si>
  <si>
    <r>
      <rPr>
        <sz val="9"/>
        <color rgb="FF666666"/>
        <rFont val="DejaVu Sans"/>
        <family val="2"/>
      </rPr>
      <t xml:space="preserve">총급여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DejaVu Sans"/>
        <family val="2"/>
      </rPr>
      <t xml:space="preserve">인원수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</si>
  <si>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인당 평균 인건비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</si>
  <si>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총인건비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DejaVu Sans"/>
        <family val="2"/>
      </rPr>
      <t xml:space="preserve">인원수</t>
    </r>
  </si>
  <si>
    <r>
      <rPr>
        <b val="true"/>
        <sz val="10"/>
        <color rgb="FF1F4E79"/>
        <rFont val="Arial"/>
        <family val="0"/>
        <charset val="1"/>
      </rPr>
      <t xml:space="preserve">D. </t>
    </r>
    <r>
      <rPr>
        <b val="true"/>
        <sz val="10"/>
        <color rgb="FF1F4E79"/>
        <rFont val="DejaVu Sans"/>
        <family val="2"/>
      </rPr>
      <t xml:space="preserve">인건비율 분석</t>
    </r>
  </si>
  <si>
    <r>
      <rPr>
        <sz val="10"/>
        <color rgb="FF000000"/>
        <rFont val="DejaVu Sans"/>
        <family val="2"/>
      </rPr>
      <t xml:space="preserve">인건비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매출액</t>
    </r>
  </si>
  <si>
    <r>
      <rPr>
        <sz val="10"/>
        <color rgb="FF000000"/>
        <rFont val="DejaVu Sans"/>
        <family val="2"/>
      </rPr>
      <t xml:space="preserve">급여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매출액</t>
    </r>
  </si>
  <si>
    <t xml:space="preserve">E. Key Findings:</t>
  </si>
  <si>
    <r>
      <rPr>
        <sz val="9"/>
        <color rgb="FF666666"/>
        <rFont val="Arial"/>
        <family val="0"/>
        <charset val="1"/>
      </rPr>
      <t xml:space="preserve">FY2023: </t>
    </r>
    <r>
      <rPr>
        <sz val="9"/>
        <color rgb="FF666666"/>
        <rFont val="DejaVu Sans"/>
        <family val="2"/>
      </rPr>
      <t xml:space="preserve">매출 대비 인건비율 </t>
    </r>
    <r>
      <rPr>
        <sz val="9"/>
        <color rgb="FF666666"/>
        <rFont val="Arial"/>
        <family val="0"/>
        <charset val="1"/>
      </rPr>
      <t xml:space="preserve">124% → </t>
    </r>
    <r>
      <rPr>
        <sz val="9"/>
        <color rgb="FF666666"/>
        <rFont val="DejaVu Sans"/>
        <family val="2"/>
      </rPr>
      <t xml:space="preserve">영업적자 주요 원인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게임 론칭 전 개발인력 유지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</si>
  <si>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9"/>
        <color rgb="FF666666"/>
        <rFont val="Arial"/>
        <family val="0"/>
        <charset val="1"/>
      </rPr>
      <t xml:space="preserve">FY2024: </t>
    </r>
    <r>
      <rPr>
        <sz val="9"/>
        <color rgb="FF666666"/>
        <rFont val="DejaVu Sans"/>
        <family val="2"/>
      </rPr>
      <t xml:space="preserve">인원 감소</t>
    </r>
    <r>
      <rPr>
        <sz val="9"/>
        <color rgb="FF666666"/>
        <rFont val="Arial"/>
        <family val="0"/>
        <charset val="1"/>
      </rPr>
      <t xml:space="preserve">(244→221</t>
    </r>
    <r>
      <rPr>
        <sz val="9"/>
        <color rgb="FF666666"/>
        <rFont val="DejaVu Sans"/>
        <family val="2"/>
      </rPr>
      <t xml:space="preserve">명</t>
    </r>
    <r>
      <rPr>
        <sz val="9"/>
        <color rgb="FF666666"/>
        <rFont val="Arial"/>
        <family val="0"/>
        <charset val="1"/>
      </rPr>
      <t xml:space="preserve">) </t>
    </r>
    <r>
      <rPr>
        <sz val="9"/>
        <color rgb="FF666666"/>
        <rFont val="DejaVu Sans"/>
        <family val="2"/>
      </rPr>
      <t xml:space="preserve">및 매출 급증으로 인건비율 </t>
    </r>
    <r>
      <rPr>
        <sz val="9"/>
        <color rgb="FF666666"/>
        <rFont val="Arial"/>
        <family val="0"/>
        <charset val="1"/>
      </rPr>
      <t xml:space="preserve">23%</t>
    </r>
    <r>
      <rPr>
        <sz val="9"/>
        <color rgb="FF666666"/>
        <rFont val="DejaVu Sans"/>
        <family val="2"/>
      </rPr>
      <t xml:space="preserve">로 개선</t>
    </r>
  </si>
  <si>
    <r>
      <rPr>
        <sz val="9"/>
        <color rgb="FF666666"/>
        <rFont val="Arial"/>
        <family val="0"/>
        <charset val="1"/>
      </rPr>
      <t xml:space="preserve">FY2025: </t>
    </r>
    <r>
      <rPr>
        <sz val="9"/>
        <color rgb="FF666666"/>
        <rFont val="DejaVu Sans"/>
        <family val="2"/>
      </rPr>
      <t xml:space="preserve">인원 재확충</t>
    </r>
    <r>
      <rPr>
        <sz val="9"/>
        <color rgb="FF666666"/>
        <rFont val="Arial"/>
        <family val="0"/>
        <charset val="1"/>
      </rPr>
      <t xml:space="preserve">(259</t>
    </r>
    <r>
      <rPr>
        <sz val="9"/>
        <color rgb="FF666666"/>
        <rFont val="DejaVu Sans"/>
        <family val="2"/>
      </rPr>
      <t xml:space="preserve">명</t>
    </r>
    <r>
      <rPr>
        <sz val="9"/>
        <color rgb="FF666666"/>
        <rFont val="Arial"/>
        <family val="0"/>
        <charset val="1"/>
      </rPr>
      <t xml:space="preserve">) </t>
    </r>
    <r>
      <rPr>
        <sz val="9"/>
        <color rgb="FF666666"/>
        <rFont val="DejaVu Sans"/>
        <family val="2"/>
      </rPr>
      <t xml:space="preserve">및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DejaVu Sans"/>
        <family val="2"/>
      </rPr>
      <t xml:space="preserve">인당 급여 </t>
    </r>
    <r>
      <rPr>
        <sz val="9"/>
        <color rgb="FF666666"/>
        <rFont val="Arial"/>
        <family val="0"/>
        <charset val="1"/>
      </rPr>
      <t xml:space="preserve">40% </t>
    </r>
    <r>
      <rPr>
        <sz val="9"/>
        <color rgb="FF666666"/>
        <rFont val="DejaVu Sans"/>
        <family val="2"/>
      </rPr>
      <t xml:space="preserve">상승 </t>
    </r>
    <r>
      <rPr>
        <sz val="9"/>
        <color rgb="FF666666"/>
        <rFont val="Arial"/>
        <family val="0"/>
        <charset val="1"/>
      </rPr>
      <t xml:space="preserve">- </t>
    </r>
    <r>
      <rPr>
        <sz val="9"/>
        <color rgb="FF666666"/>
        <rFont val="DejaVu Sans"/>
        <family val="2"/>
      </rPr>
      <t xml:space="preserve">성과급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인센티브 추정</t>
    </r>
  </si>
  <si>
    <r>
      <rPr>
        <sz val="9"/>
        <color rgb="FF666666"/>
        <rFont val="Arial"/>
        <family val="0"/>
        <charset val="1"/>
      </rPr>
      <t xml:space="preserve">FY2025 1</t>
    </r>
    <r>
      <rPr>
        <sz val="9"/>
        <color rgb="FF666666"/>
        <rFont val="DejaVu Sans"/>
        <family val="2"/>
      </rPr>
      <t xml:space="preserve">인당 급여 </t>
    </r>
    <r>
      <rPr>
        <sz val="9"/>
        <color rgb="FF666666"/>
        <rFont val="Arial"/>
        <family val="0"/>
        <charset val="1"/>
      </rPr>
      <t xml:space="preserve">~60M</t>
    </r>
    <r>
      <rPr>
        <sz val="9"/>
        <color rgb="FF666666"/>
        <rFont val="DejaVu Sans"/>
        <family val="2"/>
      </rPr>
      <t xml:space="preserve">은 게임업계 평균 대비 높은 수준 → 정규화 검토 필요</t>
    </r>
  </si>
  <si>
    <r>
      <rPr>
        <b val="true"/>
        <sz val="14"/>
        <color rgb="FF002060"/>
        <rFont val="Arial"/>
        <family val="0"/>
        <charset val="1"/>
      </rPr>
      <t xml:space="preserve">Net Working Capital Analysis (</t>
    </r>
    <r>
      <rPr>
        <b val="true"/>
        <sz val="14"/>
        <color rgb="FF002060"/>
        <rFont val="DejaVu Sans"/>
        <family val="2"/>
      </rPr>
      <t xml:space="preserve">운전자본 분석</t>
    </r>
    <r>
      <rPr>
        <b val="true"/>
        <sz val="14"/>
        <color rgb="FF002060"/>
        <rFont val="Arial"/>
        <family val="0"/>
        <charset val="1"/>
      </rPr>
      <t xml:space="preserve">)</t>
    </r>
  </si>
  <si>
    <t xml:space="preserve">Δ (25 vs 24)</t>
  </si>
  <si>
    <r>
      <rPr>
        <b val="true"/>
        <sz val="10"/>
        <color rgb="FF1F4E79"/>
        <rFont val="Arial"/>
        <family val="0"/>
        <charset val="1"/>
      </rPr>
      <t xml:space="preserve">Trade Receivables (</t>
    </r>
    <r>
      <rPr>
        <b val="true"/>
        <sz val="10"/>
        <color rgb="FF1F4E79"/>
        <rFont val="DejaVu Sans"/>
        <family val="2"/>
      </rPr>
      <t xml:space="preserve">매출채권</t>
    </r>
    <r>
      <rPr>
        <b val="true"/>
        <sz val="10"/>
        <color rgb="FF1F4E79"/>
        <rFont val="Arial"/>
        <family val="0"/>
        <charset val="1"/>
      </rPr>
      <t xml:space="preserve">)</t>
    </r>
  </si>
  <si>
    <t xml:space="preserve">매출채권 합계</t>
  </si>
  <si>
    <t xml:space="preserve">Other Current Assets</t>
  </si>
  <si>
    <t xml:space="preserve">외주개발비 선급 포함</t>
  </si>
  <si>
    <t xml:space="preserve">기타 유동자산 합계</t>
  </si>
  <si>
    <r>
      <rPr>
        <b val="true"/>
        <sz val="10"/>
        <color rgb="FF1F4E79"/>
        <rFont val="Arial"/>
        <family val="0"/>
        <charset val="1"/>
      </rPr>
      <t xml:space="preserve">Trade Payables (</t>
    </r>
    <r>
      <rPr>
        <b val="true"/>
        <sz val="10"/>
        <color rgb="FF1F4E79"/>
        <rFont val="DejaVu Sans"/>
        <family val="2"/>
      </rPr>
      <t xml:space="preserve">매입채무</t>
    </r>
    <r>
      <rPr>
        <b val="true"/>
        <sz val="10"/>
        <color rgb="FF1F4E79"/>
        <rFont val="Arial"/>
        <family val="0"/>
        <charset val="1"/>
      </rPr>
      <t xml:space="preserve">)</t>
    </r>
  </si>
  <si>
    <t xml:space="preserve">매입채무 합계</t>
  </si>
  <si>
    <t xml:space="preserve">Other Current Liabilities</t>
  </si>
  <si>
    <r>
      <rPr>
        <sz val="9"/>
        <color rgb="FF666666"/>
        <rFont val="Arial"/>
        <family val="0"/>
        <charset val="1"/>
      </rPr>
      <t xml:space="preserve">MG </t>
    </r>
    <r>
      <rPr>
        <sz val="9"/>
        <color rgb="FF666666"/>
        <rFont val="DejaVu Sans"/>
        <family val="2"/>
      </rPr>
      <t xml:space="preserve">선수금</t>
    </r>
  </si>
  <si>
    <t xml:space="preserve">기타 유동부채 합계</t>
  </si>
  <si>
    <t xml:space="preserve">Net Working Capital</t>
  </si>
  <si>
    <t xml:space="preserve">NWC / Revenue</t>
  </si>
  <si>
    <r>
      <rPr>
        <sz val="10"/>
        <color rgb="FF000000"/>
        <rFont val="Arial"/>
        <family val="0"/>
        <charset val="1"/>
      </rPr>
      <t xml:space="preserve">DSO (</t>
    </r>
    <r>
      <rPr>
        <sz val="10"/>
        <color rgb="FF000000"/>
        <rFont val="DejaVu Sans"/>
        <family val="2"/>
      </rPr>
      <t xml:space="preserve">외상매출금 기준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</si>
  <si>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DPO (</t>
    </r>
    <r>
      <rPr>
        <sz val="10"/>
        <color rgb="FF000000"/>
        <rFont val="DejaVu Sans"/>
        <family val="2"/>
      </rPr>
      <t xml:space="preserve">미지급금 기준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</si>
  <si>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4"/>
        <color rgb="FF002060"/>
        <rFont val="Arial"/>
        <family val="0"/>
        <charset val="1"/>
      </rPr>
      <t xml:space="preserve">CapEx &amp; Fixed Asset Analysis (</t>
    </r>
    <r>
      <rPr>
        <b val="true"/>
        <sz val="14"/>
        <color rgb="FF002060"/>
        <rFont val="DejaVu Sans"/>
        <family val="2"/>
      </rPr>
      <t xml:space="preserve">설비투자</t>
    </r>
    <r>
      <rPr>
        <b val="true"/>
        <sz val="14"/>
        <color rgb="FF002060"/>
        <rFont val="Arial"/>
        <family val="0"/>
        <charset val="1"/>
      </rPr>
      <t xml:space="preserve">/</t>
    </r>
    <r>
      <rPr>
        <b val="true"/>
        <sz val="14"/>
        <color rgb="FF002060"/>
        <rFont val="DejaVu Sans"/>
        <family val="2"/>
      </rPr>
      <t xml:space="preserve">자산 분석</t>
    </r>
    <r>
      <rPr>
        <b val="true"/>
        <sz val="14"/>
        <color rgb="FF002060"/>
        <rFont val="Arial"/>
        <family val="0"/>
        <charset val="1"/>
      </rPr>
      <t xml:space="preserve">)</t>
    </r>
  </si>
  <si>
    <r>
      <rPr>
        <b val="true"/>
        <sz val="10"/>
        <color rgb="FF1F4E79"/>
        <rFont val="Arial"/>
        <family val="0"/>
        <charset val="1"/>
      </rPr>
      <t xml:space="preserve">A. </t>
    </r>
    <r>
      <rPr>
        <b val="true"/>
        <sz val="10"/>
        <color rgb="FF1F4E79"/>
        <rFont val="DejaVu Sans"/>
        <family val="2"/>
      </rPr>
      <t xml:space="preserve">유형자산</t>
    </r>
  </si>
  <si>
    <r>
      <rPr>
        <sz val="10"/>
        <color rgb="FF000000"/>
        <rFont val="DejaVu Sans"/>
        <family val="2"/>
      </rPr>
      <t xml:space="preserve">기초 유형자산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순액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</si>
  <si>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(+) </t>
    </r>
    <r>
      <rPr>
        <sz val="10"/>
        <color rgb="FF0000FF"/>
        <rFont val="DejaVu Sans"/>
        <family val="2"/>
      </rPr>
      <t xml:space="preserve">취득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추정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</si>
  <si>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9"/>
        <color rgb="FF666666"/>
        <rFont val="Arial"/>
        <family val="0"/>
        <charset val="1"/>
      </rPr>
      <t xml:space="preserve">BS </t>
    </r>
    <r>
      <rPr>
        <sz val="9"/>
        <color rgb="FF666666"/>
        <rFont val="DejaVu Sans"/>
        <family val="2"/>
      </rPr>
      <t xml:space="preserve">증감 </t>
    </r>
    <r>
      <rPr>
        <sz val="9"/>
        <color rgb="FF666666"/>
        <rFont val="Arial"/>
        <family val="0"/>
        <charset val="1"/>
      </rPr>
      <t xml:space="preserve">+ </t>
    </r>
    <r>
      <rPr>
        <sz val="9"/>
        <color rgb="FF666666"/>
        <rFont val="DejaVu Sans"/>
        <family val="2"/>
      </rPr>
      <t xml:space="preserve">감가상각비 역산</t>
    </r>
  </si>
  <si>
    <r>
      <rPr>
        <sz val="10"/>
        <color rgb="FF000000"/>
        <rFont val="Arial"/>
        <family val="0"/>
        <charset val="1"/>
      </rPr>
      <t xml:space="preserve">(-) </t>
    </r>
    <r>
      <rPr>
        <sz val="10"/>
        <color rgb="FF000000"/>
        <rFont val="DejaVu Sans"/>
        <family val="2"/>
      </rPr>
      <t xml:space="preserve">감가상각비</t>
    </r>
  </si>
  <si>
    <r>
      <rPr>
        <sz val="10"/>
        <color rgb="FF000000"/>
        <rFont val="Arial"/>
        <family val="0"/>
        <charset val="1"/>
      </rPr>
      <t xml:space="preserve">(-) </t>
    </r>
    <r>
      <rPr>
        <sz val="10"/>
        <color rgb="FF000000"/>
        <rFont val="DejaVu Sans"/>
        <family val="2"/>
      </rPr>
      <t xml:space="preserve">처분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기타</t>
    </r>
  </si>
  <si>
    <r>
      <rPr>
        <b val="true"/>
        <sz val="10"/>
        <color rgb="FF000000"/>
        <rFont val="DejaVu Sans"/>
        <family val="2"/>
      </rPr>
      <t xml:space="preserve">기말 유형자산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순액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</si>
  <si>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비품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취득원가</t>
    </r>
    <r>
      <rPr>
        <sz val="10"/>
        <color rgb="FF000000"/>
        <rFont val="Arial"/>
        <family val="0"/>
        <charset val="1"/>
      </rPr>
      <t xml:space="preserve">)</t>
    </r>
  </si>
  <si>
    <t xml:space="preserve">  비품 감가상각누계액</t>
  </si>
  <si>
    <r>
      <rPr>
        <b val="true"/>
        <sz val="10"/>
        <color rgb="FF000000"/>
        <rFont val="DejaVu Sans"/>
        <family val="2"/>
      </rPr>
      <t xml:space="preserve">  비품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순액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</si>
  <si>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시설장치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취득원가</t>
    </r>
    <r>
      <rPr>
        <sz val="10"/>
        <color rgb="FF000000"/>
        <rFont val="Arial"/>
        <family val="0"/>
        <charset val="1"/>
      </rPr>
      <t xml:space="preserve">)</t>
    </r>
  </si>
  <si>
    <t xml:space="preserve">  시설장치 감가상각누계액</t>
  </si>
  <si>
    <r>
      <rPr>
        <b val="true"/>
        <sz val="10"/>
        <color rgb="FF000000"/>
        <rFont val="DejaVu Sans"/>
        <family val="2"/>
      </rPr>
      <t xml:space="preserve">  시설장치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순액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</si>
  <si>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1F4E79"/>
        <rFont val="Arial"/>
        <family val="0"/>
        <charset val="1"/>
      </rPr>
      <t xml:space="preserve">B. </t>
    </r>
    <r>
      <rPr>
        <b val="true"/>
        <sz val="10"/>
        <color rgb="FF1F4E79"/>
        <rFont val="DejaVu Sans"/>
        <family val="2"/>
      </rPr>
      <t xml:space="preserve">무형자산</t>
    </r>
  </si>
  <si>
    <r>
      <rPr>
        <sz val="10"/>
        <color rgb="FF000000"/>
        <rFont val="DejaVu Sans"/>
        <family val="2"/>
      </rPr>
      <t xml:space="preserve">  소프트웨어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순액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</si>
  <si>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상표권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순액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</si>
  <si>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게임 </t>
    </r>
    <r>
      <rPr>
        <sz val="10"/>
        <color rgb="FF000000"/>
        <rFont val="Arial"/>
        <family val="0"/>
        <charset val="1"/>
      </rPr>
      <t xml:space="preserve">IP</t>
    </r>
  </si>
  <si>
    <r>
      <rPr>
        <sz val="9"/>
        <color rgb="FF666666"/>
        <rFont val="Arial"/>
        <family val="0"/>
        <charset val="1"/>
      </rPr>
      <t xml:space="preserve">FY2025 </t>
    </r>
    <r>
      <rPr>
        <sz val="9"/>
        <color rgb="FF666666"/>
        <rFont val="DejaVu Sans"/>
        <family val="2"/>
      </rPr>
      <t xml:space="preserve">네온스튜디오 </t>
    </r>
    <r>
      <rPr>
        <sz val="9"/>
        <color rgb="FF666666"/>
        <rFont val="Arial"/>
        <family val="0"/>
        <charset val="1"/>
      </rPr>
      <t xml:space="preserve">IP </t>
    </r>
    <r>
      <rPr>
        <sz val="9"/>
        <color rgb="FF666666"/>
        <rFont val="DejaVu Sans"/>
        <family val="2"/>
      </rPr>
      <t xml:space="preserve">취득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특수관계자</t>
    </r>
    <r>
      <rPr>
        <sz val="9"/>
        <color rgb="FF666666"/>
        <rFont val="Arial"/>
        <family val="0"/>
        <charset val="1"/>
      </rPr>
      <t xml:space="preserve">)</t>
    </r>
  </si>
  <si>
    <t xml:space="preserve">무형자산 합계</t>
  </si>
  <si>
    <r>
      <rPr>
        <b val="true"/>
        <sz val="10"/>
        <color rgb="FF1F4E79"/>
        <rFont val="Arial"/>
        <family val="0"/>
        <charset val="1"/>
      </rPr>
      <t xml:space="preserve">C. Total CapEx (</t>
    </r>
    <r>
      <rPr>
        <b val="true"/>
        <sz val="10"/>
        <color rgb="FF1F4E79"/>
        <rFont val="DejaVu Sans"/>
        <family val="2"/>
      </rPr>
      <t xml:space="preserve">추정</t>
    </r>
    <r>
      <rPr>
        <b val="true"/>
        <sz val="10"/>
        <color rgb="FF1F4E79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</si>
  <si>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  유형자산 </t>
    </r>
    <r>
      <rPr>
        <sz val="10"/>
        <color rgb="FF000000"/>
        <rFont val="Arial"/>
        <family val="0"/>
        <charset val="1"/>
      </rPr>
      <t xml:space="preserve">CapEx</t>
    </r>
  </si>
  <si>
    <r>
      <rPr>
        <sz val="10"/>
        <color rgb="FF000000"/>
        <rFont val="DejaVu Sans"/>
        <family val="2"/>
      </rPr>
      <t xml:space="preserve">  무형자산 </t>
    </r>
    <r>
      <rPr>
        <sz val="10"/>
        <color rgb="FF000000"/>
        <rFont val="Arial"/>
        <family val="0"/>
        <charset val="1"/>
      </rPr>
      <t xml:space="preserve">CapEx (</t>
    </r>
    <r>
      <rPr>
        <sz val="10"/>
        <color rgb="FF000000"/>
        <rFont val="DejaVu Sans"/>
        <family val="2"/>
      </rPr>
      <t xml:space="preserve">게임</t>
    </r>
    <r>
      <rPr>
        <sz val="10"/>
        <color rgb="FF000000"/>
        <rFont val="Arial"/>
        <family val="0"/>
        <charset val="1"/>
      </rPr>
      <t xml:space="preserve">IP </t>
    </r>
    <r>
      <rPr>
        <sz val="10"/>
        <color rgb="FF000000"/>
        <rFont val="DejaVu Sans"/>
        <family val="2"/>
      </rPr>
      <t xml:space="preserve">제외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</si>
  <si>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소프트웨어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상표권 취득</t>
    </r>
  </si>
  <si>
    <r>
      <rPr>
        <sz val="10"/>
        <color rgb="FF0000FF"/>
        <rFont val="DejaVu Sans"/>
        <family val="2"/>
      </rPr>
      <t xml:space="preserve">  게임 </t>
    </r>
    <r>
      <rPr>
        <sz val="10"/>
        <color rgb="FF0000FF"/>
        <rFont val="Arial"/>
        <family val="0"/>
        <charset val="1"/>
      </rPr>
      <t xml:space="preserve">IP </t>
    </r>
    <r>
      <rPr>
        <sz val="10"/>
        <color rgb="FF0000FF"/>
        <rFont val="DejaVu Sans"/>
        <family val="2"/>
      </rPr>
      <t xml:space="preserve">취득</t>
    </r>
  </si>
  <si>
    <r>
      <rPr>
        <sz val="9"/>
        <color rgb="FF666666"/>
        <rFont val="DejaVu Sans"/>
        <family val="2"/>
      </rPr>
      <t xml:space="preserve">특수관계자 네온스튜디오로부터 </t>
    </r>
    <r>
      <rPr>
        <sz val="9"/>
        <color rgb="FF666666"/>
        <rFont val="Arial"/>
        <family val="0"/>
        <charset val="1"/>
      </rPr>
      <t xml:space="preserve">IP </t>
    </r>
    <r>
      <rPr>
        <sz val="9"/>
        <color rgb="FF666666"/>
        <rFont val="DejaVu Sans"/>
        <family val="2"/>
      </rPr>
      <t xml:space="preserve">매입</t>
    </r>
  </si>
  <si>
    <t xml:space="preserve">Total CapEx</t>
  </si>
  <si>
    <t xml:space="preserve">CapEx / Revenue</t>
  </si>
  <si>
    <r>
      <rPr>
        <sz val="10"/>
        <color rgb="FF000000"/>
        <rFont val="Arial"/>
        <family val="0"/>
        <charset val="1"/>
      </rPr>
      <t xml:space="preserve">Maintenance CapEx (</t>
    </r>
    <r>
      <rPr>
        <sz val="10"/>
        <color rgb="FF000000"/>
        <rFont val="DejaVu Sans"/>
        <family val="2"/>
      </rPr>
      <t xml:space="preserve">게임</t>
    </r>
    <r>
      <rPr>
        <sz val="10"/>
        <color rgb="FF000000"/>
        <rFont val="Arial"/>
        <family val="0"/>
        <charset val="1"/>
      </rPr>
      <t xml:space="preserve">IP </t>
    </r>
    <r>
      <rPr>
        <sz val="10"/>
        <color rgb="FF000000"/>
        <rFont val="DejaVu Sans"/>
        <family val="2"/>
      </rPr>
      <t xml:space="preserve">제외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</si>
  <si>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4"/>
        <color rgb="FF002060"/>
        <rFont val="Arial"/>
        <family val="0"/>
        <charset val="1"/>
      </rPr>
      <t xml:space="preserve">Related Party Transactions (</t>
    </r>
    <r>
      <rPr>
        <b val="true"/>
        <sz val="14"/>
        <color rgb="FF002060"/>
        <rFont val="DejaVu Sans"/>
        <family val="2"/>
      </rPr>
      <t xml:space="preserve">특수관계자 거래</t>
    </r>
    <r>
      <rPr>
        <b val="true"/>
        <sz val="14"/>
        <color rgb="FF002060"/>
        <rFont val="Arial"/>
        <family val="0"/>
        <charset val="1"/>
      </rPr>
      <t xml:space="preserve">)</t>
    </r>
  </si>
  <si>
    <r>
      <rPr>
        <b val="true"/>
        <sz val="12"/>
        <color rgb="FF002060"/>
        <rFont val="Arial"/>
        <family val="0"/>
        <charset val="1"/>
      </rPr>
      <t xml:space="preserve">FY2023 (</t>
    </r>
    <r>
      <rPr>
        <b val="true"/>
        <sz val="12"/>
        <color rgb="FF002060"/>
        <rFont val="DejaVu Sans"/>
        <family val="2"/>
      </rPr>
      <t xml:space="preserve">단위</t>
    </r>
    <r>
      <rPr>
        <b val="true"/>
        <sz val="12"/>
        <color rgb="FF002060"/>
        <rFont val="Arial"/>
        <family val="0"/>
        <charset val="1"/>
      </rPr>
      <t xml:space="preserve">: </t>
    </r>
    <r>
      <rPr>
        <b val="true"/>
        <sz val="12"/>
        <color rgb="FF002060"/>
        <rFont val="DejaVu Sans"/>
        <family val="2"/>
      </rPr>
      <t xml:space="preserve">천원</t>
    </r>
    <r>
      <rPr>
        <b val="true"/>
        <sz val="12"/>
        <color rgb="FF002060"/>
        <rFont val="Arial"/>
        <family val="0"/>
        <charset val="1"/>
      </rPr>
      <t xml:space="preserve">)</t>
    </r>
  </si>
  <si>
    <t xml:space="preserve">특수관계자</t>
  </si>
  <si>
    <t xml:space="preserve">외주비</t>
  </si>
  <si>
    <t xml:space="preserve">자금대여</t>
  </si>
  <si>
    <t xml:space="preserve">자금회수</t>
  </si>
  <si>
    <t xml:space="preserve">자금차입</t>
  </si>
  <si>
    <t xml:space="preserve">자금상환</t>
  </si>
  <si>
    <t xml:space="preserve">이자수익</t>
  </si>
  <si>
    <r>
      <rPr>
        <b val="true"/>
        <sz val="10"/>
        <color rgb="FF002060"/>
        <rFont val="DejaVu Sans"/>
        <family val="2"/>
      </rPr>
      <t xml:space="preserve">기타</t>
    </r>
    <r>
      <rPr>
        <b val="true"/>
        <sz val="10"/>
        <color rgb="FF002060"/>
        <rFont val="Arial"/>
        <family val="0"/>
        <charset val="1"/>
      </rPr>
      <t xml:space="preserve">(MG/IP)</t>
    </r>
  </si>
  <si>
    <t xml:space="preserve">임대수입</t>
  </si>
  <si>
    <r>
      <rPr>
        <b val="true"/>
        <sz val="10"/>
        <color rgb="FF000000"/>
        <rFont val="Arial"/>
        <family val="0"/>
        <charset val="1"/>
      </rPr>
      <t xml:space="preserve">1) </t>
    </r>
    <r>
      <rPr>
        <b val="true"/>
        <sz val="10"/>
        <color rgb="FF000000"/>
        <rFont val="DejaVu Sans"/>
        <family val="2"/>
      </rPr>
      <t xml:space="preserve">종속기업</t>
    </r>
  </si>
  <si>
    <t xml:space="preserve">Shanghai TripleA Info.</t>
  </si>
  <si>
    <t xml:space="preserve">NX3 USA Corporation</t>
  </si>
  <si>
    <r>
      <rPr>
        <b val="true"/>
        <sz val="10"/>
        <color rgb="FF000000"/>
        <rFont val="Arial"/>
        <family val="0"/>
        <charset val="1"/>
      </rPr>
      <t xml:space="preserve">2) </t>
    </r>
    <r>
      <rPr>
        <b val="true"/>
        <sz val="10"/>
        <color rgb="FF000000"/>
        <rFont val="DejaVu Sans"/>
        <family val="2"/>
      </rPr>
      <t xml:space="preserve">관계기업</t>
    </r>
  </si>
  <si>
    <t xml:space="preserve">㈜네온스튜디오</t>
  </si>
  <si>
    <r>
      <rPr>
        <b val="true"/>
        <sz val="10"/>
        <color rgb="FF000000"/>
        <rFont val="Arial"/>
        <family val="0"/>
        <charset val="1"/>
      </rPr>
      <t xml:space="preserve">3) </t>
    </r>
    <r>
      <rPr>
        <b val="true"/>
        <sz val="10"/>
        <color rgb="FF000000"/>
        <rFont val="DejaVu Sans"/>
        <family val="2"/>
      </rPr>
      <t xml:space="preserve">기타특수관계자</t>
    </r>
  </si>
  <si>
    <t xml:space="preserve">㈜크림이즈</t>
  </si>
  <si>
    <t xml:space="preserve">㈜넥스트웨이브</t>
  </si>
  <si>
    <t xml:space="preserve">임직원</t>
  </si>
  <si>
    <r>
      <rPr>
        <b val="true"/>
        <sz val="12"/>
        <color rgb="FF002060"/>
        <rFont val="Arial"/>
        <family val="0"/>
        <charset val="1"/>
      </rPr>
      <t xml:space="preserve">FY2024 (</t>
    </r>
    <r>
      <rPr>
        <b val="true"/>
        <sz val="12"/>
        <color rgb="FF002060"/>
        <rFont val="DejaVu Sans"/>
        <family val="2"/>
      </rPr>
      <t xml:space="preserve">단위</t>
    </r>
    <r>
      <rPr>
        <b val="true"/>
        <sz val="12"/>
        <color rgb="FF002060"/>
        <rFont val="Arial"/>
        <family val="0"/>
        <charset val="1"/>
      </rPr>
      <t xml:space="preserve">: </t>
    </r>
    <r>
      <rPr>
        <b val="true"/>
        <sz val="12"/>
        <color rgb="FF002060"/>
        <rFont val="DejaVu Sans"/>
        <family val="2"/>
      </rPr>
      <t xml:space="preserve">천원</t>
    </r>
    <r>
      <rPr>
        <b val="true"/>
        <sz val="12"/>
        <color rgb="FF002060"/>
        <rFont val="Arial"/>
        <family val="0"/>
        <charset val="1"/>
      </rPr>
      <t xml:space="preserve">)</t>
    </r>
  </si>
  <si>
    <r>
      <rPr>
        <b val="true"/>
        <sz val="12"/>
        <color rgb="FF002060"/>
        <rFont val="Arial"/>
        <family val="0"/>
        <charset val="1"/>
      </rPr>
      <t xml:space="preserve">FY2025 (</t>
    </r>
    <r>
      <rPr>
        <b val="true"/>
        <sz val="12"/>
        <color rgb="FF002060"/>
        <rFont val="DejaVu Sans"/>
        <family val="2"/>
      </rPr>
      <t xml:space="preserve">단위</t>
    </r>
    <r>
      <rPr>
        <b val="true"/>
        <sz val="12"/>
        <color rgb="FF002060"/>
        <rFont val="Arial"/>
        <family val="0"/>
        <charset val="1"/>
      </rPr>
      <t xml:space="preserve">: </t>
    </r>
    <r>
      <rPr>
        <b val="true"/>
        <sz val="12"/>
        <color rgb="FF002060"/>
        <rFont val="DejaVu Sans"/>
        <family val="2"/>
      </rPr>
      <t xml:space="preserve">천원</t>
    </r>
    <r>
      <rPr>
        <b val="true"/>
        <sz val="12"/>
        <color rgb="FF002060"/>
        <rFont val="Arial"/>
        <family val="0"/>
        <charset val="1"/>
      </rPr>
      <t xml:space="preserve">)</t>
    </r>
  </si>
  <si>
    <t xml:space="preserve">Key Findings &amp; FDD Issues:</t>
  </si>
  <si>
    <r>
      <rPr>
        <sz val="10"/>
        <color rgb="FF333333"/>
        <rFont val="Arial"/>
        <family val="0"/>
        <charset val="1"/>
      </rPr>
      <t xml:space="preserve">1. </t>
    </r>
    <r>
      <rPr>
        <sz val="10"/>
        <color rgb="FF333333"/>
        <rFont val="DejaVu Sans"/>
        <family val="2"/>
      </rPr>
      <t xml:space="preserve">네온스튜디오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관계기업</t>
    </r>
    <r>
      <rPr>
        <sz val="10"/>
        <color rgb="FF333333"/>
        <rFont val="Arial"/>
        <family val="0"/>
        <charset val="1"/>
      </rPr>
      <t xml:space="preserve">): FY2025 </t>
    </r>
    <r>
      <rPr>
        <sz val="10"/>
        <color rgb="FF333333"/>
        <rFont val="DejaVu Sans"/>
        <family val="2"/>
      </rPr>
      <t xml:space="preserve">게임</t>
    </r>
    <r>
      <rPr>
        <sz val="10"/>
        <color rgb="FF333333"/>
        <rFont val="Arial"/>
        <family val="0"/>
        <charset val="1"/>
      </rPr>
      <t xml:space="preserve">IP 8,000</t>
    </r>
    <r>
      <rPr>
        <sz val="10"/>
        <color rgb="FF333333"/>
        <rFont val="DejaVu Sans"/>
        <family val="2"/>
      </rPr>
      <t xml:space="preserve">백만원 취득 </t>
    </r>
    <r>
      <rPr>
        <sz val="10"/>
        <color rgb="FF333333"/>
        <rFont val="Arial"/>
        <family val="0"/>
        <charset val="1"/>
      </rPr>
      <t xml:space="preserve">- arm's length </t>
    </r>
    <r>
      <rPr>
        <sz val="10"/>
        <color rgb="FF333333"/>
        <rFont val="DejaVu Sans"/>
        <family val="2"/>
      </rPr>
      <t xml:space="preserve">가격 적정성 검토 필요</t>
    </r>
  </si>
  <si>
    <r>
      <rPr>
        <sz val="10"/>
        <color rgb="FF333333"/>
        <rFont val="Arial"/>
        <family val="0"/>
        <charset val="1"/>
      </rPr>
      <t xml:space="preserve">2. </t>
    </r>
    <r>
      <rPr>
        <sz val="10"/>
        <color rgb="FF333333"/>
        <rFont val="DejaVu Sans"/>
        <family val="2"/>
      </rPr>
      <t xml:space="preserve">네온스튜디오 자금대여 잔액 확인 필요</t>
    </r>
    <r>
      <rPr>
        <sz val="10"/>
        <color rgb="FF333333"/>
        <rFont val="Arial"/>
        <family val="0"/>
        <charset val="1"/>
      </rPr>
      <t xml:space="preserve">: FY2023 2,856M </t>
    </r>
    <r>
      <rPr>
        <sz val="10"/>
        <color rgb="FF333333"/>
        <rFont val="DejaVu Sans"/>
        <family val="2"/>
      </rPr>
      <t xml:space="preserve">대여 → </t>
    </r>
    <r>
      <rPr>
        <sz val="10"/>
        <color rgb="FF333333"/>
        <rFont val="Arial"/>
        <family val="0"/>
        <charset val="1"/>
      </rPr>
      <t xml:space="preserve">FY2025 975M </t>
    </r>
    <r>
      <rPr>
        <sz val="10"/>
        <color rgb="FF333333"/>
        <rFont val="DejaVu Sans"/>
        <family val="2"/>
      </rPr>
      <t xml:space="preserve">추가대여</t>
    </r>
    <r>
      <rPr>
        <sz val="10"/>
        <color rgb="FF333333"/>
        <rFont val="Arial"/>
        <family val="0"/>
        <charset val="1"/>
      </rPr>
      <t xml:space="preserve">, 2,517M </t>
    </r>
    <r>
      <rPr>
        <sz val="10"/>
        <color rgb="FF333333"/>
        <rFont val="DejaVu Sans"/>
        <family val="2"/>
      </rPr>
      <t xml:space="preserve">회수</t>
    </r>
  </si>
  <si>
    <r>
      <rPr>
        <sz val="10"/>
        <color rgb="FF333333"/>
        <rFont val="Arial"/>
        <family val="0"/>
        <charset val="1"/>
      </rPr>
      <t xml:space="preserve">3. NX3 USA Corporation: FY2024 </t>
    </r>
    <r>
      <rPr>
        <sz val="10"/>
        <color rgb="FF333333"/>
        <rFont val="DejaVu Sans"/>
        <family val="2"/>
      </rPr>
      <t xml:space="preserve">외주비 </t>
    </r>
    <r>
      <rPr>
        <sz val="10"/>
        <color rgb="FF333333"/>
        <rFont val="Arial"/>
        <family val="0"/>
        <charset val="1"/>
      </rPr>
      <t xml:space="preserve">232M </t>
    </r>
    <r>
      <rPr>
        <sz val="10"/>
        <color rgb="FF333333"/>
        <rFont val="DejaVu Sans"/>
        <family val="2"/>
      </rPr>
      <t xml:space="preserve">발생 </t>
    </r>
    <r>
      <rPr>
        <sz val="10"/>
        <color rgb="FF333333"/>
        <rFont val="Arial"/>
        <family val="0"/>
        <charset val="1"/>
      </rPr>
      <t xml:space="preserve">- </t>
    </r>
    <r>
      <rPr>
        <sz val="10"/>
        <color rgb="FF333333"/>
        <rFont val="DejaVu Sans"/>
        <family val="2"/>
      </rPr>
      <t xml:space="preserve">해외 자회사 간 이전가격 적정성</t>
    </r>
  </si>
  <si>
    <r>
      <rPr>
        <sz val="10"/>
        <color rgb="FF333333"/>
        <rFont val="Arial"/>
        <family val="0"/>
        <charset val="1"/>
      </rPr>
      <t xml:space="preserve">4. </t>
    </r>
    <r>
      <rPr>
        <sz val="10"/>
        <color rgb="FF333333"/>
        <rFont val="DejaVu Sans"/>
        <family val="2"/>
      </rPr>
      <t xml:space="preserve">임직원 대여금</t>
    </r>
    <r>
      <rPr>
        <sz val="10"/>
        <color rgb="FF333333"/>
        <rFont val="Arial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차입금</t>
    </r>
    <r>
      <rPr>
        <sz val="10"/>
        <color rgb="FF333333"/>
        <rFont val="Arial"/>
        <family val="0"/>
        <charset val="1"/>
      </rPr>
      <t xml:space="preserve">: FY2024 </t>
    </r>
    <r>
      <rPr>
        <sz val="10"/>
        <color rgb="FF333333"/>
        <rFont val="DejaVu Sans"/>
        <family val="2"/>
      </rPr>
      <t xml:space="preserve">차입 </t>
    </r>
    <r>
      <rPr>
        <sz val="10"/>
        <color rgb="FF333333"/>
        <rFont val="Arial"/>
        <family val="0"/>
        <charset val="1"/>
      </rPr>
      <t xml:space="preserve">347M, </t>
    </r>
    <r>
      <rPr>
        <sz val="10"/>
        <color rgb="FF333333"/>
        <rFont val="DejaVu Sans"/>
        <family val="2"/>
      </rPr>
      <t xml:space="preserve">상환 </t>
    </r>
    <r>
      <rPr>
        <sz val="10"/>
        <color rgb="FF333333"/>
        <rFont val="Arial"/>
        <family val="0"/>
        <charset val="1"/>
      </rPr>
      <t xml:space="preserve">307M → </t>
    </r>
    <r>
      <rPr>
        <sz val="10"/>
        <color rgb="FF333333"/>
        <rFont val="DejaVu Sans"/>
        <family val="2"/>
      </rPr>
      <t xml:space="preserve">잔여 </t>
    </r>
    <r>
      <rPr>
        <sz val="10"/>
        <color rgb="FF333333"/>
        <rFont val="Arial"/>
        <family val="0"/>
        <charset val="1"/>
      </rPr>
      <t xml:space="preserve">40M (</t>
    </r>
    <r>
      <rPr>
        <sz val="10"/>
        <color rgb="FF333333"/>
        <rFont val="DejaVu Sans"/>
        <family val="2"/>
      </rPr>
      <t xml:space="preserve">단기차입금 계상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</si>
  <si>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Arial"/>
        <family val="0"/>
        <charset val="1"/>
      </rPr>
      <t xml:space="preserve">5. </t>
    </r>
    <r>
      <rPr>
        <sz val="10"/>
        <color rgb="FF333333"/>
        <rFont val="DejaVu Sans"/>
        <family val="2"/>
      </rPr>
      <t xml:space="preserve">네온스튜디오 </t>
    </r>
    <r>
      <rPr>
        <sz val="10"/>
        <color rgb="FF333333"/>
        <rFont val="Arial"/>
        <family val="0"/>
        <charset val="1"/>
      </rPr>
      <t xml:space="preserve">FY2023 MG 300M (</t>
    </r>
    <r>
      <rPr>
        <sz val="10"/>
        <color rgb="FF333333"/>
        <rFont val="DejaVu Sans"/>
        <family val="2"/>
      </rPr>
      <t xml:space="preserve">기타</t>
    </r>
    <r>
      <rPr>
        <sz val="10"/>
        <color rgb="FF333333"/>
        <rFont val="Arial"/>
        <family val="0"/>
        <charset val="1"/>
      </rPr>
      <t xml:space="preserve">): MG </t>
    </r>
    <r>
      <rPr>
        <sz val="10"/>
        <color rgb="FF333333"/>
        <rFont val="DejaVu Sans"/>
        <family val="2"/>
      </rPr>
      <t xml:space="preserve">성격 및 회계처리 적정성 확인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</si>
</sst>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0.0"/>
    <numFmt numFmtId="168" formatCode="#,##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02060"/>
      <name val="Arial"/>
      <family val="0"/>
      <charset val="1"/>
    </font>
    <font>
      <sz val="18"/>
      <color rgb="FF1F4E79"/>
      <name val="Arial"/>
      <family val="0"/>
      <charset val="1"/>
    </font>
    <font>
      <sz val="14"/>
      <color rgb="FF333333"/>
      <name val="DejaVu Sans"/>
      <family val="2"/>
    </font>
    <font>
      <sz val="14"/>
      <color rgb="FF333333"/>
      <name val="Arial"/>
      <family val="0"/>
      <charset val="1"/>
    </font>
    <font>
      <sz val="12"/>
      <color rgb="FF666666"/>
      <name val="DejaVu Sans"/>
      <family val="2"/>
    </font>
    <font>
      <sz val="12"/>
      <color rgb="FF666666"/>
      <name val="Arial"/>
      <family val="0"/>
      <charset val="1"/>
    </font>
    <font>
      <b val="true"/>
      <sz val="10"/>
      <color rgb="FF000000"/>
      <name val="DejaVu Sans"/>
      <family val="2"/>
    </font>
    <font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sz val="11"/>
      <color rgb="FF333333"/>
      <name val="Arial"/>
      <family val="0"/>
      <charset val="1"/>
    </font>
    <font>
      <sz val="11"/>
      <color rgb="FF333333"/>
      <name val="DejaVu Sans"/>
      <family val="2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1F4E79"/>
      <name val="DejaVu Sans"/>
      <family val="2"/>
    </font>
    <font>
      <b val="true"/>
      <sz val="10"/>
      <color rgb="FF1F4E79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2060"/>
      <name val="DejaVu Sans"/>
      <family val="2"/>
    </font>
    <font>
      <b val="true"/>
      <sz val="10"/>
      <color rgb="FF002060"/>
      <name val="Arial"/>
      <family val="0"/>
      <charset val="1"/>
    </font>
    <font>
      <b val="true"/>
      <sz val="10"/>
      <color rgb="FF002060"/>
      <name val="DejaVu Sans"/>
      <family val="2"/>
    </font>
    <font>
      <sz val="10"/>
      <color rgb="FF0000FF"/>
      <name val="DejaVu Sans"/>
      <family val="2"/>
    </font>
    <font>
      <b val="true"/>
      <sz val="11"/>
      <color rgb="FF002060"/>
      <name val="DejaVu Sans"/>
      <family val="2"/>
    </font>
    <font>
      <b val="true"/>
      <sz val="14"/>
      <color rgb="FF002060"/>
      <name val="DejaVu Sans"/>
      <family val="2"/>
    </font>
    <font>
      <b val="true"/>
      <sz val="12"/>
      <color rgb="FF002060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333333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002060"/>
        <bgColor rgb="FF000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5B9BD5"/>
      <rgbColor rgb="FF7030A0"/>
      <rgbColor rgb="FFFFF2CC"/>
      <rgbColor rgb="FFF2F2F2"/>
      <rgbColor rgb="FF660066"/>
      <rgbColor rgb="FFFF6699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70AD47"/>
      <rgbColor rgb="FFFFC000"/>
      <rgbColor rgb="FFFF9900"/>
      <rgbColor rgb="FFED7D31"/>
      <rgbColor rgb="FF666666"/>
      <rgbColor rgb="FFA5A5A5"/>
      <rgbColor rgb="FF002060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3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8"/>
  </cols>
  <sheetData>
    <row r="3" customFormat="false" ht="33.85" hidden="false" customHeight="false" outlineLevel="0" collapsed="false">
      <c r="B3" s="1" t="s">
        <v>0</v>
      </c>
      <c r="C3" s="1"/>
      <c r="D3" s="1"/>
      <c r="E3" s="1"/>
      <c r="F3" s="1"/>
    </row>
    <row r="5" customFormat="false" ht="22.05" hidden="false" customHeight="false" outlineLevel="0" collapsed="false">
      <c r="B5" s="2" t="s">
        <v>1</v>
      </c>
      <c r="C5" s="2"/>
      <c r="D5" s="2"/>
      <c r="E5" s="2"/>
      <c r="F5" s="2"/>
    </row>
    <row r="7" customFormat="false" ht="17.9" hidden="false" customHeight="false" outlineLevel="0" collapsed="false">
      <c r="B7" s="3" t="s">
        <v>2</v>
      </c>
      <c r="C7" s="3"/>
      <c r="D7" s="3"/>
      <c r="E7" s="3"/>
      <c r="F7" s="3"/>
    </row>
    <row r="9" customFormat="false" ht="15" hidden="false" customHeight="false" outlineLevel="0" collapsed="false">
      <c r="B9" s="4" t="s">
        <v>3</v>
      </c>
      <c r="C9" s="4"/>
      <c r="D9" s="4"/>
      <c r="E9" s="4"/>
      <c r="F9" s="4"/>
    </row>
    <row r="11" customFormat="false" ht="15" hidden="false" customHeight="false" outlineLevel="0" collapsed="false">
      <c r="B11" s="5" t="s">
        <v>4</v>
      </c>
      <c r="C11" s="5"/>
      <c r="D11" s="5"/>
      <c r="E11" s="5"/>
      <c r="F11" s="5"/>
    </row>
    <row r="14" customFormat="false" ht="15" hidden="false" customHeight="false" outlineLevel="0" collapsed="false">
      <c r="B14" s="6" t="s">
        <v>5</v>
      </c>
      <c r="C14" s="7" t="s">
        <v>6</v>
      </c>
      <c r="D14" s="7"/>
      <c r="E14" s="7"/>
      <c r="F14" s="7"/>
    </row>
    <row r="15" customFormat="false" ht="15" hidden="false" customHeight="false" outlineLevel="0" collapsed="false">
      <c r="B15" s="6" t="s">
        <v>7</v>
      </c>
      <c r="C15" s="8" t="s">
        <v>8</v>
      </c>
      <c r="D15" s="8"/>
      <c r="E15" s="8"/>
      <c r="F15" s="8"/>
    </row>
    <row r="16" customFormat="false" ht="15" hidden="false" customHeight="false" outlineLevel="0" collapsed="false">
      <c r="B16" s="6" t="s">
        <v>9</v>
      </c>
      <c r="C16" s="7" t="s">
        <v>10</v>
      </c>
      <c r="D16" s="7"/>
      <c r="E16" s="7"/>
      <c r="F16" s="7"/>
    </row>
    <row r="17" customFormat="false" ht="15" hidden="false" customHeight="false" outlineLevel="0" collapsed="false">
      <c r="B17" s="6" t="s">
        <v>11</v>
      </c>
      <c r="C17" s="7" t="s">
        <v>12</v>
      </c>
      <c r="D17" s="7"/>
      <c r="E17" s="7"/>
      <c r="F17" s="7"/>
    </row>
    <row r="18" customFormat="false" ht="15" hidden="false" customHeight="false" outlineLevel="0" collapsed="false">
      <c r="B18" s="6" t="s">
        <v>13</v>
      </c>
      <c r="C18" s="8" t="s">
        <v>14</v>
      </c>
      <c r="D18" s="8"/>
      <c r="E18" s="8"/>
      <c r="F18" s="8"/>
    </row>
    <row r="19" customFormat="false" ht="15" hidden="false" customHeight="false" outlineLevel="0" collapsed="false">
      <c r="B19" s="6" t="s">
        <v>15</v>
      </c>
      <c r="C19" s="8" t="s">
        <v>16</v>
      </c>
      <c r="D19" s="8"/>
      <c r="E19" s="8"/>
      <c r="F19" s="8"/>
    </row>
    <row r="20" customFormat="false" ht="15" hidden="false" customHeight="false" outlineLevel="0" collapsed="false">
      <c r="B20" s="6" t="s">
        <v>17</v>
      </c>
      <c r="C20" s="8" t="s">
        <v>18</v>
      </c>
      <c r="D20" s="8"/>
      <c r="E20" s="8"/>
      <c r="F20" s="8"/>
    </row>
    <row r="23" customFormat="false" ht="17.35" hidden="false" customHeight="false" outlineLevel="0" collapsed="false">
      <c r="B23" s="9" t="s">
        <v>19</v>
      </c>
    </row>
    <row r="25" customFormat="false" ht="15" hidden="false" customHeight="false" outlineLevel="0" collapsed="false">
      <c r="B25" s="10" t="s">
        <v>20</v>
      </c>
    </row>
    <row r="26" customFormat="false" ht="15" hidden="false" customHeight="false" outlineLevel="0" collapsed="false">
      <c r="B26" s="10" t="s">
        <v>21</v>
      </c>
    </row>
    <row r="27" customFormat="false" ht="15" hidden="false" customHeight="false" outlineLevel="0" collapsed="false">
      <c r="B27" s="10" t="s">
        <v>22</v>
      </c>
    </row>
    <row r="28" customFormat="false" ht="15" hidden="false" customHeight="false" outlineLevel="0" collapsed="false">
      <c r="B28" s="10" t="s">
        <v>23</v>
      </c>
    </row>
    <row r="29" customFormat="false" ht="15" hidden="false" customHeight="false" outlineLevel="0" collapsed="false">
      <c r="B29" s="10" t="s">
        <v>24</v>
      </c>
    </row>
    <row r="30" customFormat="false" ht="15" hidden="false" customHeight="false" outlineLevel="0" collapsed="false">
      <c r="B30" s="10" t="s">
        <v>25</v>
      </c>
    </row>
    <row r="31" customFormat="false" ht="15" hidden="false" customHeight="false" outlineLevel="0" collapsed="false">
      <c r="B31" s="10" t="s">
        <v>26</v>
      </c>
    </row>
    <row r="32" customFormat="false" ht="15" hidden="false" customHeight="false" outlineLevel="0" collapsed="false">
      <c r="B32" s="10" t="s">
        <v>27</v>
      </c>
    </row>
    <row r="33" customFormat="false" ht="15" hidden="false" customHeight="false" outlineLevel="0" collapsed="false">
      <c r="B33" s="10" t="s">
        <v>28</v>
      </c>
    </row>
    <row r="34" customFormat="false" ht="15" hidden="false" customHeight="false" outlineLevel="0" collapsed="false">
      <c r="B34" s="10" t="s">
        <v>29</v>
      </c>
    </row>
  </sheetData>
  <mergeCells count="12">
    <mergeCell ref="B3:F3"/>
    <mergeCell ref="B5:F5"/>
    <mergeCell ref="B7:F7"/>
    <mergeCell ref="B9:F9"/>
    <mergeCell ref="B11:F11"/>
    <mergeCell ref="C14:F14"/>
    <mergeCell ref="C15:F15"/>
    <mergeCell ref="C16:F16"/>
    <mergeCell ref="C17:F17"/>
    <mergeCell ref="C18:F18"/>
    <mergeCell ref="C19:F19"/>
    <mergeCell ref="C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B1" s="11" t="s">
        <v>30</v>
      </c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B2" s="12" t="s">
        <v>31</v>
      </c>
      <c r="C2" s="12"/>
      <c r="D2" s="12"/>
      <c r="E2" s="12"/>
      <c r="F2" s="12"/>
      <c r="G2" s="12"/>
      <c r="H2" s="12"/>
    </row>
    <row r="4" customFormat="false" ht="15" hidden="false" customHeight="false" outlineLevel="0" collapsed="false">
      <c r="A4" s="13"/>
      <c r="B4" s="14" t="s">
        <v>32</v>
      </c>
      <c r="C4" s="13" t="s">
        <v>33</v>
      </c>
      <c r="D4" s="13" t="s">
        <v>34</v>
      </c>
      <c r="E4" s="13" t="s">
        <v>35</v>
      </c>
      <c r="F4" s="13" t="s">
        <v>36</v>
      </c>
      <c r="G4" s="13" t="s">
        <v>37</v>
      </c>
      <c r="H4" s="13" t="s">
        <v>38</v>
      </c>
    </row>
    <row r="6" customFormat="false" ht="15" hidden="false" customHeight="false" outlineLevel="0" collapsed="false">
      <c r="B6" s="15" t="s">
        <v>39</v>
      </c>
      <c r="C6" s="16" t="n">
        <v>10874918983</v>
      </c>
      <c r="D6" s="16" t="n">
        <v>50705530552</v>
      </c>
      <c r="E6" s="16" t="n">
        <v>56836386617</v>
      </c>
      <c r="F6" s="17" t="n">
        <f aca="false">D6/C6-1</f>
        <v>3.662612257734</v>
      </c>
      <c r="G6" s="17" t="n">
        <f aca="false">E6/D6-1</f>
        <v>0.120910993303041</v>
      </c>
    </row>
    <row r="7" customFormat="false" ht="15" hidden="false" customHeight="false" outlineLevel="0" collapsed="false">
      <c r="B7" s="18" t="s">
        <v>40</v>
      </c>
      <c r="C7" s="19" t="n">
        <v>304677980</v>
      </c>
      <c r="D7" s="19" t="n">
        <v>8350000000</v>
      </c>
      <c r="E7" s="19" t="n">
        <v>700000000</v>
      </c>
      <c r="F7" s="17" t="n">
        <f aca="false">D7/C7-1</f>
        <v>26.4059845086278</v>
      </c>
      <c r="G7" s="17" t="n">
        <f aca="false">E7/D7-1</f>
        <v>-0.916167664670659</v>
      </c>
    </row>
    <row r="8" customFormat="false" ht="15" hidden="false" customHeight="false" outlineLevel="0" collapsed="false">
      <c r="B8" s="18" t="s">
        <v>41</v>
      </c>
      <c r="C8" s="19" t="n">
        <v>10570241003</v>
      </c>
      <c r="D8" s="19" t="n">
        <v>1284172830</v>
      </c>
      <c r="E8" s="19" t="n">
        <v>183395065</v>
      </c>
      <c r="F8" s="17" t="n">
        <f aca="false">D8/C8-1</f>
        <v>-0.878510543928418</v>
      </c>
      <c r="G8" s="17" t="n">
        <f aca="false">E8/D8-1</f>
        <v>-0.857188175364215</v>
      </c>
    </row>
    <row r="9" customFormat="false" ht="15" hidden="false" customHeight="false" outlineLevel="0" collapsed="false">
      <c r="B9" s="18" t="s">
        <v>42</v>
      </c>
      <c r="C9" s="19" t="n">
        <v>0</v>
      </c>
      <c r="D9" s="19" t="n">
        <v>41071357722</v>
      </c>
      <c r="E9" s="19" t="n">
        <v>55952991552</v>
      </c>
      <c r="G9" s="17" t="n">
        <f aca="false">E9/D9-1</f>
        <v>0.36233605742302</v>
      </c>
    </row>
    <row r="10" customFormat="false" ht="15" hidden="false" customHeight="false" outlineLevel="0" collapsed="false">
      <c r="B10" s="15" t="s">
        <v>43</v>
      </c>
      <c r="C10" s="16" t="n">
        <v>0</v>
      </c>
      <c r="D10" s="16" t="n">
        <v>0</v>
      </c>
      <c r="E10" s="16" t="n">
        <v>0</v>
      </c>
    </row>
    <row r="11" customFormat="false" ht="15" hidden="false" customHeight="false" outlineLevel="0" collapsed="false">
      <c r="B11" s="20" t="s">
        <v>44</v>
      </c>
      <c r="C11" s="21" t="n">
        <v>10874918983</v>
      </c>
      <c r="D11" s="21" t="n">
        <v>50705530552</v>
      </c>
      <c r="E11" s="21" t="n">
        <v>56836386617</v>
      </c>
      <c r="F11" s="17" t="n">
        <f aca="false">D11/C11-1</f>
        <v>3.662612257734</v>
      </c>
      <c r="G11" s="17" t="n">
        <f aca="false">E11/D11-1</f>
        <v>0.120910993303041</v>
      </c>
    </row>
    <row r="12" customFormat="false" ht="15" hidden="false" customHeight="false" outlineLevel="0" collapsed="false">
      <c r="B12" s="15" t="s">
        <v>45</v>
      </c>
      <c r="C12" s="16" t="n">
        <v>24232391490</v>
      </c>
      <c r="D12" s="16" t="n">
        <v>23468288661</v>
      </c>
      <c r="E12" s="16" t="n">
        <v>35248594284</v>
      </c>
      <c r="F12" s="17" t="n">
        <f aca="false">D12/C12-1</f>
        <v>-0.0315322913677473</v>
      </c>
      <c r="G12" s="17" t="n">
        <f aca="false">E12/D12-1</f>
        <v>0.501966964577895</v>
      </c>
    </row>
    <row r="13" customFormat="false" ht="15" hidden="false" customHeight="false" outlineLevel="0" collapsed="false">
      <c r="B13" s="18" t="s">
        <v>46</v>
      </c>
      <c r="C13" s="19" t="n">
        <v>11053075979</v>
      </c>
      <c r="D13" s="19" t="n">
        <v>9446514229</v>
      </c>
      <c r="E13" s="19" t="n">
        <v>15524274044</v>
      </c>
      <c r="F13" s="17" t="n">
        <f aca="false">D13/C13-1</f>
        <v>-0.145349742736985</v>
      </c>
      <c r="G13" s="17" t="n">
        <f aca="false">E13/D13-1</f>
        <v>0.643386509315975</v>
      </c>
    </row>
    <row r="14" customFormat="false" ht="15" hidden="false" customHeight="false" outlineLevel="0" collapsed="false">
      <c r="B14" s="18" t="s">
        <v>47</v>
      </c>
      <c r="C14" s="19" t="n">
        <v>1144238224</v>
      </c>
      <c r="D14" s="19" t="n">
        <v>1401717829</v>
      </c>
      <c r="E14" s="19" t="n">
        <v>1227172461</v>
      </c>
      <c r="F14" s="17" t="n">
        <f aca="false">D14/C14-1</f>
        <v>0.225022726561178</v>
      </c>
      <c r="G14" s="17" t="n">
        <f aca="false">E14/D14-1</f>
        <v>-0.12452247120558</v>
      </c>
    </row>
    <row r="15" customFormat="false" ht="15" hidden="false" customHeight="false" outlineLevel="0" collapsed="false">
      <c r="B15" s="18" t="s">
        <v>48</v>
      </c>
      <c r="C15" s="19" t="n">
        <v>1318026527</v>
      </c>
      <c r="D15" s="19" t="n">
        <v>814776673</v>
      </c>
      <c r="E15" s="19" t="n">
        <v>1338705213</v>
      </c>
      <c r="F15" s="17" t="n">
        <f aca="false">D15/C15-1</f>
        <v>-0.381820732504878</v>
      </c>
      <c r="G15" s="17" t="n">
        <f aca="false">E15/D15-1</f>
        <v>0.643033308834064</v>
      </c>
    </row>
    <row r="16" customFormat="false" ht="15" hidden="false" customHeight="false" outlineLevel="0" collapsed="false">
      <c r="B16" s="18" t="s">
        <v>49</v>
      </c>
      <c r="C16" s="19" t="n">
        <v>184478691</v>
      </c>
      <c r="D16" s="19" t="n">
        <v>266069861</v>
      </c>
      <c r="E16" s="19" t="n">
        <v>224848040</v>
      </c>
      <c r="F16" s="17" t="n">
        <f aca="false">D16/C16-1</f>
        <v>0.442279645186771</v>
      </c>
      <c r="G16" s="17" t="n">
        <f aca="false">E16/D16-1</f>
        <v>-0.154928562164356</v>
      </c>
    </row>
    <row r="17" customFormat="false" ht="15" hidden="false" customHeight="false" outlineLevel="0" collapsed="false">
      <c r="B17" s="18" t="s">
        <v>50</v>
      </c>
      <c r="C17" s="19" t="n">
        <v>58602255</v>
      </c>
      <c r="D17" s="19" t="n">
        <v>21669856</v>
      </c>
      <c r="E17" s="19" t="n">
        <v>48497250</v>
      </c>
      <c r="F17" s="17" t="n">
        <f aca="false">D17/C17-1</f>
        <v>-0.630221465027242</v>
      </c>
      <c r="G17" s="17" t="n">
        <f aca="false">E17/D17-1</f>
        <v>1.23800518102197</v>
      </c>
    </row>
    <row r="18" customFormat="false" ht="15" hidden="false" customHeight="false" outlineLevel="0" collapsed="false">
      <c r="B18" s="18" t="s">
        <v>51</v>
      </c>
      <c r="C18" s="19" t="n">
        <v>5496544</v>
      </c>
      <c r="D18" s="19" t="n">
        <v>22897273</v>
      </c>
      <c r="E18" s="19" t="n">
        <v>25611621</v>
      </c>
      <c r="F18" s="17" t="n">
        <f aca="false">D18/C18-1</f>
        <v>3.16575815639791</v>
      </c>
      <c r="G18" s="17" t="n">
        <f aca="false">E18/D18-1</f>
        <v>0.118544596991965</v>
      </c>
    </row>
    <row r="19" customFormat="false" ht="15" hidden="false" customHeight="false" outlineLevel="0" collapsed="false">
      <c r="B19" s="18" t="s">
        <v>52</v>
      </c>
      <c r="C19" s="19" t="n">
        <v>1006849149</v>
      </c>
      <c r="D19" s="19" t="n">
        <v>452496250</v>
      </c>
      <c r="E19" s="19" t="n">
        <v>521570299</v>
      </c>
      <c r="F19" s="17" t="n">
        <f aca="false">D19/C19-1</f>
        <v>-0.550581881655839</v>
      </c>
      <c r="G19" s="17" t="n">
        <f aca="false">E19/D19-1</f>
        <v>0.15265109710854</v>
      </c>
    </row>
    <row r="20" customFormat="false" ht="15" hidden="false" customHeight="false" outlineLevel="0" collapsed="false">
      <c r="B20" s="18" t="s">
        <v>53</v>
      </c>
      <c r="C20" s="19" t="n">
        <v>742458979</v>
      </c>
      <c r="D20" s="19" t="n">
        <v>463366272</v>
      </c>
      <c r="E20" s="19" t="n">
        <v>464756098</v>
      </c>
      <c r="F20" s="17" t="n">
        <f aca="false">D20/C20-1</f>
        <v>-0.375903201246085</v>
      </c>
      <c r="G20" s="17" t="n">
        <f aca="false">E20/D20-1</f>
        <v>0.00299941123034531</v>
      </c>
    </row>
    <row r="21" customFormat="false" ht="15" hidden="false" customHeight="false" outlineLevel="0" collapsed="false">
      <c r="B21" s="18" t="s">
        <v>54</v>
      </c>
      <c r="C21" s="19" t="n">
        <v>1845334860</v>
      </c>
      <c r="D21" s="19" t="n">
        <v>1918263509</v>
      </c>
      <c r="E21" s="19" t="n">
        <v>2619699282</v>
      </c>
      <c r="F21" s="17" t="n">
        <f aca="false">D21/C21-1</f>
        <v>0.0395205502160187</v>
      </c>
      <c r="G21" s="17" t="n">
        <f aca="false">E21/D21-1</f>
        <v>0.36566184453233</v>
      </c>
    </row>
    <row r="22" customFormat="false" ht="15" hidden="false" customHeight="false" outlineLevel="0" collapsed="false">
      <c r="B22" s="18" t="s">
        <v>55</v>
      </c>
      <c r="C22" s="19" t="n">
        <v>206370851</v>
      </c>
      <c r="D22" s="19" t="n">
        <v>174305331</v>
      </c>
      <c r="E22" s="19" t="n">
        <v>209505719</v>
      </c>
      <c r="F22" s="17" t="n">
        <f aca="false">D22/C22-1</f>
        <v>-0.155378144949356</v>
      </c>
      <c r="G22" s="17" t="n">
        <f aca="false">E22/D22-1</f>
        <v>0.201946709248956</v>
      </c>
    </row>
    <row r="23" customFormat="false" ht="15" hidden="false" customHeight="false" outlineLevel="0" collapsed="false">
      <c r="B23" s="18" t="s">
        <v>56</v>
      </c>
      <c r="C23" s="19" t="n">
        <v>6846779</v>
      </c>
      <c r="D23" s="19" t="n">
        <v>2219000</v>
      </c>
      <c r="E23" s="19" t="n">
        <v>6163225</v>
      </c>
      <c r="F23" s="17" t="n">
        <f aca="false">D23/C23-1</f>
        <v>-0.67590599901063</v>
      </c>
      <c r="G23" s="17" t="n">
        <f aca="false">E23/D23-1</f>
        <v>1.77747859396124</v>
      </c>
    </row>
    <row r="24" customFormat="false" ht="15" hidden="false" customHeight="false" outlineLevel="0" collapsed="false">
      <c r="B24" s="18" t="s">
        <v>57</v>
      </c>
      <c r="C24" s="19" t="n">
        <v>18653000</v>
      </c>
      <c r="D24" s="19" t="n">
        <v>1742750</v>
      </c>
      <c r="E24" s="19" t="n">
        <v>6012181</v>
      </c>
      <c r="F24" s="17" t="n">
        <f aca="false">D24/C24-1</f>
        <v>-0.906569988741757</v>
      </c>
      <c r="G24" s="17" t="n">
        <f aca="false">E24/D24-1</f>
        <v>2.44982412853249</v>
      </c>
    </row>
    <row r="25" customFormat="false" ht="15" hidden="false" customHeight="false" outlineLevel="0" collapsed="false">
      <c r="B25" s="18" t="s">
        <v>58</v>
      </c>
      <c r="C25" s="19" t="n">
        <v>1313243</v>
      </c>
      <c r="D25" s="19" t="n">
        <v>1001938</v>
      </c>
      <c r="E25" s="19" t="n">
        <v>1971264</v>
      </c>
      <c r="F25" s="17" t="n">
        <f aca="false">D25/C25-1</f>
        <v>-0.237050568706629</v>
      </c>
      <c r="G25" s="17" t="n">
        <f aca="false">E25/D25-1</f>
        <v>0.967451079807334</v>
      </c>
    </row>
    <row r="26" customFormat="false" ht="15" hidden="false" customHeight="false" outlineLevel="0" collapsed="false">
      <c r="B26" s="18" t="s">
        <v>59</v>
      </c>
      <c r="C26" s="19" t="n">
        <v>37750093</v>
      </c>
      <c r="D26" s="19" t="n">
        <v>20628845</v>
      </c>
      <c r="E26" s="19" t="n">
        <v>60605301</v>
      </c>
      <c r="F26" s="17" t="n">
        <f aca="false">D26/C26-1</f>
        <v>-0.453541876042531</v>
      </c>
      <c r="G26" s="17" t="n">
        <f aca="false">E26/D26-1</f>
        <v>1.93789114223312</v>
      </c>
    </row>
    <row r="27" customFormat="false" ht="15" hidden="false" customHeight="false" outlineLevel="0" collapsed="false">
      <c r="B27" s="18" t="s">
        <v>60</v>
      </c>
      <c r="C27" s="19" t="n">
        <v>3125684216</v>
      </c>
      <c r="D27" s="19" t="n">
        <v>1619427034</v>
      </c>
      <c r="E27" s="19" t="n">
        <v>1795337695</v>
      </c>
      <c r="F27" s="17" t="n">
        <f aca="false">D27/C27-1</f>
        <v>-0.481896787362476</v>
      </c>
      <c r="G27" s="17" t="n">
        <f aca="false">E27/D27-1</f>
        <v>0.108625246650045</v>
      </c>
    </row>
    <row r="28" customFormat="false" ht="15" hidden="false" customHeight="false" outlineLevel="0" collapsed="false">
      <c r="B28" s="18" t="s">
        <v>61</v>
      </c>
      <c r="C28" s="19" t="n">
        <v>15166000</v>
      </c>
      <c r="D28" s="19" t="n">
        <v>4113945430</v>
      </c>
      <c r="E28" s="19" t="n">
        <v>7980288845</v>
      </c>
      <c r="F28" s="17" t="n">
        <f aca="false">D28/C28-1</f>
        <v>270.261072794409</v>
      </c>
      <c r="G28" s="17" t="n">
        <f aca="false">E28/D28-1</f>
        <v>0.939813976822731</v>
      </c>
    </row>
    <row r="29" customFormat="false" ht="15" hidden="false" customHeight="false" outlineLevel="0" collapsed="false">
      <c r="B29" s="18" t="s">
        <v>62</v>
      </c>
      <c r="C29" s="19" t="n">
        <v>754781282</v>
      </c>
      <c r="D29" s="19" t="n">
        <v>786276415</v>
      </c>
      <c r="E29" s="19" t="n">
        <v>907841388</v>
      </c>
      <c r="F29" s="17" t="n">
        <f aca="false">D29/C29-1</f>
        <v>0.0417274960986644</v>
      </c>
      <c r="G29" s="17" t="n">
        <f aca="false">E29/D29-1</f>
        <v>0.154608443902009</v>
      </c>
    </row>
    <row r="30" customFormat="false" ht="15" hidden="false" customHeight="false" outlineLevel="0" collapsed="false">
      <c r="B30" s="18" t="s">
        <v>63</v>
      </c>
      <c r="C30" s="19" t="n">
        <v>25681474</v>
      </c>
      <c r="D30" s="19" t="n">
        <v>29327515</v>
      </c>
      <c r="E30" s="19" t="n">
        <v>32816645</v>
      </c>
      <c r="F30" s="17" t="n">
        <f aca="false">D30/C30-1</f>
        <v>0.14197164072436</v>
      </c>
      <c r="G30" s="17" t="n">
        <f aca="false">E30/D30-1</f>
        <v>0.118971211846623</v>
      </c>
    </row>
    <row r="31" customFormat="false" ht="15" hidden="false" customHeight="false" outlineLevel="0" collapsed="false">
      <c r="B31" s="18" t="s">
        <v>64</v>
      </c>
      <c r="C31" s="19" t="n">
        <v>2681583344</v>
      </c>
      <c r="D31" s="19" t="n">
        <v>1911642651</v>
      </c>
      <c r="E31" s="19" t="n">
        <v>2252917713</v>
      </c>
      <c r="F31" s="17" t="n">
        <f aca="false">D31/C31-1</f>
        <v>-0.287121671874465</v>
      </c>
      <c r="G31" s="17" t="n">
        <f aca="false">E31/D31-1</f>
        <v>0.178524507088956</v>
      </c>
    </row>
    <row r="32" customFormat="false" ht="15" hidden="false" customHeight="false" outlineLevel="0" collapsed="false">
      <c r="B32" s="20" t="s">
        <v>65</v>
      </c>
      <c r="C32" s="21" t="n">
        <v>-13357472507</v>
      </c>
      <c r="D32" s="21" t="n">
        <v>27237241891</v>
      </c>
      <c r="E32" s="21" t="n">
        <v>21587792333</v>
      </c>
      <c r="F32" s="17" t="n">
        <f aca="false">D32/C32-1</f>
        <v>-3.03910147497787</v>
      </c>
      <c r="G32" s="17" t="n">
        <f aca="false">E32/D32-1</f>
        <v>-0.207416359578858</v>
      </c>
    </row>
    <row r="33" customFormat="false" ht="15" hidden="false" customHeight="false" outlineLevel="0" collapsed="false">
      <c r="B33" s="15" t="s">
        <v>66</v>
      </c>
      <c r="C33" s="16" t="n">
        <v>292934711</v>
      </c>
      <c r="D33" s="16" t="n">
        <v>527842743</v>
      </c>
      <c r="E33" s="16" t="n">
        <v>873975360</v>
      </c>
      <c r="F33" s="17" t="n">
        <f aca="false">D33/C33-1</f>
        <v>0.801912587272732</v>
      </c>
      <c r="G33" s="17" t="n">
        <f aca="false">E33/D33-1</f>
        <v>0.655749504166244</v>
      </c>
    </row>
    <row r="34" customFormat="false" ht="15" hidden="false" customHeight="false" outlineLevel="0" collapsed="false">
      <c r="B34" s="18" t="s">
        <v>67</v>
      </c>
      <c r="C34" s="19" t="n">
        <v>106481087</v>
      </c>
      <c r="D34" s="19" t="n">
        <v>165370828</v>
      </c>
      <c r="E34" s="19" t="n">
        <v>618203926</v>
      </c>
      <c r="F34" s="17" t="n">
        <f aca="false">D34/C34-1</f>
        <v>0.553053529590659</v>
      </c>
      <c r="G34" s="17" t="n">
        <f aca="false">E34/D34-1</f>
        <v>2.73828887160195</v>
      </c>
    </row>
    <row r="35" customFormat="false" ht="15" hidden="false" customHeight="false" outlineLevel="0" collapsed="false">
      <c r="B35" s="18" t="s">
        <v>68</v>
      </c>
      <c r="C35" s="19" t="n">
        <v>8400000</v>
      </c>
      <c r="D35" s="19" t="n">
        <v>2100000</v>
      </c>
      <c r="E35" s="19" t="n">
        <v>0</v>
      </c>
      <c r="F35" s="17" t="n">
        <f aca="false">D35/C35-1</f>
        <v>-0.75</v>
      </c>
      <c r="G35" s="17" t="n">
        <f aca="false">E35/D35-1</f>
        <v>-1</v>
      </c>
    </row>
    <row r="36" customFormat="false" ht="15" hidden="false" customHeight="false" outlineLevel="0" collapsed="false">
      <c r="B36" s="18" t="s">
        <v>69</v>
      </c>
      <c r="C36" s="19" t="n">
        <v>168905085</v>
      </c>
      <c r="D36" s="19" t="n">
        <v>25601410</v>
      </c>
      <c r="E36" s="19" t="n">
        <v>4056327</v>
      </c>
      <c r="F36" s="17" t="n">
        <f aca="false">D36/C36-1</f>
        <v>-0.848427239475946</v>
      </c>
      <c r="G36" s="17" t="n">
        <f aca="false">E36/D36-1</f>
        <v>-0.841558453225819</v>
      </c>
    </row>
    <row r="37" customFormat="false" ht="15" hidden="false" customHeight="false" outlineLevel="0" collapsed="false">
      <c r="B37" s="18" t="s">
        <v>70</v>
      </c>
      <c r="C37" s="19" t="n">
        <v>137630</v>
      </c>
      <c r="D37" s="19" t="n">
        <v>435505</v>
      </c>
      <c r="E37" s="19" t="n">
        <v>17300000</v>
      </c>
      <c r="F37" s="17" t="n">
        <f aca="false">D37/C37-1</f>
        <v>2.16431737266584</v>
      </c>
      <c r="G37" s="17" t="n">
        <f aca="false">E37/D37-1</f>
        <v>38.7239985763654</v>
      </c>
    </row>
    <row r="38" customFormat="false" ht="15" hidden="false" customHeight="false" outlineLevel="0" collapsed="false">
      <c r="B38" s="18" t="s">
        <v>71</v>
      </c>
      <c r="C38" s="19" t="n">
        <v>9010909</v>
      </c>
      <c r="D38" s="19" t="n">
        <v>334335000</v>
      </c>
      <c r="E38" s="19" t="n">
        <v>234415107</v>
      </c>
      <c r="F38" s="17" t="n">
        <f aca="false">D38/C38-1</f>
        <v>36.1033599384923</v>
      </c>
      <c r="G38" s="17" t="n">
        <f aca="false">E38/D38-1</f>
        <v>-0.298861599892324</v>
      </c>
    </row>
    <row r="39" customFormat="false" ht="15" hidden="false" customHeight="false" outlineLevel="0" collapsed="false">
      <c r="B39" s="15" t="s">
        <v>72</v>
      </c>
      <c r="C39" s="16" t="n">
        <v>201947921</v>
      </c>
      <c r="D39" s="16" t="n">
        <v>3120273387</v>
      </c>
      <c r="E39" s="16" t="n">
        <v>4294454</v>
      </c>
      <c r="F39" s="17" t="n">
        <f aca="false">D39/C39-1</f>
        <v>14.4508814527484</v>
      </c>
      <c r="G39" s="17" t="n">
        <f aca="false">E39/D39-1</f>
        <v>-0.998623693033472</v>
      </c>
    </row>
    <row r="40" customFormat="false" ht="15" hidden="false" customHeight="false" outlineLevel="0" collapsed="false">
      <c r="B40" s="18" t="s">
        <v>73</v>
      </c>
      <c r="C40" s="19" t="n">
        <v>0</v>
      </c>
      <c r="D40" s="19" t="n">
        <v>2584897251</v>
      </c>
      <c r="E40" s="19" t="n">
        <v>0</v>
      </c>
      <c r="G40" s="17" t="n">
        <f aca="false">E40/D40-1</f>
        <v>-1</v>
      </c>
    </row>
    <row r="41" customFormat="false" ht="15" hidden="false" customHeight="false" outlineLevel="0" collapsed="false">
      <c r="B41" s="18" t="s">
        <v>74</v>
      </c>
      <c r="C41" s="19" t="n">
        <v>184493959</v>
      </c>
      <c r="D41" s="19" t="n">
        <v>5750505</v>
      </c>
      <c r="E41" s="19" t="n">
        <v>4109618</v>
      </c>
      <c r="F41" s="17" t="n">
        <f aca="false">D41/C41-1</f>
        <v>-0.968830930664781</v>
      </c>
      <c r="G41" s="17" t="n">
        <f aca="false">E41/D41-1</f>
        <v>-0.285346591299373</v>
      </c>
    </row>
    <row r="42" customFormat="false" ht="15" hidden="false" customHeight="false" outlineLevel="0" collapsed="false">
      <c r="B42" s="18" t="s">
        <v>75</v>
      </c>
      <c r="C42" s="19" t="n">
        <v>14001718</v>
      </c>
      <c r="D42" s="19" t="n">
        <v>51262</v>
      </c>
      <c r="E42" s="19" t="n">
        <v>121737</v>
      </c>
      <c r="F42" s="17" t="n">
        <f aca="false">D42/C42-1</f>
        <v>-0.996338877843419</v>
      </c>
      <c r="G42" s="17" t="n">
        <f aca="false">E42/D42-1</f>
        <v>1.37480004681831</v>
      </c>
    </row>
    <row r="43" customFormat="false" ht="15" hidden="false" customHeight="false" outlineLevel="0" collapsed="false">
      <c r="B43" s="18" t="s">
        <v>76</v>
      </c>
      <c r="C43" s="19" t="n">
        <v>0</v>
      </c>
      <c r="D43" s="19" t="n">
        <v>499000000</v>
      </c>
      <c r="E43" s="19" t="n">
        <v>0</v>
      </c>
      <c r="G43" s="17" t="n">
        <f aca="false">E43/D43-1</f>
        <v>-1</v>
      </c>
    </row>
    <row r="44" customFormat="false" ht="15" hidden="false" customHeight="false" outlineLevel="0" collapsed="false">
      <c r="B44" s="18" t="s">
        <v>77</v>
      </c>
      <c r="C44" s="19" t="n">
        <v>3452244</v>
      </c>
      <c r="D44" s="19" t="n">
        <v>30574369</v>
      </c>
      <c r="E44" s="19" t="n">
        <v>63099</v>
      </c>
      <c r="F44" s="17" t="n">
        <f aca="false">D44/C44-1</f>
        <v>7.85637544739016</v>
      </c>
      <c r="G44" s="17" t="n">
        <f aca="false">E44/D44-1</f>
        <v>-0.997936212518401</v>
      </c>
    </row>
    <row r="45" customFormat="false" ht="15" hidden="false" customHeight="false" outlineLevel="0" collapsed="false">
      <c r="B45" s="20" t="s">
        <v>78</v>
      </c>
      <c r="C45" s="21" t="n">
        <v>-13266485717</v>
      </c>
      <c r="D45" s="21" t="n">
        <v>24644811247</v>
      </c>
      <c r="E45" s="21" t="n">
        <v>22457473239</v>
      </c>
      <c r="F45" s="17" t="n">
        <f aca="false">D45/C45-1</f>
        <v>-2.8576744265755</v>
      </c>
      <c r="G45" s="17" t="n">
        <f aca="false">E45/D45-1</f>
        <v>-0.0887545043894894</v>
      </c>
    </row>
    <row r="46" customFormat="false" ht="15" hidden="false" customHeight="false" outlineLevel="0" collapsed="false">
      <c r="B46" s="15" t="s">
        <v>79</v>
      </c>
      <c r="C46" s="16" t="n">
        <v>0</v>
      </c>
      <c r="D46" s="16" t="n">
        <v>0</v>
      </c>
      <c r="E46" s="16" t="n">
        <v>0</v>
      </c>
    </row>
    <row r="47" customFormat="false" ht="15" hidden="false" customHeight="false" outlineLevel="0" collapsed="false">
      <c r="B47" s="20" t="s">
        <v>80</v>
      </c>
      <c r="C47" s="21" t="n">
        <v>-13266485717</v>
      </c>
      <c r="D47" s="21" t="n">
        <v>24644811247</v>
      </c>
      <c r="E47" s="21" t="n">
        <v>22457473239</v>
      </c>
      <c r="F47" s="17" t="n">
        <f aca="false">D47/C47-1</f>
        <v>-2.8576744265755</v>
      </c>
      <c r="G47" s="17" t="n">
        <f aca="false">E47/D47-1</f>
        <v>-0.0887545043894894</v>
      </c>
    </row>
    <row r="49" customFormat="false" ht="15" hidden="false" customHeight="false" outlineLevel="0" collapsed="false">
      <c r="B49" s="22" t="s">
        <v>81</v>
      </c>
    </row>
    <row r="50" customFormat="false" ht="15" hidden="false" customHeight="false" outlineLevel="0" collapsed="false">
      <c r="A50" s="23"/>
      <c r="B50" s="24" t="s">
        <v>32</v>
      </c>
      <c r="C50" s="23" t="s">
        <v>82</v>
      </c>
      <c r="D50" s="23" t="s">
        <v>83</v>
      </c>
      <c r="E50" s="23" t="s">
        <v>84</v>
      </c>
    </row>
    <row r="51" customFormat="false" ht="15" hidden="false" customHeight="false" outlineLevel="0" collapsed="false">
      <c r="B51" s="25" t="s">
        <v>85</v>
      </c>
      <c r="C51" s="26" t="n">
        <f aca="false">C33/C7</f>
        <v>0.961456784635371</v>
      </c>
      <c r="D51" s="26" t="n">
        <f aca="false">D33/D7</f>
        <v>0.063214699760479</v>
      </c>
      <c r="E51" s="26" t="n">
        <f aca="false">E33/E7</f>
        <v>1.24853622857143</v>
      </c>
    </row>
    <row r="52" customFormat="false" ht="15" hidden="false" customHeight="false" outlineLevel="0" collapsed="false">
      <c r="B52" s="25" t="s">
        <v>86</v>
      </c>
      <c r="C52" s="26" t="n">
        <f aca="false">C43/C7</f>
        <v>0</v>
      </c>
      <c r="D52" s="26" t="n">
        <f aca="false">D43/D7</f>
        <v>0.0597604790419162</v>
      </c>
      <c r="E52" s="26" t="n">
        <f aca="false">E43/E7</f>
        <v>0</v>
      </c>
    </row>
    <row r="53" customFormat="false" ht="15" hidden="false" customHeight="false" outlineLevel="0" collapsed="false">
      <c r="B53" s="25" t="s">
        <v>87</v>
      </c>
      <c r="C53" s="26" t="n">
        <f aca="false">C13/C7</f>
        <v>36.2778956949892</v>
      </c>
      <c r="D53" s="26" t="n">
        <f aca="false">D13/D7</f>
        <v>1.13131906934132</v>
      </c>
      <c r="E53" s="26" t="n">
        <f aca="false">E13/E7</f>
        <v>22.1775343485714</v>
      </c>
    </row>
    <row r="54" customFormat="false" ht="15" hidden="false" customHeight="false" outlineLevel="0" collapsed="false">
      <c r="B54" s="25" t="s">
        <v>88</v>
      </c>
      <c r="C54" s="26" t="n">
        <f aca="false">(C14+C15+C16)/C7</f>
        <v>8.68701913410349</v>
      </c>
      <c r="D54" s="26" t="n">
        <f aca="false">(D14+D15+D16)/D7</f>
        <v>0.297313097365269</v>
      </c>
      <c r="E54" s="26" t="n">
        <f aca="false">(E14+E15+E16)/E7</f>
        <v>3.98675102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45"/>
  </cols>
  <sheetData>
    <row r="1" customFormat="false" ht="17.35" hidden="false" customHeight="false" outlineLevel="0" collapsed="false">
      <c r="B1" s="11" t="s">
        <v>89</v>
      </c>
      <c r="C1" s="11"/>
      <c r="D1" s="11"/>
      <c r="E1" s="11"/>
      <c r="F1" s="11"/>
    </row>
    <row r="2" customFormat="false" ht="15" hidden="false" customHeight="false" outlineLevel="0" collapsed="false">
      <c r="B2" s="12" t="s">
        <v>90</v>
      </c>
      <c r="C2" s="12"/>
      <c r="D2" s="12"/>
      <c r="E2" s="12"/>
      <c r="F2" s="12"/>
    </row>
    <row r="4" customFormat="false" ht="15" hidden="false" customHeight="false" outlineLevel="0" collapsed="false">
      <c r="A4" s="13"/>
      <c r="B4" s="14" t="s">
        <v>32</v>
      </c>
      <c r="C4" s="13" t="s">
        <v>33</v>
      </c>
      <c r="D4" s="13" t="s">
        <v>34</v>
      </c>
      <c r="E4" s="13" t="s">
        <v>91</v>
      </c>
      <c r="F4" s="14" t="s">
        <v>92</v>
      </c>
    </row>
    <row r="5" customFormat="false" ht="15" hidden="false" customHeight="false" outlineLevel="0" collapsed="false">
      <c r="B5" s="27" t="s">
        <v>93</v>
      </c>
      <c r="C5" s="21" t="n">
        <v>10874918983</v>
      </c>
      <c r="D5" s="21" t="n">
        <v>50705530552</v>
      </c>
      <c r="E5" s="21" t="n">
        <v>56836386617</v>
      </c>
      <c r="F5" s="28"/>
    </row>
    <row r="6" customFormat="false" ht="15" hidden="false" customHeight="false" outlineLevel="0" collapsed="false">
      <c r="B6" s="18" t="s">
        <v>40</v>
      </c>
      <c r="C6" s="29" t="n">
        <v>304677980</v>
      </c>
      <c r="D6" s="29" t="n">
        <v>8350000000</v>
      </c>
      <c r="E6" s="29" t="n">
        <v>700000000</v>
      </c>
      <c r="F6" s="30" t="s">
        <v>94</v>
      </c>
    </row>
    <row r="7" customFormat="false" ht="15" hidden="false" customHeight="false" outlineLevel="0" collapsed="false">
      <c r="B7" s="18" t="s">
        <v>41</v>
      </c>
      <c r="C7" s="29" t="n">
        <v>10570241003</v>
      </c>
      <c r="D7" s="29" t="n">
        <v>1284172830</v>
      </c>
      <c r="E7" s="29" t="n">
        <v>183395065</v>
      </c>
      <c r="F7" s="30" t="s">
        <v>95</v>
      </c>
    </row>
    <row r="8" customFormat="false" ht="15" hidden="false" customHeight="false" outlineLevel="0" collapsed="false">
      <c r="B8" s="18" t="s">
        <v>42</v>
      </c>
      <c r="C8" s="29" t="n">
        <v>0</v>
      </c>
      <c r="D8" s="29" t="n">
        <v>41071357722</v>
      </c>
      <c r="E8" s="29" t="n">
        <v>55952991552</v>
      </c>
      <c r="F8" s="30" t="s">
        <v>96</v>
      </c>
    </row>
    <row r="10" customFormat="false" ht="15" hidden="false" customHeight="false" outlineLevel="0" collapsed="false">
      <c r="B10" s="31" t="s">
        <v>97</v>
      </c>
      <c r="C10" s="32"/>
      <c r="D10" s="32"/>
      <c r="E10" s="32"/>
      <c r="F10" s="33"/>
    </row>
    <row r="11" customFormat="false" ht="15" hidden="false" customHeight="false" outlineLevel="0" collapsed="false">
      <c r="B11" s="34" t="s">
        <v>98</v>
      </c>
      <c r="C11" s="19" t="n">
        <v>0</v>
      </c>
      <c r="D11" s="19" t="n">
        <v>-8350000000</v>
      </c>
      <c r="E11" s="19" t="n">
        <v>0</v>
      </c>
      <c r="F11" s="35" t="s">
        <v>99</v>
      </c>
    </row>
    <row r="12" customFormat="false" ht="15" hidden="false" customHeight="false" outlineLevel="0" collapsed="false">
      <c r="B12" s="34" t="s">
        <v>100</v>
      </c>
      <c r="C12" s="19" t="n">
        <v>0</v>
      </c>
      <c r="D12" s="19" t="n">
        <v>0</v>
      </c>
      <c r="E12" s="19" t="n">
        <v>0</v>
      </c>
      <c r="F12" s="30" t="s">
        <v>101</v>
      </c>
    </row>
    <row r="13" customFormat="false" ht="15" hidden="false" customHeight="false" outlineLevel="0" collapsed="false">
      <c r="B13" s="27" t="s">
        <v>102</v>
      </c>
      <c r="C13" s="21" t="n">
        <v>10874918983</v>
      </c>
      <c r="D13" s="21" t="n">
        <v>42355530552</v>
      </c>
      <c r="E13" s="21" t="n">
        <v>56836386617</v>
      </c>
      <c r="F13" s="28"/>
    </row>
    <row r="15" customFormat="false" ht="15" hidden="false" customHeight="false" outlineLevel="0" collapsed="false">
      <c r="B15" s="27" t="s">
        <v>103</v>
      </c>
      <c r="C15" s="21" t="n">
        <v>-13357472507</v>
      </c>
      <c r="D15" s="21" t="n">
        <v>27237241891</v>
      </c>
      <c r="E15" s="21" t="n">
        <v>21587792333</v>
      </c>
      <c r="F15" s="28"/>
    </row>
    <row r="17" customFormat="false" ht="15" hidden="false" customHeight="false" outlineLevel="0" collapsed="false">
      <c r="B17" s="31" t="s">
        <v>104</v>
      </c>
      <c r="C17" s="32"/>
      <c r="D17" s="32"/>
      <c r="E17" s="32"/>
      <c r="F17" s="33"/>
    </row>
    <row r="18" customFormat="false" ht="15" hidden="false" customHeight="false" outlineLevel="0" collapsed="false">
      <c r="B18" s="18" t="s">
        <v>105</v>
      </c>
      <c r="C18" s="29" t="n">
        <v>-13357472507</v>
      </c>
      <c r="D18" s="29" t="n">
        <v>27237241891</v>
      </c>
      <c r="E18" s="29" t="n">
        <v>21587792333</v>
      </c>
      <c r="F18" s="30"/>
    </row>
    <row r="19" customFormat="false" ht="15" hidden="false" customHeight="false" outlineLevel="0" collapsed="false">
      <c r="B19" s="36" t="s">
        <v>106</v>
      </c>
      <c r="C19" s="29" t="n">
        <v>742458979</v>
      </c>
      <c r="D19" s="29" t="n">
        <v>463366272</v>
      </c>
      <c r="E19" s="29" t="n">
        <v>464756098</v>
      </c>
      <c r="F19" s="30" t="s">
        <v>107</v>
      </c>
    </row>
    <row r="20" customFormat="false" ht="15" hidden="false" customHeight="false" outlineLevel="0" collapsed="false">
      <c r="B20" s="36" t="s">
        <v>108</v>
      </c>
      <c r="C20" s="29" t="n">
        <v>25681474</v>
      </c>
      <c r="D20" s="29" t="n">
        <v>29327515</v>
      </c>
      <c r="E20" s="29" t="n">
        <v>32816645</v>
      </c>
      <c r="F20" s="30" t="s">
        <v>109</v>
      </c>
    </row>
    <row r="21" customFormat="false" ht="15" hidden="false" customHeight="false" outlineLevel="0" collapsed="false">
      <c r="B21" s="27" t="s">
        <v>110</v>
      </c>
      <c r="C21" s="21" t="n">
        <v>-12589332054</v>
      </c>
      <c r="D21" s="21" t="n">
        <v>27729935678</v>
      </c>
      <c r="E21" s="21" t="n">
        <v>22085365076</v>
      </c>
      <c r="F21" s="28"/>
    </row>
    <row r="23" customFormat="false" ht="15" hidden="false" customHeight="false" outlineLevel="0" collapsed="false">
      <c r="B23" s="31" t="s">
        <v>111</v>
      </c>
      <c r="C23" s="32"/>
      <c r="D23" s="32"/>
      <c r="E23" s="32"/>
      <c r="F23" s="33"/>
    </row>
    <row r="24" customFormat="false" ht="15" hidden="false" customHeight="false" outlineLevel="0" collapsed="false">
      <c r="B24" s="34" t="s">
        <v>112</v>
      </c>
      <c r="C24" s="19" t="n">
        <v>0</v>
      </c>
      <c r="D24" s="19" t="n">
        <v>-3500000000</v>
      </c>
      <c r="E24" s="19" t="n">
        <v>-5000000000</v>
      </c>
      <c r="F24" s="30" t="s">
        <v>113</v>
      </c>
    </row>
    <row r="25" customFormat="false" ht="15" hidden="false" customHeight="false" outlineLevel="0" collapsed="false">
      <c r="B25" s="34" t="s">
        <v>114</v>
      </c>
      <c r="C25" s="19" t="n">
        <v>-800000000</v>
      </c>
      <c r="D25" s="19" t="n">
        <v>0</v>
      </c>
      <c r="E25" s="19" t="n">
        <v>0</v>
      </c>
      <c r="F25" s="35" t="s">
        <v>115</v>
      </c>
    </row>
    <row r="26" customFormat="false" ht="15" hidden="false" customHeight="false" outlineLevel="0" collapsed="false">
      <c r="B26" s="34" t="s">
        <v>116</v>
      </c>
      <c r="C26" s="19" t="n">
        <v>0</v>
      </c>
      <c r="D26" s="19" t="n">
        <v>0</v>
      </c>
      <c r="E26" s="19" t="n">
        <v>0</v>
      </c>
      <c r="F26" s="30" t="s">
        <v>117</v>
      </c>
    </row>
    <row r="27" customFormat="false" ht="15" hidden="false" customHeight="false" outlineLevel="0" collapsed="false">
      <c r="B27" s="34" t="s">
        <v>118</v>
      </c>
      <c r="C27" s="19" t="n">
        <v>0</v>
      </c>
      <c r="D27" s="19" t="n">
        <v>0</v>
      </c>
      <c r="E27" s="19" t="n">
        <v>0</v>
      </c>
      <c r="F27" s="30" t="s">
        <v>119</v>
      </c>
    </row>
    <row r="28" customFormat="false" ht="15" hidden="false" customHeight="false" outlineLevel="0" collapsed="false">
      <c r="B28" s="34" t="s">
        <v>120</v>
      </c>
      <c r="C28" s="19" t="n">
        <v>0</v>
      </c>
      <c r="D28" s="19" t="n">
        <v>-334335000</v>
      </c>
      <c r="E28" s="19" t="n">
        <v>-234415107</v>
      </c>
      <c r="F28" s="30" t="s">
        <v>121</v>
      </c>
    </row>
    <row r="29" customFormat="false" ht="15" hidden="false" customHeight="false" outlineLevel="0" collapsed="false">
      <c r="B29" s="34" t="s">
        <v>122</v>
      </c>
      <c r="C29" s="19" t="n">
        <v>0</v>
      </c>
      <c r="D29" s="19" t="n">
        <v>499000000</v>
      </c>
      <c r="E29" s="19" t="n">
        <v>0</v>
      </c>
      <c r="F29" s="30" t="s">
        <v>123</v>
      </c>
    </row>
    <row r="30" customFormat="false" ht="15" hidden="false" customHeight="false" outlineLevel="0" collapsed="false">
      <c r="B30" s="34" t="s">
        <v>124</v>
      </c>
      <c r="C30" s="19" t="n">
        <v>0</v>
      </c>
      <c r="D30" s="19" t="n">
        <v>2584897251</v>
      </c>
      <c r="E30" s="19" t="n">
        <v>0</v>
      </c>
      <c r="F30" s="30" t="s">
        <v>125</v>
      </c>
    </row>
    <row r="31" customFormat="false" ht="15" hidden="false" customHeight="false" outlineLevel="0" collapsed="false">
      <c r="B31" s="34" t="s">
        <v>126</v>
      </c>
      <c r="C31" s="19" t="n">
        <v>0</v>
      </c>
      <c r="D31" s="19" t="n">
        <v>-8350000000</v>
      </c>
      <c r="E31" s="19" t="n">
        <v>0</v>
      </c>
      <c r="F31" s="35" t="s">
        <v>127</v>
      </c>
    </row>
    <row r="32" customFormat="false" ht="15" hidden="false" customHeight="false" outlineLevel="0" collapsed="false">
      <c r="B32" s="20" t="s">
        <v>128</v>
      </c>
      <c r="C32" s="21" t="n">
        <v>-800000000</v>
      </c>
      <c r="D32" s="21" t="n">
        <v>-9100437749</v>
      </c>
      <c r="E32" s="21" t="n">
        <v>-5234415107</v>
      </c>
      <c r="F32" s="28"/>
    </row>
    <row r="34" customFormat="false" ht="15" hidden="false" customHeight="false" outlineLevel="0" collapsed="false">
      <c r="B34" s="27" t="s">
        <v>129</v>
      </c>
      <c r="C34" s="21" t="n">
        <v>-13389332054</v>
      </c>
      <c r="D34" s="21" t="n">
        <v>18629497929</v>
      </c>
      <c r="E34" s="21" t="n">
        <v>16850949969</v>
      </c>
      <c r="F34" s="28"/>
    </row>
    <row r="36" customFormat="false" ht="15" hidden="false" customHeight="false" outlineLevel="0" collapsed="false">
      <c r="B36" s="37" t="s">
        <v>130</v>
      </c>
      <c r="C36" s="38" t="n">
        <v>-1.23121211982642</v>
      </c>
      <c r="D36" s="38" t="n">
        <v>0.439836254822225</v>
      </c>
      <c r="E36" s="38" t="n">
        <v>0.296481725387515</v>
      </c>
      <c r="F36" s="39" t="s">
        <v>131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7" min="6" style="0" width="14"/>
  </cols>
  <sheetData>
    <row r="1" customFormat="false" ht="17.35" hidden="false" customHeight="false" outlineLevel="0" collapsed="false">
      <c r="B1" s="11" t="s">
        <v>132</v>
      </c>
      <c r="C1" s="11"/>
      <c r="D1" s="11"/>
      <c r="E1" s="11"/>
      <c r="F1" s="11"/>
      <c r="G1" s="11"/>
    </row>
    <row r="2" customFormat="false" ht="15" hidden="false" customHeight="false" outlineLevel="0" collapsed="false">
      <c r="B2" s="12" t="s">
        <v>31</v>
      </c>
      <c r="C2" s="12"/>
      <c r="D2" s="12"/>
      <c r="E2" s="12"/>
      <c r="F2" s="12"/>
      <c r="G2" s="12"/>
    </row>
    <row r="4" customFormat="false" ht="15" hidden="false" customHeight="false" outlineLevel="0" collapsed="false">
      <c r="A4" s="40"/>
      <c r="B4" s="41" t="s">
        <v>32</v>
      </c>
      <c r="C4" s="40" t="s">
        <v>33</v>
      </c>
      <c r="D4" s="40" t="s">
        <v>34</v>
      </c>
      <c r="E4" s="40" t="s">
        <v>91</v>
      </c>
      <c r="F4" s="41" t="s">
        <v>133</v>
      </c>
      <c r="G4" s="41" t="s">
        <v>134</v>
      </c>
    </row>
    <row r="5" customFormat="false" ht="15" hidden="false" customHeight="false" outlineLevel="0" collapsed="false">
      <c r="B5" s="42" t="s">
        <v>135</v>
      </c>
      <c r="C5" s="32"/>
      <c r="D5" s="32"/>
      <c r="E5" s="32"/>
      <c r="F5" s="32"/>
      <c r="G5" s="32"/>
    </row>
    <row r="6" customFormat="false" ht="15" hidden="false" customHeight="false" outlineLevel="0" collapsed="false">
      <c r="B6" s="43" t="s">
        <v>136</v>
      </c>
      <c r="C6" s="44" t="n">
        <v>11428722137</v>
      </c>
      <c r="D6" s="44" t="n">
        <v>37039462886</v>
      </c>
      <c r="E6" s="44" t="n">
        <v>47337380497</v>
      </c>
      <c r="F6" s="45" t="n">
        <v>10297917611</v>
      </c>
      <c r="G6" s="46"/>
    </row>
    <row r="7" customFormat="false" ht="15" hidden="false" customHeight="false" outlineLevel="0" collapsed="false">
      <c r="B7" s="18" t="s">
        <v>137</v>
      </c>
      <c r="C7" s="19" t="n">
        <v>1083007955</v>
      </c>
      <c r="D7" s="19" t="n">
        <v>9895308998</v>
      </c>
      <c r="E7" s="19" t="n">
        <v>13720519581</v>
      </c>
      <c r="F7" s="47" t="n">
        <v>3825210583</v>
      </c>
    </row>
    <row r="8" customFormat="false" ht="15" hidden="false" customHeight="false" outlineLevel="0" collapsed="false">
      <c r="B8" s="18" t="s">
        <v>138</v>
      </c>
      <c r="C8" s="19" t="n">
        <v>0</v>
      </c>
      <c r="D8" s="19" t="n">
        <v>4000000000</v>
      </c>
      <c r="E8" s="19" t="n">
        <v>21000000000</v>
      </c>
      <c r="F8" s="47" t="n">
        <v>17000000000</v>
      </c>
    </row>
    <row r="9" customFormat="false" ht="15" hidden="false" customHeight="false" outlineLevel="0" collapsed="false">
      <c r="B9" s="18" t="s">
        <v>139</v>
      </c>
      <c r="C9" s="19" t="n">
        <v>119316844</v>
      </c>
      <c r="D9" s="19" t="n">
        <v>12351677137</v>
      </c>
      <c r="E9" s="19" t="n">
        <v>8023482143</v>
      </c>
      <c r="F9" s="47" t="n">
        <v>-4328194994</v>
      </c>
    </row>
    <row r="10" customFormat="false" ht="15" hidden="false" customHeight="false" outlineLevel="0" collapsed="false">
      <c r="B10" s="18" t="s">
        <v>140</v>
      </c>
      <c r="C10" s="19" t="n">
        <v>2905525000</v>
      </c>
      <c r="D10" s="19" t="n">
        <v>3320175000</v>
      </c>
      <c r="E10" s="19" t="n">
        <v>1778447870</v>
      </c>
      <c r="F10" s="47" t="n">
        <v>-1541727130</v>
      </c>
    </row>
    <row r="11" customFormat="false" ht="15" hidden="false" customHeight="false" outlineLevel="0" collapsed="false">
      <c r="B11" s="18" t="s">
        <v>141</v>
      </c>
      <c r="C11" s="19" t="n">
        <v>67553114</v>
      </c>
      <c r="D11" s="19" t="n">
        <v>222611679</v>
      </c>
      <c r="E11" s="19" t="n">
        <v>449629866</v>
      </c>
      <c r="F11" s="47" t="n">
        <v>227018187</v>
      </c>
    </row>
    <row r="12" customFormat="false" ht="15" hidden="false" customHeight="false" outlineLevel="0" collapsed="false">
      <c r="B12" s="18" t="s">
        <v>142</v>
      </c>
      <c r="C12" s="19" t="n">
        <v>3850000</v>
      </c>
      <c r="D12" s="19" t="n">
        <v>1390740</v>
      </c>
      <c r="E12" s="19" t="n">
        <v>1704820</v>
      </c>
      <c r="F12" s="47" t="n">
        <v>314080</v>
      </c>
    </row>
    <row r="13" customFormat="false" ht="15" hidden="false" customHeight="false" outlineLevel="0" collapsed="false">
      <c r="B13" s="18" t="s">
        <v>143</v>
      </c>
      <c r="C13" s="19" t="n">
        <v>6003871977</v>
      </c>
      <c r="D13" s="19" t="n">
        <v>5920369960</v>
      </c>
      <c r="E13" s="19" t="n">
        <v>1057131480</v>
      </c>
      <c r="F13" s="47" t="n">
        <v>-4863238480</v>
      </c>
    </row>
    <row r="14" customFormat="false" ht="15" hidden="false" customHeight="false" outlineLevel="0" collapsed="false">
      <c r="B14" s="18" t="s">
        <v>144</v>
      </c>
      <c r="C14" s="19" t="n">
        <v>1649935</v>
      </c>
      <c r="D14" s="19" t="n">
        <v>88389130</v>
      </c>
      <c r="E14" s="19" t="n">
        <v>8272515</v>
      </c>
      <c r="F14" s="47" t="n">
        <v>-80116615</v>
      </c>
    </row>
    <row r="15" customFormat="false" ht="15" hidden="false" customHeight="false" outlineLevel="0" collapsed="false">
      <c r="B15" s="18" t="s">
        <v>145</v>
      </c>
      <c r="C15" s="19" t="n">
        <v>1243947312</v>
      </c>
      <c r="D15" s="19" t="n">
        <v>1239540242</v>
      </c>
      <c r="E15" s="19" t="n">
        <v>1298192222</v>
      </c>
      <c r="F15" s="47" t="n">
        <v>58651980</v>
      </c>
    </row>
    <row r="16" customFormat="false" ht="15" hidden="false" customHeight="false" outlineLevel="0" collapsed="false">
      <c r="B16" s="43" t="s">
        <v>146</v>
      </c>
      <c r="C16" s="44" t="n">
        <v>7392514068</v>
      </c>
      <c r="D16" s="44" t="n">
        <v>6854565473</v>
      </c>
      <c r="E16" s="44" t="n">
        <v>15296707697</v>
      </c>
      <c r="F16" s="45" t="n">
        <v>8442142224</v>
      </c>
      <c r="G16" s="46"/>
    </row>
    <row r="17" customFormat="false" ht="15" hidden="false" customHeight="false" outlineLevel="0" collapsed="false">
      <c r="B17" s="48" t="s">
        <v>147</v>
      </c>
      <c r="C17" s="19" t="n">
        <v>4186601000</v>
      </c>
      <c r="D17" s="19" t="n">
        <v>3637601000</v>
      </c>
      <c r="E17" s="19" t="n">
        <v>3637601000</v>
      </c>
      <c r="F17" s="47" t="n">
        <v>0</v>
      </c>
    </row>
    <row r="18" customFormat="false" ht="15" hidden="false" customHeight="false" outlineLevel="0" collapsed="false">
      <c r="B18" s="18" t="s">
        <v>148</v>
      </c>
      <c r="C18" s="19" t="n">
        <v>3986601000</v>
      </c>
      <c r="D18" s="19" t="n">
        <v>3487601000</v>
      </c>
      <c r="E18" s="19" t="n">
        <v>3487601000</v>
      </c>
      <c r="F18" s="47" t="n">
        <v>0</v>
      </c>
    </row>
    <row r="19" customFormat="false" ht="15" hidden="false" customHeight="false" outlineLevel="0" collapsed="false">
      <c r="B19" s="18" t="s">
        <v>149</v>
      </c>
      <c r="C19" s="19" t="n">
        <v>200000000</v>
      </c>
      <c r="D19" s="19" t="n">
        <v>150000000</v>
      </c>
      <c r="E19" s="19" t="n">
        <v>150000000</v>
      </c>
      <c r="F19" s="47" t="n">
        <v>0</v>
      </c>
    </row>
    <row r="20" customFormat="false" ht="15" hidden="false" customHeight="false" outlineLevel="0" collapsed="false">
      <c r="B20" s="48" t="s">
        <v>150</v>
      </c>
      <c r="C20" s="19" t="n">
        <v>924349732</v>
      </c>
      <c r="D20" s="19" t="n">
        <v>642644336</v>
      </c>
      <c r="E20" s="19" t="n">
        <v>868933623</v>
      </c>
      <c r="F20" s="47" t="n">
        <v>226289287</v>
      </c>
    </row>
    <row r="21" customFormat="false" ht="15" hidden="false" customHeight="false" outlineLevel="0" collapsed="false">
      <c r="B21" s="18" t="s">
        <v>151</v>
      </c>
      <c r="C21" s="19" t="n">
        <v>435082718</v>
      </c>
      <c r="D21" s="19" t="n">
        <v>299422480</v>
      </c>
      <c r="E21" s="19" t="n">
        <v>617621987</v>
      </c>
      <c r="F21" s="47" t="n">
        <v>318199507</v>
      </c>
    </row>
    <row r="22" customFormat="false" ht="15" hidden="false" customHeight="false" outlineLevel="0" collapsed="false">
      <c r="B22" s="18" t="s">
        <v>152</v>
      </c>
      <c r="C22" s="19" t="n">
        <v>489267014</v>
      </c>
      <c r="D22" s="19" t="n">
        <v>343221856</v>
      </c>
      <c r="E22" s="19" t="n">
        <v>251311636</v>
      </c>
      <c r="F22" s="47" t="n">
        <v>-91910220</v>
      </c>
    </row>
    <row r="23" customFormat="false" ht="15" hidden="false" customHeight="false" outlineLevel="0" collapsed="false">
      <c r="B23" s="48" t="s">
        <v>153</v>
      </c>
      <c r="C23" s="19" t="n">
        <v>71779756</v>
      </c>
      <c r="D23" s="19" t="n">
        <v>73096137</v>
      </c>
      <c r="E23" s="19" t="n">
        <v>8116247404</v>
      </c>
      <c r="F23" s="47" t="n">
        <v>8043151267</v>
      </c>
    </row>
    <row r="24" customFormat="false" ht="15" hidden="false" customHeight="false" outlineLevel="0" collapsed="false">
      <c r="B24" s="18" t="s">
        <v>154</v>
      </c>
      <c r="C24" s="19" t="n">
        <v>71779756</v>
      </c>
      <c r="D24" s="19" t="n">
        <v>64093539</v>
      </c>
      <c r="E24" s="19" t="n">
        <v>109134969</v>
      </c>
      <c r="F24" s="47" t="n">
        <v>45041430</v>
      </c>
    </row>
    <row r="25" customFormat="false" ht="15" hidden="false" customHeight="false" outlineLevel="0" collapsed="false">
      <c r="B25" s="18" t="s">
        <v>155</v>
      </c>
      <c r="C25" s="19" t="n">
        <v>0</v>
      </c>
      <c r="D25" s="19" t="n">
        <v>9002598</v>
      </c>
      <c r="E25" s="19" t="n">
        <v>7112435</v>
      </c>
      <c r="F25" s="47" t="n">
        <v>-1890163</v>
      </c>
    </row>
    <row r="26" customFormat="false" ht="15" hidden="false" customHeight="false" outlineLevel="0" collapsed="false">
      <c r="B26" s="18" t="s">
        <v>156</v>
      </c>
      <c r="C26" s="19" t="n">
        <v>0</v>
      </c>
      <c r="D26" s="19" t="n">
        <v>0</v>
      </c>
      <c r="E26" s="19" t="n">
        <v>8000000000</v>
      </c>
      <c r="F26" s="47" t="n">
        <v>8000000000</v>
      </c>
    </row>
    <row r="27" customFormat="false" ht="15" hidden="false" customHeight="false" outlineLevel="0" collapsed="false">
      <c r="B27" s="48" t="s">
        <v>157</v>
      </c>
      <c r="C27" s="19" t="n">
        <v>2209783580</v>
      </c>
      <c r="D27" s="19" t="n">
        <v>2501224000</v>
      </c>
      <c r="E27" s="19" t="n">
        <v>2673925670</v>
      </c>
      <c r="F27" s="47" t="n">
        <v>172701670</v>
      </c>
    </row>
    <row r="28" customFormat="false" ht="15" hidden="false" customHeight="false" outlineLevel="0" collapsed="false">
      <c r="B28" s="18" t="s">
        <v>158</v>
      </c>
      <c r="C28" s="19" t="n">
        <v>2021118000</v>
      </c>
      <c r="D28" s="19" t="n">
        <v>2292395000</v>
      </c>
      <c r="E28" s="19" t="n">
        <v>2461166850</v>
      </c>
      <c r="F28" s="47" t="n">
        <v>168771850</v>
      </c>
    </row>
    <row r="29" customFormat="false" ht="15" hidden="false" customHeight="false" outlineLevel="0" collapsed="false">
      <c r="B29" s="18" t="s">
        <v>159</v>
      </c>
      <c r="C29" s="19" t="n">
        <v>188665580</v>
      </c>
      <c r="D29" s="19" t="n">
        <v>208829000</v>
      </c>
      <c r="E29" s="19" t="n">
        <v>212758820</v>
      </c>
      <c r="F29" s="47" t="n">
        <v>3929820</v>
      </c>
    </row>
    <row r="30" customFormat="false" ht="15" hidden="false" customHeight="false" outlineLevel="0" collapsed="false">
      <c r="B30" s="20" t="s">
        <v>160</v>
      </c>
      <c r="C30" s="21" t="n">
        <v>18821236205</v>
      </c>
      <c r="D30" s="21" t="n">
        <v>43894028359</v>
      </c>
      <c r="E30" s="21" t="n">
        <v>62634088194</v>
      </c>
      <c r="F30" s="49" t="n">
        <v>18740059835</v>
      </c>
      <c r="G30" s="50"/>
    </row>
    <row r="32" customFormat="false" ht="15" hidden="false" customHeight="false" outlineLevel="0" collapsed="false">
      <c r="B32" s="42" t="s">
        <v>161</v>
      </c>
      <c r="C32" s="32"/>
      <c r="D32" s="32"/>
      <c r="E32" s="32"/>
      <c r="F32" s="32"/>
      <c r="G32" s="32"/>
    </row>
    <row r="33" customFormat="false" ht="15" hidden="false" customHeight="false" outlineLevel="0" collapsed="false">
      <c r="B33" s="43" t="s">
        <v>162</v>
      </c>
      <c r="C33" s="44" t="n">
        <v>15640411418</v>
      </c>
      <c r="D33" s="44" t="n">
        <v>16068392325</v>
      </c>
      <c r="E33" s="44" t="n">
        <v>12344978921</v>
      </c>
      <c r="F33" s="45" t="n">
        <v>-3723413404</v>
      </c>
      <c r="G33" s="46"/>
    </row>
    <row r="34" customFormat="false" ht="15" hidden="false" customHeight="false" outlineLevel="0" collapsed="false">
      <c r="B34" s="18" t="s">
        <v>163</v>
      </c>
      <c r="C34" s="19" t="n">
        <v>195728463</v>
      </c>
      <c r="D34" s="19" t="n">
        <v>4153717648</v>
      </c>
      <c r="E34" s="19" t="n">
        <v>1851937100</v>
      </c>
      <c r="F34" s="47" t="n">
        <v>-2301780548</v>
      </c>
    </row>
    <row r="35" customFormat="false" ht="15" hidden="false" customHeight="false" outlineLevel="0" collapsed="false">
      <c r="B35" s="18" t="s">
        <v>164</v>
      </c>
      <c r="C35" s="19" t="n">
        <v>72744090</v>
      </c>
      <c r="D35" s="19" t="n">
        <v>98766900</v>
      </c>
      <c r="E35" s="19" t="n">
        <v>226372485</v>
      </c>
      <c r="F35" s="47" t="n">
        <v>127605585</v>
      </c>
    </row>
    <row r="36" customFormat="false" ht="15" hidden="false" customHeight="false" outlineLevel="0" collapsed="false">
      <c r="B36" s="18" t="s">
        <v>165</v>
      </c>
      <c r="C36" s="19" t="n">
        <v>332066711</v>
      </c>
      <c r="D36" s="19" t="n">
        <v>1658893471</v>
      </c>
      <c r="E36" s="19" t="n">
        <v>1197862403</v>
      </c>
      <c r="F36" s="47" t="n">
        <v>-461031068</v>
      </c>
    </row>
    <row r="37" customFormat="false" ht="15" hidden="false" customHeight="false" outlineLevel="0" collapsed="false">
      <c r="B37" s="18" t="s">
        <v>166</v>
      </c>
      <c r="C37" s="19" t="n">
        <v>14374560000</v>
      </c>
      <c r="D37" s="19" t="n">
        <v>9024560000</v>
      </c>
      <c r="E37" s="19" t="n">
        <v>8324560000</v>
      </c>
      <c r="F37" s="47" t="n">
        <v>-700000000</v>
      </c>
    </row>
    <row r="38" customFormat="false" ht="15" hidden="false" customHeight="false" outlineLevel="0" collapsed="false">
      <c r="B38" s="18" t="s">
        <v>167</v>
      </c>
      <c r="C38" s="19" t="n">
        <v>0</v>
      </c>
      <c r="D38" s="19" t="n">
        <v>40000000</v>
      </c>
      <c r="E38" s="19" t="n">
        <v>0</v>
      </c>
      <c r="F38" s="47" t="n">
        <v>-40000000</v>
      </c>
    </row>
    <row r="39" customFormat="false" ht="15" hidden="false" customHeight="false" outlineLevel="0" collapsed="false">
      <c r="B39" s="18" t="s">
        <v>168</v>
      </c>
      <c r="C39" s="19" t="n">
        <v>664812154</v>
      </c>
      <c r="D39" s="19" t="n">
        <v>1092454306</v>
      </c>
      <c r="E39" s="19" t="n">
        <v>744246933</v>
      </c>
      <c r="F39" s="47" t="n">
        <v>-348207373</v>
      </c>
    </row>
    <row r="40" customFormat="false" ht="15" hidden="false" customHeight="false" outlineLevel="0" collapsed="false">
      <c r="B40" s="18" t="s">
        <v>169</v>
      </c>
      <c r="C40" s="19" t="n">
        <v>500000</v>
      </c>
      <c r="D40" s="19" t="n">
        <v>0</v>
      </c>
      <c r="E40" s="19" t="n">
        <v>0</v>
      </c>
      <c r="F40" s="47" t="n">
        <v>0</v>
      </c>
    </row>
    <row r="41" customFormat="false" ht="15" hidden="false" customHeight="false" outlineLevel="0" collapsed="false">
      <c r="B41" s="43" t="s">
        <v>170</v>
      </c>
      <c r="C41" s="44" t="n">
        <v>0</v>
      </c>
      <c r="D41" s="44" t="n">
        <v>0</v>
      </c>
      <c r="E41" s="44" t="n">
        <v>0</v>
      </c>
      <c r="F41" s="45" t="n">
        <v>0</v>
      </c>
      <c r="G41" s="46"/>
    </row>
    <row r="42" customFormat="false" ht="15" hidden="false" customHeight="false" outlineLevel="0" collapsed="false">
      <c r="B42" s="20" t="s">
        <v>171</v>
      </c>
      <c r="C42" s="21" t="n">
        <v>15640411418</v>
      </c>
      <c r="D42" s="21" t="n">
        <v>16068392325</v>
      </c>
      <c r="E42" s="21" t="n">
        <v>12344978921</v>
      </c>
      <c r="F42" s="49" t="n">
        <v>-3723413404</v>
      </c>
      <c r="G42" s="50"/>
    </row>
    <row r="44" customFormat="false" ht="15" hidden="false" customHeight="false" outlineLevel="0" collapsed="false">
      <c r="B44" s="42" t="s">
        <v>172</v>
      </c>
      <c r="C44" s="32"/>
      <c r="D44" s="32"/>
      <c r="E44" s="32"/>
      <c r="F44" s="32"/>
      <c r="G44" s="32"/>
    </row>
    <row r="45" customFormat="false" ht="15" hidden="false" customHeight="false" outlineLevel="0" collapsed="false">
      <c r="B45" s="43" t="s">
        <v>173</v>
      </c>
      <c r="C45" s="44" t="n">
        <v>990392500</v>
      </c>
      <c r="D45" s="44" t="n">
        <v>990392500</v>
      </c>
      <c r="E45" s="44" t="n">
        <v>990642500</v>
      </c>
      <c r="F45" s="45" t="n">
        <v>250000</v>
      </c>
      <c r="G45" s="46"/>
    </row>
    <row r="46" customFormat="false" ht="15" hidden="false" customHeight="false" outlineLevel="0" collapsed="false">
      <c r="B46" s="43" t="s">
        <v>174</v>
      </c>
      <c r="C46" s="44" t="n">
        <v>29744702115</v>
      </c>
      <c r="D46" s="44" t="n">
        <v>29744702115</v>
      </c>
      <c r="E46" s="44" t="n">
        <v>29750452115</v>
      </c>
      <c r="F46" s="45" t="n">
        <v>5750000</v>
      </c>
      <c r="G46" s="46"/>
    </row>
    <row r="47" customFormat="false" ht="15" hidden="false" customHeight="false" outlineLevel="0" collapsed="false">
      <c r="B47" s="43" t="s">
        <v>175</v>
      </c>
      <c r="C47" s="44" t="n">
        <v>-27554269828</v>
      </c>
      <c r="D47" s="44" t="n">
        <v>-2909458581</v>
      </c>
      <c r="E47" s="44" t="n">
        <v>19548014658</v>
      </c>
      <c r="F47" s="45" t="n">
        <v>22457473239</v>
      </c>
      <c r="G47" s="46"/>
    </row>
    <row r="48" customFormat="false" ht="15" hidden="false" customHeight="false" outlineLevel="0" collapsed="false">
      <c r="B48" s="20" t="s">
        <v>176</v>
      </c>
      <c r="C48" s="21" t="n">
        <v>3180824787</v>
      </c>
      <c r="D48" s="21" t="n">
        <v>27825636034</v>
      </c>
      <c r="E48" s="21" t="n">
        <v>50289109273</v>
      </c>
      <c r="F48" s="49" t="n">
        <v>22463473239</v>
      </c>
      <c r="G48" s="50"/>
    </row>
    <row r="49" customFormat="false" ht="15" hidden="false" customHeight="false" outlineLevel="0" collapsed="false">
      <c r="B49" s="20" t="s">
        <v>177</v>
      </c>
      <c r="C49" s="21" t="n">
        <v>18821236205</v>
      </c>
      <c r="D49" s="21" t="n">
        <v>43894028359</v>
      </c>
      <c r="E49" s="21" t="n">
        <v>62634088194</v>
      </c>
      <c r="F49" s="49" t="n">
        <v>18740059835</v>
      </c>
      <c r="G49" s="50"/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45"/>
  </cols>
  <sheetData>
    <row r="1" customFormat="false" ht="17.35" hidden="false" customHeight="false" outlineLevel="0" collapsed="false">
      <c r="B1" s="11" t="s">
        <v>178</v>
      </c>
      <c r="C1" s="11"/>
      <c r="D1" s="11"/>
      <c r="E1" s="11"/>
      <c r="F1" s="11"/>
    </row>
    <row r="2" customFormat="false" ht="15" hidden="false" customHeight="false" outlineLevel="0" collapsed="false">
      <c r="B2" s="12" t="s">
        <v>31</v>
      </c>
      <c r="C2" s="12"/>
      <c r="D2" s="12"/>
      <c r="E2" s="12"/>
      <c r="F2" s="12"/>
    </row>
    <row r="4" customFormat="false" ht="15" hidden="false" customHeight="false" outlineLevel="0" collapsed="false">
      <c r="A4" s="40"/>
      <c r="B4" s="41" t="s">
        <v>32</v>
      </c>
      <c r="C4" s="40" t="s">
        <v>82</v>
      </c>
      <c r="D4" s="40" t="s">
        <v>83</v>
      </c>
      <c r="E4" s="40" t="s">
        <v>179</v>
      </c>
      <c r="F4" s="41" t="s">
        <v>134</v>
      </c>
    </row>
    <row r="5" customFormat="false" ht="15" hidden="false" customHeight="false" outlineLevel="0" collapsed="false">
      <c r="B5" s="31" t="s">
        <v>180</v>
      </c>
      <c r="C5" s="32"/>
      <c r="D5" s="32"/>
      <c r="E5" s="32"/>
      <c r="F5" s="33"/>
    </row>
    <row r="6" customFormat="false" ht="15" hidden="false" customHeight="false" outlineLevel="0" collapsed="false">
      <c r="B6" s="18" t="s">
        <v>181</v>
      </c>
      <c r="C6" s="29" t="n">
        <v>1083007955</v>
      </c>
      <c r="D6" s="29" t="n">
        <v>9895308998</v>
      </c>
      <c r="E6" s="29" t="n">
        <v>13720519581</v>
      </c>
      <c r="F6" s="30"/>
    </row>
    <row r="7" customFormat="false" ht="15" hidden="false" customHeight="false" outlineLevel="0" collapsed="false">
      <c r="B7" s="18" t="s">
        <v>182</v>
      </c>
      <c r="C7" s="29" t="n">
        <v>0</v>
      </c>
      <c r="D7" s="29" t="n">
        <v>4000000000</v>
      </c>
      <c r="E7" s="29" t="n">
        <v>21000000000</v>
      </c>
      <c r="F7" s="30"/>
    </row>
    <row r="8" customFormat="false" ht="15" hidden="false" customHeight="false" outlineLevel="0" collapsed="false">
      <c r="B8" s="27" t="s">
        <v>183</v>
      </c>
      <c r="C8" s="21" t="n">
        <v>1083007955</v>
      </c>
      <c r="D8" s="21" t="n">
        <v>13895308998</v>
      </c>
      <c r="E8" s="21" t="n">
        <v>34720519581</v>
      </c>
      <c r="F8" s="28"/>
    </row>
    <row r="10" customFormat="false" ht="15" hidden="false" customHeight="false" outlineLevel="0" collapsed="false">
      <c r="B10" s="18" t="s">
        <v>184</v>
      </c>
      <c r="C10" s="29" t="n">
        <v>0</v>
      </c>
      <c r="D10" s="29" t="n">
        <v>40000000</v>
      </c>
      <c r="E10" s="29" t="n">
        <v>0</v>
      </c>
      <c r="F10" s="35" t="s">
        <v>185</v>
      </c>
    </row>
    <row r="11" customFormat="false" ht="15" hidden="false" customHeight="false" outlineLevel="0" collapsed="false">
      <c r="B11" s="27" t="s">
        <v>186</v>
      </c>
      <c r="C11" s="21" t="n">
        <v>0</v>
      </c>
      <c r="D11" s="21" t="n">
        <v>40000000</v>
      </c>
      <c r="E11" s="21" t="n">
        <v>0</v>
      </c>
      <c r="F11" s="28"/>
    </row>
    <row r="13" customFormat="false" ht="15" hidden="false" customHeight="false" outlineLevel="0" collapsed="false">
      <c r="B13" s="27" t="s">
        <v>187</v>
      </c>
      <c r="C13" s="21" t="n">
        <v>-1083007955</v>
      </c>
      <c r="D13" s="21" t="n">
        <v>-13855308998</v>
      </c>
      <c r="E13" s="21" t="n">
        <v>-34720519581</v>
      </c>
      <c r="F13" s="51" t="s">
        <v>188</v>
      </c>
    </row>
    <row r="15" customFormat="false" ht="15" hidden="false" customHeight="false" outlineLevel="0" collapsed="false">
      <c r="B15" s="31" t="s">
        <v>189</v>
      </c>
      <c r="C15" s="32"/>
      <c r="D15" s="32"/>
      <c r="E15" s="32"/>
      <c r="F15" s="33"/>
    </row>
    <row r="16" customFormat="false" ht="15" hidden="false" customHeight="false" outlineLevel="0" collapsed="false">
      <c r="B16" s="52" t="s">
        <v>190</v>
      </c>
      <c r="C16" s="19" t="n">
        <v>14374560000</v>
      </c>
      <c r="D16" s="19" t="n">
        <v>9024560000</v>
      </c>
      <c r="E16" s="19" t="n">
        <v>8324560000</v>
      </c>
      <c r="F16" s="30" t="s">
        <v>191</v>
      </c>
    </row>
    <row r="17" customFormat="false" ht="15" hidden="false" customHeight="false" outlineLevel="0" collapsed="false">
      <c r="B17" s="52" t="s">
        <v>192</v>
      </c>
      <c r="C17" s="19" t="n">
        <v>664812154</v>
      </c>
      <c r="D17" s="19" t="n">
        <v>1092454306</v>
      </c>
      <c r="E17" s="19" t="n">
        <v>744246933</v>
      </c>
      <c r="F17" s="30" t="s">
        <v>193</v>
      </c>
    </row>
    <row r="19" customFormat="false" ht="15" hidden="false" customHeight="false" outlineLevel="0" collapsed="false">
      <c r="B19" s="31" t="s">
        <v>194</v>
      </c>
      <c r="C19" s="32"/>
      <c r="D19" s="32"/>
      <c r="E19" s="32"/>
      <c r="F19" s="33"/>
    </row>
    <row r="20" customFormat="false" ht="15" hidden="false" customHeight="false" outlineLevel="0" collapsed="false">
      <c r="B20" s="53" t="s">
        <v>195</v>
      </c>
      <c r="C20" s="54"/>
      <c r="D20" s="54"/>
      <c r="E20" s="54"/>
      <c r="F20" s="55"/>
    </row>
    <row r="21" customFormat="false" ht="15" hidden="false" customHeight="false" outlineLevel="0" collapsed="false">
      <c r="B21" s="18" t="s">
        <v>139</v>
      </c>
      <c r="C21" s="29" t="n">
        <v>119316844</v>
      </c>
      <c r="D21" s="29" t="n">
        <v>12351677137</v>
      </c>
      <c r="E21" s="29" t="n">
        <v>8023482143</v>
      </c>
      <c r="F21" s="30"/>
    </row>
    <row r="22" customFormat="false" ht="15" hidden="false" customHeight="false" outlineLevel="0" collapsed="false">
      <c r="B22" s="18" t="s">
        <v>141</v>
      </c>
      <c r="C22" s="29" t="n">
        <v>67553114</v>
      </c>
      <c r="D22" s="29" t="n">
        <v>222611679</v>
      </c>
      <c r="E22" s="29" t="n">
        <v>449629866</v>
      </c>
      <c r="F22" s="30"/>
    </row>
    <row r="23" customFormat="false" ht="15" hidden="false" customHeight="false" outlineLevel="0" collapsed="false">
      <c r="B23" s="18" t="s">
        <v>142</v>
      </c>
      <c r="C23" s="29" t="n">
        <v>3850000</v>
      </c>
      <c r="D23" s="29" t="n">
        <v>1390740</v>
      </c>
      <c r="E23" s="29" t="n">
        <v>1704820</v>
      </c>
      <c r="F23" s="30"/>
    </row>
    <row r="24" customFormat="false" ht="15" hidden="false" customHeight="false" outlineLevel="0" collapsed="false">
      <c r="B24" s="53" t="s">
        <v>196</v>
      </c>
      <c r="C24" s="54"/>
      <c r="D24" s="54"/>
      <c r="E24" s="54"/>
      <c r="F24" s="55"/>
    </row>
    <row r="25" customFormat="false" ht="15" hidden="false" customHeight="false" outlineLevel="0" collapsed="false">
      <c r="B25" s="18" t="s">
        <v>163</v>
      </c>
      <c r="C25" s="29" t="n">
        <v>-195728463</v>
      </c>
      <c r="D25" s="29" t="n">
        <v>-4153717648</v>
      </c>
      <c r="E25" s="29" t="n">
        <v>-1851937100</v>
      </c>
      <c r="F25" s="30"/>
    </row>
    <row r="26" customFormat="false" ht="15" hidden="false" customHeight="false" outlineLevel="0" collapsed="false">
      <c r="B26" s="18" t="s">
        <v>168</v>
      </c>
      <c r="C26" s="29" t="n">
        <v>-664812154</v>
      </c>
      <c r="D26" s="29" t="n">
        <v>-1092454306</v>
      </c>
      <c r="E26" s="29" t="n">
        <v>-744246933</v>
      </c>
      <c r="F26" s="30"/>
    </row>
    <row r="27" customFormat="false" ht="15" hidden="false" customHeight="false" outlineLevel="0" collapsed="false">
      <c r="B27" s="18" t="s">
        <v>164</v>
      </c>
      <c r="C27" s="29" t="n">
        <v>-72744090</v>
      </c>
      <c r="D27" s="29" t="n">
        <v>-98766900</v>
      </c>
      <c r="E27" s="29" t="n">
        <v>-226372485</v>
      </c>
      <c r="F27" s="30"/>
    </row>
    <row r="28" customFormat="false" ht="15" hidden="false" customHeight="false" outlineLevel="0" collapsed="false">
      <c r="B28" s="53" t="s">
        <v>197</v>
      </c>
      <c r="C28" s="54"/>
      <c r="D28" s="54"/>
      <c r="E28" s="54"/>
      <c r="F28" s="55"/>
    </row>
    <row r="29" customFormat="false" ht="15" hidden="false" customHeight="false" outlineLevel="0" collapsed="false">
      <c r="B29" s="18" t="s">
        <v>143</v>
      </c>
      <c r="C29" s="29" t="n">
        <v>6003871977</v>
      </c>
      <c r="D29" s="29" t="n">
        <v>5920369960</v>
      </c>
      <c r="E29" s="29" t="n">
        <v>1057131480</v>
      </c>
      <c r="F29" s="30" t="s">
        <v>198</v>
      </c>
    </row>
    <row r="30" customFormat="false" ht="15" hidden="false" customHeight="false" outlineLevel="0" collapsed="false">
      <c r="B30" s="18" t="s">
        <v>144</v>
      </c>
      <c r="C30" s="29" t="n">
        <v>1649935</v>
      </c>
      <c r="D30" s="29" t="n">
        <v>88389130</v>
      </c>
      <c r="E30" s="29" t="n">
        <v>8272515</v>
      </c>
      <c r="F30" s="30"/>
    </row>
    <row r="31" customFormat="false" ht="15" hidden="false" customHeight="false" outlineLevel="0" collapsed="false">
      <c r="B31" s="18" t="s">
        <v>199</v>
      </c>
      <c r="C31" s="29" t="n">
        <v>-332066711</v>
      </c>
      <c r="D31" s="29" t="n">
        <v>-1658893471</v>
      </c>
      <c r="E31" s="29" t="n">
        <v>-1197862403</v>
      </c>
      <c r="F31" s="30"/>
    </row>
    <row r="32" customFormat="false" ht="15" hidden="false" customHeight="false" outlineLevel="0" collapsed="false">
      <c r="B32" s="18" t="s">
        <v>166</v>
      </c>
      <c r="C32" s="29" t="n">
        <v>-14374560000</v>
      </c>
      <c r="D32" s="29" t="n">
        <v>-9024560000</v>
      </c>
      <c r="E32" s="29" t="n">
        <v>-8324560000</v>
      </c>
      <c r="F32" s="30"/>
    </row>
    <row r="33" customFormat="false" ht="15" hidden="false" customHeight="false" outlineLevel="0" collapsed="false">
      <c r="B33" s="18" t="s">
        <v>169</v>
      </c>
      <c r="C33" s="29" t="n">
        <v>-500000</v>
      </c>
      <c r="D33" s="29" t="n">
        <v>0</v>
      </c>
      <c r="E33" s="29" t="n">
        <v>0</v>
      </c>
      <c r="F33" s="30"/>
    </row>
    <row r="34" customFormat="false" ht="15" hidden="false" customHeight="false" outlineLevel="0" collapsed="false">
      <c r="B34" s="27" t="s">
        <v>200</v>
      </c>
      <c r="C34" s="21" t="n">
        <v>-9443669548</v>
      </c>
      <c r="D34" s="21" t="n">
        <v>2556046321</v>
      </c>
      <c r="E34" s="21" t="n">
        <v>-2804758097</v>
      </c>
      <c r="F34" s="51"/>
    </row>
    <row r="36" customFormat="false" ht="15" hidden="false" customHeight="false" outlineLevel="0" collapsed="false">
      <c r="B36" s="27" t="s">
        <v>201</v>
      </c>
      <c r="C36" s="21" t="n">
        <v>3180824787</v>
      </c>
      <c r="D36" s="21" t="n">
        <v>27825636034</v>
      </c>
      <c r="E36" s="21" t="n">
        <v>50289109273</v>
      </c>
      <c r="F36" s="51"/>
    </row>
    <row r="38" customFormat="false" ht="15" hidden="false" customHeight="false" outlineLevel="0" collapsed="false">
      <c r="B38" s="31" t="s">
        <v>202</v>
      </c>
      <c r="C38" s="32"/>
      <c r="D38" s="32"/>
      <c r="E38" s="32"/>
      <c r="F38" s="33"/>
    </row>
    <row r="39" customFormat="false" ht="15" hidden="false" customHeight="false" outlineLevel="0" collapsed="false">
      <c r="B39" s="34" t="s">
        <v>203</v>
      </c>
      <c r="C39" s="19" t="n">
        <v>0</v>
      </c>
      <c r="D39" s="19" t="n">
        <v>0</v>
      </c>
      <c r="E39" s="19" t="n">
        <v>0</v>
      </c>
      <c r="F39" s="30" t="s">
        <v>204</v>
      </c>
    </row>
    <row r="40" customFormat="false" ht="15" hidden="false" customHeight="false" outlineLevel="0" collapsed="false">
      <c r="B40" s="34" t="s">
        <v>205</v>
      </c>
      <c r="C40" s="19" t="n">
        <v>0</v>
      </c>
      <c r="D40" s="19" t="n">
        <v>0</v>
      </c>
      <c r="E40" s="19" t="n">
        <v>0</v>
      </c>
      <c r="F40" s="35" t="s">
        <v>206</v>
      </c>
    </row>
    <row r="41" customFormat="false" ht="15" hidden="false" customHeight="false" outlineLevel="0" collapsed="false">
      <c r="B41" s="34" t="s">
        <v>207</v>
      </c>
      <c r="C41" s="19" t="n">
        <v>0</v>
      </c>
      <c r="D41" s="19" t="n">
        <v>0</v>
      </c>
      <c r="E41" s="19" t="n">
        <v>0</v>
      </c>
      <c r="F41" s="30" t="s">
        <v>208</v>
      </c>
    </row>
    <row r="42" customFormat="false" ht="15" hidden="false" customHeight="false" outlineLevel="0" collapsed="false">
      <c r="B42" s="34" t="s">
        <v>209</v>
      </c>
      <c r="C42" s="19" t="n">
        <v>0</v>
      </c>
      <c r="D42" s="19" t="n">
        <v>0</v>
      </c>
      <c r="E42" s="19" t="n">
        <v>0</v>
      </c>
      <c r="F42" s="30" t="s">
        <v>210</v>
      </c>
    </row>
    <row r="43" customFormat="false" ht="15" hidden="false" customHeight="false" outlineLevel="0" collapsed="false">
      <c r="B43" s="34" t="s">
        <v>211</v>
      </c>
      <c r="C43" s="19" t="n">
        <v>0</v>
      </c>
      <c r="D43" s="19" t="n">
        <v>0</v>
      </c>
      <c r="E43" s="19" t="n">
        <v>0</v>
      </c>
      <c r="F43" s="30" t="s">
        <v>212</v>
      </c>
    </row>
    <row r="44" customFormat="false" ht="15" hidden="false" customHeight="false" outlineLevel="0" collapsed="false">
      <c r="B44" s="20" t="s">
        <v>213</v>
      </c>
      <c r="C44" s="21" t="n">
        <v>0</v>
      </c>
      <c r="D44" s="21" t="n">
        <v>0</v>
      </c>
      <c r="E44" s="21" t="n">
        <v>0</v>
      </c>
      <c r="F44" s="51"/>
    </row>
    <row r="45" customFormat="false" ht="15" hidden="false" customHeight="false" outlineLevel="0" collapsed="false">
      <c r="B45" s="27" t="s">
        <v>214</v>
      </c>
      <c r="C45" s="21" t="n">
        <v>3180824787</v>
      </c>
      <c r="D45" s="21" t="n">
        <v>27825636034</v>
      </c>
      <c r="E45" s="21" t="n">
        <v>50289109273</v>
      </c>
      <c r="F45" s="51"/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7" min="6" style="0" width="12"/>
    <col collapsed="false" customWidth="true" hidden="false" outlineLevel="0" max="8" min="8" style="0" width="40"/>
  </cols>
  <sheetData>
    <row r="1" customFormat="false" ht="17.9" hidden="false" customHeight="false" outlineLevel="0" collapsed="false">
      <c r="B1" s="11" t="s">
        <v>215</v>
      </c>
      <c r="C1" s="11"/>
      <c r="D1" s="11"/>
      <c r="E1" s="11"/>
      <c r="F1" s="11"/>
      <c r="G1" s="11"/>
      <c r="H1" s="11"/>
    </row>
    <row r="3" customFormat="false" ht="15" hidden="false" customHeight="false" outlineLevel="0" collapsed="false">
      <c r="A3" s="40"/>
      <c r="B3" s="41" t="s">
        <v>32</v>
      </c>
      <c r="C3" s="40" t="s">
        <v>82</v>
      </c>
      <c r="D3" s="40" t="s">
        <v>83</v>
      </c>
      <c r="E3" s="40" t="s">
        <v>84</v>
      </c>
      <c r="F3" s="40" t="s">
        <v>216</v>
      </c>
      <c r="G3" s="40" t="s">
        <v>217</v>
      </c>
      <c r="H3" s="40" t="s">
        <v>38</v>
      </c>
    </row>
    <row r="4" customFormat="false" ht="15" hidden="false" customHeight="false" outlineLevel="0" collapsed="false">
      <c r="B4" s="56" t="s">
        <v>218</v>
      </c>
      <c r="C4" s="57" t="n">
        <v>10874918983</v>
      </c>
      <c r="D4" s="57" t="n">
        <v>50705530552</v>
      </c>
      <c r="E4" s="57" t="n">
        <v>56836386617</v>
      </c>
      <c r="F4" s="58" t="n">
        <v>3.662612257734</v>
      </c>
      <c r="G4" s="58" t="n">
        <v>0.120910993303041</v>
      </c>
      <c r="H4" s="59"/>
    </row>
    <row r="6" customFormat="false" ht="15" hidden="false" customHeight="false" outlineLevel="0" collapsed="false">
      <c r="B6" s="60" t="s">
        <v>219</v>
      </c>
      <c r="C6" s="32"/>
      <c r="D6" s="32"/>
      <c r="E6" s="32"/>
      <c r="F6" s="32"/>
      <c r="G6" s="32"/>
      <c r="H6" s="32"/>
    </row>
    <row r="7" customFormat="false" ht="15" hidden="false" customHeight="false" outlineLevel="0" collapsed="false">
      <c r="B7" s="18" t="s">
        <v>40</v>
      </c>
      <c r="C7" s="19" t="n">
        <v>304677980</v>
      </c>
      <c r="D7" s="19" t="n">
        <v>8350000000</v>
      </c>
      <c r="E7" s="19" t="n">
        <v>700000000</v>
      </c>
      <c r="F7" s="61" t="n">
        <v>26.4059845086278</v>
      </c>
      <c r="G7" s="61" t="n">
        <v>-0.916167664670659</v>
      </c>
      <c r="H7" s="30" t="s">
        <v>220</v>
      </c>
    </row>
    <row r="8" customFormat="false" ht="15" hidden="false" customHeight="false" outlineLevel="0" collapsed="false">
      <c r="B8" s="18" t="s">
        <v>41</v>
      </c>
      <c r="C8" s="19" t="n">
        <v>10570241003</v>
      </c>
      <c r="D8" s="19" t="n">
        <v>1284172830</v>
      </c>
      <c r="E8" s="19" t="n">
        <v>183395065</v>
      </c>
      <c r="F8" s="61" t="n">
        <v>-0.878510543928418</v>
      </c>
      <c r="G8" s="61" t="n">
        <v>-0.857188175364215</v>
      </c>
      <c r="H8" s="30" t="s">
        <v>221</v>
      </c>
    </row>
    <row r="9" customFormat="false" ht="15" hidden="false" customHeight="false" outlineLevel="0" collapsed="false">
      <c r="B9" s="18" t="s">
        <v>222</v>
      </c>
      <c r="C9" s="19" t="n">
        <v>0</v>
      </c>
      <c r="D9" s="19" t="n">
        <v>41071357722</v>
      </c>
      <c r="E9" s="19" t="n">
        <v>55952991552</v>
      </c>
      <c r="G9" s="61" t="n">
        <v>0.36233605742302</v>
      </c>
      <c r="H9" s="30" t="s">
        <v>223</v>
      </c>
    </row>
    <row r="11" customFormat="false" ht="15" hidden="false" customHeight="false" outlineLevel="0" collapsed="false">
      <c r="B11" s="60" t="s">
        <v>224</v>
      </c>
      <c r="C11" s="32"/>
      <c r="D11" s="32"/>
      <c r="E11" s="32"/>
      <c r="F11" s="32"/>
      <c r="G11" s="32"/>
      <c r="H11" s="32"/>
    </row>
    <row r="12" customFormat="false" ht="15" hidden="false" customHeight="false" outlineLevel="0" collapsed="false">
      <c r="B12" s="18" t="s">
        <v>225</v>
      </c>
      <c r="C12" s="61" t="n">
        <v>0.0280165746959846</v>
      </c>
      <c r="D12" s="61" t="n">
        <v>0.164676316549668</v>
      </c>
      <c r="E12" s="61" t="n">
        <v>0.0123160538814167</v>
      </c>
    </row>
    <row r="13" customFormat="false" ht="15" hidden="false" customHeight="false" outlineLevel="0" collapsed="false">
      <c r="B13" s="18" t="s">
        <v>226</v>
      </c>
      <c r="C13" s="61" t="n">
        <v>0.971983425304015</v>
      </c>
      <c r="D13" s="61" t="n">
        <v>0.0253260899949177</v>
      </c>
      <c r="E13" s="61" t="n">
        <v>0.0032267192887513</v>
      </c>
    </row>
    <row r="14" customFormat="false" ht="15" hidden="false" customHeight="false" outlineLevel="0" collapsed="false">
      <c r="B14" s="18" t="s">
        <v>227</v>
      </c>
      <c r="C14" s="61" t="n">
        <v>0</v>
      </c>
      <c r="D14" s="61" t="n">
        <v>0.809997593455415</v>
      </c>
      <c r="E14" s="61" t="n">
        <v>0.984457226829832</v>
      </c>
    </row>
    <row r="16" customFormat="false" ht="15" hidden="false" customHeight="false" outlineLevel="0" collapsed="false">
      <c r="B16" s="31" t="s">
        <v>228</v>
      </c>
      <c r="C16" s="32"/>
      <c r="D16" s="32"/>
      <c r="E16" s="32"/>
      <c r="F16" s="32"/>
      <c r="G16" s="32"/>
      <c r="H16" s="32"/>
    </row>
    <row r="17" customFormat="false" ht="15" hidden="false" customHeight="false" outlineLevel="0" collapsed="false">
      <c r="B17" s="35" t="s">
        <v>229</v>
      </c>
      <c r="H17" s="35" t="s">
        <v>230</v>
      </c>
    </row>
    <row r="18" customFormat="false" ht="15" hidden="false" customHeight="false" outlineLevel="0" collapsed="false">
      <c r="B18" s="35" t="s">
        <v>231</v>
      </c>
      <c r="H18" s="35" t="s">
        <v>232</v>
      </c>
    </row>
    <row r="19" customFormat="false" ht="15" hidden="false" customHeight="false" outlineLevel="0" collapsed="false">
      <c r="B19" s="35" t="s">
        <v>233</v>
      </c>
      <c r="H19" s="35" t="s">
        <v>234</v>
      </c>
    </row>
    <row r="20" customFormat="false" ht="15" hidden="false" customHeight="false" outlineLevel="0" collapsed="false">
      <c r="B20" s="35" t="s">
        <v>235</v>
      </c>
      <c r="H20" s="30" t="s">
        <v>236</v>
      </c>
    </row>
    <row r="21" customFormat="false" ht="15" hidden="false" customHeight="false" outlineLevel="0" collapsed="false">
      <c r="B21" s="35" t="s">
        <v>237</v>
      </c>
      <c r="H21" s="30" t="s">
        <v>238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8" min="6" style="0" width="10"/>
    <col collapsed="false" customWidth="true" hidden="false" outlineLevel="0" max="9" min="9" style="0" width="40"/>
  </cols>
  <sheetData>
    <row r="1" customFormat="false" ht="17.9" hidden="false" customHeight="false" outlineLevel="0" collapsed="false">
      <c r="B1" s="11" t="s">
        <v>239</v>
      </c>
      <c r="C1" s="11"/>
      <c r="D1" s="11"/>
      <c r="E1" s="11"/>
      <c r="F1" s="11"/>
      <c r="G1" s="11"/>
      <c r="H1" s="11"/>
      <c r="I1" s="11"/>
    </row>
    <row r="3" customFormat="false" ht="15" hidden="false" customHeight="false" outlineLevel="0" collapsed="false">
      <c r="A3" s="40"/>
      <c r="B3" s="41" t="s">
        <v>240</v>
      </c>
      <c r="C3" s="40" t="s">
        <v>82</v>
      </c>
      <c r="D3" s="40" t="s">
        <v>83</v>
      </c>
      <c r="E3" s="40" t="s">
        <v>84</v>
      </c>
      <c r="F3" s="40" t="s">
        <v>241</v>
      </c>
      <c r="G3" s="40" t="s">
        <v>242</v>
      </c>
      <c r="H3" s="40" t="s">
        <v>243</v>
      </c>
      <c r="I3" s="40" t="s">
        <v>38</v>
      </c>
    </row>
    <row r="4" customFormat="false" ht="15" hidden="false" customHeight="false" outlineLevel="0" collapsed="false">
      <c r="B4" s="56" t="s">
        <v>244</v>
      </c>
      <c r="C4" s="57" t="n">
        <v>24232391490</v>
      </c>
      <c r="D4" s="57" t="n">
        <v>23468288661</v>
      </c>
      <c r="E4" s="57" t="n">
        <v>35248594284</v>
      </c>
      <c r="F4" s="62" t="n">
        <v>2.22828248448387</v>
      </c>
      <c r="G4" s="62" t="n">
        <v>0.462834890109918</v>
      </c>
      <c r="H4" s="62" t="n">
        <v>0.620176552065627</v>
      </c>
      <c r="I4" s="59"/>
    </row>
    <row r="6" customFormat="false" ht="15" hidden="false" customHeight="false" outlineLevel="0" collapsed="false">
      <c r="B6" s="63" t="s">
        <v>245</v>
      </c>
      <c r="C6" s="64" t="n">
        <v>12515341730</v>
      </c>
      <c r="D6" s="64" t="n">
        <v>11663008731</v>
      </c>
      <c r="E6" s="64" t="n">
        <v>18090151718</v>
      </c>
      <c r="F6" s="65" t="n">
        <v>1.15084459475646</v>
      </c>
      <c r="G6" s="65" t="n">
        <v>0.23001452906679</v>
      </c>
      <c r="H6" s="65" t="n">
        <v>0.3182846904027</v>
      </c>
      <c r="I6" s="54"/>
    </row>
    <row r="7" customFormat="false" ht="15" hidden="false" customHeight="false" outlineLevel="0" collapsed="false">
      <c r="B7" s="18" t="s">
        <v>46</v>
      </c>
      <c r="C7" s="19" t="n">
        <v>11053075979</v>
      </c>
      <c r="D7" s="19" t="n">
        <v>9446514229</v>
      </c>
      <c r="E7" s="19" t="n">
        <v>15524274044</v>
      </c>
      <c r="F7" s="17" t="n">
        <v>1.0163823745518</v>
      </c>
      <c r="G7" s="17" t="n">
        <v>0.186301457181526</v>
      </c>
      <c r="H7" s="17" t="n">
        <v>0.273139707993974</v>
      </c>
    </row>
    <row r="8" customFormat="false" ht="15" hidden="false" customHeight="false" outlineLevel="0" collapsed="false">
      <c r="B8" s="18" t="s">
        <v>47</v>
      </c>
      <c r="C8" s="19" t="n">
        <v>1144238224</v>
      </c>
      <c r="D8" s="19" t="n">
        <v>1401717829</v>
      </c>
      <c r="E8" s="19" t="n">
        <v>1227172461</v>
      </c>
      <c r="F8" s="17" t="n">
        <v>0.105218091811875</v>
      </c>
      <c r="G8" s="17" t="n">
        <v>0.0276442789127805</v>
      </c>
      <c r="H8" s="17" t="n">
        <v>0.0215913173592381</v>
      </c>
    </row>
    <row r="9" customFormat="false" ht="15" hidden="false" customHeight="false" outlineLevel="0" collapsed="false">
      <c r="B9" s="18" t="s">
        <v>48</v>
      </c>
      <c r="C9" s="19" t="n">
        <v>1318026527</v>
      </c>
      <c r="D9" s="19" t="n">
        <v>814776673</v>
      </c>
      <c r="E9" s="19" t="n">
        <v>1338705213</v>
      </c>
      <c r="F9" s="17" t="n">
        <v>0.121198744474362</v>
      </c>
      <c r="G9" s="17" t="n">
        <v>0.016068792972483</v>
      </c>
      <c r="H9" s="17" t="n">
        <v>0.0235536650494876</v>
      </c>
    </row>
    <row r="10" customFormat="false" ht="15" hidden="false" customHeight="false" outlineLevel="0" collapsed="false">
      <c r="B10" s="18" t="s">
        <v>246</v>
      </c>
      <c r="C10" s="19" t="n">
        <v>0</v>
      </c>
      <c r="D10" s="19" t="n">
        <v>0</v>
      </c>
      <c r="E10" s="19" t="n">
        <v>0</v>
      </c>
      <c r="F10" s="17" t="n">
        <v>0</v>
      </c>
      <c r="G10" s="17" t="n">
        <v>0</v>
      </c>
      <c r="H10" s="17" t="n">
        <v>0</v>
      </c>
    </row>
    <row r="12" customFormat="false" ht="15" hidden="false" customHeight="false" outlineLevel="0" collapsed="false">
      <c r="B12" s="63" t="s">
        <v>247</v>
      </c>
      <c r="C12" s="64" t="n">
        <v>2600116142</v>
      </c>
      <c r="D12" s="64" t="n">
        <v>2704539924</v>
      </c>
      <c r="E12" s="64" t="n">
        <v>3527540670</v>
      </c>
      <c r="F12" s="65" t="n">
        <v>0.239092920698037</v>
      </c>
      <c r="G12" s="65" t="n">
        <v>0.0533381643887232</v>
      </c>
      <c r="H12" s="65" t="n">
        <v>0.0620648299437265</v>
      </c>
      <c r="I12" s="54"/>
    </row>
    <row r="13" customFormat="false" ht="15" hidden="false" customHeight="false" outlineLevel="0" collapsed="false">
      <c r="B13" s="18" t="s">
        <v>54</v>
      </c>
      <c r="C13" s="19" t="n">
        <v>1845334860</v>
      </c>
      <c r="D13" s="19" t="n">
        <v>1918263509</v>
      </c>
      <c r="E13" s="19" t="n">
        <v>2619699282</v>
      </c>
      <c r="F13" s="17" t="n">
        <v>0.169687228280476</v>
      </c>
      <c r="G13" s="17" t="n">
        <v>0.0378314453693126</v>
      </c>
      <c r="H13" s="17" t="n">
        <v>0.046091939300315</v>
      </c>
    </row>
    <row r="14" customFormat="false" ht="15" hidden="false" customHeight="false" outlineLevel="0" collapsed="false">
      <c r="B14" s="18" t="s">
        <v>62</v>
      </c>
      <c r="C14" s="19" t="n">
        <v>754781282</v>
      </c>
      <c r="D14" s="19" t="n">
        <v>786276415</v>
      </c>
      <c r="E14" s="19" t="n">
        <v>907841388</v>
      </c>
      <c r="F14" s="17" t="n">
        <v>0.0694056924175616</v>
      </c>
      <c r="G14" s="17" t="n">
        <v>0.0155067190194105</v>
      </c>
      <c r="H14" s="17" t="n">
        <v>0.0159728906434115</v>
      </c>
    </row>
    <row r="16" customFormat="false" ht="15" hidden="false" customHeight="false" outlineLevel="0" collapsed="false">
      <c r="B16" s="63" t="s">
        <v>248</v>
      </c>
      <c r="C16" s="64" t="n">
        <v>5807267560</v>
      </c>
      <c r="D16" s="64" t="n">
        <v>5531069685</v>
      </c>
      <c r="E16" s="64" t="n">
        <v>4048255408</v>
      </c>
      <c r="F16" s="65" t="n">
        <v>0.534005592968379</v>
      </c>
      <c r="G16" s="65" t="n">
        <v>0.109082177521597</v>
      </c>
      <c r="H16" s="65" t="n">
        <v>0.0712264739009491</v>
      </c>
      <c r="I16" s="54"/>
    </row>
    <row r="17" customFormat="false" ht="15" hidden="false" customHeight="false" outlineLevel="0" collapsed="false">
      <c r="B17" s="18" t="s">
        <v>60</v>
      </c>
      <c r="C17" s="19" t="n">
        <v>3125684216</v>
      </c>
      <c r="D17" s="19" t="n">
        <v>1619427034</v>
      </c>
      <c r="E17" s="19" t="n">
        <v>1795337695</v>
      </c>
      <c r="F17" s="17" t="n">
        <v>0.287421379495899</v>
      </c>
      <c r="G17" s="17" t="n">
        <v>0.0319378777101885</v>
      </c>
      <c r="H17" s="17" t="n">
        <v>0.0315878225527977</v>
      </c>
    </row>
    <row r="18" customFormat="false" ht="15" hidden="false" customHeight="false" outlineLevel="0" collapsed="false">
      <c r="B18" s="18" t="s">
        <v>64</v>
      </c>
      <c r="C18" s="19" t="n">
        <v>2681583344</v>
      </c>
      <c r="D18" s="19" t="n">
        <v>1911642651</v>
      </c>
      <c r="E18" s="19" t="n">
        <v>2252917713</v>
      </c>
      <c r="F18" s="17" t="n">
        <v>0.24658421347248</v>
      </c>
      <c r="G18" s="17" t="n">
        <v>0.0377008706977152</v>
      </c>
      <c r="H18" s="17" t="n">
        <v>0.0396386513481514</v>
      </c>
    </row>
    <row r="20" customFormat="false" ht="15" hidden="false" customHeight="false" outlineLevel="0" collapsed="false">
      <c r="B20" s="63" t="s">
        <v>249</v>
      </c>
      <c r="C20" s="64" t="n">
        <v>15166000</v>
      </c>
      <c r="D20" s="64" t="n">
        <v>4113945430</v>
      </c>
      <c r="E20" s="64" t="n">
        <v>7980288845</v>
      </c>
      <c r="F20" s="65" t="n">
        <v>0.00139458510207827</v>
      </c>
      <c r="G20" s="65" t="n">
        <v>0.0811340574729029</v>
      </c>
      <c r="H20" s="65" t="n">
        <v>0.14040809629184</v>
      </c>
      <c r="I20" s="54"/>
    </row>
    <row r="21" customFormat="false" ht="15" hidden="false" customHeight="false" outlineLevel="0" collapsed="false">
      <c r="B21" s="18" t="s">
        <v>61</v>
      </c>
      <c r="C21" s="19" t="n">
        <v>15166000</v>
      </c>
      <c r="D21" s="19" t="n">
        <v>4113945430</v>
      </c>
      <c r="E21" s="19" t="n">
        <v>7980288845</v>
      </c>
      <c r="F21" s="17" t="n">
        <v>0.00139458510207827</v>
      </c>
      <c r="G21" s="17" t="n">
        <v>0.0811340574729029</v>
      </c>
      <c r="H21" s="17" t="n">
        <v>0.14040809629184</v>
      </c>
    </row>
    <row r="23" customFormat="false" ht="15" hidden="false" customHeight="false" outlineLevel="0" collapsed="false">
      <c r="B23" s="63" t="s">
        <v>250</v>
      </c>
      <c r="C23" s="64" t="n">
        <v>768140453</v>
      </c>
      <c r="D23" s="64" t="n">
        <v>492693787</v>
      </c>
      <c r="E23" s="64" t="n">
        <v>497572743</v>
      </c>
      <c r="F23" s="65" t="n">
        <v>0.0706341310864734</v>
      </c>
      <c r="G23" s="65" t="n">
        <v>0.0097167662311457</v>
      </c>
      <c r="H23" s="65" t="n">
        <v>0.00875447530387468</v>
      </c>
      <c r="I23" s="54"/>
    </row>
    <row r="24" customFormat="false" ht="15" hidden="false" customHeight="false" outlineLevel="0" collapsed="false">
      <c r="B24" s="18" t="s">
        <v>53</v>
      </c>
      <c r="C24" s="19" t="n">
        <v>742458979</v>
      </c>
      <c r="D24" s="19" t="n">
        <v>463366272</v>
      </c>
      <c r="E24" s="19" t="n">
        <v>464756098</v>
      </c>
      <c r="F24" s="17" t="n">
        <v>0.068272598642862</v>
      </c>
      <c r="G24" s="17" t="n">
        <v>0.00913837735165407</v>
      </c>
      <c r="H24" s="17" t="n">
        <v>0.00817708734954994</v>
      </c>
    </row>
    <row r="25" customFormat="false" ht="15" hidden="false" customHeight="false" outlineLevel="0" collapsed="false">
      <c r="B25" s="18" t="s">
        <v>63</v>
      </c>
      <c r="C25" s="19" t="n">
        <v>25681474</v>
      </c>
      <c r="D25" s="19" t="n">
        <v>29327515</v>
      </c>
      <c r="E25" s="19" t="n">
        <v>32816645</v>
      </c>
      <c r="F25" s="17" t="n">
        <v>0.0023615324436114</v>
      </c>
      <c r="G25" s="17" t="n">
        <v>0.000578388879491632</v>
      </c>
      <c r="H25" s="17" t="n">
        <v>0.000577387954324746</v>
      </c>
    </row>
    <row r="27" customFormat="false" ht="15" hidden="false" customHeight="false" outlineLevel="0" collapsed="false">
      <c r="B27" s="63" t="s">
        <v>251</v>
      </c>
      <c r="C27" s="64" t="n">
        <v>2526359605</v>
      </c>
      <c r="D27" s="64" t="n">
        <v>962031104</v>
      </c>
      <c r="E27" s="64" t="n">
        <v>3104785900</v>
      </c>
      <c r="F27" s="65" t="n">
        <v>0.232310659872435</v>
      </c>
      <c r="G27" s="65" t="n">
        <v>0.0189729028278959</v>
      </c>
      <c r="H27" s="65" t="n">
        <v>0.0546267291923753</v>
      </c>
      <c r="I27" s="54"/>
    </row>
    <row r="28" customFormat="false" ht="15" hidden="false" customHeight="false" outlineLevel="0" collapsed="false">
      <c r="B28" s="18" t="s">
        <v>49</v>
      </c>
      <c r="C28" s="19" t="n">
        <v>184478691</v>
      </c>
      <c r="D28" s="19" t="n">
        <v>266069861</v>
      </c>
      <c r="E28" s="19" t="n">
        <v>224848040</v>
      </c>
      <c r="F28" s="17" t="n">
        <v>0.0169636841698207</v>
      </c>
      <c r="G28" s="17" t="n">
        <v>0.00524735385082181</v>
      </c>
      <c r="H28" s="17" t="n">
        <v>0.00395605796538704</v>
      </c>
    </row>
    <row r="29" customFormat="false" ht="15" hidden="false" customHeight="false" outlineLevel="0" collapsed="false">
      <c r="B29" s="18" t="s">
        <v>50</v>
      </c>
      <c r="C29" s="19" t="n">
        <v>58602255</v>
      </c>
      <c r="D29" s="19" t="n">
        <v>21669856</v>
      </c>
      <c r="E29" s="19" t="n">
        <v>48497250</v>
      </c>
      <c r="F29" s="17" t="n">
        <v>0.00538875324879282</v>
      </c>
      <c r="G29" s="17" t="n">
        <v>0.000427366714519966</v>
      </c>
      <c r="H29" s="17" t="n">
        <v>0.000853278205857905</v>
      </c>
    </row>
    <row r="30" customFormat="false" ht="15" hidden="false" customHeight="false" outlineLevel="0" collapsed="false">
      <c r="B30" s="18" t="s">
        <v>51</v>
      </c>
      <c r="C30" s="19" t="n">
        <v>5496544</v>
      </c>
      <c r="D30" s="19" t="n">
        <v>22897273</v>
      </c>
      <c r="E30" s="19" t="n">
        <v>25611621</v>
      </c>
      <c r="F30" s="17" t="n">
        <v>0.000505433098728585</v>
      </c>
      <c r="G30" s="17" t="n">
        <v>0.000451573482236187</v>
      </c>
      <c r="H30" s="17" t="n">
        <v>0.000450620148894889</v>
      </c>
    </row>
    <row r="31" customFormat="false" ht="15" hidden="false" customHeight="false" outlineLevel="0" collapsed="false">
      <c r="B31" s="18" t="s">
        <v>52</v>
      </c>
      <c r="C31" s="19" t="n">
        <v>1006849149</v>
      </c>
      <c r="D31" s="19" t="n">
        <v>452496250</v>
      </c>
      <c r="E31" s="19" t="n">
        <v>521570299</v>
      </c>
      <c r="F31" s="17" t="n">
        <v>0.0925845195328753</v>
      </c>
      <c r="G31" s="17" t="n">
        <v>0.00892400188054342</v>
      </c>
      <c r="H31" s="17" t="n">
        <v>0.00917669700775799</v>
      </c>
    </row>
    <row r="32" customFormat="false" ht="15" hidden="false" customHeight="false" outlineLevel="0" collapsed="false">
      <c r="B32" s="18" t="s">
        <v>55</v>
      </c>
      <c r="C32" s="19" t="n">
        <v>206370851</v>
      </c>
      <c r="D32" s="19" t="n">
        <v>174305331</v>
      </c>
      <c r="E32" s="19" t="n">
        <v>209505719</v>
      </c>
      <c r="F32" s="17" t="n">
        <v>0.0189767713509043</v>
      </c>
      <c r="G32" s="17" t="n">
        <v>0.00343759998371864</v>
      </c>
      <c r="H32" s="17" t="n">
        <v>0.00368611960524134</v>
      </c>
    </row>
    <row r="33" customFormat="false" ht="15" hidden="false" customHeight="false" outlineLevel="0" collapsed="false">
      <c r="B33" s="18" t="s">
        <v>56</v>
      </c>
      <c r="C33" s="19" t="n">
        <v>6846779</v>
      </c>
      <c r="D33" s="19" t="n">
        <v>2219000</v>
      </c>
      <c r="E33" s="19" t="n">
        <v>6163225</v>
      </c>
      <c r="F33" s="17" t="n">
        <v>0.000629593563933956</v>
      </c>
      <c r="G33" s="17" t="n">
        <v>4.37624846016422E-005</v>
      </c>
      <c r="H33" s="17" t="n">
        <v>0.000108438015976134</v>
      </c>
    </row>
    <row r="34" customFormat="false" ht="15" hidden="false" customHeight="false" outlineLevel="0" collapsed="false">
      <c r="B34" s="18" t="s">
        <v>57</v>
      </c>
      <c r="C34" s="19" t="n">
        <v>18653000</v>
      </c>
      <c r="D34" s="19" t="n">
        <v>1742750</v>
      </c>
      <c r="E34" s="19" t="n">
        <v>6012181</v>
      </c>
      <c r="F34" s="17" t="n">
        <v>0.00171523116900079</v>
      </c>
      <c r="G34" s="17" t="n">
        <v>3.43700180439441E-005</v>
      </c>
      <c r="H34" s="17" t="n">
        <v>0.000105780493058328</v>
      </c>
    </row>
    <row r="35" customFormat="false" ht="15" hidden="false" customHeight="false" outlineLevel="0" collapsed="false">
      <c r="B35" s="18" t="s">
        <v>58</v>
      </c>
      <c r="C35" s="19" t="n">
        <v>1313243</v>
      </c>
      <c r="D35" s="19" t="n">
        <v>1001938</v>
      </c>
      <c r="E35" s="19" t="n">
        <v>1971264</v>
      </c>
      <c r="F35" s="17" t="n">
        <v>0.000120758876645693</v>
      </c>
      <c r="G35" s="17" t="n">
        <v>1.97599352396576E-005</v>
      </c>
      <c r="H35" s="17" t="n">
        <v>3.46831337692813E-005</v>
      </c>
    </row>
    <row r="36" customFormat="false" ht="15" hidden="false" customHeight="false" outlineLevel="0" collapsed="false">
      <c r="B36" s="18" t="s">
        <v>59</v>
      </c>
      <c r="C36" s="19" t="n">
        <v>37750093</v>
      </c>
      <c r="D36" s="19" t="n">
        <v>20628845</v>
      </c>
      <c r="E36" s="19" t="n">
        <v>60605301</v>
      </c>
      <c r="F36" s="17" t="n">
        <v>0.00347129878015754</v>
      </c>
      <c r="G36" s="17" t="n">
        <v>0.000406836192727429</v>
      </c>
      <c r="H36" s="17" t="n">
        <v>0.00106631164659353</v>
      </c>
    </row>
    <row r="37" customFormat="false" ht="15" hidden="false" customHeight="false" outlineLevel="0" collapsed="false">
      <c r="B37" s="18" t="s">
        <v>252</v>
      </c>
      <c r="C37" s="19" t="n">
        <v>0</v>
      </c>
      <c r="D37" s="19" t="n">
        <v>0</v>
      </c>
      <c r="E37" s="19" t="n">
        <v>0</v>
      </c>
      <c r="F37" s="17" t="n">
        <v>0</v>
      </c>
      <c r="G37" s="17" t="n">
        <v>0</v>
      </c>
      <c r="H37" s="17" t="n">
        <v>0</v>
      </c>
    </row>
    <row r="38" customFormat="false" ht="15" hidden="false" customHeight="false" outlineLevel="0" collapsed="false">
      <c r="B38" s="18" t="s">
        <v>253</v>
      </c>
      <c r="C38" s="19" t="n">
        <v>999999000</v>
      </c>
      <c r="D38" s="19" t="n">
        <v>0</v>
      </c>
      <c r="E38" s="19" t="n">
        <v>2000001000</v>
      </c>
      <c r="F38" s="17" t="n">
        <v>0.0919546160815753</v>
      </c>
      <c r="G38" s="17" t="n">
        <v>0</v>
      </c>
      <c r="H38" s="17" t="n">
        <v>0.0351887429698388</v>
      </c>
    </row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99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40"/>
  </cols>
  <sheetData>
    <row r="1" customFormat="false" ht="17.9" hidden="false" customHeight="false" outlineLevel="0" collapsed="false">
      <c r="B1" s="11" t="s">
        <v>254</v>
      </c>
      <c r="C1" s="11"/>
      <c r="D1" s="11"/>
      <c r="E1" s="11"/>
      <c r="F1" s="11"/>
    </row>
    <row r="3" customFormat="false" ht="15" hidden="false" customHeight="false" outlineLevel="0" collapsed="false">
      <c r="A3" s="40"/>
      <c r="B3" s="41" t="s">
        <v>32</v>
      </c>
      <c r="C3" s="40" t="s">
        <v>82</v>
      </c>
      <c r="D3" s="40" t="s">
        <v>83</v>
      </c>
      <c r="E3" s="40" t="s">
        <v>84</v>
      </c>
      <c r="F3" s="40" t="s">
        <v>38</v>
      </c>
    </row>
    <row r="4" customFormat="false" ht="15" hidden="false" customHeight="false" outlineLevel="0" collapsed="false">
      <c r="B4" s="31" t="s">
        <v>255</v>
      </c>
      <c r="C4" s="32"/>
      <c r="D4" s="32"/>
      <c r="E4" s="32"/>
      <c r="F4" s="32"/>
    </row>
    <row r="5" customFormat="false" ht="15" hidden="false" customHeight="false" outlineLevel="0" collapsed="false">
      <c r="B5" s="56" t="s">
        <v>256</v>
      </c>
      <c r="C5" s="57" t="n">
        <v>11053075979</v>
      </c>
      <c r="D5" s="57" t="n">
        <v>9446514229</v>
      </c>
      <c r="E5" s="57" t="n">
        <v>15524274044</v>
      </c>
      <c r="F5" s="66" t="s">
        <v>257</v>
      </c>
    </row>
    <row r="6" customFormat="false" ht="15" hidden="false" customHeight="false" outlineLevel="0" collapsed="false">
      <c r="B6" s="18" t="s">
        <v>258</v>
      </c>
      <c r="C6" s="19" t="n">
        <v>1144238224</v>
      </c>
      <c r="D6" s="19" t="n">
        <v>1401717829</v>
      </c>
      <c r="E6" s="19" t="n">
        <v>1227172461</v>
      </c>
    </row>
    <row r="7" customFormat="false" ht="15" hidden="false" customHeight="false" outlineLevel="0" collapsed="false">
      <c r="B7" s="18" t="s">
        <v>259</v>
      </c>
      <c r="C7" s="19" t="n">
        <v>1318026527</v>
      </c>
      <c r="D7" s="19" t="n">
        <v>814776673</v>
      </c>
      <c r="E7" s="19" t="n">
        <v>1338705213</v>
      </c>
    </row>
    <row r="8" customFormat="false" ht="15" hidden="false" customHeight="false" outlineLevel="0" collapsed="false">
      <c r="B8" s="56" t="s">
        <v>260</v>
      </c>
      <c r="C8" s="57" t="n">
        <v>13515340730</v>
      </c>
      <c r="D8" s="57" t="n">
        <v>11663008731</v>
      </c>
      <c r="E8" s="57" t="n">
        <v>18090151718</v>
      </c>
      <c r="F8" s="59"/>
    </row>
    <row r="10" customFormat="false" ht="15" hidden="false" customHeight="false" outlineLevel="0" collapsed="false">
      <c r="B10" s="31" t="s">
        <v>261</v>
      </c>
      <c r="C10" s="32"/>
      <c r="D10" s="32"/>
      <c r="E10" s="32"/>
      <c r="F10" s="32"/>
    </row>
    <row r="11" customFormat="false" ht="15" hidden="false" customHeight="false" outlineLevel="0" collapsed="false">
      <c r="B11" s="18" t="s">
        <v>262</v>
      </c>
      <c r="C11" s="19" t="n">
        <v>244</v>
      </c>
      <c r="D11" s="19" t="n">
        <v>221</v>
      </c>
      <c r="E11" s="19" t="n">
        <v>259</v>
      </c>
      <c r="F11" s="30" t="s">
        <v>263</v>
      </c>
    </row>
    <row r="13" customFormat="false" ht="15" hidden="false" customHeight="false" outlineLevel="0" collapsed="false">
      <c r="B13" s="31" t="s">
        <v>264</v>
      </c>
      <c r="C13" s="32"/>
      <c r="D13" s="32"/>
      <c r="E13" s="32"/>
      <c r="F13" s="32"/>
    </row>
    <row r="14" customFormat="false" ht="15" hidden="false" customHeight="false" outlineLevel="0" collapsed="false">
      <c r="B14" s="36" t="s">
        <v>265</v>
      </c>
      <c r="C14" s="19" t="n">
        <v>45299491</v>
      </c>
      <c r="D14" s="19" t="n">
        <v>42745313</v>
      </c>
      <c r="E14" s="19" t="n">
        <v>59939282</v>
      </c>
      <c r="F14" s="30" t="s">
        <v>266</v>
      </c>
    </row>
    <row r="15" customFormat="false" ht="15" hidden="false" customHeight="false" outlineLevel="0" collapsed="false">
      <c r="B15" s="36" t="s">
        <v>267</v>
      </c>
      <c r="C15" s="19" t="n">
        <v>55390741</v>
      </c>
      <c r="D15" s="19" t="n">
        <v>52774246</v>
      </c>
      <c r="E15" s="19" t="n">
        <v>69845374</v>
      </c>
      <c r="F15" s="30" t="s">
        <v>268</v>
      </c>
    </row>
    <row r="17" customFormat="false" ht="15" hidden="false" customHeight="false" outlineLevel="0" collapsed="false">
      <c r="B17" s="31" t="s">
        <v>269</v>
      </c>
      <c r="C17" s="32"/>
      <c r="D17" s="32"/>
      <c r="E17" s="32"/>
      <c r="F17" s="32"/>
    </row>
    <row r="18" customFormat="false" ht="15" hidden="false" customHeight="false" outlineLevel="0" collapsed="false">
      <c r="B18" s="18" t="s">
        <v>270</v>
      </c>
      <c r="C18" s="61" t="n">
        <v>1.24279921083804</v>
      </c>
      <c r="D18" s="61" t="n">
        <v>0.23001452906679</v>
      </c>
      <c r="E18" s="61" t="n">
        <v>0.3182846904027</v>
      </c>
    </row>
    <row r="19" customFormat="false" ht="15" hidden="false" customHeight="false" outlineLevel="0" collapsed="false">
      <c r="B19" s="18" t="s">
        <v>271</v>
      </c>
      <c r="C19" s="61" t="n">
        <v>1.0163823745518</v>
      </c>
      <c r="D19" s="61" t="n">
        <v>0.186301457181526</v>
      </c>
      <c r="E19" s="61" t="n">
        <v>0.273139707993974</v>
      </c>
    </row>
    <row r="21" customFormat="false" ht="15" hidden="false" customHeight="false" outlineLevel="0" collapsed="false">
      <c r="B21" s="31" t="s">
        <v>272</v>
      </c>
      <c r="C21" s="32"/>
      <c r="D21" s="32"/>
      <c r="E21" s="32"/>
      <c r="F21" s="32"/>
    </row>
    <row r="22" customFormat="false" ht="15" hidden="false" customHeight="false" outlineLevel="0" collapsed="false">
      <c r="B22" s="35" t="s">
        <v>229</v>
      </c>
      <c r="F22" s="35" t="s">
        <v>273</v>
      </c>
    </row>
    <row r="23" customFormat="false" ht="15" hidden="false" customHeight="false" outlineLevel="0" collapsed="false">
      <c r="B23" s="35" t="s">
        <v>231</v>
      </c>
      <c r="F23" s="35" t="s">
        <v>274</v>
      </c>
    </row>
    <row r="24" customFormat="false" ht="15" hidden="false" customHeight="false" outlineLevel="0" collapsed="false">
      <c r="B24" s="35" t="s">
        <v>233</v>
      </c>
      <c r="F24" s="35" t="s">
        <v>275</v>
      </c>
    </row>
    <row r="25" customFormat="false" ht="15" hidden="false" customHeight="false" outlineLevel="0" collapsed="false">
      <c r="B25" s="35" t="s">
        <v>235</v>
      </c>
      <c r="F25" s="35" t="s">
        <v>276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40"/>
  </cols>
  <sheetData>
    <row r="1" customFormat="false" ht="17.9" hidden="false" customHeight="false" outlineLevel="0" collapsed="false">
      <c r="B1" s="11" t="s">
        <v>277</v>
      </c>
      <c r="C1" s="11"/>
      <c r="D1" s="11"/>
      <c r="E1" s="11"/>
      <c r="F1" s="11"/>
      <c r="G1" s="11"/>
    </row>
    <row r="3" customFormat="false" ht="15" hidden="false" customHeight="false" outlineLevel="0" collapsed="false">
      <c r="A3" s="40"/>
      <c r="B3" s="41" t="s">
        <v>32</v>
      </c>
      <c r="C3" s="40" t="s">
        <v>82</v>
      </c>
      <c r="D3" s="40" t="s">
        <v>83</v>
      </c>
      <c r="E3" s="40" t="s">
        <v>84</v>
      </c>
      <c r="F3" s="40" t="s">
        <v>278</v>
      </c>
      <c r="G3" s="40" t="s">
        <v>38</v>
      </c>
    </row>
    <row r="4" customFormat="false" ht="15" hidden="false" customHeight="false" outlineLevel="0" collapsed="false">
      <c r="B4" s="31" t="s">
        <v>279</v>
      </c>
      <c r="C4" s="32"/>
      <c r="D4" s="32"/>
      <c r="E4" s="32"/>
      <c r="F4" s="32"/>
      <c r="G4" s="32"/>
    </row>
    <row r="5" customFormat="false" ht="15" hidden="false" customHeight="false" outlineLevel="0" collapsed="false">
      <c r="B5" s="18" t="s">
        <v>139</v>
      </c>
      <c r="C5" s="19" t="n">
        <v>119316844</v>
      </c>
      <c r="D5" s="19" t="n">
        <v>12351677137</v>
      </c>
      <c r="E5" s="19" t="n">
        <v>8023482143</v>
      </c>
      <c r="F5" s="67" t="n">
        <v>-4328194994</v>
      </c>
    </row>
    <row r="6" customFormat="false" ht="15" hidden="false" customHeight="false" outlineLevel="0" collapsed="false">
      <c r="B6" s="18" t="s">
        <v>141</v>
      </c>
      <c r="C6" s="19" t="n">
        <v>67553114</v>
      </c>
      <c r="D6" s="19" t="n">
        <v>222611679</v>
      </c>
      <c r="E6" s="19" t="n">
        <v>449629866</v>
      </c>
      <c r="F6" s="67" t="n">
        <v>227018187</v>
      </c>
    </row>
    <row r="7" customFormat="false" ht="15" hidden="false" customHeight="false" outlineLevel="0" collapsed="false">
      <c r="B7" s="18" t="s">
        <v>142</v>
      </c>
      <c r="C7" s="19" t="n">
        <v>3850000</v>
      </c>
      <c r="D7" s="19" t="n">
        <v>1390740</v>
      </c>
      <c r="E7" s="19" t="n">
        <v>1704820</v>
      </c>
      <c r="F7" s="67" t="n">
        <v>314080</v>
      </c>
    </row>
    <row r="8" customFormat="false" ht="15" hidden="false" customHeight="false" outlineLevel="0" collapsed="false">
      <c r="B8" s="63" t="s">
        <v>280</v>
      </c>
      <c r="C8" s="64" t="n">
        <v>190719958</v>
      </c>
      <c r="D8" s="64" t="n">
        <v>12575679556</v>
      </c>
      <c r="E8" s="64" t="n">
        <v>8474816829</v>
      </c>
      <c r="F8" s="68" t="n">
        <v>-4100862727</v>
      </c>
      <c r="G8" s="54"/>
    </row>
    <row r="10" customFormat="false" ht="15" hidden="false" customHeight="false" outlineLevel="0" collapsed="false">
      <c r="B10" s="31" t="s">
        <v>281</v>
      </c>
      <c r="C10" s="32"/>
      <c r="D10" s="32"/>
      <c r="E10" s="32"/>
      <c r="F10" s="32"/>
      <c r="G10" s="32"/>
    </row>
    <row r="11" customFormat="false" ht="15" hidden="false" customHeight="false" outlineLevel="0" collapsed="false">
      <c r="B11" s="18" t="s">
        <v>143</v>
      </c>
      <c r="C11" s="19" t="n">
        <v>6003871977</v>
      </c>
      <c r="D11" s="19" t="n">
        <v>5920369960</v>
      </c>
      <c r="E11" s="19" t="n">
        <v>1057131480</v>
      </c>
      <c r="F11" s="67" t="n">
        <v>-4863238480</v>
      </c>
      <c r="G11" s="30" t="s">
        <v>282</v>
      </c>
    </row>
    <row r="12" customFormat="false" ht="15" hidden="false" customHeight="false" outlineLevel="0" collapsed="false">
      <c r="B12" s="18" t="s">
        <v>144</v>
      </c>
      <c r="C12" s="19" t="n">
        <v>1649935</v>
      </c>
      <c r="D12" s="19" t="n">
        <v>88389130</v>
      </c>
      <c r="E12" s="19" t="n">
        <v>8272515</v>
      </c>
      <c r="F12" s="67" t="n">
        <v>-80116615</v>
      </c>
    </row>
    <row r="13" customFormat="false" ht="15" hidden="false" customHeight="false" outlineLevel="0" collapsed="false">
      <c r="B13" s="63" t="s">
        <v>283</v>
      </c>
      <c r="C13" s="64" t="n">
        <v>6005521912</v>
      </c>
      <c r="D13" s="64" t="n">
        <v>6008759090</v>
      </c>
      <c r="E13" s="64" t="n">
        <v>1065403995</v>
      </c>
      <c r="F13" s="68" t="n">
        <v>-4943355095</v>
      </c>
      <c r="G13" s="54"/>
    </row>
    <row r="15" customFormat="false" ht="15" hidden="false" customHeight="false" outlineLevel="0" collapsed="false">
      <c r="B15" s="31" t="s">
        <v>284</v>
      </c>
      <c r="C15" s="32"/>
      <c r="D15" s="32"/>
      <c r="E15" s="32"/>
      <c r="F15" s="32"/>
      <c r="G15" s="32"/>
    </row>
    <row r="16" customFormat="false" ht="15" hidden="false" customHeight="false" outlineLevel="0" collapsed="false">
      <c r="B16" s="18" t="s">
        <v>163</v>
      </c>
      <c r="C16" s="19" t="n">
        <v>195728463</v>
      </c>
      <c r="D16" s="19" t="n">
        <v>4153717648</v>
      </c>
      <c r="E16" s="19" t="n">
        <v>1851937100</v>
      </c>
      <c r="F16" s="67" t="n">
        <v>-2301780548</v>
      </c>
    </row>
    <row r="17" customFormat="false" ht="15" hidden="false" customHeight="false" outlineLevel="0" collapsed="false">
      <c r="B17" s="18" t="s">
        <v>168</v>
      </c>
      <c r="C17" s="19" t="n">
        <v>664812154</v>
      </c>
      <c r="D17" s="19" t="n">
        <v>1092454306</v>
      </c>
      <c r="E17" s="19" t="n">
        <v>744246933</v>
      </c>
      <c r="F17" s="67" t="n">
        <v>-348207373</v>
      </c>
    </row>
    <row r="18" customFormat="false" ht="15" hidden="false" customHeight="false" outlineLevel="0" collapsed="false">
      <c r="B18" s="18" t="s">
        <v>164</v>
      </c>
      <c r="C18" s="19" t="n">
        <v>72744090</v>
      </c>
      <c r="D18" s="19" t="n">
        <v>98766900</v>
      </c>
      <c r="E18" s="19" t="n">
        <v>226372485</v>
      </c>
      <c r="F18" s="67" t="n">
        <v>127605585</v>
      </c>
    </row>
    <row r="19" customFormat="false" ht="15" hidden="false" customHeight="false" outlineLevel="0" collapsed="false">
      <c r="B19" s="63" t="s">
        <v>285</v>
      </c>
      <c r="C19" s="64" t="n">
        <v>933284707</v>
      </c>
      <c r="D19" s="64" t="n">
        <v>5344938854</v>
      </c>
      <c r="E19" s="64" t="n">
        <v>2822556518</v>
      </c>
      <c r="F19" s="68" t="n">
        <v>-2522382336</v>
      </c>
      <c r="G19" s="54"/>
    </row>
    <row r="21" customFormat="false" ht="15" hidden="false" customHeight="false" outlineLevel="0" collapsed="false">
      <c r="B21" s="31" t="s">
        <v>286</v>
      </c>
      <c r="C21" s="32"/>
      <c r="D21" s="32"/>
      <c r="E21" s="32"/>
      <c r="F21" s="32"/>
      <c r="G21" s="32"/>
    </row>
    <row r="22" customFormat="false" ht="15" hidden="false" customHeight="false" outlineLevel="0" collapsed="false">
      <c r="B22" s="18" t="s">
        <v>165</v>
      </c>
      <c r="C22" s="19" t="n">
        <v>332066711</v>
      </c>
      <c r="D22" s="19" t="n">
        <v>1658893471</v>
      </c>
      <c r="E22" s="19" t="n">
        <v>1197862403</v>
      </c>
      <c r="F22" s="67" t="n">
        <v>-461031068</v>
      </c>
    </row>
    <row r="23" customFormat="false" ht="15" hidden="false" customHeight="false" outlineLevel="0" collapsed="false">
      <c r="B23" s="18" t="s">
        <v>166</v>
      </c>
      <c r="C23" s="19" t="n">
        <v>14374560000</v>
      </c>
      <c r="D23" s="19" t="n">
        <v>9024560000</v>
      </c>
      <c r="E23" s="19" t="n">
        <v>8324560000</v>
      </c>
      <c r="F23" s="67" t="n">
        <v>-700000000</v>
      </c>
      <c r="G23" s="35" t="s">
        <v>287</v>
      </c>
    </row>
    <row r="24" customFormat="false" ht="15" hidden="false" customHeight="false" outlineLevel="0" collapsed="false">
      <c r="B24" s="18" t="s">
        <v>169</v>
      </c>
      <c r="C24" s="19" t="n">
        <v>500000</v>
      </c>
      <c r="D24" s="19" t="n">
        <v>0</v>
      </c>
      <c r="E24" s="19" t="n">
        <v>0</v>
      </c>
      <c r="F24" s="67" t="n">
        <v>0</v>
      </c>
    </row>
    <row r="25" customFormat="false" ht="15" hidden="false" customHeight="false" outlineLevel="0" collapsed="false">
      <c r="B25" s="63" t="s">
        <v>288</v>
      </c>
      <c r="C25" s="64" t="n">
        <v>14707126711</v>
      </c>
      <c r="D25" s="64" t="n">
        <v>10683453471</v>
      </c>
      <c r="E25" s="64" t="n">
        <v>9522422403</v>
      </c>
      <c r="F25" s="68" t="n">
        <v>-1161031068</v>
      </c>
      <c r="G25" s="54"/>
    </row>
    <row r="27" customFormat="false" ht="15" hidden="false" customHeight="false" outlineLevel="0" collapsed="false">
      <c r="B27" s="69" t="s">
        <v>289</v>
      </c>
      <c r="C27" s="57" t="n">
        <v>-9444169548</v>
      </c>
      <c r="D27" s="57" t="n">
        <v>2556046321</v>
      </c>
      <c r="E27" s="57" t="n">
        <v>-2804758097</v>
      </c>
      <c r="F27" s="70" t="n">
        <v>-5360804418</v>
      </c>
      <c r="G27" s="59"/>
    </row>
    <row r="29" customFormat="false" ht="15" hidden="false" customHeight="false" outlineLevel="0" collapsed="false">
      <c r="B29" s="36" t="s">
        <v>290</v>
      </c>
      <c r="C29" s="61" t="n">
        <v>-0.868435853431498</v>
      </c>
      <c r="D29" s="61" t="n">
        <v>0.0504096159368395</v>
      </c>
      <c r="E29" s="61" t="n">
        <v>-0.049347931209988</v>
      </c>
    </row>
    <row r="30" customFormat="false" ht="15" hidden="false" customHeight="false" outlineLevel="0" collapsed="false">
      <c r="B30" s="36" t="s">
        <v>291</v>
      </c>
      <c r="C30" s="71" t="n">
        <v>4</v>
      </c>
      <c r="D30" s="71" t="n">
        <v>88.9</v>
      </c>
      <c r="E30" s="71" t="n">
        <v>51.5</v>
      </c>
    </row>
    <row r="31" customFormat="false" ht="15" hidden="false" customHeight="false" outlineLevel="0" collapsed="false">
      <c r="B31" s="36" t="s">
        <v>292</v>
      </c>
      <c r="C31" s="71" t="n">
        <v>2.9</v>
      </c>
      <c r="D31" s="71" t="n">
        <v>64.6</v>
      </c>
      <c r="E31" s="71" t="n">
        <v>19.2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40"/>
  </cols>
  <sheetData>
    <row r="1" customFormat="false" ht="17.9" hidden="false" customHeight="false" outlineLevel="0" collapsed="false">
      <c r="B1" s="11" t="s">
        <v>293</v>
      </c>
      <c r="C1" s="11"/>
      <c r="D1" s="11"/>
      <c r="E1" s="11"/>
      <c r="F1" s="11"/>
    </row>
    <row r="3" customFormat="false" ht="15" hidden="false" customHeight="false" outlineLevel="0" collapsed="false">
      <c r="A3" s="40"/>
      <c r="B3" s="41" t="s">
        <v>32</v>
      </c>
      <c r="C3" s="40" t="s">
        <v>82</v>
      </c>
      <c r="D3" s="40" t="s">
        <v>83</v>
      </c>
      <c r="E3" s="40" t="s">
        <v>84</v>
      </c>
      <c r="F3" s="40" t="s">
        <v>38</v>
      </c>
    </row>
    <row r="4" customFormat="false" ht="15" hidden="false" customHeight="false" outlineLevel="0" collapsed="false">
      <c r="B4" s="31" t="s">
        <v>294</v>
      </c>
      <c r="C4" s="32"/>
      <c r="D4" s="32"/>
      <c r="E4" s="32"/>
      <c r="F4" s="32"/>
    </row>
    <row r="5" customFormat="false" ht="15" hidden="false" customHeight="false" outlineLevel="0" collapsed="false">
      <c r="B5" s="18" t="s">
        <v>295</v>
      </c>
      <c r="C5" s="19" t="n">
        <v>1623288032</v>
      </c>
      <c r="D5" s="19" t="n">
        <v>924349732</v>
      </c>
      <c r="E5" s="19" t="n">
        <v>642644336</v>
      </c>
    </row>
    <row r="6" customFormat="false" ht="15" hidden="false" customHeight="false" outlineLevel="0" collapsed="false">
      <c r="B6" s="34" t="s">
        <v>296</v>
      </c>
      <c r="C6" s="19" t="n">
        <v>43520679</v>
      </c>
      <c r="D6" s="19" t="n">
        <v>181660876</v>
      </c>
      <c r="E6" s="19" t="n">
        <v>691045385</v>
      </c>
      <c r="F6" s="35" t="s">
        <v>297</v>
      </c>
    </row>
    <row r="7" customFormat="false" ht="15" hidden="false" customHeight="false" outlineLevel="0" collapsed="false">
      <c r="B7" s="36" t="s">
        <v>298</v>
      </c>
      <c r="C7" s="19" t="n">
        <v>-742458979</v>
      </c>
      <c r="D7" s="19" t="n">
        <v>-463366272</v>
      </c>
      <c r="E7" s="19" t="n">
        <v>-464756098</v>
      </c>
    </row>
    <row r="8" customFormat="false" ht="15" hidden="false" customHeight="false" outlineLevel="0" collapsed="false">
      <c r="B8" s="36" t="s">
        <v>299</v>
      </c>
      <c r="C8" s="19" t="n">
        <v>0</v>
      </c>
      <c r="D8" s="19" t="n">
        <v>0</v>
      </c>
      <c r="E8" s="19" t="n">
        <v>0</v>
      </c>
    </row>
    <row r="9" customFormat="false" ht="15" hidden="false" customHeight="false" outlineLevel="0" collapsed="false">
      <c r="B9" s="56" t="s">
        <v>300</v>
      </c>
      <c r="C9" s="57" t="n">
        <v>924349732</v>
      </c>
      <c r="D9" s="57" t="n">
        <v>642644336</v>
      </c>
      <c r="E9" s="57" t="n">
        <v>868933623</v>
      </c>
      <c r="F9" s="59"/>
    </row>
    <row r="11" customFormat="false" ht="15" hidden="false" customHeight="false" outlineLevel="0" collapsed="false">
      <c r="B11" s="18" t="s">
        <v>301</v>
      </c>
      <c r="C11" s="19" t="n">
        <v>1410448115</v>
      </c>
      <c r="D11" s="19" t="n">
        <v>1488713991</v>
      </c>
      <c r="E11" s="19" t="n">
        <v>2100218467</v>
      </c>
    </row>
    <row r="12" customFormat="false" ht="15" hidden="false" customHeight="false" outlineLevel="0" collapsed="false">
      <c r="B12" s="18" t="s">
        <v>302</v>
      </c>
      <c r="C12" s="19" t="n">
        <v>-975365397</v>
      </c>
      <c r="D12" s="19" t="n">
        <v>-1189291511</v>
      </c>
      <c r="E12" s="19" t="n">
        <v>-1482596480</v>
      </c>
    </row>
    <row r="13" customFormat="false" ht="15" hidden="false" customHeight="false" outlineLevel="0" collapsed="false">
      <c r="B13" s="63" t="s">
        <v>303</v>
      </c>
      <c r="C13" s="64" t="n">
        <v>435082718</v>
      </c>
      <c r="D13" s="64" t="n">
        <v>299422480</v>
      </c>
      <c r="E13" s="64" t="n">
        <v>617621987</v>
      </c>
      <c r="F13" s="54"/>
    </row>
    <row r="15" customFormat="false" ht="15" hidden="false" customHeight="false" outlineLevel="0" collapsed="false">
      <c r="B15" s="18" t="s">
        <v>304</v>
      </c>
      <c r="C15" s="19" t="n">
        <v>1451080500</v>
      </c>
      <c r="D15" s="19" t="n">
        <v>1554475500</v>
      </c>
      <c r="E15" s="19" t="n">
        <v>1634016409</v>
      </c>
    </row>
    <row r="16" customFormat="false" ht="15" hidden="false" customHeight="false" outlineLevel="0" collapsed="false">
      <c r="B16" s="18" t="s">
        <v>305</v>
      </c>
      <c r="C16" s="19" t="n">
        <v>-961813486</v>
      </c>
      <c r="D16" s="19" t="n">
        <v>-1211253644</v>
      </c>
      <c r="E16" s="19" t="n">
        <v>-1382704773</v>
      </c>
    </row>
    <row r="17" customFormat="false" ht="15" hidden="false" customHeight="false" outlineLevel="0" collapsed="false">
      <c r="B17" s="63" t="s">
        <v>306</v>
      </c>
      <c r="C17" s="64" t="n">
        <v>489267014</v>
      </c>
      <c r="D17" s="64" t="n">
        <v>343221856</v>
      </c>
      <c r="E17" s="64" t="n">
        <v>251311636</v>
      </c>
      <c r="F17" s="54"/>
    </row>
    <row r="19" customFormat="false" ht="15" hidden="false" customHeight="false" outlineLevel="0" collapsed="false">
      <c r="B19" s="31" t="s">
        <v>307</v>
      </c>
      <c r="C19" s="32"/>
      <c r="D19" s="32"/>
      <c r="E19" s="32"/>
      <c r="F19" s="32"/>
    </row>
    <row r="20" customFormat="false" ht="15" hidden="false" customHeight="false" outlineLevel="0" collapsed="false">
      <c r="B20" s="18" t="s">
        <v>308</v>
      </c>
      <c r="C20" s="19" t="n">
        <v>71779756</v>
      </c>
      <c r="D20" s="19" t="n">
        <v>64093539</v>
      </c>
      <c r="E20" s="19" t="n">
        <v>109134969</v>
      </c>
    </row>
    <row r="21" customFormat="false" ht="15" hidden="false" customHeight="false" outlineLevel="0" collapsed="false">
      <c r="B21" s="18" t="s">
        <v>309</v>
      </c>
      <c r="C21" s="19" t="n">
        <v>0</v>
      </c>
      <c r="D21" s="19" t="n">
        <v>9002598</v>
      </c>
      <c r="E21" s="19" t="n">
        <v>7112435</v>
      </c>
    </row>
    <row r="22" customFormat="false" ht="15" hidden="false" customHeight="false" outlineLevel="0" collapsed="false">
      <c r="B22" s="18" t="s">
        <v>310</v>
      </c>
      <c r="C22" s="19" t="n">
        <v>0</v>
      </c>
      <c r="D22" s="19" t="n">
        <v>0</v>
      </c>
      <c r="E22" s="19" t="n">
        <v>8000000000</v>
      </c>
      <c r="F22" s="35" t="s">
        <v>311</v>
      </c>
    </row>
    <row r="23" customFormat="false" ht="15" hidden="false" customHeight="false" outlineLevel="0" collapsed="false">
      <c r="B23" s="56" t="s">
        <v>312</v>
      </c>
      <c r="C23" s="57" t="n">
        <v>71779756</v>
      </c>
      <c r="D23" s="57" t="n">
        <v>73096137</v>
      </c>
      <c r="E23" s="57" t="n">
        <v>8116247404</v>
      </c>
      <c r="F23" s="59"/>
    </row>
    <row r="25" customFormat="false" ht="15" hidden="false" customHeight="false" outlineLevel="0" collapsed="false">
      <c r="B25" s="31" t="s">
        <v>313</v>
      </c>
      <c r="C25" s="32"/>
      <c r="D25" s="32"/>
      <c r="E25" s="32"/>
      <c r="F25" s="32"/>
    </row>
    <row r="26" customFormat="false" ht="15" hidden="false" customHeight="false" outlineLevel="0" collapsed="false">
      <c r="B26" s="18" t="s">
        <v>314</v>
      </c>
      <c r="C26" s="19" t="n">
        <v>43520679</v>
      </c>
      <c r="D26" s="19" t="n">
        <v>181660876</v>
      </c>
      <c r="E26" s="19" t="n">
        <v>691045385</v>
      </c>
    </row>
    <row r="27" customFormat="false" ht="15" hidden="false" customHeight="false" outlineLevel="0" collapsed="false">
      <c r="B27" s="18" t="s">
        <v>315</v>
      </c>
      <c r="C27" s="19" t="n">
        <v>23950550</v>
      </c>
      <c r="D27" s="19" t="n">
        <v>30644396</v>
      </c>
      <c r="E27" s="19" t="n">
        <v>76032812</v>
      </c>
      <c r="F27" s="30" t="s">
        <v>316</v>
      </c>
    </row>
    <row r="28" customFormat="false" ht="15" hidden="false" customHeight="false" outlineLevel="0" collapsed="false">
      <c r="B28" s="52" t="s">
        <v>317</v>
      </c>
      <c r="C28" s="19" t="n">
        <v>0</v>
      </c>
      <c r="D28" s="19" t="n">
        <v>0</v>
      </c>
      <c r="E28" s="19" t="n">
        <v>8000000000</v>
      </c>
      <c r="F28" s="30" t="s">
        <v>318</v>
      </c>
    </row>
    <row r="29" customFormat="false" ht="15" hidden="false" customHeight="false" outlineLevel="0" collapsed="false">
      <c r="B29" s="69" t="s">
        <v>319</v>
      </c>
      <c r="C29" s="57" t="n">
        <v>67471229</v>
      </c>
      <c r="D29" s="57" t="n">
        <v>212305272</v>
      </c>
      <c r="E29" s="57" t="n">
        <v>8767078197</v>
      </c>
      <c r="F29" s="59"/>
    </row>
    <row r="30" customFormat="false" ht="15" hidden="false" customHeight="false" outlineLevel="0" collapsed="false">
      <c r="B30" s="36" t="s">
        <v>320</v>
      </c>
      <c r="C30" s="61" t="n">
        <v>0.00620429716354421</v>
      </c>
      <c r="D30" s="61" t="n">
        <v>0.00418702397329764</v>
      </c>
      <c r="E30" s="61" t="n">
        <v>0.154251153509779</v>
      </c>
    </row>
    <row r="31" customFormat="false" ht="15" hidden="false" customHeight="false" outlineLevel="0" collapsed="false">
      <c r="B31" s="36" t="s">
        <v>321</v>
      </c>
      <c r="C31" s="19" t="n">
        <v>67471229</v>
      </c>
      <c r="D31" s="19" t="n">
        <v>212305272</v>
      </c>
      <c r="E31" s="19" t="n">
        <v>767078197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B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9" min="4" style="0" width="14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17.9" hidden="false" customHeight="false" outlineLevel="0" collapsed="false">
      <c r="B1" s="11" t="s">
        <v>322</v>
      </c>
      <c r="C1" s="11"/>
      <c r="D1" s="11"/>
      <c r="E1" s="11"/>
      <c r="F1" s="11"/>
      <c r="G1" s="11"/>
      <c r="H1" s="11"/>
      <c r="I1" s="11"/>
      <c r="J1" s="11"/>
      <c r="K1" s="11"/>
    </row>
    <row r="4" customFormat="false" ht="15" hidden="false" customHeight="false" outlineLevel="0" collapsed="false">
      <c r="B4" s="72" t="s">
        <v>323</v>
      </c>
      <c r="C4" s="72"/>
      <c r="D4" s="72"/>
      <c r="E4" s="72"/>
      <c r="F4" s="72"/>
      <c r="G4" s="72"/>
      <c r="H4" s="72"/>
      <c r="I4" s="72"/>
      <c r="J4" s="72"/>
      <c r="K4" s="72"/>
    </row>
    <row r="5" customFormat="false" ht="15" hidden="false" customHeight="false" outlineLevel="0" collapsed="false">
      <c r="B5" s="73" t="s">
        <v>32</v>
      </c>
      <c r="C5" s="73" t="s">
        <v>324</v>
      </c>
      <c r="D5" s="73" t="s">
        <v>325</v>
      </c>
      <c r="E5" s="73" t="s">
        <v>326</v>
      </c>
      <c r="F5" s="73" t="s">
        <v>327</v>
      </c>
      <c r="G5" s="73" t="s">
        <v>328</v>
      </c>
      <c r="H5" s="73" t="s">
        <v>329</v>
      </c>
      <c r="I5" s="73" t="s">
        <v>330</v>
      </c>
      <c r="J5" s="73" t="s">
        <v>331</v>
      </c>
      <c r="K5" s="73" t="s">
        <v>332</v>
      </c>
    </row>
    <row r="6" customFormat="false" ht="15" hidden="false" customHeight="false" outlineLevel="0" collapsed="false">
      <c r="B6" s="48" t="s">
        <v>333</v>
      </c>
      <c r="C6" s="36" t="s">
        <v>334</v>
      </c>
      <c r="D6" s="74" t="n">
        <v>95839</v>
      </c>
      <c r="E6" s="74"/>
      <c r="F6" s="74"/>
      <c r="G6" s="74"/>
      <c r="H6" s="74"/>
      <c r="I6" s="74"/>
      <c r="J6" s="74"/>
      <c r="K6" s="74"/>
    </row>
    <row r="7" customFormat="false" ht="15" hidden="false" customHeight="false" outlineLevel="0" collapsed="false">
      <c r="B7" s="18"/>
      <c r="C7" s="36" t="s">
        <v>335</v>
      </c>
      <c r="D7" s="74"/>
      <c r="E7" s="74"/>
      <c r="F7" s="74"/>
      <c r="G7" s="74"/>
      <c r="H7" s="74"/>
      <c r="I7" s="74"/>
      <c r="J7" s="74"/>
      <c r="K7" s="74"/>
    </row>
    <row r="8" customFormat="false" ht="15" hidden="false" customHeight="false" outlineLevel="0" collapsed="false">
      <c r="B8" s="48" t="s">
        <v>336</v>
      </c>
      <c r="C8" s="18" t="s">
        <v>337</v>
      </c>
      <c r="D8" s="74"/>
      <c r="E8" s="74" t="n">
        <v>2855525</v>
      </c>
      <c r="F8" s="74"/>
      <c r="G8" s="74"/>
      <c r="H8" s="74"/>
      <c r="I8" s="74" t="n">
        <v>67553</v>
      </c>
      <c r="J8" s="74" t="n">
        <v>300000</v>
      </c>
      <c r="K8" s="74"/>
    </row>
    <row r="9" customFormat="false" ht="15" hidden="false" customHeight="false" outlineLevel="0" collapsed="false">
      <c r="B9" s="48" t="s">
        <v>338</v>
      </c>
      <c r="C9" s="18" t="s">
        <v>339</v>
      </c>
      <c r="D9" s="74"/>
      <c r="E9" s="74"/>
      <c r="F9" s="74"/>
      <c r="G9" s="74"/>
      <c r="H9" s="74"/>
      <c r="I9" s="74"/>
      <c r="J9" s="74"/>
      <c r="K9" s="74" t="n">
        <v>2400</v>
      </c>
    </row>
    <row r="10" customFormat="false" ht="15" hidden="false" customHeight="false" outlineLevel="0" collapsed="false">
      <c r="B10" s="18"/>
      <c r="C10" s="18" t="s">
        <v>340</v>
      </c>
      <c r="D10" s="74"/>
      <c r="E10" s="74"/>
      <c r="F10" s="74"/>
      <c r="G10" s="74"/>
      <c r="H10" s="74"/>
      <c r="I10" s="74"/>
      <c r="J10" s="74"/>
      <c r="K10" s="74"/>
    </row>
    <row r="11" customFormat="false" ht="15" hidden="false" customHeight="false" outlineLevel="0" collapsed="false">
      <c r="B11" s="18"/>
      <c r="C11" s="18" t="s">
        <v>341</v>
      </c>
      <c r="D11" s="74"/>
      <c r="E11" s="74" t="n">
        <v>250000</v>
      </c>
      <c r="F11" s="74" t="n">
        <v>50000</v>
      </c>
      <c r="G11" s="74"/>
      <c r="H11" s="74"/>
      <c r="I11" s="74"/>
      <c r="J11" s="74"/>
      <c r="K11" s="74"/>
    </row>
    <row r="13" customFormat="false" ht="15" hidden="false" customHeight="false" outlineLevel="0" collapsed="false">
      <c r="B13" s="72" t="s">
        <v>342</v>
      </c>
      <c r="C13" s="72"/>
      <c r="D13" s="72"/>
      <c r="E13" s="72"/>
      <c r="F13" s="72"/>
      <c r="G13" s="72"/>
      <c r="H13" s="72"/>
      <c r="I13" s="72"/>
      <c r="J13" s="72"/>
      <c r="K13" s="72"/>
    </row>
    <row r="14" customFormat="false" ht="15" hidden="false" customHeight="false" outlineLevel="0" collapsed="false">
      <c r="B14" s="73" t="s">
        <v>32</v>
      </c>
      <c r="C14" s="73" t="s">
        <v>324</v>
      </c>
      <c r="D14" s="73" t="s">
        <v>325</v>
      </c>
      <c r="E14" s="73" t="s">
        <v>326</v>
      </c>
      <c r="F14" s="73" t="s">
        <v>327</v>
      </c>
      <c r="G14" s="73" t="s">
        <v>328</v>
      </c>
      <c r="H14" s="73" t="s">
        <v>329</v>
      </c>
      <c r="I14" s="73" t="s">
        <v>330</v>
      </c>
      <c r="J14" s="73" t="s">
        <v>331</v>
      </c>
      <c r="K14" s="73" t="s">
        <v>332</v>
      </c>
    </row>
    <row r="15" customFormat="false" ht="15" hidden="false" customHeight="false" outlineLevel="0" collapsed="false">
      <c r="B15" s="48" t="s">
        <v>333</v>
      </c>
      <c r="C15" s="36" t="s">
        <v>334</v>
      </c>
      <c r="D15" s="74"/>
      <c r="E15" s="74"/>
      <c r="F15" s="74"/>
      <c r="G15" s="74"/>
      <c r="H15" s="74"/>
      <c r="I15" s="74"/>
      <c r="J15" s="74"/>
      <c r="K15" s="74"/>
    </row>
    <row r="16" customFormat="false" ht="15" hidden="false" customHeight="false" outlineLevel="0" collapsed="false">
      <c r="B16" s="18"/>
      <c r="C16" s="36" t="s">
        <v>335</v>
      </c>
      <c r="D16" s="74" t="n">
        <v>232315</v>
      </c>
      <c r="E16" s="74"/>
      <c r="F16" s="74"/>
      <c r="G16" s="74"/>
      <c r="H16" s="74"/>
      <c r="I16" s="74"/>
      <c r="J16" s="74"/>
      <c r="K16" s="74"/>
    </row>
    <row r="17" customFormat="false" ht="15" hidden="false" customHeight="false" outlineLevel="0" collapsed="false">
      <c r="B17" s="48" t="s">
        <v>336</v>
      </c>
      <c r="C17" s="18" t="s">
        <v>337</v>
      </c>
      <c r="D17" s="74"/>
      <c r="E17" s="74" t="n">
        <v>464650</v>
      </c>
      <c r="F17" s="74"/>
      <c r="G17" s="74"/>
      <c r="H17" s="74"/>
      <c r="I17" s="74" t="n">
        <v>143052</v>
      </c>
      <c r="J17" s="74"/>
      <c r="K17" s="74"/>
    </row>
    <row r="18" customFormat="false" ht="15" hidden="false" customHeight="false" outlineLevel="0" collapsed="false">
      <c r="B18" s="48" t="s">
        <v>338</v>
      </c>
      <c r="C18" s="18" t="s">
        <v>339</v>
      </c>
      <c r="D18" s="74"/>
      <c r="E18" s="74"/>
      <c r="F18" s="74"/>
      <c r="G18" s="74"/>
      <c r="H18" s="74"/>
      <c r="I18" s="74"/>
      <c r="J18" s="74"/>
      <c r="K18" s="74" t="n">
        <v>600</v>
      </c>
    </row>
    <row r="19" customFormat="false" ht="15" hidden="false" customHeight="false" outlineLevel="0" collapsed="false">
      <c r="B19" s="18"/>
      <c r="C19" s="18" t="s">
        <v>340</v>
      </c>
      <c r="D19" s="74"/>
      <c r="E19" s="74"/>
      <c r="F19" s="74"/>
      <c r="G19" s="74"/>
      <c r="H19" s="74"/>
      <c r="I19" s="74"/>
      <c r="J19" s="74"/>
      <c r="K19" s="74"/>
    </row>
    <row r="20" customFormat="false" ht="15" hidden="false" customHeight="false" outlineLevel="0" collapsed="false">
      <c r="B20" s="18"/>
      <c r="C20" s="18" t="s">
        <v>341</v>
      </c>
      <c r="D20" s="74"/>
      <c r="E20" s="74"/>
      <c r="F20" s="74" t="n">
        <v>100000</v>
      </c>
      <c r="G20" s="74" t="n">
        <v>347000</v>
      </c>
      <c r="H20" s="74" t="n">
        <v>307000</v>
      </c>
      <c r="I20" s="74"/>
      <c r="J20" s="74"/>
      <c r="K20" s="74"/>
    </row>
    <row r="22" customFormat="false" ht="15" hidden="false" customHeight="false" outlineLevel="0" collapsed="false">
      <c r="B22" s="72" t="s">
        <v>343</v>
      </c>
      <c r="C22" s="72"/>
      <c r="D22" s="72"/>
      <c r="E22" s="72"/>
      <c r="F22" s="72"/>
      <c r="G22" s="72"/>
      <c r="H22" s="72"/>
      <c r="I22" s="72"/>
      <c r="J22" s="72"/>
      <c r="K22" s="72"/>
    </row>
    <row r="23" customFormat="false" ht="15" hidden="false" customHeight="false" outlineLevel="0" collapsed="false">
      <c r="B23" s="73" t="s">
        <v>32</v>
      </c>
      <c r="C23" s="73" t="s">
        <v>324</v>
      </c>
      <c r="D23" s="73" t="s">
        <v>325</v>
      </c>
      <c r="E23" s="73" t="s">
        <v>326</v>
      </c>
      <c r="F23" s="73" t="s">
        <v>327</v>
      </c>
      <c r="G23" s="73" t="s">
        <v>328</v>
      </c>
      <c r="H23" s="73" t="s">
        <v>329</v>
      </c>
      <c r="I23" s="73" t="s">
        <v>330</v>
      </c>
      <c r="J23" s="73" t="s">
        <v>331</v>
      </c>
      <c r="K23" s="73" t="s">
        <v>332</v>
      </c>
    </row>
    <row r="24" customFormat="false" ht="15" hidden="false" customHeight="false" outlineLevel="0" collapsed="false">
      <c r="B24" s="48" t="s">
        <v>333</v>
      </c>
      <c r="C24" s="36" t="s">
        <v>334</v>
      </c>
      <c r="D24" s="74" t="n">
        <v>2941</v>
      </c>
      <c r="E24" s="74"/>
      <c r="F24" s="74"/>
      <c r="G24" s="74"/>
      <c r="H24" s="74"/>
      <c r="I24" s="74"/>
      <c r="J24" s="74"/>
      <c r="K24" s="74"/>
    </row>
    <row r="25" customFormat="false" ht="15" hidden="false" customHeight="false" outlineLevel="0" collapsed="false">
      <c r="B25" s="18"/>
      <c r="C25" s="36" t="s">
        <v>335</v>
      </c>
      <c r="D25" s="74"/>
      <c r="E25" s="74"/>
      <c r="F25" s="74"/>
      <c r="G25" s="74"/>
      <c r="H25" s="74"/>
      <c r="I25" s="74"/>
      <c r="J25" s="74"/>
      <c r="K25" s="74"/>
    </row>
    <row r="26" customFormat="false" ht="15" hidden="false" customHeight="false" outlineLevel="0" collapsed="false">
      <c r="B26" s="48" t="s">
        <v>336</v>
      </c>
      <c r="C26" s="18" t="s">
        <v>337</v>
      </c>
      <c r="D26" s="74" t="n">
        <v>1400000</v>
      </c>
      <c r="E26" s="74" t="n">
        <v>975200</v>
      </c>
      <c r="F26" s="74" t="n">
        <v>2516927</v>
      </c>
      <c r="G26" s="74"/>
      <c r="H26" s="74"/>
      <c r="I26" s="74" t="n">
        <v>143811</v>
      </c>
      <c r="J26" s="74" t="n">
        <v>8000000</v>
      </c>
      <c r="K26" s="74"/>
    </row>
    <row r="27" customFormat="false" ht="15" hidden="false" customHeight="false" outlineLevel="0" collapsed="false">
      <c r="B27" s="48" t="s">
        <v>338</v>
      </c>
      <c r="C27" s="18" t="s">
        <v>339</v>
      </c>
      <c r="D27" s="74"/>
      <c r="E27" s="74"/>
      <c r="F27" s="74"/>
      <c r="G27" s="74"/>
      <c r="H27" s="74"/>
      <c r="I27" s="74"/>
      <c r="J27" s="74"/>
      <c r="K27" s="74"/>
    </row>
    <row r="28" customFormat="false" ht="15" hidden="false" customHeight="false" outlineLevel="0" collapsed="false">
      <c r="B28" s="18"/>
      <c r="C28" s="18" t="s">
        <v>340</v>
      </c>
      <c r="D28" s="74"/>
      <c r="E28" s="74"/>
      <c r="F28" s="74"/>
      <c r="G28" s="74"/>
      <c r="H28" s="74"/>
      <c r="I28" s="74"/>
      <c r="J28" s="74"/>
      <c r="K28" s="74"/>
    </row>
    <row r="29" customFormat="false" ht="15" hidden="false" customHeight="false" outlineLevel="0" collapsed="false">
      <c r="B29" s="18"/>
      <c r="C29" s="18" t="s">
        <v>341</v>
      </c>
      <c r="D29" s="74"/>
      <c r="E29" s="74" t="n">
        <v>50000</v>
      </c>
      <c r="F29" s="74" t="n">
        <v>50000</v>
      </c>
      <c r="G29" s="74"/>
      <c r="H29" s="74" t="n">
        <v>40000</v>
      </c>
      <c r="I29" s="74"/>
      <c r="J29" s="74"/>
      <c r="K29" s="74"/>
    </row>
    <row r="32" customFormat="false" ht="15" hidden="false" customHeight="false" outlineLevel="0" collapsed="false">
      <c r="B32" s="75" t="s">
        <v>344</v>
      </c>
      <c r="C32" s="75"/>
      <c r="D32" s="75"/>
      <c r="E32" s="75"/>
      <c r="F32" s="75"/>
      <c r="G32" s="75"/>
      <c r="H32" s="75"/>
      <c r="I32" s="75"/>
      <c r="J32" s="75"/>
      <c r="K32" s="75"/>
    </row>
    <row r="33" customFormat="false" ht="15" hidden="false" customHeight="false" outlineLevel="0" collapsed="false">
      <c r="B33" s="76" t="s">
        <v>345</v>
      </c>
      <c r="C33" s="76"/>
      <c r="D33" s="76"/>
      <c r="E33" s="76"/>
      <c r="F33" s="76"/>
      <c r="G33" s="76"/>
      <c r="H33" s="76"/>
      <c r="I33" s="76"/>
      <c r="J33" s="76"/>
      <c r="K33" s="76"/>
    </row>
    <row r="34" customFormat="false" ht="15" hidden="false" customHeight="false" outlineLevel="0" collapsed="false">
      <c r="B34" s="76" t="s">
        <v>346</v>
      </c>
      <c r="C34" s="76"/>
      <c r="D34" s="76"/>
      <c r="E34" s="76"/>
      <c r="F34" s="76"/>
      <c r="G34" s="76"/>
      <c r="H34" s="76"/>
      <c r="I34" s="76"/>
      <c r="J34" s="76"/>
      <c r="K34" s="76"/>
    </row>
    <row r="35" customFormat="false" ht="15" hidden="false" customHeight="false" outlineLevel="0" collapsed="false">
      <c r="B35" s="76" t="s">
        <v>347</v>
      </c>
      <c r="C35" s="76"/>
      <c r="D35" s="76"/>
      <c r="E35" s="76"/>
      <c r="F35" s="76"/>
      <c r="G35" s="76"/>
      <c r="H35" s="76"/>
      <c r="I35" s="76"/>
      <c r="J35" s="76"/>
      <c r="K35" s="76"/>
    </row>
    <row r="36" customFormat="false" ht="15" hidden="false" customHeight="false" outlineLevel="0" collapsed="false">
      <c r="B36" s="76" t="s">
        <v>348</v>
      </c>
      <c r="C36" s="76"/>
      <c r="D36" s="76"/>
      <c r="E36" s="76"/>
      <c r="F36" s="76"/>
      <c r="G36" s="76"/>
      <c r="H36" s="76"/>
      <c r="I36" s="76"/>
      <c r="J36" s="76"/>
      <c r="K36" s="76"/>
    </row>
    <row r="37" customFormat="false" ht="15" hidden="false" customHeight="false" outlineLevel="0" collapsed="false">
      <c r="B37" s="76" t="s">
        <v>349</v>
      </c>
      <c r="C37" s="76"/>
      <c r="D37" s="76"/>
      <c r="E37" s="76"/>
      <c r="F37" s="76"/>
      <c r="G37" s="76"/>
      <c r="H37" s="76"/>
      <c r="I37" s="76"/>
      <c r="J37" s="76"/>
      <c r="K37" s="76"/>
    </row>
  </sheetData>
  <mergeCells count="10">
    <mergeCell ref="B1:K1"/>
    <mergeCell ref="B4:K4"/>
    <mergeCell ref="B13:K13"/>
    <mergeCell ref="B22:K22"/>
    <mergeCell ref="B32:K32"/>
    <mergeCell ref="B33:K33"/>
    <mergeCell ref="B34:K34"/>
    <mergeCell ref="B35:K35"/>
    <mergeCell ref="B36:K36"/>
    <mergeCell ref="B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2026-02-19T05:20:00Z</dcterms:created>
  <dc:creator>openpyxl</dc:creator>
  <dc:description/>
  <dc:language>en-US</dc:language>
  <cp:lastModifiedBy/>
  <dcterms:modified xsi:type="dcterms:W3CDTF">2026-02-19T05:20:00Z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