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RD\0. Project Covenant\케이프증권\0. RFI\250709\"/>
    </mc:Choice>
  </mc:AlternateContent>
  <xr:revisionPtr revIDLastSave="0" documentId="13_ncr:1_{052F25AF-8F1F-442C-A3FF-A4DE92BD5A9D}" xr6:coauthVersionLast="47" xr6:coauthVersionMax="47" xr10:uidLastSave="{00000000-0000-0000-0000-000000000000}"/>
  <bookViews>
    <workbookView xWindow="28680" yWindow="-120" windowWidth="29040" windowHeight="15720" xr2:uid="{59D3E1CF-914D-45EB-8FD0-B73676EBD18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11" i="1"/>
  <c r="B12" i="1"/>
  <c r="B13" i="1"/>
  <c r="B14" i="1"/>
  <c r="B8" i="1"/>
  <c r="B7" i="1"/>
</calcChain>
</file>

<file path=xl/sharedStrings.xml><?xml version="1.0" encoding="utf-8"?>
<sst xmlns="http://schemas.openxmlformats.org/spreadsheetml/2006/main" count="24" uniqueCount="24">
  <si>
    <t>6. 프랜차이즈 본사(명륜당, 올데이프레쉬) 재무제표 (22년~24년)</t>
    <phoneticPr fontId="1" type="noConversion"/>
  </si>
  <si>
    <t>7. 대출 채권 원천 자금에 대한 조달 History에 관한 설명</t>
    <phoneticPr fontId="1" type="noConversion"/>
  </si>
  <si>
    <t>No.</t>
    <phoneticPr fontId="1" type="noConversion"/>
  </si>
  <si>
    <t>요청일자</t>
    <phoneticPr fontId="1" type="noConversion"/>
  </si>
  <si>
    <t>요청자료리스트</t>
    <phoneticPr fontId="1" type="noConversion"/>
  </si>
  <si>
    <t>수령여부</t>
    <phoneticPr fontId="1" type="noConversion"/>
  </si>
  <si>
    <t>회신날짜</t>
    <phoneticPr fontId="1" type="noConversion"/>
  </si>
  <si>
    <t>비고</t>
    <phoneticPr fontId="1" type="noConversion"/>
  </si>
  <si>
    <t>Request for Information</t>
  </si>
  <si>
    <t>케이프 증권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</si>
  <si>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1. 점포별 대출 채권 상세 계약 조건</t>
    </r>
    <r>
      <rPr>
        <sz val="10"/>
        <color theme="1"/>
        <rFont val="맑은 고딕"/>
        <family val="3"/>
        <charset val="129"/>
        <scheme val="minor"/>
      </rPr>
      <t xml:space="preserve">
   - 차주, 금리, 회수 기간, 회수 조건, 담보 설정 내역, 기타 특약 등
   - 대출 계약 유형별 샘플 계약서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</si>
  <si>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2. 점포별 대출 채권 회수 현황</t>
    </r>
    <r>
      <rPr>
        <sz val="10"/>
        <color theme="1"/>
        <rFont val="맑은 고딕"/>
        <family val="2"/>
        <charset val="129"/>
        <scheme val="minor"/>
      </rPr>
      <t xml:space="preserve">
   - 대출 실행일로부터 최근일까지 월별 회수 내역 현금 흐름을 파악할 수 있는 자료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</si>
  <si>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3. 현재 대출 채권 잔액 약 1,000억에 대한 향후 회수 스케줄</t>
    </r>
    <r>
      <rPr>
        <sz val="10"/>
        <color theme="1"/>
        <rFont val="맑은 고딕"/>
        <family val="2"/>
        <charset val="129"/>
        <scheme val="minor"/>
      </rPr>
      <t xml:space="preserve">
   - 예상 회수 기간, 기존 회수 현황 대비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</si>
  <si>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4. 대출 채권 회수 금액의 구체적인 회수 방식에 관한 설명</t>
    </r>
    <r>
      <rPr>
        <sz val="10"/>
        <color theme="1"/>
        <rFont val="맑은 고딕"/>
        <family val="2"/>
        <charset val="129"/>
        <scheme val="minor"/>
      </rPr>
      <t xml:space="preserve">
   - 대부 업체에서 직접 회수 or 프랜차이즈 본사와의 거래 구조를 통한 회수 등 유형별 설명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</si>
  <si>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5. 점포별 월별 회계 기준 손익 및 현금수지 현황 (24년~25년 6월)</t>
    </r>
    <r>
      <rPr>
        <sz val="10"/>
        <color theme="1"/>
        <rFont val="맑은 고딕"/>
        <family val="2"/>
        <charset val="129"/>
        <scheme val="minor"/>
      </rPr>
      <t xml:space="preserve">
   - 명륜진사갈비, 샤브올데이 대출 실행 점포 대상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</si>
  <si>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8. 대부 업체별 차입금 및 원천 자금에 관한 상세 내역 및 조달 조건</t>
    </r>
    <r>
      <rPr>
        <sz val="10"/>
        <color theme="1"/>
        <rFont val="맑은 고딕"/>
        <family val="2"/>
        <charset val="129"/>
        <scheme val="minor"/>
      </rPr>
      <t xml:space="preserve">
   - 차입처, 금리, 상환 스케줄, 담보 제공 내역, 기타 특약 등
   - 차입 계약서 전체 샘플 </t>
    </r>
    <phoneticPr fontId="1" type="noConversion"/>
  </si>
  <si>
    <t>- 명륜당(차입처) → 각 대부업체</t>
    <phoneticPr fontId="1" type="noConversion"/>
  </si>
  <si>
    <t>- 명륜진사갈비 : 60개월 이내 상환 예상
- 샤브올데이 : 36개월 이내 상환 예상</t>
    <phoneticPr fontId="1" type="noConversion"/>
  </si>
  <si>
    <t>- 첨부 '6. 재무제표' 참고</t>
    <phoneticPr fontId="1" type="noConversion"/>
  </si>
  <si>
    <t>- 차입처 : 명륜당
- 금리 : 연4.6%
- 상환스케즐 : 만기일시
- 담보 및 기타특약 없음
※각 대부업체 계약서 첨부('8. 금전소비대차(굿투비 제외)' 참고)</t>
    <phoneticPr fontId="1" type="noConversion"/>
  </si>
  <si>
    <t>- 명륜진사갈비 : 필수 원육패키지에 점주와 합의한 추가금액을 합산 후 매월 정산,
                   정산금을 대부업체로 입금
- 샤브올데이 : 매출액 13%를 점주가 대부업체로 직접입금</t>
    <phoneticPr fontId="1" type="noConversion"/>
  </si>
  <si>
    <t>- 가맹점 특성상 프랜차이즈 본사에서 가맹점의 회계기준 손익 및 현금수지 확인 불가</t>
    <phoneticPr fontId="1" type="noConversion"/>
  </si>
  <si>
    <t>- 차주 : 명륜진사갈비 및 샤브올데이 가맹점주
- 금리 : 12%~18%
- 회수기간 : 명륜진사갈비 2년 약정
               샤브올데이 1년 약정
- 회수조건 : 명륜진사갈비 : 필수 원육패키지에 추가비용 결제 후 월말 추가비용 합산하여 
                                 명륜진사갈비에서 각 대부업체로 입금
               샤브올데이 : 월매출액의 13% 각 대부업체로 점주 직접 입금
- 담보 및 기타특약 없음
- 대출 계약 샘플 : 첨부 '1. 대출 계약 샘플' 참고
※ 점포별 리스트 : 첨부'1. 대출 리스트' 참고</t>
    <phoneticPr fontId="1" type="noConversion"/>
  </si>
  <si>
    <t xml:space="preserve">- 첨부 : '2. 채권 회수 현황(5개점 샘플)'
- 500개점 이상으로 자료가 방대하여, 명류/샤브 5개점 샘플 제공
  전체 매장 필요 시 요청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</si>
</sst>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&quot;-&quot;m&quot;-&quot;d;@"/>
    <numFmt numFmtId="177" formatCode="yy&quot;-&quot;mm&quot;-&quot;dd;@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b/>
      <i/>
      <sz val="11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5" fillId="3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>
      <alignment vertical="center"/>
    </xf>
    <xf numFmtId="0" fontId="3" fillId="0" borderId="2" xfId="0" applyFont="1" applyBorder="1" applyAlignment="1">
      <alignment vertical="center" wrapText="1"/>
    </xf>
    <xf numFmtId="0" fontId="7" fillId="0" borderId="2" xfId="0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2" xfId="0" applyNumberFormat="1" applyFont="1" applyBorder="1" applyAlignment="1">
      <alignment vertical="center" wrapText="1"/>
    </xf>
    <xf numFmtId="49" fontId="2" fillId="0" borderId="2" xfId="0" quotePrefix="1" applyNumberFormat="1" applyFont="1" applyBorder="1" applyAlignment="1">
      <alignment vertical="center" wrapText="1"/>
    </xf>
    <xf numFmtId="49" fontId="2" fillId="0" borderId="2" xfId="0" quotePrefix="1" applyNumberFormat="1" applyFont="1" applyBorder="1">
      <alignment vertical="center"/>
    </xf>
    <xf numFmtId="177" fontId="2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49" fontId="2" fillId="0" borderId="4" xfId="0" quotePrefix="1" applyNumberFormat="1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177" fontId="2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horizontal="center" vertical="center" wrapText="1"/>
    </xf>
    <xf numFmtId="49" fontId="2" fillId="4" borderId="2" xfId="0" quotePrefix="1" applyNumberFormat="1" applyFont="1" applyFill="1" applyBorder="1">
      <alignment vertical="center"/>
    </xf>
  </cellXfs>
  <cellStyles count="1">
    <cellStyle name="표준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C94F-E717-4835-96AB-BD4ADEF0D770}">
  <dimension ref="B2:G36"/>
  <sheetViews>
    <sheetView showGridLines="0" tabSelected="1" workbookViewId="0">
      <selection activeCell="G7" sqref="G7"/>
    </sheetView>
  </sheetViews>
  <sheetFormatPr defaultColWidth="8.69921875" defaultRowHeight="15.6" x14ac:dyDescent="0.4"/>
  <cols>
    <col min="1" max="1" width="1.69921875" style="1" customWidth="1"/>
    <col min="2" max="2" width="6.59765625" style="2" customWidth="1"/>
    <col min="3" max="3" width="18.19921875" style="2" customWidth="1"/>
    <col min="4" max="4" width="79.8984375" style="1" customWidth="1"/>
    <col min="5" max="6" width="18.19921875" style="1" customWidth="1"/>
    <col min="7" max="7" width="68.09765625" style="1" customWidth="1"/>
    <col min="8" max="11" width="8.69921875" style="1" customWidth="1"/>
    <col min="12" max="16384" width="8.69921875" style="1"/>
  </cols>
  <sheetData>
    <row r="2" spans="2:7" ht="20.399999999999999" x14ac:dyDescent="0.4">
      <c r="B2" s="13" t="s">
        <v>9</v>
      </c>
      <c r="C2" s="14"/>
    </row>
    <row r="3" spans="2:7" ht="17.399999999999999" x14ac:dyDescent="0.4">
      <c r="B3" s="16" t="s">
        <v>8</v>
      </c>
      <c r="C3" s="15"/>
    </row>
    <row r="6" spans="2:7" x14ac:dyDescent="0.4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</row>
    <row r="7" spans="2:7" ht="187.2" x14ac:dyDescent="0.4">
      <c r="B7" s="6">
        <f>ROW()-ROW($B$6)</f>
        <v>1</v>
      </c>
      <c r="C7" s="23">
        <v>45845</v>
      </c>
      <c r="D7" s="24" t="s">
        <v>10</v>
      </c>
      <c r="E7" s="28"/>
      <c r="F7" s="23">
        <v>45847</v>
      </c>
      <c r="G7" s="25" t="s">
        <v>22</v>
      </c>
    </row>
    <row r="8" spans="2:7" ht="62.4" x14ac:dyDescent="0.4">
      <c r="B8" s="7">
        <f>ROW()-ROW($B$6)</f>
        <v>2</v>
      </c>
      <c r="C8" s="8">
        <v>45845</v>
      </c>
      <c r="D8" s="17" t="s">
        <v>11</v>
      </c>
      <c r="E8" s="27"/>
      <c r="F8" s="8">
        <v>45847</v>
      </c>
      <c r="G8" s="21" t="s">
        <v>23</v>
      </c>
    </row>
    <row r="9" spans="2:7" ht="31.2" x14ac:dyDescent="0.4">
      <c r="B9" s="7">
        <f t="shared" ref="B9:B14" si="0">ROW()-ROW($B$6)</f>
        <v>3</v>
      </c>
      <c r="C9" s="8">
        <v>45845</v>
      </c>
      <c r="D9" s="17" t="s">
        <v>12</v>
      </c>
      <c r="E9" s="26"/>
      <c r="F9" s="8">
        <v>45847</v>
      </c>
      <c r="G9" s="21" t="s">
        <v>17</v>
      </c>
    </row>
    <row r="10" spans="2:7" ht="46.8" x14ac:dyDescent="0.4">
      <c r="B10" s="7">
        <f t="shared" si="0"/>
        <v>4</v>
      </c>
      <c r="C10" s="8">
        <v>45845</v>
      </c>
      <c r="D10" s="17" t="s">
        <v>13</v>
      </c>
      <c r="E10" s="26"/>
      <c r="F10" s="8">
        <v>45847</v>
      </c>
      <c r="G10" s="21" t="s">
        <v>20</v>
      </c>
    </row>
    <row r="11" spans="2:7" ht="31.2" x14ac:dyDescent="0.4">
      <c r="B11" s="29">
        <f t="shared" si="0"/>
        <v>5</v>
      </c>
      <c r="C11" s="30">
        <v>45845</v>
      </c>
      <c r="D11" s="31" t="s">
        <v>14</v>
      </c>
      <c r="E11" s="32"/>
      <c r="F11" s="30">
        <v>45847</v>
      </c>
      <c r="G11" s="33" t="s">
        <v>21</v>
      </c>
    </row>
    <row r="12" spans="2:7" x14ac:dyDescent="0.4">
      <c r="B12" s="7">
        <f t="shared" si="0"/>
        <v>6</v>
      </c>
      <c r="C12" s="8">
        <v>45845</v>
      </c>
      <c r="D12" s="18" t="s">
        <v>0</v>
      </c>
      <c r="E12" s="26"/>
      <c r="F12" s="8">
        <v>45847</v>
      </c>
      <c r="G12" s="22" t="s">
        <v>18</v>
      </c>
    </row>
    <row r="13" spans="2:7" ht="29.25" customHeight="1" x14ac:dyDescent="0.4">
      <c r="B13" s="7">
        <f t="shared" si="0"/>
        <v>7</v>
      </c>
      <c r="C13" s="8">
        <v>45845</v>
      </c>
      <c r="D13" s="18" t="s">
        <v>1</v>
      </c>
      <c r="E13" s="26"/>
      <c r="F13" s="8">
        <v>45847</v>
      </c>
      <c r="G13" s="19" t="s">
        <v>16</v>
      </c>
    </row>
    <row r="14" spans="2:7" ht="93.6" x14ac:dyDescent="0.4">
      <c r="B14" s="7">
        <f t="shared" si="0"/>
        <v>8</v>
      </c>
      <c r="C14" s="8">
        <v>45845</v>
      </c>
      <c r="D14" s="17" t="s">
        <v>15</v>
      </c>
      <c r="E14" s="26"/>
      <c r="F14" s="8">
        <v>45847</v>
      </c>
      <c r="G14" s="20" t="s">
        <v>19</v>
      </c>
    </row>
    <row r="15" spans="2:7" x14ac:dyDescent="0.4">
      <c r="B15" s="7"/>
      <c r="C15" s="8"/>
      <c r="D15" s="9"/>
      <c r="E15" s="26"/>
      <c r="F15" s="8"/>
      <c r="G15" s="9"/>
    </row>
    <row r="16" spans="2:7" x14ac:dyDescent="0.4">
      <c r="B16" s="7"/>
      <c r="C16" s="8"/>
      <c r="D16" s="9"/>
      <c r="E16" s="9"/>
      <c r="F16" s="8"/>
      <c r="G16" s="9"/>
    </row>
    <row r="17" spans="2:7" x14ac:dyDescent="0.4">
      <c r="B17" s="7"/>
      <c r="C17" s="8"/>
      <c r="D17" s="9"/>
      <c r="E17" s="9"/>
      <c r="F17" s="8"/>
      <c r="G17" s="9"/>
    </row>
    <row r="18" spans="2:7" x14ac:dyDescent="0.4">
      <c r="B18" s="10"/>
      <c r="C18" s="11"/>
      <c r="D18" s="12"/>
      <c r="E18" s="12"/>
      <c r="F18" s="11"/>
      <c r="G18" s="12"/>
    </row>
    <row r="19" spans="2:7" x14ac:dyDescent="0.4">
      <c r="C19" s="5"/>
    </row>
    <row r="20" spans="2:7" x14ac:dyDescent="0.4">
      <c r="C20" s="5"/>
    </row>
    <row r="21" spans="2:7" x14ac:dyDescent="0.4">
      <c r="C21" s="5"/>
    </row>
    <row r="22" spans="2:7" x14ac:dyDescent="0.4">
      <c r="C22" s="5"/>
    </row>
    <row r="23" spans="2:7" x14ac:dyDescent="0.4">
      <c r="C23" s="5"/>
    </row>
    <row r="24" spans="2:7" x14ac:dyDescent="0.4">
      <c r="C24" s="5"/>
    </row>
    <row r="25" spans="2:7" x14ac:dyDescent="0.4">
      <c r="C25" s="5"/>
    </row>
    <row r="26" spans="2:7" x14ac:dyDescent="0.4">
      <c r="C26" s="5"/>
    </row>
    <row r="27" spans="2:7" x14ac:dyDescent="0.4">
      <c r="C27" s="4"/>
    </row>
    <row r="28" spans="2:7" x14ac:dyDescent="0.4">
      <c r="C28" s="4"/>
    </row>
    <row r="29" spans="2:7" x14ac:dyDescent="0.4">
      <c r="C29" s="4"/>
    </row>
    <row r="30" spans="2:7" x14ac:dyDescent="0.4">
      <c r="C30" s="4"/>
    </row>
    <row r="31" spans="2:7" x14ac:dyDescent="0.4">
      <c r="C31" s="4"/>
    </row>
    <row r="32" spans="2:7" x14ac:dyDescent="0.4">
      <c r="C32" s="4"/>
    </row>
    <row r="33" spans="3:3" x14ac:dyDescent="0.4">
      <c r="C33" s="4"/>
    </row>
    <row r="34" spans="3:3" x14ac:dyDescent="0.4">
      <c r="C34" s="4"/>
    </row>
    <row r="35" spans="3:3" x14ac:dyDescent="0.4">
      <c r="C35" s="4"/>
    </row>
    <row r="36" spans="3:3" x14ac:dyDescent="0.4">
      <c r="C36" s="4"/>
    </row>
  </sheetData>
  <phoneticPr fontId="1" type="noConversion"/>
  <conditionalFormatting sqref="E7:E15">
    <cfRule type="expression" dxfId="1" priority="1">
      <formula>$F7="해당없음"</formula>
    </cfRule>
    <cfRule type="expression" dxfId="0" priority="2">
      <formula>$F7="수령"</formula>
    </cfRule>
  </conditionalFormatting>
  <dataValidations disablePrompts="1" count="1">
    <dataValidation type="list" allowBlank="1" showInputMessage="1" showErrorMessage="1" sqref="E7:E15" xr:uid="{36ECB147-65D0-4D75-9E29-54726314C980}">
      <formula1>"수령,일부수령,미수령,해당없음"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Minku</dc:creator>
  <cp:lastModifiedBy>Lee Minku</cp:lastModifiedBy>
  <dcterms:created xsi:type="dcterms:W3CDTF">2025-07-08T00:52:11Z</dcterms:created>
  <dcterms:modified xsi:type="dcterms:W3CDTF">2025-07-09T04:55:09Z</dcterms:modified>
</cp:coreProperties>
</file>