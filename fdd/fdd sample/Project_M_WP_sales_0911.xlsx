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jinsukyang\Desktop\1.양진석문서\1.PJT_FY2015\3.대성전기\6.Workingfile\4.Sales\"/>
    </mc:Choice>
  </mc:AlternateContent>
  <xr:revisionPtr revIDLastSave="0" documentId="8_{D7338766-D5F3-49F3-B160-F34E1354CCF0}" xr6:coauthVersionLast="47" xr6:coauthVersionMax="47" xr10:uidLastSave="{00000000-0000-0000-0000-000000000000}"/>
  <bookViews>
    <workbookView xWindow="0" yWindow="0" windowWidth="19560" windowHeight="8295" tabRatio="943" firstSheet="15" activeTab="15" xr2:uid="{00000000-000D-0000-FFFF-FFFF00000000}"/>
  </bookViews>
  <sheets>
    <sheet name="Index" sheetId="3" r:id="rId1"/>
    <sheet name="Sales_01" sheetId="2" r:id="rId2"/>
    <sheet name="Sales_02거래처별" sheetId="4" r:id="rId3"/>
    <sheet name="Sales_03자료간 차이" sheetId="12" r:id="rId4"/>
    <sheet name="Sales_04사업부별" sheetId="21" r:id="rId5"/>
    <sheet name="Sales_05사업부별추세" sheetId="8" r:id="rId6"/>
    <sheet name="Sales_06월별" sheetId="20" r:id="rId7"/>
    <sheet name="Sales_07제품매출" sheetId="30" r:id="rId8"/>
    <sheet name="Sales_08설비매출" sheetId="27" r:id="rId9"/>
    <sheet name="Sales_09기타매출" sheetId="28" r:id="rId10"/>
    <sheet name="사업부별손익" sheetId="6" r:id="rId11"/>
    <sheet name="Code" sheetId="7" r:id="rId12"/>
    <sheet name="PBC" sheetId="29" r:id="rId13"/>
    <sheet name="매출2012" sheetId="17" r:id="rId14"/>
    <sheet name="매출2013" sheetId="18" r:id="rId15"/>
    <sheet name="매출2014" sheetId="19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</externalReferences>
  <definedNames>
    <definedName name="_" localSheetId="15">#REF!</definedName>
    <definedName name="_">#REF!</definedName>
    <definedName name="_?" localSheetId="15">#REF!</definedName>
    <definedName name="_?">#REF!</definedName>
    <definedName name="_?춑_TOTAL">[1]major!#REF!</definedName>
    <definedName name="_?춮t2">[2]현금경비중역!#REF!</definedName>
    <definedName name="_?춮ta">[2]현금경비중역!#REF!</definedName>
    <definedName name="_?춮tb">[2]현금경비중역!#REF!</definedName>
    <definedName name="__">[3]표지!#REF!</definedName>
    <definedName name="__?" localSheetId="15">#REF!</definedName>
    <definedName name="__?">#REF!</definedName>
    <definedName name="__?춑_TOTAL">[1]major!#REF!</definedName>
    <definedName name="__?춮t2">[2]현금경비중역!#REF!</definedName>
    <definedName name="__?춮ta">[2]현금경비중역!#REF!</definedName>
    <definedName name="__?춮tb">[2]현금경비중역!#REF!</definedName>
    <definedName name="___">[3]표지!#REF!</definedName>
    <definedName name="___?" localSheetId="15">#REF!</definedName>
    <definedName name="___?">#REF!</definedName>
    <definedName name="___?춑_TOTAL">[1]major!#REF!</definedName>
    <definedName name="___?춮t2">[2]현금경비중역!#REF!</definedName>
    <definedName name="___?춮ta">[2]현금경비중역!#REF!</definedName>
    <definedName name="___?춮tb">[2]현금경비중역!#REF!</definedName>
    <definedName name="____">[3]표지!#REF!</definedName>
    <definedName name="____?" localSheetId="15">#REF!</definedName>
    <definedName name="____?">#REF!</definedName>
    <definedName name="____?춑_TOTAL">[1]major!#REF!</definedName>
    <definedName name="____?춮t2">[2]현금경비중역!#REF!</definedName>
    <definedName name="____?춮ta">[2]현금경비중역!#REF!</definedName>
    <definedName name="____?춮tb">[2]현금경비중역!#REF!</definedName>
    <definedName name="_____">[3]표지!#REF!</definedName>
    <definedName name="_____?" localSheetId="15">#REF!</definedName>
    <definedName name="_____?">#REF!</definedName>
    <definedName name="_____?춑_TOTAL">[1]major!#REF!</definedName>
    <definedName name="_____?춮t2">[2]현금경비중역!#REF!</definedName>
    <definedName name="_____?춮ta">[2]현금경비중역!#REF!</definedName>
    <definedName name="_____?춮tb">[2]현금경비중역!#REF!</definedName>
    <definedName name="_______DAT1">'[4]보증금(기타)'!#REF!</definedName>
    <definedName name="_______DAT10">[5]가지급금기타!#REF!</definedName>
    <definedName name="_______DAT11">'[4]보증금(기타)'!#REF!</definedName>
    <definedName name="_______DAT12" localSheetId="15">#REF!</definedName>
    <definedName name="_______DAT12">#REF!</definedName>
    <definedName name="_______DAT13" localSheetId="15">#REF!</definedName>
    <definedName name="_______DAT13">#REF!</definedName>
    <definedName name="_______DAT14" localSheetId="15">#REF!</definedName>
    <definedName name="_______DAT14">#REF!</definedName>
    <definedName name="_______DAT15" localSheetId="15">#REF!</definedName>
    <definedName name="_______DAT15">#REF!</definedName>
    <definedName name="_______DAT16" localSheetId="15">#REF!</definedName>
    <definedName name="_______DAT16">#REF!</definedName>
    <definedName name="_______DAT17" localSheetId="15">#REF!</definedName>
    <definedName name="_______DAT17">#REF!</definedName>
    <definedName name="_______DAT18" localSheetId="15">#REF!</definedName>
    <definedName name="_______DAT18">#REF!</definedName>
    <definedName name="_______DAT19" localSheetId="15">#REF!</definedName>
    <definedName name="_______DAT19">#REF!</definedName>
    <definedName name="_______DAT2">'[4]보증금(기타)'!#REF!</definedName>
    <definedName name="_______DAT20" localSheetId="15">#REF!</definedName>
    <definedName name="_______DAT20">#REF!</definedName>
    <definedName name="_______DAT21" localSheetId="15">#REF!</definedName>
    <definedName name="_______DAT21">#REF!</definedName>
    <definedName name="_______DAT22" localSheetId="15">#REF!</definedName>
    <definedName name="_______DAT22">#REF!</definedName>
    <definedName name="_______DAT23" localSheetId="15">#REF!</definedName>
    <definedName name="_______DAT23">#REF!</definedName>
    <definedName name="_______DAT24" localSheetId="15">#REF!</definedName>
    <definedName name="_______DAT24">#REF!</definedName>
    <definedName name="_______DAT25" localSheetId="15">#REF!</definedName>
    <definedName name="_______DAT25">#REF!</definedName>
    <definedName name="_______DAT26" localSheetId="15">#REF!</definedName>
    <definedName name="_______DAT26">#REF!</definedName>
    <definedName name="_______DAT27" localSheetId="15">#REF!</definedName>
    <definedName name="_______DAT27">#REF!</definedName>
    <definedName name="_______DAT28" localSheetId="15">#REF!</definedName>
    <definedName name="_______DAT28">#REF!</definedName>
    <definedName name="_______DAT29" localSheetId="15">#REF!</definedName>
    <definedName name="_______DAT29">#REF!</definedName>
    <definedName name="_______DAT3">'[4]보증금(기타)'!#REF!</definedName>
    <definedName name="_______DAT30" localSheetId="15">#REF!</definedName>
    <definedName name="_______DAT30">#REF!</definedName>
    <definedName name="_______DAT31" localSheetId="15">#REF!</definedName>
    <definedName name="_______DAT31">#REF!</definedName>
    <definedName name="_______DAT32" localSheetId="15">#REF!</definedName>
    <definedName name="_______DAT32">#REF!</definedName>
    <definedName name="_______DAT33" localSheetId="15">#REF!</definedName>
    <definedName name="_______DAT33">#REF!</definedName>
    <definedName name="_______DAT34" localSheetId="15">#REF!</definedName>
    <definedName name="_______DAT34">#REF!</definedName>
    <definedName name="_______DAT35" localSheetId="15">#REF!</definedName>
    <definedName name="_______DAT35">#REF!</definedName>
    <definedName name="_______DAT36" localSheetId="15">#REF!</definedName>
    <definedName name="_______DAT36">#REF!</definedName>
    <definedName name="_______DAT37" localSheetId="15">#REF!</definedName>
    <definedName name="_______DAT37">#REF!</definedName>
    <definedName name="_______DAT38" localSheetId="15">#REF!</definedName>
    <definedName name="_______DAT38">#REF!</definedName>
    <definedName name="_______DAT39" localSheetId="15">#REF!</definedName>
    <definedName name="_______DAT39">#REF!</definedName>
    <definedName name="_______DAT4">'[4]보증금(기타)'!#REF!</definedName>
    <definedName name="_______DAT40" localSheetId="15">#REF!</definedName>
    <definedName name="_______DAT40">#REF!</definedName>
    <definedName name="_______DAT41" localSheetId="15">#REF!</definedName>
    <definedName name="_______DAT41">#REF!</definedName>
    <definedName name="_______DAT42" localSheetId="15">#REF!</definedName>
    <definedName name="_______DAT42">#REF!</definedName>
    <definedName name="_______DAT43" localSheetId="15">#REF!</definedName>
    <definedName name="_______DAT43">#REF!</definedName>
    <definedName name="_______DAT44" localSheetId="15">#REF!</definedName>
    <definedName name="_______DAT44">#REF!</definedName>
    <definedName name="_______DAT45" localSheetId="15">#REF!</definedName>
    <definedName name="_______DAT45">#REF!</definedName>
    <definedName name="_______DAT46" localSheetId="15">#REF!</definedName>
    <definedName name="_______DAT46">#REF!</definedName>
    <definedName name="_______DAT47" localSheetId="15">#REF!</definedName>
    <definedName name="_______DAT47">#REF!</definedName>
    <definedName name="_______DAT48" localSheetId="15">#REF!</definedName>
    <definedName name="_______DAT48">#REF!</definedName>
    <definedName name="_______DAT49" localSheetId="15">#REF!</definedName>
    <definedName name="_______DAT49">#REF!</definedName>
    <definedName name="_______DAT5">'[4]보증금(기타)'!#REF!</definedName>
    <definedName name="_______DAT50" localSheetId="15">#REF!</definedName>
    <definedName name="_______DAT50">#REF!</definedName>
    <definedName name="_______DAT51" localSheetId="15">#REF!</definedName>
    <definedName name="_______DAT51">#REF!</definedName>
    <definedName name="_______DAT6">'[4]보증금(기타)'!#REF!</definedName>
    <definedName name="_______DAT7">'[4]보증금(기타)'!#REF!</definedName>
    <definedName name="_______DAT8">'[4]보증금(기타)'!#REF!</definedName>
    <definedName name="_______DAT9" localSheetId="15">#REF!</definedName>
    <definedName name="_______DAT9">#REF!</definedName>
    <definedName name="______Ａ４">[6]Sheet9!#REF!</definedName>
    <definedName name="______COM1">#N/A</definedName>
    <definedName name="______D580436" localSheetId="15">#REF!</definedName>
    <definedName name="______D580436">#REF!</definedName>
    <definedName name="______DAT1">'[4]보증금(기타)'!#REF!</definedName>
    <definedName name="______DAT10">[5]가지급금기타!#REF!</definedName>
    <definedName name="______DAT11">'[4]보증금(기타)'!#REF!</definedName>
    <definedName name="______DAT12" localSheetId="15">#REF!</definedName>
    <definedName name="______DAT12">#REF!</definedName>
    <definedName name="______DAT13" localSheetId="15">#REF!</definedName>
    <definedName name="______DAT13">#REF!</definedName>
    <definedName name="______DAT14" localSheetId="15">#REF!</definedName>
    <definedName name="______DAT14">#REF!</definedName>
    <definedName name="______DAT15" localSheetId="15">#REF!</definedName>
    <definedName name="______DAT15">#REF!</definedName>
    <definedName name="______DAT16" localSheetId="15">#REF!</definedName>
    <definedName name="______DAT16">#REF!</definedName>
    <definedName name="______DAT17" localSheetId="15">#REF!</definedName>
    <definedName name="______DAT17">#REF!</definedName>
    <definedName name="______DAT18" localSheetId="15">#REF!</definedName>
    <definedName name="______DAT18">#REF!</definedName>
    <definedName name="______DAT19" localSheetId="15">#REF!</definedName>
    <definedName name="______DAT19">#REF!</definedName>
    <definedName name="______DAT2">'[4]보증금(기타)'!#REF!</definedName>
    <definedName name="______DAT20" localSheetId="15">#REF!</definedName>
    <definedName name="______DAT20">#REF!</definedName>
    <definedName name="______DAT21" localSheetId="15">#REF!</definedName>
    <definedName name="______DAT21">#REF!</definedName>
    <definedName name="______DAT22" localSheetId="15">#REF!</definedName>
    <definedName name="______DAT22">#REF!</definedName>
    <definedName name="______DAT23" localSheetId="15">#REF!</definedName>
    <definedName name="______DAT23">#REF!</definedName>
    <definedName name="______DAT24" localSheetId="15">#REF!</definedName>
    <definedName name="______DAT24">#REF!</definedName>
    <definedName name="______DAT25" localSheetId="15">#REF!</definedName>
    <definedName name="______DAT25">#REF!</definedName>
    <definedName name="______DAT26" localSheetId="15">#REF!</definedName>
    <definedName name="______DAT26">#REF!</definedName>
    <definedName name="______DAT27" localSheetId="15">#REF!</definedName>
    <definedName name="______DAT27">#REF!</definedName>
    <definedName name="______DAT28" localSheetId="15">#REF!</definedName>
    <definedName name="______DAT28">#REF!</definedName>
    <definedName name="______DAT29" localSheetId="15">#REF!</definedName>
    <definedName name="______DAT29">#REF!</definedName>
    <definedName name="______DAT3">'[4]보증금(기타)'!#REF!</definedName>
    <definedName name="______DAT30" localSheetId="15">#REF!</definedName>
    <definedName name="______DAT30">#REF!</definedName>
    <definedName name="______DAT31" localSheetId="15">#REF!</definedName>
    <definedName name="______DAT31">#REF!</definedName>
    <definedName name="______DAT32" localSheetId="15">#REF!</definedName>
    <definedName name="______DAT32">#REF!</definedName>
    <definedName name="______DAT33" localSheetId="15">#REF!</definedName>
    <definedName name="______DAT33">#REF!</definedName>
    <definedName name="______DAT34" localSheetId="15">#REF!</definedName>
    <definedName name="______DAT34">#REF!</definedName>
    <definedName name="______DAT35" localSheetId="15">#REF!</definedName>
    <definedName name="______DAT35">#REF!</definedName>
    <definedName name="______DAT36" localSheetId="15">#REF!</definedName>
    <definedName name="______DAT36">#REF!</definedName>
    <definedName name="______DAT37" localSheetId="15">#REF!</definedName>
    <definedName name="______DAT37">#REF!</definedName>
    <definedName name="______DAT38" localSheetId="15">#REF!</definedName>
    <definedName name="______DAT38">#REF!</definedName>
    <definedName name="______DAT39" localSheetId="15">#REF!</definedName>
    <definedName name="______DAT39">#REF!</definedName>
    <definedName name="______DAT4">'[4]보증금(기타)'!#REF!</definedName>
    <definedName name="______DAT40" localSheetId="15">#REF!</definedName>
    <definedName name="______DAT40">#REF!</definedName>
    <definedName name="______DAT41" localSheetId="15">#REF!</definedName>
    <definedName name="______DAT41">#REF!</definedName>
    <definedName name="______DAT42" localSheetId="15">#REF!</definedName>
    <definedName name="______DAT42">#REF!</definedName>
    <definedName name="______DAT43" localSheetId="15">#REF!</definedName>
    <definedName name="______DAT43">#REF!</definedName>
    <definedName name="______DAT44" localSheetId="15">#REF!</definedName>
    <definedName name="______DAT44">#REF!</definedName>
    <definedName name="______DAT45" localSheetId="15">#REF!</definedName>
    <definedName name="______DAT45">#REF!</definedName>
    <definedName name="______DAT46" localSheetId="15">#REF!</definedName>
    <definedName name="______DAT46">#REF!</definedName>
    <definedName name="______DAT47" localSheetId="15">#REF!</definedName>
    <definedName name="______DAT47">#REF!</definedName>
    <definedName name="______DAT48" localSheetId="15">#REF!</definedName>
    <definedName name="______DAT48">#REF!</definedName>
    <definedName name="______DAT49" localSheetId="15">#REF!</definedName>
    <definedName name="______DAT49">#REF!</definedName>
    <definedName name="______DAT5">'[4]보증금(기타)'!#REF!</definedName>
    <definedName name="______DAT50" localSheetId="15">#REF!</definedName>
    <definedName name="______DAT50">#REF!</definedName>
    <definedName name="______DAT51" localSheetId="15">#REF!</definedName>
    <definedName name="______DAT51">#REF!</definedName>
    <definedName name="______DAT6">'[4]보증금(기타)'!#REF!</definedName>
    <definedName name="______DAT7">'[4]보증금(기타)'!#REF!</definedName>
    <definedName name="______DAT8">'[4]보증금(기타)'!#REF!</definedName>
    <definedName name="______DAT9" localSheetId="15">#REF!</definedName>
    <definedName name="______DAT9">#REF!</definedName>
    <definedName name="______gap1">[7]회의실신청!$H$1:$H$65536,[7]회의실신청!$F$1:$F$65536</definedName>
    <definedName name="______PP1" localSheetId="15">#REF!</definedName>
    <definedName name="______PP1">#REF!</definedName>
    <definedName name="______PRT1">#N/A</definedName>
    <definedName name="______PRT2">#N/A</definedName>
    <definedName name="______PRT3">#N/A</definedName>
    <definedName name="______PRT4">#N/A</definedName>
    <definedName name="______PRT5" localSheetId="15">#REF!</definedName>
    <definedName name="______PRT5">#REF!</definedName>
    <definedName name="______PRT6" localSheetId="15">#REF!</definedName>
    <definedName name="______PRT6">#REF!</definedName>
    <definedName name="______PRT7" localSheetId="15">#REF!</definedName>
    <definedName name="______PRT7">#REF!</definedName>
    <definedName name="______PRT8" localSheetId="15">#REF!</definedName>
    <definedName name="______PRT8">#REF!</definedName>
    <definedName name="______PRT9">#N/A</definedName>
    <definedName name="______R3_t">#N/A</definedName>
    <definedName name="______R3_t1">#N/A</definedName>
    <definedName name="______ROM1">#N/A</definedName>
    <definedName name="______ucf1" localSheetId="15">#REF!</definedName>
    <definedName name="______ucf1">#REF!</definedName>
    <definedName name="_____Ａ４">[6]Sheet9!#REF!</definedName>
    <definedName name="_____C1244ㅁ1430" localSheetId="15">#REF!</definedName>
    <definedName name="_____C1244ㅁ1430">#REF!</definedName>
    <definedName name="_____COM1">#N/A</definedName>
    <definedName name="_____D580436" localSheetId="15">#REF!</definedName>
    <definedName name="_____D580436">#REF!</definedName>
    <definedName name="_____DAT1">'[4]보증금(기타)'!#REF!</definedName>
    <definedName name="_____DAT10">[5]가지급금기타!#REF!</definedName>
    <definedName name="_____DAT11">'[4]보증금(기타)'!#REF!</definedName>
    <definedName name="_____DAT12" localSheetId="15">#REF!</definedName>
    <definedName name="_____DAT12">#REF!</definedName>
    <definedName name="_____DAT13" localSheetId="15">#REF!</definedName>
    <definedName name="_____DAT13">#REF!</definedName>
    <definedName name="_____DAT14" localSheetId="15">#REF!</definedName>
    <definedName name="_____DAT14">#REF!</definedName>
    <definedName name="_____DAT15" localSheetId="15">#REF!</definedName>
    <definedName name="_____DAT15">#REF!</definedName>
    <definedName name="_____DAT16" localSheetId="15">#REF!</definedName>
    <definedName name="_____DAT16">#REF!</definedName>
    <definedName name="_____DAT17" localSheetId="15">#REF!</definedName>
    <definedName name="_____DAT17">#REF!</definedName>
    <definedName name="_____DAT18" localSheetId="15">#REF!</definedName>
    <definedName name="_____DAT18">#REF!</definedName>
    <definedName name="_____DAT19" localSheetId="15">#REF!</definedName>
    <definedName name="_____DAT19">#REF!</definedName>
    <definedName name="_____DAT2">'[4]보증금(기타)'!#REF!</definedName>
    <definedName name="_____DAT20" localSheetId="15">#REF!</definedName>
    <definedName name="_____DAT20">#REF!</definedName>
    <definedName name="_____DAT21" localSheetId="15">#REF!</definedName>
    <definedName name="_____DAT21">#REF!</definedName>
    <definedName name="_____DAT22" localSheetId="15">#REF!</definedName>
    <definedName name="_____DAT22">#REF!</definedName>
    <definedName name="_____DAT23" localSheetId="15">#REF!</definedName>
    <definedName name="_____DAT23">#REF!</definedName>
    <definedName name="_____DAT24" localSheetId="15">#REF!</definedName>
    <definedName name="_____DAT24">#REF!</definedName>
    <definedName name="_____DAT25" localSheetId="15">#REF!</definedName>
    <definedName name="_____DAT25">#REF!</definedName>
    <definedName name="_____DAT26" localSheetId="15">#REF!</definedName>
    <definedName name="_____DAT26">#REF!</definedName>
    <definedName name="_____DAT27" localSheetId="15">#REF!</definedName>
    <definedName name="_____DAT27">#REF!</definedName>
    <definedName name="_____DAT28" localSheetId="15">#REF!</definedName>
    <definedName name="_____DAT28">#REF!</definedName>
    <definedName name="_____DAT29" localSheetId="15">#REF!</definedName>
    <definedName name="_____DAT29">#REF!</definedName>
    <definedName name="_____DAT3">'[4]보증금(기타)'!#REF!</definedName>
    <definedName name="_____DAT30" localSheetId="15">#REF!</definedName>
    <definedName name="_____DAT30">#REF!</definedName>
    <definedName name="_____DAT31" localSheetId="15">#REF!</definedName>
    <definedName name="_____DAT31">#REF!</definedName>
    <definedName name="_____DAT32" localSheetId="15">#REF!</definedName>
    <definedName name="_____DAT32">#REF!</definedName>
    <definedName name="_____DAT33" localSheetId="15">#REF!</definedName>
    <definedName name="_____DAT33">#REF!</definedName>
    <definedName name="_____DAT34" localSheetId="15">#REF!</definedName>
    <definedName name="_____DAT34">#REF!</definedName>
    <definedName name="_____DAT35" localSheetId="15">#REF!</definedName>
    <definedName name="_____DAT35">#REF!</definedName>
    <definedName name="_____DAT36" localSheetId="15">#REF!</definedName>
    <definedName name="_____DAT36">#REF!</definedName>
    <definedName name="_____DAT37" localSheetId="15">#REF!</definedName>
    <definedName name="_____DAT37">#REF!</definedName>
    <definedName name="_____DAT38" localSheetId="15">#REF!</definedName>
    <definedName name="_____DAT38">#REF!</definedName>
    <definedName name="_____DAT39" localSheetId="15">#REF!</definedName>
    <definedName name="_____DAT39">#REF!</definedName>
    <definedName name="_____DAT4">'[4]보증금(기타)'!#REF!</definedName>
    <definedName name="_____DAT40" localSheetId="15">#REF!</definedName>
    <definedName name="_____DAT40">#REF!</definedName>
    <definedName name="_____DAT41" localSheetId="15">#REF!</definedName>
    <definedName name="_____DAT41">#REF!</definedName>
    <definedName name="_____DAT42" localSheetId="15">#REF!</definedName>
    <definedName name="_____DAT42">#REF!</definedName>
    <definedName name="_____DAT43" localSheetId="15">#REF!</definedName>
    <definedName name="_____DAT43">#REF!</definedName>
    <definedName name="_____DAT44" localSheetId="15">#REF!</definedName>
    <definedName name="_____DAT44">#REF!</definedName>
    <definedName name="_____DAT45" localSheetId="15">#REF!</definedName>
    <definedName name="_____DAT45">#REF!</definedName>
    <definedName name="_____DAT46" localSheetId="15">#REF!</definedName>
    <definedName name="_____DAT46">#REF!</definedName>
    <definedName name="_____DAT47" localSheetId="15">#REF!</definedName>
    <definedName name="_____DAT47">#REF!</definedName>
    <definedName name="_____DAT48" localSheetId="15">#REF!</definedName>
    <definedName name="_____DAT48">#REF!</definedName>
    <definedName name="_____DAT49" localSheetId="15">#REF!</definedName>
    <definedName name="_____DAT49">#REF!</definedName>
    <definedName name="_____DAT5">'[4]보증금(기타)'!#REF!</definedName>
    <definedName name="_____DAT50" localSheetId="15">#REF!</definedName>
    <definedName name="_____DAT50">#REF!</definedName>
    <definedName name="_____DAT51" localSheetId="15">#REF!</definedName>
    <definedName name="_____DAT51">#REF!</definedName>
    <definedName name="_____DAT6">'[4]보증금(기타)'!#REF!</definedName>
    <definedName name="_____DAT7">'[4]보증금(기타)'!#REF!</definedName>
    <definedName name="_____DAT8">'[4]보증금(기타)'!#REF!</definedName>
    <definedName name="_____DAT9" localSheetId="15">#REF!</definedName>
    <definedName name="_____DAT9">#REF!</definedName>
    <definedName name="_____gap1">[7]회의실신청!$H$1:$H$65536,[7]회의실신청!$F$1:$F$65536</definedName>
    <definedName name="_____GG1" localSheetId="15">#REF!</definedName>
    <definedName name="_____GG1">#REF!</definedName>
    <definedName name="_____N2" localSheetId="15">#REF!</definedName>
    <definedName name="_____N2">#REF!</definedName>
    <definedName name="_____PP1" localSheetId="15">#REF!</definedName>
    <definedName name="_____PP1">#REF!</definedName>
    <definedName name="_____PRT1">#N/A</definedName>
    <definedName name="_____PRT2">#N/A</definedName>
    <definedName name="_____PRT3">#N/A</definedName>
    <definedName name="_____PRT4">#N/A</definedName>
    <definedName name="_____PRT5" localSheetId="15">#REF!</definedName>
    <definedName name="_____PRT5">#REF!</definedName>
    <definedName name="_____PRT6" localSheetId="15">#REF!</definedName>
    <definedName name="_____PRT6">#REF!</definedName>
    <definedName name="_____PRT7" localSheetId="15">#REF!</definedName>
    <definedName name="_____PRT7">#REF!</definedName>
    <definedName name="_____PRT8" localSheetId="15">#REF!</definedName>
    <definedName name="_____PRT8">#REF!</definedName>
    <definedName name="_____PRT9">#N/A</definedName>
    <definedName name="_____ROM1">#N/A</definedName>
    <definedName name="_____ucf1" localSheetId="15">#REF!</definedName>
    <definedName name="_____ucf1">#REF!</definedName>
    <definedName name="____Ａ４">[6]Sheet9!#REF!</definedName>
    <definedName name="____C1244ㅁ1430" localSheetId="15">#REF!</definedName>
    <definedName name="____C1244ㅁ1430">#REF!</definedName>
    <definedName name="____COM1">#N/A</definedName>
    <definedName name="____D580436" localSheetId="15">#REF!</definedName>
    <definedName name="____D580436">#REF!</definedName>
    <definedName name="____DAT1">'[4]보증금(기타)'!#REF!</definedName>
    <definedName name="____DAT10">[5]가지급금기타!#REF!</definedName>
    <definedName name="____DAT11">'[4]보증금(기타)'!#REF!</definedName>
    <definedName name="____DAT12" localSheetId="15">#REF!</definedName>
    <definedName name="____DAT12">#REF!</definedName>
    <definedName name="____DAT13" localSheetId="15">#REF!</definedName>
    <definedName name="____DAT13">#REF!</definedName>
    <definedName name="____DAT14" localSheetId="15">#REF!</definedName>
    <definedName name="____DAT14">#REF!</definedName>
    <definedName name="____DAT15" localSheetId="15">#REF!</definedName>
    <definedName name="____DAT15">#REF!</definedName>
    <definedName name="____DAT16" localSheetId="15">#REF!</definedName>
    <definedName name="____DAT16">#REF!</definedName>
    <definedName name="____DAT17" localSheetId="15">#REF!</definedName>
    <definedName name="____DAT17">#REF!</definedName>
    <definedName name="____DAT18" localSheetId="15">#REF!</definedName>
    <definedName name="____DAT18">#REF!</definedName>
    <definedName name="____DAT19" localSheetId="15">#REF!</definedName>
    <definedName name="____DAT19">#REF!</definedName>
    <definedName name="____DAT2">'[4]보증금(기타)'!#REF!</definedName>
    <definedName name="____DAT20" localSheetId="15">#REF!</definedName>
    <definedName name="____DAT20">#REF!</definedName>
    <definedName name="____DAT21" localSheetId="15">#REF!</definedName>
    <definedName name="____DAT21">#REF!</definedName>
    <definedName name="____DAT22" localSheetId="15">#REF!</definedName>
    <definedName name="____DAT22">#REF!</definedName>
    <definedName name="____DAT23" localSheetId="15">#REF!</definedName>
    <definedName name="____DAT23">#REF!</definedName>
    <definedName name="____DAT24" localSheetId="15">#REF!</definedName>
    <definedName name="____DAT24">#REF!</definedName>
    <definedName name="____DAT25" localSheetId="15">#REF!</definedName>
    <definedName name="____DAT25">#REF!</definedName>
    <definedName name="____DAT26" localSheetId="15">#REF!</definedName>
    <definedName name="____DAT26">#REF!</definedName>
    <definedName name="____DAT27" localSheetId="15">#REF!</definedName>
    <definedName name="____DAT27">#REF!</definedName>
    <definedName name="____DAT28" localSheetId="15">#REF!</definedName>
    <definedName name="____DAT28">#REF!</definedName>
    <definedName name="____DAT29" localSheetId="15">#REF!</definedName>
    <definedName name="____DAT29">#REF!</definedName>
    <definedName name="____DAT3">'[4]보증금(기타)'!#REF!</definedName>
    <definedName name="____DAT30" localSheetId="15">#REF!</definedName>
    <definedName name="____DAT30">#REF!</definedName>
    <definedName name="____DAT31" localSheetId="15">#REF!</definedName>
    <definedName name="____DAT31">#REF!</definedName>
    <definedName name="____DAT32" localSheetId="15">#REF!</definedName>
    <definedName name="____DAT32">#REF!</definedName>
    <definedName name="____DAT33" localSheetId="15">#REF!</definedName>
    <definedName name="____DAT33">#REF!</definedName>
    <definedName name="____DAT34" localSheetId="15">#REF!</definedName>
    <definedName name="____DAT34">#REF!</definedName>
    <definedName name="____DAT35" localSheetId="15">#REF!</definedName>
    <definedName name="____DAT35">#REF!</definedName>
    <definedName name="____DAT36" localSheetId="15">#REF!</definedName>
    <definedName name="____DAT36">#REF!</definedName>
    <definedName name="____DAT37" localSheetId="15">#REF!</definedName>
    <definedName name="____DAT37">#REF!</definedName>
    <definedName name="____DAT38" localSheetId="15">#REF!</definedName>
    <definedName name="____DAT38">#REF!</definedName>
    <definedName name="____DAT39" localSheetId="15">#REF!</definedName>
    <definedName name="____DAT39">#REF!</definedName>
    <definedName name="____DAT4">'[4]보증금(기타)'!#REF!</definedName>
    <definedName name="____DAT40" localSheetId="15">#REF!</definedName>
    <definedName name="____DAT40">#REF!</definedName>
    <definedName name="____DAT41" localSheetId="15">#REF!</definedName>
    <definedName name="____DAT41">#REF!</definedName>
    <definedName name="____DAT42" localSheetId="15">#REF!</definedName>
    <definedName name="____DAT42">#REF!</definedName>
    <definedName name="____DAT43" localSheetId="15">#REF!</definedName>
    <definedName name="____DAT43">#REF!</definedName>
    <definedName name="____DAT44" localSheetId="15">#REF!</definedName>
    <definedName name="____DAT44">#REF!</definedName>
    <definedName name="____DAT45" localSheetId="15">#REF!</definedName>
    <definedName name="____DAT45">#REF!</definedName>
    <definedName name="____DAT46" localSheetId="15">#REF!</definedName>
    <definedName name="____DAT46">#REF!</definedName>
    <definedName name="____DAT47" localSheetId="15">#REF!</definedName>
    <definedName name="____DAT47">#REF!</definedName>
    <definedName name="____DAT48" localSheetId="15">#REF!</definedName>
    <definedName name="____DAT48">#REF!</definedName>
    <definedName name="____DAT49" localSheetId="15">#REF!</definedName>
    <definedName name="____DAT49">#REF!</definedName>
    <definedName name="____DAT5">'[4]보증금(기타)'!#REF!</definedName>
    <definedName name="____DAT50" localSheetId="15">#REF!</definedName>
    <definedName name="____DAT50">#REF!</definedName>
    <definedName name="____DAT51" localSheetId="15">#REF!</definedName>
    <definedName name="____DAT51">#REF!</definedName>
    <definedName name="____DAT6">'[4]보증금(기타)'!#REF!</definedName>
    <definedName name="____DAT7">'[4]보증금(기타)'!#REF!</definedName>
    <definedName name="____DAT8">'[4]보증금(기타)'!#REF!</definedName>
    <definedName name="____DAT9" localSheetId="15">#REF!</definedName>
    <definedName name="____DAT9">#REF!</definedName>
    <definedName name="____gap1">[7]회의실신청!$H$1:$H$65536,[7]회의실신청!$F$1:$F$65536</definedName>
    <definedName name="____GG1" localSheetId="15">#REF!</definedName>
    <definedName name="____GG1">#REF!</definedName>
    <definedName name="____N2" localSheetId="15">#REF!</definedName>
    <definedName name="____N2">#REF!</definedName>
    <definedName name="____PP1" localSheetId="15">#REF!</definedName>
    <definedName name="____PP1">#REF!</definedName>
    <definedName name="____PRT1">#N/A</definedName>
    <definedName name="____PRT2">#N/A</definedName>
    <definedName name="____PRT3">#N/A</definedName>
    <definedName name="____PRT4">#N/A</definedName>
    <definedName name="____PRT5" localSheetId="15">#REF!</definedName>
    <definedName name="____PRT5">#REF!</definedName>
    <definedName name="____PRT6" localSheetId="15">#REF!</definedName>
    <definedName name="____PRT6">#REF!</definedName>
    <definedName name="____PRT7" localSheetId="15">#REF!</definedName>
    <definedName name="____PRT7">#REF!</definedName>
    <definedName name="____PRT8" localSheetId="15">#REF!</definedName>
    <definedName name="____PRT8">#REF!</definedName>
    <definedName name="____PRT9">#N/A</definedName>
    <definedName name="____ROM1">#N/A</definedName>
    <definedName name="____ucf1" localSheetId="15">#REF!</definedName>
    <definedName name="____ucf1">#REF!</definedName>
    <definedName name="___Ａ４">[6]Sheet9!#REF!</definedName>
    <definedName name="___C1244ㅁ1430" localSheetId="15">#REF!</definedName>
    <definedName name="___C1244ㅁ1430">#REF!</definedName>
    <definedName name="___COM1">#N/A</definedName>
    <definedName name="___D580436" localSheetId="15">#REF!</definedName>
    <definedName name="___D580436">#REF!</definedName>
    <definedName name="___DAT1">'[4]보증금(기타)'!#REF!</definedName>
    <definedName name="___DAT10">[5]가지급금기타!#REF!</definedName>
    <definedName name="___DAT11">'[4]보증금(기타)'!#REF!</definedName>
    <definedName name="___DAT12" localSheetId="15">#REF!</definedName>
    <definedName name="___DAT12">#REF!</definedName>
    <definedName name="___DAT13" localSheetId="15">#REF!</definedName>
    <definedName name="___DAT13">#REF!</definedName>
    <definedName name="___DAT14" localSheetId="15">#REF!</definedName>
    <definedName name="___DAT14">#REF!</definedName>
    <definedName name="___DAT15" localSheetId="15">#REF!</definedName>
    <definedName name="___DAT15">#REF!</definedName>
    <definedName name="___DAT16" localSheetId="15">#REF!</definedName>
    <definedName name="___DAT16">#REF!</definedName>
    <definedName name="___DAT17" localSheetId="15">#REF!</definedName>
    <definedName name="___DAT17">#REF!</definedName>
    <definedName name="___DAT18" localSheetId="15">#REF!</definedName>
    <definedName name="___DAT18">#REF!</definedName>
    <definedName name="___DAT19" localSheetId="15">#REF!</definedName>
    <definedName name="___DAT19">#REF!</definedName>
    <definedName name="___DAT2">'[4]보증금(기타)'!#REF!</definedName>
    <definedName name="___DAT20" localSheetId="15">#REF!</definedName>
    <definedName name="___DAT20">#REF!</definedName>
    <definedName name="___DAT21" localSheetId="15">#REF!</definedName>
    <definedName name="___DAT21">#REF!</definedName>
    <definedName name="___DAT22" localSheetId="15">#REF!</definedName>
    <definedName name="___DAT22">#REF!</definedName>
    <definedName name="___DAT23" localSheetId="15">#REF!</definedName>
    <definedName name="___DAT23">#REF!</definedName>
    <definedName name="___DAT24" localSheetId="15">#REF!</definedName>
    <definedName name="___DAT24">#REF!</definedName>
    <definedName name="___DAT25" localSheetId="15">#REF!</definedName>
    <definedName name="___DAT25">#REF!</definedName>
    <definedName name="___DAT26" localSheetId="15">#REF!</definedName>
    <definedName name="___DAT26">#REF!</definedName>
    <definedName name="___DAT27" localSheetId="15">#REF!</definedName>
    <definedName name="___DAT27">#REF!</definedName>
    <definedName name="___DAT28" localSheetId="15">#REF!</definedName>
    <definedName name="___DAT28">#REF!</definedName>
    <definedName name="___DAT29" localSheetId="15">#REF!</definedName>
    <definedName name="___DAT29">#REF!</definedName>
    <definedName name="___DAT3">'[4]보증금(기타)'!#REF!</definedName>
    <definedName name="___DAT30" localSheetId="15">#REF!</definedName>
    <definedName name="___DAT30">#REF!</definedName>
    <definedName name="___DAT31" localSheetId="15">#REF!</definedName>
    <definedName name="___DAT31">#REF!</definedName>
    <definedName name="___DAT32" localSheetId="15">#REF!</definedName>
    <definedName name="___DAT32">#REF!</definedName>
    <definedName name="___DAT33" localSheetId="15">#REF!</definedName>
    <definedName name="___DAT33">#REF!</definedName>
    <definedName name="___DAT34" localSheetId="15">#REF!</definedName>
    <definedName name="___DAT34">#REF!</definedName>
    <definedName name="___DAT35" localSheetId="15">#REF!</definedName>
    <definedName name="___DAT35">#REF!</definedName>
    <definedName name="___DAT36" localSheetId="15">#REF!</definedName>
    <definedName name="___DAT36">#REF!</definedName>
    <definedName name="___DAT37" localSheetId="15">#REF!</definedName>
    <definedName name="___DAT37">#REF!</definedName>
    <definedName name="___DAT38" localSheetId="15">#REF!</definedName>
    <definedName name="___DAT38">#REF!</definedName>
    <definedName name="___DAT39" localSheetId="15">#REF!</definedName>
    <definedName name="___DAT39">#REF!</definedName>
    <definedName name="___DAT4">'[4]보증금(기타)'!#REF!</definedName>
    <definedName name="___DAT40" localSheetId="15">#REF!</definedName>
    <definedName name="___DAT40">#REF!</definedName>
    <definedName name="___DAT41" localSheetId="15">#REF!</definedName>
    <definedName name="___DAT41">#REF!</definedName>
    <definedName name="___DAT42" localSheetId="15">#REF!</definedName>
    <definedName name="___DAT42">#REF!</definedName>
    <definedName name="___DAT43" localSheetId="15">#REF!</definedName>
    <definedName name="___DAT43">#REF!</definedName>
    <definedName name="___DAT44" localSheetId="15">#REF!</definedName>
    <definedName name="___DAT44">#REF!</definedName>
    <definedName name="___DAT45" localSheetId="15">#REF!</definedName>
    <definedName name="___DAT45">#REF!</definedName>
    <definedName name="___DAT46" localSheetId="15">#REF!</definedName>
    <definedName name="___DAT46">#REF!</definedName>
    <definedName name="___DAT47" localSheetId="15">#REF!</definedName>
    <definedName name="___DAT47">#REF!</definedName>
    <definedName name="___DAT48" localSheetId="15">#REF!</definedName>
    <definedName name="___DAT48">#REF!</definedName>
    <definedName name="___DAT49" localSheetId="15">#REF!</definedName>
    <definedName name="___DAT49">#REF!</definedName>
    <definedName name="___DAT5">'[4]보증금(기타)'!#REF!</definedName>
    <definedName name="___DAT50" localSheetId="15">#REF!</definedName>
    <definedName name="___DAT50">#REF!</definedName>
    <definedName name="___DAT51" localSheetId="15">#REF!</definedName>
    <definedName name="___DAT51">#REF!</definedName>
    <definedName name="___DAT6">'[4]보증금(기타)'!#REF!</definedName>
    <definedName name="___DAT7">'[4]보증금(기타)'!#REF!</definedName>
    <definedName name="___DAT8">'[4]보증금(기타)'!#REF!</definedName>
    <definedName name="___DAT9" localSheetId="15">#REF!</definedName>
    <definedName name="___DAT9">#REF!</definedName>
    <definedName name="___gap1">[7]회의실신청!$H$1:$H$65536,[7]회의실신청!$F$1:$F$65536</definedName>
    <definedName name="___GG1" localSheetId="15">#REF!</definedName>
    <definedName name="___GG1">#REF!</definedName>
    <definedName name="___N2" localSheetId="15">#REF!</definedName>
    <definedName name="___N2">#REF!</definedName>
    <definedName name="___PP1" localSheetId="15">#REF!</definedName>
    <definedName name="___PP1">#REF!</definedName>
    <definedName name="___PRT1">#N/A</definedName>
    <definedName name="___PRT2">#N/A</definedName>
    <definedName name="___PRT3">#N/A</definedName>
    <definedName name="___PRT4">#N/A</definedName>
    <definedName name="___PRT5" localSheetId="15">#REF!</definedName>
    <definedName name="___PRT5">#REF!</definedName>
    <definedName name="___PRT6" localSheetId="15">#REF!</definedName>
    <definedName name="___PRT6">#REF!</definedName>
    <definedName name="___PRT7" localSheetId="15">#REF!</definedName>
    <definedName name="___PRT7">#REF!</definedName>
    <definedName name="___PRT8" localSheetId="15">#REF!</definedName>
    <definedName name="___PRT8">#REF!</definedName>
    <definedName name="___PRT9">#N/A</definedName>
    <definedName name="___ROM1">#N/A</definedName>
    <definedName name="___ucf1" localSheetId="15">#REF!</definedName>
    <definedName name="___ucf1">#REF!</definedName>
    <definedName name="__123Graph_A" hidden="1">[8]시산표!#REF!</definedName>
    <definedName name="__123Graph_B" hidden="1">[8]시산표!#REF!</definedName>
    <definedName name="__123Graph_C" localSheetId="15" hidden="1">#REF!</definedName>
    <definedName name="__123Graph_C" hidden="1">#REF!</definedName>
    <definedName name="__123Graph_D" hidden="1">[9]지역개발!#REF!</definedName>
    <definedName name="__123Graph_LBL_A" hidden="1">[8]시산표!#REF!</definedName>
    <definedName name="__123Graph_LBL_B" hidden="1">[8]시산표!#REF!</definedName>
    <definedName name="__123Graph_LBL_E" hidden="1">[9]지역개발!#REF!</definedName>
    <definedName name="__123Graph_X" hidden="1">[8]시산표!#REF!</definedName>
    <definedName name="__123GRAPH_X1" hidden="1">[10]시산표!#REF!</definedName>
    <definedName name="__4_">[3]표지!#REF!</definedName>
    <definedName name="__Ａ４">[6]Sheet9!#REF!</definedName>
    <definedName name="__C1244ㅁ1430" localSheetId="15">#REF!</definedName>
    <definedName name="__C1244ㅁ1430">#REF!</definedName>
    <definedName name="__COM1">#N/A</definedName>
    <definedName name="__D580436" localSheetId="15">#REF!</definedName>
    <definedName name="__D580436">#REF!</definedName>
    <definedName name="__DAT1" localSheetId="15">#REF!</definedName>
    <definedName name="__DAT1">#REF!</definedName>
    <definedName name="__DAT10" localSheetId="15">#REF!</definedName>
    <definedName name="__DAT10">#REF!</definedName>
    <definedName name="__DAT11" localSheetId="15">#REF!</definedName>
    <definedName name="__DAT11">#REF!</definedName>
    <definedName name="__DAT12" localSheetId="15">#REF!</definedName>
    <definedName name="__DAT12">#REF!</definedName>
    <definedName name="__DAT13" localSheetId="15">#REF!</definedName>
    <definedName name="__DAT13">#REF!</definedName>
    <definedName name="__DAT14" localSheetId="15">#REF!</definedName>
    <definedName name="__DAT14">#REF!</definedName>
    <definedName name="__DAT15" localSheetId="15">#REF!</definedName>
    <definedName name="__DAT15">#REF!</definedName>
    <definedName name="__DAT16" localSheetId="15">#REF!</definedName>
    <definedName name="__DAT16">#REF!</definedName>
    <definedName name="__DAT17" localSheetId="15">#REF!</definedName>
    <definedName name="__DAT17">#REF!</definedName>
    <definedName name="__DAT18" localSheetId="15">#REF!</definedName>
    <definedName name="__DAT18">#REF!</definedName>
    <definedName name="__DAT19" localSheetId="15">#REF!</definedName>
    <definedName name="__DAT19">#REF!</definedName>
    <definedName name="__DAT2" localSheetId="15">#REF!</definedName>
    <definedName name="__DAT2">#REF!</definedName>
    <definedName name="__DAT20" localSheetId="15">#REF!</definedName>
    <definedName name="__DAT20">#REF!</definedName>
    <definedName name="__DAT21" localSheetId="15">#REF!</definedName>
    <definedName name="__DAT21">#REF!</definedName>
    <definedName name="__DAT22" localSheetId="15">#REF!</definedName>
    <definedName name="__DAT22">#REF!</definedName>
    <definedName name="__DAT23" localSheetId="15">#REF!</definedName>
    <definedName name="__DAT23">#REF!</definedName>
    <definedName name="__DAT24" localSheetId="15">#REF!</definedName>
    <definedName name="__DAT24">#REF!</definedName>
    <definedName name="__DAT25" localSheetId="15">#REF!</definedName>
    <definedName name="__DAT25">#REF!</definedName>
    <definedName name="__DAT26" localSheetId="15">#REF!</definedName>
    <definedName name="__DAT26">#REF!</definedName>
    <definedName name="__DAT27" localSheetId="15">#REF!</definedName>
    <definedName name="__DAT27">#REF!</definedName>
    <definedName name="__DAT28" localSheetId="15">#REF!</definedName>
    <definedName name="__DAT28">#REF!</definedName>
    <definedName name="__DAT29" localSheetId="15">#REF!</definedName>
    <definedName name="__DAT29">#REF!</definedName>
    <definedName name="__DAT3" localSheetId="15">#REF!</definedName>
    <definedName name="__DAT3">#REF!</definedName>
    <definedName name="__DAT30" localSheetId="15">#REF!</definedName>
    <definedName name="__DAT30">#REF!</definedName>
    <definedName name="__DAT31" localSheetId="15">#REF!</definedName>
    <definedName name="__DAT31">#REF!</definedName>
    <definedName name="__DAT32" localSheetId="15">#REF!</definedName>
    <definedName name="__DAT32">#REF!</definedName>
    <definedName name="__DAT33" localSheetId="15">#REF!</definedName>
    <definedName name="__DAT33">#REF!</definedName>
    <definedName name="__DAT34" localSheetId="15">#REF!</definedName>
    <definedName name="__DAT34">#REF!</definedName>
    <definedName name="__DAT35" localSheetId="15">#REF!</definedName>
    <definedName name="__DAT35">#REF!</definedName>
    <definedName name="__DAT36" localSheetId="15">#REF!</definedName>
    <definedName name="__DAT36">#REF!</definedName>
    <definedName name="__DAT37" localSheetId="15">#REF!</definedName>
    <definedName name="__DAT37">#REF!</definedName>
    <definedName name="__DAT38" localSheetId="15">#REF!</definedName>
    <definedName name="__DAT38">#REF!</definedName>
    <definedName name="__DAT39" localSheetId="15">#REF!</definedName>
    <definedName name="__DAT39">#REF!</definedName>
    <definedName name="__DAT4" localSheetId="15">#REF!</definedName>
    <definedName name="__DAT4">#REF!</definedName>
    <definedName name="__DAT40" localSheetId="15">#REF!</definedName>
    <definedName name="__DAT40">#REF!</definedName>
    <definedName name="__DAT41" localSheetId="15">#REF!</definedName>
    <definedName name="__DAT41">#REF!</definedName>
    <definedName name="__DAT42" localSheetId="15">#REF!</definedName>
    <definedName name="__DAT42">#REF!</definedName>
    <definedName name="__DAT43" localSheetId="15">#REF!</definedName>
    <definedName name="__DAT43">#REF!</definedName>
    <definedName name="__DAT44" localSheetId="15">#REF!</definedName>
    <definedName name="__DAT44">#REF!</definedName>
    <definedName name="__DAT45" localSheetId="15">#REF!</definedName>
    <definedName name="__DAT45">#REF!</definedName>
    <definedName name="__DAT46" localSheetId="15">#REF!</definedName>
    <definedName name="__DAT46">#REF!</definedName>
    <definedName name="__DAT47" localSheetId="15">#REF!</definedName>
    <definedName name="__DAT47">#REF!</definedName>
    <definedName name="__DAT48" localSheetId="15">#REF!</definedName>
    <definedName name="__DAT48">#REF!</definedName>
    <definedName name="__DAT49" localSheetId="15">#REF!</definedName>
    <definedName name="__DAT49">#REF!</definedName>
    <definedName name="__DAT5" localSheetId="15">#REF!</definedName>
    <definedName name="__DAT5">#REF!</definedName>
    <definedName name="__DAT50" localSheetId="15">#REF!</definedName>
    <definedName name="__DAT50">#REF!</definedName>
    <definedName name="__DAT51" localSheetId="15">#REF!</definedName>
    <definedName name="__DAT51">#REF!</definedName>
    <definedName name="__DAT6" localSheetId="15">#REF!</definedName>
    <definedName name="__DAT6">#REF!</definedName>
    <definedName name="__DAT7" localSheetId="15">#REF!</definedName>
    <definedName name="__DAT7">#REF!</definedName>
    <definedName name="__DAT8" localSheetId="15">#REF!</definedName>
    <definedName name="__DAT8">#REF!</definedName>
    <definedName name="__DAT9" localSheetId="15">#REF!</definedName>
    <definedName name="__DAT9">#REF!</definedName>
    <definedName name="__gap1">[7]회의실신청!$H$1:$H$65536,[7]회의실신청!$F$1:$F$65536</definedName>
    <definedName name="__GG1" localSheetId="15">#REF!</definedName>
    <definedName name="__GG1">#REF!</definedName>
    <definedName name="__N2" localSheetId="15">#REF!</definedName>
    <definedName name="__N2">#REF!</definedName>
    <definedName name="__PO1" localSheetId="15">#REF!</definedName>
    <definedName name="__PO1">#REF!</definedName>
    <definedName name="__PP1" localSheetId="15">#REF!</definedName>
    <definedName name="__PP1">#REF!</definedName>
    <definedName name="__PRT1">#N/A</definedName>
    <definedName name="__PRT2">#N/A</definedName>
    <definedName name="__PRT3">#N/A</definedName>
    <definedName name="__PRT4">#N/A</definedName>
    <definedName name="__PRT5" localSheetId="15">#REF!</definedName>
    <definedName name="__PRT5">#REF!</definedName>
    <definedName name="__PRT6" localSheetId="15">#REF!</definedName>
    <definedName name="__PRT6">#REF!</definedName>
    <definedName name="__PRT7" localSheetId="15">#REF!</definedName>
    <definedName name="__PRT7">#REF!</definedName>
    <definedName name="__PRT8" localSheetId="15">#REF!</definedName>
    <definedName name="__PRT8">#REF!</definedName>
    <definedName name="__PRT9">#N/A</definedName>
    <definedName name="__ROM1">#N/A</definedName>
    <definedName name="__ucf1" localSheetId="15">#REF!</definedName>
    <definedName name="__ucf1">#REF!</definedName>
    <definedName name="__월별현황" localSheetId="15">#REF!</definedName>
    <definedName name="__월별현황">#REF!</definedName>
    <definedName name="__첨부" localSheetId="15">#REF!</definedName>
    <definedName name="__첨부">#REF!</definedName>
    <definedName name="_1">'[11]W-현원가'!#REF!</definedName>
    <definedName name="_10">#N/A</definedName>
    <definedName name="_1001" localSheetId="15">#REF!</definedName>
    <definedName name="_1001">#REF!</definedName>
    <definedName name="_101600" localSheetId="15">#REF!</definedName>
    <definedName name="_101600">#REF!</definedName>
    <definedName name="_1027">'[12]0001'!#REF!</definedName>
    <definedName name="_104_9____123Graph_LB" hidden="1">[13]시산표!#REF!</definedName>
    <definedName name="_108Ａ４_">[6]Sheet9!#REF!</definedName>
    <definedName name="_10Print_A" localSheetId="15">#REF!</definedName>
    <definedName name="_10Print_A">#REF!</definedName>
    <definedName name="_11">#N/A</definedName>
    <definedName name="_116GG1_" localSheetId="15">#REF!</definedName>
    <definedName name="_116GG1_">#REF!</definedName>
    <definedName name="_12">#N/A</definedName>
    <definedName name="_12_0Print_Area">'[14]A-100전제'!#REF!</definedName>
    <definedName name="_123GRAPH_LBL_B1" hidden="1">[10]시산표!#REF!</definedName>
    <definedName name="_124h">[13]시산표!#REF!</definedName>
    <definedName name="_129N2_" localSheetId="15">#REF!</definedName>
    <definedName name="_129N2_">#REF!</definedName>
    <definedName name="_12PRINT_AREA" localSheetId="15">#REF!</definedName>
    <definedName name="_12PRINT_AREA">#REF!</definedName>
    <definedName name="_14임원_1년미만_0012_" localSheetId="15">#REF!</definedName>
    <definedName name="_14임원_1년미만_0012_">#REF!</definedName>
    <definedName name="_156">'[12]0001'!#REF!</definedName>
    <definedName name="_16Print_Area">'[14]A-100전제'!#REF!</definedName>
    <definedName name="_16임원_1년이상_0012_" localSheetId="15">#REF!</definedName>
    <definedName name="_16임원_1년이상_0012_">#REF!</definedName>
    <definedName name="_18직원_1년미만_0012_" localSheetId="15">#REF!</definedName>
    <definedName name="_18직원_1년미만_0012_">#REF!</definedName>
    <definedName name="_1999_01_29" localSheetId="15">#REF!</definedName>
    <definedName name="_1999_01_29">#REF!</definedName>
    <definedName name="_2" localSheetId="15">#REF!</definedName>
    <definedName name="_2">#REF!</definedName>
    <definedName name="_2_">[3]표지!#REF!</definedName>
    <definedName name="_20Print_A" localSheetId="15">#REF!</definedName>
    <definedName name="_20Print_A">#REF!</definedName>
    <definedName name="_20직원_1년이상_0012_" localSheetId="15">#REF!</definedName>
    <definedName name="_20직원_1년이상_0012_">#REF!</definedName>
    <definedName name="_2171">#N/A</definedName>
    <definedName name="_2183">#N/A</definedName>
    <definedName name="_2187">#N/A</definedName>
    <definedName name="_22_?" localSheetId="15">#REF!</definedName>
    <definedName name="_22_?">#REF!</definedName>
    <definedName name="_24_?춑_TOTAL">[1]major!#REF!</definedName>
    <definedName name="_24PRINT_AREA" localSheetId="15">#REF!</definedName>
    <definedName name="_24PRINT_AREA">#REF!</definedName>
    <definedName name="_26_?춮t2">[2]현금경비중역!#REF!</definedName>
    <definedName name="_28_?춮ta">[2]현금경비중역!#REF!</definedName>
    <definedName name="_29임원_1년미만_0012_" localSheetId="15">#REF!</definedName>
    <definedName name="_29임원_1년미만_0012_">#REF!</definedName>
    <definedName name="_2월CHARGE_목표실적" localSheetId="15">#REF!</definedName>
    <definedName name="_2월CHARGE_목표실적">#REF!</definedName>
    <definedName name="_2월업체공문" localSheetId="15">#REF!</definedName>
    <definedName name="_2월업체공문">#REF!</definedName>
    <definedName name="_3" localSheetId="15">#REF!</definedName>
    <definedName name="_3">#REF!</definedName>
    <definedName name="_30_?춮tb">[2]현금경비중역!#REF!</definedName>
    <definedName name="_33_5____123Grap" hidden="1">[13]시산표!#REF!</definedName>
    <definedName name="_34임원_1년이상_0012_" localSheetId="15">#REF!</definedName>
    <definedName name="_34임원_1년이상_0012_">#REF!</definedName>
    <definedName name="_36_7____123Grap" hidden="1">[13]시산표!#REF!</definedName>
    <definedName name="_39_7____123Graph_LB" hidden="1">[13]시산표!#REF!</definedName>
    <definedName name="_39직원_1년미만_0012_" localSheetId="15">#REF!</definedName>
    <definedName name="_39직원_1년미만_0012_">#REF!</definedName>
    <definedName name="_4" localSheetId="15">#REF!</definedName>
    <definedName name="_4">#REF!</definedName>
    <definedName name="_4_">'[15]2'!#REF!</definedName>
    <definedName name="_42_9____123Grap" hidden="1">[13]시산표!#REF!</definedName>
    <definedName name="_435A">#N/A</definedName>
    <definedName name="_435B">#N/A</definedName>
    <definedName name="_439A">#N/A</definedName>
    <definedName name="_44" localSheetId="15">#REF!</definedName>
    <definedName name="_44">#REF!</definedName>
    <definedName name="_44직원_1년이상_0012_" localSheetId="15">#REF!</definedName>
    <definedName name="_44직원_1년이상_0012_">#REF!</definedName>
    <definedName name="_45_9____123Graph_LB" hidden="1">[13]시산표!#REF!</definedName>
    <definedName name="_47Ａ４_">[6]Sheet9!#REF!</definedName>
    <definedName name="_48_?" localSheetId="15">#REF!</definedName>
    <definedName name="_48_?">#REF!</definedName>
    <definedName name="_5" localSheetId="15">#REF!</definedName>
    <definedName name="_5">#REF!</definedName>
    <definedName name="_50GG1_" localSheetId="15">#REF!</definedName>
    <definedName name="_50GG1_">#REF!</definedName>
    <definedName name="_52_?춑_TOTAL">[1]major!#REF!</definedName>
    <definedName name="_53h">[13]시산표!#REF!</definedName>
    <definedName name="_541">'[12]0001'!#REF!</definedName>
    <definedName name="_556">'[12]0001'!#REF!</definedName>
    <definedName name="_55N2_" localSheetId="15">#REF!</definedName>
    <definedName name="_55N2_">#REF!</definedName>
    <definedName name="_56_?춮t2">[2]현금경비중역!#REF!</definedName>
    <definedName name="_6" localSheetId="15">#REF!</definedName>
    <definedName name="_6">#REF!</definedName>
    <definedName name="_6_0Print_Area">'[14]A-100전제'!#REF!</definedName>
    <definedName name="_60_?춮ta">[2]현금경비중역!#REF!</definedName>
    <definedName name="_64_?춮tb">[2]현금경비중역!#REF!</definedName>
    <definedName name="_7" localSheetId="15">#REF!</definedName>
    <definedName name="_7">#REF!</definedName>
    <definedName name="_72_5____123Grap" hidden="1">[13]시산표!#REF!</definedName>
    <definedName name="_77" localSheetId="15">#REF!</definedName>
    <definedName name="_77">#REF!</definedName>
    <definedName name="_8" localSheetId="15">#REF!</definedName>
    <definedName name="_8">#REF!</definedName>
    <definedName name="_8_">'[15]2'!#REF!</definedName>
    <definedName name="_80_7____123Grap" hidden="1">[13]시산표!#REF!</definedName>
    <definedName name="_88_7____123Graph_LB" hidden="1">[13]시산표!#REF!</definedName>
    <definedName name="_8Print_Area">'[14]A-100전제'!#REF!</definedName>
    <definedName name="_9">#N/A</definedName>
    <definedName name="_93">'[11]W-현원가'!#REF!</definedName>
    <definedName name="_93A">'[11]W-현원가'!#REF!</definedName>
    <definedName name="_93B">'[11]W-현원가'!#REF!</definedName>
    <definedName name="_94">'[11]W-현원가'!#REF!</definedName>
    <definedName name="_95">#N/A</definedName>
    <definedName name="_9510">#N/A</definedName>
    <definedName name="_96_07_26" localSheetId="15">#REF!</definedName>
    <definedName name="_96_07_26">#REF!</definedName>
    <definedName name="_96_9____123Grap" hidden="1">[13]시산표!#REF!</definedName>
    <definedName name="_Ａ４">'[16]p2-1'!#REF!</definedName>
    <definedName name="_Ａ４1">#N/A</definedName>
    <definedName name="_Ａ４2">[17]주행!#REF!</definedName>
    <definedName name="_Ａ４3">[17]주행!#REF!</definedName>
    <definedName name="_C1244ㅁ1430" localSheetId="15">#REF!</definedName>
    <definedName name="_C1244ㅁ1430">#REF!</definedName>
    <definedName name="_COM1">#N/A</definedName>
    <definedName name="_D580436" localSheetId="15">#REF!</definedName>
    <definedName name="_D580436">#REF!</definedName>
    <definedName name="_DAT1" localSheetId="15">#REF!</definedName>
    <definedName name="_DAT1">#REF!</definedName>
    <definedName name="_DAT10" localSheetId="15">#REF!</definedName>
    <definedName name="_DAT10">#REF!</definedName>
    <definedName name="_DAT11" localSheetId="15">#REF!</definedName>
    <definedName name="_DAT11">#REF!</definedName>
    <definedName name="_DAT12" localSheetId="15">#REF!</definedName>
    <definedName name="_DAT12">#REF!</definedName>
    <definedName name="_DAT13" localSheetId="15">#REF!</definedName>
    <definedName name="_DAT13">#REF!</definedName>
    <definedName name="_DAT14" localSheetId="15">#REF!</definedName>
    <definedName name="_DAT14">#REF!</definedName>
    <definedName name="_DAT15" localSheetId="15">#REF!</definedName>
    <definedName name="_DAT15">#REF!</definedName>
    <definedName name="_DAT16" localSheetId="15">#REF!</definedName>
    <definedName name="_DAT16">#REF!</definedName>
    <definedName name="_DAT17" localSheetId="15">#REF!</definedName>
    <definedName name="_DAT17">#REF!</definedName>
    <definedName name="_DAT18" localSheetId="15">#REF!</definedName>
    <definedName name="_DAT18">#REF!</definedName>
    <definedName name="_DAT19" localSheetId="15">#REF!</definedName>
    <definedName name="_DAT19">#REF!</definedName>
    <definedName name="_DAT2" localSheetId="15">#REF!</definedName>
    <definedName name="_DAT2">#REF!</definedName>
    <definedName name="_DAT20" localSheetId="15">#REF!</definedName>
    <definedName name="_DAT20">#REF!</definedName>
    <definedName name="_DAT21" localSheetId="15">#REF!</definedName>
    <definedName name="_DAT21">#REF!</definedName>
    <definedName name="_DAT22" localSheetId="15">#REF!</definedName>
    <definedName name="_DAT22">#REF!</definedName>
    <definedName name="_DAT23" localSheetId="15">#REF!</definedName>
    <definedName name="_DAT23">#REF!</definedName>
    <definedName name="_DAT24" localSheetId="15">#REF!</definedName>
    <definedName name="_DAT24">#REF!</definedName>
    <definedName name="_DAT25" localSheetId="15">#REF!</definedName>
    <definedName name="_DAT25">#REF!</definedName>
    <definedName name="_DAT26" localSheetId="15">#REF!</definedName>
    <definedName name="_DAT26">#REF!</definedName>
    <definedName name="_DAT27" localSheetId="15">#REF!</definedName>
    <definedName name="_DAT27">#REF!</definedName>
    <definedName name="_DAT28" localSheetId="15">#REF!</definedName>
    <definedName name="_DAT28">#REF!</definedName>
    <definedName name="_DAT29" localSheetId="15">#REF!</definedName>
    <definedName name="_DAT29">#REF!</definedName>
    <definedName name="_DAT3" localSheetId="15">#REF!</definedName>
    <definedName name="_DAT3">#REF!</definedName>
    <definedName name="_DAT30" localSheetId="15">#REF!</definedName>
    <definedName name="_DAT30">#REF!</definedName>
    <definedName name="_DAT31" localSheetId="15">#REF!</definedName>
    <definedName name="_DAT31">#REF!</definedName>
    <definedName name="_DAT32" localSheetId="15">#REF!</definedName>
    <definedName name="_DAT32">#REF!</definedName>
    <definedName name="_DAT33" localSheetId="15">#REF!</definedName>
    <definedName name="_DAT33">#REF!</definedName>
    <definedName name="_DAT34" localSheetId="15">#REF!</definedName>
    <definedName name="_DAT34">#REF!</definedName>
    <definedName name="_DAT35" localSheetId="15">#REF!</definedName>
    <definedName name="_DAT35">#REF!</definedName>
    <definedName name="_DAT36" localSheetId="15">#REF!</definedName>
    <definedName name="_DAT36">#REF!</definedName>
    <definedName name="_DAT37" localSheetId="15">#REF!</definedName>
    <definedName name="_DAT37">#REF!</definedName>
    <definedName name="_DAT38" localSheetId="15">#REF!</definedName>
    <definedName name="_DAT38">#REF!</definedName>
    <definedName name="_DAT39" localSheetId="15">#REF!</definedName>
    <definedName name="_DAT39">#REF!</definedName>
    <definedName name="_DAT4" localSheetId="15">#REF!</definedName>
    <definedName name="_DAT4">#REF!</definedName>
    <definedName name="_DAT40" localSheetId="15">#REF!</definedName>
    <definedName name="_DAT40">#REF!</definedName>
    <definedName name="_DAT41" localSheetId="15">#REF!</definedName>
    <definedName name="_DAT41">#REF!</definedName>
    <definedName name="_DAT42" localSheetId="15">#REF!</definedName>
    <definedName name="_DAT42">#REF!</definedName>
    <definedName name="_DAT43" localSheetId="15">#REF!</definedName>
    <definedName name="_DAT43">#REF!</definedName>
    <definedName name="_DAT44" localSheetId="15">#REF!</definedName>
    <definedName name="_DAT44">#REF!</definedName>
    <definedName name="_DAT45" localSheetId="15">#REF!</definedName>
    <definedName name="_DAT45">#REF!</definedName>
    <definedName name="_DAT46" localSheetId="15">#REF!</definedName>
    <definedName name="_DAT46">#REF!</definedName>
    <definedName name="_DAT47" localSheetId="15">#REF!</definedName>
    <definedName name="_DAT47">#REF!</definedName>
    <definedName name="_DAT48" localSheetId="15">#REF!</definedName>
    <definedName name="_DAT48">#REF!</definedName>
    <definedName name="_DAT49" localSheetId="15">#REF!</definedName>
    <definedName name="_DAT49">#REF!</definedName>
    <definedName name="_DAT5" localSheetId="15">#REF!</definedName>
    <definedName name="_DAT5">#REF!</definedName>
    <definedName name="_DAT50" localSheetId="15">#REF!</definedName>
    <definedName name="_DAT50">#REF!</definedName>
    <definedName name="_DAT51" localSheetId="15">#REF!</definedName>
    <definedName name="_DAT51">#REF!</definedName>
    <definedName name="_DAT6" localSheetId="15">#REF!</definedName>
    <definedName name="_DAT6">#REF!</definedName>
    <definedName name="_DAT7" localSheetId="15">#REF!</definedName>
    <definedName name="_DAT7">#REF!</definedName>
    <definedName name="_DAT8" localSheetId="15">#REF!</definedName>
    <definedName name="_DAT8">#REF!</definedName>
    <definedName name="_DAT9" localSheetId="15">#REF!</definedName>
    <definedName name="_DAT9">#REF!</definedName>
    <definedName name="_Dist_Bin" localSheetId="15" hidden="1">#REF!</definedName>
    <definedName name="_Dist_Bin" hidden="1">#REF!</definedName>
    <definedName name="_Dist_Values" localSheetId="15" hidden="1">#REF!</definedName>
    <definedName name="_Dist_Values" hidden="1">#REF!</definedName>
    <definedName name="_Fill" hidden="1">'[18]9801'!#REF!</definedName>
    <definedName name="_xlnm._FilterDatabase" localSheetId="13" hidden="1">매출2012!$A$5:$E$93</definedName>
    <definedName name="_xlnm._FilterDatabase" localSheetId="14" hidden="1">매출2013!$A$5:$E$91</definedName>
    <definedName name="_xlnm._FilterDatabase" localSheetId="15" hidden="1">매출2014!$A$5:$E$95</definedName>
    <definedName name="_gap1">[7]회의실신청!$H$1:$H$65536,[7]회의실신청!$F$1:$F$65536</definedName>
    <definedName name="_GG1" localSheetId="15">#REF!</definedName>
    <definedName name="_GG1">#REF!</definedName>
    <definedName name="_Key1" hidden="1">'[19]98TURNCA'!#REF!</definedName>
    <definedName name="_Key2" localSheetId="15" hidden="1">#REF!</definedName>
    <definedName name="_Key2" hidden="1">#REF!</definedName>
    <definedName name="_N2" localSheetId="15">#REF!</definedName>
    <definedName name="_N2">#REF!</definedName>
    <definedName name="_Order1" hidden="1">255</definedName>
    <definedName name="_Order2" hidden="1">255</definedName>
    <definedName name="_Parse_Out" hidden="1">[20]수정시산표!#REF!</definedName>
    <definedName name="_PO96" localSheetId="15">#REF!</definedName>
    <definedName name="_PO96">#REF!</definedName>
    <definedName name="_PP1" localSheetId="15">#REF!</definedName>
    <definedName name="_PP1">#REF!</definedName>
    <definedName name="_PRT1">#N/A</definedName>
    <definedName name="_PRT2">#N/A</definedName>
    <definedName name="_PRT3">#N/A</definedName>
    <definedName name="_PRT4">#N/A</definedName>
    <definedName name="_PRT5" localSheetId="15">#REF!</definedName>
    <definedName name="_PRT5">#REF!</definedName>
    <definedName name="_PRT6" localSheetId="15">#REF!</definedName>
    <definedName name="_PRT6">#REF!</definedName>
    <definedName name="_PRT7" localSheetId="15">#REF!</definedName>
    <definedName name="_PRT7">#REF!</definedName>
    <definedName name="_PRT8" localSheetId="15">#REF!</definedName>
    <definedName name="_PRT8">#REF!</definedName>
    <definedName name="_PRT9">#N/A</definedName>
    <definedName name="_Regression_Int" hidden="1">1</definedName>
    <definedName name="_ROM1">#N/A</definedName>
    <definedName name="_Sort" hidden="1">'[19]98TURNCA'!#REF!</definedName>
    <definedName name="_tds2">'[21]관계회사거래내역및 채권채무잔액 99'!#REF!</definedName>
    <definedName name="_TTT1" localSheetId="15">#REF!</definedName>
    <definedName name="_TTT1">#REF!</definedName>
    <definedName name="_ucf1" localSheetId="15">#REF!</definedName>
    <definedName name="_ucf1">#REF!</definedName>
    <definedName name="_월2월합조정" localSheetId="15">#REF!</definedName>
    <definedName name="_월2월합조정">#REF!</definedName>
    <definedName name="_월3월" localSheetId="15">#REF!</definedName>
    <definedName name="_월3월">#REF!</definedName>
    <definedName name="_월완검_건수포함_" localSheetId="15">#REF!</definedName>
    <definedName name="_월완검_건수포함_">#REF!</definedName>
    <definedName name="_월전체_1">'[22]1주'!$B$4:$AW$15</definedName>
    <definedName name="_월전체_2">'[22]2주'!$A$1:$E$24</definedName>
    <definedName name="_월전체_3">'[22]3주'!$A$1:$E$24</definedName>
    <definedName name="_월전체_4">'[22]4주'!$A$1:$E$24</definedName>
    <definedName name="_월전체_5">'[22]1월'!$A$1:$E$24</definedName>
    <definedName name="_첨부" localSheetId="15">#REF!</definedName>
    <definedName name="_첨부">#REF!</definedName>
    <definedName name="\5">[10]시산표!#REF!</definedName>
    <definedName name="\a" localSheetId="15">#REF!</definedName>
    <definedName name="\a">#REF!</definedName>
    <definedName name="\b" localSheetId="15">#REF!</definedName>
    <definedName name="\b">#REF!</definedName>
    <definedName name="\c">[8]시산표!#REF!</definedName>
    <definedName name="\d">#N/A</definedName>
    <definedName name="\e" localSheetId="15">#REF!</definedName>
    <definedName name="\e">#REF!</definedName>
    <definedName name="\h">[8]시산표!#REF!</definedName>
    <definedName name="\i" localSheetId="15">#REF!</definedName>
    <definedName name="\i">#REF!</definedName>
    <definedName name="\L" localSheetId="15">#REF!</definedName>
    <definedName name="\L">#REF!</definedName>
    <definedName name="\m" localSheetId="15">#REF!</definedName>
    <definedName name="\m">#REF!</definedName>
    <definedName name="\P" localSheetId="15">#REF!</definedName>
    <definedName name="\P">#REF!</definedName>
    <definedName name="\q" localSheetId="15">#REF!</definedName>
    <definedName name="\q">#REF!</definedName>
    <definedName name="\r">#N/A</definedName>
    <definedName name="\S" localSheetId="15">#REF!</definedName>
    <definedName name="\S">#REF!</definedName>
    <definedName name="\t">#N/A</definedName>
    <definedName name="\u">#N/A</definedName>
    <definedName name="\w">#N/A</definedName>
    <definedName name="\x">#N/A</definedName>
    <definedName name="\y" localSheetId="15">#REF!</definedName>
    <definedName name="\y">#REF!</definedName>
    <definedName name="\z" localSheetId="15">#REF!</definedName>
    <definedName name="\z">#REF!</definedName>
    <definedName name="↑" localSheetId="15">#REF!</definedName>
    <definedName name="↑">#REF!</definedName>
    <definedName name="※_추후_NAVA__PROJECT는__부품_" localSheetId="15">#REF!</definedName>
    <definedName name="※_추후_NAVA__PROJECT는__부품_">#REF!</definedName>
    <definedName name="A">#N/A</definedName>
    <definedName name="A1_00근거" localSheetId="15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10.1" localSheetId="15">#REF!</definedName>
    <definedName name="A10.1">#REF!</definedName>
    <definedName name="A5.1" localSheetId="15">BlankMacro1</definedName>
    <definedName name="A5.1">BlankMacro1</definedName>
    <definedName name="AA">#N/A</definedName>
    <definedName name="aaa" localSheetId="15">BlankMacro1</definedName>
    <definedName name="aaa">BlankMacro1</definedName>
    <definedName name="AAAAA" localSheetId="15" hidden="1">{#N/A,#N/A,TRUE,"일정"}</definedName>
    <definedName name="AAAAA" hidden="1">{#N/A,#N/A,TRUE,"일정"}</definedName>
    <definedName name="AAAAAAAA" localSheetId="15">[0]!BlankMacro1</definedName>
    <definedName name="AAAAAAAA">[0]!BlankMacro1</definedName>
    <definedName name="aaaaaaaaaa" localSheetId="15">#REF!</definedName>
    <definedName name="aaaaaaaaaa">#REF!</definedName>
    <definedName name="AAB" localSheetId="15">#REF!</definedName>
    <definedName name="AAB">#REF!</definedName>
    <definedName name="AAL" localSheetId="15">#REF!</definedName>
    <definedName name="AAL">#REF!</definedName>
    <definedName name="AAP" localSheetId="15">#REF!</definedName>
    <definedName name="AAP">#REF!</definedName>
    <definedName name="AAPRT1">#N/A</definedName>
    <definedName name="AAPRT2">#N/A</definedName>
    <definedName name="AAPRT3">#N/A</definedName>
    <definedName name="AAPRT4">#N/A</definedName>
    <definedName name="AB">#N/A</definedName>
    <definedName name="abcd" localSheetId="15">#REF!</definedName>
    <definedName name="abcd">#REF!</definedName>
    <definedName name="ABL" localSheetId="15">#REF!</definedName>
    <definedName name="ABL">#REF!</definedName>
    <definedName name="ABP" localSheetId="15">#REF!</definedName>
    <definedName name="ABP">#REF!</definedName>
    <definedName name="ABRate" localSheetId="15">#REF!</definedName>
    <definedName name="ABRate">#REF!</definedName>
    <definedName name="AC">#N/A</definedName>
    <definedName name="AC105bj35" localSheetId="15">#REF!</definedName>
    <definedName name="AC105bj35">#REF!</definedName>
    <definedName name="ACC" localSheetId="15">#REF!</definedName>
    <definedName name="ACC">#REF!</definedName>
    <definedName name="AccessDatabase" hidden="1">"C:\생산판매\long98\9802장판원본.mdb"</definedName>
    <definedName name="AccOn1">[23]calendar!$F$72</definedName>
    <definedName name="ACCOUNTEDPERIODTYPE1" localSheetId="15">#REF!</definedName>
    <definedName name="ACCOUNTEDPERIODTYPE1">#REF!</definedName>
    <definedName name="ACL" localSheetId="15">#REF!</definedName>
    <definedName name="ACL">#REF!</definedName>
    <definedName name="ACP" localSheetId="15">#REF!</definedName>
    <definedName name="ACP">#REF!</definedName>
    <definedName name="AD" localSheetId="15">#REF!</definedName>
    <definedName name="AD">#REF!</definedName>
    <definedName name="ADL" localSheetId="15">#REF!</definedName>
    <definedName name="ADL">#REF!</definedName>
    <definedName name="ADP" localSheetId="15">#REF!</definedName>
    <definedName name="ADP">#REF!</definedName>
    <definedName name="ADSDF" localSheetId="15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" localSheetId="15">#REF!</definedName>
    <definedName name="AE">#REF!</definedName>
    <definedName name="agdump" localSheetId="15">#REF!</definedName>
    <definedName name="agdump">#REF!</definedName>
    <definedName name="agedump" localSheetId="15">#REF!</definedName>
    <definedName name="agedump">#REF!</definedName>
    <definedName name="agencydump" localSheetId="15">#REF!</definedName>
    <definedName name="agencydump">#REF!</definedName>
    <definedName name="AGENCYLY" localSheetId="15">#REF!</definedName>
    <definedName name="AGENCYLY">#REF!</definedName>
    <definedName name="AGENCYPLAN" localSheetId="15">#REF!</definedName>
    <definedName name="AGENCYPLAN">#REF!</definedName>
    <definedName name="AH" localSheetId="15">#REF!</definedName>
    <definedName name="AH">#REF!</definedName>
    <definedName name="AI">[24]신규DEP!#REF!</definedName>
    <definedName name="ALL" localSheetId="15">#REF!</definedName>
    <definedName name="ALL">#REF!</definedName>
    <definedName name="an" localSheetId="15">#REF!</definedName>
    <definedName name="an">#REF!</definedName>
    <definedName name="APPLI" localSheetId="15">#REF!</definedName>
    <definedName name="APPLI">#REF!</definedName>
    <definedName name="APPSUSERNAME1" localSheetId="15">#REF!</definedName>
    <definedName name="APPSUSERNAME1">#REF!</definedName>
    <definedName name="AS" localSheetId="15">#REF!</definedName>
    <definedName name="AS">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15" hidden="1">#REF!</definedName>
    <definedName name="AS2TickmarkLS" hidden="1">#REF!</definedName>
    <definedName name="AS2VersionLS" hidden="1">300</definedName>
    <definedName name="asdf" localSheetId="15">#REF!</definedName>
    <definedName name="asdf">#REF!</definedName>
    <definedName name="asdfawf">#REF!</definedName>
    <definedName name="AssetList">[25]Dec!$A$1:$X$4783</definedName>
    <definedName name="asss" localSheetId="15" hidden="1">{#N/A,#N/A,FALSE,"채권채무";#N/A,#N/A,FALSE,"control sheet"}</definedName>
    <definedName name="asss" hidden="1">{#N/A,#N/A,FALSE,"채권채무";#N/A,#N/A,FALSE,"control sheet"}</definedName>
    <definedName name="ASTA" localSheetId="15">#REF!</definedName>
    <definedName name="ASTA">#REF!</definedName>
    <definedName name="ASTL" localSheetId="15">#REF!</definedName>
    <definedName name="ASTL">#REF!</definedName>
    <definedName name="ASTR" localSheetId="15">#REF!</definedName>
    <definedName name="ASTR">#REF!</definedName>
    <definedName name="ASTX" localSheetId="15">#REF!</definedName>
    <definedName name="ASTX">#REF!</definedName>
    <definedName name="AT" localSheetId="15">#REF!</definedName>
    <definedName name="AT">#REF!</definedName>
    <definedName name="AUD_BUDGET">OFFSET([26]RATE!$F$3,0,0,COUNTA([26]RATE!$F$1:$F$65536))</definedName>
    <definedName name="AUD_FX_RATE">OFFSET([26]RATE!$E$3,0,0,COUNTA([26]RATE!$E$1:$E$65536))</definedName>
    <definedName name="aut" localSheetId="15">#REF!</definedName>
    <definedName name="aut">#REF!</definedName>
    <definedName name="awc" localSheetId="15">#REF!</definedName>
    <definedName name="awc">#REF!</definedName>
    <definedName name="Aㅠ219">[27]Sheet1!#REF!</definedName>
    <definedName name="B">#N/A</definedName>
    <definedName name="b_t2">[2]현금경비중역!#REF!</definedName>
    <definedName name="BA" localSheetId="15">#REF!</definedName>
    <definedName name="BA">#REF!</definedName>
    <definedName name="BAC" localSheetId="15">#REF!</definedName>
    <definedName name="BAC">#REF!</definedName>
    <definedName name="BAL" localSheetId="15">#REF!</definedName>
    <definedName name="BAL">#REF!</definedName>
    <definedName name="BAL_SHT" localSheetId="15">#REF!</definedName>
    <definedName name="BAL_SHT">#REF!</definedName>
    <definedName name="BAP" localSheetId="15">#REF!</definedName>
    <definedName name="BAP">#REF!</definedName>
    <definedName name="BatchName">[23]HEADER!$D$2</definedName>
    <definedName name="BB">#N/A</definedName>
    <definedName name="BBB" localSheetId="15">#REF!</definedName>
    <definedName name="BBB">#REF!</definedName>
    <definedName name="BBL" localSheetId="15">#REF!</definedName>
    <definedName name="BBL">#REF!</definedName>
    <definedName name="BBP" localSheetId="15">#REF!</definedName>
    <definedName name="BBP">#REF!</definedName>
    <definedName name="bc" localSheetId="15">#REF!</definedName>
    <definedName name="bc">#REF!</definedName>
    <definedName name="BCL" localSheetId="15">#REF!</definedName>
    <definedName name="BCL">#REF!</definedName>
    <definedName name="BCP" localSheetId="15">#REF!</definedName>
    <definedName name="BCP">#REF!</definedName>
    <definedName name="bcrclcl100rt">'[28]9-1차이내역'!#REF!</definedName>
    <definedName name="bcrclcl100rtrkrk">'[28]9-1차이내역'!#REF!</definedName>
    <definedName name="BD" localSheetId="15">#REF!</definedName>
    <definedName name="BD">#REF!</definedName>
    <definedName name="BDL" localSheetId="15">#REF!</definedName>
    <definedName name="BDL">#REF!</definedName>
    <definedName name="BDP" localSheetId="15">#REF!</definedName>
    <definedName name="BDP">#REF!</definedName>
    <definedName name="BG_Del" hidden="1">15</definedName>
    <definedName name="BG_Ins" hidden="1">4</definedName>
    <definedName name="BG_Mod" hidden="1">6</definedName>
    <definedName name="bi" localSheetId="15">#REF!</definedName>
    <definedName name="bi">#REF!</definedName>
    <definedName name="bsNote">#N/A</definedName>
    <definedName name="BSTA" localSheetId="15">#REF!</definedName>
    <definedName name="BSTA">#REF!</definedName>
    <definedName name="BSTL" localSheetId="15">#REF!</definedName>
    <definedName name="BSTL">#REF!</definedName>
    <definedName name="BSTR" localSheetId="15">#REF!</definedName>
    <definedName name="BSTR">#REF!</definedName>
    <definedName name="BSTX" localSheetId="15">#REF!</definedName>
    <definedName name="BSTX">#REF!</definedName>
    <definedName name="btnClose">#N/A</definedName>
    <definedName name="btnFootNoting">#N/A</definedName>
    <definedName name="btnNext">#N/A</definedName>
    <definedName name="btnOK">#N/A</definedName>
    <definedName name="btnPrevious">#N/A</definedName>
    <definedName name="btnReturn">#N/A</definedName>
    <definedName name="btn체크리스트_Click">#N/A</definedName>
    <definedName name="btn초화면_Click">#N/A</definedName>
    <definedName name="bumwi" localSheetId="15">#REF!</definedName>
    <definedName name="bumwi">#REF!</definedName>
    <definedName name="C.P이자" localSheetId="15">#REF!</definedName>
    <definedName name="C.P이자">#REF!</definedName>
    <definedName name="C_">#N/A</definedName>
    <definedName name="CA" localSheetId="15">#REF!</definedName>
    <definedName name="CA">#REF!</definedName>
    <definedName name="CAL" localSheetId="15">#REF!</definedName>
    <definedName name="CAL">#REF!</definedName>
    <definedName name="CalcAgencyPrice" localSheetId="15">#REF!</definedName>
    <definedName name="CalcAgencyPrice">#REF!</definedName>
    <definedName name="can" localSheetId="15">#REF!</definedName>
    <definedName name="can">#REF!</definedName>
    <definedName name="CAP" localSheetId="15">#REF!</definedName>
    <definedName name="CAP">#REF!</definedName>
    <definedName name="cash">#N/A</definedName>
    <definedName name="CashFlow_Button1_Click">#N/A</definedName>
    <definedName name="cashIndex">#N/A</definedName>
    <definedName name="CAT" localSheetId="15">#REF!</definedName>
    <definedName name="CAT">#REF!</definedName>
    <definedName name="CategoryList" localSheetId="15">#REF!</definedName>
    <definedName name="CategoryList">#REF!</definedName>
    <definedName name="CB" localSheetId="15">#REF!</definedName>
    <definedName name="CB">#REF!</definedName>
    <definedName name="CBL" localSheetId="15">#REF!</definedName>
    <definedName name="CBL">#REF!</definedName>
    <definedName name="CBP" localSheetId="15">#REF!</definedName>
    <definedName name="CBP">#REF!</definedName>
    <definedName name="CC">#N/A</definedName>
    <definedName name="CC.QQ" localSheetId="15">#REF!</definedName>
    <definedName name="CC.QQ">#REF!</definedName>
    <definedName name="CC_Convert" localSheetId="15">#REF!</definedName>
    <definedName name="CC_Convert">#REF!</definedName>
    <definedName name="CCC" localSheetId="15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L" localSheetId="15">#REF!</definedName>
    <definedName name="CCL">#REF!</definedName>
    <definedName name="CCP" localSheetId="15">#REF!</definedName>
    <definedName name="CCP">#REF!</definedName>
    <definedName name="CD">[29]Sheet2!$E$4:$F$496</definedName>
    <definedName name="CDL" localSheetId="15">#REF!</definedName>
    <definedName name="CDL">#REF!</definedName>
    <definedName name="CDP" localSheetId="15">#REF!</definedName>
    <definedName name="CDP">#REF!</definedName>
    <definedName name="CF" localSheetId="15">BLCH</definedName>
    <definedName name="CF">BLCH</definedName>
    <definedName name="CHARTOFACCOUNTSID1" localSheetId="15">#REF!</definedName>
    <definedName name="CHARTOFACCOUNTSID1">#REF!</definedName>
    <definedName name="Check">#N/A</definedName>
    <definedName name="CITI_CD">OFFSET([26]ST_INVEST!$G$5,0,0,COUNTA([26]ST_INVEST!$G$1:$G$65536))</definedName>
    <definedName name="CITI_MMDA">OFFSET([26]ST_INVEST!$I$5,0,0,COUNTA([26]ST_INVEST!$I$1:$I$65536))</definedName>
    <definedName name="ckc" localSheetId="15">#REF!</definedName>
    <definedName name="ckc">#REF!</definedName>
    <definedName name="cm1_fct_xl1" localSheetId="15">#REF!</definedName>
    <definedName name="cm1_fct_xl1">#REF!</definedName>
    <definedName name="cmi_amt" localSheetId="15">#REF!</definedName>
    <definedName name="cmi_amt">#REF!</definedName>
    <definedName name="cmi_amt1" localSheetId="15">#REF!</definedName>
    <definedName name="cmi_amt1">#REF!</definedName>
    <definedName name="cmi_fct" localSheetId="15">#REF!</definedName>
    <definedName name="cmi_fct">#REF!</definedName>
    <definedName name="cmi_fct_xl" localSheetId="15">#REF!</definedName>
    <definedName name="cmi_fct_xl">#REF!</definedName>
    <definedName name="CODE" localSheetId="15">#REF!</definedName>
    <definedName name="CODE">#REF!</definedName>
    <definedName name="COM">#N/A</definedName>
    <definedName name="com_c_sg" localSheetId="15">#REF!</definedName>
    <definedName name="com_c_sg">#REF!</definedName>
    <definedName name="com_c_sg_xl" localSheetId="15">#REF!</definedName>
    <definedName name="com_c_sg_xl">#REF!</definedName>
    <definedName name="com_h_sg" localSheetId="15">#REF!</definedName>
    <definedName name="com_h_sg">#REF!</definedName>
    <definedName name="com_h_sg_xl" localSheetId="15">#REF!</definedName>
    <definedName name="com_h_sg_xl">#REF!</definedName>
    <definedName name="Commission" localSheetId="15">#REF!</definedName>
    <definedName name="Commission">#REF!</definedName>
    <definedName name="COMP_NO">[30]Config!$B$3</definedName>
    <definedName name="COMPANY" localSheetId="15">#REF!</definedName>
    <definedName name="COMPANY">#REF!</definedName>
    <definedName name="con" localSheetId="15">#REF!</definedName>
    <definedName name="con">#REF!</definedName>
    <definedName name="CoName1">[23]calendar!$E$74</definedName>
    <definedName name="conb1">[31]!conb1</definedName>
    <definedName name="conb10">[31]!conb10</definedName>
    <definedName name="conb100">[31]!conb100</definedName>
    <definedName name="conb101">[31]!conb101</definedName>
    <definedName name="conb102">[31]!conb102</definedName>
    <definedName name="conb103">[31]!conb103</definedName>
    <definedName name="conb104">[31]!conb104</definedName>
    <definedName name="conb105">[31]!conb105</definedName>
    <definedName name="conb106">[31]!conb106</definedName>
    <definedName name="conb107">[31]!conb107</definedName>
    <definedName name="conb108">[31]!conb108</definedName>
    <definedName name="conb109">[31]!conb109</definedName>
    <definedName name="conb11">[31]!conb11</definedName>
    <definedName name="conb110">[31]!conb110</definedName>
    <definedName name="conb111">[31]!conb111</definedName>
    <definedName name="conb112">[31]!conb112</definedName>
    <definedName name="conb113">[31]!conb113</definedName>
    <definedName name="conb114">[31]!conb114</definedName>
    <definedName name="conb115">[31]!conb115</definedName>
    <definedName name="conb116">[31]!conb116</definedName>
    <definedName name="conb117">[31]!conb117</definedName>
    <definedName name="conb118">[31]!conb118</definedName>
    <definedName name="conb119">[31]!conb119</definedName>
    <definedName name="conb12">[31]!conb12</definedName>
    <definedName name="conb120">[31]!conb120</definedName>
    <definedName name="conb121">[31]!conb121</definedName>
    <definedName name="conb13">[31]!conb13</definedName>
    <definedName name="conb14">[31]!conb14</definedName>
    <definedName name="conb15">[31]!conb15</definedName>
    <definedName name="conb16">[31]!conb16</definedName>
    <definedName name="conb17">[31]!conb17</definedName>
    <definedName name="conb18">[31]!conb18</definedName>
    <definedName name="conb19">[31]!conb19</definedName>
    <definedName name="conb2">[31]!conb2</definedName>
    <definedName name="conb20">[31]!conb20</definedName>
    <definedName name="conb21">[31]!conb21</definedName>
    <definedName name="conb22">[31]!conb22</definedName>
    <definedName name="conb23">[31]!conb23</definedName>
    <definedName name="conb24">[31]!conb24</definedName>
    <definedName name="conb25">[31]!conb25</definedName>
    <definedName name="conb26">[31]!conb26</definedName>
    <definedName name="conb27">[31]!conb27</definedName>
    <definedName name="conb28">[31]!conb28</definedName>
    <definedName name="conb29">[31]!conb29</definedName>
    <definedName name="conb3">[31]!conb3</definedName>
    <definedName name="conb30">[31]!conb30</definedName>
    <definedName name="conb31">[31]!conb31</definedName>
    <definedName name="conb33">[31]!conb33</definedName>
    <definedName name="conb34">[31]!conb34</definedName>
    <definedName name="conb36">[31]!conb36</definedName>
    <definedName name="conb37">[31]!conb37</definedName>
    <definedName name="conb38">[31]!conb38</definedName>
    <definedName name="conb39">[31]!conb39</definedName>
    <definedName name="conb4">[31]!conb4</definedName>
    <definedName name="conb40">[31]!conb40</definedName>
    <definedName name="conb41">[31]!conb41</definedName>
    <definedName name="conb42">[31]!conb42</definedName>
    <definedName name="conb43">[31]!conb43</definedName>
    <definedName name="conb44">[31]!conb44</definedName>
    <definedName name="conb45">[31]!conb45</definedName>
    <definedName name="conb46">[31]!conb46</definedName>
    <definedName name="conb47">[31]!conb47</definedName>
    <definedName name="conb48">[31]!conb48</definedName>
    <definedName name="conb49">[31]!conb49</definedName>
    <definedName name="conb5">[31]!conb5</definedName>
    <definedName name="conb50">[31]!conb50</definedName>
    <definedName name="conb51">[31]!conb51</definedName>
    <definedName name="conb52">[31]!conb52</definedName>
    <definedName name="conb53">[31]!conb53</definedName>
    <definedName name="conb54">[31]!conb54</definedName>
    <definedName name="conb55">[31]!conb55</definedName>
    <definedName name="conb58">[31]!conb58</definedName>
    <definedName name="conb59">[31]!conb59</definedName>
    <definedName name="conb6">[31]!conb6</definedName>
    <definedName name="conb60">[31]!conb60</definedName>
    <definedName name="conb61">[31]!conb61</definedName>
    <definedName name="conb62">[31]!conb62</definedName>
    <definedName name="conb63">[31]!conb63</definedName>
    <definedName name="conb64">[31]!conb64</definedName>
    <definedName name="conb65">[31]!conb65</definedName>
    <definedName name="conb66">[31]!conb66</definedName>
    <definedName name="conb67">[31]!conb67</definedName>
    <definedName name="conb68">[31]!conb68</definedName>
    <definedName name="conb69">[31]!conb69</definedName>
    <definedName name="conb7">[31]!conb7</definedName>
    <definedName name="conb70">[31]!conb70</definedName>
    <definedName name="conb71">[31]!conb71</definedName>
    <definedName name="conb72">[31]!conb72</definedName>
    <definedName name="conb73">[31]!conb73</definedName>
    <definedName name="conb74">[31]!conb74</definedName>
    <definedName name="conb75">[31]!conb75</definedName>
    <definedName name="conb76">[31]!conb76</definedName>
    <definedName name="conb77">[31]!conb77</definedName>
    <definedName name="conb78">[31]!conb78</definedName>
    <definedName name="conb79">[31]!conb79</definedName>
    <definedName name="conb8">[31]!conb8</definedName>
    <definedName name="conb80">[31]!conb80</definedName>
    <definedName name="conb81">[31]!conb81</definedName>
    <definedName name="conb82">[31]!conb82</definedName>
    <definedName name="conb83">[31]!conb83</definedName>
    <definedName name="conb84">[31]!conb84</definedName>
    <definedName name="conb85">[31]!conb85</definedName>
    <definedName name="conb86">[31]!conb86</definedName>
    <definedName name="conb87">[31]!conb87</definedName>
    <definedName name="conb88">[31]!conb88</definedName>
    <definedName name="conb89">[31]!conb89</definedName>
    <definedName name="conb9">[31]!conb9</definedName>
    <definedName name="conb90">[31]!conb90</definedName>
    <definedName name="conb91">[31]!conb91</definedName>
    <definedName name="conb92">[31]!conb92</definedName>
    <definedName name="conb93">[31]!conb93</definedName>
    <definedName name="conb94">[31]!conb94</definedName>
    <definedName name="conb95">[31]!conb95</definedName>
    <definedName name="conb96">[31]!conb96</definedName>
    <definedName name="conb97">[31]!conb97</definedName>
    <definedName name="conb98">[31]!conb98</definedName>
    <definedName name="conb99">[31]!conb99</definedName>
    <definedName name="CONNECTSTRING1" localSheetId="15">#REF!</definedName>
    <definedName name="CONNECTSTRING1">#REF!</definedName>
    <definedName name="CONTROL" localSheetId="15">#REF!</definedName>
    <definedName name="CONTROL">#REF!</definedName>
    <definedName name="controlsheet" localSheetId="15">#REF!</definedName>
    <definedName name="controlsheet">#REF!</definedName>
    <definedName name="CoNum1">[23]HEADER!$D$5</definedName>
    <definedName name="COUNTA_AP">[30]AP!$A$2</definedName>
    <definedName name="COUNTA_AR">[30]AR!$A$2</definedName>
    <definedName name="COUNTA_CF">[30]CF!$A$2</definedName>
    <definedName name="COUNTA_CH">[30]CH!$A$2</definedName>
    <definedName name="COUNTA_ES">[30]ES!$A$2</definedName>
    <definedName name="COUNTA_EX">[30]EX!$A$2</definedName>
    <definedName name="COUNTA_FA">[30]FA!$A$2</definedName>
    <definedName name="COUNTA_FD">[30]FD!$A$2</definedName>
    <definedName name="COUNTA_IC">[30]IC!$A$2</definedName>
    <definedName name="COUNTA_ID">[30]ID!$A$2</definedName>
    <definedName name="COUNTA_IH">[30]IH!$A$2</definedName>
    <definedName name="COUNTA_PU">[30]PU!$A$2</definedName>
    <definedName name="COUNTA_RE">[30]RE!$A$2</definedName>
    <definedName name="COUNTA_SA">[30]SA!$A$2</definedName>
    <definedName name="COUNTA_TA">[30]TA!$A$2</definedName>
    <definedName name="Cover" localSheetId="15">#REF!</definedName>
    <definedName name="Cover">#REF!</definedName>
    <definedName name="CREATESUMMARYJNLS1" localSheetId="15">#REF!</definedName>
    <definedName name="CREATESUMMARYJNLS1">#REF!</definedName>
    <definedName name="_xlnm.Criteria">'[32]Tbom-tot'!$D$310</definedName>
    <definedName name="Criteria_MI" localSheetId="15">#REF!</definedName>
    <definedName name="Criteria_MI">#REF!</definedName>
    <definedName name="CRITERIACOLUMN1" localSheetId="15">#REF!</definedName>
    <definedName name="CRITERIACOLUMN1">#REF!</definedName>
    <definedName name="CSTA" localSheetId="15">#REF!</definedName>
    <definedName name="CSTA">#REF!</definedName>
    <definedName name="CSTL" localSheetId="15">#REF!</definedName>
    <definedName name="CSTL">#REF!</definedName>
    <definedName name="CSTR" localSheetId="15">#REF!</definedName>
    <definedName name="CSTR">#REF!</definedName>
    <definedName name="CSTX" localSheetId="15">#REF!</definedName>
    <definedName name="CSTX">#REF!</definedName>
    <definedName name="d" localSheetId="15">#REF!</definedName>
    <definedName name="d">#REF!</definedName>
    <definedName name="D1669\" localSheetId="15">#REF!</definedName>
    <definedName name="D1669\">#REF!</definedName>
    <definedName name="DaRWk1" localSheetId="15">#REF!</definedName>
    <definedName name="DaRWk1">#REF!</definedName>
    <definedName name="DaRWk10" localSheetId="15">#REF!</definedName>
    <definedName name="DaRWk10">#REF!</definedName>
    <definedName name="DaRWk11" localSheetId="15">#REF!</definedName>
    <definedName name="DaRWk11">#REF!</definedName>
    <definedName name="DaRWk12" localSheetId="15">#REF!</definedName>
    <definedName name="DaRWk12">#REF!</definedName>
    <definedName name="DaRWk2" localSheetId="15">#REF!</definedName>
    <definedName name="DaRWk2">#REF!</definedName>
    <definedName name="DaRWk3" localSheetId="15">#REF!</definedName>
    <definedName name="DaRWk3">#REF!</definedName>
    <definedName name="DaRWk4" localSheetId="15">#REF!</definedName>
    <definedName name="DaRWk4">#REF!</definedName>
    <definedName name="DaRWk5" localSheetId="15">#REF!</definedName>
    <definedName name="DaRWk5">#REF!</definedName>
    <definedName name="DaRWk6" localSheetId="15">#REF!</definedName>
    <definedName name="DaRWk6">#REF!</definedName>
    <definedName name="DaRWk8" localSheetId="15">#REF!</definedName>
    <definedName name="DaRWk8">#REF!</definedName>
    <definedName name="DaRwk9" localSheetId="15">#REF!</definedName>
    <definedName name="DaRwk9">#REF!</definedName>
    <definedName name="DAT">[33]LL!$D$2:$Y$1074</definedName>
    <definedName name="DATA" localSheetId="15">#REF!</definedName>
    <definedName name="DATA">#REF!</definedName>
    <definedName name="_xlnm.Database" localSheetId="15">#REF!</definedName>
    <definedName name="_xlnm.Database">#REF!</definedName>
    <definedName name="Database_MI">'[34]9703'!#REF!</definedName>
    <definedName name="DATE">OFFSET([26]ST_INVEST!$A$5,0,0,COUNTA([26]ST_INVEST!$A$1:$A$65536))</definedName>
    <definedName name="DaWk7" localSheetId="15">#REF!</definedName>
    <definedName name="DaWk7">#REF!</definedName>
    <definedName name="DAY">OFFSET([26]RATE!$A$3,0,0,COUNTA([26]RATE!$A$1:$A$65536))</definedName>
    <definedName name="days_invt" localSheetId="15">#REF!</definedName>
    <definedName name="days_invt">#REF!</definedName>
    <definedName name="days_tp" localSheetId="15">#REF!</definedName>
    <definedName name="days_tp">#REF!</definedName>
    <definedName name="days_tr" localSheetId="15">#REF!</definedName>
    <definedName name="days_tr">#REF!</definedName>
    <definedName name="db" localSheetId="15">#REF!</definedName>
    <definedName name="db">#REF!</definedName>
    <definedName name="DBNAME1" localSheetId="15">#REF!</definedName>
    <definedName name="DBNAME1">#REF!</definedName>
    <definedName name="dbo_HFAPATA1T" localSheetId="15">#REF!</definedName>
    <definedName name="dbo_HFAPATA1T">#REF!</definedName>
    <definedName name="dbrwk1" localSheetId="15">#REF!</definedName>
    <definedName name="dbrwk1">#REF!</definedName>
    <definedName name="dbrwk10" localSheetId="15">#REF!</definedName>
    <definedName name="dbrwk10">#REF!</definedName>
    <definedName name="dbrwk11" localSheetId="15">#REF!</definedName>
    <definedName name="dbrwk11">#REF!</definedName>
    <definedName name="dbrwk12" localSheetId="15">#REF!</definedName>
    <definedName name="dbrwk12">#REF!</definedName>
    <definedName name="dbrwk2" localSheetId="15">#REF!</definedName>
    <definedName name="dbrwk2">#REF!</definedName>
    <definedName name="dbrwk3" localSheetId="15">#REF!</definedName>
    <definedName name="dbrwk3">#REF!</definedName>
    <definedName name="dbrwk4" localSheetId="15">#REF!</definedName>
    <definedName name="dbrwk4">#REF!</definedName>
    <definedName name="dbrwk5" localSheetId="15">#REF!</definedName>
    <definedName name="dbrwk5">#REF!</definedName>
    <definedName name="dbrwk6" localSheetId="15">#REF!</definedName>
    <definedName name="dbrwk6">#REF!</definedName>
    <definedName name="dbrwk7" localSheetId="15">#REF!</definedName>
    <definedName name="dbrwk7">#REF!</definedName>
    <definedName name="dbrwk8" localSheetId="15">#REF!</definedName>
    <definedName name="dbrwk8">#REF!</definedName>
    <definedName name="dbrwk9" localSheetId="15">#REF!</definedName>
    <definedName name="dbrwk9">#REF!</definedName>
    <definedName name="DBUSERNAME1" localSheetId="15">#REF!</definedName>
    <definedName name="DBUSERNAME1">#REF!</definedName>
    <definedName name="DCFROR" localSheetId="15">#REF!</definedName>
    <definedName name="DCFROR">#REF!</definedName>
    <definedName name="dcrwk1" localSheetId="15">#REF!</definedName>
    <definedName name="dcrwk1">#REF!</definedName>
    <definedName name="dcrwk10" localSheetId="15">#REF!</definedName>
    <definedName name="dcrwk10">#REF!</definedName>
    <definedName name="dcrwk11" localSheetId="15">#REF!</definedName>
    <definedName name="dcrwk11">#REF!</definedName>
    <definedName name="dcrwk12" localSheetId="15">#REF!</definedName>
    <definedName name="dcrwk12">#REF!</definedName>
    <definedName name="dcrwk2" localSheetId="15">#REF!</definedName>
    <definedName name="dcrwk2">#REF!</definedName>
    <definedName name="dcrwk3" localSheetId="15">#REF!</definedName>
    <definedName name="dcrwk3">#REF!</definedName>
    <definedName name="dcrwk4" localSheetId="15">#REF!</definedName>
    <definedName name="dcrwk4">#REF!</definedName>
    <definedName name="dcrwk5" localSheetId="15">#REF!</definedName>
    <definedName name="dcrwk5">#REF!</definedName>
    <definedName name="dcrwk6" localSheetId="15">#REF!</definedName>
    <definedName name="dcrwk6">#REF!</definedName>
    <definedName name="dcrwk7" localSheetId="15">#REF!</definedName>
    <definedName name="dcrwk7">#REF!</definedName>
    <definedName name="dcrwk8" localSheetId="15">#REF!</definedName>
    <definedName name="dcrwk8">#REF!</definedName>
    <definedName name="dcrwk9" localSheetId="15">#REF!</definedName>
    <definedName name="dcrwk9">#REF!</definedName>
    <definedName name="dd" localSheetId="15">#REF!</definedName>
    <definedName name="dd">#REF!</definedName>
    <definedName name="ddd">#N/A</definedName>
    <definedName name="DDDD" localSheetId="15">[0]!BlankMacro1</definedName>
    <definedName name="DDDD">[0]!BlankMacro1</definedName>
    <definedName name="DDDDD" localSheetId="15">#REF!</definedName>
    <definedName name="DDDDD">#REF!</definedName>
    <definedName name="DDE" localSheetId="15">#REF!</definedName>
    <definedName name="DDE">#REF!</definedName>
    <definedName name="de" localSheetId="15">#REF!</definedName>
    <definedName name="de">#REF!</definedName>
    <definedName name="dek" localSheetId="15">#REF!</definedName>
    <definedName name="dek">#REF!</definedName>
    <definedName name="DelDC" localSheetId="15">#REF!</definedName>
    <definedName name="DelDC">#REF!</definedName>
    <definedName name="DelDm" localSheetId="15">#REF!</definedName>
    <definedName name="DelDm">#REF!</definedName>
    <definedName name="DELETELOGICTYPE1" localSheetId="15">#REF!</definedName>
    <definedName name="DELETELOGICTYPE1">#REF!</definedName>
    <definedName name="Delivery" localSheetId="15">#REF!</definedName>
    <definedName name="Delivery">#REF!</definedName>
    <definedName name="DelType" localSheetId="15">#REF!</definedName>
    <definedName name="DelType">#REF!</definedName>
    <definedName name="deptLookup" localSheetId="15">#REF!</definedName>
    <definedName name="deptLookup">#REF!</definedName>
    <definedName name="derniere" localSheetId="15">#REF!</definedName>
    <definedName name="derniere">#REF!</definedName>
    <definedName name="dffdfs" localSheetId="15">BlankMacro1</definedName>
    <definedName name="dffdfs">BlankMacro1</definedName>
    <definedName name="dfrewsfa" localSheetId="15">BlankMacro1</definedName>
    <definedName name="dfrewsfa">BlankMacro1</definedName>
    <definedName name="diffusion_rate" localSheetId="15">#REF!</definedName>
    <definedName name="diffusion_rate">#REF!</definedName>
    <definedName name="diffusion_rate_xl" localSheetId="15">#REF!</definedName>
    <definedName name="diffusion_rate_xl">#REF!</definedName>
    <definedName name="diffusion_rate_xl1" localSheetId="15">#REF!</definedName>
    <definedName name="diffusion_rate_xl1">#REF!</definedName>
    <definedName name="djk" localSheetId="15">BlankMacro1</definedName>
    <definedName name="djk">BlankMacro1</definedName>
    <definedName name="DKC">[35]PLarp!#REF!</definedName>
    <definedName name="dkdk" localSheetId="15" hidden="1">{"'미착금액'!$A$4:$G$14"}</definedName>
    <definedName name="dkdk" hidden="1">{"'미착금액'!$A$4:$G$14"}</definedName>
    <definedName name="DKDKFG8TBTB2RT" localSheetId="15">#REF!</definedName>
    <definedName name="DKDKFG8TBTB2RT">#REF!</definedName>
    <definedName name="DLFL" localSheetId="15">BLCH</definedName>
    <definedName name="DLFL">BLCH</definedName>
    <definedName name="dnfk" localSheetId="15">BlankMacro1</definedName>
    <definedName name="dnfk">BlankMacro1</definedName>
    <definedName name="DOL" localSheetId="15">#REF!</definedName>
    <definedName name="DOL">#REF!</definedName>
    <definedName name="dsf" localSheetId="15">#REF!</definedName>
    <definedName name="dsf">#REF!</definedName>
    <definedName name="dumppr" localSheetId="15">#REF!</definedName>
    <definedName name="dumppr">#REF!</definedName>
    <definedName name="D도장" localSheetId="15">#REF!</definedName>
    <definedName name="D도장">#REF!</definedName>
    <definedName name="D시장">[36]시장!$Q$11:$Q$14</definedName>
    <definedName name="D엔조">[36]엔진조립!$Q$7</definedName>
    <definedName name="D엔조립">[37]엔진조립!$Q$7</definedName>
    <definedName name="D완검">[36]DA!$Q$5:$Q$9</definedName>
    <definedName name="D조립">[36]DA!$Q$15:$Q$19</definedName>
    <definedName name="D주행">[36]DA!$Q$10:$Q$14</definedName>
    <definedName name="D프레스">[36]프레스!$Q$15:$Q$16</definedName>
    <definedName name="E" localSheetId="15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CH" localSheetId="15">#REF!</definedName>
    <definedName name="ECH">#REF!</definedName>
    <definedName name="EE" localSheetId="15">#REF!</definedName>
    <definedName name="EE">#REF!</definedName>
    <definedName name="eee" localSheetId="1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ee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EEEEEE" localSheetId="15">[0]!BlankMacro1</definedName>
    <definedName name="EEEEEE">[0]!BlankMacro1</definedName>
    <definedName name="EffDate">[23]HEADER!$G$6</definedName>
    <definedName name="ENG_COOLG">'[38]DBL LPG시험'!#REF!</definedName>
    <definedName name="eng감가" localSheetId="15">#REF!</definedName>
    <definedName name="eng감가">#REF!</definedName>
    <definedName name="eng매출" localSheetId="15">#REF!</definedName>
    <definedName name="eng매출">#REF!</definedName>
    <definedName name="ENG배부" localSheetId="15">#REF!</definedName>
    <definedName name="ENG배부">#REF!</definedName>
    <definedName name="eng인원" localSheetId="15">#REF!</definedName>
    <definedName name="eng인원">#REF!</definedName>
    <definedName name="ENT" localSheetId="15">#REF!</definedName>
    <definedName name="ENT">#REF!</definedName>
    <definedName name="EUR_KRW">OFFSET([39]RATE!$G$13,0,0,COUNTA([39]RATE!$G$1:$G$65536))</definedName>
    <definedName name="ex" localSheetId="1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ex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xlnm.Extract" localSheetId="15">#REF!</definedName>
    <definedName name="_xlnm.Extract">#REF!</definedName>
    <definedName name="Extract_MI" localSheetId="15">#REF!</definedName>
    <definedName name="Extract_MI">#REF!</definedName>
    <definedName name="E매출" localSheetId="15">#REF!</definedName>
    <definedName name="E매출">#REF!</definedName>
    <definedName name="E이자" localSheetId="15">#REF!</definedName>
    <definedName name="E이자">#REF!</definedName>
    <definedName name="e인원" localSheetId="15">#REF!</definedName>
    <definedName name="e인원">#REF!</definedName>
    <definedName name="F" localSheetId="15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_123">#N/A</definedName>
    <definedName name="Fadolist">[25]Dec!$A$5:$W$540</definedName>
    <definedName name="FA증감" localSheetId="15">#REF!</definedName>
    <definedName name="FA증감">#REF!</definedName>
    <definedName name="ff" localSheetId="15">#REF!</definedName>
    <definedName name="ff">#REF!</definedName>
    <definedName name="FFAPPCOLNAME1_1" localSheetId="15">#REF!</definedName>
    <definedName name="FFAPPCOLNAME1_1">#REF!</definedName>
    <definedName name="FFAPPCOLNAME2_1" localSheetId="15">#REF!</definedName>
    <definedName name="FFAPPCOLNAME2_1">#REF!</definedName>
    <definedName name="FFAPPCOLNAME3_1" localSheetId="15">#REF!</definedName>
    <definedName name="FFAPPCOLNAME3_1">#REF!</definedName>
    <definedName name="FFAPPCOLNAME4_1" localSheetId="15">#REF!</definedName>
    <definedName name="FFAPPCOLNAME4_1">#REF!</definedName>
    <definedName name="FFAPPCOLNAME5_1" localSheetId="15">#REF!</definedName>
    <definedName name="FFAPPCOLNAME5_1">#REF!</definedName>
    <definedName name="FFAPPCOLNAME6_1" localSheetId="15">#REF!</definedName>
    <definedName name="FFAPPCOLNAME6_1">#REF!</definedName>
    <definedName name="FFSEGMENT1_1" localSheetId="15">#REF!</definedName>
    <definedName name="FFSEGMENT1_1">#REF!</definedName>
    <definedName name="FFSEGMENT2_1" localSheetId="15">#REF!</definedName>
    <definedName name="FFSEGMENT2_1">#REF!</definedName>
    <definedName name="FFSEGMENT3_1" localSheetId="15">#REF!</definedName>
    <definedName name="FFSEGMENT3_1">#REF!</definedName>
    <definedName name="FFSEGMENT4_1" localSheetId="15">#REF!</definedName>
    <definedName name="FFSEGMENT4_1">#REF!</definedName>
    <definedName name="FFSEGMENT5_1" localSheetId="15">#REF!</definedName>
    <definedName name="FFSEGMENT5_1">#REF!</definedName>
    <definedName name="FFSEGMENT6_1" localSheetId="15">#REF!</definedName>
    <definedName name="FFSEGMENT6_1">#REF!</definedName>
    <definedName name="FFSEGSEPARATOR1" localSheetId="15">#REF!</definedName>
    <definedName name="FFSEGSEPARATOR1">#REF!</definedName>
    <definedName name="FG" localSheetId="15">[0]!BlankMacro1</definedName>
    <definedName name="FG">[0]!BlankMacro1</definedName>
    <definedName name="FG10TBTB2RT" localSheetId="15">#REF!</definedName>
    <definedName name="FG10TBTB2RT">#REF!</definedName>
    <definedName name="FG12TBTB2RTDKDKGMLRT">[40]협조전!#REF!</definedName>
    <definedName name="FG22TBTB3RTDKDKDK">[41]차수!#REF!</definedName>
    <definedName name="FG46TBTB4RTDKDK" localSheetId="15">#REF!</definedName>
    <definedName name="FG46TBTB4RTDKDK">#REF!</definedName>
    <definedName name="fgPRPRRKRKRKRKRKTBTB2RT">'[42]11'!#REF!</definedName>
    <definedName name="FGPRTBTB1RTDKDK" localSheetId="15">#REF!</definedName>
    <definedName name="FGPRTBTB1RTDKDK">#REF!</definedName>
    <definedName name="FGRKBS11TBTB3RTDKDK">[43]협조전!#REF!</definedName>
    <definedName name="fgRKBS8TBTB3RT">[43]협조전!#REF!</definedName>
    <definedName name="fgRKRKRKRKRKTBTB2RTDKDK" localSheetId="15">#REF!</definedName>
    <definedName name="fgRKRKRKRKRKTBTB2RTDKDK">#REF!</definedName>
    <definedName name="FGtbtbspspsprtdkdk">[44]BUS제원1!#REF!</definedName>
    <definedName name="FIELDNAMECOLUMN1" localSheetId="15">#REF!</definedName>
    <definedName name="FIELDNAMECOLUMN1">#REF!</definedName>
    <definedName name="FIELDNAMEROW1" localSheetId="15">#REF!</definedName>
    <definedName name="FIELDNAMEROW1">#REF!</definedName>
    <definedName name="fila" localSheetId="15" hidden="1">{#N/A,#N/A,FALSE,"채권채무";#N/A,#N/A,FALSE,"control sheet"}</definedName>
    <definedName name="fila" hidden="1">{#N/A,#N/A,FALSE,"채권채무";#N/A,#N/A,FALSE,"control sheet"}</definedName>
    <definedName name="filaco" localSheetId="15">BlankMacro1</definedName>
    <definedName name="filaco">BlankMacro1</definedName>
    <definedName name="FILE_AP">[30]AP!$A$1</definedName>
    <definedName name="FILE_AR">[30]AR!$A$1</definedName>
    <definedName name="FILE_CF">[30]CF!$A$1</definedName>
    <definedName name="FILE_CH">[30]CH!$A$1</definedName>
    <definedName name="FILE_ES">[30]ES!$A$1</definedName>
    <definedName name="FILE_EX">[30]EX!$A$1</definedName>
    <definedName name="FILE_FA">[30]FA!$A$1</definedName>
    <definedName name="FILE_FD">[30]FD!$A$1</definedName>
    <definedName name="FILE_IB">[30]IB!$A$1</definedName>
    <definedName name="FILE_ID">[30]ID!$A$1</definedName>
    <definedName name="FILE_IH">[30]IH!$A$1</definedName>
    <definedName name="FILE_PU">[30]PU!$A$1</definedName>
    <definedName name="FILE_RE">[30]RE!$A$1</definedName>
    <definedName name="FILE_SA">[30]SA!$A$1</definedName>
    <definedName name="FILE_TA">[30]TA!$A$1</definedName>
    <definedName name="FILE_TB" localSheetId="15">#REF!</definedName>
    <definedName name="FILE_TB">#REF!</definedName>
    <definedName name="Final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ina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INAL_FS">#N/A</definedName>
    <definedName name="finalReport">#N/A</definedName>
    <definedName name="find" localSheetId="15">#REF!</definedName>
    <definedName name="find">#REF!</definedName>
    <definedName name="FirstCell" localSheetId="15">#REF!</definedName>
    <definedName name="FirstCell">#REF!</definedName>
    <definedName name="FIRSTDATAROW1" localSheetId="15">#REF!</definedName>
    <definedName name="FIRSTDATAROW1">#REF!</definedName>
    <definedName name="FNDNAM1" localSheetId="15">#REF!</definedName>
    <definedName name="FNDNAM1">#REF!</definedName>
    <definedName name="FNDUSERID1" localSheetId="15">#REF!</definedName>
    <definedName name="FNDUSERID1">#REF!</definedName>
    <definedName name="Format_AT_Actual_List" localSheetId="15">#REF!</definedName>
    <definedName name="Format_AT_Actual_List">#REF!</definedName>
    <definedName name="FourQuarterMovingAvg">AVERAGE([45]분기별데이타!#REF!)</definedName>
    <definedName name="FR" localSheetId="15">#REF!</definedName>
    <definedName name="FR">#REF!</definedName>
    <definedName name="FRQ" localSheetId="15">#REF!</definedName>
    <definedName name="FRQ">#REF!</definedName>
    <definedName name="frr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rr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s" localSheetId="15">#REF!</definedName>
    <definedName name="fs">#REF!</definedName>
    <definedName name="FS요약" localSheetId="15">#REF!</definedName>
    <definedName name="FS요약">#REF!</definedName>
    <definedName name="FullMth">[23]HEADER!$C$3</definedName>
    <definedName name="FUNCTIONALCURRENCY1" localSheetId="15">#REF!</definedName>
    <definedName name="FUNCTIONALCURRENCY1">#REF!</definedName>
    <definedName name="G" localSheetId="15">#REF!</definedName>
    <definedName name="G">#REF!</definedName>
    <definedName name="Generic" localSheetId="15">#REF!</definedName>
    <definedName name="Generic">#REF!</definedName>
    <definedName name="GF" localSheetId="15">BlankMacro1</definedName>
    <definedName name="GF">BlankMacro1</definedName>
    <definedName name="GG" localSheetId="15">#REF!</definedName>
    <definedName name="GG">#REF!</definedName>
    <definedName name="GGG" localSheetId="15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HGHGH" localSheetId="15" hidden="1">{"'미착금액'!$A$4:$G$14"}</definedName>
    <definedName name="GHGHGH" hidden="1">{"'미착금액'!$A$4:$G$14"}</definedName>
    <definedName name="GHUTGHF" localSheetId="15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l" localSheetId="15">#REF!</definedName>
    <definedName name="gl">#REF!</definedName>
    <definedName name="GL_Convert" localSheetId="15">#REF!</definedName>
    <definedName name="GL_Convert">#REF!</definedName>
    <definedName name="GRADE" localSheetId="15">#REF!</definedName>
    <definedName name="GRADE">#REF!</definedName>
    <definedName name="GrphActSales" localSheetId="15">#REF!</definedName>
    <definedName name="GrphActSales">#REF!</definedName>
    <definedName name="GrphActStk" localSheetId="15">#REF!</definedName>
    <definedName name="GrphActStk">#REF!</definedName>
    <definedName name="GrphPlanSales" localSheetId="15">#REF!</definedName>
    <definedName name="GrphPlanSales">#REF!</definedName>
    <definedName name="GrphTgtStk" localSheetId="15">#REF!</definedName>
    <definedName name="GrphTgtStk">#REF!</definedName>
    <definedName name="gt" localSheetId="1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t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WYUID1" localSheetId="15">#REF!</definedName>
    <definedName name="GWYUID1">#REF!</definedName>
    <definedName name="H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H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H_CM_Growth_Rate_Scenario" localSheetId="15">#REF!</definedName>
    <definedName name="H_CM_Growth_Rate_Scenario">#REF!</definedName>
    <definedName name="H_CM_Saturation_Year" localSheetId="15">#REF!</definedName>
    <definedName name="H_CM_Saturation_Year">#REF!</definedName>
    <definedName name="H_CMI_Cost" localSheetId="15">#REF!</definedName>
    <definedName name="H_CMI_Cost">#REF!</definedName>
    <definedName name="H_Cooking_Sales_Grwoth_Rate_2001" localSheetId="15">#REF!</definedName>
    <definedName name="H_Cooking_Sales_Grwoth_Rate_2001">#REF!</definedName>
    <definedName name="H_DCFROR" localSheetId="15">#REF!</definedName>
    <definedName name="H_DCFROR">#REF!</definedName>
    <definedName name="H_Heat_Cool_Sales_Growth_Rate_2001" localSheetId="15">#REF!</definedName>
    <definedName name="H_Heat_Cool_Sales_Growth_Rate_2001">#REF!</definedName>
    <definedName name="H_Household_Increase_Rate" localSheetId="15">#REF!</definedName>
    <definedName name="H_Household_Increase_Rate">#REF!</definedName>
    <definedName name="H_Industrial_Sales_Volume_Scenario" localSheetId="15">#REF!</definedName>
    <definedName name="H_Industrial_Sales_Volume_Scenario">#REF!</definedName>
    <definedName name="H_Inventories" localSheetId="15">#REF!</definedName>
    <definedName name="H_Inventories">#REF!</definedName>
    <definedName name="H_irr_all" localSheetId="15">#REF!</definedName>
    <definedName name="H_irr_all">#REF!</definedName>
    <definedName name="H_Manpower_Cost_Growth_Nominal" localSheetId="15">#REF!</definedName>
    <definedName name="H_Manpower_Cost_Growth_Nominal">#REF!</definedName>
    <definedName name="H_Manpower_Cost_Growth_Real" localSheetId="15">#REF!</definedName>
    <definedName name="H_Manpower_Cost_Growth_Real">#REF!</definedName>
    <definedName name="H_Maximum_Diffusion_Rate" localSheetId="15">#REF!</definedName>
    <definedName name="H_Maximum_Diffusion_Rate">#REF!</definedName>
    <definedName name="H_npv_all" localSheetId="15">#REF!</definedName>
    <definedName name="H_npv_all">#REF!</definedName>
    <definedName name="H_npv_cg" localSheetId="15">#REF!</definedName>
    <definedName name="H_npv_cg">#REF!</definedName>
    <definedName name="H_npv_ws" localSheetId="15">#REF!</definedName>
    <definedName name="H_npv_ws">#REF!</definedName>
    <definedName name="H_Other_Opex" localSheetId="15">#REF!</definedName>
    <definedName name="H_Other_Opex">#REF!</definedName>
    <definedName name="H_Per_Household_Comsumption_Growth" localSheetId="15">#REF!</definedName>
    <definedName name="H_Per_Household_Comsumption_Growth">#REF!</definedName>
    <definedName name="H_Record_Year_of_Maximum_Diffusion_Rate" localSheetId="15">#REF!</definedName>
    <definedName name="H_Record_Year_of_Maximum_Diffusion_Rate">#REF!</definedName>
    <definedName name="H_shareholder_v" localSheetId="15">#REF!</definedName>
    <definedName name="H_shareholder_v">#REF!</definedName>
    <definedName name="H_Trade_Payables" localSheetId="15">#REF!</definedName>
    <definedName name="H_Trade_Payables">#REF!</definedName>
    <definedName name="H_Trade_Receivable" localSheetId="15">#REF!</definedName>
    <definedName name="H_Trade_Receivable">#REF!</definedName>
    <definedName name="H_Unit_Pipeline_Cost_Arterial" localSheetId="15">#REF!</definedName>
    <definedName name="H_Unit_Pipeline_Cost_Arterial">#REF!</definedName>
    <definedName name="H_User_Contribution" localSheetId="15">#REF!</definedName>
    <definedName name="H_User_Contribution">#REF!</definedName>
    <definedName name="HANA_MMDA">OFFSET([26]ST_INVEST!$C$5,0,0,COUNTA([26]ST_INVEST!$C$1:$C$65536))</definedName>
    <definedName name="HANA_TD">OFFSET([26]ST_INVEST!$E$5,0,0,COUNTA([26]ST_INVEST!$E$1:$E$65536))</definedName>
    <definedName name="hcc감가" localSheetId="15">#REF!</definedName>
    <definedName name="hcc감가">#REF!</definedName>
    <definedName name="hcc매출" localSheetId="15">#REF!</definedName>
    <definedName name="hcc매출">#REF!</definedName>
    <definedName name="hcc인원" localSheetId="15">#REF!</definedName>
    <definedName name="hcc인원">#REF!</definedName>
    <definedName name="HD11t">[23]language!$E$18</definedName>
    <definedName name="HD14t">[23]language!$E$21</definedName>
    <definedName name="HD15t">[23]language!$E$22</definedName>
    <definedName name="HD17t">[23]language!$E$24</definedName>
    <definedName name="HD18t">[23]language!$E$25</definedName>
    <definedName name="HD19t">[23]language!$E$26</definedName>
    <definedName name="HD20t">[23]language!$E$27</definedName>
    <definedName name="HD22t">[23]language!$E$29</definedName>
    <definedName name="HD24t">[23]language!$E$31</definedName>
    <definedName name="HD25t">[23]language!$E$32</definedName>
    <definedName name="HD28t">[23]language!$E$35</definedName>
    <definedName name="HD2t">[23]language!$E$9</definedName>
    <definedName name="HD6t">[23]language!$E$13</definedName>
    <definedName name="HD7t">[23]language!$E$14</definedName>
    <definedName name="HD8t">[23]language!$E$15</definedName>
    <definedName name="HdOth1">[23]HEADER!$C$20</definedName>
    <definedName name="HdOth2">[23]HEADER!$C$21</definedName>
    <definedName name="HdOth3">[23]HEADER!$C$22</definedName>
    <definedName name="HdOth4">[23]HEADER!$C$23</definedName>
    <definedName name="HdOth5">[23]HEADER!$C$24</definedName>
    <definedName name="HEAD" localSheetId="15">#REF!</definedName>
    <definedName name="HEAD">#REF!</definedName>
    <definedName name="HH" localSheetId="15">#REF!</definedName>
    <definedName name="HH">#REF!</definedName>
    <definedName name="HHH">'[46]96수출'!#REF!</definedName>
    <definedName name="holding_ratio" localSheetId="15">#REF!</definedName>
    <definedName name="holding_ratio">#REF!</definedName>
    <definedName name="house_con">'[47]New Valuation'!#REF!</definedName>
    <definedName name="house_con_grow" localSheetId="15">#REF!</definedName>
    <definedName name="house_con_grow">#REF!</definedName>
    <definedName name="house_con_grow_xl" localSheetId="15">#REF!</definedName>
    <definedName name="house_con_grow_xl">#REF!</definedName>
    <definedName name="house_con_xl" localSheetId="15">#REF!</definedName>
    <definedName name="house_con_xl">#REF!</definedName>
    <definedName name="HTML_CodePage" hidden="1">949</definedName>
    <definedName name="HTML_Control" localSheetId="15" hidden="1">{"'미착금액'!$A$4:$G$14"}</definedName>
    <definedName name="HTML_Control" hidden="1">{"'미착금액'!$A$4:$G$14"}</definedName>
    <definedName name="HTML_Description" hidden="1">""</definedName>
    <definedName name="HTML_Email" hidden="1">""</definedName>
    <definedName name="HTML_Header" hidden="1">""</definedName>
    <definedName name="HTML_LastUpdate" hidden="1">"98-10-28"</definedName>
    <definedName name="HTML_LineAfter" hidden="1">FALSE</definedName>
    <definedName name="HTML_LineBefore" hidden="1">FALSE</definedName>
    <definedName name="HTML_Name" hidden="1">"박진영"</definedName>
    <definedName name="HTML_OBDlg2" hidden="1">TRUE</definedName>
    <definedName name="HTML_OBDlg4" hidden="1">TRUE</definedName>
    <definedName name="HTML_OS" hidden="1">0</definedName>
    <definedName name="HTML_PathFile" hidden="1">"D:\PARK98\98실적보고\미착"</definedName>
    <definedName name="HTML_Title" hidden="1">""</definedName>
    <definedName name="H매출" localSheetId="15">#REF!</definedName>
    <definedName name="H매출">#REF!</definedName>
    <definedName name="H이자" localSheetId="15">#REF!</definedName>
    <definedName name="H이자">#REF!</definedName>
    <definedName name="H인원" localSheetId="15">#REF!</definedName>
    <definedName name="H인원">#REF!</definedName>
    <definedName name="IELWSALES" localSheetId="15">#REF!</definedName>
    <definedName name="IELWSALES">#REF!</definedName>
    <definedName name="IELYSALES" localSheetId="15">#REF!</definedName>
    <definedName name="IELYSALES">#REF!</definedName>
    <definedName name="IEPLANSALES" localSheetId="15">#REF!</definedName>
    <definedName name="IEPLANSALES">#REF!</definedName>
    <definedName name="IESP" localSheetId="15">#REF!</definedName>
    <definedName name="IESP">#REF!</definedName>
    <definedName name="II" localSheetId="15">#REF!</definedName>
    <definedName name="II">#REF!</definedName>
    <definedName name="il">[48]TOTAL!$F$1:$BP$585</definedName>
    <definedName name="IMPORT" localSheetId="15">#REF!</definedName>
    <definedName name="IMPORT">#REF!</definedName>
    <definedName name="IMPORTDFF1" localSheetId="15">#REF!</definedName>
    <definedName name="IMPORTDFF1">#REF!</definedName>
    <definedName name="INDEX" localSheetId="15">#REF!</definedName>
    <definedName name="INDEX">#REF!</definedName>
    <definedName name="inflation_rate" localSheetId="15">#REF!</definedName>
    <definedName name="inflation_rate">#REF!</definedName>
    <definedName name="inflation_rate_cum" localSheetId="15">#REF!</definedName>
    <definedName name="inflation_rate_cum">#REF!</definedName>
    <definedName name="inflation_rate_cum1" localSheetId="15">#REF!</definedName>
    <definedName name="inflation_rate_cum1">#REF!</definedName>
    <definedName name="inflation_rate1" localSheetId="15">#REF!</definedName>
    <definedName name="inflation_rate1">#REF!</definedName>
    <definedName name="ini_button_Click">#N/A</definedName>
    <definedName name="IntFreeCred" localSheetId="15">#REF!</definedName>
    <definedName name="IntFreeCred">#REF!</definedName>
    <definedName name="invoice" localSheetId="15">#REF!</definedName>
    <definedName name="invoice">#REF!</definedName>
    <definedName name="irr_all" localSheetId="15">#REF!</definedName>
    <definedName name="irr_all">#REF!</definedName>
    <definedName name="J">#N/A</definedName>
    <definedName name="JAERYO_Y">#N/A</definedName>
    <definedName name="JAIRYO">#N/A</definedName>
    <definedName name="JENS">#N/A</definedName>
    <definedName name="JENS1">#N/A</definedName>
    <definedName name="JENS2">#N/A</definedName>
    <definedName name="JENS3">#N/A</definedName>
    <definedName name="JENY">#N/A</definedName>
    <definedName name="JENY1">#N/A</definedName>
    <definedName name="JENY2">#N/A</definedName>
    <definedName name="JENY3">#N/A</definedName>
    <definedName name="JIN" localSheetId="15">#REF!</definedName>
    <definedName name="JIN">#REF!</definedName>
    <definedName name="JJ" localSheetId="15">#REF!</definedName>
    <definedName name="JJ">#REF!</definedName>
    <definedName name="JJnlDescn" localSheetId="15">#REF!</definedName>
    <definedName name="JJnlDescn">#REF!</definedName>
    <definedName name="JJnlName" localSheetId="15">#REF!</definedName>
    <definedName name="JJnlName">#REF!</definedName>
    <definedName name="JJnlRef" localSheetId="15">#REF!</definedName>
    <definedName name="JJnlRef">#REF!</definedName>
    <definedName name="JK" localSheetId="15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L" localSheetId="15">#REF!</definedName>
    <definedName name="JKL">#REF!</definedName>
    <definedName name="jldl" localSheetId="15">BlankMacro1</definedName>
    <definedName name="jldl">BlankMacro1</definedName>
    <definedName name="JN10t">[23]language!$E$48</definedName>
    <definedName name="JN11t">[23]language!$E$49</definedName>
    <definedName name="JN12t">[23]language!$E$50</definedName>
    <definedName name="JN13t">[23]language!$E$51</definedName>
    <definedName name="JN14t">[23]language!$E$52</definedName>
    <definedName name="JN15t">[23]language!$E$53</definedName>
    <definedName name="JN16t">[23]language!$E$54</definedName>
    <definedName name="JN17t">[23]language!$E$55</definedName>
    <definedName name="JN18t">[23]language!$E$56</definedName>
    <definedName name="JN19t">[23]language!$E$57</definedName>
    <definedName name="JN1t">[23]language!$E$39</definedName>
    <definedName name="JN20t">[23]language!$E$58</definedName>
    <definedName name="JN21t">[23]language!$E$59</definedName>
    <definedName name="JN23t">[23]language!$E$61</definedName>
    <definedName name="JN29t">[23]language!$E$67</definedName>
    <definedName name="JN2t">[23]language!$E$40</definedName>
    <definedName name="JN30t">[23]language!$E$68</definedName>
    <definedName name="JN31t">[23]language!$E$69</definedName>
    <definedName name="JN32t">[23]language!$E$70</definedName>
    <definedName name="JN3t">[23]language!$E$41</definedName>
    <definedName name="JN4t">[23]language!$E$42</definedName>
    <definedName name="JN5t">[23]language!$E$43</definedName>
    <definedName name="JN6t">[23]language!$E$44</definedName>
    <definedName name="JN7t">[23]language!$E$45</definedName>
    <definedName name="JN8t">[23]language!$E$46</definedName>
    <definedName name="JN9t">[23]language!$E$47</definedName>
    <definedName name="JnlDesc">[23]HEADER!$G$10</definedName>
    <definedName name="JnlSufX">[23]HEADER!$G$12</definedName>
    <definedName name="JnlSufY">[23]HEADER!$G$13</definedName>
    <definedName name="job_run">#N/A</definedName>
    <definedName name="Journal">[23]calendar!$E$76</definedName>
    <definedName name="JPY" localSheetId="15">#REF!</definedName>
    <definedName name="JPY">#REF!</definedName>
    <definedName name="JUSO" localSheetId="15">#REF!</definedName>
    <definedName name="JUSO">#REF!</definedName>
    <definedName name="JV" localSheetId="15">#REF!</definedName>
    <definedName name="JV">#REF!</definedName>
    <definedName name="JV06_01" localSheetId="15">#REF!</definedName>
    <definedName name="JV06_01">#REF!</definedName>
    <definedName name="jxd">[49]제조98!#REF!</definedName>
    <definedName name="jxe">[49]제조98!#REF!</definedName>
    <definedName name="jxp">[49]제조98!#REF!</definedName>
    <definedName name="jxr">[49]제조98!#REF!</definedName>
    <definedName name="jxv">[49]제조98!#REF!</definedName>
    <definedName name="jxy">[49]제조98!#REF!</definedName>
    <definedName name="JYFUJ" localSheetId="15">BLCH</definedName>
    <definedName name="JYFUJ">BLCH</definedName>
    <definedName name="K" localSheetId="15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K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KAA" localSheetId="15">#REF!</definedName>
    <definedName name="KAA">#REF!</definedName>
    <definedName name="KAC" localSheetId="15">#REF!</definedName>
    <definedName name="KAC">#REF!</definedName>
    <definedName name="KAD" localSheetId="15">#REF!</definedName>
    <definedName name="KAD">#REF!</definedName>
    <definedName name="KAE" localSheetId="15">#REF!</definedName>
    <definedName name="KAE">#REF!</definedName>
    <definedName name="KAF" localSheetId="15">#REF!</definedName>
    <definedName name="KAF">#REF!</definedName>
    <definedName name="KAG" localSheetId="15">#REF!</definedName>
    <definedName name="KAG">#REF!</definedName>
    <definedName name="KAH" localSheetId="15">#REF!</definedName>
    <definedName name="KAH">#REF!</definedName>
    <definedName name="KAI" localSheetId="15">#REF!</definedName>
    <definedName name="KAI">#REF!</definedName>
    <definedName name="KAJ" localSheetId="15">#REF!</definedName>
    <definedName name="KAJ">#REF!</definedName>
    <definedName name="KAK" localSheetId="15">#REF!</definedName>
    <definedName name="KAK">#REF!</definedName>
    <definedName name="KAM" localSheetId="15">#REF!</definedName>
    <definedName name="KAM">#REF!</definedName>
    <definedName name="KAN" localSheetId="15">#REF!</definedName>
    <definedName name="KAN">#REF!</definedName>
    <definedName name="KAP" localSheetId="15">#REF!</definedName>
    <definedName name="KAP">#REF!</definedName>
    <definedName name="KAR" localSheetId="15">#REF!</definedName>
    <definedName name="KAR">#REF!</definedName>
    <definedName name="KAS" localSheetId="15">#REF!</definedName>
    <definedName name="KAS">#REF!</definedName>
    <definedName name="KAU" localSheetId="15">#REF!</definedName>
    <definedName name="KAU">#REF!</definedName>
    <definedName name="KAV" localSheetId="15">#REF!</definedName>
    <definedName name="KAV">#REF!</definedName>
    <definedName name="KAW" localSheetId="15">#REF!</definedName>
    <definedName name="KAW">#REF!</definedName>
    <definedName name="KAY" localSheetId="15">#REF!</definedName>
    <definedName name="KAY">#REF!</definedName>
    <definedName name="KAZ" localSheetId="15">#REF!</definedName>
    <definedName name="KAZ">#REF!</definedName>
    <definedName name="KIM" localSheetId="15">#REF!</definedName>
    <definedName name="KIM">#REF!</definedName>
    <definedName name="KK">[50]세목별!#REF!</definedName>
    <definedName name="KKA" localSheetId="15">#REF!</definedName>
    <definedName name="KKA">#REF!</definedName>
    <definedName name="KKC" localSheetId="15">#REF!</definedName>
    <definedName name="KKC">#REF!</definedName>
    <definedName name="KKD" localSheetId="15">#REF!</definedName>
    <definedName name="KKD">#REF!</definedName>
    <definedName name="KKE" localSheetId="15">#REF!</definedName>
    <definedName name="KKE">#REF!</definedName>
    <definedName name="KKF" localSheetId="15">#REF!</definedName>
    <definedName name="KKF">#REF!</definedName>
    <definedName name="KKH" localSheetId="15">#REF!</definedName>
    <definedName name="KKH">#REF!</definedName>
    <definedName name="KKI" localSheetId="15">#REF!</definedName>
    <definedName name="KKI">#REF!</definedName>
    <definedName name="KKJ" localSheetId="15">#REF!</definedName>
    <definedName name="KKJ">#REF!</definedName>
    <definedName name="KKK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M" localSheetId="15">#REF!</definedName>
    <definedName name="KKM">#REF!</definedName>
    <definedName name="KKN" localSheetId="15">#REF!</definedName>
    <definedName name="KKN">#REF!</definedName>
    <definedName name="KKP" localSheetId="15">#REF!</definedName>
    <definedName name="KKP">#REF!</definedName>
    <definedName name="KKR" localSheetId="15">#REF!</definedName>
    <definedName name="KKR">#REF!</definedName>
    <definedName name="KKS" localSheetId="15">#REF!</definedName>
    <definedName name="KKS">#REF!</definedName>
    <definedName name="KKU" localSheetId="15">#REF!</definedName>
    <definedName name="KKU">#REF!</definedName>
    <definedName name="KKV" localSheetId="15">#REF!</definedName>
    <definedName name="KKV">#REF!</definedName>
    <definedName name="KKY" localSheetId="15">#REF!</definedName>
    <definedName name="KKY">#REF!</definedName>
    <definedName name="KKZ" localSheetId="15">#REF!</definedName>
    <definedName name="KKZ">#REF!</definedName>
    <definedName name="KL">[49]제조98!#REF!</definedName>
    <definedName name="KU" localSheetId="15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KUGHIKJ" localSheetId="15">BLCH</definedName>
    <definedName name="KUGHIKJ">BLCH</definedName>
    <definedName name="L">#N/A</definedName>
    <definedName name="LABELTEXTCOLUMN1" localSheetId="15">#REF!</definedName>
    <definedName name="LABELTEXTCOLUMN1">#REF!</definedName>
    <definedName name="LABELTEXTROW1" localSheetId="15">#REF!</definedName>
    <definedName name="LABELTEXTROW1">#REF!</definedName>
    <definedName name="LANG_NO">[30]Config!$B$2</definedName>
    <definedName name="LANOS" localSheetId="15">#REF!</definedName>
    <definedName name="LANOS">#REF!</definedName>
    <definedName name="LD" localSheetId="15">#REF!</definedName>
    <definedName name="LD">#REF!</definedName>
    <definedName name="LE" localSheetId="15">#REF!</definedName>
    <definedName name="LE">#REF!</definedName>
    <definedName name="LH" localSheetId="15">#REF!</definedName>
    <definedName name="LH">#REF!</definedName>
    <definedName name="LINE">#N/A</definedName>
    <definedName name="LINE검토2" localSheetId="15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st" localSheetId="15">#REF!</definedName>
    <definedName name="List">#REF!</definedName>
    <definedName name="LL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og" localSheetId="15">#REF!</definedName>
    <definedName name="log">#REF!</definedName>
    <definedName name="lookup_table">'[47]New Valuation'!#REF!</definedName>
    <definedName name="lookup_table1" localSheetId="15">#REF!</definedName>
    <definedName name="lookup_table1">#REF!</definedName>
    <definedName name="lookup_table2" localSheetId="15">#REF!</definedName>
    <definedName name="lookup_table2">#REF!</definedName>
    <definedName name="lookup_table2_h" localSheetId="15">#REF!</definedName>
    <definedName name="lookup_table2_h">#REF!</definedName>
    <definedName name="LPS" localSheetId="15">[0]!BlankMacro1</definedName>
    <definedName name="LPS">[0]!BlankMacro1</definedName>
    <definedName name="LPS가동계획" localSheetId="15">[0]!BlankMacro1</definedName>
    <definedName name="LPS가동계획">[0]!BlankMacro1</definedName>
    <definedName name="LT" localSheetId="15">#REF!</definedName>
    <definedName name="LT">#REF!</definedName>
    <definedName name="LWSALES" localSheetId="15">#REF!</definedName>
    <definedName name="LWSALES">#REF!</definedName>
    <definedName name="LYBin" localSheetId="15">#REF!</definedName>
    <definedName name="LYBin">#REF!</definedName>
    <definedName name="LYHolds" localSheetId="15">#REF!</definedName>
    <definedName name="LYHolds">#REF!</definedName>
    <definedName name="LYNet" localSheetId="15">#REF!</definedName>
    <definedName name="LYNet">#REF!</definedName>
    <definedName name="LYoos" localSheetId="15">#REF!</definedName>
    <definedName name="LYoos">#REF!</definedName>
    <definedName name="LYReselects" localSheetId="15">#REF!</definedName>
    <definedName name="LYReselects">#REF!</definedName>
    <definedName name="LYReturns" localSheetId="15">#REF!</definedName>
    <definedName name="LYReturns">#REF!</definedName>
    <definedName name="LYSales" localSheetId="15">#REF!</definedName>
    <definedName name="LYSales">#REF!</definedName>
    <definedName name="LYTotal" localSheetId="15">#REF!</definedName>
    <definedName name="LYTotal">#REF!</definedName>
    <definedName name="M_F123.CashFlow_Button1_Click">[51]!M_F123.CashFlow_Button1_Click</definedName>
    <definedName name="MACRO" localSheetId="15">#REF!</definedName>
    <definedName name="MACRO">#REF!</definedName>
    <definedName name="Macro2">#N/A</definedName>
    <definedName name="MARGINPLAN" localSheetId="15">#REF!</definedName>
    <definedName name="MARGINPLAN">#REF!</definedName>
    <definedName name="MARGINPROJ" localSheetId="15">#REF!</definedName>
    <definedName name="MARGINPROJ">#REF!</definedName>
    <definedName name="material">[52]원부재료!$D$7:$AE$69</definedName>
    <definedName name="menu_button_Click">#N/A</definedName>
    <definedName name="MM" localSheetId="15">#REF!</definedName>
    <definedName name="MM">#REF!</definedName>
    <definedName name="mp_cst">'[47]New Valuation'!#REF!</definedName>
    <definedName name="Mq">'[53]소상 "1"'!#REF!</definedName>
    <definedName name="MZ" localSheetId="15">#REF!</definedName>
    <definedName name="MZ">#REF!</definedName>
    <definedName name="M도장" localSheetId="15">#REF!</definedName>
    <definedName name="M도장">#REF!</definedName>
    <definedName name="M시장">[36]시장!$Q$4:$Q$9</definedName>
    <definedName name="M엔조">[36]엔진조립!$Q$4:$Q$5</definedName>
    <definedName name="M완검">[36]MA!$R$5:$R$14</definedName>
    <definedName name="M완검사">[37]MA!$R$5:$R$14</definedName>
    <definedName name="M조립">[36]MA!$R$20:$R$24</definedName>
    <definedName name="M주행">[36]MA!$R$15:$R$19</definedName>
    <definedName name="M프레스">[36]프레스!$Q$5:$Q$7</definedName>
    <definedName name="M행" localSheetId="15">#REF!</definedName>
    <definedName name="M행">#REF!</definedName>
    <definedName name="n" localSheetId="15">#REF!</definedName>
    <definedName name="n">#REF!</definedName>
    <definedName name="name">[54]첨부자료목록!$A$1</definedName>
    <definedName name="NAME1">[55]공급설비!#REF!</definedName>
    <definedName name="NAME2">[55]공급설비!#REF!</definedName>
    <definedName name="NCDRate" localSheetId="15">#REF!</definedName>
    <definedName name="NCDRate">#REF!</definedName>
    <definedName name="NEW" localSheetId="15">#REF!</definedName>
    <definedName name="NEW">#REF!</definedName>
    <definedName name="NL22t">[23]language!$E$309</definedName>
    <definedName name="NL24t">[23]language!$E$311</definedName>
    <definedName name="NL25t">[23]language!$E$312</definedName>
    <definedName name="NL26t">[23]language!$E$313</definedName>
    <definedName name="NL75t">[23]language!$E$362</definedName>
    <definedName name="NOOFFFSEGMENTS1" localSheetId="15">#REF!</definedName>
    <definedName name="NOOFFFSEGMENTS1">#REF!</definedName>
    <definedName name="npv" localSheetId="15">#REF!</definedName>
    <definedName name="npv">#REF!</definedName>
    <definedName name="npv_add">'[47]New Valuation'!#REF!</definedName>
    <definedName name="npv_all" localSheetId="15">#REF!</definedName>
    <definedName name="npv_all">#REF!</definedName>
    <definedName name="npv_lggas" localSheetId="15">#REF!</definedName>
    <definedName name="npv_lggas">#REF!</definedName>
    <definedName name="npv_ws" localSheetId="15">#REF!</definedName>
    <definedName name="npv_ws">#REF!</definedName>
    <definedName name="NUMBEROFDETAILFIELDS1" localSheetId="15">#REF!</definedName>
    <definedName name="NUMBEROFDETAILFIELDS1">#REF!</definedName>
    <definedName name="NUMBEROFHEADERFIELDS1" localSheetId="15">#REF!</definedName>
    <definedName name="NUMBEROFHEADERFIELDS1">#REF!</definedName>
    <definedName name="N행" localSheetId="15">#REF!</definedName>
    <definedName name="N행">#REF!</definedName>
    <definedName name="O" localSheetId="15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d" localSheetId="15">#REF!</definedName>
    <definedName name="od">#REF!</definedName>
    <definedName name="OLD" localSheetId="15">#REF!</definedName>
    <definedName name="OLD">#REF!</definedName>
    <definedName name="OP" localSheetId="15">#REF!</definedName>
    <definedName name="OP">#REF!</definedName>
    <definedName name="OptionButton21_Click">#N/A</definedName>
    <definedName name="other_inv_amt" localSheetId="15">#REF!</definedName>
    <definedName name="other_inv_amt">#REF!</definedName>
    <definedName name="other_inv_amt1" localSheetId="15">#REF!</definedName>
    <definedName name="other_inv_amt1">#REF!</definedName>
    <definedName name="other_op" localSheetId="15">#REF!</definedName>
    <definedName name="other_op">#REF!</definedName>
    <definedName name="others" localSheetId="15">#REF!</definedName>
    <definedName name="others">#REF!</definedName>
    <definedName name="O행" localSheetId="15">#REF!</definedName>
    <definedName name="O행">#REF!</definedName>
    <definedName name="P" localSheetId="15">#REF!</definedName>
    <definedName name="P">#REF!</definedName>
    <definedName name="p_inv_amt" localSheetId="15">#REF!</definedName>
    <definedName name="p_inv_amt">#REF!</definedName>
    <definedName name="p_inv_amt1" localSheetId="15">#REF!</definedName>
    <definedName name="p_inv_amt1">#REF!</definedName>
    <definedName name="PA">#N/A</definedName>
    <definedName name="PAYMENT" localSheetId="15">#REF!</definedName>
    <definedName name="PAYMENT">#REF!</definedName>
    <definedName name="PBC" localSheetId="15">#REF!</definedName>
    <definedName name="PBC">#REF!</definedName>
    <definedName name="PBC_List" localSheetId="15">#REF!</definedName>
    <definedName name="PBC_List">#REF!</definedName>
    <definedName name="pdd" localSheetId="15">#REF!</definedName>
    <definedName name="pdd">#REF!</definedName>
    <definedName name="pe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a" localSheetId="15">#REF!</definedName>
    <definedName name="pea">#REF!</definedName>
    <definedName name="PERIODSETNAME1" localSheetId="15">#REF!</definedName>
    <definedName name="PERIODSETNAME1">#REF!</definedName>
    <definedName name="PG">#N/A</definedName>
    <definedName name="PG_Convert" localSheetId="15">#REF!</definedName>
    <definedName name="PG_Convert">#REF!</definedName>
    <definedName name="PH">#N/A</definedName>
    <definedName name="PI">#N/A</definedName>
    <definedName name="pi_ext" localSheetId="15">#REF!</definedName>
    <definedName name="pi_ext">#REF!</definedName>
    <definedName name="PickXY">[23]calendar!$M$93:$M$94</definedName>
    <definedName name="PIVOT" localSheetId="15">#REF!</definedName>
    <definedName name="PIVOT">#REF!</definedName>
    <definedName name="PKA" localSheetId="15">#REF!</definedName>
    <definedName name="PKA">#REF!</definedName>
    <definedName name="PKC" localSheetId="15">#REF!</definedName>
    <definedName name="PKC">#REF!</definedName>
    <definedName name="PKD" localSheetId="15">#REF!</definedName>
    <definedName name="PKD">#REF!</definedName>
    <definedName name="PKE" localSheetId="15">#REF!</definedName>
    <definedName name="PKE">#REF!</definedName>
    <definedName name="PKF" localSheetId="15">#REF!</definedName>
    <definedName name="PKF">#REF!</definedName>
    <definedName name="PKH" localSheetId="15">#REF!</definedName>
    <definedName name="PKH">#REF!</definedName>
    <definedName name="PKI" localSheetId="15">#REF!</definedName>
    <definedName name="PKI">#REF!</definedName>
    <definedName name="PKJ" localSheetId="15">#REF!</definedName>
    <definedName name="PKJ">#REF!</definedName>
    <definedName name="PKK" localSheetId="15">#REF!</definedName>
    <definedName name="PKK">#REF!</definedName>
    <definedName name="PKM" localSheetId="15">#REF!</definedName>
    <definedName name="PKM">#REF!</definedName>
    <definedName name="PKN" localSheetId="15">#REF!</definedName>
    <definedName name="PKN">#REF!</definedName>
    <definedName name="PKP" localSheetId="15">#REF!</definedName>
    <definedName name="PKP">#REF!</definedName>
    <definedName name="PKR" localSheetId="15">#REF!</definedName>
    <definedName name="PKR">#REF!</definedName>
    <definedName name="PKS" localSheetId="15">#REF!</definedName>
    <definedName name="PKS">#REF!</definedName>
    <definedName name="PKU" localSheetId="15">#REF!</definedName>
    <definedName name="PKU">#REF!</definedName>
    <definedName name="PKV" localSheetId="15">#REF!</definedName>
    <definedName name="PKV">#REF!</definedName>
    <definedName name="PKY" localSheetId="15">#REF!</definedName>
    <definedName name="PKY">#REF!</definedName>
    <definedName name="PKZ" localSheetId="15">#REF!</definedName>
    <definedName name="PKZ">#REF!</definedName>
    <definedName name="pl_inv_al" localSheetId="15">#REF!</definedName>
    <definedName name="pl_inv_al">#REF!</definedName>
    <definedName name="pl_inv_cl" localSheetId="15">#REF!</definedName>
    <definedName name="pl_inv_cl">#REF!</definedName>
    <definedName name="pl_inv_hl" localSheetId="15">#REF!</definedName>
    <definedName name="pl_inv_hl">#REF!</definedName>
    <definedName name="pl_inv_xl" localSheetId="15">#REF!</definedName>
    <definedName name="pl_inv_xl">#REF!</definedName>
    <definedName name="PLDown">'[56]PL Down'!$A$6:$B$269</definedName>
    <definedName name="plk" localSheetId="15">#REF!</definedName>
    <definedName name="plk">#REF!</definedName>
    <definedName name="plNote">#N/A</definedName>
    <definedName name="PL환산">#N/A</definedName>
    <definedName name="PO">[57]자료!$B$1:$AL$3053</definedName>
    <definedName name="pop" localSheetId="15">#REF!</definedName>
    <definedName name="pop">#REF!</definedName>
    <definedName name="POSTERRORSTOSUSP1" localSheetId="15">#REF!</definedName>
    <definedName name="POSTERRORSTOSUSP1">#REF!</definedName>
    <definedName name="PP">[58]회의실신청!$H$1:$H$65536,[58]회의실신청!$F$1:$F$65536</definedName>
    <definedName name="PPK" localSheetId="15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15">#REF!</definedName>
    <definedName name="ppp">#REF!</definedName>
    <definedName name="PPQ" localSheetId="15">#REF!</definedName>
    <definedName name="PPQ">#REF!</definedName>
    <definedName name="pps" localSheetId="15">#REF!</definedName>
    <definedName name="pps">#REF!</definedName>
    <definedName name="PRDump" localSheetId="15">#REF!</definedName>
    <definedName name="PRDump">#REF!</definedName>
    <definedName name="premiere" localSheetId="15">#REF!</definedName>
    <definedName name="premiere">#REF!</definedName>
    <definedName name="PRICE">#N/A</definedName>
    <definedName name="_xlnm.Print_Area" localSheetId="13">매출2012!$A$1:$K$93</definedName>
    <definedName name="_xlnm.Print_Area" localSheetId="14">매출2013!$A$1:$I$107</definedName>
    <definedName name="_xlnm.Print_Area" localSheetId="15">매출2014!$A$1:$M$110</definedName>
    <definedName name="_xlnm.Print_Area">#REF!</definedName>
    <definedName name="PRINT_AREA_MI" localSheetId="15">#REF!</definedName>
    <definedName name="PRINT_AREA_MI">#REF!</definedName>
    <definedName name="PRINT_AREA_MI1" localSheetId="15">#REF!</definedName>
    <definedName name="PRINT_AREA_MI1">#REF!</definedName>
    <definedName name="_xlnm.Print_Titles" localSheetId="13">매출2012!$5:$5</definedName>
    <definedName name="_xlnm.Print_Titles" localSheetId="15">#REF!</definedName>
    <definedName name="_xlnm.Print_Titles">#REF!</definedName>
    <definedName name="Print_Titles_MI" localSheetId="15">#REF!</definedName>
    <definedName name="Print_Titles_MI">#REF!</definedName>
    <definedName name="PRINT1">[55]공급설비!#REF!</definedName>
    <definedName name="PRINT2">[55]공급설비!#REF!</definedName>
    <definedName name="PRINT3">[55]공급설비!#REF!</definedName>
    <definedName name="PRINT4">[55]공급설비!#REF!</definedName>
    <definedName name="PRINT5">[55]공급설비!#REF!</definedName>
    <definedName name="PRINT6">[55]공급설비!#REF!</definedName>
    <definedName name="PRINT7">#N/A</definedName>
    <definedName name="product">[52]제품수불표!$G$7:$AD$39</definedName>
    <definedName name="PROTO" localSheetId="15">#REF!</definedName>
    <definedName name="PROTO">#REF!</definedName>
    <definedName name="PROTO1" localSheetId="15">#REF!</definedName>
    <definedName name="PROTO1">#REF!</definedName>
    <definedName name="PRSA" localSheetId="15">#REF!</definedName>
    <definedName name="PRSA">#REF!</definedName>
    <definedName name="PRT4_1">#N/A</definedName>
    <definedName name="PRT4_2">#N/A</definedName>
    <definedName name="PRT6AL5AR40">#N/A</definedName>
    <definedName name="PRT6AU5BA41">#N/A</definedName>
    <definedName name="PRT6B5H25">#N/A</definedName>
    <definedName name="PRT6BD5BK32">#N/A</definedName>
    <definedName name="prt6bn252bt288">#N/A</definedName>
    <definedName name="prt6bn46bt82">#N/A</definedName>
    <definedName name="PRT6BN5BT41">#N/A</definedName>
    <definedName name="prt6bv7cc30">#N/A</definedName>
    <definedName name="prt6cf5cl37">#N/A</definedName>
    <definedName name="prt6co5cs41">#N/A</definedName>
    <definedName name="prt6cv5dg33">#N/A</definedName>
    <definedName name="PRT6K31U52">#N/A</definedName>
    <definedName name="PRT6K4U25">#N/A</definedName>
    <definedName name="PRT6K57W79">#N/A</definedName>
    <definedName name="PRT6K85U107">#N/A</definedName>
    <definedName name="PRT6X4AI25">#N/A</definedName>
    <definedName name="PSOEMC">[59]BRAKE!#REF!</definedName>
    <definedName name="purchase_price" localSheetId="15">#REF!</definedName>
    <definedName name="purchase_price">#REF!</definedName>
    <definedName name="P행" localSheetId="15">#REF!</definedName>
    <definedName name="P행">#REF!</definedName>
    <definedName name="q" localSheetId="15">#REF!</definedName>
    <definedName name="q">#REF!</definedName>
    <definedName name="Q2000BUS" localSheetId="15">#REF!</definedName>
    <definedName name="Q2000BUS">#REF!</definedName>
    <definedName name="QA" localSheetId="15">#REF!</definedName>
    <definedName name="QA">#REF!</definedName>
    <definedName name="QB" localSheetId="15">#REF!</definedName>
    <definedName name="QB">#REF!</definedName>
    <definedName name="QER" localSheetId="15">#REF!</definedName>
    <definedName name="QER">#REF!</definedName>
    <definedName name="QQ" localSheetId="15" hidden="1">{#N/A,#N/A,TRUE,"일정"}</definedName>
    <definedName name="QQ" hidden="1">{#N/A,#N/A,TRUE,"일정"}</definedName>
    <definedName name="QQQ" localSheetId="15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localSheetId="15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Q" localSheetId="15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uery1" localSheetId="15">#REF!</definedName>
    <definedName name="Query1">#REF!</definedName>
    <definedName name="quit_button_Click">#N/A</definedName>
    <definedName name="QWE" localSheetId="15">#REF!</definedName>
    <definedName name="QWE">#REF!</definedName>
    <definedName name="qwgwefq">[1]major!#REF!</definedName>
    <definedName name="Q행" localSheetId="15">#REF!</definedName>
    <definedName name="Q행">#REF!</definedName>
    <definedName name="R.P이자" localSheetId="15">#REF!</definedName>
    <definedName name="R.P이자">#REF!</definedName>
    <definedName name="range" localSheetId="15">#REF!</definedName>
    <definedName name="range">#REF!</definedName>
    <definedName name="rates">[60]Sales!$Y$81:$Z$96</definedName>
    <definedName name="RawAgencyPrice" localSheetId="15">#REF!</definedName>
    <definedName name="RawAgencyPrice">#REF!</definedName>
    <definedName name="RBData" localSheetId="15">#REF!</definedName>
    <definedName name="RBData">#REF!</definedName>
    <definedName name="RD">[61]제조98!$AJ$93</definedName>
    <definedName name="_xlnm.Recorder" localSheetId="15">#REF!</definedName>
    <definedName name="_xlnm.Recorder">#REF!</definedName>
    <definedName name="Records" localSheetId="15">#REF!</definedName>
    <definedName name="Records">#REF!</definedName>
    <definedName name="REPORT1">[55]공급설비!#REF!</definedName>
    <definedName name="REPORT2">[55]공급설비!#REF!</definedName>
    <definedName name="REPORT3">[55]공급설비!#REF!</definedName>
    <definedName name="REPORT4">[55]공급설비!#REF!</definedName>
    <definedName name="REPORT5">[55]공급설비!#REF!</definedName>
    <definedName name="reportPl">#N/A</definedName>
    <definedName name="Reselects" localSheetId="15">#REF!</definedName>
    <definedName name="Reselects">#REF!</definedName>
    <definedName name="Reset" localSheetId="15">#REF!</definedName>
    <definedName name="Reset">#REF!</definedName>
    <definedName name="RESPONSIBILITYAPPLICATIONID1" localSheetId="15">#REF!</definedName>
    <definedName name="RESPONSIBILITYAPPLICATIONID1">#REF!</definedName>
    <definedName name="RESPONSIBILITYID1" localSheetId="15">#REF!</definedName>
    <definedName name="RESPONSIBILITYID1">#REF!</definedName>
    <definedName name="RESPONSIBILITYNAME1" localSheetId="15">#REF!</definedName>
    <definedName name="RESPONSIBILITYNAME1">#REF!</definedName>
    <definedName name="RevPer">[23]HEADER!$G$15</definedName>
    <definedName name="RevYN">[23]HEADER!$D$15</definedName>
    <definedName name="RFSSF" localSheetId="15">#REF!</definedName>
    <definedName name="RFSSF">#REF!</definedName>
    <definedName name="RKSK" hidden="1">[62]시산표!#REF!</definedName>
    <definedName name="RMB" localSheetId="15">#REF!</definedName>
    <definedName name="RMB">#REF!</definedName>
    <definedName name="ROM">#N/A</definedName>
    <definedName name="rowcode" localSheetId="15">#REF!</definedName>
    <definedName name="rowcode">#REF!</definedName>
    <definedName name="ROWSTOUPLOAD1" localSheetId="15">#REF!</definedName>
    <definedName name="ROWSTOUPLOAD1">#REF!</definedName>
    <definedName name="RRRRR">#N/A</definedName>
    <definedName name="RRRRRRR" localSheetId="15">[0]!BlankMacro1</definedName>
    <definedName name="RRRRRRR">[0]!BlankMacro1</definedName>
    <definedName name="rrwerwads" hidden="1">'[19]98TURNCA'!#REF!</definedName>
    <definedName name="RT.RTDK" localSheetId="15">#REF!</definedName>
    <definedName name="RT.RTDK">#REF!</definedName>
    <definedName name="RTCLSPRT">'[42]11'!#REF!</definedName>
    <definedName name="RTY" localSheetId="15">#REF!</definedName>
    <definedName name="RTY">#REF!</definedName>
    <definedName name="R행" localSheetId="15">#REF!</definedName>
    <definedName name="R행">#REF!</definedName>
    <definedName name="S" localSheetId="15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S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S_S_S">#N/A</definedName>
    <definedName name="sales" localSheetId="15">#REF!</definedName>
    <definedName name="sales">#REF!</definedName>
    <definedName name="Sales_Equip.">[25]Dec!$A$3:$Y$154</definedName>
    <definedName name="SALESPLAN" localSheetId="15">#REF!</definedName>
    <definedName name="SALESPLAN">#REF!</definedName>
    <definedName name="SDF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DF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eason_factor" localSheetId="15">#REF!</definedName>
    <definedName name="Season_factor">#REF!</definedName>
    <definedName name="Season_factor1" localSheetId="15">#REF!</definedName>
    <definedName name="Season_factor1">#REF!</definedName>
    <definedName name="Service_Charges" localSheetId="15">#REF!</definedName>
    <definedName name="Service_Charges">#REF!</definedName>
    <definedName name="SETOFBOOKSID1" localSheetId="15">#REF!</definedName>
    <definedName name="SETOFBOOKSID1">#REF!</definedName>
    <definedName name="SETOFBOOKSNAME1" localSheetId="15">#REF!</definedName>
    <definedName name="SETOFBOOKSNAME1">#REF!</definedName>
    <definedName name="sgd_bank1" localSheetId="15">#REF!</definedName>
    <definedName name="sgd_bank1">#REF!</definedName>
    <definedName name="sgd_bank2" localSheetId="15">#REF!</definedName>
    <definedName name="sgd_bank2">#REF!</definedName>
    <definedName name="shareholder_v" localSheetId="15">#REF!</definedName>
    <definedName name="shareholder_v">#REF!</definedName>
    <definedName name="Site_Fees" localSheetId="15">#REF!</definedName>
    <definedName name="Site_Fees">#REF!</definedName>
    <definedName name="sks" localSheetId="15">#REF!</definedName>
    <definedName name="sks">#REF!</definedName>
    <definedName name="SKSK" localSheetId="15">#REF!</definedName>
    <definedName name="SKSK">#REF!</definedName>
    <definedName name="so" hidden="1">[63]회사제시!#REF!</definedName>
    <definedName name="solver_lin" hidden="1">0</definedName>
    <definedName name="solver_num" hidden="1">0</definedName>
    <definedName name="solver_opt" localSheetId="15" hidden="1">#REF!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RT1" localSheetId="15">#REF!</definedName>
    <definedName name="SORT1">#REF!</definedName>
    <definedName name="SortArea" localSheetId="15">#REF!</definedName>
    <definedName name="SortArea">#REF!</definedName>
    <definedName name="SS" localSheetId="15">#REF!</definedName>
    <definedName name="SS">#REF!</definedName>
    <definedName name="SSRR">[64]기안!$A$43</definedName>
    <definedName name="SSS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mp">[7]회의실신청!$B$1:$E$65536,[7]회의실신청!$I$1:$M$65536</definedName>
    <definedName name="Start" localSheetId="15" hidden="1">{#N/A,#N/A,TRUE,"일정"}</definedName>
    <definedName name="Start" hidden="1">{#N/A,#N/A,TRUE,"일정"}</definedName>
    <definedName name="STARTJOURNALIMPORT1" localSheetId="15">#REF!</definedName>
    <definedName name="STARTJOURNALIMPORT1">#REF!</definedName>
    <definedName name="stat_copy" localSheetId="15">#REF!</definedName>
    <definedName name="stat_copy">#REF!</definedName>
    <definedName name="SUMMARY" localSheetId="15">#REF!</definedName>
    <definedName name="SUMMARY">#REF!</definedName>
    <definedName name="S행" localSheetId="15">#REF!</definedName>
    <definedName name="S행">#REF!</definedName>
    <definedName name="t" localSheetId="15">#REF!</definedName>
    <definedName name="t">#REF!</definedName>
    <definedName name="t_house_grow" localSheetId="15">#REF!</definedName>
    <definedName name="t_house_grow">#REF!</definedName>
    <definedName name="t_house_grow_xl" localSheetId="15">#REF!</definedName>
    <definedName name="t_house_grow_xl">#REF!</definedName>
    <definedName name="t_house_grow_xl1" localSheetId="15">#REF!</definedName>
    <definedName name="t_house_grow_xl1">#REF!</definedName>
    <definedName name="TA" localSheetId="15">#REF!</definedName>
    <definedName name="TA">#REF!</definedName>
    <definedName name="table">'[65]2001년추계액'!$C$6:$G$21</definedName>
    <definedName name="Table1" localSheetId="15">#REF!</definedName>
    <definedName name="Table1">#REF!</definedName>
    <definedName name="TABLE96" localSheetId="15">#REF!</definedName>
    <definedName name="TABLE96">#REF!</definedName>
    <definedName name="TABLE97">[66]SALTAB97!$B$5:$N$32</definedName>
    <definedName name="tax_rate" localSheetId="15">#REF!</definedName>
    <definedName name="tax_rate">#REF!</definedName>
    <definedName name="TDS">'[67]관계회사거래내역및 채권채무잔액 99'!#REF!</definedName>
    <definedName name="TEAM">[68]계정!$E$3:$F$102</definedName>
    <definedName name="temp" localSheetId="15">#REF!</definedName>
    <definedName name="temp">#REF!</definedName>
    <definedName name="TEMPLATENUMBER1" localSheetId="15">#REF!</definedName>
    <definedName name="TEMPLATENUMBER1">#REF!</definedName>
    <definedName name="TEMPLATESTYLE1" localSheetId="15">#REF!</definedName>
    <definedName name="TEMPLATESTYLE1">#REF!</definedName>
    <definedName name="TEMPLATETYPE1" localSheetId="15">#REF!</definedName>
    <definedName name="TEMPLATETYPE1">#REF!</definedName>
    <definedName name="TEST" localSheetId="15">#REF!</definedName>
    <definedName name="TEST">#REF!</definedName>
    <definedName name="TEST0" localSheetId="15">#REF!</definedName>
    <definedName name="TEST0">#REF!</definedName>
    <definedName name="TEST1" localSheetId="15">#REF!</definedName>
    <definedName name="TEST1">#REF!</definedName>
    <definedName name="TEST2" localSheetId="15">#REF!</definedName>
    <definedName name="TEST2">#REF!</definedName>
    <definedName name="TESTHKEY" localSheetId="15">#REF!</definedName>
    <definedName name="TESTHKEY">#REF!</definedName>
    <definedName name="TESTKEYS" localSheetId="15">#REF!</definedName>
    <definedName name="TESTKEYS">#REF!</definedName>
    <definedName name="TESTVKEY" localSheetId="15">#REF!</definedName>
    <definedName name="TESTVKEY">#REF!</definedName>
    <definedName name="Text1_Click">[69]!Text1_Click</definedName>
    <definedName name="TextRefCopy1" localSheetId="15">#REF!</definedName>
    <definedName name="TextRefCopy1">#REF!</definedName>
    <definedName name="TextRefCopy2" localSheetId="15">#REF!</definedName>
    <definedName name="TextRefCopy2">#REF!</definedName>
    <definedName name="TextRefCopy3">[70]내역!#REF!</definedName>
    <definedName name="TextRefCopy4">[70]내역!$D$52</definedName>
    <definedName name="TextRefCopyRangeCount" hidden="1">1</definedName>
    <definedName name="THEME2" localSheetId="15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isPeriod">[23]HEADER!$I$4</definedName>
    <definedName name="ThisYear">[23]HEADER!$C$4</definedName>
    <definedName name="TKTKTK" localSheetId="15" hidden="1">{"'미착금액'!$A$4:$G$14"}</definedName>
    <definedName name="TKTKTK" hidden="1">{"'미착금액'!$A$4:$G$14"}</definedName>
    <definedName name="TL" localSheetId="15">#REF!</definedName>
    <definedName name="TL">#REF!</definedName>
    <definedName name="TOTAL">OFFSET([26]ST_INVEST!$K$5,0,0,COUNTA([26]ST_INVEST!$K$1:$K$65536))</definedName>
    <definedName name="TP1t">[23]language!$E$72</definedName>
    <definedName name="TP2t">[23]language!$E$73</definedName>
    <definedName name="TP3t">[23]language!$E$74</definedName>
    <definedName name="TP5t">[23]language!$E$75</definedName>
    <definedName name="TransNum" localSheetId="15">#REF!</definedName>
    <definedName name="TransNum">#REF!</definedName>
    <definedName name="TT" localSheetId="15">[0]!BlankMacro1</definedName>
    <definedName name="TT">[0]!BlankMacro1</definedName>
    <definedName name="TTT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TT" localSheetId="15">[0]!BlankMacro1</definedName>
    <definedName name="TTTTTTT">[0]!BlankMacro1</definedName>
    <definedName name="TwelveMonthMovingAvg">AVERAGE([45]월별데이타!#REF!)</definedName>
    <definedName name="T시장">[36]시장!#REF!</definedName>
    <definedName name="T엔조">[36]엔진조립!$Q$6</definedName>
    <definedName name="T완검">[36]TI!$Q$5:$Q$9</definedName>
    <definedName name="T조립">[36]TI!$Q$15:$Q$19</definedName>
    <definedName name="T주행">[36]TI!$Q$10:$Q$14</definedName>
    <definedName name="T프레스">[36]프레스!$Q$11</definedName>
    <definedName name="T행" localSheetId="15">#REF!</definedName>
    <definedName name="T행">#REF!</definedName>
    <definedName name="U" localSheetId="15">[0]!BlankMacro1</definedName>
    <definedName name="U">[0]!BlankMacro1</definedName>
    <definedName name="ucf" localSheetId="15">#REF!</definedName>
    <definedName name="ucf">#REF!</definedName>
    <definedName name="unit_cm" localSheetId="15">#REF!</definedName>
    <definedName name="unit_cm">#REF!</definedName>
    <definedName name="Unit_Pipeline_Cost_Arterial" localSheetId="15">#REF!</definedName>
    <definedName name="Unit_Pipeline_Cost_Arterial">#REF!</definedName>
    <definedName name="UploadFile">[23]calendar!$E$69</definedName>
    <definedName name="USD" localSheetId="15">#REF!</definedName>
    <definedName name="USD">#REF!</definedName>
    <definedName name="usd_bank" localSheetId="15">#REF!</definedName>
    <definedName name="usd_bank">#REF!</definedName>
    <definedName name="USD_BUDGET">OFFSET([26]RATE!$D$3,0,0,COUNTA([26]RATE!$D$1:$D$65536))</definedName>
    <definedName name="USD_FX_RATE">OFFSET([26]RATE!$C$3,0,0,COUNTA([26]RATE!$C$1:$C$65536))</definedName>
    <definedName name="USD_JPY">OFFSET([26]RATE!$G$3,0,0,COUNTA([26]RATE!$G$1:$G$65536))</definedName>
    <definedName name="USER" localSheetId="15">#REF!</definedName>
    <definedName name="USER">#REF!</definedName>
    <definedName name="user_cnt" localSheetId="15">#REF!</definedName>
    <definedName name="user_cnt">#REF!</definedName>
    <definedName name="User_Contribution_Household" localSheetId="15">#REF!</definedName>
    <definedName name="User_Contribution_Household">#REF!</definedName>
    <definedName name="uu" localSheetId="15">#REF!</definedName>
    <definedName name="uu">#REF!</definedName>
    <definedName name="U행" localSheetId="15">#REF!</definedName>
    <definedName name="U행">#REF!</definedName>
    <definedName name="V" localSheetId="15">[0]!BlankMacro1</definedName>
    <definedName name="V">[0]!BlankMacro1</definedName>
    <definedName name="VOUCHER" localSheetId="15">#REF!</definedName>
    <definedName name="VOUCHER">#REF!</definedName>
    <definedName name="VSUMCL">[2]현금경비중역!#REF!</definedName>
    <definedName name="VV" localSheetId="15">#REF!</definedName>
    <definedName name="VV">#REF!</definedName>
    <definedName name="VVV" localSheetId="15">#REF!</definedName>
    <definedName name="VVV">#REF!</definedName>
    <definedName name="V행" localSheetId="15">#REF!</definedName>
    <definedName name="V행">#REF!</definedName>
    <definedName name="W" localSheetId="15">[0]!BlankMacro1</definedName>
    <definedName name="W">[0]!BlankMacro1</definedName>
    <definedName name="WA">#N/A</definedName>
    <definedName name="wacc" localSheetId="15">#REF!</definedName>
    <definedName name="wacc">#REF!</definedName>
    <definedName name="WACC_h" localSheetId="15">#REF!</definedName>
    <definedName name="WACC_h">#REF!</definedName>
    <definedName name="wacc1" localSheetId="15">#REF!</definedName>
    <definedName name="wacc1">#REF!</definedName>
    <definedName name="WEARF" localSheetId="15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r" localSheetId="15">#REF!</definedName>
    <definedName name="wer">#REF!</definedName>
    <definedName name="wew" localSheetId="15">#REF!</definedName>
    <definedName name="wew">#REF!</definedName>
    <definedName name="WHANM">#N/A</definedName>
    <definedName name="WHANS">#N/A</definedName>
    <definedName name="WHANS1">#N/A</definedName>
    <definedName name="WHANS2">#N/A</definedName>
    <definedName name="WHANS3">#N/A</definedName>
    <definedName name="WHANY">#N/A</definedName>
    <definedName name="WHANY1">#N/A</definedName>
    <definedName name="WHANY2">#N/A</definedName>
    <definedName name="WHANY3">#N/A</definedName>
    <definedName name="widebs" localSheetId="15">#REF!</definedName>
    <definedName name="widebs">#REF!</definedName>
    <definedName name="wnwn" localSheetId="1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nwn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345." localSheetId="15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COSA94TAXRETURN." localSheetId="1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" localSheetId="1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jck94TAXRETURN." localSheetId="1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Y차._.종합." localSheetId="15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관섬예산.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급여인상안." localSheetId="15" hidden="1">{#N/A,#N/A,FALSE,"계약직(여)"}</definedName>
    <definedName name="wrn.급여인상안." hidden="1">{#N/A,#N/A,FALSE,"계약직(여)"}</definedName>
    <definedName name="wrn.세무" localSheetId="1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전부인쇄." localSheetId="15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사예산." localSheetId="15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주간._.보고." localSheetId="15" hidden="1">{#N/A,#N/A,TRUE,"일정"}</definedName>
    <definedName name="wrn.주간._.보고." hidden="1">{#N/A,#N/A,TRUE,"일정"}</definedName>
    <definedName name="wrn.채권채무조회서." localSheetId="15" hidden="1">{#N/A,#N/A,FALSE,"채권채무";#N/A,#N/A,FALSE,"control sheet"}</definedName>
    <definedName name="wrn.채권채무조회서." hidden="1">{#N/A,#N/A,FALSE,"채권채무";#N/A,#N/A,FALSE,"control sheet"}</definedName>
    <definedName name="wrn.판유리예산." localSheetId="15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함영민." localSheetId="15" hidden="1">{#N/A,#N/A,FALSE,"범우구미";#N/A,#N/A,FALSE,"세한케미칼";#N/A,#N/A,FALSE,"세명화학";#N/A,#N/A,FALSE,"신영케미칼";#N/A,#N/A,FALSE,"일석상사"}</definedName>
    <definedName name="wrn.함영민." hidden="1">{#N/A,#N/A,FALSE,"범우구미";#N/A,#N/A,FALSE,"세한케미칼";#N/A,#N/A,FALSE,"세명화학";#N/A,#N/A,FALSE,"신영케미칼";#N/A,#N/A,FALSE,"일석상사"}</definedName>
    <definedName name="Wuxi" localSheetId="15">BlankMacro1</definedName>
    <definedName name="Wuxi">BlankMacro1</definedName>
    <definedName name="Wuxi1" localSheetId="15">BlankMacro1</definedName>
    <definedName name="Wuxi1">BlankMacro1</definedName>
    <definedName name="ww" localSheetId="15">#REF!</definedName>
    <definedName name="ww">#REF!</definedName>
    <definedName name="WWW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15">[0]!BlankMacro1</definedName>
    <definedName name="WWWW">[0]!BlankMacro1</definedName>
    <definedName name="W행" localSheetId="15">#REF!</definedName>
    <definedName name="W행">#REF!</definedName>
    <definedName name="W행1">#N/A</definedName>
    <definedName name="x" localSheetId="15">#REF!</definedName>
    <definedName name="x">#REF!</definedName>
    <definedName name="X9802장판원본_원본_List" localSheetId="15">#REF!</definedName>
    <definedName name="X9802장판원본_원본_List">#REF!</definedName>
    <definedName name="XG액션" localSheetId="15">#REF!</definedName>
    <definedName name="XG액션">#REF!</definedName>
    <definedName name="XIII._당기순이익">[71]손익계산서!#REF!</definedName>
    <definedName name="xiii.2">[72]손익!#REF!</definedName>
    <definedName name="xx" localSheetId="15">#REF!</definedName>
    <definedName name="xx">#REF!</definedName>
    <definedName name="X행" localSheetId="15">#REF!</definedName>
    <definedName name="X행">#REF!</definedName>
    <definedName name="Y">'[73]비품(94이전)'!#REF!</definedName>
    <definedName name="YEN" localSheetId="15">#REF!</definedName>
    <definedName name="YEN">#REF!</definedName>
    <definedName name="YM" localSheetId="15">#REF!</definedName>
    <definedName name="YM">#REF!</definedName>
    <definedName name="YR_BOND">OFFSET([26]RATE!$J$3,0,0,COUNTA([26]RATE!$J$1:$J$65536))</definedName>
    <definedName name="yy" localSheetId="15">#REF!</definedName>
    <definedName name="yy">#REF!</definedName>
    <definedName name="YYY" localSheetId="15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MM_NO">[30]Config!$B$4</definedName>
    <definedName name="YYYYYYYYY" localSheetId="15">[0]!BlankMacro1</definedName>
    <definedName name="YYYYYYYYY">[0]!BlankMacro1</definedName>
    <definedName name="Z" localSheetId="15">#REF!</definedName>
    <definedName name="Z">#REF!</definedName>
    <definedName name="Z_B2172A22_A087_11D6_A4E5_008013D50C77_.wvu.PrintArea" localSheetId="15" hidden="1">#REF!</definedName>
    <definedName name="Z_B2172A22_A087_11D6_A4E5_008013D50C77_.wvu.PrintArea" hidden="1">#REF!</definedName>
    <definedName name="za" localSheetId="15">#REF!</definedName>
    <definedName name="za">#REF!</definedName>
    <definedName name="zx" localSheetId="15">#REF!</definedName>
    <definedName name="zx">#REF!</definedName>
    <definedName name="zz" localSheetId="15">#REF!</definedName>
    <definedName name="zz">#REF!</definedName>
    <definedName name="ㄱ" localSheetId="1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ㄱ" localSheetId="15">#REF!</definedName>
    <definedName name="ㄱㄱㄱ">#REF!</definedName>
    <definedName name="가" localSheetId="15">#REF!</definedName>
    <definedName name="가">#REF!</definedName>
    <definedName name="가1" localSheetId="15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격" localSheetId="15">#REF!</definedName>
    <definedName name="가격">#REF!</definedName>
    <definedName name="가격자료">[74]가격자료!$A$1:$M$65536</definedName>
    <definedName name="가공" localSheetId="15">#REF!</definedName>
    <definedName name="가공">#REF!</definedName>
    <definedName name="가기긱" localSheetId="15" hidden="1">{"'미착금액'!$A$4:$G$14"}</definedName>
    <definedName name="가기긱" hidden="1">{"'미착금액'!$A$4:$G$14"}</definedName>
    <definedName name="가나" localSheetId="15">[0]!BlankMacro1</definedName>
    <definedName name="가나">[0]!BlankMacro1</definedName>
    <definedName name="가동" localSheetId="15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15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산금" localSheetId="15">#REF!</definedName>
    <definedName name="가산금">#REF!</definedName>
    <definedName name="가족수당" localSheetId="15">#REF!</definedName>
    <definedName name="가족수당">#REF!</definedName>
    <definedName name="감가" localSheetId="15">#REF!</definedName>
    <definedName name="감가">#REF!</definedName>
    <definedName name="감가상각" localSheetId="15">#REF!</definedName>
    <definedName name="감가상각">#REF!</definedName>
    <definedName name="감가상각비" localSheetId="15">#REF!</definedName>
    <definedName name="감가상각비">#REF!</definedName>
    <definedName name="값" localSheetId="15">#REF!</definedName>
    <definedName name="값">#REF!</definedName>
    <definedName name="강" localSheetId="15">[0]!BlankMacro1</definedName>
    <definedName name="강">[0]!BlankMacro1</definedName>
    <definedName name="강10">'[75]1월'!$N$1:$N$65536</definedName>
    <definedName name="강11">'[75]2월'!$N$1:$N$65536</definedName>
    <definedName name="강12">'[75]3월'!$N$1:$N$65536</definedName>
    <definedName name="강13">'[75]4월'!$N$1:$N$65536</definedName>
    <definedName name="강14">'[75]5월'!$P$1:$P$65536</definedName>
    <definedName name="강15">'[75]6월'!$Q$1:$Q$65536</definedName>
    <definedName name="강3" localSheetId="15">#REF!</definedName>
    <definedName name="강3">#REF!</definedName>
    <definedName name="강화">[76]출고!$S$1:$S$65536</definedName>
    <definedName name="개발비" localSheetId="1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이자" localSheetId="15">#REF!</definedName>
    <definedName name="개발이자">#REF!</definedName>
    <definedName name="개선내용" localSheetId="15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15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거_래_선_명" localSheetId="15">#REF!</definedName>
    <definedName name="거_래_선_명">#REF!</definedName>
    <definedName name="거래선명" localSheetId="15">#REF!</definedName>
    <definedName name="거래선명">#REF!</definedName>
    <definedName name="건열" localSheetId="15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건전" localSheetId="15">#REF!</definedName>
    <definedName name="건전">#REF!</definedName>
    <definedName name="결산">[77]가지급금기타!$A$3:$J$40</definedName>
    <definedName name="결산1">[78]가지급금기타!$A$3:$J$40</definedName>
    <definedName name="결산공문" localSheetId="15">#REF!</definedName>
    <definedName name="결산공문">#REF!</definedName>
    <definedName name="결산부속명세서" localSheetId="15">#REF!</definedName>
    <definedName name="결산부속명세서">#REF!</definedName>
    <definedName name="결산삭재">[77]가지급금기타!$D$3:$D$40</definedName>
    <definedName name="결산성과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수정" localSheetId="15">#REF!</definedName>
    <definedName name="결산수정">#REF!</definedName>
    <definedName name="결산일정" localSheetId="15">#REF!</definedName>
    <definedName name="결산일정">#REF!</definedName>
    <definedName name="결손금" localSheetId="15">#REF!</definedName>
    <definedName name="결손금">#REF!</definedName>
    <definedName name="결인쇄" localSheetId="15">[79]잉여금!#REF!,[79]잉여금!#REF!,[79]잉여금!#REF!,[79]잉여금!#REF!,[79]잉여금!#REF!,[79]잉여금!#REF!,[79]잉여금!#REF!,[79]잉여금!$A$11:$H$35</definedName>
    <definedName name="결인쇄">[79]잉여금!#REF!,[79]잉여금!#REF!,[79]잉여금!#REF!,[79]잉여금!#REF!,[79]잉여금!#REF!,[79]잉여금!#REF!,[79]잉여금!#REF!,[79]잉여금!$A$11:$H$35</definedName>
    <definedName name="결제">'[80]3-16피벗'!$A$3:$E$76</definedName>
    <definedName name="경" localSheetId="15">#REF!</definedName>
    <definedName name="경">#REF!</definedName>
    <definedName name="경남특정" localSheetId="15">#REF!</definedName>
    <definedName name="경남특정">#REF!</definedName>
    <definedName name="경동산업사">[81]Sheet4!$A$2:$D$78</definedName>
    <definedName name="경로" localSheetId="15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리" localSheetId="15">#REF!</definedName>
    <definedName name="경리">#REF!</definedName>
    <definedName name="경신기업">[82]Sheet4!$A$2:$D$79</definedName>
    <definedName name="경합금2과운연계획" localSheetId="15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" localSheetId="15">[0]!BlankMacro1</definedName>
    <definedName name="계">[0]!BlankMacro1</definedName>
    <definedName name="계약" localSheetId="15" hidden="1">{#N/A,#N/A,FALSE,"계약직(여)"}</definedName>
    <definedName name="계약" hidden="1">{#N/A,#N/A,FALSE,"계약직(여)"}</definedName>
    <definedName name="계정" localSheetId="15">#REF!</definedName>
    <definedName name="계정">#REF!</definedName>
    <definedName name="계정과목" localSheetId="15">#REF!</definedName>
    <definedName name="계정과목">#REF!</definedName>
    <definedName name="계정종합표" localSheetId="15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좌번호" localSheetId="15">#REF!</definedName>
    <definedName name="계좌번호">#REF!</definedName>
    <definedName name="고" localSheetId="15">[0]!BlankMacro1</definedName>
    <definedName name="고">[0]!BlankMacro1</definedName>
    <definedName name="고객" localSheetId="15">#REF!</definedName>
    <definedName name="고객">#REF!</definedName>
    <definedName name="고객명">[83]고객명!$A$1:$H$65536</definedName>
    <definedName name="고객명2" localSheetId="15">#REF!</definedName>
    <definedName name="고객명2">#REF!</definedName>
    <definedName name="고려증장기" localSheetId="15">#REF!</definedName>
    <definedName name="고려증장기">#REF!</definedName>
    <definedName name="고용">[84]TOTAL!$F$1:$W$99</definedName>
    <definedName name="고용보험">'[85]인건비예산(정규직)'!$IQ$28:$IQ$276</definedName>
    <definedName name="고용보험임">'[85]인건비예산(정규직)'!$IQ$18:$IQ$27</definedName>
    <definedName name="고정자산처분" localSheetId="15">#REF!</definedName>
    <definedName name="고정자산처분">#REF!</definedName>
    <definedName name="고처분" localSheetId="15">#REF!</definedName>
    <definedName name="고처분">#REF!</definedName>
    <definedName name="골라인쇄">[31]!골라인쇄</definedName>
    <definedName name="골프" localSheetId="15">#REF!</definedName>
    <definedName name="골프">#REF!</definedName>
    <definedName name="공1">'[86]1분기재고장'!$AD$1:$AD$65536</definedName>
    <definedName name="공10">'[75]1월'!$T$1:$T$65536</definedName>
    <definedName name="공11">'[75]2월'!$T$1:$T$65536</definedName>
    <definedName name="공12">'[75]3월'!$T$1:$T$65536</definedName>
    <definedName name="공13">'[75]4월'!$T$1:$T$65536</definedName>
    <definedName name="공14">'[75]5월'!$V$1:$V$65536</definedName>
    <definedName name="공15">'[75]6월'!$W$1:$W$65536</definedName>
    <definedName name="공2">'[86]2분기재고'!$AI$1:$AI$65536</definedName>
    <definedName name="공3" localSheetId="15">#REF!</definedName>
    <definedName name="공3">#REF!</definedName>
    <definedName name="공300" localSheetId="15">#REF!</definedName>
    <definedName name="공300">#REF!</definedName>
    <definedName name="공301">[87]페이지!#REF!</definedName>
    <definedName name="공공" localSheetId="15">#REF!</definedName>
    <definedName name="공공">#REF!</definedName>
    <definedName name="공구" localSheetId="15">#REF!</definedName>
    <definedName name="공구">#REF!</definedName>
    <definedName name="공사">[76]출고!$Y$1:$Y$65536</definedName>
    <definedName name="공사원가">[88]시산표!#REF!</definedName>
    <definedName name="공사원가5" hidden="1">[10]시산표!#REF!</definedName>
    <definedName name="공사채이자" localSheetId="15">#REF!</definedName>
    <definedName name="공사채이자">#REF!</definedName>
    <definedName name="공장별" localSheetId="15">#REF!</definedName>
    <definedName name="공장별">#REF!</definedName>
    <definedName name="공ㅌ오" localSheetId="15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과목">'[89]99계획'!$A$4:$Z$100</definedName>
    <definedName name="과목세목현황" localSheetId="15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과별분배" localSheetId="15">#REF!</definedName>
    <definedName name="과별분배">#REF!</definedName>
    <definedName name="관리" hidden="1">[90]손익계산서!$B$68:$B$77</definedName>
    <definedName name="관리지표2" localSheetId="15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관세" localSheetId="15">#REF!</definedName>
    <definedName name="관세">#REF!</definedName>
    <definedName name="관실적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_소관_세무서" localSheetId="15">#REF!</definedName>
    <definedName name="관할_소관_세무서">#REF!</definedName>
    <definedName name="광" localSheetId="15">#REF!</definedName>
    <definedName name="광">#REF!</definedName>
    <definedName name="광주">[91]TB!#REF!</definedName>
    <definedName name="교보장기" localSheetId="15">#REF!</definedName>
    <definedName name="교보장기">#REF!</definedName>
    <definedName name="구로">[91]TB!#REF!</definedName>
    <definedName name="구분" localSheetId="15">#REF!</definedName>
    <definedName name="구분">#REF!</definedName>
    <definedName name="구월급여">'[85]인건비예산(정규직)'!$GI$28:$GI$276</definedName>
    <definedName name="구월급여임">'[85]인건비예산(정규직)'!$GI$18:$GI$27</definedName>
    <definedName name="구월상여">'[85]인건비예산(정규직)'!$GJ$28:$GJ$276</definedName>
    <definedName name="구월상여임">'[85]인건비예산(정규직)'!$GJ$18:$GJ$27</definedName>
    <definedName name="구좌번호">[92]예금구좌!$A$1:$B$101</definedName>
    <definedName name="구지급율">[93]자료!$B$3:$C$83</definedName>
    <definedName name="구칠건가" localSheetId="15">#REF!</definedName>
    <definedName name="구칠건가">#REF!</definedName>
    <definedName name="구칠금형" localSheetId="15">#REF!</definedName>
    <definedName name="구칠금형">#REF!</definedName>
    <definedName name="국_내_매_출" localSheetId="15">#REF!</definedName>
    <definedName name="국_내_매_출">#REF!</definedName>
    <definedName name="국내" localSheetId="15">#REF!</definedName>
    <definedName name="국내">#REF!</definedName>
    <definedName name="국내2" localSheetId="15">#REF!</definedName>
    <definedName name="국내2">#REF!</definedName>
    <definedName name="국내abs" localSheetId="15">#REF!</definedName>
    <definedName name="국내abs">#REF!</definedName>
    <definedName name="국내교육훈련비">'[85]인건비예산(정규직)'!$IV$28:$IV$276</definedName>
    <definedName name="국대">[94]여신!#REF!</definedName>
    <definedName name="국민년금">[95]국민년금전환금!$A$1:$B$65536</definedName>
    <definedName name="국민보통" localSheetId="15">#REF!</definedName>
    <definedName name="국민보통">#REF!</definedName>
    <definedName name="국민연금">'[85]인건비예산(정규직)'!$IN$28:$IN$276</definedName>
    <definedName name="국민연금임">'[85]인건비예산(정규직)'!$IN$18:$IN$27</definedName>
    <definedName name="국민정기" localSheetId="15">#REF!</definedName>
    <definedName name="국민정기">#REF!</definedName>
    <definedName name="국민특정" localSheetId="15">#REF!</definedName>
    <definedName name="국민특정">#REF!</definedName>
    <definedName name="국투장기" localSheetId="15">#REF!</definedName>
    <definedName name="국투장기">#REF!</definedName>
    <definedName name="군" localSheetId="15">#REF!</definedName>
    <definedName name="군">#REF!</definedName>
    <definedName name="군매출" localSheetId="15">#REF!</definedName>
    <definedName name="군매출">#REF!</definedName>
    <definedName name="군이자" localSheetId="15">#REF!</definedName>
    <definedName name="군이자">#REF!</definedName>
    <definedName name="군인원" localSheetId="15">#REF!</definedName>
    <definedName name="군인원">#REF!</definedName>
    <definedName name="군포감가" localSheetId="15">#REF!</definedName>
    <definedName name="군포감가">#REF!</definedName>
    <definedName name="군포매출" localSheetId="15">#REF!</definedName>
    <definedName name="군포매출">#REF!</definedName>
    <definedName name="군포배부" localSheetId="15">#REF!</definedName>
    <definedName name="군포배부">#REF!</definedName>
    <definedName name="군포부품이자" localSheetId="15">#REF!</definedName>
    <definedName name="군포부품이자">#REF!</definedName>
    <definedName name="군포인원" localSheetId="15">#REF!</definedName>
    <definedName name="군포인원">#REF!</definedName>
    <definedName name="근무일수" localSheetId="15">#REF!</definedName>
    <definedName name="근무일수">#REF!</definedName>
    <definedName name="근속수당" localSheetId="15">#REF!</definedName>
    <definedName name="근속수당">#REF!</definedName>
    <definedName name="근속수당1" localSheetId="15">#REF!</definedName>
    <definedName name="근속수당1">#REF!</definedName>
    <definedName name="근속수당2" localSheetId="15">#REF!</definedName>
    <definedName name="근속수당2">#REF!</definedName>
    <definedName name="근속수당이" localSheetId="15">#REF!</definedName>
    <definedName name="근속수당이">#REF!</definedName>
    <definedName name="근속수당일" localSheetId="15">#REF!</definedName>
    <definedName name="근속수당일">#REF!</definedName>
    <definedName name="근속일" localSheetId="15">#REF!</definedName>
    <definedName name="근속일">#REF!</definedName>
    <definedName name="글씨">[96]!글씨</definedName>
    <definedName name="금1">'[86]1분기재고장'!$W$1:$W$65536</definedName>
    <definedName name="금10">'[75]1월'!$G$1:$G$65536</definedName>
    <definedName name="금11">'[75]2월'!$G$1:$G$65536</definedName>
    <definedName name="금12">'[75]3월'!$G$1:$G$65536</definedName>
    <definedName name="금13">'[75]4월'!$G$1:$G$65536</definedName>
    <definedName name="금14">'[75]5월'!$I$1:$I$65536</definedName>
    <definedName name="금15">'[75]6월'!$I$1:$I$65536</definedName>
    <definedName name="금2">'[86]2분기재고'!$AB$1:$AB$65536</definedName>
    <definedName name="금3" localSheetId="15">#REF!</definedName>
    <definedName name="금3">#REF!</definedName>
    <definedName name="금미수" localSheetId="15">#REF!</definedName>
    <definedName name="금미수">#REF!</definedName>
    <definedName name="금월" localSheetId="15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잔가">[97]기초해지2!$A$628:$J$991</definedName>
    <definedName name="금잔존가">[98]기초해지2!$A$628:$J$991</definedName>
    <definedName name="급료">[99]급료!$A$1:$G$120</definedName>
    <definedName name="급료이체" localSheetId="15">#REF!</definedName>
    <definedName name="급료이체">#REF!</definedName>
    <definedName name="급여" localSheetId="15">#REF!</definedName>
    <definedName name="급여">#REF!</definedName>
    <definedName name="급여1">[100]급여!$A$1:$L$104</definedName>
    <definedName name="급여관리" localSheetId="15">#REF!</definedName>
    <definedName name="급여관리">#REF!</definedName>
    <definedName name="급여인상안" localSheetId="15" hidden="1">{#N/A,#N/A,FALSE,"계약직(여)"}</definedName>
    <definedName name="급여인상안" hidden="1">{#N/A,#N/A,FALSE,"계약직(여)"}</definedName>
    <definedName name="급여총계">[95]급여!#REF!</definedName>
    <definedName name="급호" localSheetId="15">#REF!</definedName>
    <definedName name="급호">#REF!</definedName>
    <definedName name="기계" localSheetId="15">#REF!</definedName>
    <definedName name="기계">#REF!</definedName>
    <definedName name="기말" localSheetId="15">#REF!</definedName>
    <definedName name="기말">#REF!</definedName>
    <definedName name="기말원재료">[101]대차대조표!$C$25</definedName>
    <definedName name="기말재공품" localSheetId="15">#REF!</definedName>
    <definedName name="기말재공품">#REF!</definedName>
    <definedName name="기말저장품">[101]대차대조표!$C$26</definedName>
    <definedName name="기말제품재고액" localSheetId="15">#REF!</definedName>
    <definedName name="기말제품재고액">#REF!</definedName>
    <definedName name="기말환율" localSheetId="15">#REF!</definedName>
    <definedName name="기말환율">#REF!</definedName>
    <definedName name="기본급" localSheetId="15">#REF!</definedName>
    <definedName name="기본급">#REF!</definedName>
    <definedName name="기부금" localSheetId="15">#REF!</definedName>
    <definedName name="기부금">#REF!</definedName>
    <definedName name="기산일" localSheetId="15">#REF!</definedName>
    <definedName name="기산일">#REF!</definedName>
    <definedName name="기술개발" localSheetId="15">#REF!</definedName>
    <definedName name="기술개발">#REF!</definedName>
    <definedName name="기안">'[102]2.대외공문'!#REF!</definedName>
    <definedName name="기안3" localSheetId="15">#REF!</definedName>
    <definedName name="기안3">#REF!</definedName>
    <definedName name="기안갑" localSheetId="15">#REF!</definedName>
    <definedName name="기안갑">#REF!</definedName>
    <definedName name="기안갑1">#N/A</definedName>
    <definedName name="기안용지" localSheetId="15">#REF!</definedName>
    <definedName name="기안용지">#REF!</definedName>
    <definedName name="기안용지2" localSheetId="15">#REF!</definedName>
    <definedName name="기안용지2">#REF!</definedName>
    <definedName name="기안을" localSheetId="15">#REF!</definedName>
    <definedName name="기안을">#REF!</definedName>
    <definedName name="기안을1">#N/A</definedName>
    <definedName name="기업" localSheetId="15">#REF!</definedName>
    <definedName name="기업">#REF!</definedName>
    <definedName name="기업개발" localSheetId="15">#REF!</definedName>
    <definedName name="기업개발">#REF!</definedName>
    <definedName name="기업자유_5103" localSheetId="15">#REF!</definedName>
    <definedName name="기업자유_5103">#REF!</definedName>
    <definedName name="기업특금" localSheetId="15">#REF!</definedName>
    <definedName name="기업특금">#REF!</definedName>
    <definedName name="기준" localSheetId="15">[0]!BlankMacro1</definedName>
    <definedName name="기준">[0]!BlankMacro1</definedName>
    <definedName name="기준2" localSheetId="15">#REF!</definedName>
    <definedName name="기준2">#REF!</definedName>
    <definedName name="기초">[103]기초해지!$X$2:$AF$1854</definedName>
    <definedName name="기초1">[98]기초해지!$AK$2:$AQ$1840</definedName>
    <definedName name="기초2">[97]기초해지!$AK$2:$AQ$1840</definedName>
    <definedName name="기초원재교">[101]대차대조표!#REF!</definedName>
    <definedName name="기초원재료">[101]대차대조표!$E$25</definedName>
    <definedName name="기초재공품">[101]대차대조표!$E$24</definedName>
    <definedName name="기초저장품">[101]대차대조표!$E$26</definedName>
    <definedName name="기초제품재고액" localSheetId="15">#REF!</definedName>
    <definedName name="기초제품재고액">#REF!</definedName>
    <definedName name="기타" localSheetId="15">#REF!</definedName>
    <definedName name="기타">#REF!</definedName>
    <definedName name="기타1">[87]페이지!#REF!</definedName>
    <definedName name="기타매출" localSheetId="15">#REF!</definedName>
    <definedName name="기타매출">#REF!</definedName>
    <definedName name="기타매출원가">[101]제조원가!$C$50</definedName>
    <definedName name="기타비과세">[95]급여!#REF!</definedName>
    <definedName name="기타수당" localSheetId="15">#REF!</definedName>
    <definedName name="기타수당">#REF!</definedName>
    <definedName name="김" localSheetId="15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포수출">[104]Macro3!$B$1</definedName>
    <definedName name="ㄴ" localSheetId="15">[0]!BlankMacro1</definedName>
    <definedName name="ㄴ">[0]!BlankMacro1</definedName>
    <definedName name="ㄴㄴㄴ" localSheetId="15">#REF!</definedName>
    <definedName name="ㄴㄴㄴ">#REF!</definedName>
    <definedName name="ㄴㅇ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ㄹㄹㅇ" localSheetId="15">#REF!</definedName>
    <definedName name="ㄴㅇㄹㄹㅇ">#REF!</definedName>
    <definedName name="ㄴㅇ라" localSheetId="15" hidden="1">{#N/A,#N/A,FALSE,"계약직(여)"}</definedName>
    <definedName name="ㄴㅇ라" hidden="1">{#N/A,#N/A,FALSE,"계약직(여)"}</definedName>
    <definedName name="나" localSheetId="15">#REF!</definedName>
    <definedName name="나">#REF!</definedName>
    <definedName name="나나" localSheetId="15">#REF!</definedName>
    <definedName name="나나">#REF!</definedName>
    <definedName name="나나나" localSheetId="15" hidden="1">{"'미착금액'!$A$4:$G$14"}</definedName>
    <definedName name="나나나" hidden="1">{"'미착금액'!$A$4:$G$14"}</definedName>
    <definedName name="내제품">[105]전체!$A$1:$H$1054</definedName>
    <definedName name="년">'[73]비품(94이전)'!#REF!</definedName>
    <definedName name="년도__실적추정은_건설이자_미포">'[106]R&amp;D'!#REF!</definedName>
    <definedName name="년도1" localSheetId="15">#REF!</definedName>
    <definedName name="년도1">#REF!</definedName>
    <definedName name="년도실적추정">'[107]R&amp;D'!#REF!</definedName>
    <definedName name="년월차">[108]년월차수당!$A$1:$C$99</definedName>
    <definedName name="년차수" localSheetId="15">#REF!</definedName>
    <definedName name="년차수">#REF!</definedName>
    <definedName name="노무비계산" localSheetId="15">[0]!BlankMacro1</definedName>
    <definedName name="노무비계산">[0]!BlankMacro1</definedName>
    <definedName name="농협보통" localSheetId="15">#REF!</definedName>
    <definedName name="농협보통">#REF!</definedName>
    <definedName name="닝잉" localSheetId="15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ㄷ" localSheetId="15">[0]!BlankMacro1</definedName>
    <definedName name="ㄷ">[0]!BlankMacro1</definedName>
    <definedName name="ㄷㅇ" localSheetId="15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다" localSheetId="15">#REF!</definedName>
    <definedName name="다">#REF!</definedName>
    <definedName name="단" localSheetId="15">#REF!</definedName>
    <definedName name="단">#REF!</definedName>
    <definedName name="단가" localSheetId="15">#REF!</definedName>
    <definedName name="단가">#REF!</definedName>
    <definedName name="단가2000" localSheetId="15">#REF!</definedName>
    <definedName name="단가2000">#REF!</definedName>
    <definedName name="단가기준" localSheetId="15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표">'[109]4월계획'!#REF!</definedName>
    <definedName name="단기" localSheetId="15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15">#REF!</definedName>
    <definedName name="단기대여금">#REF!</definedName>
    <definedName name="단기차입금" localSheetId="15">#REF!</definedName>
    <definedName name="단기차입금">#REF!</definedName>
    <definedName name="單位阡원_阡￥" localSheetId="15">#REF!</definedName>
    <definedName name="單位阡원_阡￥">#REF!</definedName>
    <definedName name="단체퇴직보험" localSheetId="15">#REF!</definedName>
    <definedName name="단체퇴직보험">#REF!</definedName>
    <definedName name="단충" localSheetId="15">#REF!</definedName>
    <definedName name="단충">#REF!</definedName>
    <definedName name="달력">[52]Plan_Actual!$C$210:$E$221</definedName>
    <definedName name="담당" localSheetId="15">#REF!</definedName>
    <definedName name="담당">#REF!</definedName>
    <definedName name="담당공인회계사" localSheetId="15">#REF!</definedName>
    <definedName name="담당공인회계사">#REF!</definedName>
    <definedName name="담보">[103]Sheet1!$A$2:$G$567</definedName>
    <definedName name="당기대손금" localSheetId="15">#REF!</definedName>
    <definedName name="당기대손금">#REF!</definedName>
    <definedName name="당기순이익">[71]손익계산서!#REF!</definedName>
    <definedName name="당기순이익2">[110]손익!#REF!</definedName>
    <definedName name="당기순익" localSheetId="15">#REF!</definedName>
    <definedName name="당기순익">#REF!</definedName>
    <definedName name="당기제품제조원가">[111]제조원가!$C$49</definedName>
    <definedName name="당월실적" localSheetId="15">#REF!</definedName>
    <definedName name="당월실적">#REF!</definedName>
    <definedName name="당좌예금_5102" localSheetId="15">#REF!</definedName>
    <definedName name="당좌예금_5102">#REF!</definedName>
    <definedName name="당좌자산">[112]COBS!$G$4</definedName>
    <definedName name="대_표_자_명" localSheetId="15">#REF!</definedName>
    <definedName name="대_표_자_명">#REF!</definedName>
    <definedName name="대구">[91]TB!#REF!</definedName>
    <definedName name="대손" localSheetId="15">#REF!</definedName>
    <definedName name="대손">#REF!</definedName>
    <definedName name="대손충당금" localSheetId="15">#REF!</definedName>
    <definedName name="대손충당금">#REF!</definedName>
    <definedName name="대신주식" localSheetId="15">#REF!</definedName>
    <definedName name="대신주식">#REF!</definedName>
    <definedName name="대신증권예탁금" localSheetId="15">#REF!</definedName>
    <definedName name="대신증권예탁금">#REF!</definedName>
    <definedName name="대전">[91]TB!#REF!</definedName>
    <definedName name="대차" localSheetId="15">#REF!</definedName>
    <definedName name="대차">#REF!</definedName>
    <definedName name="대차대조표" localSheetId="15">#REF!</definedName>
    <definedName name="대차대조표">#REF!</definedName>
    <definedName name="대체거래" localSheetId="15">#REF!</definedName>
    <definedName name="대체거래">#REF!</definedName>
    <definedName name="대투장기" localSheetId="15">#REF!</definedName>
    <definedName name="대투장기">#REF!</definedName>
    <definedName name="대표자_주민등록번호" localSheetId="15">#REF!</definedName>
    <definedName name="대표자_주민등록번호">#REF!</definedName>
    <definedName name="대표자명" localSheetId="15">#REF!</definedName>
    <definedName name="대표자명">#REF!</definedName>
    <definedName name="대회" localSheetId="15">#REF!</definedName>
    <definedName name="대회">#REF!</definedName>
    <definedName name="데이타" localSheetId="15">#REF!</definedName>
    <definedName name="데이타">#REF!</definedName>
    <definedName name="도번" localSheetId="15">#REF!</definedName>
    <definedName name="도번">#REF!</definedName>
    <definedName name="도번1" localSheetId="15">#REF!</definedName>
    <definedName name="도번1">#REF!</definedName>
    <definedName name="동서증장기" localSheetId="15">#REF!</definedName>
    <definedName name="동서증장기">#REF!</definedName>
    <definedName name="동양종표지" localSheetId="15">#REF!</definedName>
    <definedName name="동양종표지">#REF!</definedName>
    <definedName name="동원증장기" localSheetId="15">#REF!</definedName>
    <definedName name="동원증장기">#REF!</definedName>
    <definedName name="동화정기" localSheetId="15">#REF!</definedName>
    <definedName name="동화정기">#REF!</definedName>
    <definedName name="동화특정" localSheetId="15">#REF!</definedName>
    <definedName name="동화특정">#REF!</definedName>
    <definedName name="ㄹ" localSheetId="15" hidden="1">{#N/A,#N/A,TRUE,"Y생산";#N/A,#N/A,TRUE,"Y판매";#N/A,#N/A,TRUE,"Y총물량";#N/A,#N/A,TRUE,"Y능력";#N/A,#N/A,TRUE,"YKD"}</definedName>
    <definedName name="ㄹ" hidden="1">{#N/A,#N/A,TRUE,"Y생산";#N/A,#N/A,TRUE,"Y판매";#N/A,#N/A,TRUE,"Y총물량";#N/A,#N/A,TRUE,"Y능력";#N/A,#N/A,TRUE,"YKD"}</definedName>
    <definedName name="ㄹ25" localSheetId="15">#REF!</definedName>
    <definedName name="ㄹ25">#REF!</definedName>
    <definedName name="ㄹㄹ" localSheetId="15">#REF!</definedName>
    <definedName name="ㄹㄹ">#REF!</definedName>
    <definedName name="라" localSheetId="15">#REF!</definedName>
    <definedName name="라">#REF!</definedName>
    <definedName name="리감">[113]기초해지2!$A$995:$B$1198</definedName>
    <definedName name="리미" localSheetId="15">#REF!</definedName>
    <definedName name="리미">#REF!</definedName>
    <definedName name="리보" localSheetId="15">#REF!</definedName>
    <definedName name="리보">#REF!</definedName>
    <definedName name="리셋" localSheetId="15">#REF!</definedName>
    <definedName name="리셋">#REF!</definedName>
    <definedName name="리수">[97]기초해지2!$A$7:$J$411</definedName>
    <definedName name="리스">[114]가지급금기타!$D$3:$D$40</definedName>
    <definedName name="리스감가">[103]검산금액!$A$1177:$B$1359</definedName>
    <definedName name="리스계약현황">[114]가지급금기타!#REF!</definedName>
    <definedName name="리스미수금">[115]maccp04!$C$2:$H$795</definedName>
    <definedName name="리스트" localSheetId="15">#REF!</definedName>
    <definedName name="리스트">#REF!</definedName>
    <definedName name="리연">[97]기초해지!$A$715:$D$927</definedName>
    <definedName name="리연1" localSheetId="15">#REF!</definedName>
    <definedName name="리연1">#REF!</definedName>
    <definedName name="ㅁ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ㅁ1">[116]받을어음!#REF!</definedName>
    <definedName name="ㅁ11" localSheetId="15">#REF!</definedName>
    <definedName name="ㅁ11">#REF!</definedName>
    <definedName name="ㅁ1108" localSheetId="15">#REF!</definedName>
    <definedName name="ㅁ1108">#REF!</definedName>
    <definedName name="ㅁ1430" localSheetId="15">#REF!</definedName>
    <definedName name="ㅁ1430">#REF!</definedName>
    <definedName name="ㅁ169">[117]승용!#REF!</definedName>
    <definedName name="ㅁㄴㅇ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ㄴ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ㅁ">[118]가격표!$C$7,[118]가격표!$C$10,[118]가격표!$C$13,[118]가격표!$C$16,[118]가격표!$C$19,[118]가격표!$C$22,[118]가격표!$C$25,[118]가격표!$C$28,[118]가격표!$C$31,[118]가격표!$C$34</definedName>
    <definedName name="ㅁㅁㅁ" localSheetId="15">BlankMacro1</definedName>
    <definedName name="ㅁㅁㅁ">BlankMacro1</definedName>
    <definedName name="ㅁㅁㅁㅁㅁ" localSheetId="15">#REF!</definedName>
    <definedName name="ㅁㅁㅁㅁㅁ">#REF!</definedName>
    <definedName name="마">[2]현금경비중역!#REF!</definedName>
    <definedName name="마7" localSheetId="15">#REF!</definedName>
    <definedName name="마7">#REF!</definedName>
    <definedName name="마침">[119]기초!$C$1:$J$65536</definedName>
    <definedName name="만기보장수익율" localSheetId="15">#REF!</definedName>
    <definedName name="만기보장수익율">#REF!</definedName>
    <definedName name="매입채무" localSheetId="15">#REF!</definedName>
    <definedName name="매입채무">#REF!</definedName>
    <definedName name="매출" localSheetId="15">#REF!</definedName>
    <definedName name="매출">#REF!</definedName>
    <definedName name="매출구분" localSheetId="15">#REF!</definedName>
    <definedName name="매출구분">#REF!</definedName>
    <definedName name="매출금" localSheetId="15">#REF!</definedName>
    <definedName name="매출금">#REF!</definedName>
    <definedName name="매출대비1">[120]미비용95!$A$3:$E$3,[120]미비용95!$A$5:$E$13</definedName>
    <definedName name="매출채권" localSheetId="15">#REF!</definedName>
    <definedName name="매출채권">#REF!</definedName>
    <definedName name="면10">'[75]1월'!$M$1:$M$65536</definedName>
    <definedName name="면11">'[75]2월'!$M$1:$M$65536</definedName>
    <definedName name="면12">'[75]3월'!$M$1:$M$65536</definedName>
    <definedName name="면13">'[75]4월'!$M$1:$M$65536</definedName>
    <definedName name="면14">'[75]5월'!$O$1:$O$65536</definedName>
    <definedName name="면15">'[75]6월'!$P$1:$P$65536</definedName>
    <definedName name="면3" localSheetId="15">#REF!</definedName>
    <definedName name="면3">#REF!</definedName>
    <definedName name="면취">[76]출고!$R$1:$R$65536</definedName>
    <definedName name="명세서분석">[121]Sheet1!#REF!</definedName>
    <definedName name="명세서분석건">[121]Sheet1!#REF!</definedName>
    <definedName name="모" localSheetId="15">#REF!</definedName>
    <definedName name="모">#REF!</definedName>
    <definedName name="무형자산" localSheetId="15">#REF!</definedName>
    <definedName name="무형자산">#REF!</definedName>
    <definedName name="물랴자" localSheetId="15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15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전ㅇ" localSheetId="15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localSheetId="15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15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15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15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15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15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물품" localSheetId="15">#REF!</definedName>
    <definedName name="물품">#REF!</definedName>
    <definedName name="뮤629">[122]시산표!$C$26</definedName>
    <definedName name="미" localSheetId="15" hidden="1">{#N/A,#N/A,TRUE,"일정"}</definedName>
    <definedName name="미" hidden="1">{#N/A,#N/A,TRUE,"일정"}</definedName>
    <definedName name="미선">[103]검산금액!$A$2226:$C$2787</definedName>
    <definedName name="미수" localSheetId="15">#REF!</definedName>
    <definedName name="미수">#REF!</definedName>
    <definedName name="미수금" localSheetId="15">#REF!</definedName>
    <definedName name="미수금">#REF!</definedName>
    <definedName name="미수수익" localSheetId="15">#REF!</definedName>
    <definedName name="미수수익">#REF!</definedName>
    <definedName name="미수수익96" localSheetId="15">#REF!</definedName>
    <definedName name="미수수익96">#REF!</definedName>
    <definedName name="미승인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적용401">[123]가격표!$C$7,[123]가격표!$C$10,[123]가격표!$C$13,[123]가격표!$C$16,[123]가격표!$C$19,[123]가격표!$C$22,[123]가격표!$C$25,[123]가격표!$C$28,[123]가격표!$C$31,[123]가격표!$C$34</definedName>
    <definedName name="미지급금" localSheetId="15">#REF!</definedName>
    <definedName name="미지급금">#REF!</definedName>
    <definedName name="미지급금_한결">#REF!</definedName>
    <definedName name="미지급비용" localSheetId="15">#REF!</definedName>
    <definedName name="미지급비용">#REF!</definedName>
    <definedName name="미지급비용분류" localSheetId="15" hidden="1">{#N/A,#N/A,FALSE,"계약직(여)"}</definedName>
    <definedName name="미지급비용분류" hidden="1">{#N/A,#N/A,FALSE,"계약직(여)"}</definedName>
    <definedName name="미지급비용분석">[121]Sheet1!#REF!</definedName>
    <definedName name="밋션별" localSheetId="15">#REF!</definedName>
    <definedName name="밋션별">#REF!</definedName>
    <definedName name="ㅂ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ㅂ" localSheetId="1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ㅂ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ㅂㅂ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바">[124]협조전!#REF!</definedName>
    <definedName name="바람" hidden="1">[13]시산표!#REF!</definedName>
    <definedName name="바바라" localSheetId="15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박상" localSheetId="15">#REF!</definedName>
    <definedName name="박상">#REF!</definedName>
    <definedName name="반">[125]Sheet7!$A$1:$B$34</definedName>
    <definedName name="받을어음" localSheetId="15">#REF!</definedName>
    <definedName name="받을어음">#REF!</definedName>
    <definedName name="발" localSheetId="15">#REF!</definedName>
    <definedName name="발">#REF!</definedName>
    <definedName name="발송일자" localSheetId="15">#REF!</definedName>
    <definedName name="발송일자">#REF!</definedName>
    <definedName name="발송지" localSheetId="15">#REF!</definedName>
    <definedName name="발송지">#REF!</definedName>
    <definedName name="발송회사" localSheetId="15">#REF!</definedName>
    <definedName name="발송회사">#REF!</definedName>
    <definedName name="배관명세" hidden="1">[126]발생집계!$A$4</definedName>
    <definedName name="배배배" localSheetId="15" hidden="1">{"'미착금액'!$A$4:$G$14"}</definedName>
    <definedName name="배배배" hidden="1">{"'미착금액'!$A$4:$G$14"}</definedName>
    <definedName name="배부기준" localSheetId="15">#REF!</definedName>
    <definedName name="배부기준">#REF!</definedName>
    <definedName name="배부액">[127]월할경비!$U$9</definedName>
    <definedName name="법_인_명_상호" localSheetId="15">#REF!</definedName>
    <definedName name="법_인_명_상호">#REF!</definedName>
    <definedName name="법인" localSheetId="15" hidden="1">{#N/A,#N/A,TRUE,"Y생산";#N/A,#N/A,TRUE,"Y판매";#N/A,#N/A,TRUE,"Y총물량";#N/A,#N/A,TRUE,"Y능력";#N/A,#N/A,TRUE,"YKD"}</definedName>
    <definedName name="법인" hidden="1">{#N/A,#N/A,TRUE,"Y생산";#N/A,#N/A,TRUE,"Y판매";#N/A,#N/A,TRUE,"Y총물량";#N/A,#N/A,TRUE,"Y능력";#N/A,#N/A,TRUE,"YKD"}</definedName>
    <definedName name="법인등록번호" localSheetId="15">#REF!</definedName>
    <definedName name="법인등록번호">#REF!</definedName>
    <definedName name="법인명">[128]입력자료!$C$3</definedName>
    <definedName name="법인명_상호명">[129]회사정보!$C$6</definedName>
    <definedName name="법인세" localSheetId="15">#REF!</definedName>
    <definedName name="법인세">#REF!</definedName>
    <definedName name="변경" localSheetId="15">#REF!</definedName>
    <definedName name="변경">#REF!</definedName>
    <definedName name="변경월" localSheetId="15">#REF!</definedName>
    <definedName name="변경월">#REF!</definedName>
    <definedName name="변경전" localSheetId="15">#REF!</definedName>
    <definedName name="변경전">#REF!</definedName>
    <definedName name="변동율기준표" localSheetId="15">[0]!BlankMacro1</definedName>
    <definedName name="변동율기준표">[0]!BlankMacro1</definedName>
    <definedName name="보건후생비">'[85]인건비예산(정규직)'!$IU$28:$IU$276</definedName>
    <definedName name="보건후생비임">'[85]인건비예산(정규직)'!$IU$18:$IU$27</definedName>
    <definedName name="보고1">[130]MH_생산!#REF!</definedName>
    <definedName name="보고2">[130]MH_생산!#REF!</definedName>
    <definedName name="보람R.P" localSheetId="15">#REF!</definedName>
    <definedName name="보람R.P">#REF!</definedName>
    <definedName name="보람특금" localSheetId="15">#REF!</definedName>
    <definedName name="보람특금">#REF!</definedName>
    <definedName name="보미" localSheetId="15">#REF!</definedName>
    <definedName name="보미">#REF!</definedName>
    <definedName name="보증금">[103]선수보증금!$E$2:$F$428</definedName>
    <definedName name="보증금명세서">'[4]보증금(기타)'!#REF!</definedName>
    <definedName name="보증기관" localSheetId="15">#REF!</definedName>
    <definedName name="보증기관">#REF!</definedName>
    <definedName name="보증선수" localSheetId="15">#REF!</definedName>
    <definedName name="보증선수">#REF!</definedName>
    <definedName name="보통이자" localSheetId="15">#REF!</definedName>
    <definedName name="보통이자">#REF!</definedName>
    <definedName name="보험료계">[95]급여!#REF!</definedName>
    <definedName name="보험사코드" localSheetId="15">#REF!</definedName>
    <definedName name="보험사코드">#REF!</definedName>
    <definedName name="복1">'[86]1분기재고장'!$AB$1:$AB$65536</definedName>
    <definedName name="복10">'[75]1월'!$P$1:$P$65536</definedName>
    <definedName name="복11">'[75]2월'!$P$1:$P$65536</definedName>
    <definedName name="복12">'[75]3월'!$P$1:$P$65536</definedName>
    <definedName name="복13">'[75]4월'!$P$1:$P$65536</definedName>
    <definedName name="복14">'[75]5월'!$R$1:$R$65536</definedName>
    <definedName name="복15">'[75]6월'!$S$1:$S$65536</definedName>
    <definedName name="복2">'[86]2분기재고'!$AG$1:$AG$65536</definedName>
    <definedName name="복3" localSheetId="15">#REF!</definedName>
    <definedName name="복3">#REF!</definedName>
    <definedName name="복층">[76]출고!$U$1:$U$65536</definedName>
    <definedName name="본사">[91]TB!#REF!</definedName>
    <definedName name="본사누계">[91]TB!#REF!</definedName>
    <definedName name="본사전기">[91]TB!#REF!</definedName>
    <definedName name="부가금" localSheetId="15">#REF!</definedName>
    <definedName name="부가금">#REF!</definedName>
    <definedName name="부담금공군" localSheetId="15">#REF!</definedName>
    <definedName name="부담금공군">#REF!</definedName>
    <definedName name="부담금국직" localSheetId="15">#REF!</definedName>
    <definedName name="부담금국직">#REF!</definedName>
    <definedName name="부담금육군" localSheetId="15">#REF!</definedName>
    <definedName name="부담금육군">#REF!</definedName>
    <definedName name="부담금해군" localSheetId="15">#REF!</definedName>
    <definedName name="부담금해군">#REF!</definedName>
    <definedName name="부도어음" localSheetId="15">#REF!</definedName>
    <definedName name="부도어음">#REF!</definedName>
    <definedName name="부산">[104]Macro3!$A$1</definedName>
    <definedName name="부산R.P" localSheetId="15">#REF!</definedName>
    <definedName name="부산R.P">#REF!</definedName>
    <definedName name="부서" localSheetId="15">#REF!</definedName>
    <definedName name="부서">#REF!</definedName>
    <definedName name="부속" hidden="1">[20]수정시산표!#REF!</definedName>
    <definedName name="부평">[91]TB!#REF!</definedName>
    <definedName name="분개및수수료계상" localSheetId="15">#REF!</definedName>
    <definedName name="분개및수수료계상">#REF!</definedName>
    <definedName name="분기별" localSheetId="15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류" localSheetId="15">#REF!</definedName>
    <definedName name="분류">#REF!</definedName>
    <definedName name="브레이크" localSheetId="15">#REF!</definedName>
    <definedName name="브레이크">#REF!</definedName>
    <definedName name="비" localSheetId="15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교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A" localSheetId="15">#REF!</definedName>
    <definedName name="비교A">#REF!</definedName>
    <definedName name="비료" localSheetId="15">#REF!</definedName>
    <definedName name="비료">#REF!</definedName>
    <definedName name="비비비" hidden="1">[131]수정시산표!#REF!</definedName>
    <definedName name="비용거래" localSheetId="15">#REF!</definedName>
    <definedName name="비용거래">#REF!</definedName>
    <definedName name="비용배분" localSheetId="15">#REF!</definedName>
    <definedName name="비용배분">#REF!</definedName>
    <definedName name="비율2" hidden="1">[131]수정시산표!#REF!</definedName>
    <definedName name="ㅅ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t" localSheetId="15">#REF!</definedName>
    <definedName name="ㅅt">#REF!</definedName>
    <definedName name="ㅅㅅ" localSheetId="15">#REF!</definedName>
    <definedName name="ㅅㅅ">#REF!</definedName>
    <definedName name="ㅅ휴" localSheetId="15">#REF!</definedName>
    <definedName name="ㅅ휴">#REF!</definedName>
    <definedName name="사" localSheetId="15">#REF!</definedName>
    <definedName name="사">#REF!</definedName>
    <definedName name="사고뭉치" localSheetId="15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망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관리_94.1_12">'[132]97매출관리'!#REF!</definedName>
    <definedName name="사업년도" localSheetId="15">#REF!</definedName>
    <definedName name="사업년도">#REF!</definedName>
    <definedName name="사업년도1">[129]회사정보!$C$15</definedName>
    <definedName name="사업년도2">[129]회사정보!$C$16</definedName>
    <definedName name="사업별" localSheetId="15">[0]!BlankMacro1</definedName>
    <definedName name="사업별">[0]!BlankMacro1</definedName>
    <definedName name="사업별실적입력">[122]시산표!$AK$638</definedName>
    <definedName name="사업연도__끝">[128]입력자료!$C$11</definedName>
    <definedName name="사업연도_시작">[128]입력자료!$C$10</definedName>
    <definedName name="사업자등록번호" localSheetId="15">#REF!</definedName>
    <definedName name="사업자등록번호">#REF!</definedName>
    <definedName name="사업장소재지" localSheetId="15">#REF!</definedName>
    <definedName name="사업장소재지">#REF!</definedName>
    <definedName name="사업투자" localSheetId="15">#REF!</definedName>
    <definedName name="사업투자">#REF!</definedName>
    <definedName name="사업투자1" localSheetId="15">#REF!</definedName>
    <definedName name="사업투자1">#REF!</definedName>
    <definedName name="사원" localSheetId="15">#REF!</definedName>
    <definedName name="사원">#REF!</definedName>
    <definedName name="사원등록" localSheetId="15">#REF!</definedName>
    <definedName name="사원등록">#REF!</definedName>
    <definedName name="사월급여">'[85]인건비예산(정규직)'!$DC$28:$DC$276</definedName>
    <definedName name="사월급여임">'[85]인건비예산(정규직)'!$DC$18:$DC$27</definedName>
    <definedName name="사월상여">'[85]인건비예산(정규직)'!$DD$28:$DD$276</definedName>
    <definedName name="사월상여임">'[85]인건비예산(정규직)'!$DD$18:$DD$27</definedName>
    <definedName name="사채" localSheetId="15">#REF!</definedName>
    <definedName name="사채">#REF!</definedName>
    <definedName name="산업주예" localSheetId="15">#REF!</definedName>
    <definedName name="산업주예">#REF!</definedName>
    <definedName name="산재보험">'[85]인건비예산(정규직)'!$IP$28:$IP$276</definedName>
    <definedName name="산재보험임">'[85]인건비예산(정규직)'!$IP$18:$IP$27</definedName>
    <definedName name="삼" localSheetId="15">#REF!</definedName>
    <definedName name="삼">#REF!</definedName>
    <definedName name="삼삼환매" localSheetId="15">#REF!</definedName>
    <definedName name="삼삼환매">#REF!</definedName>
    <definedName name="삼성주식" localSheetId="15">#REF!</definedName>
    <definedName name="삼성주식">#REF!</definedName>
    <definedName name="삼성주예" localSheetId="15">#REF!</definedName>
    <definedName name="삼성주예">#REF!</definedName>
    <definedName name="삼월급여">'[85]인건비예산(정규직)'!$CL$28:$CL$276</definedName>
    <definedName name="삼월급여임">'[85]인건비예산(정규직)'!$CL$18:$CL$27</definedName>
    <definedName name="삼월상여">'[85]인건비예산(정규직)'!$CM$28:$CM$276</definedName>
    <definedName name="삼월상여임">'[85]인건비예산(정규직)'!$CM$18:$CM$27</definedName>
    <definedName name="상각비" localSheetId="15">#REF!</definedName>
    <definedName name="상각비">#REF!</definedName>
    <definedName name="상업정기" localSheetId="15">#REF!</definedName>
    <definedName name="상업정기">#REF!</definedName>
    <definedName name="상업특정" localSheetId="15">#REF!</definedName>
    <definedName name="상업특정">#REF!</definedName>
    <definedName name="상여금">[108]상여금!$A$3:$B$108</definedName>
    <definedName name="상여금1" localSheetId="15">#REF!</definedName>
    <definedName name="상여금1">#REF!</definedName>
    <definedName name="상이사항기록" localSheetId="15">#REF!</definedName>
    <definedName name="상이사항기록">#REF!</definedName>
    <definedName name="상조회">[133]상조회!$A$1:$B$36</definedName>
    <definedName name="상품시화" localSheetId="15">#REF!</definedName>
    <definedName name="상품시화">#REF!</definedName>
    <definedName name="새t" localSheetId="15">#REF!</definedName>
    <definedName name="새t">#REF!</definedName>
    <definedName name="새새샛" localSheetId="15" hidden="1">{"'미착금액'!$A$4:$G$14"}</definedName>
    <definedName name="새새샛" hidden="1">{"'미착금액'!$A$4:$G$14"}</definedName>
    <definedName name="새천년" localSheetId="15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생" localSheetId="15">#REF!</definedName>
    <definedName name="생">#REF!</definedName>
    <definedName name="생산TON" localSheetId="15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관리팀절감세부계획" localSheetId="15">[0]!BlankMacro1</definedName>
    <definedName name="생산관리팀절감세부계획">[0]!BlankMacro1</definedName>
    <definedName name="생산특장2" localSheetId="15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15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서울사무소">[91]TB!#REF!</definedName>
    <definedName name="서울사무소월차">[91]TB!#REF!</definedName>
    <definedName name="서울사무소전기">[91]TB!#REF!</definedName>
    <definedName name="선경주예" localSheetId="15">#REF!</definedName>
    <definedName name="선경주예">#REF!</definedName>
    <definedName name="선급금" localSheetId="15">#REF!</definedName>
    <definedName name="선급금">#REF!</definedName>
    <definedName name="선급법인세9">'[134]9-1차이내역'!#REF!</definedName>
    <definedName name="선급비용" localSheetId="15">#REF!</definedName>
    <definedName name="선급비용">#REF!</definedName>
    <definedName name="선수금">[103]선수보증금!$A$2:$B$18</definedName>
    <definedName name="선행시작팀" localSheetId="15">#REF!</definedName>
    <definedName name="선행시작팀">#REF!</definedName>
    <definedName name="섭외수당" localSheetId="15">#REF!</definedName>
    <definedName name="섭외수당">#REF!</definedName>
    <definedName name="성_명" localSheetId="15">#REF!</definedName>
    <definedName name="성_명">#REF!</definedName>
    <definedName name="성남">[91]TB!#REF!</definedName>
    <definedName name="성명" localSheetId="15">#REF!</definedName>
    <definedName name="성명">#REF!</definedName>
    <definedName name="세무조정" localSheetId="15">#REF!</definedName>
    <definedName name="세무조정">#REF!</definedName>
    <definedName name="세부생산계획" localSheetId="15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소">[135]제조98!#REF!</definedName>
    <definedName name="소득">[133]소득세!$A$1:$B$99</definedName>
    <definedName name="소득세">[95]급여!#REF!</definedName>
    <definedName name="소요" localSheetId="15">#REF!</definedName>
    <definedName name="소요">#REF!</definedName>
    <definedName name="소요량" localSheetId="15">#REF!</definedName>
    <definedName name="소요량">#REF!</definedName>
    <definedName name="소재검토" localSheetId="15">#REF!</definedName>
    <definedName name="소재검토">#REF!</definedName>
    <definedName name="손익" localSheetId="15">#REF!</definedName>
    <definedName name="손익">#REF!</definedName>
    <definedName name="손익별">#N/A</definedName>
    <definedName name="송" localSheetId="15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15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___출" localSheetId="15">#REF!</definedName>
    <definedName name="수_______출">#REF!</definedName>
    <definedName name="수금합계" localSheetId="15">#REF!</definedName>
    <definedName name="수금합계">#REF!</definedName>
    <definedName name="수선비세부" localSheetId="15" hidden="1">#REF!</definedName>
    <definedName name="수선비세부" hidden="1">#REF!</definedName>
    <definedName name="수수료계상" localSheetId="15">#REF!</definedName>
    <definedName name="수수료계상">#REF!</definedName>
    <definedName name="수입금액" localSheetId="15">#REF!</definedName>
    <definedName name="수입금액">#REF!</definedName>
    <definedName name="수입보증금" localSheetId="15">#REF!</definedName>
    <definedName name="수입보증금">#REF!</definedName>
    <definedName name="수정물량" localSheetId="15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분">[91]TB!#REF!</definedName>
    <definedName name="수출" localSheetId="15">#REF!</definedName>
    <definedName name="수출">#REF!</definedName>
    <definedName name="수출2" localSheetId="15">#REF!</definedName>
    <definedName name="수출2">#REF!</definedName>
    <definedName name="수탁부가" localSheetId="15">#REF!</definedName>
    <definedName name="수탁부가">#REF!</definedName>
    <definedName name="순현재가치" localSheetId="15">#REF!</definedName>
    <definedName name="순현재가치">#REF!</definedName>
    <definedName name="승용2" localSheetId="15">#REF!</definedName>
    <definedName name="승용2">#REF!</definedName>
    <definedName name="승호" localSheetId="15">#REF!</definedName>
    <definedName name="승호">#REF!</definedName>
    <definedName name="시" localSheetId="15">#REF!</definedName>
    <definedName name="시">#REF!</definedName>
    <definedName name="시간" localSheetId="15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간외수당" localSheetId="15">#REF!</definedName>
    <definedName name="시간외수당">#REF!</definedName>
    <definedName name="시매출" localSheetId="15">#REF!</definedName>
    <definedName name="시매출">#REF!</definedName>
    <definedName name="시산" localSheetId="15">#REF!</definedName>
    <definedName name="시산">#REF!</definedName>
    <definedName name="시산표">[136]미비용95!$A$3:$E$3,[136]미비용95!$A$5:$E$13</definedName>
    <definedName name="시시시">[137]미비용95!$A$3:$E$3,[137]미비용95!$A$5:$E$13</definedName>
    <definedName name="시월급여">'[85]인건비예산(정규직)'!$GZ$28:$GZ$276</definedName>
    <definedName name="시월급여임">'[85]인건비예산(정규직)'!$GZ$18:$GZ$27</definedName>
    <definedName name="시월상여">'[85]인건비예산(정규직)'!$HA$28:$HA$276</definedName>
    <definedName name="시월상여임">'[85]인건비예산(정규직)'!$HA$18:$HA$27</definedName>
    <definedName name="시이자" localSheetId="15">#REF!</definedName>
    <definedName name="시이자">#REF!</definedName>
    <definedName name="시인원" localSheetId="15">#REF!</definedName>
    <definedName name="시인원">#REF!</definedName>
    <definedName name="시화감가" localSheetId="15">#REF!</definedName>
    <definedName name="시화감가">#REF!</definedName>
    <definedName name="시화매출" localSheetId="15">#REF!</definedName>
    <definedName name="시화매출">#REF!</definedName>
    <definedName name="시화배부" localSheetId="15">#REF!</definedName>
    <definedName name="시화배부">#REF!</definedName>
    <definedName name="시화인원" localSheetId="15">#REF!</definedName>
    <definedName name="시화인원">#REF!</definedName>
    <definedName name="시화재료" localSheetId="15">#REF!</definedName>
    <definedName name="시화재료">#REF!</definedName>
    <definedName name="시화제품제고" localSheetId="15">#REF!</definedName>
    <definedName name="시화제품제고">#REF!</definedName>
    <definedName name="신부1" localSheetId="15">#REF!</definedName>
    <definedName name="신부1">#REF!</definedName>
    <definedName name="신부2" localSheetId="15">#REF!</definedName>
    <definedName name="신부2">#REF!</definedName>
    <definedName name="신비1" localSheetId="15">#REF!</definedName>
    <definedName name="신비1">#REF!</definedName>
    <definedName name="신비2" localSheetId="15">#REF!</definedName>
    <definedName name="신비2">#REF!</definedName>
    <definedName name="신수1" localSheetId="15">#REF!</definedName>
    <definedName name="신수1">#REF!</definedName>
    <definedName name="신수2" localSheetId="15">#REF!</definedName>
    <definedName name="신수2">#REF!</definedName>
    <definedName name="신신자" localSheetId="15">#REF!</definedName>
    <definedName name="신신자">#REF!</definedName>
    <definedName name="신자" localSheetId="15">#REF!</definedName>
    <definedName name="신자">#REF!</definedName>
    <definedName name="신자1" localSheetId="15">#REF!</definedName>
    <definedName name="신자1">#REF!</definedName>
    <definedName name="신자2" localSheetId="15">#REF!</definedName>
    <definedName name="신자2">#REF!</definedName>
    <definedName name="신한" localSheetId="15">#REF!</definedName>
    <definedName name="신한">#REF!</definedName>
    <definedName name="신한종금CP" localSheetId="15">#REF!</definedName>
    <definedName name="신한종금CP">#REF!</definedName>
    <definedName name="신한종장기" localSheetId="15">#REF!</definedName>
    <definedName name="신한종장기">#REF!</definedName>
    <definedName name="신한증장기" localSheetId="15">#REF!</definedName>
    <definedName name="신한증장기">#REF!</definedName>
    <definedName name="신한환매" localSheetId="15">#REF!</definedName>
    <definedName name="신한환매">#REF!</definedName>
    <definedName name="실적">[120]미비용95!$A$3:$G$3,[120]미비용95!$A$5:$F$15</definedName>
    <definedName name="실적량" localSheetId="15">#REF!</definedName>
    <definedName name="실적량">#REF!</definedName>
    <definedName name="십이월" localSheetId="15">#REF!</definedName>
    <definedName name="십이월">#REF!</definedName>
    <definedName name="십이월급여">'[85]인건비예산(정규직)'!$IH$28:$IH$276</definedName>
    <definedName name="십이월급여임">'[85]인건비예산(정규직)'!$IH$18:$IH$27</definedName>
    <definedName name="십이월상여">'[85]인건비예산(정규직)'!$II$28:$II$276</definedName>
    <definedName name="십이월상여임">'[85]인건비예산(정규직)'!$II$18:$II$27</definedName>
    <definedName name="십일월급여">'[85]인건비예산(정규직)'!$HQ$28:$HQ$276</definedName>
    <definedName name="십일월급여임">'[85]인건비예산(정규직)'!$HQ$18:$HQ$27</definedName>
    <definedName name="십일월상여">'[85]인건비예산(정규직)'!$HR$28:$HR$276</definedName>
    <definedName name="십일월상여임">'[85]인건비예산(정규직)'!$HR$18:$HR$27</definedName>
    <definedName name="ㅇ" localSheetId="15">#REF!</definedName>
    <definedName name="ㅇ">#REF!</definedName>
    <definedName name="ㅇ140" localSheetId="15">#REF!</definedName>
    <definedName name="ㅇ140">#REF!</definedName>
    <definedName name="ㅇ62" localSheetId="15">#REF!</definedName>
    <definedName name="ㅇ62">#REF!</definedName>
    <definedName name="ㅇㅇ" localSheetId="15">#REF!</definedName>
    <definedName name="ㅇㅇ">#REF!</definedName>
    <definedName name="ㅇㅇㅇ" localSheetId="15" hidden="1">{#N/A,#N/A,TRUE,"일정"}</definedName>
    <definedName name="ㅇㅇㅇ" hidden="1">{#N/A,#N/A,TRUE,"일정"}</definedName>
    <definedName name="ㅇㅇㅇㅇ">[133]SALTAB97!$B$5:$O$32</definedName>
    <definedName name="ㅇ호" localSheetId="15">[0]!BlankMacro1</definedName>
    <definedName name="ㅇ호">[0]!BlankMacro1</definedName>
    <definedName name="아">[124]협조전!#REF!</definedName>
    <definedName name="아아" localSheetId="15" hidden="1">#REF!</definedName>
    <definedName name="아아" hidden="1">#REF!</definedName>
    <definedName name="아아아" localSheetId="15" hidden="1">{"'미착금액'!$A$4:$G$14"}</definedName>
    <definedName name="아아아" hidden="1">{"'미착금액'!$A$4:$G$14"}</definedName>
    <definedName name="아이" localSheetId="15">#REF!</definedName>
    <definedName name="아이">#REF!</definedName>
    <definedName name="안" localSheetId="15">#REF!</definedName>
    <definedName name="안">#REF!</definedName>
    <definedName name="안녕" localSheetId="15">#REF!</definedName>
    <definedName name="안녕">#REF!</definedName>
    <definedName name="안녕1" localSheetId="15">#REF!</definedName>
    <definedName name="안녕1">#REF!</definedName>
    <definedName name="안녕3" localSheetId="15">#REF!</definedName>
    <definedName name="안녕3">#REF!</definedName>
    <definedName name="안녕하" hidden="1">'[138]96수표어음'!#REF!</definedName>
    <definedName name="안녕하1" hidden="1">'[138]96수표어음'!#REF!</definedName>
    <definedName name="야간근로등">[95]급여!#REF!</definedName>
    <definedName name="양" localSheetId="15">#REF!</definedName>
    <definedName name="양">#REF!</definedName>
    <definedName name="양산">[91]TB!#REF!</definedName>
    <definedName name="양산이동">[139]양산이동!$D$1:$F$65536</definedName>
    <definedName name="양일몬" localSheetId="15">[0]!BlankMacro1</definedName>
    <definedName name="양일몬">[0]!BlankMacro1</definedName>
    <definedName name="양지" localSheetId="15">#REF!</definedName>
    <definedName name="양지">#REF!</definedName>
    <definedName name="업_태" localSheetId="15">#REF!</definedName>
    <definedName name="업_태">#REF!</definedName>
    <definedName name="업무" localSheetId="15">[0]!BlankMacro1</definedName>
    <definedName name="업무">[0]!BlankMacro1</definedName>
    <definedName name="업무2" localSheetId="15">[0]!BlankMacro1</definedName>
    <definedName name="업무2">[0]!BlankMacro1</definedName>
    <definedName name="업무가지급금_여천호남석유화학_조병택">[140]월출납!#REF!</definedName>
    <definedName name="업무비" localSheetId="15">#REF!</definedName>
    <definedName name="업무비">#REF!</definedName>
    <definedName name="업무연락">'[141]9703'!#REF!</definedName>
    <definedName name="업무연락안양식_209_List">[142]본문!#REF!</definedName>
    <definedName name="업무협의식대">'[85]인건비예산(정규직)'!$IS$28:$IS$276</definedName>
    <definedName name="업체명">[143]업체명!$A$3:$B$2465</definedName>
    <definedName name="업체현황" localSheetId="15">#REF!</definedName>
    <definedName name="업체현황">#REF!</definedName>
    <definedName name="엉댜ㄷㅈ" localSheetId="15">#REF!</definedName>
    <definedName name="엉댜ㄷㅈ">#REF!</definedName>
    <definedName name="엉댜ㄷㅈ1">#N/A</definedName>
    <definedName name="에이" localSheetId="15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엘지주식" localSheetId="15">#REF!</definedName>
    <definedName name="엘지주식">#REF!</definedName>
    <definedName name="여신보고">[144]여신보고용!$A$5:$AJ$422</definedName>
    <definedName name="연금">[133]의보!$C$1:$D$100</definedName>
    <definedName name="연말정산LIST" localSheetId="15">#REF!</definedName>
    <definedName name="연말정산LIST">#REF!</definedName>
    <definedName name="연습" localSheetId="15">#REF!</definedName>
    <definedName name="연습">#REF!</definedName>
    <definedName name="연월차수당" localSheetId="15">#REF!</definedName>
    <definedName name="연월차수당">#REF!</definedName>
    <definedName name="연체이자">[103]Sheet5!$H$2:$I$541</definedName>
    <definedName name="연체일수">[103]연체일수!$A$2:$C$201</definedName>
    <definedName name="영" localSheetId="15">#REF!</definedName>
    <definedName name="영">#REF!</definedName>
    <definedName name="영1">'[86]1분기재고장'!$AE$1:$AE$65536</definedName>
    <definedName name="영10">'[75]1월'!$S$1:$S$65536</definedName>
    <definedName name="영11">'[75]2월'!$S$1:$S$65536</definedName>
    <definedName name="영12">'[75]3월'!$S$1:$S$65536</definedName>
    <definedName name="영13">'[75]4월'!$S$1:$S$65536</definedName>
    <definedName name="영14">'[75]5월'!$U$1:$U$65536</definedName>
    <definedName name="영15">'[75]6월'!$V$1:$V$65536</definedName>
    <definedName name="영2">'[86]2분기재고'!$AJ$1:$AJ$65536</definedName>
    <definedName name="영3" localSheetId="15">#REF!</definedName>
    <definedName name="영3">#REF!</definedName>
    <definedName name="영성기업" localSheetId="15" hidden="1">{#N/A,#N/A,FALSE,"범우구미";#N/A,#N/A,FALSE,"세한케미칼";#N/A,#N/A,FALSE,"세명화학";#N/A,#N/A,FALSE,"신영케미칼";#N/A,#N/A,FALSE,"일석상사"}</definedName>
    <definedName name="영성기업" hidden="1">{#N/A,#N/A,FALSE,"범우구미";#N/A,#N/A,FALSE,"세한케미칼";#N/A,#N/A,FALSE,"세명화학";#N/A,#N/A,FALSE,"신영케미칼";#N/A,#N/A,FALSE,"일석상사"}</definedName>
    <definedName name="영업">[76]출고!$X$1:$X$65536</definedName>
    <definedName name="영역" localSheetId="15">#REF!</definedName>
    <definedName name="영역">#REF!</definedName>
    <definedName name="영역1" localSheetId="15">#REF!</definedName>
    <definedName name="영역1">#REF!</definedName>
    <definedName name="영외수" localSheetId="15">#REF!</definedName>
    <definedName name="영외수">#REF!</definedName>
    <definedName name="영이" localSheetId="15">#REF!</definedName>
    <definedName name="영이">#REF!</definedName>
    <definedName name="영이매출채권">'[145]02매출채권'!$A$1:$B$65536</definedName>
    <definedName name="예금구좌">[146]예금구좌!$A$1:$B$48</definedName>
    <definedName name="예산총괄시트설ONLY" localSheetId="15">#REF!</definedName>
    <definedName name="예산총괄시트설ONLY">#REF!</definedName>
    <definedName name="예수금" localSheetId="15">#REF!</definedName>
    <definedName name="예수금">#REF!</definedName>
    <definedName name="예치금_BS" localSheetId="15">#REF!</definedName>
    <definedName name="예치금_BS">#REF!</definedName>
    <definedName name="오" localSheetId="15">#REF!</definedName>
    <definedName name="오">#REF!</definedName>
    <definedName name="오감">[97]기초해지2!$D$1084:$E$1156</definedName>
    <definedName name="오금" localSheetId="15">#REF!</definedName>
    <definedName name="오금">#REF!</definedName>
    <definedName name="오금미" localSheetId="15">#REF!</definedName>
    <definedName name="오금미">#REF!</definedName>
    <definedName name="오늘" localSheetId="15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릉" localSheetId="15">[0]!BlankMacro1</definedName>
    <definedName name="오릉">[0]!BlankMacro1</definedName>
    <definedName name="오미" localSheetId="15">#REF!</definedName>
    <definedName name="오미">#REF!</definedName>
    <definedName name="오보" localSheetId="15">#REF!</definedName>
    <definedName name="오보">#REF!</definedName>
    <definedName name="오상" localSheetId="15">#REF!</definedName>
    <definedName name="오상">#REF!</definedName>
    <definedName name="오선수" localSheetId="15">#REF!</definedName>
    <definedName name="오선수">#REF!</definedName>
    <definedName name="오성협" localSheetId="15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연">[97]기초해지!$A$929:$D$956</definedName>
    <definedName name="오월급여">'[85]인건비예산(정규직)'!$DT$28:$DT$276</definedName>
    <definedName name="오월급여임">'[85]인건비예산(정규직)'!$DT$18:$DT$27</definedName>
    <definedName name="오월상여">'[85]인건비예산(정규직)'!$DU$28:$DU$276</definedName>
    <definedName name="오월상여임">'[85]인건비예산(정규직)'!$DU$18:$DU$27</definedName>
    <definedName name="오은미" localSheetId="15">#REF!</definedName>
    <definedName name="오은미">#REF!</definedName>
    <definedName name="오잔a">[97]기초해지!$A$4172:$C$4201</definedName>
    <definedName name="오잔가" localSheetId="15">#REF!</definedName>
    <definedName name="오잔가">#REF!</definedName>
    <definedName name="오토a" localSheetId="15">#REF!</definedName>
    <definedName name="오토a">#REF!</definedName>
    <definedName name="오토편집">[147]연체리스료!$A$1:$M$201</definedName>
    <definedName name="오토해">[97]기초해지!$A$345:$I$711</definedName>
    <definedName name="완검업체통보_목표" localSheetId="15">#REF!</definedName>
    <definedName name="완검업체통보_목표">#REF!</definedName>
    <definedName name="완료" localSheetId="15">#REF!</definedName>
    <definedName name="완료">#REF!</definedName>
    <definedName name="완성차불만" localSheetId="15">[0]!BlankMacro1</definedName>
    <definedName name="완성차불만">[0]!BlankMacro1</definedName>
    <definedName name="외공">[76]출고!$W$1:$W$65536</definedName>
    <definedName name="외공10">'[75]1월'!$R$1:$R$65536</definedName>
    <definedName name="외공11">'[75]2월'!$R$1:$R$65536</definedName>
    <definedName name="외공12">'[75]3월'!$R$1:$R$65536</definedName>
    <definedName name="외공13">'[75]4월'!$R$1:$R$65536</definedName>
    <definedName name="외공14">'[75]5월'!$T$1:$T$65536</definedName>
    <definedName name="외공15">'[75]6월'!$U$1:$U$65536</definedName>
    <definedName name="외공3" localSheetId="15">#REF!</definedName>
    <definedName name="외공3">#REF!</definedName>
    <definedName name="외국인급여" localSheetId="15">#REF!</definedName>
    <definedName name="외국인급여">#REF!</definedName>
    <definedName name="외상" localSheetId="15">#REF!</definedName>
    <definedName name="외상">#REF!</definedName>
    <definedName name="외상매입" localSheetId="15">#REF!</definedName>
    <definedName name="외상매입">#REF!</definedName>
    <definedName name="외상매입금" localSheetId="15">#REF!</definedName>
    <definedName name="외상매입금">#REF!</definedName>
    <definedName name="외상매출" localSheetId="15">#REF!</definedName>
    <definedName name="외상매출">#REF!</definedName>
    <definedName name="외상매출금" localSheetId="15">#REF!</definedName>
    <definedName name="외상매출금">#REF!</definedName>
    <definedName name="외영">[76]출고!$V$1:$V$65536</definedName>
    <definedName name="외영10">'[75]1월'!$Q$1:$Q$65536</definedName>
    <definedName name="외영11">'[75]2월'!$Q$1:$Q$65536</definedName>
    <definedName name="외영12">'[75]3월'!$Q$1:$Q$65536</definedName>
    <definedName name="외영13">'[75]4월'!$Q$1:$Q$65536</definedName>
    <definedName name="외영14">'[75]5월'!$S$1:$S$65536</definedName>
    <definedName name="외영15">'[75]6월'!$T$1:$T$65536</definedName>
    <definedName name="외영3" localSheetId="15">#REF!</definedName>
    <definedName name="외영3">#REF!</definedName>
    <definedName name="외주계획" localSheetId="15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평">[97]기초해지!$A$959:$D$1269</definedName>
    <definedName name="외화금융리스채권">[115]maccp04!$C$3177:$H$3350</definedName>
    <definedName name="외화달라">[103]검산금액!$E$509:$F$819</definedName>
    <definedName name="외화자산부채환산주석" localSheetId="15">BlankMacro1</definedName>
    <definedName name="외화자산부채환산주석">BlankMacro1</definedName>
    <definedName name="외화평가" localSheetId="15">#REF!</definedName>
    <definedName name="외화평가">#REF!</definedName>
    <definedName name="외환" localSheetId="15">#REF!</definedName>
    <definedName name="외환">#REF!</definedName>
    <definedName name="외환특금" localSheetId="15">#REF!</definedName>
    <definedName name="외환특금">#REF!</definedName>
    <definedName name="용역" localSheetId="15">[0]!BlankMacro1</definedName>
    <definedName name="용역">[0]!BlankMacro1</definedName>
    <definedName name="용역인건비14">'[85]인건비예산(용역)'!$R$8:$R$140</definedName>
    <definedName name="용역인건비14잡급">'[85]인건비예산(용역)'!$S$8:$S$140</definedName>
    <definedName name="용역인건비14회식대">'[85]인건비예산(용역)'!$T$8:$T$140</definedName>
    <definedName name="용역인건비24">'[85]인건비예산(용역)'!$AG$8:$AG$140</definedName>
    <definedName name="용역인건비24잡급">'[85]인건비예산(용역)'!$AH$8:$AH$140</definedName>
    <definedName name="용역인건비24회식대">'[85]인건비예산(용역)'!$AI$8:$AI$140</definedName>
    <definedName name="용역인건비34">'[85]인건비예산(용역)'!$AV$8:$AV$140</definedName>
    <definedName name="용역인건비34잡급">'[85]인건비예산(용역)'!$AW$8:$AW$140</definedName>
    <definedName name="용역인건비34회식대">'[85]인건비예산(용역)'!$AX$8:$AX$140</definedName>
    <definedName name="용역인건비44">'[85]인건비예산(용역)'!$BK$8:$BK$140</definedName>
    <definedName name="용역인건비44잡급">'[85]인건비예산(용역)'!$BL$8:$BL$140</definedName>
    <definedName name="용역인건비44회식대">'[85]인건비예산(용역)'!$BM$8:$BM$140</definedName>
    <definedName name="우리나라" localSheetId="15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별은" localSheetId="15">[0]!BlankMacro1</definedName>
    <definedName name="우리별은">[0]!BlankMacro1</definedName>
    <definedName name="우편번호" localSheetId="15">#REF!</definedName>
    <definedName name="우편번호">#REF!</definedName>
    <definedName name="운" localSheetId="15">#REF!</definedName>
    <definedName name="운">#REF!</definedName>
    <definedName name="운송">'[148]9-1차이내역'!#REF!</definedName>
    <definedName name="운송ㅁ">'[148]9-1차이내역'!#REF!</definedName>
    <definedName name="운송명세">'[148]9-1차이내역'!#REF!</definedName>
    <definedName name="원" localSheetId="15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" localSheetId="15">BlankMacro1</definedName>
    <definedName name="원가">BlankMacro1</definedName>
    <definedName name="원가1">[52]원가정리!$B$1:$O$34</definedName>
    <definedName name="원가1임">'[85]인건비예산(정규직)'!$T$18:$T$27</definedName>
    <definedName name="원가2">[52]원가정리!$P$1:$AC$34</definedName>
    <definedName name="원가2임">'[149]인력(정규직)'!#REF!</definedName>
    <definedName name="원가3">'[85]인건비예산(용역)'!$E$8:$E$140</definedName>
    <definedName name="원가개선" localSheetId="15">[0]!BlankMacro1</definedName>
    <definedName name="원가개선">[0]!BlankMacro1</definedName>
    <definedName name="원가계획" localSheetId="15">#REF!</definedName>
    <definedName name="원가계획">#REF!</definedName>
    <definedName name="원가분개">[91]TB!#REF!</definedName>
    <definedName name="원가전표입력">[122]원가!$S$94</definedName>
    <definedName name="원금" localSheetId="15">#REF!</definedName>
    <definedName name="원금">#REF!</definedName>
    <definedName name="원단" localSheetId="15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재료1" localSheetId="15">#REF!</definedName>
    <definedName name="원재료1">#REF!</definedName>
    <definedName name="원화금융리스채권">[115]maccp04!$C$2660:$H$3174</definedName>
    <definedName name="원화채권">[150]검산금액!$E$4:$F$505</definedName>
    <definedName name="월별보전비" localSheetId="15">#REF!</definedName>
    <definedName name="월별보전비">#REF!</definedName>
    <definedName name="월별분배" localSheetId="15">[0]!BlankMacro1</definedName>
    <definedName name="월별분배">[0]!BlankMacro1</definedName>
    <definedName name="월실적" localSheetId="15">#REF!</definedName>
    <definedName name="월실적">#REF!</definedName>
    <definedName name="월차수" localSheetId="15">#REF!</definedName>
    <definedName name="월차수">#REF!</definedName>
    <definedName name="유가증권" localSheetId="15">#REF!</definedName>
    <definedName name="유가증권">#REF!</definedName>
    <definedName name="유가증권평가" hidden="1">[151]지역개발!#REF!</definedName>
    <definedName name="유동성" localSheetId="15" hidden="1">#REF!</definedName>
    <definedName name="유동성" hidden="1">#REF!</definedName>
    <definedName name="유동성사채" localSheetId="15">#REF!</definedName>
    <definedName name="유동성사채">#REF!</definedName>
    <definedName name="유동성장기부채" localSheetId="15">#REF!</definedName>
    <definedName name="유동성장기부채">#REF!</definedName>
    <definedName name="유월급여">'[85]인건비예산(정규직)'!$EK$28:$EK$276</definedName>
    <definedName name="유월급여임">'[85]인건비예산(정규직)'!$EK$18:$EK$27</definedName>
    <definedName name="유월상여">'[85]인건비예산(정규직)'!$EL$28:$EL$276</definedName>
    <definedName name="유월상여임">'[85]인건비예산(정규직)'!$EL$18:$EL$27</definedName>
    <definedName name="유형자산" localSheetId="15">#REF!</definedName>
    <definedName name="유형자산">#REF!</definedName>
    <definedName name="육" localSheetId="15">#REF!</definedName>
    <definedName name="육">#REF!</definedName>
    <definedName name="윤년">[93]자료!$J$3:$K$14</definedName>
    <definedName name="율">'[73]비품(94이전)'!#REF!</definedName>
    <definedName name="의료보험">'[85]인건비예산(정규직)'!$IO$28:$IO$276</definedName>
    <definedName name="의료보험임">'[85]인건비예산(정규직)'!$IO$18:$IO$27</definedName>
    <definedName name="의보">[133]의보!$A$1:$G$101</definedName>
    <definedName name="의보등급" localSheetId="15">#REF!</definedName>
    <definedName name="의보등급">#REF!</definedName>
    <definedName name="이" localSheetId="15">#REF!</definedName>
    <definedName name="이">#REF!</definedName>
    <definedName name="이동평균12개월">ROUND(AVERAGE([45]월별데이타!#REF!),0)</definedName>
    <definedName name="이름" localSheetId="15" hidden="1">{#N/A,#N/A,TRUE,"Y생산";#N/A,#N/A,TRUE,"Y판매";#N/A,#N/A,TRUE,"Y총물량";#N/A,#N/A,TRUE,"Y능력";#N/A,#N/A,TRUE,"YKD"}</definedName>
    <definedName name="이름" hidden="1">{#N/A,#N/A,TRUE,"Y생산";#N/A,#N/A,TRUE,"Y판매";#N/A,#N/A,TRUE,"Y총물량";#N/A,#N/A,TRUE,"Y능력";#N/A,#N/A,TRUE,"YKD"}</definedName>
    <definedName name="이름이" localSheetId="15">[0]!BlankMacro1</definedName>
    <definedName name="이름이">[0]!BlankMacro1</definedName>
    <definedName name="이름충돌\" localSheetId="15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매출" localSheetId="15">#REF!</definedName>
    <definedName name="이매출">#REF!</definedName>
    <definedName name="이상" localSheetId="15">#REF!</definedName>
    <definedName name="이상">#REF!</definedName>
    <definedName name="이연자산" localSheetId="15">#REF!</definedName>
    <definedName name="이연자산">#REF!</definedName>
    <definedName name="이월급여">'[85]인건비예산(정규직)'!$BU$28:$BU$276</definedName>
    <definedName name="이월급여임">'[85]인건비예산(정규직)'!$BU$18:$BU$27</definedName>
    <definedName name="이월상여">'[85]인건비예산(정규직)'!$BV$28:$BV$276</definedName>
    <definedName name="이월상여임">'[85]인건비예산(정규직)'!$BV$18:$BV$27</definedName>
    <definedName name="이월수주">[152]주간!$A$18:$B$35</definedName>
    <definedName name="이이자" localSheetId="15">#REF!</definedName>
    <definedName name="이이자">#REF!</definedName>
    <definedName name="이익">[153]한세A4PL!#REF!</definedName>
    <definedName name="이익2" localSheetId="15">#REF!</definedName>
    <definedName name="이익2">#REF!</definedName>
    <definedName name="이익잉여금처분" localSheetId="15">#REF!</definedName>
    <definedName name="이익잉여금처분">#REF!</definedName>
    <definedName name="이익잉영금" localSheetId="15">#REF!</definedName>
    <definedName name="이익잉영금">#REF!</definedName>
    <definedName name="이인원" localSheetId="15">#REF!</definedName>
    <definedName name="이인원">#REF!</definedName>
    <definedName name="이자수익OVERALL">#N/A</definedName>
    <definedName name="이자율" localSheetId="15">#REF!</definedName>
    <definedName name="이자율">#REF!</definedName>
    <definedName name="이천이임금">'[154]급여 (2)'!$A$1:$D$85</definedName>
    <definedName name="이천일잔액">'[154]01퇴충'!$A$3:$B$81</definedName>
    <definedName name="이화감가" localSheetId="15">#REF!</definedName>
    <definedName name="이화감가">#REF!</definedName>
    <definedName name="이화매출" localSheetId="15">#REF!</definedName>
    <definedName name="이화매출">#REF!</definedName>
    <definedName name="이화인원" localSheetId="15">#REF!</definedName>
    <definedName name="이화인원">#REF!</definedName>
    <definedName name="인쇄" localSheetId="15">[79]대차대조표!#REF!,[79]대차대조표!$A$10:$H$134</definedName>
    <definedName name="인쇄">[79]대차대조표!#REF!,[79]대차대조표!$A$10:$H$134</definedName>
    <definedName name="인쇄영역" localSheetId="15">[79]손익계산서!#REF!,[79]손익계산서!#REF!,[79]손익계산서!#REF!,[79]손익계산서!#REF!,[79]손익계산서!$A$9:$H$123</definedName>
    <definedName name="인쇄영역">[79]손익계산서!#REF!,[79]손익계산서!#REF!,[79]손익계산서!#REF!,[79]손익계산서!#REF!,[79]손익계산서!$A$9:$H$123</definedName>
    <definedName name="인쇄제목" localSheetId="15">#REF!</definedName>
    <definedName name="인쇄제목">#REF!</definedName>
    <definedName name="인원세부" localSheetId="15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원충원사유" localSheetId="15" hidden="1">{#N/A,#N/A,FALSE,"계약직(여)"}</definedName>
    <definedName name="인원충원사유" hidden="1">{#N/A,#N/A,FALSE,"계약직(여)"}</definedName>
    <definedName name="일">[103]기초해지!$S$2:$T$383</definedName>
    <definedName name="일년">[155]Sheet3!$A$1:$F$65536</definedName>
    <definedName name="일동" localSheetId="15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등국민" localSheetId="15">[0]!BlankMacro1</definedName>
    <definedName name="일등국민">[0]!BlankMacro1</definedName>
    <definedName name="일반" localSheetId="15">#REF!</definedName>
    <definedName name="일반">#REF!</definedName>
    <definedName name="일사분기">[155]Sheet2!$A$1:$F$65536</definedName>
    <definedName name="일월급여">'[85]인건비예산(정규직)'!$BD$28:$BD$276</definedName>
    <definedName name="일월급여임">'[85]인건비예산(정규직)'!$BD$18:$BD$27</definedName>
    <definedName name="일월상여">'[85]인건비예산(정규직)'!$BE$28:$BE$276</definedName>
    <definedName name="일월상여임">'[85]인건비예산(정규직)'!$BE$18:$BE$27</definedName>
    <definedName name="일자">[97]기초해지!$M$346:$N$750</definedName>
    <definedName name="일정" localSheetId="15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임원활동비">'[85]인건비예산(정규직)'!$IR$18:$IR$27</definedName>
    <definedName name="임차보증금" localSheetId="15">#REF!</definedName>
    <definedName name="임차보증금">#REF!</definedName>
    <definedName name="입1">'[86]1분기재고장'!$V$1:$V$65536</definedName>
    <definedName name="입10">'[75]1월'!$F$1:$F$65536</definedName>
    <definedName name="입11">'[75]2월'!$F$1:$F$65536</definedName>
    <definedName name="입12">'[75]3월'!$F$1:$F$65536</definedName>
    <definedName name="입13">'[75]4월'!$F$1:$F$65536</definedName>
    <definedName name="입14">'[75]5월'!$H$1:$H$65536</definedName>
    <definedName name="입15">'[75]6월'!$H$1:$H$65536</definedName>
    <definedName name="입2">'[86]2분기재고'!$AA$1:$AA$65536</definedName>
    <definedName name="입3" localSheetId="15">#REF!</definedName>
    <definedName name="입3">#REF!</definedName>
    <definedName name="입금">[76]입고!$U$1:$U$65536</definedName>
    <definedName name="입수">[76]입고!$Q$1:$Q$65536</definedName>
    <definedName name="입코">[76]입고!$I$1:$I$65536</definedName>
    <definedName name="잉" localSheetId="1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잉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ㅈ" localSheetId="15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ㅈ" localSheetId="1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자">'[156]소상 "1"'!#REF!</definedName>
    <definedName name="자금수지_00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계획">[157]MACRO2!$A$1</definedName>
    <definedName name="자랑" localSheetId="15">[0]!BlankMacro1</definedName>
    <definedName name="자랑">[0]!BlankMacro1</definedName>
    <definedName name="자료" localSheetId="15">#REF!</definedName>
    <definedName name="자료">#REF!</definedName>
    <definedName name="자료연구비" localSheetId="15">#REF!</definedName>
    <definedName name="자료연구비">#REF!</definedName>
    <definedName name="자매출" localSheetId="15">#REF!</definedName>
    <definedName name="자매출">#REF!</definedName>
    <definedName name="자본금_을" localSheetId="15">#REF!</definedName>
    <definedName name="자본금_을">#REF!</definedName>
    <definedName name="자본금과잉여금" localSheetId="15">#REF!</definedName>
    <definedName name="자본금과잉여금">#REF!</definedName>
    <definedName name="자산건전성" localSheetId="15">#REF!</definedName>
    <definedName name="자산건전성">#REF!</definedName>
    <definedName name="자산현금유입" localSheetId="15">#REF!,#REF!,#REF!,#REF!</definedName>
    <definedName name="자산현금유입">#REF!,#REF!,#REF!,#REF!</definedName>
    <definedName name="자산현금유출" localSheetId="15">#REF!,#REF!,#REF!,#REF!</definedName>
    <definedName name="자산현금유출">#REF!,#REF!,#REF!,#REF!</definedName>
    <definedName name="자삽비" localSheetId="15">#REF!</definedName>
    <definedName name="자삽비">#REF!</definedName>
    <definedName name="자이자" localSheetId="15">#REF!</definedName>
    <definedName name="자이자">#REF!</definedName>
    <definedName name="자인원" localSheetId="15">#REF!</definedName>
    <definedName name="자인원">#REF!</definedName>
    <definedName name="자재기준" localSheetId="15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일수" localSheetId="15">#REF!</definedName>
    <definedName name="작업일수">#REF!</definedName>
    <definedName name="잔가">[103]잔가합계!$A$2:$B$323</definedName>
    <definedName name="잔업">[133]생산직잔업!$B$2:$D$30</definedName>
    <definedName name="장기차입" localSheetId="15">#REF!</definedName>
    <definedName name="장기차입">#REF!</definedName>
    <definedName name="장기차입2000" localSheetId="15" hidden="1">#REF!</definedName>
    <definedName name="장기차입2000" hidden="1">#REF!</definedName>
    <definedName name="장기투자.94.BB" localSheetId="15">#REF!</definedName>
    <definedName name="장기투자.94.BB">#REF!</definedName>
    <definedName name="장부">[158]장부!$A$1:$C$373</definedName>
    <definedName name="장부가액" localSheetId="15">#REF!</definedName>
    <definedName name="장부가액">#REF!</definedName>
    <definedName name="장부가액합계" localSheetId="15">#REF!</definedName>
    <definedName name="장부가액합계">#REF!</definedName>
    <definedName name="장상">[154]연간상여집계j!$D$1:$F$106</definedName>
    <definedName name="장선리" localSheetId="15">#REF!</definedName>
    <definedName name="장선리">#REF!</definedName>
    <definedName name="장예">[94]수신!#REF!</definedName>
    <definedName name="장학금" localSheetId="15">#REF!</definedName>
    <definedName name="장학금">#REF!</definedName>
    <definedName name="재고1" localSheetId="15">#REF!</definedName>
    <definedName name="재고1">#REF!</definedName>
    <definedName name="재고2" localSheetId="15">#REF!</definedName>
    <definedName name="재고2">#REF!</definedName>
    <definedName name="재고자산">[112]COBS!$G$19</definedName>
    <definedName name="재료DATA" localSheetId="15">#REF!</definedName>
    <definedName name="재료DATA">#REF!</definedName>
    <definedName name="재영">[159]한세A4PL!#REF!</definedName>
    <definedName name="재재재" localSheetId="15" hidden="1">{"'미착금액'!$A$4:$G$14"}</definedName>
    <definedName name="재재재" hidden="1">{"'미착금액'!$A$4:$G$14"}</definedName>
    <definedName name="재해" localSheetId="15">#REF!</definedName>
    <definedName name="재해">#REF!</definedName>
    <definedName name="재흥" localSheetId="15" hidden="1">{#N/A,#N/A,TRUE,"Y생산";#N/A,#N/A,TRUE,"Y판매";#N/A,#N/A,TRUE,"Y총물량";#N/A,#N/A,TRUE,"Y능력";#N/A,#N/A,TRUE,"YKD"}</definedName>
    <definedName name="재흥" hidden="1">{#N/A,#N/A,TRUE,"Y생산";#N/A,#N/A,TRUE,"Y판매";#N/A,#N/A,TRUE,"Y총물량";#N/A,#N/A,TRUE,"Y능력";#N/A,#N/A,TRUE,"YKD"}</definedName>
    <definedName name="저장품" localSheetId="15">#REF!</definedName>
    <definedName name="저장품">#REF!</definedName>
    <definedName name="적금원장" localSheetId="15">#REF!</definedName>
    <definedName name="적금원장">#REF!</definedName>
    <definedName name="적금자료" localSheetId="15">#REF!</definedName>
    <definedName name="적금자료">#REF!</definedName>
    <definedName name="전" localSheetId="15">#REF!</definedName>
    <definedName name="전">#REF!</definedName>
    <definedName name="전_화_번_호" localSheetId="15">#REF!</definedName>
    <definedName name="전_화_번_호">#REF!</definedName>
    <definedName name="전기" localSheetId="15">#REF!</definedName>
    <definedName name="전기">#REF!</definedName>
    <definedName name="전기대비당기분석">#N/A</definedName>
    <definedName name="전기말대손금" localSheetId="15">#REF!</definedName>
    <definedName name="전기말대손금">#REF!</definedName>
    <definedName name="전기제품제조원가">[101]제조원가!$E$51</definedName>
    <definedName name="전기충당금">[103]Sheet6!$A$2:$C$914</definedName>
    <definedName name="전대차입" localSheetId="15" hidden="1">#REF!</definedName>
    <definedName name="전대차입" hidden="1">#REF!</definedName>
    <definedName name="전사종합">[160]업체명!$A$3:$B$2465</definedName>
    <definedName name="전사종합기초1">[160]업체명!$A$3:$B$2465</definedName>
    <definedName name="전산실야간짝수" localSheetId="15">#REF!</definedName>
    <definedName name="전산실야간짝수">#REF!</definedName>
    <definedName name="전산실야간홀수" localSheetId="15">#REF!</definedName>
    <definedName name="전산실야간홀수">#REF!</definedName>
    <definedName name="전세보증금">'[4]보증금(기타)'!#REF!</definedName>
    <definedName name="전신보증금">'[4]보증금(기타)'!#REF!</definedName>
    <definedName name="전신전화">'[4]보증금(기타)'!#REF!</definedName>
    <definedName name="전입액" localSheetId="15">#REF!</definedName>
    <definedName name="전입액">#REF!</definedName>
    <definedName name="전진전화보증금">'[4]보증금(기타)'!#REF!</definedName>
    <definedName name="전체24" localSheetId="15">#REF!</definedName>
    <definedName name="전체24">#REF!</definedName>
    <definedName name="전체범위" localSheetId="15">#REF!</definedName>
    <definedName name="전체범위">#REF!</definedName>
    <definedName name="전표" localSheetId="15">#REF!</definedName>
    <definedName name="전표">#REF!</definedName>
    <definedName name="절감" localSheetId="15">[0]!BlankMacro1</definedName>
    <definedName name="절감">[0]!BlankMacro1</definedName>
    <definedName name="접1">'[86]1분기재고장'!$AC$1:$AC$65536</definedName>
    <definedName name="접10">'[75]1월'!$O$1:$O$65536</definedName>
    <definedName name="접11">'[75]2월'!$O$1:$O$65536</definedName>
    <definedName name="접12">'[75]3월'!$O$1:$O$65536</definedName>
    <definedName name="접13">'[75]4월'!$O$1:$O$65536</definedName>
    <definedName name="접14">'[75]5월'!$Q$1:$Q$65536</definedName>
    <definedName name="접15">'[75]6월'!$R$1:$R$65536</definedName>
    <definedName name="접2">'[86]2분기재고'!$AH$1:$AH$65536</definedName>
    <definedName name="접3" localSheetId="15">#REF!</definedName>
    <definedName name="접3">#REF!</definedName>
    <definedName name="접대비" localSheetId="1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갑" localSheetId="15">#REF!</definedName>
    <definedName name="접대비갑">#REF!</definedName>
    <definedName name="접대비을" localSheetId="15">#REF!</definedName>
    <definedName name="접대비을">#REF!</definedName>
    <definedName name="접대비지출내역" localSheetId="15">#REF!</definedName>
    <definedName name="접대비지출내역">#REF!</definedName>
    <definedName name="접합">[76]출고!$T$1:$T$65536</definedName>
    <definedName name="정기결제">[161]Sheet4!$A$2:$D$82</definedName>
    <definedName name="정기이자" localSheetId="15">#REF!</definedName>
    <definedName name="정기이자">#REF!</definedName>
    <definedName name="정산00" localSheetId="15">#REF!</definedName>
    <definedName name="정산00">#REF!</definedName>
    <definedName name="정산99" localSheetId="15">#REF!</definedName>
    <definedName name="정산99">#REF!</definedName>
    <definedName name="정징" localSheetId="15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제목" localSheetId="15">#REF!</definedName>
    <definedName name="제목">#REF!</definedName>
    <definedName name="제일" localSheetId="15">#REF!</definedName>
    <definedName name="제일">#REF!</definedName>
    <definedName name="제일종표지" localSheetId="15">#REF!</definedName>
    <definedName name="제일종표지">#REF!</definedName>
    <definedName name="제조" localSheetId="15">#REF!</definedName>
    <definedName name="제조">#REF!</definedName>
    <definedName name="제조경비" localSheetId="15">#REF!</definedName>
    <definedName name="제조경비">#REF!</definedName>
    <definedName name="제조원가" localSheetId="15">#REF!</definedName>
    <definedName name="제조원가">#REF!</definedName>
    <definedName name="제조원가명세서" localSheetId="15">#REF!</definedName>
    <definedName name="제조원가명세서">#REF!</definedName>
    <definedName name="제품단가">[162]제품CODE!$A$1:$M$195</definedName>
    <definedName name="제품시화" localSheetId="15">#REF!</definedName>
    <definedName name="제품시화">#REF!</definedName>
    <definedName name="조미" localSheetId="15">#REF!</definedName>
    <definedName name="조미">#REF!</definedName>
    <definedName name="조서번호" localSheetId="15">#REF!</definedName>
    <definedName name="조서번호">#REF!</definedName>
    <definedName name="조식">[25]Dec!$A$1:$X$4783</definedName>
    <definedName name="조정">[103]검산금액!$A$1363:$B$1861</definedName>
    <definedName name="조회" localSheetId="15" hidden="1">{#N/A,#N/A,FALSE,"채권채무";#N/A,#N/A,FALSE,"control sheet"}</definedName>
    <definedName name="조회" hidden="1">{#N/A,#N/A,FALSE,"채권채무";#N/A,#N/A,FALSE,"control sheet"}</definedName>
    <definedName name="조회서" localSheetId="15" hidden="1">{#N/A,#N/A,FALSE,"채권채무";#N/A,#N/A,FALSE,"control sheet"}</definedName>
    <definedName name="조회서" hidden="1">{#N/A,#N/A,FALSE,"채권채무";#N/A,#N/A,FALSE,"control sheet"}</definedName>
    <definedName name="조회서기준일" localSheetId="15">#REF!</definedName>
    <definedName name="조회서기준일">#REF!</definedName>
    <definedName name="조흥특금" localSheetId="15">#REF!</definedName>
    <definedName name="조흥특금">#REF!</definedName>
    <definedName name="종_목" localSheetId="15">#REF!</definedName>
    <definedName name="종_목">#REF!</definedName>
    <definedName name="종합" localSheetId="15">#REF!</definedName>
    <definedName name="종합">#REF!</definedName>
    <definedName name="종합2" localSheetId="15">[0]!BlankMacro1</definedName>
    <definedName name="종합2">[0]!BlankMacro1</definedName>
    <definedName name="종합추이" localSheetId="15">[0]!BlankMacro1</definedName>
    <definedName name="종합추이">[0]!BlankMacro1</definedName>
    <definedName name="주________소" localSheetId="15">#REF!</definedName>
    <definedName name="주________소">#REF!</definedName>
    <definedName name="주간">[152]주간!$A$1:$M$21</definedName>
    <definedName name="주간계금" localSheetId="15">#REF!</definedName>
    <definedName name="주간계금">#REF!</definedName>
    <definedName name="주간매출">[152]주간매출!$A$109:$G$136</definedName>
    <definedName name="주간수주">[152]주간수주!$A$38:$F$61</definedName>
    <definedName name="주민세" localSheetId="15">#REF!</definedName>
    <definedName name="주민세">#REF!</definedName>
    <definedName name="주부신수익권증서_400" localSheetId="15">#REF!</definedName>
    <definedName name="주부신수익권증서_400">#REF!</definedName>
    <definedName name="주소" localSheetId="15">#REF!</definedName>
    <definedName name="주소">#REF!</definedName>
    <definedName name="주식대신" localSheetId="15">#REF!</definedName>
    <definedName name="주식대신">#REF!</definedName>
    <definedName name="주식삼성" localSheetId="15">#REF!</definedName>
    <definedName name="주식삼성">#REF!</definedName>
    <definedName name="주식선경" localSheetId="15">#REF!</definedName>
    <definedName name="주식선경">#REF!</definedName>
    <definedName name="주식엘지" localSheetId="15">#REF!</definedName>
    <definedName name="주식엘지">#REF!</definedName>
    <definedName name="주요" localSheetId="15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1" localSheetId="15">[0]!BlankMacro1</definedName>
    <definedName name="주요업무1">[0]!BlankMacro1</definedName>
    <definedName name="주요업무2" localSheetId="15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5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종단체" localSheetId="15">#REF!</definedName>
    <definedName name="주종단체">#REF!</definedName>
    <definedName name="주택사업본부" localSheetId="15">#REF!</definedName>
    <definedName name="주택사업본부">#REF!</definedName>
    <definedName name="주택특금" localSheetId="15">#REF!</definedName>
    <definedName name="주택특금">#REF!</definedName>
    <definedName name="주행1월총비용" localSheetId="15">#REF!</definedName>
    <definedName name="주행1월총비용">#REF!</definedName>
    <definedName name="중">[123]가격표!$C$7,[123]가격표!$C$10,[123]가격표!$C$13,[123]가격표!$C$16,[123]가격표!$C$19,[123]가격표!$C$22,[123]가격표!$C$25,[123]가격표!$C$28,[123]가격표!$C$31,[123]가격표!$C$34</definedName>
    <definedName name="중도해지진행">[103]중도해지진행업체!$A$3:$Z$341</definedName>
    <definedName name="중리해" localSheetId="15">#REF!</definedName>
    <definedName name="중리해">#REF!</definedName>
    <definedName name="중앙환매" localSheetId="15">#REF!</definedName>
    <definedName name="중앙환매">#REF!</definedName>
    <definedName name="중오연" localSheetId="15">#REF!</definedName>
    <definedName name="중오연">#REF!</definedName>
    <definedName name="중환목돈EM3" localSheetId="15">#REF!</definedName>
    <definedName name="중환목돈EM3">#REF!</definedName>
    <definedName name="쥕x_t" localSheetId="15">#REF!</definedName>
    <definedName name="쥕x_t">#REF!</definedName>
    <definedName name="증감구로">[91]TB!#REF!</definedName>
    <definedName name="증감본사누계">[91]TB!#REF!</definedName>
    <definedName name="증감부평">[91]TB!#REF!</definedName>
    <definedName name="증감서울">[91]TB!#REF!</definedName>
    <definedName name="증감창원">[91]TB!#REF!</definedName>
    <definedName name="지급어음" localSheetId="15">#REF!</definedName>
    <definedName name="지급어음">#REF!</definedName>
    <definedName name="지불방법">[158]지불방법!$E$4:$H$206</definedName>
    <definedName name="지자" localSheetId="15">#REF!</definedName>
    <definedName name="지자">#REF!</definedName>
    <definedName name="지지지" localSheetId="15" hidden="1">{"'미착금액'!$A$4:$G$14"}</definedName>
    <definedName name="지지지" hidden="1">{"'미착금액'!$A$4:$G$14"}</definedName>
    <definedName name="직급별초입비교" localSheetId="15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위" localSheetId="15">#REF!</definedName>
    <definedName name="직위">#REF!</definedName>
    <definedName name="직위2" localSheetId="15">#REF!</definedName>
    <definedName name="직위2">#REF!</definedName>
    <definedName name="직책수당" localSheetId="15">#REF!</definedName>
    <definedName name="직책수당">#REF!</definedName>
    <definedName name="진단표" localSheetId="1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짜살림">[31]!진짜살림</definedName>
    <definedName name="ㅊㅂ３９" localSheetId="15">#REF!</definedName>
    <definedName name="ㅊㅂ３９">#REF!</definedName>
    <definedName name="ㅊㅌㅊㅊ" localSheetId="15">#REF!</definedName>
    <definedName name="ㅊㅌㅊㅊ">#REF!</definedName>
    <definedName name="차량유지비" localSheetId="15">#REF!</definedName>
    <definedName name="차량유지비">#REF!</definedName>
    <definedName name="차손" localSheetId="15">#REF!</definedName>
    <definedName name="차손">#REF!</definedName>
    <definedName name="차이" localSheetId="15">#REF!</definedName>
    <definedName name="차이">#REF!</definedName>
    <definedName name="차이조회" localSheetId="15">#REF!</definedName>
    <definedName name="차이조회">#REF!</definedName>
    <definedName name="차입금" localSheetId="15">#REF!</definedName>
    <definedName name="차입금">#REF!</definedName>
    <definedName name="차종별" localSheetId="15" hidden="1">{#N/A,#N/A,TRUE,"Y생산";#N/A,#N/A,TRUE,"Y판매";#N/A,#N/A,TRUE,"Y총물량";#N/A,#N/A,TRUE,"Y능력";#N/A,#N/A,TRUE,"YKD"}</definedName>
    <definedName name="차종별" hidden="1">{#N/A,#N/A,TRUE,"Y생산";#N/A,#N/A,TRUE,"Y판매";#N/A,#N/A,TRUE,"Y총물량";#N/A,#N/A,TRUE,"Y능력";#N/A,#N/A,TRUE,"YKD"}</definedName>
    <definedName name="차체공정" localSheetId="15">#REF!</definedName>
    <definedName name="차체공정">#REF!</definedName>
    <definedName name="창원">[91]TB!#REF!</definedName>
    <definedName name="채권" localSheetId="15" hidden="1">{#N/A,#N/A,FALSE,"계약직(여)"}</definedName>
    <definedName name="채권" hidden="1">{#N/A,#N/A,FALSE,"계약직(여)"}</definedName>
    <definedName name="채권대신" localSheetId="15">#REF!</definedName>
    <definedName name="채권대신">#REF!</definedName>
    <definedName name="채권대우" localSheetId="15">#REF!</definedName>
    <definedName name="채권대우">#REF!</definedName>
    <definedName name="채권쌍용" localSheetId="15">#REF!</definedName>
    <definedName name="채권쌍용">#REF!</definedName>
    <definedName name="채권엘지" localSheetId="15">#REF!</definedName>
    <definedName name="채권엘지">#REF!</definedName>
    <definedName name="채권이자" localSheetId="15">#REF!</definedName>
    <definedName name="채권이자">#REF!</definedName>
    <definedName name="채권재" localSheetId="15" hidden="1">{#N/A,#N/A,FALSE,"채권채무";#N/A,#N/A,FALSE,"control sheet"}</definedName>
    <definedName name="채권재" hidden="1">{#N/A,#N/A,FALSE,"채권채무";#N/A,#N/A,FALSE,"control sheet"}</definedName>
    <definedName name="채권제일" localSheetId="15">#REF!</definedName>
    <definedName name="채권제일">#REF!</definedName>
    <definedName name="채권한일" localSheetId="15">#REF!</definedName>
    <definedName name="채권한일">#REF!</definedName>
    <definedName name="처분명세서">[25]Dec!$A$5:$W$540</definedName>
    <definedName name="천안">[91]TB!#REF!</definedName>
    <definedName name="철구사업본부" localSheetId="15">#REF!</definedName>
    <definedName name="철구사업본부">#REF!</definedName>
    <definedName name="첨부0" localSheetId="15">#REF!</definedName>
    <definedName name="첨부0">#REF!</definedName>
    <definedName name="첨부1" localSheetId="15">#REF!</definedName>
    <definedName name="첨부1">#REF!</definedName>
    <definedName name="첨부2" localSheetId="15">#REF!</definedName>
    <definedName name="첨부2">#REF!</definedName>
    <definedName name="첨첨11" localSheetId="15">#REF!</definedName>
    <definedName name="첨첨11">#REF!</definedName>
    <definedName name="초임금비교" localSheetId="15" hidden="1">{#N/A,#N/A,FALSE,"계약직(여)"}</definedName>
    <definedName name="초임금비교" hidden="1">{#N/A,#N/A,FALSE,"계약직(여)"}</definedName>
    <definedName name="초임급" localSheetId="15" hidden="1">{#N/A,#N/A,FALSE,"계약직(여)"}</definedName>
    <definedName name="초임급" hidden="1">{#N/A,#N/A,FALSE,"계약직(여)"}</definedName>
    <definedName name="총_합계" localSheetId="15">#REF!</definedName>
    <definedName name="총_합계">#REF!</definedName>
    <definedName name="총괄표" localSheetId="15">#REF!</definedName>
    <definedName name="총괄표">#REF!</definedName>
    <definedName name="총급여">[163]급여!#REF!</definedName>
    <definedName name="총무팀총무팀" localSheetId="15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추가" localSheetId="15">#REF!</definedName>
    <definedName name="추가">#REF!</definedName>
    <definedName name="추계합계" localSheetId="15">#REF!</definedName>
    <definedName name="추계합계">#REF!</definedName>
    <definedName name="출1">'[86]1분기재고장'!$X$1:$X$65536</definedName>
    <definedName name="출10">'[75]1월'!$H$1:$H$65536</definedName>
    <definedName name="출11">'[75]2월'!$H$1:$H$65536</definedName>
    <definedName name="출12">'[75]3월'!$H$1:$H$65536</definedName>
    <definedName name="출13">'[75]4월'!$H$1:$H$65536</definedName>
    <definedName name="출14">'[75]5월'!$J$1:$J$65536</definedName>
    <definedName name="출15">'[75]6월'!$J$1:$J$65536</definedName>
    <definedName name="출2">'[86]2분기재고'!$AC$1:$AC$65536</definedName>
    <definedName name="출3" localSheetId="15">#REF!</definedName>
    <definedName name="출3">#REF!</definedName>
    <definedName name="출산" localSheetId="15">#REF!</definedName>
    <definedName name="출산">#REF!</definedName>
    <definedName name="출수">[76]출고!$I$1:$I$65536</definedName>
    <definedName name="출자금" localSheetId="15">#REF!</definedName>
    <definedName name="출자금">#REF!</definedName>
    <definedName name="출코">[76]출고!$D$1:$D$65536</definedName>
    <definedName name="출하" localSheetId="15">[0]!BlankMacro1</definedName>
    <definedName name="출하">[0]!BlankMacro1</definedName>
    <definedName name="충당금" localSheetId="15">#REF!</definedName>
    <definedName name="충당금">#REF!</definedName>
    <definedName name="취소">[31]!취소</definedName>
    <definedName name="칠" localSheetId="15">#REF!</definedName>
    <definedName name="칠">#REF!</definedName>
    <definedName name="칠월급여">'[85]인건비예산(정규직)'!$FA$28:$FA$276</definedName>
    <definedName name="칠월급여임">'[85]인건비예산(정규직)'!$FA$18:$FA$27</definedName>
    <definedName name="칠월상여">'[85]인건비예산(정규직)'!$FB$28:$FB$276</definedName>
    <definedName name="칠월상여임">'[85]인건비예산(정규직)'!$FB$18:$FB$27</definedName>
    <definedName name="ㅋ68" localSheetId="15">#REF!</definedName>
    <definedName name="ㅋ68">#REF!</definedName>
    <definedName name="ㅋㅋ">'[4]보증금(기타)'!#REF!</definedName>
    <definedName name="ㅋㅌㅊ" localSheetId="15">#REF!</definedName>
    <definedName name="ㅋㅌㅊ">#REF!</definedName>
    <definedName name="코10">'[75]1월'!$A$1:$A$65536</definedName>
    <definedName name="코11">'[75]2월'!$A$1:$A$65536</definedName>
    <definedName name="코12">'[75]3월'!$A$1:$A$65536</definedName>
    <definedName name="코13">'[75]4월'!$A$1:$A$65536</definedName>
    <definedName name="코14">'[75]5월'!$A$1:$A$65536</definedName>
    <definedName name="코15">'[75]6월'!$A$1:$A$65536</definedName>
    <definedName name="코3" localSheetId="15">#REF!</definedName>
    <definedName name="코3">#REF!</definedName>
    <definedName name="코드" localSheetId="15">#REF!</definedName>
    <definedName name="코드">#REF!</definedName>
    <definedName name="코드2" localSheetId="15">#REF!</definedName>
    <definedName name="코드2">#REF!</definedName>
    <definedName name="타계정" localSheetId="15">#REF!</definedName>
    <definedName name="타계정">#REF!</definedName>
    <definedName name="템플리트모듈1" localSheetId="15">BlankMacro1</definedName>
    <definedName name="템플리트모듈1">BlankMacro1</definedName>
    <definedName name="템플리트모듈2" localSheetId="15">BlankMacro1</definedName>
    <definedName name="템플리트모듈2">BlankMacro1</definedName>
    <definedName name="템플리트모듈3" localSheetId="15">BlankMacro1</definedName>
    <definedName name="템플리트모듈3">BlankMacro1</definedName>
    <definedName name="템플리트모듈4" localSheetId="15">BlankMacro1</definedName>
    <definedName name="템플리트모듈4">BlankMacro1</definedName>
    <definedName name="템플리트모듈5" localSheetId="15">BlankMacro1</definedName>
    <definedName name="템플리트모듈5">BlankMacro1</definedName>
    <definedName name="템플리트모듈6" localSheetId="15">BlankMacro1</definedName>
    <definedName name="템플리트모듈6">BlankMacro1</definedName>
    <definedName name="통" localSheetId="15">BlankMacro1</definedName>
    <definedName name="통">BlankMacro1</definedName>
    <definedName name="통관">[164]TOTAL!$F$1:$V$65536</definedName>
    <definedName name="통화" localSheetId="15">#REF!</definedName>
    <definedName name="통화">#REF!</definedName>
    <definedName name="퇴직금추계" localSheetId="15">#REF!</definedName>
    <definedName name="퇴직금추계">#REF!</definedName>
    <definedName name="퇴직급여">'[100]00퇴직급여충당금'!$A$3:$B$97</definedName>
    <definedName name="퇴직급여충당금" localSheetId="15">#REF!</definedName>
    <definedName name="퇴직급여충당금">#REF!</definedName>
    <definedName name="퇴직보험" localSheetId="15">#REF!</definedName>
    <definedName name="퇴직보험">#REF!</definedName>
    <definedName name="퇴직충당금">'[85]인건비예산(정규직)'!$AO$28:$AO$276</definedName>
    <definedName name="퇴직충당금임">'[85]인건비예산(정규직)'!$AO$18:$AO$27</definedName>
    <definedName name="퇴충" localSheetId="15">BlankMacro1</definedName>
    <definedName name="퇴충">BlankMacro1</definedName>
    <definedName name="퇴충98" localSheetId="15">#REF!</definedName>
    <definedName name="퇴충98">#REF!</definedName>
    <definedName name="퇴충99">'[163]991231'!$A$3:$B$101</definedName>
    <definedName name="퇴충배부기준" localSheetId="15">#REF!</definedName>
    <definedName name="퇴충배부기준">#REF!</definedName>
    <definedName name="투자">[165]MAIN!#REF!</definedName>
    <definedName name="투자비" localSheetId="15">#REF!</definedName>
    <definedName name="투자비">#REF!</definedName>
    <definedName name="투자자산" localSheetId="15">#REF!</definedName>
    <definedName name="투자자산">#REF!</definedName>
    <definedName name="트럭p" localSheetId="15">#REF!</definedName>
    <definedName name="트럭p">#REF!</definedName>
    <definedName name="트럭proj">[166]GRACE!#REF!</definedName>
    <definedName name="특금이자" localSheetId="15">#REF!</definedName>
    <definedName name="특금이자">#REF!</definedName>
    <definedName name="특정현금" localSheetId="15">#REF!</definedName>
    <definedName name="특정현금">#REF!</definedName>
    <definedName name="팀별" localSheetId="15">#REF!</definedName>
    <definedName name="팀별">#REF!</definedName>
    <definedName name="ㅍㅍ" localSheetId="15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관비" hidden="1">[90]손익계산서!$B$68:$B$77</definedName>
    <definedName name="판매관리비" localSheetId="15">#REF!</definedName>
    <definedName name="판매관리비">#REF!</definedName>
    <definedName name="팔월급여">'[85]인건비예산(정규직)'!$FR$28:$FR$276</definedName>
    <definedName name="팔월급여임">'[85]인건비예산(정규직)'!$FR$18:$FR$27</definedName>
    <definedName name="팔월상여">'[85]인건비예산(정규직)'!$FS$28:$FS$276</definedName>
    <definedName name="팔월상여임">'[85]인건비예산(정규직)'!$FS$18:$FS$27</definedName>
    <definedName name="평가" localSheetId="15">#REF!</definedName>
    <definedName name="평가">#REF!</definedName>
    <definedName name="평균">[167]연간상여집계!$M$1:$O$85</definedName>
    <definedName name="평년">[93]자료!$H$3:$I$14</definedName>
    <definedName name="평화정기" localSheetId="15">#REF!</definedName>
    <definedName name="평화정기">#REF!</definedName>
    <definedName name="포공화학" localSheetId="15" hidden="1">{#N/A,#N/A,FALSE,"범우구미";#N/A,#N/A,FALSE,"세한케미칼";#N/A,#N/A,FALSE,"세명화학";#N/A,#N/A,FALSE,"신영케미칼";#N/A,#N/A,FALSE,"일석상사"}</definedName>
    <definedName name="포공화학" hidden="1">{#N/A,#N/A,FALSE,"범우구미";#N/A,#N/A,FALSE,"세한케미칼";#N/A,#N/A,FALSE,"세명화학";#N/A,#N/A,FALSE,"신영케미칼";#N/A,#N/A,FALSE,"일석상사"}</definedName>
    <definedName name="표지이자" localSheetId="15">#REF!</definedName>
    <definedName name="표지이자">#REF!</definedName>
    <definedName name="품">[168]작업일보!#REF!</definedName>
    <definedName name="품목" localSheetId="15">#REF!</definedName>
    <definedName name="품목">#REF!</definedName>
    <definedName name="품의서" localSheetId="15">#REF!</definedName>
    <definedName name="품의서">#REF!</definedName>
    <definedName name="품질생산합격" localSheetId="15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" localSheetId="15">#REF!</definedName>
    <definedName name="프">#REF!</definedName>
    <definedName name="프린트">[169]대외공문!#REF!</definedName>
    <definedName name="피비씨" localSheetId="15">#REF!</definedName>
    <definedName name="피비씨">#REF!</definedName>
    <definedName name="피비씨리스트" localSheetId="15">#REF!</definedName>
    <definedName name="피비씨리스트">#REF!</definedName>
    <definedName name="ㅎ" localSheetId="15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ㄱㅇㅀㅁㅈㄷㅅㄱ" localSheetId="15" hidden="1">{#N/A,#N/A,TRUE,"Y생산";#N/A,#N/A,TRUE,"Y판매";#N/A,#N/A,TRUE,"Y총물량";#N/A,#N/A,TRUE,"Y능력";#N/A,#N/A,TRUE,"YKD"}</definedName>
    <definedName name="ㅎㄱㅇㅀㅁㅈㄷㅅㄱ" hidden="1">{#N/A,#N/A,TRUE,"Y생산";#N/A,#N/A,TRUE,"Y판매";#N/A,#N/A,TRUE,"Y총물량";#N/A,#N/A,TRUE,"Y능력";#N/A,#N/A,TRUE,"YKD"}</definedName>
    <definedName name="ㅎㅎ" localSheetId="15">[0]!BlankMacro1</definedName>
    <definedName name="ㅎㅎ">[0]!BlankMacro1</definedName>
    <definedName name="하">[2]현금경비중역!#REF!</definedName>
    <definedName name="하나특정" localSheetId="15">#REF!</definedName>
    <definedName name="하나특정">#REF!</definedName>
    <definedName name="하하하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핳">[170]비교재무제표!#REF!</definedName>
    <definedName name="한" localSheetId="15">#REF!</definedName>
    <definedName name="한">#REF!</definedName>
    <definedName name="한국장기" localSheetId="15">#REF!</definedName>
    <definedName name="한국장기">#REF!</definedName>
    <definedName name="한남장기" localSheetId="15">#REF!</definedName>
    <definedName name="한남장기">#REF!</definedName>
    <definedName name="한미특정" localSheetId="15">#REF!</definedName>
    <definedName name="한미특정">#REF!</definedName>
    <definedName name="한영사전" localSheetId="15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원양행" localSheetId="15" hidden="1">{#N/A,#N/A,FALSE,"범우구미";#N/A,#N/A,FALSE,"세한케미칼";#N/A,#N/A,FALSE,"세명화학";#N/A,#N/A,FALSE,"신영케미칼";#N/A,#N/A,FALSE,"일석상사"}</definedName>
    <definedName name="한원양행" hidden="1">{#N/A,#N/A,FALSE,"범우구미";#N/A,#N/A,FALSE,"세한케미칼";#N/A,#N/A,FALSE,"세명화학";#N/A,#N/A,FALSE,"신영케미칼";#N/A,#N/A,FALSE,"일석상사"}</definedName>
    <definedName name="한일특정" localSheetId="15">#REF!</definedName>
    <definedName name="한일특정">#REF!</definedName>
    <definedName name="한화환매" localSheetId="15">#REF!</definedName>
    <definedName name="한화환매">#REF!</definedName>
    <definedName name="합계" localSheetId="15">#REF!</definedName>
    <definedName name="합계">#REF!</definedName>
    <definedName name="합계잔액">[171]시산956!$A$1:$E$142</definedName>
    <definedName name="합계잔액시산표" localSheetId="15">#REF!</definedName>
    <definedName name="합계잔액시산표">#REF!</definedName>
    <definedName name="합잔" localSheetId="15">#REF!</definedName>
    <definedName name="합잔">#REF!</definedName>
    <definedName name="解_任_">[172]기안!$A$34</definedName>
    <definedName name="해오" localSheetId="15">#REF!</definedName>
    <definedName name="해오">#REF!</definedName>
    <definedName name="현경" localSheetId="15">[0]!BlankMacro1</definedName>
    <definedName name="현경">[0]!BlankMacro1</definedName>
    <definedName name="현금거래_5300" localSheetId="15">#REF!</definedName>
    <definedName name="현금거래_5300">#REF!</definedName>
    <definedName name="현금과예금" localSheetId="15">#REF!</definedName>
    <definedName name="현금과예금">#REF!</definedName>
    <definedName name="현금출납장" localSheetId="15">#REF!</definedName>
    <definedName name="현금출납장">#REF!</definedName>
    <definedName name="현대">[173]지급어음!$B$28</definedName>
    <definedName name="현대내자터미널" localSheetId="15">#REF!</definedName>
    <definedName name="현대내자터미널">#REF!</definedName>
    <definedName name="現代綜合商事經由分" localSheetId="15">#REF!</definedName>
    <definedName name="現代綜合商事經由分">#REF!</definedName>
    <definedName name="현인쇄" localSheetId="15">[174]현금흐름표!#REF!,[174]현금흐름표!#REF!,[174]현금흐름표!#REF!,[174]현금흐름표!#REF!,[174]현금흐름표!#REF!,[174]현금흐름표!#REF!,[174]현금흐름표!#REF!,[174]현금흐름표!#REF!,[174]현금흐름표!$A$8:$G$107</definedName>
    <definedName name="현인쇄">[174]현금흐름표!#REF!,[174]현금흐름표!#REF!,[174]현금흐름표!#REF!,[174]현금흐름표!#REF!,[174]현금흐름표!#REF!,[174]현금흐름표!#REF!,[174]현금흐름표!#REF!,[174]현금흐름표!#REF!,[174]현금흐름표!$A$8:$G$107</definedName>
    <definedName name="협조전" localSheetId="15">#REF!</definedName>
    <definedName name="협조전">#REF!</definedName>
    <definedName name="호" localSheetId="15">#REF!</definedName>
    <definedName name="호">#REF!</definedName>
    <definedName name="호ㅓㅏ" localSheetId="15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보비" localSheetId="15">#REF!</definedName>
    <definedName name="홍보비">#REF!</definedName>
    <definedName name="홍식" localSheetId="15">#REF!</definedName>
    <definedName name="홍식">#REF!</definedName>
    <definedName name="화" localSheetId="15">#REF!</definedName>
    <definedName name="화">#REF!</definedName>
    <definedName name="환매이자" localSheetId="15">#REF!</definedName>
    <definedName name="환매이자">#REF!</definedName>
    <definedName name="환율" localSheetId="15">#REF!</definedName>
    <definedName name="환율">#REF!</definedName>
    <definedName name="회수">[103]기초해지2!$A$1203:$B$1553</definedName>
    <definedName name="회식대">'[85]인건비예산(정규직)'!$IT$28:$IT$276</definedName>
    <definedName name="회원권" localSheetId="15">#REF!</definedName>
    <definedName name="회원권">#REF!</definedName>
    <definedName name="회원권보증금">'[4]보증금(기타)'!#REF!</definedName>
    <definedName name="회원보증금">'[4]보증금(기타)'!#REF!</definedName>
    <definedName name="회원수탁" localSheetId="15">#REF!</definedName>
    <definedName name="회원수탁">#REF!</definedName>
    <definedName name="후생수당" localSheetId="15">#REF!</definedName>
    <definedName name="후생수당">#REF!</definedName>
    <definedName name="후후후" localSheetId="15" hidden="1">{"'미착금액'!$A$4:$G$14"}</definedName>
    <definedName name="후후후" hidden="1">{"'미착금액'!$A$4:$G$14"}</definedName>
    <definedName name="휴일및야근" localSheetId="15">#REF!</definedName>
    <definedName name="휴일및야근">#REF!</definedName>
    <definedName name="흯b" localSheetId="15">#REF!</definedName>
    <definedName name="흯b">#REF!</definedName>
    <definedName name="흵____R3_t" localSheetId="15">#REF!</definedName>
    <definedName name="흵____R3_t">#REF!</definedName>
    <definedName name="ㅏ98" localSheetId="15">#REF!</definedName>
    <definedName name="ㅏ98">#REF!</definedName>
    <definedName name="ㅏㅏ" localSheetId="15">#REF!</definedName>
    <definedName name="ㅏㅏ">#REF!</definedName>
    <definedName name="ㅐ17" localSheetId="15">#REF!</definedName>
    <definedName name="ㅐ17">#REF!</definedName>
    <definedName name="ㅐㅐ" localSheetId="15">#REF!</definedName>
    <definedName name="ㅐㅐ">#REF!</definedName>
    <definedName name="ㅑ13" localSheetId="15">#REF!</definedName>
    <definedName name="ㅑ13">#REF!</definedName>
    <definedName name="ㅑ525" localSheetId="15">#REF!</definedName>
    <definedName name="ㅑ525">#REF!</definedName>
    <definedName name="ㅑㅑㅑ" localSheetId="15">#REF!</definedName>
    <definedName name="ㅑㅑㅑ">#REF!</definedName>
    <definedName name="ㅓ" localSheetId="15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15">#REF!</definedName>
    <definedName name="ㅓㅓ">#REF!</definedName>
    <definedName name="ㅔㅔ" localSheetId="15">#REF!</definedName>
    <definedName name="ㅔㅔ">#REF!</definedName>
    <definedName name="ㅗ" localSheetId="1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 localSheetId="15">#REF!</definedName>
    <definedName name="ㅗ122">#REF!</definedName>
    <definedName name="ㅗ3">[175]외화계약!#REF!</definedName>
    <definedName name="ㅗㅗ" localSheetId="15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ㅗㅗ" localSheetId="15">#REF!</definedName>
    <definedName name="ㅗㅗㅗ">#REF!</definedName>
    <definedName name="ㅗㅗㅗㅗ" localSheetId="15">[0]!BlankMacro1</definedName>
    <definedName name="ㅗㅗㅗㅗ">[0]!BlankMacro1</definedName>
    <definedName name="ㅛㅗㅜ" localSheetId="15">#REF!</definedName>
    <definedName name="ㅛㅗㅜ">#REF!</definedName>
    <definedName name="ㅛㅛ" localSheetId="15">#REF!</definedName>
    <definedName name="ㅛㅛ">#REF!</definedName>
    <definedName name="ㅜ">'[28]9-1차이내역'!#REF!</definedName>
    <definedName name="ㅜㅗㅜㅛㅎ" localSheetId="15">BlankMacro1</definedName>
    <definedName name="ㅜㅗㅜㅛㅎ">BlankMacro1</definedName>
    <definedName name="ㅜㅜ" localSheetId="15">#REF!</definedName>
    <definedName name="ㅜㅜ">#REF!</definedName>
    <definedName name="ㅠ1882" localSheetId="15">#REF!</definedName>
    <definedName name="ㅠ1882">#REF!</definedName>
    <definedName name="ㅠㅓ42" localSheetId="15">#REF!</definedName>
    <definedName name="ㅠㅓ42">#REF!</definedName>
    <definedName name="ㅡ" localSheetId="15">[0]!BlankMacro1</definedName>
    <definedName name="ㅡ">[0]!BlankMacro1</definedName>
    <definedName name="ㅡㅡ" localSheetId="15">#REF!</definedName>
    <definedName name="ㅡㅡ">#REF!</definedName>
    <definedName name="ㅣ" localSheetId="1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ㅣ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ㅣㅣ" localSheetId="15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4" l="1"/>
  <c r="I37" i="4"/>
  <c r="H37" i="4"/>
  <c r="G37" i="4"/>
  <c r="J35" i="4"/>
  <c r="I35" i="4"/>
  <c r="H35" i="4"/>
  <c r="G35" i="4"/>
  <c r="J34" i="4"/>
  <c r="I34" i="4"/>
  <c r="H34" i="4"/>
  <c r="G34" i="4"/>
  <c r="J33" i="4"/>
  <c r="I33" i="4"/>
  <c r="H33" i="4"/>
  <c r="G33" i="4"/>
  <c r="J32" i="4"/>
  <c r="I32" i="4"/>
  <c r="H32" i="4"/>
  <c r="G32" i="4"/>
  <c r="J31" i="4"/>
  <c r="I31" i="4"/>
  <c r="H31" i="4"/>
  <c r="G31" i="4"/>
  <c r="J30" i="4"/>
  <c r="I30" i="4"/>
  <c r="H30" i="4"/>
  <c r="G30" i="4"/>
  <c r="F36" i="4"/>
  <c r="J36" i="4" s="1"/>
  <c r="E36" i="4"/>
  <c r="I36" i="4" s="1"/>
  <c r="D36" i="4"/>
  <c r="H36" i="4" s="1"/>
  <c r="C36" i="4"/>
  <c r="G36" i="4" s="1"/>
  <c r="R12" i="30" l="1"/>
  <c r="Q12" i="30"/>
  <c r="P12" i="30"/>
  <c r="O12" i="30"/>
  <c r="R11" i="30"/>
  <c r="Q11" i="30"/>
  <c r="P11" i="30"/>
  <c r="O11" i="30"/>
  <c r="R10" i="30"/>
  <c r="Q10" i="30"/>
  <c r="P10" i="30"/>
  <c r="O10" i="30"/>
  <c r="R9" i="30"/>
  <c r="Q9" i="30"/>
  <c r="P9" i="30"/>
  <c r="O9" i="30"/>
  <c r="R8" i="30"/>
  <c r="Q8" i="30"/>
  <c r="P8" i="30"/>
  <c r="O8" i="30"/>
  <c r="R7" i="30"/>
  <c r="Q7" i="30"/>
  <c r="P7" i="30"/>
  <c r="O7" i="30"/>
  <c r="R6" i="30"/>
  <c r="Q6" i="30"/>
  <c r="P6" i="30"/>
  <c r="O6" i="30"/>
  <c r="L13" i="30"/>
  <c r="K13" i="30"/>
  <c r="J13" i="30"/>
  <c r="I13" i="30"/>
  <c r="F22" i="30" l="1"/>
  <c r="E22" i="30"/>
  <c r="D22" i="30"/>
  <c r="C22" i="30"/>
  <c r="F23" i="30"/>
  <c r="E23" i="30"/>
  <c r="D23" i="30"/>
  <c r="C23" i="30"/>
  <c r="F21" i="30"/>
  <c r="E21" i="30"/>
  <c r="D21" i="30"/>
  <c r="C21" i="30"/>
  <c r="F20" i="30"/>
  <c r="E20" i="30"/>
  <c r="D20" i="30"/>
  <c r="C20" i="30"/>
  <c r="F24" i="30"/>
  <c r="E24" i="30"/>
  <c r="D24" i="30"/>
  <c r="C24" i="30"/>
  <c r="F13" i="30"/>
  <c r="E13" i="30"/>
  <c r="D13" i="30"/>
  <c r="C13" i="30"/>
  <c r="R36" i="4" l="1"/>
  <c r="P36" i="4"/>
  <c r="Q36" i="4"/>
  <c r="O36" i="4"/>
  <c r="L93" i="12" l="1"/>
  <c r="K93" i="12"/>
  <c r="J93" i="12"/>
  <c r="I93" i="12"/>
  <c r="L92" i="12"/>
  <c r="K92" i="12"/>
  <c r="J92" i="12"/>
  <c r="I92" i="12"/>
  <c r="L91" i="12"/>
  <c r="L94" i="12" s="1"/>
  <c r="K91" i="12"/>
  <c r="K94" i="12" s="1"/>
  <c r="J91" i="12"/>
  <c r="J94" i="12" s="1"/>
  <c r="I91" i="12"/>
  <c r="I94" i="12" s="1"/>
  <c r="F12" i="4" l="1"/>
  <c r="E12" i="4"/>
  <c r="D12" i="4"/>
  <c r="C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C11" i="4"/>
  <c r="C10" i="4"/>
  <c r="C9" i="4"/>
  <c r="C8" i="4"/>
  <c r="C7" i="4"/>
  <c r="R20" i="21" l="1"/>
  <c r="R19" i="21"/>
  <c r="R18" i="21"/>
  <c r="R11" i="21"/>
  <c r="R10" i="21"/>
  <c r="R9" i="21"/>
  <c r="R8" i="21"/>
  <c r="R7" i="21"/>
  <c r="R6" i="21"/>
  <c r="R5" i="21"/>
  <c r="Q20" i="21"/>
  <c r="P20" i="21"/>
  <c r="Q19" i="21"/>
  <c r="P19" i="21"/>
  <c r="Q18" i="21"/>
  <c r="P18" i="21"/>
  <c r="Q11" i="21"/>
  <c r="P11" i="21"/>
  <c r="Q10" i="21"/>
  <c r="P10" i="21"/>
  <c r="Q9" i="21"/>
  <c r="P9" i="21"/>
  <c r="Q8" i="21"/>
  <c r="P8" i="21"/>
  <c r="Q7" i="21"/>
  <c r="P7" i="21"/>
  <c r="Q6" i="21"/>
  <c r="P6" i="21"/>
  <c r="Q5" i="21"/>
  <c r="P5" i="21"/>
  <c r="F21" i="21"/>
  <c r="E21" i="21"/>
  <c r="D21" i="21"/>
  <c r="C21" i="21"/>
  <c r="I20" i="21" l="1"/>
  <c r="I19" i="21"/>
  <c r="I18" i="21"/>
  <c r="J20" i="21"/>
  <c r="J19" i="21"/>
  <c r="J18" i="21"/>
  <c r="K20" i="21"/>
  <c r="K19" i="21"/>
  <c r="K18" i="21"/>
  <c r="L20" i="21"/>
  <c r="L19" i="21"/>
  <c r="L18" i="21"/>
  <c r="R142" i="21"/>
  <c r="Q142" i="21"/>
  <c r="E156" i="21" s="1"/>
  <c r="R141" i="21"/>
  <c r="Q141" i="21"/>
  <c r="E155" i="21" s="1"/>
  <c r="R140" i="21"/>
  <c r="Q140" i="21"/>
  <c r="E154" i="21" s="1"/>
  <c r="N142" i="21"/>
  <c r="M142" i="21"/>
  <c r="D156" i="21" s="1"/>
  <c r="N141" i="21"/>
  <c r="M141" i="21"/>
  <c r="D155" i="21" s="1"/>
  <c r="N140" i="21"/>
  <c r="M140" i="21"/>
  <c r="D154" i="21" s="1"/>
  <c r="I142" i="21"/>
  <c r="C156" i="21" s="1"/>
  <c r="I141" i="21"/>
  <c r="C155" i="21" s="1"/>
  <c r="I140" i="21"/>
  <c r="C154" i="21" s="1"/>
  <c r="O140" i="21" l="1"/>
  <c r="O141" i="21"/>
  <c r="O142" i="21"/>
  <c r="S140" i="21"/>
  <c r="S141" i="21"/>
  <c r="S142" i="21"/>
  <c r="E129" i="21"/>
  <c r="D129" i="21"/>
  <c r="C129" i="21"/>
  <c r="E126" i="21"/>
  <c r="E125" i="21"/>
  <c r="D126" i="21"/>
  <c r="D125" i="21"/>
  <c r="C126" i="21"/>
  <c r="C125" i="21"/>
  <c r="E123" i="21"/>
  <c r="E122" i="21"/>
  <c r="D123" i="21"/>
  <c r="D122" i="21"/>
  <c r="C123" i="21"/>
  <c r="C122" i="21"/>
  <c r="E124" i="21"/>
  <c r="D124" i="21"/>
  <c r="C124" i="21"/>
  <c r="C163" i="21" s="1"/>
  <c r="E121" i="21"/>
  <c r="D121" i="21"/>
  <c r="C121" i="21"/>
  <c r="C162" i="21" s="1"/>
  <c r="E120" i="21"/>
  <c r="E119" i="21"/>
  <c r="D120" i="21"/>
  <c r="D119" i="21"/>
  <c r="C120" i="21"/>
  <c r="C133" i="21" s="1"/>
  <c r="C119" i="21"/>
  <c r="J142" i="21"/>
  <c r="K142" i="21" s="1"/>
  <c r="J141" i="21"/>
  <c r="K141" i="21" s="1"/>
  <c r="J140" i="21"/>
  <c r="K140" i="21" s="1"/>
  <c r="O133" i="21"/>
  <c r="O138" i="21"/>
  <c r="O137" i="21"/>
  <c r="O134" i="21"/>
  <c r="O130" i="21"/>
  <c r="O132" i="21"/>
  <c r="O131" i="21"/>
  <c r="O135" i="21"/>
  <c r="O136" i="21"/>
  <c r="S138" i="21"/>
  <c r="S137" i="21"/>
  <c r="S135" i="21"/>
  <c r="S136" i="21"/>
  <c r="S134" i="21"/>
  <c r="S133" i="21"/>
  <c r="S130" i="21"/>
  <c r="S132" i="21"/>
  <c r="S131" i="21"/>
  <c r="S128" i="21"/>
  <c r="S127" i="21"/>
  <c r="S126" i="21"/>
  <c r="S125" i="21"/>
  <c r="S124" i="21"/>
  <c r="S123" i="21"/>
  <c r="S121" i="21"/>
  <c r="S122" i="21"/>
  <c r="S120" i="21"/>
  <c r="S119" i="21"/>
  <c r="O122" i="21"/>
  <c r="O128" i="21"/>
  <c r="O127" i="21"/>
  <c r="O123" i="21"/>
  <c r="O119" i="21"/>
  <c r="O121" i="21"/>
  <c r="O120" i="21"/>
  <c r="O124" i="21"/>
  <c r="O126" i="21"/>
  <c r="O125" i="21"/>
  <c r="K130" i="21"/>
  <c r="K132" i="21"/>
  <c r="K131" i="21"/>
  <c r="K135" i="21"/>
  <c r="K137" i="21"/>
  <c r="K136" i="21"/>
  <c r="K134" i="21"/>
  <c r="K133" i="21"/>
  <c r="K119" i="21"/>
  <c r="K121" i="21"/>
  <c r="K120" i="21"/>
  <c r="K124" i="21"/>
  <c r="K128" i="21"/>
  <c r="K127" i="21"/>
  <c r="K123" i="21"/>
  <c r="K126" i="21"/>
  <c r="K125" i="21"/>
  <c r="K122" i="21"/>
  <c r="F31" i="28"/>
  <c r="E31" i="28"/>
  <c r="D31" i="28"/>
  <c r="C31" i="28"/>
  <c r="F28" i="28"/>
  <c r="E28" i="28"/>
  <c r="D28" i="28"/>
  <c r="C28" i="28"/>
  <c r="F20" i="28"/>
  <c r="F29" i="28" s="1"/>
  <c r="E20" i="28"/>
  <c r="E29" i="28" s="1"/>
  <c r="D20" i="28"/>
  <c r="D29" i="28" s="1"/>
  <c r="C20" i="28"/>
  <c r="C29" i="28" s="1"/>
  <c r="C32" i="28" l="1"/>
  <c r="D32" i="28"/>
  <c r="E32" i="28"/>
  <c r="F32" i="28"/>
  <c r="C132" i="21"/>
  <c r="C118" i="21"/>
  <c r="D140" i="21"/>
  <c r="D132" i="21"/>
  <c r="D141" i="21"/>
  <c r="D133" i="21"/>
  <c r="E118" i="21"/>
  <c r="E140" i="21"/>
  <c r="E132" i="21"/>
  <c r="E141" i="21"/>
  <c r="E133" i="21"/>
  <c r="D162" i="21"/>
  <c r="D142" i="21"/>
  <c r="E162" i="21"/>
  <c r="E142" i="21"/>
  <c r="D163" i="21"/>
  <c r="D145" i="21"/>
  <c r="E163" i="21"/>
  <c r="E145" i="21"/>
  <c r="D143" i="21"/>
  <c r="D144" i="21"/>
  <c r="E143" i="21"/>
  <c r="E144" i="21"/>
  <c r="D146" i="21"/>
  <c r="D147" i="21"/>
  <c r="E146" i="21"/>
  <c r="E147" i="21"/>
  <c r="D118" i="21"/>
  <c r="D161" i="21" l="1"/>
  <c r="D139" i="21"/>
  <c r="D148" i="21" s="1"/>
  <c r="D127" i="21"/>
  <c r="D130" i="21" s="1"/>
  <c r="E161" i="21"/>
  <c r="E139" i="21"/>
  <c r="E148" i="21" s="1"/>
  <c r="E127" i="21"/>
  <c r="D135" i="21"/>
  <c r="D134" i="21"/>
  <c r="C161" i="21"/>
  <c r="C127" i="21"/>
  <c r="C134" i="21"/>
  <c r="F50" i="27"/>
  <c r="E50" i="27"/>
  <c r="D50" i="27"/>
  <c r="C50" i="27"/>
  <c r="E25" i="27"/>
  <c r="E24" i="27"/>
  <c r="E22" i="27"/>
  <c r="E29" i="27" s="1"/>
  <c r="E21" i="27"/>
  <c r="F41" i="27"/>
  <c r="E41" i="27"/>
  <c r="D41" i="27"/>
  <c r="C41" i="27"/>
  <c r="F35" i="27"/>
  <c r="F47" i="27" s="1"/>
  <c r="F51" i="27" s="1"/>
  <c r="E35" i="27"/>
  <c r="E47" i="27" s="1"/>
  <c r="D35" i="27"/>
  <c r="D47" i="27" s="1"/>
  <c r="C35" i="27"/>
  <c r="F29" i="27"/>
  <c r="F28" i="27"/>
  <c r="D22" i="27"/>
  <c r="C47" i="27"/>
  <c r="D25" i="27"/>
  <c r="D23" i="27" s="1"/>
  <c r="D21" i="27"/>
  <c r="D28" i="27" s="1"/>
  <c r="C25" i="27"/>
  <c r="C24" i="27"/>
  <c r="C22" i="27"/>
  <c r="C21" i="27"/>
  <c r="F23" i="27"/>
  <c r="F20" i="27"/>
  <c r="F26" i="27" s="1"/>
  <c r="F12" i="27"/>
  <c r="E12" i="27"/>
  <c r="D12" i="27"/>
  <c r="C12" i="27"/>
  <c r="I11" i="27" l="1"/>
  <c r="I10" i="27"/>
  <c r="I9" i="27"/>
  <c r="I8" i="27"/>
  <c r="I7" i="27"/>
  <c r="I6" i="27"/>
  <c r="I5" i="27"/>
  <c r="J11" i="27"/>
  <c r="J10" i="27"/>
  <c r="J9" i="27"/>
  <c r="J8" i="27"/>
  <c r="J7" i="27"/>
  <c r="J6" i="27"/>
  <c r="J5" i="27"/>
  <c r="K11" i="27"/>
  <c r="K10" i="27"/>
  <c r="K9" i="27"/>
  <c r="K8" i="27"/>
  <c r="K7" i="27"/>
  <c r="K6" i="27"/>
  <c r="K5" i="27"/>
  <c r="L11" i="27"/>
  <c r="L10" i="27"/>
  <c r="L9" i="27"/>
  <c r="L8" i="27"/>
  <c r="L7" i="27"/>
  <c r="L6" i="27"/>
  <c r="L5" i="27"/>
  <c r="C29" i="27"/>
  <c r="C51" i="27"/>
  <c r="D51" i="27"/>
  <c r="E51" i="27"/>
  <c r="C130" i="21"/>
  <c r="C135" i="21"/>
  <c r="E130" i="21"/>
  <c r="E135" i="21"/>
  <c r="E134" i="21"/>
  <c r="D29" i="27"/>
  <c r="C28" i="27"/>
  <c r="E20" i="27"/>
  <c r="C20" i="27"/>
  <c r="E28" i="27"/>
  <c r="D20" i="27"/>
  <c r="D26" i="27" s="1"/>
  <c r="C23" i="27"/>
  <c r="E23" i="27"/>
  <c r="C82" i="21"/>
  <c r="C92" i="21" s="1"/>
  <c r="D82" i="21"/>
  <c r="D92" i="21" s="1"/>
  <c r="E82" i="21"/>
  <c r="E92" i="21" s="1"/>
  <c r="F82" i="21"/>
  <c r="K92" i="21"/>
  <c r="E99" i="21" s="1"/>
  <c r="D99" i="21" s="1"/>
  <c r="L92" i="21"/>
  <c r="M92" i="21"/>
  <c r="E102" i="21" s="1"/>
  <c r="D102" i="21" s="1"/>
  <c r="N92" i="21"/>
  <c r="K93" i="21"/>
  <c r="L93" i="21"/>
  <c r="E100" i="21" s="1"/>
  <c r="D100" i="21" s="1"/>
  <c r="M93" i="21"/>
  <c r="N93" i="21"/>
  <c r="C95" i="21"/>
  <c r="D95" i="21"/>
  <c r="E95" i="21"/>
  <c r="E103" i="21"/>
  <c r="D103" i="21" s="1"/>
  <c r="D96" i="21" l="1"/>
  <c r="H92" i="21"/>
  <c r="E96" i="21"/>
  <c r="E26" i="27"/>
  <c r="C26" i="27"/>
  <c r="G92" i="21"/>
  <c r="C96" i="21"/>
  <c r="C98" i="21"/>
  <c r="F98" i="21" s="1"/>
  <c r="F99" i="21" s="1"/>
  <c r="C101" i="21" l="1"/>
  <c r="C104" i="21" s="1"/>
  <c r="F100" i="21"/>
  <c r="F101" i="21" s="1"/>
  <c r="C99" i="21"/>
  <c r="F102" i="21" l="1"/>
  <c r="C100" i="21"/>
  <c r="F103" i="21" l="1"/>
  <c r="F104" i="21" s="1"/>
  <c r="C102" i="21"/>
  <c r="C103" i="21" l="1"/>
  <c r="F83" i="21" l="1"/>
  <c r="E83" i="21"/>
  <c r="E84" i="21" s="1"/>
  <c r="D83" i="21"/>
  <c r="D84" i="21" s="1"/>
  <c r="C83" i="21"/>
  <c r="C84" i="21" s="1"/>
  <c r="F84" i="21"/>
  <c r="F60" i="21" l="1"/>
  <c r="E60" i="21"/>
  <c r="D60" i="21"/>
  <c r="C60" i="21"/>
  <c r="F58" i="21"/>
  <c r="E58" i="21"/>
  <c r="C58" i="21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F88" i="12" l="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71" i="21"/>
  <c r="E71" i="21"/>
  <c r="D71" i="21"/>
  <c r="C71" i="21"/>
  <c r="F70" i="21"/>
  <c r="E70" i="21"/>
  <c r="D70" i="21"/>
  <c r="C70" i="21"/>
  <c r="F69" i="21"/>
  <c r="E69" i="21"/>
  <c r="C69" i="21"/>
  <c r="F42" i="21" l="1"/>
  <c r="E42" i="21"/>
  <c r="D42" i="21"/>
  <c r="C42" i="21"/>
  <c r="F12" i="21"/>
  <c r="E12" i="21"/>
  <c r="D12" i="21"/>
  <c r="C12" i="21"/>
  <c r="J11" i="21" l="1"/>
  <c r="J10" i="21"/>
  <c r="J9" i="21"/>
  <c r="J8" i="21"/>
  <c r="J7" i="21"/>
  <c r="J6" i="21"/>
  <c r="J5" i="21"/>
  <c r="K11" i="21"/>
  <c r="K10" i="21"/>
  <c r="K9" i="21"/>
  <c r="K8" i="21"/>
  <c r="K7" i="21"/>
  <c r="K6" i="21"/>
  <c r="K5" i="21"/>
  <c r="L11" i="21"/>
  <c r="L10" i="21"/>
  <c r="L9" i="21"/>
  <c r="L8" i="21"/>
  <c r="L7" i="21"/>
  <c r="L6" i="21"/>
  <c r="L5" i="21"/>
  <c r="I11" i="21"/>
  <c r="I10" i="21"/>
  <c r="I9" i="21"/>
  <c r="I8" i="21"/>
  <c r="I7" i="21"/>
  <c r="I6" i="21"/>
  <c r="I5" i="21"/>
  <c r="I41" i="21"/>
  <c r="I40" i="21"/>
  <c r="I39" i="21"/>
  <c r="I38" i="21"/>
  <c r="I37" i="21"/>
  <c r="I36" i="21"/>
  <c r="I35" i="21"/>
  <c r="C44" i="21"/>
  <c r="J41" i="21"/>
  <c r="J37" i="21"/>
  <c r="J40" i="21"/>
  <c r="J39" i="21"/>
  <c r="J38" i="21"/>
  <c r="J36" i="21"/>
  <c r="J35" i="21"/>
  <c r="K35" i="21"/>
  <c r="K41" i="21"/>
  <c r="K40" i="21"/>
  <c r="K39" i="21"/>
  <c r="K38" i="21"/>
  <c r="K37" i="21"/>
  <c r="K36" i="21"/>
  <c r="E44" i="21"/>
  <c r="D44" i="21"/>
  <c r="L41" i="21"/>
  <c r="L40" i="21"/>
  <c r="L39" i="21"/>
  <c r="L38" i="21"/>
  <c r="L37" i="21"/>
  <c r="L36" i="21"/>
  <c r="L35" i="21"/>
  <c r="F44" i="21"/>
  <c r="F93" i="17"/>
  <c r="F90" i="17"/>
  <c r="F89" i="17"/>
  <c r="F88" i="17"/>
  <c r="F87" i="17"/>
  <c r="F85" i="17"/>
  <c r="F83" i="17"/>
  <c r="F81" i="17"/>
  <c r="F80" i="17"/>
  <c r="F79" i="17"/>
  <c r="F78" i="17"/>
  <c r="F77" i="17"/>
  <c r="F76" i="17"/>
  <c r="F75" i="17"/>
  <c r="F74" i="17"/>
  <c r="F72" i="17"/>
  <c r="F71" i="17"/>
  <c r="F70" i="17"/>
  <c r="F68" i="17"/>
  <c r="F67" i="17"/>
  <c r="F66" i="17"/>
  <c r="F65" i="17"/>
  <c r="F64" i="17"/>
  <c r="F62" i="17"/>
  <c r="F61" i="17"/>
  <c r="F60" i="17"/>
  <c r="F59" i="17"/>
  <c r="F58" i="17"/>
  <c r="F57" i="17"/>
  <c r="F56" i="17"/>
  <c r="F55" i="17"/>
  <c r="F52" i="17"/>
  <c r="F51" i="17"/>
  <c r="F50" i="17"/>
  <c r="F49" i="17"/>
  <c r="F48" i="17"/>
  <c r="F46" i="17"/>
  <c r="F44" i="17"/>
  <c r="F43" i="17"/>
  <c r="F41" i="17"/>
  <c r="F40" i="17"/>
  <c r="F39" i="17"/>
  <c r="F38" i="17"/>
  <c r="F37" i="17"/>
  <c r="F36" i="17"/>
  <c r="F35" i="17"/>
  <c r="F34" i="17"/>
  <c r="F33" i="17"/>
  <c r="F32" i="17"/>
  <c r="F30" i="17"/>
  <c r="F29" i="17"/>
  <c r="F28" i="17"/>
  <c r="F27" i="17"/>
  <c r="F26" i="17"/>
  <c r="F25" i="17"/>
  <c r="F23" i="17"/>
  <c r="F22" i="17"/>
  <c r="F21" i="17"/>
  <c r="F20" i="17"/>
  <c r="F19" i="17"/>
  <c r="F18" i="17"/>
  <c r="F17" i="17"/>
  <c r="F15" i="17"/>
  <c r="F14" i="17"/>
  <c r="F13" i="17"/>
  <c r="F12" i="17"/>
  <c r="F11" i="17"/>
  <c r="F10" i="17"/>
  <c r="F9" i="17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72" i="12" l="1"/>
  <c r="I99" i="12"/>
  <c r="J99" i="12" l="1"/>
  <c r="K99" i="12"/>
  <c r="F93" i="12"/>
  <c r="E93" i="12"/>
  <c r="E91" i="12" s="1"/>
  <c r="E98" i="12" s="1"/>
  <c r="D93" i="12"/>
  <c r="D91" i="12" s="1"/>
  <c r="D98" i="12" s="1"/>
  <c r="C93" i="12"/>
  <c r="C91" i="12" s="1"/>
  <c r="C98" i="12" s="1"/>
  <c r="L88" i="12"/>
  <c r="K88" i="12"/>
  <c r="J88" i="12"/>
  <c r="I88" i="12"/>
  <c r="E88" i="12"/>
  <c r="D88" i="12"/>
  <c r="C88" i="12"/>
  <c r="F39" i="12"/>
  <c r="O38" i="12"/>
  <c r="O37" i="12"/>
  <c r="O36" i="12"/>
  <c r="O35" i="12"/>
  <c r="O34" i="12"/>
  <c r="O33" i="12"/>
  <c r="N38" i="12" l="1"/>
  <c r="N37" i="12"/>
  <c r="P37" i="12" s="1"/>
  <c r="D37" i="12" s="1"/>
  <c r="J51" i="12" s="1"/>
  <c r="N36" i="12"/>
  <c r="N35" i="12"/>
  <c r="P35" i="12" s="1"/>
  <c r="D35" i="12" s="1"/>
  <c r="J49" i="12" s="1"/>
  <c r="N34" i="12"/>
  <c r="N33" i="12"/>
  <c r="P33" i="12" s="1"/>
  <c r="D33" i="12" s="1"/>
  <c r="P34" i="12"/>
  <c r="D34" i="12" s="1"/>
  <c r="J48" i="12" s="1"/>
  <c r="K40" i="12"/>
  <c r="R16" i="12"/>
  <c r="R15" i="12"/>
  <c r="R14" i="12"/>
  <c r="L14" i="12"/>
  <c r="L13" i="12"/>
  <c r="K23" i="12"/>
  <c r="J23" i="12"/>
  <c r="Q16" i="12"/>
  <c r="P16" i="12"/>
  <c r="Q15" i="12"/>
  <c r="P15" i="12"/>
  <c r="Q14" i="12"/>
  <c r="P14" i="12"/>
  <c r="K14" i="12"/>
  <c r="J14" i="12"/>
  <c r="K13" i="12"/>
  <c r="J13" i="12"/>
  <c r="J47" i="12" l="1"/>
  <c r="O39" i="12"/>
  <c r="P36" i="12"/>
  <c r="D36" i="12" s="1"/>
  <c r="J50" i="12" s="1"/>
  <c r="P38" i="12"/>
  <c r="D38" i="12" s="1"/>
  <c r="J52" i="12" s="1"/>
  <c r="N39" i="12"/>
  <c r="P39" i="12" s="1"/>
  <c r="D39" i="12" l="1"/>
  <c r="D10" i="12" l="1"/>
  <c r="J4" i="12" s="1"/>
  <c r="D9" i="12"/>
  <c r="J3" i="12" s="1"/>
  <c r="D11" i="12" l="1"/>
  <c r="D72" i="12" l="1"/>
  <c r="K72" i="12"/>
  <c r="F96" i="19"/>
  <c r="F95" i="19"/>
  <c r="F94" i="19"/>
  <c r="F93" i="19"/>
  <c r="F91" i="19"/>
  <c r="F89" i="19"/>
  <c r="F87" i="19"/>
  <c r="F86" i="19"/>
  <c r="F85" i="19"/>
  <c r="F84" i="19"/>
  <c r="F83" i="19"/>
  <c r="F82" i="19"/>
  <c r="F81" i="19"/>
  <c r="F80" i="19"/>
  <c r="F79" i="19"/>
  <c r="F77" i="19"/>
  <c r="F75" i="19"/>
  <c r="F74" i="19"/>
  <c r="F73" i="19"/>
  <c r="F72" i="19"/>
  <c r="F71" i="19"/>
  <c r="F70" i="19"/>
  <c r="F69" i="19"/>
  <c r="F68" i="19"/>
  <c r="F67" i="19"/>
  <c r="F65" i="19"/>
  <c r="F64" i="19"/>
  <c r="F63" i="19"/>
  <c r="F62" i="19"/>
  <c r="F61" i="19"/>
  <c r="F60" i="19"/>
  <c r="F59" i="19"/>
  <c r="F58" i="19"/>
  <c r="F57" i="19"/>
  <c r="F54" i="19"/>
  <c r="F53" i="19"/>
  <c r="F52" i="19"/>
  <c r="F51" i="19"/>
  <c r="F50" i="19"/>
  <c r="F48" i="19"/>
  <c r="F47" i="19"/>
  <c r="F45" i="19"/>
  <c r="F44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6" i="19"/>
  <c r="F25" i="19"/>
  <c r="F23" i="19"/>
  <c r="F22" i="19"/>
  <c r="F21" i="19"/>
  <c r="F20" i="19"/>
  <c r="F19" i="19"/>
  <c r="F18" i="19"/>
  <c r="F17" i="19"/>
  <c r="F15" i="19"/>
  <c r="F14" i="19"/>
  <c r="F13" i="19"/>
  <c r="F12" i="19"/>
  <c r="F11" i="19"/>
  <c r="F10" i="19"/>
  <c r="F9" i="19"/>
  <c r="F8" i="19"/>
  <c r="F7" i="19"/>
  <c r="F6" i="19"/>
  <c r="F6" i="18"/>
  <c r="F8" i="17"/>
  <c r="F7" i="17"/>
  <c r="F6" i="17"/>
  <c r="E97" i="19" l="1"/>
  <c r="D97" i="19"/>
  <c r="E92" i="19"/>
  <c r="D92" i="19"/>
  <c r="E90" i="19"/>
  <c r="D90" i="19"/>
  <c r="E88" i="19"/>
  <c r="D88" i="19"/>
  <c r="E78" i="19"/>
  <c r="D78" i="19"/>
  <c r="E76" i="19"/>
  <c r="D76" i="19"/>
  <c r="E66" i="19"/>
  <c r="D66" i="19"/>
  <c r="D98" i="19" s="1"/>
  <c r="E55" i="19"/>
  <c r="D55" i="19"/>
  <c r="E49" i="19"/>
  <c r="D49" i="19"/>
  <c r="E46" i="19"/>
  <c r="D46" i="19"/>
  <c r="E43" i="19"/>
  <c r="D43" i="19"/>
  <c r="A37" i="19"/>
  <c r="A73" i="19" s="1"/>
  <c r="A110" i="19" s="1"/>
  <c r="E27" i="19"/>
  <c r="D27" i="19"/>
  <c r="E24" i="19"/>
  <c r="D24" i="19"/>
  <c r="E16" i="19"/>
  <c r="D16" i="19"/>
  <c r="D56" i="19" s="1"/>
  <c r="D99" i="19" s="1"/>
  <c r="A107" i="18"/>
  <c r="S33" i="12" l="1"/>
  <c r="F16" i="19"/>
  <c r="E56" i="19"/>
  <c r="S34" i="12"/>
  <c r="F24" i="19"/>
  <c r="S35" i="12"/>
  <c r="F27" i="19"/>
  <c r="S36" i="12"/>
  <c r="F43" i="19"/>
  <c r="S37" i="12"/>
  <c r="F46" i="19"/>
  <c r="S38" i="12"/>
  <c r="F49" i="19"/>
  <c r="F55" i="19"/>
  <c r="T33" i="12"/>
  <c r="F66" i="19"/>
  <c r="E98" i="19"/>
  <c r="T34" i="12"/>
  <c r="F76" i="19"/>
  <c r="T35" i="12"/>
  <c r="F78" i="19"/>
  <c r="T36" i="12"/>
  <c r="F88" i="19"/>
  <c r="T37" i="12"/>
  <c r="F90" i="19"/>
  <c r="T38" i="12"/>
  <c r="F92" i="19"/>
  <c r="F97" i="19"/>
  <c r="E91" i="17"/>
  <c r="D91" i="17"/>
  <c r="E86" i="17"/>
  <c r="D86" i="17"/>
  <c r="E84" i="17"/>
  <c r="D84" i="17"/>
  <c r="E82" i="17"/>
  <c r="D82" i="17"/>
  <c r="E73" i="17"/>
  <c r="D73" i="17"/>
  <c r="E69" i="17"/>
  <c r="D69" i="17"/>
  <c r="E63" i="17"/>
  <c r="D63" i="17"/>
  <c r="D92" i="17" s="1"/>
  <c r="E53" i="17"/>
  <c r="D53" i="17"/>
  <c r="E47" i="17"/>
  <c r="D47" i="17"/>
  <c r="E45" i="17"/>
  <c r="D45" i="17"/>
  <c r="E42" i="17"/>
  <c r="D42" i="17"/>
  <c r="E31" i="17"/>
  <c r="D31" i="17"/>
  <c r="E24" i="17"/>
  <c r="D24" i="17"/>
  <c r="E16" i="17"/>
  <c r="D16" i="17"/>
  <c r="D54" i="17" s="1"/>
  <c r="E54" i="17" l="1"/>
  <c r="F16" i="17"/>
  <c r="I33" i="12"/>
  <c r="F24" i="17"/>
  <c r="I34" i="12"/>
  <c r="F31" i="17"/>
  <c r="I35" i="12"/>
  <c r="F42" i="17"/>
  <c r="I36" i="12"/>
  <c r="F45" i="17"/>
  <c r="I37" i="12"/>
  <c r="F47" i="17"/>
  <c r="I38" i="12"/>
  <c r="F53" i="17"/>
  <c r="E92" i="17"/>
  <c r="F63" i="17"/>
  <c r="J33" i="12"/>
  <c r="F69" i="17"/>
  <c r="J34" i="12"/>
  <c r="F73" i="17"/>
  <c r="J35" i="12"/>
  <c r="F82" i="17"/>
  <c r="J36" i="12"/>
  <c r="K36" i="12" s="1"/>
  <c r="C36" i="12" s="1"/>
  <c r="I50" i="12" s="1"/>
  <c r="F84" i="17"/>
  <c r="J37" i="12"/>
  <c r="F86" i="17"/>
  <c r="J38" i="12"/>
  <c r="F91" i="17"/>
  <c r="E99" i="19"/>
  <c r="F99" i="19" s="1"/>
  <c r="E10" i="12"/>
  <c r="F98" i="19"/>
  <c r="T39" i="12"/>
  <c r="U38" i="12"/>
  <c r="E38" i="12" s="1"/>
  <c r="K52" i="12" s="1"/>
  <c r="U37" i="12"/>
  <c r="E37" i="12" s="1"/>
  <c r="K51" i="12" s="1"/>
  <c r="U36" i="12"/>
  <c r="E36" i="12" s="1"/>
  <c r="K50" i="12" s="1"/>
  <c r="U35" i="12"/>
  <c r="E35" i="12" s="1"/>
  <c r="K49" i="12" s="1"/>
  <c r="U34" i="12"/>
  <c r="E34" i="12" s="1"/>
  <c r="K48" i="12" s="1"/>
  <c r="E9" i="12"/>
  <c r="F56" i="19"/>
  <c r="S39" i="12"/>
  <c r="U33" i="12"/>
  <c r="E33" i="12" s="1"/>
  <c r="K47" i="12" l="1"/>
  <c r="E39" i="12"/>
  <c r="K3" i="12"/>
  <c r="E13" i="12"/>
  <c r="E11" i="12"/>
  <c r="U39" i="12"/>
  <c r="K4" i="12"/>
  <c r="E14" i="12"/>
  <c r="J39" i="12"/>
  <c r="F92" i="17"/>
  <c r="C10" i="12"/>
  <c r="K38" i="12"/>
  <c r="C38" i="12" s="1"/>
  <c r="I52" i="12" s="1"/>
  <c r="K37" i="12"/>
  <c r="C37" i="12" s="1"/>
  <c r="I51" i="12" s="1"/>
  <c r="K35" i="12"/>
  <c r="C35" i="12" s="1"/>
  <c r="I49" i="12" s="1"/>
  <c r="K34" i="12"/>
  <c r="C34" i="12" s="1"/>
  <c r="I48" i="12" s="1"/>
  <c r="I39" i="12"/>
  <c r="K39" i="12" s="1"/>
  <c r="K33" i="12"/>
  <c r="C33" i="12" s="1"/>
  <c r="F54" i="17"/>
  <c r="C9" i="12"/>
  <c r="I3" i="12" l="1"/>
  <c r="D13" i="12"/>
  <c r="C11" i="12"/>
  <c r="I47" i="12"/>
  <c r="C39" i="12"/>
  <c r="I4" i="12"/>
  <c r="D14" i="12"/>
  <c r="E72" i="12"/>
  <c r="L72" i="12"/>
  <c r="D75" i="2"/>
  <c r="E75" i="2"/>
  <c r="F75" i="2"/>
  <c r="C75" i="2"/>
  <c r="D12" i="8"/>
  <c r="C12" i="8"/>
  <c r="B12" i="8"/>
  <c r="D40" i="8"/>
  <c r="C40" i="8"/>
  <c r="B40" i="8"/>
  <c r="E38" i="8"/>
  <c r="E37" i="8"/>
  <c r="E36" i="8"/>
  <c r="E9" i="8"/>
  <c r="E8" i="8"/>
  <c r="E7" i="8"/>
  <c r="E6" i="8"/>
  <c r="E5" i="8"/>
  <c r="E4" i="8"/>
  <c r="E3" i="8"/>
  <c r="G18" i="4"/>
  <c r="E18" i="4"/>
  <c r="G17" i="4"/>
  <c r="E17" i="4"/>
  <c r="E12" i="8" l="1"/>
  <c r="K4" i="8"/>
  <c r="K5" i="8"/>
  <c r="K6" i="8"/>
  <c r="K7" i="8"/>
  <c r="K8" i="8"/>
  <c r="K9" i="8"/>
  <c r="E40" i="8"/>
  <c r="K37" i="8"/>
  <c r="K38" i="8"/>
  <c r="H38" i="8"/>
  <c r="H37" i="8"/>
  <c r="H36" i="8"/>
  <c r="B39" i="8"/>
  <c r="I38" i="8"/>
  <c r="I37" i="8"/>
  <c r="I36" i="8"/>
  <c r="C39" i="8"/>
  <c r="J38" i="8"/>
  <c r="J37" i="8"/>
  <c r="J36" i="8"/>
  <c r="D39" i="8"/>
  <c r="H9" i="8"/>
  <c r="H8" i="8"/>
  <c r="H7" i="8"/>
  <c r="H6" i="8"/>
  <c r="H5" i="8"/>
  <c r="H4" i="8"/>
  <c r="H3" i="8"/>
  <c r="B10" i="8"/>
  <c r="I9" i="8"/>
  <c r="I8" i="8"/>
  <c r="I7" i="8"/>
  <c r="I6" i="8"/>
  <c r="I5" i="8"/>
  <c r="I4" i="8"/>
  <c r="I3" i="8"/>
  <c r="C10" i="8"/>
  <c r="J9" i="8"/>
  <c r="J8" i="8"/>
  <c r="J7" i="8"/>
  <c r="J6" i="8"/>
  <c r="J5" i="8"/>
  <c r="J4" i="8"/>
  <c r="J3" i="8"/>
  <c r="D10" i="8"/>
  <c r="C72" i="12"/>
  <c r="J72" i="12"/>
  <c r="R40" i="4"/>
  <c r="R37" i="4" s="1"/>
  <c r="Q40" i="4"/>
  <c r="Q37" i="4" s="1"/>
  <c r="P40" i="4"/>
  <c r="P37" i="4" s="1"/>
  <c r="O40" i="4"/>
  <c r="O37" i="4" s="1"/>
  <c r="F13" i="4"/>
  <c r="E13" i="4"/>
  <c r="E14" i="4" s="1"/>
  <c r="D13" i="4"/>
  <c r="C13" i="4"/>
  <c r="K36" i="8" l="1"/>
  <c r="E39" i="8"/>
  <c r="K3" i="8"/>
  <c r="E10" i="8"/>
  <c r="I12" i="4"/>
  <c r="G19" i="4"/>
  <c r="F14" i="4"/>
  <c r="D14" i="4"/>
  <c r="I9" i="4"/>
  <c r="I13" i="4"/>
  <c r="I10" i="4"/>
  <c r="I14" i="4"/>
  <c r="I7" i="4"/>
  <c r="I11" i="4"/>
  <c r="I8" i="4"/>
  <c r="H9" i="4"/>
  <c r="C14" i="4"/>
  <c r="L11" i="6"/>
  <c r="K11" i="6"/>
  <c r="J11" i="6"/>
  <c r="I11" i="6"/>
  <c r="L10" i="6"/>
  <c r="K10" i="6"/>
  <c r="J10" i="6"/>
  <c r="I10" i="6"/>
  <c r="L9" i="6"/>
  <c r="K9" i="6"/>
  <c r="J9" i="6"/>
  <c r="I9" i="6"/>
  <c r="L8" i="6"/>
  <c r="K8" i="6"/>
  <c r="J8" i="6"/>
  <c r="I8" i="6"/>
  <c r="L7" i="6"/>
  <c r="L12" i="6" s="1"/>
  <c r="L13" i="6" s="1"/>
  <c r="K7" i="6"/>
  <c r="J7" i="6"/>
  <c r="I7" i="6"/>
  <c r="I12" i="6" s="1"/>
  <c r="I13" i="6" s="1"/>
  <c r="F11" i="6"/>
  <c r="L16" i="6" s="1"/>
  <c r="E11" i="6"/>
  <c r="K16" i="6" s="1"/>
  <c r="D11" i="6"/>
  <c r="C11" i="6"/>
  <c r="I16" i="6" s="1"/>
  <c r="F8" i="6"/>
  <c r="L15" i="6" s="1"/>
  <c r="L17" i="6" s="1"/>
  <c r="E8" i="6"/>
  <c r="D8" i="6"/>
  <c r="J15" i="6" s="1"/>
  <c r="C8" i="6"/>
  <c r="I15" i="6" s="1"/>
  <c r="F7" i="6"/>
  <c r="F9" i="6" s="1"/>
  <c r="E7" i="6"/>
  <c r="D7" i="6"/>
  <c r="D9" i="6" s="1"/>
  <c r="C7" i="6"/>
  <c r="C9" i="6" s="1"/>
  <c r="BM36" i="6"/>
  <c r="BL36" i="6"/>
  <c r="BK36" i="6"/>
  <c r="BJ36" i="6"/>
  <c r="BM26" i="6"/>
  <c r="BL26" i="6"/>
  <c r="BK26" i="6"/>
  <c r="BJ26" i="6"/>
  <c r="BM25" i="6"/>
  <c r="BL25" i="6"/>
  <c r="BK25" i="6"/>
  <c r="BJ25" i="6"/>
  <c r="BM24" i="6"/>
  <c r="BL24" i="6"/>
  <c r="BK24" i="6"/>
  <c r="BJ24" i="6"/>
  <c r="BM23" i="6"/>
  <c r="BL23" i="6"/>
  <c r="BK23" i="6"/>
  <c r="BJ23" i="6"/>
  <c r="BM13" i="6"/>
  <c r="BL13" i="6"/>
  <c r="BK13" i="6"/>
  <c r="BJ13" i="6"/>
  <c r="BM29" i="6"/>
  <c r="BL29" i="6"/>
  <c r="BK29" i="6"/>
  <c r="BJ29" i="6"/>
  <c r="BM28" i="6"/>
  <c r="BL28" i="6"/>
  <c r="BK28" i="6"/>
  <c r="BJ28" i="6"/>
  <c r="BM27" i="6"/>
  <c r="BL27" i="6"/>
  <c r="BK27" i="6"/>
  <c r="BJ27" i="6"/>
  <c r="Z105" i="6"/>
  <c r="Y105" i="6"/>
  <c r="X105" i="6"/>
  <c r="W105" i="6"/>
  <c r="Z104" i="6"/>
  <c r="Y104" i="6"/>
  <c r="X104" i="6"/>
  <c r="W104" i="6"/>
  <c r="Z103" i="6"/>
  <c r="Y103" i="6"/>
  <c r="X103" i="6"/>
  <c r="W103" i="6"/>
  <c r="Z102" i="6"/>
  <c r="Y102" i="6"/>
  <c r="X102" i="6"/>
  <c r="W102" i="6"/>
  <c r="Z101" i="6"/>
  <c r="Y101" i="6"/>
  <c r="X101" i="6"/>
  <c r="W101" i="6"/>
  <c r="T105" i="6"/>
  <c r="S105" i="6"/>
  <c r="R105" i="6"/>
  <c r="Q105" i="6"/>
  <c r="T102" i="6"/>
  <c r="S102" i="6"/>
  <c r="R102" i="6"/>
  <c r="Q102" i="6"/>
  <c r="T101" i="6"/>
  <c r="T103" i="6" s="1"/>
  <c r="S101" i="6"/>
  <c r="R101" i="6"/>
  <c r="R103" i="6" s="1"/>
  <c r="Q101" i="6"/>
  <c r="Z106" i="6"/>
  <c r="Z107" i="6" s="1"/>
  <c r="Z91" i="6"/>
  <c r="Y91" i="6"/>
  <c r="X91" i="6"/>
  <c r="W91" i="6"/>
  <c r="Z90" i="6"/>
  <c r="Y90" i="6"/>
  <c r="X90" i="6"/>
  <c r="W90" i="6"/>
  <c r="Z89" i="6"/>
  <c r="Y89" i="6"/>
  <c r="X89" i="6"/>
  <c r="W89" i="6"/>
  <c r="Z88" i="6"/>
  <c r="Y88" i="6"/>
  <c r="X88" i="6"/>
  <c r="W88" i="6"/>
  <c r="Z87" i="6"/>
  <c r="Y87" i="6"/>
  <c r="X87" i="6"/>
  <c r="W87" i="6"/>
  <c r="T91" i="6"/>
  <c r="S91" i="6"/>
  <c r="R91" i="6"/>
  <c r="Q91" i="6"/>
  <c r="T88" i="6"/>
  <c r="S88" i="6"/>
  <c r="R88" i="6"/>
  <c r="Q88" i="6"/>
  <c r="T87" i="6"/>
  <c r="T89" i="6" s="1"/>
  <c r="S87" i="6"/>
  <c r="R87" i="6"/>
  <c r="R89" i="6" s="1"/>
  <c r="Q87" i="6"/>
  <c r="Z92" i="6"/>
  <c r="Z93" i="6" s="1"/>
  <c r="Y92" i="6"/>
  <c r="Y93" i="6" s="1"/>
  <c r="X92" i="6"/>
  <c r="X93" i="6" s="1"/>
  <c r="Z77" i="6"/>
  <c r="Y77" i="6"/>
  <c r="X77" i="6"/>
  <c r="W77" i="6"/>
  <c r="Z76" i="6"/>
  <c r="Y76" i="6"/>
  <c r="X76" i="6"/>
  <c r="W76" i="6"/>
  <c r="Z75" i="6"/>
  <c r="Y75" i="6"/>
  <c r="X75" i="6"/>
  <c r="W75" i="6"/>
  <c r="Z74" i="6"/>
  <c r="Y74" i="6"/>
  <c r="X74" i="6"/>
  <c r="W74" i="6"/>
  <c r="Z73" i="6"/>
  <c r="Y73" i="6"/>
  <c r="X73" i="6"/>
  <c r="X78" i="6" s="1"/>
  <c r="X79" i="6" s="1"/>
  <c r="W73" i="6"/>
  <c r="T77" i="6"/>
  <c r="S77" i="6"/>
  <c r="R77" i="6"/>
  <c r="Q77" i="6"/>
  <c r="T74" i="6"/>
  <c r="S74" i="6"/>
  <c r="R74" i="6"/>
  <c r="Q74" i="6"/>
  <c r="T73" i="6"/>
  <c r="T75" i="6" s="1"/>
  <c r="S73" i="6"/>
  <c r="R73" i="6"/>
  <c r="R75" i="6" s="1"/>
  <c r="Q73" i="6"/>
  <c r="Q75" i="6" s="1"/>
  <c r="Z78" i="6"/>
  <c r="Z79" i="6" s="1"/>
  <c r="Z63" i="6"/>
  <c r="Y63" i="6"/>
  <c r="X63" i="6"/>
  <c r="W63" i="6"/>
  <c r="Z62" i="6"/>
  <c r="Y62" i="6"/>
  <c r="X62" i="6"/>
  <c r="W62" i="6"/>
  <c r="Z61" i="6"/>
  <c r="Y61" i="6"/>
  <c r="X61" i="6"/>
  <c r="W61" i="6"/>
  <c r="Z60" i="6"/>
  <c r="Y60" i="6"/>
  <c r="X60" i="6"/>
  <c r="W60" i="6"/>
  <c r="Z59" i="6"/>
  <c r="Y59" i="6"/>
  <c r="X59" i="6"/>
  <c r="W59" i="6"/>
  <c r="W64" i="6" s="1"/>
  <c r="W65" i="6" s="1"/>
  <c r="T63" i="6"/>
  <c r="S63" i="6"/>
  <c r="R63" i="6"/>
  <c r="Q63" i="6"/>
  <c r="T60" i="6"/>
  <c r="S60" i="6"/>
  <c r="R60" i="6"/>
  <c r="Q60" i="6"/>
  <c r="T59" i="6"/>
  <c r="T61" i="6" s="1"/>
  <c r="T62" i="6" s="1"/>
  <c r="S59" i="6"/>
  <c r="R59" i="6"/>
  <c r="Q59" i="6"/>
  <c r="T42" i="6"/>
  <c r="S42" i="6"/>
  <c r="R42" i="6"/>
  <c r="Q42" i="6"/>
  <c r="T41" i="6"/>
  <c r="T43" i="6" s="1"/>
  <c r="T44" i="6" s="1"/>
  <c r="S41" i="6"/>
  <c r="R41" i="6"/>
  <c r="Q41" i="6"/>
  <c r="Q43" i="6" s="1"/>
  <c r="Q44" i="6" s="1"/>
  <c r="Q61" i="6"/>
  <c r="Q62" i="6" s="1"/>
  <c r="Z45" i="6"/>
  <c r="Y45" i="6"/>
  <c r="X45" i="6"/>
  <c r="W45" i="6"/>
  <c r="Z44" i="6"/>
  <c r="Y44" i="6"/>
  <c r="X44" i="6"/>
  <c r="W44" i="6"/>
  <c r="Z43" i="6"/>
  <c r="Y43" i="6"/>
  <c r="X43" i="6"/>
  <c r="W43" i="6"/>
  <c r="Z42" i="6"/>
  <c r="Y42" i="6"/>
  <c r="X42" i="6"/>
  <c r="W42" i="6"/>
  <c r="Z41" i="6"/>
  <c r="Z46" i="6" s="1"/>
  <c r="Z47" i="6" s="1"/>
  <c r="Y41" i="6"/>
  <c r="Y46" i="6" s="1"/>
  <c r="Y47" i="6" s="1"/>
  <c r="X41" i="6"/>
  <c r="X46" i="6" s="1"/>
  <c r="X47" i="6" s="1"/>
  <c r="W41" i="6"/>
  <c r="W46" i="6" s="1"/>
  <c r="W47" i="6" s="1"/>
  <c r="T45" i="6"/>
  <c r="S45" i="6"/>
  <c r="R45" i="6"/>
  <c r="Q45" i="6"/>
  <c r="Z28" i="6"/>
  <c r="L63" i="6" s="1"/>
  <c r="Y28" i="6"/>
  <c r="X28" i="6"/>
  <c r="W28" i="6"/>
  <c r="Z27" i="6"/>
  <c r="L62" i="6" s="1"/>
  <c r="Y27" i="6"/>
  <c r="X27" i="6"/>
  <c r="W27" i="6"/>
  <c r="Z26" i="6"/>
  <c r="L61" i="6" s="1"/>
  <c r="Y26" i="6"/>
  <c r="X26" i="6"/>
  <c r="W26" i="6"/>
  <c r="Z25" i="6"/>
  <c r="L60" i="6" s="1"/>
  <c r="Y25" i="6"/>
  <c r="X25" i="6"/>
  <c r="W25" i="6"/>
  <c r="T28" i="6"/>
  <c r="F63" i="6" s="1"/>
  <c r="L68" i="6" s="1"/>
  <c r="S28" i="6"/>
  <c r="R28" i="6"/>
  <c r="Q28" i="6"/>
  <c r="T25" i="6"/>
  <c r="S25" i="6"/>
  <c r="R25" i="6"/>
  <c r="Q25" i="6"/>
  <c r="Z24" i="6"/>
  <c r="L59" i="6" s="1"/>
  <c r="Y24" i="6"/>
  <c r="X24" i="6"/>
  <c r="W24" i="6"/>
  <c r="T24" i="6"/>
  <c r="T26" i="6" s="1"/>
  <c r="T27" i="6" s="1"/>
  <c r="S24" i="6"/>
  <c r="R24" i="6"/>
  <c r="R26" i="6" s="1"/>
  <c r="R27" i="6" s="1"/>
  <c r="Q24" i="6"/>
  <c r="Z29" i="6"/>
  <c r="Z30" i="6" s="1"/>
  <c r="Y29" i="6"/>
  <c r="Y30" i="6" s="1"/>
  <c r="Z11" i="6"/>
  <c r="Y11" i="6"/>
  <c r="X11" i="6"/>
  <c r="W11" i="6"/>
  <c r="Z10" i="6"/>
  <c r="Y10" i="6"/>
  <c r="X10" i="6"/>
  <c r="W10" i="6"/>
  <c r="Z9" i="6"/>
  <c r="Y9" i="6"/>
  <c r="X9" i="6"/>
  <c r="W9" i="6"/>
  <c r="Z8" i="6"/>
  <c r="Y8" i="6"/>
  <c r="X8" i="6"/>
  <c r="W8" i="6"/>
  <c r="T11" i="6"/>
  <c r="S11" i="6"/>
  <c r="R11" i="6"/>
  <c r="Q11" i="6"/>
  <c r="T8" i="6"/>
  <c r="S8" i="6"/>
  <c r="R8" i="6"/>
  <c r="Q8" i="6"/>
  <c r="Z7" i="6"/>
  <c r="Z12" i="6" s="1"/>
  <c r="Z13" i="6" s="1"/>
  <c r="Y7" i="6"/>
  <c r="X7" i="6"/>
  <c r="X12" i="6" s="1"/>
  <c r="X13" i="6" s="1"/>
  <c r="W7" i="6"/>
  <c r="T7" i="6"/>
  <c r="S7" i="6"/>
  <c r="R7" i="6"/>
  <c r="Q7" i="6"/>
  <c r="Q9" i="6" s="1"/>
  <c r="Q10" i="6" s="1"/>
  <c r="AA8" i="6" l="1"/>
  <c r="AA25" i="6"/>
  <c r="AA42" i="6"/>
  <c r="AA60" i="6"/>
  <c r="AA74" i="6"/>
  <c r="AA88" i="6"/>
  <c r="AA102" i="6"/>
  <c r="M8" i="6"/>
  <c r="M9" i="6"/>
  <c r="M10" i="6"/>
  <c r="M11" i="6"/>
  <c r="G13" i="4"/>
  <c r="C19" i="4"/>
  <c r="H14" i="4"/>
  <c r="E19" i="4"/>
  <c r="J9" i="4"/>
  <c r="I19" i="4"/>
  <c r="J11" i="4"/>
  <c r="J7" i="4"/>
  <c r="J8" i="4"/>
  <c r="J10" i="4"/>
  <c r="J12" i="4"/>
  <c r="J14" i="4"/>
  <c r="J13" i="4"/>
  <c r="H10" i="4"/>
  <c r="H12" i="4"/>
  <c r="H13" i="4"/>
  <c r="H11" i="4"/>
  <c r="H8" i="4"/>
  <c r="H7" i="4"/>
  <c r="G9" i="4"/>
  <c r="G12" i="4"/>
  <c r="G8" i="4"/>
  <c r="G11" i="4"/>
  <c r="G7" i="4"/>
  <c r="G14" i="4"/>
  <c r="G10" i="4"/>
  <c r="C59" i="6"/>
  <c r="I59" i="6"/>
  <c r="C60" i="6"/>
  <c r="C63" i="6"/>
  <c r="I60" i="6"/>
  <c r="I61" i="6"/>
  <c r="I62" i="6"/>
  <c r="I63" i="6"/>
  <c r="S68" i="6"/>
  <c r="K12" i="6"/>
  <c r="K13" i="6" s="1"/>
  <c r="K15" i="6"/>
  <c r="D24" i="6"/>
  <c r="C42" i="6"/>
  <c r="J16" i="6"/>
  <c r="K27" i="6"/>
  <c r="J12" i="6"/>
  <c r="J13" i="6" s="1"/>
  <c r="K25" i="6"/>
  <c r="K28" i="6"/>
  <c r="Y106" i="6"/>
  <c r="Y107" i="6" s="1"/>
  <c r="E25" i="6"/>
  <c r="K26" i="6"/>
  <c r="C41" i="6"/>
  <c r="C45" i="6"/>
  <c r="I42" i="6"/>
  <c r="I43" i="6"/>
  <c r="I44" i="6"/>
  <c r="I45" i="6"/>
  <c r="Y78" i="6"/>
  <c r="Y79" i="6" s="1"/>
  <c r="I41" i="6"/>
  <c r="D60" i="6"/>
  <c r="D41" i="6"/>
  <c r="D42" i="6"/>
  <c r="D45" i="6"/>
  <c r="J41" i="6"/>
  <c r="J42" i="6"/>
  <c r="J43" i="6"/>
  <c r="J44" i="6"/>
  <c r="J45" i="6"/>
  <c r="S96" i="6"/>
  <c r="F60" i="6"/>
  <c r="L67" i="6" s="1"/>
  <c r="R43" i="6"/>
  <c r="R44" i="6" s="1"/>
  <c r="E41" i="6"/>
  <c r="E36" i="6" s="1"/>
  <c r="E42" i="6"/>
  <c r="K41" i="6"/>
  <c r="K44" i="6"/>
  <c r="K45" i="6"/>
  <c r="I17" i="6"/>
  <c r="F24" i="6"/>
  <c r="F25" i="6"/>
  <c r="F28" i="6"/>
  <c r="L25" i="6"/>
  <c r="L26" i="6"/>
  <c r="L27" i="6"/>
  <c r="L28" i="6"/>
  <c r="D63" i="6"/>
  <c r="J60" i="6"/>
  <c r="J61" i="6"/>
  <c r="J62" i="6"/>
  <c r="J63" i="6"/>
  <c r="R61" i="6"/>
  <c r="R62" i="6" s="1"/>
  <c r="F42" i="6"/>
  <c r="F45" i="6"/>
  <c r="L41" i="6"/>
  <c r="L42" i="6"/>
  <c r="L43" i="6"/>
  <c r="L44" i="6"/>
  <c r="L45" i="6"/>
  <c r="E45" i="6"/>
  <c r="K42" i="6"/>
  <c r="M42" i="6" s="1"/>
  <c r="K43" i="6"/>
  <c r="S19" i="6"/>
  <c r="K59" i="6"/>
  <c r="E60" i="6"/>
  <c r="E63" i="6"/>
  <c r="K60" i="6"/>
  <c r="M60" i="6" s="1"/>
  <c r="K61" i="6"/>
  <c r="K62" i="6"/>
  <c r="K63" i="6"/>
  <c r="D59" i="6"/>
  <c r="L64" i="6"/>
  <c r="L65" i="6" s="1"/>
  <c r="S9" i="6"/>
  <c r="S10" i="6" s="1"/>
  <c r="S2" i="6"/>
  <c r="J59" i="6"/>
  <c r="Y64" i="6"/>
  <c r="Y65" i="6" s="1"/>
  <c r="E59" i="6"/>
  <c r="E54" i="6" s="1"/>
  <c r="S75" i="6"/>
  <c r="S78" i="6" s="1"/>
  <c r="S79" i="6" s="1"/>
  <c r="I24" i="6"/>
  <c r="I25" i="6"/>
  <c r="I26" i="6"/>
  <c r="I27" i="6"/>
  <c r="E24" i="6"/>
  <c r="F59" i="6"/>
  <c r="S43" i="6"/>
  <c r="S44" i="6" s="1"/>
  <c r="S36" i="6"/>
  <c r="S61" i="6"/>
  <c r="S62" i="6" s="1"/>
  <c r="S54" i="6"/>
  <c r="S89" i="6"/>
  <c r="S90" i="6" s="1"/>
  <c r="S82" i="6"/>
  <c r="E9" i="6"/>
  <c r="E12" i="6" s="1"/>
  <c r="E13" i="6" s="1"/>
  <c r="E2" i="6"/>
  <c r="S26" i="6"/>
  <c r="S27" i="6" s="1"/>
  <c r="S103" i="6"/>
  <c r="S106" i="6" s="1"/>
  <c r="S107" i="6" s="1"/>
  <c r="F41" i="6"/>
  <c r="C28" i="6"/>
  <c r="D25" i="6"/>
  <c r="J24" i="6"/>
  <c r="J25" i="6"/>
  <c r="J26" i="6"/>
  <c r="J27" i="6"/>
  <c r="J28" i="6"/>
  <c r="D28" i="6"/>
  <c r="C25" i="6"/>
  <c r="R9" i="6"/>
  <c r="E28" i="6"/>
  <c r="K33" i="6" s="1"/>
  <c r="F12" i="6"/>
  <c r="F13" i="6" s="1"/>
  <c r="F10" i="6"/>
  <c r="D12" i="6"/>
  <c r="D13" i="6" s="1"/>
  <c r="D10" i="6"/>
  <c r="L24" i="6"/>
  <c r="T9" i="6"/>
  <c r="K24" i="6"/>
  <c r="Y12" i="6"/>
  <c r="Y13" i="6" s="1"/>
  <c r="Q26" i="6"/>
  <c r="Q27" i="6" s="1"/>
  <c r="W29" i="6"/>
  <c r="W30" i="6" s="1"/>
  <c r="C24" i="6"/>
  <c r="Q89" i="6"/>
  <c r="Q92" i="6" s="1"/>
  <c r="Q93" i="6" s="1"/>
  <c r="W92" i="6"/>
  <c r="W93" i="6" s="1"/>
  <c r="I28" i="6"/>
  <c r="C12" i="6"/>
  <c r="C13" i="6" s="1"/>
  <c r="C10" i="6"/>
  <c r="Z64" i="6"/>
  <c r="Z65" i="6" s="1"/>
  <c r="W78" i="6"/>
  <c r="W79" i="6" s="1"/>
  <c r="Q103" i="6"/>
  <c r="Q104" i="6" s="1"/>
  <c r="W106" i="6"/>
  <c r="W107" i="6" s="1"/>
  <c r="X29" i="6"/>
  <c r="X30" i="6" s="1"/>
  <c r="X106" i="6"/>
  <c r="X107" i="6" s="1"/>
  <c r="X64" i="6"/>
  <c r="X65" i="6" s="1"/>
  <c r="T106" i="6"/>
  <c r="T107" i="6" s="1"/>
  <c r="T104" i="6"/>
  <c r="R106" i="6"/>
  <c r="R107" i="6" s="1"/>
  <c r="R104" i="6"/>
  <c r="S92" i="6"/>
  <c r="S93" i="6" s="1"/>
  <c r="T92" i="6"/>
  <c r="T93" i="6" s="1"/>
  <c r="T90" i="6"/>
  <c r="R92" i="6"/>
  <c r="R93" i="6" s="1"/>
  <c r="R90" i="6"/>
  <c r="Q78" i="6"/>
  <c r="Q79" i="6" s="1"/>
  <c r="Q76" i="6"/>
  <c r="R78" i="6"/>
  <c r="R79" i="6" s="1"/>
  <c r="R76" i="6"/>
  <c r="T78" i="6"/>
  <c r="T79" i="6" s="1"/>
  <c r="T76" i="6"/>
  <c r="Q64" i="6"/>
  <c r="Q65" i="6" s="1"/>
  <c r="T64" i="6"/>
  <c r="T65" i="6" s="1"/>
  <c r="Q46" i="6"/>
  <c r="Q47" i="6" s="1"/>
  <c r="R46" i="6"/>
  <c r="R47" i="6" s="1"/>
  <c r="T46" i="6"/>
  <c r="T47" i="6" s="1"/>
  <c r="S46" i="6"/>
  <c r="S47" i="6" s="1"/>
  <c r="R29" i="6"/>
  <c r="R30" i="6" s="1"/>
  <c r="T29" i="6"/>
  <c r="T30" i="6" s="1"/>
  <c r="W12" i="6"/>
  <c r="W13" i="6" s="1"/>
  <c r="Q12" i="6"/>
  <c r="Q13" i="6" s="1"/>
  <c r="M25" i="6" l="1"/>
  <c r="C61" i="6"/>
  <c r="C64" i="6" s="1"/>
  <c r="C65" i="6" s="1"/>
  <c r="I68" i="6"/>
  <c r="S76" i="6"/>
  <c r="I64" i="6"/>
  <c r="I65" i="6" s="1"/>
  <c r="I67" i="6"/>
  <c r="R64" i="6"/>
  <c r="R65" i="6" s="1"/>
  <c r="I49" i="6"/>
  <c r="I50" i="6"/>
  <c r="K17" i="6"/>
  <c r="F43" i="6"/>
  <c r="F44" i="6" s="1"/>
  <c r="J50" i="6"/>
  <c r="C43" i="6"/>
  <c r="C46" i="6" s="1"/>
  <c r="C47" i="6" s="1"/>
  <c r="K32" i="6"/>
  <c r="J17" i="6"/>
  <c r="C26" i="6"/>
  <c r="C27" i="6" s="1"/>
  <c r="E26" i="6"/>
  <c r="E27" i="6" s="1"/>
  <c r="F61" i="6"/>
  <c r="F64" i="6" s="1"/>
  <c r="F65" i="6" s="1"/>
  <c r="D61" i="6"/>
  <c r="D64" i="6" s="1"/>
  <c r="D65" i="6" s="1"/>
  <c r="I46" i="6"/>
  <c r="I47" i="6" s="1"/>
  <c r="C44" i="6"/>
  <c r="D43" i="6"/>
  <c r="D44" i="6" s="1"/>
  <c r="J49" i="6"/>
  <c r="L50" i="6"/>
  <c r="L33" i="6"/>
  <c r="Q90" i="6"/>
  <c r="Q106" i="6"/>
  <c r="Q107" i="6" s="1"/>
  <c r="J46" i="6"/>
  <c r="S104" i="6"/>
  <c r="L29" i="6"/>
  <c r="L30" i="6" s="1"/>
  <c r="S12" i="6"/>
  <c r="S13" i="6" s="1"/>
  <c r="C62" i="6"/>
  <c r="K50" i="6"/>
  <c r="J67" i="6"/>
  <c r="F26" i="6"/>
  <c r="L46" i="6"/>
  <c r="L47" i="6" s="1"/>
  <c r="J68" i="6"/>
  <c r="K46" i="6"/>
  <c r="K47" i="6" s="1"/>
  <c r="K68" i="6"/>
  <c r="K49" i="6"/>
  <c r="S29" i="6"/>
  <c r="S30" i="6" s="1"/>
  <c r="E43" i="6"/>
  <c r="E44" i="6" s="1"/>
  <c r="K67" i="6"/>
  <c r="L49" i="6"/>
  <c r="L32" i="6"/>
  <c r="J64" i="6"/>
  <c r="J65" i="6" s="1"/>
  <c r="K64" i="6"/>
  <c r="J32" i="6"/>
  <c r="J33" i="6"/>
  <c r="E46" i="6"/>
  <c r="E47" i="6" s="1"/>
  <c r="K29" i="6"/>
  <c r="K30" i="6" s="1"/>
  <c r="K19" i="6"/>
  <c r="I29" i="6"/>
  <c r="I30" i="6" s="1"/>
  <c r="I33" i="6"/>
  <c r="S64" i="6"/>
  <c r="S65" i="6" s="1"/>
  <c r="E10" i="6"/>
  <c r="E61" i="6"/>
  <c r="L69" i="6"/>
  <c r="E19" i="6"/>
  <c r="I32" i="6"/>
  <c r="D26" i="6"/>
  <c r="D27" i="6" s="1"/>
  <c r="Q29" i="6"/>
  <c r="Q30" i="6" s="1"/>
  <c r="R12" i="6"/>
  <c r="R13" i="6" s="1"/>
  <c r="R10" i="6"/>
  <c r="J29" i="6"/>
  <c r="J30" i="6" s="1"/>
  <c r="T10" i="6"/>
  <c r="T12" i="6"/>
  <c r="T13" i="6" s="1"/>
  <c r="F62" i="2"/>
  <c r="F79" i="2" s="1"/>
  <c r="F61" i="2"/>
  <c r="E62" i="2"/>
  <c r="E79" i="2" s="1"/>
  <c r="E61" i="2"/>
  <c r="D62" i="2"/>
  <c r="D79" i="2" s="1"/>
  <c r="D61" i="2"/>
  <c r="C62" i="2"/>
  <c r="C79" i="2" s="1"/>
  <c r="C61" i="2"/>
  <c r="E29" i="6" l="1"/>
  <c r="E30" i="6" s="1"/>
  <c r="F46" i="6"/>
  <c r="F47" i="6" s="1"/>
  <c r="D62" i="6"/>
  <c r="I69" i="6"/>
  <c r="C29" i="6"/>
  <c r="C30" i="6" s="1"/>
  <c r="I51" i="6"/>
  <c r="F62" i="6"/>
  <c r="L34" i="6"/>
  <c r="J69" i="6"/>
  <c r="D46" i="6"/>
  <c r="D47" i="6" s="1"/>
  <c r="L51" i="6"/>
  <c r="K51" i="6"/>
  <c r="F27" i="6"/>
  <c r="F29" i="6"/>
  <c r="F30" i="6" s="1"/>
  <c r="J47" i="6"/>
  <c r="J51" i="6"/>
  <c r="K65" i="6"/>
  <c r="K69" i="6"/>
  <c r="J34" i="6"/>
  <c r="K34" i="6"/>
  <c r="I34" i="6"/>
  <c r="E64" i="6"/>
  <c r="E65" i="6" s="1"/>
  <c r="E62" i="6"/>
  <c r="D29" i="6"/>
  <c r="D30" i="6" s="1"/>
  <c r="F63" i="2"/>
  <c r="E63" i="2"/>
  <c r="D63" i="2"/>
  <c r="C63" i="2"/>
  <c r="F51" i="2" l="1"/>
  <c r="E51" i="2"/>
  <c r="D51" i="2"/>
  <c r="C51" i="2"/>
  <c r="F39" i="2"/>
  <c r="E39" i="2"/>
  <c r="D39" i="2"/>
  <c r="C39" i="2"/>
  <c r="F38" i="2"/>
  <c r="E38" i="2"/>
  <c r="D38" i="2"/>
  <c r="C38" i="2"/>
  <c r="F37" i="2"/>
  <c r="E37" i="2"/>
  <c r="D37" i="2"/>
  <c r="C37" i="2"/>
  <c r="F27" i="2"/>
  <c r="E27" i="2"/>
  <c r="D27" i="2"/>
  <c r="C27" i="2"/>
  <c r="F10" i="2"/>
  <c r="E10" i="2"/>
  <c r="D10" i="2"/>
  <c r="C10" i="2"/>
  <c r="C77" i="2" l="1"/>
  <c r="C65" i="2"/>
  <c r="C29" i="2"/>
  <c r="D77" i="2"/>
  <c r="D65" i="2"/>
  <c r="D29" i="2"/>
  <c r="E77" i="2"/>
  <c r="E65" i="2"/>
  <c r="E29" i="2"/>
  <c r="F77" i="2"/>
  <c r="F65" i="2"/>
  <c r="F29" i="2"/>
  <c r="I26" i="2"/>
  <c r="I25" i="2"/>
  <c r="I24" i="2"/>
  <c r="I23" i="2"/>
  <c r="I22" i="2"/>
  <c r="I21" i="2"/>
  <c r="I20" i="2"/>
  <c r="J26" i="2"/>
  <c r="J25" i="2"/>
  <c r="J24" i="2"/>
  <c r="J23" i="2"/>
  <c r="J22" i="2"/>
  <c r="J21" i="2"/>
  <c r="J20" i="2"/>
  <c r="K26" i="2"/>
  <c r="K25" i="2"/>
  <c r="K24" i="2"/>
  <c r="K23" i="2"/>
  <c r="K22" i="2"/>
  <c r="K21" i="2"/>
  <c r="K20" i="2"/>
  <c r="L26" i="2"/>
  <c r="L25" i="2"/>
  <c r="L24" i="2"/>
  <c r="L23" i="2"/>
  <c r="L22" i="2"/>
  <c r="L21" i="2"/>
  <c r="L20" i="2"/>
  <c r="C40" i="2"/>
  <c r="D40" i="2"/>
  <c r="F40" i="2"/>
  <c r="I38" i="2"/>
  <c r="J38" i="2"/>
  <c r="L38" i="2"/>
  <c r="I39" i="2"/>
  <c r="J39" i="2"/>
  <c r="E40" i="2"/>
  <c r="K39" i="2"/>
  <c r="L39" i="2"/>
  <c r="F53" i="2"/>
  <c r="D69" i="21"/>
  <c r="D58" i="21"/>
  <c r="I62" i="2" l="1"/>
  <c r="I61" i="2"/>
  <c r="E53" i="2"/>
  <c r="K37" i="2"/>
  <c r="K38" i="2"/>
  <c r="J62" i="2"/>
  <c r="J61" i="2"/>
  <c r="L37" i="2"/>
  <c r="H62" i="2"/>
  <c r="H61" i="2"/>
  <c r="D53" i="2"/>
  <c r="J37" i="2"/>
  <c r="G61" i="2"/>
  <c r="G62" i="2"/>
  <c r="C53" i="2"/>
  <c r="I37" i="2"/>
</calcChain>
</file>

<file path=xl/sharedStrings.xml><?xml version="1.0" encoding="utf-8"?>
<sst xmlns="http://schemas.openxmlformats.org/spreadsheetml/2006/main" count="2925" uniqueCount="760">
  <si>
    <t>Data index</t>
    <phoneticPr fontId="3" type="noConversion"/>
  </si>
  <si>
    <t>Description</t>
    <phoneticPr fontId="3" type="noConversion"/>
  </si>
  <si>
    <t>Link</t>
    <phoneticPr fontId="3" type="noConversion"/>
  </si>
  <si>
    <t>Sales overview</t>
  </si>
  <si>
    <t>Sales_01</t>
  </si>
  <si>
    <t>거래처별 매출</t>
    <phoneticPr fontId="3" type="noConversion"/>
  </si>
  <si>
    <t>Sales_02거래처별</t>
  </si>
  <si>
    <t>자료간 Recon</t>
    <phoneticPr fontId="3" type="noConversion"/>
  </si>
  <si>
    <t>Sales_03자료간 차이</t>
  </si>
  <si>
    <t>사업부별매출</t>
    <phoneticPr fontId="3" type="noConversion"/>
  </si>
  <si>
    <t>Sales_04사업부별</t>
  </si>
  <si>
    <t>사업부별매출추세</t>
    <phoneticPr fontId="3" type="noConversion"/>
  </si>
  <si>
    <t>Sales_05사업부별추세</t>
  </si>
  <si>
    <t>월별매출추세</t>
    <phoneticPr fontId="3" type="noConversion"/>
  </si>
  <si>
    <t>Sales_06월별</t>
  </si>
  <si>
    <t>제품매출</t>
    <phoneticPr fontId="3" type="noConversion"/>
  </si>
  <si>
    <t>Sales_07제품매출</t>
  </si>
  <si>
    <t>설비매출</t>
    <phoneticPr fontId="3" type="noConversion"/>
  </si>
  <si>
    <t>Sales_08설비매출</t>
  </si>
  <si>
    <t>기타매출</t>
    <phoneticPr fontId="3" type="noConversion"/>
  </si>
  <si>
    <t>Sales_09기타매출</t>
  </si>
  <si>
    <t>사업부별손익</t>
    <phoneticPr fontId="3" type="noConversion"/>
  </si>
  <si>
    <t>사업부별손익</t>
  </si>
  <si>
    <t>결산명세서 및 감사보고서</t>
    <phoneticPr fontId="3" type="noConversion"/>
  </si>
  <si>
    <t>Sales overview</t>
    <phoneticPr fontId="3" type="noConversion"/>
  </si>
  <si>
    <t>2012년</t>
    <phoneticPr fontId="3" type="noConversion"/>
  </si>
  <si>
    <t>2013년</t>
    <phoneticPr fontId="3" type="noConversion"/>
  </si>
  <si>
    <t>2014년</t>
    <phoneticPr fontId="3" type="noConversion"/>
  </si>
  <si>
    <t>2015년</t>
    <phoneticPr fontId="3" type="noConversion"/>
  </si>
  <si>
    <t>백만원</t>
    <phoneticPr fontId="3" type="noConversion"/>
  </si>
  <si>
    <t>12개월</t>
    <phoneticPr fontId="3" type="noConversion"/>
  </si>
  <si>
    <t>6개월</t>
    <phoneticPr fontId="3" type="noConversion"/>
  </si>
  <si>
    <t>제품</t>
    <phoneticPr fontId="3" type="noConversion"/>
  </si>
  <si>
    <t>제품매출 vs 기타매출 구분기준</t>
    <phoneticPr fontId="3" type="noConversion"/>
  </si>
  <si>
    <t>기타</t>
    <phoneticPr fontId="3" type="noConversion"/>
  </si>
  <si>
    <t>합계</t>
    <phoneticPr fontId="3" type="noConversion"/>
  </si>
  <si>
    <t>Val_8,9 제품별 사업부별 매출액</t>
    <phoneticPr fontId="3" type="noConversion"/>
  </si>
  <si>
    <t>사업부별(내부보고) 매출</t>
    <phoneticPr fontId="3" type="noConversion"/>
  </si>
  <si>
    <t>스위치</t>
  </si>
  <si>
    <t>릴레이</t>
  </si>
  <si>
    <t>BCS</t>
  </si>
  <si>
    <t>ECU</t>
  </si>
  <si>
    <t>전력제어</t>
  </si>
  <si>
    <t>RoomLamp</t>
  </si>
  <si>
    <t>부품사업팀</t>
  </si>
  <si>
    <t>HMC</t>
    <phoneticPr fontId="3" type="noConversion"/>
  </si>
  <si>
    <t>스위치</t>
    <phoneticPr fontId="3" type="noConversion"/>
  </si>
  <si>
    <t>Human Machine Interface (Switch, Lamp)</t>
    <phoneticPr fontId="3" type="noConversion"/>
  </si>
  <si>
    <t>BCS</t>
    <phoneticPr fontId="3" type="noConversion"/>
  </si>
  <si>
    <t>Body Control System (Core BCM, ECU, Sensor, Converter, VESS 등)</t>
    <phoneticPr fontId="3" type="noConversion"/>
  </si>
  <si>
    <t>MC</t>
    <phoneticPr fontId="3" type="noConversion"/>
  </si>
  <si>
    <t>Mechatronics Components (Relay, J/Box, ABS Coil &amp; Housing, 환형터미널 등)</t>
    <phoneticPr fontId="3" type="noConversion"/>
  </si>
  <si>
    <t>사업부별(그룹보고) 매출</t>
    <phoneticPr fontId="3" type="noConversion"/>
  </si>
  <si>
    <t>HMC</t>
  </si>
  <si>
    <t>MC</t>
  </si>
  <si>
    <t>FDD_12,13,18,19,20 2012년 ~ 22015년 6월 매출세부</t>
    <phoneticPr fontId="3" type="noConversion"/>
  </si>
  <si>
    <t>매출세부</t>
    <phoneticPr fontId="3" type="noConversion"/>
  </si>
  <si>
    <t>Val21_판매보증충당금_판보충계산</t>
    <phoneticPr fontId="3" type="noConversion"/>
  </si>
  <si>
    <t>구분</t>
    <phoneticPr fontId="3" type="noConversion"/>
  </si>
  <si>
    <t>합계</t>
  </si>
  <si>
    <t>내수</t>
  </si>
  <si>
    <t>수출</t>
  </si>
  <si>
    <t>2012년 상반기</t>
  </si>
  <si>
    <t>2012년 하반기</t>
  </si>
  <si>
    <t>국내매출</t>
    <phoneticPr fontId="3" type="noConversion"/>
  </si>
  <si>
    <t>2013년 상반기</t>
  </si>
  <si>
    <t>해외매출</t>
    <phoneticPr fontId="3" type="noConversion"/>
  </si>
  <si>
    <t>2013년 하반기</t>
  </si>
  <si>
    <t>2014년 상반기</t>
  </si>
  <si>
    <t>2014년 하반기</t>
  </si>
  <si>
    <t>결산명세검증</t>
    <phoneticPr fontId="3" type="noConversion"/>
  </si>
  <si>
    <t>2015년 상반기</t>
  </si>
  <si>
    <t>국내고객</t>
    <phoneticPr fontId="3" type="noConversion"/>
  </si>
  <si>
    <t>해외고객</t>
    <phoneticPr fontId="3" type="noConversion"/>
  </si>
  <si>
    <t>판매보증충당금차이</t>
    <phoneticPr fontId="3" type="noConversion"/>
  </si>
  <si>
    <t>FDD_12,13,18,19,20 2012년 ~ 22015년 6월 매출세부(본사_해외고객)</t>
    <phoneticPr fontId="3" type="noConversion"/>
  </si>
  <si>
    <t>거래처별 매출(전체매출)</t>
    <phoneticPr fontId="3" type="noConversion"/>
  </si>
  <si>
    <t>2012년</t>
  </si>
  <si>
    <t>2013년</t>
  </si>
  <si>
    <t>2014년</t>
  </si>
  <si>
    <t>2015년</t>
  </si>
  <si>
    <t>고객그룹</t>
  </si>
  <si>
    <t>고객그룹명</t>
  </si>
  <si>
    <t>백만원</t>
  </si>
  <si>
    <t>12개월</t>
  </si>
  <si>
    <t>6개월</t>
  </si>
  <si>
    <t>%</t>
    <phoneticPr fontId="3" type="noConversion"/>
  </si>
  <si>
    <t>A0</t>
  </si>
  <si>
    <t>자동차부문 기타</t>
  </si>
  <si>
    <t>현대자동차 관련</t>
    <phoneticPr fontId="3" type="noConversion"/>
  </si>
  <si>
    <t>A1</t>
  </si>
  <si>
    <t>현대자동차 관련</t>
  </si>
  <si>
    <t>기아자동차 관련</t>
    <phoneticPr fontId="3" type="noConversion"/>
  </si>
  <si>
    <t>A2</t>
  </si>
  <si>
    <t>기아자동차 관련</t>
  </si>
  <si>
    <t>NISSAN 관련</t>
    <phoneticPr fontId="3" type="noConversion"/>
  </si>
  <si>
    <t>A3</t>
  </si>
  <si>
    <t>지엠대우자동차 관련</t>
  </si>
  <si>
    <t>지엠대우자동차 관련</t>
    <phoneticPr fontId="3" type="noConversion"/>
  </si>
  <si>
    <t>A4</t>
  </si>
  <si>
    <t>쌍용자동차 관련</t>
  </si>
  <si>
    <t>GM 관련</t>
    <phoneticPr fontId="3" type="noConversion"/>
  </si>
  <si>
    <t>A5</t>
  </si>
  <si>
    <t>Delphi 관련</t>
  </si>
  <si>
    <t>Delphi 관련</t>
    <phoneticPr fontId="3" type="noConversion"/>
  </si>
  <si>
    <t>A6</t>
  </si>
  <si>
    <t>르노삼성 관련</t>
  </si>
  <si>
    <t>B0</t>
  </si>
  <si>
    <t>해외 기타</t>
  </si>
  <si>
    <t>B1</t>
  </si>
  <si>
    <t>NISSAN 관련</t>
  </si>
  <si>
    <t>해외법인</t>
    <phoneticPr fontId="3" type="noConversion"/>
  </si>
  <si>
    <t>B2</t>
  </si>
  <si>
    <t>GM 관련</t>
  </si>
  <si>
    <t>B3</t>
  </si>
  <si>
    <t>TATA 관련</t>
  </si>
  <si>
    <t>거래처별 제품군 필요</t>
    <phoneticPr fontId="3" type="noConversion"/>
  </si>
  <si>
    <t>B6</t>
  </si>
  <si>
    <t>폭스바겐</t>
  </si>
  <si>
    <t>B7</t>
  </si>
  <si>
    <t>크라이슬러</t>
  </si>
  <si>
    <t>현대기아차 비중</t>
    <phoneticPr fontId="3" type="noConversion"/>
  </si>
  <si>
    <t>B9</t>
  </si>
  <si>
    <t>삼성전자 관련</t>
  </si>
  <si>
    <t>C1</t>
  </si>
  <si>
    <t>LG전자 관련</t>
  </si>
  <si>
    <t>D1</t>
  </si>
  <si>
    <t>해외법인 관련</t>
  </si>
  <si>
    <t>E0</t>
  </si>
  <si>
    <t>기타고객(전체)</t>
  </si>
  <si>
    <t>F1</t>
  </si>
  <si>
    <t>유상사급 관련</t>
  </si>
  <si>
    <t>미지정</t>
  </si>
  <si>
    <t>총계</t>
  </si>
  <si>
    <t>거래처 그룹별 매출(제품매출)</t>
    <phoneticPr fontId="3" type="noConversion"/>
  </si>
  <si>
    <t>2012년 12개월</t>
    <phoneticPr fontId="3" type="noConversion"/>
  </si>
  <si>
    <t>2013년 12개월</t>
    <phoneticPr fontId="3" type="noConversion"/>
  </si>
  <si>
    <t>2014년 12개월</t>
    <phoneticPr fontId="3" type="noConversion"/>
  </si>
  <si>
    <t>2015년 6개월</t>
    <phoneticPr fontId="3" type="noConversion"/>
  </si>
  <si>
    <t>기타</t>
  </si>
  <si>
    <t>현대기아차비중</t>
    <phoneticPr fontId="3" type="noConversion"/>
  </si>
  <si>
    <t>국내/해외</t>
    <phoneticPr fontId="3" type="noConversion"/>
  </si>
  <si>
    <t>결산명세서</t>
    <phoneticPr fontId="3" type="noConversion"/>
  </si>
  <si>
    <t>고객코드별로 해외고객과 국내고객 구분</t>
    <phoneticPr fontId="3" type="noConversion"/>
  </si>
  <si>
    <t>내수</t>
    <phoneticPr fontId="3" type="noConversion"/>
  </si>
  <si>
    <t>미제공</t>
    <phoneticPr fontId="3" type="noConversion"/>
  </si>
  <si>
    <t>해외수출</t>
    <phoneticPr fontId="3" type="noConversion"/>
  </si>
  <si>
    <t>파생상품</t>
    <phoneticPr fontId="3" type="noConversion"/>
  </si>
  <si>
    <t>증감</t>
    <phoneticPr fontId="3" type="noConversion"/>
  </si>
  <si>
    <t>결산서상 매출과 일시불매출 및 용역과제매출 누락차이</t>
    <phoneticPr fontId="3" type="noConversion"/>
  </si>
  <si>
    <t>감사보고서</t>
    <phoneticPr fontId="3" type="noConversion"/>
  </si>
  <si>
    <t>사업부별</t>
    <phoneticPr fontId="3" type="noConversion"/>
  </si>
  <si>
    <t>사업부별매출</t>
  </si>
  <si>
    <t>해외</t>
    <phoneticPr fontId="3" type="noConversion"/>
  </si>
  <si>
    <t>릴레이</t>
    <phoneticPr fontId="3" type="noConversion"/>
  </si>
  <si>
    <t xml:space="preserve">BCS
</t>
  </si>
  <si>
    <t xml:space="preserve">ECU
</t>
  </si>
  <si>
    <t xml:space="preserve">전력제어
</t>
  </si>
  <si>
    <t>부품사업</t>
  </si>
  <si>
    <t>부품사업</t>
    <phoneticPr fontId="3" type="noConversion"/>
  </si>
  <si>
    <t>차이</t>
    <phoneticPr fontId="3" type="noConversion"/>
  </si>
  <si>
    <t>유형별</t>
    <phoneticPr fontId="3" type="noConversion"/>
  </si>
  <si>
    <t>일시불매출 및 용역과제매출 누락차이</t>
    <phoneticPr fontId="3" type="noConversion"/>
  </si>
  <si>
    <t>일시불매출 및 용역과제매출 누락차이</t>
  </si>
  <si>
    <t>금형 및 설비매출 사업별 매출에서 부품사업팀으로 분류/ 거래처로는 해외법인 및 현대모터스인도 등</t>
    <phoneticPr fontId="3" type="noConversion"/>
  </si>
  <si>
    <t>파생상품/기타(원자재)/기타(부품)/</t>
    <phoneticPr fontId="3" type="noConversion"/>
  </si>
  <si>
    <t>제품매출</t>
  </si>
  <si>
    <t>설비매출</t>
  </si>
  <si>
    <t>파생, 샘플, 일시불, 용역과제</t>
    <phoneticPr fontId="3" type="noConversion"/>
  </si>
  <si>
    <t>일시불매출</t>
  </si>
  <si>
    <t>2012년 기타수익</t>
    <phoneticPr fontId="3" type="noConversion"/>
  </si>
  <si>
    <t>용역과제매출</t>
  </si>
  <si>
    <t>자회사로열티매출</t>
  </si>
  <si>
    <t>2012~2014 기타수익으로 계상</t>
    <phoneticPr fontId="3" type="noConversion"/>
  </si>
  <si>
    <t>기타매출</t>
  </si>
  <si>
    <t>일시불매출</t>
    <phoneticPr fontId="3" type="noConversion"/>
  </si>
  <si>
    <t>파생</t>
    <phoneticPr fontId="3" type="noConversion"/>
  </si>
  <si>
    <t>용역과제매출</t>
    <phoneticPr fontId="3" type="noConversion"/>
  </si>
  <si>
    <t>원자재/부품</t>
    <phoneticPr fontId="3" type="noConversion"/>
  </si>
  <si>
    <t>원자재(내수)</t>
    <phoneticPr fontId="3" type="noConversion"/>
  </si>
  <si>
    <t>샘플</t>
    <phoneticPr fontId="3" type="noConversion"/>
  </si>
  <si>
    <t>부품(내수)</t>
    <phoneticPr fontId="3" type="noConversion"/>
  </si>
  <si>
    <t>원자재(해외)</t>
    <phoneticPr fontId="3" type="noConversion"/>
  </si>
  <si>
    <t>부품(해외)</t>
    <phoneticPr fontId="3" type="noConversion"/>
  </si>
  <si>
    <t>기타의기타</t>
    <phoneticPr fontId="3" type="noConversion"/>
  </si>
  <si>
    <t>사업부별 매출액</t>
    <phoneticPr fontId="3" type="noConversion"/>
  </si>
  <si>
    <t>매출액비중</t>
    <phoneticPr fontId="3" type="noConversion"/>
  </si>
  <si>
    <t>매출액증감</t>
    <phoneticPr fontId="3" type="noConversion"/>
  </si>
  <si>
    <t>ECU</t>
    <phoneticPr fontId="3" type="noConversion"/>
  </si>
  <si>
    <t>전력제어</t>
    <phoneticPr fontId="3" type="noConversion"/>
  </si>
  <si>
    <t>Roomlamp</t>
    <phoneticPr fontId="3" type="noConversion"/>
  </si>
  <si>
    <t>Roomlamp</t>
  </si>
  <si>
    <t>`</t>
    <phoneticPr fontId="3" type="noConversion"/>
  </si>
  <si>
    <t>HMI</t>
    <phoneticPr fontId="3" type="noConversion"/>
  </si>
  <si>
    <t>스위치 매출의 증가</t>
    <phoneticPr fontId="3" type="noConversion"/>
  </si>
  <si>
    <t>ECU 전력제어 증가</t>
    <phoneticPr fontId="3" type="noConversion"/>
  </si>
  <si>
    <t>릴레이 매출의 감소,</t>
    <phoneticPr fontId="3" type="noConversion"/>
  </si>
  <si>
    <t>사업부별 제품매출액</t>
    <phoneticPr fontId="3" type="noConversion"/>
  </si>
  <si>
    <t>전체매출액비중</t>
    <phoneticPr fontId="3" type="noConversion"/>
  </si>
  <si>
    <t>사업부별 매출수량</t>
    <phoneticPr fontId="3" type="noConversion"/>
  </si>
  <si>
    <t>천개</t>
    <phoneticPr fontId="3" type="noConversion"/>
  </si>
  <si>
    <t>사업부별 ASP</t>
    <phoneticPr fontId="3" type="noConversion"/>
  </si>
  <si>
    <t>원</t>
    <phoneticPr fontId="3" type="noConversion"/>
  </si>
  <si>
    <t>스위치사업부</t>
    <phoneticPr fontId="3" type="noConversion"/>
  </si>
  <si>
    <t>매출액</t>
    <phoneticPr fontId="3" type="noConversion"/>
  </si>
  <si>
    <t>수량</t>
    <phoneticPr fontId="3" type="noConversion"/>
  </si>
  <si>
    <t>ASP</t>
    <phoneticPr fontId="3" type="noConversion"/>
  </si>
  <si>
    <t>매출 분석</t>
    <phoneticPr fontId="31" type="noConversion"/>
  </si>
  <si>
    <t>백만원</t>
    <phoneticPr fontId="31" type="noConversion"/>
  </si>
  <si>
    <t>단가</t>
    <phoneticPr fontId="3" type="noConversion"/>
  </si>
  <si>
    <t>2012년 스위치매출</t>
    <phoneticPr fontId="3" type="noConversion"/>
  </si>
  <si>
    <t>2013년 스위치매출</t>
    <phoneticPr fontId="3" type="noConversion"/>
  </si>
  <si>
    <t>2014년 스위치매출</t>
    <phoneticPr fontId="3" type="noConversion"/>
  </si>
  <si>
    <t>스위치사업부 주요 제품군 매출구성</t>
    <phoneticPr fontId="31" type="noConversion"/>
  </si>
  <si>
    <t>결산보고서</t>
    <phoneticPr fontId="3" type="noConversion"/>
  </si>
  <si>
    <t>Power Window Switch</t>
    <phoneticPr fontId="3" type="noConversion"/>
  </si>
  <si>
    <t>매출</t>
    <phoneticPr fontId="3" type="noConversion"/>
  </si>
  <si>
    <t>Switch-P/W</t>
  </si>
  <si>
    <t xml:space="preserve">  Power Window Switch</t>
  </si>
  <si>
    <t>Power Window Switch</t>
  </si>
  <si>
    <t>Switch-IP</t>
  </si>
  <si>
    <t xml:space="preserve">  In Panel Switch</t>
  </si>
  <si>
    <t>In Panel Switch</t>
  </si>
  <si>
    <t>In Panel Switch</t>
    <phoneticPr fontId="3" type="noConversion"/>
  </si>
  <si>
    <t>Switch-M/F</t>
  </si>
  <si>
    <t xml:space="preserve">  Muti Function Switch</t>
  </si>
  <si>
    <t>Muti Function Switch</t>
  </si>
  <si>
    <t>내장 Room Lamp</t>
  </si>
  <si>
    <t xml:space="preserve">  Interior Lamp</t>
  </si>
  <si>
    <t>Interior Lamp</t>
  </si>
  <si>
    <t xml:space="preserve">Remocon 스위치 </t>
  </si>
  <si>
    <t xml:space="preserve">  Remocon Switch</t>
  </si>
  <si>
    <t>Remocon Switch</t>
  </si>
  <si>
    <t>Muti Function Switch</t>
    <phoneticPr fontId="3" type="noConversion"/>
  </si>
  <si>
    <t>Switch-IH</t>
  </si>
  <si>
    <t xml:space="preserve">  Inhibitor Switch</t>
  </si>
  <si>
    <t>Inhibitor Switch</t>
  </si>
  <si>
    <t>Gear Shift</t>
  </si>
  <si>
    <t xml:space="preserve">  Gear Shift Module</t>
  </si>
  <si>
    <t>General Switch</t>
  </si>
  <si>
    <t>해외</t>
  </si>
  <si>
    <t xml:space="preserve">Haptic 스위치 </t>
  </si>
  <si>
    <t xml:space="preserve">  Haptic Switch</t>
  </si>
  <si>
    <t>Micro Switch</t>
  </si>
  <si>
    <t>Switch 일반</t>
  </si>
  <si>
    <t xml:space="preserve">  Micro Switch</t>
  </si>
  <si>
    <t>Haptic Switch</t>
  </si>
  <si>
    <t>Switch MIC</t>
  </si>
  <si>
    <t xml:space="preserve">  General Switch</t>
  </si>
  <si>
    <t>Gear Shift Module</t>
  </si>
  <si>
    <t>스위치사업부 매출</t>
    <phoneticPr fontId="3" type="noConversion"/>
  </si>
  <si>
    <t>스위치사업부 매출비중</t>
    <phoneticPr fontId="3" type="noConversion"/>
  </si>
  <si>
    <t>Amount</t>
    <phoneticPr fontId="3" type="noConversion"/>
  </si>
  <si>
    <t>Mix</t>
    <phoneticPr fontId="3" type="noConversion"/>
  </si>
  <si>
    <t xml:space="preserve">  Audio SW Assy</t>
  </si>
  <si>
    <t>Audio SW Assy</t>
  </si>
  <si>
    <t>증감분석</t>
    <phoneticPr fontId="3" type="noConversion"/>
  </si>
  <si>
    <t>합산기준</t>
    <phoneticPr fontId="3" type="noConversion"/>
  </si>
  <si>
    <t>2015년 연환산</t>
    <phoneticPr fontId="3" type="noConversion"/>
  </si>
  <si>
    <t>스위치 비중</t>
    <phoneticPr fontId="3" type="noConversion"/>
  </si>
  <si>
    <t>사업부별 매출</t>
    <phoneticPr fontId="3" type="noConversion"/>
  </si>
  <si>
    <t>사업부별 설비매출액</t>
    <phoneticPr fontId="3" type="noConversion"/>
  </si>
  <si>
    <t>사업부별 일시불매출액</t>
    <phoneticPr fontId="3" type="noConversion"/>
  </si>
  <si>
    <t>사업부별 용역과제매출액</t>
    <phoneticPr fontId="3" type="noConversion"/>
  </si>
  <si>
    <t>월별 제품매출</t>
    <phoneticPr fontId="3" type="noConversion"/>
  </si>
  <si>
    <t>2012년 1월</t>
    <phoneticPr fontId="3" type="noConversion"/>
  </si>
  <si>
    <t>2012년 2월</t>
    <phoneticPr fontId="3" type="noConversion"/>
  </si>
  <si>
    <t>2012년 3월</t>
    <phoneticPr fontId="3" type="noConversion"/>
  </si>
  <si>
    <t>2012년 4월</t>
  </si>
  <si>
    <t>2012년 5월</t>
  </si>
  <si>
    <t>2012년 6월</t>
  </si>
  <si>
    <t>2012년 7월</t>
  </si>
  <si>
    <t>2012년 8월</t>
  </si>
  <si>
    <t>2012년 9월</t>
  </si>
  <si>
    <t>2012년 10월</t>
  </si>
  <si>
    <t>2012년 11월</t>
  </si>
  <si>
    <t>2012년 12월</t>
  </si>
  <si>
    <t>2013년 1월</t>
  </si>
  <si>
    <t>2013년 2월</t>
  </si>
  <si>
    <t>2013년 3월</t>
  </si>
  <si>
    <t>2013년 4월</t>
  </si>
  <si>
    <t>2013년 5월</t>
  </si>
  <si>
    <t>2013년 6월</t>
  </si>
  <si>
    <t>2013년 7월</t>
  </si>
  <si>
    <t>2013년 8월</t>
  </si>
  <si>
    <t>2013년 9월</t>
  </si>
  <si>
    <t>2013년 10월</t>
  </si>
  <si>
    <t>2013년 11월</t>
  </si>
  <si>
    <t>2013년 12월</t>
  </si>
  <si>
    <t>2014년 1월</t>
  </si>
  <si>
    <t>2014년 2월</t>
  </si>
  <si>
    <t>2014년 3월</t>
  </si>
  <si>
    <t>2014년 4월</t>
  </si>
  <si>
    <t>2014년 5월</t>
  </si>
  <si>
    <t>2014년 6월</t>
  </si>
  <si>
    <t>2014년 7월</t>
  </si>
  <si>
    <t>2014년 8월</t>
  </si>
  <si>
    <t>2014년 9월</t>
  </si>
  <si>
    <t>2014년 10월</t>
  </si>
  <si>
    <t>2014년 11월</t>
  </si>
  <si>
    <t>2014년 12월</t>
  </si>
  <si>
    <t>2015년 1월</t>
    <phoneticPr fontId="3" type="noConversion"/>
  </si>
  <si>
    <t>2015년 2월</t>
    <phoneticPr fontId="3" type="noConversion"/>
  </si>
  <si>
    <t>2015년 3월</t>
    <phoneticPr fontId="3" type="noConversion"/>
  </si>
  <si>
    <t>2015년 4월</t>
    <phoneticPr fontId="3" type="noConversion"/>
  </si>
  <si>
    <t>2015년 5월</t>
    <phoneticPr fontId="3" type="noConversion"/>
  </si>
  <si>
    <t>2015년 6월</t>
    <phoneticPr fontId="3" type="noConversion"/>
  </si>
  <si>
    <t>제품매출(백만원)</t>
    <phoneticPr fontId="3" type="noConversion"/>
  </si>
  <si>
    <t>사업부별 제품매출수량</t>
    <phoneticPr fontId="3" type="noConversion"/>
  </si>
  <si>
    <t>사업부별 제품단가</t>
    <phoneticPr fontId="3" type="noConversion"/>
  </si>
  <si>
    <t>부품</t>
    <phoneticPr fontId="3" type="noConversion"/>
  </si>
  <si>
    <t>금형</t>
    <phoneticPr fontId="3" type="noConversion"/>
  </si>
  <si>
    <t>설비</t>
    <phoneticPr fontId="3" type="noConversion"/>
  </si>
  <si>
    <t>FDD_12,13,18,19,20 2012년 ~ 22015년 6월 매출세부</t>
  </si>
  <si>
    <t>거래처별 설비매출액</t>
    <phoneticPr fontId="3" type="noConversion"/>
  </si>
  <si>
    <t>엘에스전선(주)</t>
    <phoneticPr fontId="3" type="noConversion"/>
  </si>
  <si>
    <t>엘에스엠트론(주)</t>
    <phoneticPr fontId="3" type="noConversion"/>
  </si>
  <si>
    <t>(주)후지쿠라코리아 오토모티브</t>
    <phoneticPr fontId="3" type="noConversion"/>
  </si>
  <si>
    <t>(주)대성엘텍</t>
    <phoneticPr fontId="3" type="noConversion"/>
  </si>
  <si>
    <t>(주)충현</t>
    <phoneticPr fontId="3" type="noConversion"/>
  </si>
  <si>
    <t>QINGDAO DAESUNG ELEC</t>
    <phoneticPr fontId="3" type="noConversion"/>
  </si>
  <si>
    <t>DAESUNG WUXI ELECTRO</t>
    <phoneticPr fontId="3" type="noConversion"/>
  </si>
  <si>
    <t>DAESUNG ELECTRIC IND</t>
    <phoneticPr fontId="3" type="noConversion"/>
  </si>
  <si>
    <t>Sazeh Pouyesh Compan</t>
    <phoneticPr fontId="3" type="noConversion"/>
  </si>
  <si>
    <t>HYUNDAI MOTOR INDIA</t>
    <phoneticPr fontId="3" type="noConversion"/>
  </si>
  <si>
    <t>자회사</t>
    <phoneticPr fontId="3" type="noConversion"/>
  </si>
  <si>
    <t>내부거래비중</t>
    <phoneticPr fontId="3" type="noConversion"/>
  </si>
  <si>
    <t>거래처별 기타매출액</t>
    <phoneticPr fontId="3" type="noConversion"/>
  </si>
  <si>
    <t>쌍용자동차(주) 경기</t>
  </si>
  <si>
    <t>태광물산</t>
  </si>
  <si>
    <t>(주)만도 평택</t>
  </si>
  <si>
    <t>삼영전자공업(주)</t>
  </si>
  <si>
    <t>엠에스웨이(주)</t>
  </si>
  <si>
    <t>(주)데스코</t>
  </si>
  <si>
    <t>(주)친환경에버뷰</t>
  </si>
  <si>
    <t>(주) 에나인더스트리</t>
  </si>
  <si>
    <t>삼우에레코 주식회사</t>
  </si>
  <si>
    <t>이세전자</t>
  </si>
  <si>
    <t>(주)삼진포리머</t>
  </si>
  <si>
    <t>(주)대동</t>
  </si>
  <si>
    <t>소계</t>
    <phoneticPr fontId="3" type="noConversion"/>
  </si>
  <si>
    <t>QINGDAO DAESUNG ELEC</t>
  </si>
  <si>
    <t>DAESUNG WUXI ELECTRO</t>
  </si>
  <si>
    <t>DAESUNG ELECTRIC IND</t>
  </si>
  <si>
    <t>Sazeh Pouyesh Compan</t>
  </si>
  <si>
    <t>Piston Trading LLC</t>
  </si>
  <si>
    <t>자회사비중%</t>
    <phoneticPr fontId="3" type="noConversion"/>
  </si>
  <si>
    <t>미파악 매출</t>
    <phoneticPr fontId="3" type="noConversion"/>
  </si>
  <si>
    <t>자회사로열티매출(기타수익)</t>
    <phoneticPr fontId="3" type="noConversion"/>
  </si>
  <si>
    <t>구분</t>
    <phoneticPr fontId="20" type="noConversion"/>
  </si>
  <si>
    <t>2012년</t>
    <phoneticPr fontId="20" type="noConversion"/>
  </si>
  <si>
    <t>2013년</t>
    <phoneticPr fontId="20" type="noConversion"/>
  </si>
  <si>
    <t>2014년</t>
    <phoneticPr fontId="20" type="noConversion"/>
  </si>
  <si>
    <t>2015년 1~6월</t>
    <phoneticPr fontId="20" type="noConversion"/>
  </si>
  <si>
    <t>사업부별 마진분석_전체</t>
    <phoneticPr fontId="3" type="noConversion"/>
  </si>
  <si>
    <t>사업부별 CM분석_전체</t>
    <phoneticPr fontId="3" type="noConversion"/>
  </si>
  <si>
    <t>사업부별 마진분석_스위치</t>
    <phoneticPr fontId="3" type="noConversion"/>
  </si>
  <si>
    <t>사업부별 CM분석_스위치</t>
    <phoneticPr fontId="3" type="noConversion"/>
  </si>
  <si>
    <t>릴레이</t>
    <phoneticPr fontId="20" type="noConversion"/>
  </si>
  <si>
    <t>부품사업팀</t>
    <phoneticPr fontId="20" type="noConversion"/>
  </si>
  <si>
    <t>1.매출액        수량</t>
    <phoneticPr fontId="20" type="noConversion"/>
  </si>
  <si>
    <t xml:space="preserve">            제품매출</t>
  </si>
  <si>
    <t>매출</t>
  </si>
  <si>
    <t xml:space="preserve">            설비매출</t>
  </si>
  <si>
    <t>매출원가</t>
    <phoneticPr fontId="3" type="noConversion"/>
  </si>
  <si>
    <t>재료비</t>
    <phoneticPr fontId="3" type="noConversion"/>
  </si>
  <si>
    <t xml:space="preserve">         일시불 매출</t>
  </si>
  <si>
    <t>매출총이익</t>
    <phoneticPr fontId="3" type="noConversion"/>
  </si>
  <si>
    <t>직접인건비</t>
    <phoneticPr fontId="3" type="noConversion"/>
  </si>
  <si>
    <t xml:space="preserve">       용역과제매출</t>
  </si>
  <si>
    <t>매출총이익%</t>
    <phoneticPr fontId="3" type="noConversion"/>
  </si>
  <si>
    <t>외주비</t>
    <phoneticPr fontId="3" type="noConversion"/>
  </si>
  <si>
    <t>자회사 로열티 매출</t>
    <phoneticPr fontId="3" type="noConversion"/>
  </si>
  <si>
    <t>판매관리비</t>
    <phoneticPr fontId="3" type="noConversion"/>
  </si>
  <si>
    <t>판매비</t>
    <phoneticPr fontId="3" type="noConversion"/>
  </si>
  <si>
    <t xml:space="preserve">            기타매출</t>
  </si>
  <si>
    <t>영업이익</t>
    <phoneticPr fontId="3" type="noConversion"/>
  </si>
  <si>
    <t>공헌이익</t>
    <phoneticPr fontId="3" type="noConversion"/>
  </si>
  <si>
    <t>매출액 합계</t>
  </si>
  <si>
    <t>영업이익%</t>
    <phoneticPr fontId="3" type="noConversion"/>
  </si>
  <si>
    <t>공헌이익%</t>
    <phoneticPr fontId="3" type="noConversion"/>
  </si>
  <si>
    <t>2.재료비        합계</t>
  </si>
  <si>
    <t xml:space="preserve">          사내재료비</t>
  </si>
  <si>
    <t>고정매출원가</t>
    <phoneticPr fontId="3" type="noConversion"/>
  </si>
  <si>
    <t>고정판관비</t>
    <phoneticPr fontId="3" type="noConversion"/>
  </si>
  <si>
    <t xml:space="preserve">    재료비(원자재외)</t>
  </si>
  <si>
    <t xml:space="preserve">   재료비(금형/설비)</t>
  </si>
  <si>
    <t xml:space="preserve">       일시불원가</t>
  </si>
  <si>
    <t>스위치, Roomlamp</t>
    <phoneticPr fontId="3" type="noConversion"/>
  </si>
  <si>
    <t xml:space="preserve">     용역과제원가</t>
  </si>
  <si>
    <t>사업부별 마진분석_HMI</t>
    <phoneticPr fontId="3" type="noConversion"/>
  </si>
  <si>
    <t>사업부별 CM분석_HMI</t>
    <phoneticPr fontId="3" type="noConversion"/>
  </si>
  <si>
    <t>사업부별 마진분석_릴레이</t>
    <phoneticPr fontId="3" type="noConversion"/>
  </si>
  <si>
    <t>사업부별 CM분석_릴레이</t>
    <phoneticPr fontId="3" type="noConversion"/>
  </si>
  <si>
    <t xml:space="preserve">      외주자체재료비</t>
  </si>
  <si>
    <t xml:space="preserve">        매출원가조정</t>
  </si>
  <si>
    <t>3.노무비        합계</t>
  </si>
  <si>
    <t xml:space="preserve">       직접인건비</t>
  </si>
  <si>
    <t xml:space="preserve">       간접인건비_AF</t>
  </si>
  <si>
    <t>4.제조경비      합계</t>
  </si>
  <si>
    <t xml:space="preserve">      외주조립비(Ex)</t>
  </si>
  <si>
    <t xml:space="preserve">      외주조립(무상)</t>
  </si>
  <si>
    <t xml:space="preserve">          설비관리비</t>
  </si>
  <si>
    <t xml:space="preserve">          연구개발비</t>
  </si>
  <si>
    <t xml:space="preserve">          제조공통비</t>
  </si>
  <si>
    <t xml:space="preserve">          금형상각비</t>
  </si>
  <si>
    <t>5.매출원가      합계</t>
  </si>
  <si>
    <t>ECU, 전력제어</t>
    <phoneticPr fontId="3" type="noConversion"/>
  </si>
  <si>
    <t xml:space="preserve">   매출원가(반,제품)</t>
  </si>
  <si>
    <t>사업부별 마진분석_BCS</t>
    <phoneticPr fontId="3" type="noConversion"/>
  </si>
  <si>
    <t>사업부별 CM분석_BCS</t>
    <phoneticPr fontId="3" type="noConversion"/>
  </si>
  <si>
    <t xml:space="preserve">   매출원가(원자재외)</t>
  </si>
  <si>
    <t xml:space="preserve">   매출원가(금형/설비)</t>
  </si>
  <si>
    <t>6.매출총이익</t>
  </si>
  <si>
    <t>7.판매관리비    합계</t>
  </si>
  <si>
    <t xml:space="preserve">         판매_인건비</t>
  </si>
  <si>
    <t xml:space="preserve">         고객 CLAIM</t>
  </si>
  <si>
    <t xml:space="preserve">         판매_물류비</t>
  </si>
  <si>
    <t xml:space="preserve">         판매_기타경비</t>
  </si>
  <si>
    <t xml:space="preserve">         일반_인건비</t>
  </si>
  <si>
    <t xml:space="preserve">         일반_경비</t>
  </si>
  <si>
    <t>8.영업이익</t>
  </si>
  <si>
    <t xml:space="preserve">      기타영업수익</t>
  </si>
  <si>
    <t xml:space="preserve">      기타영업비용</t>
  </si>
  <si>
    <t>릴레이, BCS, 부품사업</t>
    <phoneticPr fontId="3" type="noConversion"/>
  </si>
  <si>
    <t>9.조정영업이익</t>
  </si>
  <si>
    <t>사업부별 마진분석_MC</t>
    <phoneticPr fontId="3" type="noConversion"/>
  </si>
  <si>
    <t>사업부별 CM분석_MC</t>
    <phoneticPr fontId="3" type="noConversion"/>
  </si>
  <si>
    <t>사업부별 마진분석_ECU</t>
    <phoneticPr fontId="3" type="noConversion"/>
  </si>
  <si>
    <t>사업부별 CM분석_ECU</t>
    <phoneticPr fontId="3" type="noConversion"/>
  </si>
  <si>
    <t xml:space="preserve">      영업외수익</t>
    <phoneticPr fontId="20" type="noConversion"/>
  </si>
  <si>
    <t xml:space="preserve">      영업외비용</t>
    <phoneticPr fontId="20" type="noConversion"/>
  </si>
  <si>
    <t>10.세전이익</t>
  </si>
  <si>
    <t>사업부별 마진분석_전력제어</t>
    <phoneticPr fontId="3" type="noConversion"/>
  </si>
  <si>
    <t>사업부별 CM분석_전력제어</t>
    <phoneticPr fontId="3" type="noConversion"/>
  </si>
  <si>
    <t>사업부별 마진분석_Roomlamp</t>
    <phoneticPr fontId="3" type="noConversion"/>
  </si>
  <si>
    <t>사업부별 CM분석_Roomlamp</t>
    <phoneticPr fontId="3" type="noConversion"/>
  </si>
  <si>
    <t>사업부별 마진분석_부품사업</t>
    <phoneticPr fontId="3" type="noConversion"/>
  </si>
  <si>
    <t>사업부별 CM분석_부품사업</t>
    <phoneticPr fontId="3" type="noConversion"/>
  </si>
  <si>
    <t>2015년 거래처원장 기준</t>
  </si>
  <si>
    <t>그룹사 코드 Mapping</t>
  </si>
  <si>
    <t>고객</t>
  </si>
  <si>
    <t>고객명</t>
  </si>
  <si>
    <t>그룹</t>
  </si>
  <si>
    <t>그룹명</t>
  </si>
  <si>
    <t>(주)두원공조</t>
  </si>
  <si>
    <t>한라비스테온공조㈜</t>
  </si>
  <si>
    <t>존슨콘트롤즈오토모티브코리아(주)</t>
  </si>
  <si>
    <t>존슨콘트롤즈오토모티브 인테리어코리</t>
  </si>
  <si>
    <t>(주)지맥스</t>
  </si>
  <si>
    <t>엘지전자(주)</t>
  </si>
  <si>
    <t>현대위아(주)</t>
  </si>
  <si>
    <t>현대중공업(주)</t>
  </si>
  <si>
    <t>엔브이에이치코리아(주)</t>
  </si>
  <si>
    <t>광성기업(주)</t>
  </si>
  <si>
    <t>(주)세진</t>
  </si>
  <si>
    <t>주원</t>
  </si>
  <si>
    <t>코리아에프티 (주)</t>
  </si>
  <si>
    <t>대원산업(주)</t>
  </si>
  <si>
    <t>동국실업(주) 신아산공장</t>
  </si>
  <si>
    <t>동아전기부품(주) 공주공장</t>
  </si>
  <si>
    <t>㈜ 라이프사이언스테크놀로지</t>
  </si>
  <si>
    <t>(주)세원이엔아이</t>
  </si>
  <si>
    <t xml:space="preserve">현대자동차 관련 </t>
  </si>
  <si>
    <t>(주)태형</t>
  </si>
  <si>
    <t>주식회사 경신</t>
  </si>
  <si>
    <t>경창산업(주)</t>
  </si>
  <si>
    <t>주식회사 다스</t>
  </si>
  <si>
    <t>대하기업</t>
  </si>
  <si>
    <t>덕양산업(주)</t>
  </si>
  <si>
    <t>동국실업(주) 아산공장</t>
  </si>
  <si>
    <t>동국실업(주) 울산공장</t>
  </si>
  <si>
    <t>주식회사티에이치엔</t>
  </si>
  <si>
    <t>에스엘주식회사 진량공장</t>
  </si>
  <si>
    <t>에코플라스틱(주)</t>
  </si>
  <si>
    <t>한국TRW자동차부품산업(주) 울산</t>
  </si>
  <si>
    <t>한일내장(주)</t>
  </si>
  <si>
    <t>한일이화㈜ 울산공장</t>
  </si>
  <si>
    <t>한일이화㈜ 아산공장</t>
  </si>
  <si>
    <t>현대자동차(주) 아산공장</t>
  </si>
  <si>
    <t>현대자동차(주) 울산공장</t>
  </si>
  <si>
    <t>현대자동차(주) 전주공장</t>
  </si>
  <si>
    <t>현대자동차㈜ 남양연구소</t>
  </si>
  <si>
    <t>(주)다스 아산공장</t>
  </si>
  <si>
    <t>에스피테크(유)</t>
  </si>
  <si>
    <t>글로비스(주)</t>
  </si>
  <si>
    <t>현대모비스(주)</t>
  </si>
  <si>
    <t>(주)대한솔루션</t>
  </si>
  <si>
    <t>갑을오토텍주식회사</t>
  </si>
  <si>
    <t>(주)대한솔루션 포승공장</t>
  </si>
  <si>
    <t>평화정공(주)</t>
  </si>
  <si>
    <t>콘티넨탈오토모티브시스템(주)</t>
  </si>
  <si>
    <t>현대자동차(주)시트사업부</t>
  </si>
  <si>
    <t>(주)엘지하우시스</t>
  </si>
  <si>
    <t>포스코티엠씨</t>
  </si>
  <si>
    <t>인지에이엠티</t>
  </si>
  <si>
    <t>(주)용산 아산공장</t>
  </si>
  <si>
    <t>두양산업(주)김천공장</t>
  </si>
  <si>
    <t>(주)가야미</t>
  </si>
  <si>
    <t>인지컨트롤스(주)</t>
  </si>
  <si>
    <t>(주)성창오토텍</t>
  </si>
  <si>
    <t>(주)한호</t>
  </si>
  <si>
    <t>(주)대한솔루션 경산공장</t>
  </si>
  <si>
    <t>(주)유라코퍼레이션</t>
  </si>
  <si>
    <t>그루포안톨린코리아 유한회사</t>
  </si>
  <si>
    <t>주식회사 한국몰드김제</t>
  </si>
  <si>
    <t>상해삼립회중 자동차부품(유)</t>
  </si>
  <si>
    <t>Hanilehwa Interior S</t>
  </si>
  <si>
    <t>기아자동차㈜ 광명</t>
  </si>
  <si>
    <t xml:space="preserve">기아자동차 관련 </t>
  </si>
  <si>
    <t>기아자동차㈜ 광주</t>
  </si>
  <si>
    <t>기아자동차㈜ 화성</t>
  </si>
  <si>
    <t>나전㈜</t>
  </si>
  <si>
    <t>(주)KOMOS</t>
  </si>
  <si>
    <t>보림㈜</t>
  </si>
  <si>
    <t>㈜세원전자</t>
  </si>
  <si>
    <t>(주)유라하네스</t>
  </si>
  <si>
    <t>프라코㈜아산</t>
  </si>
  <si>
    <t>현대파워텍㈜</t>
  </si>
  <si>
    <t>(주)대유신소재 화성지점</t>
  </si>
  <si>
    <t>(주)화진</t>
  </si>
  <si>
    <t>기아자동차(주)</t>
  </si>
  <si>
    <t>대동도어 주식회사</t>
  </si>
  <si>
    <t>현대다이모스주식회사</t>
  </si>
  <si>
    <t>두양산업(주)당진공장</t>
  </si>
  <si>
    <t>(주) 에스엠알풍정</t>
  </si>
  <si>
    <t>주식회사 셀맥인터내셔날</t>
  </si>
  <si>
    <t>(주)세코닉스</t>
  </si>
  <si>
    <t>(주)맥시스</t>
  </si>
  <si>
    <t>Canada Span Manufact</t>
  </si>
  <si>
    <t>(주)아시아</t>
  </si>
  <si>
    <t xml:space="preserve">지엠대우자동차 관련 </t>
  </si>
  <si>
    <t>대신기계공업(주)</t>
  </si>
  <si>
    <t>자일대우버스 주식회사</t>
  </si>
  <si>
    <t>타타대우상용차 주식회사</t>
  </si>
  <si>
    <t>동광기연(주) 남동</t>
  </si>
  <si>
    <t>한국지엠 주식회사</t>
  </si>
  <si>
    <t>타이코에이엠피 주식회사</t>
  </si>
  <si>
    <t>프라임텍</t>
  </si>
  <si>
    <t>한국단자공업(주)</t>
  </si>
  <si>
    <t>(주)인피니티</t>
  </si>
  <si>
    <t>한국델파이(주)</t>
  </si>
  <si>
    <t>㈜에스에이치글로벌</t>
  </si>
  <si>
    <t>레오니와이어링시스템즈코리아 주식회사</t>
  </si>
  <si>
    <t>(주)K.D</t>
  </si>
  <si>
    <t>주식회사 에스에이치아이엔티</t>
  </si>
  <si>
    <t>대의테크(주)</t>
  </si>
  <si>
    <t>(주)휴맥스오토모티브 (용인)</t>
  </si>
  <si>
    <t>주식회사 에스에이치비피</t>
  </si>
  <si>
    <t xml:space="preserve">쌍용자동차 관련 </t>
  </si>
  <si>
    <t>쌍용자동차(주) 천안물류센터</t>
  </si>
  <si>
    <t>동원테크놀러지(주)</t>
  </si>
  <si>
    <t>(주)에스엠씨</t>
  </si>
  <si>
    <t>DELPHI PACKARD ELECT</t>
  </si>
  <si>
    <t xml:space="preserve">Delphi 관련 </t>
  </si>
  <si>
    <t>DELPHI  PACKARD SYST</t>
  </si>
  <si>
    <t>Delphi Hungary KFT</t>
  </si>
  <si>
    <t>르노삼성자동차주식회사</t>
  </si>
  <si>
    <t xml:space="preserve">르노삼성 관련 </t>
  </si>
  <si>
    <t>유진레이델 주식회사</t>
  </si>
  <si>
    <t>Navistar</t>
  </si>
  <si>
    <t>Android</t>
  </si>
  <si>
    <t>Gupo Antolin</t>
  </si>
  <si>
    <t>Shanghai Yanfeng Johnson Control Seating</t>
  </si>
  <si>
    <t>Lear Automotive Elec</t>
  </si>
  <si>
    <t>HuNan geely drivetra</t>
  </si>
  <si>
    <t>Mitsubishi Motors Co</t>
  </si>
  <si>
    <t>Grupo Antolin Ostrav</t>
  </si>
  <si>
    <t>Beijing Lear Automob</t>
  </si>
  <si>
    <t>Mitsubishi Motors No</t>
  </si>
  <si>
    <t>Chevrolet Sales (Tha</t>
  </si>
  <si>
    <t>DRAEXLMAIER INDUSTRI</t>
  </si>
  <si>
    <t>DELTA ELECTRONICS (T</t>
  </si>
  <si>
    <t>Yazaki North America</t>
  </si>
  <si>
    <t>Lear Corp. EEDS &amp; IN</t>
  </si>
  <si>
    <t>Yazaki PEMI Indonesi</t>
  </si>
  <si>
    <t>Mazda Motor Corporat</t>
  </si>
  <si>
    <t>UNICORN Motors</t>
  </si>
  <si>
    <t>Key Safety Systems</t>
  </si>
  <si>
    <t>OTOTRIM PANEL SANAYI</t>
  </si>
  <si>
    <t>(주)닛산트레이딩 부산사무소</t>
  </si>
  <si>
    <t xml:space="preserve">NISSAN 관련 </t>
  </si>
  <si>
    <t>Calsonic Kansei Nort</t>
  </si>
  <si>
    <t>YUE KI INDUSTRIAL CO</t>
  </si>
  <si>
    <t>Calsonic Kansei(Thai</t>
  </si>
  <si>
    <t>CALSONIC KANSEI UK(W</t>
  </si>
  <si>
    <t>M-TEk</t>
  </si>
  <si>
    <t>Calsonic Kansei Mexi</t>
  </si>
  <si>
    <t>NNA(Nissan North Ame</t>
  </si>
  <si>
    <t>Neaton Auto Products</t>
  </si>
  <si>
    <t>TRW Vigo Services</t>
  </si>
  <si>
    <t>DAESUNG ELECTRIC JAP</t>
  </si>
  <si>
    <t>CALSONIC KANSEI SPAI</t>
  </si>
  <si>
    <t>Shanghai Key Automot</t>
  </si>
  <si>
    <t>Polymer Incorporated</t>
  </si>
  <si>
    <t>Nissan Trading(thail</t>
  </si>
  <si>
    <t>KAGA ELECTRONICS CO.</t>
  </si>
  <si>
    <t>Desay SV Automotive</t>
  </si>
  <si>
    <t>한국도요타쯔우쇼(주)</t>
  </si>
  <si>
    <t xml:space="preserve">GM 관련 </t>
  </si>
  <si>
    <t>GENERAL MOTORS NA</t>
  </si>
  <si>
    <t>SHANHAI GM</t>
  </si>
  <si>
    <t>Shanghai Jinting Aut</t>
  </si>
  <si>
    <t>General Motors Espan</t>
  </si>
  <si>
    <t>JohnsonControls&amp;Summ</t>
  </si>
  <si>
    <t>GENERAL MOTORS INDIA</t>
  </si>
  <si>
    <t>OPEL GMBH</t>
  </si>
  <si>
    <t>GM Opel/Vauxhall</t>
  </si>
  <si>
    <t>GM Brazil</t>
  </si>
  <si>
    <t>Shanghai IAC</t>
  </si>
  <si>
    <t>NYX corporate</t>
  </si>
  <si>
    <t>EDS Manufacturing IN</t>
  </si>
  <si>
    <t>GENERAL MOTORS (THAI</t>
  </si>
  <si>
    <t>GM de Mexico S.de R.</t>
  </si>
  <si>
    <t>Jiangyin-venture Int</t>
  </si>
  <si>
    <t>Futuris Automotive I</t>
  </si>
  <si>
    <t>Faurecia Interior Sy</t>
  </si>
  <si>
    <t>IAC ALMA, LLC</t>
  </si>
  <si>
    <t>IACNA MEXICO S DE RL</t>
  </si>
  <si>
    <t>Lawrence Automotive</t>
  </si>
  <si>
    <t>Yanfeng USA Automoti</t>
  </si>
  <si>
    <t>Yanfeng Visteon Jinq</t>
  </si>
  <si>
    <t>SAIC GENERAL MOTORS</t>
  </si>
  <si>
    <t>Grammer Industries I</t>
  </si>
  <si>
    <t>IAC HURON, LLC</t>
  </si>
  <si>
    <t>Johnson Controls Aut</t>
  </si>
  <si>
    <t>INTEVA Matamoros Ope</t>
  </si>
  <si>
    <t>VUTEQ</t>
  </si>
  <si>
    <t>Vuteq Canada</t>
  </si>
  <si>
    <t>Audi AG</t>
  </si>
  <si>
    <t>AUDI Brussels S.A. N</t>
  </si>
  <si>
    <t>SKODA</t>
  </si>
  <si>
    <t>CHRYSLER</t>
  </si>
  <si>
    <t xml:space="preserve">크라이슬러 </t>
  </si>
  <si>
    <t>삼성전자(주)</t>
  </si>
  <si>
    <t xml:space="preserve">삼성전자 관련 </t>
  </si>
  <si>
    <t xml:space="preserve">해외법인 관련 </t>
  </si>
  <si>
    <t>엘에스전선(주)</t>
  </si>
  <si>
    <t>(주)후지쿠라코리아 오토모티브</t>
  </si>
  <si>
    <t>(비어 있음)</t>
  </si>
  <si>
    <t>주식회사 테크교역</t>
  </si>
  <si>
    <t>매출 명세서</t>
    <phoneticPr fontId="31" type="noConversion"/>
  </si>
  <si>
    <t>2012년1월1일부터 2012년12월31일까지</t>
    <phoneticPr fontId="31" type="noConversion"/>
  </si>
  <si>
    <t>대성전기공업㈜</t>
  </si>
  <si>
    <t>(단위:원)</t>
  </si>
  <si>
    <t>구분</t>
  </si>
  <si>
    <t>제품군</t>
    <phoneticPr fontId="33" type="noConversion"/>
  </si>
  <si>
    <t>제품명</t>
  </si>
  <si>
    <t>수량</t>
  </si>
  <si>
    <t>금액</t>
  </si>
  <si>
    <t>내수</t>
    <phoneticPr fontId="31" type="noConversion"/>
  </si>
  <si>
    <t xml:space="preserve">스위치
</t>
  </si>
  <si>
    <t>소계</t>
    <phoneticPr fontId="31" type="noConversion"/>
  </si>
  <si>
    <t xml:space="preserve">릴레이
</t>
  </si>
  <si>
    <t>280 RELAY</t>
  </si>
  <si>
    <t>ICM RELAY</t>
  </si>
  <si>
    <t>ISO TYPE RELAY</t>
  </si>
  <si>
    <t>JIS TYPE RELAY</t>
  </si>
  <si>
    <t>PCB RELAY</t>
  </si>
  <si>
    <t>Solenoid RELAY</t>
  </si>
  <si>
    <t>STOP SINAL RELAY</t>
  </si>
  <si>
    <t xml:space="preserve">환형터미널 </t>
  </si>
  <si>
    <t>Connector (Bec用)</t>
  </si>
  <si>
    <t>Connector (MOLD)</t>
  </si>
  <si>
    <t>Connector (Wire用)</t>
  </si>
  <si>
    <t>Juction Box</t>
  </si>
  <si>
    <t>Relay 기타</t>
    <phoneticPr fontId="31" type="noConversion"/>
  </si>
  <si>
    <t>전장 Unit</t>
  </si>
  <si>
    <t>BODY CONTROL MODULE</t>
  </si>
  <si>
    <t>CT SENSOR</t>
  </si>
  <si>
    <t>GLASS ANTENA</t>
  </si>
  <si>
    <t>HF Kit 자동차용</t>
  </si>
  <si>
    <t>Power Seat Module</t>
  </si>
  <si>
    <t>Steering Wheel Angel system</t>
  </si>
  <si>
    <t>Torque Only Sensor</t>
  </si>
  <si>
    <t>Virtual Engine Sound</t>
  </si>
  <si>
    <t>Yaw &amp; G Sensor</t>
  </si>
  <si>
    <t>Ballast</t>
  </si>
  <si>
    <t>Converter</t>
  </si>
  <si>
    <t xml:space="preserve">모터
</t>
  </si>
  <si>
    <t>Motor BLDC</t>
  </si>
  <si>
    <t>금형</t>
  </si>
  <si>
    <t>기타 (부품)</t>
  </si>
  <si>
    <t>기타 (원자재)</t>
  </si>
  <si>
    <t>설비</t>
  </si>
  <si>
    <t>파생상품</t>
  </si>
  <si>
    <t>총계</t>
    <phoneticPr fontId="31" type="noConversion"/>
  </si>
  <si>
    <t>수출</t>
    <phoneticPr fontId="31" type="noConversion"/>
  </si>
  <si>
    <t>합   계</t>
    <phoneticPr fontId="31" type="noConversion"/>
  </si>
  <si>
    <t>매출 내역서</t>
    <phoneticPr fontId="31" type="noConversion"/>
  </si>
  <si>
    <t>2013년 1월 1일부터 2013년 12월 31일까지</t>
    <phoneticPr fontId="31" type="noConversion"/>
  </si>
  <si>
    <t>대성전기공업주식회사</t>
    <phoneticPr fontId="31" type="noConversion"/>
  </si>
  <si>
    <t>제품군</t>
  </si>
  <si>
    <t>스위치사업팀</t>
  </si>
  <si>
    <t xml:space="preserve">  소   계</t>
    <phoneticPr fontId="31" type="noConversion"/>
  </si>
  <si>
    <t>릴레이사업팀</t>
  </si>
  <si>
    <t xml:space="preserve">  280 RELAY</t>
  </si>
  <si>
    <t xml:space="preserve">  ICM Relay</t>
  </si>
  <si>
    <t xml:space="preserve">  ISO Type Relay</t>
  </si>
  <si>
    <t xml:space="preserve">  JIS Type Relay</t>
  </si>
  <si>
    <t xml:space="preserve">  PCB Type Relay</t>
  </si>
  <si>
    <t xml:space="preserve">  Solenoid RELAY</t>
  </si>
  <si>
    <t>BCS사업팀</t>
  </si>
  <si>
    <t xml:space="preserve">  Junction Box</t>
  </si>
  <si>
    <t xml:space="preserve">  Connector (Bec用)</t>
  </si>
  <si>
    <t xml:space="preserve">  Connector (MOLD)</t>
  </si>
  <si>
    <t xml:space="preserve">  Connector (Wire用)</t>
  </si>
  <si>
    <t xml:space="preserve">  Ring Shape Terminal</t>
  </si>
  <si>
    <t xml:space="preserve">  Relay 기타(RPC/RSP/RER 로 분리)</t>
  </si>
  <si>
    <t>ECU사업팀</t>
  </si>
  <si>
    <t xml:space="preserve">  Body Control Module</t>
  </si>
  <si>
    <t xml:space="preserve">  Current Sensor</t>
  </si>
  <si>
    <t xml:space="preserve">  Glass Antenna</t>
  </si>
  <si>
    <t xml:space="preserve">  Hands Free Unit</t>
  </si>
  <si>
    <t xml:space="preserve">  Power Seat Module</t>
  </si>
  <si>
    <t xml:space="preserve">  Steering Angle Sensor</t>
  </si>
  <si>
    <t xml:space="preserve">  Yaw &amp; G Sensor</t>
  </si>
  <si>
    <t xml:space="preserve">  Torque Only Sensor</t>
  </si>
  <si>
    <t xml:space="preserve">  Control Unit</t>
  </si>
  <si>
    <t xml:space="preserve">  Virtual Engine Sound System</t>
  </si>
  <si>
    <t>전력제어사업팀</t>
  </si>
  <si>
    <t xml:space="preserve">  Ballast</t>
  </si>
  <si>
    <t xml:space="preserve">  Converter</t>
  </si>
  <si>
    <t>모터사업팀</t>
  </si>
  <si>
    <t xml:space="preserve">  Brushless DC Motor</t>
  </si>
  <si>
    <t xml:space="preserve">  Moter for MDPS</t>
  </si>
  <si>
    <t xml:space="preserve">  기타 (부품)</t>
  </si>
  <si>
    <t xml:space="preserve">  기타 (원자재)</t>
  </si>
  <si>
    <t xml:space="preserve">  Molding Tool</t>
  </si>
  <si>
    <t xml:space="preserve">  파생상품</t>
  </si>
  <si>
    <t>총   계</t>
  </si>
  <si>
    <t xml:space="preserve">  Stop Signal Relay</t>
  </si>
  <si>
    <t xml:space="preserve">  Torque  Angle Sensor</t>
  </si>
  <si>
    <t xml:space="preserve">  Machinery</t>
  </si>
  <si>
    <t>합   계</t>
  </si>
  <si>
    <t>2014년 1월 1일부터 2014년 12월 31일까지</t>
    <phoneticPr fontId="31" type="noConversion"/>
  </si>
  <si>
    <t>ISO Type Relay</t>
  </si>
  <si>
    <t>JIS Type Relay</t>
  </si>
  <si>
    <t>ICM Relay</t>
  </si>
  <si>
    <t>PCB Type Relay</t>
  </si>
  <si>
    <t>Junction Box</t>
  </si>
  <si>
    <t>Ring Shape Terminal</t>
  </si>
  <si>
    <t>Control Unit</t>
  </si>
  <si>
    <t>Steering Angle Sensor</t>
  </si>
  <si>
    <t>Virtual Engine Sound System</t>
  </si>
  <si>
    <t>Hands Free Unit</t>
  </si>
  <si>
    <t>Current Sensor</t>
  </si>
  <si>
    <t>Glass Antenna</t>
  </si>
  <si>
    <t>Body Control System</t>
  </si>
  <si>
    <t>Anti Theft Alarm System</t>
  </si>
  <si>
    <t>Body Control Module</t>
  </si>
  <si>
    <t>Moter for MDPS</t>
  </si>
  <si>
    <t>Brushless DC Motor</t>
  </si>
  <si>
    <t>파생상품</t>
    <phoneticPr fontId="31" type="noConversion"/>
  </si>
  <si>
    <t>Molding Tool</t>
  </si>
  <si>
    <t>Machinery</t>
  </si>
  <si>
    <t>Relay 기타(RPC/RSP/RER 로 분리)</t>
  </si>
  <si>
    <t>eRelay</t>
  </si>
  <si>
    <t>Stop Signal Relay</t>
  </si>
  <si>
    <t>총   계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</si>
</sst>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,,;\(#,##0,,\)"/>
    <numFmt numFmtId="177" formatCode="#,##0,,;\(#,##0,,\);\-"/>
    <numFmt numFmtId="178" formatCode="0.0%"/>
    <numFmt numFmtId="179" formatCode="0.0%;\(0.0%\)"/>
    <numFmt numFmtId="180" formatCode="#,##0_ ;[Red]\-#,##0\ "/>
    <numFmt numFmtId="181" formatCode="#,##0_);[Red]\(#,##0\)"/>
    <numFmt numFmtId="182" formatCode="&quot;- &quot;#,##0\ &quot; -&quot;"/>
    <numFmt numFmtId="183" formatCode="#,##0,;\-#,##0,"/>
    <numFmt numFmtId="184" formatCode="#,##0;[Red]\(#,##0\);\-"/>
    <numFmt numFmtId="185" formatCode="#,##0,"/>
    <numFmt numFmtId="186" formatCode="#,##0,,;\-#,##0,,"/>
    <numFmt numFmtId="187" formatCode="#,##0,,;\-#,##0,,;\-"/>
  </numFmts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sz val="20"/>
      <color theme="1"/>
      <name val="맑은 고딕"/>
      <family val="3"/>
      <charset val="129"/>
      <scheme val="minor"/>
    </font>
    <font>
      <b/>
      <sz val="8"/>
      <color theme="1"/>
      <name val="Arial"/>
      <family val="2"/>
    </font>
    <font>
      <sz val="8"/>
      <color theme="1"/>
      <name val="맑은 고딕"/>
      <family val="3"/>
      <charset val="129"/>
      <scheme val="minor"/>
    </font>
    <font>
      <sz val="8"/>
      <color theme="1"/>
      <name val="Arial"/>
      <family val="2"/>
    </font>
    <font>
      <b/>
      <sz val="8"/>
      <color rgb="FFFFFFFF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b/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b/>
      <sz val="8"/>
      <color rgb="FFFFFFFF"/>
      <name val="맑은 고딕"/>
      <family val="2"/>
      <charset val="129"/>
      <scheme val="major"/>
    </font>
    <font>
      <b/>
      <sz val="8"/>
      <color rgb="FF000000"/>
      <name val="맑은 고딕"/>
      <family val="2"/>
      <charset val="129"/>
      <scheme val="major"/>
    </font>
    <font>
      <sz val="10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ajor"/>
    </font>
    <font>
      <sz val="12"/>
      <color theme="1"/>
      <name val="굴림"/>
      <family val="2"/>
      <charset val="129"/>
    </font>
    <font>
      <sz val="8"/>
      <name val="굴림"/>
      <family val="2"/>
      <charset val="129"/>
    </font>
    <font>
      <b/>
      <sz val="8"/>
      <color theme="0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ajor"/>
    </font>
    <font>
      <sz val="7"/>
      <color theme="1"/>
      <name val="맑은 고딕"/>
      <family val="2"/>
      <charset val="129"/>
      <scheme val="minor"/>
    </font>
    <font>
      <b/>
      <sz val="7"/>
      <color rgb="FFFFFFFF"/>
      <name val="맑은 고딕"/>
      <family val="2"/>
      <charset val="129"/>
      <scheme val="major"/>
    </font>
    <font>
      <b/>
      <sz val="7"/>
      <color rgb="FF000000"/>
      <name val="맑은 고딕"/>
      <family val="2"/>
      <charset val="129"/>
      <scheme val="major"/>
    </font>
    <font>
      <b/>
      <i/>
      <sz val="7"/>
      <color rgb="FF000000"/>
      <name val="맑은 고딕"/>
      <family val="2"/>
      <charset val="129"/>
      <scheme val="major"/>
    </font>
    <font>
      <i/>
      <sz val="7"/>
      <color rgb="FF000000"/>
      <name val="맑은 고딕"/>
      <family val="3"/>
      <charset val="129"/>
      <scheme val="major"/>
    </font>
    <font>
      <sz val="7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b/>
      <i/>
      <sz val="7"/>
      <color rgb="FF000000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409D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409DAD"/>
      </left>
      <right/>
      <top style="thin">
        <color rgb="FF409DAD"/>
      </top>
      <bottom style="thin">
        <color rgb="FF409DAD"/>
      </bottom>
      <diagonal/>
    </border>
    <border>
      <left/>
      <right/>
      <top style="thin">
        <color rgb="FF409DAD"/>
      </top>
      <bottom style="thin">
        <color rgb="FF409DAD"/>
      </bottom>
      <diagonal/>
    </border>
    <border>
      <left/>
      <right style="thin">
        <color rgb="FF409DAD"/>
      </right>
      <top style="thin">
        <color rgb="FF409DAD"/>
      </top>
      <bottom style="thin">
        <color rgb="FF409DAD"/>
      </bottom>
      <diagonal/>
    </border>
    <border>
      <left style="thin">
        <color rgb="FF409DAD"/>
      </left>
      <right/>
      <top style="thin">
        <color rgb="FF409DAD"/>
      </top>
      <bottom/>
      <diagonal/>
    </border>
    <border>
      <left/>
      <right/>
      <top style="thin">
        <color rgb="FF409DAD"/>
      </top>
      <bottom/>
      <diagonal/>
    </border>
    <border>
      <left/>
      <right style="thin">
        <color rgb="FF409DAD"/>
      </right>
      <top style="thin">
        <color rgb="FF409DAD"/>
      </top>
      <bottom/>
      <diagonal/>
    </border>
    <border>
      <left style="thin">
        <color rgb="FF409DAD"/>
      </left>
      <right/>
      <top/>
      <bottom style="thin">
        <color rgb="FF409DAD"/>
      </bottom>
      <diagonal/>
    </border>
    <border>
      <left/>
      <right/>
      <top/>
      <bottom style="thin">
        <color rgb="FF409DAD"/>
      </bottom>
      <diagonal/>
    </border>
    <border>
      <left/>
      <right style="thin">
        <color rgb="FF409DAD"/>
      </right>
      <top/>
      <bottom style="thin">
        <color rgb="FF409DAD"/>
      </bottom>
      <diagonal/>
    </border>
    <border>
      <left style="thin">
        <color rgb="FF409DAD"/>
      </left>
      <right/>
      <top style="thin">
        <color rgb="FF409DAD"/>
      </top>
      <bottom style="medium">
        <color rgb="FF409DAD"/>
      </bottom>
      <diagonal/>
    </border>
    <border>
      <left/>
      <right/>
      <top style="thin">
        <color rgb="FF409DAD"/>
      </top>
      <bottom style="medium">
        <color rgb="FF409DAD"/>
      </bottom>
      <diagonal/>
    </border>
    <border>
      <left/>
      <right style="thin">
        <color rgb="FF409DAD"/>
      </right>
      <top style="thin">
        <color rgb="FF409DAD"/>
      </top>
      <bottom style="medium">
        <color rgb="FF409DAD"/>
      </bottom>
      <diagonal/>
    </border>
    <border>
      <left style="thin">
        <color rgb="FF409DAD"/>
      </left>
      <right/>
      <top/>
      <bottom/>
      <diagonal/>
    </border>
    <border>
      <left/>
      <right style="thin">
        <color rgb="FF409DA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409DAD"/>
      </left>
      <right/>
      <top/>
      <bottom style="medium">
        <color rgb="FF409DAD"/>
      </bottom>
      <diagonal/>
    </border>
    <border>
      <left/>
      <right/>
      <top/>
      <bottom style="medium">
        <color rgb="FF409DAD"/>
      </bottom>
      <diagonal/>
    </border>
    <border>
      <left/>
      <right style="thin">
        <color rgb="FF409DAD"/>
      </right>
      <top/>
      <bottom style="medium">
        <color rgb="FF409DA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409AAD"/>
      </left>
      <right/>
      <top style="thin">
        <color rgb="FF409AAD"/>
      </top>
      <bottom/>
      <diagonal/>
    </border>
    <border>
      <left/>
      <right/>
      <top style="thin">
        <color rgb="FF409AAD"/>
      </top>
      <bottom/>
      <diagonal/>
    </border>
    <border>
      <left/>
      <right style="thin">
        <color rgb="FF409AAD"/>
      </right>
      <top style="thin">
        <color rgb="FF409AAD"/>
      </top>
      <bottom/>
      <diagonal/>
    </border>
    <border>
      <left style="thin">
        <color rgb="FF409AAD"/>
      </left>
      <right/>
      <top style="thin">
        <color rgb="FF409DAD"/>
      </top>
      <bottom/>
      <diagonal/>
    </border>
    <border>
      <left/>
      <right style="thin">
        <color rgb="FF409AAD"/>
      </right>
      <top style="thin">
        <color rgb="FF409DAD"/>
      </top>
      <bottom/>
      <diagonal/>
    </border>
    <border>
      <left style="thin">
        <color rgb="FF409AAD"/>
      </left>
      <right/>
      <top/>
      <bottom style="thin">
        <color rgb="FF409DAD"/>
      </bottom>
      <diagonal/>
    </border>
    <border>
      <left/>
      <right style="thin">
        <color rgb="FF409AAD"/>
      </right>
      <top/>
      <bottom style="thin">
        <color rgb="FF409DA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/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30" fillId="0" borderId="0"/>
    <xf numFmtId="0" fontId="32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</cellStyleXfs>
  <cellXfs count="46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Fill="1">
      <alignment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10" fillId="3" borderId="5" xfId="0" applyNumberFormat="1" applyFont="1" applyFill="1" applyBorder="1" applyAlignment="1">
      <alignment horizontal="left"/>
    </xf>
    <xf numFmtId="0" fontId="10" fillId="3" borderId="6" xfId="3" applyNumberFormat="1" applyFont="1" applyFill="1" applyBorder="1" applyAlignment="1">
      <alignment horizontal="right"/>
    </xf>
    <xf numFmtId="0" fontId="10" fillId="3" borderId="7" xfId="3" applyNumberFormat="1" applyFont="1" applyFill="1" applyBorder="1" applyAlignment="1">
      <alignment horizontal="right"/>
    </xf>
    <xf numFmtId="0" fontId="10" fillId="3" borderId="8" xfId="0" applyNumberFormat="1" applyFont="1" applyFill="1" applyBorder="1" applyAlignment="1">
      <alignment horizontal="left"/>
    </xf>
    <xf numFmtId="0" fontId="10" fillId="3" borderId="9" xfId="3" applyNumberFormat="1" applyFont="1" applyFill="1" applyBorder="1" applyAlignment="1">
      <alignment horizontal="right"/>
    </xf>
    <xf numFmtId="0" fontId="10" fillId="3" borderId="10" xfId="3" applyNumberFormat="1" applyFont="1" applyFill="1" applyBorder="1" applyAlignment="1">
      <alignment horizontal="right"/>
    </xf>
    <xf numFmtId="176" fontId="2" fillId="0" borderId="0" xfId="0" applyNumberFormat="1" applyFont="1">
      <alignment vertical="center"/>
    </xf>
    <xf numFmtId="0" fontId="2" fillId="0" borderId="5" xfId="0" applyFont="1" applyBorder="1">
      <alignment vertical="center"/>
    </xf>
    <xf numFmtId="0" fontId="2" fillId="0" borderId="8" xfId="0" applyFont="1" applyBorder="1">
      <alignment vertical="center"/>
    </xf>
    <xf numFmtId="0" fontId="12" fillId="0" borderId="11" xfId="0" applyFont="1" applyBorder="1">
      <alignment vertical="center"/>
    </xf>
    <xf numFmtId="0" fontId="2" fillId="0" borderId="14" xfId="0" applyFont="1" applyBorder="1">
      <alignment vertical="center"/>
    </xf>
    <xf numFmtId="177" fontId="2" fillId="0" borderId="6" xfId="0" applyNumberFormat="1" applyFont="1" applyBorder="1">
      <alignment vertical="center"/>
    </xf>
    <xf numFmtId="177" fontId="2" fillId="0" borderId="7" xfId="0" applyNumberFormat="1" applyFont="1" applyBorder="1">
      <alignment vertical="center"/>
    </xf>
    <xf numFmtId="177" fontId="2" fillId="0" borderId="9" xfId="0" applyNumberFormat="1" applyFont="1" applyBorder="1">
      <alignment vertical="center"/>
    </xf>
    <xf numFmtId="177" fontId="2" fillId="0" borderId="10" xfId="0" applyNumberFormat="1" applyFont="1" applyBorder="1">
      <alignment vertical="center"/>
    </xf>
    <xf numFmtId="177" fontId="12" fillId="0" borderId="12" xfId="0" applyNumberFormat="1" applyFont="1" applyBorder="1">
      <alignment vertical="center"/>
    </xf>
    <xf numFmtId="177" fontId="12" fillId="0" borderId="13" xfId="0" applyNumberFormat="1" applyFont="1" applyBorder="1">
      <alignment vertical="center"/>
    </xf>
    <xf numFmtId="177" fontId="2" fillId="0" borderId="0" xfId="0" applyNumberFormat="1" applyFont="1">
      <alignment vertical="center"/>
    </xf>
    <xf numFmtId="177" fontId="2" fillId="0" borderId="0" xfId="0" applyNumberFormat="1" applyFont="1" applyBorder="1">
      <alignment vertical="center"/>
    </xf>
    <xf numFmtId="177" fontId="2" fillId="0" borderId="15" xfId="0" applyNumberFormat="1" applyFont="1" applyBorder="1">
      <alignment vertical="center"/>
    </xf>
    <xf numFmtId="177" fontId="2" fillId="0" borderId="17" xfId="0" applyNumberFormat="1" applyFont="1" applyBorder="1">
      <alignment vertical="center"/>
    </xf>
    <xf numFmtId="177" fontId="2" fillId="0" borderId="18" xfId="0" applyNumberFormat="1" applyFont="1" applyBorder="1">
      <alignment vertical="center"/>
    </xf>
    <xf numFmtId="177" fontId="2" fillId="0" borderId="19" xfId="0" applyNumberFormat="1" applyFont="1" applyBorder="1">
      <alignment vertical="center"/>
    </xf>
    <xf numFmtId="177" fontId="2" fillId="0" borderId="20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7" fontId="2" fillId="0" borderId="21" xfId="0" applyNumberFormat="1" applyFont="1" applyBorder="1">
      <alignment vertical="center"/>
    </xf>
    <xf numFmtId="177" fontId="2" fillId="0" borderId="22" xfId="0" applyNumberFormat="1" applyFont="1" applyBorder="1">
      <alignment vertical="center"/>
    </xf>
    <xf numFmtId="177" fontId="2" fillId="0" borderId="23" xfId="0" applyNumberFormat="1" applyFont="1" applyBorder="1">
      <alignment vertical="center"/>
    </xf>
    <xf numFmtId="0" fontId="12" fillId="0" borderId="0" xfId="0" applyFont="1" applyBorder="1">
      <alignment vertical="center"/>
    </xf>
    <xf numFmtId="177" fontId="12" fillId="0" borderId="0" xfId="0" applyNumberFormat="1" applyFont="1" applyBorder="1">
      <alignment vertical="center"/>
    </xf>
    <xf numFmtId="178" fontId="2" fillId="0" borderId="0" xfId="2" applyNumberFormat="1" applyFont="1">
      <alignment vertical="center"/>
    </xf>
    <xf numFmtId="0" fontId="14" fillId="0" borderId="0" xfId="4" applyFont="1">
      <alignment vertical="center"/>
    </xf>
    <xf numFmtId="0" fontId="10" fillId="3" borderId="0" xfId="3" applyNumberFormat="1" applyFont="1" applyFill="1" applyBorder="1" applyAlignment="1">
      <alignment horizontal="right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16" fillId="3" borderId="5" xfId="0" applyNumberFormat="1" applyFont="1" applyFill="1" applyBorder="1" applyAlignment="1">
      <alignment horizontal="left"/>
    </xf>
    <xf numFmtId="0" fontId="16" fillId="3" borderId="6" xfId="3" applyNumberFormat="1" applyFont="1" applyFill="1" applyBorder="1" applyAlignment="1">
      <alignment horizontal="right"/>
    </xf>
    <xf numFmtId="176" fontId="7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0" fontId="17" fillId="0" borderId="24" xfId="5" applyFont="1" applyFill="1" applyBorder="1" applyAlignment="1">
      <alignment horizontal="center" vertical="center"/>
    </xf>
    <xf numFmtId="0" fontId="17" fillId="0" borderId="25" xfId="5" applyFont="1" applyFill="1" applyBorder="1" applyAlignment="1">
      <alignment horizontal="center" vertical="center"/>
    </xf>
    <xf numFmtId="0" fontId="17" fillId="0" borderId="26" xfId="5" applyFont="1" applyFill="1" applyBorder="1" applyAlignment="1">
      <alignment horizontal="center" vertical="center"/>
    </xf>
    <xf numFmtId="178" fontId="2" fillId="0" borderId="18" xfId="2" applyNumberFormat="1" applyFont="1" applyBorder="1">
      <alignment vertical="center"/>
    </xf>
    <xf numFmtId="178" fontId="2" fillId="0" borderId="19" xfId="2" applyNumberFormat="1" applyFont="1" applyBorder="1">
      <alignment vertical="center"/>
    </xf>
    <xf numFmtId="178" fontId="2" fillId="0" borderId="0" xfId="2" applyNumberFormat="1" applyFont="1" applyBorder="1">
      <alignment vertical="center"/>
    </xf>
    <xf numFmtId="178" fontId="2" fillId="0" borderId="23" xfId="2" applyNumberFormat="1" applyFont="1" applyBorder="1">
      <alignment vertical="center"/>
    </xf>
    <xf numFmtId="178" fontId="2" fillId="0" borderId="1" xfId="2" applyNumberFormat="1" applyFont="1" applyBorder="1">
      <alignment vertical="center"/>
    </xf>
    <xf numFmtId="178" fontId="2" fillId="0" borderId="21" xfId="2" applyNumberFormat="1" applyFont="1" applyBorder="1">
      <alignment vertical="center"/>
    </xf>
    <xf numFmtId="0" fontId="2" fillId="0" borderId="17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0" xfId="0" applyFont="1" applyBorder="1">
      <alignment vertical="center"/>
    </xf>
    <xf numFmtId="177" fontId="2" fillId="5" borderId="22" xfId="0" applyNumberFormat="1" applyFont="1" applyFill="1" applyBorder="1">
      <alignment vertical="center"/>
    </xf>
    <xf numFmtId="178" fontId="2" fillId="5" borderId="0" xfId="2" applyNumberFormat="1" applyFont="1" applyFill="1" applyBorder="1">
      <alignment vertical="center"/>
    </xf>
    <xf numFmtId="178" fontId="2" fillId="5" borderId="23" xfId="2" applyNumberFormat="1" applyFont="1" applyFill="1" applyBorder="1">
      <alignment vertical="center"/>
    </xf>
    <xf numFmtId="0" fontId="18" fillId="3" borderId="5" xfId="0" applyNumberFormat="1" applyFont="1" applyFill="1" applyBorder="1" applyAlignment="1">
      <alignment horizontal="left"/>
    </xf>
    <xf numFmtId="0" fontId="18" fillId="3" borderId="14" xfId="0" applyNumberFormat="1" applyFont="1" applyFill="1" applyBorder="1" applyAlignment="1">
      <alignment horizontal="left"/>
    </xf>
    <xf numFmtId="176" fontId="18" fillId="3" borderId="6" xfId="3" applyNumberFormat="1" applyFont="1" applyFill="1" applyBorder="1" applyAlignment="1">
      <alignment horizontal="right"/>
    </xf>
    <xf numFmtId="176" fontId="18" fillId="3" borderId="7" xfId="3" applyNumberFormat="1" applyFont="1" applyFill="1" applyBorder="1" applyAlignment="1">
      <alignment horizontal="right"/>
    </xf>
    <xf numFmtId="176" fontId="18" fillId="3" borderId="0" xfId="3" applyNumberFormat="1" applyFont="1" applyFill="1" applyBorder="1" applyAlignment="1">
      <alignment horizontal="right"/>
    </xf>
    <xf numFmtId="176" fontId="18" fillId="3" borderId="15" xfId="3" applyNumberFormat="1" applyFont="1" applyFill="1" applyBorder="1" applyAlignment="1">
      <alignment horizontal="right"/>
    </xf>
    <xf numFmtId="176" fontId="22" fillId="6" borderId="16" xfId="6" applyNumberFormat="1" applyFont="1" applyFill="1" applyBorder="1" applyAlignment="1">
      <alignment horizontal="center" vertical="center"/>
    </xf>
    <xf numFmtId="176" fontId="7" fillId="0" borderId="30" xfId="6" applyNumberFormat="1" applyFont="1" applyBorder="1">
      <alignment vertical="center"/>
    </xf>
    <xf numFmtId="176" fontId="7" fillId="0" borderId="30" xfId="7" applyNumberFormat="1" applyFont="1" applyBorder="1">
      <alignment vertical="center"/>
    </xf>
    <xf numFmtId="176" fontId="7" fillId="0" borderId="31" xfId="6" applyNumberFormat="1" applyFont="1" applyBorder="1">
      <alignment vertical="center"/>
    </xf>
    <xf numFmtId="176" fontId="7" fillId="0" borderId="31" xfId="7" applyNumberFormat="1" applyFont="1" applyBorder="1">
      <alignment vertical="center"/>
    </xf>
    <xf numFmtId="176" fontId="7" fillId="4" borderId="32" xfId="6" applyNumberFormat="1" applyFont="1" applyFill="1" applyBorder="1" applyAlignment="1">
      <alignment horizontal="center" vertical="center"/>
    </xf>
    <xf numFmtId="176" fontId="7" fillId="4" borderId="32" xfId="7" applyNumberFormat="1" applyFont="1" applyFill="1" applyBorder="1">
      <alignment vertical="center"/>
    </xf>
    <xf numFmtId="176" fontId="7" fillId="4" borderId="30" xfId="6" applyNumberFormat="1" applyFont="1" applyFill="1" applyBorder="1">
      <alignment vertical="center"/>
    </xf>
    <xf numFmtId="176" fontId="7" fillId="4" borderId="30" xfId="7" applyNumberFormat="1" applyFont="1" applyFill="1" applyBorder="1">
      <alignment vertical="center"/>
    </xf>
    <xf numFmtId="176" fontId="7" fillId="0" borderId="32" xfId="6" applyNumberFormat="1" applyFont="1" applyBorder="1">
      <alignment vertical="center"/>
    </xf>
    <xf numFmtId="176" fontId="7" fillId="0" borderId="32" xfId="7" applyNumberFormat="1" applyFont="1" applyBorder="1">
      <alignment vertical="center"/>
    </xf>
    <xf numFmtId="176" fontId="7" fillId="4" borderId="16" xfId="6" applyNumberFormat="1" applyFont="1" applyFill="1" applyBorder="1">
      <alignment vertical="center"/>
    </xf>
    <xf numFmtId="176" fontId="7" fillId="4" borderId="16" xfId="7" applyNumberFormat="1" applyFont="1" applyFill="1" applyBorder="1">
      <alignment vertical="center"/>
    </xf>
    <xf numFmtId="0" fontId="23" fillId="3" borderId="14" xfId="0" applyNumberFormat="1" applyFont="1" applyFill="1" applyBorder="1" applyAlignment="1">
      <alignment horizontal="left"/>
    </xf>
    <xf numFmtId="178" fontId="23" fillId="3" borderId="0" xfId="2" applyNumberFormat="1" applyFont="1" applyFill="1" applyBorder="1" applyAlignment="1">
      <alignment horizontal="right"/>
    </xf>
    <xf numFmtId="178" fontId="23" fillId="3" borderId="15" xfId="2" applyNumberFormat="1" applyFont="1" applyFill="1" applyBorder="1" applyAlignment="1">
      <alignment horizontal="right"/>
    </xf>
    <xf numFmtId="0" fontId="23" fillId="3" borderId="27" xfId="0" applyNumberFormat="1" applyFont="1" applyFill="1" applyBorder="1" applyAlignment="1">
      <alignment horizontal="left"/>
    </xf>
    <xf numFmtId="178" fontId="23" fillId="3" borderId="28" xfId="2" applyNumberFormat="1" applyFont="1" applyFill="1" applyBorder="1" applyAlignment="1">
      <alignment horizontal="right"/>
    </xf>
    <xf numFmtId="178" fontId="23" fillId="3" borderId="29" xfId="2" applyNumberFormat="1" applyFont="1" applyFill="1" applyBorder="1" applyAlignment="1">
      <alignment horizontal="right"/>
    </xf>
    <xf numFmtId="179" fontId="23" fillId="3" borderId="0" xfId="2" applyNumberFormat="1" applyFont="1" applyFill="1" applyBorder="1" applyAlignment="1">
      <alignment horizontal="right"/>
    </xf>
    <xf numFmtId="179" fontId="23" fillId="3" borderId="15" xfId="2" applyNumberFormat="1" applyFont="1" applyFill="1" applyBorder="1" applyAlignment="1">
      <alignment horizontal="right"/>
    </xf>
    <xf numFmtId="179" fontId="23" fillId="3" borderId="28" xfId="2" applyNumberFormat="1" applyFont="1" applyFill="1" applyBorder="1" applyAlignment="1">
      <alignment horizontal="right"/>
    </xf>
    <xf numFmtId="179" fontId="23" fillId="3" borderId="29" xfId="2" applyNumberFormat="1" applyFont="1" applyFill="1" applyBorder="1" applyAlignment="1">
      <alignment horizontal="right"/>
    </xf>
    <xf numFmtId="0" fontId="2" fillId="7" borderId="0" xfId="0" applyFont="1" applyFill="1">
      <alignment vertical="center"/>
    </xf>
    <xf numFmtId="178" fontId="2" fillId="0" borderId="0" xfId="0" applyNumberFormat="1" applyFont="1">
      <alignment vertical="center"/>
    </xf>
    <xf numFmtId="176" fontId="7" fillId="0" borderId="33" xfId="6" applyNumberFormat="1" applyFont="1" applyBorder="1">
      <alignment vertical="center"/>
    </xf>
    <xf numFmtId="176" fontId="7" fillId="0" borderId="33" xfId="7" applyNumberFormat="1" applyFont="1" applyBorder="1">
      <alignment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76" fontId="12" fillId="0" borderId="31" xfId="6" applyNumberFormat="1" applyFont="1" applyBorder="1">
      <alignment vertical="center"/>
    </xf>
    <xf numFmtId="41" fontId="2" fillId="0" borderId="0" xfId="1" applyFont="1">
      <alignment vertical="center"/>
    </xf>
    <xf numFmtId="41" fontId="2" fillId="0" borderId="0" xfId="1" applyFont="1" applyAlignment="1">
      <alignment horizontal="center" vertical="center"/>
    </xf>
    <xf numFmtId="41" fontId="7" fillId="0" borderId="0" xfId="1" applyFont="1">
      <alignment vertical="center"/>
    </xf>
    <xf numFmtId="41" fontId="2" fillId="5" borderId="0" xfId="1" applyFont="1" applyFill="1">
      <alignment vertical="center"/>
    </xf>
    <xf numFmtId="177" fontId="18" fillId="3" borderId="6" xfId="3" applyNumberFormat="1" applyFont="1" applyFill="1" applyBorder="1" applyAlignment="1">
      <alignment horizontal="right"/>
    </xf>
    <xf numFmtId="177" fontId="18" fillId="3" borderId="0" xfId="3" applyNumberFormat="1" applyFont="1" applyFill="1" applyBorder="1" applyAlignment="1">
      <alignment horizontal="right"/>
    </xf>
    <xf numFmtId="0" fontId="24" fillId="0" borderId="0" xfId="0" applyFont="1">
      <alignment vertical="center"/>
    </xf>
    <xf numFmtId="0" fontId="27" fillId="3" borderId="9" xfId="3" applyNumberFormat="1" applyFont="1" applyFill="1" applyBorder="1" applyAlignment="1">
      <alignment horizontal="right"/>
    </xf>
    <xf numFmtId="178" fontId="28" fillId="3" borderId="6" xfId="2" applyNumberFormat="1" applyFont="1" applyFill="1" applyBorder="1" applyAlignment="1">
      <alignment horizontal="right"/>
    </xf>
    <xf numFmtId="178" fontId="28" fillId="3" borderId="0" xfId="2" applyNumberFormat="1" applyFont="1" applyFill="1" applyBorder="1" applyAlignment="1">
      <alignment horizontal="right"/>
    </xf>
    <xf numFmtId="178" fontId="28" fillId="3" borderId="9" xfId="2" applyNumberFormat="1" applyFont="1" applyFill="1" applyBorder="1" applyAlignment="1">
      <alignment horizontal="right"/>
    </xf>
    <xf numFmtId="177" fontId="29" fillId="0" borderId="0" xfId="0" applyNumberFormat="1" applyFont="1">
      <alignment vertical="center"/>
    </xf>
    <xf numFmtId="176" fontId="29" fillId="0" borderId="0" xfId="0" applyNumberFormat="1" applyFont="1">
      <alignment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0" fontId="25" fillId="2" borderId="6" xfId="0" applyFont="1" applyFill="1" applyBorder="1" applyAlignment="1">
      <alignment horizontal="left" vertical="center"/>
    </xf>
    <xf numFmtId="0" fontId="16" fillId="3" borderId="14" xfId="0" applyNumberFormat="1" applyFont="1" applyFill="1" applyBorder="1" applyAlignment="1">
      <alignment horizontal="left"/>
    </xf>
    <xf numFmtId="0" fontId="16" fillId="3" borderId="0" xfId="3" applyNumberFormat="1" applyFont="1" applyFill="1" applyBorder="1" applyAlignment="1">
      <alignment horizontal="right"/>
    </xf>
    <xf numFmtId="0" fontId="26" fillId="3" borderId="0" xfId="3" applyNumberFormat="1" applyFont="1" applyFill="1" applyBorder="1" applyAlignment="1">
      <alignment horizontal="right"/>
    </xf>
    <xf numFmtId="0" fontId="25" fillId="2" borderId="7" xfId="0" applyFont="1" applyFill="1" applyBorder="1" applyAlignment="1">
      <alignment horizontal="left" vertical="center"/>
    </xf>
    <xf numFmtId="0" fontId="26" fillId="3" borderId="15" xfId="3" applyNumberFormat="1" applyFont="1" applyFill="1" applyBorder="1" applyAlignment="1">
      <alignment horizontal="right"/>
    </xf>
    <xf numFmtId="0" fontId="27" fillId="3" borderId="10" xfId="3" applyNumberFormat="1" applyFont="1" applyFill="1" applyBorder="1" applyAlignment="1">
      <alignment horizontal="right"/>
    </xf>
    <xf numFmtId="178" fontId="28" fillId="3" borderId="7" xfId="2" applyNumberFormat="1" applyFont="1" applyFill="1" applyBorder="1" applyAlignment="1">
      <alignment horizontal="right"/>
    </xf>
    <xf numFmtId="178" fontId="28" fillId="3" borderId="15" xfId="2" applyNumberFormat="1" applyFont="1" applyFill="1" applyBorder="1" applyAlignment="1">
      <alignment horizontal="right"/>
    </xf>
    <xf numFmtId="0" fontId="18" fillId="3" borderId="8" xfId="0" applyNumberFormat="1" applyFont="1" applyFill="1" applyBorder="1" applyAlignment="1">
      <alignment horizontal="left"/>
    </xf>
    <xf numFmtId="177" fontId="18" fillId="3" borderId="9" xfId="3" applyNumberFormat="1" applyFont="1" applyFill="1" applyBorder="1" applyAlignment="1">
      <alignment horizontal="right"/>
    </xf>
    <xf numFmtId="178" fontId="28" fillId="3" borderId="10" xfId="2" applyNumberFormat="1" applyFont="1" applyFill="1" applyBorder="1" applyAlignment="1">
      <alignment horizontal="right"/>
    </xf>
    <xf numFmtId="0" fontId="12" fillId="0" borderId="0" xfId="0" applyFont="1">
      <alignment vertical="center"/>
    </xf>
    <xf numFmtId="0" fontId="2" fillId="0" borderId="11" xfId="0" applyFont="1" applyBorder="1">
      <alignment vertical="center"/>
    </xf>
    <xf numFmtId="176" fontId="2" fillId="0" borderId="12" xfId="0" applyNumberFormat="1" applyFont="1" applyBorder="1">
      <alignment vertical="center"/>
    </xf>
    <xf numFmtId="176" fontId="2" fillId="0" borderId="13" xfId="0" applyNumberFormat="1" applyFont="1" applyBorder="1">
      <alignment vertical="center"/>
    </xf>
    <xf numFmtId="0" fontId="2" fillId="0" borderId="0" xfId="0" applyFont="1" applyBorder="1">
      <alignment vertical="center"/>
    </xf>
    <xf numFmtId="178" fontId="7" fillId="0" borderId="0" xfId="2" applyNumberFormat="1" applyFont="1">
      <alignment vertical="center"/>
    </xf>
    <xf numFmtId="178" fontId="18" fillId="3" borderId="0" xfId="2" applyNumberFormat="1" applyFont="1" applyFill="1" applyBorder="1" applyAlignment="1">
      <alignment horizontal="right"/>
    </xf>
    <xf numFmtId="0" fontId="7" fillId="0" borderId="0" xfId="9" applyFont="1">
      <alignment vertical="center"/>
    </xf>
    <xf numFmtId="49" fontId="7" fillId="0" borderId="0" xfId="9" applyNumberFormat="1" applyFont="1" applyAlignment="1">
      <alignment horizontal="left" vertical="center"/>
    </xf>
    <xf numFmtId="0" fontId="40" fillId="0" borderId="0" xfId="8" quotePrefix="1" applyFont="1" applyFill="1" applyAlignment="1" applyProtection="1">
      <alignment horizontal="left" vertical="center" indent="1"/>
    </xf>
    <xf numFmtId="180" fontId="40" fillId="0" borderId="0" xfId="8" quotePrefix="1" applyNumberFormat="1" applyFont="1" applyFill="1" applyAlignment="1" applyProtection="1">
      <alignment horizontal="right" vertical="center"/>
    </xf>
    <xf numFmtId="180" fontId="39" fillId="0" borderId="0" xfId="8" applyNumberFormat="1" applyFont="1" applyFill="1" applyAlignment="1">
      <alignment horizontal="right" vertical="center"/>
    </xf>
    <xf numFmtId="180" fontId="7" fillId="0" borderId="0" xfId="9" applyNumberFormat="1" applyFont="1">
      <alignment vertical="center"/>
    </xf>
    <xf numFmtId="0" fontId="7" fillId="0" borderId="0" xfId="9" applyNumberFormat="1" applyFont="1">
      <alignment vertical="center"/>
    </xf>
    <xf numFmtId="0" fontId="38" fillId="0" borderId="0" xfId="8" applyNumberFormat="1" applyFont="1" applyFill="1" applyAlignment="1" applyProtection="1">
      <alignment horizontal="center" vertical="center"/>
    </xf>
    <xf numFmtId="0" fontId="7" fillId="0" borderId="0" xfId="9" applyNumberFormat="1" applyFont="1" applyAlignment="1">
      <alignment horizontal="left" vertical="center"/>
    </xf>
    <xf numFmtId="0" fontId="39" fillId="0" borderId="0" xfId="8" applyNumberFormat="1" applyFont="1" applyFill="1" applyAlignment="1">
      <alignment horizontal="left" vertical="center" indent="1"/>
    </xf>
    <xf numFmtId="0" fontId="40" fillId="0" borderId="0" xfId="8" quotePrefix="1" applyNumberFormat="1" applyFont="1" applyFill="1" applyAlignment="1" applyProtection="1">
      <alignment horizontal="left" vertical="center" indent="1"/>
    </xf>
    <xf numFmtId="0" fontId="41" fillId="0" borderId="16" xfId="8" applyNumberFormat="1" applyFont="1" applyFill="1" applyBorder="1" applyAlignment="1" applyProtection="1">
      <alignment horizontal="center" vertical="center"/>
    </xf>
    <xf numFmtId="0" fontId="7" fillId="0" borderId="34" xfId="9" applyNumberFormat="1" applyFont="1" applyBorder="1" applyAlignment="1">
      <alignment horizontal="left" vertical="center" indent="1"/>
    </xf>
    <xf numFmtId="0" fontId="7" fillId="0" borderId="35" xfId="9" applyNumberFormat="1" applyFont="1" applyBorder="1" applyAlignment="1">
      <alignment horizontal="left" vertical="center" indent="1"/>
    </xf>
    <xf numFmtId="0" fontId="7" fillId="0" borderId="36" xfId="9" applyNumberFormat="1" applyFont="1" applyBorder="1" applyAlignment="1">
      <alignment horizontal="left" vertical="center" indent="1"/>
    </xf>
    <xf numFmtId="0" fontId="12" fillId="0" borderId="37" xfId="9" applyNumberFormat="1" applyFont="1" applyBorder="1" applyAlignment="1">
      <alignment horizontal="distributed" vertical="distributed" justifyLastLine="1"/>
    </xf>
    <xf numFmtId="0" fontId="7" fillId="0" borderId="16" xfId="9" applyNumberFormat="1" applyFont="1" applyBorder="1" applyAlignment="1">
      <alignment horizontal="left" vertical="center" indent="1"/>
    </xf>
    <xf numFmtId="41" fontId="38" fillId="0" borderId="0" xfId="1" applyFont="1" applyFill="1" applyAlignment="1" applyProtection="1">
      <alignment horizontal="center" vertical="center"/>
    </xf>
    <xf numFmtId="41" fontId="40" fillId="0" borderId="0" xfId="1" quotePrefix="1" applyFont="1" applyFill="1" applyAlignment="1" applyProtection="1">
      <alignment horizontal="right" vertical="center"/>
    </xf>
    <xf numFmtId="41" fontId="39" fillId="0" borderId="0" xfId="1" applyFont="1" applyFill="1" applyAlignment="1">
      <alignment horizontal="right" vertical="center"/>
    </xf>
    <xf numFmtId="41" fontId="41" fillId="0" borderId="16" xfId="1" applyFont="1" applyFill="1" applyBorder="1" applyAlignment="1" applyProtection="1">
      <alignment horizontal="center" vertical="center"/>
    </xf>
    <xf numFmtId="41" fontId="7" fillId="0" borderId="34" xfId="1" applyFont="1" applyBorder="1">
      <alignment vertical="center"/>
    </xf>
    <xf numFmtId="41" fontId="7" fillId="0" borderId="35" xfId="1" applyFont="1" applyBorder="1">
      <alignment vertical="center"/>
    </xf>
    <xf numFmtId="41" fontId="7" fillId="0" borderId="36" xfId="1" applyFont="1" applyBorder="1">
      <alignment vertical="center"/>
    </xf>
    <xf numFmtId="41" fontId="12" fillId="0" borderId="16" xfId="1" applyFont="1" applyBorder="1">
      <alignment vertical="center"/>
    </xf>
    <xf numFmtId="41" fontId="7" fillId="0" borderId="16" xfId="1" applyFont="1" applyBorder="1">
      <alignment vertical="center"/>
    </xf>
    <xf numFmtId="0" fontId="39" fillId="0" borderId="0" xfId="8" applyFont="1" applyFill="1" applyAlignment="1" applyProtection="1">
      <alignment horizontal="center" vertical="center"/>
    </xf>
    <xf numFmtId="0" fontId="39" fillId="0" borderId="0" xfId="8" applyFont="1" applyFill="1" applyAlignment="1">
      <alignment horizontal="center" vertical="center"/>
    </xf>
    <xf numFmtId="181" fontId="40" fillId="0" borderId="16" xfId="8" applyNumberFormat="1" applyFont="1" applyFill="1" applyBorder="1" applyAlignment="1" applyProtection="1">
      <alignment horizontal="center" vertical="center"/>
    </xf>
    <xf numFmtId="181" fontId="7" fillId="0" borderId="35" xfId="9" applyNumberFormat="1" applyFont="1" applyBorder="1" applyAlignment="1">
      <alignment horizontal="center" vertical="center"/>
    </xf>
    <xf numFmtId="181" fontId="7" fillId="0" borderId="34" xfId="9" applyNumberFormat="1" applyFont="1" applyBorder="1" applyAlignment="1">
      <alignment horizontal="center" vertical="center" wrapText="1"/>
    </xf>
    <xf numFmtId="181" fontId="7" fillId="0" borderId="34" xfId="9" applyNumberFormat="1" applyFont="1" applyBorder="1" applyAlignment="1">
      <alignment horizontal="left" vertical="center"/>
    </xf>
    <xf numFmtId="181" fontId="7" fillId="0" borderId="34" xfId="9" applyNumberFormat="1" applyFont="1" applyBorder="1">
      <alignment vertical="center"/>
    </xf>
    <xf numFmtId="181" fontId="7" fillId="0" borderId="35" xfId="9" applyNumberFormat="1" applyFont="1" applyBorder="1" applyAlignment="1">
      <alignment horizontal="left" vertical="center"/>
    </xf>
    <xf numFmtId="181" fontId="7" fillId="0" borderId="35" xfId="9" applyNumberFormat="1" applyFont="1" applyBorder="1">
      <alignment vertical="center"/>
    </xf>
    <xf numFmtId="181" fontId="7" fillId="0" borderId="36" xfId="9" applyNumberFormat="1" applyFont="1" applyBorder="1" applyAlignment="1">
      <alignment horizontal="left" vertical="center"/>
    </xf>
    <xf numFmtId="181" fontId="7" fillId="0" borderId="36" xfId="9" applyNumberFormat="1" applyFont="1" applyBorder="1">
      <alignment vertical="center"/>
    </xf>
    <xf numFmtId="181" fontId="7" fillId="0" borderId="20" xfId="9" applyNumberFormat="1" applyFont="1" applyBorder="1" applyAlignment="1">
      <alignment horizontal="center" vertical="center"/>
    </xf>
    <xf numFmtId="181" fontId="7" fillId="0" borderId="37" xfId="9" applyNumberFormat="1" applyFont="1" applyBorder="1" applyAlignment="1">
      <alignment horizontal="center" vertical="center"/>
    </xf>
    <xf numFmtId="181" fontId="7" fillId="0" borderId="34" xfId="9" applyNumberFormat="1" applyFont="1" applyBorder="1" applyAlignment="1">
      <alignment horizontal="center" vertical="center"/>
    </xf>
    <xf numFmtId="181" fontId="7" fillId="0" borderId="35" xfId="9" applyNumberFormat="1" applyFont="1" applyBorder="1" applyAlignment="1">
      <alignment horizontal="center" vertical="center" wrapText="1"/>
    </xf>
    <xf numFmtId="181" fontId="7" fillId="0" borderId="36" xfId="9" applyNumberFormat="1" applyFont="1" applyBorder="1" applyAlignment="1">
      <alignment horizontal="center" vertical="center" wrapText="1"/>
    </xf>
    <xf numFmtId="181" fontId="7" fillId="0" borderId="20" xfId="9" applyNumberFormat="1" applyFont="1" applyBorder="1" applyAlignment="1">
      <alignment horizontal="center" vertical="center" wrapText="1"/>
    </xf>
    <xf numFmtId="181" fontId="7" fillId="0" borderId="34" xfId="9" applyNumberFormat="1" applyFont="1" applyBorder="1" applyAlignment="1">
      <alignment horizontal="center" vertical="distributed" justifyLastLine="1"/>
    </xf>
    <xf numFmtId="181" fontId="7" fillId="0" borderId="16" xfId="9" applyNumberFormat="1" applyFont="1" applyBorder="1" applyAlignment="1">
      <alignment horizontal="left" vertical="center"/>
    </xf>
    <xf numFmtId="181" fontId="7" fillId="0" borderId="16" xfId="9" applyNumberFormat="1" applyFont="1" applyBorder="1">
      <alignment vertical="center"/>
    </xf>
    <xf numFmtId="0" fontId="7" fillId="0" borderId="0" xfId="9" applyFont="1" applyAlignment="1">
      <alignment horizontal="center" vertical="center"/>
    </xf>
    <xf numFmtId="0" fontId="7" fillId="0" borderId="0" xfId="9" applyFont="1" applyAlignment="1">
      <alignment horizontal="left" vertical="center"/>
    </xf>
    <xf numFmtId="41" fontId="40" fillId="0" borderId="16" xfId="1" applyFont="1" applyFill="1" applyBorder="1" applyAlignment="1" applyProtection="1">
      <alignment horizontal="center" vertical="center"/>
    </xf>
    <xf numFmtId="41" fontId="7" fillId="0" borderId="0" xfId="1" applyFont="1" applyAlignment="1">
      <alignment horizontal="center" vertical="center"/>
    </xf>
    <xf numFmtId="41" fontId="5" fillId="0" borderId="0" xfId="1" applyFont="1">
      <alignment vertical="center"/>
    </xf>
    <xf numFmtId="41" fontId="17" fillId="0" borderId="0" xfId="1" applyFont="1">
      <alignment vertical="center"/>
    </xf>
    <xf numFmtId="41" fontId="36" fillId="0" borderId="16" xfId="1" applyFont="1" applyFill="1" applyBorder="1" applyAlignment="1" applyProtection="1">
      <alignment horizontal="center" vertical="center"/>
    </xf>
    <xf numFmtId="0" fontId="39" fillId="0" borderId="0" xfId="8" applyNumberFormat="1" applyFont="1" applyFill="1" applyAlignment="1" applyProtection="1">
      <alignment horizontal="center" vertical="center"/>
    </xf>
    <xf numFmtId="0" fontId="12" fillId="0" borderId="34" xfId="9" applyNumberFormat="1" applyFont="1" applyBorder="1" applyAlignment="1">
      <alignment horizontal="center" vertical="center"/>
    </xf>
    <xf numFmtId="0" fontId="12" fillId="0" borderId="34" xfId="9" applyNumberFormat="1" applyFont="1" applyBorder="1" applyAlignment="1">
      <alignment horizontal="center" vertical="center" wrapText="1"/>
    </xf>
    <xf numFmtId="0" fontId="12" fillId="0" borderId="38" xfId="9" applyNumberFormat="1" applyFont="1" applyBorder="1" applyAlignment="1">
      <alignment horizontal="distributed" vertical="distributed" justifyLastLine="1"/>
    </xf>
    <xf numFmtId="0" fontId="12" fillId="0" borderId="39" xfId="9" applyNumberFormat="1" applyFont="1" applyBorder="1" applyAlignment="1">
      <alignment horizontal="distributed" vertical="center" justifyLastLine="1"/>
    </xf>
    <xf numFmtId="0" fontId="12" fillId="0" borderId="38" xfId="9" applyNumberFormat="1" applyFont="1" applyBorder="1" applyAlignment="1">
      <alignment horizontal="distributed" vertical="center" justifyLastLine="1"/>
    </xf>
    <xf numFmtId="0" fontId="12" fillId="0" borderId="37" xfId="9" applyNumberFormat="1" applyFont="1" applyBorder="1" applyAlignment="1">
      <alignment horizontal="distributed" vertical="center" justifyLastLine="1"/>
    </xf>
    <xf numFmtId="0" fontId="2" fillId="5" borderId="0" xfId="0" applyFont="1" applyFill="1">
      <alignment vertical="center"/>
    </xf>
    <xf numFmtId="0" fontId="2" fillId="8" borderId="0" xfId="0" applyFont="1" applyFill="1">
      <alignment vertical="center"/>
    </xf>
    <xf numFmtId="177" fontId="2" fillId="0" borderId="7" xfId="0" applyNumberFormat="1" applyFont="1" applyBorder="1" applyAlignment="1">
      <alignment horizontal="right" vertical="center"/>
    </xf>
    <xf numFmtId="177" fontId="2" fillId="0" borderId="15" xfId="0" applyNumberFormat="1" applyFont="1" applyBorder="1" applyAlignment="1">
      <alignment horizontal="right" vertical="center"/>
    </xf>
    <xf numFmtId="177" fontId="12" fillId="0" borderId="13" xfId="0" applyNumberFormat="1" applyFont="1" applyBorder="1" applyAlignment="1">
      <alignment horizontal="right" vertical="center"/>
    </xf>
    <xf numFmtId="176" fontId="2" fillId="0" borderId="0" xfId="0" applyNumberFormat="1" applyFont="1" applyBorder="1">
      <alignment vertical="center"/>
    </xf>
    <xf numFmtId="0" fontId="10" fillId="3" borderId="5" xfId="3" applyNumberFormat="1" applyFont="1" applyFill="1" applyBorder="1" applyAlignment="1">
      <alignment horizontal="right"/>
    </xf>
    <xf numFmtId="0" fontId="10" fillId="3" borderId="5" xfId="3" applyNumberFormat="1" applyFont="1" applyFill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81" fontId="7" fillId="0" borderId="1" xfId="9" applyNumberFormat="1" applyFont="1" applyBorder="1" applyAlignment="1">
      <alignment horizontal="center" vertical="center"/>
    </xf>
    <xf numFmtId="181" fontId="7" fillId="0" borderId="21" xfId="9" applyNumberFormat="1" applyFont="1" applyBorder="1" applyAlignment="1">
      <alignment horizontal="center" vertical="center"/>
    </xf>
    <xf numFmtId="181" fontId="7" fillId="0" borderId="39" xfId="9" applyNumberFormat="1" applyFont="1" applyBorder="1" applyAlignment="1">
      <alignment horizontal="center" vertical="center"/>
    </xf>
    <xf numFmtId="181" fontId="7" fillId="0" borderId="38" xfId="9" applyNumberFormat="1" applyFont="1" applyBorder="1" applyAlignment="1">
      <alignment horizontal="center" vertical="center"/>
    </xf>
    <xf numFmtId="0" fontId="2" fillId="8" borderId="14" xfId="0" applyFont="1" applyFill="1" applyBorder="1">
      <alignment vertical="center"/>
    </xf>
    <xf numFmtId="177" fontId="2" fillId="8" borderId="0" xfId="0" applyNumberFormat="1" applyFont="1" applyFill="1" applyBorder="1">
      <alignment vertical="center"/>
    </xf>
    <xf numFmtId="177" fontId="2" fillId="8" borderId="15" xfId="0" applyNumberFormat="1" applyFont="1" applyFill="1" applyBorder="1">
      <alignment vertical="center"/>
    </xf>
    <xf numFmtId="0" fontId="5" fillId="0" borderId="0" xfId="9" applyNumberFormat="1" applyFont="1">
      <alignment vertical="center"/>
    </xf>
    <xf numFmtId="0" fontId="17" fillId="0" borderId="0" xfId="9" applyNumberFormat="1" applyFont="1">
      <alignment vertical="center"/>
    </xf>
    <xf numFmtId="0" fontId="35" fillId="0" borderId="0" xfId="8" applyNumberFormat="1" applyFont="1" applyFill="1" applyAlignment="1" applyProtection="1">
      <alignment horizontal="left" vertical="center"/>
    </xf>
    <xf numFmtId="0" fontId="17" fillId="0" borderId="0" xfId="9" applyNumberFormat="1" applyFont="1" applyAlignment="1">
      <alignment horizontal="left" vertical="center"/>
    </xf>
    <xf numFmtId="0" fontId="35" fillId="0" borderId="0" xfId="8" applyNumberFormat="1" applyFont="1" applyFill="1" applyAlignment="1">
      <alignment horizontal="center" vertical="center"/>
    </xf>
    <xf numFmtId="0" fontId="36" fillId="0" borderId="0" xfId="8" quotePrefix="1" applyNumberFormat="1" applyFont="1" applyFill="1" applyAlignment="1" applyProtection="1">
      <alignment horizontal="left" vertical="center" indent="1"/>
    </xf>
    <xf numFmtId="0" fontId="36" fillId="0" borderId="16" xfId="8" applyNumberFormat="1" applyFont="1" applyFill="1" applyBorder="1" applyAlignment="1" applyProtection="1">
      <alignment horizontal="center" vertical="center"/>
    </xf>
    <xf numFmtId="0" fontId="17" fillId="0" borderId="35" xfId="9" applyNumberFormat="1" applyFont="1" applyBorder="1" applyAlignment="1">
      <alignment horizontal="center" vertical="center"/>
    </xf>
    <xf numFmtId="0" fontId="17" fillId="0" borderId="34" xfId="9" applyNumberFormat="1" applyFont="1" applyBorder="1" applyAlignment="1">
      <alignment horizontal="center" vertical="center" wrapText="1"/>
    </xf>
    <xf numFmtId="0" fontId="17" fillId="0" borderId="34" xfId="9" applyNumberFormat="1" applyFont="1" applyBorder="1" applyAlignment="1">
      <alignment horizontal="left" vertical="center"/>
    </xf>
    <xf numFmtId="0" fontId="17" fillId="0" borderId="35" xfId="9" applyNumberFormat="1" applyFont="1" applyBorder="1" applyAlignment="1">
      <alignment horizontal="left" vertical="center"/>
    </xf>
    <xf numFmtId="0" fontId="17" fillId="0" borderId="36" xfId="9" applyNumberFormat="1" applyFont="1" applyBorder="1" applyAlignment="1">
      <alignment horizontal="left" vertical="center"/>
    </xf>
    <xf numFmtId="0" fontId="17" fillId="0" borderId="37" xfId="9" applyNumberFormat="1" applyFont="1" applyBorder="1" applyAlignment="1">
      <alignment horizontal="center" vertical="center"/>
    </xf>
    <xf numFmtId="0" fontId="17" fillId="0" borderId="34" xfId="9" applyNumberFormat="1" applyFont="1" applyBorder="1" applyAlignment="1">
      <alignment horizontal="center" vertical="center"/>
    </xf>
    <xf numFmtId="0" fontId="17" fillId="0" borderId="22" xfId="9" applyNumberFormat="1" applyFont="1" applyBorder="1" applyAlignment="1">
      <alignment horizontal="center" vertical="center"/>
    </xf>
    <xf numFmtId="0" fontId="17" fillId="0" borderId="35" xfId="9" applyNumberFormat="1" applyFont="1" applyBorder="1" applyAlignment="1">
      <alignment horizontal="center" vertical="center" wrapText="1"/>
    </xf>
    <xf numFmtId="0" fontId="17" fillId="0" borderId="36" xfId="9" applyNumberFormat="1" applyFont="1" applyBorder="1" applyAlignment="1">
      <alignment horizontal="center" vertical="center"/>
    </xf>
    <xf numFmtId="0" fontId="17" fillId="0" borderId="36" xfId="9" applyNumberFormat="1" applyFont="1" applyBorder="1" applyAlignment="1">
      <alignment horizontal="center" vertical="center" wrapText="1"/>
    </xf>
    <xf numFmtId="0" fontId="17" fillId="0" borderId="20" xfId="9" applyNumberFormat="1" applyFont="1" applyBorder="1" applyAlignment="1">
      <alignment horizontal="center" vertical="center" wrapText="1"/>
    </xf>
    <xf numFmtId="0" fontId="17" fillId="0" borderId="34" xfId="9" applyNumberFormat="1" applyFont="1" applyBorder="1" applyAlignment="1">
      <alignment horizontal="center" vertical="distributed" justifyLastLine="1"/>
    </xf>
    <xf numFmtId="0" fontId="17" fillId="0" borderId="16" xfId="9" applyNumberFormat="1" applyFont="1" applyBorder="1" applyAlignment="1">
      <alignment horizontal="left" vertical="center"/>
    </xf>
    <xf numFmtId="0" fontId="17" fillId="0" borderId="0" xfId="9" applyNumberFormat="1" applyFont="1" applyAlignment="1">
      <alignment horizontal="center" vertical="center"/>
    </xf>
    <xf numFmtId="41" fontId="35" fillId="0" borderId="0" xfId="1" applyFont="1" applyFill="1" applyAlignment="1" applyProtection="1">
      <alignment horizontal="center" vertical="center"/>
    </xf>
    <xf numFmtId="41" fontId="36" fillId="0" borderId="0" xfId="1" quotePrefix="1" applyFont="1" applyFill="1" applyAlignment="1" applyProtection="1">
      <alignment horizontal="right" vertical="center"/>
    </xf>
    <xf numFmtId="41" fontId="35" fillId="0" borderId="0" xfId="1" applyFont="1" applyFill="1" applyAlignment="1">
      <alignment horizontal="right" vertical="center"/>
    </xf>
    <xf numFmtId="41" fontId="17" fillId="0" borderId="34" xfId="1" applyFont="1" applyBorder="1">
      <alignment vertical="center"/>
    </xf>
    <xf numFmtId="41" fontId="17" fillId="0" borderId="35" xfId="1" applyFont="1" applyBorder="1">
      <alignment vertical="center"/>
    </xf>
    <xf numFmtId="41" fontId="17" fillId="0" borderId="36" xfId="1" applyFont="1" applyBorder="1">
      <alignment vertical="center"/>
    </xf>
    <xf numFmtId="41" fontId="17" fillId="0" borderId="16" xfId="1" applyFont="1" applyBorder="1">
      <alignment vertical="center"/>
    </xf>
    <xf numFmtId="41" fontId="37" fillId="0" borderId="36" xfId="1" applyFont="1" applyBorder="1">
      <alignment vertical="center"/>
    </xf>
    <xf numFmtId="177" fontId="2" fillId="0" borderId="14" xfId="0" applyNumberFormat="1" applyFont="1" applyBorder="1">
      <alignment vertical="center"/>
    </xf>
    <xf numFmtId="0" fontId="2" fillId="0" borderId="15" xfId="0" applyFont="1" applyBorder="1">
      <alignment vertical="center"/>
    </xf>
    <xf numFmtId="177" fontId="2" fillId="0" borderId="8" xfId="0" applyNumberFormat="1" applyFont="1" applyBorder="1">
      <alignment vertical="center"/>
    </xf>
    <xf numFmtId="0" fontId="2" fillId="8" borderId="14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177" fontId="2" fillId="9" borderId="6" xfId="0" applyNumberFormat="1" applyFont="1" applyFill="1" applyBorder="1">
      <alignment vertical="center"/>
    </xf>
    <xf numFmtId="177" fontId="2" fillId="9" borderId="7" xfId="0" applyNumberFormat="1" applyFont="1" applyFill="1" applyBorder="1">
      <alignment vertical="center"/>
    </xf>
    <xf numFmtId="0" fontId="2" fillId="9" borderId="8" xfId="0" applyFont="1" applyFill="1" applyBorder="1" applyAlignment="1">
      <alignment horizontal="left" vertical="center"/>
    </xf>
    <xf numFmtId="177" fontId="2" fillId="9" borderId="9" xfId="0" applyNumberFormat="1" applyFont="1" applyFill="1" applyBorder="1">
      <alignment vertical="center"/>
    </xf>
    <xf numFmtId="177" fontId="2" fillId="9" borderId="10" xfId="0" applyNumberFormat="1" applyFont="1" applyFill="1" applyBorder="1">
      <alignment vertical="center"/>
    </xf>
    <xf numFmtId="0" fontId="2" fillId="0" borderId="0" xfId="0" applyFont="1" applyAlignment="1">
      <alignment horizontal="left" vertical="center" indent="1"/>
    </xf>
    <xf numFmtId="177" fontId="12" fillId="0" borderId="0" xfId="0" applyNumberFormat="1" applyFont="1">
      <alignment vertical="center"/>
    </xf>
    <xf numFmtId="0" fontId="12" fillId="5" borderId="0" xfId="0" applyFont="1" applyFill="1">
      <alignment vertical="center"/>
    </xf>
    <xf numFmtId="177" fontId="12" fillId="5" borderId="0" xfId="0" applyNumberFormat="1" applyFont="1" applyFill="1">
      <alignment vertical="center"/>
    </xf>
    <xf numFmtId="176" fontId="18" fillId="3" borderId="9" xfId="3" applyNumberFormat="1" applyFont="1" applyFill="1" applyBorder="1" applyAlignment="1">
      <alignment horizontal="right"/>
    </xf>
    <xf numFmtId="176" fontId="18" fillId="3" borderId="10" xfId="3" applyNumberFormat="1" applyFont="1" applyFill="1" applyBorder="1" applyAlignment="1">
      <alignment horizontal="right"/>
    </xf>
    <xf numFmtId="176" fontId="12" fillId="0" borderId="12" xfId="0" applyNumberFormat="1" applyFont="1" applyBorder="1">
      <alignment vertical="center"/>
    </xf>
    <xf numFmtId="176" fontId="12" fillId="0" borderId="13" xfId="0" applyNumberFormat="1" applyFont="1" applyBorder="1">
      <alignment vertical="center"/>
    </xf>
    <xf numFmtId="183" fontId="2" fillId="0" borderId="6" xfId="1" applyNumberFormat="1" applyFont="1" applyBorder="1">
      <alignment vertical="center"/>
    </xf>
    <xf numFmtId="183" fontId="2" fillId="0" borderId="7" xfId="1" applyNumberFormat="1" applyFont="1" applyBorder="1">
      <alignment vertical="center"/>
    </xf>
    <xf numFmtId="183" fontId="2" fillId="0" borderId="0" xfId="1" applyNumberFormat="1" applyFont="1" applyBorder="1">
      <alignment vertical="center"/>
    </xf>
    <xf numFmtId="183" fontId="2" fillId="0" borderId="15" xfId="1" applyNumberFormat="1" applyFont="1" applyBorder="1">
      <alignment vertical="center"/>
    </xf>
    <xf numFmtId="183" fontId="2" fillId="0" borderId="9" xfId="1" applyNumberFormat="1" applyFont="1" applyBorder="1">
      <alignment vertical="center"/>
    </xf>
    <xf numFmtId="183" fontId="2" fillId="0" borderId="10" xfId="1" applyNumberFormat="1" applyFont="1" applyBorder="1">
      <alignment vertical="center"/>
    </xf>
    <xf numFmtId="37" fontId="2" fillId="0" borderId="6" xfId="1" applyNumberFormat="1" applyFont="1" applyBorder="1">
      <alignment vertical="center"/>
    </xf>
    <xf numFmtId="37" fontId="2" fillId="0" borderId="7" xfId="1" applyNumberFormat="1" applyFont="1" applyBorder="1">
      <alignment vertical="center"/>
    </xf>
    <xf numFmtId="37" fontId="2" fillId="0" borderId="0" xfId="1" applyNumberFormat="1" applyFont="1" applyBorder="1">
      <alignment vertical="center"/>
    </xf>
    <xf numFmtId="37" fontId="2" fillId="0" borderId="15" xfId="1" applyNumberFormat="1" applyFont="1" applyBorder="1">
      <alignment vertical="center"/>
    </xf>
    <xf numFmtId="37" fontId="2" fillId="0" borderId="9" xfId="1" applyNumberFormat="1" applyFont="1" applyBorder="1">
      <alignment vertical="center"/>
    </xf>
    <xf numFmtId="37" fontId="2" fillId="0" borderId="10" xfId="1" applyNumberFormat="1" applyFont="1" applyBorder="1">
      <alignment vertical="center"/>
    </xf>
    <xf numFmtId="178" fontId="2" fillId="0" borderId="6" xfId="2" applyNumberFormat="1" applyFont="1" applyBorder="1">
      <alignment vertical="center"/>
    </xf>
    <xf numFmtId="178" fontId="2" fillId="0" borderId="7" xfId="2" applyNumberFormat="1" applyFont="1" applyBorder="1">
      <alignment vertical="center"/>
    </xf>
    <xf numFmtId="178" fontId="2" fillId="0" borderId="15" xfId="2" applyNumberFormat="1" applyFont="1" applyBorder="1">
      <alignment vertical="center"/>
    </xf>
    <xf numFmtId="178" fontId="2" fillId="0" borderId="9" xfId="2" applyNumberFormat="1" applyFont="1" applyBorder="1">
      <alignment vertical="center"/>
    </xf>
    <xf numFmtId="178" fontId="2" fillId="0" borderId="10" xfId="2" applyNumberFormat="1" applyFont="1" applyBorder="1">
      <alignment vertical="center"/>
    </xf>
    <xf numFmtId="184" fontId="43" fillId="0" borderId="0" xfId="10" applyNumberFormat="1" applyFont="1" applyFill="1" applyBorder="1" applyAlignment="1">
      <alignment vertical="center"/>
    </xf>
    <xf numFmtId="185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3" fontId="2" fillId="0" borderId="12" xfId="0" applyNumberFormat="1" applyFont="1" applyBorder="1">
      <alignment vertical="center"/>
    </xf>
    <xf numFmtId="183" fontId="2" fillId="0" borderId="13" xfId="0" applyNumberFormat="1" applyFont="1" applyBorder="1">
      <alignment vertical="center"/>
    </xf>
    <xf numFmtId="183" fontId="2" fillId="0" borderId="0" xfId="0" applyNumberFormat="1" applyFont="1" applyBorder="1">
      <alignment vertical="center"/>
    </xf>
    <xf numFmtId="183" fontId="2" fillId="0" borderId="15" xfId="0" applyNumberFormat="1" applyFont="1" applyBorder="1">
      <alignment vertical="center"/>
    </xf>
    <xf numFmtId="41" fontId="2" fillId="0" borderId="9" xfId="1" applyFont="1" applyBorder="1">
      <alignment vertical="center"/>
    </xf>
    <xf numFmtId="41" fontId="2" fillId="0" borderId="10" xfId="1" applyFont="1" applyBorder="1">
      <alignment vertical="center"/>
    </xf>
    <xf numFmtId="0" fontId="2" fillId="0" borderId="2" xfId="0" applyFont="1" applyBorder="1">
      <alignment vertical="center"/>
    </xf>
    <xf numFmtId="0" fontId="16" fillId="3" borderId="3" xfId="3" applyNumberFormat="1" applyFont="1" applyFill="1" applyBorder="1" applyAlignment="1">
      <alignment horizontal="right"/>
    </xf>
    <xf numFmtId="0" fontId="10" fillId="3" borderId="4" xfId="3" applyNumberFormat="1" applyFont="1" applyFill="1" applyBorder="1" applyAlignment="1">
      <alignment horizontal="right"/>
    </xf>
    <xf numFmtId="0" fontId="44" fillId="2" borderId="40" xfId="11" applyFont="1" applyFill="1" applyBorder="1" applyAlignment="1">
      <alignment horizontal="left" vertical="center"/>
    </xf>
    <xf numFmtId="0" fontId="44" fillId="2" borderId="41" xfId="11" applyFont="1" applyFill="1" applyBorder="1" applyAlignment="1">
      <alignment horizontal="left" vertical="center"/>
    </xf>
    <xf numFmtId="0" fontId="44" fillId="2" borderId="42" xfId="11" applyFont="1" applyFill="1" applyBorder="1" applyAlignment="1">
      <alignment horizontal="left" vertical="center"/>
    </xf>
    <xf numFmtId="0" fontId="45" fillId="3" borderId="43" xfId="11" applyNumberFormat="1" applyFont="1" applyFill="1" applyBorder="1" applyAlignment="1">
      <alignment horizontal="left"/>
    </xf>
    <xf numFmtId="0" fontId="45" fillId="3" borderId="6" xfId="11" applyNumberFormat="1" applyFont="1" applyFill="1" applyBorder="1" applyAlignment="1">
      <alignment horizontal="right"/>
    </xf>
    <xf numFmtId="0" fontId="45" fillId="3" borderId="44" xfId="11" applyNumberFormat="1" applyFont="1" applyFill="1" applyBorder="1" applyAlignment="1">
      <alignment horizontal="right"/>
    </xf>
    <xf numFmtId="0" fontId="45" fillId="3" borderId="45" xfId="11" applyNumberFormat="1" applyFont="1" applyFill="1" applyBorder="1" applyAlignment="1">
      <alignment horizontal="left"/>
    </xf>
    <xf numFmtId="0" fontId="45" fillId="3" borderId="9" xfId="11" applyNumberFormat="1" applyFont="1" applyFill="1" applyBorder="1" applyAlignment="1">
      <alignment horizontal="right"/>
    </xf>
    <xf numFmtId="0" fontId="45" fillId="3" borderId="46" xfId="11" applyNumberFormat="1" applyFont="1" applyFill="1" applyBorder="1" applyAlignment="1">
      <alignment horizontal="right"/>
    </xf>
    <xf numFmtId="186" fontId="2" fillId="0" borderId="0" xfId="1" applyNumberFormat="1" applyFont="1" applyBorder="1">
      <alignment vertical="center"/>
    </xf>
    <xf numFmtId="186" fontId="7" fillId="0" borderId="0" xfId="0" applyNumberFormat="1" applyFont="1">
      <alignment vertical="center"/>
    </xf>
    <xf numFmtId="186" fontId="2" fillId="5" borderId="0" xfId="1" applyNumberFormat="1" applyFont="1" applyFill="1" applyBorder="1">
      <alignment vertical="center"/>
    </xf>
    <xf numFmtId="41" fontId="2" fillId="0" borderId="0" xfId="1" applyFont="1" applyBorder="1">
      <alignment vertical="center"/>
    </xf>
    <xf numFmtId="0" fontId="7" fillId="0" borderId="5" xfId="0" applyFont="1" applyBorder="1">
      <alignment vertical="center"/>
    </xf>
    <xf numFmtId="186" fontId="2" fillId="0" borderId="6" xfId="1" applyNumberFormat="1" applyFont="1" applyBorder="1">
      <alignment vertical="center"/>
    </xf>
    <xf numFmtId="186" fontId="2" fillId="0" borderId="7" xfId="1" applyNumberFormat="1" applyFont="1" applyBorder="1">
      <alignment vertical="center"/>
    </xf>
    <xf numFmtId="0" fontId="7" fillId="0" borderId="14" xfId="0" applyFont="1" applyBorder="1">
      <alignment vertical="center"/>
    </xf>
    <xf numFmtId="0" fontId="7" fillId="0" borderId="8" xfId="0" applyFont="1" applyBorder="1">
      <alignment vertical="center"/>
    </xf>
    <xf numFmtId="0" fontId="12" fillId="0" borderId="5" xfId="0" applyFont="1" applyBorder="1">
      <alignment vertical="center"/>
    </xf>
    <xf numFmtId="0" fontId="2" fillId="0" borderId="14" xfId="0" applyFont="1" applyBorder="1" applyAlignment="1">
      <alignment horizontal="left" vertical="center" indent="1"/>
    </xf>
    <xf numFmtId="0" fontId="12" fillId="0" borderId="14" xfId="0" applyFont="1" applyBorder="1">
      <alignment vertical="center"/>
    </xf>
    <xf numFmtId="0" fontId="2" fillId="0" borderId="8" xfId="0" applyFont="1" applyBorder="1" applyAlignment="1">
      <alignment horizontal="left" vertical="center" indent="1"/>
    </xf>
    <xf numFmtId="187" fontId="10" fillId="3" borderId="6" xfId="3" applyNumberFormat="1" applyFont="1" applyFill="1" applyBorder="1" applyAlignment="1">
      <alignment horizontal="right"/>
    </xf>
    <xf numFmtId="187" fontId="10" fillId="3" borderId="7" xfId="3" applyNumberFormat="1" applyFont="1" applyFill="1" applyBorder="1" applyAlignment="1">
      <alignment horizontal="right"/>
    </xf>
    <xf numFmtId="187" fontId="18" fillId="3" borderId="0" xfId="3" applyNumberFormat="1" applyFont="1" applyFill="1" applyBorder="1" applyAlignment="1">
      <alignment horizontal="right"/>
    </xf>
    <xf numFmtId="187" fontId="18" fillId="3" borderId="15" xfId="3" applyNumberFormat="1" applyFont="1" applyFill="1" applyBorder="1" applyAlignment="1">
      <alignment horizontal="right"/>
    </xf>
    <xf numFmtId="187" fontId="10" fillId="3" borderId="0" xfId="3" applyNumberFormat="1" applyFont="1" applyFill="1" applyBorder="1" applyAlignment="1">
      <alignment horizontal="right"/>
    </xf>
    <xf numFmtId="187" fontId="10" fillId="3" borderId="15" xfId="3" applyNumberFormat="1" applyFont="1" applyFill="1" applyBorder="1" applyAlignment="1">
      <alignment horizontal="right"/>
    </xf>
    <xf numFmtId="187" fontId="18" fillId="3" borderId="9" xfId="3" applyNumberFormat="1" applyFont="1" applyFill="1" applyBorder="1" applyAlignment="1">
      <alignment horizontal="right"/>
    </xf>
    <xf numFmtId="187" fontId="18" fillId="3" borderId="10" xfId="3" applyNumberFormat="1" applyFont="1" applyFill="1" applyBorder="1" applyAlignment="1">
      <alignment horizontal="right"/>
    </xf>
    <xf numFmtId="187" fontId="12" fillId="0" borderId="12" xfId="0" applyNumberFormat="1" applyFont="1" applyBorder="1">
      <alignment vertical="center"/>
    </xf>
    <xf numFmtId="187" fontId="2" fillId="0" borderId="0" xfId="0" applyNumberFormat="1" applyFont="1">
      <alignment vertical="center"/>
    </xf>
    <xf numFmtId="177" fontId="10" fillId="3" borderId="0" xfId="3" applyNumberFormat="1" applyFont="1" applyFill="1" applyBorder="1" applyAlignment="1">
      <alignment horizontal="right"/>
    </xf>
    <xf numFmtId="177" fontId="10" fillId="3" borderId="6" xfId="3" applyNumberFormat="1" applyFont="1" applyFill="1" applyBorder="1" applyAlignment="1">
      <alignment horizontal="right"/>
    </xf>
    <xf numFmtId="177" fontId="10" fillId="3" borderId="7" xfId="3" applyNumberFormat="1" applyFont="1" applyFill="1" applyBorder="1" applyAlignment="1">
      <alignment horizontal="right"/>
    </xf>
    <xf numFmtId="177" fontId="18" fillId="3" borderId="15" xfId="3" applyNumberFormat="1" applyFont="1" applyFill="1" applyBorder="1" applyAlignment="1">
      <alignment horizontal="right"/>
    </xf>
    <xf numFmtId="177" fontId="10" fillId="3" borderId="15" xfId="3" applyNumberFormat="1" applyFont="1" applyFill="1" applyBorder="1" applyAlignment="1">
      <alignment horizontal="right"/>
    </xf>
    <xf numFmtId="177" fontId="18" fillId="3" borderId="10" xfId="3" applyNumberFormat="1" applyFont="1" applyFill="1" applyBorder="1" applyAlignment="1">
      <alignment horizontal="right"/>
    </xf>
    <xf numFmtId="187" fontId="12" fillId="0" borderId="13" xfId="0" applyNumberFormat="1" applyFont="1" applyBorder="1">
      <alignment vertical="center"/>
    </xf>
    <xf numFmtId="0" fontId="46" fillId="0" borderId="20" xfId="0" applyFont="1" applyBorder="1">
      <alignment vertical="center"/>
    </xf>
    <xf numFmtId="178" fontId="46" fillId="0" borderId="1" xfId="2" applyNumberFormat="1" applyFont="1" applyBorder="1">
      <alignment vertical="center"/>
    </xf>
    <xf numFmtId="178" fontId="46" fillId="0" borderId="21" xfId="2" applyNumberFormat="1" applyFont="1" applyBorder="1">
      <alignment vertical="center"/>
    </xf>
    <xf numFmtId="0" fontId="12" fillId="0" borderId="2" xfId="0" applyFont="1" applyBorder="1">
      <alignment vertical="center"/>
    </xf>
    <xf numFmtId="187" fontId="10" fillId="3" borderId="3" xfId="3" applyNumberFormat="1" applyFont="1" applyFill="1" applyBorder="1" applyAlignment="1">
      <alignment horizontal="right"/>
    </xf>
    <xf numFmtId="187" fontId="10" fillId="3" borderId="4" xfId="3" applyNumberFormat="1" applyFont="1" applyFill="1" applyBorder="1" applyAlignment="1">
      <alignment horizontal="right"/>
    </xf>
    <xf numFmtId="0" fontId="7" fillId="0" borderId="14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187" fontId="7" fillId="0" borderId="6" xfId="0" applyNumberFormat="1" applyFont="1" applyBorder="1">
      <alignment vertical="center"/>
    </xf>
    <xf numFmtId="187" fontId="7" fillId="0" borderId="7" xfId="0" applyNumberFormat="1" applyFont="1" applyBorder="1">
      <alignment vertical="center"/>
    </xf>
    <xf numFmtId="178" fontId="7" fillId="0" borderId="9" xfId="2" applyNumberFormat="1" applyFont="1" applyBorder="1">
      <alignment vertical="center"/>
    </xf>
    <xf numFmtId="178" fontId="7" fillId="0" borderId="10" xfId="2" applyNumberFormat="1" applyFont="1" applyBorder="1">
      <alignment vertical="center"/>
    </xf>
    <xf numFmtId="0" fontId="7" fillId="0" borderId="0" xfId="0" applyFont="1" applyAlignment="1">
      <alignment horizontal="left" vertical="center"/>
    </xf>
    <xf numFmtId="185" fontId="7" fillId="0" borderId="0" xfId="1" applyNumberFormat="1" applyFont="1" applyBorder="1">
      <alignment vertical="center"/>
    </xf>
    <xf numFmtId="0" fontId="7" fillId="0" borderId="0" xfId="0" applyFont="1" applyBorder="1">
      <alignment vertical="center"/>
    </xf>
    <xf numFmtId="41" fontId="7" fillId="0" borderId="0" xfId="1" applyFont="1" applyBorder="1">
      <alignment vertical="center"/>
    </xf>
    <xf numFmtId="0" fontId="2" fillId="0" borderId="47" xfId="0" applyFont="1" applyBorder="1">
      <alignment vertical="center"/>
    </xf>
    <xf numFmtId="185" fontId="7" fillId="0" borderId="48" xfId="1" applyNumberFormat="1" applyFont="1" applyBorder="1">
      <alignment vertical="center"/>
    </xf>
    <xf numFmtId="186" fontId="2" fillId="0" borderId="48" xfId="1" applyNumberFormat="1" applyFont="1" applyBorder="1">
      <alignment vertical="center"/>
    </xf>
    <xf numFmtId="41" fontId="7" fillId="0" borderId="48" xfId="1" applyFont="1" applyBorder="1">
      <alignment vertical="center"/>
    </xf>
    <xf numFmtId="0" fontId="2" fillId="0" borderId="48" xfId="0" applyFont="1" applyBorder="1">
      <alignment vertical="center"/>
    </xf>
    <xf numFmtId="0" fontId="7" fillId="0" borderId="48" xfId="0" applyFont="1" applyBorder="1">
      <alignment vertical="center"/>
    </xf>
    <xf numFmtId="41" fontId="7" fillId="0" borderId="49" xfId="1" applyFont="1" applyBorder="1">
      <alignment vertical="center"/>
    </xf>
    <xf numFmtId="0" fontId="2" fillId="0" borderId="50" xfId="0" applyFont="1" applyBorder="1">
      <alignment vertical="center"/>
    </xf>
    <xf numFmtId="41" fontId="7" fillId="0" borderId="51" xfId="1" applyFont="1" applyBorder="1">
      <alignment vertical="center"/>
    </xf>
    <xf numFmtId="0" fontId="7" fillId="0" borderId="50" xfId="0" applyFont="1" applyBorder="1">
      <alignment vertical="center"/>
    </xf>
    <xf numFmtId="0" fontId="2" fillId="0" borderId="52" xfId="0" applyFont="1" applyBorder="1">
      <alignment vertical="center"/>
    </xf>
    <xf numFmtId="185" fontId="7" fillId="0" borderId="53" xfId="1" applyNumberFormat="1" applyFont="1" applyBorder="1">
      <alignment vertical="center"/>
    </xf>
    <xf numFmtId="186" fontId="2" fillId="0" borderId="53" xfId="1" applyNumberFormat="1" applyFont="1" applyBorder="1">
      <alignment vertical="center"/>
    </xf>
    <xf numFmtId="41" fontId="7" fillId="0" borderId="53" xfId="1" applyFont="1" applyBorder="1">
      <alignment vertical="center"/>
    </xf>
    <xf numFmtId="0" fontId="7" fillId="0" borderId="53" xfId="0" applyFont="1" applyBorder="1">
      <alignment vertical="center"/>
    </xf>
    <xf numFmtId="0" fontId="2" fillId="0" borderId="53" xfId="0" applyFont="1" applyBorder="1">
      <alignment vertical="center"/>
    </xf>
    <xf numFmtId="41" fontId="7" fillId="0" borderId="54" xfId="1" applyFont="1" applyBorder="1">
      <alignment vertical="center"/>
    </xf>
    <xf numFmtId="185" fontId="7" fillId="5" borderId="0" xfId="1" applyNumberFormat="1" applyFont="1" applyFill="1" applyBorder="1">
      <alignment vertical="center"/>
    </xf>
    <xf numFmtId="41" fontId="7" fillId="5" borderId="0" xfId="1" applyFont="1" applyFill="1" applyBorder="1">
      <alignment vertical="center"/>
    </xf>
    <xf numFmtId="0" fontId="2" fillId="5" borderId="0" xfId="0" applyFont="1" applyFill="1" applyBorder="1">
      <alignment vertical="center"/>
    </xf>
    <xf numFmtId="0" fontId="2" fillId="5" borderId="50" xfId="0" applyFont="1" applyFill="1" applyBorder="1">
      <alignment vertical="center"/>
    </xf>
    <xf numFmtId="41" fontId="7" fillId="5" borderId="51" xfId="1" applyFont="1" applyFill="1" applyBorder="1">
      <alignment vertical="center"/>
    </xf>
    <xf numFmtId="186" fontId="2" fillId="0" borderId="0" xfId="0" applyNumberFormat="1" applyFont="1" applyBorder="1">
      <alignment vertical="center"/>
    </xf>
    <xf numFmtId="186" fontId="2" fillId="0" borderId="0" xfId="0" applyNumberFormat="1" applyFont="1">
      <alignment vertical="center"/>
    </xf>
    <xf numFmtId="186" fontId="12" fillId="0" borderId="6" xfId="0" applyNumberFormat="1" applyFont="1" applyBorder="1">
      <alignment vertical="center"/>
    </xf>
    <xf numFmtId="186" fontId="12" fillId="0" borderId="7" xfId="0" applyNumberFormat="1" applyFont="1" applyBorder="1">
      <alignment vertical="center"/>
    </xf>
    <xf numFmtId="186" fontId="2" fillId="0" borderId="15" xfId="0" applyNumberFormat="1" applyFont="1" applyBorder="1">
      <alignment vertical="center"/>
    </xf>
    <xf numFmtId="186" fontId="12" fillId="0" borderId="0" xfId="0" applyNumberFormat="1" applyFont="1" applyBorder="1">
      <alignment vertical="center"/>
    </xf>
    <xf numFmtId="186" fontId="12" fillId="0" borderId="15" xfId="0" applyNumberFormat="1" applyFont="1" applyBorder="1">
      <alignment vertical="center"/>
    </xf>
    <xf numFmtId="186" fontId="2" fillId="0" borderId="9" xfId="0" applyNumberFormat="1" applyFont="1" applyBorder="1">
      <alignment vertical="center"/>
    </xf>
    <xf numFmtId="186" fontId="2" fillId="0" borderId="10" xfId="0" applyNumberFormat="1" applyFont="1" applyBorder="1">
      <alignment vertical="center"/>
    </xf>
    <xf numFmtId="186" fontId="12" fillId="0" borderId="12" xfId="0" applyNumberFormat="1" applyFont="1" applyBorder="1">
      <alignment vertical="center"/>
    </xf>
    <xf numFmtId="186" fontId="12" fillId="0" borderId="13" xfId="0" applyNumberFormat="1" applyFont="1" applyBorder="1">
      <alignment vertical="center"/>
    </xf>
    <xf numFmtId="0" fontId="14" fillId="0" borderId="0" xfId="4" quotePrefix="1" applyFo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5" borderId="14" xfId="0" applyFont="1" applyFill="1" applyBorder="1">
      <alignment vertical="center"/>
    </xf>
    <xf numFmtId="178" fontId="2" fillId="5" borderId="15" xfId="2" applyNumberFormat="1" applyFont="1" applyFill="1" applyBorder="1">
      <alignment vertical="center"/>
    </xf>
    <xf numFmtId="0" fontId="2" fillId="5" borderId="5" xfId="0" applyFont="1" applyFill="1" applyBorder="1">
      <alignment vertical="center"/>
    </xf>
    <xf numFmtId="178" fontId="2" fillId="5" borderId="6" xfId="2" applyNumberFormat="1" applyFont="1" applyFill="1" applyBorder="1">
      <alignment vertical="center"/>
    </xf>
    <xf numFmtId="178" fontId="2" fillId="5" borderId="7" xfId="2" applyNumberFormat="1" applyFont="1" applyFill="1" applyBorder="1">
      <alignment vertical="center"/>
    </xf>
    <xf numFmtId="0" fontId="2" fillId="0" borderId="6" xfId="0" applyFont="1" applyBorder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0" fontId="2" fillId="0" borderId="9" xfId="0" applyFont="1" applyBorder="1">
      <alignment vertical="center"/>
    </xf>
    <xf numFmtId="176" fontId="2" fillId="0" borderId="9" xfId="0" applyNumberFormat="1" applyFont="1" applyBorder="1">
      <alignment vertical="center"/>
    </xf>
    <xf numFmtId="176" fontId="2" fillId="0" borderId="10" xfId="0" applyNumberFormat="1" applyFont="1" applyBorder="1">
      <alignment vertical="center"/>
    </xf>
    <xf numFmtId="176" fontId="18" fillId="5" borderId="6" xfId="3" applyNumberFormat="1" applyFont="1" applyFill="1" applyBorder="1" applyAlignment="1">
      <alignment horizontal="right"/>
    </xf>
    <xf numFmtId="176" fontId="18" fillId="5" borderId="7" xfId="3" applyNumberFormat="1" applyFont="1" applyFill="1" applyBorder="1" applyAlignment="1">
      <alignment horizontal="right"/>
    </xf>
    <xf numFmtId="0" fontId="2" fillId="5" borderId="8" xfId="0" applyFont="1" applyFill="1" applyBorder="1">
      <alignment vertical="center"/>
    </xf>
    <xf numFmtId="176" fontId="18" fillId="5" borderId="9" xfId="3" applyNumberFormat="1" applyFont="1" applyFill="1" applyBorder="1" applyAlignment="1">
      <alignment horizontal="right"/>
    </xf>
    <xf numFmtId="176" fontId="18" fillId="5" borderId="10" xfId="3" applyNumberFormat="1" applyFont="1" applyFill="1" applyBorder="1" applyAlignment="1">
      <alignment horizontal="right"/>
    </xf>
    <xf numFmtId="9" fontId="2" fillId="0" borderId="0" xfId="2" applyFont="1">
      <alignment vertical="center"/>
    </xf>
    <xf numFmtId="177" fontId="2" fillId="8" borderId="2" xfId="0" applyNumberFormat="1" applyFont="1" applyFill="1" applyBorder="1">
      <alignment vertical="center"/>
    </xf>
    <xf numFmtId="177" fontId="2" fillId="8" borderId="3" xfId="0" applyNumberFormat="1" applyFont="1" applyFill="1" applyBorder="1">
      <alignment vertical="center"/>
    </xf>
    <xf numFmtId="177" fontId="2" fillId="8" borderId="4" xfId="0" applyNumberFormat="1" applyFont="1" applyFill="1" applyBorder="1">
      <alignment vertical="center"/>
    </xf>
    <xf numFmtId="177" fontId="2" fillId="0" borderId="55" xfId="0" applyNumberFormat="1" applyFont="1" applyBorder="1">
      <alignment vertical="center"/>
    </xf>
    <xf numFmtId="177" fontId="2" fillId="0" borderId="56" xfId="0" applyNumberFormat="1" applyFont="1" applyBorder="1">
      <alignment vertical="center"/>
    </xf>
    <xf numFmtId="177" fontId="2" fillId="0" borderId="57" xfId="0" applyNumberFormat="1" applyFont="1" applyBorder="1">
      <alignment vertical="center"/>
    </xf>
    <xf numFmtId="177" fontId="2" fillId="0" borderId="58" xfId="0" applyNumberFormat="1" applyFont="1" applyBorder="1">
      <alignment vertical="center"/>
    </xf>
    <xf numFmtId="177" fontId="2" fillId="0" borderId="59" xfId="0" applyNumberFormat="1" applyFont="1" applyBorder="1">
      <alignment vertical="center"/>
    </xf>
    <xf numFmtId="177" fontId="2" fillId="0" borderId="60" xfId="0" applyNumberFormat="1" applyFont="1" applyBorder="1">
      <alignment vertical="center"/>
    </xf>
    <xf numFmtId="177" fontId="2" fillId="0" borderId="61" xfId="0" applyNumberFormat="1" applyFont="1" applyBorder="1">
      <alignment vertical="center"/>
    </xf>
    <xf numFmtId="177" fontId="2" fillId="0" borderId="62" xfId="0" applyNumberFormat="1" applyFont="1" applyBorder="1">
      <alignment vertical="center"/>
    </xf>
    <xf numFmtId="187" fontId="18" fillId="5" borderId="0" xfId="3" applyNumberFormat="1" applyFont="1" applyFill="1" applyBorder="1" applyAlignment="1">
      <alignment horizontal="right"/>
    </xf>
    <xf numFmtId="187" fontId="18" fillId="5" borderId="15" xfId="3" applyNumberFormat="1" applyFont="1" applyFill="1" applyBorder="1" applyAlignment="1">
      <alignment horizontal="right"/>
    </xf>
    <xf numFmtId="0" fontId="2" fillId="5" borderId="14" xfId="0" applyFont="1" applyFill="1" applyBorder="1" applyAlignment="1">
      <alignment horizontal="left" vertical="center" indent="1"/>
    </xf>
    <xf numFmtId="177" fontId="18" fillId="5" borderId="0" xfId="3" applyNumberFormat="1" applyFont="1" applyFill="1" applyBorder="1" applyAlignment="1">
      <alignment horizontal="right"/>
    </xf>
    <xf numFmtId="177" fontId="18" fillId="5" borderId="15" xfId="3" applyNumberFormat="1" applyFont="1" applyFill="1" applyBorder="1" applyAlignment="1">
      <alignment horizontal="right"/>
    </xf>
    <xf numFmtId="0" fontId="7" fillId="5" borderId="14" xfId="0" applyFont="1" applyFill="1" applyBorder="1" applyAlignment="1">
      <alignment horizontal="left" vertical="center" indent="1"/>
    </xf>
    <xf numFmtId="0" fontId="38" fillId="0" borderId="0" xfId="8" applyNumberFormat="1" applyFont="1" applyFill="1" applyAlignment="1" applyProtection="1">
      <alignment horizontal="left" vertical="center"/>
    </xf>
    <xf numFmtId="0" fontId="39" fillId="0" borderId="0" xfId="8" applyNumberFormat="1" applyFont="1" applyFill="1" applyAlignment="1" applyProtection="1">
      <alignment horizontal="left" vertical="center"/>
    </xf>
    <xf numFmtId="177" fontId="2" fillId="5" borderId="0" xfId="0" applyNumberFormat="1" applyFont="1" applyFill="1">
      <alignment vertical="center"/>
    </xf>
    <xf numFmtId="178" fontId="29" fillId="0" borderId="0" xfId="2" applyNumberFormat="1" applyFont="1">
      <alignment vertical="center"/>
    </xf>
    <xf numFmtId="0" fontId="2" fillId="0" borderId="0" xfId="0" applyFont="1" applyBorder="1" applyAlignment="1">
      <alignment horizontal="left" vertical="center" indent="1"/>
    </xf>
    <xf numFmtId="176" fontId="7" fillId="10" borderId="31" xfId="6" applyNumberFormat="1" applyFont="1" applyFill="1" applyBorder="1">
      <alignment vertical="center"/>
    </xf>
    <xf numFmtId="176" fontId="7" fillId="10" borderId="31" xfId="7" applyNumberFormat="1" applyFont="1" applyFill="1" applyBorder="1">
      <alignment vertical="center"/>
    </xf>
    <xf numFmtId="176" fontId="21" fillId="6" borderId="16" xfId="6" applyNumberFormat="1" applyFont="1" applyFill="1" applyBorder="1" applyAlignment="1">
      <alignment horizontal="center" vertical="center"/>
    </xf>
    <xf numFmtId="0" fontId="39" fillId="0" borderId="0" xfId="8" applyFont="1" applyFill="1" applyAlignment="1" applyProtection="1">
      <alignment horizontal="left" vertical="center"/>
    </xf>
    <xf numFmtId="0" fontId="35" fillId="0" borderId="0" xfId="8" applyNumberFormat="1" applyFont="1" applyFill="1" applyAlignment="1" applyProtection="1">
      <alignment horizontal="center" vertical="center"/>
    </xf>
    <xf numFmtId="0" fontId="17" fillId="0" borderId="20" xfId="9" applyNumberFormat="1" applyFont="1" applyBorder="1" applyAlignment="1">
      <alignment horizontal="center" vertical="center"/>
    </xf>
    <xf numFmtId="0" fontId="17" fillId="0" borderId="21" xfId="9" applyNumberFormat="1" applyFont="1" applyBorder="1" applyAlignment="1">
      <alignment horizontal="center" vertical="center"/>
    </xf>
    <xf numFmtId="41" fontId="18" fillId="3" borderId="6" xfId="1" applyFont="1" applyFill="1" applyBorder="1" applyAlignment="1">
      <alignment horizontal="right"/>
    </xf>
    <xf numFmtId="41" fontId="18" fillId="3" borderId="7" xfId="1" applyFont="1" applyFill="1" applyBorder="1" applyAlignment="1">
      <alignment horizontal="right"/>
    </xf>
    <xf numFmtId="41" fontId="18" fillId="3" borderId="0" xfId="1" applyFont="1" applyFill="1" applyBorder="1" applyAlignment="1">
      <alignment horizontal="right"/>
    </xf>
    <xf numFmtId="41" fontId="18" fillId="3" borderId="15" xfId="1" applyFont="1" applyFill="1" applyBorder="1" applyAlignment="1">
      <alignment horizontal="right"/>
    </xf>
    <xf numFmtId="41" fontId="18" fillId="3" borderId="9" xfId="1" applyFont="1" applyFill="1" applyBorder="1" applyAlignment="1">
      <alignment horizontal="right"/>
    </xf>
    <xf numFmtId="41" fontId="18" fillId="3" borderId="10" xfId="1" applyFont="1" applyFill="1" applyBorder="1" applyAlignment="1">
      <alignment horizontal="right"/>
    </xf>
    <xf numFmtId="186" fontId="2" fillId="0" borderId="53" xfId="0" applyNumberFormat="1" applyFont="1" applyBorder="1">
      <alignment vertical="center"/>
    </xf>
    <xf numFmtId="41" fontId="2" fillId="0" borderId="48" xfId="1" applyFont="1" applyBorder="1">
      <alignment vertical="center"/>
    </xf>
    <xf numFmtId="41" fontId="2" fillId="0" borderId="49" xfId="1" applyFont="1" applyBorder="1">
      <alignment vertical="center"/>
    </xf>
    <xf numFmtId="41" fontId="2" fillId="0" borderId="51" xfId="1" applyFont="1" applyBorder="1">
      <alignment vertical="center"/>
    </xf>
    <xf numFmtId="41" fontId="2" fillId="0" borderId="54" xfId="1" applyFont="1" applyBorder="1">
      <alignment vertical="center"/>
    </xf>
    <xf numFmtId="41" fontId="2" fillId="0" borderId="53" xfId="1" applyFont="1" applyBorder="1">
      <alignment vertical="center"/>
    </xf>
    <xf numFmtId="9" fontId="47" fillId="3" borderId="12" xfId="2" applyNumberFormat="1" applyFont="1" applyFill="1" applyBorder="1" applyAlignment="1">
      <alignment horizontal="right"/>
    </xf>
    <xf numFmtId="9" fontId="47" fillId="3" borderId="13" xfId="2" applyNumberFormat="1" applyFont="1" applyFill="1" applyBorder="1" applyAlignment="1">
      <alignment horizontal="right"/>
    </xf>
    <xf numFmtId="177" fontId="12" fillId="0" borderId="2" xfId="0" applyNumberFormat="1" applyFont="1" applyBorder="1">
      <alignment vertical="center"/>
    </xf>
    <xf numFmtId="177" fontId="12" fillId="0" borderId="3" xfId="0" applyNumberFormat="1" applyFont="1" applyBorder="1">
      <alignment vertical="center"/>
    </xf>
    <xf numFmtId="177" fontId="12" fillId="0" borderId="4" xfId="0" applyNumberFormat="1" applyFont="1" applyBorder="1">
      <alignment vertical="center"/>
    </xf>
    <xf numFmtId="176" fontId="21" fillId="6" borderId="16" xfId="6" applyNumberFormat="1" applyFont="1" applyFill="1" applyBorder="1" applyAlignment="1">
      <alignment horizontal="center" vertical="center"/>
    </xf>
    <xf numFmtId="182" fontId="7" fillId="0" borderId="0" xfId="9" applyNumberFormat="1" applyFont="1" applyBorder="1" applyAlignment="1">
      <alignment horizontal="center" vertical="center"/>
    </xf>
    <xf numFmtId="0" fontId="42" fillId="0" borderId="0" xfId="8" applyFont="1" applyFill="1" applyAlignment="1" applyProtection="1">
      <alignment horizontal="left" vertical="center"/>
    </xf>
    <xf numFmtId="0" fontId="39" fillId="0" borderId="0" xfId="8" applyFont="1" applyFill="1" applyAlignment="1" applyProtection="1">
      <alignment horizontal="left" vertical="center"/>
    </xf>
    <xf numFmtId="0" fontId="37" fillId="0" borderId="39" xfId="9" applyNumberFormat="1" applyFont="1" applyBorder="1" applyAlignment="1">
      <alignment horizontal="center" vertical="center"/>
    </xf>
    <xf numFmtId="0" fontId="37" fillId="0" borderId="38" xfId="9" applyNumberFormat="1" applyFont="1" applyBorder="1" applyAlignment="1">
      <alignment horizontal="center" vertical="center"/>
    </xf>
    <xf numFmtId="0" fontId="37" fillId="0" borderId="37" xfId="9" applyNumberFormat="1" applyFont="1" applyBorder="1" applyAlignment="1">
      <alignment horizontal="center" vertical="center"/>
    </xf>
    <xf numFmtId="0" fontId="17" fillId="0" borderId="0" xfId="9" applyNumberFormat="1" applyFont="1" applyBorder="1" applyAlignment="1">
      <alignment horizontal="center" vertical="center"/>
    </xf>
    <xf numFmtId="0" fontId="34" fillId="0" borderId="0" xfId="8" applyNumberFormat="1" applyFont="1" applyFill="1" applyAlignment="1" applyProtection="1">
      <alignment horizontal="center" vertical="center"/>
    </xf>
    <xf numFmtId="0" fontId="35" fillId="0" borderId="0" xfId="8" applyNumberFormat="1" applyFont="1" applyFill="1" applyAlignment="1" applyProtection="1">
      <alignment horizontal="center" vertical="center"/>
    </xf>
    <xf numFmtId="0" fontId="17" fillId="0" borderId="20" xfId="9" applyNumberFormat="1" applyFont="1" applyBorder="1" applyAlignment="1">
      <alignment horizontal="center" vertical="center"/>
    </xf>
    <xf numFmtId="0" fontId="17" fillId="0" borderId="1" xfId="9" applyNumberFormat="1" applyFont="1" applyBorder="1" applyAlignment="1">
      <alignment horizontal="center" vertical="center"/>
    </xf>
    <xf numFmtId="0" fontId="17" fillId="0" borderId="21" xfId="9" applyNumberFormat="1" applyFont="1" applyBorder="1" applyAlignment="1">
      <alignment horizontal="center" vertical="center"/>
    </xf>
  </cellXfs>
  <cellStyles count="12">
    <cellStyle name="백분율" xfId="2" builtinId="5"/>
    <cellStyle name="쉼표 [0]" xfId="1" builtinId="6"/>
    <cellStyle name="쉼표 [0] 2" xfId="7" xr:uid="{00000000-0005-0000-0000-000002000000}"/>
    <cellStyle name="표준" xfId="0" builtinId="0"/>
    <cellStyle name="표준 14" xfId="11" xr:uid="{00000000-0005-0000-0000-000004000000}"/>
    <cellStyle name="표준 18 2" xfId="5" xr:uid="{00000000-0005-0000-0000-000005000000}"/>
    <cellStyle name="표준 2" xfId="6" xr:uid="{00000000-0005-0000-0000-000006000000}"/>
    <cellStyle name="표준 3" xfId="9" xr:uid="{00000000-0005-0000-0000-000007000000}"/>
    <cellStyle name="표준 4 6" xfId="10" xr:uid="{00000000-0005-0000-0000-000008000000}"/>
    <cellStyle name="표준 9" xfId="3" xr:uid="{00000000-0005-0000-0000-000009000000}"/>
    <cellStyle name="표준_2002년결산" xfId="8" xr:uid="{00000000-0005-0000-0000-00000A000000}"/>
    <cellStyle name="하이퍼링크" xfId="4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09DAD"/>
      <rgbColor rgb="00BFDEE4"/>
      <rgbColor rgb="00AA5CAA"/>
      <rgbColor rgb="00E3C9E3"/>
      <rgbColor rgb="00BDB694"/>
      <rgbColor rgb="00E9E7DB"/>
      <rgbColor rgb="009BCA40"/>
      <rgbColor rgb="00DEEDBF"/>
      <rgbColor rgb="00007C92"/>
      <rgbColor rgb="008E258D"/>
      <rgbColor rgb="00A79E70"/>
      <rgbColor rgb="007AB800"/>
      <rgbColor rgb="0000338D"/>
      <rgbColor rgb="00C84E00"/>
      <rgbColor rgb="0098C6EA"/>
      <rgbColor rgb="0000338D"/>
      <rgbColor rgb="004066AA"/>
      <rgbColor rgb="00BFCCE3"/>
      <rgbColor rgb="00D67A40"/>
      <rgbColor rgb="00F1D3BF"/>
      <rgbColor rgb="00B2D4EF"/>
      <rgbColor rgb="00E5F1FA"/>
      <rgbColor rgb="00B6646B"/>
      <rgbColor rgb="00E7CBCE"/>
      <rgbColor rgb="003366FF"/>
      <rgbColor rgb="0033CCCC"/>
      <rgbColor rgb="0099CC00"/>
      <rgbColor rgb="00F5B36A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6E9EE"/>
      <rgbColor rgb="00333399"/>
      <rgbColor rgb="00333333"/>
    </indexedColors>
    <mruColors>
      <color rgb="FF409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1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8.xml"/><Relationship Id="rId138" Type="http://schemas.openxmlformats.org/officeDocument/2006/relationships/externalLink" Target="externalLinks/externalLink122.xml"/><Relationship Id="rId159" Type="http://schemas.openxmlformats.org/officeDocument/2006/relationships/externalLink" Target="externalLinks/externalLink143.xml"/><Relationship Id="rId170" Type="http://schemas.openxmlformats.org/officeDocument/2006/relationships/externalLink" Target="externalLinks/externalLink154.xml"/><Relationship Id="rId191" Type="http://schemas.openxmlformats.org/officeDocument/2006/relationships/externalLink" Target="externalLinks/externalLink175.xml"/><Relationship Id="rId107" Type="http://schemas.openxmlformats.org/officeDocument/2006/relationships/externalLink" Target="externalLinks/externalLink9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8.xml"/><Relationship Id="rId128" Type="http://schemas.openxmlformats.org/officeDocument/2006/relationships/externalLink" Target="externalLinks/externalLink112.xml"/><Relationship Id="rId149" Type="http://schemas.openxmlformats.org/officeDocument/2006/relationships/externalLink" Target="externalLinks/externalLink13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9.xml"/><Relationship Id="rId160" Type="http://schemas.openxmlformats.org/officeDocument/2006/relationships/externalLink" Target="externalLinks/externalLink144.xml"/><Relationship Id="rId181" Type="http://schemas.openxmlformats.org/officeDocument/2006/relationships/externalLink" Target="externalLinks/externalLink165.xml"/><Relationship Id="rId22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8.xml"/><Relationship Id="rId118" Type="http://schemas.openxmlformats.org/officeDocument/2006/relationships/externalLink" Target="externalLinks/externalLink102.xml"/><Relationship Id="rId139" Type="http://schemas.openxmlformats.org/officeDocument/2006/relationships/externalLink" Target="externalLinks/externalLink123.xml"/><Relationship Id="rId85" Type="http://schemas.openxmlformats.org/officeDocument/2006/relationships/externalLink" Target="externalLinks/externalLink69.xml"/><Relationship Id="rId150" Type="http://schemas.openxmlformats.org/officeDocument/2006/relationships/externalLink" Target="externalLinks/externalLink134.xml"/><Relationship Id="rId171" Type="http://schemas.openxmlformats.org/officeDocument/2006/relationships/externalLink" Target="externalLinks/externalLink155.xml"/><Relationship Id="rId192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7.xml"/><Relationship Id="rId108" Type="http://schemas.openxmlformats.org/officeDocument/2006/relationships/externalLink" Target="externalLinks/externalLink92.xml"/><Relationship Id="rId129" Type="http://schemas.openxmlformats.org/officeDocument/2006/relationships/externalLink" Target="externalLinks/externalLink113.xml"/><Relationship Id="rId54" Type="http://schemas.openxmlformats.org/officeDocument/2006/relationships/externalLink" Target="externalLinks/externalLink38.xml"/><Relationship Id="rId75" Type="http://schemas.openxmlformats.org/officeDocument/2006/relationships/externalLink" Target="externalLinks/externalLink59.xml"/><Relationship Id="rId96" Type="http://schemas.openxmlformats.org/officeDocument/2006/relationships/externalLink" Target="externalLinks/externalLink80.xml"/><Relationship Id="rId140" Type="http://schemas.openxmlformats.org/officeDocument/2006/relationships/externalLink" Target="externalLinks/externalLink124.xml"/><Relationship Id="rId161" Type="http://schemas.openxmlformats.org/officeDocument/2006/relationships/externalLink" Target="externalLinks/externalLink145.xml"/><Relationship Id="rId182" Type="http://schemas.openxmlformats.org/officeDocument/2006/relationships/externalLink" Target="externalLinks/externalLink166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7.xml"/><Relationship Id="rId119" Type="http://schemas.openxmlformats.org/officeDocument/2006/relationships/externalLink" Target="externalLinks/externalLink103.xml"/><Relationship Id="rId44" Type="http://schemas.openxmlformats.org/officeDocument/2006/relationships/externalLink" Target="externalLinks/externalLink28.xml"/><Relationship Id="rId65" Type="http://schemas.openxmlformats.org/officeDocument/2006/relationships/externalLink" Target="externalLinks/externalLink49.xml"/><Relationship Id="rId86" Type="http://schemas.openxmlformats.org/officeDocument/2006/relationships/externalLink" Target="externalLinks/externalLink70.xml"/><Relationship Id="rId130" Type="http://schemas.openxmlformats.org/officeDocument/2006/relationships/externalLink" Target="externalLinks/externalLink114.xml"/><Relationship Id="rId151" Type="http://schemas.openxmlformats.org/officeDocument/2006/relationships/externalLink" Target="externalLinks/externalLink135.xml"/><Relationship Id="rId172" Type="http://schemas.openxmlformats.org/officeDocument/2006/relationships/externalLink" Target="externalLinks/externalLink156.xml"/><Relationship Id="rId193" Type="http://schemas.openxmlformats.org/officeDocument/2006/relationships/styles" Target="styles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3.xml"/><Relationship Id="rId34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97" Type="http://schemas.openxmlformats.org/officeDocument/2006/relationships/externalLink" Target="externalLinks/externalLink81.xml"/><Relationship Id="rId120" Type="http://schemas.openxmlformats.org/officeDocument/2006/relationships/externalLink" Target="externalLinks/externalLink104.xml"/><Relationship Id="rId141" Type="http://schemas.openxmlformats.org/officeDocument/2006/relationships/externalLink" Target="externalLinks/externalLink12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92" Type="http://schemas.openxmlformats.org/officeDocument/2006/relationships/externalLink" Target="externalLinks/externalLink76.xml"/><Relationship Id="rId162" Type="http://schemas.openxmlformats.org/officeDocument/2006/relationships/externalLink" Target="externalLinks/externalLink146.xml"/><Relationship Id="rId183" Type="http://schemas.openxmlformats.org/officeDocument/2006/relationships/externalLink" Target="externalLinks/externalLink1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110" Type="http://schemas.openxmlformats.org/officeDocument/2006/relationships/externalLink" Target="externalLinks/externalLink94.xml"/><Relationship Id="rId115" Type="http://schemas.openxmlformats.org/officeDocument/2006/relationships/externalLink" Target="externalLinks/externalLink99.xml"/><Relationship Id="rId131" Type="http://schemas.openxmlformats.org/officeDocument/2006/relationships/externalLink" Target="externalLinks/externalLink115.xml"/><Relationship Id="rId136" Type="http://schemas.openxmlformats.org/officeDocument/2006/relationships/externalLink" Target="externalLinks/externalLink120.xml"/><Relationship Id="rId157" Type="http://schemas.openxmlformats.org/officeDocument/2006/relationships/externalLink" Target="externalLinks/externalLink141.xml"/><Relationship Id="rId178" Type="http://schemas.openxmlformats.org/officeDocument/2006/relationships/externalLink" Target="externalLinks/externalLink162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52" Type="http://schemas.openxmlformats.org/officeDocument/2006/relationships/externalLink" Target="externalLinks/externalLink136.xml"/><Relationship Id="rId173" Type="http://schemas.openxmlformats.org/officeDocument/2006/relationships/externalLink" Target="externalLinks/externalLink157.xml"/><Relationship Id="rId194" Type="http://schemas.openxmlformats.org/officeDocument/2006/relationships/sharedStrings" Target="sharedStrings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40.xml"/><Relationship Id="rId77" Type="http://schemas.openxmlformats.org/officeDocument/2006/relationships/externalLink" Target="externalLinks/externalLink61.xml"/><Relationship Id="rId100" Type="http://schemas.openxmlformats.org/officeDocument/2006/relationships/externalLink" Target="externalLinks/externalLink84.xml"/><Relationship Id="rId105" Type="http://schemas.openxmlformats.org/officeDocument/2006/relationships/externalLink" Target="externalLinks/externalLink89.xml"/><Relationship Id="rId126" Type="http://schemas.openxmlformats.org/officeDocument/2006/relationships/externalLink" Target="externalLinks/externalLink110.xml"/><Relationship Id="rId147" Type="http://schemas.openxmlformats.org/officeDocument/2006/relationships/externalLink" Target="externalLinks/externalLink131.xml"/><Relationship Id="rId168" Type="http://schemas.openxmlformats.org/officeDocument/2006/relationships/externalLink" Target="externalLinks/externalLink15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93" Type="http://schemas.openxmlformats.org/officeDocument/2006/relationships/externalLink" Target="externalLinks/externalLink77.xml"/><Relationship Id="rId98" Type="http://schemas.openxmlformats.org/officeDocument/2006/relationships/externalLink" Target="externalLinks/externalLink82.xml"/><Relationship Id="rId121" Type="http://schemas.openxmlformats.org/officeDocument/2006/relationships/externalLink" Target="externalLinks/externalLink105.xml"/><Relationship Id="rId142" Type="http://schemas.openxmlformats.org/officeDocument/2006/relationships/externalLink" Target="externalLinks/externalLink126.xml"/><Relationship Id="rId163" Type="http://schemas.openxmlformats.org/officeDocument/2006/relationships/externalLink" Target="externalLinks/externalLink147.xml"/><Relationship Id="rId184" Type="http://schemas.openxmlformats.org/officeDocument/2006/relationships/externalLink" Target="externalLinks/externalLink168.xml"/><Relationship Id="rId189" Type="http://schemas.openxmlformats.org/officeDocument/2006/relationships/externalLink" Target="externalLinks/externalLink173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9.xml"/><Relationship Id="rId46" Type="http://schemas.openxmlformats.org/officeDocument/2006/relationships/externalLink" Target="externalLinks/externalLink30.xml"/><Relationship Id="rId67" Type="http://schemas.openxmlformats.org/officeDocument/2006/relationships/externalLink" Target="externalLinks/externalLink51.xml"/><Relationship Id="rId116" Type="http://schemas.openxmlformats.org/officeDocument/2006/relationships/externalLink" Target="externalLinks/externalLink100.xml"/><Relationship Id="rId137" Type="http://schemas.openxmlformats.org/officeDocument/2006/relationships/externalLink" Target="externalLinks/externalLink121.xml"/><Relationship Id="rId158" Type="http://schemas.openxmlformats.org/officeDocument/2006/relationships/externalLink" Target="externalLinks/externalLink142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62" Type="http://schemas.openxmlformats.org/officeDocument/2006/relationships/externalLink" Target="externalLinks/externalLink46.xml"/><Relationship Id="rId83" Type="http://schemas.openxmlformats.org/officeDocument/2006/relationships/externalLink" Target="externalLinks/externalLink67.xml"/><Relationship Id="rId88" Type="http://schemas.openxmlformats.org/officeDocument/2006/relationships/externalLink" Target="externalLinks/externalLink72.xml"/><Relationship Id="rId111" Type="http://schemas.openxmlformats.org/officeDocument/2006/relationships/externalLink" Target="externalLinks/externalLink95.xml"/><Relationship Id="rId132" Type="http://schemas.openxmlformats.org/officeDocument/2006/relationships/externalLink" Target="externalLinks/externalLink116.xml"/><Relationship Id="rId153" Type="http://schemas.openxmlformats.org/officeDocument/2006/relationships/externalLink" Target="externalLinks/externalLink137.xml"/><Relationship Id="rId174" Type="http://schemas.openxmlformats.org/officeDocument/2006/relationships/externalLink" Target="externalLinks/externalLink158.xml"/><Relationship Id="rId179" Type="http://schemas.openxmlformats.org/officeDocument/2006/relationships/externalLink" Target="externalLinks/externalLink163.xml"/><Relationship Id="rId195" Type="http://schemas.openxmlformats.org/officeDocument/2006/relationships/calcChain" Target="calcChain.xml"/><Relationship Id="rId190" Type="http://schemas.openxmlformats.org/officeDocument/2006/relationships/externalLink" Target="externalLinks/externalLink174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20.xml"/><Relationship Id="rId57" Type="http://schemas.openxmlformats.org/officeDocument/2006/relationships/externalLink" Target="externalLinks/externalLink41.xml"/><Relationship Id="rId106" Type="http://schemas.openxmlformats.org/officeDocument/2006/relationships/externalLink" Target="externalLinks/externalLink90.xml"/><Relationship Id="rId127" Type="http://schemas.openxmlformats.org/officeDocument/2006/relationships/externalLink" Target="externalLinks/externalLink11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36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94" Type="http://schemas.openxmlformats.org/officeDocument/2006/relationships/externalLink" Target="externalLinks/externalLink78.xml"/><Relationship Id="rId99" Type="http://schemas.openxmlformats.org/officeDocument/2006/relationships/externalLink" Target="externalLinks/externalLink83.xml"/><Relationship Id="rId101" Type="http://schemas.openxmlformats.org/officeDocument/2006/relationships/externalLink" Target="externalLinks/externalLink85.xml"/><Relationship Id="rId122" Type="http://schemas.openxmlformats.org/officeDocument/2006/relationships/externalLink" Target="externalLinks/externalLink106.xml"/><Relationship Id="rId143" Type="http://schemas.openxmlformats.org/officeDocument/2006/relationships/externalLink" Target="externalLinks/externalLink127.xml"/><Relationship Id="rId148" Type="http://schemas.openxmlformats.org/officeDocument/2006/relationships/externalLink" Target="externalLinks/externalLink132.xml"/><Relationship Id="rId164" Type="http://schemas.openxmlformats.org/officeDocument/2006/relationships/externalLink" Target="externalLinks/externalLink148.xml"/><Relationship Id="rId169" Type="http://schemas.openxmlformats.org/officeDocument/2006/relationships/externalLink" Target="externalLinks/externalLink153.xml"/><Relationship Id="rId185" Type="http://schemas.openxmlformats.org/officeDocument/2006/relationships/externalLink" Target="externalLinks/externalLink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4.xml"/><Relationship Id="rId26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31.xml"/><Relationship Id="rId68" Type="http://schemas.openxmlformats.org/officeDocument/2006/relationships/externalLink" Target="externalLinks/externalLink52.xml"/><Relationship Id="rId89" Type="http://schemas.openxmlformats.org/officeDocument/2006/relationships/externalLink" Target="externalLinks/externalLink73.xml"/><Relationship Id="rId112" Type="http://schemas.openxmlformats.org/officeDocument/2006/relationships/externalLink" Target="externalLinks/externalLink96.xml"/><Relationship Id="rId133" Type="http://schemas.openxmlformats.org/officeDocument/2006/relationships/externalLink" Target="externalLinks/externalLink117.xml"/><Relationship Id="rId154" Type="http://schemas.openxmlformats.org/officeDocument/2006/relationships/externalLink" Target="externalLinks/externalLink138.xml"/><Relationship Id="rId175" Type="http://schemas.openxmlformats.org/officeDocument/2006/relationships/externalLink" Target="externalLinks/externalLink159.xml"/><Relationship Id="rId196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42.xml"/><Relationship Id="rId79" Type="http://schemas.openxmlformats.org/officeDocument/2006/relationships/externalLink" Target="externalLinks/externalLink63.xml"/><Relationship Id="rId102" Type="http://schemas.openxmlformats.org/officeDocument/2006/relationships/externalLink" Target="externalLinks/externalLink86.xml"/><Relationship Id="rId123" Type="http://schemas.openxmlformats.org/officeDocument/2006/relationships/externalLink" Target="externalLinks/externalLink107.xml"/><Relationship Id="rId144" Type="http://schemas.openxmlformats.org/officeDocument/2006/relationships/externalLink" Target="externalLinks/externalLink128.xml"/><Relationship Id="rId90" Type="http://schemas.openxmlformats.org/officeDocument/2006/relationships/externalLink" Target="externalLinks/externalLink74.xml"/><Relationship Id="rId165" Type="http://schemas.openxmlformats.org/officeDocument/2006/relationships/externalLink" Target="externalLinks/externalLink149.xml"/><Relationship Id="rId186" Type="http://schemas.openxmlformats.org/officeDocument/2006/relationships/externalLink" Target="externalLinks/externalLink170.xml"/><Relationship Id="rId27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32.xml"/><Relationship Id="rId69" Type="http://schemas.openxmlformats.org/officeDocument/2006/relationships/externalLink" Target="externalLinks/externalLink53.xml"/><Relationship Id="rId113" Type="http://schemas.openxmlformats.org/officeDocument/2006/relationships/externalLink" Target="externalLinks/externalLink97.xml"/><Relationship Id="rId134" Type="http://schemas.openxmlformats.org/officeDocument/2006/relationships/externalLink" Target="externalLinks/externalLink118.xml"/><Relationship Id="rId80" Type="http://schemas.openxmlformats.org/officeDocument/2006/relationships/externalLink" Target="externalLinks/externalLink64.xml"/><Relationship Id="rId155" Type="http://schemas.openxmlformats.org/officeDocument/2006/relationships/externalLink" Target="externalLinks/externalLink139.xml"/><Relationship Id="rId176" Type="http://schemas.openxmlformats.org/officeDocument/2006/relationships/externalLink" Target="externalLinks/externalLink160.xml"/><Relationship Id="rId197" Type="http://schemas.openxmlformats.org/officeDocument/2006/relationships/customXml" Target="../customXml/item2.xml"/><Relationship Id="rId17" Type="http://schemas.openxmlformats.org/officeDocument/2006/relationships/externalLink" Target="externalLinks/externalLink1.xml"/><Relationship Id="rId38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43.xml"/><Relationship Id="rId103" Type="http://schemas.openxmlformats.org/officeDocument/2006/relationships/externalLink" Target="externalLinks/externalLink87.xml"/><Relationship Id="rId124" Type="http://schemas.openxmlformats.org/officeDocument/2006/relationships/externalLink" Target="externalLinks/externalLink108.xml"/><Relationship Id="rId70" Type="http://schemas.openxmlformats.org/officeDocument/2006/relationships/externalLink" Target="externalLinks/externalLink54.xml"/><Relationship Id="rId91" Type="http://schemas.openxmlformats.org/officeDocument/2006/relationships/externalLink" Target="externalLinks/externalLink75.xml"/><Relationship Id="rId145" Type="http://schemas.openxmlformats.org/officeDocument/2006/relationships/externalLink" Target="externalLinks/externalLink129.xml"/><Relationship Id="rId166" Type="http://schemas.openxmlformats.org/officeDocument/2006/relationships/externalLink" Target="externalLinks/externalLink150.xml"/><Relationship Id="rId187" Type="http://schemas.openxmlformats.org/officeDocument/2006/relationships/externalLink" Target="externalLinks/externalLink171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33.xml"/><Relationship Id="rId114" Type="http://schemas.openxmlformats.org/officeDocument/2006/relationships/externalLink" Target="externalLinks/externalLink98.xml"/><Relationship Id="rId60" Type="http://schemas.openxmlformats.org/officeDocument/2006/relationships/externalLink" Target="externalLinks/externalLink44.xml"/><Relationship Id="rId81" Type="http://schemas.openxmlformats.org/officeDocument/2006/relationships/externalLink" Target="externalLinks/externalLink65.xml"/><Relationship Id="rId135" Type="http://schemas.openxmlformats.org/officeDocument/2006/relationships/externalLink" Target="externalLinks/externalLink119.xml"/><Relationship Id="rId156" Type="http://schemas.openxmlformats.org/officeDocument/2006/relationships/externalLink" Target="externalLinks/externalLink140.xml"/><Relationship Id="rId177" Type="http://schemas.openxmlformats.org/officeDocument/2006/relationships/externalLink" Target="externalLinks/externalLink161.xml"/><Relationship Id="rId198" Type="http://schemas.openxmlformats.org/officeDocument/2006/relationships/customXml" Target="../customXml/item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4.xml"/><Relationship Id="rId104" Type="http://schemas.openxmlformats.org/officeDocument/2006/relationships/externalLink" Target="externalLinks/externalLink88.xml"/><Relationship Id="rId125" Type="http://schemas.openxmlformats.org/officeDocument/2006/relationships/externalLink" Target="externalLinks/externalLink109.xml"/><Relationship Id="rId146" Type="http://schemas.openxmlformats.org/officeDocument/2006/relationships/externalLink" Target="externalLinks/externalLink130.xml"/><Relationship Id="rId167" Type="http://schemas.openxmlformats.org/officeDocument/2006/relationships/externalLink" Target="externalLinks/externalLink151.xml"/><Relationship Id="rId188" Type="http://schemas.openxmlformats.org/officeDocument/2006/relationships/externalLink" Target="externalLinks/externalLink1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거래처별 매출</a:t>
            </a:r>
            <a:endParaRPr lang="en-US"/>
          </a:p>
        </c:rich>
      </c:tx>
      <c:layout>
        <c:manualLayout>
          <c:xMode val="edge"/>
          <c:yMode val="edge"/>
          <c:x val="5.7142857142857143E-3"/>
          <c:y val="9.090909090909090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15950506186725"/>
          <c:y val="0.15212491052254831"/>
          <c:w val="0.72463802024746904"/>
          <c:h val="0.5653450250536864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Sales_02거래처별!$N$30</c:f>
              <c:strCache>
                <c:ptCount val="1"/>
                <c:pt idx="0">
                  <c:v>현대자동차 관련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Sales_02거래처별!$O$29:$R$29</c:f>
              <c:strCache>
                <c:ptCount val="4"/>
                <c:pt idx="0">
                  <c:v>2012년 12개월</c:v>
                </c:pt>
                <c:pt idx="1">
                  <c:v>2013년 12개월</c:v>
                </c:pt>
                <c:pt idx="2">
                  <c:v>2014년 12개월</c:v>
                </c:pt>
                <c:pt idx="3">
                  <c:v>2015년 6개월</c:v>
                </c:pt>
              </c:strCache>
            </c:strRef>
          </c:cat>
          <c:val>
            <c:numRef>
              <c:f>Sales_02거래처별!$O$30:$R$30</c:f>
              <c:numCache>
                <c:formatCode>#,##0,,;\(#,##0,,\);\-</c:formatCode>
                <c:ptCount val="4"/>
                <c:pt idx="0">
                  <c:v>226488492053</c:v>
                </c:pt>
                <c:pt idx="1">
                  <c:v>222456007150</c:v>
                </c:pt>
                <c:pt idx="2">
                  <c:v>233803514273</c:v>
                </c:pt>
                <c:pt idx="3">
                  <c:v>120412738599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8-4D12-B781-F295D493DDEC}"/>
            </c:ext>
          </c:extLst>
        </c:ser>
        <c:ser>
          <c:idx val="1"/>
          <c:order val="1"/>
          <c:tx>
            <c:strRef>
              <c:f>Sales_02거래처별!$N$31</c:f>
              <c:strCache>
                <c:ptCount val="1"/>
                <c:pt idx="0">
                  <c:v>기아자동차 관련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Sales_02거래처별!$O$29:$R$29</c:f>
              <c:strCache>
                <c:ptCount val="4"/>
                <c:pt idx="0">
                  <c:v>2012년 12개월</c:v>
                </c:pt>
                <c:pt idx="1">
                  <c:v>2013년 12개월</c:v>
                </c:pt>
                <c:pt idx="2">
                  <c:v>2014년 12개월</c:v>
                </c:pt>
                <c:pt idx="3">
                  <c:v>2015년 6개월</c:v>
                </c:pt>
              </c:strCache>
            </c:strRef>
          </c:cat>
          <c:val>
            <c:numRef>
              <c:f>Sales_02거래처별!$O$31:$R$31</c:f>
              <c:numCache>
                <c:formatCode>#,##0,,;\(#,##0,,\);\-</c:formatCode>
                <c:ptCount val="4"/>
                <c:pt idx="0">
                  <c:v>101397360511</c:v>
                </c:pt>
                <c:pt idx="1">
                  <c:v>106029502497</c:v>
                </c:pt>
                <c:pt idx="2">
                  <c:v>101560396568</c:v>
                </c:pt>
                <c:pt idx="3">
                  <c:v>57320939655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8-4D12-B781-F295D493DDEC}"/>
            </c:ext>
          </c:extLst>
        </c:ser>
        <c:ser>
          <c:idx val="2"/>
          <c:order val="2"/>
          <c:tx>
            <c:strRef>
              <c:f>Sales_02거래처별!$N$32</c:f>
              <c:strCache>
                <c:ptCount val="1"/>
                <c:pt idx="0">
                  <c:v>NISSAN 관련</c:v>
                </c:pt>
              </c:strCache>
            </c:strRef>
          </c:tx>
          <c:spPr>
            <a:solidFill>
              <a:srgbClr val="AA5CAA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Sales_02거래처별!$O$29:$R$29</c:f>
              <c:strCache>
                <c:ptCount val="4"/>
                <c:pt idx="0">
                  <c:v>2012년 12개월</c:v>
                </c:pt>
                <c:pt idx="1">
                  <c:v>2013년 12개월</c:v>
                </c:pt>
                <c:pt idx="2">
                  <c:v>2014년 12개월</c:v>
                </c:pt>
                <c:pt idx="3">
                  <c:v>2015년 6개월</c:v>
                </c:pt>
              </c:strCache>
            </c:strRef>
          </c:cat>
          <c:val>
            <c:numRef>
              <c:f>Sales_02거래처별!$O$32:$R$32</c:f>
              <c:numCache>
                <c:formatCode>#,##0,,;\(#,##0,,\);\-</c:formatCode>
                <c:ptCount val="4"/>
                <c:pt idx="0">
                  <c:v>25674509505</c:v>
                </c:pt>
                <c:pt idx="1">
                  <c:v>33050176061</c:v>
                </c:pt>
                <c:pt idx="2">
                  <c:v>35291477347</c:v>
                </c:pt>
                <c:pt idx="3">
                  <c:v>14856051259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8-4D12-B781-F295D493DDEC}"/>
            </c:ext>
          </c:extLst>
        </c:ser>
        <c:ser>
          <c:idx val="3"/>
          <c:order val="3"/>
          <c:tx>
            <c:strRef>
              <c:f>Sales_02거래처별!$N$33</c:f>
              <c:strCache>
                <c:ptCount val="1"/>
                <c:pt idx="0">
                  <c:v>지엠대우자동차 관련</c:v>
                </c:pt>
              </c:strCache>
            </c:strRef>
          </c:tx>
          <c:spPr>
            <a:solidFill>
              <a:srgbClr val="E3C9E3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Sales_02거래처별!$O$29:$R$29</c:f>
              <c:strCache>
                <c:ptCount val="4"/>
                <c:pt idx="0">
                  <c:v>2012년 12개월</c:v>
                </c:pt>
                <c:pt idx="1">
                  <c:v>2013년 12개월</c:v>
                </c:pt>
                <c:pt idx="2">
                  <c:v>2014년 12개월</c:v>
                </c:pt>
                <c:pt idx="3">
                  <c:v>2015년 6개월</c:v>
                </c:pt>
              </c:strCache>
            </c:strRef>
          </c:cat>
          <c:val>
            <c:numRef>
              <c:f>Sales_02거래처별!$O$33:$R$33</c:f>
              <c:numCache>
                <c:formatCode>#,##0,,;\(#,##0,,\);\-</c:formatCode>
                <c:ptCount val="4"/>
                <c:pt idx="0">
                  <c:v>43177739121</c:v>
                </c:pt>
                <c:pt idx="1">
                  <c:v>37811431903</c:v>
                </c:pt>
                <c:pt idx="2">
                  <c:v>26440528829</c:v>
                </c:pt>
                <c:pt idx="3">
                  <c:v>10665394980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8-4D12-B781-F295D493DDEC}"/>
            </c:ext>
          </c:extLst>
        </c:ser>
        <c:ser>
          <c:idx val="4"/>
          <c:order val="4"/>
          <c:tx>
            <c:strRef>
              <c:f>Sales_02거래처별!$N$34</c:f>
              <c:strCache>
                <c:ptCount val="1"/>
                <c:pt idx="0">
                  <c:v>GM 관련</c:v>
                </c:pt>
              </c:strCache>
            </c:strRef>
          </c:tx>
          <c:spPr>
            <a:solidFill>
              <a:srgbClr val="BDB69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Sales_02거래처별!$O$29:$R$29</c:f>
              <c:strCache>
                <c:ptCount val="4"/>
                <c:pt idx="0">
                  <c:v>2012년 12개월</c:v>
                </c:pt>
                <c:pt idx="1">
                  <c:v>2013년 12개월</c:v>
                </c:pt>
                <c:pt idx="2">
                  <c:v>2014년 12개월</c:v>
                </c:pt>
                <c:pt idx="3">
                  <c:v>2015년 6개월</c:v>
                </c:pt>
              </c:strCache>
            </c:strRef>
          </c:cat>
          <c:val>
            <c:numRef>
              <c:f>Sales_02거래처별!$O$34:$R$34</c:f>
              <c:numCache>
                <c:formatCode>#,##0,,;\(#,##0,,\);\-</c:formatCode>
                <c:ptCount val="4"/>
                <c:pt idx="0">
                  <c:v>20877198322</c:v>
                </c:pt>
                <c:pt idx="1">
                  <c:v>18215477625</c:v>
                </c:pt>
                <c:pt idx="2">
                  <c:v>18362214442</c:v>
                </c:pt>
                <c:pt idx="3">
                  <c:v>7457215514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8-4D12-B781-F295D493DDEC}"/>
            </c:ext>
          </c:extLst>
        </c:ser>
        <c:ser>
          <c:idx val="5"/>
          <c:order val="5"/>
          <c:tx>
            <c:strRef>
              <c:f>Sales_02거래처별!$N$35</c:f>
              <c:strCache>
                <c:ptCount val="1"/>
                <c:pt idx="0">
                  <c:v>Delphi 관련</c:v>
                </c:pt>
              </c:strCache>
            </c:strRef>
          </c:tx>
          <c:spPr>
            <a:solidFill>
              <a:srgbClr val="E9E7DB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Sales_02거래처별!$O$29:$R$29</c:f>
              <c:strCache>
                <c:ptCount val="4"/>
                <c:pt idx="0">
                  <c:v>2012년 12개월</c:v>
                </c:pt>
                <c:pt idx="1">
                  <c:v>2013년 12개월</c:v>
                </c:pt>
                <c:pt idx="2">
                  <c:v>2014년 12개월</c:v>
                </c:pt>
                <c:pt idx="3">
                  <c:v>2015년 6개월</c:v>
                </c:pt>
              </c:strCache>
            </c:strRef>
          </c:cat>
          <c:val>
            <c:numRef>
              <c:f>Sales_02거래처별!$O$35:$R$35</c:f>
              <c:numCache>
                <c:formatCode>#,##0,,;\(#,##0,,\);\-</c:formatCode>
                <c:ptCount val="4"/>
                <c:pt idx="0">
                  <c:v>21975881814</c:v>
                </c:pt>
                <c:pt idx="1">
                  <c:v>18956356779</c:v>
                </c:pt>
                <c:pt idx="2">
                  <c:v>16396205041</c:v>
                </c:pt>
                <c:pt idx="3">
                  <c:v>8739604405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8-4D12-B781-F295D493DDEC}"/>
            </c:ext>
          </c:extLst>
        </c:ser>
        <c:ser>
          <c:idx val="6"/>
          <c:order val="6"/>
          <c:tx>
            <c:strRef>
              <c:f>Sales_02거래처별!$N$36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rgbClr val="9BCA40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Sales_02거래처별!$O$29:$R$29</c:f>
              <c:strCache>
                <c:ptCount val="4"/>
                <c:pt idx="0">
                  <c:v>2012년 12개월</c:v>
                </c:pt>
                <c:pt idx="1">
                  <c:v>2013년 12개월</c:v>
                </c:pt>
                <c:pt idx="2">
                  <c:v>2014년 12개월</c:v>
                </c:pt>
                <c:pt idx="3">
                  <c:v>2015년 6개월</c:v>
                </c:pt>
              </c:strCache>
            </c:strRef>
          </c:cat>
          <c:val>
            <c:numRef>
              <c:f>Sales_02거래처별!$O$36:$R$36</c:f>
              <c:numCache>
                <c:formatCode>#,##0,,;\(#,##0,,\);\-</c:formatCode>
                <c:ptCount val="4"/>
                <c:pt idx="0">
                  <c:v>88978329024</c:v>
                </c:pt>
                <c:pt idx="1">
                  <c:v>111213649406</c:v>
                </c:pt>
                <c:pt idx="2">
                  <c:v>140292825163</c:v>
                </c:pt>
                <c:pt idx="3">
                  <c:v>76342034688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8-4D12-B781-F295D493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10018872"/>
        <c:axId val="210019264"/>
      </c:barChart>
      <c:lineChart>
        <c:grouping val="standard"/>
        <c:varyColors val="0"/>
        <c:ser>
          <c:idx val="7"/>
          <c:order val="7"/>
          <c:tx>
            <c:strRef>
              <c:f>Sales_02거래처별!$N$37</c:f>
              <c:strCache>
                <c:ptCount val="1"/>
                <c:pt idx="0">
                  <c:v> 현대기아차비중 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Sales_02거래처별!$O$29:$R$29</c:f>
              <c:strCache>
                <c:ptCount val="4"/>
                <c:pt idx="0">
                  <c:v>2012년 12개월</c:v>
                </c:pt>
                <c:pt idx="1">
                  <c:v>2013년 12개월</c:v>
                </c:pt>
                <c:pt idx="2">
                  <c:v>2014년 12개월</c:v>
                </c:pt>
                <c:pt idx="3">
                  <c:v>2015년 6개월</c:v>
                </c:pt>
              </c:strCache>
            </c:strRef>
          </c:cat>
          <c:val>
            <c:numRef>
              <c:f>Sales_02거래처별!$O$37:$R$37</c:f>
              <c:numCache>
                <c:formatCode>0.0%</c:formatCode>
                <c:ptCount val="4"/>
                <c:pt idx="0">
                  <c:v>0.62032683713989789</c:v>
                </c:pt>
                <c:pt idx="1">
                  <c:v>0.59971874742310327</c:v>
                </c:pt>
                <c:pt idx="2">
                  <c:v>0.58614974138162812</c:v>
                </c:pt>
                <c:pt idx="3">
                  <c:v>0.60086983107223091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F8-4D12-B781-F295D493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20048"/>
        <c:axId val="210019656"/>
      </c:lineChart>
      <c:catAx>
        <c:axId val="210018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10019264"/>
        <c:crosses val="autoZero"/>
        <c:auto val="1"/>
        <c:lblAlgn val="ctr"/>
        <c:lblOffset val="100"/>
        <c:noMultiLvlLbl val="0"/>
      </c:catAx>
      <c:valAx>
        <c:axId val="2100192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714285714285714E-2"/>
              <c:y val="0.30928596993557622"/>
            </c:manualLayout>
          </c:layout>
          <c:overlay val="0"/>
        </c:title>
        <c:numFmt formatCode="#,##0,,;\(#,##0,,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10018872"/>
        <c:crosses val="autoZero"/>
        <c:crossBetween val="between"/>
      </c:valAx>
      <c:valAx>
        <c:axId val="210019656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210020048"/>
        <c:crosses val="max"/>
        <c:crossBetween val="between"/>
      </c:valAx>
      <c:catAx>
        <c:axId val="21002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196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7.9035545556805406E-2"/>
          <c:y val="0.79528740157480315"/>
          <c:w val="0.84192890888638916"/>
          <c:h val="0.1956216893342877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Chart title</a:t>
            </a:r>
          </a:p>
        </c:rich>
      </c:tx>
      <c:layout>
        <c:manualLayout>
          <c:xMode val="edge"/>
          <c:yMode val="edge"/>
          <c:x val="2.2857142857142857E-2"/>
          <c:y val="3.6363636363636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98807649043869"/>
          <c:y val="0.15212491052254831"/>
          <c:w val="0.84044049493813289"/>
          <c:h val="0.5880722977809591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Sales_04사업부별!$H$35</c:f>
              <c:strCache>
                <c:ptCount val="1"/>
                <c:pt idx="0">
                  <c:v>스위치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Sales_04사업부별!$I$34:$L$34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Sales_04사업부별!$I$35:$L$35</c:f>
              <c:numCache>
                <c:formatCode>0.0%</c:formatCode>
                <c:ptCount val="4"/>
                <c:pt idx="0">
                  <c:v>0.57128093466424434</c:v>
                </c:pt>
                <c:pt idx="1">
                  <c:v>0.60105736741982474</c:v>
                </c:pt>
                <c:pt idx="2">
                  <c:v>0.6137110961038954</c:v>
                </c:pt>
                <c:pt idx="3">
                  <c:v>0.62389334033551003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8-4219-B56C-6601DECFCE7A}"/>
            </c:ext>
          </c:extLst>
        </c:ser>
        <c:ser>
          <c:idx val="1"/>
          <c:order val="1"/>
          <c:tx>
            <c:strRef>
              <c:f>Sales_04사업부별!$H$36</c:f>
              <c:strCache>
                <c:ptCount val="1"/>
                <c:pt idx="0">
                  <c:v>릴레이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Sales_04사업부별!$I$34:$L$34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Sales_04사업부별!$I$36:$L$36</c:f>
              <c:numCache>
                <c:formatCode>0.0%</c:formatCode>
                <c:ptCount val="4"/>
                <c:pt idx="0">
                  <c:v>0.13438733486537885</c:v>
                </c:pt>
                <c:pt idx="1">
                  <c:v>0.11870988180699338</c:v>
                </c:pt>
                <c:pt idx="2">
                  <c:v>0.10206940401843677</c:v>
                </c:pt>
                <c:pt idx="3">
                  <c:v>9.6312601982513568E-2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8-4219-B56C-6601DECFCE7A}"/>
            </c:ext>
          </c:extLst>
        </c:ser>
        <c:ser>
          <c:idx val="2"/>
          <c:order val="2"/>
          <c:tx>
            <c:strRef>
              <c:f>Sales_04사업부별!$H$37</c:f>
              <c:strCache>
                <c:ptCount val="1"/>
                <c:pt idx="0">
                  <c:v>BCS</c:v>
                </c:pt>
              </c:strCache>
            </c:strRef>
          </c:tx>
          <c:spPr>
            <a:solidFill>
              <a:srgbClr val="AA5CAA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Sales_04사업부별!$I$34:$L$34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Sales_04사업부별!$I$37:$L$37</c:f>
              <c:numCache>
                <c:formatCode>0.0%</c:formatCode>
                <c:ptCount val="4"/>
                <c:pt idx="0">
                  <c:v>7.657997819444301E-2</c:v>
                </c:pt>
                <c:pt idx="1">
                  <c:v>6.0825591024401666E-2</c:v>
                </c:pt>
                <c:pt idx="2">
                  <c:v>4.2894347904458223E-2</c:v>
                </c:pt>
                <c:pt idx="3">
                  <c:v>3.4919822711961854E-2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8-4219-B56C-6601DECFCE7A}"/>
            </c:ext>
          </c:extLst>
        </c:ser>
        <c:ser>
          <c:idx val="3"/>
          <c:order val="3"/>
          <c:tx>
            <c:strRef>
              <c:f>Sales_04사업부별!$H$38</c:f>
              <c:strCache>
                <c:ptCount val="1"/>
                <c:pt idx="0">
                  <c:v>ECU</c:v>
                </c:pt>
              </c:strCache>
            </c:strRef>
          </c:tx>
          <c:spPr>
            <a:solidFill>
              <a:srgbClr val="E3C9E3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Sales_04사업부별!$I$34:$L$34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Sales_04사업부별!$I$38:$L$38</c:f>
              <c:numCache>
                <c:formatCode>0.0%</c:formatCode>
                <c:ptCount val="4"/>
                <c:pt idx="0">
                  <c:v>8.3603030706221937E-2</c:v>
                </c:pt>
                <c:pt idx="1">
                  <c:v>8.0011143730237405E-2</c:v>
                </c:pt>
                <c:pt idx="2">
                  <c:v>8.9182218822686038E-2</c:v>
                </c:pt>
                <c:pt idx="3">
                  <c:v>8.7194455238138027E-2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78-4219-B56C-6601DECFCE7A}"/>
            </c:ext>
          </c:extLst>
        </c:ser>
        <c:ser>
          <c:idx val="4"/>
          <c:order val="4"/>
          <c:tx>
            <c:strRef>
              <c:f>Sales_04사업부별!$H$39</c:f>
              <c:strCache>
                <c:ptCount val="1"/>
                <c:pt idx="0">
                  <c:v>전력제어</c:v>
                </c:pt>
              </c:strCache>
            </c:strRef>
          </c:tx>
          <c:spPr>
            <a:solidFill>
              <a:srgbClr val="BDB69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Sales_04사업부별!$I$34:$L$34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Sales_04사업부별!$I$39:$L$39</c:f>
              <c:numCache>
                <c:formatCode>0.0%</c:formatCode>
                <c:ptCount val="4"/>
                <c:pt idx="0">
                  <c:v>3.9987373142048227E-2</c:v>
                </c:pt>
                <c:pt idx="1">
                  <c:v>3.9836926165423114E-2</c:v>
                </c:pt>
                <c:pt idx="2">
                  <c:v>4.3041929876605892E-2</c:v>
                </c:pt>
                <c:pt idx="3">
                  <c:v>5.0862769040622403E-2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78-4219-B56C-6601DECFCE7A}"/>
            </c:ext>
          </c:extLst>
        </c:ser>
        <c:ser>
          <c:idx val="5"/>
          <c:order val="5"/>
          <c:tx>
            <c:strRef>
              <c:f>Sales_04사업부별!$H$40</c:f>
              <c:strCache>
                <c:ptCount val="1"/>
                <c:pt idx="0">
                  <c:v>Roomlamp</c:v>
                </c:pt>
              </c:strCache>
            </c:strRef>
          </c:tx>
          <c:spPr>
            <a:solidFill>
              <a:srgbClr val="E9E7DB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Sales_04사업부별!$I$34:$L$34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Sales_04사업부별!$I$40:$L$40</c:f>
              <c:numCache>
                <c:formatCode>0.0%</c:formatCode>
                <c:ptCount val="4"/>
                <c:pt idx="0">
                  <c:v>9.1869585680621785E-2</c:v>
                </c:pt>
                <c:pt idx="1">
                  <c:v>9.889729043504078E-2</c:v>
                </c:pt>
                <c:pt idx="2">
                  <c:v>0.1079086779152557</c:v>
                </c:pt>
                <c:pt idx="3">
                  <c:v>0.10613473510792903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78-4219-B56C-6601DECFCE7A}"/>
            </c:ext>
          </c:extLst>
        </c:ser>
        <c:ser>
          <c:idx val="6"/>
          <c:order val="6"/>
          <c:tx>
            <c:strRef>
              <c:f>Sales_04사업부별!$H$41</c:f>
              <c:strCache>
                <c:ptCount val="1"/>
                <c:pt idx="0">
                  <c:v>부품사업</c:v>
                </c:pt>
              </c:strCache>
            </c:strRef>
          </c:tx>
          <c:spPr>
            <a:solidFill>
              <a:srgbClr val="9BCA40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Sales_04사업부별!$I$34:$L$34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Sales_04사업부별!$I$41:$L$41</c:f>
              <c:numCache>
                <c:formatCode>0.0%</c:formatCode>
                <c:ptCount val="4"/>
                <c:pt idx="0">
                  <c:v>2.2917627470418183E-3</c:v>
                </c:pt>
                <c:pt idx="1">
                  <c:v>6.6179941807885151E-4</c:v>
                </c:pt>
                <c:pt idx="2">
                  <c:v>1.1923253586619343E-3</c:v>
                </c:pt>
                <c:pt idx="3">
                  <c:v>6.8227558332508733E-4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78-4219-B56C-6601DECFC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10020832"/>
        <c:axId val="210021224"/>
      </c:barChart>
      <c:catAx>
        <c:axId val="21002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10021224"/>
        <c:crosses val="autoZero"/>
        <c:auto val="1"/>
        <c:lblAlgn val="ctr"/>
        <c:lblOffset val="100"/>
        <c:noMultiLvlLbl val="0"/>
      </c:catAx>
      <c:valAx>
        <c:axId val="21002122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1002083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1714285714285715"/>
          <c:y val="0.88181818181818183"/>
          <c:w val="0.82388863892013486"/>
          <c:h val="6.747995705082318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Chart title</a:t>
            </a:r>
          </a:p>
        </c:rich>
      </c:tx>
      <c:layout>
        <c:manualLayout>
          <c:xMode val="edge"/>
          <c:yMode val="edge"/>
          <c:x val="2.2857142857142857E-2"/>
          <c:y val="3.6363636363636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00843644544432"/>
          <c:y val="0.15212491052254831"/>
          <c:w val="0.75217907761529812"/>
          <c:h val="0.51215175375805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3175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FA-47AC-A069-EB429CFA6FC5}"/>
              </c:ext>
            </c:extLst>
          </c:dPt>
          <c:dPt>
            <c:idx val="2"/>
            <c:invertIfNegative val="0"/>
            <c:bubble3D val="0"/>
            <c:spPr>
              <a:noFill/>
              <a:ln w="3175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FA-47AC-A069-EB429CFA6FC5}"/>
              </c:ext>
            </c:extLst>
          </c:dPt>
          <c:dPt>
            <c:idx val="4"/>
            <c:invertIfNegative val="0"/>
            <c:bubble3D val="0"/>
            <c:spPr>
              <a:noFill/>
              <a:ln w="3175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FA-47AC-A069-EB429CFA6FC5}"/>
              </c:ext>
            </c:extLst>
          </c:dPt>
          <c:dPt>
            <c:idx val="5"/>
            <c:invertIfNegative val="0"/>
            <c:bubble3D val="0"/>
            <c:spPr>
              <a:noFill/>
              <a:ln w="3175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2FA-47AC-A069-EB429CFA6FC5}"/>
              </c:ext>
            </c:extLst>
          </c:dPt>
          <c:cat>
            <c:strRef>
              <c:f>Sales_04사업부별!$B$98:$B$104</c:f>
              <c:strCache>
                <c:ptCount val="7"/>
                <c:pt idx="0">
                  <c:v>2012년 스위치매출</c:v>
                </c:pt>
                <c:pt idx="1">
                  <c:v>단가</c:v>
                </c:pt>
                <c:pt idx="2">
                  <c:v>수량</c:v>
                </c:pt>
                <c:pt idx="3">
                  <c:v>2013년 스위치매출</c:v>
                </c:pt>
                <c:pt idx="4">
                  <c:v>단가</c:v>
                </c:pt>
                <c:pt idx="5">
                  <c:v>수량</c:v>
                </c:pt>
                <c:pt idx="6">
                  <c:v>2014년 스위치매출</c:v>
                </c:pt>
              </c:strCache>
            </c:strRef>
          </c:cat>
          <c:val>
            <c:numRef>
              <c:f>Sales_04사업부별!$C$98:$C$104</c:f>
              <c:numCache>
                <c:formatCode>#,##0,,;\-#,##0,,</c:formatCode>
                <c:ptCount val="7"/>
                <c:pt idx="0">
                  <c:v>296691633563</c:v>
                </c:pt>
                <c:pt idx="1">
                  <c:v>296691633563</c:v>
                </c:pt>
                <c:pt idx="2">
                  <c:v>324570302395</c:v>
                </c:pt>
                <c:pt idx="3">
                  <c:v>324570302395</c:v>
                </c:pt>
                <c:pt idx="4">
                  <c:v>308981293580.44861</c:v>
                </c:pt>
                <c:pt idx="5">
                  <c:v>308981293580.44861</c:v>
                </c:pt>
                <c:pt idx="6">
                  <c:v>352859717209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FA-47AC-A069-EB429CFA6FC5}"/>
            </c:ext>
          </c:extLst>
        </c:ser>
        <c:ser>
          <c:idx val="1"/>
          <c:order val="1"/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C2FA-47AC-A069-EB429CFA6F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C2FA-47AC-A069-EB429CFA6FC5}"/>
              </c:ext>
            </c:extLst>
          </c:dPt>
          <c:cat>
            <c:strRef>
              <c:f>Sales_04사업부별!$B$98:$B$104</c:f>
              <c:strCache>
                <c:ptCount val="7"/>
                <c:pt idx="0">
                  <c:v>2012년 스위치매출</c:v>
                </c:pt>
                <c:pt idx="1">
                  <c:v>단가</c:v>
                </c:pt>
                <c:pt idx="2">
                  <c:v>수량</c:v>
                </c:pt>
                <c:pt idx="3">
                  <c:v>2013년 스위치매출</c:v>
                </c:pt>
                <c:pt idx="4">
                  <c:v>단가</c:v>
                </c:pt>
                <c:pt idx="5">
                  <c:v>수량</c:v>
                </c:pt>
                <c:pt idx="6">
                  <c:v>2014년 스위치매출</c:v>
                </c:pt>
              </c:strCache>
            </c:strRef>
          </c:cat>
          <c:val>
            <c:numRef>
              <c:f>Sales_04사업부별!$D$98:$D$104</c:f>
              <c:numCache>
                <c:formatCode>#,##0,,;\-#,##0,,</c:formatCode>
                <c:ptCount val="7"/>
                <c:pt idx="1">
                  <c:v>38537812709.695038</c:v>
                </c:pt>
                <c:pt idx="2">
                  <c:v>10659143877.695049</c:v>
                </c:pt>
                <c:pt idx="4">
                  <c:v>15589008814.551384</c:v>
                </c:pt>
                <c:pt idx="5">
                  <c:v>43878423628.551376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2FA-47AC-A069-EB429CFA6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0022008"/>
        <c:axId val="210022400"/>
      </c:barChart>
      <c:catAx>
        <c:axId val="210022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10022400"/>
        <c:crosses val="autoZero"/>
        <c:auto val="1"/>
        <c:lblAlgn val="ctr"/>
        <c:lblOffset val="100"/>
        <c:noMultiLvlLbl val="0"/>
      </c:catAx>
      <c:valAx>
        <c:axId val="2100224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714285714285714E-2"/>
              <c:y val="0.21678024337866858"/>
            </c:manualLayout>
          </c:layout>
          <c:overlay val="0"/>
        </c:title>
        <c:numFmt formatCode="#,##0,,;\-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100220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수량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xMode val="edge"/>
          <c:yMode val="edge"/>
          <c:x val="6.6666666666666666E-2"/>
          <c:y val="0.13425925925925927"/>
          <c:w val="0.58611111111111114"/>
          <c:h val="0.54629629629629628"/>
        </c:manualLayout>
      </c:layout>
      <c:lineChart>
        <c:grouping val="standard"/>
        <c:varyColors val="0"/>
        <c:ser>
          <c:idx val="0"/>
          <c:order val="0"/>
          <c:tx>
            <c:strRef>
              <c:f>Sales_04사업부별!$B$154</c:f>
              <c:strCache>
                <c:ptCount val="1"/>
                <c:pt idx="0">
                  <c:v>Power Window Switch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Sales_04사업부별!$C$153:$E$153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Sales_04사업부별!$C$154:$E$154</c:f>
              <c:numCache>
                <c:formatCode>#,##0,,;\-#,##0,,</c:formatCode>
                <c:ptCount val="3"/>
                <c:pt idx="0">
                  <c:v>403063322</c:v>
                </c:pt>
                <c:pt idx="1">
                  <c:v>682494460</c:v>
                </c:pt>
                <c:pt idx="2">
                  <c:v>745931574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A-466A-A660-D4062C603400}"/>
            </c:ext>
          </c:extLst>
        </c:ser>
        <c:ser>
          <c:idx val="1"/>
          <c:order val="1"/>
          <c:tx>
            <c:strRef>
              <c:f>Sales_04사업부별!$B$155</c:f>
              <c:strCache>
                <c:ptCount val="1"/>
                <c:pt idx="0">
                  <c:v>In Panel Switch</c:v>
                </c:pt>
              </c:strCache>
            </c:strRef>
          </c:tx>
          <c:spPr>
            <a:ln w="12700">
              <a:solidFill>
                <a:srgbClr val="8E258D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8E258D"/>
              </a:solidFill>
              <a:ln>
                <a:solidFill>
                  <a:srgbClr val="8E258D"/>
                </a:solidFill>
                <a:prstDash val="solid"/>
              </a:ln>
            </c:spPr>
          </c:marker>
          <c:cat>
            <c:strRef>
              <c:f>Sales_04사업부별!$C$153:$E$153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Sales_04사업부별!$C$155:$E$155</c:f>
              <c:numCache>
                <c:formatCode>#,##0,,;\-#,##0,,</c:formatCode>
                <c:ptCount val="3"/>
                <c:pt idx="0">
                  <c:v>192525501</c:v>
                </c:pt>
                <c:pt idx="1">
                  <c:v>263929582</c:v>
                </c:pt>
                <c:pt idx="2">
                  <c:v>274935195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4A-466A-A660-D4062C603400}"/>
            </c:ext>
          </c:extLst>
        </c:ser>
        <c:ser>
          <c:idx val="2"/>
          <c:order val="2"/>
          <c:tx>
            <c:strRef>
              <c:f>Sales_04사업부별!$B$156</c:f>
              <c:strCache>
                <c:ptCount val="1"/>
                <c:pt idx="0">
                  <c:v>Muti Function Switch</c:v>
                </c:pt>
              </c:strCache>
            </c:strRef>
          </c:tx>
          <c:spPr>
            <a:ln w="12700">
              <a:solidFill>
                <a:srgbClr val="A79E7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A79E70"/>
              </a:solidFill>
              <a:ln>
                <a:solidFill>
                  <a:srgbClr val="A79E70"/>
                </a:solidFill>
                <a:prstDash val="solid"/>
              </a:ln>
            </c:spPr>
          </c:marker>
          <c:cat>
            <c:strRef>
              <c:f>Sales_04사업부별!$C$153:$E$153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Sales_04사업부별!$C$156:$E$156</c:f>
              <c:numCache>
                <c:formatCode>#,##0,,;\-#,##0,,</c:formatCode>
                <c:ptCount val="3"/>
                <c:pt idx="0">
                  <c:v>123641582</c:v>
                </c:pt>
                <c:pt idx="1">
                  <c:v>187584447</c:v>
                </c:pt>
                <c:pt idx="2">
                  <c:v>221538523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4A-466A-A660-D4062C603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23184"/>
        <c:axId val="210023576"/>
      </c:lineChart>
      <c:catAx>
        <c:axId val="21002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10023576"/>
        <c:crosses val="autoZero"/>
        <c:auto val="1"/>
        <c:lblAlgn val="ctr"/>
        <c:lblOffset val="100"/>
        <c:noMultiLvlLbl val="0"/>
      </c:catAx>
      <c:valAx>
        <c:axId val="21002357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1501348789734618"/>
            </c:manualLayout>
          </c:layout>
          <c:overlay val="0"/>
        </c:title>
        <c:numFmt formatCode="#,##0,,;\-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100231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"/>
          <c:y val="0.85185185185185186"/>
          <c:w val="0.9"/>
          <c:h val="6.87295858850976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단가</a:t>
            </a:r>
            <a:endParaRPr lang="en-US"/>
          </a:p>
        </c:rich>
      </c:tx>
      <c:layout>
        <c:manualLayout>
          <c:xMode val="edge"/>
          <c:yMode val="edge"/>
          <c:x val="1.1111111111111112E-2"/>
          <c:y val="9.2592592592592587E-3"/>
        </c:manualLayout>
      </c:layout>
      <c:overlay val="0"/>
    </c:title>
    <c:autoTitleDeleted val="0"/>
    <c:plotArea>
      <c:layout>
        <c:manualLayout>
          <c:xMode val="edge"/>
          <c:yMode val="edge"/>
          <c:x val="6.6666666666666666E-2"/>
          <c:y val="0.13425925925925927"/>
          <c:w val="0.58611111111111114"/>
          <c:h val="0.54629629629629628"/>
        </c:manualLayout>
      </c:layout>
      <c:lineChart>
        <c:grouping val="standard"/>
        <c:varyColors val="0"/>
        <c:ser>
          <c:idx val="0"/>
          <c:order val="0"/>
          <c:tx>
            <c:strRef>
              <c:f>Sales_04사업부별!$B$161</c:f>
              <c:strCache>
                <c:ptCount val="1"/>
                <c:pt idx="0">
                  <c:v>Power Window Switch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Sales_04사업부별!$C$160:$E$160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Sales_04사업부별!$C$161:$E$161</c:f>
              <c:numCache>
                <c:formatCode>_(* #,##0_);_(* \(#,##0\);_(* "-"_);_(@_)</c:formatCode>
                <c:ptCount val="3"/>
                <c:pt idx="0">
                  <c:v>217.92261307765435</c:v>
                </c:pt>
                <c:pt idx="1">
                  <c:v>136.6645608068379</c:v>
                </c:pt>
                <c:pt idx="2">
                  <c:v>138.69100175400271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B-4A11-8673-521943C8D9A9}"/>
            </c:ext>
          </c:extLst>
        </c:ser>
        <c:ser>
          <c:idx val="1"/>
          <c:order val="1"/>
          <c:tx>
            <c:strRef>
              <c:f>Sales_04사업부별!$B$162</c:f>
              <c:strCache>
                <c:ptCount val="1"/>
                <c:pt idx="0">
                  <c:v>In Panel Switch</c:v>
                </c:pt>
              </c:strCache>
            </c:strRef>
          </c:tx>
          <c:spPr>
            <a:ln w="12700">
              <a:solidFill>
                <a:srgbClr val="8E258D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8E258D"/>
              </a:solidFill>
              <a:ln>
                <a:solidFill>
                  <a:srgbClr val="8E258D"/>
                </a:solidFill>
                <a:prstDash val="solid"/>
              </a:ln>
            </c:spPr>
          </c:marker>
          <c:cat>
            <c:strRef>
              <c:f>Sales_04사업부별!$C$160:$E$160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Sales_04사업부별!$C$162:$E$162</c:f>
              <c:numCache>
                <c:formatCode>_(* #,##0_);_(* \(#,##0\);_(* "-"_);_(@_)</c:formatCode>
                <c:ptCount val="3"/>
                <c:pt idx="0">
                  <c:v>439.11541840371575</c:v>
                </c:pt>
                <c:pt idx="1">
                  <c:v>361.58457308131528</c:v>
                </c:pt>
                <c:pt idx="2">
                  <c:v>400.42163136298353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B-4A11-8673-521943C8D9A9}"/>
            </c:ext>
          </c:extLst>
        </c:ser>
        <c:ser>
          <c:idx val="2"/>
          <c:order val="2"/>
          <c:tx>
            <c:strRef>
              <c:f>Sales_04사업부별!$B$163</c:f>
              <c:strCache>
                <c:ptCount val="1"/>
                <c:pt idx="0">
                  <c:v>Muti Function Switch</c:v>
                </c:pt>
              </c:strCache>
            </c:strRef>
          </c:tx>
          <c:spPr>
            <a:ln w="12700">
              <a:solidFill>
                <a:srgbClr val="A79E7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A79E70"/>
              </a:solidFill>
              <a:ln>
                <a:solidFill>
                  <a:srgbClr val="A79E70"/>
                </a:solidFill>
                <a:prstDash val="solid"/>
              </a:ln>
            </c:spPr>
          </c:marker>
          <c:cat>
            <c:strRef>
              <c:f>Sales_04사업부별!$C$160:$E$160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Sales_04사업부별!$C$163:$E$163</c:f>
              <c:numCache>
                <c:formatCode>_(* #,##0_);_(* \(#,##0\);_(* "-"_);_(@_)</c:formatCode>
                <c:ptCount val="3"/>
                <c:pt idx="0">
                  <c:v>501.58396218191388</c:v>
                </c:pt>
                <c:pt idx="1">
                  <c:v>343.1307360679001</c:v>
                </c:pt>
                <c:pt idx="2">
                  <c:v>319.27310200131649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B-4A11-8673-521943C8D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664232"/>
        <c:axId val="303664624"/>
      </c:lineChart>
      <c:catAx>
        <c:axId val="303664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4624"/>
        <c:crosses val="autoZero"/>
        <c:auto val="1"/>
        <c:lblAlgn val="ctr"/>
        <c:lblOffset val="100"/>
        <c:noMultiLvlLbl val="0"/>
      </c:catAx>
      <c:valAx>
        <c:axId val="3036646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1501348789734618"/>
            </c:manualLayout>
          </c:layout>
          <c:overlay val="0"/>
        </c:title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4232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"/>
          <c:y val="0.85185185185185186"/>
          <c:w val="0.9"/>
          <c:h val="6.87295858850976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주요 제품별 매출 증가 추세</a:t>
            </a:r>
            <a:endParaRPr lang="en-US"/>
          </a:p>
        </c:rich>
      </c:tx>
      <c:layout>
        <c:manualLayout>
          <c:xMode val="edge"/>
          <c:yMode val="edge"/>
          <c:x val="5.5555555555555558E-3"/>
          <c:y val="9.259259259259258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084965277777778"/>
          <c:y val="0.15494203849518809"/>
          <c:w val="0.72303923611111098"/>
          <c:h val="0.585073636628754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Sales_04사업부별!$B$167</c:f>
              <c:strCache>
                <c:ptCount val="1"/>
                <c:pt idx="0">
                  <c:v>Power Window Switch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Sales_04사업부별!$C$166:$E$166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Sales_04사업부별!$C$167:$E$167</c:f>
              <c:numCache>
                <c:formatCode>#,##0,,;\-#,##0,,</c:formatCode>
                <c:ptCount val="3"/>
                <c:pt idx="0">
                  <c:v>87836612366</c:v>
                </c:pt>
                <c:pt idx="1">
                  <c:v>93272805629</c:v>
                </c:pt>
                <c:pt idx="2">
                  <c:v>103453997238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6-4891-A041-2652E76576EE}"/>
            </c:ext>
          </c:extLst>
        </c:ser>
        <c:ser>
          <c:idx val="1"/>
          <c:order val="1"/>
          <c:tx>
            <c:strRef>
              <c:f>Sales_04사업부별!$B$168</c:f>
              <c:strCache>
                <c:ptCount val="1"/>
                <c:pt idx="0">
                  <c:v>In Panel Switch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Sales_04사업부별!$C$166:$E$166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Sales_04사업부별!$C$168:$E$168</c:f>
              <c:numCache>
                <c:formatCode>#,##0,,;\-#,##0,,</c:formatCode>
                <c:ptCount val="3"/>
                <c:pt idx="0">
                  <c:v>84540915925</c:v>
                </c:pt>
                <c:pt idx="1">
                  <c:v>95432865231</c:v>
                </c:pt>
                <c:pt idx="2">
                  <c:v>110089999301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6-4891-A041-2652E76576EE}"/>
            </c:ext>
          </c:extLst>
        </c:ser>
        <c:ser>
          <c:idx val="2"/>
          <c:order val="2"/>
          <c:tx>
            <c:strRef>
              <c:f>Sales_04사업부별!$B$169</c:f>
              <c:strCache>
                <c:ptCount val="1"/>
                <c:pt idx="0">
                  <c:v>Muti Function Switch</c:v>
                </c:pt>
              </c:strCache>
            </c:strRef>
          </c:tx>
          <c:spPr>
            <a:solidFill>
              <a:srgbClr val="AA5CAA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Sales_04사업부별!$C$166:$E$166</c:f>
              <c:strCache>
                <c:ptCount val="3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</c:strCache>
            </c:strRef>
          </c:cat>
          <c:val>
            <c:numRef>
              <c:f>Sales_04사업부별!$C$169:$E$169</c:f>
              <c:numCache>
                <c:formatCode>#,##0,,;\-#,##0,,</c:formatCode>
                <c:ptCount val="3"/>
                <c:pt idx="0">
                  <c:v>62016634590</c:v>
                </c:pt>
                <c:pt idx="1">
                  <c:v>64365989374</c:v>
                </c:pt>
                <c:pt idx="2">
                  <c:v>70731291451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6-4891-A041-2652E765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303663448"/>
        <c:axId val="303663056"/>
      </c:barChart>
      <c:catAx>
        <c:axId val="303663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3056"/>
        <c:crosses val="autoZero"/>
        <c:auto val="1"/>
        <c:lblAlgn val="ctr"/>
        <c:lblOffset val="100"/>
        <c:noMultiLvlLbl val="0"/>
      </c:catAx>
      <c:valAx>
        <c:axId val="3036630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1.1770833333333331E-2"/>
              <c:y val="0.31501342592592591"/>
            </c:manualLayout>
          </c:layout>
          <c:overlay val="0"/>
        </c:title>
        <c:numFmt formatCode="#,##0,,;\-#,##0,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34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8171979166666666"/>
          <c:y val="0.83424629629629643"/>
          <c:w val="0.76885208333333332"/>
          <c:h val="0.1657537037037037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사업부별 매출추세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029396325459317"/>
          <c:y val="0.15494203849518809"/>
          <c:w val="0.73416207349081364"/>
          <c:h val="0.59049030329542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Sales_05사업부별추세!$A$3</c:f>
              <c:strCache>
                <c:ptCount val="1"/>
                <c:pt idx="0">
                  <c:v>스위치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Sales_05사업부별추세!$B$2:$E$2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Sales_05사업부별추세!$B$3:$E$3</c:f>
              <c:numCache>
                <c:formatCode>#,##0,,;\(#,##0,,\);\-</c:formatCode>
                <c:ptCount val="4"/>
                <c:pt idx="0">
                  <c:v>301650469844</c:v>
                </c:pt>
                <c:pt idx="1">
                  <c:v>329529138676</c:v>
                </c:pt>
                <c:pt idx="2">
                  <c:v>357818553490</c:v>
                </c:pt>
                <c:pt idx="3">
                  <c:v>379330315540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4-47CC-A7E2-DA30B6FC26D5}"/>
            </c:ext>
          </c:extLst>
        </c:ser>
        <c:ser>
          <c:idx val="1"/>
          <c:order val="1"/>
          <c:tx>
            <c:strRef>
              <c:f>Sales_05사업부별추세!$A$4</c:f>
              <c:strCache>
                <c:ptCount val="1"/>
                <c:pt idx="0">
                  <c:v>릴레이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Sales_05사업부별추세!$B$2:$E$2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Sales_05사업부별추세!$B$4:$E$4</c:f>
              <c:numCache>
                <c:formatCode>#,##0,,;\(#,##0,,\);\-</c:formatCode>
                <c:ptCount val="4"/>
                <c:pt idx="0">
                  <c:v>69649481160</c:v>
                </c:pt>
                <c:pt idx="1">
                  <c:v>63547706707</c:v>
                </c:pt>
                <c:pt idx="2">
                  <c:v>56026768138</c:v>
                </c:pt>
                <c:pt idx="3">
                  <c:v>54293651228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84-47CC-A7E2-DA30B6FC26D5}"/>
            </c:ext>
          </c:extLst>
        </c:ser>
        <c:ser>
          <c:idx val="2"/>
          <c:order val="2"/>
          <c:tx>
            <c:strRef>
              <c:f>Sales_05사업부별추세!$A$5</c:f>
              <c:strCache>
                <c:ptCount val="1"/>
                <c:pt idx="0">
                  <c:v>BCS</c:v>
                </c:pt>
              </c:strCache>
            </c:strRef>
          </c:tx>
          <c:spPr>
            <a:solidFill>
              <a:srgbClr val="AA5CAA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Sales_05사업부별추세!$B$2:$E$2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Sales_05사업부별추세!$B$5:$E$5</c:f>
              <c:numCache>
                <c:formatCode>#,##0,,;\(#,##0,,\);\-</c:formatCode>
                <c:ptCount val="4"/>
                <c:pt idx="0">
                  <c:v>40168769460</c:v>
                </c:pt>
                <c:pt idx="1">
                  <c:v>33386486016</c:v>
                </c:pt>
                <c:pt idx="2">
                  <c:v>26961139273</c:v>
                </c:pt>
                <c:pt idx="3">
                  <c:v>20721850972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84-47CC-A7E2-DA30B6FC26D5}"/>
            </c:ext>
          </c:extLst>
        </c:ser>
        <c:ser>
          <c:idx val="3"/>
          <c:order val="3"/>
          <c:tx>
            <c:strRef>
              <c:f>Sales_05사업부별추세!$A$6</c:f>
              <c:strCache>
                <c:ptCount val="1"/>
                <c:pt idx="0">
                  <c:v>ECU</c:v>
                </c:pt>
              </c:strCache>
            </c:strRef>
          </c:tx>
          <c:spPr>
            <a:solidFill>
              <a:srgbClr val="E3C9E3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Sales_05사업부별추세!$B$2:$E$2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Sales_05사업부별추세!$B$6:$E$6</c:f>
              <c:numCache>
                <c:formatCode>#,##0,,;\(#,##0,,\);\-</c:formatCode>
                <c:ptCount val="4"/>
                <c:pt idx="0">
                  <c:v>43499623320</c:v>
                </c:pt>
                <c:pt idx="1">
                  <c:v>44066949023</c:v>
                </c:pt>
                <c:pt idx="2">
                  <c:v>48731959043</c:v>
                </c:pt>
                <c:pt idx="3">
                  <c:v>51126514884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84-47CC-A7E2-DA30B6FC26D5}"/>
            </c:ext>
          </c:extLst>
        </c:ser>
        <c:ser>
          <c:idx val="4"/>
          <c:order val="4"/>
          <c:tx>
            <c:strRef>
              <c:f>Sales_05사업부별추세!$A$7</c:f>
              <c:strCache>
                <c:ptCount val="1"/>
                <c:pt idx="0">
                  <c:v>전력제어</c:v>
                </c:pt>
              </c:strCache>
            </c:strRef>
          </c:tx>
          <c:spPr>
            <a:solidFill>
              <a:srgbClr val="BDB69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Sales_05사업부별추세!$B$2:$E$2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Sales_05사업부별추세!$B$7:$E$7</c:f>
              <c:numCache>
                <c:formatCode>#,##0,,;\(#,##0,,\);\-</c:formatCode>
                <c:ptCount val="4"/>
                <c:pt idx="0">
                  <c:v>21129287864</c:v>
                </c:pt>
                <c:pt idx="1">
                  <c:v>21405858496</c:v>
                </c:pt>
                <c:pt idx="2">
                  <c:v>23727187750</c:v>
                </c:pt>
                <c:pt idx="3">
                  <c:v>29783355412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84-47CC-A7E2-DA30B6FC26D5}"/>
            </c:ext>
          </c:extLst>
        </c:ser>
        <c:ser>
          <c:idx val="5"/>
          <c:order val="5"/>
          <c:tx>
            <c:strRef>
              <c:f>Sales_05사업부별추세!$A$8</c:f>
              <c:strCache>
                <c:ptCount val="1"/>
                <c:pt idx="0">
                  <c:v>RoomLamp</c:v>
                </c:pt>
              </c:strCache>
            </c:strRef>
          </c:tx>
          <c:spPr>
            <a:solidFill>
              <a:srgbClr val="E9E7DB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Sales_05사업부별추세!$B$2:$E$2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Sales_05사업부별추세!$B$8:$E$8</c:f>
              <c:numCache>
                <c:formatCode>#,##0,,;\(#,##0,,\);\-</c:formatCode>
                <c:ptCount val="4"/>
                <c:pt idx="0">
                  <c:v>47717791608</c:v>
                </c:pt>
                <c:pt idx="1">
                  <c:v>54174492386</c:v>
                </c:pt>
                <c:pt idx="2">
                  <c:v>58437212647</c:v>
                </c:pt>
                <c:pt idx="3">
                  <c:v>61062206652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84-47CC-A7E2-DA30B6FC26D5}"/>
            </c:ext>
          </c:extLst>
        </c:ser>
        <c:ser>
          <c:idx val="6"/>
          <c:order val="6"/>
          <c:tx>
            <c:strRef>
              <c:f>Sales_05사업부별추세!$A$9</c:f>
              <c:strCache>
                <c:ptCount val="1"/>
                <c:pt idx="0">
                  <c:v>부품사업팀</c:v>
                </c:pt>
              </c:strCache>
            </c:strRef>
          </c:tx>
          <c:spPr>
            <a:solidFill>
              <a:srgbClr val="9BCA40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Sales_05사업부별추세!$B$2:$E$2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Sales_05사업부별추세!$B$9:$E$9</c:f>
              <c:numCache>
                <c:formatCode>#,##0,,;\(#,##0,,\);\-</c:formatCode>
                <c:ptCount val="4"/>
                <c:pt idx="0">
                  <c:v>4754087094</c:v>
                </c:pt>
                <c:pt idx="1">
                  <c:v>9629636821</c:v>
                </c:pt>
                <c:pt idx="2">
                  <c:v>12969500563</c:v>
                </c:pt>
                <c:pt idx="3">
                  <c:v>11528199210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84-47CC-A7E2-DA30B6FC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303665800"/>
        <c:axId val="303666192"/>
      </c:barChart>
      <c:lineChart>
        <c:grouping val="standard"/>
        <c:varyColors val="0"/>
        <c:ser>
          <c:idx val="7"/>
          <c:order val="7"/>
          <c:tx>
            <c:strRef>
              <c:f>Sales_05사업부별추세!$A$10</c:f>
              <c:strCache>
                <c:ptCount val="1"/>
                <c:pt idx="0">
                  <c:v>스위치 비중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Sales_05사업부별추세!$B$2:$E$2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Sales_05사업부별추세!$B$10:$E$10</c:f>
              <c:numCache>
                <c:formatCode>0.0%</c:formatCode>
                <c:ptCount val="4"/>
                <c:pt idx="0">
                  <c:v>0.57069214916361288</c:v>
                </c:pt>
                <c:pt idx="1">
                  <c:v>0.59295530228138982</c:v>
                </c:pt>
                <c:pt idx="2">
                  <c:v>0.61199844886919463</c:v>
                </c:pt>
                <c:pt idx="3">
                  <c:v>0.62405651586477706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84-47CC-A7E2-DA30B6FC2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666976"/>
        <c:axId val="303666584"/>
      </c:lineChart>
      <c:catAx>
        <c:axId val="303665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6192"/>
        <c:crosses val="autoZero"/>
        <c:auto val="1"/>
        <c:lblAlgn val="ctr"/>
        <c:lblOffset val="100"/>
        <c:noMultiLvlLbl val="0"/>
      </c:catAx>
      <c:valAx>
        <c:axId val="3036661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8299978127734032"/>
            </c:manualLayout>
          </c:layout>
          <c:overlay val="0"/>
        </c:title>
        <c:numFmt formatCode="#,##0,,;\(#,##0,,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5800"/>
        <c:crosses val="autoZero"/>
        <c:crossBetween val="between"/>
      </c:valAx>
      <c:valAx>
        <c:axId val="303666584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303666976"/>
        <c:crosses val="max"/>
        <c:crossBetween val="between"/>
      </c:valAx>
      <c:catAx>
        <c:axId val="303666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366658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4720187717013881E-3"/>
          <c:y val="0.85185185185185186"/>
          <c:w val="0.75685759280090004"/>
          <c:h val="0.1281417322834645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사업부별 매출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029396325459317"/>
          <c:y val="0.15494203849518809"/>
          <c:w val="0.69895363079615047"/>
          <c:h val="0.553453266258384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Sales_05사업부별추세!$A$36</c:f>
              <c:strCache>
                <c:ptCount val="1"/>
                <c:pt idx="0">
                  <c:v>HMI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Sales_05사업부별추세!$B$35:$E$35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Sales_05사업부별추세!$B$36:$E$36</c:f>
              <c:numCache>
                <c:formatCode>#,##0,,;\(#,##0,,\)</c:formatCode>
                <c:ptCount val="4"/>
                <c:pt idx="0">
                  <c:v>349368261452</c:v>
                </c:pt>
                <c:pt idx="1">
                  <c:v>383703631062</c:v>
                </c:pt>
                <c:pt idx="2">
                  <c:v>416255766137</c:v>
                </c:pt>
                <c:pt idx="3">
                  <c:v>440392522192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B-43B1-B98F-1C6A83930C93}"/>
            </c:ext>
          </c:extLst>
        </c:ser>
        <c:ser>
          <c:idx val="1"/>
          <c:order val="1"/>
          <c:tx>
            <c:strRef>
              <c:f>Sales_05사업부별추세!$A$37</c:f>
              <c:strCache>
                <c:ptCount val="1"/>
                <c:pt idx="0">
                  <c:v>BCS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Sales_05사업부별추세!$B$35:$E$35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Sales_05사업부별추세!$B$37:$E$37</c:f>
              <c:numCache>
                <c:formatCode>#,##0,,;\(#,##0,,\)</c:formatCode>
                <c:ptCount val="4"/>
                <c:pt idx="0">
                  <c:v>64628911184</c:v>
                </c:pt>
                <c:pt idx="1">
                  <c:v>65472807519</c:v>
                </c:pt>
                <c:pt idx="2">
                  <c:v>72459146793</c:v>
                </c:pt>
                <c:pt idx="3">
                  <c:v>80909870296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6B-43B1-B98F-1C6A83930C93}"/>
            </c:ext>
          </c:extLst>
        </c:ser>
        <c:ser>
          <c:idx val="2"/>
          <c:order val="2"/>
          <c:tx>
            <c:strRef>
              <c:f>Sales_05사업부별추세!$A$38</c:f>
              <c:strCache>
                <c:ptCount val="1"/>
                <c:pt idx="0">
                  <c:v>MC</c:v>
                </c:pt>
              </c:strCache>
            </c:strRef>
          </c:tx>
          <c:spPr>
            <a:solidFill>
              <a:srgbClr val="AA5CAA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Sales_05사업부별추세!$B$35:$E$35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Sales_05사업부별추세!$B$38:$E$38</c:f>
              <c:numCache>
                <c:formatCode>#,##0,,;\(#,##0,,\)</c:formatCode>
                <c:ptCount val="4"/>
                <c:pt idx="0">
                  <c:v>114572337714</c:v>
                </c:pt>
                <c:pt idx="1">
                  <c:v>106563829544</c:v>
                </c:pt>
                <c:pt idx="2">
                  <c:v>95957407974</c:v>
                </c:pt>
                <c:pt idx="3">
                  <c:v>86543701410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6B-43B1-B98F-1C6A83930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303663840"/>
        <c:axId val="303667760"/>
      </c:barChart>
      <c:lineChart>
        <c:grouping val="standard"/>
        <c:varyColors val="0"/>
        <c:ser>
          <c:idx val="3"/>
          <c:order val="3"/>
          <c:tx>
            <c:strRef>
              <c:f>Sales_05사업부별추세!$A$39</c:f>
              <c:strCache>
                <c:ptCount val="1"/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Sales_05사업부별추세!$B$35:$E$35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연환산</c:v>
                </c:pt>
              </c:strCache>
            </c:strRef>
          </c:cat>
          <c:val>
            <c:numRef>
              <c:f>Sales_05사업부별추세!$B$39:$E$39</c:f>
              <c:numCache>
                <c:formatCode>0.0%</c:formatCode>
                <c:ptCount val="4"/>
                <c:pt idx="0">
                  <c:v>0.6609693798279449</c:v>
                </c:pt>
                <c:pt idx="1">
                  <c:v>0.69043697761288625</c:v>
                </c:pt>
                <c:pt idx="2">
                  <c:v>0.71194710482172274</c:v>
                </c:pt>
                <c:pt idx="3">
                  <c:v>0.72451320591343693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6B-43B1-B98F-1C6A83930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668544"/>
        <c:axId val="303668152"/>
      </c:lineChart>
      <c:catAx>
        <c:axId val="30366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7760"/>
        <c:crosses val="autoZero"/>
        <c:auto val="1"/>
        <c:lblAlgn val="ctr"/>
        <c:lblOffset val="100"/>
        <c:noMultiLvlLbl val="0"/>
      </c:catAx>
      <c:valAx>
        <c:axId val="3036677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8299978127734032"/>
            </c:manualLayout>
          </c:layout>
          <c:overlay val="0"/>
        </c:title>
        <c:numFmt formatCode="#,##0,,;\(#,##0,,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3840"/>
        <c:crosses val="autoZero"/>
        <c:crossBetween val="between"/>
      </c:valAx>
      <c:valAx>
        <c:axId val="303668152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altLang="ko-KR" b="0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303668544"/>
        <c:crosses val="max"/>
        <c:crossBetween val="between"/>
      </c:valAx>
      <c:catAx>
        <c:axId val="30366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366815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1324956255468067"/>
          <c:y val="0.89814814814814814"/>
          <c:w val="0.46516754155730533"/>
          <c:h val="6.87295858850976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9.937331392839855E-3"/>
          <c:y val="5.2958223793650094E-3"/>
        </c:manualLayout>
      </c:layout>
      <c:overlay val="0"/>
      <c:txPr>
        <a:bodyPr/>
        <a:lstStyle/>
        <a:p>
          <a:pPr algn="l">
            <a:defRPr altLang="en-US" sz="900" b="1">
              <a:solidFill>
                <a:srgbClr val="00338D"/>
              </a:solidFill>
              <a:latin typeface="Arial"/>
              <a:ea typeface="Arial"/>
              <a:cs typeface="Arial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3918937533024572"/>
          <c:y val="0.15212491052254831"/>
          <c:w val="0.85156527059242904"/>
          <c:h val="0.542186113099498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Sales_06월별!$B$4</c:f>
              <c:strCache>
                <c:ptCount val="1"/>
                <c:pt idx="0">
                  <c:v>제품매출(백만원)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Sales_06월별!$C$3:$AR$3</c:f>
              <c:strCache>
                <c:ptCount val="42"/>
                <c:pt idx="0">
                  <c:v>2012년 1월</c:v>
                </c:pt>
                <c:pt idx="1">
                  <c:v>2012년 2월</c:v>
                </c:pt>
                <c:pt idx="2">
                  <c:v>2012년 3월</c:v>
                </c:pt>
                <c:pt idx="3">
                  <c:v>2012년 4월</c:v>
                </c:pt>
                <c:pt idx="4">
                  <c:v>2012년 5월</c:v>
                </c:pt>
                <c:pt idx="5">
                  <c:v>2012년 6월</c:v>
                </c:pt>
                <c:pt idx="6">
                  <c:v>2012년 7월</c:v>
                </c:pt>
                <c:pt idx="7">
                  <c:v>2012년 8월</c:v>
                </c:pt>
                <c:pt idx="8">
                  <c:v>2012년 9월</c:v>
                </c:pt>
                <c:pt idx="9">
                  <c:v>2012년 10월</c:v>
                </c:pt>
                <c:pt idx="10">
                  <c:v>2012년 11월</c:v>
                </c:pt>
                <c:pt idx="11">
                  <c:v>2012년 12월</c:v>
                </c:pt>
                <c:pt idx="12">
                  <c:v>2013년 1월</c:v>
                </c:pt>
                <c:pt idx="13">
                  <c:v>2013년 2월</c:v>
                </c:pt>
                <c:pt idx="14">
                  <c:v>2013년 3월</c:v>
                </c:pt>
                <c:pt idx="15">
                  <c:v>2013년 4월</c:v>
                </c:pt>
                <c:pt idx="16">
                  <c:v>2013년 5월</c:v>
                </c:pt>
                <c:pt idx="17">
                  <c:v>2013년 6월</c:v>
                </c:pt>
                <c:pt idx="18">
                  <c:v>2013년 7월</c:v>
                </c:pt>
                <c:pt idx="19">
                  <c:v>2013년 8월</c:v>
                </c:pt>
                <c:pt idx="20">
                  <c:v>2013년 9월</c:v>
                </c:pt>
                <c:pt idx="21">
                  <c:v>2013년 10월</c:v>
                </c:pt>
                <c:pt idx="22">
                  <c:v>2013년 11월</c:v>
                </c:pt>
                <c:pt idx="23">
                  <c:v>2013년 12월</c:v>
                </c:pt>
                <c:pt idx="24">
                  <c:v>2014년 1월</c:v>
                </c:pt>
                <c:pt idx="25">
                  <c:v>2014년 2월</c:v>
                </c:pt>
                <c:pt idx="26">
                  <c:v>2014년 3월</c:v>
                </c:pt>
                <c:pt idx="27">
                  <c:v>2014년 4월</c:v>
                </c:pt>
                <c:pt idx="28">
                  <c:v>2014년 5월</c:v>
                </c:pt>
                <c:pt idx="29">
                  <c:v>2014년 6월</c:v>
                </c:pt>
                <c:pt idx="30">
                  <c:v>2014년 7월</c:v>
                </c:pt>
                <c:pt idx="31">
                  <c:v>2014년 8월</c:v>
                </c:pt>
                <c:pt idx="32">
                  <c:v>2014년 9월</c:v>
                </c:pt>
                <c:pt idx="33">
                  <c:v>2014년 10월</c:v>
                </c:pt>
                <c:pt idx="34">
                  <c:v>2014년 11월</c:v>
                </c:pt>
                <c:pt idx="35">
                  <c:v>2014년 12월</c:v>
                </c:pt>
                <c:pt idx="36">
                  <c:v>2015년 1월</c:v>
                </c:pt>
                <c:pt idx="37">
                  <c:v>2015년 2월</c:v>
                </c:pt>
                <c:pt idx="38">
                  <c:v>2015년 3월</c:v>
                </c:pt>
                <c:pt idx="39">
                  <c:v>2015년 4월</c:v>
                </c:pt>
                <c:pt idx="40">
                  <c:v>2015년 5월</c:v>
                </c:pt>
                <c:pt idx="41">
                  <c:v>2015년 6월</c:v>
                </c:pt>
              </c:strCache>
            </c:strRef>
          </c:cat>
          <c:val>
            <c:numRef>
              <c:f>Sales_06월별!$C$4:$AR$4</c:f>
              <c:numCache>
                <c:formatCode>#,##0,,;\(#,##0,,\)</c:formatCode>
                <c:ptCount val="42"/>
                <c:pt idx="0">
                  <c:v>40708099996</c:v>
                </c:pt>
                <c:pt idx="1">
                  <c:v>43747582185</c:v>
                </c:pt>
                <c:pt idx="2">
                  <c:v>45739498620</c:v>
                </c:pt>
                <c:pt idx="3">
                  <c:v>43411672390</c:v>
                </c:pt>
                <c:pt idx="4">
                  <c:v>45115254938</c:v>
                </c:pt>
                <c:pt idx="5">
                  <c:v>45610093720</c:v>
                </c:pt>
                <c:pt idx="6">
                  <c:v>43670801651</c:v>
                </c:pt>
                <c:pt idx="7">
                  <c:v>36358521155</c:v>
                </c:pt>
                <c:pt idx="8">
                  <c:v>40985890485</c:v>
                </c:pt>
                <c:pt idx="9">
                  <c:v>43202342291</c:v>
                </c:pt>
                <c:pt idx="10">
                  <c:v>45760730688</c:v>
                </c:pt>
                <c:pt idx="11">
                  <c:v>45034050724</c:v>
                </c:pt>
                <c:pt idx="12">
                  <c:v>45333802628</c:v>
                </c:pt>
                <c:pt idx="13">
                  <c:v>39217568814</c:v>
                </c:pt>
                <c:pt idx="14">
                  <c:v>43634787801</c:v>
                </c:pt>
                <c:pt idx="15">
                  <c:v>44687384478</c:v>
                </c:pt>
                <c:pt idx="16">
                  <c:v>42884882168</c:v>
                </c:pt>
                <c:pt idx="17">
                  <c:v>44484044902</c:v>
                </c:pt>
                <c:pt idx="18">
                  <c:v>43464848706</c:v>
                </c:pt>
                <c:pt idx="19">
                  <c:v>41904980145</c:v>
                </c:pt>
                <c:pt idx="20">
                  <c:v>40627534490</c:v>
                </c:pt>
                <c:pt idx="21">
                  <c:v>48893452332</c:v>
                </c:pt>
                <c:pt idx="22">
                  <c:v>45503091647</c:v>
                </c:pt>
                <c:pt idx="23">
                  <c:v>48136734165</c:v>
                </c:pt>
                <c:pt idx="24">
                  <c:v>44770750863</c:v>
                </c:pt>
                <c:pt idx="25">
                  <c:v>42701133945</c:v>
                </c:pt>
                <c:pt idx="26">
                  <c:v>48507255496</c:v>
                </c:pt>
                <c:pt idx="27">
                  <c:v>47481574847</c:v>
                </c:pt>
                <c:pt idx="28">
                  <c:v>42789599884</c:v>
                </c:pt>
                <c:pt idx="29">
                  <c:v>44264170668</c:v>
                </c:pt>
                <c:pt idx="30">
                  <c:v>46171411455</c:v>
                </c:pt>
                <c:pt idx="31">
                  <c:v>37947630363</c:v>
                </c:pt>
                <c:pt idx="32">
                  <c:v>39063582296</c:v>
                </c:pt>
                <c:pt idx="33">
                  <c:v>45104593900</c:v>
                </c:pt>
                <c:pt idx="34">
                  <c:v>46501625261</c:v>
                </c:pt>
                <c:pt idx="35">
                  <c:v>50867999054</c:v>
                </c:pt>
                <c:pt idx="36">
                  <c:v>46054466935</c:v>
                </c:pt>
                <c:pt idx="37">
                  <c:v>41739918782</c:v>
                </c:pt>
                <c:pt idx="38">
                  <c:v>50461281054</c:v>
                </c:pt>
                <c:pt idx="39">
                  <c:v>49990226066</c:v>
                </c:pt>
                <c:pt idx="40">
                  <c:v>42743687946</c:v>
                </c:pt>
                <c:pt idx="41">
                  <c:v>48217617387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B-4C3E-A8BB-D28748F0F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03669328"/>
        <c:axId val="303669720"/>
      </c:barChart>
      <c:catAx>
        <c:axId val="30366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9720"/>
        <c:crosses val="autoZero"/>
        <c:auto val="1"/>
        <c:lblAlgn val="ctr"/>
        <c:lblOffset val="100"/>
        <c:noMultiLvlLbl val="0"/>
      </c:catAx>
      <c:valAx>
        <c:axId val="3036697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714285714285714E-2"/>
              <c:y val="0.23861560486757338"/>
            </c:manualLayout>
          </c:layout>
          <c:overlay val="0"/>
        </c:title>
        <c:numFmt formatCode="#,##0,,;\(#,##0,,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693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ASP</a:t>
            </a:r>
            <a:r>
              <a:rPr lang="ko-KR" altLang="en-US"/>
              <a:t>추세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939129483814522"/>
          <c:y val="0.15494203849518809"/>
          <c:w val="0.82449759405074374"/>
          <c:h val="0.57074511519393412"/>
        </c:manualLayout>
      </c:layout>
      <c:lineChart>
        <c:grouping val="standard"/>
        <c:varyColors val="0"/>
        <c:ser>
          <c:idx val="0"/>
          <c:order val="0"/>
          <c:tx>
            <c:strRef>
              <c:f>Sales_06월별!$B$6</c:f>
              <c:strCache>
                <c:ptCount val="1"/>
                <c:pt idx="0">
                  <c:v>ASP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Sales_06월별!$C$3:$AR$3</c:f>
              <c:strCache>
                <c:ptCount val="42"/>
                <c:pt idx="0">
                  <c:v>2012년 1월</c:v>
                </c:pt>
                <c:pt idx="1">
                  <c:v>2012년 2월</c:v>
                </c:pt>
                <c:pt idx="2">
                  <c:v>2012년 3월</c:v>
                </c:pt>
                <c:pt idx="3">
                  <c:v>2012년 4월</c:v>
                </c:pt>
                <c:pt idx="4">
                  <c:v>2012년 5월</c:v>
                </c:pt>
                <c:pt idx="5">
                  <c:v>2012년 6월</c:v>
                </c:pt>
                <c:pt idx="6">
                  <c:v>2012년 7월</c:v>
                </c:pt>
                <c:pt idx="7">
                  <c:v>2012년 8월</c:v>
                </c:pt>
                <c:pt idx="8">
                  <c:v>2012년 9월</c:v>
                </c:pt>
                <c:pt idx="9">
                  <c:v>2012년 10월</c:v>
                </c:pt>
                <c:pt idx="10">
                  <c:v>2012년 11월</c:v>
                </c:pt>
                <c:pt idx="11">
                  <c:v>2012년 12월</c:v>
                </c:pt>
                <c:pt idx="12">
                  <c:v>2013년 1월</c:v>
                </c:pt>
                <c:pt idx="13">
                  <c:v>2013년 2월</c:v>
                </c:pt>
                <c:pt idx="14">
                  <c:v>2013년 3월</c:v>
                </c:pt>
                <c:pt idx="15">
                  <c:v>2013년 4월</c:v>
                </c:pt>
                <c:pt idx="16">
                  <c:v>2013년 5월</c:v>
                </c:pt>
                <c:pt idx="17">
                  <c:v>2013년 6월</c:v>
                </c:pt>
                <c:pt idx="18">
                  <c:v>2013년 7월</c:v>
                </c:pt>
                <c:pt idx="19">
                  <c:v>2013년 8월</c:v>
                </c:pt>
                <c:pt idx="20">
                  <c:v>2013년 9월</c:v>
                </c:pt>
                <c:pt idx="21">
                  <c:v>2013년 10월</c:v>
                </c:pt>
                <c:pt idx="22">
                  <c:v>2013년 11월</c:v>
                </c:pt>
                <c:pt idx="23">
                  <c:v>2013년 12월</c:v>
                </c:pt>
                <c:pt idx="24">
                  <c:v>2014년 1월</c:v>
                </c:pt>
                <c:pt idx="25">
                  <c:v>2014년 2월</c:v>
                </c:pt>
                <c:pt idx="26">
                  <c:v>2014년 3월</c:v>
                </c:pt>
                <c:pt idx="27">
                  <c:v>2014년 4월</c:v>
                </c:pt>
                <c:pt idx="28">
                  <c:v>2014년 5월</c:v>
                </c:pt>
                <c:pt idx="29">
                  <c:v>2014년 6월</c:v>
                </c:pt>
                <c:pt idx="30">
                  <c:v>2014년 7월</c:v>
                </c:pt>
                <c:pt idx="31">
                  <c:v>2014년 8월</c:v>
                </c:pt>
                <c:pt idx="32">
                  <c:v>2014년 9월</c:v>
                </c:pt>
                <c:pt idx="33">
                  <c:v>2014년 10월</c:v>
                </c:pt>
                <c:pt idx="34">
                  <c:v>2014년 11월</c:v>
                </c:pt>
                <c:pt idx="35">
                  <c:v>2014년 12월</c:v>
                </c:pt>
                <c:pt idx="36">
                  <c:v>2015년 1월</c:v>
                </c:pt>
                <c:pt idx="37">
                  <c:v>2015년 2월</c:v>
                </c:pt>
                <c:pt idx="38">
                  <c:v>2015년 3월</c:v>
                </c:pt>
                <c:pt idx="39">
                  <c:v>2015년 4월</c:v>
                </c:pt>
                <c:pt idx="40">
                  <c:v>2015년 5월</c:v>
                </c:pt>
                <c:pt idx="41">
                  <c:v>2015년 6월</c:v>
                </c:pt>
              </c:strCache>
            </c:strRef>
          </c:cat>
          <c:val>
            <c:numRef>
              <c:f>Sales_06월별!$C$6:$AR$6</c:f>
              <c:numCache>
                <c:formatCode>_(* #,##0_);_(* \(#,##0\);_(* "-"_);_(@_)</c:formatCode>
                <c:ptCount val="42"/>
                <c:pt idx="0">
                  <c:v>469.6168084381124</c:v>
                </c:pt>
                <c:pt idx="1">
                  <c:v>430.80048646020668</c:v>
                </c:pt>
                <c:pt idx="2">
                  <c:v>347.439044383576</c:v>
                </c:pt>
                <c:pt idx="3">
                  <c:v>514.70753484661634</c:v>
                </c:pt>
                <c:pt idx="4">
                  <c:v>565.99642820196163</c:v>
                </c:pt>
                <c:pt idx="5">
                  <c:v>488.18249420775498</c:v>
                </c:pt>
                <c:pt idx="6">
                  <c:v>494.84528607894998</c:v>
                </c:pt>
                <c:pt idx="7">
                  <c:v>491.37203795584429</c:v>
                </c:pt>
                <c:pt idx="8">
                  <c:v>525.18005186157257</c:v>
                </c:pt>
                <c:pt idx="9">
                  <c:v>253.9204561769867</c:v>
                </c:pt>
                <c:pt idx="10">
                  <c:v>243.22546927999755</c:v>
                </c:pt>
                <c:pt idx="11">
                  <c:v>249.11644345183973</c:v>
                </c:pt>
                <c:pt idx="12">
                  <c:v>233.95641868478825</c:v>
                </c:pt>
                <c:pt idx="13">
                  <c:v>351.62160069904053</c:v>
                </c:pt>
                <c:pt idx="14">
                  <c:v>259.84013481120792</c:v>
                </c:pt>
                <c:pt idx="15">
                  <c:v>282.21500756316073</c:v>
                </c:pt>
                <c:pt idx="16">
                  <c:v>312.78024290032664</c:v>
                </c:pt>
                <c:pt idx="17">
                  <c:v>383.70748558085842</c:v>
                </c:pt>
                <c:pt idx="18">
                  <c:v>312.2993983547135</c:v>
                </c:pt>
                <c:pt idx="19">
                  <c:v>250.30322749634192</c:v>
                </c:pt>
                <c:pt idx="20">
                  <c:v>289.76871551263082</c:v>
                </c:pt>
                <c:pt idx="21">
                  <c:v>252.08574148014998</c:v>
                </c:pt>
                <c:pt idx="22">
                  <c:v>244.89829250643089</c:v>
                </c:pt>
                <c:pt idx="23">
                  <c:v>264.39224566880711</c:v>
                </c:pt>
                <c:pt idx="24">
                  <c:v>385.87163007395986</c:v>
                </c:pt>
                <c:pt idx="25">
                  <c:v>242.2176634860437</c:v>
                </c:pt>
                <c:pt idx="26">
                  <c:v>277.11592965911893</c:v>
                </c:pt>
                <c:pt idx="27">
                  <c:v>273.58921166229715</c:v>
                </c:pt>
                <c:pt idx="28">
                  <c:v>212.92524600423181</c:v>
                </c:pt>
                <c:pt idx="29">
                  <c:v>281.39672930201186</c:v>
                </c:pt>
                <c:pt idx="30">
                  <c:v>323.56899507539117</c:v>
                </c:pt>
                <c:pt idx="31">
                  <c:v>225.38835539687543</c:v>
                </c:pt>
                <c:pt idx="32">
                  <c:v>218.68930533481648</c:v>
                </c:pt>
                <c:pt idx="33">
                  <c:v>218.63252074044175</c:v>
                </c:pt>
                <c:pt idx="34">
                  <c:v>207.28127947275192</c:v>
                </c:pt>
                <c:pt idx="35">
                  <c:v>248.04092407134033</c:v>
                </c:pt>
                <c:pt idx="36">
                  <c:v>180.25843568067577</c:v>
                </c:pt>
                <c:pt idx="37">
                  <c:v>199.79987223697157</c:v>
                </c:pt>
                <c:pt idx="38">
                  <c:v>215.28021199007898</c:v>
                </c:pt>
                <c:pt idx="39">
                  <c:v>208.67709790019026</c:v>
                </c:pt>
                <c:pt idx="40">
                  <c:v>230.26973182210051</c:v>
                </c:pt>
                <c:pt idx="41">
                  <c:v>282.15970175661931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4-4E9A-B844-00560DFC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670504"/>
        <c:axId val="136090680"/>
      </c:lineChart>
      <c:catAx>
        <c:axId val="303670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136090680"/>
        <c:crosses val="autoZero"/>
        <c:auto val="1"/>
        <c:lblAlgn val="ctr"/>
        <c:lblOffset val="100"/>
        <c:noMultiLvlLbl val="0"/>
      </c:catAx>
      <c:valAx>
        <c:axId val="1360906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4303441236512102"/>
            </c:manualLayout>
          </c:layout>
          <c:overlay val="0"/>
        </c:title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36705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222222222222223E-2"/>
          <c:y val="3.7037037037037035E-2"/>
        </c:manualLayout>
      </c:layout>
      <c:overlay val="0"/>
      <c:txPr>
        <a:bodyPr/>
        <a:lstStyle/>
        <a:p>
          <a:pPr algn="l">
            <a:defRPr altLang="en-US" sz="900" b="1">
              <a:solidFill>
                <a:srgbClr val="00338D"/>
              </a:solidFill>
              <a:latin typeface="Arial"/>
              <a:ea typeface="Arial"/>
              <a:cs typeface="Arial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7029396325459317"/>
          <c:y val="0.15494203849518809"/>
          <c:w val="0.74081714785651798"/>
          <c:h val="0.54759696704578598"/>
        </c:manualLayout>
      </c:layout>
      <c:lineChart>
        <c:grouping val="standard"/>
        <c:varyColors val="0"/>
        <c:ser>
          <c:idx val="0"/>
          <c:order val="0"/>
          <c:tx>
            <c:strRef>
              <c:f>Sales_06월별!$B$5</c:f>
              <c:strCache>
                <c:ptCount val="1"/>
                <c:pt idx="0">
                  <c:v>수량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Sales_06월별!$C$3:$AR$3</c:f>
              <c:strCache>
                <c:ptCount val="42"/>
                <c:pt idx="0">
                  <c:v>2012년 1월</c:v>
                </c:pt>
                <c:pt idx="1">
                  <c:v>2012년 2월</c:v>
                </c:pt>
                <c:pt idx="2">
                  <c:v>2012년 3월</c:v>
                </c:pt>
                <c:pt idx="3">
                  <c:v>2012년 4월</c:v>
                </c:pt>
                <c:pt idx="4">
                  <c:v>2012년 5월</c:v>
                </c:pt>
                <c:pt idx="5">
                  <c:v>2012년 6월</c:v>
                </c:pt>
                <c:pt idx="6">
                  <c:v>2012년 7월</c:v>
                </c:pt>
                <c:pt idx="7">
                  <c:v>2012년 8월</c:v>
                </c:pt>
                <c:pt idx="8">
                  <c:v>2012년 9월</c:v>
                </c:pt>
                <c:pt idx="9">
                  <c:v>2012년 10월</c:v>
                </c:pt>
                <c:pt idx="10">
                  <c:v>2012년 11월</c:v>
                </c:pt>
                <c:pt idx="11">
                  <c:v>2012년 12월</c:v>
                </c:pt>
                <c:pt idx="12">
                  <c:v>2013년 1월</c:v>
                </c:pt>
                <c:pt idx="13">
                  <c:v>2013년 2월</c:v>
                </c:pt>
                <c:pt idx="14">
                  <c:v>2013년 3월</c:v>
                </c:pt>
                <c:pt idx="15">
                  <c:v>2013년 4월</c:v>
                </c:pt>
                <c:pt idx="16">
                  <c:v>2013년 5월</c:v>
                </c:pt>
                <c:pt idx="17">
                  <c:v>2013년 6월</c:v>
                </c:pt>
                <c:pt idx="18">
                  <c:v>2013년 7월</c:v>
                </c:pt>
                <c:pt idx="19">
                  <c:v>2013년 8월</c:v>
                </c:pt>
                <c:pt idx="20">
                  <c:v>2013년 9월</c:v>
                </c:pt>
                <c:pt idx="21">
                  <c:v>2013년 10월</c:v>
                </c:pt>
                <c:pt idx="22">
                  <c:v>2013년 11월</c:v>
                </c:pt>
                <c:pt idx="23">
                  <c:v>2013년 12월</c:v>
                </c:pt>
                <c:pt idx="24">
                  <c:v>2014년 1월</c:v>
                </c:pt>
                <c:pt idx="25">
                  <c:v>2014년 2월</c:v>
                </c:pt>
                <c:pt idx="26">
                  <c:v>2014년 3월</c:v>
                </c:pt>
                <c:pt idx="27">
                  <c:v>2014년 4월</c:v>
                </c:pt>
                <c:pt idx="28">
                  <c:v>2014년 5월</c:v>
                </c:pt>
                <c:pt idx="29">
                  <c:v>2014년 6월</c:v>
                </c:pt>
                <c:pt idx="30">
                  <c:v>2014년 7월</c:v>
                </c:pt>
                <c:pt idx="31">
                  <c:v>2014년 8월</c:v>
                </c:pt>
                <c:pt idx="32">
                  <c:v>2014년 9월</c:v>
                </c:pt>
                <c:pt idx="33">
                  <c:v>2014년 10월</c:v>
                </c:pt>
                <c:pt idx="34">
                  <c:v>2014년 11월</c:v>
                </c:pt>
                <c:pt idx="35">
                  <c:v>2014년 12월</c:v>
                </c:pt>
                <c:pt idx="36">
                  <c:v>2015년 1월</c:v>
                </c:pt>
                <c:pt idx="37">
                  <c:v>2015년 2월</c:v>
                </c:pt>
                <c:pt idx="38">
                  <c:v>2015년 3월</c:v>
                </c:pt>
                <c:pt idx="39">
                  <c:v>2015년 4월</c:v>
                </c:pt>
                <c:pt idx="40">
                  <c:v>2015년 5월</c:v>
                </c:pt>
                <c:pt idx="41">
                  <c:v>2015년 6월</c:v>
                </c:pt>
              </c:strCache>
            </c:strRef>
          </c:cat>
          <c:val>
            <c:numRef>
              <c:f>Sales_06월별!$C$5:$AR$5</c:f>
              <c:numCache>
                <c:formatCode>#,##0,</c:formatCode>
                <c:ptCount val="42"/>
                <c:pt idx="0">
                  <c:v>86683652</c:v>
                </c:pt>
                <c:pt idx="1">
                  <c:v>101549519</c:v>
                </c:pt>
                <c:pt idx="2">
                  <c:v>131647549</c:v>
                </c:pt>
                <c:pt idx="3">
                  <c:v>84342407</c:v>
                </c:pt>
                <c:pt idx="4">
                  <c:v>79709434</c:v>
                </c:pt>
                <c:pt idx="5">
                  <c:v>93428368</c:v>
                </c:pt>
                <c:pt idx="6">
                  <c:v>88251425</c:v>
                </c:pt>
                <c:pt idx="7">
                  <c:v>73993875</c:v>
                </c:pt>
                <c:pt idx="8">
                  <c:v>78041598</c:v>
                </c:pt>
                <c:pt idx="9">
                  <c:v>170141244</c:v>
                </c:pt>
                <c:pt idx="10">
                  <c:v>188141196</c:v>
                </c:pt>
                <c:pt idx="11">
                  <c:v>180775103</c:v>
                </c:pt>
                <c:pt idx="12">
                  <c:v>193770288</c:v>
                </c:pt>
                <c:pt idx="13">
                  <c:v>111533446</c:v>
                </c:pt>
                <c:pt idx="14">
                  <c:v>167929361</c:v>
                </c:pt>
                <c:pt idx="15">
                  <c:v>158345174</c:v>
                </c:pt>
                <c:pt idx="16">
                  <c:v>137108667</c:v>
                </c:pt>
                <c:pt idx="17">
                  <c:v>115932179</c:v>
                </c:pt>
                <c:pt idx="18">
                  <c:v>139176857</c:v>
                </c:pt>
                <c:pt idx="19">
                  <c:v>167416859</c:v>
                </c:pt>
                <c:pt idx="20">
                  <c:v>140206766</c:v>
                </c:pt>
                <c:pt idx="21">
                  <c:v>193955644</c:v>
                </c:pt>
                <c:pt idx="22">
                  <c:v>185804038</c:v>
                </c:pt>
                <c:pt idx="23">
                  <c:v>182065605</c:v>
                </c:pt>
                <c:pt idx="24">
                  <c:v>116024987</c:v>
                </c:pt>
                <c:pt idx="25">
                  <c:v>176292403</c:v>
                </c:pt>
                <c:pt idx="26">
                  <c:v>175043187</c:v>
                </c:pt>
                <c:pt idx="27">
                  <c:v>173550611</c:v>
                </c:pt>
                <c:pt idx="28">
                  <c:v>200960669</c:v>
                </c:pt>
                <c:pt idx="29">
                  <c:v>157301653</c:v>
                </c:pt>
                <c:pt idx="30">
                  <c:v>142694177</c:v>
                </c:pt>
                <c:pt idx="31">
                  <c:v>168365532</c:v>
                </c:pt>
                <c:pt idx="32">
                  <c:v>178625938</c:v>
                </c:pt>
                <c:pt idx="33">
                  <c:v>206303224</c:v>
                </c:pt>
                <c:pt idx="34">
                  <c:v>224340690</c:v>
                </c:pt>
                <c:pt idx="35">
                  <c:v>205079058</c:v>
                </c:pt>
                <c:pt idx="36">
                  <c:v>255491327</c:v>
                </c:pt>
                <c:pt idx="37">
                  <c:v>208908636</c:v>
                </c:pt>
                <c:pt idx="38">
                  <c:v>234398139</c:v>
                </c:pt>
                <c:pt idx="39">
                  <c:v>239557798</c:v>
                </c:pt>
                <c:pt idx="40">
                  <c:v>185624431</c:v>
                </c:pt>
                <c:pt idx="41">
                  <c:v>170887682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E-48BA-AB76-6FFE1205F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217624"/>
        <c:axId val="304218016"/>
      </c:lineChart>
      <c:catAx>
        <c:axId val="304217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4218016"/>
        <c:crosses val="autoZero"/>
        <c:auto val="1"/>
        <c:lblAlgn val="ctr"/>
        <c:lblOffset val="100"/>
        <c:noMultiLvlLbl val="0"/>
      </c:catAx>
      <c:valAx>
        <c:axId val="3042180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4303441236512102"/>
            </c:manualLayout>
          </c:layout>
          <c:overlay val="0"/>
        </c:title>
        <c:numFmt formatCode="#,##0,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3042176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6</xdr:col>
      <xdr:colOff>22500</xdr:colOff>
      <xdr:row>1</xdr:row>
      <xdr:rowOff>97321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85800" y="66675"/>
          <a:ext cx="2880000" cy="173521"/>
        </a:xfrm>
        <a:prstGeom prst="rect">
          <a:avLst/>
        </a:prstGeom>
        <a:solidFill>
          <a:srgbClr val="FFCC99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wrap="square" lIns="36576" tIns="18288" rIns="0" bIns="0"/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latinLnBrk="0"/>
          <a:r>
            <a:rPr kumimoji="0" lang="en-US" altLang="ko-KR" sz="1000" b="1" i="1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3 Columns: 10.0 cm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600075</xdr:colOff>
      <xdr:row>41</xdr:row>
      <xdr:rowOff>23812</xdr:rowOff>
    </xdr:from>
    <xdr:to>
      <xdr:col>17</xdr:col>
      <xdr:colOff>739775</xdr:colOff>
      <xdr:row>60</xdr:row>
      <xdr:rowOff>103187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638175</xdr:colOff>
      <xdr:row>31</xdr:row>
      <xdr:rowOff>90487</xdr:rowOff>
    </xdr:from>
    <xdr:to>
      <xdr:col>19</xdr:col>
      <xdr:colOff>282575</xdr:colOff>
      <xdr:row>48</xdr:row>
      <xdr:rowOff>103187</xdr:rowOff>
    </xdr:to>
    <xdr:graphicFrame macro="">
      <xdr:nvGraphicFramePr>
        <xdr:cNvPr id="3" name="차트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314325</xdr:colOff>
      <xdr:row>93</xdr:row>
      <xdr:rowOff>80962</xdr:rowOff>
    </xdr:from>
    <xdr:ext cx="4445000" cy="2794000"/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6</xdr:col>
      <xdr:colOff>19050</xdr:colOff>
      <xdr:row>144</xdr:row>
      <xdr:rowOff>71437</xdr:rowOff>
    </xdr:from>
    <xdr:to>
      <xdr:col>12</xdr:col>
      <xdr:colOff>142875</xdr:colOff>
      <xdr:row>162</xdr:row>
      <xdr:rowOff>138112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752475</xdr:colOff>
      <xdr:row>161</xdr:row>
      <xdr:rowOff>119062</xdr:rowOff>
    </xdr:from>
    <xdr:to>
      <xdr:col>12</xdr:col>
      <xdr:colOff>114300</xdr:colOff>
      <xdr:row>181</xdr:row>
      <xdr:rowOff>4762</xdr:rowOff>
    </xdr:to>
    <xdr:graphicFrame macro="">
      <xdr:nvGraphicFramePr>
        <xdr:cNvPr id="5" name="차트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114300</xdr:colOff>
      <xdr:row>180</xdr:row>
      <xdr:rowOff>33337</xdr:rowOff>
    </xdr:from>
    <xdr:to>
      <xdr:col>10</xdr:col>
      <xdr:colOff>98700</xdr:colOff>
      <xdr:row>195</xdr:row>
      <xdr:rowOff>50212</xdr:rowOff>
    </xdr:to>
    <xdr:graphicFrame macro="">
      <xdr:nvGraphicFramePr>
        <xdr:cNvPr id="6" name="차트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328612</xdr:colOff>
      <xdr:row>12</xdr:row>
      <xdr:rowOff>71437</xdr:rowOff>
    </xdr:from>
    <xdr:to>
      <xdr:col>6</xdr:col>
      <xdr:colOff>582612</xdr:colOff>
      <xdr:row>32</xdr:row>
      <xdr:rowOff>7937</xdr:rowOff>
    </xdr:to>
    <xdr:graphicFrame macro="">
      <xdr:nvGraphicFramePr>
        <xdr:cNvPr id="5" name="차트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481012</xdr:colOff>
      <xdr:row>41</xdr:row>
      <xdr:rowOff>42862</xdr:rowOff>
    </xdr:from>
    <xdr:to>
      <xdr:col>7</xdr:col>
      <xdr:colOff>157162</xdr:colOff>
      <xdr:row>60</xdr:row>
      <xdr:rowOff>71437</xdr:rowOff>
    </xdr:to>
    <xdr:graphicFrame macro="">
      <xdr:nvGraphicFramePr>
        <xdr:cNvPr id="7" name="차트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38099</xdr:colOff>
      <xdr:row>7</xdr:row>
      <xdr:rowOff>14288</xdr:rowOff>
    </xdr:from>
    <xdr:to>
      <xdr:col>7</xdr:col>
      <xdr:colOff>206374</xdr:colOff>
      <xdr:row>26</xdr:row>
      <xdr:rowOff>93663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666750</xdr:colOff>
      <xdr:row>7</xdr:row>
      <xdr:rowOff>4762</xdr:rowOff>
    </xdr:from>
    <xdr:to>
      <xdr:col>14</xdr:col>
      <xdr:colOff>438150</xdr:colOff>
      <xdr:row>26</xdr:row>
      <xdr:rowOff>33337</xdr:rowOff>
    </xdr:to>
    <xdr:graphicFrame macro="">
      <xdr:nvGraphicFramePr>
        <xdr:cNvPr id="3" name="차트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180975</xdr:colOff>
      <xdr:row>26</xdr:row>
      <xdr:rowOff>119062</xdr:rowOff>
    </xdr:from>
    <xdr:to>
      <xdr:col>7</xdr:col>
      <xdr:colOff>476250</xdr:colOff>
      <xdr:row>46</xdr:row>
      <xdr:rowOff>4762</xdr:rowOff>
    </xdr:to>
    <xdr:graphicFrame macro="">
      <xdr:nvGraphicFramePr>
        <xdr:cNvPr id="4" name="차트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WINDOWS\TEMP\DOS\CKD\&#45824;&#47564;\MASTE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5883\&#47928;&#49436;&#54632;\WINDOWS\TEMP\WINDOWS\TEMP\9899&#49373;&#49328;&#48169;&#49885;\LEE\&#49324;&#50629;&#44228;&#54925;\&#54788;&#44552;&#50696;&#49328;\&#51217;&#45824;4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WINDOWS\TEMP\kjhDocuments\99sus\&#48372;&#44256;&#50577;&#49885;\&#48372;&#44256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sgw.dsec.co.kr/03&#44208;&#49328;&amp;04&#51092;&#50529;&#47749;&#49464;&#49436;/12&#50900;&#51092;&#50529;&#47749;&#49464;&#49436;/12&#50900;&#48372;&#51613;&#44552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nts%20and%20Settings/a/My%20Documents/&#51088;&#44552;&#50629;&#47924;/&#44208;&#49328;&#50629;&#47924;/2004&#45380;&#44208;&#49328;&#44288;&#47144;&#54028;&#51068;.xls" TargetMode="External"/><Relationship Id="rId1" Type="http://schemas.openxmlformats.org/officeDocument/2006/relationships/externalLinkPath" Target="/Documents%20and%20Settings/a/My%20Documents/&#51088;&#44552;&#50629;&#47924;/&#44208;&#49328;&#50629;&#47924;/2004&#45380;&#44208;&#49328;&#44288;&#47144;&#54028;&#5106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971057\c\WINDOWS\TEMP\DOS\CMK\XLSRULE\&#44060;&#51221;&#44508;&#51221;\&#50756;&#4934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YH\99&#45380;\My%20Documents\99&#45380;\&#44036;&#51060;&#50672;&#46973;(&#54924;&#51032;&#53685;&#48372;&#49436;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WF200/TMP/~TMP7233.$$$/WF200/TMP/~TMP5043.$$$/&#44228;&#51221;&#44284;&#47785;.xls" TargetMode="External"/><Relationship Id="rId1" Type="http://schemas.openxmlformats.org/officeDocument/2006/relationships/externalLinkPath" Target="/WF200/TMP/~TMP7233.$$$/WF200/TMP/~TMP5043.$$$/&#44228;&#51221;&#44284;&#47785;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WINDOWS/TEMP/&#50976;&#44032;&#51613;&#44428;20001..XLS" TargetMode="External"/><Relationship Id="rId1" Type="http://schemas.openxmlformats.org/officeDocument/2006/relationships/externalLinkPath" Target="/WINDOWS/TEMP/&#50976;&#44032;&#51613;&#44428;20001.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/WF200/TMP/~TMP954.$$$/WF200/TMP/~TMP7233.$$$/WF200/TMP/~TMP5043.$$$/&#44228;&#51221;&#44284;&#47785;.xls" TargetMode="External"/><Relationship Id="rId1" Type="http://schemas.openxmlformats.org/officeDocument/2006/relationships/externalLinkPath" Target="/WF200/TMP/~TMP954.$$$/WF200/TMP/~TMP7233.$$$/WF200/TMP/~TMP5043.$$$/&#44228;&#51221;&#44284;&#4778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foman\TEMP\~($()!%5e)\JUNG\W-CAR\96YEAR\W-1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G\XF\4110.3\2000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/WF200/TMP/~TMP7233.$$$/WF200/TMP/~TMP7201.$$$/ACT/ACT97/&#51116;&#47924;&#51228;&#54364;.xls" TargetMode="External"/><Relationship Id="rId1" Type="http://schemas.openxmlformats.org/officeDocument/2006/relationships/externalLinkPath" Target="/WF200/TMP/~TMP7233.$$$/WF200/TMP/~TMP7201.$$$/ACT/ACT97/&#51116;&#47924;&#51228;&#5436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-100&#51204;&#51228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971057\c\WINDOWS\TEMP\DOS\CH\MA&#51452;&#5466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971057\c\WINDOWS\TEMP\WINDOWS\TEMP\CMK\XLSRULE\&#44060;&#51221;&#44508;&#51221;\&#50756;&#4934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aiji2\wxm3\my%20documents\Wxm3\2000&#36001;&#21209;&#35576;&#34920;\98&#20998;&#37197;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/EXCEL/98TURN.XLS" TargetMode="External"/><Relationship Id="rId1" Type="http://schemas.openxmlformats.org/officeDocument/2006/relationships/externalLinkPath" Target="/EXCEL/98TURN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/2002&#51473;&#44036;&amp;&#44592;&#47568;/2002&#44160;&#53664;/&#54392;&#47480;&#49345;&#54840;&#51200;&#52629;&#51008;&#54665;/2002-9-30/&#50629;&#47924;&#54260;&#45908;/&#44048;&#49324;&#48372;&#44256;&#49436;&#52572;&#51333;/&#44048;&#49324;&#48372;&#44256;&#49436;/97%20Draft/KET/&#49340;&#54868;95.XLS" TargetMode="External"/><Relationship Id="rId1" Type="http://schemas.openxmlformats.org/officeDocument/2006/relationships/externalLinkPath" Target="/2002&#51473;&#44036;&amp;&#44592;&#47568;/2002&#44160;&#53664;/&#54392;&#47480;&#49345;&#54840;&#51200;&#52629;&#51008;&#54665;/2002-9-30/&#50629;&#47924;&#54260;&#45908;/&#44048;&#49324;&#48372;&#44256;&#49436;&#52572;&#51333;/&#44048;&#49324;&#48372;&#44256;&#49436;/97%20Draft/KET/&#49340;&#54868;9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Documents%20and%20Settings\ykchoi\My%20Documents\FY2001%20Interim,Year%20End\KGI&#51613;&#44428;\1st%20Half%20Review\J.H.%20Ha\My%20Documents\&#46041;&#49457;&#54868;&#54617;\99YE\99A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305;&#51068;\C\My%20Documents\ZERO%20DEFFECT\&#50756;&#44160;dpv&#52572;&#51333;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/AC%20System/GL/GL-UP.xls" TargetMode="External"/><Relationship Id="rId1" Type="http://schemas.openxmlformats.org/officeDocument/2006/relationships/externalLinkPath" Target="/AC%20System/GL/GL-U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AAA\WINDOWS\TEMP\DOS\RKS\AU\9511\RKS\AU\95&#51208;&#44048;\PART3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/Costing_Data/ST2001/Template2001/Inventory-YTD2000-Actual(12).xls" TargetMode="External"/><Relationship Id="rId1" Type="http://schemas.openxmlformats.org/officeDocument/2006/relationships/externalLinkPath" Target="/Costing_Data/ST2001/Template2001/Inventory-YTD2000-Actual(12)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/Treasury/Treasury/Balance_Forecast.xls" TargetMode="External"/><Relationship Id="rId1" Type="http://schemas.openxmlformats.org/officeDocument/2006/relationships/externalLinkPath" Target="/Treasury/Treasury/Balance_Forecast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/&#44256;&#44061;&#54924;&#49324;/&#49328;&#51008;&#52880;&#54588;&#53448;/2002/3&#48516;&#44592;/&#44048;&#49324;&#51312;&#49436;/&#54924;&#49324;&#51228;&#49884;/&#50808;&#54868;ABS/&#50808;&#54868;ABS_&#52572;&#51333;.xls" TargetMode="External"/><Relationship Id="rId1" Type="http://schemas.openxmlformats.org/officeDocument/2006/relationships/externalLinkPath" Target="/&#44256;&#44061;&#54924;&#49324;/&#49328;&#51008;&#52880;&#54588;&#53448;/2002/3&#48516;&#44592;/&#44048;&#49324;&#51312;&#49436;/&#54924;&#49324;&#51228;&#49884;/&#50808;&#54868;ABS/&#50808;&#54868;ABS_&#52572;&#51333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285;&#54840;\MY%20DOCUMENTS\11&#44592;%20&#44208;&#49328;&#44288;&#47144;\11&#44592;&#52649;&#45817;.3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nts%20and%20Settings/&#44608;&#54952;&#51221;/My%20Documents/&#44608;&#54952;&#51221;/&#45824;&#49457;&#51204;&#44592;%20IFRS/&#45824;&#49457;&#51204;&#44592;%20&#50672;&#44208;&#51221;&#49328;&#54364;_2011&#45380;%202Q/&#44288;&#44228;&#49324;%20&#51088;&#47308;_2011%202Q/&#45944;&#53581;/LS_PKG_&#45944;&#53581;%202010&#45380;%202Q.xls" TargetMode="External"/><Relationship Id="rId1" Type="http://schemas.openxmlformats.org/officeDocument/2006/relationships/externalLinkPath" Target="/Documents%20and%20Settings/&#44608;&#54952;&#51221;/My%20Documents/&#44608;&#54952;&#51221;/&#45824;&#49457;&#51204;&#44592;%20IFRS/&#45824;&#49457;&#51204;&#44592;%20&#50672;&#44208;&#51221;&#49328;&#54364;_2011&#45380;%202Q/&#44288;&#44228;&#49324;%20&#51088;&#47308;_2011%202Q/&#45944;&#53581;/LS_PKG_&#45944;&#53581;%202010&#45380;%202Q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Startup" Target="&#51109;&#44305;&#49688;/YB-F4/YB/&#44396;&#47588;/UTIL/INFOMAN/TEMP/~($()!%5e)/USER/ASYK/ENG-PROG/RENAULT/BOM/USER/LBS/T/T-END/TOTAL-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12;&#44152;\C\&#50644;&#51652;&#44396;&#46041;\&#51060;&#54812;&#44152;\&#51116;&#44256;&#48516;&#49437;\970831D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&#44277;&#44553;&#49444;&#48708;\&#45824;&#52404;\9703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&#54620;&#54868;&#54252;&#47532;&#47560;/&#54252;&#47532;&#47560;00&#44592;&#47568;.xls" TargetMode="External"/><Relationship Id="rId1" Type="http://schemas.openxmlformats.org/officeDocument/2006/relationships/externalLinkPath" Target="/My%20Documents/&#54620;&#54868;&#54252;&#47532;&#47560;/&#54252;&#47532;&#47560;00&#44592;&#4756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032;&#46360;\C\Infoman\TEMP\~($()!%5e)\2001\&#51228;&#54408;\2&#50900;\&#52392;&#48512;&#46321;&#4719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61;&#54924;\Y2K\&#51228;&#54408;\2&#50900;\&#52392;&#48512;&#46321;&#47197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7456;\AUPMVOL3\AUPMVOL3\DBLLPG\LPG&#54217;&#44032;\FBM&#52264;&#49884;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/Daily%20Operation/Borrowing.xls" TargetMode="External"/><Relationship Id="rId1" Type="http://schemas.openxmlformats.org/officeDocument/2006/relationships/externalLinkPath" Target="/data/Daily%20Operation/Borrow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4592;&#53440;\&#54801;&#51312;&#5120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652;&#49885;GJ\MY%20DOCUMENTS\WINDOWS\TEMP\AAA97\&#49345;&#48152;&#44592;\&#44277;&#52292;\&#48176;&#52824;&#44277;&#47928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WINDOWS\TEMP\WINDOWS\TEMP\HEXCEL\&#54788;&#54889;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/windows/TEMP/windows/TEMP/&#47932;&#47448;&#51088;&#51116;&#51333;&#54633;/&#54801;&#51312;&#50577;&#49885;.XLS" TargetMode="External"/><Relationship Id="rId1" Type="http://schemas.openxmlformats.org/officeDocument/2006/relationships/externalLinkPath" Target="/windows/TEMP/windows/TEMP/&#47932;&#47448;&#51088;&#51116;&#51333;&#54633;/&#54801;&#51312;&#50577;&#4988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AAA\WINDOWS\TEMP\DOS\1T\BUS\A1\96_3\KST\&#49548;&#54805;BUS\BUS&#51228;&#50896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652;\DATA\SAUP\SAUP\&#50696;&#52769;_&#44305;&#44256;&#49440;&#51204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hin\Citygas\SeAH\Kangnam\hanabank&#48708;&#4436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4048;&#49324;\2002&#45380;&#44048;&#49324;\&#54620;&#44397;&#50724;&#48156;\&#48152;&#44592;&#44160;&#53664;\il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&#44208;&#49328;&#51088;&#4730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EE\&#50696;&#49892;&#48372;&#44256;\96&#45380;&#50696;&#49892;\12&#50900;\&#49464;&#47785;&#52509;&#48324;.C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nts%20and%20Settings/hygen21/My%20Documents/&#55148;&#50980;&#47928;&#49436;/&#50980;'s%20&#47928;&#49436;/&#44048;&#49324;(2002)/&#51473;&#44036;&#44048;&#49324;2002/&#48317;&#49328;&#54168;&#51064;&#53944;(&#51452;)/&#51473;&#44036;&#44048;&#49324;-&#46041;&#51068;/&#50672;&#54633;&#52384;&#44053;/2000audit/&#44592;&#47568;&#44048;&#49324;/&#44277;&#50976;%20&#48143;%20Pbc/APPS/EXCEL/CAAP/ABB15296.XLS" TargetMode="External"/><Relationship Id="rId1" Type="http://schemas.openxmlformats.org/officeDocument/2006/relationships/externalLinkPath" Target="/Documents%20and%20Settings/hygen21/My%20Documents/&#55148;&#50980;&#47928;&#49436;/&#50980;'s%20&#47928;&#49436;/&#44048;&#49324;(2002)/&#51473;&#44036;&#44048;&#49324;2002/&#48317;&#49328;&#54168;&#51064;&#53944;(&#51452;)/&#51473;&#44036;&#44048;&#49324;-&#46041;&#51068;/&#50672;&#54633;&#52384;&#44053;/2000audit/&#44592;&#47568;&#44048;&#49324;/&#44277;&#50976;%20&#48143;%20Pbc/APPS/EXCEL/CAAP/ABB15296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2002&#44592;&#47568;/pack2002(yh_cspak).xls" TargetMode="External"/><Relationship Id="rId1" Type="http://schemas.openxmlformats.org/officeDocument/2006/relationships/externalLinkPath" Target="/My%20Documents/2002&#44592;&#47568;/pack2002(yh_cspak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9688;&#48520;&#49552;&#51061;\9614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&#44048;&#49324;/2000&#45380;&#44048;&#49324;/&#51088;&#50689;&#49328;&#50629;/A-file/My%20Documents/&#44048;&#49324;/2000&#45380;&#44048;&#49324;/Littauertech/dkims/A-file/Closing%20Template12..xls" TargetMode="External"/><Relationship Id="rId1" Type="http://schemas.openxmlformats.org/officeDocument/2006/relationships/externalLinkPath" Target="/My%20Documents/&#44048;&#49324;/2000&#45380;&#44048;&#49324;/&#51088;&#50689;&#49328;&#50629;/A-file/My%20Documents/&#44048;&#49324;/2000&#45380;&#44048;&#49324;/Littauertech/dkims/A-file/Closing%20Template12.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CCOUNT\DEPE\96&#47749;&#49464;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nts%20and%20Settings/hajahu/My%20Documents/CCKBC/02&#44592;&#47568;/01&#44592;&#47568;/2001&#45380;_&#44208;&#49328;_&#51228;&#47924;&#51228;&#54364;.xls" TargetMode="External"/><Relationship Id="rId1" Type="http://schemas.openxmlformats.org/officeDocument/2006/relationships/externalLinkPath" Target="/Documents%20and%20Settings/hajahu/My%20Documents/CCKBC/02&#44592;&#47568;/01&#44592;&#47568;/2001&#45380;_&#44208;&#49328;_&#51228;&#47924;&#51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980;&#51221;\IL\Kyj\PO\00PO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WINDOWS\TEMP\&#44592;&#50500;&#49688;&#51061;&#49457;\&#51116;&#47308;&#48708;LIST\99&#45380;\&#44036;&#51060;&#50672;&#46973;(&#54924;&#51032;&#53685;&#48372;&#49436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364;&#50689;&#44397;\&#51060;&#50896;&#49453;\&#47448;&#51652;&#54788;\EXCEL\ESOTOTAL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2002/BP%20Inc.%20AIM/Master%20file%20for%202002%20Budget%20a.xls" TargetMode="External"/><Relationship Id="rId1" Type="http://schemas.openxmlformats.org/officeDocument/2006/relationships/externalLinkPath" Target="/My%20Documents/2002/BP%20Inc.%20AIM/Master%20file%20for%202002%20Budget%20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4592;&#50629;&#54924;&#44228;\1998\&#52509;&#44228;&#51221;&#51221;&#49328;\&#44208;&#49328;98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/WF200/TMP/~TMP7233.$$$/WF200/TMP/~TMP5461.$$$/&#51116;&#47924;&#51228;&#54364;.xls" TargetMode="External"/><Relationship Id="rId1" Type="http://schemas.openxmlformats.org/officeDocument/2006/relationships/externalLinkPath" Target="/WF200/TMP/~TMP7233.$$$/WF200/TMP/~TMP5461.$$$/&#51116;&#47924;&#51228;&#543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48393;\&#51312;&#49436;\&#44256;&#44061;&#54924;&#49324;\ASI\99&#45380;\&#44592;&#47568;\&#47588;&#52636;&#52292;&#4442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4616;&#44592;&#51333;&#54633;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/&#50504;&#51648;&#50689;/&#48372;&#50500;&#49828;&#45367;/&#44592;&#47568;&#44048;&#49324;/FY2001/&#48372;&#50500;&#49828;&#45367;&#49884;&#49828;&#53596;(2001&#44592;&#47568;)f.XLS" TargetMode="External"/><Relationship Id="rId1" Type="http://schemas.openxmlformats.org/officeDocument/2006/relationships/externalLinkPath" Target="/&#50504;&#51648;&#50689;/&#48372;&#50500;&#49828;&#45367;/&#44592;&#47568;&#44048;&#49324;/FY2001/&#48372;&#50500;&#49828;&#45367;&#49884;&#49828;&#53596;(2001&#44592;&#47568;)f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44221;&#55148;\MY%20DOCUMENTS\WINDOWS\TEMP\RarDir0b.bsq\98S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ykchoi\My%20Documents\FY2001%20Interim,Year%20End\KGI&#51613;&#44428;\1st%20Half%20Review\J.H.%20Ha\My%20Documents\&#46041;&#49457;&#54868;&#54617;\99YE\99A4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6831\&#44277;&#50976;&#54028;&#51068;\My%20Documents\&#51060;&#49849;&#51312;\&#54032;&#44288;&#48708;\98&#49324;&#50629;\&#52509;&#4792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\OKK\J-100\&#51652;&#46020;&#44288;2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nts%20and%20Settings/jeong-hee.lee/Desktop/&#51312;&#49436;%20&#46321;/&#45824;&#49457;&#51204;&#44592;/2007/&#51473;&#44036;&#44048;&#49324;/&#51312;&#49436;/&#51204;&#44592;&#44592;&#47568;&#44048;&#49324;/PBC/&#54032;&#47588;&#48372;&#51613;&#52649;&#45817;&#44552;(06&#45380;)_QM&#51089;&#49457;.xls" TargetMode="External"/><Relationship Id="rId1" Type="http://schemas.openxmlformats.org/officeDocument/2006/relationships/externalLinkPath" Target="/Documents%20and%20Settings/jeong-hee.lee/Desktop/&#51312;&#49436;%20&#46321;/&#45824;&#49457;&#51204;&#44592;/2007/&#51473;&#44036;&#44048;&#49324;/&#51312;&#49436;/&#51204;&#44592;&#44592;&#47568;&#44048;&#49324;/PBC/&#54032;&#47588;&#48372;&#51613;&#52649;&#45817;&#44552;(06&#45380;)_QM&#51089;&#49457;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&#45824;&#45909;&#51204;&#51088;/dde98.xls" TargetMode="External"/><Relationship Id="rId1" Type="http://schemas.openxmlformats.org/officeDocument/2006/relationships/externalLinkPath" Target="/My%20Documents/&#45824;&#45909;&#51204;&#51088;/dde98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Documents%20and%20Settings\ykchoi\My%20Documents\FY2001%20Interim,Year%20End\KGI&#51613;&#44428;\1st%20Half%20Review\J.H.%20Ha\&#51228;&#47924;&#51116;&#54364;(&#51228;&#51312;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49444;&#44048;~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9688;&#52636;&#49892;&#51201;%20&#48143;%20&#44228;&#54925;\2000&#49688;&#52636;&#49892;&#51201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1456;\MY%20DOCUMENTS\&#45208;&#51032;&#50629;&#47924;&#46308;\&#49345;&#54408;&#49688;&#48520;\2003&#45380;&#49688;&#48520;\&#49345;&#54408;&#44277;&#51221;&#48176;&#48516;03&#45380;1&#48516;&#4459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1456;\MY%20DOCUMENTS\&#45208;&#51032;&#50629;&#47924;&#46308;\&#49345;&#54408;&#49688;&#48520;\2003&#45380;&#49688;&#48520;\&#49345;&#54408;&#49688;&#48520;%2002&#50900;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(2010&#45380;)/&#44208;&#49328;&#44288;&#47144;/2010&#45380;/&#44208;&#49328;&#48372;&#44256;&#49436;(38&#44592;)/&#51088;&#47308;&#48177;&#50629;/data/&#44208;&#49328;/&#44208;&#49328;/2005&#45380;&#44208;&#49328;&#48143;&#44048;&#49324;/&#51088;&#47308;&#48177;&#50629;/data/&#44208;&#49328;/&#44208;&#49328;/2003&#45380;&#44208;&#49328;.xls" TargetMode="External"/><Relationship Id="rId1" Type="http://schemas.openxmlformats.org/officeDocument/2006/relationships/externalLinkPath" Target="/Data%20(2010&#45380;)/&#44208;&#49328;&#44288;&#47144;/2010&#45380;/&#44208;&#49328;&#48372;&#44256;&#49436;(38&#44592;)/&#51088;&#47308;&#48177;&#50629;/data/&#44208;&#49328;/&#44208;&#49328;/2005&#45380;&#44208;&#49328;&#48143;&#44048;&#49324;/&#51088;&#47308;&#48177;&#50629;/data/&#44208;&#49328;/&#44208;&#49328;/2003&#45380;&#44208;&#49328;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~1/ADMINI~1/LOCALS~1/Temp/Domino%20Web%20Access/XY8JdGiLivgkclhj/&#51088;&#47308;&#48177;&#50629;/data/&#44208;&#49328;/&#44208;&#49328;/2005&#45380;&#44208;&#49328;&#48143;&#44048;&#49324;/&#51088;&#47308;&#48177;&#50629;/data/&#44208;&#49328;/&#44208;&#49328;/2003&#45380;&#44208;&#49328;.xls" TargetMode="External"/><Relationship Id="rId1" Type="http://schemas.openxmlformats.org/officeDocument/2006/relationships/externalLinkPath" Target="/DOCUME~1/ADMINI~1/LOCALS~1/Temp/Domino%20Web%20Access/XY8JdGiLivgkclhj/&#51088;&#47308;&#48177;&#50629;/data/&#44208;&#49328;/&#44208;&#49328;/2005&#45380;&#44208;&#49328;&#48143;&#44048;&#49324;/&#51088;&#47308;&#48177;&#50629;/data/&#44208;&#49328;/&#44208;&#49328;/2003&#45380;&#44208;&#49328;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/WINDOWS/TEMP/20&#44048;&#49324;.xls" TargetMode="External"/><Relationship Id="rId1" Type="http://schemas.openxmlformats.org/officeDocument/2006/relationships/externalLinkPath" Target="/WINDOWS/TEMP/20&#44048;&#49324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44221;&#55148;\&#44277;&#50976;\&#44221;&#47532;&#44536;&#47353;\(&#50577;&#51648;&#50689;)4&#50900;&#51221;&#44592;&#44208;&#512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44221;&#55148;\&#44277;&#50976;\&#44221;&#47532;&#44536;&#47353;\(&#50577;&#51648;&#50689;)1&#50900;&#51221;&#44592;&#44208;&#5122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44221;&#55148;\&#44221;&#47532;&#44536;&#47353;\(&#50577;&#51648;&#50689;)2&#50900;&#51221;&#44592;&#44208;&#5122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&#51060;&#51648;&#51008;\&#48376;&#49324;&#54924;&#51032;&#51088;&#47308;\&#48120;&#48156;&#54665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backup\&#47448;&#51648;&#50689;&#51077;&#45768;&#45796;\SAL\99TOTA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6160;&#49885;\MIN\HEXCEL\MIN\ROTHSCHILD\99&#45380;%20&#51064;&#44148;&#48708;&#50696;&#49328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1456;\MY%20DOCUMENTS\&#45208;&#51032;&#50629;&#47924;&#46308;\03&#45380;&#49688;&#48520;\03&#44277;&#51221;&#48176;&#48516;.xls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/&#45208;&#51032;&#48156;&#51088;&#52712;/&#54644;&#50577;&#46020;&#49884;&#44032;&#49828;/&#44592;&#47568;&#44048;&#49324;%202003.1.27-1.29/&#54644;&#50577;&#46020;&#49884;&#44032;&#49828;/&#44592;&#47568;&#44048;&#49324;%202003.1.27-/&#54644;&#50577;_&#44208;&#49328;&#47749;&#49464;_2002_09.xls" TargetMode="External"/><Relationship Id="rId1" Type="http://schemas.openxmlformats.org/officeDocument/2006/relationships/externalLinkPath" Target="/&#45208;&#51032;&#48156;&#51088;&#52712;/&#54644;&#50577;&#46020;&#49884;&#44032;&#49828;/&#44592;&#47568;&#44048;&#49324;%202003.1.27-1.29/&#54644;&#50577;&#46020;&#49884;&#44032;&#49828;/&#44592;&#47568;&#44048;&#49324;%202003.1.27-/&#54644;&#50577;_&#44208;&#49328;&#47749;&#49464;_2002_0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@ZZ-YONG\%23sett-97\&#44208;&#49328;&#44288;&#47144;\&#50672;&#47568;&#44208;&#49328;\@office97\97&#44592;&#47568;-&#51116;&#47924;&#51228;&#54364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396;&#44204;\&#44592;&#50629;&#54924;&#44228;\1999\99&#44221;&#50689;&#44288;&#47532;\99&#45380;&#46020;%20&#49552;&#51061;&#48516;&#49437;\1999&#49552;&#51061;&#48516;&#49437;base&#51088;&#47308;.xl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/&#44048;&#49324;/&#44048;&#49324;/&#54620;&#44397;&#50724;&#47336;&#44053;&#52840;(&#51452;)/2000&#45380;/&#44592;&#47568;&#44048;&#49324;/My%20Documents/2000&#45380;/&#51116;&#47924;&#51228;&#54364;.xls" TargetMode="External"/><Relationship Id="rId1" Type="http://schemas.openxmlformats.org/officeDocument/2006/relationships/externalLinkPath" Target="/&#44048;&#49324;/&#44048;&#49324;/&#54620;&#44397;&#50724;&#47336;&#44053;&#52840;(&#51452;)/2000&#45380;/&#44592;&#47568;&#44048;&#49324;/My%20Documents/2000&#45380;/&#51116;&#47924;&#51228;&#54364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w214\d\LSP%2098&#51060;&#51204;&#47928;&#49436;\97&#44208;&#49328;&#52572;&#51333;(&#54924;&#44228;&#54016;)\97&#45380;&#51228;4&#44592;&#51116;&#47924;&#51228;&#54364;(&#52636;&#47141;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1648;&#50689;\2002\&#51221;&#49328;200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jhyeom\Local%20Settings\Temporary%20Internet%20Files\OLK66\2001.1&#44208;&#49328;(&#53748;&#51649;&#44552;&#52628;&#44228;&#50529;).xls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&#44592;&#46972;&#51221;&#48372;&#53685;&#49888;/M-&#50900;&#49552;&#51061;.XLS" TargetMode="External"/><Relationship Id="rId1" Type="http://schemas.openxmlformats.org/officeDocument/2006/relationships/externalLinkPath" Target="/My%20Documents/&#44592;&#46972;&#51221;&#48372;&#53685;&#49888;/M-&#50900;&#49552;&#51061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4592;&#50629;&#54924;&#44228;\2001\&#48152;&#44592;%20&#48372;&#44256;\&#48152;&#44592;&#51312;&#51221;&#49324;&#54637;\&#53748;&#51649;&#44553;&#50668;(2000.12.31)orig.xls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/Infoman/TEMP/~($()!%5e)/&#51116;&#44256;&#48516;&#49437;(&#49569;1).xls" TargetMode="External"/><Relationship Id="rId1" Type="http://schemas.openxmlformats.org/officeDocument/2006/relationships/externalLinkPath" Target="/Infoman/TEMP/~($()!%5e)/&#51116;&#44256;&#48516;&#49437;(&#49569;1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285;&#54840;\MY%20DOCUMENTS\&#54924;&#44228;\13&#44592;\3&#48516;&#44592;%20&#44032;&#44208;&#49328;\&#54924;&#44228;\12&#44592;\&#51228;12&#44592;&#48376;&#44208;&#49328;\12&#44592;&#48376;&#44208;&#49328;&#52649;&#45817;&#52572;&#51333;xl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285;&#54840;\MY%20DOCUMENTS\My%20Documents\&#54924;&#44228;\12&#44592;\&#51228;12&#44592;&#48376;&#44208;&#49328;\12&#44592;&#48376;&#44208;&#49328;&#52649;&#45817;&#52572;&#51333;xl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4592;&#50629;&#54924;&#44228;\1998&#45380;\&#52509;&#44228;&#51221;&#51221;&#49328;\&#44208;&#49328;98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4592;&#50629;&#54924;&#44228;\2001\&#48152;&#44592;%20&#48372;&#44256;\&#48152;&#44592;&#51312;&#51221;&#49324;&#54637;\&#53748;&#51649;&#44553;&#50668;&#52649;&#45817;&#44552;(01.6.30)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&#44592;&#46972;&#51221;&#48372;&#53685;&#49888;/My%20Documents/&#54924;&#49324;&#51088;&#47308;/Excel%20&#51088;&#47308;/1998&#45380;%20&#44208;&#49328;&#51088;&#47308;/12&#50900;%20&#45380;&#47568;&#44208;&#49328;&#51088;&#47308;/&#51068;&#48152;&#51088;&#47308;/&#51116;&#47924;&#51228;&#54364;-&#45817;&#44592;%20&#51204;&#44592;%20&#48708;&#44368;&#49885;.xls" TargetMode="External"/><Relationship Id="rId1" Type="http://schemas.openxmlformats.org/officeDocument/2006/relationships/externalLinkPath" Target="/My%20Documents/&#44592;&#46972;&#51221;&#48372;&#53685;&#49888;/My%20Documents/&#54924;&#49324;&#51088;&#47308;/Excel%20&#51088;&#47308;/1998&#45380;%20&#44208;&#49328;&#51088;&#47308;/12&#50900;%20&#45380;&#47568;&#44208;&#49328;&#51088;&#47308;/&#51068;&#48152;&#51088;&#47308;/&#51116;&#47924;&#51228;&#54364;-&#45817;&#44592;%20&#51204;&#44592;%20&#48708;&#44368;&#4988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AAA\&#44608;&#54840;&#53468;\SR-1&#53668;&#53944;\&#51068;&#51221;\&#49373;&#49328;&#51456;&#48708;\&#44608;&#49345;&#44368;\&#54924;&#49324;&#50577;&#49885;\&#50577;&#4988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285;&#54840;\MY%20DOCUMENTS\&#54924;&#44228;\13&#44592;\3&#48516;&#44592;%20&#44032;&#44208;&#49328;\&#54924;&#44228;\13&#44592;\1&#48516;&#44592;%20&#44032;&#44208;&#49328;\&#47532;&#49828;&#44148;&#51204;&#49457;(&#51312;&#51221;1-&#54788;&#50629;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9688;&#52636;&#49892;&#51201;%20&#48143;%20&#44228;&#54925;\99&#49688;&#52636;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/Infoman/TEMP/~($()!%5e)/2000&#45380;11&#50900;%20&#51116;&#44256;&#48516;&#49437;%20&#51088;&#47308;.xls" TargetMode="External"/><Relationship Id="rId1" Type="http://schemas.openxmlformats.org/officeDocument/2006/relationships/externalLinkPath" Target="/Infoman/TEMP/~($()!%5e)/2000&#45380;11&#50900;%20&#51116;&#44256;&#48516;&#49437;%20&#51088;&#47308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EXCEL\INVEST\&#44228;&#54925;\96&#44228;&#54925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WINDOWS\TEMP\WINDOWS\TEMP\INVEST\&#44228;&#54925;\&#44228;&#54925;\EXCEL\INVEST\&#44228;&#54925;\96&#44228;&#54925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4592;&#50629;&#54924;&#44228;\2001\&#48152;&#44592;%20&#48372;&#44256;\&#48152;&#44592;&#51312;&#51221;&#49324;&#54637;\&#53748;&#51649;&#44552;&#52628;&#44228;&#50529;(99.12.31).xls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/Quality/ISO9001/spec/en-spec/'96COST/PLAN/4&#50900;&#49892;&#54665;.XLS" TargetMode="External"/><Relationship Id="rId1" Type="http://schemas.openxmlformats.org/officeDocument/2006/relationships/externalLinkPath" Target="/Quality/ISO9001/spec/en-spec/'96COST/PLAN/4&#50900;&#49892;&#54665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ykchoi\My%20Documents\FY2001%20Interim,Year%20End\KGI&#51613;&#44428;\1st%20Half%20Review\J.H.%20Ha\&#51228;&#47924;&#51116;&#54364;(&#51228;&#51312;).xls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&#44592;&#46972;&#51221;&#48372;&#53685;&#49888;/My%20Documents/&#54924;&#49324;&#51088;&#47308;/Excel%20&#51088;&#47308;/1997&#45380;%20&#44208;&#49328;&#51088;&#47308;/12&#50900;%20&#45380;&#47568;&#44208;&#49328;&#51088;&#47308;/&#51116;&#47924;&#51228;&#54364;-&#48708;&#44368;&#49885;.xls" TargetMode="External"/><Relationship Id="rId1" Type="http://schemas.openxmlformats.org/officeDocument/2006/relationships/externalLinkPath" Target="/My%20Documents/&#44592;&#46972;&#51221;&#48372;&#53685;&#49888;/My%20Documents/&#54924;&#49324;&#51088;&#47308;/Excel%20&#51088;&#47308;/1997&#45380;%20&#44208;&#49328;&#51088;&#47308;/12&#50900;%20&#45380;&#47568;&#44208;&#49328;&#51088;&#47308;/&#51116;&#47924;&#51228;&#54364;-&#48708;&#44368;&#49885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\Work%20Paper\TRW%20C&amp;F\A-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285;&#54840;\MY%20DOCUMENTS\&#54924;&#44228;\13&#44592;\3&#48516;&#44592;%20&#44032;&#44208;&#49328;\12&#44592;&#48376;&#44208;&#49328;&#52649;&#45817;&#52572;&#51333;xls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(2010&#45380;)/&#44208;&#49328;&#44288;&#47144;/2010&#45380;/&#44208;&#49328;&#48372;&#44256;&#49436;(38&#44592;)/&#51088;&#47308;&#48177;&#50629;/data/&#44208;&#49328;/&#44208;&#49328;/2005&#45380;&#44208;&#49328;&#48143;&#44048;&#49324;/&#51088;&#47308;&#48177;&#50629;/data/&#44208;&#49328;/&#44208;&#49328;/2003&#45380;&#44208;&#49328;&#47749;&#49464;&#49436;.xls" TargetMode="External"/><Relationship Id="rId1" Type="http://schemas.openxmlformats.org/officeDocument/2006/relationships/externalLinkPath" Target="/Data%20(2010&#45380;)/&#44208;&#49328;&#44288;&#47144;/2010&#45380;/&#44208;&#49328;&#48372;&#44256;&#49436;(38&#44592;)/&#51088;&#47308;&#48177;&#50629;/data/&#44208;&#49328;/&#44208;&#49328;/2005&#45380;&#44208;&#49328;&#48143;&#44048;&#49324;/&#51088;&#47308;&#48177;&#50629;/data/&#44208;&#49328;/&#44208;&#49328;/2003&#45380;&#44208;&#49328;&#47749;&#49464;&#49436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285;&#54840;\MY%20DOCUMENTS\&#54924;&#44228;\13&#44592;\3&#48516;&#44592;%20&#44032;&#44208;&#49328;\&#51204;&#49328;&#51088;&#47308;\13&#44592;%202&#48516;&#44592;%20&#44032;&#44208;&#49328;\&#44288;&#47532;&#54637;&#47785;&#48324;&#51092;&#50529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110102\c\EXCEL\&#44208;&#49328;\&#52292;&#44428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MSOFFICE\EXCEL\&#44036;&#51060;2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980;&#51221;\&#44208;&#49328;&#50857;\KYJ\Il\FACTORING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49440;\&#47588;&#52636;\documents\SYO\&#44208;&#49328;&#44288;&#47144;\95LIST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sgw.dsec.co.kr/03&#44208;&#49328;&amp;04&#51092;&#50529;&#47749;&#49464;&#49436;/2004&#45380;12&#50900;&#51092;&#50529;&#47749;&#49464;&#49436;(&#44208;&#49328;)/&#48120;&#51648;&#44553;&#48708;&#50857;(&#50808;&#54868;)&#50672;&#49688;&#49373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KLEE\&#51116;&#47924;&#51228;&#54364;A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YH\99&#45380;\MSOFFICE\EXCEL\&#44036;&#51060;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5883\&#47928;&#49436;&#54632;\WINDOWS\TEMP\WINDOWS\TEMP\9899&#49373;&#49328;&#48169;&#49885;\HEE-DONG\&#44592;&#53440;\&#54801;&#51312;&#51204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44221;&#55148;\MY%20DOCUMENTS\My%20Documents\My%20Documents\2&#51064;&#49324;\&#44553;&#50668;\2001&#45380;\2001&#44553;&#50668;TOTAL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kdcg\&#51088;&#49328;&#51116;&#54217;&#44032;\&#44277;&#44553;&#49444;&#48708;&#48156;&#49373;&#45236;&#50669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976;&#51652;\C\mydoc\My%20Documents\98&#50900;&#52264;&#49552;&#51061;&#51089;&#49457;.xls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ocuments/&#44048;&#49324;/&#44592;&#47568;&#44048;&#49324;2002/(&#51452;)&#51228;&#51076;&#49828;&#53581;/2002/My%20Documents(&#50980;&#52384;)/KANG/&#44208;&#49328;/99&#54616;&#48152;&#44592;/99&#49464;&#47924;&#51312;&#51221;(&#44060;)/3.%20&#50577;&#49885;%208-2.XLS" TargetMode="External"/><Relationship Id="rId1" Type="http://schemas.openxmlformats.org/officeDocument/2006/relationships/externalLinkPath" Target="/My%20Documents/&#44048;&#49324;/&#44592;&#47568;&#44048;&#49324;2002/(&#51452;)&#51228;&#51076;&#49828;&#53581;/2002/My%20Documents(&#50980;&#52384;)/KANG/&#44208;&#49328;/99&#54616;&#48152;&#44592;/99&#49464;&#47924;&#51312;&#51221;(&#44060;)/3.%20&#50577;&#49885;%208-2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_seong\c\97\&#50836;&#50557;\MH96&#44228;&#54925;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/2002&#51473;&#44036;&amp;&#44592;&#47568;/2002&#44160;&#53664;/&#54392;&#47480;&#49345;&#54840;&#51200;&#52629;&#51008;&#54665;/2002-9-30/&#50629;&#47924;&#54260;&#45908;/&#44048;&#49324;&#48372;&#44256;&#49436;&#52572;&#51333;/KET/&#49340;&#54868;95.XLS" TargetMode="External"/><Relationship Id="rId1" Type="http://schemas.openxmlformats.org/officeDocument/2006/relationships/externalLinkPath" Target="/2002&#51473;&#44036;&amp;&#44592;&#47568;/2002&#44160;&#53664;/&#54392;&#47480;&#49345;&#54840;&#51200;&#52629;&#51008;&#54665;/2002-9-30/&#50629;&#47924;&#54260;&#45908;/&#44048;&#49324;&#48372;&#44256;&#49436;&#52572;&#51333;/KET/&#49340;&#54868;95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49440;\&#47588;&#52636;\&#47588;&#52636;1997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44221;&#55148;\MY%20DOCUMENTS\My%20Documents\My%20Documents\2&#51064;&#49324;\&#44553;&#50668;\2001&#44553;&#50668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396;&#44204;\&#52509;&#44228;&#51221;&#51221;&#49328;\&#44208;&#49328;&#51088;&#47308;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&#44592;&#50629;&#54924;&#44228;\2000\&#48152;&#44592;&#48372;&#44256;\My%20Documents\&#44221;&#47532;\95LIS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9457;&#49689;\EXCEL\My%20Documents\&#44221;&#47532;\95LIST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46041;&#44592;\&#44048;&#49324;&#51456;&#48708;&#51088;&#47308;\My%20Documents\&#51088;&#44552;&#44288;&#47532;\'98&#44592;%20%20%20%20%20%20%20&#53440;\&#49688;&#54364;&#50612;&#51020;.XLS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/&#46608;&#48177;&#50629;/&#50896;&#44032;/2004&#45380;%206&#50900;%20&#51228;&#54408;&#49688;&#48520;&#48512;(&#49345;&#48152;&#44592;&#52572;&#51333;).xls" TargetMode="External"/><Relationship Id="rId1" Type="http://schemas.openxmlformats.org/officeDocument/2006/relationships/externalLinkPath" Target="/&#46608;&#48177;&#50629;/&#50896;&#44032;/2004&#45380;%206&#50900;%20&#51228;&#54408;&#49688;&#48520;&#48512;(&#49345;&#48152;&#44592;&#52572;&#51333;)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FA-01\&#44288;&#47532;&#44536;&#47353;\&#44277;&#51109;&#44396;&#47588;.xls\&#48156;&#51452;LIST\&#49884;&#54744;&#44160;&#49324;&#48708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&#44277;&#44553;&#49444;&#48708;\&#45824;&#52404;\9703-1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0;&#51452;&#49453;\Y2K\&#51613;&#47749;&#50836;&#52397;&#50629;&#47924;&#50672;&#46973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96;\&#51088;&#44552;&#44288;&#47144;&#48372;&#44256;\Infoman\TEMP\~($()!%5e)\&#51333;&#54633;&#52572;&#51333;\&#51221;&#48708;119&#54788;&#51116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ps-1\c\WORK\&#54620;&#50500;&#47492;\&#54217;&#44032;&#48372;&#44256;&#49436;(&#52572;&#51333;)\&#50668;&#49888;&#52509;&#44292;&#54364;-3(&#49457;&#50685;&#51228;&#50808;)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Documents%20and%20Settings\jin-il.an\My%20Documents\&#54924;&#49324;&#51312;&#49436;\&#44592;&#47568;&#44048;&#49324;\&#54620;&#44397;&#50724;&#48156;&#44592;&#47568;&#44048;&#49324;\2004\&#51204;&#44592;&#51312;&#49436;\2003&#44592;&#47568;\Data\My%20Documents\&#44592;&#50629;&#54924;&#44228;\2002\&#48152;&#44592;&#48372;&#44256;\&#48152;&#44592;&#51312;&#51221;&#49324;&#54637;\&#47588;&#52636;&#52292;&#44428;&#51088;&#47308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JOO\EXCEL\&#44228;&#51221;&#44288;&#47532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285;&#54840;\MY%20DOCUMENTS\&#51204;&#49328;&#51088;&#47308;\13&#44592;%201&#48516;&#44592;%20&#44032;&#44208;&#49328;\&#50672;&#52404;&#47532;&#49828;&#47308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6160;&#49885;\MIN\&#49688;&#51221;&#49324;&#50629;&#44228;&#54925;99\99&#51064;&#50896;&#44228;&#54925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285;&#54840;\MY%20DOCUMENTS\&#54924;&#44228;\13&#44592;\3&#48516;&#44592;%20&#44032;&#44208;&#49328;\&#54924;&#44228;\13&#44592;\1&#48516;&#44592;%20&#44032;&#44208;&#49328;\&#47532;&#49828;&#44148;&#51204;&#49457;1.xls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/WINDOWS/Temporary%20Internet%20Files/Content.IE5/O96J0TMF/&#50976;&#44032;&#51613;&#44428;2001..XLS" TargetMode="External"/><Relationship Id="rId1" Type="http://schemas.openxmlformats.org/officeDocument/2006/relationships/externalLinkPath" Target="/WINDOWS/Temporary%20Internet%20Files/Content.IE5/O96J0TMF/&#50976;&#44032;&#51613;&#44428;2001.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49440;\&#47588;&#52636;\&#47588;&#52636;1998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45236;%20&#49436;&#47448;%20&#44032;&#48169;\&#44048;&#49324;&#50577;&#49885;\&#54620;&#49464;&#44032;&#44396;A4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Documents%20and%20Settings\jin-il.an\My%20Documents\&#54924;&#49324;&#51312;&#49436;\&#44592;&#47568;&#44048;&#49324;\&#51064;&#44508;&#48652;&#53580;&#53356;%20&#44592;&#47568;&#44048;&#49324;\2003&#45380;&#44048;&#49324;\&#54620;&#44397;&#50724;&#48156;\&#44552;&#44048;&#50896;&#44048;&#47532;\&#54620;&#44397;&#50724;&#48156;\&#44592;&#50629;&#54924;&#44228;\2002\&#52509;&#44228;&#51221;\&#53748;&#51649;&#44553;&#50668;(02.12.31)-&#44221;&#47532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Documents%20and%20Settings\jin-il.an\My%20Documents\&#54924;&#49324;&#51312;&#49436;\&#44592;&#47568;&#44048;&#49324;\&#54620;&#44397;&#50724;&#48156;&#44592;&#47568;&#44048;&#49324;\2004\&#51204;&#44592;&#51312;&#49436;\2003&#44592;&#47568;\Data\My%20Documents\&#44592;&#50629;&#54924;&#44228;\2002\&#48152;&#44592;&#48372;&#44256;\&#48152;&#44592;&#51312;&#51221;&#49324;&#54637;\&#44592;&#52488;&#51088;&#47308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5883\&#47928;&#49436;&#54632;\WINDOWS\TEMP\WINDOWS\TEMP\9899&#49373;&#49328;&#48169;&#49885;\HEE-DONG\&#49688;&#48520;&#49552;&#51061;\9614\&#49688;&#48520;&#45236;&#49688;.14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CRO2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_06\&#44288;&#47532;&#44536;&#47353;\WINDOWS\TEMP\My%20Documents\1&#44396;&#47588;\&#48120;&#44208;&#51228;.xls" TargetMode="External"/></Relationships>
</file>

<file path=xl/externalLinks/_rels/externalLink159.xml.rels><?xml version="1.0" encoding="UTF-8" standalone="yes"?>
<Relationships xmlns="http://schemas.openxmlformats.org/package/2006/relationships"><Relationship Id="rId2" Type="http://schemas.openxmlformats.org/officeDocument/2006/relationships/externalLinkPath" Target="/WINDOWS/&#48148;&#53461;%20&#54868;&#47732;/&#45236;%20&#49436;&#47448;%20&#44032;&#48169;/&#44048;&#49324;&#50577;&#49885;/&#54620;&#49464;&#44032;&#44396;A4.xls" TargetMode="External"/><Relationship Id="rId1" Type="http://schemas.openxmlformats.org/officeDocument/2006/relationships/externalLinkPath" Target="/WINDOWS/&#48148;&#53461;%20&#54868;&#47732;/&#45236;%20&#49436;&#47448;%20&#44032;&#48169;/&#44048;&#49324;&#50577;&#49885;/&#54620;&#49464;&#44032;&#44396;A4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85;&#50896;\&#51088;&#44552;&#44288;&#47144;&#48372;&#44256;\Infoman\TEMP\~($()!%5e)\&#51221;&#48708;119&#54788;&#51116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648;&#50689;\&#44277;&#50976;\&#44221;&#47532;&#44536;&#47353;\(&#50577;&#51648;&#50689;)12&#50900;&#51221;&#44592;&#44208;&#51228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_06\&#44288;&#47532;&#44536;&#47353;\EXCEL\YOUNG\97&#44396;&#47588;&#50629;\&#54644;&#44552;&#52380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My%20Documents\My%20Documents\&#44592;&#50629;&#54924;&#44228;\2000\&#52509;&#44228;&#51221;&#51221;&#49328;\&#53748;&#51649;&#44553;&#50668;(2000.12.31)orig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Documents%20and%20Settings\jin-il.an\My%20Documents\&#54924;&#49324;&#51312;&#49436;\&#44592;&#47568;&#44048;&#49324;\&#51064;&#44508;&#48652;&#53580;&#53356;%20&#44592;&#47568;&#44048;&#49324;\&#44592;&#50629;&#54924;&#44228;\2002\&#52509;&#44228;&#51221;\02.&#50808;&#54868;&#50808;&#49345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56;&#44061;&#54924;&#49324;\&#49328;&#51008;&#52880;&#54588;&#53448;\2003\&#48152;&#44592;\&#49324;&#50629;&#44228;&#54925;_&#51648;&#51452;F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&#50896;&#44032;&#48516;&#49437;\&#49688;&#48520;&#48324;\95\&#50896;&#44032;&#53685;&#48372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HINBYUNGHO\aws\WINDOWS\Temporary%20Internet%20Files\OLKA352\&#44553;&#50668;(2002)-1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/windows/TEMP/windows/TEMP/My%20Documents/PT&#44277;&#51109;&#50896;&#44032;/&#50696;&#49328;/0TWPDATA/97SCD/&#44592;&#44277;&#49688;&#51061;.XLS" TargetMode="External"/><Relationship Id="rId1" Type="http://schemas.openxmlformats.org/officeDocument/2006/relationships/externalLinkPath" Target="/windows/TEMP/windows/TEMP/My%20Documents/PT&#44277;&#51109;&#50896;&#44032;/&#50696;&#49328;/0TWPDATA/97SCD/&#44592;&#44277;&#49688;&#51061;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&#54408;&#51032;&#49436;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49440;\&#47588;&#52636;\documents\SYO\&#44208;&#49328;&#44288;&#47144;\97&#44208;&#49328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648;&#50689;\&#44277;&#50976;\JOO\SISAN\&#51116;&#47924;956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9829\c\AAA\&#44608;&#54840;&#53468;\SR-1&#53668;&#53944;\&#51068;&#51221;\&#49373;&#49328;&#51456;&#48708;\ILY\LC&#54200;&#49457;&#54364;\ILY\&#54616;&#44592;&#51333;&#54633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openxmlformats.org/officeDocument/2006/relationships/externalLinkPath" Target="/&#46972;&#49849;&#51652;/&#44221;&#47532;/2000&#44208;&#49328;/&#44208;&#49328;&#49436;.xls" TargetMode="External"/><Relationship Id="rId1" Type="http://schemas.openxmlformats.org/officeDocument/2006/relationships/externalLinkPath" Target="/&#46972;&#49849;&#51652;/&#44221;&#47532;/2000&#44208;&#49328;/&#44208;&#49328;&#49436;.xls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/WF200/TMP/~TMP7233.$$$/WF200/TMP/~TMP7201.$$$/YEAR/YEAR99/&#50900;&#52264;&#44208;&#49328;/&#44277;&#49324;&#54788;&#54889;2.xls" TargetMode="External"/><Relationship Id="rId1" Type="http://schemas.openxmlformats.org/officeDocument/2006/relationships/externalLinkPath" Target="/WF200/TMP/~TMP7233.$$$/WF200/TMP/~TMP7201.$$$/YEAR/YEAR99/&#50900;&#52264;&#44208;&#49328;/&#44277;&#49324;&#54788;&#54889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표지"/>
      <sheetName val="99총괄"/>
      <sheetName val="추정"/>
      <sheetName val="총괄"/>
      <sheetName val="98대비"/>
      <sheetName val="부품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증금(기타)"/>
      <sheetName val="보증금(전세)"/>
      <sheetName val="장기임대보증금"/>
      <sheetName val="보증금(회원권)"/>
      <sheetName val="예치보증금"/>
      <sheetName val="보증금(전신전화)"/>
      <sheetName val="보증금(전신전화)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투자유가증권 (2)"/>
      <sheetName val="현금과예금"/>
      <sheetName val="장기금융상품"/>
      <sheetName val="종단"/>
      <sheetName val="가지급금기타"/>
      <sheetName val="국외출장비"/>
      <sheetName val="수출입통관"/>
      <sheetName val="LEASE"/>
      <sheetName val="LEASE (2)"/>
      <sheetName val="적금미수"/>
      <sheetName val="리스선급"/>
      <sheetName val="유가미수"/>
      <sheetName val="미수수익"/>
      <sheetName val="이자선급비용"/>
      <sheetName val="무역금융"/>
      <sheetName val="미지급이자"/>
      <sheetName val="12월외화평가DATA"/>
      <sheetName val="단기차입금"/>
      <sheetName val="유동성차입금 (2)"/>
      <sheetName val="유동성차입금"/>
      <sheetName val="장기차입금"/>
      <sheetName val="자본금"/>
      <sheetName val="종업원단기대여금"/>
      <sheetName val="투자유가증권"/>
      <sheetName val="2004전자매출 (2)"/>
      <sheetName val="2004전자매출"/>
      <sheetName val="구매카드매출"/>
      <sheetName val="0312 (2)"/>
      <sheetName val="구매자카드매출2"/>
      <sheetName val="구매카드매입"/>
      <sheetName val="구.카 명세"/>
      <sheetName val="받을어음"/>
      <sheetName val="받.어 명세"/>
      <sheetName val="지급어음"/>
      <sheetName val="지.어 명세"/>
      <sheetName val="선급금기타명세"/>
      <sheetName val="200312 (2)"/>
      <sheetName val="2004 (2)"/>
      <sheetName val="유가증권2004년"/>
      <sheetName val="장기차입금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9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의실신청"/>
      <sheetName val="기안"/>
      <sheetName val="Sal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98.12.29"/>
      <sheetName val="2000.7.3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Plan_Actual"/>
      <sheetName val="원부재료"/>
      <sheetName val="시산표"/>
      <sheetName val="118.세금과공과"/>
      <sheetName val="108.수선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율"/>
      <sheetName val="W-현원가"/>
      <sheetName val="R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1"/>
      <sheetName val="0002"/>
      <sheetName val="0006"/>
      <sheetName val="Sheet1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PL"/>
      <sheetName val="시산표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경조"/>
      <sheetName val="02.05.09"/>
      <sheetName val="2002.04"/>
      <sheetName val="일일업무"/>
      <sheetName val="020510"/>
      <sheetName val="020502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A_100__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_x0000__x0000_ZL£_x0003_0®"/>
      <sheetName val="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_x0000__xd800_ᐲ"/>
      <sheetName val="Cover"/>
      <sheetName val="관리방안"/>
      <sheetName val="부서별 진행계획(부평프레스)"/>
      <sheetName val="부서별 진행계획(Team용)"/>
      <sheetName val="EA0M"/>
      <sheetName val="원재료종합"/>
      <sheetName val="매출DATA"/>
      <sheetName val="0®"/>
      <sheetName val="M_x0002_"/>
      <sheetName val="250공ȕ"/>
      <sheetName val="PAKAGE4362"/>
      <sheetName val="2㈰_x0000_사업계획실적검토"/>
      <sheetName val="FUEL FILLER"/>
      <sheetName val="●현황"/>
      <sheetName val="●목차"/>
      <sheetName val="부문별 현황"/>
      <sheetName val="2㈰"/>
      <sheetName val="2㈰_x0000_€사업계획실적검토"/>
      <sheetName val="군산공장추가구매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장비이력목록추출"/>
      <sheetName val="일자부하시간추출"/>
      <sheetName val="스페어추출"/>
      <sheetName val="차체"/>
      <sheetName val="DATA"/>
      <sheetName val="Tbom-tot"/>
      <sheetName val="000000"/>
      <sheetName val="CP_x0000_Ё_x000b_[A-100전제]CJ_x0000_Ёാ泰෺_x0000_"/>
      <sheetName val="MASTER"/>
      <sheetName val="1st"/>
      <sheetName val="W-현원가"/>
      <sheetName val="안내"/>
      <sheetName val="전체개별장비지수열람"/>
      <sheetName val="GM Master"/>
      <sheetName val="ORIGIN"/>
      <sheetName val="#REF"/>
      <sheetName val="CIELO발주"/>
      <sheetName val="세부"/>
      <sheetName val="법인+비법인"/>
      <sheetName val="LANOS"/>
      <sheetName val="LEGANZA"/>
      <sheetName val="NUBIRA"/>
      <sheetName val="표지"/>
      <sheetName val="Run Chart_Back up"/>
      <sheetName val="Graph"/>
      <sheetName val="2"/>
      <sheetName val="BND"/>
      <sheetName val="2월"/>
      <sheetName val="A-100전제_x0000__x0001__x0000__x0001_"/>
      <sheetName val="250공ȕ_x0000_ᩘf"/>
      <sheetName val="2㈰_x0000_eeee_xdfb0_e"/>
      <sheetName val="진행 DATA (2)"/>
      <sheetName val="T-GATE"/>
      <sheetName val="분석mast"/>
      <sheetName val="시설투자"/>
      <sheetName val="목적별"/>
      <sheetName val="KXV01"/>
      <sheetName val="LL"/>
      <sheetName val="T진도"/>
      <sheetName val="Sheet"/>
      <sheetName val="Detail"/>
      <sheetName val="냉연"/>
      <sheetName val="(BS,CF)-BACK"/>
      <sheetName val="CAUDIT"/>
      <sheetName val="2.대외공문"/>
      <sheetName val="일위대가"/>
      <sheetName val="Summary"/>
      <sheetName val="Summary (new)"/>
      <sheetName val="6.18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0®?ZL£_x0003_0®"/>
      <sheetName val="J150 승인진도관리 LIST"/>
      <sheetName val="LIST"/>
      <sheetName val="TOTAL LIST"/>
      <sheetName val="EXP-COST"/>
      <sheetName val="Price Range"/>
      <sheetName val="FTR MACRo"/>
      <sheetName val="BOM"/>
      <sheetName val="REZZO(GCA)"/>
      <sheetName val="효율계획(당월)"/>
      <sheetName val="전체실적"/>
      <sheetName val="0000헾⼞"/>
      <sheetName val="0000_x0005__x0000_"/>
      <sheetName val="0000_x0000__x0000_"/>
      <sheetName val="0000興1"/>
      <sheetName val="견적서"/>
      <sheetName val="전체개별_x0005__x0000__x0000__x0000_뛴_x0013_"/>
      <sheetName val="전체개별虘_x0013_蚜_x0013_ମ〚"/>
      <sheetName val="입고검사"/>
      <sheetName val="J100"/>
      <sheetName val="Sales"/>
      <sheetName val="7 (2)"/>
      <sheetName val="BRAKE"/>
      <sheetName val="SQ0807"/>
      <sheetName val="결근율(안전)"/>
      <sheetName val="싀규입수"/>
      <sheetName val="호남볘부"/>
      <sheetName val="Life time cost"/>
      <sheetName val="_x0000_V_x000f_"/>
      <sheetName val="계산program"/>
      <sheetName val="20100608-1"/>
      <sheetName val="TOTAL"/>
      <sheetName val="investment walk 090512"/>
      <sheetName val="신규DEP"/>
      <sheetName val="VXX"/>
      <sheetName val="TEMPLATE"/>
      <sheetName val="기본DATA"/>
      <sheetName val="종합 (2)"/>
      <sheetName val="Risk Comments"/>
      <sheetName val="제조부문배부"/>
      <sheetName val="첨부2"/>
      <sheetName val="MOTO"/>
      <sheetName val="TotalCapital+Execution)"/>
      <sheetName val="전체"/>
      <sheetName val="주제별 당월환산"/>
      <sheetName val="ML"/>
      <sheetName val="계DATA"/>
      <sheetName val="실DATA "/>
      <sheetName val="Supplement2"/>
      <sheetName val="입찰안"/>
      <sheetName val="PROCEDURE LIST"/>
      <sheetName val="대표자"/>
      <sheetName val="0000臸-"/>
      <sheetName val="중간감사결과보고"/>
      <sheetName val="99퇴직"/>
      <sheetName val="Purchasing"/>
      <sheetName val="Business Plan"/>
      <sheetName val="A"/>
      <sheetName val="사양조정"/>
      <sheetName val="3-DCFA"/>
      <sheetName val="press_MH"/>
      <sheetName val="Level 1-3 Change Overview"/>
      <sheetName val="SGM620-02  Fcst"/>
      <sheetName val="VQ HPV 比较"/>
      <sheetName val="MH_??"/>
      <sheetName val="생산전망"/>
      <sheetName val="A-100전제_x005f_x0000_CEL"/>
      <sheetName val="원단위 전후비교"/>
      <sheetName val="EF-SONATA"/>
      <sheetName val="전체개별_x0005_???뛴_x0013_"/>
      <sheetName val="0000_x0005_?"/>
      <sheetName val="조립LINE"/>
      <sheetName val="월업무"/>
      <sheetName val="평가자13"/>
      <sheetName val="M_x005f_x0002__x005f_x0000__x005f_x0000__x005f_x0000_à2"/>
      <sheetName val="0®_x005f_x0000__x005f_x0000_ZL£_x005f_x0003_0®"/>
      <sheetName val="250공ȕ_x005f_x0000__x005f_xd800_ᐲ"/>
      <sheetName val="M_x005f_x0002_"/>
      <sheetName val="2㈰_x005f_x0000_사업계획실적검토"/>
      <sheetName val="A-100전제_x005f_x005f_x005f_x0000_CEL"/>
      <sheetName val="0®_x005f_x005f_x005f_x0000__x005f_x005f_x005f_x0000_ZL£"/>
      <sheetName val="0000헾⿶"/>
      <sheetName val="0000헾⼶"/>
      <sheetName val="0000๿⼠"/>
      <sheetName val="0000๿⼜"/>
      <sheetName val="0000??"/>
      <sheetName val="2㈰_x005f_x0000_€사업계획실적검_x0005_"/>
      <sheetName val="2㈰_x005f_x0000_€사업계획실적검토"/>
      <sheetName val="basic"/>
      <sheetName val="장적산출"/>
      <sheetName val="0000_x0010__x0000_"/>
      <sheetName val="사양_x0005__x0000_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2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●목차"/>
      <sheetName val="●현황"/>
      <sheetName val="기안"/>
      <sheetName val="Sheet1"/>
      <sheetName val="상용"/>
      <sheetName val="1.POSITIONING"/>
      <sheetName val="p2-1"/>
      <sheetName val="MC&amp;다변화"/>
      <sheetName val="BUS제원1"/>
      <sheetName val="major"/>
      <sheetName val="#REF"/>
      <sheetName val="자체실적1Q"/>
      <sheetName val="표지"/>
      <sheetName val="수입"/>
      <sheetName val="2007"/>
      <sheetName val="DATA-1"/>
      <sheetName val="불량현상별END"/>
      <sheetName val="항목(1)"/>
      <sheetName val="PTR台손익"/>
      <sheetName val="성적갑"/>
      <sheetName val="부품LIST"/>
      <sheetName val="박두익"/>
      <sheetName val="CLM-MP"/>
      <sheetName val="RD제품개발투자비(매가)"/>
      <sheetName val="재료율"/>
      <sheetName val="국영"/>
      <sheetName val="수지표"/>
      <sheetName val="셀명"/>
      <sheetName val="LD"/>
      <sheetName val="95하U$가격"/>
      <sheetName val="KD율"/>
      <sheetName val="품의서"/>
      <sheetName val="가동일보"/>
      <sheetName val="신규DEP"/>
      <sheetName val="PS일계획"/>
      <sheetName val="ML"/>
      <sheetName val="DAT(목표)"/>
      <sheetName val="인원계획"/>
      <sheetName val="노무비집계"/>
      <sheetName val="노무비월별"/>
      <sheetName val="신1"/>
      <sheetName val="아중동 종합"/>
      <sheetName val="95MAKER"/>
      <sheetName val="PPV"/>
      <sheetName val="IS_R"/>
      <sheetName val="갑지"/>
      <sheetName val="출금실적"/>
      <sheetName val="full (2)"/>
      <sheetName val="소유주(원)"/>
      <sheetName val="효율계획(당월)"/>
      <sheetName val="전체실적"/>
      <sheetName val="GRACE"/>
      <sheetName val="712"/>
      <sheetName val="현금경비중역"/>
      <sheetName val="경영현황"/>
      <sheetName val="2.외공문"/>
      <sheetName val="협조전"/>
      <sheetName val="DATE"/>
      <sheetName val="PILOT품"/>
      <sheetName val="M96현황-동아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08년"/>
      <sheetName val="Data"/>
      <sheetName val="QtrComp"/>
      <sheetName val="차종별"/>
      <sheetName val="계열사현황종합"/>
      <sheetName val="대외공문"/>
      <sheetName val="1~3월 지시사항"/>
      <sheetName val="64164"/>
      <sheetName val="2.대왨공문"/>
      <sheetName val="가동_x0002__x0000_"/>
      <sheetName val="#1"/>
      <sheetName val="24.냉각실용添1"/>
      <sheetName val="M1master"/>
      <sheetName val="RHD"/>
      <sheetName val="DI-ESTI"/>
      <sheetName val="전공장2"/>
      <sheetName val="주차(월별)"/>
      <sheetName val="SC(월별)"/>
      <sheetName val="SPEC1"/>
      <sheetName val="05년판매계획"/>
      <sheetName val="05년선적계획"/>
      <sheetName val="주행"/>
      <sheetName val=" BOOST TV"/>
      <sheetName val="2.____"/>
      <sheetName val="자산_종합"/>
      <sheetName val="W-현원가"/>
      <sheetName val="총괄표"/>
      <sheetName val="카메라-지분"/>
      <sheetName val="노임단가"/>
      <sheetName val="COVER"/>
      <sheetName val="울산시산표"/>
      <sheetName val="A-100전제"/>
      <sheetName val="CAUDIT"/>
      <sheetName val="PC%계산"/>
      <sheetName val="alc code"/>
      <sheetName val="진행 DATA (2)"/>
      <sheetName val="SANTAMO"/>
      <sheetName val="JANG_DOM"/>
      <sheetName val="송전기본"/>
      <sheetName val="CNC810M"/>
      <sheetName val="작성양식"/>
      <sheetName val="CVT산정"/>
      <sheetName val="직원신상"/>
      <sheetName val="MASTER"/>
      <sheetName val="DBL LPG시험"/>
      <sheetName val="수리결과"/>
      <sheetName val="XL4Poppy"/>
      <sheetName val="_REF"/>
      <sheetName val="지출계획"/>
      <sheetName val="TOEIC(최고)"/>
      <sheetName val="01_SW"/>
      <sheetName val="국가별9903"/>
      <sheetName val="가동_x005f_x0002__x005f_x0000_"/>
      <sheetName val="HISTORICAL"/>
      <sheetName val="FORECASTING"/>
      <sheetName val="IS-Mk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01"/>
      <sheetName val="9802"/>
      <sheetName val="9803"/>
      <sheetName val="9804"/>
      <sheetName val="9805"/>
      <sheetName val="9806"/>
      <sheetName val="9807"/>
      <sheetName val="9808 "/>
      <sheetName val="9808 (2)"/>
      <sheetName val="9809"/>
      <sheetName val="98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관리용"/>
      <sheetName val="3개년매출"/>
      <sheetName val="공표용"/>
      <sheetName val="APN매출"/>
      <sheetName val="98TURN(백만)"/>
      <sheetName val="98TURN"/>
      <sheetName val="98TURNCA"/>
      <sheetName val="TURNBS"/>
      <sheetName val="청도부품"/>
      <sheetName val="98TURNHD"/>
      <sheetName val="UTHM"/>
      <sheetName val="UTDW"/>
      <sheetName val="98TURNDK"/>
      <sheetName val="98Y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수정시산표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F arp"/>
      <sheetName val="H"/>
      <sheetName val="h 취득"/>
      <sheetName val="h 처분"/>
      <sheetName val="배당금수익"/>
      <sheetName val="N"/>
      <sheetName val="N ARP"/>
      <sheetName val="P"/>
      <sheetName val="u20"/>
      <sheetName val="재고recon"/>
      <sheetName val="미지급"/>
      <sheetName val="관계회사거래내역및 채권채무잔액 99"/>
      <sheetName val="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주"/>
      <sheetName val="2주"/>
      <sheetName val="3주"/>
      <sheetName val="4주"/>
      <sheetName val="1월"/>
      <sheetName val="전체목표대비실적"/>
      <sheetName val="전체목표대비실적 (2)"/>
      <sheetName val="MATIZ PART추이"/>
      <sheetName val="TICO PART추이 (2)"/>
      <sheetName val="DAMAS PART추이 "/>
      <sheetName val="LABO PART추이"/>
      <sheetName val="마티즈 완검추이"/>
      <sheetName val="MATIZ 증감"/>
      <sheetName val="Sheet1"/>
      <sheetName val="티코 완검추이"/>
      <sheetName val="TICO증감"/>
      <sheetName val="다마스 완검 추이"/>
      <sheetName val="DAMAS 증감"/>
      <sheetName val="라보 완검 추이"/>
      <sheetName val="LABO 증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OURNAL"/>
      <sheetName val="HEADER"/>
      <sheetName val="help"/>
      <sheetName val="language"/>
      <sheetName val="calendar"/>
      <sheetName val="CoA map"/>
      <sheetName val="Jo"/>
      <sheetName val="Co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"/>
      <sheetName val="Feb"/>
      <sheetName val="Mar"/>
      <sheetName val="April"/>
      <sheetName val="May"/>
      <sheetName val="June"/>
      <sheetName val="July"/>
      <sheetName val="Aug"/>
      <sheetName val="Sep"/>
      <sheetName val="Oct"/>
      <sheetName val="Nov"/>
      <sheetName val="Dec"/>
      <sheetName val="YTD"/>
      <sheetName val="Inventory_YTD"/>
      <sheetName val="Inventory"/>
      <sheetName val="COGS"/>
      <sheetName val="PPV"/>
      <sheetName val="Sheet1"/>
      <sheetName val="지역개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nk_Recon"/>
      <sheetName val="Balance_Main"/>
      <sheetName val="Cashflow KRW"/>
      <sheetName val="CITI_MMDA"/>
      <sheetName val="USD_TRANS"/>
      <sheetName val="AUD_TRANS"/>
      <sheetName val="EUR_TRANS"/>
      <sheetName val="FC"/>
      <sheetName val="ST_INVEST"/>
      <sheetName val="LOAN"/>
      <sheetName val="HANA_MMDA"/>
      <sheetName val="HANA_TD"/>
      <sheetName val="CITI_CD"/>
      <sheetName val="PLACE"/>
      <sheetName val="SWEEP"/>
      <sheetName val="RATE"/>
      <sheetName val="REPORT"/>
      <sheetName val="Accr_Int_P"/>
      <sheetName val="Accr_Int_R"/>
      <sheetName val="현금흐름표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요약"/>
      <sheetName val="분석"/>
      <sheetName val="조정자산리스트"/>
      <sheetName val="Sheet1"/>
      <sheetName val="OM"/>
      <sheetName val="F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4"/>
      <sheetName val="기타건전"/>
      <sheetName val="Sheet8"/>
      <sheetName val="리스"/>
      <sheetName val="Sheet3"/>
      <sheetName val="Sheet1"/>
      <sheetName val="Sheet5"/>
      <sheetName val="Sheet6"/>
      <sheetName val="Sheet2"/>
      <sheetName val="오토"/>
      <sheetName val="채권"/>
      <sheetName val="11기충당.3"/>
      <sheetName val="1_當期시산표"/>
      <sheetName val="검산금액"/>
      <sheetName val="RATE"/>
      <sheetName val="ST_INVEST"/>
      <sheetName val="calendar"/>
      <sheetName val="HEADER"/>
      <sheetName val="language"/>
      <sheetName val="1998 P &amp; 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fig"/>
      <sheetName val="YYYYMM"/>
      <sheetName val="Comp"/>
      <sheetName val="TB"/>
      <sheetName val="TA"/>
      <sheetName val="IB"/>
      <sheetName val="IC"/>
      <sheetName val="ID"/>
      <sheetName val="SA"/>
      <sheetName val="PU"/>
      <sheetName val="AR"/>
      <sheetName val="AP"/>
      <sheetName val="RE"/>
      <sheetName val="EX"/>
      <sheetName val="FA"/>
      <sheetName val="FD"/>
      <sheetName val="IH"/>
      <sheetName val="CH"/>
      <sheetName val="CF"/>
      <sheetName val="ES"/>
      <sheetName val="File_Info"/>
      <sheetName val="Dic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시산표"/>
      <sheetName val="SUM"/>
      <sheetName val="고객명"/>
      <sheetName val="업무연락"/>
      <sheetName val="월별매출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Sheet2"/>
      <sheetName val="RATE"/>
      <sheetName val="ST_INVE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"/>
      <sheetName val="표지"/>
      <sheetName val="종합"/>
      <sheetName val="생산성"/>
      <sheetName val="생산성미달"/>
      <sheetName val="품질종합"/>
      <sheetName val="DPTV분야별"/>
      <sheetName val="DIQS분야별"/>
      <sheetName val="WARRANTY분야별"/>
      <sheetName val="시장미달"/>
      <sheetName val="부품미달"/>
      <sheetName val="엔진조립"/>
      <sheetName val="MA"/>
      <sheetName val="전체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3"/>
      <sheetName val="(1)"/>
      <sheetName val="95년이월"/>
      <sheetName val="3월대체"/>
      <sheetName val="대체완료"/>
      <sheetName val="업무연락"/>
      <sheetName val="4월"/>
      <sheetName val="고정자산원본"/>
      <sheetName val="1월급여"/>
      <sheetName val="2월급여"/>
      <sheetName val="2월상여"/>
      <sheetName val="3월급여"/>
      <sheetName val="4월급여"/>
      <sheetName val="4월상여"/>
      <sheetName val="5월급여"/>
      <sheetName val="6급여"/>
      <sheetName val="6월상여"/>
      <sheetName val="7월급여"/>
      <sheetName val="8월급여"/>
      <sheetName val="8월상여"/>
      <sheetName val="9월급여"/>
      <sheetName val="10월급여"/>
      <sheetName val="10월상여"/>
      <sheetName val="11월급여"/>
      <sheetName val="12월급여"/>
      <sheetName val="12월상여"/>
      <sheetName val="발생집계"/>
      <sheetName val="95년간접비"/>
      <sheetName val="Tiburon"/>
      <sheetName val="Sheet1"/>
      <sheetName val="LL"/>
      <sheetName val="Customer"/>
      <sheetName val="건물"/>
      <sheetName val="Data"/>
      <sheetName val="Menu"/>
      <sheetName val="AGING"/>
      <sheetName val="수정전표리스트"/>
      <sheetName val="감가상각비"/>
      <sheetName val="재고자산미실현이익제거"/>
      <sheetName val="0-Basics"/>
      <sheetName val="양행"/>
      <sheetName val="DataActLoc"/>
      <sheetName val="조정명세서"/>
      <sheetName val="Z0"/>
      <sheetName val="집계표"/>
      <sheetName val="Vega"/>
      <sheetName val="손익계산서"/>
      <sheetName val="대차대조표"/>
      <sheetName val="중간재 재공"/>
      <sheetName val="뒤차축소"/>
      <sheetName val="Receive Data"/>
      <sheetName val="손익"/>
      <sheetName val="OPT손익 내수"/>
      <sheetName val="OPT손익 수출"/>
      <sheetName val="계수원본(99.2.28)"/>
      <sheetName val="411-00 외화장기"/>
      <sheetName val="퇴직금중간정산(101명_05말퇴직자미포함)"/>
      <sheetName val="폐토수익화 "/>
      <sheetName val="N10(미지급) "/>
      <sheetName val="현금과예금명세서"/>
      <sheetName val="임차보증금현황04.6.30"/>
      <sheetName val="환율"/>
      <sheetName val="Curves"/>
      <sheetName val="신전산소항목시산표(5월)"/>
      <sheetName val="Tbom-tot"/>
      <sheetName val="CHECKSHEET"/>
      <sheetName val="확인서"/>
      <sheetName val="CCC"/>
      <sheetName val="RATE"/>
      <sheetName val="ST_INV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통"/>
      <sheetName val="JA"/>
      <sheetName val="E"/>
      <sheetName val="E1"/>
      <sheetName val="E1.1"/>
      <sheetName val="E2"/>
      <sheetName val="K"/>
      <sheetName val="K1"/>
      <sheetName val="K2"/>
      <sheetName val="K3"/>
      <sheetName val="U1"/>
      <sheetName val="U1.1"/>
      <sheetName val="U1.2"/>
      <sheetName val="L"/>
      <sheetName val="L1"/>
      <sheetName val="R"/>
      <sheetName val="R1"/>
      <sheetName val="R2"/>
      <sheetName val="변호사조회서"/>
      <sheetName val="주당순이익"/>
      <sheetName val="부가가치계산"/>
      <sheetName val="주총이사회의사록"/>
      <sheetName val="T"/>
      <sheetName val="RE"/>
      <sheetName val="RE (최종)"/>
      <sheetName val="I"/>
      <sheetName val="O"/>
      <sheetName val="BSarp"/>
      <sheetName val="PLarp"/>
      <sheetName val="감사수정사항"/>
      <sheetName val="WBS"/>
      <sheetName val="WPL"/>
      <sheetName val="최종BSarp"/>
      <sheetName val="최종PLarp"/>
      <sheetName val="9703"/>
      <sheetName val="입력자료"/>
      <sheetName val="tax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"/>
      <sheetName val="MA"/>
      <sheetName val="TI"/>
      <sheetName val="DA"/>
      <sheetName val="프레스"/>
      <sheetName val="엔진조립"/>
      <sheetName val="가공"/>
      <sheetName val="엔조(미)"/>
      <sheetName val="시장"/>
      <sheetName val="양식"/>
      <sheetName val="1주"/>
      <sheetName val="2주"/>
      <sheetName val="3주"/>
      <sheetName val="4주"/>
      <sheetName val="1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"/>
      <sheetName val="MA"/>
      <sheetName val="TI"/>
      <sheetName val="DA"/>
      <sheetName val="프레스"/>
      <sheetName val="도장"/>
      <sheetName val="엔진조립"/>
      <sheetName val="가공"/>
      <sheetName val="시장"/>
      <sheetName val="양식"/>
      <sheetName val="Tbom-to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L LPG시험"/>
      <sheetName val="원단위"/>
      <sheetName val="첨부2"/>
      <sheetName val="RDLEVLST"/>
      <sheetName val="report_20"/>
      <sheetName val="camera_30"/>
      <sheetName val="3"/>
      <sheetName val="After sales"/>
      <sheetName val="Business Plan"/>
      <sheetName val="주행"/>
      <sheetName val="Sheet5"/>
      <sheetName val="Sheet6 (3)"/>
      <sheetName val="OPT손익 내수"/>
      <sheetName val="OPT손익 수출"/>
      <sheetName val="Sheet1"/>
      <sheetName val="2.대외공문"/>
      <sheetName val="신규DEP"/>
      <sheetName val="원가분석"/>
      <sheetName val="Data1"/>
      <sheetName val="기안"/>
      <sheetName val="금액"/>
      <sheetName val="TOTAL"/>
      <sheetName val="del"/>
      <sheetName val="major"/>
      <sheetName val="5.세운W-A"/>
      <sheetName val="1.2내수"/>
      <sheetName val="상용"/>
      <sheetName val="#REF"/>
      <sheetName val="RD제품개발투자비(매가)"/>
      <sheetName val="계산program"/>
      <sheetName val="내수1.8GL"/>
      <sheetName val="차수"/>
      <sheetName val="대외공문"/>
      <sheetName val="Worksheet"/>
      <sheetName val="TONG HOP VL-NC TT"/>
      <sheetName val="CHITIET VL-NC-TT -1p"/>
      <sheetName val="TDTKP1"/>
      <sheetName val="KPVC-BD "/>
      <sheetName val="KD율"/>
      <sheetName val="의장34반"/>
      <sheetName val="의장2반 "/>
      <sheetName val="과제"/>
      <sheetName val="FBM차시"/>
      <sheetName val="진행 DATA (2)"/>
      <sheetName val="품의예산"/>
      <sheetName val="분석mast"/>
      <sheetName val="외주현황.wq1"/>
      <sheetName val="2"/>
      <sheetName val="10"/>
      <sheetName val="90"/>
      <sheetName val="40"/>
      <sheetName val="50"/>
      <sheetName val="60"/>
      <sheetName val="70"/>
      <sheetName val="camera_10"/>
      <sheetName val="DBL_LPG시험"/>
      <sheetName val="Sheet6_(3)"/>
      <sheetName val="After_sales"/>
      <sheetName val="Business_Plan"/>
      <sheetName val="OPT손익_내수"/>
      <sheetName val="OPT손익_수출"/>
      <sheetName val="2_대외공문"/>
      <sheetName val="대차대조표"/>
      <sheetName val="군산공장추가구매"/>
      <sheetName val="예상투자비"/>
      <sheetName val="원97"/>
      <sheetName val="DBL_LPG시험1"/>
      <sheetName val="Sheet6_(3)1"/>
      <sheetName val="After_sales1"/>
      <sheetName val="Business_Plan1"/>
      <sheetName val="OPT손익_내수1"/>
      <sheetName val="OPT손익_수출1"/>
      <sheetName val="2_대외공문1"/>
      <sheetName val="5_세운W-A"/>
      <sheetName val="1_2내수"/>
      <sheetName val="TONG_HOP_VL-NC_TT"/>
      <sheetName val="CHITIET_VL-NC-TT_-1p"/>
      <sheetName val="KPVC-BD_"/>
      <sheetName val="내수1_8GL"/>
      <sheetName val="의장2반_"/>
      <sheetName val="진행_DATA_(2)"/>
      <sheetName val="Objct-Actl"/>
      <sheetName val="Config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자산_종합"/>
      <sheetName val="Anlycs"/>
      <sheetName val="CAUDIT"/>
      <sheetName val="총괄표"/>
      <sheetName val="Forecast Drivers"/>
      <sheetName val="(BS,CF)-BACK"/>
      <sheetName val="한계원가"/>
      <sheetName val="B"/>
      <sheetName val="요인분석"/>
      <sheetName val="예산계획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HANA_MMDA"/>
      <sheetName val="RATE"/>
      <sheetName val="대차대조표"/>
      <sheetName val="ST_INVEST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우편발송료"/>
      <sheetName val="-금액"/>
      <sheetName val="전산소모품"/>
      <sheetName val="-프린터보유현황"/>
      <sheetName val="수선비"/>
      <sheetName val="난방비"/>
      <sheetName val="출장비"/>
      <sheetName val="-출장비내역"/>
      <sheetName val="판촉회의비"/>
      <sheetName val="기타"/>
      <sheetName val="본사신청인지대"/>
      <sheetName val="-작성법"/>
      <sheetName val="지역본부별 실적"/>
      <sheetName val="거점별"/>
      <sheetName val="지점-대리점"/>
      <sheetName val="back-data"/>
      <sheetName val="내역"/>
      <sheetName val="type-F"/>
      <sheetName val="갑지"/>
      <sheetName val="계정"/>
      <sheetName val="#REF"/>
      <sheetName val="TOT"/>
      <sheetName val="예산계획"/>
      <sheetName val="금액내역서"/>
      <sheetName val="정부노임단가"/>
      <sheetName val="제품별110계"/>
      <sheetName val="전기"/>
      <sheetName val="대공종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인지대"/>
      <sheetName val="Sheet2"/>
      <sheetName val="Sheet3"/>
      <sheetName val="Sheet1"/>
      <sheetName val="출고증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협조전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별데이타"/>
      <sheetName val="분기별데이타"/>
      <sheetName val="월별지수"/>
      <sheetName val="월별동향"/>
      <sheetName val="예상동향"/>
      <sheetName val="분기별지수"/>
      <sheetName val="분기별동향"/>
      <sheetName val="분기별예측"/>
      <sheetName val="98BS추정"/>
      <sheetName val="99BS (11.18)"/>
      <sheetName val="99BS(1.25)"/>
      <sheetName val="99BS(2.3)"/>
      <sheetName val="99BS(2.9)"/>
      <sheetName val="99BS(2.19)"/>
      <sheetName val="Sheet1"/>
      <sheetName val="Dec"/>
      <sheetName val="의보"/>
      <sheetName val="지역개발"/>
      <sheetName val="예측_광고선전"/>
      <sheetName val="COBS"/>
      <sheetName val="기초코드"/>
      <sheetName val="전문품의"/>
      <sheetName val="유가증권"/>
      <sheetName val="감가상각"/>
      <sheetName val="기초자료(20010831)"/>
      <sheetName val="조회총괄"/>
      <sheetName val="1_當期시산표"/>
      <sheetName val="CONFIG"/>
      <sheetName val="MON"/>
      <sheetName val="INCOME STATEMENT"/>
      <sheetName val="YTD"/>
      <sheetName val=" 갑지"/>
      <sheetName val="원가계산서(변경)"/>
      <sheetName val="무형종합"/>
      <sheetName val="수기정산자료"/>
      <sheetName val="sm"/>
      <sheetName val="비품"/>
      <sheetName val="유통망계획"/>
      <sheetName val="Debt"/>
      <sheetName val="인력(정규직)"/>
      <sheetName val="EX-외상(06)"/>
      <sheetName val="KA011205"/>
      <sheetName val="Sales &amp; Material Cost 00-0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협조전"/>
      <sheetName val="관람석제출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TOT"/>
      <sheetName val="관리96"/>
      <sheetName val="TCA"/>
      <sheetName val="ML"/>
      <sheetName val="세목별"/>
      <sheetName val="3BL공동구 수량"/>
      <sheetName val="type-F"/>
      <sheetName val="내역(자100%,노100%)기아화성UD동"/>
      <sheetName val="2.대외공문"/>
      <sheetName val="공통비"/>
      <sheetName val="#REF"/>
      <sheetName val="명단"/>
      <sheetName val="DAT(목표)"/>
      <sheetName val="소상 &quot;1&quot;"/>
      <sheetName val="full (2)"/>
      <sheetName val="신고서.전"/>
      <sheetName val="전체현황"/>
      <sheetName val="일지-H"/>
      <sheetName val="TEL"/>
      <sheetName val="CVT산정"/>
      <sheetName val="주소(한문)"/>
      <sheetName val="계정"/>
      <sheetName val="항목(1)"/>
      <sheetName val="추가 종합"/>
      <sheetName val="99경비"/>
      <sheetName val="구동"/>
      <sheetName val="부대대비"/>
      <sheetName val="냉연집계"/>
      <sheetName val="정부노임단가"/>
      <sheetName val="대외공문"/>
      <sheetName val="유통망계획"/>
      <sheetName val="기계"/>
      <sheetName val="지사"/>
      <sheetName val=" 견적서"/>
      <sheetName val="PTR台손익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 Assumption"/>
      <sheetName val="New Valuation"/>
      <sheetName val="도시가스가격변동"/>
      <sheetName val="강남-신동"/>
      <sheetName val="현금순환주기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재료"/>
      <sheetName val="가공품97"/>
      <sheetName val="표준원가"/>
      <sheetName val="재무제표"/>
      <sheetName val="제품DATA"/>
      <sheetName val="재료인쇄"/>
      <sheetName val="제품"/>
      <sheetName val="재료DATA"/>
      <sheetName val="급여data"/>
      <sheetName val="급여"/>
      <sheetName val="98시간"/>
      <sheetName val="이연자산상각"/>
      <sheetName val="제조98"/>
      <sheetName val="가공배분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항목별"/>
      <sheetName val="세목별"/>
    </sheetNames>
    <sheetDataSet>
      <sheetData sheetId="0" refreshError="1"/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B15296"/>
      <sheetName val="사업관리"/>
      <sheetName val="Sheet2"/>
    </sheetNames>
    <definedNames>
      <definedName name="M_F123.CashFlow_Button1_Cli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계산"/>
      <sheetName val="Fixed Costs"/>
      <sheetName val="Income State"/>
      <sheetName val="Income State (수정)"/>
      <sheetName val="Plant Performance"/>
      <sheetName val="Volumes and Prices"/>
      <sheetName val="Volumes and Prices (2)"/>
      <sheetName val="총매출"/>
      <sheetName val="제품매출"/>
      <sheetName val="상품매출"/>
      <sheetName val="판매상세"/>
      <sheetName val="판매상세(총계)"/>
      <sheetName val="판매상세(제품)"/>
      <sheetName val="판매상세(상품)"/>
      <sheetName val="원가정리"/>
      <sheetName val="제품수불표"/>
      <sheetName val="상품수불표"/>
      <sheetName val="AA_ADJ"/>
      <sheetName val="raw_material"/>
      <sheetName val="원부재료"/>
      <sheetName val="Raw Data"/>
      <sheetName val="01Plan(비서)"/>
      <sheetName val="02Plan(합작)"/>
      <sheetName val="Plan_Actual"/>
      <sheetName val="Manh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승용 밋션별 &quot;1&quot;"/>
      <sheetName val="승용 밋션별 &quot;2&quot;"/>
      <sheetName val="승용 밋션별 &quot;3&quot;"/>
      <sheetName val="소상 &quot;1&quot;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수불내수"/>
      <sheetName val="COPING"/>
      <sheetName val="96수출"/>
      <sheetName val="협조전"/>
      <sheetName val="인원01"/>
      <sheetName val="명단"/>
      <sheetName val="p2-1"/>
      <sheetName val="#REF"/>
      <sheetName val="내역1"/>
      <sheetName val="2.대외공문"/>
      <sheetName val="데이타"/>
      <sheetName val="생활5"/>
      <sheetName val="회의비등"/>
      <sheetName val="핸드폰"/>
      <sheetName val="당숙직"/>
      <sheetName val="영수증1"/>
      <sheetName val="영수증2"/>
      <sheetName val="Key assumption"/>
      <sheetName val="품의양식"/>
      <sheetName val="정부노임단가"/>
      <sheetName val="3BL공동구 수량"/>
      <sheetName val="관람석제출"/>
      <sheetName val="남양시작동자105노65기1.3화1.2"/>
      <sheetName val="총괄표"/>
      <sheetName val="TEL"/>
      <sheetName val="정보(MCC)"/>
      <sheetName val="정보(HEI)"/>
      <sheetName val="major"/>
      <sheetName val="울산시산표"/>
      <sheetName val="0.1 KEY ASSUMPTIONS"/>
      <sheetName val="0. CONTROL"/>
      <sheetName val="TOT"/>
      <sheetName val="자압"/>
      <sheetName val="unit cost Bauteil 1"/>
      <sheetName val="unit cost Bauteil 2"/>
      <sheetName val="unit cost Bauteil 3"/>
      <sheetName val="unit cost Bauteil 4"/>
      <sheetName val="unit cost Bauteil 5"/>
      <sheetName val="종기계획(월별)"/>
      <sheetName val="구동"/>
      <sheetName val="신1"/>
      <sheetName val="일반"/>
      <sheetName val="MOKDONG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T연락번호"/>
      <sheetName val="첨부자료목록"/>
      <sheetName val="정산대차대조표"/>
      <sheetName val="정산손익계산서"/>
      <sheetName val="결산조정사항요약표"/>
      <sheetName val="Additional slip list"/>
      <sheetName val="Cost Allocation"/>
      <sheetName val="Head count &amp; Time sheet"/>
      <sheetName val="감가상각명세서"/>
      <sheetName val="고정자산 증감내역"/>
      <sheetName val="관계회사거래내역"/>
      <sheetName val="관계회사채권채무현황"/>
      <sheetName val="투자현황"/>
      <sheetName val="진행기준 수익인식 명세"/>
      <sheetName val="현금흐름표"/>
      <sheetName val="control sheet"/>
      <sheetName val="특판제외"/>
      <sheetName val="고정자산원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급설비"/>
      <sheetName val="건물"/>
      <sheetName val="차량"/>
      <sheetName val="공기구"/>
      <sheetName val="비품"/>
      <sheetName val="96명세"/>
      <sheetName val="COBS"/>
      <sheetName val="생산"/>
      <sheetName val="손익"/>
      <sheetName val="제조경비"/>
      <sheetName val="관계회사거래내역및 채권채무잔액 99"/>
      <sheetName val="첨부자료목록"/>
      <sheetName val="지역개발"/>
      <sheetName val="해외생산"/>
      <sheetName val="발생집계"/>
      <sheetName val="Macro2"/>
      <sheetName val="인력(정규직)"/>
      <sheetName val="대출금"/>
      <sheetName val="수정분개"/>
      <sheetName val="sheet1"/>
      <sheetName val="경영비율 "/>
      <sheetName val="Macro1"/>
      <sheetName val="summary"/>
      <sheetName val="소상 &quot;1&quot;"/>
      <sheetName val="Sheet3"/>
      <sheetName val="수주단가"/>
      <sheetName val="유통망계획"/>
      <sheetName val="95년간접비"/>
      <sheetName val="현금"/>
      <sheetName val="차손"/>
      <sheetName val="현금및현금등가물"/>
      <sheetName val="외상매입금"/>
      <sheetName val="Ctrl"/>
      <sheetName val="M.H"/>
      <sheetName val="--Cov--"/>
      <sheetName val="DATA"/>
      <sheetName val="CONFIG"/>
      <sheetName val="현예금"/>
      <sheetName val="TCA"/>
      <sheetName val="MON"/>
      <sheetName val="INCOME STATEMENT"/>
      <sheetName val="YTD"/>
      <sheetName val="Ship Advice"/>
      <sheetName val="MatchCode"/>
      <sheetName val="PLarp"/>
      <sheetName val="Stop"/>
      <sheetName val="Accueil"/>
      <sheetName val="PILOT APP."/>
      <sheetName val="GRACE"/>
      <sheetName val="mednat"/>
      <sheetName val="otmeal_spe.allow"/>
      <sheetName val="Financing"/>
      <sheetName val="Assumption"/>
      <sheetName val="CONTROL"/>
      <sheetName val="영업"/>
      <sheetName val="BALANCE"/>
      <sheetName val="Property"/>
      <sheetName val="COND"/>
      <sheetName val="Sheet2"/>
      <sheetName val="INFG1198"/>
      <sheetName val="INMD1198"/>
      <sheetName val="사업관리"/>
      <sheetName val="정산표(IS)2003"/>
      <sheetName val="FSM"/>
      <sheetName val="가동비율"/>
      <sheetName val="Vendor"/>
      <sheetName val="Notes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최종bs"/>
      <sheetName val="최종pl"/>
      <sheetName val="경영지표"/>
      <sheetName val="신문공고00"/>
      <sheetName val="BS Down"/>
      <sheetName val="K-PL"/>
      <sheetName val="PL Down"/>
      <sheetName val="PL정리"/>
      <sheetName val="PL정리 (2)"/>
      <sheetName val="New 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"/>
      <sheetName val="후지TT"/>
      <sheetName val="기업TT"/>
      <sheetName val="신한TT"/>
      <sheetName val="외환TT"/>
      <sheetName val="하나TT"/>
      <sheetName val="제일TT"/>
      <sheetName val="주소"/>
      <sheetName val="은행"/>
      <sheetName val="무환"/>
      <sheetName val="OFFER"/>
      <sheetName val="예정일"/>
      <sheetName val="총계"/>
      <sheetName val="자료"/>
      <sheetName val="LIST"/>
      <sheetName val="착지"/>
      <sheetName val="SD"/>
      <sheetName val="SD명세"/>
      <sheetName val="구매승인"/>
      <sheetName val="급여"/>
      <sheetName val="991231"/>
      <sheetName val="PL Down"/>
      <sheetName val="Piping Design Data"/>
      <sheetName val="A4 BS"/>
      <sheetName val="Sheet1"/>
      <sheetName val="Title"/>
      <sheetName val="Assign"/>
      <sheetName val="A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의실신청"/>
      <sheetName val="PL Down"/>
      <sheetName val="첨부자료목록"/>
    </sheetNames>
    <sheetDataSet>
      <sheetData sheetId="0"/>
      <sheetData sheetId="1" refreshError="1"/>
      <sheetData sheetId="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ECTION"/>
      <sheetName val="CLIMATIC"/>
      <sheetName val="P &amp; E"/>
      <sheetName val="BODY"/>
      <sheetName val="STRG"/>
      <sheetName val="R&amp;H"/>
      <sheetName val="TIRE"/>
      <sheetName val="BRAKE"/>
      <sheetName val="BRAKE_x0000_]Macro1_x0000_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-100전제"/>
      <sheetName val="시설투자"/>
      <sheetName val="비교원RD-S"/>
      <sheetName val="b_spe#_ph2(batch5)"/>
      <sheetName val="PILOT APP."/>
      <sheetName val="A9AEDN01"/>
      <sheetName val="ESOTOTAL"/>
      <sheetName val="LD100 (2)"/>
      <sheetName val="(BS,CF)-BACK"/>
      <sheetName val="_x0000__x0000_H"/>
      <sheetName val="효율계획(당월)"/>
      <sheetName val="전체실적"/>
      <sheetName val="p가단가10월말"/>
      <sheetName val="ORIGIN"/>
      <sheetName val="1st"/>
      <sheetName val="J100"/>
      <sheetName val="MAIN"/>
      <sheetName val="Target Costbooks"/>
      <sheetName val="내역서"/>
      <sheetName val="A-A"/>
      <sheetName val="Essbase Retrieve"/>
      <sheetName val=""/>
      <sheetName val="globals"/>
      <sheetName val="현황"/>
      <sheetName val="TOTAL"/>
      <sheetName val="충주"/>
      <sheetName val="Data"/>
      <sheetName val="GPR - DAT"/>
      <sheetName val="0216직장별인원"/>
      <sheetName val="계실5-1"/>
      <sheetName val="1-1"/>
      <sheetName val="신규DEP"/>
      <sheetName val="Macro1"/>
      <sheetName val="계산정보"/>
      <sheetName val="input"/>
      <sheetName val="wide euro"/>
      <sheetName val="목적별"/>
      <sheetName val="SOU03 UPDATE용"/>
      <sheetName val="일반경비"/>
      <sheetName val="비용명세1"/>
      <sheetName val="CF"/>
      <sheetName val="손익계산서"/>
      <sheetName val="Paint Equpmt Readiness"/>
      <sheetName val="환경기계공정표 (3)"/>
      <sheetName val="Sensitivity 3 Yrs"/>
      <sheetName val="세계수요종합OK"/>
      <sheetName val="GRACE"/>
      <sheetName val="PAKAGE4362"/>
      <sheetName val="TCA"/>
      <sheetName val="세부추진"/>
      <sheetName val="CSummary"/>
      <sheetName val="Control Panel"/>
      <sheetName val="모델표준"/>
      <sheetName val="QUOTE LIST"/>
      <sheetName val="**1"/>
      <sheetName val="겉장"/>
      <sheetName val="국내 pilot sample"/>
      <sheetName val="군산공장추가구매"/>
      <sheetName val="국가DATA"/>
      <sheetName val="부품LIST"/>
      <sheetName val="P-shaft list"/>
      <sheetName val="Summary"/>
      <sheetName val="월별 실적 및 분석"/>
      <sheetName val="2st"/>
      <sheetName val="Macro"/>
      <sheetName val="__1"/>
      <sheetName val="Tire 동하중 반경"/>
      <sheetName val="Time Data"/>
      <sheetName val="#REF"/>
      <sheetName val="WEIGHT"/>
      <sheetName val="Loc. Currency"/>
      <sheetName val="장비이력목록추출"/>
      <sheetName val="일자부하시간추출"/>
      <sheetName val="스페어추출"/>
      <sheetName val="고불량TREND"/>
      <sheetName val="RHTV실적"/>
      <sheetName val="PIVOT"/>
      <sheetName val="244豪州一般ZD301生試"/>
      <sheetName val="출장거리"/>
      <sheetName val="3월종합현황"/>
      <sheetName val="GM Master"/>
      <sheetName val="완성차 미수금"/>
      <sheetName val="P_&amp;_E"/>
      <sheetName val="BATCH6_BOM"/>
      <sheetName val="Real_Time"/>
      <sheetName val="Data_Acquisition"/>
      <sheetName val="Consumer_Use"/>
      <sheetName val="Pressure_Anal"/>
      <sheetName val="cost_save"/>
      <sheetName val="PILOT_APP_"/>
      <sheetName val="LD100_(2)"/>
      <sheetName val="Target_Costbooks"/>
      <sheetName val="Essbase_Retrieve"/>
      <sheetName val="GPR_-_DAT"/>
      <sheetName val="Paint_Equpmt_Readiness"/>
      <sheetName val="wide_euro"/>
      <sheetName val="SOU03_UPDATE용"/>
      <sheetName val="환경기계공정표_(3)"/>
      <sheetName val="Sensitivity_3_Yrs"/>
      <sheetName val="Control_Panel"/>
      <sheetName val="QUOTE_LIST"/>
      <sheetName val="국내_pilot_sample"/>
      <sheetName val="P-shaft_list"/>
      <sheetName val="월별_실적_및_분석"/>
      <sheetName val="Tire_동하중_반경"/>
      <sheetName val="Time_Data"/>
      <sheetName val="Loc__Currency"/>
      <sheetName val="GM_Master"/>
      <sheetName val="완성차_미수금"/>
      <sheetName val="RD제품개발투자비(매가)"/>
      <sheetName val="목록"/>
      <sheetName val="PROCEDURE LIST"/>
      <sheetName val="111WKPAR.XLS"/>
      <sheetName val=" SUMMARY(P.P&amp;S.O.P)"/>
      <sheetName val="표지"/>
      <sheetName val="MH_생산"/>
      <sheetName val="Data Tables"/>
      <sheetName val="M사양 "/>
      <sheetName val="내구품질향상1"/>
      <sheetName val="TEAM하반기 계획 (2)"/>
      <sheetName val="대공종"/>
      <sheetName val="부동산소유명세"/>
      <sheetName val="Drop Down Lists"/>
      <sheetName val="Programs"/>
      <sheetName val="FİİLİ İTHALAT"/>
      <sheetName val="FUEL FILLER"/>
      <sheetName val="시험장S자로가로등공사"/>
      <sheetName val="Tonawanda 22"/>
      <sheetName val="Spring Hill 24"/>
      <sheetName val="Spring Hill 22"/>
      <sheetName val="Packlist0314-EK"/>
      <sheetName val="Financial Statements"/>
      <sheetName val="2.대외공문"/>
      <sheetName val="Europe PU-1"/>
      <sheetName val="상용_mp"/>
      <sheetName val="원가절감종합"/>
      <sheetName val="첨부5"/>
      <sheetName val="Ber-D"/>
      <sheetName val="000 김양섭 O"/>
      <sheetName val="소특"/>
      <sheetName val="国产工装"/>
      <sheetName val="MCT6"/>
      <sheetName val="PARTLIST"/>
      <sheetName val="Production Database 399"/>
      <sheetName val="W-현원가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Used Cars MY95 N REG"/>
      <sheetName val="구동"/>
      <sheetName val="기계명세표"/>
      <sheetName val="BRAKE?]Macro1?"/>
      <sheetName val="??H"/>
      <sheetName val="RE9604"/>
      <sheetName val="Plant Data"/>
      <sheetName val="P_&amp;_E1"/>
      <sheetName val="BATCH6_BOM1"/>
      <sheetName val="Real_Time1"/>
      <sheetName val="Data_Acquisition1"/>
      <sheetName val="Consumer_Use1"/>
      <sheetName val="Pressure_Anal1"/>
      <sheetName val="cost_save1"/>
      <sheetName val="PILOT_APP_1"/>
      <sheetName val="LD100_(2)1"/>
      <sheetName val="Target_Costbooks1"/>
      <sheetName val="Essbase_Retrieve1"/>
      <sheetName val="GPR_-_DAT1"/>
      <sheetName val="wide_euro1"/>
      <sheetName val="SOU03_UPDATE용1"/>
      <sheetName val="환경기계공정표_(3)1"/>
      <sheetName val="Paint_Equpmt_Readiness1"/>
      <sheetName val="Sensitivity_3_Yrs1"/>
      <sheetName val="Control_Panel1"/>
      <sheetName val="QUOTE_LIST1"/>
      <sheetName val="국내_pilot_sample1"/>
      <sheetName val="월별_실적_및_분석1"/>
      <sheetName val="P-shaft_list1"/>
      <sheetName val="Loc__Currency1"/>
      <sheetName val="Tire_동하중_반경1"/>
      <sheetName val="Time_Data1"/>
      <sheetName val="GM_Master1"/>
      <sheetName val="완성차_미수금1"/>
      <sheetName val="111WKPAR_XLS"/>
      <sheetName val="PROCEDURE_LIST"/>
      <sheetName val="_SUMMARY(P_P&amp;S_O_P)"/>
      <sheetName val="M사양_"/>
      <sheetName val="Data_Tables"/>
      <sheetName val="TEAM하반기_계획_(2)"/>
      <sheetName val="Drop_Down_Lists"/>
      <sheetName val="FUEL_FILLER"/>
      <sheetName val="Tonawanda_22"/>
      <sheetName val="Spring_Hill_24"/>
      <sheetName val="Spring_Hill_22"/>
      <sheetName val="FİİLİ_İTHALAT"/>
      <sheetName val="Europe_PU-1"/>
      <sheetName val="Financial_Statements"/>
      <sheetName val="Plant_Data"/>
      <sheetName val="2_대외공문"/>
      <sheetName val="대외공문"/>
      <sheetName val="BRAKE_x005f_x0000__Macro1_x005f_x0000_"/>
      <sheetName val="_x005f_x0000__x005f_x0000_H"/>
      <sheetName val="①評価項目_メーカー"/>
      <sheetName val="BRAKE_x005f_x005f_x005f_x0000__Macro1_x005f"/>
      <sheetName val="_x005f_x005f_x005f_x0000__x005f_x005f_x005f_x0000_H"/>
      <sheetName val="BRAKE_x005f_x005f_x005f_x005f_x005f_x005f_x005f_x0000__"/>
      <sheetName val="_x005f_x005f_x005f_x005f_x005f_x005f_x005f_x0000__x005f"/>
      <sheetName val="내수1.8GL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P_&amp;_E2"/>
      <sheetName val="BATCH6_BOM2"/>
      <sheetName val="Real_Time2"/>
      <sheetName val="Data_Acquisition2"/>
      <sheetName val="Consumer_Use2"/>
      <sheetName val="Pressure_Anal2"/>
      <sheetName val="cost_save2"/>
      <sheetName val="PILOT_APP_2"/>
      <sheetName val="LD100_(2)2"/>
      <sheetName val="Target_Costbooks2"/>
      <sheetName val="Essbase_Retrieve2"/>
      <sheetName val="GPR_-_DAT2"/>
      <sheetName val="Paint_Equpmt_Readiness2"/>
      <sheetName val="wide_euro2"/>
      <sheetName val="SOU03_UPDATE용2"/>
      <sheetName val="환경기계공정표_(3)2"/>
      <sheetName val="Sensitivity_3_Yrs2"/>
      <sheetName val="Control_Panel2"/>
      <sheetName val="QUOTE_LIST2"/>
      <sheetName val="국내_pilot_sample2"/>
      <sheetName val="P-shaft_list2"/>
      <sheetName val="PROCEDURE_LIST1"/>
      <sheetName val="111WKPAR_XLS1"/>
      <sheetName val="_SUMMARY(P_P&amp;S_O_P)1"/>
      <sheetName val="Data_Tables1"/>
      <sheetName val="M사양_1"/>
      <sheetName val="TEAM하반기_계획_(2)1"/>
      <sheetName val="Drop_Down_Lists1"/>
      <sheetName val="Tonawanda_221"/>
      <sheetName val="Spring_Hill_241"/>
      <sheetName val="Spring_Hill_221"/>
      <sheetName val="FUEL_FILLER1"/>
      <sheetName val="1-체코"/>
      <sheetName val="95BS"/>
      <sheetName val="PILOT품"/>
      <sheetName val="품-(주)코①"/>
      <sheetName val="Lighting"/>
      <sheetName val="PDP"/>
      <sheetName val="HCCE01"/>
      <sheetName val="iNPUTDATA"/>
      <sheetName val="Team 종합"/>
      <sheetName val="969910( R)"/>
      <sheetName val="ENG"/>
      <sheetName val="CONT"/>
      <sheetName val="Data input"/>
      <sheetName val="План пр-ва_1"/>
      <sheetName val="План продаж_1"/>
      <sheetName val="Assumptions"/>
      <sheetName val="Price Range"/>
      <sheetName val="Z41,Z42 이외total"/>
      <sheetName val="1.General"/>
      <sheetName val="A4 Vehicle Channels"/>
      <sheetName val="option"/>
      <sheetName val="BRAKE_x005f_x0000_]Macro1_x005f_x0000_"/>
      <sheetName val="구list"/>
      <sheetName val="O-H LOADER"/>
      <sheetName val="2. Definitions"/>
      <sheetName val="Bucket Summary"/>
      <sheetName val="DATE"/>
      <sheetName val="영업 입수계획 "/>
      <sheetName val="BRAKE__Macro1_"/>
      <sheetName val="__H"/>
      <sheetName val="Lists"/>
      <sheetName val="DAILY"/>
      <sheetName val="평가자13"/>
      <sheetName val="PSA T7"/>
      <sheetName val="법인세신고자료"/>
      <sheetName val="22"/>
      <sheetName val="조립지적"/>
      <sheetName val="Lookups"/>
      <sheetName val="Schedule"/>
      <sheetName val="안내"/>
      <sheetName val="전체개별장비지수열람"/>
      <sheetName val="공정능력계산"/>
      <sheetName val="96期(川崎)"/>
      <sheetName val="Manufacturing Costs(97)"/>
      <sheetName val="1999"/>
      <sheetName val="Asmp"/>
      <sheetName val="EU"/>
      <sheetName val="장비이력목록"/>
      <sheetName val="LCAUTO.4"/>
      <sheetName val="LCAT수.조"/>
      <sheetName val="T진도"/>
      <sheetName val="지우지　말것"/>
      <sheetName val="동명재고"/>
      <sheetName val="건수"/>
      <sheetName val="94열처리"/>
      <sheetName val="BEP분석"/>
      <sheetName val="FUEL 북미 가공비 1"/>
      <sheetName val="화면구성기초자료"/>
      <sheetName val="piece cost brkdwn"/>
      <sheetName val="JT3.0견적-구1"/>
      <sheetName val="fax양식"/>
      <sheetName val="Pick List"/>
      <sheetName val="Calculation"/>
      <sheetName val="Tbom-tot"/>
      <sheetName val="업무담당"/>
      <sheetName val="프레스 원가"/>
      <sheetName val="LXLIST1"/>
      <sheetName val="해외생산"/>
      <sheetName val="Investment Summary - 4 May "/>
      <sheetName val="TCS ouvrant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yn"/>
      <sheetName val="Sales"/>
      <sheetName val="Material Margin"/>
      <sheetName val="SGA"/>
      <sheetName val="Transpotation"/>
      <sheetName val="FA"/>
      <sheetName val="Interest"/>
      <sheetName val="Sheet3"/>
      <sheetName val="PL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재료"/>
      <sheetName val="가공품97"/>
      <sheetName val="표준원가"/>
      <sheetName val="재무제표"/>
      <sheetName val="제품DATA"/>
      <sheetName val="재료인쇄"/>
      <sheetName val="제품"/>
      <sheetName val="재료DATA"/>
      <sheetName val="급여data"/>
      <sheetName val="급여"/>
      <sheetName val="98시간"/>
      <sheetName val="이연자산상각"/>
      <sheetName val="제조98"/>
      <sheetName val="가공배분"/>
      <sheetName val="결산98"/>
      <sheetName val="급료"/>
      <sheetName val="#REF"/>
      <sheetName val="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외화금융(97-03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외상대환산"/>
      <sheetName val="회사제시"/>
      <sheetName val="정상거래처"/>
      <sheetName val="부도거래처"/>
      <sheetName val="대손충당금"/>
      <sheetName val="aiging"/>
      <sheetName val="98자료"/>
      <sheetName val="매출채권"/>
      <sheetName val="DI1"/>
      <sheetName val="RTP DDPI ADVICE"/>
      <sheetName val="Check"/>
      <sheetName val="YHCODE"/>
      <sheetName val="Template"/>
      <sheetName val="외화금융(97-03)"/>
      <sheetName val="108.수선비"/>
      <sheetName val="shTemp"/>
      <sheetName val="제조98"/>
      <sheetName val="생산직-기초data"/>
      <sheetName val="공급설비"/>
      <sheetName val="2003"/>
      <sheetName val="FY Bridge to Piror"/>
      <sheetName val="시산표"/>
      <sheetName val="부문손익"/>
      <sheetName val="control sheet"/>
      <sheetName val="0201"/>
      <sheetName val="May"/>
      <sheetName val="SF"/>
      <sheetName val="협조전"/>
      <sheetName val="호남2"/>
      <sheetName val="Macro3"/>
      <sheetName val="수금 "/>
      <sheetName val="12월정산수금현황"/>
      <sheetName val="Admin"/>
      <sheetName val="model master"/>
      <sheetName val="Financials"/>
      <sheetName val="생산매출 (3)"/>
      <sheetName val="list prices"/>
      <sheetName val="노무비"/>
      <sheetName val="누TB"/>
      <sheetName val="Op Plan Sales"/>
      <sheetName val="Individual"/>
      <sheetName val="Pool1"/>
      <sheetName val="Pool2"/>
      <sheetName val="Pool3"/>
      <sheetName val="Pool4"/>
      <sheetName val="Pool5"/>
      <sheetName val="3620SE"/>
      <sheetName val="2.대외공문"/>
      <sheetName val="DW SEC"/>
      <sheetName val="LG SEC"/>
      <sheetName val="Manue"/>
      <sheetName val="손익계산서"/>
      <sheetName val="Sheet2"/>
      <sheetName val="Ship Summary"/>
      <sheetName val="Trial"/>
      <sheetName val="Sheet3"/>
      <sheetName val="지역개발"/>
      <sheetName val="합계잔액시산표"/>
      <sheetName val="선급비용"/>
      <sheetName val="PC%계산"/>
      <sheetName val="항목"/>
      <sheetName val="미수금 (O)"/>
      <sheetName val="울산시산표"/>
      <sheetName val="Sheet19"/>
      <sheetName val="Sheet20"/>
      <sheetName val="Sheet21"/>
      <sheetName val="Sheet22"/>
      <sheetName val="Sheet23"/>
      <sheetName val="BM_NEW2"/>
      <sheetName val="to do"/>
      <sheetName val="IDONG"/>
      <sheetName val="Waterfall Report"/>
      <sheetName val="제조경비"/>
      <sheetName val="118.세금과공과"/>
      <sheetName val="수선비"/>
      <sheetName val="제외분"/>
      <sheetName val="UTCW"/>
      <sheetName val="투자효율분석"/>
      <sheetName val="TLCF"/>
      <sheetName val="사할차금"/>
      <sheetName val="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협조전"/>
      <sheetName val="__"/>
      <sheetName val="99Shop코드"/>
      <sheetName val="Sheet1"/>
      <sheetName val="#REF"/>
      <sheetName val="자체실적1Q"/>
      <sheetName val="내수1.8GL"/>
      <sheetName val="DBL LPG시험"/>
      <sheetName val="2.대외공문"/>
      <sheetName val="engline"/>
      <sheetName val="Sheet5"/>
      <sheetName val="HCCE01"/>
      <sheetName val="major"/>
      <sheetName val="주행"/>
      <sheetName val="대외공문"/>
      <sheetName val="64164"/>
      <sheetName val=" SR3차원단위 (3)"/>
      <sheetName val="3"/>
      <sheetName val="BUS제원1"/>
      <sheetName val="MTO"/>
      <sheetName val="직원신상"/>
      <sheetName val="GRACE"/>
      <sheetName val="SANTAMO"/>
      <sheetName val="M1master"/>
      <sheetName val="1.변경범위"/>
      <sheetName val="비교원RD-S"/>
      <sheetName val="상용"/>
      <sheetName val="2006 Business Plan (eng)"/>
      <sheetName val="CAUDIT"/>
      <sheetName val="BASE"/>
      <sheetName val="1.개발개요"/>
      <sheetName val="5.WIRE적용LIST"/>
      <sheetName val="X3"/>
      <sheetName val="C100"/>
      <sheetName val="RES"/>
      <sheetName val="Sheet2"/>
      <sheetName val="Sheet3"/>
      <sheetName val="SOURCE"/>
      <sheetName val="DATA"/>
      <sheetName val="SUB"/>
      <sheetName val="매각단가"/>
      <sheetName val="작성양식"/>
      <sheetName val="p2-1"/>
      <sheetName val="ASEQ"/>
      <sheetName val="구동"/>
      <sheetName val="VPP(BD-010) 이상보고"/>
      <sheetName val="RD제품개발투자비(매가)"/>
      <sheetName val="금형사양서"/>
      <sheetName val="표지"/>
      <sheetName val="MACRO1.XLM"/>
      <sheetName val="AD원"/>
      <sheetName val="정산내역"/>
      <sheetName val="HP1AMLIST"/>
      <sheetName val="DI-ESTI"/>
      <sheetName val="9907협력"/>
      <sheetName val="125PIECE"/>
      <sheetName val="신규DEP"/>
      <sheetName val="Sales"/>
      <sheetName val="회의실신청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-Lead"/>
      <sheetName val="현금·예금명세"/>
      <sheetName val="이자수익-원천징수"/>
      <sheetName val="미수수익"/>
      <sheetName val="은행조회서control sheet"/>
      <sheetName val="D-Lead"/>
      <sheetName val="G-Lead"/>
      <sheetName val="G명세"/>
      <sheetName val="K-Lead"/>
      <sheetName val="K취득"/>
      <sheetName val="K상각"/>
      <sheetName val="토지공시지가"/>
      <sheetName val="K처분"/>
      <sheetName val="L-Lead"/>
      <sheetName val="개발비자산성검토"/>
      <sheetName val="개발비월별"/>
      <sheetName val="Q-Lead"/>
      <sheetName val="이자비용"/>
      <sheetName val="R-Lead"/>
      <sheetName val="인원"/>
      <sheetName val="퇴직금추계액test"/>
      <sheetName val="퇴직금지급test"/>
      <sheetName val="판관비"/>
      <sheetName val="판관비(월별)"/>
      <sheetName val="급여ARP"/>
      <sheetName val="판관비(월)"/>
      <sheetName val="보험내역"/>
      <sheetName val="퇴직금지급"/>
      <sheetName val="2001년추계액"/>
      <sheetName val="퇴직금지급tes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직잔업"/>
      <sheetName val="TOTAL"/>
      <sheetName val="월명세"/>
      <sheetName val="이체"/>
      <sheetName val="명세표"/>
      <sheetName val="가족수당"/>
      <sheetName val="SALTAB97"/>
      <sheetName val="급순서(VBA)"/>
      <sheetName val="조정수당(VBA)"/>
      <sheetName val="Macro1"/>
      <sheetName val="Sheet1"/>
      <sheetName val="Sheet2"/>
      <sheetName val="소득세"/>
      <sheetName val="도움말"/>
      <sheetName val="의보"/>
      <sheetName val="상조회"/>
      <sheetName val="전표"/>
      <sheetName val="표지"/>
      <sheetName val="급여"/>
      <sheetName val="00퇴직급여충당금"/>
      <sheetName val="2001년추계액"/>
      <sheetName val="회사제시"/>
      <sheetName val="Oct"/>
      <sheetName val="월별수입"/>
      <sheetName val="사업관리"/>
      <sheetName val="통계자료"/>
      <sheetName val="외화금융(97-03)"/>
      <sheetName val="Macro3"/>
      <sheetName val="제조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F arp"/>
      <sheetName val="H"/>
      <sheetName val="h 취득"/>
      <sheetName val="h 처분"/>
      <sheetName val="배당금수익"/>
      <sheetName val="N"/>
      <sheetName val="N ARP"/>
      <sheetName val="P"/>
      <sheetName val="u20"/>
      <sheetName val="재고recon"/>
      <sheetName val="미지급"/>
      <sheetName val="관계회사거래내역및 채권채무잔액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98재조정"/>
      <sheetName val="피벗테이블"/>
      <sheetName val="지시안"/>
      <sheetName val="요약"/>
      <sheetName val="총괄1"/>
      <sheetName val="총괄1-1"/>
      <sheetName val="총괄2"/>
      <sheetName val="98세목별"/>
      <sheetName val="용역수수료내역"/>
      <sheetName val="Sheet1"/>
      <sheetName val="1억이상"/>
      <sheetName val="5천이상"/>
      <sheetName val="비통제세부"/>
      <sheetName val="임금인원"/>
      <sheetName val="계정"/>
      <sheetName val="지역본부별 실적"/>
      <sheetName val="거점별"/>
      <sheetName val="지점-대리점"/>
      <sheetName val="back-data"/>
      <sheetName val="총괄"/>
      <sheetName val="판금내역서"/>
      <sheetName val="세목별"/>
      <sheetName val="기안"/>
      <sheetName val="301  금성근"/>
      <sheetName val="실적물판"/>
      <sheetName val="BASE"/>
      <sheetName val="M-MG1"/>
      <sheetName val="차잆금상환"/>
      <sheetName val="R&amp;D"/>
      <sheetName val="2.대외공문"/>
      <sheetName val="품의양"/>
      <sheetName val="SANTAMO"/>
      <sheetName val="소상 &quot;1&quot;"/>
      <sheetName val="MSC_PBA"/>
      <sheetName val="대외공문"/>
      <sheetName val="직원신상"/>
      <sheetName val="발행제기"/>
      <sheetName val="#REF"/>
      <sheetName val="2001년추계액"/>
      <sheetName val="회의실신청"/>
      <sheetName val="원가율"/>
      <sheetName val="CodeMIX"/>
      <sheetName val="TABLES"/>
      <sheetName val="Template"/>
      <sheetName val="구"/>
      <sheetName val="관계회사거래내역및 채권채무잔액 99"/>
      <sheetName val="1~4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도관2"/>
      <sheetName val="계정"/>
      <sheetName val="TRACKING"/>
      <sheetName val="Tbom-tot"/>
      <sheetName val="MAIN"/>
      <sheetName val="TC_Car_New4P"/>
      <sheetName val="BRAKE"/>
      <sheetName val="J100"/>
      <sheetName val="W-현원가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내역"/>
      <sheetName val="QM송부자료"/>
    </sheetNames>
    <sheetDataSet>
      <sheetData sheetId="0"/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4BS"/>
      <sheetName val="A4PL"/>
      <sheetName val="a5"/>
      <sheetName val="C"/>
      <sheetName val="D"/>
      <sheetName val="e"/>
      <sheetName val=",f"/>
      <sheetName val="g"/>
      <sheetName val="h"/>
      <sheetName val="j"/>
      <sheetName val="k"/>
      <sheetName val="L"/>
      <sheetName val="M"/>
      <sheetName val="N"/>
      <sheetName val="P"/>
      <sheetName val="Q"/>
      <sheetName val="R"/>
      <sheetName val="T"/>
      <sheetName val="U10"/>
      <sheetName val="U20"/>
      <sheetName val="U40"/>
      <sheetName val="U50"/>
      <sheetName val="U60"/>
      <sheetName val="대차대조표"/>
      <sheetName val="보고BS"/>
      <sheetName val="보고PL"/>
      <sheetName val="손익계산서"/>
      <sheetName val="제조원가보고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 (2)"/>
      <sheetName val="이익분석"/>
      <sheetName val="대차 (2)"/>
      <sheetName val="이익분석2"/>
      <sheetName val="매출원가"/>
      <sheetName val="제조 (2)"/>
      <sheetName val="대차"/>
      <sheetName val="손익"/>
      <sheetName val="제조"/>
      <sheetName val="요약"/>
      <sheetName val="잉여"/>
      <sheetName val="매출법인세"/>
      <sheetName val="매출액인건"/>
      <sheetName val="확정안"/>
      <sheetName val="배당가능"/>
      <sheetName val="타인현금"/>
      <sheetName val="현금등대여"/>
      <sheetName val="Module1"/>
      <sheetName val="충돌 내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건물(95이후)"/>
      <sheetName val="차량(94이전)"/>
      <sheetName val="차량(95이후)"/>
      <sheetName val="차량통합"/>
      <sheetName val="공구(94이전)"/>
      <sheetName val="공구(95이후)"/>
      <sheetName val="비품(94이전)"/>
      <sheetName val="비품(95이후)"/>
      <sheetName val="잔존상각"/>
      <sheetName val="상각비원가배분 (97년말)"/>
      <sheetName val="Sheet11"/>
      <sheetName val="토지보유 (2)"/>
      <sheetName val="수량산출"/>
      <sheetName val="DI1"/>
      <sheetName val="현장관리비"/>
      <sheetName val="월간인력"/>
      <sheetName val="WPL"/>
      <sheetName val="admin"/>
      <sheetName val="감가상각"/>
      <sheetName val="월별손익"/>
      <sheetName val="K1-1 증감schedule"/>
      <sheetName val="통계자료"/>
      <sheetName val="자료"/>
      <sheetName val="총괄"/>
      <sheetName val="정산표"/>
      <sheetName val="원가기준정보"/>
      <sheetName val="원가배부작업시간"/>
      <sheetName val="내수"/>
      <sheetName val="프로젝트목록"/>
      <sheetName val="Tier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MPO"/>
      <sheetName val="BUSAN"/>
      <sheetName val="DATA"/>
      <sheetName val="피벗"/>
      <sheetName val="DATA (2)"/>
      <sheetName val="중국수출"/>
      <sheetName val="출력자료(DATA)"/>
      <sheetName val="가격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1월"/>
      <sheetName val="2월"/>
      <sheetName val="3월"/>
      <sheetName val="4월"/>
      <sheetName val="5월"/>
      <sheetName val="6월"/>
      <sheetName val="1분기공정배분"/>
      <sheetName val="Sheet5"/>
      <sheetName val="재단"/>
      <sheetName val="1분기재고장"/>
      <sheetName val="2분기재고"/>
      <sheetName val="가족수당"/>
      <sheetName val="상조회"/>
      <sheetName val="소득세"/>
      <sheetName val="SALTAB97"/>
      <sheetName val="의보"/>
      <sheetName val="생산직잔업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고장"/>
      <sheetName val="Sheet1"/>
      <sheetName val="입고"/>
      <sheetName val="출고"/>
      <sheetName val="원자재02월투"/>
      <sheetName val="원자재02월출"/>
      <sheetName val="발주서20021001-20030228"/>
      <sheetName val="유리코드"/>
      <sheetName val="거래처코드"/>
      <sheetName val="1월"/>
      <sheetName val="2월"/>
      <sheetName val="3월"/>
      <sheetName val="4월"/>
      <sheetName val="5월"/>
      <sheetName val="6월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현금과예금"/>
      <sheetName val="장기금융상품"/>
      <sheetName val="종단"/>
      <sheetName val="가지급금기타"/>
      <sheetName val="국외출장비"/>
      <sheetName val="수출입통관"/>
      <sheetName val="LEASE"/>
      <sheetName val="LEASE (2)"/>
      <sheetName val="적금미수"/>
      <sheetName val="리스선급"/>
      <sheetName val="유가미수"/>
      <sheetName val="미수수익"/>
      <sheetName val="이자선급비용"/>
      <sheetName val="무역금융"/>
      <sheetName val="미지급이자"/>
      <sheetName val="12월외화평가DATA"/>
      <sheetName val="단기차입금"/>
      <sheetName val="유동성차입금"/>
      <sheetName val="장기차입금"/>
      <sheetName val="자본금"/>
      <sheetName val="종업원단기대여금"/>
      <sheetName val="투자유가증권"/>
      <sheetName val="구매카드매출"/>
      <sheetName val="0312 (2)"/>
      <sheetName val="구매자카드매출2"/>
      <sheetName val="구매카드매입"/>
      <sheetName val="구.카 명세"/>
      <sheetName val="받을어음"/>
      <sheetName val="받.어 명세"/>
      <sheetName val="지급어음"/>
      <sheetName val="지.어 명세"/>
      <sheetName val="선급금기타명세"/>
      <sheetName val="200312 (2)"/>
      <sheetName val="2004 (2)"/>
      <sheetName val="가지급금기타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현금과예금"/>
      <sheetName val="장기금융상품"/>
      <sheetName val="종단"/>
      <sheetName val="가지급금기타"/>
      <sheetName val="국외출장비"/>
      <sheetName val="수출입통관"/>
      <sheetName val="LEASE"/>
      <sheetName val="LEASE (2)"/>
      <sheetName val="적금미수"/>
      <sheetName val="리스선급"/>
      <sheetName val="유가미수"/>
      <sheetName val="미수수익"/>
      <sheetName val="이자선급비용"/>
      <sheetName val="무역금융"/>
      <sheetName val="미지급이자"/>
      <sheetName val="12월외화평가DATA"/>
      <sheetName val="단기차입금"/>
      <sheetName val="유동성차입금"/>
      <sheetName val="장기차입금"/>
      <sheetName val="자본금"/>
      <sheetName val="종업원단기대여금"/>
      <sheetName val="투자유가증권"/>
      <sheetName val="구매카드매출"/>
      <sheetName val="0312 (2)"/>
      <sheetName val="구매자카드매출2"/>
      <sheetName val="구매카드매입"/>
      <sheetName val="구.카 명세"/>
      <sheetName val="받을어음"/>
      <sheetName val="받.어 명세"/>
      <sheetName val="지급어음"/>
      <sheetName val="지.어 명세"/>
      <sheetName val="선급금기타명세"/>
      <sheetName val="200312 (2)"/>
      <sheetName val="2004 (2)"/>
      <sheetName val="가지급금기타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_x0000_ÿ"/>
      <sheetName val="기본입력사항"/>
      <sheetName val="시산표"/>
      <sheetName val="수정사항"/>
      <sheetName val="대차대조표"/>
      <sheetName val="손익계산서"/>
      <sheetName val="잉여금"/>
      <sheetName val="현금흐름표"/>
      <sheetName val="현금 "/>
      <sheetName val="현금흐름표작성조서"/>
      <sheetName val="대차총괄"/>
      <sheetName val="유형총괄"/>
      <sheetName val="손익총괄"/>
      <sheetName val="매출원가명세"/>
      <sheetName val="수정사항요약표"/>
      <sheetName val="수정대차대차표"/>
      <sheetName val="수정손익계산서"/>
      <sheetName val="경영분석지표"/>
      <sheetName val="주석"/>
      <sheetName val="Sheet11"/>
      <sheetName val="Sheet12"/>
      <sheetName val="Sheet13"/>
      <sheetName val="Sheet14"/>
      <sheetName val="Sheet15"/>
      <sheetName val="Sheet16"/>
      <sheetName val="지역개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16피벗"/>
      <sheetName val="4-16LIST"/>
      <sheetName val="4월정기결제LIST"/>
      <sheetName val="2-16피벗"/>
      <sheetName val="Sheet4"/>
      <sheetName val="Sheet1"/>
      <sheetName val="잉여금"/>
      <sheetName val="대차대조표"/>
      <sheetName val="손익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1"/>
      <sheetName val="Sheet2"/>
      <sheetName val="Sheet3"/>
      <sheetName val="3-16피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16피벗"/>
      <sheetName val="2-16LIST"/>
      <sheetName val="Sheet4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객명"/>
      <sheetName val="미발행2"/>
      <sheetName val="미발행2data"/>
      <sheetName val="출하대기"/>
      <sheetName val="출하대기data"/>
      <sheetName val="순수자료"/>
      <sheetName val="순수피벗"/>
      <sheetName val="미발행DATA"/>
      <sheetName val="미발행"/>
      <sheetName val="예금구좌"/>
      <sheetName val="CARDNAM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OTAL"/>
    </sheetNames>
    <sheetDataSet>
      <sheetData sheetId="0" refreshError="1"/>
      <sheetData sheetId="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(운영부배부안한것)"/>
      <sheetName val="총괄표(운영부부배한것)"/>
      <sheetName val="총괄표(운영부에서얼마나배부되었나)"/>
      <sheetName val="경비예산집계표"/>
      <sheetName val="인건비예산(정규직)"/>
      <sheetName val="인건비예산(용역)"/>
      <sheetName val="기타자료"/>
      <sheetName val="직급별연봉표"/>
      <sheetName val="인원계획(정규)"/>
      <sheetName val="회사정보"/>
      <sheetName val="계정code"/>
      <sheetName val="손익계산서"/>
      <sheetName val="개인사용종합"/>
      <sheetName val="TOTAL"/>
      <sheetName val="본부별매출"/>
      <sheetName val="Links"/>
      <sheetName val="Lead"/>
      <sheetName val="0001"/>
      <sheetName val="제조경비"/>
      <sheetName val="COBS"/>
      <sheetName val="MISU12-1"/>
      <sheetName val="관세"/>
      <sheetName val="잉여금"/>
      <sheetName val="대차대조표"/>
      <sheetName val="월별수입"/>
      <sheetName val="총괄"/>
      <sheetName val="control sheet"/>
      <sheetName val="24.보증금(전신전화가입권)"/>
      <sheetName val="ROOT"/>
      <sheetName val="세액계산"/>
      <sheetName val="생산실적"/>
      <sheetName val="무형자산명세"/>
      <sheetName val="예금구좌"/>
      <sheetName val="99년 인건비예산"/>
      <sheetName val="출금실적"/>
      <sheetName val="첨부1"/>
      <sheetName val="MAIN"/>
      <sheetName val="경비"/>
      <sheetName val="일반"/>
      <sheetName val="Assumption"/>
      <sheetName val="조회서송부 LIST"/>
      <sheetName val="P.L"/>
      <sheetName val="손익"/>
      <sheetName val="충전"/>
      <sheetName val="계DATA"/>
      <sheetName val="실DATA "/>
      <sheetName val="정의"/>
      <sheetName val="기본"/>
      <sheetName val="시산표"/>
      <sheetName val="실적표"/>
      <sheetName val="2001"/>
      <sheetName val="10K4"/>
      <sheetName val="현장경상비"/>
      <sheetName val="재공품(9월)"/>
      <sheetName val="감액대상LIST"/>
      <sheetName val="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분기재고장"/>
      <sheetName val="2분기재고"/>
      <sheetName val="3분기재고"/>
      <sheetName val="4분기재고"/>
      <sheetName val="공정배분"/>
      <sheetName val="확인"/>
      <sheetName val="인건비예산(정규직)"/>
      <sheetName val="인건비예산(용역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nk"/>
      <sheetName val="cover"/>
      <sheetName val="목차"/>
      <sheetName val="페이지"/>
      <sheetName val="1.BS"/>
      <sheetName val="2.IS"/>
      <sheetName val="원가명세"/>
      <sheetName val="Sheet1"/>
      <sheetName val="3.이익잉여금처분"/>
      <sheetName val="4.현금흐름표"/>
      <sheetName val="5.매출액명세서"/>
      <sheetName val="6.공사수익"/>
      <sheetName val="7.매출원가"/>
      <sheetName val="8.공사원가"/>
      <sheetName val="9.제예금명세서"/>
      <sheetName val="10.현금등가물"/>
      <sheetName val="11.금융상품"/>
      <sheetName val="12.장기금융상품"/>
      <sheetName val="사용제한예금"/>
      <sheetName val="13.매출채권,매입채권"/>
      <sheetName val="14.받을어음"/>
      <sheetName val="15.미수금"/>
      <sheetName val="16.미수수익"/>
      <sheetName val="17.선급,선급비용금"/>
      <sheetName val="19.재고자산"/>
      <sheetName val="20.유가증권"/>
      <sheetName val="21.투자유가증권"/>
      <sheetName val="22.장기대여금"/>
      <sheetName val="23.보증금(1)"/>
      <sheetName val="23.보증금(2)"/>
      <sheetName val="37.퇴직보험예치금"/>
      <sheetName val="24.유형자산명세서"/>
      <sheetName val="24_1유형감소내역"/>
      <sheetName val="26.유형자산처분명세"/>
      <sheetName val="26.1폐기(멸실,소재불명)"/>
      <sheetName val="26.토지명세서"/>
      <sheetName val="28.건설가계정"/>
      <sheetName val="무형자산명세서"/>
      <sheetName val="29.감가상각누계액"/>
      <sheetName val="30.사채할인발행차금상각"/>
      <sheetName val="30.충당금명세서"/>
      <sheetName val="31.지급어음"/>
      <sheetName val="32.미지급금"/>
      <sheetName val="33.미지급비용"/>
      <sheetName val="34.선수금"/>
      <sheetName val="35.예수금"/>
      <sheetName val="36.예수보증금"/>
      <sheetName val="38.사채명세서"/>
      <sheetName val="40.장기차입금"/>
      <sheetName val="41.잡손익"/>
      <sheetName val="42법인세비용"/>
      <sheetName val="43.공사부담금상각"/>
      <sheetName val="51.합계잔액시산표 "/>
      <sheetName val="수정시산표"/>
      <sheetName val="부서CODE"/>
      <sheetName val="호봉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산표"/>
      <sheetName val="원가"/>
      <sheetName val="97기말-재무제표"/>
      <sheetName val="정산표"/>
      <sheetName val="24.보증금(전신전화가입권)"/>
      <sheetName val="2000제조1"/>
      <sheetName val="계정code"/>
      <sheetName val="페이지"/>
      <sheetName val="2합"/>
      <sheetName val="보조부문비배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실적"/>
      <sheetName val="99계획"/>
      <sheetName val="99실적"/>
      <sheetName val="7월시산"/>
      <sheetName val="1~6월시산"/>
      <sheetName val="9906"/>
      <sheetName val="#REF"/>
      <sheetName val="Sheet1"/>
      <sheetName val="02매출채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시산표"/>
      <sheetName val="대차대조표"/>
      <sheetName val="손익계산서"/>
      <sheetName val="판관.비용수익"/>
      <sheetName val="손익"/>
      <sheetName val="인력(정규직)"/>
      <sheetName val="페이지"/>
      <sheetName val="인건비예산(정규직)"/>
      <sheetName val="인건비예산(용역)"/>
      <sheetName val="매월결산"/>
      <sheetName val="매월결산 (석탑반영)"/>
      <sheetName val="Sheet1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BS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재무제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BSPL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품의서"/>
      <sheetName val="기안"/>
      <sheetName val="2차-PROTO-(1)"/>
      <sheetName val="제조원가명세서"/>
      <sheetName val="Sheet3"/>
      <sheetName val="Macro3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총괄"/>
      <sheetName val="수정시산표"/>
      <sheetName val="108_수선비"/>
      <sheetName val="손익계산서"/>
      <sheetName val="TABLE01"/>
      <sheetName val="원본"/>
      <sheetName val="회사정보"/>
      <sheetName val="손익분기점 데이터"/>
      <sheetName val="1999"/>
      <sheetName val="2001급여"/>
      <sheetName val="발생집계"/>
      <sheetName val="수선비"/>
      <sheetName val="회사BS"/>
      <sheetName val="종합(PD,FD,RS)"/>
      <sheetName val="절대지우지말것"/>
      <sheetName val="14.광주_원가배부Ⅲ"/>
      <sheetName val="주채무"/>
      <sheetName val="Property"/>
      <sheetName val="대환취급"/>
      <sheetName val="시산표"/>
      <sheetName val="손익계산서 raw data"/>
      <sheetName val="손익내역전년"/>
      <sheetName val="총괄표"/>
      <sheetName val="VXXXXX"/>
      <sheetName val="7.31 (2)"/>
      <sheetName val="FixedIncome"/>
      <sheetName val="VaR"/>
      <sheetName val="Macro1"/>
      <sheetName val="공사현황표"/>
      <sheetName val="1차 매출원가"/>
      <sheetName val="일반정보"/>
      <sheetName val="매입매출(입력)"/>
      <sheetName val="SA"/>
      <sheetName val="장기차입금"/>
      <sheetName val="선수금"/>
      <sheetName val="WELDING"/>
      <sheetName val="요약"/>
      <sheetName val="부서별손익 (부)"/>
      <sheetName val="금리보조"/>
      <sheetName val="입력"/>
      <sheetName val="퇴직급여02 (2)"/>
      <sheetName val="2001-FTE-Standard"/>
      <sheetName val="24.보증금(전신전화가입권)"/>
      <sheetName val="control"/>
      <sheetName val="신규구입자산"/>
      <sheetName val="E LEAD"/>
      <sheetName val="건축매출명세-2008년"/>
      <sheetName val="9902"/>
      <sheetName val="코드부여방법도"/>
      <sheetName val="96원가"/>
      <sheetName val="공장"/>
      <sheetName val="인건비예산(정규직)"/>
      <sheetName val="인건비예산(용역)"/>
      <sheetName val="상품보조수불"/>
      <sheetName val="제조원가계산서 (2)"/>
      <sheetName val="제품입고(생산)"/>
      <sheetName val="IN"/>
      <sheetName val="안강자재입고"/>
      <sheetName val="매출매입"/>
      <sheetName val="비교"/>
      <sheetName val="4290채권채무조회총괄표"/>
      <sheetName val="A410~A420.검토정산표"/>
      <sheetName val="정기적금"/>
      <sheetName val="conclusion"/>
      <sheetName val="결정단가"/>
      <sheetName val="comparables"/>
      <sheetName val="Deduction"/>
      <sheetName val="other"/>
      <sheetName val="매도주식"/>
      <sheetName val="XREF"/>
      <sheetName val="광주"/>
      <sheetName val="대구"/>
      <sheetName val="대전"/>
      <sheetName val="부산"/>
      <sheetName val="PLarp"/>
      <sheetName val="basic_info"/>
      <sheetName val="예산"/>
      <sheetName val="기초수불"/>
      <sheetName val="계정code"/>
      <sheetName val="Main"/>
      <sheetName val="작성자"/>
      <sheetName val="981분기"/>
      <sheetName val="RK-#1"/>
      <sheetName val="대차대조표"/>
      <sheetName val="IJABUNRI"/>
      <sheetName val="Sheet1"/>
      <sheetName val="성적표96"/>
      <sheetName val="환율시트"/>
      <sheetName val="계정과목"/>
      <sheetName val="수선비MATRIX"/>
      <sheetName val="차량소요량-년간주행거리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변수"/>
      <sheetName val="정의"/>
      <sheetName val="J"/>
      <sheetName val="현장경상비"/>
      <sheetName val="01"/>
      <sheetName val="2000제조1"/>
      <sheetName val="년간데이타"/>
      <sheetName val="민감도"/>
      <sheetName val="현장관리비"/>
      <sheetName val="장비비"/>
      <sheetName val="계좌번호"/>
      <sheetName val="급여0601"/>
      <sheetName val="급여0602"/>
      <sheetName val="급여0603"/>
      <sheetName val="상여0601"/>
      <sheetName val="0512월기준"/>
      <sheetName val="各月细目"/>
      <sheetName val="투자유가증권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평가데이터"/>
      <sheetName val="기본입력사항"/>
      <sheetName val="생산2"/>
      <sheetName val="코스모공장 (어음)"/>
      <sheetName val="구미"/>
      <sheetName val="삼호중공업"/>
      <sheetName val="개인정책"/>
      <sheetName val="개인투자"/>
      <sheetName val="장기투자"/>
      <sheetName val="기초데이타"/>
      <sheetName val="재1"/>
      <sheetName val="매채조회"/>
      <sheetName val="경락률"/>
      <sheetName val="법원비용"/>
      <sheetName val="항고구분"/>
      <sheetName val="경매회차하락률"/>
      <sheetName val="차량운반구"/>
      <sheetName val="소프트웨어"/>
      <sheetName val="department"/>
      <sheetName val="유가증권현황"/>
      <sheetName val="상환익(2001년도)"/>
      <sheetName val="통합건전성별분류(0201)"/>
      <sheetName val="통합지보건전성(0201)"/>
      <sheetName val="Customer Databas"/>
      <sheetName val="00'미수"/>
      <sheetName val="진행률기표"/>
      <sheetName val="산출기준(파견전산실)"/>
      <sheetName val="Cover"/>
      <sheetName val="6 국내BW"/>
      <sheetName val="KGAAP(0912)_안성혁"/>
      <sheetName val="자산별귀속부서"/>
      <sheetName val="월별수입"/>
      <sheetName val="페이지"/>
      <sheetName val="만기"/>
      <sheetName val="Links"/>
      <sheetName val="선급비용재계산(AK)"/>
      <sheetName val="건물"/>
      <sheetName val="개발비"/>
      <sheetName val="외화환산손익"/>
      <sheetName val="산업재산권"/>
      <sheetName val="설치공사비"/>
      <sheetName val="ACAMST"/>
      <sheetName val="99계획"/>
      <sheetName val="T6-6(7)"/>
      <sheetName val="공사미수금"/>
      <sheetName val="분양미수금"/>
      <sheetName val="받을어음"/>
      <sheetName val="대외공문"/>
      <sheetName val="씨티-세아1"/>
      <sheetName val="하나-세아"/>
      <sheetName val="회계처리요약"/>
      <sheetName val="LS"/>
      <sheetName val="MatchCode"/>
      <sheetName val="2.대외공문"/>
      <sheetName val="list prices"/>
      <sheetName val="A-LINE"/>
      <sheetName val="기계"/>
      <sheetName val="인원"/>
      <sheetName val="A(1)"/>
      <sheetName val="A (3)"/>
      <sheetName val="INCOME"/>
      <sheetName val="채권(하반기)"/>
      <sheetName val="신고서.전"/>
      <sheetName val="차수"/>
      <sheetName val="업무연락"/>
      <sheetName val="월별매출"/>
      <sheetName val="통합생산일보"/>
      <sheetName val="MCS"/>
      <sheetName val="개인정보"/>
      <sheetName val="급여상여"/>
      <sheetName val="연차수당계산"/>
      <sheetName val="CodeTable"/>
      <sheetName val="협조전"/>
      <sheetName val="고정자산원본"/>
      <sheetName val="FRC"/>
      <sheetName val="Sheet2"/>
      <sheetName val="#REF"/>
      <sheetName val="보조부문비배부"/>
      <sheetName val="25.보증금(임차보증금외)"/>
      <sheetName val="목록"/>
      <sheetName val="임직원 기본인사사항"/>
      <sheetName val="Korea Sign-Internal"/>
      <sheetName val="0201"/>
      <sheetName val="부대집계"/>
      <sheetName val="손익분기점_데이터"/>
      <sheetName val="14_광주_원가배부Ⅲ"/>
      <sheetName val="24_보증금(전신전화가입권)"/>
      <sheetName val="XXXX"/>
      <sheetName val="wbs"/>
      <sheetName val="현금흐름작성조서"/>
      <sheetName val="control sheet"/>
      <sheetName val="Analysis WR 1"/>
      <sheetName val="3. BSC NC ratio"/>
      <sheetName val="2003손익"/>
      <sheetName val="계정"/>
      <sheetName val="데이터4"/>
      <sheetName val="사원명단"/>
      <sheetName val="2"/>
      <sheetName val="지급보증금74"/>
      <sheetName val="00년 계획전망"/>
      <sheetName val="급여관련자료"/>
      <sheetName val="1.외주공사"/>
      <sheetName val="2.직영공사"/>
      <sheetName val="TaxCalc"/>
      <sheetName val="급여조견표"/>
      <sheetName val="Sheet3"/>
      <sheetName val="CRUDE"/>
      <sheetName val="고상실행"/>
      <sheetName val="코드목록"/>
      <sheetName val="인력(정규직)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업종별제조원가"/>
      <sheetName val="조치원제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재고"/>
      <sheetName val="경비"/>
      <sheetName val="DATA"/>
      <sheetName val="정산02"/>
      <sheetName val="02경비"/>
      <sheetName val="0212"/>
      <sheetName val="0211"/>
      <sheetName val="0210"/>
      <sheetName val="CARDNAME"/>
      <sheetName val="계정"/>
      <sheetName val="Sheet2"/>
      <sheetName val="당좌차월"/>
      <sheetName val="보증금"/>
      <sheetName val="전화가입"/>
      <sheetName val="Sheet9"/>
      <sheetName val="특정"/>
      <sheetName val="유가증권(결산)"/>
      <sheetName val="유가증권"/>
      <sheetName val="예금구좌"/>
      <sheetName val="Sheet4"/>
      <sheetName val="예금"/>
      <sheetName val="Sheet10"/>
      <sheetName val="정기적금"/>
      <sheetName val="Sheet5"/>
      <sheetName val="미수금"/>
      <sheetName val="외상매출"/>
      <sheetName val="Sheet7"/>
      <sheetName val="받을어음"/>
      <sheetName val="수입보증"/>
      <sheetName val="부도어음"/>
      <sheetName val="Sheet3"/>
      <sheetName val="전도금"/>
      <sheetName val="가지급금"/>
      <sheetName val="Sheet14"/>
      <sheetName val="선급금"/>
      <sheetName val="Sheet8"/>
      <sheetName val="선급비용"/>
      <sheetName val="선납제세"/>
      <sheetName val="단기대여금"/>
      <sheetName val="Sheet12"/>
      <sheetName val="정기결제"/>
      <sheetName val="피벗"/>
      <sheetName val="외상"/>
      <sheetName val="미비용"/>
      <sheetName val="Sheet16"/>
      <sheetName val="구매카드"/>
      <sheetName val="지급어음"/>
      <sheetName val="Sheet13"/>
      <sheetName val="선수금"/>
      <sheetName val="Sheet6"/>
      <sheetName val="예수금"/>
      <sheetName val="Sheet15"/>
      <sheetName val="예수제세"/>
      <sheetName val="차입금"/>
      <sheetName val="ㅇㅇ"/>
      <sheetName val="0209"/>
      <sheetName val="0208"/>
      <sheetName val="0207"/>
      <sheetName val="0206"/>
      <sheetName val="0205"/>
      <sheetName val="0204"/>
      <sheetName val="0203"/>
      <sheetName val="0202"/>
      <sheetName val="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"/>
      <sheetName val="자료"/>
      <sheetName val="퇴직금중간정산(식)"/>
      <sheetName val="MAIN"/>
      <sheetName val="12"/>
      <sheetName val="1"/>
      <sheetName val="2"/>
      <sheetName val="2001년추계액"/>
      <sheetName val="회사제시"/>
      <sheetName val="제조원가명세서"/>
      <sheetName val="4월계획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주요손익현황 (2)"/>
      <sheetName val="매출현황 (2)"/>
      <sheetName val="접대비 (2)"/>
      <sheetName val="외주가공비 (2)"/>
      <sheetName val="차량유지비 (2)"/>
      <sheetName val="통신비 (2)"/>
      <sheetName val="여수신"/>
      <sheetName val="여신"/>
      <sheetName val="수신"/>
      <sheetName val="PLa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월차수당"/>
      <sheetName val="급여"/>
      <sheetName val="98퇴충계산"/>
      <sheetName val="국민년금전환금"/>
      <sheetName val="991231"/>
      <sheetName val="20001231퇴충계산"/>
      <sheetName val="해당자"/>
      <sheetName val="해당자 (500%)"/>
      <sheetName val="상여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재고분석(송1)"/>
    </sheetNames>
    <definedNames>
      <definedName name="글씨"/>
    </defined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오토"/>
      <sheetName val="Sheet3"/>
      <sheetName val="전기중도해지"/>
      <sheetName val="Sheet1"/>
      <sheetName val="기타건전"/>
      <sheetName val="기초해지2"/>
      <sheetName val="기초해지"/>
      <sheetName val="리스"/>
      <sheetName val="연체리스료"/>
      <sheetName val="금융"/>
      <sheetName val="은행"/>
      <sheetName val="보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오토"/>
      <sheetName val="Sheet3"/>
      <sheetName val="전기중도해지"/>
      <sheetName val="Sheet1"/>
      <sheetName val="기타건전"/>
      <sheetName val="기초해지2"/>
      <sheetName val="기초해지"/>
      <sheetName val="리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재료"/>
      <sheetName val="가공품97"/>
      <sheetName val="표준원가"/>
      <sheetName val="재무제표"/>
      <sheetName val="제품DATA"/>
      <sheetName val="재료인쇄"/>
      <sheetName val="제품"/>
      <sheetName val="재료DATA"/>
      <sheetName val="급여data"/>
      <sheetName val="급여"/>
      <sheetName val="98시간"/>
      <sheetName val="이연자산상각"/>
      <sheetName val="제조98"/>
      <sheetName val="가공배분"/>
      <sheetName val="결산98"/>
      <sheetName val="급료"/>
      <sheetName val="#REF"/>
      <sheetName val="금액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0630퇴충계산"/>
      <sheetName val="급여"/>
      <sheetName val="상여금"/>
      <sheetName val="국민년금전환금"/>
      <sheetName val="00퇴직급여충당금"/>
      <sheetName val="배부기준"/>
      <sheetName val="기초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대차대조표"/>
      <sheetName val="손익계산서"/>
      <sheetName val="제조원가"/>
      <sheetName val="대차대조표 리스료수정후(2)"/>
      <sheetName val="손익계산서 (2)"/>
      <sheetName val="제조원가 (2)"/>
      <sheetName val="대차대조표 감사후(3)"/>
      <sheetName val="손익계산서 (3)"/>
      <sheetName val="제조원가 (3)"/>
      <sheetName val="대차대조표 잉여금처분후(4)"/>
      <sheetName val="이익잉여금"/>
      <sheetName val="Sheet1 (2)"/>
      <sheetName val="10월 급여"/>
      <sheetName val="여신"/>
      <sheetName val="수신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Sheet3"/>
      <sheetName val="전기중도해지"/>
      <sheetName val="Sheet1"/>
      <sheetName val="기타건전"/>
      <sheetName val="기초해지2"/>
      <sheetName val="Sheet2"/>
      <sheetName val="기초해지"/>
      <sheetName val="리스"/>
      <sheetName val="오토"/>
      <sheetName val="건전성보고편집"/>
      <sheetName val="거래처별구분"/>
      <sheetName val="오토편집(AUTO)"/>
      <sheetName val="검산금액"/>
      <sheetName val="Sheet6"/>
      <sheetName val="Sheet4"/>
      <sheetName val="Sheet5"/>
      <sheetName val="리스계약번호"/>
      <sheetName val="잔가합계"/>
      <sheetName val="중도해지진행업체"/>
      <sheetName val="선수보증금"/>
      <sheetName val="연체일수"/>
      <sheetName val="기준수익률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MPO"/>
      <sheetName val="BUSAN"/>
      <sheetName val="DATA"/>
      <sheetName val="피벗"/>
      <sheetName val="월간간부회의자료"/>
      <sheetName val="중국수출"/>
      <sheetName val="출하DATA"/>
      <sheetName val="출력자료(DATA)"/>
      <sheetName val="가격자료"/>
      <sheetName val="Macr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체"/>
      <sheetName val="LANOS"/>
      <sheetName val="LANOS 과부족"/>
      <sheetName val="CIELO"/>
    </sheetNames>
    <sheetDataSet>
      <sheetData sheetId="0"/>
      <sheetData sheetId="1"/>
      <sheetData sheetId="2"/>
      <sheetData sheetId="3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2001년 서울모터쇼 카 예산 축소"/>
      <sheetName val="2001년 서울모터쇼 카 예산 축소 (2)"/>
      <sheetName val="Sheet1"/>
      <sheetName val="R_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월차수당"/>
      <sheetName val="급여"/>
      <sheetName val="98퇴충계산"/>
      <sheetName val="991231퇴충계산"/>
      <sheetName val="Sheet1"/>
      <sheetName val="상여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월계획"/>
    </sheetNames>
    <sheetDataSet>
      <sheetData sheetId="0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 (2)"/>
      <sheetName val="이익분석"/>
      <sheetName val="대차 (2)"/>
      <sheetName val="이익분석2"/>
      <sheetName val="매출원가"/>
      <sheetName val="제조 (2)"/>
      <sheetName val="대차"/>
      <sheetName val="손익"/>
      <sheetName val="제조"/>
      <sheetName val="요약"/>
      <sheetName val="잉여"/>
      <sheetName val="매출법인세"/>
      <sheetName val="매출액인건"/>
      <sheetName val="확정안"/>
      <sheetName val="배당가능"/>
      <sheetName val="타인현금"/>
      <sheetName val="현금등대여"/>
      <sheetName val="Module1"/>
      <sheetName val="충돌 내용"/>
      <sheetName val="회사제시"/>
      <sheetName val="외화채권"/>
      <sheetName val="P.L"/>
      <sheetName val="내역"/>
      <sheetName val="관계회사거래내역및 채권채무잔액 99"/>
      <sheetName val="COBS"/>
      <sheetName val="호수별(출력안함)"/>
      <sheetName val="손익계산서"/>
      <sheetName val="TAT"/>
      <sheetName val="YLD"/>
      <sheetName val="한세A4PL"/>
      <sheetName val="사채상각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대차대조표"/>
      <sheetName val="손익계산서"/>
      <sheetName val="제조원가"/>
      <sheetName val="대차대조표(배당금포함)"/>
      <sheetName val="대차대조표( 배당금제외)"/>
      <sheetName val="이익잉여금"/>
      <sheetName val="여신"/>
      <sheetName val="수신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오토"/>
      <sheetName val="Sheet3"/>
      <sheetName val="전기중도해지"/>
      <sheetName val="Sheet1"/>
      <sheetName val="기타건전"/>
      <sheetName val="기초해지2"/>
      <sheetName val="Sheet2"/>
      <sheetName val="기초해지"/>
      <sheetName val="리스"/>
      <sheetName val="여신보고용"/>
      <sheetName val="별제권_정리담보권1"/>
      <sheetName val="기타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투자유가증권 (2)"/>
      <sheetName val="현금과예금"/>
      <sheetName val="장기금융상품"/>
      <sheetName val="종단"/>
      <sheetName val="가지급금기타"/>
      <sheetName val="국외출장비"/>
      <sheetName val="수출입통관"/>
      <sheetName val="LEASE"/>
      <sheetName val="LEASE (2)"/>
      <sheetName val="적금미수"/>
      <sheetName val="리스선급"/>
      <sheetName val="유가미수"/>
      <sheetName val="미수수익"/>
      <sheetName val="이자선급비용"/>
      <sheetName val="무역금융"/>
      <sheetName val="미지급이자"/>
      <sheetName val="12월외화평가DATA"/>
      <sheetName val="단기차입금"/>
      <sheetName val="유동성차입금"/>
      <sheetName val="장기차입금"/>
      <sheetName val="자본금"/>
      <sheetName val="종업원단기대여금"/>
      <sheetName val="투자유가증권"/>
      <sheetName val="구매카드매출"/>
      <sheetName val="0312 (2)"/>
      <sheetName val="구매자카드매출2"/>
      <sheetName val="구매카드매입"/>
      <sheetName val="구.카 명세"/>
      <sheetName val="받을어음"/>
      <sheetName val="받.어 명세"/>
      <sheetName val="지급어음"/>
      <sheetName val="지.어 명세"/>
      <sheetName val="선급금기타명세"/>
      <sheetName val="200312 (2)"/>
      <sheetName val="2004 (2)"/>
      <sheetName val="유가증권2004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cp04"/>
      <sheetName val="운용리스자산"/>
      <sheetName val="Sheet2"/>
      <sheetName val="Sheet3"/>
      <sheetName val="관리팀확인요망"/>
      <sheetName val="기초해지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받을어음"/>
      <sheetName val="WPL"/>
      <sheetName val="수정시산표"/>
      <sheetName val="EE"/>
      <sheetName val="COBS"/>
      <sheetName val="maccp04"/>
      <sheetName val="가동비율"/>
      <sheetName val="별제권_정리담보권1"/>
      <sheetName val="MC&amp;다변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Sheet4"/>
      <sheetName val="영업외손익등"/>
      <sheetName val="기초데이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표"/>
    </sheetNames>
    <sheetDataSet>
      <sheetData sheetId="0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기초-1(반기조정)"/>
      <sheetName val="내역"/>
      <sheetName val="기초"/>
      <sheetName val="현황표"/>
      <sheetName val="정산03"/>
      <sheetName val="03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연자산95"/>
      <sheetName val="수입보증95"/>
      <sheetName val="연금95"/>
      <sheetName val="임차95"/>
      <sheetName val="임대보증95"/>
      <sheetName val="외화차입95"/>
      <sheetName val="장기차입95"/>
      <sheetName val="미지급법인세"/>
      <sheetName val="외상매출95"/>
      <sheetName val="전신96"/>
      <sheetName val="전신95"/>
      <sheetName val="미수금95"/>
      <sheetName val="외화외상95"/>
      <sheetName val="미지급95"/>
      <sheetName val="단기95"/>
      <sheetName val="당좌95"/>
      <sheetName val="미비용95"/>
      <sheetName val="비교재무제표"/>
      <sheetName val="자료"/>
      <sheetName val="XREF"/>
      <sheetName val="SALE"/>
      <sheetName val="대분류2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1 (2)"/>
    </sheetNames>
    <sheetDataSet>
      <sheetData sheetId="0"/>
      <sheetData sheetId="1"/>
      <sheetData sheetId="2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금융자산부채 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잉여금 "/>
      <sheetName val="공사원가"/>
      <sheetName val="SALE"/>
      <sheetName val="Sheet1"/>
      <sheetName val="건물명세"/>
      <sheetName val="C2"/>
      <sheetName val="GG"/>
      <sheetName val="계정code"/>
      <sheetName val="미지급내자"/>
      <sheetName val="차량(구)"/>
      <sheetName val="업체개요"/>
      <sheetName val="회사정보"/>
      <sheetName val="미비용95"/>
      <sheetName val="control sheet"/>
      <sheetName val="UTMBPL"/>
      <sheetName val="소기"/>
      <sheetName val="주주명부&lt;끝&gt;"/>
      <sheetName val="CD-실적"/>
      <sheetName val="당년매출집계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표"/>
    </sheetNames>
    <sheetDataSet>
      <sheetData sheetId="0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3"/>
      <sheetName val="2001년 연봉"/>
      <sheetName val="DATA"/>
      <sheetName val="경리1"/>
      <sheetName val="Sheet7"/>
      <sheetName val="가족수당"/>
      <sheetName val="상조회"/>
      <sheetName val="소득세"/>
      <sheetName val="SALTAB97"/>
      <sheetName val="의보"/>
      <sheetName val="생산직잔업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생집계"/>
      <sheetName val="Sheet3"/>
      <sheetName val="차이내역(1)"/>
      <sheetName val="발생차이"/>
      <sheetName val="경기자사건물"/>
      <sheetName val="비배관첨부내역"/>
      <sheetName val="비배관내역"/>
      <sheetName val="감가상각내용년수"/>
      <sheetName val="제출자료"/>
      <sheetName val="공급설비명세 (2)"/>
      <sheetName val="대체"/>
      <sheetName val="직접비발생"/>
      <sheetName val="94년간접비"/>
      <sheetName val="94직접비"/>
      <sheetName val="95년간접비"/>
      <sheetName val="95직접비"/>
      <sheetName val="96년간접비"/>
      <sheetName val="96년직접비"/>
      <sheetName val="97년비배관"/>
      <sheetName val="97년간접비"/>
      <sheetName val="97년직접비"/>
      <sheetName val="98상반기대체"/>
      <sheetName val="내역1"/>
      <sheetName val="BM_NEW2"/>
      <sheetName val="2004년하반기 경평반영_민원반영영업점"/>
      <sheetName val="총괄원장"/>
      <sheetName val="손익"/>
      <sheetName val="Menu_Link"/>
      <sheetName val="basic_info"/>
      <sheetName val="대차대조표"/>
      <sheetName val="손익계산서"/>
      <sheetName val="보증금(전신전화가입권)"/>
      <sheetName val="공급설비"/>
      <sheetName val="계수원본(99.2.28)"/>
      <sheetName val="대차"/>
      <sheetName val="Sheet7"/>
      <sheetName val="#REF"/>
      <sheetName val="인력(정규직)"/>
      <sheetName val="10.31"/>
      <sheetName val="받을어음"/>
      <sheetName val="LIST"/>
      <sheetName val="연체대출"/>
      <sheetName val="원평사_2005_"/>
      <sheetName val="Sheet2"/>
      <sheetName val="control sheet"/>
      <sheetName val="Macro3"/>
      <sheetName val="TEMP1"/>
      <sheetName val="공통"/>
      <sheetName val="시산표"/>
      <sheetName val="수정시산표"/>
      <sheetName val="회사제시"/>
      <sheetName val="COBS"/>
      <sheetName val="대외공문"/>
      <sheetName val="주주명부&lt;끝&gt;"/>
      <sheetName val="Template"/>
      <sheetName val="P.L"/>
      <sheetName val="Data"/>
      <sheetName val="입력"/>
      <sheetName val="Links"/>
      <sheetName val="95하U$가격"/>
      <sheetName val="공통가설"/>
      <sheetName val="summary"/>
      <sheetName val="주간기성"/>
      <sheetName val="협조전"/>
      <sheetName val="상품입고집계"/>
      <sheetName val="A1"/>
      <sheetName val="보증금_전신전화가입권_"/>
      <sheetName val="95WBS"/>
      <sheetName val="현금흐름표"/>
      <sheetName val="유가증권현황"/>
      <sheetName val="상환익(2001년도)"/>
      <sheetName val="통합건전성별분류(0201)"/>
      <sheetName val="통합지보건전성(0201)"/>
      <sheetName val="제품(수출)매출"/>
      <sheetName val="상품보조수불"/>
      <sheetName val="제조원가계산서 (2)"/>
      <sheetName val="제품입고(생산)"/>
      <sheetName val="IN"/>
      <sheetName val="품목코드"/>
      <sheetName val="이자율"/>
      <sheetName val="K1"/>
      <sheetName val="CAUDIT"/>
      <sheetName val="지역개발"/>
      <sheetName val="반제품"/>
      <sheetName val="재공품"/>
      <sheetName val="타과목"/>
      <sheetName val="경영비율 "/>
      <sheetName val="9703"/>
      <sheetName val="기계(2)"/>
      <sheetName val="Ctrl"/>
      <sheetName val="샤워실위생"/>
      <sheetName val="한강운반비"/>
      <sheetName val="A1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내역"/>
      <sheetName val="재료비내역"/>
      <sheetName val="재료비"/>
      <sheetName val="배부기준"/>
      <sheetName val="월할경비"/>
      <sheetName val="경비명세서"/>
      <sheetName val="사업부별손익"/>
      <sheetName val="지급수입이자"/>
      <sheetName val="전체요약손익"/>
      <sheetName val="사업부요약"/>
      <sheetName val="Sheet3"/>
      <sheetName val="Sheet11"/>
      <sheetName val="basic_info"/>
      <sheetName val="93상각비"/>
      <sheetName val="보증금(전신전화가입권)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자료"/>
      <sheetName val="수입조정명세"/>
      <sheetName val="수입조정"/>
      <sheetName val="98준공"/>
      <sheetName val="진행수입"/>
      <sheetName val="퇴충"/>
      <sheetName val="대충"/>
      <sheetName val="명세"/>
      <sheetName val="접대비(갑)"/>
      <sheetName val="접대비(을)"/>
      <sheetName val="접대비(병)"/>
      <sheetName val="정액"/>
      <sheetName val="정율"/>
      <sheetName val="재고평가"/>
      <sheetName val="세금공과"/>
      <sheetName val="선급비용"/>
      <sheetName val="기부명세"/>
      <sheetName val="단기차입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발생집계"/>
      <sheetName val="4월계획"/>
      <sheetName val="수정시산표"/>
      <sheetName val="입력자료"/>
      <sheetName val="95년간접비"/>
      <sheetName val="Ns0xa"/>
      <sheetName val="손익계산서"/>
      <sheetName val="인력(정규직)"/>
      <sheetName val="주주명부&lt;끝&gt;"/>
      <sheetName val="P.L"/>
      <sheetName val="집계표"/>
      <sheetName val="업무연락"/>
      <sheetName val="Sheet11"/>
      <sheetName val="97매출관리"/>
      <sheetName val="투자자본상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_생산"/>
      <sheetName val="MH_DATA"/>
      <sheetName val="원가(1)"/>
      <sheetName val="원가 (2)"/>
      <sheetName val="쌍용원가 (2)"/>
      <sheetName val="작성전제"/>
      <sheetName val="재료비근거"/>
      <sheetName val="인건비근거"/>
      <sheetName val="인원(1)"/>
      <sheetName val="인원(2)"/>
      <sheetName val="소모품비"/>
      <sheetName val="수도광열비"/>
      <sheetName val="감가상각"/>
      <sheetName val="직접기타"/>
      <sheetName val="간접기타"/>
      <sheetName val="이자상각"/>
      <sheetName val="0000"/>
      <sheetName val="dri(03.4) &amp; kdac(04~08) "/>
      <sheetName val="2005~8년 ROLL'G"/>
      <sheetName val="0-5개년 OPTION (2003)"/>
      <sheetName val="재료비근갰"/>
      <sheetName val="MH96계획"/>
      <sheetName val="협조전"/>
      <sheetName val="직급별인건비"/>
      <sheetName val="년도별"/>
      <sheetName val="카다로그"/>
      <sheetName val="제조경비"/>
      <sheetName val="KXV01"/>
      <sheetName val="WELDING"/>
      <sheetName val="안내"/>
      <sheetName val="전체개별장비지수열람"/>
      <sheetName val="전략"/>
      <sheetName val="국가DATA"/>
      <sheetName val="A-A"/>
      <sheetName val="Sheet1"/>
      <sheetName val="TOTAL"/>
      <sheetName val="안전보호구98"/>
      <sheetName val="부서별1월"/>
      <sheetName val="정철호"/>
      <sheetName val="0C N&amp;V_PIT GAP"/>
      <sheetName val="장적산출"/>
      <sheetName val="HP1AMLIST"/>
      <sheetName val="R&amp;R010312"/>
      <sheetName val="Team 종합"/>
      <sheetName val="훈련비용_시간당단가"/>
      <sheetName val="Printing_Form"/>
      <sheetName val="별첨6-TIR문제점(CLOSE)"/>
      <sheetName val="세계수요종합OK"/>
      <sheetName val="DATA"/>
      <sheetName val="Sheet11"/>
      <sheetName val="안전뱅크 종합"/>
      <sheetName val="동서울_정비"/>
      <sheetName val="동서울_판금"/>
      <sheetName val="원주_정비"/>
      <sheetName val="원주_판금"/>
      <sheetName val="부서별3월"/>
      <sheetName val="골조시행"/>
      <sheetName val="부서별2월"/>
      <sheetName val="2월"/>
      <sheetName val="CAUDIT"/>
      <sheetName val="대외공문"/>
      <sheetName val="효율계획(당월)"/>
      <sheetName val="BM_NEW2"/>
      <sheetName val="2.대외공문"/>
      <sheetName val="#REF"/>
      <sheetName val="All-TB"/>
      <sheetName val="Mapping Sheet"/>
      <sheetName val="TB-Vidamco"/>
      <sheetName val="소개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95하U$가격"/>
      <sheetName val="Time Data"/>
      <sheetName val="Tire 동하중 반경"/>
      <sheetName val="RACK"/>
      <sheetName val="법인세신고자료"/>
      <sheetName val="M-LIST국민"/>
      <sheetName val="ENG油洩れ"/>
      <sheetName val="TCA"/>
      <sheetName val="연간예산"/>
      <sheetName val="누계실적"/>
      <sheetName val="ORIGIN"/>
      <sheetName val="Tbom-tot"/>
      <sheetName val="제조부문배부"/>
      <sheetName val="체재비"/>
      <sheetName val="계수원본(99.2.28)"/>
      <sheetName val="원가_(2)"/>
      <sheetName val="쌍용원가_(2)"/>
      <sheetName val="dri(03_4)_&amp;_kdac(04~08)_"/>
      <sheetName val="2005~8년_ROLL'G"/>
      <sheetName val="0-5개년_OPTION_(2003)"/>
      <sheetName val="Team_종합"/>
      <sheetName val="0C_N&amp;V_PIT_GAP"/>
      <sheetName val="안전뱅크_종합"/>
      <sheetName val="대표자"/>
      <sheetName val="월별 실적 및 분석"/>
      <sheetName val="LIST"/>
      <sheetName val="W-현원가"/>
      <sheetName val="목적별"/>
      <sheetName val="인부임"/>
      <sheetName val="첨부3"/>
      <sheetName val="총"/>
      <sheetName val="윤영환"/>
      <sheetName val="채권자료"/>
      <sheetName val="재고자료"/>
      <sheetName val="A-100전제"/>
      <sheetName val="R&amp;D"/>
      <sheetName val="장비이력목록추출"/>
      <sheetName val="일자부하시간추출"/>
      <sheetName val="스페어추출"/>
      <sheetName val="전체"/>
      <sheetName val="완성차 미수금"/>
      <sheetName val="MAIN"/>
      <sheetName val="RC"/>
      <sheetName val="LEGANZA(3)"/>
      <sheetName val="발생집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수정시산표"/>
      <sheetName val="회사정보"/>
    </sheetNames>
    <sheetDataSet>
      <sheetData sheetId="0"/>
      <sheetData sheetId="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일기"/>
      <sheetName val="97DATA"/>
      <sheetName val="DA97"/>
      <sheetName val="주간"/>
      <sheetName val="Sheet1"/>
      <sheetName val="수주자료"/>
      <sheetName val="97매출관리"/>
      <sheetName val="97미수금"/>
      <sheetName val="과입분"/>
      <sheetName val="한도초과"/>
      <sheetName val="대리점DATA"/>
      <sheetName val="대리점"/>
      <sheetName val="매출년계획"/>
      <sheetName val="수주년계획"/>
      <sheetName val="Sheet1 (2)"/>
      <sheetName val="미비용9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득세"/>
      <sheetName val="생산직잔업"/>
      <sheetName val="의보"/>
      <sheetName val="상조회"/>
      <sheetName val="피벗테이블"/>
      <sheetName val="우리사주"/>
      <sheetName val="월명세"/>
      <sheetName val="전표"/>
      <sheetName val="이체"/>
      <sheetName val="명세표"/>
      <sheetName val="표지"/>
      <sheetName val="가족수당"/>
      <sheetName val="SALTAB97"/>
      <sheetName val="급순서(VBA)"/>
      <sheetName val="조정수당(VBA)"/>
      <sheetName val="Macro1"/>
      <sheetName val="Sheet1"/>
      <sheetName val="3-16피벗"/>
      <sheetName val="매출"/>
      <sheetName val="97매출관리"/>
      <sheetName val="★2005년 6월자산현황"/>
      <sheetName val="가공"/>
      <sheetName val="시장"/>
      <sheetName val="엔진조립"/>
      <sheetName val="DA"/>
      <sheetName val="프레스"/>
      <sheetName val="MA"/>
      <sheetName val="TI"/>
      <sheetName val="일반경비"/>
      <sheetName val="Index"/>
      <sheetName val="국민년금전환금"/>
      <sheetName val="급여"/>
      <sheetName val="991231"/>
      <sheetName val="2001급여"/>
      <sheetName val="96PAYC"/>
      <sheetName val="뒤차축소"/>
      <sheetName val="가격자료"/>
      <sheetName val="96상입"/>
      <sheetName val="사업자등록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지급어음"/>
      <sheetName val="선급법인세"/>
      <sheetName val="영업보증금"/>
      <sheetName val="BS"/>
      <sheetName val="PL"/>
      <sheetName val="시산표"/>
      <sheetName val="MC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재료"/>
      <sheetName val="가공품97"/>
      <sheetName val="표준원가"/>
      <sheetName val="재무제표"/>
      <sheetName val="제품DATA"/>
      <sheetName val="재료인쇄"/>
      <sheetName val="제품"/>
      <sheetName val="재료DATA"/>
      <sheetName val="급여data"/>
      <sheetName val="급여"/>
      <sheetName val="98시간"/>
      <sheetName val="이연자산상각"/>
      <sheetName val="제조98"/>
      <sheetName val="가공배분"/>
      <sheetName val="TOTAL"/>
      <sheetName val="예금구좌"/>
      <sheetName val="상여금"/>
      <sheetName val="기타코드"/>
      <sheetName val="선수금"/>
      <sheetName val="외상매출"/>
      <sheetName val="95W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비용95"/>
    </sheetNames>
    <sheetDataSet>
      <sheetData sheetId="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비용95"/>
      <sheetName val="99계획"/>
    </sheetNames>
    <sheetDataSet>
      <sheetData sheetId="0" refreshError="1"/>
      <sheetData sheetId="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표어음"/>
      <sheetName val="97수표어음"/>
      <sheetName val="98수표어음"/>
      <sheetName val="현금흐름표"/>
      <sheetName val="수정시산표"/>
      <sheetName val="미지급이자1"/>
      <sheetName val="MACRO2"/>
      <sheetName val="A1"/>
      <sheetName val="수표어음"/>
      <sheetName val="Ⅱ1-0타"/>
      <sheetName val="8340"/>
      <sheetName val="집계표"/>
      <sheetName val="9-1차이내역"/>
      <sheetName val="當期시산표(결재)"/>
      <sheetName val="시나리오"/>
      <sheetName val="수금실적 list(1월~10월)"/>
      <sheetName val="경영비율 "/>
      <sheetName val="3.공통공사대비"/>
      <sheetName val="LeadSchedule"/>
      <sheetName val="현금및예치금집계표"/>
      <sheetName val="기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제수불"/>
      <sheetName val="개발오더"/>
      <sheetName val="원수불"/>
      <sheetName val="입출고"/>
      <sheetName val="제품매출"/>
      <sheetName val="스페아매출"/>
      <sheetName val="제품입고"/>
      <sheetName val="기초원"/>
      <sheetName val="재고"/>
      <sheetName val="기조제"/>
      <sheetName val="양산이동"/>
      <sheetName val="수주(국내)"/>
      <sheetName val="96수표어음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출납"/>
      <sheetName val="월출납 (2)"/>
      <sheetName val="96수표어음"/>
      <sheetName val="제조98"/>
      <sheetName val="시험검사비"/>
      <sheetName val="SALTAB97"/>
      <sheetName val="어음수표추가테스트"/>
      <sheetName val="TEM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3"/>
      <sheetName val="當期시산표(결재)"/>
      <sheetName val="월출납"/>
      <sheetName val="어음수표추가테스트"/>
      <sheetName val="미지급이자1"/>
      <sheetName val="9612-D2"/>
      <sheetName val="발생집계"/>
      <sheetName val="예적금"/>
      <sheetName val="96수표어음"/>
      <sheetName val="Comments"/>
      <sheetName val="언양"/>
      <sheetName val="양산이동"/>
      <sheetName val="입력자료"/>
      <sheetName val="Receive Data"/>
      <sheetName val="9703-1"/>
      <sheetName val="수정시산표"/>
      <sheetName val="95년간접비"/>
      <sheetName val="1"/>
      <sheetName val="주간"/>
      <sheetName val="주간매출"/>
      <sheetName val="주간수주"/>
      <sheetName val="nr030112"/>
      <sheetName val="현금흐름표"/>
      <sheetName val="9-1차이내역"/>
      <sheetName val="매출(총액)"/>
      <sheetName val="판관비"/>
      <sheetName val="시나리오"/>
      <sheetName val="고정자산원본"/>
      <sheetName val="2.대외공문"/>
      <sheetName val="외화계약"/>
      <sheetName val="Parms"/>
      <sheetName val="기계"/>
      <sheetName val="TEMP1"/>
      <sheetName val="손익계산서"/>
      <sheetName val="월별생산"/>
      <sheetName val="외출포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"/>
      <sheetName val="차체부품 INS REPORT(갑)"/>
      <sheetName val="내구품질향상1"/>
      <sheetName val="Sheet1"/>
      <sheetName val="2.대외공문"/>
      <sheetName val="증명요청업무연락"/>
      <sheetName val="전산품의"/>
      <sheetName val="95하U$가격"/>
      <sheetName val="TOT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체명"/>
      <sheetName val="외상매입잔액LIST(건별)"/>
      <sheetName val="미지급잔액LIST(건별)"/>
      <sheetName val="외상매입(업체별)"/>
      <sheetName val="미지급(업체별)"/>
      <sheetName val="9703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여신총괄"/>
      <sheetName val="이전여신총괄"/>
      <sheetName val="여신보고용"/>
      <sheetName val="여신평가보고용"/>
      <sheetName val="여신평가보고용 (2)"/>
      <sheetName val="BM_NEW2"/>
      <sheetName val="여신총괄표-3(성엽제외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매출"/>
      <sheetName val="99매출채권"/>
      <sheetName val="00매출"/>
      <sheetName val="00매출채권"/>
      <sheetName val="01매출"/>
      <sheetName val="01매출채권"/>
      <sheetName val="02매출"/>
      <sheetName val="02매출채권"/>
      <sheetName val="99"/>
      <sheetName val="00"/>
      <sheetName val="01"/>
      <sheetName val="02"/>
      <sheetName val="회수내역"/>
      <sheetName val="등록정보(관리자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금구좌"/>
      <sheetName val="9706"/>
      <sheetName val="02매출채권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해지연체이자"/>
      <sheetName val="연체리스료(AUTO)"/>
      <sheetName val="오토편집(AUTO)"/>
      <sheetName val="연체리스료"/>
      <sheetName val="nr030112"/>
      <sheetName val="Sheet1"/>
      <sheetName val="검산금액"/>
      <sheetName val="선수보증금"/>
      <sheetName val="Sheet5"/>
      <sheetName val="연체일수"/>
      <sheetName val="기초해지"/>
      <sheetName val="잔가합계"/>
      <sheetName val="Sheet6"/>
      <sheetName val="중도해지진행업체"/>
      <sheetName val="기초해지2"/>
      <sheetName val="인원계획-미화"/>
      <sheetName val="노무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97결산"/>
      <sheetName val="1-1-1-2"/>
      <sheetName val="정의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계획(990122)"/>
      <sheetName val="인력(정규직)"/>
      <sheetName val="Sheet1"/>
      <sheetName val="운항율"/>
      <sheetName val="인건비예산(정규직)"/>
      <sheetName val="인건비예산(용역)"/>
      <sheetName val="EX-외상(06)"/>
      <sheetName val="99인원계획"/>
      <sheetName val="9703"/>
      <sheetName val="월별수입"/>
      <sheetName val="98년"/>
      <sheetName val="2000년_#1_HB"/>
      <sheetName val="보정사항"/>
      <sheetName val="1.외주공사"/>
      <sheetName val="2.직영공사"/>
      <sheetName val="10월"/>
      <sheetName val="제조원가계산"/>
      <sheetName val="품목별매출"/>
      <sheetName val="예금구좌"/>
      <sheetName val="03경비"/>
      <sheetName val="9-1차이내역"/>
      <sheetName val="회사정보"/>
      <sheetName val="미지급이자1"/>
      <sheetName val="2002년매출"/>
      <sheetName val="대출금"/>
      <sheetName val="노c"/>
      <sheetName val="내역서"/>
      <sheetName val="Links"/>
      <sheetName val="Lead"/>
      <sheetName val="우리사주"/>
      <sheetName val="수정시산표"/>
      <sheetName val="연체리스료"/>
      <sheetName val="4"/>
      <sheetName val="시산956"/>
      <sheetName val="예산"/>
      <sheetName val="연구소GAP대응표"/>
      <sheetName val="96수표어음"/>
      <sheetName val="안양동교 1안"/>
      <sheetName val="어음수표추가테스트"/>
      <sheetName val="200011.1"/>
      <sheetName val="시산표12월(수정후)"/>
      <sheetName val="대비"/>
      <sheetName val="선급금"/>
      <sheetName val="미수수익계산"/>
      <sheetName val="등록정보(관리자용)"/>
      <sheetName val="주간계획"/>
      <sheetName val="외출포항"/>
      <sheetName val="배부기준"/>
      <sheetName val="예적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Sheet3"/>
      <sheetName val="전기중도해지"/>
      <sheetName val="Sheet1"/>
      <sheetName val="기타건전"/>
      <sheetName val="기초해지2"/>
      <sheetName val="Sheet2"/>
      <sheetName val="기초해지"/>
      <sheetName val="리스"/>
      <sheetName val="오토"/>
      <sheetName val="Sheet7"/>
      <sheetName val="오토편집(AUTO)"/>
      <sheetName val="검산금액"/>
      <sheetName val="Sheet6"/>
      <sheetName val="Sheet4"/>
      <sheetName val="Sheet5"/>
      <sheetName val="리스계약번호"/>
      <sheetName val="잔가합계"/>
      <sheetName val="중도해지진행업체"/>
      <sheetName val="선수보증금"/>
      <sheetName val="연체일수"/>
      <sheetName val="연체리스료"/>
      <sheetName val="maccp04"/>
      <sheetName val="리스건전성1"/>
      <sheetName val="재고자산"/>
      <sheetName val="출자한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2001.4."/>
      <sheetName val="2001.8"/>
      <sheetName val="2001.12"/>
      <sheetName val="2001.12 성우"/>
      <sheetName val="2001.12.31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 확정"/>
      <sheetName val=" 확정 (2)"/>
      <sheetName val="진짜"/>
      <sheetName val="평가9.30 (4)"/>
      <sheetName val="평가9.30 (6)"/>
      <sheetName val="Sheet16 (2)"/>
      <sheetName val="3.유가증권"/>
      <sheetName val="98.12.29"/>
      <sheetName val="2000.7.31"/>
      <sheetName val="Sheet7"/>
      <sheetName val="2001.4.30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현금흐름표"/>
      <sheetName val="인력(정규직)"/>
      <sheetName val="월별수입"/>
      <sheetName val="MC&amp;다변화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기장"/>
      <sheetName val="98DATA"/>
      <sheetName val="주"/>
      <sheetName val="실적"/>
      <sheetName val="그래프"/>
      <sheetName val="98매출관리"/>
      <sheetName val="과입분"/>
      <sheetName val="98미수금"/>
      <sheetName val="주간"/>
      <sheetName val="주간매출"/>
      <sheetName val="주간수주"/>
      <sheetName val="영업보고"/>
      <sheetName val="매출현황"/>
      <sheetName val="수주현황"/>
      <sheetName val="대리점DATA"/>
      <sheetName val="한도초과"/>
      <sheetName val="대리점"/>
      <sheetName val="담당"/>
      <sheetName val="월별데이타"/>
      <sheetName val="분기별데이타"/>
      <sheetName val="월출납"/>
      <sheetName val="월별손익"/>
      <sheetName val="의보"/>
      <sheetName val="SALTAB97"/>
      <sheetName val="제조98"/>
      <sheetName val="지역개발"/>
      <sheetName val="산출기준(파견전산실)"/>
      <sheetName val="con"/>
      <sheetName val="98퇴충계산"/>
      <sheetName val="TEMP1"/>
      <sheetName val="TEMP2"/>
      <sheetName val="BS"/>
      <sheetName val="PL"/>
      <sheetName val="유가증권"/>
      <sheetName val="매출1998"/>
      <sheetName val="Sheet1"/>
      <sheetName val="월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세A4BS"/>
      <sheetName val="한세A4PL"/>
      <sheetName val="A5"/>
      <sheetName val="A3.4"/>
      <sheetName val="scf"/>
      <sheetName val="현금흐름표"/>
      <sheetName val="이연법인세차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퇴충"/>
      <sheetName val="01퇴충"/>
      <sheetName val="02배부기준"/>
      <sheetName val="20021231전체퇴충"/>
      <sheetName val="20021231퇴충대상자"/>
      <sheetName val="연간상여집계j"/>
      <sheetName val="급여 (2)"/>
      <sheetName val="국민연금"/>
      <sheetName val="상여금"/>
      <sheetName val="국민년금전환금"/>
      <sheetName val="급여"/>
      <sheetName val="기초data"/>
      <sheetName val="주간"/>
      <sheetName val="주간매출"/>
      <sheetName val="주간수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본금"/>
      <sheetName val="매출1"/>
      <sheetName val="매출2"/>
      <sheetName val="매출처"/>
      <sheetName val="인원&amp;급여"/>
      <sheetName val="자금사용"/>
      <sheetName val="지급이자"/>
      <sheetName val="수입이자"/>
      <sheetName val="매출채권1"/>
      <sheetName val="Sheet1"/>
      <sheetName val="Sheet2"/>
      <sheetName val="Sheet3"/>
      <sheetName val="매출채권2"/>
      <sheetName val="요약재무제표"/>
      <sheetName val="급여 (2)"/>
      <sheetName val="01퇴충"/>
      <sheetName val="연간상여집계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</sheetNames>
    <sheetDataSet>
      <sheetData sheetId="0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대차대조표"/>
      <sheetName val="제조원가"/>
      <sheetName val="지역개발"/>
      <sheetName val="요약재무제표"/>
      <sheetName val="소상 &quot;1&quot;"/>
      <sheetName val="이익잉여금처분계산서"/>
      <sheetName val="제조원가명세서"/>
      <sheetName val="현금흐름표"/>
      <sheetName val="일괄인쇄"/>
      <sheetName val="DATE"/>
      <sheetName val="첨부1"/>
      <sheetName val="정산표"/>
      <sheetName val="월별데이타"/>
      <sheetName val="분기별데이타"/>
      <sheetName val="본현"/>
      <sheetName val="손익계산서"/>
      <sheetName val="임테블"/>
      <sheetName val="총괄내역서"/>
      <sheetName val="P.L"/>
      <sheetName val="보정사항"/>
      <sheetName val="8월차잔"/>
      <sheetName val="96수표어음"/>
      <sheetName val="차량(구)"/>
      <sheetName val="IAC_IAS 39"/>
      <sheetName val="D1.2 COF모듈자재 입출재고 (B급)"/>
      <sheetName val="25.보증금(임차보증금외)"/>
      <sheetName val="월누계별입고b"/>
      <sheetName val="요약"/>
      <sheetName val="일반(본사)"/>
      <sheetName val="일반(의성)"/>
      <sheetName val="미수금(공동공사비)"/>
      <sheetName val="#REF"/>
      <sheetName val="1공구산출내역서"/>
      <sheetName val="연체 ()"/>
      <sheetName val="Ⅱ1-0타"/>
      <sheetName val="area1"/>
      <sheetName val="T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(차변)"/>
      <sheetName val="DATA"/>
      <sheetName val="보고서"/>
      <sheetName val="장부"/>
      <sheetName val="결제(계정과목)"/>
      <sheetName val="결제(상호)"/>
      <sheetName val="결제LIST"/>
      <sheetName val="지불방법"/>
      <sheetName val="전월이월"/>
      <sheetName val="경리과제출"/>
      <sheetName val="기타결제"/>
      <sheetName val="원재료이월"/>
      <sheetName val="공장"/>
      <sheetName val="일본오발부담"/>
      <sheetName val="Sheet5"/>
      <sheetName val="Sheet1"/>
      <sheetName val="미수금(J.OVAL)"/>
      <sheetName val="TOTAL"/>
      <sheetName val="A3.4"/>
      <sheetName val="국민년금전환금"/>
      <sheetName val="급여"/>
      <sheetName val="미결제"/>
      <sheetName val="현금"/>
      <sheetName val="admin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한세A4BS"/>
      <sheetName val="한세A4PL"/>
      <sheetName val="A5"/>
      <sheetName val="A3.4"/>
      <sheetName val="scf"/>
      <sheetName val="현금흐름표"/>
      <sheetName val="이연법인세차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체명"/>
      <sheetName val="외상매입잔액LIST(건별)"/>
      <sheetName val="미지급잔액LIST(건별)"/>
      <sheetName val="외상매입(업체별)"/>
      <sheetName val="미지급(업체별)"/>
      <sheetName val="제품재고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1"/>
      <sheetName val="Sheet2"/>
      <sheetName val="Sheet3"/>
      <sheetName val="업체명"/>
      <sheetName val="한세A4PL"/>
      <sheetName val="제조98"/>
      <sheetName val="외화환산(2분기)"/>
      <sheetName val="Assign"/>
      <sheetName val="월출납"/>
      <sheetName val="장부"/>
      <sheetName val="지불방법"/>
      <sheetName val="협조전"/>
      <sheetName val="임직원단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CODE"/>
      <sheetName val="장부"/>
      <sheetName val="지불방법"/>
      <sheetName val="TOTAL"/>
      <sheetName val="1.상품_매입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월차수당"/>
      <sheetName val="급여"/>
      <sheetName val="98퇴충계산"/>
      <sheetName val="국민년금전환금"/>
      <sheetName val="991231"/>
      <sheetName val="20001231퇴충계산"/>
      <sheetName val="해당자"/>
      <sheetName val="해당자 (500%)"/>
      <sheetName val="상여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기초"/>
      <sheetName val="손익"/>
      <sheetName val="손익기초"/>
      <sheetName val="차손"/>
      <sheetName val="차손기초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조"/>
      <sheetName val="NY"/>
      <sheetName val="MAIN"/>
      <sheetName val="RD-FM"/>
      <sheetName val="RU"/>
      <sheetName val="RD"/>
      <sheetName val="RI"/>
      <sheetName val="RU-FM"/>
      <sheetName val="투자"/>
      <sheetName val="LOAN"/>
      <sheetName val="W-I"/>
      <sheetName val="US-I"/>
      <sheetName val="CARD"/>
      <sheetName val="만료"/>
      <sheetName val="결과"/>
      <sheetName val="CHECK"/>
      <sheetName val="조정변수"/>
      <sheetName val="M-main"/>
      <sheetName val="2001년추계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문제점"/>
      <sheetName val="GRACE"/>
      <sheetName val="종합"/>
      <sheetName val="댓수"/>
      <sheetName val="시험비용"/>
      <sheetName val="시작비용"/>
      <sheetName val="Sheet5"/>
      <sheetName val="Sheet6"/>
      <sheetName val="양식"/>
      <sheetName val="2001년 서울모터쇼 카 예산 축소"/>
      <sheetName val="2001년 서울모터쇼 카 예산 축소 (2)"/>
      <sheetName val="Sheet1"/>
      <sheetName val="대외공문 "/>
      <sheetName val="개선대책 양식"/>
      <sheetName val="개선사례양식"/>
      <sheetName val="품의양식"/>
      <sheetName val="원가통보"/>
      <sheetName val="Macro1"/>
      <sheetName val="경비공통"/>
      <sheetName val="RD제품개발투자비(매가)"/>
      <sheetName val="본문"/>
      <sheetName val="차종별"/>
      <sheetName val="인원01"/>
      <sheetName val="full (2)"/>
      <sheetName val="공수계획"/>
      <sheetName val="R&amp;D"/>
      <sheetName val="CAUDIT"/>
      <sheetName val="p2-1"/>
      <sheetName val="인도원가"/>
      <sheetName val="3"/>
      <sheetName val="#REF!"/>
      <sheetName val="engline"/>
      <sheetName val="PBX"/>
      <sheetName val="Recording,Phone,Headset"/>
      <sheetName val="Lis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5"/>
      <sheetName val="연간상여집계"/>
      <sheetName val="퇴충추계계상"/>
      <sheetName val="3개월 급여"/>
      <sheetName val="연간급여DATA"/>
      <sheetName val="Sheet9"/>
      <sheetName val="TOTAL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작업일보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내역"/>
      <sheetName val="문서서식보고사항"/>
      <sheetName val="서식체계"/>
      <sheetName val="기안을지"/>
      <sheetName val="대외공문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어음수표수불"/>
      <sheetName val="Sheet7"/>
      <sheetName val="견질.보관"/>
      <sheetName val="Sheet8"/>
      <sheetName val="교육비"/>
      <sheetName val="총세금"/>
      <sheetName val="받을어음"/>
      <sheetName val="기술인력"/>
      <sheetName val="세금과공과"/>
      <sheetName val="선급비용"/>
      <sheetName val="담보제공자산"/>
      <sheetName val="매출"/>
      <sheetName val="VAT조정"/>
      <sheetName val="선납제세"/>
      <sheetName val="Sheet4"/>
      <sheetName val="잉여금처분 (2)"/>
      <sheetName val="비교재무제표"/>
      <sheetName val="시산956"/>
      <sheetName val="연간상여집계"/>
      <sheetName val="급여"/>
      <sheetName val="991231"/>
      <sheetName val="자료"/>
      <sheetName val="손익계산서(管理)"/>
      <sheetName val="외화금융(97-0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956"/>
      <sheetName val="손익956"/>
      <sheetName val="매출956"/>
      <sheetName val="재무현황"/>
      <sheetName val="결산956"/>
      <sheetName val="시산956"/>
      <sheetName val="비교재무제표"/>
      <sheetName val="예금구좌"/>
      <sheetName val="손익계산서(管理)"/>
      <sheetName val="주간"/>
      <sheetName val="주간매출"/>
      <sheetName val="주간수주"/>
      <sheetName val="외화금융(97-03)"/>
      <sheetName val="SAP경비(합계)"/>
      <sheetName val="비교99-00"/>
      <sheetName val="재무956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Dec"/>
      <sheetName val="MACRO2"/>
    </sheetNames>
    <sheetDataSet>
      <sheetData sheetId="0"/>
      <sheetData sheetId="1" refreshError="1"/>
      <sheetData sheetId="2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9-1차이내역"/>
      <sheetName val="시산956"/>
      <sheetName val="당좌"/>
      <sheetName val="기안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(2)"/>
      <sheetName val="표지"/>
      <sheetName val="목차"/>
      <sheetName val="一. 대차대조표"/>
      <sheetName val="대차대조표"/>
      <sheetName val="二.손익계산서"/>
      <sheetName val="손익계산서"/>
      <sheetName val="三.합계잔액시산표"/>
      <sheetName val="합계잔액시산표"/>
      <sheetName val="四.현금흐름표"/>
      <sheetName val="현금흐름표"/>
      <sheetName val="五.대차대조표계정명세서"/>
      <sheetName val="(一) 유동자산"/>
      <sheetName val="(1)당좌자산"/>
      <sheetName val="1.현금및현금등가물"/>
      <sheetName val="2.단기금융상품"/>
      <sheetName val="3.유가증권"/>
      <sheetName val="4-1)외상매출금"/>
      <sheetName val="4-2)받을어음"/>
      <sheetName val="5.미수금"/>
      <sheetName val="6.미수수익"/>
      <sheetName val="7.선급금"/>
      <sheetName val="8.선급비용-본사"/>
      <sheetName val="8.선급비용-포항"/>
      <sheetName val="(2)재고자산"/>
      <sheetName val="재고자산명세서"/>
      <sheetName val="미착품"/>
      <sheetName val="(二)고정자산"/>
      <sheetName val="(1)투자자산"/>
      <sheetName val="1.장기금융상품"/>
      <sheetName val="2-1)유가증권"/>
      <sheetName val="2-2)관계사주식"/>
      <sheetName val="2-3)출자금"/>
      <sheetName val="3.선급리스부대비"/>
      <sheetName val="4-1)주임종장기대여금"/>
      <sheetName val="5.장기성매출채권"/>
      <sheetName val="6-1)보증금-전화가입권"/>
      <sheetName val="6-2)보증금-보증예치금"/>
      <sheetName val="7.이연법인세차"/>
      <sheetName val="(2)유형자산"/>
      <sheetName val="유형자산명세서"/>
      <sheetName val="1.토지"/>
      <sheetName val="2.건물"/>
      <sheetName val="3.구축물"/>
      <sheetName val="4.기계장치 "/>
      <sheetName val="5.차량운반구"/>
      <sheetName val="6.공기구 "/>
      <sheetName val="7.비품"/>
      <sheetName val="8.건설중인자산"/>
      <sheetName val="(3)무형자산"/>
      <sheetName val="1.산업재산권"/>
      <sheetName val="(三)유동부채"/>
      <sheetName val="1-1)외상매입금"/>
      <sheetName val="2)지급어음"/>
      <sheetName val="2.단기차입금"/>
      <sheetName val="3.미지급금-본사"/>
      <sheetName val="3.미지급금 -포항"/>
      <sheetName val="4.선수금"/>
      <sheetName val="5.예수금"/>
      <sheetName val="6.미지급비용-본사"/>
      <sheetName val="6.미지급비용-포항"/>
      <sheetName val="7.미지급법인세"/>
      <sheetName val="8.유동성장기부채"/>
      <sheetName val="9.보증예수금"/>
      <sheetName val="(四)고정부채"/>
      <sheetName val="1.장기차입금-외화"/>
      <sheetName val="1.장기차입금-원화"/>
      <sheetName val="2.퇴직급여충당금"/>
      <sheetName val="국민연금전환금"/>
      <sheetName val="퇴직신탁"/>
      <sheetName val="3.대손충당금"/>
      <sheetName val="4.이연법인세대"/>
      <sheetName val="(五) 자 본"/>
      <sheetName val="(1) 자본금"/>
      <sheetName val="자본금"/>
      <sheetName val="(2) 잉여금명세서"/>
      <sheetName val="잉여금명세서"/>
      <sheetName val="손익계산서부속명세"/>
      <sheetName val="(一)매출액명세서"/>
      <sheetName val="매출액명세서"/>
      <sheetName val="(二)매출원가명세서"/>
      <sheetName val="매출원가명세서"/>
      <sheetName val="(三)제조원가명세서"/>
      <sheetName val="제조원가명세서"/>
      <sheetName val="(四)상품수불명세서"/>
      <sheetName val="상품수불"/>
      <sheetName val="(五)제품수불명세서"/>
      <sheetName val="제품수불명세서"/>
      <sheetName val="(六)재공품수불명세서"/>
      <sheetName val="재공품수불명세서"/>
      <sheetName val="(七)원재료수불명세서"/>
      <sheetName val="원재료"/>
      <sheetName val="(八)저장품수불명세서"/>
      <sheetName val="저장품수불명세서"/>
      <sheetName val="(九)영업외수익명세서"/>
      <sheetName val="영업외수익"/>
      <sheetName val="(十)영업외비용명세서"/>
      <sheetName val="영업외비용"/>
      <sheetName val="(十一)특별손실명세서"/>
      <sheetName val="특별손실"/>
      <sheetName val="(十二)법인세비용명세서"/>
      <sheetName val="법인세비용조정명세서"/>
      <sheetName val="(十三)감가상각비명세서"/>
      <sheetName val="감가상각비명세서"/>
      <sheetName val="(十四)이익잉여금처분계산서"/>
      <sheetName val="이익잉여금처분계산서"/>
      <sheetName val="감사보고서"/>
      <sheetName val="소득금액조정합계표"/>
      <sheetName val="자본금과적립금조정명세서"/>
      <sheetName val="어음"/>
      <sheetName val="관계사와의거래(미지금)"/>
      <sheetName val="관계사(외출)"/>
      <sheetName val="잉여금"/>
      <sheetName val="시산95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외화계약"/>
      <sheetName val="다대공사"/>
      <sheetName val="건설"/>
      <sheetName val="수리선"/>
      <sheetName val="실적"/>
      <sheetName val="분석"/>
      <sheetName val="계획"/>
      <sheetName val="SERIES"/>
      <sheetName val="선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workbookViewId="0">
      <selection activeCell="D14" sqref="D14"/>
    </sheetView>
  </sheetViews>
  <sheetFormatPr defaultRowHeight="11.25"/>
  <cols>
    <col min="1" max="1" width="6.625" style="5" customWidth="1"/>
    <col min="2" max="3" width="26.875" style="5" customWidth="1"/>
    <col min="4" max="16384" width="9" style="5"/>
  </cols>
  <sheetData>
    <row r="2" spans="2:3" s="3" customFormat="1" ht="31.5">
      <c r="B2" s="2" t="s">
        <v>0</v>
      </c>
      <c r="C2" s="5"/>
    </row>
    <row r="4" spans="2:3">
      <c r="B4" s="4" t="s">
        <v>1</v>
      </c>
      <c r="C4" s="4" t="s">
        <v>2</v>
      </c>
    </row>
    <row r="5" spans="2:3">
      <c r="B5" s="387"/>
      <c r="C5" s="387"/>
    </row>
    <row r="6" spans="2:3">
      <c r="B6" s="6" t="s">
        <v>3</v>
      </c>
      <c r="C6" s="41" t="s">
        <v>4</v>
      </c>
    </row>
    <row r="7" spans="2:3">
      <c r="B7" s="5" t="s">
        <v>5</v>
      </c>
      <c r="C7" s="41" t="s">
        <v>6</v>
      </c>
    </row>
    <row r="8" spans="2:3">
      <c r="B8" s="5" t="s">
        <v>7</v>
      </c>
      <c r="C8" s="386" t="s">
        <v>8</v>
      </c>
    </row>
    <row r="9" spans="2:3">
      <c r="B9" s="5" t="s">
        <v>9</v>
      </c>
      <c r="C9" s="41" t="s">
        <v>10</v>
      </c>
    </row>
    <row r="10" spans="2:3">
      <c r="B10" s="5" t="s">
        <v>11</v>
      </c>
      <c r="C10" s="41" t="s">
        <v>12</v>
      </c>
    </row>
    <row r="11" spans="2:3">
      <c r="B11" s="5" t="s">
        <v>13</v>
      </c>
      <c r="C11" s="41" t="s">
        <v>14</v>
      </c>
    </row>
    <row r="12" spans="2:3">
      <c r="B12" s="5" t="s">
        <v>15</v>
      </c>
      <c r="C12" s="41" t="s">
        <v>16</v>
      </c>
    </row>
    <row r="13" spans="2:3">
      <c r="B13" s="5" t="s">
        <v>17</v>
      </c>
      <c r="C13" s="41" t="s">
        <v>18</v>
      </c>
    </row>
    <row r="14" spans="2:3">
      <c r="B14" s="5" t="s">
        <v>19</v>
      </c>
      <c r="C14" s="41" t="s">
        <v>20</v>
      </c>
    </row>
    <row r="16" spans="2:3">
      <c r="B16" s="5" t="s">
        <v>21</v>
      </c>
      <c r="C16" s="41" t="s">
        <v>22</v>
      </c>
    </row>
  </sheetData>
  <phoneticPr fontId="3" type="noConversion"/>
  <hyperlinks>
    <hyperlink ref="C6" location="Sales_01!A1" display="Sales_01" xr:uid="{00000000-0004-0000-0000-000000000000}"/>
    <hyperlink ref="C8" location="'Sales_03자료간 차이'!A1" display="'Sales_03자료간 차이" xr:uid="{00000000-0004-0000-0000-000001000000}"/>
    <hyperlink ref="C9" location="Sales_04사업부별!A1" display="Sales_04사업부별" xr:uid="{00000000-0004-0000-0000-000002000000}"/>
    <hyperlink ref="C10" location="Sales_05사업부별추세!A1" display="Sales_05사업부별추세" xr:uid="{00000000-0004-0000-0000-000003000000}"/>
    <hyperlink ref="C11" location="Sales_06월별!A1" display="Sales_06월별" xr:uid="{00000000-0004-0000-0000-000004000000}"/>
    <hyperlink ref="C16" location="사업부별손익!A1" display="사업부별손익" xr:uid="{00000000-0004-0000-0000-000005000000}"/>
    <hyperlink ref="C7" location="Sales_02거래처별!A1" display="Sales_02거래처별" xr:uid="{00000000-0004-0000-0000-000006000000}"/>
    <hyperlink ref="C12" location="Sales_07제품매출!A1" display="Sales_07제품매출" xr:uid="{00000000-0004-0000-0000-000007000000}"/>
    <hyperlink ref="C13" location="Sales_08설비매출!A1" display="Sales_08설비매출" xr:uid="{00000000-0004-0000-0000-000008000000}"/>
    <hyperlink ref="C14" location="Sales_09기타매출!A1" display="Sales_09기타매출" xr:uid="{00000000-0004-0000-0000-000009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624"/>
  <sheetViews>
    <sheetView showGridLines="0" workbookViewId="0">
      <selection activeCell="I58" sqref="I58"/>
    </sheetView>
  </sheetViews>
  <sheetFormatPr defaultRowHeight="12" customHeight="1"/>
  <cols>
    <col min="1" max="2" width="9" style="1"/>
    <col min="3" max="6" width="7.125" style="1" customWidth="1"/>
    <col min="7" max="8" width="9" style="1"/>
    <col min="9" max="12" width="7.625" style="1" customWidth="1"/>
    <col min="13" max="13" width="6.625" style="1" customWidth="1"/>
    <col min="14" max="16384" width="9" style="1"/>
  </cols>
  <sheetData>
    <row r="1" spans="2:17" ht="11.25"/>
    <row r="2" spans="2:17" ht="11.25"/>
    <row r="3" spans="2:17" ht="11.25"/>
    <row r="4" spans="2:17" ht="11.25">
      <c r="B4" s="1" t="s">
        <v>23</v>
      </c>
    </row>
    <row r="5" spans="2:17" ht="19.5" customHeight="1">
      <c r="B5" s="7" t="s">
        <v>24</v>
      </c>
      <c r="C5" s="8"/>
      <c r="D5" s="8"/>
      <c r="E5" s="8"/>
      <c r="F5" s="9"/>
    </row>
    <row r="6" spans="2:17" ht="12" customHeight="1">
      <c r="B6" s="10"/>
      <c r="C6" s="11" t="s">
        <v>25</v>
      </c>
      <c r="D6" s="11" t="s">
        <v>26</v>
      </c>
      <c r="E6" s="11" t="s">
        <v>27</v>
      </c>
      <c r="F6" s="12" t="s">
        <v>28</v>
      </c>
    </row>
    <row r="7" spans="2:17" ht="12" customHeight="1">
      <c r="B7" s="13" t="s">
        <v>29</v>
      </c>
      <c r="C7" s="14" t="s">
        <v>30</v>
      </c>
      <c r="D7" s="14" t="s">
        <v>30</v>
      </c>
      <c r="E7" s="14" t="s">
        <v>30</v>
      </c>
      <c r="F7" s="15" t="s">
        <v>31</v>
      </c>
    </row>
    <row r="8" spans="2:17" ht="12" customHeight="1">
      <c r="B8" s="17" t="s">
        <v>32</v>
      </c>
      <c r="C8" s="21">
        <v>526517112721</v>
      </c>
      <c r="D8" s="21">
        <v>544246783298</v>
      </c>
      <c r="E8" s="21">
        <v>566780439272</v>
      </c>
      <c r="F8" s="22">
        <v>294177847835</v>
      </c>
      <c r="G8" s="16"/>
      <c r="H8" s="16" t="s">
        <v>33</v>
      </c>
      <c r="I8" s="16"/>
      <c r="J8" s="16"/>
      <c r="K8" s="16"/>
      <c r="L8" s="16"/>
      <c r="M8" s="16"/>
      <c r="N8" s="16"/>
      <c r="O8" s="16"/>
      <c r="P8" s="16"/>
      <c r="Q8" s="16"/>
    </row>
    <row r="9" spans="2:17" ht="12" customHeight="1">
      <c r="B9" s="18" t="s">
        <v>34</v>
      </c>
      <c r="C9" s="23">
        <v>2052397629</v>
      </c>
      <c r="D9" s="23">
        <v>11493484827</v>
      </c>
      <c r="E9" s="23">
        <v>17891881632</v>
      </c>
      <c r="F9" s="24">
        <v>9745199114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2:17" ht="12" customHeight="1" thickBot="1">
      <c r="B10" s="19" t="s">
        <v>35</v>
      </c>
      <c r="C10" s="25">
        <f>SUM(C8:C9)</f>
        <v>528569510350</v>
      </c>
      <c r="D10" s="25">
        <f>SUM(D8:D9)</f>
        <v>555740268125</v>
      </c>
      <c r="E10" s="25">
        <f>SUM(E8:E9)</f>
        <v>584672320904</v>
      </c>
      <c r="F10" s="26">
        <f>SUM(F8:F9)</f>
        <v>303923046949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2:17" ht="12" customHeight="1"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2:17" ht="12" customHeight="1"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2:17" ht="12" customHeight="1"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2:17" ht="12" customHeight="1"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2:17" ht="12" customHeight="1"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2:17" ht="12" customHeight="1">
      <c r="B16" s="1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2:20" ht="19.5" customHeight="1">
      <c r="B17" s="7" t="s">
        <v>37</v>
      </c>
      <c r="C17" s="8"/>
      <c r="D17" s="8"/>
      <c r="E17" s="8"/>
      <c r="F17" s="9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2:20" ht="12" customHeight="1">
      <c r="B18" s="10"/>
      <c r="C18" s="11" t="s">
        <v>25</v>
      </c>
      <c r="D18" s="11" t="s">
        <v>26</v>
      </c>
      <c r="E18" s="11" t="s">
        <v>27</v>
      </c>
      <c r="F18" s="12" t="s">
        <v>28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2:20" ht="12" customHeight="1">
      <c r="B19" s="13" t="s">
        <v>29</v>
      </c>
      <c r="C19" s="14" t="s">
        <v>30</v>
      </c>
      <c r="D19" s="14" t="s">
        <v>30</v>
      </c>
      <c r="E19" s="14" t="s">
        <v>30</v>
      </c>
      <c r="F19" s="15" t="s">
        <v>31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2:20" ht="12" customHeight="1">
      <c r="B20" s="17" t="s">
        <v>38</v>
      </c>
      <c r="C20" s="21">
        <v>301650469844</v>
      </c>
      <c r="D20" s="21">
        <v>329529138676</v>
      </c>
      <c r="E20" s="21">
        <v>357818553490</v>
      </c>
      <c r="F20" s="22">
        <v>189665157770</v>
      </c>
      <c r="G20" s="27"/>
      <c r="H20" s="30" t="s">
        <v>38</v>
      </c>
      <c r="I20" s="53">
        <f t="shared" ref="I20:L26" si="0">C20/C$27</f>
        <v>0.57069214916361288</v>
      </c>
      <c r="J20" s="53">
        <f t="shared" si="0"/>
        <v>0.59295530228138982</v>
      </c>
      <c r="K20" s="53">
        <f t="shared" si="0"/>
        <v>0.61199844886919463</v>
      </c>
      <c r="L20" s="54">
        <f t="shared" si="0"/>
        <v>0.62405651586477706</v>
      </c>
      <c r="R20" s="27"/>
      <c r="S20" s="27"/>
      <c r="T20" s="27"/>
    </row>
    <row r="21" spans="2:20" ht="12" customHeight="1">
      <c r="B21" s="20" t="s">
        <v>39</v>
      </c>
      <c r="C21" s="28">
        <v>69649481160</v>
      </c>
      <c r="D21" s="28">
        <v>63547706707</v>
      </c>
      <c r="E21" s="28">
        <v>56026768138</v>
      </c>
      <c r="F21" s="29">
        <v>27146825614</v>
      </c>
      <c r="G21" s="27"/>
      <c r="H21" s="36" t="s">
        <v>39</v>
      </c>
      <c r="I21" s="55">
        <f t="shared" si="0"/>
        <v>0.13176976688246847</v>
      </c>
      <c r="J21" s="55">
        <f t="shared" si="0"/>
        <v>0.11434785339813908</v>
      </c>
      <c r="K21" s="55">
        <f t="shared" si="0"/>
        <v>9.5825928703745303E-2</v>
      </c>
      <c r="L21" s="56">
        <f t="shared" si="0"/>
        <v>8.932137883756934E-2</v>
      </c>
      <c r="R21" s="27"/>
      <c r="S21" s="27"/>
      <c r="T21" s="27"/>
    </row>
    <row r="22" spans="2:20" ht="12" customHeight="1">
      <c r="B22" s="20" t="s">
        <v>40</v>
      </c>
      <c r="C22" s="28">
        <v>40168769460</v>
      </c>
      <c r="D22" s="28">
        <v>33386486016</v>
      </c>
      <c r="E22" s="28">
        <v>26961139273</v>
      </c>
      <c r="F22" s="29">
        <v>10360925486</v>
      </c>
      <c r="G22" s="27"/>
      <c r="H22" s="36" t="s">
        <v>40</v>
      </c>
      <c r="I22" s="55">
        <f t="shared" si="0"/>
        <v>7.5995245040527709E-2</v>
      </c>
      <c r="J22" s="55">
        <f t="shared" si="0"/>
        <v>6.0075700702131841E-2</v>
      </c>
      <c r="K22" s="55">
        <f t="shared" si="0"/>
        <v>4.6113247213949903E-2</v>
      </c>
      <c r="L22" s="56">
        <f t="shared" si="0"/>
        <v>3.409062126090958E-2</v>
      </c>
      <c r="R22" s="27"/>
      <c r="S22" s="27"/>
      <c r="T22" s="27"/>
    </row>
    <row r="23" spans="2:20" ht="12" customHeight="1">
      <c r="B23" s="20" t="s">
        <v>41</v>
      </c>
      <c r="C23" s="28">
        <v>43499623320</v>
      </c>
      <c r="D23" s="28">
        <v>44066949023</v>
      </c>
      <c r="E23" s="28">
        <v>48731959043</v>
      </c>
      <c r="F23" s="29">
        <v>25563257442</v>
      </c>
      <c r="G23" s="27"/>
      <c r="H23" s="62" t="s">
        <v>41</v>
      </c>
      <c r="I23" s="63">
        <f t="shared" si="0"/>
        <v>8.2296883320409631E-2</v>
      </c>
      <c r="J23" s="63">
        <f t="shared" si="0"/>
        <v>7.9294144316150644E-2</v>
      </c>
      <c r="K23" s="63">
        <f t="shared" si="0"/>
        <v>8.3349180901282169E-2</v>
      </c>
      <c r="L23" s="64">
        <f t="shared" si="0"/>
        <v>8.4110954067559279E-2</v>
      </c>
      <c r="R23" s="27"/>
      <c r="S23" s="27"/>
      <c r="T23" s="27"/>
    </row>
    <row r="24" spans="2:20" ht="12" customHeight="1">
      <c r="B24" s="20" t="s">
        <v>42</v>
      </c>
      <c r="C24" s="28">
        <v>21129287864</v>
      </c>
      <c r="D24" s="28">
        <v>21405858496</v>
      </c>
      <c r="E24" s="28">
        <v>23727187750</v>
      </c>
      <c r="F24" s="29">
        <v>14891677706</v>
      </c>
      <c r="G24" s="27"/>
      <c r="H24" s="62" t="s">
        <v>42</v>
      </c>
      <c r="I24" s="63">
        <f t="shared" si="0"/>
        <v>3.997447346141652E-2</v>
      </c>
      <c r="J24" s="63">
        <f t="shared" si="0"/>
        <v>3.851773881389009E-2</v>
      </c>
      <c r="K24" s="63">
        <f t="shared" si="0"/>
        <v>4.0582026721076601E-2</v>
      </c>
      <c r="L24" s="64">
        <f t="shared" si="0"/>
        <v>4.8998185084986025E-2</v>
      </c>
      <c r="R24" s="27"/>
      <c r="S24" s="27"/>
      <c r="T24" s="27"/>
    </row>
    <row r="25" spans="2:20" ht="12" customHeight="1">
      <c r="B25" s="20" t="s">
        <v>43</v>
      </c>
      <c r="C25" s="28">
        <v>47717791608</v>
      </c>
      <c r="D25" s="28">
        <v>54174492386</v>
      </c>
      <c r="E25" s="28">
        <v>58437212647</v>
      </c>
      <c r="F25" s="29">
        <v>30531103326</v>
      </c>
      <c r="G25" s="27"/>
      <c r="H25" s="36" t="s">
        <v>43</v>
      </c>
      <c r="I25" s="55">
        <f t="shared" si="0"/>
        <v>9.0277230664332062E-2</v>
      </c>
      <c r="J25" s="55">
        <f t="shared" si="0"/>
        <v>9.748167533149639E-2</v>
      </c>
      <c r="K25" s="55">
        <f t="shared" si="0"/>
        <v>9.9948655952528095E-2</v>
      </c>
      <c r="L25" s="56">
        <f t="shared" si="0"/>
        <v>0.10045669004865988</v>
      </c>
      <c r="R25" s="27"/>
      <c r="S25" s="27"/>
      <c r="T25" s="27"/>
    </row>
    <row r="26" spans="2:20" ht="12" customHeight="1">
      <c r="B26" s="18" t="s">
        <v>44</v>
      </c>
      <c r="C26" s="23">
        <v>4754087094</v>
      </c>
      <c r="D26" s="23">
        <v>9629636821</v>
      </c>
      <c r="E26" s="23">
        <v>12969500563</v>
      </c>
      <c r="F26" s="24">
        <v>5764099605</v>
      </c>
      <c r="G26" s="27"/>
      <c r="H26" s="33" t="s">
        <v>44</v>
      </c>
      <c r="I26" s="57">
        <f t="shared" si="0"/>
        <v>8.9942514672327802E-3</v>
      </c>
      <c r="J26" s="57">
        <f t="shared" si="0"/>
        <v>1.7327585156802154E-2</v>
      </c>
      <c r="K26" s="57">
        <f t="shared" si="0"/>
        <v>2.2182511638223285E-2</v>
      </c>
      <c r="L26" s="58">
        <f t="shared" si="0"/>
        <v>1.8965654835538841E-2</v>
      </c>
      <c r="R26" s="27"/>
      <c r="S26" s="27"/>
      <c r="T26" s="27"/>
    </row>
    <row r="27" spans="2:20" ht="12" customHeight="1" thickBot="1">
      <c r="B27" s="19" t="s">
        <v>35</v>
      </c>
      <c r="C27" s="25">
        <f>SUM(C20:C26)</f>
        <v>528569510350</v>
      </c>
      <c r="D27" s="25">
        <f>SUM(D20:D26)</f>
        <v>555740268125</v>
      </c>
      <c r="E27" s="25">
        <f>SUM(E20:E26)</f>
        <v>584672320904</v>
      </c>
      <c r="F27" s="26">
        <f>SUM(F20:F26)</f>
        <v>303923046949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 spans="2:20" ht="12" customHeight="1"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spans="2:20" ht="12" customHeight="1">
      <c r="C29" s="27">
        <f>C10-C27</f>
        <v>0</v>
      </c>
      <c r="D29" s="27">
        <f>D10-D27</f>
        <v>0</v>
      </c>
      <c r="E29" s="27">
        <f>E10-E27</f>
        <v>0</v>
      </c>
      <c r="F29" s="27">
        <f>F10-F27</f>
        <v>0</v>
      </c>
      <c r="G29" s="27"/>
      <c r="H29" s="30" t="s">
        <v>45</v>
      </c>
      <c r="I29" s="31" t="s">
        <v>46</v>
      </c>
      <c r="J29" s="31" t="s">
        <v>47</v>
      </c>
      <c r="K29" s="31"/>
      <c r="L29" s="31"/>
      <c r="M29" s="31"/>
      <c r="N29" s="31"/>
      <c r="O29" s="32"/>
      <c r="R29" s="27"/>
      <c r="S29" s="27"/>
      <c r="T29" s="27"/>
    </row>
    <row r="30" spans="2:20" ht="12" customHeight="1">
      <c r="C30" s="27"/>
      <c r="D30" s="27"/>
      <c r="E30" s="27"/>
      <c r="F30" s="27"/>
      <c r="G30" s="27"/>
      <c r="H30" s="33"/>
      <c r="I30" s="34" t="s">
        <v>43</v>
      </c>
      <c r="J30" s="34"/>
      <c r="K30" s="34"/>
      <c r="L30" s="34"/>
      <c r="M30" s="34"/>
      <c r="N30" s="34"/>
      <c r="O30" s="35"/>
      <c r="R30" s="27"/>
      <c r="S30" s="27"/>
      <c r="T30" s="27"/>
    </row>
    <row r="31" spans="2:20" ht="12" customHeight="1">
      <c r="C31" s="27"/>
      <c r="D31" s="27"/>
      <c r="E31" s="27"/>
      <c r="F31" s="27"/>
      <c r="G31" s="27"/>
      <c r="H31" s="30" t="s">
        <v>48</v>
      </c>
      <c r="I31" s="31" t="s">
        <v>41</v>
      </c>
      <c r="J31" s="31" t="s">
        <v>49</v>
      </c>
      <c r="K31" s="31"/>
      <c r="L31" s="31"/>
      <c r="M31" s="31"/>
      <c r="N31" s="31"/>
      <c r="O31" s="32"/>
      <c r="R31" s="27"/>
      <c r="S31" s="27"/>
      <c r="T31" s="27"/>
    </row>
    <row r="32" spans="2:20" ht="12" customHeight="1">
      <c r="C32" s="27"/>
      <c r="D32" s="27"/>
      <c r="E32" s="27"/>
      <c r="F32" s="27"/>
      <c r="G32" s="27"/>
      <c r="H32" s="33"/>
      <c r="I32" s="34" t="s">
        <v>42</v>
      </c>
      <c r="J32" s="34"/>
      <c r="K32" s="34"/>
      <c r="L32" s="34"/>
      <c r="M32" s="34"/>
      <c r="N32" s="34"/>
      <c r="O32" s="35"/>
      <c r="R32" s="27"/>
      <c r="S32" s="27"/>
      <c r="T32" s="27"/>
    </row>
    <row r="33" spans="2:20" ht="12" customHeight="1">
      <c r="B33" s="1" t="s">
        <v>36</v>
      </c>
      <c r="C33" s="27"/>
      <c r="D33" s="27"/>
      <c r="E33" s="27"/>
      <c r="F33" s="27"/>
      <c r="G33" s="27"/>
      <c r="H33" s="30" t="s">
        <v>50</v>
      </c>
      <c r="I33" s="31" t="s">
        <v>39</v>
      </c>
      <c r="J33" s="31" t="s">
        <v>51</v>
      </c>
      <c r="K33" s="31"/>
      <c r="L33" s="31"/>
      <c r="M33" s="31"/>
      <c r="N33" s="31"/>
      <c r="O33" s="32"/>
      <c r="R33" s="27"/>
      <c r="S33" s="27"/>
      <c r="T33" s="27"/>
    </row>
    <row r="34" spans="2:20" ht="19.5" customHeight="1">
      <c r="B34" s="7" t="s">
        <v>52</v>
      </c>
      <c r="C34" s="8"/>
      <c r="D34" s="8"/>
      <c r="E34" s="8"/>
      <c r="F34" s="9"/>
      <c r="G34" s="27"/>
      <c r="H34" s="36"/>
      <c r="I34" s="28" t="s">
        <v>40</v>
      </c>
      <c r="J34" s="28"/>
      <c r="K34" s="28"/>
      <c r="L34" s="28"/>
      <c r="M34" s="28"/>
      <c r="N34" s="28"/>
      <c r="O34" s="37"/>
      <c r="R34" s="27"/>
      <c r="S34" s="27"/>
      <c r="T34" s="27"/>
    </row>
    <row r="35" spans="2:20" ht="12" customHeight="1">
      <c r="B35" s="10"/>
      <c r="C35" s="11" t="s">
        <v>25</v>
      </c>
      <c r="D35" s="11" t="s">
        <v>26</v>
      </c>
      <c r="E35" s="11" t="s">
        <v>27</v>
      </c>
      <c r="F35" s="12" t="s">
        <v>28</v>
      </c>
      <c r="G35" s="27"/>
      <c r="H35" s="33"/>
      <c r="I35" s="34" t="s">
        <v>44</v>
      </c>
      <c r="J35" s="34"/>
      <c r="K35" s="34"/>
      <c r="L35" s="34"/>
      <c r="M35" s="34"/>
      <c r="N35" s="34"/>
      <c r="O35" s="35"/>
      <c r="R35" s="27"/>
      <c r="S35" s="27"/>
      <c r="T35" s="27"/>
    </row>
    <row r="36" spans="2:20" ht="12" customHeight="1">
      <c r="B36" s="13" t="s">
        <v>29</v>
      </c>
      <c r="C36" s="14" t="s">
        <v>30</v>
      </c>
      <c r="D36" s="14" t="s">
        <v>30</v>
      </c>
      <c r="E36" s="14" t="s">
        <v>30</v>
      </c>
      <c r="F36" s="15" t="s">
        <v>31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spans="2:20" ht="12" customHeight="1">
      <c r="B37" s="17" t="s">
        <v>45</v>
      </c>
      <c r="C37" s="21">
        <f>C20+C25</f>
        <v>349368261452</v>
      </c>
      <c r="D37" s="21">
        <f>D20+D25</f>
        <v>383703631062</v>
      </c>
      <c r="E37" s="21">
        <f>E20+E25</f>
        <v>416255766137</v>
      </c>
      <c r="F37" s="22">
        <f>F20+F25</f>
        <v>220196261096</v>
      </c>
      <c r="H37" s="59" t="s">
        <v>53</v>
      </c>
      <c r="I37" s="53">
        <f t="shared" ref="I37:L39" si="1">C37/C$40</f>
        <v>0.6609693798279449</v>
      </c>
      <c r="J37" s="53">
        <f t="shared" si="1"/>
        <v>0.69043697761288625</v>
      </c>
      <c r="K37" s="53">
        <f t="shared" si="1"/>
        <v>0.71194710482172274</v>
      </c>
      <c r="L37" s="54">
        <f t="shared" si="1"/>
        <v>0.72451320591343693</v>
      </c>
      <c r="M37" s="27"/>
      <c r="N37" s="27"/>
      <c r="O37" s="27"/>
      <c r="P37" s="27"/>
      <c r="Q37" s="27"/>
      <c r="R37" s="27"/>
      <c r="S37" s="27"/>
      <c r="T37" s="27"/>
    </row>
    <row r="38" spans="2:20" ht="12" customHeight="1">
      <c r="B38" s="20" t="s">
        <v>48</v>
      </c>
      <c r="C38" s="28">
        <f>C23+C24</f>
        <v>64628911184</v>
      </c>
      <c r="D38" s="28">
        <f>D23+D24</f>
        <v>65472807519</v>
      </c>
      <c r="E38" s="28">
        <f>E23+E24</f>
        <v>72459146793</v>
      </c>
      <c r="F38" s="29">
        <f>F23+F24</f>
        <v>40454935148</v>
      </c>
      <c r="H38" s="60" t="s">
        <v>40</v>
      </c>
      <c r="I38" s="55">
        <f t="shared" si="1"/>
        <v>0.12227135678182616</v>
      </c>
      <c r="J38" s="55">
        <f t="shared" si="1"/>
        <v>0.11781188313004073</v>
      </c>
      <c r="K38" s="55">
        <f t="shared" si="1"/>
        <v>0.12393120762235878</v>
      </c>
      <c r="L38" s="56">
        <f t="shared" si="1"/>
        <v>0.1331091391525453</v>
      </c>
      <c r="M38" s="27"/>
      <c r="N38" s="27"/>
      <c r="O38" s="27"/>
      <c r="P38" s="27"/>
      <c r="Q38" s="27"/>
      <c r="R38" s="27"/>
      <c r="S38" s="27"/>
      <c r="T38" s="27"/>
    </row>
    <row r="39" spans="2:20" ht="12" customHeight="1">
      <c r="B39" s="18" t="s">
        <v>50</v>
      </c>
      <c r="C39" s="23">
        <f>C21+C22+C26</f>
        <v>114572337714</v>
      </c>
      <c r="D39" s="23">
        <f>D21+D22+D26</f>
        <v>106563829544</v>
      </c>
      <c r="E39" s="23">
        <f>E21+E22+E26</f>
        <v>95957407974</v>
      </c>
      <c r="F39" s="24">
        <f>F21+F22+F26</f>
        <v>43271850705</v>
      </c>
      <c r="H39" s="61" t="s">
        <v>54</v>
      </c>
      <c r="I39" s="57">
        <f t="shared" si="1"/>
        <v>0.21675926339022897</v>
      </c>
      <c r="J39" s="57">
        <f t="shared" si="1"/>
        <v>0.19175113925707307</v>
      </c>
      <c r="K39" s="57">
        <f t="shared" si="1"/>
        <v>0.16412168755591849</v>
      </c>
      <c r="L39" s="58">
        <f t="shared" si="1"/>
        <v>0.14237765493401774</v>
      </c>
      <c r="M39" s="27"/>
      <c r="N39" s="27"/>
      <c r="O39" s="27"/>
      <c r="P39" s="27"/>
      <c r="Q39" s="27"/>
      <c r="R39" s="27"/>
      <c r="S39" s="27"/>
      <c r="T39" s="27"/>
    </row>
    <row r="40" spans="2:20" ht="12" customHeight="1" thickBot="1">
      <c r="B40" s="19" t="s">
        <v>35</v>
      </c>
      <c r="C40" s="25">
        <f>SUM(C37:C39)</f>
        <v>528569510350</v>
      </c>
      <c r="D40" s="25">
        <f>SUM(D37:D39)</f>
        <v>555740268125</v>
      </c>
      <c r="E40" s="25">
        <f>SUM(E37:E39)</f>
        <v>584672320904</v>
      </c>
      <c r="F40" s="26">
        <f>SUM(F37:F39)</f>
        <v>303923046949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 spans="2:20" ht="12" customHeight="1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 spans="2:20" ht="12" customHeight="1"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spans="2:20" ht="12" customHeight="1"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 spans="2:20" ht="12" customHeight="1">
      <c r="B44" s="1" t="s">
        <v>55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 spans="2:20" ht="19.5" customHeight="1">
      <c r="B45" s="7" t="s">
        <v>56</v>
      </c>
      <c r="C45" s="8"/>
      <c r="D45" s="8"/>
      <c r="E45" s="8"/>
      <c r="F45" s="9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spans="2:20" ht="12" customHeight="1">
      <c r="B46" s="10"/>
      <c r="C46" s="11" t="s">
        <v>25</v>
      </c>
      <c r="D46" s="11" t="s">
        <v>26</v>
      </c>
      <c r="E46" s="11" t="s">
        <v>27</v>
      </c>
      <c r="F46" s="12" t="s">
        <v>28</v>
      </c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 spans="2:20" ht="12" customHeight="1">
      <c r="B47" s="13" t="s">
        <v>29</v>
      </c>
      <c r="C47" s="14" t="s">
        <v>30</v>
      </c>
      <c r="D47" s="14" t="s">
        <v>30</v>
      </c>
      <c r="E47" s="14" t="s">
        <v>30</v>
      </c>
      <c r="F47" s="15" t="s">
        <v>31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 spans="2:20" ht="12" customHeight="1">
      <c r="B48" s="17" t="s">
        <v>15</v>
      </c>
      <c r="C48" s="21">
        <v>519344538843</v>
      </c>
      <c r="D48" s="21">
        <v>528773112276</v>
      </c>
      <c r="E48" s="21">
        <v>536171328032</v>
      </c>
      <c r="F48" s="22">
        <v>279207198170</v>
      </c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 spans="2:20" ht="12" customHeight="1">
      <c r="B49" s="20" t="s">
        <v>17</v>
      </c>
      <c r="C49" s="28">
        <v>1495754873</v>
      </c>
      <c r="D49" s="28">
        <v>3714070648</v>
      </c>
      <c r="E49" s="28">
        <v>12641566864</v>
      </c>
      <c r="F49" s="29">
        <v>2924615380</v>
      </c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spans="2:20" ht="12" customHeight="1">
      <c r="B50" s="18" t="s">
        <v>19</v>
      </c>
      <c r="C50" s="23">
        <v>7729216634</v>
      </c>
      <c r="D50" s="23">
        <v>15245418497</v>
      </c>
      <c r="E50" s="23">
        <v>23334266767</v>
      </c>
      <c r="F50" s="24">
        <v>13662165550</v>
      </c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 spans="2:20" ht="12" customHeight="1" thickBot="1">
      <c r="B51" s="19" t="s">
        <v>35</v>
      </c>
      <c r="C51" s="25">
        <f>SUM(C48:C50)</f>
        <v>528569510350</v>
      </c>
      <c r="D51" s="25">
        <f>SUM(D48:D50)</f>
        <v>547732601421</v>
      </c>
      <c r="E51" s="25">
        <f>SUM(E48:E50)</f>
        <v>572147161663</v>
      </c>
      <c r="F51" s="26">
        <f>SUM(F48:F50)</f>
        <v>295793979100</v>
      </c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 spans="2:20" ht="12" customHeight="1">
      <c r="B52" s="38"/>
      <c r="C52" s="39"/>
      <c r="D52" s="39"/>
      <c r="E52" s="39"/>
      <c r="F52" s="39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 spans="2:20" ht="12" customHeight="1">
      <c r="C53" s="27">
        <f>C40-C51</f>
        <v>0</v>
      </c>
      <c r="D53" s="27">
        <f>D40-D51</f>
        <v>8007666704</v>
      </c>
      <c r="E53" s="27">
        <f>E40-E51</f>
        <v>12525159241</v>
      </c>
      <c r="F53" s="27">
        <f>F40-F51</f>
        <v>8129067849</v>
      </c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 spans="2:20" ht="12" customHeight="1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 spans="2:20" ht="12" customHeight="1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 spans="2:20" ht="12" customHeight="1"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 spans="2:20" ht="12" customHeight="1" thickBot="1">
      <c r="B57" s="1" t="s">
        <v>57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 spans="2:20" ht="19.5" customHeight="1" thickBot="1">
      <c r="B58" s="7" t="s">
        <v>56</v>
      </c>
      <c r="C58" s="8"/>
      <c r="D58" s="8"/>
      <c r="E58" s="8"/>
      <c r="F58" s="9"/>
      <c r="G58" s="27"/>
      <c r="H58" s="27"/>
      <c r="I58" s="27"/>
      <c r="J58" s="27"/>
      <c r="K58" s="27"/>
      <c r="L58" s="27"/>
      <c r="M58" s="50" t="s">
        <v>58</v>
      </c>
      <c r="N58" s="51" t="s">
        <v>59</v>
      </c>
      <c r="O58" s="51" t="s">
        <v>60</v>
      </c>
      <c r="P58" s="52" t="s">
        <v>61</v>
      </c>
      <c r="Q58" s="27"/>
      <c r="R58" s="27"/>
      <c r="S58" s="27"/>
      <c r="T58" s="27"/>
    </row>
    <row r="59" spans="2:20" ht="12" customHeight="1" thickTop="1">
      <c r="B59" s="10"/>
      <c r="C59" s="11" t="s">
        <v>25</v>
      </c>
      <c r="D59" s="11" t="s">
        <v>26</v>
      </c>
      <c r="E59" s="11" t="s">
        <v>27</v>
      </c>
      <c r="F59" s="12" t="s">
        <v>28</v>
      </c>
      <c r="G59" s="27"/>
      <c r="H59" s="27"/>
      <c r="I59" s="27"/>
      <c r="J59" s="27"/>
      <c r="K59" s="27"/>
      <c r="L59" s="27"/>
      <c r="M59" s="410" t="s">
        <v>62</v>
      </c>
      <c r="N59" s="411">
        <v>267074546103</v>
      </c>
      <c r="O59" s="411">
        <v>202054915751</v>
      </c>
      <c r="P59" s="412">
        <v>65019630352</v>
      </c>
      <c r="Q59" s="27"/>
      <c r="R59" s="27"/>
      <c r="S59" s="27"/>
      <c r="T59" s="27"/>
    </row>
    <row r="60" spans="2:20" ht="12" customHeight="1">
      <c r="B60" s="13" t="s">
        <v>29</v>
      </c>
      <c r="C60" s="14" t="s">
        <v>30</v>
      </c>
      <c r="D60" s="14" t="s">
        <v>30</v>
      </c>
      <c r="E60" s="14" t="s">
        <v>30</v>
      </c>
      <c r="F60" s="15" t="s">
        <v>31</v>
      </c>
      <c r="G60" s="27"/>
      <c r="H60" s="27"/>
      <c r="I60" s="27"/>
      <c r="J60" s="27"/>
      <c r="K60" s="27"/>
      <c r="L60" s="27"/>
      <c r="M60" s="413" t="s">
        <v>63</v>
      </c>
      <c r="N60" s="28">
        <v>261494964247</v>
      </c>
      <c r="O60" s="28">
        <v>188787548412</v>
      </c>
      <c r="P60" s="414">
        <v>72707415835</v>
      </c>
      <c r="Q60" s="27"/>
      <c r="R60" s="27"/>
      <c r="S60" s="27"/>
      <c r="T60" s="27"/>
    </row>
    <row r="61" spans="2:20" ht="12" customHeight="1">
      <c r="B61" s="17" t="s">
        <v>64</v>
      </c>
      <c r="C61" s="21">
        <f>O59+O60</f>
        <v>390842464163</v>
      </c>
      <c r="D61" s="21">
        <f>O61+O62</f>
        <v>391741824950</v>
      </c>
      <c r="E61" s="21">
        <f>O63+O64</f>
        <v>388254019259</v>
      </c>
      <c r="F61" s="22">
        <f>O65</f>
        <v>199896783373</v>
      </c>
      <c r="G61" s="40">
        <f t="shared" ref="G61:J62" si="2">C61/C$40</f>
        <v>0.7394343724143263</v>
      </c>
      <c r="H61" s="40">
        <f t="shared" si="2"/>
        <v>0.70490091760255058</v>
      </c>
      <c r="I61" s="40">
        <f t="shared" si="2"/>
        <v>0.66405404425284775</v>
      </c>
      <c r="J61" s="40">
        <f t="shared" si="2"/>
        <v>0.65772170087036474</v>
      </c>
      <c r="K61" s="27"/>
      <c r="L61" s="27"/>
      <c r="M61" s="413" t="s">
        <v>65</v>
      </c>
      <c r="N61" s="28">
        <v>269720552925</v>
      </c>
      <c r="O61" s="28">
        <v>193856635405</v>
      </c>
      <c r="P61" s="414">
        <v>75863917520</v>
      </c>
      <c r="Q61" s="27"/>
      <c r="R61" s="27"/>
      <c r="S61" s="27"/>
      <c r="T61" s="27"/>
    </row>
    <row r="62" spans="2:20" ht="12" customHeight="1">
      <c r="B62" s="20" t="s">
        <v>66</v>
      </c>
      <c r="C62" s="28">
        <f>P59+P60</f>
        <v>137727046187</v>
      </c>
      <c r="D62" s="28">
        <f>P61+P62</f>
        <v>163998443175</v>
      </c>
      <c r="E62" s="28">
        <f>P63+P64</f>
        <v>196418301645</v>
      </c>
      <c r="F62" s="29">
        <f>P65</f>
        <v>103438463009</v>
      </c>
      <c r="G62" s="40">
        <f t="shared" si="2"/>
        <v>0.2605656275856737</v>
      </c>
      <c r="H62" s="40">
        <f t="shared" si="2"/>
        <v>0.29509908239744942</v>
      </c>
      <c r="I62" s="40">
        <f t="shared" si="2"/>
        <v>0.3359459557471523</v>
      </c>
      <c r="J62" s="40">
        <f t="shared" si="2"/>
        <v>0.34034425505860882</v>
      </c>
      <c r="K62" s="27"/>
      <c r="L62" s="27"/>
      <c r="M62" s="413" t="s">
        <v>67</v>
      </c>
      <c r="N62" s="28">
        <v>286019715200</v>
      </c>
      <c r="O62" s="28">
        <v>197885189545</v>
      </c>
      <c r="P62" s="414">
        <v>88134525655</v>
      </c>
      <c r="Q62" s="27"/>
      <c r="R62" s="27"/>
      <c r="S62" s="27"/>
      <c r="T62" s="27"/>
    </row>
    <row r="63" spans="2:20" ht="12" customHeight="1" thickBot="1">
      <c r="B63" s="19" t="s">
        <v>35</v>
      </c>
      <c r="C63" s="25">
        <f>SUM(C61:C62)</f>
        <v>528569510350</v>
      </c>
      <c r="D63" s="25">
        <f>SUM(D61:D62)</f>
        <v>555740268125</v>
      </c>
      <c r="E63" s="25">
        <f>SUM(E61:E62)</f>
        <v>584672320904</v>
      </c>
      <c r="F63" s="26">
        <f>SUM(F61:F62)</f>
        <v>303335246382</v>
      </c>
      <c r="G63" s="27"/>
      <c r="H63" s="27"/>
      <c r="I63" s="27"/>
      <c r="J63" s="27"/>
      <c r="K63" s="27"/>
      <c r="L63" s="27"/>
      <c r="M63" s="413" t="s">
        <v>68</v>
      </c>
      <c r="N63" s="28">
        <v>293369433771</v>
      </c>
      <c r="O63" s="28">
        <v>200864894602</v>
      </c>
      <c r="P63" s="414">
        <v>92504539169</v>
      </c>
      <c r="Q63" s="27"/>
      <c r="R63" s="27"/>
      <c r="S63" s="27"/>
      <c r="T63" s="27"/>
    </row>
    <row r="64" spans="2:20" ht="12" customHeight="1"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413" t="s">
        <v>69</v>
      </c>
      <c r="N64" s="28">
        <v>291302887133</v>
      </c>
      <c r="O64" s="28">
        <v>187389124657</v>
      </c>
      <c r="P64" s="414">
        <v>103913762476</v>
      </c>
      <c r="Q64" s="27"/>
      <c r="R64" s="27"/>
      <c r="S64" s="27"/>
      <c r="T64" s="27"/>
    </row>
    <row r="65" spans="2:20" ht="12" customHeight="1" thickBot="1">
      <c r="B65" s="1" t="s">
        <v>70</v>
      </c>
      <c r="C65" s="27">
        <f>C10-C63</f>
        <v>0</v>
      </c>
      <c r="D65" s="27">
        <f>D10-D63</f>
        <v>0</v>
      </c>
      <c r="E65" s="27">
        <f>E10-E63</f>
        <v>0</v>
      </c>
      <c r="F65" s="27">
        <f>F10-F63</f>
        <v>587800567</v>
      </c>
      <c r="G65" s="27"/>
      <c r="H65" s="27"/>
      <c r="I65" s="27"/>
      <c r="J65" s="27"/>
      <c r="K65" s="27"/>
      <c r="L65" s="27"/>
      <c r="M65" s="415" t="s">
        <v>71</v>
      </c>
      <c r="N65" s="416">
        <v>303335246382</v>
      </c>
      <c r="O65" s="416">
        <v>199896783373</v>
      </c>
      <c r="P65" s="417">
        <v>103438463009</v>
      </c>
      <c r="Q65" s="27"/>
      <c r="R65" s="27"/>
      <c r="S65" s="27"/>
      <c r="T65" s="27"/>
    </row>
    <row r="66" spans="2:20" ht="12" customHeight="1" thickTop="1">
      <c r="C66" s="27"/>
      <c r="D66" s="27"/>
      <c r="E66" s="27"/>
      <c r="F66" s="27"/>
      <c r="G66" s="27"/>
      <c r="H66" s="27"/>
      <c r="I66" s="27"/>
      <c r="J66" s="27"/>
      <c r="K66" s="27"/>
      <c r="L66" s="27"/>
      <c r="Q66" s="27"/>
      <c r="R66" s="27"/>
      <c r="S66" s="27"/>
      <c r="T66" s="27"/>
    </row>
    <row r="67" spans="2:20" ht="12" customHeight="1">
      <c r="C67" s="27"/>
      <c r="D67" s="27"/>
      <c r="E67" s="27"/>
      <c r="F67" s="27"/>
      <c r="G67" s="27"/>
      <c r="H67" s="27"/>
      <c r="I67" s="27"/>
      <c r="J67" s="27"/>
      <c r="K67" s="27"/>
      <c r="L67" s="27"/>
      <c r="Q67" s="27"/>
      <c r="R67" s="27"/>
      <c r="S67" s="27"/>
      <c r="T67" s="27"/>
    </row>
    <row r="68" spans="2:20" ht="12" customHeight="1">
      <c r="B68" s="1" t="s">
        <v>55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9.5" customHeight="1">
      <c r="B69" s="7" t="s">
        <v>56</v>
      </c>
      <c r="C69" s="8"/>
      <c r="D69" s="8"/>
      <c r="E69" s="8"/>
      <c r="F69" s="9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2" customHeight="1">
      <c r="B70" s="10"/>
      <c r="C70" s="11" t="s">
        <v>25</v>
      </c>
      <c r="D70" s="11" t="s">
        <v>26</v>
      </c>
      <c r="E70" s="11" t="s">
        <v>27</v>
      </c>
      <c r="F70" s="12" t="s">
        <v>28</v>
      </c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2" customHeight="1">
      <c r="B71" s="13" t="s">
        <v>29</v>
      </c>
      <c r="C71" s="14" t="s">
        <v>30</v>
      </c>
      <c r="D71" s="14" t="s">
        <v>30</v>
      </c>
      <c r="E71" s="14" t="s">
        <v>30</v>
      </c>
      <c r="F71" s="15" t="s">
        <v>31</v>
      </c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2" customHeight="1">
      <c r="B72" s="17" t="s">
        <v>72</v>
      </c>
      <c r="C72" s="21">
        <v>389432794463</v>
      </c>
      <c r="D72" s="21">
        <v>382939223904</v>
      </c>
      <c r="E72" s="21">
        <v>374924699294</v>
      </c>
      <c r="F72" s="22">
        <v>191309174281</v>
      </c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2" customHeight="1">
      <c r="B73" s="20" t="s">
        <v>73</v>
      </c>
      <c r="C73" s="28">
        <v>139168642187</v>
      </c>
      <c r="D73" s="28">
        <v>162701011517</v>
      </c>
      <c r="E73" s="28">
        <v>192691920369</v>
      </c>
      <c r="F73" s="29">
        <v>103115696819</v>
      </c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2" customHeight="1">
      <c r="B74" s="20" t="s">
        <v>34</v>
      </c>
      <c r="C74" s="28">
        <v>-31926300</v>
      </c>
      <c r="D74" s="28">
        <v>2092366000</v>
      </c>
      <c r="E74" s="28">
        <v>4530542000</v>
      </c>
      <c r="F74" s="29">
        <v>1369108000</v>
      </c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2" customHeight="1" thickBot="1">
      <c r="B75" s="19" t="s">
        <v>35</v>
      </c>
      <c r="C75" s="25">
        <f>SUM(C72:C74)</f>
        <v>528569510350</v>
      </c>
      <c r="D75" s="25">
        <f>SUM(D72:D74)</f>
        <v>547732601421</v>
      </c>
      <c r="E75" s="25">
        <f>SUM(E72:E74)</f>
        <v>572147161663</v>
      </c>
      <c r="F75" s="26">
        <f>SUM(F72:F74)</f>
        <v>295793979100</v>
      </c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2" customHeight="1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2" customHeight="1">
      <c r="B77" s="1" t="s">
        <v>70</v>
      </c>
      <c r="C77" s="27">
        <f>C10-C75</f>
        <v>0</v>
      </c>
      <c r="D77" s="27">
        <f>D10-D75</f>
        <v>8007666704</v>
      </c>
      <c r="E77" s="27">
        <f>E10-E75</f>
        <v>12525159241</v>
      </c>
      <c r="F77" s="27">
        <f>F10-F75</f>
        <v>8129067849</v>
      </c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2" customHeight="1"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2" customHeight="1">
      <c r="B79" s="1" t="s">
        <v>74</v>
      </c>
      <c r="C79" s="27">
        <f>C62-C73</f>
        <v>-1441596000</v>
      </c>
      <c r="D79" s="27">
        <f>D62-D73</f>
        <v>1297431658</v>
      </c>
      <c r="E79" s="27">
        <f>E62-E73</f>
        <v>3726381276</v>
      </c>
      <c r="F79" s="27">
        <f>F62-F73</f>
        <v>322766190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2" customHeight="1"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2" customHeight="1">
      <c r="B81" s="1" t="s">
        <v>75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9.5" customHeight="1">
      <c r="B82" s="7" t="s">
        <v>56</v>
      </c>
      <c r="C82" s="8"/>
      <c r="D82" s="8"/>
      <c r="E82" s="8"/>
      <c r="F82" s="9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2" customHeight="1">
      <c r="B83" s="10"/>
      <c r="C83" s="11" t="s">
        <v>25</v>
      </c>
      <c r="D83" s="11" t="s">
        <v>26</v>
      </c>
      <c r="E83" s="11" t="s">
        <v>27</v>
      </c>
      <c r="F83" s="12" t="s">
        <v>28</v>
      </c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2" customHeight="1">
      <c r="B84" s="13" t="s">
        <v>29</v>
      </c>
      <c r="C84" s="14" t="s">
        <v>30</v>
      </c>
      <c r="D84" s="14" t="s">
        <v>30</v>
      </c>
      <c r="E84" s="14" t="s">
        <v>30</v>
      </c>
      <c r="F84" s="15" t="s">
        <v>31</v>
      </c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ht="12" customHeight="1" thickBot="1">
      <c r="B85" s="138" t="s">
        <v>73</v>
      </c>
      <c r="C85" s="139">
        <v>92181634341</v>
      </c>
      <c r="D85" s="139">
        <v>102160392988</v>
      </c>
      <c r="E85" s="139">
        <v>112767894002</v>
      </c>
      <c r="F85" s="140">
        <v>60467430559</v>
      </c>
      <c r="G85" s="16"/>
      <c r="H85" s="16"/>
      <c r="I85" s="16"/>
      <c r="J85" s="16"/>
      <c r="K85" s="16"/>
      <c r="L85" s="27"/>
      <c r="M85" s="27"/>
      <c r="N85" s="27"/>
      <c r="O85" s="27"/>
      <c r="P85" s="27"/>
      <c r="Q85" s="27"/>
      <c r="R85" s="27"/>
    </row>
    <row r="86" spans="2:20" ht="12" customHeight="1">
      <c r="C86" s="16"/>
      <c r="D86" s="16"/>
      <c r="E86" s="16"/>
      <c r="F86" s="16"/>
      <c r="G86" s="16"/>
      <c r="H86" s="16"/>
      <c r="I86" s="16"/>
      <c r="J86" s="16"/>
      <c r="K86" s="16"/>
      <c r="L86" s="27"/>
      <c r="M86" s="27"/>
      <c r="N86" s="27"/>
      <c r="O86" s="27"/>
      <c r="P86" s="27"/>
      <c r="Q86" s="27"/>
      <c r="R86" s="27"/>
    </row>
    <row r="87" spans="2:20" ht="12" customHeight="1">
      <c r="C87" s="16"/>
      <c r="D87" s="16"/>
      <c r="E87" s="16"/>
      <c r="F87" s="16"/>
      <c r="G87" s="16"/>
      <c r="H87" s="16"/>
      <c r="I87" s="16"/>
      <c r="J87" s="16"/>
      <c r="K87" s="16"/>
      <c r="L87" s="27"/>
      <c r="M87" s="27"/>
      <c r="N87" s="27"/>
      <c r="O87" s="27"/>
      <c r="P87" s="27"/>
      <c r="Q87" s="27"/>
      <c r="R87" s="27"/>
    </row>
    <row r="88" spans="2:20" ht="12" customHeight="1">
      <c r="C88" s="16"/>
      <c r="D88" s="16"/>
      <c r="E88" s="16"/>
      <c r="F88" s="16"/>
      <c r="G88" s="16"/>
      <c r="H88" s="16"/>
      <c r="I88" s="16"/>
      <c r="J88" s="16"/>
      <c r="K88" s="16"/>
      <c r="L88" s="27"/>
      <c r="M88" s="27"/>
      <c r="N88" s="27"/>
      <c r="O88" s="27"/>
      <c r="P88" s="27"/>
      <c r="Q88" s="27"/>
      <c r="R88" s="27"/>
    </row>
    <row r="89" spans="2:20" ht="12" customHeight="1">
      <c r="C89" s="16"/>
      <c r="D89" s="16"/>
      <c r="E89" s="16"/>
      <c r="F89" s="16"/>
      <c r="G89" s="16"/>
      <c r="H89" s="16"/>
      <c r="I89" s="16"/>
      <c r="J89" s="16"/>
      <c r="K89" s="16"/>
      <c r="L89" s="27"/>
      <c r="M89" s="27"/>
      <c r="N89" s="27"/>
      <c r="O89" s="27"/>
      <c r="P89" s="27"/>
      <c r="Q89" s="27"/>
      <c r="R89" s="27"/>
    </row>
    <row r="90" spans="2:20" ht="12" customHeight="1">
      <c r="C90" s="16"/>
      <c r="D90" s="16"/>
      <c r="E90" s="16"/>
      <c r="F90" s="16"/>
      <c r="G90" s="16"/>
      <c r="H90" s="16"/>
      <c r="I90" s="16"/>
      <c r="J90" s="16"/>
      <c r="K90" s="16"/>
      <c r="L90" s="27"/>
      <c r="M90" s="27"/>
      <c r="N90" s="27"/>
      <c r="O90" s="27"/>
      <c r="P90" s="27"/>
      <c r="Q90" s="27"/>
      <c r="R90" s="27"/>
    </row>
    <row r="91" spans="2:20" ht="12" customHeight="1">
      <c r="C91" s="16"/>
      <c r="D91" s="16"/>
      <c r="E91" s="16"/>
      <c r="F91" s="16"/>
      <c r="G91" s="16"/>
      <c r="H91" s="16"/>
      <c r="I91" s="16"/>
      <c r="J91" s="16"/>
      <c r="K91" s="16"/>
      <c r="L91" s="27"/>
      <c r="M91" s="27"/>
      <c r="N91" s="27"/>
      <c r="O91" s="27"/>
      <c r="P91" s="27"/>
      <c r="Q91" s="27"/>
      <c r="R91" s="27"/>
    </row>
    <row r="92" spans="2:20" ht="12" customHeight="1">
      <c r="C92" s="16"/>
      <c r="D92" s="16"/>
      <c r="E92" s="16"/>
      <c r="F92" s="16"/>
      <c r="G92" s="16"/>
      <c r="H92" s="16"/>
      <c r="I92" s="16"/>
      <c r="J92" s="16"/>
      <c r="K92" s="16"/>
      <c r="L92" s="27"/>
      <c r="M92" s="27"/>
      <c r="N92" s="27"/>
      <c r="O92" s="27"/>
      <c r="P92" s="27"/>
      <c r="Q92" s="27"/>
      <c r="R92" s="27"/>
    </row>
    <row r="93" spans="2:20" ht="12" customHeight="1">
      <c r="C93" s="16"/>
      <c r="D93" s="16"/>
      <c r="E93" s="16"/>
      <c r="F93" s="16"/>
      <c r="G93" s="16"/>
      <c r="H93" s="16"/>
      <c r="I93" s="16"/>
      <c r="J93" s="16"/>
      <c r="K93" s="16"/>
      <c r="L93" s="27"/>
      <c r="M93" s="27"/>
      <c r="N93" s="27"/>
      <c r="O93" s="27"/>
      <c r="P93" s="27"/>
      <c r="Q93" s="27"/>
      <c r="R93" s="27"/>
    </row>
    <row r="94" spans="2:20" ht="12" customHeight="1">
      <c r="C94" s="16"/>
      <c r="D94" s="16"/>
      <c r="E94" s="16"/>
      <c r="F94" s="16"/>
      <c r="G94" s="16"/>
      <c r="H94" s="16"/>
      <c r="I94" s="16"/>
      <c r="J94" s="16"/>
      <c r="K94" s="16"/>
      <c r="L94" s="27"/>
      <c r="M94" s="27"/>
      <c r="N94" s="27"/>
      <c r="O94" s="27"/>
      <c r="P94" s="27"/>
      <c r="Q94" s="27"/>
      <c r="R94" s="27"/>
    </row>
    <row r="95" spans="2:20" ht="12" customHeight="1">
      <c r="C95" s="16"/>
      <c r="D95" s="16"/>
      <c r="E95" s="16"/>
      <c r="F95" s="16"/>
      <c r="G95" s="16"/>
      <c r="H95" s="16"/>
      <c r="I95" s="16"/>
      <c r="J95" s="16"/>
      <c r="K95" s="16"/>
      <c r="L95" s="27"/>
      <c r="M95" s="27"/>
      <c r="N95" s="27"/>
      <c r="O95" s="27"/>
      <c r="P95" s="27"/>
      <c r="Q95" s="27"/>
      <c r="R95" s="27"/>
    </row>
    <row r="96" spans="2:20" ht="12" customHeight="1">
      <c r="C96" s="16"/>
      <c r="D96" s="16"/>
      <c r="E96" s="16"/>
      <c r="F96" s="16"/>
      <c r="G96" s="16"/>
      <c r="H96" s="16"/>
      <c r="I96" s="16"/>
      <c r="J96" s="16"/>
      <c r="K96" s="16"/>
      <c r="L96" s="27"/>
      <c r="M96" s="27"/>
      <c r="N96" s="27"/>
      <c r="O96" s="27"/>
      <c r="P96" s="27"/>
      <c r="Q96" s="27"/>
      <c r="R96" s="27"/>
    </row>
    <row r="97" spans="3:18" ht="12" customHeight="1">
      <c r="C97" s="16"/>
      <c r="D97" s="16"/>
      <c r="E97" s="16"/>
      <c r="F97" s="16"/>
      <c r="G97" s="16"/>
      <c r="H97" s="16"/>
      <c r="I97" s="16"/>
      <c r="J97" s="16"/>
      <c r="K97" s="16"/>
      <c r="L97" s="27"/>
      <c r="M97" s="27"/>
      <c r="N97" s="27"/>
      <c r="O97" s="27"/>
      <c r="P97" s="27"/>
      <c r="Q97" s="27"/>
      <c r="R97" s="27"/>
    </row>
    <row r="98" spans="3:18" ht="12" customHeight="1">
      <c r="C98" s="16"/>
      <c r="D98" s="16"/>
      <c r="E98" s="16"/>
      <c r="F98" s="16"/>
      <c r="G98" s="16"/>
      <c r="H98" s="16"/>
      <c r="I98" s="16"/>
      <c r="J98" s="16"/>
      <c r="K98" s="16"/>
      <c r="L98" s="27"/>
      <c r="M98" s="27"/>
      <c r="N98" s="27"/>
      <c r="O98" s="27"/>
      <c r="P98" s="27"/>
      <c r="Q98" s="27"/>
      <c r="R98" s="27"/>
    </row>
    <row r="99" spans="3:18" ht="12" customHeight="1"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3:18" ht="12" customHeight="1"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3:18" ht="12" customHeight="1"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3:18" ht="12" customHeight="1"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3:18" ht="12" customHeight="1"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3:18" ht="12" customHeight="1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 spans="3:18" ht="12" customHeight="1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3:18" ht="12" customHeight="1"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3:18" ht="12" customHeight="1"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3:18" ht="12" customHeight="1"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3:18" ht="12" customHeight="1"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3:18" ht="12" customHeight="1"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3:18" ht="12" customHeight="1"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3:18" ht="12" customHeight="1"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3:17" ht="12" customHeight="1"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3:17" ht="12" customHeight="1"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3:17" ht="12" customHeight="1"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3:17" ht="12" customHeight="1"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3:17" ht="12" customHeight="1"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3:17" ht="12" customHeight="1"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3:17" ht="12" customHeight="1"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3:17" ht="12" customHeight="1"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3:17" ht="12" customHeight="1"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3:17" ht="12" customHeight="1"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3:17" ht="12" customHeight="1"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3:17" ht="12" customHeight="1"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3:17" ht="12" customHeight="1"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3:17" ht="12" customHeight="1"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3:17" ht="12" customHeight="1"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3:17" ht="12" customHeight="1"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3:17" ht="12" customHeight="1"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3:17" ht="12" customHeight="1"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3:17" ht="12" customHeight="1"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3:17" ht="12" customHeight="1"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3:17" ht="12" customHeight="1"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3:17" ht="12" customHeight="1"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3:17" ht="12" customHeight="1"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3:17" ht="12" customHeight="1"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3:17" ht="12" customHeight="1"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3:17" ht="12" customHeight="1"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3:17" ht="12" customHeight="1"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3:17" ht="12" customHeight="1"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spans="3:17" ht="12" customHeight="1"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spans="3:17" ht="12" customHeight="1"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3:17" ht="12" customHeight="1"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3:17" ht="12" customHeight="1"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3:17" ht="12" customHeight="1"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3:17" ht="12" customHeight="1"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3:17" ht="12" customHeight="1"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3:17" ht="12" customHeight="1"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3:17" ht="12" customHeight="1"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3:17" ht="12" customHeight="1"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3:17" ht="12" customHeight="1"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 spans="3:17" ht="12" customHeight="1"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 spans="3:17" ht="12" customHeight="1"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spans="3:17" ht="12" customHeight="1"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3:17" ht="12" customHeight="1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 spans="3:17" ht="12" customHeight="1"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  <row r="157" spans="3:17" ht="12" customHeight="1"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</row>
    <row r="158" spans="3:17" ht="12" customHeight="1"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</row>
    <row r="159" spans="3:17" ht="12" customHeight="1"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</row>
    <row r="160" spans="3:17" ht="12" customHeight="1"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</row>
    <row r="161" spans="3:17" ht="12" customHeight="1"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</row>
    <row r="162" spans="3:17" ht="12" customHeight="1"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</row>
    <row r="163" spans="3:17" ht="12" customHeight="1"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</row>
    <row r="164" spans="3:17" ht="12" customHeight="1"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3:17" ht="12" customHeight="1"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</row>
    <row r="166" spans="3:17" ht="12" customHeight="1"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3:17" ht="12" customHeight="1"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3:17" ht="12" customHeight="1"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3:17" ht="12" customHeight="1"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3:17" ht="12" customHeight="1"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3:17" ht="12" customHeight="1"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3:17" ht="12" customHeight="1"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3:17" ht="12" customHeight="1"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3:17" ht="12" customHeight="1"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3:17" ht="12" customHeight="1"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3:17" ht="12" customHeight="1"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3:17" ht="12" customHeight="1"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3:17" ht="12" customHeight="1"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3:17" ht="12" customHeight="1"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3:17" ht="12" customHeight="1"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3:17" ht="12" customHeight="1"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3:17" ht="12" customHeight="1"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3:17" ht="12" customHeight="1"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3:17" ht="12" customHeight="1"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3:17" ht="12" customHeight="1"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3:17" ht="12" customHeight="1"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3:17" ht="12" customHeight="1"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3:17" ht="12" customHeight="1"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3:17" ht="12" customHeight="1"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3:17" ht="12" customHeight="1"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 spans="3:17" ht="12" customHeight="1"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 spans="3:17" ht="12" customHeight="1"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3:17" ht="12" customHeight="1"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 spans="3:17" ht="12" customHeight="1"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 spans="3:17" ht="12" customHeight="1"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spans="3:17" ht="12" customHeight="1"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 spans="3:17" ht="12" customHeight="1"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 spans="3:17" ht="12" customHeight="1"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  <row r="199" spans="3:17" ht="12" customHeight="1"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</row>
    <row r="200" spans="3:17" ht="12" customHeight="1"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</row>
    <row r="201" spans="3:17" ht="12" customHeight="1"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 spans="3:17" ht="12" customHeight="1"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  <row r="203" spans="3:17" ht="12" customHeight="1"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</row>
    <row r="204" spans="3:17" ht="12" customHeight="1"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</row>
    <row r="205" spans="3:17" ht="12" customHeight="1"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</row>
    <row r="206" spans="3:17" ht="12" customHeight="1"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</row>
    <row r="207" spans="3:17" ht="12" customHeight="1"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</row>
    <row r="208" spans="3:17" ht="12" customHeight="1"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</row>
    <row r="209" spans="3:17" ht="12" customHeight="1"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 spans="3:17" ht="12" customHeight="1"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 spans="3:17" ht="12" customHeight="1"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 spans="3:17" ht="12" customHeight="1"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3:17" ht="12" customHeight="1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3:17" ht="12" customHeight="1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3:17" ht="12" customHeight="1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3:17" ht="12" customHeight="1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3:17" ht="12" customHeight="1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</row>
    <row r="218" spans="3:17" ht="12" customHeight="1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</row>
    <row r="219" spans="3:17" ht="12" customHeight="1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</row>
    <row r="220" spans="3:17" ht="12" customHeight="1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</row>
    <row r="221" spans="3:17" ht="12" customHeight="1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</row>
    <row r="222" spans="3:17" ht="12" customHeight="1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</row>
    <row r="223" spans="3:17" ht="12" customHeight="1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</row>
    <row r="224" spans="3:17" ht="12" customHeight="1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</row>
    <row r="225" spans="3:17" ht="12" customHeight="1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</row>
    <row r="226" spans="3:17" ht="12" customHeight="1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</row>
    <row r="227" spans="3:17" ht="12" customHeight="1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</row>
    <row r="228" spans="3:17" ht="12" customHeight="1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</row>
    <row r="229" spans="3:17" ht="12" customHeight="1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</row>
    <row r="230" spans="3:17" ht="12" customHeight="1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</row>
    <row r="231" spans="3:17" ht="12" customHeight="1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</row>
    <row r="232" spans="3:17" ht="12" customHeight="1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</row>
    <row r="233" spans="3:17" ht="12" customHeight="1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</row>
    <row r="234" spans="3:17" ht="12" customHeight="1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</row>
    <row r="235" spans="3:17" ht="12" customHeight="1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</row>
    <row r="236" spans="3:17" ht="12" customHeight="1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</row>
    <row r="237" spans="3:17" ht="12" customHeight="1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</row>
    <row r="238" spans="3:17" ht="12" customHeight="1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</row>
    <row r="239" spans="3:17" ht="12" customHeight="1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</row>
    <row r="240" spans="3:17" ht="12" customHeight="1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</row>
    <row r="241" spans="3:17" ht="12" customHeight="1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</row>
    <row r="242" spans="3:17" ht="12" customHeight="1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</row>
    <row r="243" spans="3:17" ht="12" customHeight="1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</row>
    <row r="244" spans="3:17" ht="12" customHeight="1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</row>
    <row r="245" spans="3:17" ht="12" customHeight="1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</row>
    <row r="246" spans="3:17" ht="12" customHeight="1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</row>
    <row r="247" spans="3:17" ht="12" customHeight="1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</row>
    <row r="248" spans="3:17" ht="12" customHeight="1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</row>
    <row r="249" spans="3:17" ht="12" customHeight="1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</row>
    <row r="250" spans="3:17" ht="12" customHeight="1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</row>
    <row r="251" spans="3:17" ht="12" customHeight="1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</row>
    <row r="252" spans="3:17" ht="12" customHeight="1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</row>
    <row r="253" spans="3:17" ht="12" customHeight="1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</row>
    <row r="254" spans="3:17" ht="12" customHeight="1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</row>
    <row r="255" spans="3:17" ht="12" customHeight="1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</row>
    <row r="256" spans="3:17" ht="12" customHeight="1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</row>
    <row r="257" spans="3:17" ht="12" customHeight="1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</row>
    <row r="258" spans="3:17" ht="12" customHeight="1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</row>
    <row r="259" spans="3:17" ht="12" customHeight="1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</row>
    <row r="260" spans="3:17" ht="12" customHeight="1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</row>
    <row r="261" spans="3:17" ht="12" customHeight="1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</row>
    <row r="262" spans="3:17" ht="12" customHeight="1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</row>
    <row r="263" spans="3:17" ht="12" customHeight="1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</row>
    <row r="264" spans="3:17" ht="12" customHeight="1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</row>
    <row r="265" spans="3:17" ht="12" customHeight="1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</row>
    <row r="266" spans="3:17" ht="12" customHeight="1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</row>
    <row r="267" spans="3:17" ht="12" customHeight="1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</row>
    <row r="268" spans="3:17" ht="12" customHeight="1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</row>
    <row r="269" spans="3:17" ht="12" customHeight="1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</row>
    <row r="270" spans="3:17" ht="12" customHeight="1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</row>
    <row r="271" spans="3:17" ht="12" customHeight="1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</row>
    <row r="272" spans="3:17" ht="12" customHeight="1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</row>
    <row r="273" spans="3:17" ht="12" customHeight="1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</row>
    <row r="274" spans="3:17" ht="12" customHeight="1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</row>
    <row r="275" spans="3:17" ht="12" customHeight="1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</row>
    <row r="276" spans="3:17" ht="12" customHeight="1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</row>
    <row r="277" spans="3:17" ht="12" customHeight="1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</row>
    <row r="278" spans="3:17" ht="12" customHeight="1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</row>
    <row r="279" spans="3:17" ht="12" customHeight="1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</row>
    <row r="280" spans="3:17" ht="12" customHeight="1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</row>
    <row r="281" spans="3:17" ht="12" customHeight="1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</row>
    <row r="282" spans="3:17" ht="12" customHeight="1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</row>
    <row r="283" spans="3:17" ht="12" customHeight="1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</row>
    <row r="284" spans="3:17" ht="12" customHeight="1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</row>
    <row r="285" spans="3:17" ht="12" customHeight="1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</row>
    <row r="286" spans="3:17" ht="12" customHeight="1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</row>
    <row r="287" spans="3:17" ht="12" customHeight="1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</row>
    <row r="288" spans="3:17" ht="12" customHeight="1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</row>
    <row r="289" spans="3:17" ht="12" customHeight="1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</row>
    <row r="290" spans="3:17" ht="12" customHeight="1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</row>
    <row r="291" spans="3:17" ht="12" customHeight="1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</row>
    <row r="292" spans="3:17" ht="12" customHeight="1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</row>
    <row r="293" spans="3:17" ht="12" customHeight="1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</row>
    <row r="294" spans="3:17" ht="12" customHeight="1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</row>
    <row r="295" spans="3:17" ht="12" customHeight="1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</row>
    <row r="296" spans="3:17" ht="12" customHeight="1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</row>
    <row r="297" spans="3:17" ht="12" customHeight="1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</row>
    <row r="298" spans="3:17" ht="12" customHeight="1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</row>
    <row r="299" spans="3:17" ht="12" customHeight="1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</row>
    <row r="300" spans="3:17" ht="12" customHeight="1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</row>
    <row r="301" spans="3:17" ht="12" customHeight="1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</row>
    <row r="302" spans="3:17" ht="12" customHeight="1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</row>
    <row r="303" spans="3:17" ht="12" customHeight="1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</row>
    <row r="304" spans="3:17" ht="12" customHeight="1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</row>
    <row r="305" spans="3:17" ht="12" customHeight="1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</row>
    <row r="306" spans="3:17" ht="12" customHeight="1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</row>
    <row r="307" spans="3:17" ht="12" customHeight="1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</row>
    <row r="308" spans="3:17" ht="12" customHeight="1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</row>
    <row r="309" spans="3:17" ht="12" customHeight="1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</row>
    <row r="310" spans="3:17" ht="12" customHeight="1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</row>
    <row r="311" spans="3:17" ht="12" customHeight="1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</row>
    <row r="312" spans="3:17" ht="12" customHeight="1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</row>
    <row r="313" spans="3:17" ht="12" customHeight="1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</row>
    <row r="314" spans="3:17" ht="12" customHeight="1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</row>
    <row r="315" spans="3:17" ht="12" customHeight="1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</row>
    <row r="316" spans="3:17" ht="12" customHeight="1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</row>
    <row r="317" spans="3:17" ht="12" customHeight="1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</row>
    <row r="318" spans="3:17" ht="12" customHeight="1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</row>
    <row r="319" spans="3:17" ht="12" customHeight="1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</row>
    <row r="320" spans="3:17" ht="12" customHeight="1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</row>
    <row r="321" spans="3:17" ht="12" customHeight="1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</row>
    <row r="322" spans="3:17" ht="12" customHeight="1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</row>
    <row r="323" spans="3:17" ht="12" customHeight="1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</row>
    <row r="324" spans="3:17" ht="12" customHeight="1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</row>
    <row r="325" spans="3:17" ht="12" customHeight="1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</row>
    <row r="326" spans="3:17" ht="12" customHeight="1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</row>
    <row r="327" spans="3:17" ht="12" customHeight="1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</row>
    <row r="328" spans="3:17" ht="12" customHeight="1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</row>
    <row r="329" spans="3:17" ht="12" customHeight="1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</row>
    <row r="330" spans="3:17" ht="12" customHeight="1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</row>
    <row r="331" spans="3:17" ht="12" customHeight="1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</row>
    <row r="332" spans="3:17" ht="12" customHeight="1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</row>
    <row r="333" spans="3:17" ht="12" customHeight="1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</row>
    <row r="334" spans="3:17" ht="12" customHeight="1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</row>
    <row r="335" spans="3:17" ht="12" customHeight="1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</row>
    <row r="336" spans="3:17" ht="12" customHeight="1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</row>
    <row r="337" spans="3:17" ht="12" customHeight="1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</row>
    <row r="338" spans="3:17" ht="12" customHeight="1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</row>
    <row r="339" spans="3:17" ht="12" customHeight="1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</row>
    <row r="340" spans="3:17" ht="12" customHeight="1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</row>
    <row r="341" spans="3:17" ht="12" customHeight="1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</row>
    <row r="342" spans="3:17" ht="12" customHeight="1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</row>
    <row r="343" spans="3:17" ht="12" customHeight="1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</row>
    <row r="344" spans="3:17" ht="12" customHeight="1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</row>
    <row r="345" spans="3:17" ht="12" customHeight="1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</row>
    <row r="346" spans="3:17" ht="12" customHeight="1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</row>
    <row r="347" spans="3:17" ht="12" customHeight="1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</row>
    <row r="348" spans="3:17" ht="12" customHeight="1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</row>
    <row r="349" spans="3:17" ht="12" customHeight="1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</row>
    <row r="350" spans="3:17" ht="12" customHeight="1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</row>
    <row r="351" spans="3:17" ht="12" customHeight="1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</row>
    <row r="352" spans="3:17" ht="12" customHeight="1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</row>
    <row r="353" spans="3:17" ht="12" customHeight="1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</row>
    <row r="354" spans="3:17" ht="12" customHeight="1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</row>
    <row r="355" spans="3:17" ht="12" customHeight="1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</row>
    <row r="356" spans="3:17" ht="12" customHeight="1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</row>
    <row r="357" spans="3:17" ht="12" customHeight="1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</row>
    <row r="358" spans="3:17" ht="12" customHeight="1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</row>
    <row r="359" spans="3:17" ht="12" customHeight="1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</row>
    <row r="360" spans="3:17" ht="12" customHeight="1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</row>
    <row r="361" spans="3:17" ht="12" customHeight="1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</row>
    <row r="362" spans="3:17" ht="12" customHeight="1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</row>
    <row r="363" spans="3:17" ht="12" customHeight="1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</row>
    <row r="364" spans="3:17" ht="12" customHeight="1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</row>
    <row r="365" spans="3:17" ht="12" customHeight="1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</row>
    <row r="366" spans="3:17" ht="12" customHeight="1"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</row>
    <row r="367" spans="3:17" ht="12" customHeight="1"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</row>
    <row r="368" spans="3:17" ht="12" customHeight="1"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</row>
    <row r="369" spans="3:17" ht="12" customHeight="1"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</row>
    <row r="370" spans="3:17" ht="12" customHeight="1"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</row>
    <row r="371" spans="3:17" ht="12" customHeight="1"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</row>
    <row r="372" spans="3:17" ht="12" customHeight="1"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</row>
    <row r="373" spans="3:17" ht="12" customHeight="1"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</row>
    <row r="374" spans="3:17" ht="12" customHeight="1"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</row>
    <row r="375" spans="3:17" ht="12" customHeight="1"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</row>
    <row r="376" spans="3:17" ht="12" customHeight="1"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</row>
    <row r="377" spans="3:17" ht="12" customHeight="1"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</row>
    <row r="378" spans="3:17" ht="12" customHeight="1"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</row>
    <row r="379" spans="3:17" ht="12" customHeight="1"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</row>
    <row r="380" spans="3:17" ht="12" customHeight="1"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</row>
    <row r="381" spans="3:17" ht="12" customHeight="1"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</row>
    <row r="382" spans="3:17" ht="12" customHeight="1"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</row>
    <row r="383" spans="3:17" ht="12" customHeight="1"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</row>
    <row r="384" spans="3:17" ht="12" customHeight="1"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</row>
    <row r="385" spans="3:17" ht="12" customHeight="1"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</row>
    <row r="386" spans="3:17" ht="12" customHeight="1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</row>
    <row r="387" spans="3:17" ht="12" customHeight="1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</row>
    <row r="388" spans="3:17" ht="12" customHeight="1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</row>
    <row r="389" spans="3:17" ht="12" customHeight="1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</row>
    <row r="390" spans="3:17" ht="12" customHeight="1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</row>
    <row r="391" spans="3:17" ht="12" customHeight="1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</row>
    <row r="392" spans="3:17" ht="12" customHeight="1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</row>
    <row r="393" spans="3:17" ht="12" customHeight="1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</row>
    <row r="394" spans="3:17" ht="12" customHeight="1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</row>
    <row r="395" spans="3:17" ht="12" customHeight="1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</row>
    <row r="396" spans="3:17" ht="12" customHeight="1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</row>
    <row r="397" spans="3:17" ht="12" customHeight="1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</row>
    <row r="398" spans="3:17" ht="12" customHeight="1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</row>
    <row r="399" spans="3:17" ht="12" customHeight="1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</row>
    <row r="400" spans="3:17" ht="12" customHeight="1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</row>
    <row r="401" spans="3:17" ht="12" customHeight="1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</row>
    <row r="402" spans="3:17" ht="12" customHeight="1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</row>
    <row r="403" spans="3:17" ht="12" customHeight="1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</row>
    <row r="404" spans="3:17" ht="12" customHeight="1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</row>
    <row r="405" spans="3:17" ht="12" customHeight="1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</row>
    <row r="406" spans="3:17" ht="12" customHeight="1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</row>
    <row r="407" spans="3:17" ht="12" customHeight="1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</row>
    <row r="408" spans="3:17" ht="12" customHeight="1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</row>
    <row r="409" spans="3:17" ht="12" customHeight="1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</row>
    <row r="410" spans="3:17" ht="12" customHeight="1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</row>
    <row r="411" spans="3:17" ht="12" customHeight="1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</row>
    <row r="412" spans="3:17" ht="12" customHeight="1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</row>
    <row r="413" spans="3:17" ht="12" customHeight="1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</row>
    <row r="414" spans="3:17" ht="12" customHeight="1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</row>
    <row r="415" spans="3:17" ht="12" customHeight="1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</row>
    <row r="416" spans="3:17" ht="12" customHeight="1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</row>
    <row r="417" spans="3:17" ht="12" customHeight="1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</row>
    <row r="418" spans="3:17" ht="12" customHeight="1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</row>
    <row r="419" spans="3:17" ht="12" customHeight="1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</row>
    <row r="420" spans="3:17" ht="12" customHeight="1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</row>
    <row r="421" spans="3:17" ht="12" customHeight="1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</row>
    <row r="422" spans="3:17" ht="12" customHeight="1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</row>
    <row r="423" spans="3:17" ht="12" customHeight="1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</row>
    <row r="424" spans="3:17" ht="12" customHeight="1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</row>
    <row r="425" spans="3:17" ht="12" customHeight="1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</row>
    <row r="426" spans="3:17" ht="12" customHeight="1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</row>
    <row r="427" spans="3:17" ht="12" customHeight="1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</row>
    <row r="428" spans="3:17" ht="12" customHeight="1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</row>
    <row r="429" spans="3:17" ht="12" customHeight="1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</row>
    <row r="430" spans="3:17" ht="12" customHeight="1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</row>
    <row r="431" spans="3:17" ht="12" customHeight="1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</row>
    <row r="432" spans="3:17" ht="12" customHeight="1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</row>
    <row r="433" spans="3:17" ht="12" customHeight="1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</row>
    <row r="434" spans="3:17" ht="12" customHeight="1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</row>
    <row r="435" spans="3:17" ht="12" customHeight="1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</row>
    <row r="436" spans="3:17" ht="12" customHeight="1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</row>
    <row r="437" spans="3:17" ht="12" customHeight="1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</row>
    <row r="438" spans="3:17" ht="12" customHeight="1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</row>
    <row r="439" spans="3:17" ht="12" customHeight="1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</row>
    <row r="440" spans="3:17" ht="12" customHeight="1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</row>
    <row r="441" spans="3:17" ht="12" customHeight="1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</row>
    <row r="442" spans="3:17" ht="12" customHeight="1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</row>
    <row r="443" spans="3:17" ht="12" customHeight="1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</row>
    <row r="444" spans="3:17" ht="12" customHeight="1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</row>
    <row r="445" spans="3:17" ht="12" customHeight="1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</row>
    <row r="446" spans="3:17" ht="12" customHeight="1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</row>
    <row r="447" spans="3:17" ht="12" customHeight="1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</row>
    <row r="448" spans="3:17" ht="12" customHeight="1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</row>
    <row r="449" spans="3:17" ht="12" customHeight="1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</row>
    <row r="450" spans="3:17" ht="12" customHeight="1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</row>
    <row r="451" spans="3:17" ht="12" customHeight="1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</row>
    <row r="452" spans="3:17" ht="12" customHeight="1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</row>
    <row r="453" spans="3:17" ht="12" customHeight="1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</row>
    <row r="454" spans="3:17" ht="12" customHeight="1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</row>
    <row r="455" spans="3:17" ht="12" customHeight="1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</row>
    <row r="456" spans="3:17" ht="12" customHeight="1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</row>
    <row r="457" spans="3:17" ht="12" customHeight="1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</row>
    <row r="458" spans="3:17" ht="12" customHeight="1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</row>
    <row r="459" spans="3:17" ht="12" customHeight="1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</row>
    <row r="460" spans="3:17" ht="12" customHeight="1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</row>
    <row r="461" spans="3:17" ht="12" customHeight="1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</row>
    <row r="462" spans="3:17" ht="12" customHeight="1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</row>
    <row r="463" spans="3:17" ht="12" customHeight="1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</row>
    <row r="464" spans="3:17" ht="12" customHeight="1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</row>
    <row r="465" spans="3:17" ht="12" customHeight="1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</row>
    <row r="466" spans="3:17" ht="12" customHeight="1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</row>
    <row r="467" spans="3:17" ht="12" customHeight="1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</row>
    <row r="468" spans="3:17" ht="12" customHeight="1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</row>
    <row r="469" spans="3:17" ht="12" customHeight="1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</row>
    <row r="470" spans="3:17" ht="12" customHeight="1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</row>
    <row r="471" spans="3:17" ht="12" customHeight="1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</row>
    <row r="472" spans="3:17" ht="12" customHeight="1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</row>
    <row r="473" spans="3:17" ht="12" customHeight="1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</row>
    <row r="474" spans="3:17" ht="12" customHeight="1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</row>
    <row r="475" spans="3:17" ht="12" customHeight="1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</row>
    <row r="476" spans="3:17" ht="12" customHeight="1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</row>
    <row r="477" spans="3:17" ht="12" customHeight="1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</row>
    <row r="478" spans="3:17" ht="12" customHeight="1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</row>
    <row r="479" spans="3:17" ht="12" customHeight="1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</row>
    <row r="480" spans="3:17" ht="12" customHeight="1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</row>
    <row r="481" spans="3:17" ht="12" customHeight="1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</row>
    <row r="482" spans="3:17" ht="12" customHeight="1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</row>
    <row r="483" spans="3:17" ht="12" customHeight="1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</row>
    <row r="484" spans="3:17" ht="12" customHeight="1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</row>
    <row r="485" spans="3:17" ht="12" customHeight="1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</row>
    <row r="486" spans="3:17" ht="12" customHeight="1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</row>
    <row r="487" spans="3:17" ht="12" customHeight="1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</row>
    <row r="488" spans="3:17" ht="12" customHeight="1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</row>
    <row r="489" spans="3:17" ht="12" customHeight="1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</row>
    <row r="490" spans="3:17" ht="12" customHeight="1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</row>
    <row r="491" spans="3:17" ht="12" customHeight="1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</row>
    <row r="492" spans="3:17" ht="12" customHeight="1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</row>
    <row r="493" spans="3:17" ht="12" customHeight="1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</row>
    <row r="494" spans="3:17" ht="12" customHeight="1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</row>
    <row r="495" spans="3:17" ht="12" customHeight="1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</row>
    <row r="496" spans="3:17" ht="12" customHeight="1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</row>
    <row r="497" spans="3:17" ht="12" customHeight="1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</row>
    <row r="498" spans="3:17" ht="12" customHeight="1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</row>
    <row r="499" spans="3:17" ht="12" customHeight="1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</row>
    <row r="500" spans="3:17" ht="12" customHeight="1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</row>
    <row r="501" spans="3:17" ht="12" customHeight="1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</row>
    <row r="502" spans="3:17" ht="12" customHeight="1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</row>
    <row r="503" spans="3:17" ht="12" customHeight="1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</row>
    <row r="504" spans="3:17" ht="12" customHeight="1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</row>
    <row r="505" spans="3:17" ht="12" customHeight="1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</row>
    <row r="506" spans="3:17" ht="12" customHeight="1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</row>
    <row r="507" spans="3:17" ht="12" customHeight="1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</row>
    <row r="508" spans="3:17" ht="12" customHeight="1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</row>
    <row r="509" spans="3:17" ht="12" customHeight="1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</row>
    <row r="510" spans="3:17" ht="12" customHeight="1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</row>
    <row r="511" spans="3:17" ht="12" customHeight="1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</row>
    <row r="512" spans="3:17" ht="12" customHeight="1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</row>
    <row r="513" spans="3:17" ht="12" customHeight="1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</row>
    <row r="514" spans="3:17" ht="12" customHeight="1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</row>
    <row r="515" spans="3:17" ht="12" customHeight="1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</row>
    <row r="516" spans="3:17" ht="12" customHeight="1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</row>
    <row r="517" spans="3:17" ht="12" customHeight="1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</row>
    <row r="518" spans="3:17" ht="12" customHeight="1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</row>
    <row r="519" spans="3:17" ht="12" customHeight="1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</row>
    <row r="520" spans="3:17" ht="12" customHeight="1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</row>
    <row r="521" spans="3:17" ht="12" customHeight="1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</row>
    <row r="522" spans="3:17" ht="12" customHeight="1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</row>
    <row r="523" spans="3:17" ht="12" customHeight="1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</row>
    <row r="524" spans="3:17" ht="12" customHeight="1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</row>
    <row r="525" spans="3:17" ht="12" customHeight="1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</row>
    <row r="526" spans="3:17" ht="12" customHeight="1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</row>
    <row r="527" spans="3:17" ht="12" customHeight="1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</row>
    <row r="528" spans="3:17" ht="12" customHeight="1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</row>
    <row r="529" spans="3:17" ht="12" customHeight="1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</row>
    <row r="530" spans="3:17" ht="12" customHeight="1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</row>
    <row r="531" spans="3:17" ht="12" customHeight="1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</row>
    <row r="532" spans="3:17" ht="12" customHeight="1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</row>
    <row r="533" spans="3:17" ht="12" customHeight="1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</row>
    <row r="534" spans="3:17" ht="12" customHeight="1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</row>
    <row r="535" spans="3:17" ht="12" customHeight="1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</row>
    <row r="536" spans="3:17" ht="12" customHeight="1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</row>
    <row r="537" spans="3:17" ht="12" customHeight="1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</row>
    <row r="538" spans="3:17" ht="12" customHeight="1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</row>
    <row r="539" spans="3:17" ht="12" customHeight="1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</row>
    <row r="540" spans="3:17" ht="12" customHeight="1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</row>
    <row r="541" spans="3:17" ht="12" customHeight="1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</row>
    <row r="542" spans="3:17" ht="12" customHeight="1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</row>
    <row r="543" spans="3:17" ht="12" customHeight="1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</row>
    <row r="544" spans="3:17" ht="12" customHeight="1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</row>
    <row r="545" spans="3:17" ht="12" customHeight="1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</row>
    <row r="546" spans="3:17" ht="12" customHeight="1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</row>
    <row r="547" spans="3:17" ht="12" customHeight="1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</row>
    <row r="548" spans="3:17" ht="12" customHeight="1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</row>
    <row r="549" spans="3:17" ht="12" customHeight="1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</row>
    <row r="550" spans="3:17" ht="12" customHeight="1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</row>
    <row r="551" spans="3:17" ht="12" customHeight="1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</row>
    <row r="552" spans="3:17" ht="12" customHeight="1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</row>
    <row r="553" spans="3:17" ht="12" customHeight="1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</row>
    <row r="554" spans="3:17" ht="12" customHeight="1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</row>
    <row r="555" spans="3:17" ht="12" customHeight="1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</row>
    <row r="556" spans="3:17" ht="12" customHeight="1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</row>
    <row r="557" spans="3:17" ht="12" customHeight="1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</row>
    <row r="558" spans="3:17" ht="12" customHeight="1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</row>
    <row r="559" spans="3:17" ht="12" customHeight="1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</row>
    <row r="560" spans="3:17" ht="12" customHeight="1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</row>
    <row r="561" spans="3:17" ht="12" customHeight="1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</row>
    <row r="562" spans="3:17" ht="12" customHeight="1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</row>
    <row r="563" spans="3:17" ht="12" customHeight="1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</row>
    <row r="564" spans="3:17" ht="12" customHeight="1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</row>
    <row r="565" spans="3:17" ht="12" customHeight="1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</row>
    <row r="566" spans="3:17" ht="12" customHeight="1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</row>
    <row r="567" spans="3:17" ht="12" customHeight="1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</row>
    <row r="568" spans="3:17" ht="12" customHeight="1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</row>
    <row r="569" spans="3:17" ht="12" customHeight="1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</row>
    <row r="570" spans="3:17" ht="12" customHeight="1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</row>
    <row r="571" spans="3:17" ht="12" customHeight="1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</row>
    <row r="572" spans="3:17" ht="12" customHeight="1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</row>
    <row r="573" spans="3:17" ht="12" customHeight="1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</row>
    <row r="574" spans="3:17" ht="12" customHeight="1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</row>
    <row r="575" spans="3:17" ht="12" customHeight="1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</row>
    <row r="576" spans="3:17" ht="12" customHeight="1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</row>
    <row r="577" spans="3:17" ht="12" customHeight="1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</row>
    <row r="578" spans="3:17" ht="12" customHeight="1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</row>
    <row r="579" spans="3:17" ht="12" customHeight="1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</row>
    <row r="580" spans="3:17" ht="12" customHeight="1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</row>
    <row r="581" spans="3:17" ht="12" customHeight="1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</row>
    <row r="582" spans="3:17" ht="12" customHeight="1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</row>
    <row r="583" spans="3:17" ht="12" customHeight="1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</row>
    <row r="584" spans="3:17" ht="12" customHeight="1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</row>
    <row r="585" spans="3:17" ht="12" customHeight="1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</row>
    <row r="586" spans="3:17" ht="12" customHeight="1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</row>
    <row r="587" spans="3:17" ht="12" customHeight="1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</row>
    <row r="588" spans="3:17" ht="12" customHeight="1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</row>
    <row r="589" spans="3:17" ht="12" customHeight="1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</row>
    <row r="590" spans="3:17" ht="12" customHeight="1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</row>
    <row r="591" spans="3:17" ht="12" customHeight="1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</row>
    <row r="592" spans="3:17" ht="12" customHeight="1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</row>
    <row r="593" spans="3:17" ht="12" customHeight="1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</row>
    <row r="594" spans="3:17" ht="12" customHeight="1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</row>
    <row r="595" spans="3:17" ht="12" customHeight="1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</row>
    <row r="596" spans="3:17" ht="12" customHeight="1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</row>
    <row r="597" spans="3:17" ht="12" customHeight="1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</row>
    <row r="598" spans="3:17" ht="12" customHeight="1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</row>
    <row r="599" spans="3:17" ht="12" customHeight="1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</row>
    <row r="600" spans="3:17" ht="12" customHeight="1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</row>
    <row r="601" spans="3:17" ht="12" customHeight="1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</row>
    <row r="602" spans="3:17" ht="12" customHeight="1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</row>
    <row r="603" spans="3:17" ht="12" customHeight="1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</row>
    <row r="604" spans="3:17" ht="12" customHeight="1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</row>
    <row r="605" spans="3:17" ht="12" customHeight="1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</row>
    <row r="606" spans="3:17" ht="12" customHeight="1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</row>
    <row r="607" spans="3:17" ht="12" customHeight="1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</row>
    <row r="608" spans="3:17" ht="12" customHeight="1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</row>
    <row r="609" spans="3:17" ht="12" customHeight="1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</row>
    <row r="610" spans="3:17" ht="12" customHeight="1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</row>
    <row r="611" spans="3:17" ht="12" customHeight="1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</row>
    <row r="612" spans="3:17" ht="12" customHeight="1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</row>
    <row r="613" spans="3:17" ht="12" customHeight="1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</row>
    <row r="614" spans="3:17" ht="12" customHeight="1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</row>
    <row r="615" spans="3:17" ht="12" customHeight="1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</row>
    <row r="616" spans="3:17" ht="12" customHeight="1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</row>
    <row r="617" spans="3:17" ht="12" customHeight="1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</row>
    <row r="618" spans="3:17" ht="12" customHeight="1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</row>
    <row r="619" spans="3:17" ht="12" customHeight="1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</row>
    <row r="620" spans="3:17" ht="12" customHeight="1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</row>
    <row r="621" spans="3:17" ht="12" customHeight="1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</row>
    <row r="622" spans="3:17" ht="12" customHeight="1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</row>
    <row r="623" spans="3:17" ht="12" customHeight="1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</row>
    <row r="624" spans="3:17" ht="12" customHeight="1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559"/>
  <sheetViews>
    <sheetView showGridLines="0" topLeftCell="A22" workbookViewId="0">
      <selection activeCell="E40" sqref="E40"/>
    </sheetView>
  </sheetViews>
  <sheetFormatPr defaultRowHeight="11.25"/>
  <cols>
    <col min="1" max="1" width="9" style="1"/>
    <col min="2" max="2" width="14.5" style="1" customWidth="1"/>
    <col min="3" max="3" width="7.625" style="1" customWidth="1"/>
    <col min="4" max="4" width="7.625" style="116" customWidth="1"/>
    <col min="5" max="5" width="7.625" style="1" customWidth="1"/>
    <col min="6" max="6" width="7.625" style="116" customWidth="1"/>
    <col min="7" max="7" width="6.625" style="1" customWidth="1"/>
    <col min="8" max="8" width="6.625" style="116" customWidth="1"/>
    <col min="9" max="9" width="6.625" style="1" customWidth="1"/>
    <col min="10" max="10" width="6.625" style="116" customWidth="1"/>
    <col min="11" max="12" width="9" style="1"/>
    <col min="13" max="22" width="14.125" style="110" customWidth="1"/>
    <col min="23" max="16384" width="9" style="1"/>
  </cols>
  <sheetData>
    <row r="2" spans="2:18">
      <c r="C2" s="450">
        <v>528569510350</v>
      </c>
      <c r="D2" s="451">
        <v>547732601421</v>
      </c>
      <c r="E2" s="451">
        <v>572147161663</v>
      </c>
      <c r="F2" s="452">
        <v>295793979100</v>
      </c>
      <c r="H2" s="1"/>
      <c r="J2" s="1"/>
    </row>
    <row r="3" spans="2:18" ht="11.25" customHeight="1"/>
    <row r="4" spans="2:18" ht="19.5" customHeight="1">
      <c r="B4" s="123" t="s">
        <v>76</v>
      </c>
      <c r="C4" s="124"/>
      <c r="D4" s="124"/>
      <c r="E4" s="124"/>
      <c r="F4" s="124"/>
      <c r="G4" s="125"/>
      <c r="H4" s="125"/>
      <c r="I4" s="125"/>
      <c r="J4" s="129"/>
    </row>
    <row r="5" spans="2:18" ht="12" customHeight="1">
      <c r="B5" s="126"/>
      <c r="C5" s="127" t="s">
        <v>77</v>
      </c>
      <c r="D5" s="127" t="s">
        <v>78</v>
      </c>
      <c r="E5" s="127" t="s">
        <v>79</v>
      </c>
      <c r="F5" s="42" t="s">
        <v>80</v>
      </c>
      <c r="G5" s="128"/>
      <c r="H5" s="128"/>
      <c r="I5" s="128"/>
      <c r="J5" s="130"/>
      <c r="M5" s="111" t="s">
        <v>81</v>
      </c>
      <c r="N5" s="112" t="s">
        <v>82</v>
      </c>
      <c r="O5" s="112" t="s">
        <v>25</v>
      </c>
      <c r="P5" s="112" t="s">
        <v>26</v>
      </c>
      <c r="Q5" s="112" t="s">
        <v>27</v>
      </c>
      <c r="R5" s="112" t="s">
        <v>28</v>
      </c>
    </row>
    <row r="6" spans="2:18" ht="12" customHeight="1">
      <c r="B6" s="13" t="s">
        <v>83</v>
      </c>
      <c r="C6" s="14" t="s">
        <v>84</v>
      </c>
      <c r="D6" s="14" t="s">
        <v>84</v>
      </c>
      <c r="E6" s="14" t="s">
        <v>84</v>
      </c>
      <c r="F6" s="14" t="s">
        <v>85</v>
      </c>
      <c r="G6" s="117" t="s">
        <v>86</v>
      </c>
      <c r="H6" s="117" t="s">
        <v>86</v>
      </c>
      <c r="I6" s="117" t="s">
        <v>86</v>
      </c>
      <c r="J6" s="131" t="s">
        <v>86</v>
      </c>
      <c r="M6" s="111" t="s">
        <v>87</v>
      </c>
      <c r="N6" s="112" t="s">
        <v>88</v>
      </c>
      <c r="O6" s="112">
        <v>5508709041</v>
      </c>
      <c r="P6" s="110">
        <v>8515581627</v>
      </c>
      <c r="Q6" s="110">
        <v>7889004607</v>
      </c>
      <c r="R6" s="110">
        <v>3818383504</v>
      </c>
    </row>
    <row r="7" spans="2:18" ht="12" customHeight="1">
      <c r="B7" s="65" t="s">
        <v>89</v>
      </c>
      <c r="C7" s="114">
        <f>O7</f>
        <v>226488492053</v>
      </c>
      <c r="D7" s="114">
        <f>P7</f>
        <v>222456007150</v>
      </c>
      <c r="E7" s="114">
        <f>Q7</f>
        <v>233803514273</v>
      </c>
      <c r="F7" s="114">
        <f>R7</f>
        <v>120412738599</v>
      </c>
      <c r="G7" s="118">
        <f>C7/C$14</f>
        <v>0.42849329675301806</v>
      </c>
      <c r="H7" s="118">
        <f>D7/D$14</f>
        <v>0.40613979626714813</v>
      </c>
      <c r="I7" s="118">
        <f>E7/E$14</f>
        <v>0.40864226887611904</v>
      </c>
      <c r="J7" s="132">
        <f>F7/F$14</f>
        <v>0.40708312916096134</v>
      </c>
      <c r="M7" s="111" t="s">
        <v>90</v>
      </c>
      <c r="N7" s="112" t="s">
        <v>91</v>
      </c>
      <c r="O7" s="112">
        <v>226488492053</v>
      </c>
      <c r="P7" s="110">
        <v>222456007150</v>
      </c>
      <c r="Q7" s="110">
        <v>233803514273</v>
      </c>
      <c r="R7" s="113">
        <v>120412738599</v>
      </c>
    </row>
    <row r="8" spans="2:18" ht="12" customHeight="1">
      <c r="B8" s="66" t="s">
        <v>92</v>
      </c>
      <c r="C8" s="115">
        <f>O8</f>
        <v>101397360511</v>
      </c>
      <c r="D8" s="115">
        <f>P8</f>
        <v>106029502497</v>
      </c>
      <c r="E8" s="115">
        <f>Q8</f>
        <v>101560396568</v>
      </c>
      <c r="F8" s="115">
        <f>R8</f>
        <v>57320939655</v>
      </c>
      <c r="G8" s="119">
        <f>C8/C$14</f>
        <v>0.1918335403868798</v>
      </c>
      <c r="H8" s="119">
        <f>D8/D$14</f>
        <v>0.19357895115595514</v>
      </c>
      <c r="I8" s="119">
        <f>E8/E$14</f>
        <v>0.17750747250550902</v>
      </c>
      <c r="J8" s="133">
        <f>F8/F$14</f>
        <v>0.19378670191126957</v>
      </c>
      <c r="M8" s="111" t="s">
        <v>93</v>
      </c>
      <c r="N8" s="112" t="s">
        <v>94</v>
      </c>
      <c r="O8" s="112">
        <v>101397360511</v>
      </c>
      <c r="P8" s="110">
        <v>106029502497</v>
      </c>
      <c r="Q8" s="110">
        <v>101560396568</v>
      </c>
      <c r="R8" s="113">
        <v>57320939655</v>
      </c>
    </row>
    <row r="9" spans="2:18" ht="12" customHeight="1">
      <c r="B9" s="66" t="s">
        <v>95</v>
      </c>
      <c r="C9" s="115">
        <f>O14</f>
        <v>25674509505</v>
      </c>
      <c r="D9" s="115">
        <f>P14</f>
        <v>33050176061</v>
      </c>
      <c r="E9" s="115">
        <f>Q14</f>
        <v>35291477347</v>
      </c>
      <c r="F9" s="115">
        <f>R14</f>
        <v>14856051259</v>
      </c>
      <c r="G9" s="119">
        <f>C9/C$14</f>
        <v>4.8573572637587908E-2</v>
      </c>
      <c r="H9" s="119">
        <f>D9/D$14</f>
        <v>6.0339983370091325E-2</v>
      </c>
      <c r="I9" s="119">
        <f>E9/E$14</f>
        <v>6.168251756142943E-2</v>
      </c>
      <c r="J9" s="133">
        <f>F9/F$14</f>
        <v>5.0224319319148711E-2</v>
      </c>
      <c r="M9" s="111" t="s">
        <v>96</v>
      </c>
      <c r="N9" s="112" t="s">
        <v>97</v>
      </c>
      <c r="O9" s="112">
        <v>43177739121</v>
      </c>
      <c r="P9" s="110">
        <v>37811431903</v>
      </c>
      <c r="Q9" s="110">
        <v>26440528829</v>
      </c>
      <c r="R9" s="113">
        <v>10665394980</v>
      </c>
    </row>
    <row r="10" spans="2:18" ht="12" customHeight="1">
      <c r="B10" s="66" t="s">
        <v>98</v>
      </c>
      <c r="C10" s="115">
        <f>O9</f>
        <v>43177739121</v>
      </c>
      <c r="D10" s="115">
        <f>P9</f>
        <v>37811431903</v>
      </c>
      <c r="E10" s="115">
        <f>Q9</f>
        <v>26440528829</v>
      </c>
      <c r="F10" s="115">
        <f>R9</f>
        <v>10665394980</v>
      </c>
      <c r="G10" s="119">
        <f>C10/C$14</f>
        <v>8.1687911004191732E-2</v>
      </c>
      <c r="H10" s="119">
        <f>D10/D$14</f>
        <v>6.9032648056560092E-2</v>
      </c>
      <c r="I10" s="119">
        <f>E10/E$14</f>
        <v>4.6212811319640376E-2</v>
      </c>
      <c r="J10" s="133">
        <f>F10/F$14</f>
        <v>3.6056835952006705E-2</v>
      </c>
      <c r="M10" s="111" t="s">
        <v>99</v>
      </c>
      <c r="N10" s="112" t="s">
        <v>100</v>
      </c>
      <c r="O10" s="112">
        <v>8913209537</v>
      </c>
      <c r="P10" s="110">
        <v>10060946758</v>
      </c>
      <c r="Q10" s="110">
        <v>9667059616</v>
      </c>
      <c r="R10" s="110">
        <v>3854875318</v>
      </c>
    </row>
    <row r="11" spans="2:18" ht="12" customHeight="1">
      <c r="B11" s="66" t="s">
        <v>101</v>
      </c>
      <c r="C11" s="115">
        <f>O15</f>
        <v>20877198322</v>
      </c>
      <c r="D11" s="115">
        <f>P15</f>
        <v>18215477625</v>
      </c>
      <c r="E11" s="115">
        <f>Q15</f>
        <v>18362214442</v>
      </c>
      <c r="F11" s="115">
        <f>R15</f>
        <v>7457215514</v>
      </c>
      <c r="G11" s="119">
        <f>C11/C$14</f>
        <v>3.9497545570072436E-2</v>
      </c>
      <c r="H11" s="119">
        <f>D11/D$14</f>
        <v>3.325615013191293E-2</v>
      </c>
      <c r="I11" s="119">
        <f>E11/E$14</f>
        <v>3.2093516620144515E-2</v>
      </c>
      <c r="J11" s="133">
        <f>F11/F$14</f>
        <v>2.5210842819349329E-2</v>
      </c>
      <c r="M11" s="111" t="s">
        <v>102</v>
      </c>
      <c r="N11" s="112" t="s">
        <v>103</v>
      </c>
      <c r="O11" s="112">
        <v>21975881814</v>
      </c>
      <c r="P11" s="110">
        <v>18956356779</v>
      </c>
      <c r="Q11" s="110">
        <v>16396205041</v>
      </c>
      <c r="R11" s="113">
        <v>8739604405</v>
      </c>
    </row>
    <row r="12" spans="2:18" ht="12" customHeight="1">
      <c r="B12" s="66" t="s">
        <v>104</v>
      </c>
      <c r="C12" s="115">
        <f>O11</f>
        <v>21975881814</v>
      </c>
      <c r="D12" s="115">
        <f>P11</f>
        <v>18956356779</v>
      </c>
      <c r="E12" s="115">
        <f>Q11</f>
        <v>16396205041</v>
      </c>
      <c r="F12" s="115">
        <f>R11</f>
        <v>8739604405</v>
      </c>
      <c r="G12" s="119">
        <f>C12/C$14</f>
        <v>4.1576143503715052E-2</v>
      </c>
      <c r="H12" s="119">
        <f>D12/D$14</f>
        <v>3.4608779411378701E-2</v>
      </c>
      <c r="I12" s="119">
        <f>E12/E$14</f>
        <v>2.8657321297099289E-2</v>
      </c>
      <c r="J12" s="133">
        <f>F12/F$14</f>
        <v>2.954625524018991E-2</v>
      </c>
      <c r="M12" s="111" t="s">
        <v>105</v>
      </c>
      <c r="N12" s="112" t="s">
        <v>106</v>
      </c>
      <c r="O12" s="112">
        <v>54615984</v>
      </c>
      <c r="P12" s="110">
        <v>225730475</v>
      </c>
      <c r="Q12" s="110">
        <v>1394124046</v>
      </c>
      <c r="R12" s="110">
        <v>1368333135</v>
      </c>
    </row>
    <row r="13" spans="2:18" ht="12" customHeight="1">
      <c r="B13" s="134" t="s">
        <v>34</v>
      </c>
      <c r="C13" s="135">
        <f>C2-SUM(C7:C12)</f>
        <v>88978329024</v>
      </c>
      <c r="D13" s="135">
        <f>D2-SUM(D7:D12)</f>
        <v>111213649406</v>
      </c>
      <c r="E13" s="135">
        <f>E2-SUM(E7:E12)</f>
        <v>140292825163</v>
      </c>
      <c r="F13" s="135">
        <f>F2-SUM(F7:F12)</f>
        <v>76342034688</v>
      </c>
      <c r="G13" s="120">
        <f>C13/C$14</f>
        <v>0.16833799014453502</v>
      </c>
      <c r="H13" s="120">
        <f>D13/D$14</f>
        <v>0.20304369160695368</v>
      </c>
      <c r="I13" s="120">
        <f>E13/E$14</f>
        <v>0.24520409182005831</v>
      </c>
      <c r="J13" s="136">
        <f>F13/F$14</f>
        <v>0.25809191559707445</v>
      </c>
      <c r="M13" s="111" t="s">
        <v>107</v>
      </c>
      <c r="N13" s="112" t="s">
        <v>108</v>
      </c>
      <c r="O13" s="112">
        <v>7494278474</v>
      </c>
      <c r="P13" s="110">
        <v>12459329255</v>
      </c>
      <c r="Q13" s="110">
        <v>16620300913</v>
      </c>
      <c r="R13" s="110">
        <v>13568488058</v>
      </c>
    </row>
    <row r="14" spans="2:18" ht="12" customHeight="1" thickBot="1">
      <c r="B14" s="19" t="s">
        <v>35</v>
      </c>
      <c r="C14" s="25">
        <f>SUM(C7:C13)</f>
        <v>528569510350</v>
      </c>
      <c r="D14" s="25">
        <f>SUM(D7:D13)</f>
        <v>547732601421</v>
      </c>
      <c r="E14" s="25">
        <f>SUM(E7:E13)</f>
        <v>572147161663</v>
      </c>
      <c r="F14" s="25">
        <f>SUM(F7:F13)</f>
        <v>295793979100</v>
      </c>
      <c r="G14" s="448">
        <f>C14/C$14</f>
        <v>1</v>
      </c>
      <c r="H14" s="448">
        <f>D14/D$14</f>
        <v>1</v>
      </c>
      <c r="I14" s="448">
        <f>E14/E$14</f>
        <v>1</v>
      </c>
      <c r="J14" s="449">
        <f>F14/F$14</f>
        <v>1</v>
      </c>
      <c r="M14" s="111" t="s">
        <v>109</v>
      </c>
      <c r="N14" s="112" t="s">
        <v>110</v>
      </c>
      <c r="O14" s="112">
        <v>25674509505</v>
      </c>
      <c r="P14" s="110">
        <v>33050176061</v>
      </c>
      <c r="Q14" s="110">
        <v>35291477347</v>
      </c>
      <c r="R14" s="113">
        <v>14856051259</v>
      </c>
    </row>
    <row r="15" spans="2:18" ht="12" customHeight="1">
      <c r="B15" s="137" t="s">
        <v>111</v>
      </c>
      <c r="C15" s="330">
        <v>47882786926</v>
      </c>
      <c r="D15" s="330">
        <v>65477299522</v>
      </c>
      <c r="E15" s="330">
        <v>82321303895</v>
      </c>
      <c r="F15" s="330">
        <v>42919585413</v>
      </c>
      <c r="M15" s="111" t="s">
        <v>112</v>
      </c>
      <c r="N15" s="112" t="s">
        <v>113</v>
      </c>
      <c r="O15" s="112">
        <v>20877198322</v>
      </c>
      <c r="P15" s="110">
        <v>18215477625</v>
      </c>
      <c r="Q15" s="110">
        <v>18362214442</v>
      </c>
      <c r="R15" s="113">
        <v>7457215514</v>
      </c>
    </row>
    <row r="16" spans="2:18" ht="12" customHeight="1">
      <c r="M16" s="111" t="s">
        <v>114</v>
      </c>
      <c r="N16" s="112" t="s">
        <v>115</v>
      </c>
      <c r="O16" s="112">
        <v>0</v>
      </c>
      <c r="P16" s="110">
        <v>0</v>
      </c>
      <c r="Q16" s="110">
        <v>0</v>
      </c>
      <c r="R16" s="110">
        <v>0</v>
      </c>
    </row>
    <row r="17" spans="2:18" ht="12" customHeight="1">
      <c r="B17" s="1" t="s">
        <v>116</v>
      </c>
      <c r="E17" s="27">
        <f>D7-C7</f>
        <v>-4032484903</v>
      </c>
      <c r="G17" s="27">
        <f>E7-D7</f>
        <v>11347507123</v>
      </c>
      <c r="M17" s="111" t="s">
        <v>117</v>
      </c>
      <c r="N17" s="112" t="s">
        <v>118</v>
      </c>
      <c r="O17" s="112">
        <v>11622326291</v>
      </c>
      <c r="P17" s="110">
        <v>10095662285</v>
      </c>
      <c r="Q17" s="110">
        <v>9417488639</v>
      </c>
      <c r="R17" s="110">
        <v>3998207341</v>
      </c>
    </row>
    <row r="18" spans="2:18" ht="12" customHeight="1">
      <c r="E18" s="27">
        <f>D8-C8</f>
        <v>4632141986</v>
      </c>
      <c r="G18" s="27">
        <f>E8-D8</f>
        <v>-4469105929</v>
      </c>
      <c r="H18" s="121"/>
      <c r="I18" s="49"/>
      <c r="J18" s="121"/>
      <c r="M18" s="111" t="s">
        <v>119</v>
      </c>
      <c r="N18" s="112" t="s">
        <v>120</v>
      </c>
      <c r="O18" s="112">
        <v>181832467</v>
      </c>
      <c r="P18" s="110">
        <v>80618767</v>
      </c>
      <c r="Q18" s="110">
        <v>5953486055</v>
      </c>
      <c r="R18" s="110">
        <v>4419342035</v>
      </c>
    </row>
    <row r="19" spans="2:18" ht="12" customHeight="1">
      <c r="B19" s="1" t="s">
        <v>121</v>
      </c>
      <c r="C19" s="142">
        <f>SUM(C7:C8)/C14</f>
        <v>0.62032683713989789</v>
      </c>
      <c r="D19" s="427"/>
      <c r="E19" s="142">
        <f>SUM(D7:D8)/D14</f>
        <v>0.59971874742310327</v>
      </c>
      <c r="F19" s="427"/>
      <c r="G19" s="142">
        <f>SUM(E7:E8)/E14</f>
        <v>0.58614974138162812</v>
      </c>
      <c r="H19" s="427"/>
      <c r="I19" s="142">
        <f>SUM(F7:F8)/F14</f>
        <v>0.60086983107223091</v>
      </c>
      <c r="J19" s="121"/>
      <c r="M19" s="111" t="s">
        <v>122</v>
      </c>
      <c r="N19" s="112" t="s">
        <v>123</v>
      </c>
      <c r="O19" s="112">
        <v>785686165</v>
      </c>
      <c r="P19" s="110">
        <v>675826348</v>
      </c>
      <c r="Q19" s="110">
        <v>481012856</v>
      </c>
      <c r="R19" s="110">
        <v>0</v>
      </c>
    </row>
    <row r="20" spans="2:18" ht="12" customHeight="1">
      <c r="C20" s="49"/>
      <c r="D20" s="121"/>
      <c r="E20" s="49"/>
      <c r="F20" s="121"/>
      <c r="G20" s="49"/>
      <c r="H20" s="121"/>
      <c r="I20" s="49"/>
      <c r="J20" s="121"/>
      <c r="M20" s="111" t="s">
        <v>124</v>
      </c>
      <c r="N20" s="112" t="s">
        <v>125</v>
      </c>
      <c r="O20" s="112">
        <v>214501753</v>
      </c>
      <c r="P20" s="110">
        <v>78442109</v>
      </c>
      <c r="Q20" s="110">
        <v>-32582079</v>
      </c>
      <c r="R20" s="110">
        <v>299215434</v>
      </c>
    </row>
    <row r="21" spans="2:18" ht="12" customHeight="1">
      <c r="C21" s="49"/>
      <c r="D21" s="121"/>
      <c r="E21" s="49"/>
      <c r="F21" s="121"/>
      <c r="G21" s="49"/>
      <c r="H21" s="121"/>
      <c r="I21" s="49"/>
      <c r="J21" s="121"/>
      <c r="M21" s="111" t="s">
        <v>126</v>
      </c>
      <c r="N21" s="112" t="s">
        <v>127</v>
      </c>
      <c r="O21" s="112">
        <v>47882786926</v>
      </c>
      <c r="P21" s="110">
        <v>65477299522</v>
      </c>
      <c r="Q21" s="110">
        <v>82321303895</v>
      </c>
      <c r="R21" s="110">
        <v>42919585413</v>
      </c>
    </row>
    <row r="22" spans="2:18" ht="12" customHeight="1">
      <c r="M22" s="111" t="s">
        <v>128</v>
      </c>
      <c r="N22" s="112" t="s">
        <v>129</v>
      </c>
      <c r="O22" s="112">
        <v>4851180024</v>
      </c>
      <c r="P22" s="110">
        <v>1390418920</v>
      </c>
      <c r="Q22" s="110">
        <v>1932487888</v>
      </c>
      <c r="R22" s="110">
        <v>637966130</v>
      </c>
    </row>
    <row r="23" spans="2:18" ht="12" customHeight="1">
      <c r="M23" s="111" t="s">
        <v>130</v>
      </c>
      <c r="N23" s="112" t="s">
        <v>131</v>
      </c>
      <c r="O23" s="112">
        <v>2538331</v>
      </c>
      <c r="Q23" s="110">
        <v>0</v>
      </c>
      <c r="R23" s="110">
        <v>0</v>
      </c>
    </row>
    <row r="24" spans="2:18" ht="12" customHeight="1">
      <c r="M24" s="111"/>
      <c r="N24" s="112" t="s">
        <v>132</v>
      </c>
      <c r="O24" s="112">
        <v>1466664031</v>
      </c>
      <c r="P24" s="110">
        <v>2153793340</v>
      </c>
      <c r="Q24" s="110">
        <v>4649138727</v>
      </c>
      <c r="R24" s="110">
        <v>1457638320</v>
      </c>
    </row>
    <row r="25" spans="2:18">
      <c r="C25" s="49"/>
      <c r="D25" s="121"/>
      <c r="E25" s="49"/>
      <c r="F25" s="121"/>
      <c r="G25" s="49"/>
      <c r="H25" s="121"/>
      <c r="I25" s="49"/>
      <c r="J25" s="121"/>
      <c r="M25" s="111" t="s">
        <v>133</v>
      </c>
      <c r="N25" s="112"/>
      <c r="O25" s="112">
        <v>528569510350</v>
      </c>
      <c r="P25" s="110">
        <v>547732601421</v>
      </c>
      <c r="Q25" s="110">
        <v>572147161663</v>
      </c>
      <c r="R25" s="110">
        <v>295793979100</v>
      </c>
    </row>
    <row r="26" spans="2:18">
      <c r="C26" s="49"/>
      <c r="D26" s="121"/>
      <c r="E26" s="49"/>
      <c r="F26" s="121"/>
      <c r="G26" s="49"/>
      <c r="H26" s="121"/>
      <c r="I26" s="49"/>
      <c r="J26" s="121"/>
    </row>
    <row r="27" spans="2:18" ht="19.5" customHeight="1">
      <c r="B27" s="123" t="s">
        <v>134</v>
      </c>
      <c r="C27" s="124"/>
      <c r="D27" s="124"/>
      <c r="E27" s="124"/>
      <c r="F27" s="124"/>
      <c r="G27" s="125"/>
      <c r="H27" s="125"/>
      <c r="I27" s="125"/>
      <c r="J27" s="129"/>
    </row>
    <row r="28" spans="2:18">
      <c r="B28" s="126"/>
      <c r="C28" s="127" t="s">
        <v>77</v>
      </c>
      <c r="D28" s="127" t="s">
        <v>78</v>
      </c>
      <c r="E28" s="127" t="s">
        <v>79</v>
      </c>
      <c r="F28" s="42" t="s">
        <v>80</v>
      </c>
      <c r="G28" s="128"/>
      <c r="H28" s="128"/>
      <c r="I28" s="128"/>
      <c r="J28" s="130"/>
    </row>
    <row r="29" spans="2:18">
      <c r="B29" s="13" t="s">
        <v>83</v>
      </c>
      <c r="C29" s="14" t="s">
        <v>84</v>
      </c>
      <c r="D29" s="14" t="s">
        <v>84</v>
      </c>
      <c r="E29" s="14" t="s">
        <v>84</v>
      </c>
      <c r="F29" s="14" t="s">
        <v>85</v>
      </c>
      <c r="G29" s="117" t="s">
        <v>86</v>
      </c>
      <c r="H29" s="117" t="s">
        <v>86</v>
      </c>
      <c r="I29" s="117" t="s">
        <v>86</v>
      </c>
      <c r="J29" s="131" t="s">
        <v>86</v>
      </c>
      <c r="N29" s="1"/>
      <c r="O29" s="49" t="s">
        <v>135</v>
      </c>
      <c r="P29" s="49" t="s">
        <v>136</v>
      </c>
      <c r="Q29" s="49" t="s">
        <v>137</v>
      </c>
      <c r="R29" s="49" t="s">
        <v>138</v>
      </c>
    </row>
    <row r="30" spans="2:18">
      <c r="B30" s="65" t="s">
        <v>89</v>
      </c>
      <c r="C30" s="114">
        <v>226488492053</v>
      </c>
      <c r="D30" s="114">
        <v>222456007150</v>
      </c>
      <c r="E30" s="114">
        <v>232291258213</v>
      </c>
      <c r="F30" s="114">
        <v>119407969167</v>
      </c>
      <c r="G30" s="118">
        <f>C30/C$37</f>
        <v>0.43610450310611315</v>
      </c>
      <c r="H30" s="118">
        <f t="shared" ref="H30:H37" si="0">D30/D$37</f>
        <v>0.42070219151742005</v>
      </c>
      <c r="I30" s="118">
        <f t="shared" ref="I30:I37" si="1">E30/E$37</f>
        <v>0.43324073121481105</v>
      </c>
      <c r="J30" s="132">
        <f t="shared" ref="J30:J37" si="2">F30/F$37</f>
        <v>0.42766794677799264</v>
      </c>
      <c r="N30" s="1" t="s">
        <v>91</v>
      </c>
      <c r="O30" s="49">
        <v>226488492053</v>
      </c>
      <c r="P30" s="49">
        <v>222456007150</v>
      </c>
      <c r="Q30" s="49">
        <v>233803514273</v>
      </c>
      <c r="R30" s="49">
        <v>120412738599</v>
      </c>
    </row>
    <row r="31" spans="2:18">
      <c r="B31" s="66" t="s">
        <v>92</v>
      </c>
      <c r="C31" s="115">
        <v>101397364194</v>
      </c>
      <c r="D31" s="115">
        <v>106029502497</v>
      </c>
      <c r="E31" s="115">
        <v>101560396568</v>
      </c>
      <c r="F31" s="115">
        <v>57320939655</v>
      </c>
      <c r="G31" s="119">
        <f t="shared" ref="G31:G37" si="3">C31/C$37</f>
        <v>0.1952410328986878</v>
      </c>
      <c r="H31" s="119">
        <f t="shared" si="0"/>
        <v>0.20051984496832079</v>
      </c>
      <c r="I31" s="119">
        <f t="shared" si="1"/>
        <v>0.18941780594791266</v>
      </c>
      <c r="J31" s="133">
        <f t="shared" si="2"/>
        <v>0.20529893222917261</v>
      </c>
      <c r="N31" s="1" t="s">
        <v>94</v>
      </c>
      <c r="O31" s="49">
        <v>101397360511</v>
      </c>
      <c r="P31" s="49">
        <v>106029502497</v>
      </c>
      <c r="Q31" s="49">
        <v>101560396568</v>
      </c>
      <c r="R31" s="49">
        <v>57320939655</v>
      </c>
    </row>
    <row r="32" spans="2:18">
      <c r="B32" s="66" t="s">
        <v>98</v>
      </c>
      <c r="C32" s="115">
        <v>43177739121</v>
      </c>
      <c r="D32" s="115">
        <v>37811431903</v>
      </c>
      <c r="E32" s="115">
        <v>26440528829</v>
      </c>
      <c r="F32" s="115">
        <v>10665394980</v>
      </c>
      <c r="G32" s="119">
        <f t="shared" si="3"/>
        <v>8.3138910475869673E-2</v>
      </c>
      <c r="H32" s="119">
        <f t="shared" si="0"/>
        <v>7.1507856631075881E-2</v>
      </c>
      <c r="I32" s="119">
        <f t="shared" si="1"/>
        <v>4.9313582145559948E-2</v>
      </c>
      <c r="J32" s="133">
        <f t="shared" si="2"/>
        <v>3.8198853933222005E-2</v>
      </c>
      <c r="N32" s="1" t="s">
        <v>110</v>
      </c>
      <c r="O32" s="49">
        <v>25674509505</v>
      </c>
      <c r="P32" s="49">
        <v>33050176061</v>
      </c>
      <c r="Q32" s="49">
        <v>35291477347</v>
      </c>
      <c r="R32" s="49">
        <v>14856051259</v>
      </c>
    </row>
    <row r="33" spans="2:18">
      <c r="B33" s="66" t="s">
        <v>95</v>
      </c>
      <c r="C33" s="115">
        <v>25674509505</v>
      </c>
      <c r="D33" s="115">
        <v>33050176061</v>
      </c>
      <c r="E33" s="115">
        <v>35291477347</v>
      </c>
      <c r="F33" s="115">
        <v>14856051259</v>
      </c>
      <c r="G33" s="119">
        <f t="shared" si="3"/>
        <v>4.9436371396525861E-2</v>
      </c>
      <c r="H33" s="119">
        <f t="shared" si="0"/>
        <v>6.2503511040381779E-2</v>
      </c>
      <c r="I33" s="119">
        <f t="shared" si="1"/>
        <v>6.5821269250887132E-2</v>
      </c>
      <c r="J33" s="133">
        <f t="shared" si="2"/>
        <v>5.3207980870015548E-2</v>
      </c>
      <c r="N33" s="1" t="s">
        <v>97</v>
      </c>
      <c r="O33" s="49">
        <v>43177739121</v>
      </c>
      <c r="P33" s="49">
        <v>37811431903</v>
      </c>
      <c r="Q33" s="49">
        <v>26440528829</v>
      </c>
      <c r="R33" s="49">
        <v>10665394980</v>
      </c>
    </row>
    <row r="34" spans="2:18">
      <c r="B34" s="66" t="s">
        <v>101</v>
      </c>
      <c r="C34" s="115">
        <v>20877198322</v>
      </c>
      <c r="D34" s="115">
        <v>18215477625</v>
      </c>
      <c r="E34" s="115">
        <v>18362214442</v>
      </c>
      <c r="F34" s="115">
        <v>7457215514</v>
      </c>
      <c r="G34" s="119">
        <f t="shared" si="3"/>
        <v>4.0199129403594755E-2</v>
      </c>
      <c r="H34" s="119">
        <f t="shared" si="0"/>
        <v>3.444857009955566E-2</v>
      </c>
      <c r="I34" s="119">
        <f t="shared" si="1"/>
        <v>3.4246916017307248E-2</v>
      </c>
      <c r="J34" s="133">
        <f t="shared" si="2"/>
        <v>2.6708536036594403E-2</v>
      </c>
      <c r="N34" s="1" t="s">
        <v>113</v>
      </c>
      <c r="O34" s="49">
        <v>20877198322</v>
      </c>
      <c r="P34" s="49">
        <v>18215477625</v>
      </c>
      <c r="Q34" s="49">
        <v>18362214442</v>
      </c>
      <c r="R34" s="49">
        <v>7457215514</v>
      </c>
    </row>
    <row r="35" spans="2:18">
      <c r="B35" s="66" t="s">
        <v>104</v>
      </c>
      <c r="C35" s="115">
        <v>21975881814</v>
      </c>
      <c r="D35" s="115">
        <v>18956356779</v>
      </c>
      <c r="E35" s="115">
        <v>16396205041</v>
      </c>
      <c r="F35" s="115">
        <v>8739604405</v>
      </c>
      <c r="G35" s="119">
        <f t="shared" si="3"/>
        <v>4.2314648889844972E-2</v>
      </c>
      <c r="H35" s="119">
        <f t="shared" si="0"/>
        <v>3.5849698743958602E-2</v>
      </c>
      <c r="I35" s="119">
        <f t="shared" si="1"/>
        <v>3.0580160079021299E-2</v>
      </c>
      <c r="J35" s="133">
        <f t="shared" si="2"/>
        <v>3.1301501043962142E-2</v>
      </c>
      <c r="N35" s="1" t="s">
        <v>103</v>
      </c>
      <c r="O35" s="49">
        <v>21975881814</v>
      </c>
      <c r="P35" s="49">
        <v>18956356779</v>
      </c>
      <c r="Q35" s="49">
        <v>16396205041</v>
      </c>
      <c r="R35" s="49">
        <v>8739604405</v>
      </c>
    </row>
    <row r="36" spans="2:18">
      <c r="B36" s="134" t="s">
        <v>34</v>
      </c>
      <c r="C36" s="135">
        <f>C37-SUM(C30:C35)</f>
        <v>79753353834</v>
      </c>
      <c r="D36" s="135">
        <f t="shared" ref="D36:F36" si="4">D37-SUM(D30:D35)</f>
        <v>92254160261</v>
      </c>
      <c r="E36" s="135">
        <f t="shared" si="4"/>
        <v>105829247592</v>
      </c>
      <c r="F36" s="135">
        <f t="shared" si="4"/>
        <v>60760023190</v>
      </c>
      <c r="G36" s="120">
        <f t="shared" si="3"/>
        <v>0.15356540382936379</v>
      </c>
      <c r="H36" s="120">
        <f t="shared" si="0"/>
        <v>0.17446832699928724</v>
      </c>
      <c r="I36" s="120">
        <f t="shared" si="1"/>
        <v>0.19737953534450065</v>
      </c>
      <c r="J36" s="136">
        <f t="shared" si="2"/>
        <v>0.21761624910904065</v>
      </c>
      <c r="N36" s="1" t="s">
        <v>139</v>
      </c>
      <c r="O36" s="49">
        <f>O25-SUM(O30:O35)</f>
        <v>88978329024</v>
      </c>
      <c r="P36" s="49">
        <f>P25-SUM(P30:P35)</f>
        <v>111213649406</v>
      </c>
      <c r="Q36" s="49">
        <f>Q25-SUM(Q30:Q35)</f>
        <v>140292825163</v>
      </c>
      <c r="R36" s="49">
        <f>R25-SUM(R30:R35)</f>
        <v>76342034688</v>
      </c>
    </row>
    <row r="37" spans="2:18" ht="12" thickBot="1">
      <c r="B37" s="19" t="s">
        <v>35</v>
      </c>
      <c r="C37" s="25">
        <v>519344538843</v>
      </c>
      <c r="D37" s="25">
        <v>528773112276</v>
      </c>
      <c r="E37" s="25">
        <v>536171328032</v>
      </c>
      <c r="F37" s="25">
        <v>279207198170</v>
      </c>
      <c r="G37" s="448">
        <f t="shared" si="3"/>
        <v>1</v>
      </c>
      <c r="H37" s="448">
        <f t="shared" si="0"/>
        <v>1</v>
      </c>
      <c r="I37" s="448">
        <f t="shared" si="1"/>
        <v>1</v>
      </c>
      <c r="J37" s="449">
        <f t="shared" si="2"/>
        <v>1</v>
      </c>
      <c r="N37" s="110" t="s">
        <v>140</v>
      </c>
      <c r="O37" s="40">
        <f>(O30+O31)/O40</f>
        <v>0.62032683713989789</v>
      </c>
      <c r="P37" s="40">
        <f>(P30+P31)/P40</f>
        <v>0.59971874742310327</v>
      </c>
      <c r="Q37" s="40">
        <f>(Q30+Q31)/Q40</f>
        <v>0.58614974138162812</v>
      </c>
      <c r="R37" s="40">
        <f>(R30+R31)/R40</f>
        <v>0.60086983107223091</v>
      </c>
    </row>
    <row r="38" spans="2:18">
      <c r="B38" s="137" t="s">
        <v>111</v>
      </c>
      <c r="C38" s="330">
        <v>40537018154</v>
      </c>
      <c r="D38" s="330">
        <v>48669974281</v>
      </c>
      <c r="E38" s="330">
        <v>52465265503</v>
      </c>
      <c r="F38" s="330">
        <v>28737903675</v>
      </c>
      <c r="G38" s="48"/>
      <c r="H38" s="122"/>
      <c r="I38" s="48"/>
      <c r="J38" s="122"/>
    </row>
    <row r="39" spans="2:18">
      <c r="C39" s="48"/>
      <c r="D39" s="122"/>
      <c r="E39" s="48"/>
      <c r="F39" s="122"/>
      <c r="G39" s="48"/>
      <c r="H39" s="122"/>
      <c r="I39" s="48"/>
      <c r="J39" s="122"/>
    </row>
    <row r="40" spans="2:18">
      <c r="C40" s="48"/>
      <c r="D40" s="122"/>
      <c r="E40" s="48"/>
      <c r="F40" s="122"/>
      <c r="G40" s="48"/>
      <c r="H40" s="122"/>
      <c r="I40" s="48"/>
      <c r="J40" s="122"/>
      <c r="N40" s="110" t="s">
        <v>35</v>
      </c>
      <c r="O40" s="49">
        <f>SUM(O30:O36)</f>
        <v>528569510350</v>
      </c>
      <c r="P40" s="49">
        <f>SUM(P30:P36)</f>
        <v>547732601421</v>
      </c>
      <c r="Q40" s="49">
        <f>SUM(Q30:Q36)</f>
        <v>572147161663</v>
      </c>
      <c r="R40" s="49">
        <f>SUM(R30:R36)</f>
        <v>295793979100</v>
      </c>
    </row>
    <row r="41" spans="2:18">
      <c r="C41" s="48"/>
      <c r="D41" s="122"/>
      <c r="E41" s="48"/>
      <c r="F41" s="122"/>
      <c r="G41" s="48"/>
      <c r="H41" s="122"/>
      <c r="I41" s="48"/>
      <c r="J41" s="122"/>
    </row>
    <row r="42" spans="2:18">
      <c r="C42" s="48"/>
      <c r="D42" s="122"/>
      <c r="E42" s="48"/>
      <c r="F42" s="122"/>
      <c r="G42" s="48"/>
      <c r="H42" s="122"/>
      <c r="I42" s="48"/>
      <c r="J42" s="122"/>
    </row>
    <row r="43" spans="2:18">
      <c r="C43" s="48"/>
      <c r="D43" s="122"/>
      <c r="E43" s="48"/>
      <c r="F43" s="122"/>
      <c r="G43" s="48"/>
      <c r="H43" s="122"/>
      <c r="I43" s="48"/>
      <c r="J43" s="122"/>
    </row>
    <row r="44" spans="2:18">
      <c r="C44" s="48"/>
      <c r="D44" s="122"/>
      <c r="E44" s="48"/>
      <c r="F44" s="122"/>
      <c r="G44" s="48"/>
      <c r="H44" s="122"/>
      <c r="I44" s="48"/>
      <c r="J44" s="122"/>
    </row>
    <row r="45" spans="2:18">
      <c r="C45" s="48"/>
      <c r="D45" s="122"/>
      <c r="E45" s="48"/>
      <c r="F45" s="122"/>
      <c r="G45" s="48"/>
      <c r="H45" s="122"/>
      <c r="I45" s="48"/>
      <c r="J45" s="122"/>
    </row>
    <row r="46" spans="2:18">
      <c r="C46" s="48"/>
      <c r="D46" s="122"/>
      <c r="E46" s="48"/>
      <c r="F46" s="122"/>
      <c r="G46" s="48"/>
      <c r="H46" s="122"/>
      <c r="I46" s="48"/>
      <c r="J46" s="122"/>
    </row>
    <row r="47" spans="2:18">
      <c r="C47" s="48"/>
      <c r="D47" s="122"/>
      <c r="E47" s="48"/>
      <c r="F47" s="122"/>
      <c r="G47" s="48"/>
      <c r="H47" s="122"/>
      <c r="I47" s="48"/>
      <c r="J47" s="122"/>
    </row>
    <row r="48" spans="2:18">
      <c r="C48" s="48"/>
      <c r="D48" s="122"/>
      <c r="E48" s="48"/>
      <c r="F48" s="122"/>
      <c r="G48" s="48"/>
      <c r="H48" s="122"/>
      <c r="I48" s="48"/>
      <c r="J48" s="122"/>
    </row>
    <row r="49" spans="3:10">
      <c r="C49" s="48"/>
      <c r="D49" s="122"/>
      <c r="E49" s="48"/>
      <c r="F49" s="122"/>
      <c r="G49" s="48"/>
      <c r="H49" s="122"/>
      <c r="I49" s="48"/>
      <c r="J49" s="122"/>
    </row>
    <row r="50" spans="3:10">
      <c r="C50" s="48"/>
      <c r="D50" s="122"/>
      <c r="E50" s="48"/>
      <c r="F50" s="122"/>
      <c r="G50" s="48"/>
      <c r="H50" s="122"/>
      <c r="I50" s="48"/>
      <c r="J50" s="122"/>
    </row>
    <row r="51" spans="3:10">
      <c r="C51" s="48"/>
      <c r="D51" s="122"/>
      <c r="E51" s="48"/>
      <c r="F51" s="122"/>
      <c r="G51" s="48"/>
      <c r="H51" s="122"/>
      <c r="I51" s="48"/>
      <c r="J51" s="122"/>
    </row>
    <row r="52" spans="3:10">
      <c r="C52" s="48"/>
      <c r="D52" s="122"/>
      <c r="E52" s="48"/>
      <c r="F52" s="122"/>
      <c r="G52" s="48"/>
      <c r="H52" s="122"/>
      <c r="I52" s="48"/>
      <c r="J52" s="122"/>
    </row>
    <row r="53" spans="3:10">
      <c r="C53" s="48"/>
      <c r="D53" s="122"/>
      <c r="E53" s="48"/>
      <c r="F53" s="122"/>
      <c r="G53" s="48"/>
      <c r="H53" s="122"/>
      <c r="I53" s="48"/>
      <c r="J53" s="122"/>
    </row>
    <row r="54" spans="3:10">
      <c r="C54" s="48"/>
      <c r="D54" s="122"/>
      <c r="E54" s="48"/>
      <c r="F54" s="122"/>
      <c r="G54" s="48"/>
      <c r="H54" s="122"/>
      <c r="I54" s="48"/>
      <c r="J54" s="122"/>
    </row>
    <row r="55" spans="3:10">
      <c r="C55" s="48"/>
      <c r="D55" s="122"/>
      <c r="E55" s="48"/>
      <c r="F55" s="122"/>
      <c r="G55" s="48"/>
      <c r="H55" s="122"/>
      <c r="I55" s="48"/>
      <c r="J55" s="122"/>
    </row>
    <row r="56" spans="3:10">
      <c r="C56" s="48"/>
      <c r="D56" s="122"/>
      <c r="E56" s="48"/>
      <c r="F56" s="122"/>
      <c r="G56" s="48"/>
      <c r="H56" s="122"/>
      <c r="I56" s="48"/>
      <c r="J56" s="122"/>
    </row>
    <row r="57" spans="3:10">
      <c r="C57" s="48"/>
      <c r="D57" s="122"/>
      <c r="E57" s="48"/>
      <c r="F57" s="122"/>
      <c r="G57" s="48"/>
      <c r="H57" s="122"/>
      <c r="I57" s="48"/>
      <c r="J57" s="122"/>
    </row>
    <row r="58" spans="3:10">
      <c r="C58" s="48"/>
      <c r="D58" s="122"/>
      <c r="E58" s="48"/>
      <c r="F58" s="122"/>
      <c r="G58" s="48"/>
      <c r="H58" s="122"/>
      <c r="I58" s="48"/>
      <c r="J58" s="122"/>
    </row>
    <row r="59" spans="3:10">
      <c r="C59" s="48"/>
      <c r="D59" s="122"/>
      <c r="E59" s="48"/>
      <c r="F59" s="122"/>
      <c r="G59" s="48"/>
      <c r="H59" s="122"/>
      <c r="I59" s="48"/>
      <c r="J59" s="122"/>
    </row>
    <row r="60" spans="3:10">
      <c r="C60" s="48"/>
      <c r="D60" s="122"/>
      <c r="E60" s="48"/>
      <c r="F60" s="122"/>
      <c r="G60" s="48"/>
      <c r="H60" s="122"/>
      <c r="I60" s="48"/>
      <c r="J60" s="122"/>
    </row>
    <row r="61" spans="3:10">
      <c r="C61" s="48"/>
      <c r="D61" s="122"/>
      <c r="E61" s="48"/>
      <c r="F61" s="122"/>
      <c r="G61" s="48"/>
      <c r="H61" s="122"/>
      <c r="I61" s="48"/>
      <c r="J61" s="122"/>
    </row>
    <row r="62" spans="3:10">
      <c r="C62" s="48"/>
      <c r="D62" s="122"/>
      <c r="E62" s="48"/>
      <c r="F62" s="122"/>
      <c r="G62" s="48"/>
      <c r="H62" s="122"/>
      <c r="I62" s="48"/>
      <c r="J62" s="122"/>
    </row>
    <row r="63" spans="3:10">
      <c r="C63" s="48"/>
      <c r="D63" s="122"/>
      <c r="E63" s="48"/>
      <c r="F63" s="122"/>
      <c r="G63" s="48"/>
      <c r="H63" s="122"/>
      <c r="I63" s="48"/>
      <c r="J63" s="122"/>
    </row>
    <row r="64" spans="3:10">
      <c r="C64" s="48"/>
      <c r="D64" s="122"/>
      <c r="E64" s="48"/>
      <c r="F64" s="122"/>
      <c r="G64" s="48"/>
      <c r="H64" s="122"/>
      <c r="I64" s="48"/>
      <c r="J64" s="122"/>
    </row>
    <row r="65" spans="3:10">
      <c r="C65" s="48"/>
      <c r="D65" s="122"/>
      <c r="E65" s="48"/>
      <c r="F65" s="122"/>
      <c r="G65" s="48"/>
      <c r="H65" s="122"/>
      <c r="I65" s="48"/>
      <c r="J65" s="122"/>
    </row>
    <row r="66" spans="3:10">
      <c r="C66" s="48"/>
      <c r="D66" s="122"/>
      <c r="E66" s="48"/>
      <c r="F66" s="122"/>
      <c r="G66" s="48"/>
      <c r="H66" s="122"/>
      <c r="I66" s="48"/>
      <c r="J66" s="122"/>
    </row>
    <row r="67" spans="3:10">
      <c r="C67" s="48"/>
      <c r="D67" s="122"/>
      <c r="E67" s="48"/>
      <c r="F67" s="122"/>
      <c r="G67" s="48"/>
      <c r="H67" s="122"/>
      <c r="I67" s="48"/>
      <c r="J67" s="122"/>
    </row>
    <row r="68" spans="3:10">
      <c r="C68" s="48"/>
      <c r="D68" s="122"/>
      <c r="E68" s="48"/>
      <c r="F68" s="122"/>
      <c r="G68" s="48"/>
      <c r="H68" s="122"/>
      <c r="I68" s="48"/>
      <c r="J68" s="122"/>
    </row>
    <row r="69" spans="3:10">
      <c r="C69" s="48"/>
      <c r="D69" s="122"/>
      <c r="E69" s="48"/>
      <c r="F69" s="122"/>
      <c r="G69" s="48"/>
      <c r="H69" s="122"/>
      <c r="I69" s="48"/>
      <c r="J69" s="122"/>
    </row>
    <row r="70" spans="3:10">
      <c r="C70" s="48"/>
      <c r="D70" s="122"/>
      <c r="E70" s="48"/>
      <c r="F70" s="122"/>
      <c r="G70" s="48"/>
      <c r="H70" s="122"/>
      <c r="I70" s="48"/>
      <c r="J70" s="122"/>
    </row>
    <row r="71" spans="3:10">
      <c r="C71" s="48"/>
      <c r="D71" s="122"/>
      <c r="E71" s="48"/>
      <c r="F71" s="122"/>
      <c r="G71" s="48"/>
      <c r="H71" s="122"/>
      <c r="I71" s="48"/>
      <c r="J71" s="122"/>
    </row>
    <row r="72" spans="3:10">
      <c r="C72" s="48"/>
      <c r="D72" s="122"/>
      <c r="E72" s="48"/>
      <c r="F72" s="122"/>
      <c r="G72" s="48"/>
      <c r="H72" s="122"/>
      <c r="I72" s="48"/>
      <c r="J72" s="122"/>
    </row>
    <row r="73" spans="3:10">
      <c r="C73" s="48"/>
      <c r="D73" s="122"/>
      <c r="E73" s="48"/>
      <c r="F73" s="122"/>
      <c r="G73" s="48"/>
      <c r="H73" s="122"/>
      <c r="I73" s="48"/>
      <c r="J73" s="122"/>
    </row>
    <row r="74" spans="3:10">
      <c r="C74" s="48"/>
      <c r="D74" s="122"/>
      <c r="E74" s="48"/>
      <c r="F74" s="122"/>
      <c r="G74" s="48"/>
      <c r="H74" s="122"/>
      <c r="I74" s="48"/>
      <c r="J74" s="122"/>
    </row>
    <row r="75" spans="3:10">
      <c r="C75" s="48"/>
      <c r="D75" s="122"/>
      <c r="E75" s="48"/>
      <c r="F75" s="122"/>
      <c r="G75" s="48"/>
      <c r="H75" s="122"/>
      <c r="I75" s="48"/>
      <c r="J75" s="122"/>
    </row>
    <row r="76" spans="3:10">
      <c r="C76" s="48"/>
      <c r="D76" s="122"/>
      <c r="E76" s="48"/>
      <c r="F76" s="122"/>
      <c r="G76" s="48"/>
      <c r="H76" s="122"/>
      <c r="I76" s="48"/>
      <c r="J76" s="122"/>
    </row>
    <row r="77" spans="3:10">
      <c r="C77" s="48"/>
      <c r="D77" s="122"/>
      <c r="E77" s="48"/>
      <c r="F77" s="122"/>
      <c r="G77" s="48"/>
      <c r="H77" s="122"/>
      <c r="I77" s="48"/>
      <c r="J77" s="122"/>
    </row>
    <row r="78" spans="3:10">
      <c r="C78" s="48"/>
      <c r="D78" s="122"/>
      <c r="E78" s="48"/>
      <c r="F78" s="122"/>
      <c r="G78" s="48"/>
      <c r="H78" s="122"/>
      <c r="I78" s="48"/>
      <c r="J78" s="122"/>
    </row>
    <row r="79" spans="3:10">
      <c r="C79" s="48"/>
      <c r="D79" s="122"/>
      <c r="E79" s="48"/>
      <c r="F79" s="122"/>
      <c r="G79" s="48"/>
      <c r="H79" s="122"/>
      <c r="I79" s="48"/>
      <c r="J79" s="122"/>
    </row>
    <row r="80" spans="3:10">
      <c r="C80" s="48"/>
      <c r="D80" s="122"/>
      <c r="E80" s="48"/>
      <c r="F80" s="122"/>
      <c r="G80" s="48"/>
      <c r="H80" s="122"/>
      <c r="I80" s="48"/>
      <c r="J80" s="122"/>
    </row>
    <row r="81" spans="3:10">
      <c r="C81" s="48"/>
      <c r="D81" s="122"/>
      <c r="E81" s="48"/>
      <c r="F81" s="122"/>
      <c r="G81" s="48"/>
      <c r="H81" s="122"/>
      <c r="I81" s="48"/>
      <c r="J81" s="122"/>
    </row>
    <row r="82" spans="3:10">
      <c r="C82" s="48"/>
      <c r="D82" s="122"/>
      <c r="E82" s="48"/>
      <c r="F82" s="122"/>
      <c r="G82" s="48"/>
      <c r="H82" s="122"/>
      <c r="I82" s="48"/>
      <c r="J82" s="122"/>
    </row>
    <row r="83" spans="3:10">
      <c r="C83" s="48"/>
      <c r="D83" s="122"/>
      <c r="E83" s="48"/>
      <c r="F83" s="122"/>
      <c r="G83" s="48"/>
      <c r="H83" s="122"/>
      <c r="I83" s="48"/>
      <c r="J83" s="122"/>
    </row>
    <row r="84" spans="3:10">
      <c r="C84" s="48"/>
      <c r="D84" s="122"/>
      <c r="E84" s="48"/>
      <c r="F84" s="122"/>
      <c r="G84" s="48"/>
      <c r="H84" s="122"/>
      <c r="I84" s="48"/>
      <c r="J84" s="122"/>
    </row>
    <row r="85" spans="3:10">
      <c r="C85" s="48"/>
      <c r="D85" s="122"/>
      <c r="E85" s="48"/>
      <c r="F85" s="122"/>
      <c r="G85" s="48"/>
      <c r="H85" s="122"/>
      <c r="I85" s="48"/>
      <c r="J85" s="122"/>
    </row>
    <row r="86" spans="3:10">
      <c r="C86" s="48"/>
      <c r="D86" s="122"/>
      <c r="E86" s="48"/>
      <c r="F86" s="122"/>
      <c r="G86" s="48"/>
      <c r="H86" s="122"/>
      <c r="I86" s="48"/>
      <c r="J86" s="122"/>
    </row>
    <row r="87" spans="3:10">
      <c r="C87" s="48"/>
      <c r="D87" s="122"/>
      <c r="E87" s="48"/>
      <c r="F87" s="122"/>
      <c r="G87" s="48"/>
      <c r="H87" s="122"/>
      <c r="I87" s="48"/>
      <c r="J87" s="122"/>
    </row>
    <row r="88" spans="3:10">
      <c r="C88" s="48"/>
      <c r="D88" s="122"/>
      <c r="E88" s="48"/>
      <c r="F88" s="122"/>
      <c r="G88" s="48"/>
      <c r="H88" s="122"/>
      <c r="I88" s="48"/>
      <c r="J88" s="122"/>
    </row>
    <row r="89" spans="3:10">
      <c r="C89" s="48"/>
      <c r="D89" s="122"/>
      <c r="E89" s="48"/>
      <c r="F89" s="122"/>
      <c r="G89" s="48"/>
      <c r="H89" s="122"/>
      <c r="I89" s="48"/>
      <c r="J89" s="122"/>
    </row>
    <row r="90" spans="3:10">
      <c r="C90" s="48"/>
      <c r="D90" s="122"/>
      <c r="E90" s="48"/>
      <c r="F90" s="122"/>
      <c r="G90" s="48"/>
      <c r="H90" s="122"/>
      <c r="I90" s="48"/>
      <c r="J90" s="122"/>
    </row>
    <row r="91" spans="3:10">
      <c r="C91" s="48"/>
      <c r="D91" s="122"/>
      <c r="E91" s="48"/>
      <c r="F91" s="122"/>
      <c r="G91" s="48"/>
      <c r="H91" s="122"/>
      <c r="I91" s="48"/>
      <c r="J91" s="122"/>
    </row>
    <row r="92" spans="3:10">
      <c r="C92" s="48"/>
      <c r="D92" s="122"/>
      <c r="E92" s="48"/>
      <c r="F92" s="122"/>
      <c r="G92" s="48"/>
      <c r="H92" s="122"/>
      <c r="I92" s="48"/>
      <c r="J92" s="122"/>
    </row>
    <row r="93" spans="3:10">
      <c r="C93" s="48"/>
      <c r="D93" s="122"/>
      <c r="E93" s="48"/>
      <c r="F93" s="122"/>
      <c r="G93" s="48"/>
      <c r="H93" s="122"/>
      <c r="I93" s="48"/>
      <c r="J93" s="122"/>
    </row>
    <row r="94" spans="3:10">
      <c r="C94" s="48"/>
      <c r="D94" s="122"/>
      <c r="E94" s="48"/>
      <c r="F94" s="122"/>
      <c r="G94" s="48"/>
      <c r="H94" s="122"/>
      <c r="I94" s="48"/>
      <c r="J94" s="122"/>
    </row>
    <row r="95" spans="3:10">
      <c r="C95" s="48"/>
      <c r="D95" s="122"/>
      <c r="E95" s="48"/>
      <c r="F95" s="122"/>
      <c r="G95" s="48"/>
      <c r="H95" s="122"/>
      <c r="I95" s="48"/>
      <c r="J95" s="122"/>
    </row>
    <row r="96" spans="3:10">
      <c r="C96" s="48"/>
      <c r="D96" s="122"/>
      <c r="E96" s="48"/>
      <c r="F96" s="122"/>
      <c r="G96" s="48"/>
      <c r="H96" s="122"/>
      <c r="I96" s="48"/>
      <c r="J96" s="122"/>
    </row>
    <row r="97" spans="3:10">
      <c r="C97" s="48"/>
      <c r="D97" s="122"/>
      <c r="E97" s="48"/>
      <c r="F97" s="122"/>
      <c r="G97" s="48"/>
      <c r="H97" s="122"/>
      <c r="I97" s="48"/>
      <c r="J97" s="122"/>
    </row>
    <row r="98" spans="3:10">
      <c r="C98" s="48"/>
      <c r="D98" s="122"/>
      <c r="E98" s="48"/>
      <c r="F98" s="122"/>
      <c r="G98" s="48"/>
      <c r="H98" s="122"/>
      <c r="I98" s="48"/>
      <c r="J98" s="122"/>
    </row>
    <row r="99" spans="3:10">
      <c r="C99" s="48"/>
      <c r="D99" s="122"/>
      <c r="E99" s="48"/>
      <c r="F99" s="122"/>
      <c r="G99" s="48"/>
      <c r="H99" s="122"/>
      <c r="I99" s="48"/>
      <c r="J99" s="122"/>
    </row>
    <row r="100" spans="3:10">
      <c r="C100" s="48"/>
      <c r="D100" s="122"/>
      <c r="E100" s="48"/>
      <c r="F100" s="122"/>
      <c r="G100" s="48"/>
      <c r="H100" s="122"/>
      <c r="I100" s="48"/>
      <c r="J100" s="122"/>
    </row>
    <row r="101" spans="3:10">
      <c r="C101" s="48"/>
      <c r="D101" s="122"/>
      <c r="E101" s="48"/>
      <c r="F101" s="122"/>
      <c r="G101" s="48"/>
      <c r="H101" s="122"/>
      <c r="I101" s="48"/>
      <c r="J101" s="122"/>
    </row>
    <row r="102" spans="3:10">
      <c r="C102" s="48"/>
      <c r="D102" s="122"/>
      <c r="E102" s="48"/>
      <c r="F102" s="122"/>
      <c r="G102" s="48"/>
      <c r="H102" s="122"/>
      <c r="I102" s="48"/>
      <c r="J102" s="122"/>
    </row>
    <row r="103" spans="3:10">
      <c r="C103" s="48"/>
      <c r="D103" s="122"/>
      <c r="E103" s="48"/>
      <c r="F103" s="122"/>
      <c r="G103" s="48"/>
      <c r="H103" s="122"/>
      <c r="I103" s="48"/>
      <c r="J103" s="122"/>
    </row>
    <row r="104" spans="3:10">
      <c r="C104" s="48"/>
      <c r="D104" s="122"/>
      <c r="E104" s="48"/>
      <c r="F104" s="122"/>
      <c r="G104" s="48"/>
      <c r="H104" s="122"/>
      <c r="I104" s="48"/>
      <c r="J104" s="122"/>
    </row>
    <row r="105" spans="3:10">
      <c r="C105" s="48"/>
      <c r="D105" s="122"/>
      <c r="E105" s="48"/>
      <c r="F105" s="122"/>
      <c r="G105" s="48"/>
      <c r="H105" s="122"/>
      <c r="I105" s="48"/>
      <c r="J105" s="122"/>
    </row>
    <row r="106" spans="3:10">
      <c r="C106" s="48"/>
      <c r="D106" s="122"/>
      <c r="E106" s="48"/>
      <c r="F106" s="122"/>
      <c r="G106" s="48"/>
      <c r="H106" s="122"/>
      <c r="I106" s="48"/>
      <c r="J106" s="122"/>
    </row>
    <row r="107" spans="3:10">
      <c r="C107" s="48"/>
      <c r="D107" s="122"/>
      <c r="E107" s="48"/>
      <c r="F107" s="122"/>
      <c r="G107" s="48"/>
      <c r="H107" s="122"/>
      <c r="I107" s="48"/>
      <c r="J107" s="122"/>
    </row>
    <row r="108" spans="3:10">
      <c r="C108" s="48"/>
      <c r="D108" s="122"/>
      <c r="E108" s="48"/>
      <c r="F108" s="122"/>
      <c r="G108" s="48"/>
      <c r="H108" s="122"/>
      <c r="I108" s="48"/>
      <c r="J108" s="122"/>
    </row>
    <row r="109" spans="3:10">
      <c r="C109" s="48"/>
      <c r="D109" s="122"/>
      <c r="E109" s="48"/>
      <c r="F109" s="122"/>
      <c r="G109" s="48"/>
      <c r="H109" s="122"/>
      <c r="I109" s="48"/>
      <c r="J109" s="122"/>
    </row>
    <row r="110" spans="3:10">
      <c r="C110" s="48"/>
      <c r="D110" s="122"/>
      <c r="E110" s="48"/>
      <c r="F110" s="122"/>
      <c r="G110" s="48"/>
      <c r="H110" s="122"/>
      <c r="I110" s="48"/>
      <c r="J110" s="122"/>
    </row>
    <row r="111" spans="3:10">
      <c r="C111" s="48"/>
      <c r="D111" s="122"/>
      <c r="E111" s="48"/>
      <c r="F111" s="122"/>
      <c r="G111" s="48"/>
      <c r="H111" s="122"/>
      <c r="I111" s="48"/>
      <c r="J111" s="122"/>
    </row>
    <row r="112" spans="3:10">
      <c r="C112" s="48"/>
      <c r="D112" s="122"/>
      <c r="E112" s="48"/>
      <c r="F112" s="122"/>
      <c r="G112" s="48"/>
      <c r="H112" s="122"/>
      <c r="I112" s="48"/>
      <c r="J112" s="122"/>
    </row>
    <row r="113" spans="3:10">
      <c r="C113" s="48"/>
      <c r="D113" s="122"/>
      <c r="E113" s="48"/>
      <c r="F113" s="122"/>
      <c r="G113" s="48"/>
      <c r="H113" s="122"/>
      <c r="I113" s="48"/>
      <c r="J113" s="122"/>
    </row>
    <row r="114" spans="3:10">
      <c r="C114" s="48"/>
      <c r="D114" s="122"/>
      <c r="E114" s="48"/>
      <c r="F114" s="122"/>
      <c r="G114" s="48"/>
      <c r="H114" s="122"/>
      <c r="I114" s="48"/>
      <c r="J114" s="122"/>
    </row>
    <row r="115" spans="3:10">
      <c r="C115" s="48"/>
      <c r="D115" s="122"/>
      <c r="E115" s="48"/>
      <c r="F115" s="122"/>
      <c r="G115" s="48"/>
      <c r="H115" s="122"/>
      <c r="I115" s="48"/>
      <c r="J115" s="122"/>
    </row>
    <row r="116" spans="3:10">
      <c r="C116" s="48"/>
      <c r="D116" s="122"/>
      <c r="E116" s="48"/>
      <c r="F116" s="122"/>
      <c r="G116" s="48"/>
      <c r="H116" s="122"/>
      <c r="I116" s="48"/>
      <c r="J116" s="122"/>
    </row>
    <row r="117" spans="3:10">
      <c r="C117" s="48"/>
      <c r="D117" s="122"/>
      <c r="E117" s="48"/>
      <c r="F117" s="122"/>
      <c r="G117" s="48"/>
      <c r="H117" s="122"/>
      <c r="I117" s="48"/>
      <c r="J117" s="122"/>
    </row>
    <row r="118" spans="3:10">
      <c r="C118" s="48"/>
      <c r="D118" s="122"/>
      <c r="E118" s="48"/>
      <c r="F118" s="122"/>
      <c r="G118" s="48"/>
      <c r="H118" s="122"/>
      <c r="I118" s="48"/>
      <c r="J118" s="122"/>
    </row>
    <row r="119" spans="3:10">
      <c r="C119" s="48"/>
      <c r="D119" s="122"/>
      <c r="E119" s="48"/>
      <c r="F119" s="122"/>
      <c r="G119" s="48"/>
      <c r="H119" s="122"/>
      <c r="I119" s="48"/>
      <c r="J119" s="122"/>
    </row>
    <row r="120" spans="3:10">
      <c r="C120" s="48"/>
      <c r="D120" s="122"/>
      <c r="E120" s="48"/>
      <c r="F120" s="122"/>
      <c r="G120" s="48"/>
      <c r="H120" s="122"/>
      <c r="I120" s="48"/>
      <c r="J120" s="122"/>
    </row>
    <row r="121" spans="3:10">
      <c r="C121" s="48"/>
      <c r="D121" s="122"/>
      <c r="E121" s="48"/>
      <c r="F121" s="122"/>
      <c r="G121" s="48"/>
      <c r="H121" s="122"/>
      <c r="I121" s="48"/>
      <c r="J121" s="122"/>
    </row>
    <row r="122" spans="3:10">
      <c r="C122" s="48"/>
      <c r="D122" s="122"/>
      <c r="E122" s="48"/>
      <c r="F122" s="122"/>
      <c r="G122" s="48"/>
      <c r="H122" s="122"/>
      <c r="I122" s="48"/>
      <c r="J122" s="122"/>
    </row>
    <row r="123" spans="3:10">
      <c r="C123" s="48"/>
      <c r="D123" s="122"/>
      <c r="E123" s="48"/>
      <c r="F123" s="122"/>
      <c r="G123" s="48"/>
      <c r="H123" s="122"/>
      <c r="I123" s="48"/>
      <c r="J123" s="122"/>
    </row>
    <row r="124" spans="3:10">
      <c r="C124" s="48"/>
      <c r="D124" s="122"/>
      <c r="E124" s="48"/>
      <c r="F124" s="122"/>
      <c r="G124" s="48"/>
      <c r="H124" s="122"/>
      <c r="I124" s="48"/>
      <c r="J124" s="122"/>
    </row>
    <row r="125" spans="3:10">
      <c r="C125" s="48"/>
      <c r="D125" s="122"/>
      <c r="E125" s="48"/>
      <c r="F125" s="122"/>
      <c r="G125" s="48"/>
      <c r="H125" s="122"/>
      <c r="I125" s="48"/>
      <c r="J125" s="122"/>
    </row>
    <row r="126" spans="3:10">
      <c r="C126" s="48"/>
      <c r="D126" s="122"/>
      <c r="E126" s="48"/>
      <c r="F126" s="122"/>
      <c r="G126" s="48"/>
      <c r="H126" s="122"/>
      <c r="I126" s="48"/>
      <c r="J126" s="122"/>
    </row>
    <row r="127" spans="3:10">
      <c r="C127" s="48"/>
      <c r="D127" s="122"/>
      <c r="E127" s="48"/>
      <c r="F127" s="122"/>
      <c r="G127" s="48"/>
      <c r="H127" s="122"/>
      <c r="I127" s="48"/>
      <c r="J127" s="122"/>
    </row>
    <row r="128" spans="3:10">
      <c r="C128" s="48"/>
      <c r="D128" s="122"/>
      <c r="E128" s="48"/>
      <c r="F128" s="122"/>
      <c r="G128" s="48"/>
      <c r="H128" s="122"/>
      <c r="I128" s="48"/>
      <c r="J128" s="122"/>
    </row>
    <row r="129" spans="3:10">
      <c r="C129" s="48"/>
      <c r="D129" s="122"/>
      <c r="E129" s="48"/>
      <c r="F129" s="122"/>
      <c r="G129" s="48"/>
      <c r="H129" s="122"/>
      <c r="I129" s="48"/>
      <c r="J129" s="122"/>
    </row>
    <row r="130" spans="3:10">
      <c r="C130" s="48"/>
      <c r="D130" s="122"/>
      <c r="E130" s="48"/>
      <c r="F130" s="122"/>
      <c r="G130" s="48"/>
      <c r="H130" s="122"/>
      <c r="I130" s="48"/>
      <c r="J130" s="122"/>
    </row>
    <row r="131" spans="3:10">
      <c r="C131" s="48"/>
      <c r="D131" s="122"/>
      <c r="E131" s="48"/>
      <c r="F131" s="122"/>
      <c r="G131" s="48"/>
      <c r="H131" s="122"/>
      <c r="I131" s="48"/>
      <c r="J131" s="122"/>
    </row>
    <row r="132" spans="3:10">
      <c r="C132" s="48"/>
      <c r="D132" s="122"/>
      <c r="E132" s="48"/>
      <c r="F132" s="122"/>
      <c r="G132" s="48"/>
      <c r="H132" s="122"/>
      <c r="I132" s="48"/>
      <c r="J132" s="122"/>
    </row>
    <row r="133" spans="3:10">
      <c r="C133" s="48"/>
      <c r="D133" s="122"/>
      <c r="E133" s="48"/>
      <c r="F133" s="122"/>
      <c r="G133" s="48"/>
      <c r="H133" s="122"/>
      <c r="I133" s="48"/>
      <c r="J133" s="122"/>
    </row>
    <row r="134" spans="3:10">
      <c r="C134" s="48"/>
      <c r="D134" s="122"/>
      <c r="E134" s="48"/>
      <c r="F134" s="122"/>
      <c r="G134" s="48"/>
      <c r="H134" s="122"/>
      <c r="I134" s="48"/>
      <c r="J134" s="122"/>
    </row>
    <row r="135" spans="3:10">
      <c r="C135" s="48"/>
      <c r="D135" s="122"/>
      <c r="E135" s="48"/>
      <c r="F135" s="122"/>
      <c r="G135" s="48"/>
      <c r="H135" s="122"/>
      <c r="I135" s="48"/>
      <c r="J135" s="122"/>
    </row>
    <row r="136" spans="3:10">
      <c r="C136" s="48"/>
      <c r="D136" s="122"/>
      <c r="E136" s="48"/>
      <c r="F136" s="122"/>
      <c r="G136" s="48"/>
      <c r="H136" s="122"/>
      <c r="I136" s="48"/>
      <c r="J136" s="122"/>
    </row>
    <row r="137" spans="3:10">
      <c r="C137" s="48"/>
      <c r="D137" s="122"/>
      <c r="E137" s="48"/>
      <c r="F137" s="122"/>
      <c r="G137" s="48"/>
      <c r="H137" s="122"/>
      <c r="I137" s="48"/>
      <c r="J137" s="122"/>
    </row>
    <row r="138" spans="3:10">
      <c r="C138" s="48"/>
      <c r="D138" s="122"/>
      <c r="E138" s="48"/>
      <c r="F138" s="122"/>
      <c r="G138" s="48"/>
      <c r="H138" s="122"/>
      <c r="I138" s="48"/>
      <c r="J138" s="122"/>
    </row>
    <row r="139" spans="3:10">
      <c r="C139" s="48"/>
      <c r="D139" s="122"/>
      <c r="E139" s="48"/>
      <c r="F139" s="122"/>
      <c r="G139" s="48"/>
      <c r="H139" s="122"/>
      <c r="I139" s="48"/>
      <c r="J139" s="122"/>
    </row>
    <row r="140" spans="3:10">
      <c r="C140" s="48"/>
      <c r="D140" s="122"/>
      <c r="E140" s="48"/>
      <c r="F140" s="122"/>
      <c r="G140" s="48"/>
      <c r="H140" s="122"/>
      <c r="I140" s="48"/>
      <c r="J140" s="122"/>
    </row>
    <row r="141" spans="3:10">
      <c r="C141" s="48"/>
      <c r="D141" s="122"/>
      <c r="E141" s="48"/>
      <c r="F141" s="122"/>
      <c r="G141" s="48"/>
      <c r="H141" s="122"/>
      <c r="I141" s="48"/>
      <c r="J141" s="122"/>
    </row>
    <row r="142" spans="3:10">
      <c r="C142" s="48"/>
      <c r="D142" s="122"/>
      <c r="E142" s="48"/>
      <c r="F142" s="122"/>
      <c r="G142" s="48"/>
      <c r="H142" s="122"/>
      <c r="I142" s="48"/>
      <c r="J142" s="122"/>
    </row>
    <row r="143" spans="3:10">
      <c r="C143" s="48"/>
      <c r="D143" s="122"/>
      <c r="E143" s="48"/>
      <c r="F143" s="122"/>
      <c r="G143" s="48"/>
      <c r="H143" s="122"/>
      <c r="I143" s="48"/>
      <c r="J143" s="122"/>
    </row>
    <row r="144" spans="3:10">
      <c r="C144" s="48"/>
      <c r="D144" s="122"/>
      <c r="E144" s="48"/>
      <c r="F144" s="122"/>
      <c r="G144" s="48"/>
      <c r="H144" s="122"/>
      <c r="I144" s="48"/>
      <c r="J144" s="122"/>
    </row>
    <row r="145" spans="3:10">
      <c r="C145" s="48"/>
      <c r="D145" s="122"/>
      <c r="E145" s="48"/>
      <c r="F145" s="122"/>
      <c r="G145" s="48"/>
      <c r="H145" s="122"/>
      <c r="I145" s="48"/>
      <c r="J145" s="122"/>
    </row>
    <row r="146" spans="3:10">
      <c r="C146" s="48"/>
      <c r="D146" s="122"/>
      <c r="E146" s="48"/>
      <c r="F146" s="122"/>
      <c r="G146" s="48"/>
      <c r="H146" s="122"/>
      <c r="I146" s="48"/>
      <c r="J146" s="122"/>
    </row>
    <row r="147" spans="3:10">
      <c r="C147" s="48"/>
      <c r="D147" s="122"/>
      <c r="E147" s="48"/>
      <c r="F147" s="122"/>
      <c r="G147" s="48"/>
      <c r="H147" s="122"/>
      <c r="I147" s="48"/>
      <c r="J147" s="122"/>
    </row>
    <row r="148" spans="3:10">
      <c r="C148" s="48"/>
      <c r="D148" s="122"/>
      <c r="E148" s="48"/>
      <c r="F148" s="122"/>
      <c r="G148" s="48"/>
      <c r="H148" s="122"/>
      <c r="I148" s="48"/>
      <c r="J148" s="122"/>
    </row>
    <row r="149" spans="3:10">
      <c r="C149" s="48"/>
      <c r="D149" s="122"/>
      <c r="E149" s="48"/>
      <c r="F149" s="122"/>
      <c r="G149" s="48"/>
      <c r="H149" s="122"/>
      <c r="I149" s="48"/>
      <c r="J149" s="122"/>
    </row>
    <row r="150" spans="3:10">
      <c r="C150" s="48"/>
      <c r="D150" s="122"/>
      <c r="E150" s="48"/>
      <c r="F150" s="122"/>
      <c r="G150" s="48"/>
      <c r="H150" s="122"/>
      <c r="I150" s="48"/>
      <c r="J150" s="122"/>
    </row>
    <row r="151" spans="3:10">
      <c r="C151" s="48"/>
      <c r="D151" s="122"/>
      <c r="E151" s="48"/>
      <c r="F151" s="122"/>
      <c r="G151" s="48"/>
      <c r="H151" s="122"/>
      <c r="I151" s="48"/>
      <c r="J151" s="122"/>
    </row>
    <row r="152" spans="3:10">
      <c r="C152" s="48"/>
      <c r="D152" s="122"/>
      <c r="E152" s="48"/>
      <c r="F152" s="122"/>
      <c r="G152" s="48"/>
      <c r="H152" s="122"/>
      <c r="I152" s="48"/>
      <c r="J152" s="122"/>
    </row>
    <row r="153" spans="3:10">
      <c r="C153" s="48"/>
      <c r="D153" s="122"/>
      <c r="E153" s="48"/>
      <c r="F153" s="122"/>
      <c r="G153" s="48"/>
      <c r="H153" s="122"/>
      <c r="I153" s="48"/>
      <c r="J153" s="122"/>
    </row>
    <row r="154" spans="3:10">
      <c r="C154" s="48"/>
      <c r="D154" s="122"/>
      <c r="E154" s="48"/>
      <c r="F154" s="122"/>
      <c r="G154" s="48"/>
      <c r="H154" s="122"/>
      <c r="I154" s="48"/>
      <c r="J154" s="122"/>
    </row>
    <row r="155" spans="3:10">
      <c r="C155" s="48"/>
      <c r="D155" s="122"/>
      <c r="E155" s="48"/>
      <c r="F155" s="122"/>
      <c r="G155" s="48"/>
      <c r="H155" s="122"/>
      <c r="I155" s="48"/>
      <c r="J155" s="122"/>
    </row>
    <row r="156" spans="3:10">
      <c r="C156" s="48"/>
      <c r="D156" s="122"/>
      <c r="E156" s="48"/>
      <c r="F156" s="122"/>
      <c r="G156" s="48"/>
      <c r="H156" s="122"/>
      <c r="I156" s="48"/>
      <c r="J156" s="122"/>
    </row>
    <row r="157" spans="3:10">
      <c r="C157" s="48"/>
      <c r="D157" s="122"/>
      <c r="E157" s="48"/>
      <c r="F157" s="122"/>
      <c r="G157" s="48"/>
      <c r="H157" s="122"/>
      <c r="I157" s="48"/>
      <c r="J157" s="122"/>
    </row>
    <row r="158" spans="3:10">
      <c r="C158" s="48"/>
      <c r="D158" s="122"/>
      <c r="E158" s="48"/>
      <c r="F158" s="122"/>
      <c r="G158" s="48"/>
      <c r="H158" s="122"/>
      <c r="I158" s="48"/>
      <c r="J158" s="122"/>
    </row>
    <row r="159" spans="3:10">
      <c r="C159" s="48"/>
      <c r="D159" s="122"/>
      <c r="E159" s="48"/>
      <c r="F159" s="122"/>
      <c r="G159" s="48"/>
      <c r="H159" s="122"/>
      <c r="I159" s="48"/>
      <c r="J159" s="122"/>
    </row>
    <row r="160" spans="3:10">
      <c r="C160" s="48"/>
      <c r="D160" s="122"/>
      <c r="E160" s="48"/>
      <c r="F160" s="122"/>
      <c r="G160" s="48"/>
      <c r="H160" s="122"/>
      <c r="I160" s="48"/>
      <c r="J160" s="122"/>
    </row>
    <row r="161" spans="3:10">
      <c r="C161" s="48"/>
      <c r="D161" s="122"/>
      <c r="E161" s="48"/>
      <c r="F161" s="122"/>
      <c r="G161" s="48"/>
      <c r="H161" s="122"/>
      <c r="I161" s="48"/>
      <c r="J161" s="122"/>
    </row>
    <row r="162" spans="3:10">
      <c r="C162" s="48"/>
      <c r="D162" s="122"/>
      <c r="E162" s="48"/>
      <c r="F162" s="122"/>
      <c r="G162" s="48"/>
      <c r="H162" s="122"/>
      <c r="I162" s="48"/>
      <c r="J162" s="122"/>
    </row>
    <row r="163" spans="3:10">
      <c r="C163" s="48"/>
      <c r="D163" s="122"/>
      <c r="E163" s="48"/>
      <c r="F163" s="122"/>
      <c r="G163" s="48"/>
      <c r="H163" s="122"/>
      <c r="I163" s="48"/>
      <c r="J163" s="122"/>
    </row>
    <row r="164" spans="3:10">
      <c r="C164" s="48"/>
      <c r="D164" s="122"/>
      <c r="E164" s="48"/>
      <c r="F164" s="122"/>
      <c r="G164" s="48"/>
      <c r="H164" s="122"/>
      <c r="I164" s="48"/>
      <c r="J164" s="122"/>
    </row>
    <row r="165" spans="3:10">
      <c r="C165" s="48"/>
      <c r="D165" s="122"/>
      <c r="E165" s="48"/>
      <c r="F165" s="122"/>
      <c r="G165" s="48"/>
      <c r="H165" s="122"/>
      <c r="I165" s="48"/>
      <c r="J165" s="122"/>
    </row>
    <row r="166" spans="3:10">
      <c r="C166" s="48"/>
      <c r="D166" s="122"/>
      <c r="E166" s="48"/>
      <c r="F166" s="122"/>
      <c r="G166" s="48"/>
      <c r="H166" s="122"/>
      <c r="I166" s="48"/>
      <c r="J166" s="122"/>
    </row>
    <row r="167" spans="3:10">
      <c r="C167" s="48"/>
      <c r="D167" s="122"/>
      <c r="E167" s="48"/>
      <c r="F167" s="122"/>
      <c r="G167" s="48"/>
      <c r="H167" s="122"/>
      <c r="I167" s="48"/>
      <c r="J167" s="122"/>
    </row>
    <row r="168" spans="3:10">
      <c r="C168" s="48"/>
      <c r="D168" s="122"/>
      <c r="E168" s="48"/>
      <c r="F168" s="122"/>
      <c r="G168" s="48"/>
      <c r="H168" s="122"/>
      <c r="I168" s="48"/>
      <c r="J168" s="122"/>
    </row>
    <row r="169" spans="3:10">
      <c r="C169" s="48"/>
      <c r="D169" s="122"/>
      <c r="E169" s="48"/>
      <c r="F169" s="122"/>
      <c r="G169" s="48"/>
      <c r="H169" s="122"/>
      <c r="I169" s="48"/>
      <c r="J169" s="122"/>
    </row>
    <row r="170" spans="3:10">
      <c r="C170" s="48"/>
      <c r="D170" s="122"/>
      <c r="E170" s="48"/>
      <c r="F170" s="122"/>
      <c r="G170" s="48"/>
      <c r="H170" s="122"/>
      <c r="I170" s="48"/>
      <c r="J170" s="122"/>
    </row>
    <row r="171" spans="3:10">
      <c r="C171" s="48"/>
      <c r="D171" s="122"/>
      <c r="E171" s="48"/>
      <c r="F171" s="122"/>
      <c r="G171" s="48"/>
      <c r="H171" s="122"/>
      <c r="I171" s="48"/>
      <c r="J171" s="122"/>
    </row>
    <row r="172" spans="3:10">
      <c r="C172" s="48"/>
      <c r="D172" s="122"/>
      <c r="E172" s="48"/>
      <c r="F172" s="122"/>
      <c r="G172" s="48"/>
      <c r="H172" s="122"/>
      <c r="I172" s="48"/>
      <c r="J172" s="122"/>
    </row>
    <row r="173" spans="3:10">
      <c r="C173" s="48"/>
      <c r="D173" s="122"/>
      <c r="E173" s="48"/>
      <c r="F173" s="122"/>
      <c r="G173" s="48"/>
      <c r="H173" s="122"/>
      <c r="I173" s="48"/>
      <c r="J173" s="122"/>
    </row>
    <row r="174" spans="3:10">
      <c r="C174" s="48"/>
      <c r="D174" s="122"/>
      <c r="E174" s="48"/>
      <c r="F174" s="122"/>
      <c r="G174" s="48"/>
      <c r="H174" s="122"/>
      <c r="I174" s="48"/>
      <c r="J174" s="122"/>
    </row>
    <row r="175" spans="3:10">
      <c r="C175" s="48"/>
      <c r="D175" s="122"/>
      <c r="E175" s="48"/>
      <c r="F175" s="122"/>
      <c r="G175" s="48"/>
      <c r="H175" s="122"/>
      <c r="I175" s="48"/>
      <c r="J175" s="122"/>
    </row>
    <row r="176" spans="3:10">
      <c r="C176" s="48"/>
      <c r="D176" s="122"/>
      <c r="E176" s="48"/>
      <c r="F176" s="122"/>
      <c r="G176" s="48"/>
      <c r="H176" s="122"/>
      <c r="I176" s="48"/>
      <c r="J176" s="122"/>
    </row>
    <row r="177" spans="3:10">
      <c r="C177" s="48"/>
      <c r="D177" s="122"/>
      <c r="E177" s="48"/>
      <c r="F177" s="122"/>
      <c r="G177" s="48"/>
      <c r="H177" s="122"/>
      <c r="I177" s="48"/>
      <c r="J177" s="122"/>
    </row>
    <row r="178" spans="3:10">
      <c r="C178" s="48"/>
      <c r="D178" s="122"/>
      <c r="E178" s="48"/>
      <c r="F178" s="122"/>
      <c r="G178" s="48"/>
      <c r="H178" s="122"/>
      <c r="I178" s="48"/>
      <c r="J178" s="122"/>
    </row>
    <row r="179" spans="3:10">
      <c r="C179" s="48"/>
      <c r="D179" s="122"/>
      <c r="E179" s="48"/>
      <c r="F179" s="122"/>
      <c r="G179" s="48"/>
      <c r="H179" s="122"/>
      <c r="I179" s="48"/>
      <c r="J179" s="122"/>
    </row>
    <row r="180" spans="3:10">
      <c r="C180" s="48"/>
      <c r="D180" s="122"/>
      <c r="E180" s="48"/>
      <c r="F180" s="122"/>
      <c r="G180" s="48"/>
      <c r="H180" s="122"/>
      <c r="I180" s="48"/>
      <c r="J180" s="122"/>
    </row>
    <row r="181" spans="3:10">
      <c r="C181" s="48"/>
      <c r="D181" s="122"/>
      <c r="E181" s="48"/>
      <c r="F181" s="122"/>
      <c r="G181" s="48"/>
      <c r="H181" s="122"/>
      <c r="I181" s="48"/>
      <c r="J181" s="122"/>
    </row>
    <row r="182" spans="3:10">
      <c r="C182" s="48"/>
      <c r="D182" s="122"/>
      <c r="E182" s="48"/>
      <c r="F182" s="122"/>
      <c r="G182" s="48"/>
      <c r="H182" s="122"/>
      <c r="I182" s="48"/>
      <c r="J182" s="122"/>
    </row>
    <row r="183" spans="3:10">
      <c r="C183" s="48"/>
      <c r="D183" s="122"/>
      <c r="E183" s="48"/>
      <c r="F183" s="122"/>
      <c r="G183" s="48"/>
      <c r="H183" s="122"/>
      <c r="I183" s="48"/>
      <c r="J183" s="122"/>
    </row>
    <row r="184" spans="3:10">
      <c r="C184" s="48"/>
      <c r="D184" s="122"/>
      <c r="E184" s="48"/>
      <c r="F184" s="122"/>
      <c r="G184" s="48"/>
      <c r="H184" s="122"/>
      <c r="I184" s="48"/>
      <c r="J184" s="122"/>
    </row>
    <row r="185" spans="3:10">
      <c r="C185" s="48"/>
      <c r="D185" s="122"/>
      <c r="E185" s="48"/>
      <c r="F185" s="122"/>
      <c r="G185" s="48"/>
      <c r="H185" s="122"/>
      <c r="I185" s="48"/>
      <c r="J185" s="122"/>
    </row>
    <row r="186" spans="3:10">
      <c r="C186" s="48"/>
      <c r="D186" s="122"/>
      <c r="E186" s="48"/>
      <c r="F186" s="122"/>
      <c r="G186" s="48"/>
      <c r="H186" s="122"/>
      <c r="I186" s="48"/>
      <c r="J186" s="122"/>
    </row>
    <row r="187" spans="3:10">
      <c r="C187" s="48"/>
      <c r="D187" s="122"/>
      <c r="E187" s="48"/>
      <c r="F187" s="122"/>
      <c r="G187" s="48"/>
      <c r="H187" s="122"/>
      <c r="I187" s="48"/>
      <c r="J187" s="122"/>
    </row>
    <row r="188" spans="3:10">
      <c r="C188" s="48"/>
      <c r="D188" s="122"/>
      <c r="E188" s="48"/>
      <c r="F188" s="122"/>
      <c r="G188" s="48"/>
      <c r="H188" s="122"/>
      <c r="I188" s="48"/>
      <c r="J188" s="122"/>
    </row>
    <row r="189" spans="3:10">
      <c r="C189" s="48"/>
      <c r="D189" s="122"/>
      <c r="E189" s="48"/>
      <c r="F189" s="122"/>
      <c r="G189" s="48"/>
      <c r="H189" s="122"/>
      <c r="I189" s="48"/>
      <c r="J189" s="122"/>
    </row>
    <row r="190" spans="3:10">
      <c r="C190" s="48"/>
      <c r="D190" s="122"/>
      <c r="E190" s="48"/>
      <c r="F190" s="122"/>
      <c r="G190" s="48"/>
      <c r="H190" s="122"/>
      <c r="I190" s="48"/>
      <c r="J190" s="122"/>
    </row>
    <row r="191" spans="3:10">
      <c r="C191" s="48"/>
      <c r="D191" s="122"/>
      <c r="E191" s="48"/>
      <c r="F191" s="122"/>
      <c r="G191" s="48"/>
      <c r="H191" s="122"/>
      <c r="I191" s="48"/>
      <c r="J191" s="122"/>
    </row>
    <row r="192" spans="3:10">
      <c r="C192" s="48"/>
      <c r="D192" s="122"/>
      <c r="E192" s="48"/>
      <c r="F192" s="122"/>
      <c r="G192" s="48"/>
      <c r="H192" s="122"/>
      <c r="I192" s="48"/>
      <c r="J192" s="122"/>
    </row>
    <row r="193" spans="3:10">
      <c r="C193" s="48"/>
      <c r="D193" s="122"/>
      <c r="E193" s="48"/>
      <c r="F193" s="122"/>
      <c r="G193" s="48"/>
      <c r="H193" s="122"/>
      <c r="I193" s="48"/>
      <c r="J193" s="122"/>
    </row>
    <row r="194" spans="3:10">
      <c r="C194" s="48"/>
      <c r="D194" s="122"/>
      <c r="E194" s="48"/>
      <c r="F194" s="122"/>
      <c r="G194" s="48"/>
      <c r="H194" s="122"/>
      <c r="I194" s="48"/>
      <c r="J194" s="122"/>
    </row>
    <row r="195" spans="3:10">
      <c r="C195" s="48"/>
      <c r="D195" s="122"/>
      <c r="E195" s="48"/>
      <c r="F195" s="122"/>
      <c r="G195" s="48"/>
      <c r="H195" s="122"/>
      <c r="I195" s="48"/>
      <c r="J195" s="122"/>
    </row>
    <row r="196" spans="3:10">
      <c r="C196" s="48"/>
      <c r="D196" s="122"/>
      <c r="E196" s="48"/>
      <c r="F196" s="122"/>
      <c r="G196" s="48"/>
      <c r="H196" s="122"/>
      <c r="I196" s="48"/>
      <c r="J196" s="122"/>
    </row>
    <row r="197" spans="3:10">
      <c r="C197" s="48"/>
      <c r="D197" s="122"/>
      <c r="E197" s="48"/>
      <c r="F197" s="122"/>
      <c r="G197" s="48"/>
      <c r="H197" s="122"/>
      <c r="I197" s="48"/>
      <c r="J197" s="122"/>
    </row>
    <row r="198" spans="3:10">
      <c r="C198" s="48"/>
      <c r="D198" s="122"/>
      <c r="E198" s="48"/>
      <c r="F198" s="122"/>
      <c r="G198" s="48"/>
      <c r="H198" s="122"/>
      <c r="I198" s="48"/>
      <c r="J198" s="122"/>
    </row>
    <row r="199" spans="3:10">
      <c r="C199" s="48"/>
      <c r="D199" s="122"/>
      <c r="E199" s="48"/>
      <c r="F199" s="122"/>
      <c r="G199" s="48"/>
      <c r="H199" s="122"/>
      <c r="I199" s="48"/>
      <c r="J199" s="122"/>
    </row>
    <row r="200" spans="3:10">
      <c r="C200" s="48"/>
      <c r="D200" s="122"/>
      <c r="E200" s="48"/>
      <c r="F200" s="122"/>
      <c r="G200" s="48"/>
      <c r="H200" s="122"/>
      <c r="I200" s="48"/>
      <c r="J200" s="122"/>
    </row>
    <row r="201" spans="3:10">
      <c r="C201" s="48"/>
      <c r="D201" s="122"/>
      <c r="E201" s="48"/>
      <c r="F201" s="122"/>
      <c r="G201" s="48"/>
      <c r="H201" s="122"/>
      <c r="I201" s="48"/>
      <c r="J201" s="122"/>
    </row>
    <row r="202" spans="3:10">
      <c r="C202" s="48"/>
      <c r="D202" s="122"/>
      <c r="E202" s="48"/>
      <c r="F202" s="122"/>
      <c r="G202" s="48"/>
      <c r="H202" s="122"/>
      <c r="I202" s="48"/>
      <c r="J202" s="122"/>
    </row>
    <row r="203" spans="3:10">
      <c r="C203" s="48"/>
      <c r="D203" s="122"/>
      <c r="E203" s="48"/>
      <c r="F203" s="122"/>
      <c r="G203" s="48"/>
      <c r="H203" s="122"/>
      <c r="I203" s="48"/>
      <c r="J203" s="122"/>
    </row>
    <row r="204" spans="3:10">
      <c r="C204" s="48"/>
      <c r="D204" s="122"/>
      <c r="E204" s="48"/>
      <c r="F204" s="122"/>
      <c r="G204" s="48"/>
      <c r="H204" s="122"/>
      <c r="I204" s="48"/>
      <c r="J204" s="122"/>
    </row>
    <row r="205" spans="3:10">
      <c r="C205" s="48"/>
      <c r="D205" s="122"/>
      <c r="E205" s="48"/>
      <c r="F205" s="122"/>
      <c r="G205" s="48"/>
      <c r="H205" s="122"/>
      <c r="I205" s="48"/>
      <c r="J205" s="122"/>
    </row>
    <row r="206" spans="3:10">
      <c r="C206" s="48"/>
      <c r="D206" s="122"/>
      <c r="E206" s="48"/>
      <c r="F206" s="122"/>
      <c r="G206" s="48"/>
      <c r="H206" s="122"/>
      <c r="I206" s="48"/>
      <c r="J206" s="122"/>
    </row>
    <row r="207" spans="3:10">
      <c r="C207" s="48"/>
      <c r="D207" s="122"/>
      <c r="E207" s="48"/>
      <c r="F207" s="122"/>
      <c r="G207" s="48"/>
      <c r="H207" s="122"/>
      <c r="I207" s="48"/>
      <c r="J207" s="122"/>
    </row>
    <row r="208" spans="3:10">
      <c r="C208" s="48"/>
      <c r="D208" s="122"/>
      <c r="E208" s="48"/>
      <c r="F208" s="122"/>
      <c r="G208" s="48"/>
      <c r="H208" s="122"/>
      <c r="I208" s="48"/>
      <c r="J208" s="122"/>
    </row>
    <row r="209" spans="3:10">
      <c r="C209" s="48"/>
      <c r="D209" s="122"/>
      <c r="E209" s="48"/>
      <c r="F209" s="122"/>
      <c r="G209" s="48"/>
      <c r="H209" s="122"/>
      <c r="I209" s="48"/>
      <c r="J209" s="122"/>
    </row>
    <row r="210" spans="3:10">
      <c r="C210" s="48"/>
      <c r="D210" s="122"/>
      <c r="E210" s="48"/>
      <c r="F210" s="122"/>
      <c r="G210" s="48"/>
      <c r="H210" s="122"/>
      <c r="I210" s="48"/>
      <c r="J210" s="122"/>
    </row>
    <row r="211" spans="3:10">
      <c r="C211" s="48"/>
      <c r="D211" s="122"/>
      <c r="E211" s="48"/>
      <c r="F211" s="122"/>
      <c r="G211" s="48"/>
      <c r="H211" s="122"/>
      <c r="I211" s="48"/>
      <c r="J211" s="122"/>
    </row>
    <row r="212" spans="3:10">
      <c r="C212" s="48"/>
      <c r="D212" s="122"/>
      <c r="E212" s="48"/>
      <c r="F212" s="122"/>
      <c r="G212" s="48"/>
      <c r="H212" s="122"/>
      <c r="I212" s="48"/>
      <c r="J212" s="122"/>
    </row>
    <row r="213" spans="3:10">
      <c r="C213" s="48"/>
      <c r="D213" s="122"/>
      <c r="E213" s="48"/>
      <c r="F213" s="122"/>
      <c r="G213" s="48"/>
      <c r="H213" s="122"/>
      <c r="I213" s="48"/>
      <c r="J213" s="122"/>
    </row>
    <row r="214" spans="3:10">
      <c r="C214" s="48"/>
      <c r="D214" s="122"/>
      <c r="E214" s="48"/>
      <c r="F214" s="122"/>
      <c r="G214" s="48"/>
      <c r="H214" s="122"/>
      <c r="I214" s="48"/>
      <c r="J214" s="122"/>
    </row>
    <row r="215" spans="3:10">
      <c r="C215" s="48"/>
      <c r="D215" s="122"/>
      <c r="E215" s="48"/>
      <c r="F215" s="122"/>
      <c r="G215" s="48"/>
      <c r="H215" s="122"/>
      <c r="I215" s="48"/>
      <c r="J215" s="122"/>
    </row>
    <row r="216" spans="3:10">
      <c r="C216" s="48"/>
      <c r="D216" s="122"/>
      <c r="E216" s="48"/>
      <c r="F216" s="122"/>
      <c r="G216" s="48"/>
      <c r="H216" s="122"/>
      <c r="I216" s="48"/>
      <c r="J216" s="122"/>
    </row>
    <row r="217" spans="3:10">
      <c r="C217" s="48"/>
      <c r="D217" s="122"/>
      <c r="E217" s="48"/>
      <c r="F217" s="122"/>
      <c r="G217" s="48"/>
      <c r="H217" s="122"/>
      <c r="I217" s="48"/>
      <c r="J217" s="122"/>
    </row>
    <row r="218" spans="3:10">
      <c r="C218" s="48"/>
      <c r="D218" s="122"/>
      <c r="E218" s="48"/>
      <c r="F218" s="122"/>
      <c r="G218" s="48"/>
      <c r="H218" s="122"/>
      <c r="I218" s="48"/>
      <c r="J218" s="122"/>
    </row>
    <row r="219" spans="3:10">
      <c r="C219" s="48"/>
      <c r="D219" s="122"/>
      <c r="E219" s="48"/>
      <c r="F219" s="122"/>
      <c r="G219" s="48"/>
      <c r="H219" s="122"/>
      <c r="I219" s="48"/>
      <c r="J219" s="122"/>
    </row>
    <row r="220" spans="3:10">
      <c r="C220" s="48"/>
      <c r="D220" s="122"/>
      <c r="E220" s="48"/>
      <c r="F220" s="122"/>
      <c r="G220" s="48"/>
      <c r="H220" s="122"/>
      <c r="I220" s="48"/>
      <c r="J220" s="122"/>
    </row>
    <row r="221" spans="3:10">
      <c r="C221" s="48"/>
      <c r="D221" s="122"/>
      <c r="E221" s="48"/>
      <c r="F221" s="122"/>
      <c r="G221" s="48"/>
      <c r="H221" s="122"/>
      <c r="I221" s="48"/>
      <c r="J221" s="122"/>
    </row>
    <row r="222" spans="3:10">
      <c r="C222" s="48"/>
      <c r="D222" s="122"/>
      <c r="E222" s="48"/>
      <c r="F222" s="122"/>
      <c r="G222" s="48"/>
      <c r="H222" s="122"/>
      <c r="I222" s="48"/>
      <c r="J222" s="122"/>
    </row>
    <row r="223" spans="3:10">
      <c r="C223" s="48"/>
      <c r="D223" s="122"/>
      <c r="E223" s="48"/>
      <c r="F223" s="122"/>
      <c r="G223" s="48"/>
      <c r="H223" s="122"/>
      <c r="I223" s="48"/>
      <c r="J223" s="122"/>
    </row>
    <row r="224" spans="3:10">
      <c r="C224" s="48"/>
      <c r="D224" s="122"/>
      <c r="E224" s="48"/>
      <c r="F224" s="122"/>
      <c r="G224" s="48"/>
      <c r="H224" s="122"/>
      <c r="I224" s="48"/>
      <c r="J224" s="122"/>
    </row>
    <row r="225" spans="3:10">
      <c r="C225" s="48"/>
      <c r="D225" s="122"/>
      <c r="E225" s="48"/>
      <c r="F225" s="122"/>
      <c r="G225" s="48"/>
      <c r="H225" s="122"/>
      <c r="I225" s="48"/>
      <c r="J225" s="122"/>
    </row>
    <row r="226" spans="3:10">
      <c r="C226" s="48"/>
      <c r="D226" s="122"/>
      <c r="E226" s="48"/>
      <c r="F226" s="122"/>
      <c r="G226" s="48"/>
      <c r="H226" s="122"/>
      <c r="I226" s="48"/>
      <c r="J226" s="122"/>
    </row>
    <row r="227" spans="3:10">
      <c r="C227" s="48"/>
      <c r="D227" s="122"/>
      <c r="E227" s="48"/>
      <c r="F227" s="122"/>
      <c r="G227" s="48"/>
      <c r="H227" s="122"/>
      <c r="I227" s="48"/>
      <c r="J227" s="122"/>
    </row>
    <row r="228" spans="3:10">
      <c r="C228" s="48"/>
      <c r="D228" s="122"/>
      <c r="E228" s="48"/>
      <c r="F228" s="122"/>
      <c r="G228" s="48"/>
      <c r="H228" s="122"/>
      <c r="I228" s="48"/>
      <c r="J228" s="122"/>
    </row>
    <row r="229" spans="3:10">
      <c r="C229" s="48"/>
      <c r="D229" s="122"/>
      <c r="E229" s="48"/>
      <c r="F229" s="122"/>
      <c r="G229" s="48"/>
      <c r="H229" s="122"/>
      <c r="I229" s="48"/>
      <c r="J229" s="122"/>
    </row>
    <row r="230" spans="3:10">
      <c r="C230" s="48"/>
      <c r="D230" s="122"/>
      <c r="E230" s="48"/>
      <c r="F230" s="122"/>
      <c r="G230" s="48"/>
      <c r="H230" s="122"/>
      <c r="I230" s="48"/>
      <c r="J230" s="122"/>
    </row>
    <row r="231" spans="3:10">
      <c r="C231" s="48"/>
      <c r="D231" s="122"/>
      <c r="E231" s="48"/>
      <c r="F231" s="122"/>
      <c r="G231" s="48"/>
      <c r="H231" s="122"/>
      <c r="I231" s="48"/>
      <c r="J231" s="122"/>
    </row>
    <row r="232" spans="3:10">
      <c r="C232" s="48"/>
      <c r="D232" s="122"/>
      <c r="E232" s="48"/>
      <c r="F232" s="122"/>
      <c r="G232" s="48"/>
      <c r="H232" s="122"/>
      <c r="I232" s="48"/>
      <c r="J232" s="122"/>
    </row>
    <row r="233" spans="3:10">
      <c r="C233" s="48"/>
      <c r="D233" s="122"/>
      <c r="E233" s="48"/>
      <c r="F233" s="122"/>
      <c r="G233" s="48"/>
      <c r="H233" s="122"/>
      <c r="I233" s="48"/>
      <c r="J233" s="122"/>
    </row>
    <row r="234" spans="3:10">
      <c r="C234" s="48"/>
      <c r="D234" s="122"/>
      <c r="E234" s="48"/>
      <c r="F234" s="122"/>
      <c r="G234" s="48"/>
      <c r="H234" s="122"/>
      <c r="I234" s="48"/>
      <c r="J234" s="122"/>
    </row>
    <row r="235" spans="3:10">
      <c r="C235" s="48"/>
      <c r="D235" s="122"/>
      <c r="E235" s="48"/>
      <c r="F235" s="122"/>
      <c r="G235" s="48"/>
      <c r="H235" s="122"/>
      <c r="I235" s="48"/>
      <c r="J235" s="122"/>
    </row>
    <row r="236" spans="3:10">
      <c r="C236" s="48"/>
      <c r="D236" s="122"/>
      <c r="E236" s="48"/>
      <c r="F236" s="122"/>
      <c r="G236" s="48"/>
      <c r="H236" s="122"/>
      <c r="I236" s="48"/>
      <c r="J236" s="122"/>
    </row>
    <row r="237" spans="3:10">
      <c r="C237" s="48"/>
      <c r="D237" s="122"/>
      <c r="E237" s="48"/>
      <c r="F237" s="122"/>
      <c r="G237" s="48"/>
      <c r="H237" s="122"/>
      <c r="I237" s="48"/>
      <c r="J237" s="122"/>
    </row>
    <row r="238" spans="3:10">
      <c r="C238" s="48"/>
      <c r="D238" s="122"/>
      <c r="E238" s="48"/>
      <c r="F238" s="122"/>
      <c r="G238" s="48"/>
      <c r="H238" s="122"/>
      <c r="I238" s="48"/>
      <c r="J238" s="122"/>
    </row>
    <row r="239" spans="3:10">
      <c r="C239" s="48"/>
      <c r="D239" s="122"/>
      <c r="E239" s="48"/>
      <c r="F239" s="122"/>
      <c r="G239" s="48"/>
      <c r="H239" s="122"/>
      <c r="I239" s="48"/>
      <c r="J239" s="122"/>
    </row>
    <row r="240" spans="3:10">
      <c r="C240" s="48"/>
      <c r="D240" s="122"/>
      <c r="E240" s="48"/>
      <c r="F240" s="122"/>
      <c r="G240" s="48"/>
      <c r="H240" s="122"/>
      <c r="I240" s="48"/>
      <c r="J240" s="122"/>
    </row>
    <row r="241" spans="3:10">
      <c r="C241" s="48"/>
      <c r="D241" s="122"/>
      <c r="E241" s="48"/>
      <c r="F241" s="122"/>
      <c r="G241" s="48"/>
      <c r="H241" s="122"/>
      <c r="I241" s="48"/>
      <c r="J241" s="122"/>
    </row>
    <row r="242" spans="3:10">
      <c r="C242" s="48"/>
      <c r="D242" s="122"/>
      <c r="E242" s="48"/>
      <c r="F242" s="122"/>
      <c r="G242" s="48"/>
      <c r="H242" s="122"/>
      <c r="I242" s="48"/>
      <c r="J242" s="122"/>
    </row>
    <row r="243" spans="3:10">
      <c r="C243" s="48"/>
      <c r="D243" s="122"/>
      <c r="E243" s="48"/>
      <c r="F243" s="122"/>
      <c r="G243" s="48"/>
      <c r="H243" s="122"/>
      <c r="I243" s="48"/>
      <c r="J243" s="122"/>
    </row>
    <row r="244" spans="3:10">
      <c r="C244" s="48"/>
      <c r="D244" s="122"/>
      <c r="E244" s="48"/>
      <c r="F244" s="122"/>
      <c r="G244" s="48"/>
      <c r="H244" s="122"/>
      <c r="I244" s="48"/>
      <c r="J244" s="122"/>
    </row>
    <row r="245" spans="3:10">
      <c r="C245" s="48"/>
      <c r="D245" s="122"/>
      <c r="E245" s="48"/>
      <c r="F245" s="122"/>
      <c r="G245" s="48"/>
      <c r="H245" s="122"/>
      <c r="I245" s="48"/>
      <c r="J245" s="122"/>
    </row>
    <row r="246" spans="3:10">
      <c r="C246" s="48"/>
      <c r="D246" s="122"/>
      <c r="E246" s="48"/>
      <c r="F246" s="122"/>
      <c r="G246" s="48"/>
      <c r="H246" s="122"/>
      <c r="I246" s="48"/>
      <c r="J246" s="122"/>
    </row>
    <row r="247" spans="3:10">
      <c r="C247" s="48"/>
      <c r="D247" s="122"/>
      <c r="E247" s="48"/>
      <c r="F247" s="122"/>
      <c r="G247" s="48"/>
      <c r="H247" s="122"/>
      <c r="I247" s="48"/>
      <c r="J247" s="122"/>
    </row>
    <row r="248" spans="3:10">
      <c r="C248" s="48"/>
      <c r="D248" s="122"/>
      <c r="E248" s="48"/>
      <c r="F248" s="122"/>
      <c r="G248" s="48"/>
      <c r="H248" s="122"/>
      <c r="I248" s="48"/>
      <c r="J248" s="122"/>
    </row>
    <row r="249" spans="3:10">
      <c r="C249" s="48"/>
      <c r="D249" s="122"/>
      <c r="E249" s="48"/>
      <c r="F249" s="122"/>
      <c r="G249" s="48"/>
      <c r="H249" s="122"/>
      <c r="I249" s="48"/>
      <c r="J249" s="122"/>
    </row>
    <row r="250" spans="3:10">
      <c r="C250" s="48"/>
      <c r="D250" s="122"/>
      <c r="E250" s="48"/>
      <c r="F250" s="122"/>
      <c r="G250" s="48"/>
      <c r="H250" s="122"/>
      <c r="I250" s="48"/>
      <c r="J250" s="122"/>
    </row>
    <row r="251" spans="3:10">
      <c r="C251" s="48"/>
      <c r="D251" s="122"/>
      <c r="E251" s="48"/>
      <c r="F251" s="122"/>
      <c r="G251" s="48"/>
      <c r="H251" s="122"/>
      <c r="I251" s="48"/>
      <c r="J251" s="122"/>
    </row>
    <row r="252" spans="3:10">
      <c r="C252" s="48"/>
      <c r="D252" s="122"/>
      <c r="E252" s="48"/>
      <c r="F252" s="122"/>
      <c r="G252" s="48"/>
      <c r="H252" s="122"/>
      <c r="I252" s="48"/>
      <c r="J252" s="122"/>
    </row>
    <row r="253" spans="3:10">
      <c r="C253" s="48"/>
      <c r="D253" s="122"/>
      <c r="E253" s="48"/>
      <c r="F253" s="122"/>
      <c r="G253" s="48"/>
      <c r="H253" s="122"/>
      <c r="I253" s="48"/>
      <c r="J253" s="122"/>
    </row>
    <row r="254" spans="3:10">
      <c r="C254" s="48"/>
      <c r="D254" s="122"/>
      <c r="E254" s="48"/>
      <c r="F254" s="122"/>
      <c r="G254" s="48"/>
      <c r="H254" s="122"/>
      <c r="I254" s="48"/>
      <c r="J254" s="122"/>
    </row>
    <row r="255" spans="3:10">
      <c r="C255" s="48"/>
      <c r="D255" s="122"/>
      <c r="E255" s="48"/>
      <c r="F255" s="122"/>
      <c r="G255" s="48"/>
      <c r="H255" s="122"/>
      <c r="I255" s="48"/>
      <c r="J255" s="122"/>
    </row>
    <row r="256" spans="3:10">
      <c r="C256" s="48"/>
      <c r="D256" s="122"/>
      <c r="E256" s="48"/>
      <c r="F256" s="122"/>
      <c r="G256" s="48"/>
      <c r="H256" s="122"/>
      <c r="I256" s="48"/>
      <c r="J256" s="122"/>
    </row>
    <row r="257" spans="3:10">
      <c r="C257" s="48"/>
      <c r="D257" s="122"/>
      <c r="E257" s="48"/>
      <c r="F257" s="122"/>
      <c r="G257" s="48"/>
      <c r="H257" s="122"/>
      <c r="I257" s="48"/>
      <c r="J257" s="122"/>
    </row>
    <row r="258" spans="3:10">
      <c r="C258" s="48"/>
      <c r="D258" s="122"/>
      <c r="E258" s="48"/>
      <c r="F258" s="122"/>
      <c r="G258" s="48"/>
      <c r="H258" s="122"/>
      <c r="I258" s="48"/>
      <c r="J258" s="122"/>
    </row>
    <row r="259" spans="3:10">
      <c r="C259" s="48"/>
      <c r="D259" s="122"/>
      <c r="E259" s="48"/>
      <c r="F259" s="122"/>
      <c r="G259" s="48"/>
      <c r="H259" s="122"/>
      <c r="I259" s="48"/>
      <c r="J259" s="122"/>
    </row>
    <row r="260" spans="3:10">
      <c r="C260" s="48"/>
      <c r="D260" s="122"/>
      <c r="E260" s="48"/>
      <c r="F260" s="122"/>
      <c r="G260" s="48"/>
      <c r="H260" s="122"/>
      <c r="I260" s="48"/>
      <c r="J260" s="122"/>
    </row>
    <row r="261" spans="3:10">
      <c r="C261" s="48"/>
      <c r="D261" s="122"/>
      <c r="E261" s="48"/>
      <c r="F261" s="122"/>
      <c r="G261" s="48"/>
      <c r="H261" s="122"/>
      <c r="I261" s="48"/>
      <c r="J261" s="122"/>
    </row>
    <row r="262" spans="3:10">
      <c r="C262" s="48"/>
      <c r="D262" s="122"/>
      <c r="E262" s="48"/>
      <c r="F262" s="122"/>
      <c r="G262" s="48"/>
      <c r="H262" s="122"/>
      <c r="I262" s="48"/>
      <c r="J262" s="122"/>
    </row>
    <row r="263" spans="3:10">
      <c r="C263" s="48"/>
      <c r="D263" s="122"/>
      <c r="E263" s="48"/>
      <c r="F263" s="122"/>
      <c r="G263" s="48"/>
      <c r="H263" s="122"/>
      <c r="I263" s="48"/>
      <c r="J263" s="122"/>
    </row>
    <row r="264" spans="3:10">
      <c r="C264" s="48"/>
      <c r="D264" s="122"/>
      <c r="E264" s="48"/>
      <c r="F264" s="122"/>
      <c r="G264" s="48"/>
      <c r="H264" s="122"/>
      <c r="I264" s="48"/>
      <c r="J264" s="122"/>
    </row>
    <row r="265" spans="3:10">
      <c r="C265" s="48"/>
      <c r="D265" s="122"/>
      <c r="E265" s="48"/>
      <c r="F265" s="122"/>
      <c r="G265" s="48"/>
      <c r="H265" s="122"/>
      <c r="I265" s="48"/>
      <c r="J265" s="122"/>
    </row>
    <row r="266" spans="3:10">
      <c r="C266" s="48"/>
      <c r="D266" s="122"/>
      <c r="E266" s="48"/>
      <c r="F266" s="122"/>
      <c r="G266" s="48"/>
      <c r="H266" s="122"/>
      <c r="I266" s="48"/>
      <c r="J266" s="122"/>
    </row>
    <row r="267" spans="3:10">
      <c r="C267" s="48"/>
      <c r="D267" s="122"/>
      <c r="E267" s="48"/>
      <c r="F267" s="122"/>
      <c r="G267" s="48"/>
      <c r="H267" s="122"/>
      <c r="I267" s="48"/>
      <c r="J267" s="122"/>
    </row>
    <row r="268" spans="3:10">
      <c r="C268" s="48"/>
      <c r="D268" s="122"/>
      <c r="E268" s="48"/>
      <c r="F268" s="122"/>
      <c r="G268" s="48"/>
      <c r="H268" s="122"/>
      <c r="I268" s="48"/>
      <c r="J268" s="122"/>
    </row>
    <row r="269" spans="3:10">
      <c r="C269" s="48"/>
      <c r="D269" s="122"/>
      <c r="E269" s="48"/>
      <c r="F269" s="122"/>
      <c r="G269" s="48"/>
      <c r="H269" s="122"/>
      <c r="I269" s="48"/>
      <c r="J269" s="122"/>
    </row>
    <row r="270" spans="3:10">
      <c r="C270" s="48"/>
      <c r="D270" s="122"/>
      <c r="E270" s="48"/>
      <c r="F270" s="122"/>
      <c r="G270" s="48"/>
      <c r="H270" s="122"/>
      <c r="I270" s="48"/>
      <c r="J270" s="122"/>
    </row>
    <row r="271" spans="3:10">
      <c r="C271" s="48"/>
      <c r="D271" s="122"/>
      <c r="E271" s="48"/>
      <c r="F271" s="122"/>
      <c r="G271" s="48"/>
      <c r="H271" s="122"/>
      <c r="I271" s="48"/>
      <c r="J271" s="122"/>
    </row>
    <row r="272" spans="3:10">
      <c r="C272" s="48"/>
      <c r="D272" s="122"/>
      <c r="E272" s="48"/>
      <c r="F272" s="122"/>
      <c r="G272" s="48"/>
      <c r="H272" s="122"/>
      <c r="I272" s="48"/>
      <c r="J272" s="122"/>
    </row>
    <row r="273" spans="3:10">
      <c r="C273" s="48"/>
      <c r="D273" s="122"/>
      <c r="E273" s="48"/>
      <c r="F273" s="122"/>
      <c r="G273" s="48"/>
      <c r="H273" s="122"/>
      <c r="I273" s="48"/>
      <c r="J273" s="122"/>
    </row>
    <row r="274" spans="3:10">
      <c r="C274" s="48"/>
      <c r="D274" s="122"/>
      <c r="E274" s="48"/>
      <c r="F274" s="122"/>
      <c r="G274" s="48"/>
      <c r="H274" s="122"/>
      <c r="I274" s="48"/>
      <c r="J274" s="122"/>
    </row>
    <row r="275" spans="3:10">
      <c r="C275" s="48"/>
      <c r="D275" s="122"/>
      <c r="E275" s="48"/>
      <c r="F275" s="122"/>
      <c r="G275" s="48"/>
      <c r="H275" s="122"/>
      <c r="I275" s="48"/>
      <c r="J275" s="122"/>
    </row>
    <row r="276" spans="3:10">
      <c r="C276" s="48"/>
      <c r="D276" s="122"/>
      <c r="E276" s="48"/>
      <c r="F276" s="122"/>
      <c r="G276" s="48"/>
      <c r="H276" s="122"/>
      <c r="I276" s="48"/>
      <c r="J276" s="122"/>
    </row>
    <row r="277" spans="3:10">
      <c r="C277" s="48"/>
      <c r="D277" s="122"/>
      <c r="E277" s="48"/>
      <c r="F277" s="122"/>
      <c r="G277" s="48"/>
      <c r="H277" s="122"/>
      <c r="I277" s="48"/>
      <c r="J277" s="122"/>
    </row>
    <row r="278" spans="3:10">
      <c r="C278" s="48"/>
      <c r="D278" s="122"/>
      <c r="E278" s="48"/>
      <c r="F278" s="122"/>
      <c r="G278" s="48"/>
      <c r="H278" s="122"/>
      <c r="I278" s="48"/>
      <c r="J278" s="122"/>
    </row>
    <row r="279" spans="3:10">
      <c r="C279" s="48"/>
      <c r="D279" s="122"/>
      <c r="E279" s="48"/>
      <c r="F279" s="122"/>
      <c r="G279" s="48"/>
      <c r="H279" s="122"/>
      <c r="I279" s="48"/>
      <c r="J279" s="122"/>
    </row>
    <row r="280" spans="3:10">
      <c r="C280" s="48"/>
      <c r="D280" s="122"/>
      <c r="E280" s="48"/>
      <c r="F280" s="122"/>
      <c r="G280" s="48"/>
      <c r="H280" s="122"/>
      <c r="I280" s="48"/>
      <c r="J280" s="122"/>
    </row>
    <row r="281" spans="3:10">
      <c r="C281" s="48"/>
      <c r="D281" s="122"/>
      <c r="E281" s="48"/>
      <c r="F281" s="122"/>
      <c r="G281" s="48"/>
      <c r="H281" s="122"/>
      <c r="I281" s="48"/>
      <c r="J281" s="122"/>
    </row>
    <row r="282" spans="3:10">
      <c r="C282" s="48"/>
      <c r="D282" s="122"/>
      <c r="E282" s="48"/>
      <c r="F282" s="122"/>
      <c r="G282" s="48"/>
      <c r="H282" s="122"/>
      <c r="I282" s="48"/>
      <c r="J282" s="122"/>
    </row>
    <row r="283" spans="3:10">
      <c r="C283" s="48"/>
      <c r="D283" s="122"/>
      <c r="E283" s="48"/>
      <c r="F283" s="122"/>
      <c r="G283" s="48"/>
      <c r="H283" s="122"/>
      <c r="I283" s="48"/>
      <c r="J283" s="122"/>
    </row>
    <row r="284" spans="3:10">
      <c r="C284" s="48"/>
      <c r="D284" s="122"/>
      <c r="E284" s="48"/>
      <c r="F284" s="122"/>
      <c r="G284" s="48"/>
      <c r="H284" s="122"/>
      <c r="I284" s="48"/>
      <c r="J284" s="122"/>
    </row>
    <row r="285" spans="3:10">
      <c r="C285" s="48"/>
      <c r="D285" s="122"/>
      <c r="E285" s="48"/>
      <c r="F285" s="122"/>
      <c r="G285" s="48"/>
      <c r="H285" s="122"/>
      <c r="I285" s="48"/>
      <c r="J285" s="122"/>
    </row>
    <row r="286" spans="3:10">
      <c r="C286" s="48"/>
      <c r="D286" s="122"/>
      <c r="E286" s="48"/>
      <c r="F286" s="122"/>
      <c r="G286" s="48"/>
      <c r="H286" s="122"/>
      <c r="I286" s="48"/>
      <c r="J286" s="122"/>
    </row>
    <row r="287" spans="3:10">
      <c r="C287" s="48"/>
      <c r="D287" s="122"/>
      <c r="E287" s="48"/>
      <c r="F287" s="122"/>
      <c r="G287" s="48"/>
      <c r="H287" s="122"/>
      <c r="I287" s="48"/>
      <c r="J287" s="122"/>
    </row>
    <row r="288" spans="3:10">
      <c r="C288" s="48"/>
      <c r="D288" s="122"/>
      <c r="E288" s="48"/>
      <c r="F288" s="122"/>
      <c r="G288" s="48"/>
      <c r="H288" s="122"/>
      <c r="I288" s="48"/>
      <c r="J288" s="122"/>
    </row>
    <row r="289" spans="3:10">
      <c r="C289" s="48"/>
      <c r="D289" s="122"/>
      <c r="E289" s="48"/>
      <c r="F289" s="122"/>
      <c r="G289" s="48"/>
      <c r="H289" s="122"/>
      <c r="I289" s="48"/>
      <c r="J289" s="122"/>
    </row>
    <row r="290" spans="3:10">
      <c r="C290" s="48"/>
      <c r="D290" s="122"/>
      <c r="E290" s="48"/>
      <c r="F290" s="122"/>
      <c r="G290" s="48"/>
      <c r="H290" s="122"/>
      <c r="I290" s="48"/>
      <c r="J290" s="122"/>
    </row>
    <row r="291" spans="3:10">
      <c r="C291" s="48"/>
      <c r="D291" s="122"/>
      <c r="E291" s="48"/>
      <c r="F291" s="122"/>
      <c r="G291" s="48"/>
      <c r="H291" s="122"/>
      <c r="I291" s="48"/>
      <c r="J291" s="122"/>
    </row>
    <row r="292" spans="3:10">
      <c r="C292" s="48"/>
      <c r="D292" s="122"/>
      <c r="E292" s="48"/>
      <c r="F292" s="122"/>
      <c r="G292" s="48"/>
      <c r="H292" s="122"/>
      <c r="I292" s="48"/>
      <c r="J292" s="122"/>
    </row>
    <row r="293" spans="3:10">
      <c r="C293" s="48"/>
      <c r="D293" s="122"/>
      <c r="E293" s="48"/>
      <c r="F293" s="122"/>
      <c r="G293" s="48"/>
      <c r="H293" s="122"/>
      <c r="I293" s="48"/>
      <c r="J293" s="122"/>
    </row>
    <row r="294" spans="3:10">
      <c r="C294" s="48"/>
      <c r="D294" s="122"/>
      <c r="E294" s="48"/>
      <c r="F294" s="122"/>
      <c r="G294" s="48"/>
      <c r="H294" s="122"/>
      <c r="I294" s="48"/>
      <c r="J294" s="122"/>
    </row>
    <row r="295" spans="3:10">
      <c r="C295" s="48"/>
      <c r="D295" s="122"/>
      <c r="E295" s="48"/>
      <c r="F295" s="122"/>
      <c r="G295" s="48"/>
      <c r="H295" s="122"/>
      <c r="I295" s="48"/>
      <c r="J295" s="122"/>
    </row>
    <row r="296" spans="3:10">
      <c r="C296" s="48"/>
      <c r="D296" s="122"/>
      <c r="E296" s="48"/>
      <c r="F296" s="122"/>
      <c r="G296" s="48"/>
      <c r="H296" s="122"/>
      <c r="I296" s="48"/>
      <c r="J296" s="122"/>
    </row>
    <row r="297" spans="3:10">
      <c r="C297" s="48"/>
      <c r="D297" s="122"/>
      <c r="E297" s="48"/>
      <c r="F297" s="122"/>
      <c r="G297" s="48"/>
      <c r="H297" s="122"/>
      <c r="I297" s="48"/>
      <c r="J297" s="122"/>
    </row>
    <row r="298" spans="3:10">
      <c r="C298" s="48"/>
      <c r="D298" s="122"/>
      <c r="E298" s="48"/>
      <c r="F298" s="122"/>
      <c r="G298" s="48"/>
      <c r="H298" s="122"/>
      <c r="I298" s="48"/>
      <c r="J298" s="122"/>
    </row>
    <row r="299" spans="3:10">
      <c r="C299" s="48"/>
      <c r="D299" s="122"/>
      <c r="E299" s="48"/>
      <c r="F299" s="122"/>
      <c r="G299" s="48"/>
      <c r="H299" s="122"/>
      <c r="I299" s="48"/>
      <c r="J299" s="122"/>
    </row>
    <row r="300" spans="3:10">
      <c r="C300" s="48"/>
      <c r="D300" s="122"/>
      <c r="E300" s="48"/>
      <c r="F300" s="122"/>
      <c r="G300" s="48"/>
      <c r="H300" s="122"/>
      <c r="I300" s="48"/>
      <c r="J300" s="122"/>
    </row>
    <row r="301" spans="3:10">
      <c r="C301" s="48"/>
      <c r="D301" s="122"/>
      <c r="E301" s="48"/>
      <c r="F301" s="122"/>
      <c r="G301" s="48"/>
      <c r="H301" s="122"/>
      <c r="I301" s="48"/>
      <c r="J301" s="122"/>
    </row>
    <row r="302" spans="3:10">
      <c r="C302" s="48"/>
      <c r="D302" s="122"/>
      <c r="E302" s="48"/>
      <c r="F302" s="122"/>
      <c r="G302" s="48"/>
      <c r="H302" s="122"/>
      <c r="I302" s="48"/>
      <c r="J302" s="122"/>
    </row>
    <row r="303" spans="3:10">
      <c r="C303" s="48"/>
      <c r="D303" s="122"/>
      <c r="E303" s="48"/>
      <c r="F303" s="122"/>
      <c r="G303" s="48"/>
      <c r="H303" s="122"/>
      <c r="I303" s="48"/>
      <c r="J303" s="122"/>
    </row>
    <row r="304" spans="3:10">
      <c r="C304" s="48"/>
      <c r="D304" s="122"/>
      <c r="E304" s="48"/>
      <c r="F304" s="122"/>
      <c r="G304" s="48"/>
      <c r="H304" s="122"/>
      <c r="I304" s="48"/>
      <c r="J304" s="122"/>
    </row>
    <row r="305" spans="3:10">
      <c r="C305" s="48"/>
      <c r="D305" s="122"/>
      <c r="E305" s="48"/>
      <c r="F305" s="122"/>
      <c r="G305" s="48"/>
      <c r="H305" s="122"/>
      <c r="I305" s="48"/>
      <c r="J305" s="122"/>
    </row>
    <row r="306" spans="3:10">
      <c r="C306" s="48"/>
      <c r="D306" s="122"/>
      <c r="E306" s="48"/>
      <c r="F306" s="122"/>
      <c r="G306" s="48"/>
      <c r="H306" s="122"/>
      <c r="I306" s="48"/>
      <c r="J306" s="122"/>
    </row>
    <row r="307" spans="3:10">
      <c r="C307" s="48"/>
      <c r="D307" s="122"/>
      <c r="E307" s="48"/>
      <c r="F307" s="122"/>
      <c r="G307" s="48"/>
      <c r="H307" s="122"/>
      <c r="I307" s="48"/>
      <c r="J307" s="122"/>
    </row>
    <row r="308" spans="3:10">
      <c r="C308" s="48"/>
      <c r="D308" s="122"/>
      <c r="E308" s="48"/>
      <c r="F308" s="122"/>
      <c r="G308" s="48"/>
      <c r="H308" s="122"/>
      <c r="I308" s="48"/>
      <c r="J308" s="122"/>
    </row>
    <row r="309" spans="3:10">
      <c r="C309" s="48"/>
      <c r="D309" s="122"/>
      <c r="E309" s="48"/>
      <c r="F309" s="122"/>
      <c r="G309" s="48"/>
      <c r="H309" s="122"/>
      <c r="I309" s="48"/>
      <c r="J309" s="122"/>
    </row>
    <row r="310" spans="3:10">
      <c r="C310" s="48"/>
      <c r="D310" s="122"/>
      <c r="E310" s="48"/>
      <c r="F310" s="122"/>
      <c r="G310" s="48"/>
      <c r="H310" s="122"/>
      <c r="I310" s="48"/>
      <c r="J310" s="122"/>
    </row>
    <row r="311" spans="3:10">
      <c r="C311" s="48"/>
      <c r="D311" s="122"/>
      <c r="E311" s="48"/>
      <c r="F311" s="122"/>
      <c r="G311" s="48"/>
      <c r="H311" s="122"/>
      <c r="I311" s="48"/>
      <c r="J311" s="122"/>
    </row>
    <row r="312" spans="3:10">
      <c r="C312" s="48"/>
      <c r="D312" s="122"/>
      <c r="E312" s="48"/>
      <c r="F312" s="122"/>
      <c r="G312" s="48"/>
      <c r="H312" s="122"/>
      <c r="I312" s="48"/>
      <c r="J312" s="122"/>
    </row>
    <row r="313" spans="3:10">
      <c r="C313" s="48"/>
      <c r="D313" s="122"/>
      <c r="E313" s="48"/>
      <c r="F313" s="122"/>
      <c r="G313" s="48"/>
      <c r="H313" s="122"/>
      <c r="I313" s="48"/>
      <c r="J313" s="122"/>
    </row>
    <row r="314" spans="3:10">
      <c r="C314" s="48"/>
      <c r="D314" s="122"/>
      <c r="E314" s="48"/>
      <c r="F314" s="122"/>
      <c r="G314" s="48"/>
      <c r="H314" s="122"/>
      <c r="I314" s="48"/>
      <c r="J314" s="122"/>
    </row>
    <row r="315" spans="3:10">
      <c r="C315" s="48"/>
      <c r="D315" s="122"/>
      <c r="E315" s="48"/>
      <c r="F315" s="122"/>
      <c r="G315" s="48"/>
      <c r="H315" s="122"/>
      <c r="I315" s="48"/>
      <c r="J315" s="122"/>
    </row>
    <row r="316" spans="3:10">
      <c r="C316" s="48"/>
      <c r="D316" s="122"/>
      <c r="E316" s="48"/>
      <c r="F316" s="122"/>
      <c r="G316" s="48"/>
      <c r="H316" s="122"/>
      <c r="I316" s="48"/>
      <c r="J316" s="122"/>
    </row>
    <row r="317" spans="3:10">
      <c r="C317" s="48"/>
      <c r="D317" s="122"/>
      <c r="E317" s="48"/>
      <c r="F317" s="122"/>
      <c r="G317" s="48"/>
      <c r="H317" s="122"/>
      <c r="I317" s="48"/>
      <c r="J317" s="122"/>
    </row>
    <row r="318" spans="3:10">
      <c r="C318" s="48"/>
      <c r="D318" s="122"/>
      <c r="E318" s="48"/>
      <c r="F318" s="122"/>
      <c r="G318" s="48"/>
      <c r="H318" s="122"/>
      <c r="I318" s="48"/>
      <c r="J318" s="122"/>
    </row>
    <row r="319" spans="3:10">
      <c r="C319" s="48"/>
      <c r="D319" s="122"/>
      <c r="E319" s="48"/>
      <c r="F319" s="122"/>
      <c r="G319" s="48"/>
      <c r="H319" s="122"/>
      <c r="I319" s="48"/>
      <c r="J319" s="122"/>
    </row>
    <row r="320" spans="3:10">
      <c r="C320" s="48"/>
      <c r="D320" s="122"/>
      <c r="E320" s="48"/>
      <c r="F320" s="122"/>
      <c r="G320" s="48"/>
      <c r="H320" s="122"/>
      <c r="I320" s="48"/>
      <c r="J320" s="122"/>
    </row>
    <row r="321" spans="3:10">
      <c r="C321" s="48"/>
      <c r="D321" s="122"/>
      <c r="E321" s="48"/>
      <c r="F321" s="122"/>
      <c r="G321" s="48"/>
      <c r="H321" s="122"/>
      <c r="I321" s="48"/>
      <c r="J321" s="122"/>
    </row>
    <row r="322" spans="3:10">
      <c r="C322" s="48"/>
      <c r="D322" s="122"/>
      <c r="E322" s="48"/>
      <c r="F322" s="122"/>
      <c r="G322" s="48"/>
      <c r="H322" s="122"/>
      <c r="I322" s="48"/>
      <c r="J322" s="122"/>
    </row>
    <row r="323" spans="3:10">
      <c r="C323" s="48"/>
      <c r="D323" s="122"/>
      <c r="E323" s="48"/>
      <c r="F323" s="122"/>
      <c r="G323" s="48"/>
      <c r="H323" s="122"/>
      <c r="I323" s="48"/>
      <c r="J323" s="122"/>
    </row>
    <row r="324" spans="3:10">
      <c r="C324" s="48"/>
      <c r="D324" s="122"/>
      <c r="E324" s="48"/>
      <c r="F324" s="122"/>
      <c r="G324" s="48"/>
      <c r="H324" s="122"/>
      <c r="I324" s="48"/>
      <c r="J324" s="122"/>
    </row>
    <row r="325" spans="3:10">
      <c r="C325" s="48"/>
      <c r="D325" s="122"/>
      <c r="E325" s="48"/>
      <c r="F325" s="122"/>
      <c r="G325" s="48"/>
      <c r="H325" s="122"/>
      <c r="I325" s="48"/>
      <c r="J325" s="122"/>
    </row>
    <row r="326" spans="3:10">
      <c r="C326" s="48"/>
      <c r="D326" s="122"/>
      <c r="E326" s="48"/>
      <c r="F326" s="122"/>
      <c r="G326" s="48"/>
      <c r="H326" s="122"/>
      <c r="I326" s="48"/>
      <c r="J326" s="122"/>
    </row>
    <row r="327" spans="3:10">
      <c r="C327" s="48"/>
      <c r="D327" s="122"/>
      <c r="E327" s="48"/>
      <c r="F327" s="122"/>
      <c r="G327" s="48"/>
      <c r="H327" s="122"/>
      <c r="I327" s="48"/>
      <c r="J327" s="122"/>
    </row>
    <row r="328" spans="3:10">
      <c r="C328" s="48"/>
      <c r="D328" s="122"/>
      <c r="E328" s="48"/>
      <c r="F328" s="122"/>
      <c r="G328" s="48"/>
      <c r="H328" s="122"/>
      <c r="I328" s="48"/>
      <c r="J328" s="122"/>
    </row>
    <row r="329" spans="3:10">
      <c r="C329" s="48"/>
      <c r="D329" s="122"/>
      <c r="E329" s="48"/>
      <c r="F329" s="122"/>
      <c r="G329" s="48"/>
      <c r="H329" s="122"/>
      <c r="I329" s="48"/>
      <c r="J329" s="122"/>
    </row>
    <row r="330" spans="3:10">
      <c r="C330" s="48"/>
      <c r="D330" s="122"/>
      <c r="E330" s="48"/>
      <c r="F330" s="122"/>
      <c r="G330" s="48"/>
      <c r="H330" s="122"/>
      <c r="I330" s="48"/>
      <c r="J330" s="122"/>
    </row>
    <row r="331" spans="3:10">
      <c r="C331" s="48"/>
      <c r="D331" s="122"/>
      <c r="E331" s="48"/>
      <c r="F331" s="122"/>
      <c r="G331" s="48"/>
      <c r="H331" s="122"/>
      <c r="I331" s="48"/>
      <c r="J331" s="122"/>
    </row>
    <row r="332" spans="3:10">
      <c r="C332" s="48"/>
      <c r="D332" s="122"/>
      <c r="E332" s="48"/>
      <c r="F332" s="122"/>
      <c r="G332" s="48"/>
      <c r="H332" s="122"/>
      <c r="I332" s="48"/>
      <c r="J332" s="122"/>
    </row>
    <row r="333" spans="3:10">
      <c r="C333" s="48"/>
      <c r="D333" s="122"/>
      <c r="E333" s="48"/>
      <c r="F333" s="122"/>
      <c r="G333" s="48"/>
      <c r="H333" s="122"/>
      <c r="I333" s="48"/>
      <c r="J333" s="122"/>
    </row>
    <row r="334" spans="3:10">
      <c r="C334" s="48"/>
      <c r="D334" s="122"/>
      <c r="E334" s="48"/>
      <c r="F334" s="122"/>
      <c r="G334" s="48"/>
      <c r="H334" s="122"/>
      <c r="I334" s="48"/>
      <c r="J334" s="122"/>
    </row>
    <row r="335" spans="3:10">
      <c r="C335" s="48"/>
      <c r="D335" s="122"/>
      <c r="E335" s="48"/>
      <c r="F335" s="122"/>
      <c r="G335" s="48"/>
      <c r="H335" s="122"/>
      <c r="I335" s="48"/>
      <c r="J335" s="122"/>
    </row>
    <row r="336" spans="3:10">
      <c r="C336" s="48"/>
      <c r="D336" s="122"/>
      <c r="E336" s="48"/>
      <c r="F336" s="122"/>
      <c r="G336" s="48"/>
      <c r="H336" s="122"/>
      <c r="I336" s="48"/>
      <c r="J336" s="122"/>
    </row>
    <row r="337" spans="3:10">
      <c r="C337" s="48"/>
      <c r="D337" s="122"/>
      <c r="E337" s="48"/>
      <c r="F337" s="122"/>
      <c r="G337" s="48"/>
      <c r="H337" s="122"/>
      <c r="I337" s="48"/>
      <c r="J337" s="122"/>
    </row>
    <row r="338" spans="3:10">
      <c r="C338" s="48"/>
      <c r="D338" s="122"/>
      <c r="E338" s="48"/>
      <c r="F338" s="122"/>
      <c r="G338" s="48"/>
      <c r="H338" s="122"/>
      <c r="I338" s="48"/>
      <c r="J338" s="122"/>
    </row>
    <row r="339" spans="3:10">
      <c r="C339" s="48"/>
      <c r="D339" s="122"/>
      <c r="E339" s="48"/>
      <c r="F339" s="122"/>
      <c r="G339" s="48"/>
      <c r="H339" s="122"/>
      <c r="I339" s="48"/>
      <c r="J339" s="122"/>
    </row>
    <row r="340" spans="3:10">
      <c r="C340" s="48"/>
      <c r="D340" s="122"/>
      <c r="E340" s="48"/>
      <c r="F340" s="122"/>
      <c r="G340" s="48"/>
      <c r="H340" s="122"/>
      <c r="I340" s="48"/>
      <c r="J340" s="122"/>
    </row>
    <row r="341" spans="3:10">
      <c r="C341" s="48"/>
      <c r="D341" s="122"/>
      <c r="E341" s="48"/>
      <c r="F341" s="122"/>
      <c r="G341" s="48"/>
      <c r="H341" s="122"/>
      <c r="I341" s="48"/>
      <c r="J341" s="122"/>
    </row>
    <row r="342" spans="3:10">
      <c r="C342" s="48"/>
      <c r="D342" s="122"/>
      <c r="E342" s="48"/>
      <c r="F342" s="122"/>
      <c r="G342" s="48"/>
      <c r="H342" s="122"/>
      <c r="I342" s="48"/>
      <c r="J342" s="122"/>
    </row>
    <row r="343" spans="3:10">
      <c r="C343" s="48"/>
      <c r="D343" s="122"/>
      <c r="E343" s="48"/>
      <c r="F343" s="122"/>
      <c r="G343" s="48"/>
      <c r="H343" s="122"/>
      <c r="I343" s="48"/>
      <c r="J343" s="122"/>
    </row>
    <row r="344" spans="3:10">
      <c r="C344" s="48"/>
      <c r="D344" s="122"/>
      <c r="E344" s="48"/>
      <c r="F344" s="122"/>
      <c r="G344" s="48"/>
      <c r="H344" s="122"/>
      <c r="I344" s="48"/>
      <c r="J344" s="122"/>
    </row>
    <row r="345" spans="3:10">
      <c r="C345" s="48"/>
      <c r="D345" s="122"/>
      <c r="E345" s="48"/>
      <c r="F345" s="122"/>
      <c r="G345" s="48"/>
      <c r="H345" s="122"/>
      <c r="I345" s="48"/>
      <c r="J345" s="122"/>
    </row>
    <row r="346" spans="3:10">
      <c r="C346" s="48"/>
      <c r="D346" s="122"/>
      <c r="E346" s="48"/>
      <c r="F346" s="122"/>
      <c r="G346" s="48"/>
      <c r="H346" s="122"/>
      <c r="I346" s="48"/>
      <c r="J346" s="122"/>
    </row>
    <row r="347" spans="3:10">
      <c r="C347" s="48"/>
      <c r="D347" s="122"/>
      <c r="E347" s="48"/>
      <c r="F347" s="122"/>
      <c r="G347" s="48"/>
      <c r="H347" s="122"/>
      <c r="I347" s="48"/>
      <c r="J347" s="122"/>
    </row>
    <row r="348" spans="3:10">
      <c r="C348" s="48"/>
      <c r="D348" s="122"/>
      <c r="E348" s="48"/>
      <c r="F348" s="122"/>
      <c r="G348" s="48"/>
      <c r="H348" s="122"/>
      <c r="I348" s="48"/>
      <c r="J348" s="122"/>
    </row>
    <row r="349" spans="3:10">
      <c r="C349" s="48"/>
      <c r="D349" s="122"/>
      <c r="E349" s="48"/>
      <c r="F349" s="122"/>
      <c r="G349" s="48"/>
      <c r="H349" s="122"/>
      <c r="I349" s="48"/>
      <c r="J349" s="122"/>
    </row>
    <row r="350" spans="3:10">
      <c r="C350" s="48"/>
      <c r="D350" s="122"/>
      <c r="E350" s="48"/>
      <c r="F350" s="122"/>
      <c r="G350" s="48"/>
      <c r="H350" s="122"/>
      <c r="I350" s="48"/>
      <c r="J350" s="122"/>
    </row>
    <row r="351" spans="3:10">
      <c r="C351" s="48"/>
      <c r="D351" s="122"/>
      <c r="E351" s="48"/>
      <c r="F351" s="122"/>
      <c r="G351" s="48"/>
      <c r="H351" s="122"/>
      <c r="I351" s="48"/>
      <c r="J351" s="122"/>
    </row>
    <row r="352" spans="3:10">
      <c r="C352" s="48"/>
      <c r="D352" s="122"/>
      <c r="E352" s="48"/>
      <c r="F352" s="122"/>
      <c r="G352" s="48"/>
      <c r="H352" s="122"/>
      <c r="I352" s="48"/>
      <c r="J352" s="122"/>
    </row>
    <row r="353" spans="3:10">
      <c r="C353" s="48"/>
      <c r="D353" s="122"/>
      <c r="E353" s="48"/>
      <c r="F353" s="122"/>
      <c r="G353" s="48"/>
      <c r="H353" s="122"/>
      <c r="I353" s="48"/>
      <c r="J353" s="122"/>
    </row>
    <row r="354" spans="3:10">
      <c r="C354" s="48"/>
      <c r="D354" s="122"/>
      <c r="E354" s="48"/>
      <c r="F354" s="122"/>
      <c r="G354" s="48"/>
      <c r="H354" s="122"/>
      <c r="I354" s="48"/>
      <c r="J354" s="122"/>
    </row>
    <row r="355" spans="3:10">
      <c r="C355" s="48"/>
      <c r="D355" s="122"/>
      <c r="E355" s="48"/>
      <c r="F355" s="122"/>
      <c r="G355" s="48"/>
      <c r="H355" s="122"/>
      <c r="I355" s="48"/>
      <c r="J355" s="122"/>
    </row>
    <row r="356" spans="3:10">
      <c r="C356" s="48"/>
      <c r="D356" s="122"/>
      <c r="E356" s="48"/>
      <c r="F356" s="122"/>
      <c r="G356" s="48"/>
      <c r="H356" s="122"/>
      <c r="I356" s="48"/>
      <c r="J356" s="122"/>
    </row>
    <row r="357" spans="3:10">
      <c r="C357" s="48"/>
      <c r="D357" s="122"/>
      <c r="E357" s="48"/>
      <c r="F357" s="122"/>
      <c r="G357" s="48"/>
      <c r="H357" s="122"/>
      <c r="I357" s="48"/>
      <c r="J357" s="122"/>
    </row>
    <row r="358" spans="3:10">
      <c r="C358" s="48"/>
      <c r="D358" s="122"/>
      <c r="E358" s="48"/>
      <c r="F358" s="122"/>
      <c r="G358" s="48"/>
      <c r="H358" s="122"/>
      <c r="I358" s="48"/>
      <c r="J358" s="122"/>
    </row>
    <row r="359" spans="3:10">
      <c r="C359" s="48"/>
      <c r="D359" s="122"/>
      <c r="E359" s="48"/>
      <c r="F359" s="122"/>
      <c r="G359" s="48"/>
      <c r="H359" s="122"/>
      <c r="I359" s="48"/>
      <c r="J359" s="122"/>
    </row>
    <row r="360" spans="3:10">
      <c r="C360" s="48"/>
      <c r="D360" s="122"/>
      <c r="E360" s="48"/>
      <c r="F360" s="122"/>
      <c r="G360" s="48"/>
      <c r="H360" s="122"/>
      <c r="I360" s="48"/>
      <c r="J360" s="122"/>
    </row>
    <row r="361" spans="3:10">
      <c r="C361" s="48"/>
      <c r="D361" s="122"/>
      <c r="E361" s="48"/>
      <c r="F361" s="122"/>
      <c r="G361" s="48"/>
      <c r="H361" s="122"/>
      <c r="I361" s="48"/>
      <c r="J361" s="122"/>
    </row>
    <row r="362" spans="3:10">
      <c r="C362" s="48"/>
      <c r="D362" s="122"/>
      <c r="E362" s="48"/>
      <c r="F362" s="122"/>
      <c r="G362" s="48"/>
      <c r="H362" s="122"/>
      <c r="I362" s="48"/>
      <c r="J362" s="122"/>
    </row>
    <row r="363" spans="3:10">
      <c r="C363" s="48"/>
      <c r="D363" s="122"/>
      <c r="E363" s="48"/>
      <c r="F363" s="122"/>
      <c r="G363" s="48"/>
      <c r="H363" s="122"/>
      <c r="I363" s="48"/>
      <c r="J363" s="122"/>
    </row>
    <row r="364" spans="3:10">
      <c r="C364" s="48"/>
      <c r="D364" s="122"/>
      <c r="E364" s="48"/>
      <c r="F364" s="122"/>
      <c r="G364" s="48"/>
      <c r="H364" s="122"/>
      <c r="I364" s="48"/>
      <c r="J364" s="122"/>
    </row>
    <row r="365" spans="3:10">
      <c r="C365" s="48"/>
      <c r="D365" s="122"/>
      <c r="E365" s="48"/>
      <c r="F365" s="122"/>
      <c r="G365" s="48"/>
      <c r="H365" s="122"/>
      <c r="I365" s="48"/>
      <c r="J365" s="122"/>
    </row>
    <row r="366" spans="3:10">
      <c r="C366" s="48"/>
      <c r="D366" s="122"/>
      <c r="E366" s="48"/>
      <c r="F366" s="122"/>
      <c r="G366" s="48"/>
      <c r="H366" s="122"/>
      <c r="I366" s="48"/>
      <c r="J366" s="122"/>
    </row>
    <row r="367" spans="3:10">
      <c r="C367" s="48"/>
      <c r="D367" s="122"/>
      <c r="E367" s="48"/>
      <c r="F367" s="122"/>
      <c r="G367" s="48"/>
      <c r="H367" s="122"/>
      <c r="I367" s="48"/>
      <c r="J367" s="122"/>
    </row>
    <row r="368" spans="3:10">
      <c r="C368" s="48"/>
      <c r="D368" s="122"/>
      <c r="E368" s="48"/>
      <c r="F368" s="122"/>
      <c r="G368" s="48"/>
      <c r="H368" s="122"/>
      <c r="I368" s="48"/>
      <c r="J368" s="122"/>
    </row>
    <row r="369" spans="3:10">
      <c r="C369" s="48"/>
      <c r="D369" s="122"/>
      <c r="E369" s="48"/>
      <c r="F369" s="122"/>
      <c r="G369" s="48"/>
      <c r="H369" s="122"/>
      <c r="I369" s="48"/>
      <c r="J369" s="122"/>
    </row>
    <row r="370" spans="3:10">
      <c r="C370" s="48"/>
      <c r="D370" s="122"/>
      <c r="E370" s="48"/>
      <c r="F370" s="122"/>
      <c r="G370" s="48"/>
      <c r="H370" s="122"/>
      <c r="I370" s="48"/>
      <c r="J370" s="122"/>
    </row>
    <row r="371" spans="3:10">
      <c r="C371" s="48"/>
      <c r="D371" s="122"/>
      <c r="E371" s="48"/>
      <c r="F371" s="122"/>
      <c r="G371" s="48"/>
      <c r="H371" s="122"/>
      <c r="I371" s="48"/>
      <c r="J371" s="122"/>
    </row>
    <row r="372" spans="3:10">
      <c r="C372" s="48"/>
      <c r="D372" s="122"/>
      <c r="E372" s="48"/>
      <c r="F372" s="122"/>
      <c r="G372" s="48"/>
      <c r="H372" s="122"/>
      <c r="I372" s="48"/>
      <c r="J372" s="122"/>
    </row>
    <row r="373" spans="3:10">
      <c r="C373" s="48"/>
      <c r="D373" s="122"/>
      <c r="E373" s="48"/>
      <c r="F373" s="122"/>
      <c r="G373" s="48"/>
      <c r="H373" s="122"/>
      <c r="I373" s="48"/>
      <c r="J373" s="122"/>
    </row>
    <row r="374" spans="3:10">
      <c r="C374" s="48"/>
      <c r="D374" s="122"/>
      <c r="E374" s="48"/>
      <c r="F374" s="122"/>
      <c r="G374" s="48"/>
      <c r="H374" s="122"/>
      <c r="I374" s="48"/>
      <c r="J374" s="122"/>
    </row>
    <row r="375" spans="3:10">
      <c r="C375" s="48"/>
      <c r="D375" s="122"/>
      <c r="E375" s="48"/>
      <c r="F375" s="122"/>
      <c r="G375" s="48"/>
      <c r="H375" s="122"/>
      <c r="I375" s="48"/>
      <c r="J375" s="122"/>
    </row>
    <row r="376" spans="3:10">
      <c r="C376" s="48"/>
      <c r="D376" s="122"/>
      <c r="E376" s="48"/>
      <c r="F376" s="122"/>
      <c r="G376" s="48"/>
      <c r="H376" s="122"/>
      <c r="I376" s="48"/>
      <c r="J376" s="122"/>
    </row>
    <row r="377" spans="3:10">
      <c r="C377" s="48"/>
      <c r="D377" s="122"/>
      <c r="E377" s="48"/>
      <c r="F377" s="122"/>
      <c r="G377" s="48"/>
      <c r="H377" s="122"/>
      <c r="I377" s="48"/>
      <c r="J377" s="122"/>
    </row>
    <row r="378" spans="3:10">
      <c r="C378" s="48"/>
      <c r="D378" s="122"/>
      <c r="E378" s="48"/>
      <c r="F378" s="122"/>
      <c r="G378" s="48"/>
      <c r="H378" s="122"/>
      <c r="I378" s="48"/>
      <c r="J378" s="122"/>
    </row>
    <row r="379" spans="3:10">
      <c r="C379" s="48"/>
      <c r="D379" s="122"/>
      <c r="E379" s="48"/>
      <c r="F379" s="122"/>
      <c r="G379" s="48"/>
      <c r="H379" s="122"/>
      <c r="I379" s="48"/>
      <c r="J379" s="122"/>
    </row>
    <row r="380" spans="3:10">
      <c r="C380" s="48"/>
      <c r="D380" s="122"/>
      <c r="E380" s="48"/>
      <c r="F380" s="122"/>
      <c r="G380" s="48"/>
      <c r="H380" s="122"/>
      <c r="I380" s="48"/>
      <c r="J380" s="122"/>
    </row>
    <row r="381" spans="3:10">
      <c r="C381" s="48"/>
      <c r="D381" s="122"/>
      <c r="E381" s="48"/>
      <c r="F381" s="122"/>
      <c r="G381" s="48"/>
      <c r="H381" s="122"/>
      <c r="I381" s="48"/>
      <c r="J381" s="122"/>
    </row>
    <row r="382" spans="3:10">
      <c r="C382" s="48"/>
      <c r="D382" s="122"/>
      <c r="E382" s="48"/>
      <c r="F382" s="122"/>
      <c r="G382" s="48"/>
      <c r="H382" s="122"/>
      <c r="I382" s="48"/>
      <c r="J382" s="122"/>
    </row>
    <row r="383" spans="3:10">
      <c r="C383" s="48"/>
      <c r="D383" s="122"/>
      <c r="E383" s="48"/>
      <c r="F383" s="122"/>
      <c r="G383" s="48"/>
      <c r="H383" s="122"/>
      <c r="I383" s="48"/>
      <c r="J383" s="122"/>
    </row>
    <row r="384" spans="3:10">
      <c r="C384" s="48"/>
      <c r="D384" s="122"/>
      <c r="E384" s="48"/>
      <c r="F384" s="122"/>
      <c r="G384" s="48"/>
      <c r="H384" s="122"/>
      <c r="I384" s="48"/>
      <c r="J384" s="122"/>
    </row>
    <row r="385" spans="3:10">
      <c r="C385" s="48"/>
      <c r="D385" s="122"/>
      <c r="E385" s="48"/>
      <c r="F385" s="122"/>
      <c r="G385" s="48"/>
      <c r="H385" s="122"/>
      <c r="I385" s="48"/>
      <c r="J385" s="122"/>
    </row>
    <row r="386" spans="3:10">
      <c r="C386" s="48"/>
      <c r="D386" s="122"/>
      <c r="E386" s="48"/>
      <c r="F386" s="122"/>
      <c r="G386" s="48"/>
      <c r="H386" s="122"/>
      <c r="I386" s="48"/>
      <c r="J386" s="122"/>
    </row>
    <row r="387" spans="3:10">
      <c r="C387" s="48"/>
      <c r="D387" s="122"/>
      <c r="E387" s="48"/>
      <c r="F387" s="122"/>
      <c r="G387" s="48"/>
      <c r="H387" s="122"/>
      <c r="I387" s="48"/>
      <c r="J387" s="122"/>
    </row>
    <row r="388" spans="3:10">
      <c r="C388" s="48"/>
      <c r="D388" s="122"/>
      <c r="E388" s="48"/>
      <c r="F388" s="122"/>
      <c r="G388" s="48"/>
      <c r="H388" s="122"/>
      <c r="I388" s="48"/>
      <c r="J388" s="122"/>
    </row>
    <row r="389" spans="3:10">
      <c r="C389" s="48"/>
      <c r="D389" s="122"/>
      <c r="E389" s="48"/>
      <c r="F389" s="122"/>
      <c r="G389" s="48"/>
      <c r="H389" s="122"/>
      <c r="I389" s="48"/>
      <c r="J389" s="122"/>
    </row>
    <row r="390" spans="3:10">
      <c r="C390" s="48"/>
      <c r="D390" s="122"/>
      <c r="E390" s="48"/>
      <c r="F390" s="122"/>
      <c r="G390" s="48"/>
      <c r="H390" s="122"/>
      <c r="I390" s="48"/>
      <c r="J390" s="122"/>
    </row>
    <row r="391" spans="3:10">
      <c r="C391" s="48"/>
      <c r="D391" s="122"/>
      <c r="E391" s="48"/>
      <c r="F391" s="122"/>
      <c r="G391" s="48"/>
      <c r="H391" s="122"/>
      <c r="I391" s="48"/>
      <c r="J391" s="122"/>
    </row>
    <row r="392" spans="3:10">
      <c r="C392" s="48"/>
      <c r="D392" s="122"/>
      <c r="E392" s="48"/>
      <c r="F392" s="122"/>
      <c r="G392" s="48"/>
      <c r="H392" s="122"/>
      <c r="I392" s="48"/>
      <c r="J392" s="122"/>
    </row>
    <row r="393" spans="3:10">
      <c r="C393" s="48"/>
      <c r="D393" s="122"/>
      <c r="E393" s="48"/>
      <c r="F393" s="122"/>
      <c r="G393" s="48"/>
      <c r="H393" s="122"/>
      <c r="I393" s="48"/>
      <c r="J393" s="122"/>
    </row>
    <row r="394" spans="3:10">
      <c r="C394" s="48"/>
      <c r="D394" s="122"/>
      <c r="E394" s="48"/>
      <c r="F394" s="122"/>
      <c r="G394" s="48"/>
      <c r="H394" s="122"/>
      <c r="I394" s="48"/>
      <c r="J394" s="122"/>
    </row>
    <row r="395" spans="3:10">
      <c r="C395" s="48"/>
      <c r="D395" s="122"/>
      <c r="E395" s="48"/>
      <c r="F395" s="122"/>
      <c r="G395" s="48"/>
      <c r="H395" s="122"/>
      <c r="I395" s="48"/>
      <c r="J395" s="122"/>
    </row>
    <row r="396" spans="3:10">
      <c r="C396" s="48"/>
      <c r="D396" s="122"/>
      <c r="E396" s="48"/>
      <c r="F396" s="122"/>
      <c r="G396" s="48"/>
      <c r="H396" s="122"/>
      <c r="I396" s="48"/>
      <c r="J396" s="122"/>
    </row>
    <row r="397" spans="3:10">
      <c r="C397" s="48"/>
      <c r="D397" s="122"/>
      <c r="E397" s="48"/>
      <c r="F397" s="122"/>
      <c r="G397" s="48"/>
      <c r="H397" s="122"/>
      <c r="I397" s="48"/>
      <c r="J397" s="122"/>
    </row>
    <row r="398" spans="3:10">
      <c r="C398" s="48"/>
      <c r="D398" s="122"/>
      <c r="E398" s="48"/>
      <c r="F398" s="122"/>
      <c r="G398" s="48"/>
      <c r="H398" s="122"/>
      <c r="I398" s="48"/>
      <c r="J398" s="122"/>
    </row>
    <row r="399" spans="3:10">
      <c r="C399" s="48"/>
      <c r="D399" s="122"/>
      <c r="E399" s="48"/>
      <c r="F399" s="122"/>
      <c r="G399" s="48"/>
      <c r="H399" s="122"/>
      <c r="I399" s="48"/>
      <c r="J399" s="122"/>
    </row>
    <row r="400" spans="3:10">
      <c r="C400" s="48"/>
      <c r="D400" s="122"/>
      <c r="E400" s="48"/>
      <c r="F400" s="122"/>
      <c r="G400" s="48"/>
      <c r="H400" s="122"/>
      <c r="I400" s="48"/>
      <c r="J400" s="122"/>
    </row>
    <row r="401" spans="3:10">
      <c r="C401" s="48"/>
      <c r="D401" s="122"/>
      <c r="E401" s="48"/>
      <c r="F401" s="122"/>
      <c r="G401" s="48"/>
      <c r="H401" s="122"/>
      <c r="I401" s="48"/>
      <c r="J401" s="122"/>
    </row>
    <row r="402" spans="3:10">
      <c r="C402" s="48"/>
      <c r="D402" s="122"/>
      <c r="E402" s="48"/>
      <c r="F402" s="122"/>
      <c r="G402" s="48"/>
      <c r="H402" s="122"/>
      <c r="I402" s="48"/>
      <c r="J402" s="122"/>
    </row>
    <row r="403" spans="3:10">
      <c r="C403" s="48"/>
      <c r="D403" s="122"/>
      <c r="E403" s="48"/>
      <c r="F403" s="122"/>
      <c r="G403" s="48"/>
      <c r="H403" s="122"/>
      <c r="I403" s="48"/>
      <c r="J403" s="122"/>
    </row>
    <row r="404" spans="3:10">
      <c r="C404" s="48"/>
      <c r="D404" s="122"/>
      <c r="E404" s="48"/>
      <c r="F404" s="122"/>
      <c r="G404" s="48"/>
      <c r="H404" s="122"/>
      <c r="I404" s="48"/>
      <c r="J404" s="122"/>
    </row>
    <row r="405" spans="3:10">
      <c r="C405" s="48"/>
      <c r="D405" s="122"/>
      <c r="E405" s="48"/>
      <c r="F405" s="122"/>
      <c r="G405" s="48"/>
      <c r="H405" s="122"/>
      <c r="I405" s="48"/>
      <c r="J405" s="122"/>
    </row>
    <row r="406" spans="3:10">
      <c r="C406" s="48"/>
      <c r="D406" s="122"/>
      <c r="E406" s="48"/>
      <c r="F406" s="122"/>
      <c r="G406" s="48"/>
      <c r="H406" s="122"/>
      <c r="I406" s="48"/>
      <c r="J406" s="122"/>
    </row>
    <row r="407" spans="3:10">
      <c r="C407" s="48"/>
      <c r="D407" s="122"/>
      <c r="E407" s="48"/>
      <c r="F407" s="122"/>
      <c r="G407" s="48"/>
      <c r="H407" s="122"/>
      <c r="I407" s="48"/>
      <c r="J407" s="122"/>
    </row>
    <row r="408" spans="3:10">
      <c r="C408" s="48"/>
      <c r="D408" s="122"/>
      <c r="E408" s="48"/>
      <c r="F408" s="122"/>
      <c r="G408" s="48"/>
      <c r="H408" s="122"/>
      <c r="I408" s="48"/>
      <c r="J408" s="122"/>
    </row>
    <row r="409" spans="3:10">
      <c r="C409" s="48"/>
      <c r="D409" s="122"/>
      <c r="E409" s="48"/>
      <c r="F409" s="122"/>
      <c r="G409" s="48"/>
      <c r="H409" s="122"/>
      <c r="I409" s="48"/>
      <c r="J409" s="122"/>
    </row>
    <row r="410" spans="3:10">
      <c r="C410" s="48"/>
      <c r="D410" s="122"/>
      <c r="E410" s="48"/>
      <c r="F410" s="122"/>
      <c r="G410" s="48"/>
      <c r="H410" s="122"/>
      <c r="I410" s="48"/>
      <c r="J410" s="122"/>
    </row>
    <row r="411" spans="3:10">
      <c r="C411" s="48"/>
      <c r="D411" s="122"/>
      <c r="E411" s="48"/>
      <c r="F411" s="122"/>
      <c r="G411" s="48"/>
      <c r="H411" s="122"/>
      <c r="I411" s="48"/>
      <c r="J411" s="122"/>
    </row>
    <row r="412" spans="3:10">
      <c r="C412" s="48"/>
      <c r="D412" s="122"/>
      <c r="E412" s="48"/>
      <c r="F412" s="122"/>
      <c r="G412" s="48"/>
      <c r="H412" s="122"/>
      <c r="I412" s="48"/>
      <c r="J412" s="122"/>
    </row>
    <row r="413" spans="3:10">
      <c r="C413" s="48"/>
      <c r="D413" s="122"/>
      <c r="E413" s="48"/>
      <c r="F413" s="122"/>
      <c r="G413" s="48"/>
      <c r="H413" s="122"/>
      <c r="I413" s="48"/>
      <c r="J413" s="122"/>
    </row>
    <row r="414" spans="3:10">
      <c r="C414" s="48"/>
      <c r="D414" s="122"/>
      <c r="E414" s="48"/>
      <c r="F414" s="122"/>
      <c r="G414" s="48"/>
      <c r="H414" s="122"/>
      <c r="I414" s="48"/>
      <c r="J414" s="122"/>
    </row>
    <row r="415" spans="3:10">
      <c r="C415" s="48"/>
      <c r="D415" s="122"/>
      <c r="E415" s="48"/>
      <c r="F415" s="122"/>
      <c r="G415" s="48"/>
      <c r="H415" s="122"/>
      <c r="I415" s="48"/>
      <c r="J415" s="122"/>
    </row>
    <row r="416" spans="3:10">
      <c r="C416" s="48"/>
      <c r="D416" s="122"/>
      <c r="E416" s="48"/>
      <c r="F416" s="122"/>
      <c r="G416" s="48"/>
      <c r="H416" s="122"/>
      <c r="I416" s="48"/>
      <c r="J416" s="122"/>
    </row>
    <row r="417" spans="3:10">
      <c r="C417" s="48"/>
      <c r="D417" s="122"/>
      <c r="E417" s="48"/>
      <c r="F417" s="122"/>
      <c r="G417" s="48"/>
      <c r="H417" s="122"/>
      <c r="I417" s="48"/>
      <c r="J417" s="122"/>
    </row>
    <row r="418" spans="3:10">
      <c r="C418" s="48"/>
      <c r="D418" s="122"/>
      <c r="E418" s="48"/>
      <c r="F418" s="122"/>
      <c r="G418" s="48"/>
      <c r="H418" s="122"/>
      <c r="I418" s="48"/>
      <c r="J418" s="122"/>
    </row>
    <row r="419" spans="3:10">
      <c r="C419" s="48"/>
      <c r="D419" s="122"/>
      <c r="E419" s="48"/>
      <c r="F419" s="122"/>
      <c r="G419" s="48"/>
      <c r="H419" s="122"/>
      <c r="I419" s="48"/>
      <c r="J419" s="122"/>
    </row>
    <row r="420" spans="3:10">
      <c r="C420" s="48"/>
      <c r="D420" s="122"/>
      <c r="E420" s="48"/>
      <c r="F420" s="122"/>
      <c r="G420" s="48"/>
      <c r="H420" s="122"/>
      <c r="I420" s="48"/>
      <c r="J420" s="122"/>
    </row>
    <row r="421" spans="3:10">
      <c r="C421" s="48"/>
      <c r="D421" s="122"/>
      <c r="E421" s="48"/>
      <c r="F421" s="122"/>
      <c r="G421" s="48"/>
      <c r="H421" s="122"/>
      <c r="I421" s="48"/>
      <c r="J421" s="122"/>
    </row>
    <row r="422" spans="3:10">
      <c r="C422" s="48"/>
      <c r="D422" s="122"/>
      <c r="E422" s="48"/>
      <c r="F422" s="122"/>
      <c r="G422" s="48"/>
      <c r="H422" s="122"/>
      <c r="I422" s="48"/>
      <c r="J422" s="122"/>
    </row>
    <row r="423" spans="3:10">
      <c r="C423" s="48"/>
      <c r="D423" s="122"/>
      <c r="E423" s="48"/>
      <c r="F423" s="122"/>
      <c r="G423" s="48"/>
      <c r="H423" s="122"/>
      <c r="I423" s="48"/>
      <c r="J423" s="122"/>
    </row>
    <row r="424" spans="3:10">
      <c r="C424" s="48"/>
      <c r="D424" s="122"/>
      <c r="E424" s="48"/>
      <c r="F424" s="122"/>
      <c r="G424" s="48"/>
      <c r="H424" s="122"/>
      <c r="I424" s="48"/>
      <c r="J424" s="122"/>
    </row>
    <row r="425" spans="3:10">
      <c r="C425" s="48"/>
      <c r="D425" s="122"/>
      <c r="E425" s="48"/>
      <c r="F425" s="122"/>
      <c r="G425" s="48"/>
      <c r="H425" s="122"/>
      <c r="I425" s="48"/>
      <c r="J425" s="122"/>
    </row>
    <row r="426" spans="3:10">
      <c r="C426" s="48"/>
      <c r="D426" s="122"/>
      <c r="E426" s="48"/>
      <c r="F426" s="122"/>
      <c r="G426" s="48"/>
      <c r="H426" s="122"/>
      <c r="I426" s="48"/>
      <c r="J426" s="122"/>
    </row>
    <row r="427" spans="3:10">
      <c r="C427" s="48"/>
      <c r="D427" s="122"/>
      <c r="E427" s="48"/>
      <c r="F427" s="122"/>
      <c r="G427" s="48"/>
      <c r="H427" s="122"/>
      <c r="I427" s="48"/>
      <c r="J427" s="122"/>
    </row>
    <row r="428" spans="3:10">
      <c r="C428" s="48"/>
      <c r="D428" s="122"/>
      <c r="E428" s="48"/>
      <c r="F428" s="122"/>
      <c r="G428" s="48"/>
      <c r="H428" s="122"/>
      <c r="I428" s="48"/>
      <c r="J428" s="122"/>
    </row>
    <row r="429" spans="3:10">
      <c r="C429" s="48"/>
      <c r="D429" s="122"/>
      <c r="E429" s="48"/>
      <c r="F429" s="122"/>
      <c r="G429" s="48"/>
      <c r="H429" s="122"/>
      <c r="I429" s="48"/>
      <c r="J429" s="122"/>
    </row>
    <row r="430" spans="3:10">
      <c r="C430" s="48"/>
      <c r="D430" s="122"/>
      <c r="E430" s="48"/>
      <c r="F430" s="122"/>
      <c r="G430" s="48"/>
      <c r="H430" s="122"/>
      <c r="I430" s="48"/>
      <c r="J430" s="122"/>
    </row>
    <row r="431" spans="3:10">
      <c r="C431" s="48"/>
      <c r="D431" s="122"/>
      <c r="E431" s="48"/>
      <c r="F431" s="122"/>
      <c r="G431" s="48"/>
      <c r="H431" s="122"/>
      <c r="I431" s="48"/>
      <c r="J431" s="122"/>
    </row>
    <row r="432" spans="3:10">
      <c r="C432" s="48"/>
      <c r="D432" s="122"/>
      <c r="E432" s="48"/>
      <c r="F432" s="122"/>
      <c r="G432" s="48"/>
      <c r="H432" s="122"/>
      <c r="I432" s="48"/>
      <c r="J432" s="122"/>
    </row>
    <row r="433" spans="3:10">
      <c r="C433" s="48"/>
      <c r="D433" s="122"/>
      <c r="E433" s="48"/>
      <c r="F433" s="122"/>
      <c r="G433" s="48"/>
      <c r="H433" s="122"/>
      <c r="I433" s="48"/>
      <c r="J433" s="122"/>
    </row>
    <row r="434" spans="3:10">
      <c r="C434" s="48"/>
      <c r="D434" s="122"/>
      <c r="E434" s="48"/>
      <c r="F434" s="122"/>
      <c r="G434" s="48"/>
      <c r="H434" s="122"/>
      <c r="I434" s="48"/>
      <c r="J434" s="122"/>
    </row>
    <row r="435" spans="3:10">
      <c r="C435" s="48"/>
      <c r="D435" s="122"/>
      <c r="E435" s="48"/>
      <c r="F435" s="122"/>
      <c r="G435" s="48"/>
      <c r="H435" s="122"/>
      <c r="I435" s="48"/>
      <c r="J435" s="122"/>
    </row>
    <row r="436" spans="3:10">
      <c r="C436" s="48"/>
      <c r="D436" s="122"/>
      <c r="E436" s="48"/>
      <c r="F436" s="122"/>
      <c r="G436" s="48"/>
      <c r="H436" s="122"/>
      <c r="I436" s="48"/>
      <c r="J436" s="122"/>
    </row>
    <row r="437" spans="3:10">
      <c r="C437" s="48"/>
      <c r="D437" s="122"/>
      <c r="E437" s="48"/>
      <c r="F437" s="122"/>
      <c r="G437" s="48"/>
      <c r="H437" s="122"/>
      <c r="I437" s="48"/>
      <c r="J437" s="122"/>
    </row>
    <row r="438" spans="3:10">
      <c r="C438" s="48"/>
      <c r="D438" s="122"/>
      <c r="E438" s="48"/>
      <c r="F438" s="122"/>
      <c r="G438" s="48"/>
      <c r="H438" s="122"/>
      <c r="I438" s="48"/>
      <c r="J438" s="122"/>
    </row>
    <row r="439" spans="3:10">
      <c r="C439" s="48"/>
      <c r="D439" s="122"/>
      <c r="E439" s="48"/>
      <c r="F439" s="122"/>
      <c r="G439" s="48"/>
      <c r="H439" s="122"/>
      <c r="I439" s="48"/>
      <c r="J439" s="122"/>
    </row>
    <row r="440" spans="3:10">
      <c r="C440" s="48"/>
      <c r="D440" s="122"/>
      <c r="E440" s="48"/>
      <c r="F440" s="122"/>
      <c r="G440" s="48"/>
      <c r="H440" s="122"/>
      <c r="I440" s="48"/>
      <c r="J440" s="122"/>
    </row>
    <row r="441" spans="3:10">
      <c r="C441" s="48"/>
      <c r="D441" s="122"/>
      <c r="E441" s="48"/>
      <c r="F441" s="122"/>
      <c r="G441" s="48"/>
      <c r="H441" s="122"/>
      <c r="I441" s="48"/>
      <c r="J441" s="122"/>
    </row>
    <row r="442" spans="3:10">
      <c r="C442" s="48"/>
      <c r="D442" s="122"/>
      <c r="E442" s="48"/>
      <c r="F442" s="122"/>
      <c r="G442" s="48"/>
      <c r="H442" s="122"/>
      <c r="I442" s="48"/>
      <c r="J442" s="122"/>
    </row>
    <row r="443" spans="3:10">
      <c r="C443" s="48"/>
      <c r="D443" s="122"/>
      <c r="E443" s="48"/>
      <c r="F443" s="122"/>
      <c r="G443" s="48"/>
      <c r="H443" s="122"/>
      <c r="I443" s="48"/>
      <c r="J443" s="122"/>
    </row>
    <row r="444" spans="3:10">
      <c r="C444" s="48"/>
      <c r="D444" s="122"/>
      <c r="E444" s="48"/>
      <c r="F444" s="122"/>
      <c r="G444" s="48"/>
      <c r="H444" s="122"/>
      <c r="I444" s="48"/>
      <c r="J444" s="122"/>
    </row>
    <row r="445" spans="3:10">
      <c r="C445" s="48"/>
      <c r="D445" s="122"/>
      <c r="E445" s="48"/>
      <c r="F445" s="122"/>
      <c r="G445" s="48"/>
      <c r="H445" s="122"/>
      <c r="I445" s="48"/>
      <c r="J445" s="122"/>
    </row>
    <row r="446" spans="3:10">
      <c r="C446" s="48"/>
      <c r="D446" s="122"/>
      <c r="E446" s="48"/>
      <c r="F446" s="122"/>
      <c r="G446" s="48"/>
      <c r="H446" s="122"/>
      <c r="I446" s="48"/>
      <c r="J446" s="122"/>
    </row>
    <row r="447" spans="3:10">
      <c r="C447" s="48"/>
      <c r="D447" s="122"/>
      <c r="E447" s="48"/>
      <c r="F447" s="122"/>
      <c r="G447" s="48"/>
      <c r="H447" s="122"/>
      <c r="I447" s="48"/>
      <c r="J447" s="122"/>
    </row>
    <row r="448" spans="3:10">
      <c r="C448" s="48"/>
      <c r="D448" s="122"/>
      <c r="E448" s="48"/>
      <c r="F448" s="122"/>
      <c r="G448" s="48"/>
      <c r="H448" s="122"/>
      <c r="I448" s="48"/>
      <c r="J448" s="122"/>
    </row>
    <row r="449" spans="3:10">
      <c r="C449" s="48"/>
      <c r="D449" s="122"/>
      <c r="E449" s="48"/>
      <c r="F449" s="122"/>
      <c r="G449" s="48"/>
      <c r="H449" s="122"/>
      <c r="I449" s="48"/>
      <c r="J449" s="122"/>
    </row>
    <row r="450" spans="3:10">
      <c r="C450" s="48"/>
      <c r="D450" s="122"/>
      <c r="E450" s="48"/>
      <c r="F450" s="122"/>
      <c r="G450" s="48"/>
      <c r="H450" s="122"/>
      <c r="I450" s="48"/>
      <c r="J450" s="122"/>
    </row>
    <row r="451" spans="3:10">
      <c r="C451" s="48"/>
      <c r="D451" s="122"/>
      <c r="E451" s="48"/>
      <c r="F451" s="122"/>
      <c r="G451" s="48"/>
      <c r="H451" s="122"/>
      <c r="I451" s="48"/>
      <c r="J451" s="122"/>
    </row>
    <row r="452" spans="3:10">
      <c r="C452" s="48"/>
      <c r="D452" s="122"/>
      <c r="E452" s="48"/>
      <c r="F452" s="122"/>
      <c r="G452" s="48"/>
      <c r="H452" s="122"/>
      <c r="I452" s="48"/>
      <c r="J452" s="122"/>
    </row>
    <row r="453" spans="3:10">
      <c r="C453" s="48"/>
      <c r="D453" s="122"/>
      <c r="E453" s="48"/>
      <c r="F453" s="122"/>
      <c r="G453" s="48"/>
      <c r="H453" s="122"/>
      <c r="I453" s="48"/>
      <c r="J453" s="122"/>
    </row>
    <row r="454" spans="3:10">
      <c r="C454" s="48"/>
      <c r="D454" s="122"/>
      <c r="E454" s="48"/>
      <c r="F454" s="122"/>
      <c r="G454" s="48"/>
      <c r="H454" s="122"/>
      <c r="I454" s="48"/>
      <c r="J454" s="122"/>
    </row>
    <row r="455" spans="3:10">
      <c r="C455" s="48"/>
      <c r="D455" s="122"/>
      <c r="E455" s="48"/>
      <c r="F455" s="122"/>
      <c r="G455" s="48"/>
      <c r="H455" s="122"/>
      <c r="I455" s="48"/>
      <c r="J455" s="122"/>
    </row>
    <row r="456" spans="3:10">
      <c r="C456" s="48"/>
      <c r="D456" s="122"/>
      <c r="E456" s="48"/>
      <c r="F456" s="122"/>
      <c r="G456" s="48"/>
      <c r="H456" s="122"/>
      <c r="I456" s="48"/>
      <c r="J456" s="122"/>
    </row>
    <row r="457" spans="3:10">
      <c r="C457" s="48"/>
      <c r="D457" s="122"/>
      <c r="E457" s="48"/>
      <c r="F457" s="122"/>
      <c r="G457" s="48"/>
      <c r="H457" s="122"/>
      <c r="I457" s="48"/>
      <c r="J457" s="122"/>
    </row>
    <row r="458" spans="3:10">
      <c r="C458" s="48"/>
      <c r="D458" s="122"/>
      <c r="E458" s="48"/>
      <c r="F458" s="122"/>
      <c r="G458" s="48"/>
      <c r="H458" s="122"/>
      <c r="I458" s="48"/>
      <c r="J458" s="122"/>
    </row>
    <row r="459" spans="3:10">
      <c r="C459" s="48"/>
      <c r="D459" s="122"/>
      <c r="E459" s="48"/>
      <c r="F459" s="122"/>
      <c r="G459" s="48"/>
      <c r="H459" s="122"/>
      <c r="I459" s="48"/>
      <c r="J459" s="122"/>
    </row>
    <row r="460" spans="3:10">
      <c r="C460" s="48"/>
      <c r="D460" s="122"/>
      <c r="E460" s="48"/>
      <c r="F460" s="122"/>
      <c r="G460" s="48"/>
      <c r="H460" s="122"/>
      <c r="I460" s="48"/>
      <c r="J460" s="122"/>
    </row>
    <row r="461" spans="3:10">
      <c r="C461" s="48"/>
      <c r="D461" s="122"/>
      <c r="E461" s="48"/>
      <c r="F461" s="122"/>
      <c r="G461" s="48"/>
      <c r="H461" s="122"/>
      <c r="I461" s="48"/>
      <c r="J461" s="122"/>
    </row>
    <row r="462" spans="3:10">
      <c r="C462" s="48"/>
      <c r="D462" s="122"/>
      <c r="E462" s="48"/>
      <c r="F462" s="122"/>
      <c r="G462" s="48"/>
      <c r="H462" s="122"/>
      <c r="I462" s="48"/>
      <c r="J462" s="122"/>
    </row>
    <row r="463" spans="3:10">
      <c r="C463" s="48"/>
      <c r="D463" s="122"/>
      <c r="E463" s="48"/>
      <c r="F463" s="122"/>
      <c r="G463" s="48"/>
      <c r="H463" s="122"/>
      <c r="I463" s="48"/>
      <c r="J463" s="122"/>
    </row>
    <row r="464" spans="3:10">
      <c r="C464" s="48"/>
      <c r="D464" s="122"/>
      <c r="E464" s="48"/>
      <c r="F464" s="122"/>
      <c r="G464" s="48"/>
      <c r="H464" s="122"/>
      <c r="I464" s="48"/>
      <c r="J464" s="122"/>
    </row>
    <row r="465" spans="3:10">
      <c r="C465" s="48"/>
      <c r="D465" s="122"/>
      <c r="E465" s="48"/>
      <c r="F465" s="122"/>
      <c r="G465" s="48"/>
      <c r="H465" s="122"/>
      <c r="I465" s="48"/>
      <c r="J465" s="122"/>
    </row>
    <row r="466" spans="3:10">
      <c r="C466" s="48"/>
      <c r="D466" s="122"/>
      <c r="E466" s="48"/>
      <c r="F466" s="122"/>
      <c r="G466" s="48"/>
      <c r="H466" s="122"/>
      <c r="I466" s="48"/>
      <c r="J466" s="122"/>
    </row>
    <row r="467" spans="3:10">
      <c r="C467" s="48"/>
      <c r="D467" s="122"/>
      <c r="E467" s="48"/>
      <c r="F467" s="122"/>
      <c r="G467" s="48"/>
      <c r="H467" s="122"/>
      <c r="I467" s="48"/>
      <c r="J467" s="122"/>
    </row>
    <row r="468" spans="3:10">
      <c r="C468" s="48"/>
      <c r="D468" s="122"/>
      <c r="E468" s="48"/>
      <c r="F468" s="122"/>
      <c r="G468" s="48"/>
      <c r="H468" s="122"/>
      <c r="I468" s="48"/>
      <c r="J468" s="122"/>
    </row>
    <row r="469" spans="3:10">
      <c r="C469" s="48"/>
      <c r="D469" s="122"/>
      <c r="E469" s="48"/>
      <c r="F469" s="122"/>
      <c r="G469" s="48"/>
      <c r="H469" s="122"/>
      <c r="I469" s="48"/>
      <c r="J469" s="122"/>
    </row>
    <row r="470" spans="3:10">
      <c r="C470" s="48"/>
      <c r="D470" s="122"/>
      <c r="E470" s="48"/>
      <c r="F470" s="122"/>
      <c r="G470" s="48"/>
      <c r="H470" s="122"/>
      <c r="I470" s="48"/>
      <c r="J470" s="122"/>
    </row>
    <row r="471" spans="3:10">
      <c r="C471" s="48"/>
      <c r="D471" s="122"/>
      <c r="E471" s="48"/>
      <c r="F471" s="122"/>
      <c r="G471" s="48"/>
      <c r="H471" s="122"/>
      <c r="I471" s="48"/>
      <c r="J471" s="122"/>
    </row>
    <row r="472" spans="3:10">
      <c r="C472" s="48"/>
      <c r="D472" s="122"/>
      <c r="E472" s="48"/>
      <c r="F472" s="122"/>
      <c r="G472" s="48"/>
      <c r="H472" s="122"/>
      <c r="I472" s="48"/>
      <c r="J472" s="122"/>
    </row>
    <row r="473" spans="3:10">
      <c r="C473" s="48"/>
      <c r="D473" s="122"/>
      <c r="E473" s="48"/>
      <c r="F473" s="122"/>
      <c r="G473" s="48"/>
      <c r="H473" s="122"/>
      <c r="I473" s="48"/>
      <c r="J473" s="122"/>
    </row>
    <row r="474" spans="3:10">
      <c r="C474" s="48"/>
      <c r="D474" s="122"/>
      <c r="E474" s="48"/>
      <c r="F474" s="122"/>
      <c r="G474" s="48"/>
      <c r="H474" s="122"/>
      <c r="I474" s="48"/>
      <c r="J474" s="122"/>
    </row>
    <row r="475" spans="3:10">
      <c r="C475" s="48"/>
      <c r="D475" s="122"/>
      <c r="E475" s="48"/>
      <c r="F475" s="122"/>
      <c r="G475" s="48"/>
      <c r="H475" s="122"/>
      <c r="I475" s="48"/>
      <c r="J475" s="122"/>
    </row>
    <row r="476" spans="3:10">
      <c r="C476" s="48"/>
      <c r="D476" s="122"/>
      <c r="E476" s="48"/>
      <c r="F476" s="122"/>
      <c r="G476" s="48"/>
      <c r="H476" s="122"/>
      <c r="I476" s="48"/>
      <c r="J476" s="122"/>
    </row>
    <row r="477" spans="3:10">
      <c r="C477" s="48"/>
      <c r="D477" s="122"/>
      <c r="E477" s="48"/>
      <c r="F477" s="122"/>
      <c r="G477" s="48"/>
      <c r="H477" s="122"/>
      <c r="I477" s="48"/>
      <c r="J477" s="122"/>
    </row>
    <row r="478" spans="3:10">
      <c r="C478" s="48"/>
      <c r="D478" s="122"/>
      <c r="E478" s="48"/>
      <c r="F478" s="122"/>
      <c r="G478" s="48"/>
      <c r="H478" s="122"/>
      <c r="I478" s="48"/>
      <c r="J478" s="122"/>
    </row>
    <row r="479" spans="3:10">
      <c r="C479" s="48"/>
      <c r="D479" s="122"/>
      <c r="E479" s="48"/>
      <c r="F479" s="122"/>
      <c r="G479" s="48"/>
      <c r="H479" s="122"/>
      <c r="I479" s="48"/>
      <c r="J479" s="122"/>
    </row>
    <row r="480" spans="3:10">
      <c r="C480" s="48"/>
      <c r="D480" s="122"/>
      <c r="E480" s="48"/>
      <c r="F480" s="122"/>
      <c r="G480" s="48"/>
      <c r="H480" s="122"/>
      <c r="I480" s="48"/>
      <c r="J480" s="122"/>
    </row>
    <row r="481" spans="3:10">
      <c r="C481" s="48"/>
      <c r="D481" s="122"/>
      <c r="E481" s="48"/>
      <c r="F481" s="122"/>
      <c r="G481" s="48"/>
      <c r="H481" s="122"/>
      <c r="I481" s="48"/>
      <c r="J481" s="122"/>
    </row>
    <row r="482" spans="3:10">
      <c r="C482" s="48"/>
      <c r="D482" s="122"/>
      <c r="E482" s="48"/>
      <c r="F482" s="122"/>
      <c r="G482" s="48"/>
      <c r="H482" s="122"/>
      <c r="I482" s="48"/>
      <c r="J482" s="122"/>
    </row>
    <row r="483" spans="3:10">
      <c r="C483" s="48"/>
      <c r="D483" s="122"/>
      <c r="E483" s="48"/>
      <c r="F483" s="122"/>
      <c r="G483" s="48"/>
      <c r="H483" s="122"/>
      <c r="I483" s="48"/>
      <c r="J483" s="122"/>
    </row>
    <row r="484" spans="3:10">
      <c r="C484" s="48"/>
      <c r="D484" s="122"/>
      <c r="E484" s="48"/>
      <c r="F484" s="122"/>
      <c r="G484" s="48"/>
      <c r="H484" s="122"/>
      <c r="I484" s="48"/>
      <c r="J484" s="122"/>
    </row>
    <row r="485" spans="3:10">
      <c r="C485" s="48"/>
      <c r="D485" s="122"/>
      <c r="E485" s="48"/>
      <c r="F485" s="122"/>
      <c r="G485" s="48"/>
      <c r="H485" s="122"/>
      <c r="I485" s="48"/>
      <c r="J485" s="122"/>
    </row>
    <row r="486" spans="3:10">
      <c r="C486" s="48"/>
      <c r="D486" s="122"/>
      <c r="E486" s="48"/>
      <c r="F486" s="122"/>
      <c r="G486" s="48"/>
      <c r="H486" s="122"/>
      <c r="I486" s="48"/>
      <c r="J486" s="122"/>
    </row>
    <row r="487" spans="3:10">
      <c r="C487" s="48"/>
      <c r="D487" s="122"/>
      <c r="E487" s="48"/>
      <c r="F487" s="122"/>
      <c r="G487" s="48"/>
      <c r="H487" s="122"/>
      <c r="I487" s="48"/>
      <c r="J487" s="122"/>
    </row>
    <row r="488" spans="3:10">
      <c r="C488" s="48"/>
      <c r="D488" s="122"/>
      <c r="E488" s="48"/>
      <c r="F488" s="122"/>
      <c r="G488" s="48"/>
      <c r="H488" s="122"/>
      <c r="I488" s="48"/>
      <c r="J488" s="122"/>
    </row>
    <row r="489" spans="3:10">
      <c r="C489" s="48"/>
      <c r="D489" s="122"/>
      <c r="E489" s="48"/>
      <c r="F489" s="122"/>
      <c r="G489" s="48"/>
      <c r="H489" s="122"/>
      <c r="I489" s="48"/>
      <c r="J489" s="122"/>
    </row>
    <row r="490" spans="3:10">
      <c r="C490" s="48"/>
      <c r="D490" s="122"/>
      <c r="E490" s="48"/>
      <c r="F490" s="122"/>
      <c r="G490" s="48"/>
      <c r="H490" s="122"/>
      <c r="I490" s="48"/>
      <c r="J490" s="122"/>
    </row>
    <row r="491" spans="3:10">
      <c r="C491" s="48"/>
      <c r="D491" s="122"/>
      <c r="E491" s="48"/>
      <c r="F491" s="122"/>
      <c r="G491" s="48"/>
      <c r="H491" s="122"/>
      <c r="I491" s="48"/>
      <c r="J491" s="122"/>
    </row>
    <row r="492" spans="3:10">
      <c r="C492" s="48"/>
      <c r="D492" s="122"/>
      <c r="E492" s="48"/>
      <c r="F492" s="122"/>
      <c r="G492" s="48"/>
      <c r="H492" s="122"/>
      <c r="I492" s="48"/>
      <c r="J492" s="122"/>
    </row>
    <row r="493" spans="3:10">
      <c r="C493" s="48"/>
      <c r="D493" s="122"/>
      <c r="E493" s="48"/>
      <c r="F493" s="122"/>
      <c r="G493" s="48"/>
      <c r="H493" s="122"/>
      <c r="I493" s="48"/>
      <c r="J493" s="122"/>
    </row>
    <row r="494" spans="3:10">
      <c r="C494" s="48"/>
      <c r="D494" s="122"/>
      <c r="E494" s="48"/>
      <c r="F494" s="122"/>
      <c r="G494" s="48"/>
      <c r="H494" s="122"/>
      <c r="I494" s="48"/>
      <c r="J494" s="122"/>
    </row>
    <row r="495" spans="3:10">
      <c r="C495" s="48"/>
      <c r="D495" s="122"/>
      <c r="E495" s="48"/>
      <c r="F495" s="122"/>
      <c r="G495" s="48"/>
      <c r="H495" s="122"/>
      <c r="I495" s="48"/>
      <c r="J495" s="122"/>
    </row>
    <row r="496" spans="3:10">
      <c r="C496" s="48"/>
      <c r="D496" s="122"/>
      <c r="E496" s="48"/>
      <c r="F496" s="122"/>
      <c r="G496" s="48"/>
      <c r="H496" s="122"/>
      <c r="I496" s="48"/>
      <c r="J496" s="122"/>
    </row>
    <row r="497" spans="3:10">
      <c r="C497" s="48"/>
      <c r="D497" s="122"/>
      <c r="E497" s="48"/>
      <c r="F497" s="122"/>
      <c r="G497" s="48"/>
      <c r="H497" s="122"/>
      <c r="I497" s="48"/>
      <c r="J497" s="122"/>
    </row>
    <row r="498" spans="3:10">
      <c r="C498" s="48"/>
      <c r="D498" s="122"/>
      <c r="E498" s="48"/>
      <c r="F498" s="122"/>
      <c r="G498" s="48"/>
      <c r="H498" s="122"/>
      <c r="I498" s="48"/>
      <c r="J498" s="122"/>
    </row>
    <row r="499" spans="3:10">
      <c r="C499" s="48"/>
      <c r="D499" s="122"/>
      <c r="E499" s="48"/>
      <c r="F499" s="122"/>
      <c r="G499" s="48"/>
      <c r="H499" s="122"/>
      <c r="I499" s="48"/>
      <c r="J499" s="122"/>
    </row>
    <row r="500" spans="3:10">
      <c r="C500" s="48"/>
      <c r="D500" s="122"/>
      <c r="E500" s="48"/>
      <c r="F500" s="122"/>
      <c r="G500" s="48"/>
      <c r="H500" s="122"/>
      <c r="I500" s="48"/>
      <c r="J500" s="122"/>
    </row>
    <row r="501" spans="3:10">
      <c r="C501" s="48"/>
      <c r="D501" s="122"/>
      <c r="E501" s="48"/>
      <c r="F501" s="122"/>
      <c r="G501" s="48"/>
      <c r="H501" s="122"/>
      <c r="I501" s="48"/>
      <c r="J501" s="122"/>
    </row>
    <row r="502" spans="3:10">
      <c r="C502" s="48"/>
      <c r="D502" s="122"/>
      <c r="E502" s="48"/>
      <c r="F502" s="122"/>
      <c r="G502" s="48"/>
      <c r="H502" s="122"/>
      <c r="I502" s="48"/>
      <c r="J502" s="122"/>
    </row>
    <row r="503" spans="3:10">
      <c r="C503" s="48"/>
      <c r="D503" s="122"/>
      <c r="E503" s="48"/>
      <c r="F503" s="122"/>
      <c r="G503" s="48"/>
      <c r="H503" s="122"/>
      <c r="I503" s="48"/>
      <c r="J503" s="122"/>
    </row>
    <row r="504" spans="3:10">
      <c r="C504" s="48"/>
      <c r="D504" s="122"/>
      <c r="E504" s="48"/>
      <c r="F504" s="122"/>
      <c r="G504" s="48"/>
      <c r="H504" s="122"/>
      <c r="I504" s="48"/>
      <c r="J504" s="122"/>
    </row>
    <row r="505" spans="3:10">
      <c r="C505" s="48"/>
      <c r="D505" s="122"/>
      <c r="E505" s="48"/>
      <c r="F505" s="122"/>
      <c r="G505" s="48"/>
      <c r="H505" s="122"/>
      <c r="I505" s="48"/>
      <c r="J505" s="122"/>
    </row>
    <row r="506" spans="3:10">
      <c r="C506" s="48"/>
      <c r="D506" s="122"/>
      <c r="E506" s="48"/>
      <c r="F506" s="122"/>
      <c r="G506" s="48"/>
      <c r="H506" s="122"/>
      <c r="I506" s="48"/>
      <c r="J506" s="122"/>
    </row>
    <row r="507" spans="3:10">
      <c r="C507" s="48"/>
      <c r="D507" s="122"/>
      <c r="E507" s="48"/>
      <c r="F507" s="122"/>
      <c r="G507" s="48"/>
      <c r="H507" s="122"/>
      <c r="I507" s="48"/>
      <c r="J507" s="122"/>
    </row>
    <row r="508" spans="3:10">
      <c r="C508" s="48"/>
      <c r="D508" s="122"/>
      <c r="E508" s="48"/>
      <c r="F508" s="122"/>
      <c r="G508" s="48"/>
      <c r="H508" s="122"/>
      <c r="I508" s="48"/>
      <c r="J508" s="122"/>
    </row>
    <row r="509" spans="3:10">
      <c r="C509" s="48"/>
      <c r="D509" s="122"/>
      <c r="E509" s="48"/>
      <c r="F509" s="122"/>
      <c r="G509" s="48"/>
      <c r="H509" s="122"/>
      <c r="I509" s="48"/>
      <c r="J509" s="122"/>
    </row>
    <row r="510" spans="3:10">
      <c r="C510" s="48"/>
      <c r="D510" s="122"/>
      <c r="E510" s="48"/>
      <c r="F510" s="122"/>
      <c r="G510" s="48"/>
      <c r="H510" s="122"/>
      <c r="I510" s="48"/>
      <c r="J510" s="122"/>
    </row>
    <row r="511" spans="3:10">
      <c r="C511" s="48"/>
      <c r="D511" s="122"/>
      <c r="E511" s="48"/>
      <c r="F511" s="122"/>
      <c r="G511" s="48"/>
      <c r="H511" s="122"/>
      <c r="I511" s="48"/>
      <c r="J511" s="122"/>
    </row>
    <row r="512" spans="3:10">
      <c r="C512" s="48"/>
      <c r="D512" s="122"/>
      <c r="E512" s="48"/>
      <c r="F512" s="122"/>
      <c r="G512" s="48"/>
      <c r="H512" s="122"/>
      <c r="I512" s="48"/>
      <c r="J512" s="122"/>
    </row>
    <row r="513" spans="3:10">
      <c r="C513" s="48"/>
      <c r="D513" s="122"/>
      <c r="E513" s="48"/>
      <c r="F513" s="122"/>
      <c r="G513" s="48"/>
      <c r="H513" s="122"/>
      <c r="I513" s="48"/>
      <c r="J513" s="122"/>
    </row>
    <row r="514" spans="3:10">
      <c r="C514" s="48"/>
      <c r="D514" s="122"/>
      <c r="E514" s="48"/>
      <c r="F514" s="122"/>
      <c r="G514" s="48"/>
      <c r="H514" s="122"/>
      <c r="I514" s="48"/>
      <c r="J514" s="122"/>
    </row>
    <row r="515" spans="3:10">
      <c r="C515" s="48"/>
      <c r="D515" s="122"/>
      <c r="E515" s="48"/>
      <c r="F515" s="122"/>
      <c r="G515" s="48"/>
      <c r="H515" s="122"/>
      <c r="I515" s="48"/>
      <c r="J515" s="122"/>
    </row>
    <row r="516" spans="3:10">
      <c r="C516" s="48"/>
      <c r="D516" s="122"/>
      <c r="E516" s="48"/>
      <c r="F516" s="122"/>
      <c r="G516" s="48"/>
      <c r="H516" s="122"/>
      <c r="I516" s="48"/>
      <c r="J516" s="122"/>
    </row>
    <row r="517" spans="3:10">
      <c r="C517" s="48"/>
      <c r="D517" s="122"/>
      <c r="E517" s="48"/>
      <c r="F517" s="122"/>
      <c r="G517" s="48"/>
      <c r="H517" s="122"/>
      <c r="I517" s="48"/>
      <c r="J517" s="122"/>
    </row>
    <row r="518" spans="3:10">
      <c r="C518" s="48"/>
      <c r="D518" s="122"/>
      <c r="E518" s="48"/>
      <c r="F518" s="122"/>
      <c r="G518" s="48"/>
      <c r="H518" s="122"/>
      <c r="I518" s="48"/>
      <c r="J518" s="122"/>
    </row>
    <row r="519" spans="3:10">
      <c r="C519" s="48"/>
      <c r="D519" s="122"/>
      <c r="E519" s="48"/>
      <c r="F519" s="122"/>
      <c r="G519" s="48"/>
      <c r="H519" s="122"/>
      <c r="I519" s="48"/>
      <c r="J519" s="122"/>
    </row>
    <row r="520" spans="3:10">
      <c r="C520" s="48"/>
      <c r="D520" s="122"/>
      <c r="E520" s="48"/>
      <c r="F520" s="122"/>
      <c r="G520" s="48"/>
      <c r="H520" s="122"/>
      <c r="I520" s="48"/>
      <c r="J520" s="122"/>
    </row>
    <row r="521" spans="3:10">
      <c r="C521" s="48"/>
      <c r="D521" s="122"/>
      <c r="E521" s="48"/>
      <c r="F521" s="122"/>
      <c r="G521" s="48"/>
      <c r="H521" s="122"/>
      <c r="I521" s="48"/>
      <c r="J521" s="122"/>
    </row>
    <row r="522" spans="3:10">
      <c r="C522" s="48"/>
      <c r="D522" s="122"/>
      <c r="E522" s="48"/>
      <c r="F522" s="122"/>
      <c r="G522" s="48"/>
      <c r="H522" s="122"/>
      <c r="I522" s="48"/>
      <c r="J522" s="122"/>
    </row>
    <row r="523" spans="3:10">
      <c r="C523" s="48"/>
      <c r="D523" s="122"/>
      <c r="E523" s="48"/>
      <c r="F523" s="122"/>
      <c r="G523" s="48"/>
      <c r="H523" s="122"/>
      <c r="I523" s="48"/>
      <c r="J523" s="122"/>
    </row>
    <row r="524" spans="3:10">
      <c r="C524" s="48"/>
      <c r="D524" s="122"/>
      <c r="E524" s="48"/>
      <c r="F524" s="122"/>
      <c r="G524" s="48"/>
      <c r="H524" s="122"/>
      <c r="I524" s="48"/>
      <c r="J524" s="122"/>
    </row>
    <row r="525" spans="3:10">
      <c r="C525" s="48"/>
      <c r="D525" s="122"/>
      <c r="E525" s="48"/>
      <c r="F525" s="122"/>
      <c r="G525" s="48"/>
      <c r="H525" s="122"/>
      <c r="I525" s="48"/>
      <c r="J525" s="122"/>
    </row>
    <row r="526" spans="3:10">
      <c r="C526" s="48"/>
      <c r="D526" s="122"/>
      <c r="E526" s="48"/>
      <c r="F526" s="122"/>
      <c r="G526" s="48"/>
      <c r="H526" s="122"/>
      <c r="I526" s="48"/>
      <c r="J526" s="122"/>
    </row>
    <row r="527" spans="3:10">
      <c r="C527" s="48"/>
      <c r="D527" s="122"/>
      <c r="E527" s="48"/>
      <c r="F527" s="122"/>
      <c r="G527" s="48"/>
      <c r="H527" s="122"/>
      <c r="I527" s="48"/>
      <c r="J527" s="122"/>
    </row>
    <row r="528" spans="3:10">
      <c r="C528" s="48"/>
      <c r="D528" s="122"/>
      <c r="E528" s="48"/>
      <c r="F528" s="122"/>
      <c r="G528" s="48"/>
      <c r="H528" s="122"/>
      <c r="I528" s="48"/>
      <c r="J528" s="122"/>
    </row>
    <row r="529" spans="3:10">
      <c r="C529" s="48"/>
      <c r="D529" s="122"/>
      <c r="E529" s="48"/>
      <c r="F529" s="122"/>
      <c r="G529" s="48"/>
      <c r="H529" s="122"/>
      <c r="I529" s="48"/>
      <c r="J529" s="122"/>
    </row>
    <row r="530" spans="3:10">
      <c r="C530" s="48"/>
      <c r="D530" s="122"/>
      <c r="E530" s="48"/>
      <c r="F530" s="122"/>
      <c r="G530" s="48"/>
      <c r="H530" s="122"/>
      <c r="I530" s="48"/>
      <c r="J530" s="122"/>
    </row>
    <row r="531" spans="3:10">
      <c r="C531" s="48"/>
      <c r="D531" s="122"/>
      <c r="E531" s="48"/>
      <c r="F531" s="122"/>
      <c r="G531" s="48"/>
      <c r="H531" s="122"/>
      <c r="I531" s="48"/>
      <c r="J531" s="122"/>
    </row>
    <row r="532" spans="3:10">
      <c r="C532" s="48"/>
      <c r="D532" s="122"/>
      <c r="E532" s="48"/>
      <c r="F532" s="122"/>
      <c r="G532" s="48"/>
      <c r="H532" s="122"/>
      <c r="I532" s="48"/>
      <c r="J532" s="122"/>
    </row>
    <row r="533" spans="3:10">
      <c r="C533" s="48"/>
      <c r="D533" s="122"/>
      <c r="E533" s="48"/>
      <c r="F533" s="122"/>
      <c r="G533" s="48"/>
      <c r="H533" s="122"/>
      <c r="I533" s="48"/>
      <c r="J533" s="122"/>
    </row>
    <row r="534" spans="3:10">
      <c r="C534" s="48"/>
      <c r="D534" s="122"/>
      <c r="E534" s="48"/>
      <c r="F534" s="122"/>
      <c r="G534" s="48"/>
      <c r="H534" s="122"/>
      <c r="I534" s="48"/>
      <c r="J534" s="122"/>
    </row>
    <row r="535" spans="3:10">
      <c r="C535" s="48"/>
      <c r="D535" s="122"/>
      <c r="E535" s="48"/>
      <c r="F535" s="122"/>
      <c r="G535" s="48"/>
      <c r="H535" s="122"/>
      <c r="I535" s="48"/>
      <c r="J535" s="122"/>
    </row>
    <row r="536" spans="3:10">
      <c r="C536" s="48"/>
      <c r="D536" s="122"/>
      <c r="E536" s="48"/>
      <c r="F536" s="122"/>
      <c r="G536" s="48"/>
      <c r="H536" s="122"/>
      <c r="I536" s="48"/>
      <c r="J536" s="122"/>
    </row>
    <row r="537" spans="3:10">
      <c r="C537" s="48"/>
      <c r="D537" s="122"/>
      <c r="E537" s="48"/>
      <c r="F537" s="122"/>
      <c r="G537" s="48"/>
      <c r="H537" s="122"/>
      <c r="I537" s="48"/>
      <c r="J537" s="122"/>
    </row>
    <row r="538" spans="3:10">
      <c r="C538" s="48"/>
      <c r="D538" s="122"/>
      <c r="E538" s="48"/>
      <c r="F538" s="122"/>
      <c r="G538" s="48"/>
      <c r="H538" s="122"/>
      <c r="I538" s="48"/>
      <c r="J538" s="122"/>
    </row>
    <row r="539" spans="3:10">
      <c r="C539" s="48"/>
      <c r="D539" s="122"/>
      <c r="E539" s="48"/>
      <c r="F539" s="122"/>
      <c r="G539" s="48"/>
      <c r="H539" s="122"/>
      <c r="I539" s="48"/>
      <c r="J539" s="122"/>
    </row>
    <row r="540" spans="3:10">
      <c r="C540" s="48"/>
      <c r="D540" s="122"/>
      <c r="E540" s="48"/>
      <c r="F540" s="122"/>
      <c r="G540" s="48"/>
      <c r="H540" s="122"/>
      <c r="I540" s="48"/>
      <c r="J540" s="122"/>
    </row>
    <row r="541" spans="3:10">
      <c r="C541" s="48"/>
      <c r="D541" s="122"/>
      <c r="E541" s="48"/>
      <c r="F541" s="122"/>
      <c r="G541" s="48"/>
      <c r="H541" s="122"/>
      <c r="I541" s="48"/>
      <c r="J541" s="122"/>
    </row>
    <row r="542" spans="3:10">
      <c r="C542" s="48"/>
      <c r="D542" s="122"/>
      <c r="E542" s="48"/>
      <c r="F542" s="122"/>
      <c r="G542" s="48"/>
      <c r="H542" s="122"/>
      <c r="I542" s="48"/>
      <c r="J542" s="122"/>
    </row>
    <row r="543" spans="3:10">
      <c r="C543" s="48"/>
      <c r="D543" s="122"/>
      <c r="E543" s="48"/>
      <c r="F543" s="122"/>
      <c r="G543" s="48"/>
      <c r="H543" s="122"/>
      <c r="I543" s="48"/>
      <c r="J543" s="122"/>
    </row>
    <row r="544" spans="3:10">
      <c r="C544" s="48"/>
      <c r="D544" s="122"/>
      <c r="E544" s="48"/>
      <c r="F544" s="122"/>
      <c r="G544" s="48"/>
      <c r="H544" s="122"/>
      <c r="I544" s="48"/>
      <c r="J544" s="122"/>
    </row>
    <row r="545" spans="3:10">
      <c r="C545" s="48"/>
      <c r="D545" s="122"/>
      <c r="E545" s="48"/>
      <c r="F545" s="122"/>
      <c r="G545" s="48"/>
      <c r="H545" s="122"/>
      <c r="I545" s="48"/>
      <c r="J545" s="122"/>
    </row>
    <row r="546" spans="3:10">
      <c r="C546" s="48"/>
      <c r="D546" s="122"/>
      <c r="E546" s="48"/>
      <c r="F546" s="122"/>
      <c r="G546" s="48"/>
      <c r="H546" s="122"/>
      <c r="I546" s="48"/>
      <c r="J546" s="122"/>
    </row>
    <row r="547" spans="3:10">
      <c r="C547" s="48"/>
      <c r="D547" s="122"/>
      <c r="E547" s="48"/>
      <c r="F547" s="122"/>
      <c r="G547" s="48"/>
      <c r="H547" s="122"/>
      <c r="I547" s="48"/>
      <c r="J547" s="122"/>
    </row>
    <row r="548" spans="3:10">
      <c r="C548" s="48"/>
      <c r="D548" s="122"/>
      <c r="E548" s="48"/>
      <c r="F548" s="122"/>
      <c r="G548" s="48"/>
      <c r="H548" s="122"/>
      <c r="I548" s="48"/>
      <c r="J548" s="122"/>
    </row>
    <row r="549" spans="3:10">
      <c r="C549" s="48"/>
      <c r="D549" s="122"/>
      <c r="E549" s="48"/>
      <c r="F549" s="122"/>
      <c r="G549" s="48"/>
      <c r="H549" s="122"/>
      <c r="I549" s="48"/>
      <c r="J549" s="122"/>
    </row>
    <row r="550" spans="3:10">
      <c r="C550" s="48"/>
      <c r="D550" s="122"/>
      <c r="E550" s="48"/>
      <c r="F550" s="122"/>
      <c r="G550" s="48"/>
      <c r="H550" s="122"/>
      <c r="I550" s="48"/>
      <c r="J550" s="122"/>
    </row>
    <row r="551" spans="3:10">
      <c r="C551" s="48"/>
      <c r="D551" s="122"/>
      <c r="E551" s="48"/>
      <c r="F551" s="122"/>
      <c r="G551" s="48"/>
      <c r="H551" s="122"/>
      <c r="I551" s="48"/>
      <c r="J551" s="122"/>
    </row>
    <row r="552" spans="3:10">
      <c r="C552" s="48"/>
      <c r="D552" s="122"/>
      <c r="E552" s="48"/>
      <c r="F552" s="122"/>
      <c r="G552" s="48"/>
      <c r="H552" s="122"/>
      <c r="I552" s="48"/>
      <c r="J552" s="122"/>
    </row>
    <row r="553" spans="3:10">
      <c r="C553" s="48"/>
      <c r="D553" s="122"/>
      <c r="E553" s="48"/>
      <c r="F553" s="122"/>
      <c r="G553" s="48"/>
      <c r="H553" s="122"/>
      <c r="I553" s="48"/>
      <c r="J553" s="122"/>
    </row>
    <row r="554" spans="3:10">
      <c r="C554" s="48"/>
      <c r="D554" s="122"/>
      <c r="E554" s="48"/>
      <c r="F554" s="122"/>
      <c r="G554" s="48"/>
      <c r="H554" s="122"/>
      <c r="I554" s="48"/>
      <c r="J554" s="122"/>
    </row>
    <row r="555" spans="3:10">
      <c r="C555" s="48"/>
      <c r="D555" s="122"/>
      <c r="E555" s="48"/>
      <c r="F555" s="122"/>
      <c r="G555" s="48"/>
      <c r="H555" s="122"/>
      <c r="I555" s="48"/>
      <c r="J555" s="122"/>
    </row>
    <row r="556" spans="3:10">
      <c r="C556" s="48"/>
      <c r="D556" s="122"/>
      <c r="E556" s="48"/>
      <c r="F556" s="122"/>
      <c r="G556" s="48"/>
      <c r="H556" s="122"/>
      <c r="I556" s="48"/>
      <c r="J556" s="122"/>
    </row>
    <row r="557" spans="3:10">
      <c r="C557" s="48"/>
      <c r="D557" s="122"/>
      <c r="E557" s="48"/>
      <c r="F557" s="122"/>
      <c r="G557" s="48"/>
      <c r="H557" s="122"/>
      <c r="I557" s="48"/>
      <c r="J557" s="122"/>
    </row>
    <row r="558" spans="3:10">
      <c r="C558" s="48"/>
      <c r="D558" s="122"/>
      <c r="E558" s="48"/>
      <c r="F558" s="122"/>
      <c r="G558" s="48"/>
      <c r="H558" s="122"/>
      <c r="I558" s="48"/>
      <c r="J558" s="122"/>
    </row>
    <row r="559" spans="3:10">
      <c r="C559" s="48"/>
      <c r="D559" s="122"/>
      <c r="E559" s="48"/>
      <c r="F559" s="122"/>
      <c r="G559" s="48"/>
      <c r="H559" s="122"/>
      <c r="I559" s="48"/>
      <c r="J559" s="122"/>
    </row>
  </sheetData>
  <phoneticPr fontId="3" type="noConversion"/>
  <pageMargins left="0.7" right="0.7" top="0.75" bottom="0.75" header="0.3" footer="0.3"/>
  <ignoredErrors>
    <ignoredError sqref="C11:F11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101"/>
  <sheetViews>
    <sheetView showGridLines="0" topLeftCell="A22" zoomScaleNormal="100" workbookViewId="0">
      <selection activeCell="C105" sqref="C105"/>
    </sheetView>
  </sheetViews>
  <sheetFormatPr defaultRowHeight="11.25"/>
  <cols>
    <col min="1" max="1" width="9" style="1"/>
    <col min="2" max="2" width="11.75" style="1" customWidth="1"/>
    <col min="3" max="3" width="12.75" style="1" bestFit="1" customWidth="1"/>
    <col min="4" max="8" width="9" style="1"/>
    <col min="9" max="9" width="9.625" style="1" customWidth="1"/>
    <col min="10" max="11" width="9" style="1"/>
    <col min="12" max="12" width="9.75" style="1" bestFit="1" customWidth="1"/>
    <col min="13" max="16384" width="9" style="1"/>
  </cols>
  <sheetData>
    <row r="2" spans="2:19">
      <c r="B2" s="204" t="s">
        <v>141</v>
      </c>
    </row>
    <row r="3" spans="2:19">
      <c r="I3" s="27">
        <f>C9-I9</f>
        <v>-1441596000</v>
      </c>
      <c r="J3" s="27">
        <f t="shared" ref="J3:K3" si="0">D9-J9</f>
        <v>-165160928</v>
      </c>
      <c r="K3" s="27">
        <f t="shared" si="0"/>
        <v>1074865</v>
      </c>
      <c r="L3" s="27"/>
    </row>
    <row r="4" spans="2:19">
      <c r="I4" s="27">
        <f>C10-I10</f>
        <v>1441596000</v>
      </c>
      <c r="J4" s="27">
        <f t="shared" ref="J4:K4" si="1">D10-J10</f>
        <v>165160928</v>
      </c>
      <c r="K4" s="27">
        <f t="shared" si="1"/>
        <v>-1074865</v>
      </c>
      <c r="L4" s="27"/>
    </row>
    <row r="5" spans="2:19">
      <c r="B5" s="1" t="s">
        <v>142</v>
      </c>
      <c r="H5" s="1" t="s">
        <v>57</v>
      </c>
      <c r="I5" s="27"/>
      <c r="J5" s="27"/>
      <c r="K5" s="27"/>
      <c r="L5" s="27"/>
      <c r="N5" s="1" t="s">
        <v>55</v>
      </c>
      <c r="O5" s="27"/>
      <c r="P5" s="27"/>
      <c r="Q5" s="27"/>
      <c r="R5" s="27"/>
    </row>
    <row r="6" spans="2:19" ht="19.5" customHeight="1">
      <c r="B6" s="7" t="s">
        <v>56</v>
      </c>
      <c r="C6" s="8"/>
      <c r="D6" s="8"/>
      <c r="E6" s="8"/>
      <c r="F6" s="9"/>
      <c r="H6" s="7" t="s">
        <v>56</v>
      </c>
      <c r="I6" s="8"/>
      <c r="J6" s="8"/>
      <c r="K6" s="8"/>
      <c r="L6" s="9"/>
      <c r="N6" s="7" t="s">
        <v>56</v>
      </c>
      <c r="O6" s="8"/>
      <c r="P6" s="8"/>
      <c r="Q6" s="8"/>
      <c r="R6" s="9"/>
    </row>
    <row r="7" spans="2:19" ht="12" customHeight="1">
      <c r="B7" s="10"/>
      <c r="C7" s="11" t="s">
        <v>25</v>
      </c>
      <c r="D7" s="11" t="s">
        <v>26</v>
      </c>
      <c r="E7" s="11" t="s">
        <v>27</v>
      </c>
      <c r="F7" s="12" t="s">
        <v>28</v>
      </c>
      <c r="H7" s="10"/>
      <c r="I7" s="11" t="s">
        <v>25</v>
      </c>
      <c r="J7" s="11" t="s">
        <v>26</v>
      </c>
      <c r="K7" s="11" t="s">
        <v>27</v>
      </c>
      <c r="L7" s="12" t="s">
        <v>28</v>
      </c>
      <c r="N7" s="10"/>
      <c r="O7" s="11" t="s">
        <v>25</v>
      </c>
      <c r="P7" s="11" t="s">
        <v>26</v>
      </c>
      <c r="Q7" s="11" t="s">
        <v>27</v>
      </c>
      <c r="R7" s="12" t="s">
        <v>28</v>
      </c>
      <c r="S7" s="1" t="s">
        <v>143</v>
      </c>
    </row>
    <row r="8" spans="2:19" ht="12" customHeight="1">
      <c r="B8" s="13" t="s">
        <v>29</v>
      </c>
      <c r="C8" s="14" t="s">
        <v>30</v>
      </c>
      <c r="D8" s="14" t="s">
        <v>30</v>
      </c>
      <c r="E8" s="14" t="s">
        <v>30</v>
      </c>
      <c r="F8" s="15" t="s">
        <v>31</v>
      </c>
      <c r="H8" s="13" t="s">
        <v>29</v>
      </c>
      <c r="I8" s="14" t="s">
        <v>30</v>
      </c>
      <c r="J8" s="14" t="s">
        <v>30</v>
      </c>
      <c r="K8" s="14" t="s">
        <v>30</v>
      </c>
      <c r="L8" s="15" t="s">
        <v>31</v>
      </c>
      <c r="N8" s="13" t="s">
        <v>29</v>
      </c>
      <c r="O8" s="14" t="s">
        <v>30</v>
      </c>
      <c r="P8" s="14" t="s">
        <v>30</v>
      </c>
      <c r="Q8" s="14" t="s">
        <v>30</v>
      </c>
      <c r="R8" s="15" t="s">
        <v>31</v>
      </c>
    </row>
    <row r="9" spans="2:19" ht="12" customHeight="1">
      <c r="B9" s="17" t="s">
        <v>144</v>
      </c>
      <c r="C9" s="21">
        <f>매출2012!E54</f>
        <v>389400868163</v>
      </c>
      <c r="D9" s="21">
        <f>매출2013!E54</f>
        <v>391576664022</v>
      </c>
      <c r="E9" s="21">
        <f>매출2014!E56</f>
        <v>388255094124</v>
      </c>
      <c r="F9" s="206" t="s">
        <v>145</v>
      </c>
      <c r="H9" s="17" t="s">
        <v>64</v>
      </c>
      <c r="I9" s="21">
        <v>390842464163</v>
      </c>
      <c r="J9" s="21">
        <v>391741824950</v>
      </c>
      <c r="K9" s="21">
        <v>388254019259</v>
      </c>
      <c r="L9" s="22">
        <v>199896783373</v>
      </c>
      <c r="N9" s="17" t="s">
        <v>72</v>
      </c>
      <c r="O9" s="21">
        <v>389432794463</v>
      </c>
      <c r="P9" s="21">
        <v>382939223904</v>
      </c>
      <c r="Q9" s="21">
        <v>374924699294</v>
      </c>
      <c r="R9" s="22">
        <v>191309174281</v>
      </c>
    </row>
    <row r="10" spans="2:19" ht="12" customHeight="1">
      <c r="B10" s="20" t="s">
        <v>146</v>
      </c>
      <c r="C10" s="28">
        <f>매출2012!E92</f>
        <v>139168642187</v>
      </c>
      <c r="D10" s="28">
        <f>매출2013!E90</f>
        <v>164163604103</v>
      </c>
      <c r="E10" s="28">
        <f>매출2014!E98</f>
        <v>196417226780</v>
      </c>
      <c r="F10" s="207" t="s">
        <v>145</v>
      </c>
      <c r="H10" s="20" t="s">
        <v>66</v>
      </c>
      <c r="I10" s="28">
        <v>137727046187</v>
      </c>
      <c r="J10" s="28">
        <v>163998443175</v>
      </c>
      <c r="K10" s="28">
        <v>196418301645</v>
      </c>
      <c r="L10" s="29">
        <v>103438463009</v>
      </c>
      <c r="N10" s="20" t="s">
        <v>73</v>
      </c>
      <c r="O10" s="28">
        <v>139168642187</v>
      </c>
      <c r="P10" s="28">
        <v>162701011517</v>
      </c>
      <c r="Q10" s="28">
        <v>192691920369</v>
      </c>
      <c r="R10" s="29">
        <v>103115696819</v>
      </c>
    </row>
    <row r="11" spans="2:19" ht="12" customHeight="1" thickBot="1">
      <c r="B11" s="19" t="s">
        <v>35</v>
      </c>
      <c r="C11" s="25">
        <f>C9+C10</f>
        <v>528569510350</v>
      </c>
      <c r="D11" s="25">
        <f>D9+D10</f>
        <v>555740268125</v>
      </c>
      <c r="E11" s="25">
        <f>E9+E10</f>
        <v>584672320904</v>
      </c>
      <c r="F11" s="208"/>
      <c r="H11" s="19" t="s">
        <v>35</v>
      </c>
      <c r="I11" s="25">
        <v>528569510350</v>
      </c>
      <c r="J11" s="25">
        <v>555740268125</v>
      </c>
      <c r="K11" s="25">
        <v>584672320904</v>
      </c>
      <c r="L11" s="26">
        <v>303335246382</v>
      </c>
      <c r="N11" s="218" t="s">
        <v>34</v>
      </c>
      <c r="O11" s="219">
        <v>-31926300</v>
      </c>
      <c r="P11" s="219">
        <v>2092366000</v>
      </c>
      <c r="Q11" s="219">
        <v>4530542000</v>
      </c>
      <c r="R11" s="220">
        <v>1369108000</v>
      </c>
      <c r="S11" s="1" t="s">
        <v>147</v>
      </c>
    </row>
    <row r="12" spans="2:19" ht="12" customHeight="1" thickBot="1">
      <c r="N12" s="19" t="s">
        <v>35</v>
      </c>
      <c r="O12" s="25">
        <v>528569510350</v>
      </c>
      <c r="P12" s="25">
        <v>547732601421</v>
      </c>
      <c r="Q12" s="25">
        <v>572147161663</v>
      </c>
      <c r="R12" s="26">
        <v>295793979100</v>
      </c>
    </row>
    <row r="13" spans="2:19" ht="12" customHeight="1">
      <c r="B13" s="1" t="s">
        <v>148</v>
      </c>
      <c r="D13" s="27">
        <f>D9-C9</f>
        <v>2175795859</v>
      </c>
      <c r="E13" s="27">
        <f>E9-D9</f>
        <v>-3321569898</v>
      </c>
      <c r="J13" s="27">
        <f>J9-I9</f>
        <v>899360787</v>
      </c>
      <c r="K13" s="27">
        <f>K9-J9</f>
        <v>-3487805691</v>
      </c>
      <c r="L13" s="27">
        <f>L9*2-K9</f>
        <v>11539547487</v>
      </c>
      <c r="N13" s="1" t="s">
        <v>149</v>
      </c>
    </row>
    <row r="14" spans="2:19" ht="12" customHeight="1">
      <c r="D14" s="27">
        <f>D10-C10</f>
        <v>24994961916</v>
      </c>
      <c r="E14" s="27">
        <f>E10-D10</f>
        <v>32253622677</v>
      </c>
      <c r="J14" s="27">
        <f>J10-I10</f>
        <v>26271396988</v>
      </c>
      <c r="K14" s="27">
        <f>K10-J10</f>
        <v>32419858470</v>
      </c>
      <c r="L14" s="27">
        <f>L10*2-K10</f>
        <v>10458624373</v>
      </c>
      <c r="P14" s="27">
        <f t="shared" ref="P14:Q16" si="2">P9-O9</f>
        <v>-6493570559</v>
      </c>
      <c r="Q14" s="27">
        <f t="shared" si="2"/>
        <v>-8014524610</v>
      </c>
      <c r="R14" s="27">
        <f>R9*2-Q9</f>
        <v>7693649268</v>
      </c>
    </row>
    <row r="15" spans="2:19" ht="12" customHeight="1">
      <c r="P15" s="27">
        <f t="shared" si="2"/>
        <v>23532369330</v>
      </c>
      <c r="Q15" s="27">
        <f t="shared" si="2"/>
        <v>29990908852</v>
      </c>
      <c r="R15" s="27">
        <f>R10*2-Q10</f>
        <v>13539473269</v>
      </c>
    </row>
    <row r="16" spans="2:19" ht="12" customHeight="1">
      <c r="B16" s="1" t="s">
        <v>150</v>
      </c>
      <c r="P16" s="27">
        <f t="shared" si="2"/>
        <v>2124292300</v>
      </c>
      <c r="Q16" s="27">
        <f t="shared" si="2"/>
        <v>2438176000</v>
      </c>
      <c r="R16" s="27">
        <f>R11*2-Q11</f>
        <v>-1792326000</v>
      </c>
    </row>
    <row r="17" spans="2:21" ht="12" customHeight="1">
      <c r="B17" s="7" t="s">
        <v>24</v>
      </c>
      <c r="C17" s="8"/>
      <c r="D17" s="8"/>
      <c r="E17" s="8"/>
      <c r="F17" s="9"/>
      <c r="H17" s="1" t="s">
        <v>75</v>
      </c>
      <c r="I17" s="27"/>
      <c r="J17" s="27"/>
      <c r="K17" s="27"/>
      <c r="L17" s="27"/>
    </row>
    <row r="18" spans="2:21" ht="12" customHeight="1">
      <c r="B18" s="10"/>
      <c r="C18" s="11" t="s">
        <v>25</v>
      </c>
      <c r="D18" s="11" t="s">
        <v>26</v>
      </c>
      <c r="E18" s="11" t="s">
        <v>27</v>
      </c>
      <c r="F18" s="12" t="s">
        <v>28</v>
      </c>
      <c r="H18" s="7" t="s">
        <v>56</v>
      </c>
      <c r="I18" s="8"/>
      <c r="J18" s="8"/>
      <c r="K18" s="8"/>
      <c r="L18" s="9"/>
    </row>
    <row r="19" spans="2:21" ht="12" customHeight="1">
      <c r="B19" s="13" t="s">
        <v>29</v>
      </c>
      <c r="C19" s="14" t="s">
        <v>30</v>
      </c>
      <c r="D19" s="14" t="s">
        <v>30</v>
      </c>
      <c r="E19" s="14" t="s">
        <v>30</v>
      </c>
      <c r="F19" s="15" t="s">
        <v>31</v>
      </c>
      <c r="H19" s="10"/>
      <c r="I19" s="11" t="s">
        <v>25</v>
      </c>
      <c r="J19" s="11" t="s">
        <v>26</v>
      </c>
      <c r="K19" s="11" t="s">
        <v>27</v>
      </c>
      <c r="L19" s="12" t="s">
        <v>28</v>
      </c>
    </row>
    <row r="20" spans="2:21" ht="12" customHeight="1">
      <c r="B20" s="17" t="s">
        <v>32</v>
      </c>
      <c r="C20" s="21">
        <v>526517112721</v>
      </c>
      <c r="D20" s="21">
        <v>544246783298</v>
      </c>
      <c r="E20" s="21">
        <v>566780439272</v>
      </c>
      <c r="F20" s="22">
        <v>294177847835</v>
      </c>
      <c r="H20" s="13" t="s">
        <v>29</v>
      </c>
      <c r="I20" s="14" t="s">
        <v>30</v>
      </c>
      <c r="J20" s="14" t="s">
        <v>30</v>
      </c>
      <c r="K20" s="14" t="s">
        <v>30</v>
      </c>
      <c r="L20" s="15" t="s">
        <v>31</v>
      </c>
    </row>
    <row r="21" spans="2:21" ht="12" customHeight="1" thickBot="1">
      <c r="B21" s="18" t="s">
        <v>34</v>
      </c>
      <c r="C21" s="23">
        <v>2052397629</v>
      </c>
      <c r="D21" s="23">
        <v>11493484827</v>
      </c>
      <c r="E21" s="23">
        <v>17891881632</v>
      </c>
      <c r="F21" s="24">
        <v>9745199114</v>
      </c>
      <c r="H21" s="138" t="s">
        <v>73</v>
      </c>
      <c r="I21" s="139">
        <v>92181634341</v>
      </c>
      <c r="J21" s="139">
        <v>102160392988</v>
      </c>
      <c r="K21" s="139">
        <v>112767894002</v>
      </c>
      <c r="L21" s="140">
        <v>60467430559</v>
      </c>
    </row>
    <row r="22" spans="2:21" ht="12" customHeight="1" thickBot="1">
      <c r="B22" s="19" t="s">
        <v>35</v>
      </c>
      <c r="C22" s="25">
        <v>528569510350</v>
      </c>
      <c r="D22" s="25">
        <v>555740268125</v>
      </c>
      <c r="E22" s="25">
        <v>584672320904</v>
      </c>
      <c r="F22" s="26">
        <v>303923046949</v>
      </c>
      <c r="H22" s="141"/>
      <c r="I22" s="209"/>
      <c r="J22" s="209"/>
      <c r="K22" s="209"/>
      <c r="L22" s="209"/>
    </row>
    <row r="23" spans="2:21" ht="12" customHeight="1">
      <c r="H23" s="141"/>
      <c r="I23" s="209"/>
      <c r="J23" s="209">
        <f>J21-I21</f>
        <v>9978758647</v>
      </c>
      <c r="K23" s="209">
        <f>K21-J21</f>
        <v>10607501014</v>
      </c>
      <c r="L23" s="209"/>
    </row>
    <row r="24" spans="2:21" ht="12" customHeight="1">
      <c r="H24" s="141"/>
      <c r="I24" s="209"/>
      <c r="J24" s="209"/>
      <c r="K24" s="209"/>
      <c r="L24" s="209"/>
    </row>
    <row r="25" spans="2:21" s="205" customFormat="1" ht="12" customHeight="1"/>
    <row r="26" spans="2:21" ht="12" customHeight="1"/>
    <row r="27" spans="2:21" ht="12" customHeight="1">
      <c r="B27" s="204" t="s">
        <v>151</v>
      </c>
    </row>
    <row r="28" spans="2:21" ht="12" customHeight="1"/>
    <row r="29" spans="2:21" ht="12" customHeight="1">
      <c r="B29" s="1" t="s">
        <v>142</v>
      </c>
    </row>
    <row r="30" spans="2:21" ht="19.5" customHeight="1">
      <c r="B30" s="7" t="s">
        <v>152</v>
      </c>
      <c r="C30" s="8"/>
      <c r="D30" s="8"/>
      <c r="E30" s="8"/>
      <c r="F30" s="9"/>
    </row>
    <row r="31" spans="2:21" ht="12" customHeight="1">
      <c r="B31" s="10"/>
      <c r="C31" s="11" t="s">
        <v>25</v>
      </c>
      <c r="D31" s="11" t="s">
        <v>26</v>
      </c>
      <c r="E31" s="11" t="s">
        <v>27</v>
      </c>
      <c r="F31" s="12" t="s">
        <v>28</v>
      </c>
    </row>
    <row r="32" spans="2:21" ht="12" customHeight="1">
      <c r="B32" s="13" t="s">
        <v>29</v>
      </c>
      <c r="C32" s="14" t="s">
        <v>30</v>
      </c>
      <c r="D32" s="14" t="s">
        <v>30</v>
      </c>
      <c r="E32" s="14" t="s">
        <v>30</v>
      </c>
      <c r="F32" s="15" t="s">
        <v>31</v>
      </c>
      <c r="H32" s="211" t="s">
        <v>25</v>
      </c>
      <c r="I32" s="212" t="s">
        <v>144</v>
      </c>
      <c r="J32" s="212" t="s">
        <v>153</v>
      </c>
      <c r="K32" s="213" t="s">
        <v>35</v>
      </c>
      <c r="M32" s="211" t="s">
        <v>26</v>
      </c>
      <c r="N32" s="212" t="s">
        <v>144</v>
      </c>
      <c r="O32" s="212" t="s">
        <v>153</v>
      </c>
      <c r="P32" s="213" t="s">
        <v>35</v>
      </c>
      <c r="R32" s="211" t="s">
        <v>27</v>
      </c>
      <c r="S32" s="212" t="s">
        <v>144</v>
      </c>
      <c r="T32" s="212" t="s">
        <v>153</v>
      </c>
      <c r="U32" s="213" t="s">
        <v>35</v>
      </c>
    </row>
    <row r="33" spans="2:21" s="141" customFormat="1" ht="12" customHeight="1">
      <c r="B33" s="17" t="s">
        <v>38</v>
      </c>
      <c r="C33" s="21">
        <f t="shared" ref="C33:C38" si="3">K33</f>
        <v>350878516578</v>
      </c>
      <c r="D33" s="21">
        <f t="shared" ref="D33:D38" si="4">P33</f>
        <v>386528485968</v>
      </c>
      <c r="E33" s="21">
        <f t="shared" ref="E33:E38" si="5">U33</f>
        <v>412472415850</v>
      </c>
      <c r="F33" s="22"/>
      <c r="H33" s="20" t="s">
        <v>46</v>
      </c>
      <c r="I33" s="28">
        <f>매출2012!E16</f>
        <v>271089167229</v>
      </c>
      <c r="J33" s="28">
        <f>매출2012!E63</f>
        <v>79789349349</v>
      </c>
      <c r="K33" s="29">
        <f t="shared" ref="K33:K40" si="6">I33+J33</f>
        <v>350878516578</v>
      </c>
      <c r="L33" s="1"/>
      <c r="M33" s="20" t="s">
        <v>46</v>
      </c>
      <c r="N33" s="28">
        <f>매출2013!E16</f>
        <v>284655705741</v>
      </c>
      <c r="O33" s="28">
        <f>매출2013!E64</f>
        <v>101872780227</v>
      </c>
      <c r="P33" s="29">
        <f t="shared" ref="P33:P39" si="7">N33+O33</f>
        <v>386528485968</v>
      </c>
      <c r="Q33" s="1"/>
      <c r="R33" s="20" t="s">
        <v>46</v>
      </c>
      <c r="S33" s="28">
        <f>매출2014!E16</f>
        <v>283778460040</v>
      </c>
      <c r="T33" s="28">
        <f>매출2014!E66</f>
        <v>128693955810</v>
      </c>
      <c r="U33" s="29">
        <f t="shared" ref="U33:U39" si="8">S33+T33</f>
        <v>412472415850</v>
      </c>
    </row>
    <row r="34" spans="2:21" s="141" customFormat="1" ht="12" customHeight="1">
      <c r="B34" s="20" t="s">
        <v>39</v>
      </c>
      <c r="C34" s="28">
        <f t="shared" si="3"/>
        <v>66104665928</v>
      </c>
      <c r="D34" s="28">
        <f t="shared" si="4"/>
        <v>63063271446</v>
      </c>
      <c r="E34" s="28">
        <f t="shared" si="5"/>
        <v>54980088186</v>
      </c>
      <c r="F34" s="29"/>
      <c r="H34" s="20" t="s">
        <v>154</v>
      </c>
      <c r="I34" s="28">
        <f>매출2012!E24</f>
        <v>43211283198</v>
      </c>
      <c r="J34" s="28">
        <f>매출2012!E69</f>
        <v>22893382730</v>
      </c>
      <c r="K34" s="29">
        <f t="shared" si="6"/>
        <v>66104665928</v>
      </c>
      <c r="L34" s="28"/>
      <c r="M34" s="20" t="s">
        <v>154</v>
      </c>
      <c r="N34" s="28">
        <f>매출2013!E23</f>
        <v>35917871716</v>
      </c>
      <c r="O34" s="28">
        <f>매출2013!E70</f>
        <v>27145399730</v>
      </c>
      <c r="P34" s="29">
        <f t="shared" si="7"/>
        <v>63063271446</v>
      </c>
      <c r="R34" s="20" t="s">
        <v>154</v>
      </c>
      <c r="S34" s="28">
        <f>매출2014!E24</f>
        <v>28986267464</v>
      </c>
      <c r="T34" s="28">
        <f>매출2014!E76</f>
        <v>25993820722</v>
      </c>
      <c r="U34" s="29">
        <f t="shared" si="8"/>
        <v>54980088186</v>
      </c>
    </row>
    <row r="35" spans="2:21" s="141" customFormat="1" ht="12" customHeight="1">
      <c r="B35" s="20" t="s">
        <v>155</v>
      </c>
      <c r="C35" s="28">
        <f t="shared" si="3"/>
        <v>46842535195</v>
      </c>
      <c r="D35" s="28">
        <f t="shared" si="4"/>
        <v>35057371589</v>
      </c>
      <c r="E35" s="28">
        <f t="shared" si="5"/>
        <v>24015318039</v>
      </c>
      <c r="F35" s="29"/>
      <c r="H35" s="20" t="s">
        <v>155</v>
      </c>
      <c r="I35" s="28">
        <f>매출2012!E31</f>
        <v>26708618200</v>
      </c>
      <c r="J35" s="28">
        <f>매출2012!E73</f>
        <v>20133916995</v>
      </c>
      <c r="K35" s="29">
        <f t="shared" si="6"/>
        <v>46842535195</v>
      </c>
      <c r="L35" s="28"/>
      <c r="M35" s="20" t="s">
        <v>155</v>
      </c>
      <c r="N35" s="28">
        <f>매출2013!E30</f>
        <v>20448580950</v>
      </c>
      <c r="O35" s="28">
        <f>매출2013!E72</f>
        <v>14608790639</v>
      </c>
      <c r="P35" s="29">
        <f t="shared" si="7"/>
        <v>35057371589</v>
      </c>
      <c r="R35" s="20" t="s">
        <v>155</v>
      </c>
      <c r="S35" s="28">
        <f>매출2014!E27</f>
        <v>12285888116</v>
      </c>
      <c r="T35" s="28">
        <f>매출2014!E78</f>
        <v>11729429923</v>
      </c>
      <c r="U35" s="29">
        <f t="shared" si="8"/>
        <v>24015318039</v>
      </c>
    </row>
    <row r="36" spans="2:21" s="141" customFormat="1" ht="12" customHeight="1">
      <c r="B36" s="20" t="s">
        <v>156</v>
      </c>
      <c r="C36" s="28">
        <f t="shared" si="3"/>
        <v>40175134997</v>
      </c>
      <c r="D36" s="28">
        <f t="shared" si="4"/>
        <v>41249500449</v>
      </c>
      <c r="E36" s="28">
        <f t="shared" si="5"/>
        <v>49123065754</v>
      </c>
      <c r="F36" s="29"/>
      <c r="H36" s="20" t="s">
        <v>156</v>
      </c>
      <c r="I36" s="28">
        <f>매출2012!E42</f>
        <v>37926888573</v>
      </c>
      <c r="J36" s="28">
        <f>매출2012!E82</f>
        <v>2248246424</v>
      </c>
      <c r="K36" s="29">
        <f t="shared" si="6"/>
        <v>40175134997</v>
      </c>
      <c r="L36" s="28"/>
      <c r="M36" s="20" t="s">
        <v>156</v>
      </c>
      <c r="N36" s="28">
        <f>매출2013!E42</f>
        <v>37337122016</v>
      </c>
      <c r="O36" s="28">
        <f>매출2013!E80</f>
        <v>3912378433</v>
      </c>
      <c r="P36" s="29">
        <f t="shared" si="7"/>
        <v>41249500449</v>
      </c>
      <c r="R36" s="20" t="s">
        <v>156</v>
      </c>
      <c r="S36" s="28">
        <f>매출2014!E43</f>
        <v>45261922610</v>
      </c>
      <c r="T36" s="28">
        <f>매출2014!E88</f>
        <v>3861143144</v>
      </c>
      <c r="U36" s="29">
        <f t="shared" si="8"/>
        <v>49123065754</v>
      </c>
    </row>
    <row r="37" spans="2:21" s="141" customFormat="1" ht="12" customHeight="1">
      <c r="B37" s="20" t="s">
        <v>157</v>
      </c>
      <c r="C37" s="28">
        <f t="shared" si="3"/>
        <v>20858169628</v>
      </c>
      <c r="D37" s="28">
        <f t="shared" si="4"/>
        <v>21058119503</v>
      </c>
      <c r="E37" s="28">
        <f t="shared" si="5"/>
        <v>23312452924</v>
      </c>
      <c r="F37" s="29"/>
      <c r="H37" s="20" t="s">
        <v>157</v>
      </c>
      <c r="I37" s="28">
        <f>매출2012!E45</f>
        <v>9402013971</v>
      </c>
      <c r="J37" s="28">
        <f>매출2012!E84</f>
        <v>11456155657</v>
      </c>
      <c r="K37" s="29">
        <f t="shared" si="6"/>
        <v>20858169628</v>
      </c>
      <c r="L37" s="28"/>
      <c r="M37" s="20" t="s">
        <v>157</v>
      </c>
      <c r="N37" s="28">
        <f>매출2013!E45</f>
        <v>10746176292</v>
      </c>
      <c r="O37" s="28">
        <f>매출2013!E82</f>
        <v>10311943211</v>
      </c>
      <c r="P37" s="29">
        <f t="shared" si="7"/>
        <v>21058119503</v>
      </c>
      <c r="R37" s="20" t="s">
        <v>157</v>
      </c>
      <c r="S37" s="28">
        <f>매출2014!E46</f>
        <v>13170638262</v>
      </c>
      <c r="T37" s="28">
        <f>매출2014!E90</f>
        <v>10141814662</v>
      </c>
      <c r="U37" s="29">
        <f t="shared" si="8"/>
        <v>23312452924</v>
      </c>
    </row>
    <row r="38" spans="2:21" s="141" customFormat="1" ht="12" customHeight="1">
      <c r="B38" s="18" t="s">
        <v>158</v>
      </c>
      <c r="C38" s="23">
        <f t="shared" si="3"/>
        <v>3710488024</v>
      </c>
      <c r="D38" s="23">
        <f t="shared" si="4"/>
        <v>8783519170</v>
      </c>
      <c r="E38" s="23">
        <f t="shared" si="5"/>
        <v>20768980151</v>
      </c>
      <c r="F38" s="24"/>
      <c r="H38" s="20" t="s">
        <v>159</v>
      </c>
      <c r="I38" s="28">
        <f>매출2012!E47+매출2012!E53</f>
        <v>1062896992</v>
      </c>
      <c r="J38" s="28">
        <f>매출2012!E86+매출2012!E91</f>
        <v>2647591032</v>
      </c>
      <c r="K38" s="29">
        <f t="shared" si="6"/>
        <v>3710488024</v>
      </c>
      <c r="L38" s="28"/>
      <c r="M38" s="20" t="s">
        <v>159</v>
      </c>
      <c r="N38" s="28">
        <f>매출2013!E48+매출2013!E53</f>
        <v>2471207307</v>
      </c>
      <c r="O38" s="28">
        <f>매출2013!E84+매출2013!E89</f>
        <v>6312311863</v>
      </c>
      <c r="P38" s="29">
        <f t="shared" si="7"/>
        <v>8783519170</v>
      </c>
      <c r="R38" s="20" t="s">
        <v>159</v>
      </c>
      <c r="S38" s="28">
        <f>매출2014!E49+매출2014!E55</f>
        <v>4771917632</v>
      </c>
      <c r="T38" s="28">
        <f>매출2014!E92+매출2014!E97</f>
        <v>15997062519</v>
      </c>
      <c r="U38" s="29">
        <f t="shared" si="8"/>
        <v>20768980151</v>
      </c>
    </row>
    <row r="39" spans="2:21" s="141" customFormat="1" ht="12" customHeight="1" thickBot="1">
      <c r="B39" s="19" t="s">
        <v>35</v>
      </c>
      <c r="C39" s="25">
        <f>SUM(C33:C38)</f>
        <v>528569510350</v>
      </c>
      <c r="D39" s="25">
        <f>SUM(D33:D38)</f>
        <v>555740268125</v>
      </c>
      <c r="E39" s="25">
        <f>SUM(E33:E38)</f>
        <v>584672320904</v>
      </c>
      <c r="F39" s="26">
        <f>SUM(F33:F38)</f>
        <v>0</v>
      </c>
      <c r="H39" s="19" t="s">
        <v>35</v>
      </c>
      <c r="I39" s="25">
        <f>SUM(I33:I38)</f>
        <v>389400868163</v>
      </c>
      <c r="J39" s="25">
        <f>SUM(J33:J38)</f>
        <v>139168642187</v>
      </c>
      <c r="K39" s="26">
        <f t="shared" si="6"/>
        <v>528569510350</v>
      </c>
      <c r="L39" s="28"/>
      <c r="M39" s="19" t="s">
        <v>35</v>
      </c>
      <c r="N39" s="25">
        <f>SUM(N33:N38)</f>
        <v>391576664022</v>
      </c>
      <c r="O39" s="25">
        <f>SUM(O33:O38)</f>
        <v>164163604103</v>
      </c>
      <c r="P39" s="26">
        <f t="shared" si="7"/>
        <v>555740268125</v>
      </c>
      <c r="R39" s="19" t="s">
        <v>35</v>
      </c>
      <c r="S39" s="25">
        <f>SUM(S33:S38)</f>
        <v>388255094124</v>
      </c>
      <c r="T39" s="25">
        <f>SUM(T33:T38)</f>
        <v>196417226780</v>
      </c>
      <c r="U39" s="26">
        <f t="shared" si="8"/>
        <v>584672320904</v>
      </c>
    </row>
    <row r="40" spans="2:21" s="141" customFormat="1" ht="12" customHeight="1">
      <c r="C40" s="28"/>
      <c r="D40" s="28"/>
      <c r="E40" s="28"/>
      <c r="F40" s="28"/>
      <c r="H40" s="1"/>
      <c r="I40" s="28"/>
      <c r="J40" s="28"/>
      <c r="K40" s="28">
        <f t="shared" si="6"/>
        <v>0</v>
      </c>
      <c r="L40" s="28"/>
      <c r="M40" s="28"/>
    </row>
    <row r="41" spans="2:21" s="141" customFormat="1" ht="12" customHeight="1">
      <c r="C41" s="28"/>
      <c r="D41" s="28"/>
      <c r="E41" s="28"/>
      <c r="F41" s="28"/>
      <c r="H41" s="1"/>
      <c r="I41" s="28"/>
      <c r="J41" s="28"/>
      <c r="K41" s="28"/>
      <c r="L41" s="28"/>
      <c r="M41" s="28"/>
    </row>
    <row r="42" spans="2:21" s="141" customFormat="1" ht="12" customHeight="1">
      <c r="C42" s="28"/>
      <c r="D42" s="28"/>
      <c r="E42" s="28"/>
      <c r="F42" s="28"/>
      <c r="H42" s="1"/>
      <c r="I42" s="28"/>
      <c r="J42" s="28"/>
      <c r="K42" s="28"/>
      <c r="L42" s="28"/>
      <c r="M42" s="28"/>
    </row>
    <row r="43" spans="2:21" s="141" customFormat="1" ht="12" customHeight="1">
      <c r="B43" s="1" t="s">
        <v>36</v>
      </c>
      <c r="C43" s="16"/>
      <c r="D43" s="16"/>
      <c r="E43" s="16"/>
      <c r="F43" s="16"/>
      <c r="H43" s="1"/>
      <c r="I43" s="28"/>
      <c r="J43" s="28"/>
      <c r="K43" s="28"/>
      <c r="L43" s="28"/>
      <c r="M43" s="28"/>
    </row>
    <row r="44" spans="2:21" s="141" customFormat="1" ht="19.5" customHeight="1">
      <c r="B44" s="7" t="s">
        <v>37</v>
      </c>
      <c r="C44" s="8"/>
      <c r="D44" s="8"/>
      <c r="E44" s="8"/>
      <c r="F44" s="9"/>
      <c r="H44" s="1"/>
      <c r="I44" s="28"/>
      <c r="J44" s="28"/>
      <c r="K44" s="28"/>
      <c r="L44" s="28"/>
      <c r="M44" s="28"/>
    </row>
    <row r="45" spans="2:21" s="141" customFormat="1" ht="12" customHeight="1">
      <c r="B45" s="10"/>
      <c r="C45" s="11" t="s">
        <v>25</v>
      </c>
      <c r="D45" s="11" t="s">
        <v>26</v>
      </c>
      <c r="E45" s="11" t="s">
        <v>27</v>
      </c>
      <c r="F45" s="12" t="s">
        <v>28</v>
      </c>
      <c r="I45" s="28"/>
      <c r="J45" s="28"/>
      <c r="K45" s="28"/>
      <c r="L45" s="28"/>
      <c r="M45" s="28"/>
    </row>
    <row r="46" spans="2:21" s="141" customFormat="1" ht="12" customHeight="1">
      <c r="B46" s="13" t="s">
        <v>29</v>
      </c>
      <c r="C46" s="14" t="s">
        <v>30</v>
      </c>
      <c r="D46" s="14" t="s">
        <v>30</v>
      </c>
      <c r="E46" s="14" t="s">
        <v>30</v>
      </c>
      <c r="F46" s="15" t="s">
        <v>31</v>
      </c>
      <c r="H46" s="141" t="s">
        <v>160</v>
      </c>
      <c r="I46" s="210" t="s">
        <v>25</v>
      </c>
      <c r="J46" s="11" t="s">
        <v>26</v>
      </c>
      <c r="K46" s="11" t="s">
        <v>27</v>
      </c>
      <c r="L46" s="12" t="s">
        <v>28</v>
      </c>
      <c r="M46" s="28"/>
    </row>
    <row r="47" spans="2:21" s="141" customFormat="1" ht="12" customHeight="1">
      <c r="B47" s="17" t="s">
        <v>38</v>
      </c>
      <c r="C47" s="21">
        <v>301650469844</v>
      </c>
      <c r="D47" s="21">
        <v>329529138676</v>
      </c>
      <c r="E47" s="21">
        <v>357818553490</v>
      </c>
      <c r="F47" s="22">
        <v>189665157770</v>
      </c>
      <c r="H47" s="141" t="s">
        <v>38</v>
      </c>
      <c r="I47" s="251">
        <f>C33-SUM(C47:C48)</f>
        <v>1510255126</v>
      </c>
      <c r="J47" s="28">
        <f>D33-SUM(D47:D48)</f>
        <v>2824854906</v>
      </c>
      <c r="K47" s="28">
        <f>E33-SUM(E47:E48)</f>
        <v>-3783350287</v>
      </c>
      <c r="L47" s="252"/>
      <c r="M47" s="28"/>
    </row>
    <row r="48" spans="2:21" s="141" customFormat="1" ht="12" customHeight="1">
      <c r="B48" s="20" t="s">
        <v>43</v>
      </c>
      <c r="C48" s="28">
        <v>47717791608</v>
      </c>
      <c r="D48" s="28">
        <v>54174492386</v>
      </c>
      <c r="E48" s="28">
        <v>58437212647</v>
      </c>
      <c r="F48" s="29">
        <v>30531103326</v>
      </c>
      <c r="H48" s="141" t="s">
        <v>39</v>
      </c>
      <c r="I48" s="251">
        <f t="shared" ref="I48:K52" si="9">C34-C49</f>
        <v>-3544815232</v>
      </c>
      <c r="J48" s="28">
        <f t="shared" si="9"/>
        <v>-484435261</v>
      </c>
      <c r="K48" s="28">
        <f t="shared" si="9"/>
        <v>-1046679952</v>
      </c>
      <c r="L48" s="29"/>
      <c r="M48" s="28"/>
    </row>
    <row r="49" spans="2:13" ht="12" customHeight="1">
      <c r="B49" s="20" t="s">
        <v>39</v>
      </c>
      <c r="C49" s="28">
        <v>69649481160</v>
      </c>
      <c r="D49" s="28">
        <v>63547706707</v>
      </c>
      <c r="E49" s="28">
        <v>56026768138</v>
      </c>
      <c r="F49" s="29">
        <v>27146825614</v>
      </c>
      <c r="H49" s="1" t="s">
        <v>155</v>
      </c>
      <c r="I49" s="251">
        <f t="shared" si="9"/>
        <v>6673765735</v>
      </c>
      <c r="J49" s="28">
        <f t="shared" si="9"/>
        <v>1670885573</v>
      </c>
      <c r="K49" s="28">
        <f t="shared" si="9"/>
        <v>-2945821234</v>
      </c>
      <c r="L49" s="29"/>
      <c r="M49" s="28"/>
    </row>
    <row r="50" spans="2:13" ht="12" customHeight="1">
      <c r="B50" s="20" t="s">
        <v>40</v>
      </c>
      <c r="C50" s="28">
        <v>40168769460</v>
      </c>
      <c r="D50" s="28">
        <v>33386486016</v>
      </c>
      <c r="E50" s="28">
        <v>26961139273</v>
      </c>
      <c r="F50" s="29">
        <v>10360925486</v>
      </c>
      <c r="H50" s="1" t="s">
        <v>156</v>
      </c>
      <c r="I50" s="251">
        <f t="shared" si="9"/>
        <v>-3324488323</v>
      </c>
      <c r="J50" s="28">
        <f t="shared" si="9"/>
        <v>-2817448574</v>
      </c>
      <c r="K50" s="28">
        <f t="shared" si="9"/>
        <v>391106711</v>
      </c>
      <c r="L50" s="29"/>
      <c r="M50" s="28"/>
    </row>
    <row r="51" spans="2:13" ht="12" customHeight="1">
      <c r="B51" s="20" t="s">
        <v>41</v>
      </c>
      <c r="C51" s="28">
        <v>43499623320</v>
      </c>
      <c r="D51" s="28">
        <v>44066949023</v>
      </c>
      <c r="E51" s="28">
        <v>48731959043</v>
      </c>
      <c r="F51" s="29">
        <v>25563257442</v>
      </c>
      <c r="H51" s="1" t="s">
        <v>157</v>
      </c>
      <c r="I51" s="251">
        <f t="shared" si="9"/>
        <v>-271118236</v>
      </c>
      <c r="J51" s="28">
        <f t="shared" si="9"/>
        <v>-347738993</v>
      </c>
      <c r="K51" s="28">
        <f t="shared" si="9"/>
        <v>-414734826</v>
      </c>
      <c r="L51" s="29"/>
      <c r="M51" s="28"/>
    </row>
    <row r="52" spans="2:13" ht="12" customHeight="1">
      <c r="B52" s="20" t="s">
        <v>42</v>
      </c>
      <c r="C52" s="28">
        <v>21129287864</v>
      </c>
      <c r="D52" s="28">
        <v>21405858496</v>
      </c>
      <c r="E52" s="28">
        <v>23727187750</v>
      </c>
      <c r="F52" s="29">
        <v>14891677706</v>
      </c>
      <c r="H52" s="1" t="s">
        <v>158</v>
      </c>
      <c r="I52" s="253">
        <f t="shared" si="9"/>
        <v>-1043599070</v>
      </c>
      <c r="J52" s="23">
        <f t="shared" si="9"/>
        <v>-846117651</v>
      </c>
      <c r="K52" s="23">
        <f t="shared" si="9"/>
        <v>7799479588</v>
      </c>
      <c r="L52" s="24"/>
      <c r="M52" s="28"/>
    </row>
    <row r="53" spans="2:13" ht="12" customHeight="1">
      <c r="B53" s="18" t="s">
        <v>44</v>
      </c>
      <c r="C53" s="23">
        <v>4754087094</v>
      </c>
      <c r="D53" s="23">
        <v>9629636821</v>
      </c>
      <c r="E53" s="23">
        <v>12969500563</v>
      </c>
      <c r="F53" s="24">
        <v>5764099605</v>
      </c>
      <c r="I53" s="28"/>
      <c r="J53" s="28"/>
      <c r="K53" s="28"/>
      <c r="L53" s="28"/>
      <c r="M53" s="28"/>
    </row>
    <row r="54" spans="2:13" ht="12" thickBot="1">
      <c r="B54" s="19" t="s">
        <v>35</v>
      </c>
      <c r="C54" s="25">
        <v>528569510350</v>
      </c>
      <c r="D54" s="25">
        <v>555740268125</v>
      </c>
      <c r="E54" s="25">
        <v>584672320904</v>
      </c>
      <c r="F54" s="26">
        <v>303923046949</v>
      </c>
      <c r="I54" s="28"/>
      <c r="J54" s="28"/>
      <c r="K54" s="28"/>
      <c r="L54" s="28"/>
      <c r="M54" s="28"/>
    </row>
    <row r="55" spans="2:13">
      <c r="C55" s="27"/>
      <c r="D55" s="27"/>
      <c r="E55" s="27"/>
      <c r="F55" s="27"/>
      <c r="I55" s="28"/>
      <c r="J55" s="28"/>
      <c r="K55" s="28"/>
      <c r="L55" s="28"/>
      <c r="M55" s="28"/>
    </row>
    <row r="56" spans="2:13">
      <c r="C56" s="27"/>
      <c r="D56" s="27"/>
      <c r="E56" s="27"/>
      <c r="F56" s="27"/>
      <c r="I56" s="28"/>
      <c r="J56" s="28"/>
      <c r="K56" s="28"/>
      <c r="L56" s="28"/>
      <c r="M56" s="28"/>
    </row>
    <row r="57" spans="2:13">
      <c r="I57" s="28"/>
      <c r="J57" s="28"/>
      <c r="K57" s="28"/>
      <c r="L57" s="28"/>
      <c r="M57" s="28"/>
    </row>
    <row r="58" spans="2:13">
      <c r="I58" s="28"/>
      <c r="J58" s="28"/>
      <c r="K58" s="28"/>
      <c r="L58" s="28"/>
      <c r="M58" s="28"/>
    </row>
    <row r="59" spans="2:13" s="205" customFormat="1" ht="12" customHeight="1"/>
    <row r="60" spans="2:13">
      <c r="I60" s="28"/>
      <c r="J60" s="28"/>
      <c r="K60" s="28"/>
      <c r="L60" s="28"/>
      <c r="M60" s="28"/>
    </row>
    <row r="61" spans="2:13">
      <c r="B61" s="204" t="s">
        <v>161</v>
      </c>
      <c r="I61" s="28"/>
      <c r="J61" s="28"/>
      <c r="K61" s="28"/>
      <c r="L61" s="28"/>
      <c r="M61" s="28"/>
    </row>
    <row r="63" spans="2:13">
      <c r="B63" s="1" t="s">
        <v>55</v>
      </c>
      <c r="C63" s="27"/>
      <c r="D63" s="27"/>
      <c r="E63" s="27"/>
      <c r="F63" s="27"/>
    </row>
    <row r="64" spans="2:13" ht="19.5" customHeight="1">
      <c r="B64" s="7" t="s">
        <v>56</v>
      </c>
      <c r="C64" s="8"/>
      <c r="D64" s="8"/>
      <c r="E64" s="8"/>
      <c r="F64" s="9"/>
      <c r="I64" s="7" t="s">
        <v>56</v>
      </c>
      <c r="J64" s="8"/>
      <c r="K64" s="8"/>
      <c r="L64" s="8"/>
      <c r="M64" s="9"/>
    </row>
    <row r="65" spans="2:13">
      <c r="B65" s="10"/>
      <c r="C65" s="11" t="s">
        <v>25</v>
      </c>
      <c r="D65" s="11" t="s">
        <v>26</v>
      </c>
      <c r="E65" s="11" t="s">
        <v>27</v>
      </c>
      <c r="F65" s="12" t="s">
        <v>28</v>
      </c>
      <c r="I65" s="10"/>
      <c r="J65" s="11" t="s">
        <v>25</v>
      </c>
      <c r="K65" s="11" t="s">
        <v>26</v>
      </c>
      <c r="L65" s="11" t="s">
        <v>27</v>
      </c>
      <c r="M65" s="12" t="s">
        <v>28</v>
      </c>
    </row>
    <row r="66" spans="2:13">
      <c r="B66" s="13" t="s">
        <v>29</v>
      </c>
      <c r="C66" s="14" t="s">
        <v>30</v>
      </c>
      <c r="D66" s="14" t="s">
        <v>30</v>
      </c>
      <c r="E66" s="14" t="s">
        <v>30</v>
      </c>
      <c r="F66" s="15" t="s">
        <v>31</v>
      </c>
      <c r="I66" s="13" t="s">
        <v>29</v>
      </c>
      <c r="J66" s="14" t="s">
        <v>30</v>
      </c>
      <c r="K66" s="14" t="s">
        <v>30</v>
      </c>
      <c r="L66" s="14" t="s">
        <v>30</v>
      </c>
      <c r="M66" s="15" t="s">
        <v>31</v>
      </c>
    </row>
    <row r="67" spans="2:13">
      <c r="B67" s="17" t="s">
        <v>15</v>
      </c>
      <c r="C67" s="21">
        <v>519344538843</v>
      </c>
      <c r="D67" s="21">
        <v>528773112276</v>
      </c>
      <c r="E67" s="21">
        <v>536171328032</v>
      </c>
      <c r="F67" s="22">
        <v>279207198170</v>
      </c>
      <c r="I67" s="17" t="s">
        <v>72</v>
      </c>
      <c r="J67" s="21">
        <v>389432794463</v>
      </c>
      <c r="K67" s="21">
        <v>382939223904</v>
      </c>
      <c r="L67" s="21">
        <v>374924699294</v>
      </c>
      <c r="M67" s="22">
        <v>191309174281</v>
      </c>
    </row>
    <row r="68" spans="2:13">
      <c r="B68" s="20" t="s">
        <v>17</v>
      </c>
      <c r="C68" s="28">
        <v>1495754873</v>
      </c>
      <c r="D68" s="28">
        <v>3714070648</v>
      </c>
      <c r="E68" s="28">
        <v>12641566864</v>
      </c>
      <c r="F68" s="29">
        <v>2924615380</v>
      </c>
      <c r="I68" s="20" t="s">
        <v>73</v>
      </c>
      <c r="J68" s="28">
        <v>139168642187</v>
      </c>
      <c r="K68" s="28">
        <v>162701011517</v>
      </c>
      <c r="L68" s="28">
        <v>192691920369</v>
      </c>
      <c r="M68" s="29">
        <v>103115696819</v>
      </c>
    </row>
    <row r="69" spans="2:13">
      <c r="B69" s="18" t="s">
        <v>19</v>
      </c>
      <c r="C69" s="23">
        <v>7729216634</v>
      </c>
      <c r="D69" s="23">
        <v>15245418497</v>
      </c>
      <c r="E69" s="23">
        <v>23334266767</v>
      </c>
      <c r="F69" s="24">
        <v>13662165550</v>
      </c>
      <c r="I69" s="218" t="s">
        <v>34</v>
      </c>
      <c r="J69" s="219">
        <v>-31926300</v>
      </c>
      <c r="K69" s="219">
        <v>2092366000</v>
      </c>
      <c r="L69" s="219">
        <v>4530542000</v>
      </c>
      <c r="M69" s="220">
        <v>1369108000</v>
      </c>
    </row>
    <row r="70" spans="2:13" ht="12" thickBot="1">
      <c r="B70" s="19" t="s">
        <v>35</v>
      </c>
      <c r="C70" s="25">
        <v>528569510350</v>
      </c>
      <c r="D70" s="25">
        <v>547732601421</v>
      </c>
      <c r="E70" s="25">
        <v>572147161663</v>
      </c>
      <c r="F70" s="26">
        <v>295793979100</v>
      </c>
      <c r="I70" s="19" t="s">
        <v>35</v>
      </c>
      <c r="J70" s="25">
        <v>528569510350</v>
      </c>
      <c r="K70" s="25">
        <v>547732601421</v>
      </c>
      <c r="L70" s="25">
        <v>572147161663</v>
      </c>
      <c r="M70" s="26">
        <v>295793979100</v>
      </c>
    </row>
    <row r="71" spans="2:13">
      <c r="B71" s="38"/>
      <c r="C71" s="39"/>
      <c r="D71" s="39"/>
      <c r="E71" s="39"/>
      <c r="F71" s="39"/>
      <c r="I71" s="27"/>
      <c r="J71" s="27"/>
      <c r="K71" s="27"/>
      <c r="L71" s="27"/>
    </row>
    <row r="72" spans="2:13">
      <c r="B72" s="1" t="s">
        <v>162</v>
      </c>
      <c r="C72" s="27">
        <f>C11-C70</f>
        <v>0</v>
      </c>
      <c r="D72" s="27">
        <f>D11-D70</f>
        <v>8007666704</v>
      </c>
      <c r="E72" s="27">
        <f>E11-E70</f>
        <v>12525159241</v>
      </c>
      <c r="F72" s="27">
        <f>L84-F70</f>
        <v>8129067849</v>
      </c>
      <c r="I72" s="27" t="s">
        <v>163</v>
      </c>
      <c r="J72" s="27">
        <f>C11-J70</f>
        <v>0</v>
      </c>
      <c r="K72" s="27">
        <f t="shared" ref="K72:L72" si="10">D11-K70</f>
        <v>8007666704</v>
      </c>
      <c r="L72" s="27">
        <f t="shared" si="10"/>
        <v>12525159241</v>
      </c>
      <c r="M72" s="27"/>
    </row>
    <row r="75" spans="2:13">
      <c r="B75" s="1" t="s">
        <v>17</v>
      </c>
      <c r="C75" s="1" t="s">
        <v>164</v>
      </c>
    </row>
    <row r="76" spans="2:13">
      <c r="B76" s="1" t="s">
        <v>19</v>
      </c>
      <c r="C76" s="1" t="s">
        <v>165</v>
      </c>
    </row>
    <row r="78" spans="2:13">
      <c r="B78" s="1" t="s">
        <v>36</v>
      </c>
      <c r="H78" s="1" t="s">
        <v>150</v>
      </c>
    </row>
    <row r="79" spans="2:13" ht="19.5" customHeight="1">
      <c r="B79" s="7" t="s">
        <v>56</v>
      </c>
      <c r="C79" s="8"/>
      <c r="D79" s="8"/>
      <c r="E79" s="8"/>
      <c r="F79" s="9"/>
      <c r="H79" s="7" t="s">
        <v>24</v>
      </c>
      <c r="I79" s="8"/>
      <c r="J79" s="8"/>
      <c r="K79" s="8"/>
      <c r="L79" s="9"/>
    </row>
    <row r="80" spans="2:13">
      <c r="B80" s="10"/>
      <c r="C80" s="11" t="s">
        <v>25</v>
      </c>
      <c r="D80" s="11" t="s">
        <v>26</v>
      </c>
      <c r="E80" s="11" t="s">
        <v>27</v>
      </c>
      <c r="F80" s="12" t="s">
        <v>28</v>
      </c>
      <c r="H80" s="10"/>
      <c r="I80" s="11" t="s">
        <v>25</v>
      </c>
      <c r="J80" s="11" t="s">
        <v>26</v>
      </c>
      <c r="K80" s="11" t="s">
        <v>27</v>
      </c>
      <c r="L80" s="12" t="s">
        <v>28</v>
      </c>
    </row>
    <row r="81" spans="2:13">
      <c r="B81" s="13" t="s">
        <v>29</v>
      </c>
      <c r="C81" s="14" t="s">
        <v>30</v>
      </c>
      <c r="D81" s="14" t="s">
        <v>30</v>
      </c>
      <c r="E81" s="14" t="s">
        <v>30</v>
      </c>
      <c r="F81" s="15" t="s">
        <v>31</v>
      </c>
      <c r="H81" s="13" t="s">
        <v>29</v>
      </c>
      <c r="I81" s="14" t="s">
        <v>30</v>
      </c>
      <c r="J81" s="14" t="s">
        <v>30</v>
      </c>
      <c r="K81" s="14" t="s">
        <v>30</v>
      </c>
      <c r="L81" s="15" t="s">
        <v>31</v>
      </c>
    </row>
    <row r="82" spans="2:13">
      <c r="B82" s="100" t="s">
        <v>166</v>
      </c>
      <c r="C82" s="21">
        <v>519344538843</v>
      </c>
      <c r="D82" s="21">
        <v>528773112276</v>
      </c>
      <c r="E82" s="21">
        <v>536171328032</v>
      </c>
      <c r="F82" s="22">
        <v>279207198170</v>
      </c>
      <c r="H82" s="17" t="s">
        <v>32</v>
      </c>
      <c r="I82" s="21">
        <v>526517112721</v>
      </c>
      <c r="J82" s="21">
        <v>544246783298</v>
      </c>
      <c r="K82" s="21">
        <v>566780439272</v>
      </c>
      <c r="L82" s="22">
        <v>294177847835</v>
      </c>
    </row>
    <row r="83" spans="2:13">
      <c r="B83" s="103" t="s">
        <v>167</v>
      </c>
      <c r="C83" s="28">
        <v>1495754873</v>
      </c>
      <c r="D83" s="28">
        <v>3714070648</v>
      </c>
      <c r="E83" s="28">
        <v>12641566864</v>
      </c>
      <c r="F83" s="29">
        <v>2924615380</v>
      </c>
      <c r="H83" s="18" t="s">
        <v>34</v>
      </c>
      <c r="I83" s="23">
        <v>2052397629</v>
      </c>
      <c r="J83" s="23">
        <v>11493484827</v>
      </c>
      <c r="K83" s="23">
        <v>17891881632</v>
      </c>
      <c r="L83" s="24">
        <v>9745199114</v>
      </c>
      <c r="M83" s="1" t="s">
        <v>168</v>
      </c>
    </row>
    <row r="84" spans="2:13" ht="12" thickBot="1">
      <c r="B84" s="255" t="s">
        <v>169</v>
      </c>
      <c r="C84" s="256">
        <v>0</v>
      </c>
      <c r="D84" s="256">
        <v>6868222586</v>
      </c>
      <c r="E84" s="256">
        <v>11094937572</v>
      </c>
      <c r="F84" s="257">
        <v>3631721911</v>
      </c>
      <c r="G84" s="1" t="s">
        <v>170</v>
      </c>
      <c r="H84" s="19" t="s">
        <v>35</v>
      </c>
      <c r="I84" s="25">
        <v>528569510350</v>
      </c>
      <c r="J84" s="25">
        <v>555740268125</v>
      </c>
      <c r="K84" s="25">
        <v>584672320904</v>
      </c>
      <c r="L84" s="26">
        <v>303923046949</v>
      </c>
    </row>
    <row r="85" spans="2:13">
      <c r="B85" s="258" t="s">
        <v>171</v>
      </c>
      <c r="C85" s="259">
        <v>0</v>
      </c>
      <c r="D85" s="259">
        <v>1139444118</v>
      </c>
      <c r="E85" s="259">
        <v>1430221669</v>
      </c>
      <c r="F85" s="260">
        <v>176840000</v>
      </c>
    </row>
    <row r="86" spans="2:13">
      <c r="B86" s="254" t="s">
        <v>172</v>
      </c>
      <c r="C86" s="219">
        <v>0</v>
      </c>
      <c r="D86" s="219">
        <v>0</v>
      </c>
      <c r="E86" s="219">
        <v>0</v>
      </c>
      <c r="F86" s="220">
        <v>4320505938</v>
      </c>
      <c r="G86" s="205" t="s">
        <v>173</v>
      </c>
    </row>
    <row r="87" spans="2:13">
      <c r="B87" s="106" t="s">
        <v>174</v>
      </c>
      <c r="C87" s="23">
        <v>7729216634</v>
      </c>
      <c r="D87" s="23">
        <v>15245418497</v>
      </c>
      <c r="E87" s="23">
        <v>23334266767</v>
      </c>
      <c r="F87" s="24">
        <v>13662165550</v>
      </c>
    </row>
    <row r="88" spans="2:13" ht="12" thickBot="1">
      <c r="B88" s="19" t="s">
        <v>35</v>
      </c>
      <c r="C88" s="25">
        <f>SUM(C82:C87)</f>
        <v>528569510350</v>
      </c>
      <c r="D88" s="25">
        <f>SUM(D82:D87)</f>
        <v>555740268125</v>
      </c>
      <c r="E88" s="25">
        <f>SUM(E82:E87)</f>
        <v>584672320904</v>
      </c>
      <c r="F88" s="26">
        <f>SUM(F82:F87)</f>
        <v>303923046949</v>
      </c>
      <c r="I88" s="27">
        <f>I82-SUM(C82:C86)</f>
        <v>5676819005</v>
      </c>
      <c r="J88" s="27">
        <f>J82-SUM(D82:D86)</f>
        <v>3751933670</v>
      </c>
      <c r="K88" s="27">
        <f>K82-SUM(E82:E86)</f>
        <v>5442385135</v>
      </c>
      <c r="L88" s="27">
        <f>L82-SUM(F82:F86)</f>
        <v>3916966436</v>
      </c>
    </row>
    <row r="90" spans="2:13">
      <c r="H90" s="1" t="s">
        <v>19</v>
      </c>
    </row>
    <row r="91" spans="2:13">
      <c r="B91" s="137" t="s">
        <v>19</v>
      </c>
      <c r="C91" s="27">
        <f>C92+C93</f>
        <v>2149241677</v>
      </c>
      <c r="D91" s="27">
        <f>D92+D93</f>
        <v>4731804119</v>
      </c>
      <c r="E91" s="27">
        <f>E92+E93</f>
        <v>7953397154</v>
      </c>
      <c r="H91" s="428" t="s">
        <v>175</v>
      </c>
      <c r="I91" s="28">
        <f>C84</f>
        <v>0</v>
      </c>
      <c r="J91" s="28">
        <f t="shared" ref="J91:L91" si="11">D84</f>
        <v>6868222586</v>
      </c>
      <c r="K91" s="28">
        <f t="shared" si="11"/>
        <v>11094937572</v>
      </c>
      <c r="L91" s="28">
        <f t="shared" si="11"/>
        <v>3631721911</v>
      </c>
    </row>
    <row r="92" spans="2:13">
      <c r="B92" s="263" t="s">
        <v>176</v>
      </c>
      <c r="C92" s="264">
        <v>-31926300</v>
      </c>
      <c r="D92" s="264">
        <v>2092366000</v>
      </c>
      <c r="E92" s="264">
        <v>4530542000</v>
      </c>
      <c r="F92" s="262">
        <v>1369108000</v>
      </c>
      <c r="H92" s="428" t="s">
        <v>177</v>
      </c>
      <c r="I92" s="28">
        <f>C85</f>
        <v>0</v>
      </c>
      <c r="J92" s="28">
        <f t="shared" ref="J92:L92" si="12">D85</f>
        <v>1139444118</v>
      </c>
      <c r="K92" s="28">
        <f t="shared" si="12"/>
        <v>1430221669</v>
      </c>
      <c r="L92" s="28">
        <f t="shared" si="12"/>
        <v>176840000</v>
      </c>
    </row>
    <row r="93" spans="2:13">
      <c r="B93" s="137" t="s">
        <v>178</v>
      </c>
      <c r="C93" s="262">
        <f>SUM(C94:C97)</f>
        <v>2181167977</v>
      </c>
      <c r="D93" s="262">
        <f>SUM(D94:D97)</f>
        <v>2639438119</v>
      </c>
      <c r="E93" s="262">
        <f>SUM(E94:E97)</f>
        <v>3422855154</v>
      </c>
      <c r="F93" s="262">
        <f>SUM(F94:F97)</f>
        <v>0</v>
      </c>
      <c r="H93" s="428" t="s">
        <v>147</v>
      </c>
      <c r="I93" s="28">
        <f>C92</f>
        <v>-31926300</v>
      </c>
      <c r="J93" s="28">
        <f t="shared" ref="J93:L93" si="13">D92</f>
        <v>2092366000</v>
      </c>
      <c r="K93" s="28">
        <f t="shared" si="13"/>
        <v>4530542000</v>
      </c>
      <c r="L93" s="28">
        <f t="shared" si="13"/>
        <v>1369108000</v>
      </c>
    </row>
    <row r="94" spans="2:13">
      <c r="B94" s="261" t="s">
        <v>179</v>
      </c>
      <c r="C94" s="27">
        <v>196675494</v>
      </c>
      <c r="D94" s="27">
        <v>7535341</v>
      </c>
      <c r="E94" s="27">
        <v>8056026</v>
      </c>
      <c r="F94" s="27"/>
      <c r="H94" s="428" t="s">
        <v>180</v>
      </c>
      <c r="I94" s="28">
        <f>I83-SUM(I91:I93)</f>
        <v>2084323929</v>
      </c>
      <c r="J94" s="28">
        <f t="shared" ref="J94:L94" si="14">J83-SUM(J91:J93)</f>
        <v>1393452123</v>
      </c>
      <c r="K94" s="28">
        <f t="shared" si="14"/>
        <v>836180391</v>
      </c>
      <c r="L94" s="28">
        <f t="shared" si="14"/>
        <v>4567529203</v>
      </c>
    </row>
    <row r="95" spans="2:13">
      <c r="B95" s="261" t="s">
        <v>181</v>
      </c>
      <c r="C95" s="27">
        <v>777126284</v>
      </c>
      <c r="D95" s="27">
        <v>35165000</v>
      </c>
      <c r="E95" s="27">
        <v>14136550</v>
      </c>
      <c r="F95" s="27"/>
      <c r="H95" s="428"/>
      <c r="I95" s="28"/>
      <c r="J95" s="28"/>
      <c r="K95" s="28"/>
      <c r="L95" s="28"/>
    </row>
    <row r="96" spans="2:13">
      <c r="B96" s="261" t="s">
        <v>182</v>
      </c>
      <c r="C96" s="27">
        <v>1112329838</v>
      </c>
      <c r="D96" s="27">
        <v>2458022184</v>
      </c>
      <c r="E96" s="27">
        <v>3393558686</v>
      </c>
      <c r="F96" s="27"/>
      <c r="H96" s="141"/>
      <c r="I96" s="141"/>
      <c r="J96" s="141"/>
      <c r="K96" s="141"/>
      <c r="L96" s="141"/>
    </row>
    <row r="97" spans="2:12">
      <c r="B97" s="261" t="s">
        <v>183</v>
      </c>
      <c r="C97" s="27">
        <v>95036361</v>
      </c>
      <c r="D97" s="27">
        <v>138715594</v>
      </c>
      <c r="E97" s="27">
        <v>7103892</v>
      </c>
      <c r="F97" s="27"/>
      <c r="H97" s="141"/>
      <c r="I97" s="141"/>
      <c r="J97" s="141"/>
      <c r="K97" s="141"/>
      <c r="L97" s="141"/>
    </row>
    <row r="98" spans="2:12">
      <c r="B98" s="263" t="s">
        <v>184</v>
      </c>
      <c r="C98" s="426">
        <f>C87-C91</f>
        <v>5579974957</v>
      </c>
      <c r="D98" s="426">
        <f>D87-D91</f>
        <v>10513614378</v>
      </c>
      <c r="E98" s="426">
        <f>E87-E91</f>
        <v>15380869613</v>
      </c>
    </row>
    <row r="99" spans="2:12">
      <c r="I99" s="27">
        <f>C84+C85+C92-I83</f>
        <v>-2084323929</v>
      </c>
      <c r="J99" s="27">
        <f>D84+D85+D92-J83</f>
        <v>-1393452123</v>
      </c>
      <c r="K99" s="27">
        <f>E84+E85+E92-K83</f>
        <v>-836180391</v>
      </c>
    </row>
    <row r="100" spans="2:12">
      <c r="C100" s="219">
        <v>-31926300</v>
      </c>
      <c r="D100" s="219">
        <v>2092366000</v>
      </c>
      <c r="E100" s="219">
        <v>4530542000</v>
      </c>
      <c r="F100" s="220">
        <v>1369108000</v>
      </c>
    </row>
    <row r="101" spans="2:12" s="204" customFormat="1"/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69"/>
  <sheetViews>
    <sheetView showGridLines="0" workbookViewId="0">
      <selection activeCell="B5" sqref="B5"/>
    </sheetView>
  </sheetViews>
  <sheetFormatPr defaultRowHeight="11.25"/>
  <cols>
    <col min="1" max="1" width="9" style="1"/>
    <col min="2" max="2" width="15.75" style="1" customWidth="1"/>
    <col min="3" max="3" width="10" style="1" bestFit="1" customWidth="1"/>
    <col min="4" max="4" width="9" style="1"/>
    <col min="5" max="6" width="10" style="1" bestFit="1" customWidth="1"/>
    <col min="7" max="7" width="9" style="1"/>
    <col min="8" max="8" width="11" style="1" customWidth="1"/>
    <col min="9" max="11" width="9" style="1"/>
    <col min="12" max="12" width="11.375" style="1" customWidth="1"/>
    <col min="13" max="16384" width="9" style="1"/>
  </cols>
  <sheetData>
    <row r="1" spans="2:18">
      <c r="B1" s="1" t="s">
        <v>36</v>
      </c>
    </row>
    <row r="2" spans="2:18" ht="19.5" customHeight="1">
      <c r="B2" s="43" t="s">
        <v>185</v>
      </c>
      <c r="C2" s="44"/>
      <c r="D2" s="44"/>
      <c r="E2" s="44"/>
      <c r="F2" s="45"/>
    </row>
    <row r="3" spans="2:18" ht="12" customHeight="1">
      <c r="B3" s="46"/>
      <c r="C3" s="47" t="s">
        <v>77</v>
      </c>
      <c r="D3" s="47" t="s">
        <v>78</v>
      </c>
      <c r="E3" s="47" t="s">
        <v>79</v>
      </c>
      <c r="F3" s="12" t="s">
        <v>80</v>
      </c>
      <c r="H3" s="46"/>
      <c r="I3" s="47" t="s">
        <v>77</v>
      </c>
      <c r="J3" s="47" t="s">
        <v>78</v>
      </c>
      <c r="K3" s="47" t="s">
        <v>79</v>
      </c>
      <c r="L3" s="12" t="s">
        <v>80</v>
      </c>
      <c r="N3" s="46"/>
      <c r="O3" s="47" t="s">
        <v>77</v>
      </c>
      <c r="P3" s="47" t="s">
        <v>78</v>
      </c>
      <c r="Q3" s="47" t="s">
        <v>79</v>
      </c>
      <c r="R3" s="12" t="s">
        <v>80</v>
      </c>
    </row>
    <row r="4" spans="2:18" ht="12" customHeight="1">
      <c r="B4" s="13" t="s">
        <v>83</v>
      </c>
      <c r="C4" s="14" t="s">
        <v>84</v>
      </c>
      <c r="D4" s="14" t="s">
        <v>84</v>
      </c>
      <c r="E4" s="14" t="s">
        <v>84</v>
      </c>
      <c r="F4" s="15" t="s">
        <v>85</v>
      </c>
      <c r="H4" s="13" t="s">
        <v>186</v>
      </c>
      <c r="I4" s="14" t="s">
        <v>77</v>
      </c>
      <c r="J4" s="14" t="s">
        <v>78</v>
      </c>
      <c r="K4" s="14" t="s">
        <v>79</v>
      </c>
      <c r="L4" s="15" t="s">
        <v>80</v>
      </c>
      <c r="N4" s="13" t="s">
        <v>187</v>
      </c>
      <c r="O4" s="14" t="s">
        <v>77</v>
      </c>
      <c r="P4" s="14" t="s">
        <v>78</v>
      </c>
      <c r="Q4" s="14" t="s">
        <v>79</v>
      </c>
      <c r="R4" s="15" t="s">
        <v>80</v>
      </c>
    </row>
    <row r="5" spans="2:18" ht="12" customHeight="1">
      <c r="B5" s="17" t="s">
        <v>46</v>
      </c>
      <c r="C5" s="67">
        <v>301650469844</v>
      </c>
      <c r="D5" s="67">
        <v>329529138676</v>
      </c>
      <c r="E5" s="67">
        <v>357818553490</v>
      </c>
      <c r="F5" s="68">
        <v>189665157770</v>
      </c>
      <c r="H5" s="391" t="s">
        <v>46</v>
      </c>
      <c r="I5" s="392">
        <f>C5/C$12</f>
        <v>0.57069214916361288</v>
      </c>
      <c r="J5" s="392">
        <f t="shared" ref="J5:J11" si="0">D5/D$12</f>
        <v>0.59295530228138982</v>
      </c>
      <c r="K5" s="392">
        <f t="shared" ref="K5:K11" si="1">E5/E$12</f>
        <v>0.61199844886919463</v>
      </c>
      <c r="L5" s="393">
        <f t="shared" ref="L5:L11" si="2">F5/F$12</f>
        <v>0.62405651586477706</v>
      </c>
      <c r="N5" s="17" t="s">
        <v>38</v>
      </c>
      <c r="O5" s="394"/>
      <c r="P5" s="395">
        <f>D5-C5</f>
        <v>27878668832</v>
      </c>
      <c r="Q5" s="395">
        <f t="shared" ref="Q5:Q11" si="3">E5-D5</f>
        <v>28289414814</v>
      </c>
      <c r="R5" s="396">
        <f>F5*2-E5</f>
        <v>21511762050</v>
      </c>
    </row>
    <row r="6" spans="2:18" ht="12" customHeight="1">
      <c r="B6" s="20" t="s">
        <v>154</v>
      </c>
      <c r="C6" s="69">
        <v>69649481160</v>
      </c>
      <c r="D6" s="69">
        <v>63547706707</v>
      </c>
      <c r="E6" s="69">
        <v>56026768138</v>
      </c>
      <c r="F6" s="70">
        <v>27146825614</v>
      </c>
      <c r="H6" s="20" t="s">
        <v>154</v>
      </c>
      <c r="I6" s="55">
        <f t="shared" ref="I6:I11" si="4">C6/C$12</f>
        <v>0.13176976688246847</v>
      </c>
      <c r="J6" s="55">
        <f t="shared" si="0"/>
        <v>0.11434785339813908</v>
      </c>
      <c r="K6" s="55">
        <f t="shared" si="1"/>
        <v>9.5825928703745303E-2</v>
      </c>
      <c r="L6" s="283">
        <f t="shared" si="2"/>
        <v>8.932137883756934E-2</v>
      </c>
      <c r="N6" s="20" t="s">
        <v>39</v>
      </c>
      <c r="O6" s="141"/>
      <c r="P6" s="209">
        <f t="shared" ref="P6:P11" si="5">D6-C6</f>
        <v>-6101774453</v>
      </c>
      <c r="Q6" s="209">
        <f t="shared" si="3"/>
        <v>-7520938569</v>
      </c>
      <c r="R6" s="397">
        <f t="shared" ref="R6:R11" si="6">F6*2-E6</f>
        <v>-1733116910</v>
      </c>
    </row>
    <row r="7" spans="2:18" ht="12" customHeight="1">
      <c r="B7" s="20" t="s">
        <v>48</v>
      </c>
      <c r="C7" s="69">
        <v>40168769460</v>
      </c>
      <c r="D7" s="69">
        <v>33386486016</v>
      </c>
      <c r="E7" s="69">
        <v>26961139273</v>
      </c>
      <c r="F7" s="70">
        <v>10360925486</v>
      </c>
      <c r="H7" s="20" t="s">
        <v>48</v>
      </c>
      <c r="I7" s="55">
        <f t="shared" si="4"/>
        <v>7.5995245040527709E-2</v>
      </c>
      <c r="J7" s="55">
        <f t="shared" si="0"/>
        <v>6.0075700702131841E-2</v>
      </c>
      <c r="K7" s="55">
        <f t="shared" si="1"/>
        <v>4.6113247213949903E-2</v>
      </c>
      <c r="L7" s="283">
        <f t="shared" si="2"/>
        <v>3.409062126090958E-2</v>
      </c>
      <c r="N7" s="20" t="s">
        <v>40</v>
      </c>
      <c r="O7" s="141"/>
      <c r="P7" s="209">
        <f t="shared" si="5"/>
        <v>-6782283444</v>
      </c>
      <c r="Q7" s="209">
        <f t="shared" si="3"/>
        <v>-6425346743</v>
      </c>
      <c r="R7" s="397">
        <f t="shared" si="6"/>
        <v>-6239288301</v>
      </c>
    </row>
    <row r="8" spans="2:18" ht="12" customHeight="1">
      <c r="B8" s="20" t="s">
        <v>188</v>
      </c>
      <c r="C8" s="69">
        <v>43499623320</v>
      </c>
      <c r="D8" s="69">
        <v>44066949023</v>
      </c>
      <c r="E8" s="69">
        <v>48731959043</v>
      </c>
      <c r="F8" s="70">
        <v>25563257442</v>
      </c>
      <c r="H8" s="20" t="s">
        <v>188</v>
      </c>
      <c r="I8" s="55">
        <f t="shared" si="4"/>
        <v>8.2296883320409631E-2</v>
      </c>
      <c r="J8" s="55">
        <f t="shared" si="0"/>
        <v>7.9294144316150644E-2</v>
      </c>
      <c r="K8" s="55">
        <f t="shared" si="1"/>
        <v>8.3349180901282169E-2</v>
      </c>
      <c r="L8" s="283">
        <f t="shared" si="2"/>
        <v>8.4110954067559279E-2</v>
      </c>
      <c r="N8" s="20" t="s">
        <v>41</v>
      </c>
      <c r="O8" s="141"/>
      <c r="P8" s="209">
        <f t="shared" si="5"/>
        <v>567325703</v>
      </c>
      <c r="Q8" s="209">
        <f t="shared" si="3"/>
        <v>4665010020</v>
      </c>
      <c r="R8" s="397">
        <f t="shared" si="6"/>
        <v>2394555841</v>
      </c>
    </row>
    <row r="9" spans="2:18" ht="12" customHeight="1">
      <c r="B9" s="20" t="s">
        <v>189</v>
      </c>
      <c r="C9" s="69">
        <v>21129287864</v>
      </c>
      <c r="D9" s="69">
        <v>21405858496</v>
      </c>
      <c r="E9" s="69">
        <v>23727187750</v>
      </c>
      <c r="F9" s="70">
        <v>14891677706</v>
      </c>
      <c r="H9" s="20" t="s">
        <v>189</v>
      </c>
      <c r="I9" s="55">
        <f t="shared" si="4"/>
        <v>3.997447346141652E-2</v>
      </c>
      <c r="J9" s="55">
        <f t="shared" si="0"/>
        <v>3.851773881389009E-2</v>
      </c>
      <c r="K9" s="55">
        <f t="shared" si="1"/>
        <v>4.0582026721076601E-2</v>
      </c>
      <c r="L9" s="283">
        <f t="shared" si="2"/>
        <v>4.8998185084986025E-2</v>
      </c>
      <c r="N9" s="20" t="s">
        <v>42</v>
      </c>
      <c r="O9" s="141"/>
      <c r="P9" s="209">
        <f t="shared" si="5"/>
        <v>276570632</v>
      </c>
      <c r="Q9" s="209">
        <f t="shared" si="3"/>
        <v>2321329254</v>
      </c>
      <c r="R9" s="397">
        <f t="shared" si="6"/>
        <v>6056167662</v>
      </c>
    </row>
    <row r="10" spans="2:18" ht="12" customHeight="1">
      <c r="B10" s="20" t="s">
        <v>190</v>
      </c>
      <c r="C10" s="69">
        <v>47717791608</v>
      </c>
      <c r="D10" s="69">
        <v>54174492386</v>
      </c>
      <c r="E10" s="69">
        <v>58437212647</v>
      </c>
      <c r="F10" s="70">
        <v>30531103326</v>
      </c>
      <c r="H10" s="389" t="s">
        <v>190</v>
      </c>
      <c r="I10" s="63">
        <f t="shared" si="4"/>
        <v>9.0277230664332062E-2</v>
      </c>
      <c r="J10" s="63">
        <f t="shared" si="0"/>
        <v>9.748167533149639E-2</v>
      </c>
      <c r="K10" s="63">
        <f t="shared" si="1"/>
        <v>9.9948655952528095E-2</v>
      </c>
      <c r="L10" s="390">
        <f t="shared" si="2"/>
        <v>0.10045669004865988</v>
      </c>
      <c r="N10" s="20" t="s">
        <v>191</v>
      </c>
      <c r="O10" s="141"/>
      <c r="P10" s="209">
        <f t="shared" si="5"/>
        <v>6456700778</v>
      </c>
      <c r="Q10" s="209">
        <f t="shared" si="3"/>
        <v>4262720261</v>
      </c>
      <c r="R10" s="397">
        <f t="shared" si="6"/>
        <v>2624994005</v>
      </c>
    </row>
    <row r="11" spans="2:18" ht="12" customHeight="1">
      <c r="B11" s="18" t="s">
        <v>159</v>
      </c>
      <c r="C11" s="265">
        <v>4754087094</v>
      </c>
      <c r="D11" s="265">
        <v>9629636821</v>
      </c>
      <c r="E11" s="265">
        <v>12969500563</v>
      </c>
      <c r="F11" s="266">
        <v>5764099605</v>
      </c>
      <c r="H11" s="18" t="s">
        <v>159</v>
      </c>
      <c r="I11" s="284">
        <f t="shared" si="4"/>
        <v>8.9942514672327802E-3</v>
      </c>
      <c r="J11" s="284">
        <f t="shared" si="0"/>
        <v>1.7327585156802154E-2</v>
      </c>
      <c r="K11" s="284">
        <f t="shared" si="1"/>
        <v>2.2182511638223285E-2</v>
      </c>
      <c r="L11" s="285">
        <f t="shared" si="2"/>
        <v>1.8965654835538841E-2</v>
      </c>
      <c r="N11" s="18" t="s">
        <v>158</v>
      </c>
      <c r="O11" s="398"/>
      <c r="P11" s="399">
        <f t="shared" si="5"/>
        <v>4875549727</v>
      </c>
      <c r="Q11" s="399">
        <f t="shared" si="3"/>
        <v>3339863742</v>
      </c>
      <c r="R11" s="400">
        <f t="shared" si="6"/>
        <v>-1441301353</v>
      </c>
    </row>
    <row r="12" spans="2:18" ht="12" customHeight="1" thickBot="1">
      <c r="B12" s="19" t="s">
        <v>35</v>
      </c>
      <c r="C12" s="267">
        <f>SUM(C5:C11)</f>
        <v>528569510350</v>
      </c>
      <c r="D12" s="267">
        <f>SUM(D5:D11)</f>
        <v>555740268125</v>
      </c>
      <c r="E12" s="267">
        <f>SUM(E5:E11)</f>
        <v>584672320904</v>
      </c>
      <c r="F12" s="268">
        <f>SUM(F5:F11)</f>
        <v>303923046949</v>
      </c>
    </row>
    <row r="13" spans="2:18" ht="12" customHeight="1"/>
    <row r="14" spans="2:18" ht="12" customHeight="1">
      <c r="B14" s="1" t="s">
        <v>36</v>
      </c>
      <c r="C14" s="27"/>
      <c r="D14" s="27"/>
      <c r="E14" s="27"/>
      <c r="F14" s="27"/>
    </row>
    <row r="15" spans="2:18" ht="12" customHeight="1">
      <c r="B15" s="7" t="s">
        <v>52</v>
      </c>
      <c r="C15" s="8"/>
      <c r="D15" s="8"/>
      <c r="E15" s="8"/>
      <c r="F15" s="9"/>
    </row>
    <row r="16" spans="2:18" ht="12" customHeight="1">
      <c r="B16" s="10"/>
      <c r="C16" s="11" t="s">
        <v>25</v>
      </c>
      <c r="D16" s="11" t="s">
        <v>26</v>
      </c>
      <c r="E16" s="11" t="s">
        <v>27</v>
      </c>
      <c r="F16" s="12" t="s">
        <v>28</v>
      </c>
      <c r="H16" s="46" t="s">
        <v>192</v>
      </c>
      <c r="I16" s="47" t="s">
        <v>77</v>
      </c>
      <c r="J16" s="47" t="s">
        <v>78</v>
      </c>
      <c r="K16" s="47" t="s">
        <v>79</v>
      </c>
      <c r="L16" s="12" t="s">
        <v>80</v>
      </c>
      <c r="N16" s="46" t="s">
        <v>192</v>
      </c>
      <c r="O16" s="47" t="s">
        <v>77</v>
      </c>
      <c r="P16" s="47" t="s">
        <v>78</v>
      </c>
      <c r="Q16" s="47" t="s">
        <v>79</v>
      </c>
      <c r="R16" s="12" t="s">
        <v>80</v>
      </c>
    </row>
    <row r="17" spans="2:18" ht="12" customHeight="1">
      <c r="B17" s="13" t="s">
        <v>29</v>
      </c>
      <c r="C17" s="14" t="s">
        <v>30</v>
      </c>
      <c r="D17" s="14" t="s">
        <v>30</v>
      </c>
      <c r="E17" s="14" t="s">
        <v>30</v>
      </c>
      <c r="F17" s="15" t="s">
        <v>31</v>
      </c>
      <c r="H17" s="13" t="s">
        <v>186</v>
      </c>
      <c r="I17" s="14" t="s">
        <v>77</v>
      </c>
      <c r="J17" s="14" t="s">
        <v>78</v>
      </c>
      <c r="K17" s="14" t="s">
        <v>79</v>
      </c>
      <c r="L17" s="15" t="s">
        <v>80</v>
      </c>
      <c r="N17" s="13" t="s">
        <v>186</v>
      </c>
      <c r="O17" s="14" t="s">
        <v>77</v>
      </c>
      <c r="P17" s="14" t="s">
        <v>78</v>
      </c>
      <c r="Q17" s="14" t="s">
        <v>79</v>
      </c>
      <c r="R17" s="15" t="s">
        <v>80</v>
      </c>
    </row>
    <row r="18" spans="2:18" ht="12" customHeight="1">
      <c r="B18" s="17" t="s">
        <v>193</v>
      </c>
      <c r="C18" s="21">
        <v>349368261452</v>
      </c>
      <c r="D18" s="21">
        <v>383703631062</v>
      </c>
      <c r="E18" s="21">
        <v>416255766137</v>
      </c>
      <c r="F18" s="22">
        <v>220196261096</v>
      </c>
      <c r="H18" s="17" t="s">
        <v>193</v>
      </c>
      <c r="I18" s="281">
        <f>C18/C$21</f>
        <v>0.6609693798279449</v>
      </c>
      <c r="J18" s="281">
        <f t="shared" ref="J18:L20" si="7">D18/D$21</f>
        <v>0.69043697761288625</v>
      </c>
      <c r="K18" s="281">
        <f t="shared" si="7"/>
        <v>0.71194710482172274</v>
      </c>
      <c r="L18" s="282">
        <f t="shared" si="7"/>
        <v>0.72451320591343693</v>
      </c>
      <c r="M18" s="1" t="s">
        <v>194</v>
      </c>
      <c r="N18" s="17" t="s">
        <v>53</v>
      </c>
      <c r="O18" s="394"/>
      <c r="P18" s="395">
        <f t="shared" ref="P18:P20" si="8">D18-C18</f>
        <v>34335369610</v>
      </c>
      <c r="Q18" s="395">
        <f t="shared" ref="Q18:Q20" si="9">E18-D18</f>
        <v>32552135075</v>
      </c>
      <c r="R18" s="396">
        <f>F18*2-E18</f>
        <v>24136756055</v>
      </c>
    </row>
    <row r="19" spans="2:18" ht="12" customHeight="1">
      <c r="B19" s="20" t="s">
        <v>48</v>
      </c>
      <c r="C19" s="28">
        <v>64628911184</v>
      </c>
      <c r="D19" s="28">
        <v>65472807519</v>
      </c>
      <c r="E19" s="28">
        <v>72459146793</v>
      </c>
      <c r="F19" s="29">
        <v>40454935148</v>
      </c>
      <c r="H19" s="20" t="s">
        <v>40</v>
      </c>
      <c r="I19" s="55">
        <f>C19/C$21</f>
        <v>0.12227135678182616</v>
      </c>
      <c r="J19" s="55">
        <f t="shared" si="7"/>
        <v>0.11781188313004073</v>
      </c>
      <c r="K19" s="55">
        <f t="shared" si="7"/>
        <v>0.12393120762235878</v>
      </c>
      <c r="L19" s="283">
        <f t="shared" si="7"/>
        <v>0.1331091391525453</v>
      </c>
      <c r="M19" s="1" t="s">
        <v>195</v>
      </c>
      <c r="N19" s="20" t="s">
        <v>40</v>
      </c>
      <c r="O19" s="141"/>
      <c r="P19" s="209">
        <f t="shared" si="8"/>
        <v>843896335</v>
      </c>
      <c r="Q19" s="209">
        <f t="shared" si="9"/>
        <v>6986339274</v>
      </c>
      <c r="R19" s="397">
        <f t="shared" ref="R19:R20" si="10">F19*2-E19</f>
        <v>8450723503</v>
      </c>
    </row>
    <row r="20" spans="2:18" ht="12" customHeight="1">
      <c r="B20" s="18" t="s">
        <v>50</v>
      </c>
      <c r="C20" s="23">
        <v>114572337714</v>
      </c>
      <c r="D20" s="23">
        <v>106563829544</v>
      </c>
      <c r="E20" s="23">
        <v>95957407974</v>
      </c>
      <c r="F20" s="24">
        <v>43271850705</v>
      </c>
      <c r="H20" s="18" t="s">
        <v>54</v>
      </c>
      <c r="I20" s="284">
        <f>C20/C$21</f>
        <v>0.21675926339022897</v>
      </c>
      <c r="J20" s="284">
        <f t="shared" si="7"/>
        <v>0.19175113925707307</v>
      </c>
      <c r="K20" s="284">
        <f t="shared" si="7"/>
        <v>0.16412168755591849</v>
      </c>
      <c r="L20" s="285">
        <f t="shared" si="7"/>
        <v>0.14237765493401774</v>
      </c>
      <c r="M20" s="1" t="s">
        <v>196</v>
      </c>
      <c r="N20" s="18" t="s">
        <v>54</v>
      </c>
      <c r="O20" s="398"/>
      <c r="P20" s="399">
        <f t="shared" si="8"/>
        <v>-8008508170</v>
      </c>
      <c r="Q20" s="399">
        <f t="shared" si="9"/>
        <v>-10606421570</v>
      </c>
      <c r="R20" s="400">
        <f t="shared" si="10"/>
        <v>-9413706564</v>
      </c>
    </row>
    <row r="21" spans="2:18" ht="12" customHeight="1" thickBot="1">
      <c r="B21" s="19" t="s">
        <v>35</v>
      </c>
      <c r="C21" s="25">
        <f>SUM(C18:C20)</f>
        <v>528569510350</v>
      </c>
      <c r="D21" s="25">
        <f>SUM(D18:D20)</f>
        <v>555740268125</v>
      </c>
      <c r="E21" s="25">
        <f>SUM(E18:E20)</f>
        <v>584672320904</v>
      </c>
      <c r="F21" s="26">
        <f>SUM(F18:F20)</f>
        <v>303923046949</v>
      </c>
    </row>
    <row r="22" spans="2:18" ht="12" customHeight="1"/>
    <row r="23" spans="2:18" ht="12" customHeight="1"/>
    <row r="24" spans="2:18" ht="12" customHeight="1"/>
    <row r="25" spans="2:18" ht="12" customHeight="1"/>
    <row r="26" spans="2:18" ht="12" customHeight="1"/>
    <row r="27" spans="2:18" ht="12" customHeight="1"/>
    <row r="28" spans="2:18" s="204" customFormat="1" ht="12" customHeight="1"/>
    <row r="29" spans="2:18" ht="12" customHeight="1"/>
    <row r="30" spans="2:18" ht="12" customHeight="1"/>
    <row r="31" spans="2:18" ht="12" customHeight="1">
      <c r="B31" s="1" t="s">
        <v>36</v>
      </c>
    </row>
    <row r="32" spans="2:18" ht="19.5" customHeight="1">
      <c r="B32" s="43" t="s">
        <v>197</v>
      </c>
      <c r="C32" s="44"/>
      <c r="D32" s="44"/>
      <c r="E32" s="44"/>
      <c r="F32" s="45"/>
    </row>
    <row r="33" spans="2:12" ht="12" customHeight="1">
      <c r="B33" s="46"/>
      <c r="C33" s="47" t="s">
        <v>77</v>
      </c>
      <c r="D33" s="47" t="s">
        <v>78</v>
      </c>
      <c r="E33" s="47" t="s">
        <v>79</v>
      </c>
      <c r="F33" s="12" t="s">
        <v>80</v>
      </c>
      <c r="H33" s="46"/>
      <c r="I33" s="47" t="s">
        <v>77</v>
      </c>
      <c r="J33" s="47" t="s">
        <v>78</v>
      </c>
      <c r="K33" s="47" t="s">
        <v>79</v>
      </c>
      <c r="L33" s="12" t="s">
        <v>80</v>
      </c>
    </row>
    <row r="34" spans="2:12" ht="12" customHeight="1">
      <c r="B34" s="13" t="s">
        <v>83</v>
      </c>
      <c r="C34" s="14" t="s">
        <v>84</v>
      </c>
      <c r="D34" s="14" t="s">
        <v>84</v>
      </c>
      <c r="E34" s="14" t="s">
        <v>84</v>
      </c>
      <c r="F34" s="15" t="s">
        <v>85</v>
      </c>
      <c r="H34" s="13" t="s">
        <v>186</v>
      </c>
      <c r="I34" s="14" t="s">
        <v>77</v>
      </c>
      <c r="J34" s="14" t="s">
        <v>78</v>
      </c>
      <c r="K34" s="14" t="s">
        <v>79</v>
      </c>
      <c r="L34" s="15" t="s">
        <v>80</v>
      </c>
    </row>
    <row r="35" spans="2:12" ht="12" customHeight="1">
      <c r="B35" s="17" t="s">
        <v>46</v>
      </c>
      <c r="C35" s="67">
        <v>296691633563</v>
      </c>
      <c r="D35" s="67">
        <v>317822974827</v>
      </c>
      <c r="E35" s="67">
        <v>329054293426</v>
      </c>
      <c r="F35" s="68">
        <v>174195511512</v>
      </c>
      <c r="H35" s="17" t="s">
        <v>46</v>
      </c>
      <c r="I35" s="281">
        <f>C35/C$42</f>
        <v>0.57128093466424434</v>
      </c>
      <c r="J35" s="281">
        <f t="shared" ref="J35:J41" si="11">D35/D$42</f>
        <v>0.60105736741982474</v>
      </c>
      <c r="K35" s="281">
        <f t="shared" ref="K35:K41" si="12">E35/E$42</f>
        <v>0.6137110961038954</v>
      </c>
      <c r="L35" s="282">
        <f t="shared" ref="L35:L41" si="13">F35/F$42</f>
        <v>0.62389334033551003</v>
      </c>
    </row>
    <row r="36" spans="2:12" ht="12" customHeight="1">
      <c r="B36" s="20" t="s">
        <v>154</v>
      </c>
      <c r="C36" s="69">
        <v>69793328452</v>
      </c>
      <c r="D36" s="69">
        <v>62770593661</v>
      </c>
      <c r="E36" s="69">
        <v>54726687904</v>
      </c>
      <c r="F36" s="70">
        <v>26891171748</v>
      </c>
      <c r="H36" s="20" t="s">
        <v>154</v>
      </c>
      <c r="I36" s="55">
        <f t="shared" ref="I36:I41" si="14">C36/C$42</f>
        <v>0.13438733486537885</v>
      </c>
      <c r="J36" s="55">
        <f t="shared" si="11"/>
        <v>0.11870988180699338</v>
      </c>
      <c r="K36" s="55">
        <f t="shared" si="12"/>
        <v>0.10206940401843677</v>
      </c>
      <c r="L36" s="283">
        <f t="shared" si="13"/>
        <v>9.6312601982513568E-2</v>
      </c>
    </row>
    <row r="37" spans="2:12" ht="12" customHeight="1">
      <c r="B37" s="20" t="s">
        <v>48</v>
      </c>
      <c r="C37" s="69">
        <v>39771393460</v>
      </c>
      <c r="D37" s="69">
        <v>32162937072</v>
      </c>
      <c r="E37" s="69">
        <v>22998719481</v>
      </c>
      <c r="F37" s="70">
        <v>9749865860</v>
      </c>
      <c r="H37" s="20" t="s">
        <v>48</v>
      </c>
      <c r="I37" s="55">
        <f t="shared" si="14"/>
        <v>7.657997819444301E-2</v>
      </c>
      <c r="J37" s="55">
        <f t="shared" si="11"/>
        <v>6.0825591024401666E-2</v>
      </c>
      <c r="K37" s="55">
        <f t="shared" si="12"/>
        <v>4.2894347904458223E-2</v>
      </c>
      <c r="L37" s="283">
        <f t="shared" si="13"/>
        <v>3.4919822711961854E-2</v>
      </c>
    </row>
    <row r="38" spans="2:12" ht="12" customHeight="1">
      <c r="B38" s="20" t="s">
        <v>188</v>
      </c>
      <c r="C38" s="69">
        <v>43418777428</v>
      </c>
      <c r="D38" s="69">
        <v>42307741487</v>
      </c>
      <c r="E38" s="69">
        <v>47816948703</v>
      </c>
      <c r="F38" s="70">
        <v>24345319543</v>
      </c>
      <c r="H38" s="20" t="s">
        <v>188</v>
      </c>
      <c r="I38" s="55">
        <f t="shared" si="14"/>
        <v>8.3603030706221937E-2</v>
      </c>
      <c r="J38" s="55">
        <f t="shared" si="11"/>
        <v>8.0011143730237405E-2</v>
      </c>
      <c r="K38" s="55">
        <f t="shared" si="12"/>
        <v>8.9182218822686038E-2</v>
      </c>
      <c r="L38" s="283">
        <f t="shared" si="13"/>
        <v>8.7194455238138027E-2</v>
      </c>
    </row>
    <row r="39" spans="2:12" ht="12" customHeight="1">
      <c r="B39" s="20" t="s">
        <v>189</v>
      </c>
      <c r="C39" s="69">
        <v>20767223864</v>
      </c>
      <c r="D39" s="69">
        <v>21064695432</v>
      </c>
      <c r="E39" s="69">
        <v>23077848703</v>
      </c>
      <c r="F39" s="70">
        <v>14201251235</v>
      </c>
      <c r="H39" s="20" t="s">
        <v>189</v>
      </c>
      <c r="I39" s="55">
        <f t="shared" si="14"/>
        <v>3.9987373142048227E-2</v>
      </c>
      <c r="J39" s="55">
        <f t="shared" si="11"/>
        <v>3.9836926165423114E-2</v>
      </c>
      <c r="K39" s="55">
        <f t="shared" si="12"/>
        <v>4.3041929876605892E-2</v>
      </c>
      <c r="L39" s="283">
        <f t="shared" si="13"/>
        <v>5.0862769040622403E-2</v>
      </c>
    </row>
    <row r="40" spans="2:12" ht="12" customHeight="1">
      <c r="B40" s="20" t="s">
        <v>190</v>
      </c>
      <c r="C40" s="69">
        <v>47711967609</v>
      </c>
      <c r="D40" s="69">
        <v>52294228059</v>
      </c>
      <c r="E40" s="69">
        <v>57857539144</v>
      </c>
      <c r="F40" s="70">
        <v>29633582018</v>
      </c>
      <c r="H40" s="20" t="s">
        <v>190</v>
      </c>
      <c r="I40" s="55">
        <f t="shared" si="14"/>
        <v>9.1869585680621785E-2</v>
      </c>
      <c r="J40" s="55">
        <f t="shared" si="11"/>
        <v>9.889729043504078E-2</v>
      </c>
      <c r="K40" s="55">
        <f t="shared" si="12"/>
        <v>0.1079086779152557</v>
      </c>
      <c r="L40" s="283">
        <f t="shared" si="13"/>
        <v>0.10613473510792903</v>
      </c>
    </row>
    <row r="41" spans="2:12" ht="12" customHeight="1">
      <c r="B41" s="18" t="s">
        <v>159</v>
      </c>
      <c r="C41" s="265">
        <v>1190214467</v>
      </c>
      <c r="D41" s="265">
        <v>349941738</v>
      </c>
      <c r="E41" s="265">
        <v>639290671</v>
      </c>
      <c r="F41" s="266">
        <v>190496254</v>
      </c>
      <c r="H41" s="18" t="s">
        <v>159</v>
      </c>
      <c r="I41" s="284">
        <f t="shared" si="14"/>
        <v>2.2917627470418183E-3</v>
      </c>
      <c r="J41" s="284">
        <f t="shared" si="11"/>
        <v>6.6179941807885151E-4</v>
      </c>
      <c r="K41" s="284">
        <f t="shared" si="12"/>
        <v>1.1923253586619343E-3</v>
      </c>
      <c r="L41" s="285">
        <f t="shared" si="13"/>
        <v>6.8227558332508733E-4</v>
      </c>
    </row>
    <row r="42" spans="2:12" ht="12" customHeight="1" thickBot="1">
      <c r="B42" s="19" t="s">
        <v>35</v>
      </c>
      <c r="C42" s="267">
        <f>SUM(C35:C41)</f>
        <v>519344538843</v>
      </c>
      <c r="D42" s="267">
        <f>SUM(D35:D41)</f>
        <v>528773112276</v>
      </c>
      <c r="E42" s="267">
        <f>SUM(E35:E41)</f>
        <v>536171328032</v>
      </c>
      <c r="F42" s="268">
        <f>SUM(F35:F41)</f>
        <v>279207198170</v>
      </c>
    </row>
    <row r="43" spans="2:12" ht="12" customHeight="1"/>
    <row r="44" spans="2:12" ht="12" customHeight="1">
      <c r="B44" s="1" t="s">
        <v>198</v>
      </c>
      <c r="C44" s="40">
        <f>C42/C12</f>
        <v>0.9825472878659014</v>
      </c>
      <c r="D44" s="40">
        <f>D42/D12</f>
        <v>0.95147525310702441</v>
      </c>
      <c r="E44" s="40">
        <f>E42/E12</f>
        <v>0.91704585433938546</v>
      </c>
      <c r="F44" s="40">
        <f>F42/F12</f>
        <v>0.9186772802289408</v>
      </c>
    </row>
    <row r="45" spans="2:12" ht="12" customHeight="1">
      <c r="C45" s="40"/>
      <c r="D45" s="40"/>
      <c r="E45" s="40"/>
      <c r="F45" s="40"/>
    </row>
    <row r="46" spans="2:12" ht="12" customHeight="1">
      <c r="C46" s="40"/>
      <c r="D46" s="40"/>
      <c r="E46" s="40"/>
      <c r="F46" s="40"/>
    </row>
    <row r="47" spans="2:12" ht="12" customHeight="1">
      <c r="B47" s="1" t="s">
        <v>36</v>
      </c>
    </row>
    <row r="48" spans="2:12" ht="19.5" customHeight="1">
      <c r="B48" s="43" t="s">
        <v>199</v>
      </c>
      <c r="C48" s="44"/>
      <c r="D48" s="44"/>
      <c r="E48" s="44"/>
      <c r="F48" s="45"/>
    </row>
    <row r="49" spans="2:12" ht="12" customHeight="1">
      <c r="B49" s="46"/>
      <c r="C49" s="47" t="s">
        <v>77</v>
      </c>
      <c r="D49" s="47" t="s">
        <v>78</v>
      </c>
      <c r="E49" s="47" t="s">
        <v>79</v>
      </c>
      <c r="F49" s="12" t="s">
        <v>80</v>
      </c>
    </row>
    <row r="50" spans="2:12" ht="12" customHeight="1">
      <c r="B50" s="13" t="s">
        <v>200</v>
      </c>
      <c r="C50" s="14" t="s">
        <v>84</v>
      </c>
      <c r="D50" s="14" t="s">
        <v>84</v>
      </c>
      <c r="E50" s="14" t="s">
        <v>84</v>
      </c>
      <c r="F50" s="15" t="s">
        <v>85</v>
      </c>
      <c r="I50" s="47" t="s">
        <v>77</v>
      </c>
      <c r="J50" s="47" t="s">
        <v>78</v>
      </c>
      <c r="K50" s="47" t="s">
        <v>79</v>
      </c>
      <c r="L50" s="12" t="s">
        <v>80</v>
      </c>
    </row>
    <row r="51" spans="2:12" ht="12" customHeight="1">
      <c r="B51" s="17" t="s">
        <v>46</v>
      </c>
      <c r="C51" s="269">
        <v>427220840</v>
      </c>
      <c r="D51" s="269">
        <v>412124532</v>
      </c>
      <c r="E51" s="269">
        <v>467000938</v>
      </c>
      <c r="F51" s="270">
        <v>282652547</v>
      </c>
      <c r="H51" s="17" t="s">
        <v>46</v>
      </c>
      <c r="I51" s="269">
        <v>427220840</v>
      </c>
      <c r="J51" s="269">
        <v>412124532</v>
      </c>
      <c r="K51" s="269">
        <v>467000938</v>
      </c>
      <c r="L51" s="270">
        <v>282652547</v>
      </c>
    </row>
    <row r="52" spans="2:12" ht="12" customHeight="1">
      <c r="B52" s="20" t="s">
        <v>154</v>
      </c>
      <c r="C52" s="271">
        <v>173003594</v>
      </c>
      <c r="D52" s="271">
        <v>168959390</v>
      </c>
      <c r="E52" s="271">
        <v>129588031</v>
      </c>
      <c r="F52" s="272">
        <v>61046236</v>
      </c>
      <c r="H52" s="20" t="s">
        <v>154</v>
      </c>
      <c r="I52" s="271">
        <v>173003594</v>
      </c>
      <c r="J52" s="271">
        <v>168959390</v>
      </c>
      <c r="K52" s="271">
        <v>129588031</v>
      </c>
      <c r="L52" s="272">
        <v>61046236</v>
      </c>
    </row>
    <row r="53" spans="2:12" ht="12" customHeight="1">
      <c r="B53" s="20" t="s">
        <v>48</v>
      </c>
      <c r="C53" s="271">
        <v>25638111</v>
      </c>
      <c r="D53" s="271">
        <v>26568581</v>
      </c>
      <c r="E53" s="271">
        <v>20630669</v>
      </c>
      <c r="F53" s="272">
        <v>12633454</v>
      </c>
      <c r="H53" s="20" t="s">
        <v>48</v>
      </c>
      <c r="I53" s="271">
        <v>25638111</v>
      </c>
      <c r="J53" s="271">
        <v>26568581</v>
      </c>
      <c r="K53" s="271">
        <v>20630669</v>
      </c>
      <c r="L53" s="272">
        <v>12633454</v>
      </c>
    </row>
    <row r="54" spans="2:12" ht="12" customHeight="1">
      <c r="B54" s="20" t="s">
        <v>188</v>
      </c>
      <c r="C54" s="271">
        <v>6756172</v>
      </c>
      <c r="D54" s="271">
        <v>11367487</v>
      </c>
      <c r="E54" s="271">
        <v>8385809</v>
      </c>
      <c r="F54" s="272">
        <v>5279566</v>
      </c>
      <c r="H54" s="20" t="s">
        <v>188</v>
      </c>
      <c r="I54" s="271">
        <v>6756172</v>
      </c>
      <c r="J54" s="271">
        <v>11367487</v>
      </c>
      <c r="K54" s="271">
        <v>8385809</v>
      </c>
      <c r="L54" s="272">
        <v>5279566</v>
      </c>
    </row>
    <row r="55" spans="2:12" ht="12" customHeight="1">
      <c r="B55" s="20" t="s">
        <v>189</v>
      </c>
      <c r="C55" s="271">
        <v>834513</v>
      </c>
      <c r="D55" s="271">
        <v>900638</v>
      </c>
      <c r="E55" s="271">
        <v>1278158</v>
      </c>
      <c r="F55" s="272">
        <v>4475007</v>
      </c>
      <c r="H55" s="20" t="s">
        <v>189</v>
      </c>
      <c r="I55" s="271">
        <v>834513</v>
      </c>
      <c r="J55" s="271">
        <v>900638</v>
      </c>
      <c r="K55" s="271">
        <v>1278158</v>
      </c>
      <c r="L55" s="272">
        <v>4475007</v>
      </c>
    </row>
    <row r="56" spans="2:12" ht="12" customHeight="1">
      <c r="B56" s="20" t="s">
        <v>190</v>
      </c>
      <c r="C56" s="271">
        <v>12987815</v>
      </c>
      <c r="D56" s="271">
        <v>13146796</v>
      </c>
      <c r="E56" s="271">
        <v>13878612</v>
      </c>
      <c r="F56" s="272">
        <v>7431203</v>
      </c>
      <c r="H56" s="20" t="s">
        <v>190</v>
      </c>
      <c r="I56" s="271">
        <v>12987815</v>
      </c>
      <c r="J56" s="271">
        <v>13146796</v>
      </c>
      <c r="K56" s="271">
        <v>13878612</v>
      </c>
      <c r="L56" s="272">
        <v>7431203</v>
      </c>
    </row>
    <row r="57" spans="2:12" ht="12" customHeight="1">
      <c r="B57" s="18" t="s">
        <v>159</v>
      </c>
      <c r="C57" s="273">
        <v>710264325</v>
      </c>
      <c r="D57" s="273">
        <v>1260177460</v>
      </c>
      <c r="E57" s="273">
        <v>1483819912</v>
      </c>
      <c r="F57" s="274">
        <v>921350000</v>
      </c>
      <c r="H57" s="18" t="s">
        <v>159</v>
      </c>
      <c r="I57" s="273">
        <v>710264325</v>
      </c>
      <c r="J57" s="273">
        <v>1260177460</v>
      </c>
      <c r="K57" s="273">
        <v>1483819912</v>
      </c>
      <c r="L57" s="274">
        <v>921350000</v>
      </c>
    </row>
    <row r="58" spans="2:12" ht="12" customHeight="1" thickBot="1">
      <c r="B58" s="138" t="s">
        <v>35</v>
      </c>
      <c r="C58" s="289">
        <f>SUM(C51:C57)</f>
        <v>1356705370</v>
      </c>
      <c r="D58" s="289">
        <f>SUM(D51:D57)</f>
        <v>1893244884</v>
      </c>
      <c r="E58" s="289">
        <f>SUM(E51:E57)</f>
        <v>2124582129</v>
      </c>
      <c r="F58" s="290">
        <f>SUM(F51:F57)</f>
        <v>1294868013</v>
      </c>
    </row>
    <row r="59" spans="2:12" ht="12" customHeight="1">
      <c r="B59" s="141"/>
      <c r="C59" s="291"/>
      <c r="D59" s="291"/>
      <c r="E59" s="291"/>
      <c r="F59" s="291"/>
    </row>
    <row r="60" spans="2:12" ht="12" customHeight="1">
      <c r="C60" s="288">
        <f>SUM(Sales_06월별!C5:N5)</f>
        <v>1356705370</v>
      </c>
      <c r="D60" s="288">
        <f>SUM(Sales_06월별!O5:Z5)</f>
        <v>1893244884</v>
      </c>
      <c r="E60" s="288">
        <f>SUM(Sales_06월별!AA5:AL5)</f>
        <v>2124582129</v>
      </c>
      <c r="F60" s="288">
        <f>SUM(Sales_06월별!AM5:AR5)</f>
        <v>1294868013</v>
      </c>
    </row>
    <row r="61" spans="2:12" ht="12" customHeight="1">
      <c r="C61" s="288"/>
      <c r="D61" s="288"/>
      <c r="E61" s="288"/>
      <c r="F61" s="288"/>
    </row>
    <row r="62" spans="2:12" ht="12" customHeight="1">
      <c r="C62" s="288"/>
      <c r="D62" s="288"/>
      <c r="E62" s="288"/>
      <c r="F62" s="288"/>
    </row>
    <row r="63" spans="2:12" ht="12" customHeight="1">
      <c r="C63" s="288"/>
      <c r="D63" s="288"/>
      <c r="E63" s="288"/>
      <c r="F63" s="288"/>
    </row>
    <row r="64" spans="2:12" ht="12" customHeight="1">
      <c r="D64" s="288"/>
    </row>
    <row r="65" spans="2:6" ht="12" customHeight="1">
      <c r="B65" s="1" t="s">
        <v>36</v>
      </c>
    </row>
    <row r="66" spans="2:6" ht="19.5" customHeight="1">
      <c r="B66" s="43" t="s">
        <v>201</v>
      </c>
      <c r="C66" s="44"/>
      <c r="D66" s="44"/>
      <c r="E66" s="44"/>
      <c r="F66" s="45"/>
    </row>
    <row r="67" spans="2:6" ht="12" customHeight="1">
      <c r="B67" s="46"/>
      <c r="C67" s="47" t="s">
        <v>77</v>
      </c>
      <c r="D67" s="47" t="s">
        <v>78</v>
      </c>
      <c r="E67" s="47" t="s">
        <v>79</v>
      </c>
      <c r="F67" s="12" t="s">
        <v>80</v>
      </c>
    </row>
    <row r="68" spans="2:6" ht="12" customHeight="1">
      <c r="B68" s="13" t="s">
        <v>202</v>
      </c>
      <c r="C68" s="14" t="s">
        <v>84</v>
      </c>
      <c r="D68" s="14" t="s">
        <v>84</v>
      </c>
      <c r="E68" s="14" t="s">
        <v>84</v>
      </c>
      <c r="F68" s="15" t="s">
        <v>85</v>
      </c>
    </row>
    <row r="69" spans="2:6" ht="12" customHeight="1">
      <c r="B69" s="17" t="s">
        <v>46</v>
      </c>
      <c r="C69" s="275">
        <f t="shared" ref="C69:F75" si="15">C35/C51</f>
        <v>694.46900943081334</v>
      </c>
      <c r="D69" s="275">
        <f t="shared" si="15"/>
        <v>771.18188835941464</v>
      </c>
      <c r="E69" s="275">
        <f t="shared" si="15"/>
        <v>704.6116327629303</v>
      </c>
      <c r="F69" s="276">
        <f t="shared" si="15"/>
        <v>616.28849044830997</v>
      </c>
    </row>
    <row r="70" spans="2:6" ht="12" customHeight="1">
      <c r="B70" s="20" t="s">
        <v>154</v>
      </c>
      <c r="C70" s="277">
        <f t="shared" si="15"/>
        <v>403.42126332936181</v>
      </c>
      <c r="D70" s="277">
        <f t="shared" si="15"/>
        <v>371.51290414223206</v>
      </c>
      <c r="E70" s="277">
        <f t="shared" si="15"/>
        <v>422.31282844323795</v>
      </c>
      <c r="F70" s="278">
        <f t="shared" si="15"/>
        <v>440.50499277301878</v>
      </c>
    </row>
    <row r="71" spans="2:6" ht="12" customHeight="1">
      <c r="B71" s="20" t="s">
        <v>48</v>
      </c>
      <c r="C71" s="277">
        <f t="shared" si="15"/>
        <v>1551.2606782925623</v>
      </c>
      <c r="D71" s="277">
        <f t="shared" si="15"/>
        <v>1210.5628475980709</v>
      </c>
      <c r="E71" s="277">
        <f t="shared" si="15"/>
        <v>1114.7830194454673</v>
      </c>
      <c r="F71" s="278">
        <f t="shared" si="15"/>
        <v>771.74982075369098</v>
      </c>
    </row>
    <row r="72" spans="2:6" ht="12" customHeight="1">
      <c r="B72" s="20" t="s">
        <v>188</v>
      </c>
      <c r="C72" s="277">
        <f t="shared" si="15"/>
        <v>6426.5352374095864</v>
      </c>
      <c r="D72" s="277">
        <f t="shared" si="15"/>
        <v>3721.820089787655</v>
      </c>
      <c r="E72" s="277">
        <f t="shared" si="15"/>
        <v>5702.1270938796724</v>
      </c>
      <c r="F72" s="278">
        <f t="shared" si="15"/>
        <v>4611.2350035968866</v>
      </c>
    </row>
    <row r="73" spans="2:6" ht="12" customHeight="1">
      <c r="B73" s="20" t="s">
        <v>189</v>
      </c>
      <c r="C73" s="277">
        <f t="shared" si="15"/>
        <v>24885.440806793904</v>
      </c>
      <c r="D73" s="277">
        <f t="shared" si="15"/>
        <v>23388.637201628178</v>
      </c>
      <c r="E73" s="277">
        <f t="shared" si="15"/>
        <v>18055.552367547672</v>
      </c>
      <c r="F73" s="278">
        <f t="shared" si="15"/>
        <v>3173.4589990585491</v>
      </c>
    </row>
    <row r="74" spans="2:6" ht="12" customHeight="1">
      <c r="B74" s="20" t="s">
        <v>190</v>
      </c>
      <c r="C74" s="277">
        <f t="shared" si="15"/>
        <v>3673.5946430558179</v>
      </c>
      <c r="D74" s="277">
        <f t="shared" si="15"/>
        <v>3977.716552306737</v>
      </c>
      <c r="E74" s="277">
        <f t="shared" si="15"/>
        <v>4168.8274839011283</v>
      </c>
      <c r="F74" s="278">
        <f t="shared" si="15"/>
        <v>3987.7233898737527</v>
      </c>
    </row>
    <row r="75" spans="2:6" ht="12" customHeight="1">
      <c r="B75" s="18" t="s">
        <v>159</v>
      </c>
      <c r="C75" s="279">
        <f t="shared" si="15"/>
        <v>1.6757345471349698</v>
      </c>
      <c r="D75" s="279">
        <f t="shared" si="15"/>
        <v>0.27769242754111789</v>
      </c>
      <c r="E75" s="279">
        <f t="shared" si="15"/>
        <v>0.43084114576836868</v>
      </c>
      <c r="F75" s="280">
        <f t="shared" si="15"/>
        <v>0.20675775112606501</v>
      </c>
    </row>
    <row r="76" spans="2:6" ht="12" customHeight="1"/>
    <row r="77" spans="2:6" ht="12" customHeight="1"/>
    <row r="78" spans="2:6" ht="12" customHeight="1"/>
    <row r="79" spans="2:6" s="204" customFormat="1" ht="12" customHeight="1"/>
    <row r="80" spans="2:6" ht="12" customHeight="1"/>
    <row r="81" spans="2:14" ht="12" customHeight="1">
      <c r="B81" s="295" t="s">
        <v>203</v>
      </c>
      <c r="C81" s="296" t="s">
        <v>77</v>
      </c>
      <c r="D81" s="296" t="s">
        <v>78</v>
      </c>
      <c r="E81" s="296" t="s">
        <v>79</v>
      </c>
      <c r="F81" s="297" t="s">
        <v>80</v>
      </c>
    </row>
    <row r="82" spans="2:14" ht="12" customHeight="1">
      <c r="B82" s="20" t="s">
        <v>204</v>
      </c>
      <c r="C82" s="271">
        <f>C35</f>
        <v>296691633563</v>
      </c>
      <c r="D82" s="271">
        <f>D35</f>
        <v>317822974827</v>
      </c>
      <c r="E82" s="271">
        <f>E35</f>
        <v>329054293426</v>
      </c>
      <c r="F82" s="272">
        <f>F35</f>
        <v>174195511512</v>
      </c>
    </row>
    <row r="83" spans="2:14" ht="12" customHeight="1">
      <c r="B83" s="20" t="s">
        <v>205</v>
      </c>
      <c r="C83" s="291">
        <f>C51</f>
        <v>427220840</v>
      </c>
      <c r="D83" s="291">
        <f t="shared" ref="D83:F83" si="16">D51</f>
        <v>412124532</v>
      </c>
      <c r="E83" s="291">
        <f t="shared" si="16"/>
        <v>467000938</v>
      </c>
      <c r="F83" s="292">
        <f t="shared" si="16"/>
        <v>282652547</v>
      </c>
    </row>
    <row r="84" spans="2:14" ht="12" customHeight="1">
      <c r="B84" s="18" t="s">
        <v>206</v>
      </c>
      <c r="C84" s="293">
        <f>C82/C83</f>
        <v>694.46900943081334</v>
      </c>
      <c r="D84" s="293">
        <f t="shared" ref="D84:F84" si="17">D82/D83</f>
        <v>771.18188835941464</v>
      </c>
      <c r="E84" s="293">
        <f t="shared" si="17"/>
        <v>704.6116327629303</v>
      </c>
      <c r="F84" s="294">
        <f t="shared" si="17"/>
        <v>616.28849044830997</v>
      </c>
    </row>
    <row r="85" spans="2:14" ht="12" customHeight="1"/>
    <row r="86" spans="2:14" ht="12" customHeight="1"/>
    <row r="87" spans="2:14" ht="12" customHeight="1"/>
    <row r="88" spans="2:14" ht="12" customHeight="1"/>
    <row r="89" spans="2:14" s="5" customFormat="1" ht="19.5" customHeight="1">
      <c r="B89" s="298" t="s">
        <v>207</v>
      </c>
      <c r="C89" s="299"/>
      <c r="D89" s="299"/>
      <c r="E89" s="300"/>
    </row>
    <row r="90" spans="2:14" s="5" customFormat="1">
      <c r="B90" s="301"/>
      <c r="C90" s="302"/>
      <c r="D90" s="302"/>
      <c r="E90" s="303"/>
    </row>
    <row r="91" spans="2:14" s="5" customFormat="1">
      <c r="B91" s="304" t="s">
        <v>208</v>
      </c>
      <c r="C91" s="305" t="s">
        <v>25</v>
      </c>
      <c r="D91" s="305" t="s">
        <v>26</v>
      </c>
      <c r="E91" s="306" t="s">
        <v>79</v>
      </c>
    </row>
    <row r="92" spans="2:14" s="5" customFormat="1">
      <c r="B92" s="311" t="s">
        <v>204</v>
      </c>
      <c r="C92" s="312">
        <f>C82</f>
        <v>296691633563</v>
      </c>
      <c r="D92" s="312">
        <f>D82</f>
        <v>317822974827</v>
      </c>
      <c r="E92" s="313">
        <f>E82</f>
        <v>329054293426</v>
      </c>
      <c r="G92" s="308">
        <f>D92-C92</f>
        <v>21131341264</v>
      </c>
      <c r="H92" s="308">
        <f>E92-D92</f>
        <v>11231318599</v>
      </c>
      <c r="J92" s="307" t="s">
        <v>209</v>
      </c>
      <c r="K92" s="307">
        <f>D93*(D94-C94)</f>
        <v>38537812709.695038</v>
      </c>
      <c r="L92" s="309">
        <f>C93*(D94-C94)</f>
        <v>39949470218.867218</v>
      </c>
      <c r="M92" s="307">
        <f>E93*(E94-D94)</f>
        <v>-15589008814.551384</v>
      </c>
      <c r="N92" s="309">
        <f>D93*(E94-D94)</f>
        <v>-13757173571.332022</v>
      </c>
    </row>
    <row r="93" spans="2:14" s="5" customFormat="1">
      <c r="B93" s="314" t="s">
        <v>205</v>
      </c>
      <c r="C93" s="291">
        <v>427220840</v>
      </c>
      <c r="D93" s="291">
        <v>412124532</v>
      </c>
      <c r="E93" s="292">
        <v>467000938</v>
      </c>
      <c r="J93" s="307" t="s">
        <v>205</v>
      </c>
      <c r="K93" s="309">
        <f>D94*(D93-C93)</f>
        <v>-12070801386.867231</v>
      </c>
      <c r="L93" s="307">
        <f>C94*(D93-C93)</f>
        <v>-10659143877.695049</v>
      </c>
      <c r="M93" s="309">
        <f>E94*(E93-D93)</f>
        <v>42046588385.332016</v>
      </c>
      <c r="N93" s="307">
        <f>D94*(E93-D93)</f>
        <v>43878423628.551376</v>
      </c>
    </row>
    <row r="94" spans="2:14" s="5" customFormat="1">
      <c r="B94" s="315" t="s">
        <v>209</v>
      </c>
      <c r="C94" s="293">
        <v>706.07620602964971</v>
      </c>
      <c r="D94" s="293">
        <v>799.58632182565634</v>
      </c>
      <c r="E94" s="294">
        <v>766.20521368203333</v>
      </c>
    </row>
    <row r="95" spans="2:14" s="5" customFormat="1">
      <c r="C95" s="307">
        <f>C94*C93</f>
        <v>301650469844</v>
      </c>
      <c r="D95" s="307">
        <f>D94*D93</f>
        <v>329529138676</v>
      </c>
      <c r="E95" s="307">
        <f>E94*E93</f>
        <v>357818553490</v>
      </c>
    </row>
    <row r="96" spans="2:14" s="5" customFormat="1">
      <c r="C96" s="307">
        <f>C92-C95</f>
        <v>-4958836281</v>
      </c>
      <c r="D96" s="307">
        <f>D92-D95</f>
        <v>-11706163849</v>
      </c>
      <c r="E96" s="307">
        <f>E92-E95</f>
        <v>-28764260064</v>
      </c>
    </row>
    <row r="97" spans="2:6" s="5" customFormat="1">
      <c r="C97" s="310"/>
      <c r="D97" s="310"/>
      <c r="E97" s="310"/>
    </row>
    <row r="98" spans="2:6" s="5" customFormat="1">
      <c r="B98" s="5" t="s">
        <v>210</v>
      </c>
      <c r="C98" s="307">
        <f>C92</f>
        <v>296691633563</v>
      </c>
      <c r="D98" s="307"/>
      <c r="E98" s="307"/>
      <c r="F98" s="307">
        <f>C98</f>
        <v>296691633563</v>
      </c>
    </row>
    <row r="99" spans="2:6" s="5" customFormat="1">
      <c r="B99" s="5" t="s">
        <v>209</v>
      </c>
      <c r="C99" s="307">
        <f>MIN(F98,F99)</f>
        <v>296691633563</v>
      </c>
      <c r="D99" s="307">
        <f>ABS(E99)</f>
        <v>38537812709.695038</v>
      </c>
      <c r="E99" s="307">
        <f>K92</f>
        <v>38537812709.695038</v>
      </c>
      <c r="F99" s="307">
        <f t="shared" ref="F99:F104" si="18">F98+E99</f>
        <v>335229446272.69507</v>
      </c>
    </row>
    <row r="100" spans="2:6" s="5" customFormat="1">
      <c r="B100" s="5" t="s">
        <v>205</v>
      </c>
      <c r="C100" s="307">
        <f>MIN(F99,F100)</f>
        <v>324570302395</v>
      </c>
      <c r="D100" s="307">
        <f>ABS(E100)</f>
        <v>10659143877.695049</v>
      </c>
      <c r="E100" s="307">
        <f>L93</f>
        <v>-10659143877.695049</v>
      </c>
      <c r="F100" s="307">
        <f t="shared" si="18"/>
        <v>324570302395</v>
      </c>
    </row>
    <row r="101" spans="2:6" s="5" customFormat="1">
      <c r="B101" s="5" t="s">
        <v>211</v>
      </c>
      <c r="C101" s="307">
        <f>C98+SUM(E99:E100)</f>
        <v>324570302395</v>
      </c>
      <c r="D101" s="307"/>
      <c r="E101" s="307"/>
      <c r="F101" s="307">
        <f t="shared" si="18"/>
        <v>324570302395</v>
      </c>
    </row>
    <row r="102" spans="2:6" s="5" customFormat="1">
      <c r="B102" s="5" t="s">
        <v>209</v>
      </c>
      <c r="C102" s="307">
        <f>MIN(F101,F102)</f>
        <v>308981293580.44861</v>
      </c>
      <c r="D102" s="307">
        <f>ABS(E102)</f>
        <v>15589008814.551384</v>
      </c>
      <c r="E102" s="307">
        <f>M92</f>
        <v>-15589008814.551384</v>
      </c>
      <c r="F102" s="307">
        <f t="shared" si="18"/>
        <v>308981293580.44861</v>
      </c>
    </row>
    <row r="103" spans="2:6" s="5" customFormat="1">
      <c r="B103" s="5" t="s">
        <v>205</v>
      </c>
      <c r="C103" s="307">
        <f>MIN(F102,F103)</f>
        <v>308981293580.44861</v>
      </c>
      <c r="D103" s="307">
        <f>ABS(E103)</f>
        <v>43878423628.551376</v>
      </c>
      <c r="E103" s="307">
        <f>N93</f>
        <v>43878423628.551376</v>
      </c>
      <c r="F103" s="307">
        <f t="shared" si="18"/>
        <v>352859717209</v>
      </c>
    </row>
    <row r="104" spans="2:6" s="5" customFormat="1">
      <c r="B104" s="5" t="s">
        <v>212</v>
      </c>
      <c r="C104" s="307">
        <f>C101+SUM(E102:E103)</f>
        <v>352859717209</v>
      </c>
      <c r="D104" s="307"/>
      <c r="E104" s="307"/>
      <c r="F104" s="307">
        <f t="shared" si="18"/>
        <v>352859717209</v>
      </c>
    </row>
    <row r="105" spans="2:6" s="5" customFormat="1">
      <c r="C105" s="307"/>
      <c r="D105" s="307"/>
      <c r="E105" s="307"/>
      <c r="F105" s="307"/>
    </row>
    <row r="106" spans="2:6" s="5" customFormat="1"/>
    <row r="107" spans="2:6" s="5" customFormat="1"/>
    <row r="108" spans="2:6" s="5" customFormat="1"/>
    <row r="109" spans="2:6" s="5" customFormat="1"/>
    <row r="110" spans="2:6" s="5" customFormat="1"/>
    <row r="111" spans="2:6" s="5" customFormat="1"/>
    <row r="112" spans="2:6" s="5" customFormat="1"/>
    <row r="113" spans="2:19" s="5" customFormat="1">
      <c r="C113" s="307"/>
      <c r="D113" s="307"/>
      <c r="E113" s="307"/>
      <c r="F113" s="307"/>
    </row>
    <row r="114" spans="2:19" s="5" customFormat="1">
      <c r="C114" s="307"/>
      <c r="D114" s="307"/>
      <c r="E114" s="307"/>
      <c r="F114" s="307"/>
    </row>
    <row r="115" spans="2:19" s="5" customFormat="1" ht="19.5" customHeight="1">
      <c r="B115" s="298" t="s">
        <v>213</v>
      </c>
      <c r="C115" s="299"/>
      <c r="D115" s="299"/>
      <c r="E115" s="300"/>
      <c r="F115" s="307"/>
    </row>
    <row r="116" spans="2:19" s="5" customFormat="1" ht="12" customHeight="1">
      <c r="B116" s="301"/>
      <c r="C116" s="302" t="s">
        <v>77</v>
      </c>
      <c r="D116" s="302" t="s">
        <v>78</v>
      </c>
      <c r="E116" s="303" t="s">
        <v>79</v>
      </c>
      <c r="F116" s="307"/>
      <c r="H116" s="5" t="s">
        <v>214</v>
      </c>
    </row>
    <row r="117" spans="2:19" s="5" customFormat="1" ht="12" customHeight="1">
      <c r="B117" s="304" t="s">
        <v>208</v>
      </c>
      <c r="C117" s="305" t="s">
        <v>84</v>
      </c>
      <c r="D117" s="305" t="s">
        <v>84</v>
      </c>
      <c r="E117" s="306" t="s">
        <v>84</v>
      </c>
      <c r="F117" s="307"/>
      <c r="H117" s="349">
        <v>2012</v>
      </c>
      <c r="L117" s="349">
        <v>2013</v>
      </c>
      <c r="P117" s="349">
        <v>2014</v>
      </c>
    </row>
    <row r="118" spans="2:19" s="5" customFormat="1" ht="12" customHeight="1" thickBot="1">
      <c r="B118" s="316" t="s">
        <v>215</v>
      </c>
      <c r="C118" s="377">
        <f>SUM(C119:C120)</f>
        <v>87836612366</v>
      </c>
      <c r="D118" s="377">
        <f>SUM(D119:D120)</f>
        <v>93272805629</v>
      </c>
      <c r="E118" s="378">
        <f>SUM(E119:E120)</f>
        <v>103453997238</v>
      </c>
      <c r="F118" s="1"/>
      <c r="G118" s="1"/>
      <c r="H118" s="5" t="s">
        <v>144</v>
      </c>
      <c r="I118" s="307" t="s">
        <v>205</v>
      </c>
      <c r="J118" s="307" t="s">
        <v>216</v>
      </c>
      <c r="K118" s="5" t="s">
        <v>209</v>
      </c>
      <c r="L118" s="5" t="s">
        <v>144</v>
      </c>
      <c r="M118" s="307" t="s">
        <v>205</v>
      </c>
      <c r="N118" s="307" t="s">
        <v>216</v>
      </c>
      <c r="O118" s="5" t="s">
        <v>209</v>
      </c>
      <c r="P118" s="5" t="s">
        <v>144</v>
      </c>
      <c r="Q118" s="307" t="s">
        <v>205</v>
      </c>
      <c r="R118" s="307" t="s">
        <v>216</v>
      </c>
      <c r="S118" s="5" t="s">
        <v>209</v>
      </c>
    </row>
    <row r="119" spans="2:19" s="5" customFormat="1" ht="12" customHeight="1">
      <c r="B119" s="317" t="s">
        <v>144</v>
      </c>
      <c r="C119" s="375">
        <f>J119</f>
        <v>69285314580</v>
      </c>
      <c r="D119" s="375">
        <f>N119</f>
        <v>74257129163</v>
      </c>
      <c r="E119" s="379">
        <f>R119</f>
        <v>77304936133</v>
      </c>
      <c r="F119" s="1"/>
      <c r="G119" s="1"/>
      <c r="H119" s="353" t="s">
        <v>217</v>
      </c>
      <c r="I119" s="354">
        <v>15516608</v>
      </c>
      <c r="J119" s="355">
        <v>69285314580</v>
      </c>
      <c r="K119" s="356">
        <f t="shared" ref="K119:K124" si="19">J119/I119</f>
        <v>4465.235867272022</v>
      </c>
      <c r="L119" s="357" t="s">
        <v>218</v>
      </c>
      <c r="M119" s="354">
        <v>17241831</v>
      </c>
      <c r="N119" s="355">
        <v>74257129163</v>
      </c>
      <c r="O119" s="356">
        <f t="shared" ref="O119:O125" si="20">N119/M119</f>
        <v>4306.80066189026</v>
      </c>
      <c r="P119" s="358" t="s">
        <v>219</v>
      </c>
      <c r="Q119" s="354">
        <v>14682298</v>
      </c>
      <c r="R119" s="355">
        <v>77304936133</v>
      </c>
      <c r="S119" s="359">
        <f t="shared" ref="S119:S128" si="21">R119/Q119</f>
        <v>5265.1796151392646</v>
      </c>
    </row>
    <row r="120" spans="2:19" s="5" customFormat="1" ht="12" customHeight="1">
      <c r="B120" s="317" t="s">
        <v>153</v>
      </c>
      <c r="C120" s="375">
        <f>J130</f>
        <v>18551297786</v>
      </c>
      <c r="D120" s="375">
        <f>N130</f>
        <v>19015676466</v>
      </c>
      <c r="E120" s="379">
        <f>R130</f>
        <v>26149061105</v>
      </c>
      <c r="F120" s="376"/>
      <c r="G120" s="1"/>
      <c r="H120" s="360" t="s">
        <v>220</v>
      </c>
      <c r="I120" s="350">
        <v>24640227</v>
      </c>
      <c r="J120" s="307">
        <v>50021114779</v>
      </c>
      <c r="K120" s="352">
        <f t="shared" si="19"/>
        <v>2030.0590079385227</v>
      </c>
      <c r="L120" s="141" t="s">
        <v>221</v>
      </c>
      <c r="M120" s="350">
        <v>23974392</v>
      </c>
      <c r="N120" s="307">
        <v>50714691737</v>
      </c>
      <c r="O120" s="352">
        <f t="shared" si="20"/>
        <v>2115.3692547031014</v>
      </c>
      <c r="P120" s="351" t="s">
        <v>222</v>
      </c>
      <c r="Q120" s="350">
        <v>21739980</v>
      </c>
      <c r="R120" s="307">
        <v>55715484860</v>
      </c>
      <c r="S120" s="361">
        <f t="shared" si="21"/>
        <v>2562.8121488612223</v>
      </c>
    </row>
    <row r="121" spans="2:19" s="5" customFormat="1" ht="12" customHeight="1">
      <c r="B121" s="318" t="s">
        <v>223</v>
      </c>
      <c r="C121" s="380">
        <f>SUM(C122:C123)</f>
        <v>84540915925</v>
      </c>
      <c r="D121" s="380">
        <f t="shared" ref="D121:E121" si="22">SUM(D122:D123)</f>
        <v>95432865231</v>
      </c>
      <c r="E121" s="381">
        <f t="shared" si="22"/>
        <v>110089999301</v>
      </c>
      <c r="F121" s="376"/>
      <c r="G121" s="1"/>
      <c r="H121" s="360" t="s">
        <v>224</v>
      </c>
      <c r="I121" s="350">
        <v>7137554</v>
      </c>
      <c r="J121" s="307">
        <v>48001462591</v>
      </c>
      <c r="K121" s="352">
        <f t="shared" si="19"/>
        <v>6725.197818608448</v>
      </c>
      <c r="L121" s="141" t="s">
        <v>225</v>
      </c>
      <c r="M121" s="350">
        <v>7342293</v>
      </c>
      <c r="N121" s="307">
        <v>43722410516</v>
      </c>
      <c r="O121" s="352">
        <f t="shared" si="20"/>
        <v>5954.8713890878507</v>
      </c>
      <c r="P121" s="141" t="s">
        <v>226</v>
      </c>
      <c r="Q121" s="350">
        <v>6861427</v>
      </c>
      <c r="R121" s="307">
        <v>42790382752</v>
      </c>
      <c r="S121" s="361">
        <f>R121/Q121</f>
        <v>6236.3678505943444</v>
      </c>
    </row>
    <row r="122" spans="2:19" ht="12" customHeight="1">
      <c r="B122" s="317" t="s">
        <v>144</v>
      </c>
      <c r="C122" s="375">
        <f>J120</f>
        <v>50021114779</v>
      </c>
      <c r="D122" s="375">
        <f>N120</f>
        <v>50714691737</v>
      </c>
      <c r="E122" s="379">
        <f>R120</f>
        <v>55715484860</v>
      </c>
      <c r="F122" s="376"/>
      <c r="H122" s="362" t="s">
        <v>227</v>
      </c>
      <c r="I122" s="350">
        <v>11723980</v>
      </c>
      <c r="J122" s="307">
        <v>44429056993</v>
      </c>
      <c r="K122" s="352">
        <f t="shared" si="19"/>
        <v>3789.5882620918833</v>
      </c>
      <c r="L122" s="141" t="s">
        <v>228</v>
      </c>
      <c r="M122" s="350">
        <v>11714696</v>
      </c>
      <c r="N122" s="307">
        <v>50476459696</v>
      </c>
      <c r="O122" s="352">
        <f t="shared" si="20"/>
        <v>4308.8151579861742</v>
      </c>
      <c r="P122" s="351" t="s">
        <v>229</v>
      </c>
      <c r="Q122" s="350">
        <v>12227198</v>
      </c>
      <c r="R122" s="307">
        <v>54299390077</v>
      </c>
      <c r="S122" s="361">
        <f t="shared" si="21"/>
        <v>4440.8694516110727</v>
      </c>
    </row>
    <row r="123" spans="2:19" ht="12" customHeight="1">
      <c r="B123" s="317" t="s">
        <v>153</v>
      </c>
      <c r="C123" s="375">
        <f>J131</f>
        <v>34519801146</v>
      </c>
      <c r="D123" s="375">
        <f>N131</f>
        <v>44718173494</v>
      </c>
      <c r="E123" s="379">
        <f>R131</f>
        <v>54374514441</v>
      </c>
      <c r="F123" s="376"/>
      <c r="H123" s="360" t="s">
        <v>230</v>
      </c>
      <c r="I123" s="350">
        <v>6689981</v>
      </c>
      <c r="J123" s="307">
        <v>33308206605</v>
      </c>
      <c r="K123" s="352">
        <f t="shared" si="19"/>
        <v>4978.819312790275</v>
      </c>
      <c r="L123" s="141" t="s">
        <v>231</v>
      </c>
      <c r="M123" s="350">
        <v>6475561</v>
      </c>
      <c r="N123" s="307">
        <v>38991641762</v>
      </c>
      <c r="O123" s="352">
        <f t="shared" si="20"/>
        <v>6021.3534799533199</v>
      </c>
      <c r="P123" s="141" t="s">
        <v>232</v>
      </c>
      <c r="Q123" s="350">
        <v>5650329</v>
      </c>
      <c r="R123" s="307">
        <v>35095350293</v>
      </c>
      <c r="S123" s="361">
        <f t="shared" si="21"/>
        <v>6211.2047445378848</v>
      </c>
    </row>
    <row r="124" spans="2:19" ht="12" customHeight="1" thickBot="1">
      <c r="B124" s="318" t="s">
        <v>233</v>
      </c>
      <c r="C124" s="380">
        <f t="shared" ref="C124:E124" si="23">SUM(C125:C126)</f>
        <v>62016634590</v>
      </c>
      <c r="D124" s="380">
        <f t="shared" si="23"/>
        <v>64365989374</v>
      </c>
      <c r="E124" s="381">
        <f t="shared" si="23"/>
        <v>70731291451</v>
      </c>
      <c r="F124" s="376"/>
      <c r="H124" s="363" t="s">
        <v>234</v>
      </c>
      <c r="I124" s="364">
        <v>5408289</v>
      </c>
      <c r="J124" s="365">
        <v>20525008102</v>
      </c>
      <c r="K124" s="366">
        <f t="shared" si="19"/>
        <v>3795.1019448110114</v>
      </c>
      <c r="L124" s="367" t="s">
        <v>235</v>
      </c>
      <c r="M124" s="364">
        <v>4911129</v>
      </c>
      <c r="N124" s="365">
        <v>23011950358</v>
      </c>
      <c r="O124" s="366">
        <f t="shared" si="20"/>
        <v>4685.6741816392932</v>
      </c>
      <c r="P124" s="368" t="s">
        <v>236</v>
      </c>
      <c r="Q124" s="364">
        <v>2982876</v>
      </c>
      <c r="R124" s="365">
        <v>16778628079</v>
      </c>
      <c r="S124" s="369">
        <f t="shared" si="21"/>
        <v>5624.9834317618297</v>
      </c>
    </row>
    <row r="125" spans="2:19" ht="12" customHeight="1">
      <c r="B125" s="317" t="s">
        <v>60</v>
      </c>
      <c r="C125" s="375">
        <f>J121</f>
        <v>48001462591</v>
      </c>
      <c r="D125" s="375">
        <f>N121</f>
        <v>43722410516</v>
      </c>
      <c r="E125" s="379">
        <f>R121</f>
        <v>42790382752</v>
      </c>
      <c r="F125" s="376"/>
      <c r="H125" s="5" t="s">
        <v>237</v>
      </c>
      <c r="I125" s="350">
        <v>3782</v>
      </c>
      <c r="J125" s="307">
        <v>451683356</v>
      </c>
      <c r="K125" s="352">
        <f t="shared" ref="K125:K128" si="24">J125/I125</f>
        <v>119429.76097303015</v>
      </c>
      <c r="L125" s="351" t="s">
        <v>238</v>
      </c>
      <c r="M125" s="350">
        <v>196</v>
      </c>
      <c r="N125" s="307">
        <v>34294026</v>
      </c>
      <c r="O125" s="352">
        <f t="shared" si="20"/>
        <v>174969.52040816325</v>
      </c>
      <c r="P125" s="141" t="s">
        <v>239</v>
      </c>
      <c r="Q125" s="350">
        <v>1959760</v>
      </c>
      <c r="R125" s="307">
        <v>1073865459</v>
      </c>
      <c r="S125" s="352">
        <f t="shared" si="21"/>
        <v>547.95763715965222</v>
      </c>
    </row>
    <row r="126" spans="2:19" ht="12" customHeight="1">
      <c r="B126" s="319" t="s">
        <v>240</v>
      </c>
      <c r="C126" s="382">
        <f>J132</f>
        <v>14015171999</v>
      </c>
      <c r="D126" s="382">
        <f>N132</f>
        <v>20643578858</v>
      </c>
      <c r="E126" s="383">
        <f>R132</f>
        <v>27940908699</v>
      </c>
      <c r="F126" s="376"/>
      <c r="H126" s="5" t="s">
        <v>241</v>
      </c>
      <c r="I126" s="350">
        <v>4176</v>
      </c>
      <c r="J126" s="307">
        <v>198946076</v>
      </c>
      <c r="K126" s="352">
        <f t="shared" si="24"/>
        <v>47640.343869731798</v>
      </c>
      <c r="L126" s="351" t="s">
        <v>242</v>
      </c>
      <c r="M126" s="350">
        <v>7880</v>
      </c>
      <c r="N126" s="307">
        <v>344694176</v>
      </c>
      <c r="O126" s="352">
        <f t="shared" ref="O126:O128" si="25">N126/M126</f>
        <v>43742.91573604061</v>
      </c>
      <c r="P126" s="141" t="s">
        <v>243</v>
      </c>
      <c r="Q126" s="350">
        <v>263780</v>
      </c>
      <c r="R126" s="307">
        <v>466541548</v>
      </c>
      <c r="S126" s="352">
        <f t="shared" si="21"/>
        <v>1768.6767306088407</v>
      </c>
    </row>
    <row r="127" spans="2:19" ht="12" customHeight="1" thickBot="1">
      <c r="B127" s="19" t="s">
        <v>35</v>
      </c>
      <c r="C127" s="384">
        <f>C118+C121+C124</f>
        <v>234394162881</v>
      </c>
      <c r="D127" s="384">
        <f>D118+D121+D124</f>
        <v>253071660234</v>
      </c>
      <c r="E127" s="385">
        <f>E118+E121+E124</f>
        <v>284275287990</v>
      </c>
      <c r="F127" s="376"/>
      <c r="H127" s="1" t="s">
        <v>244</v>
      </c>
      <c r="I127" s="350">
        <v>55300892.899999999</v>
      </c>
      <c r="J127" s="307">
        <v>4512056637</v>
      </c>
      <c r="K127" s="352">
        <f t="shared" si="24"/>
        <v>81.591026842172383</v>
      </c>
      <c r="L127" s="141" t="s">
        <v>245</v>
      </c>
      <c r="M127" s="350">
        <v>293876</v>
      </c>
      <c r="N127" s="307">
        <v>476799445</v>
      </c>
      <c r="O127" s="352">
        <f t="shared" si="25"/>
        <v>1622.4511188392382</v>
      </c>
      <c r="P127" s="141" t="s">
        <v>246</v>
      </c>
      <c r="Q127" s="350">
        <v>4979</v>
      </c>
      <c r="R127" s="307">
        <v>221709229</v>
      </c>
      <c r="S127" s="352">
        <f t="shared" si="21"/>
        <v>44528.867041574616</v>
      </c>
    </row>
    <row r="128" spans="2:19" ht="12" customHeight="1">
      <c r="C128" s="376"/>
      <c r="D128" s="376"/>
      <c r="E128" s="376"/>
      <c r="F128" s="376"/>
      <c r="H128" s="1" t="s">
        <v>247</v>
      </c>
      <c r="I128" s="350">
        <v>2211335</v>
      </c>
      <c r="J128" s="307">
        <v>356317510</v>
      </c>
      <c r="K128" s="352">
        <f t="shared" si="24"/>
        <v>161.13230695484853</v>
      </c>
      <c r="L128" s="141" t="s">
        <v>248</v>
      </c>
      <c r="M128" s="350">
        <v>4870906</v>
      </c>
      <c r="N128" s="307">
        <v>2625634862</v>
      </c>
      <c r="O128" s="352">
        <f t="shared" si="25"/>
        <v>539.04445333167996</v>
      </c>
      <c r="P128" s="141" t="s">
        <v>249</v>
      </c>
      <c r="Q128" s="350">
        <v>1446</v>
      </c>
      <c r="R128" s="307">
        <v>32171610</v>
      </c>
      <c r="S128" s="352">
        <f t="shared" si="21"/>
        <v>22248.69294605809</v>
      </c>
    </row>
    <row r="129" spans="1:19" ht="12" customHeight="1" thickBot="1">
      <c r="B129" s="1" t="s">
        <v>250</v>
      </c>
      <c r="C129" s="16">
        <f>C5</f>
        <v>301650469844</v>
      </c>
      <c r="D129" s="16">
        <f t="shared" ref="D129:E129" si="26">D5</f>
        <v>329529138676</v>
      </c>
      <c r="E129" s="16">
        <f t="shared" si="26"/>
        <v>357818553490</v>
      </c>
      <c r="F129" s="376"/>
      <c r="H129" s="1" t="s">
        <v>153</v>
      </c>
      <c r="I129" s="307" t="s">
        <v>205</v>
      </c>
      <c r="J129" s="307" t="s">
        <v>216</v>
      </c>
      <c r="K129" s="5" t="s">
        <v>209</v>
      </c>
      <c r="L129" s="141" t="s">
        <v>153</v>
      </c>
      <c r="M129" s="307" t="s">
        <v>205</v>
      </c>
      <c r="N129" s="307" t="s">
        <v>216</v>
      </c>
      <c r="O129" s="5" t="s">
        <v>209</v>
      </c>
      <c r="P129" s="141" t="s">
        <v>153</v>
      </c>
      <c r="Q129" s="350" t="s">
        <v>205</v>
      </c>
      <c r="R129" s="307" t="s">
        <v>216</v>
      </c>
      <c r="S129" s="310"/>
    </row>
    <row r="130" spans="1:19" ht="12" customHeight="1">
      <c r="B130" s="1" t="s">
        <v>251</v>
      </c>
      <c r="C130" s="40">
        <f>C127/C129</f>
        <v>0.77703894511491423</v>
      </c>
      <c r="D130" s="40">
        <f>D127/D129</f>
        <v>0.7679796125186531</v>
      </c>
      <c r="E130" s="40">
        <f>E127/E129</f>
        <v>0.79446771336284183</v>
      </c>
      <c r="F130" s="376"/>
      <c r="H130" s="353" t="s">
        <v>217</v>
      </c>
      <c r="I130" s="354">
        <v>387546714</v>
      </c>
      <c r="J130" s="355">
        <v>18551297786</v>
      </c>
      <c r="K130" s="356">
        <f>J130/I130</f>
        <v>47.868546205761405</v>
      </c>
      <c r="L130" s="357" t="s">
        <v>218</v>
      </c>
      <c r="M130" s="354">
        <v>665252629</v>
      </c>
      <c r="N130" s="355">
        <v>19015676466</v>
      </c>
      <c r="O130" s="356">
        <f t="shared" ref="O130:O135" si="27">N130/M130</f>
        <v>28.584143281905018</v>
      </c>
      <c r="P130" s="357" t="s">
        <v>219</v>
      </c>
      <c r="Q130" s="354">
        <v>731249276</v>
      </c>
      <c r="R130" s="355">
        <v>26149061105</v>
      </c>
      <c r="S130" s="359">
        <f>R130/Q130</f>
        <v>35.759435206606618</v>
      </c>
    </row>
    <row r="131" spans="1:19" ht="12" customHeight="1">
      <c r="C131" s="376"/>
      <c r="D131" s="376"/>
      <c r="E131" s="376"/>
      <c r="F131" s="376"/>
      <c r="H131" s="373" t="s">
        <v>220</v>
      </c>
      <c r="I131" s="370">
        <v>167885274</v>
      </c>
      <c r="J131" s="309">
        <v>34519801146</v>
      </c>
      <c r="K131" s="371">
        <f>J131/I131</f>
        <v>205.61542012314911</v>
      </c>
      <c r="L131" s="372" t="s">
        <v>221</v>
      </c>
      <c r="M131" s="370">
        <v>239955190</v>
      </c>
      <c r="N131" s="309">
        <v>44718173494</v>
      </c>
      <c r="O131" s="371">
        <f t="shared" si="27"/>
        <v>186.36051795337289</v>
      </c>
      <c r="P131" s="372" t="s">
        <v>222</v>
      </c>
      <c r="Q131" s="370">
        <v>253195215</v>
      </c>
      <c r="R131" s="309">
        <v>54374514441</v>
      </c>
      <c r="S131" s="374">
        <f t="shared" ref="S131:S138" si="28">R131/Q131</f>
        <v>214.75332557528782</v>
      </c>
    </row>
    <row r="132" spans="1:19" ht="12" customHeight="1">
      <c r="A132" s="1" t="s">
        <v>252</v>
      </c>
      <c r="B132" s="1" t="s">
        <v>144</v>
      </c>
      <c r="C132" s="376">
        <f t="shared" ref="C132:E133" si="29">C119+C122+C125</f>
        <v>167307891950</v>
      </c>
      <c r="D132" s="376">
        <f t="shared" si="29"/>
        <v>168694231416</v>
      </c>
      <c r="E132" s="376">
        <f t="shared" si="29"/>
        <v>175810803745</v>
      </c>
      <c r="F132" s="376"/>
      <c r="H132" s="360" t="s">
        <v>224</v>
      </c>
      <c r="I132" s="350">
        <v>116504028</v>
      </c>
      <c r="J132" s="307">
        <v>14015171999</v>
      </c>
      <c r="K132" s="352">
        <f>J132/I132</f>
        <v>120.29774626333091</v>
      </c>
      <c r="L132" s="141" t="s">
        <v>225</v>
      </c>
      <c r="M132" s="350">
        <v>180242154</v>
      </c>
      <c r="N132" s="307">
        <v>20643578858</v>
      </c>
      <c r="O132" s="352">
        <f t="shared" si="27"/>
        <v>114.53246868099457</v>
      </c>
      <c r="P132" s="141" t="s">
        <v>226</v>
      </c>
      <c r="Q132" s="350">
        <v>214677096</v>
      </c>
      <c r="R132" s="307">
        <v>27940908699</v>
      </c>
      <c r="S132" s="361">
        <f t="shared" si="28"/>
        <v>130.15318922983755</v>
      </c>
    </row>
    <row r="133" spans="1:19" ht="12" customHeight="1">
      <c r="B133" s="1" t="s">
        <v>153</v>
      </c>
      <c r="C133" s="376">
        <f t="shared" si="29"/>
        <v>67086270931</v>
      </c>
      <c r="D133" s="376">
        <f t="shared" si="29"/>
        <v>84377428818</v>
      </c>
      <c r="E133" s="376">
        <f t="shared" si="29"/>
        <v>108464484245</v>
      </c>
      <c r="F133" s="376"/>
      <c r="H133" s="360" t="s">
        <v>227</v>
      </c>
      <c r="I133" s="350">
        <v>1261190</v>
      </c>
      <c r="J133" s="307">
        <v>3283269416</v>
      </c>
      <c r="K133" s="352">
        <f t="shared" ref="K133:K137" si="30">J133/I133</f>
        <v>2603.3106954542932</v>
      </c>
      <c r="L133" s="141" t="s">
        <v>228</v>
      </c>
      <c r="M133" s="350">
        <v>1426368</v>
      </c>
      <c r="N133" s="307">
        <v>3683118363</v>
      </c>
      <c r="O133" s="352">
        <f t="shared" si="27"/>
        <v>2582.1655863003098</v>
      </c>
      <c r="P133" s="141" t="s">
        <v>232</v>
      </c>
      <c r="Q133" s="350">
        <v>10294424</v>
      </c>
      <c r="R133" s="307">
        <v>12717676422</v>
      </c>
      <c r="S133" s="361">
        <f t="shared" si="28"/>
        <v>1235.3946585063914</v>
      </c>
    </row>
    <row r="134" spans="1:19" ht="12" customHeight="1">
      <c r="A134" s="1" t="s">
        <v>253</v>
      </c>
      <c r="B134" s="1" t="s">
        <v>144</v>
      </c>
      <c r="C134" s="40">
        <f t="shared" ref="C134:E135" si="31">C132/C$127</f>
        <v>0.71378864513337237</v>
      </c>
      <c r="D134" s="40">
        <f t="shared" si="31"/>
        <v>0.66658681284193844</v>
      </c>
      <c r="E134" s="40">
        <f t="shared" si="31"/>
        <v>0.61845264492770302</v>
      </c>
      <c r="F134" s="376"/>
      <c r="H134" s="360" t="s">
        <v>230</v>
      </c>
      <c r="I134" s="350">
        <v>6422408</v>
      </c>
      <c r="J134" s="307">
        <v>8355744720</v>
      </c>
      <c r="K134" s="352">
        <f t="shared" si="30"/>
        <v>1301.0298816269537</v>
      </c>
      <c r="L134" s="141" t="s">
        <v>231</v>
      </c>
      <c r="M134" s="350">
        <v>6397618</v>
      </c>
      <c r="N134" s="307">
        <v>12683374776</v>
      </c>
      <c r="O134" s="352">
        <f t="shared" si="27"/>
        <v>1982.5151761171112</v>
      </c>
      <c r="P134" s="141" t="s">
        <v>229</v>
      </c>
      <c r="Q134" s="350">
        <v>1503479</v>
      </c>
      <c r="R134" s="307">
        <v>3776137724</v>
      </c>
      <c r="S134" s="361">
        <f t="shared" si="28"/>
        <v>2511.5999119375792</v>
      </c>
    </row>
    <row r="135" spans="1:19" ht="12" customHeight="1" thickBot="1">
      <c r="B135" s="1" t="s">
        <v>153</v>
      </c>
      <c r="C135" s="40">
        <f t="shared" si="31"/>
        <v>0.28621135486662758</v>
      </c>
      <c r="D135" s="40">
        <f t="shared" si="31"/>
        <v>0.33341318715806151</v>
      </c>
      <c r="E135" s="40">
        <f t="shared" si="31"/>
        <v>0.38154735507229692</v>
      </c>
      <c r="F135" s="376"/>
      <c r="H135" s="363" t="s">
        <v>234</v>
      </c>
      <c r="I135" s="364">
        <v>4970892</v>
      </c>
      <c r="J135" s="365">
        <v>517106776</v>
      </c>
      <c r="K135" s="366">
        <f>J135/I135</f>
        <v>104.02695854184722</v>
      </c>
      <c r="L135" s="368" t="s">
        <v>235</v>
      </c>
      <c r="M135" s="364">
        <v>17905352</v>
      </c>
      <c r="N135" s="365">
        <v>660264649</v>
      </c>
      <c r="O135" s="366">
        <f t="shared" si="27"/>
        <v>36.875267741175932</v>
      </c>
      <c r="P135" s="368" t="s">
        <v>236</v>
      </c>
      <c r="Q135" s="364">
        <v>23578144</v>
      </c>
      <c r="R135" s="365">
        <v>537528923</v>
      </c>
      <c r="S135" s="369">
        <f>R135/Q135</f>
        <v>22.797762325991393</v>
      </c>
    </row>
    <row r="136" spans="1:19" ht="12" customHeight="1">
      <c r="C136" s="376"/>
      <c r="D136" s="376"/>
      <c r="E136" s="376"/>
      <c r="F136" s="376"/>
      <c r="H136" s="1" t="s">
        <v>244</v>
      </c>
      <c r="I136" s="350">
        <v>9437648</v>
      </c>
      <c r="J136" s="307">
        <v>440990328</v>
      </c>
      <c r="K136" s="352">
        <f t="shared" si="30"/>
        <v>46.726719199529377</v>
      </c>
      <c r="L136" s="141" t="s">
        <v>254</v>
      </c>
      <c r="M136" s="350">
        <v>53765</v>
      </c>
      <c r="N136" s="307">
        <v>16461322</v>
      </c>
      <c r="O136" s="352">
        <f t="shared" ref="O136:O138" si="32">N136/M136</f>
        <v>306.17171022040361</v>
      </c>
      <c r="P136" s="141" t="s">
        <v>255</v>
      </c>
      <c r="Q136" s="350">
        <v>9564169</v>
      </c>
      <c r="R136" s="307">
        <v>2972834598</v>
      </c>
      <c r="S136" s="352">
        <f t="shared" si="28"/>
        <v>310.83041276246792</v>
      </c>
    </row>
    <row r="137" spans="1:19" ht="12" customHeight="1">
      <c r="C137" s="376"/>
      <c r="D137" s="376"/>
      <c r="E137" s="376"/>
      <c r="F137" s="376"/>
      <c r="H137" s="1" t="s">
        <v>247</v>
      </c>
      <c r="I137" s="350">
        <v>694370</v>
      </c>
      <c r="J137" s="307">
        <v>105967178</v>
      </c>
      <c r="K137" s="352">
        <f t="shared" si="30"/>
        <v>152.60909601509283</v>
      </c>
      <c r="L137" s="141" t="s">
        <v>245</v>
      </c>
      <c r="M137" s="350">
        <v>546511</v>
      </c>
      <c r="N137" s="307">
        <v>5361741</v>
      </c>
      <c r="O137" s="352">
        <f t="shared" si="32"/>
        <v>9.8108565060904542</v>
      </c>
      <c r="P137" s="141" t="s">
        <v>239</v>
      </c>
      <c r="Q137" s="350">
        <v>7750583</v>
      </c>
      <c r="R137" s="307">
        <v>211126581</v>
      </c>
      <c r="S137" s="352">
        <f t="shared" si="28"/>
        <v>27.240090326108373</v>
      </c>
    </row>
    <row r="138" spans="1:19" ht="12" customHeight="1">
      <c r="B138" s="1" t="s">
        <v>256</v>
      </c>
      <c r="C138" s="376"/>
      <c r="D138" s="376"/>
      <c r="E138" s="376"/>
      <c r="F138" s="376"/>
      <c r="I138" s="141"/>
      <c r="J138" s="307"/>
      <c r="K138" s="141"/>
      <c r="L138" s="141" t="s">
        <v>248</v>
      </c>
      <c r="M138" s="350">
        <v>8068568</v>
      </c>
      <c r="N138" s="307">
        <v>446770558</v>
      </c>
      <c r="O138" s="352">
        <f t="shared" si="32"/>
        <v>55.371728663624076</v>
      </c>
      <c r="P138" s="141" t="s">
        <v>243</v>
      </c>
      <c r="Q138" s="350">
        <v>493789</v>
      </c>
      <c r="R138" s="307">
        <v>14167317</v>
      </c>
      <c r="S138" s="352">
        <f t="shared" si="28"/>
        <v>28.691034024654254</v>
      </c>
    </row>
    <row r="139" spans="1:19" ht="12" customHeight="1" thickBot="1">
      <c r="B139" s="316" t="s">
        <v>215</v>
      </c>
      <c r="C139" s="377"/>
      <c r="D139" s="377">
        <f t="shared" ref="D139:E147" si="33">D118-C118</f>
        <v>5436193263</v>
      </c>
      <c r="E139" s="378">
        <f t="shared" si="33"/>
        <v>10181191609</v>
      </c>
      <c r="F139" s="376"/>
      <c r="H139" s="1" t="s">
        <v>257</v>
      </c>
      <c r="I139" s="307" t="s">
        <v>205</v>
      </c>
      <c r="J139" s="307" t="s">
        <v>216</v>
      </c>
      <c r="K139" s="5" t="s">
        <v>209</v>
      </c>
      <c r="L139" s="141"/>
      <c r="M139" s="307" t="s">
        <v>205</v>
      </c>
      <c r="N139" s="307" t="s">
        <v>216</v>
      </c>
      <c r="O139" s="5" t="s">
        <v>209</v>
      </c>
      <c r="P139" s="141"/>
      <c r="Q139" s="307" t="s">
        <v>205</v>
      </c>
      <c r="R139" s="307" t="s">
        <v>216</v>
      </c>
      <c r="S139" s="5" t="s">
        <v>209</v>
      </c>
    </row>
    <row r="140" spans="1:19" ht="12" customHeight="1">
      <c r="B140" s="317" t="s">
        <v>144</v>
      </c>
      <c r="C140" s="375"/>
      <c r="D140" s="375">
        <f t="shared" si="33"/>
        <v>4971814583</v>
      </c>
      <c r="E140" s="379">
        <f t="shared" si="33"/>
        <v>3047806970</v>
      </c>
      <c r="F140" s="376"/>
      <c r="H140" s="353" t="s">
        <v>217</v>
      </c>
      <c r="I140" s="355">
        <f t="shared" ref="I140:J142" si="34">I119+I130</f>
        <v>403063322</v>
      </c>
      <c r="J140" s="355">
        <f t="shared" si="34"/>
        <v>87836612366</v>
      </c>
      <c r="K140" s="443">
        <f>J140/I140</f>
        <v>217.92261307765435</v>
      </c>
      <c r="L140" s="357"/>
      <c r="M140" s="355">
        <f t="shared" ref="M140:N142" si="35">M119+M130</f>
        <v>682494460</v>
      </c>
      <c r="N140" s="355">
        <f t="shared" si="35"/>
        <v>93272805629</v>
      </c>
      <c r="O140" s="443">
        <f>N140/M140</f>
        <v>136.6645608068379</v>
      </c>
      <c r="P140" s="357"/>
      <c r="Q140" s="355">
        <f t="shared" ref="Q140:R142" si="36">Q119+Q130</f>
        <v>745931574</v>
      </c>
      <c r="R140" s="355">
        <f t="shared" si="36"/>
        <v>103453997238</v>
      </c>
      <c r="S140" s="444">
        <f>R140/Q140</f>
        <v>138.69100175400271</v>
      </c>
    </row>
    <row r="141" spans="1:19" ht="12" customHeight="1">
      <c r="B141" s="317" t="s">
        <v>153</v>
      </c>
      <c r="C141" s="375"/>
      <c r="D141" s="375">
        <f t="shared" si="33"/>
        <v>464378680</v>
      </c>
      <c r="E141" s="379">
        <f t="shared" si="33"/>
        <v>7133384639</v>
      </c>
      <c r="F141" s="376"/>
      <c r="H141" s="360" t="s">
        <v>220</v>
      </c>
      <c r="I141" s="307">
        <f t="shared" si="34"/>
        <v>192525501</v>
      </c>
      <c r="J141" s="307">
        <f t="shared" si="34"/>
        <v>84540915925</v>
      </c>
      <c r="K141" s="310">
        <f>J141/I141</f>
        <v>439.11541840371575</v>
      </c>
      <c r="L141" s="141"/>
      <c r="M141" s="307">
        <f t="shared" si="35"/>
        <v>263929582</v>
      </c>
      <c r="N141" s="307">
        <f t="shared" si="35"/>
        <v>95432865231</v>
      </c>
      <c r="O141" s="310">
        <f>N141/M141</f>
        <v>361.58457308131528</v>
      </c>
      <c r="P141" s="141"/>
      <c r="Q141" s="307">
        <f t="shared" si="36"/>
        <v>274935195</v>
      </c>
      <c r="R141" s="307">
        <f t="shared" si="36"/>
        <v>110089999301</v>
      </c>
      <c r="S141" s="445">
        <f>R141/Q141</f>
        <v>400.42163136298353</v>
      </c>
    </row>
    <row r="142" spans="1:19" ht="12" customHeight="1" thickBot="1">
      <c r="B142" s="318" t="s">
        <v>223</v>
      </c>
      <c r="C142" s="380"/>
      <c r="D142" s="380">
        <f t="shared" si="33"/>
        <v>10891949306</v>
      </c>
      <c r="E142" s="381">
        <f t="shared" si="33"/>
        <v>14657134070</v>
      </c>
      <c r="F142" s="376"/>
      <c r="H142" s="363" t="s">
        <v>224</v>
      </c>
      <c r="I142" s="442">
        <f t="shared" si="34"/>
        <v>123641582</v>
      </c>
      <c r="J142" s="442">
        <f t="shared" si="34"/>
        <v>62016634590</v>
      </c>
      <c r="K142" s="447">
        <f>J142/I142</f>
        <v>501.58396218191388</v>
      </c>
      <c r="L142" s="368"/>
      <c r="M142" s="442">
        <f t="shared" si="35"/>
        <v>187584447</v>
      </c>
      <c r="N142" s="442">
        <f t="shared" si="35"/>
        <v>64365989374</v>
      </c>
      <c r="O142" s="447">
        <f>N142/M142</f>
        <v>343.1307360679001</v>
      </c>
      <c r="P142" s="368"/>
      <c r="Q142" s="442">
        <f t="shared" si="36"/>
        <v>221538523</v>
      </c>
      <c r="R142" s="442">
        <f t="shared" si="36"/>
        <v>70731291451</v>
      </c>
      <c r="S142" s="446">
        <f>R142/Q142</f>
        <v>319.27310200131649</v>
      </c>
    </row>
    <row r="143" spans="1:19" ht="12" customHeight="1">
      <c r="B143" s="317" t="s">
        <v>144</v>
      </c>
      <c r="C143" s="375"/>
      <c r="D143" s="375">
        <f t="shared" si="33"/>
        <v>693576958</v>
      </c>
      <c r="E143" s="379">
        <f t="shared" si="33"/>
        <v>5000793123</v>
      </c>
      <c r="F143" s="376"/>
      <c r="R143" s="307"/>
    </row>
    <row r="144" spans="1:19" ht="12" customHeight="1">
      <c r="B144" s="317" t="s">
        <v>153</v>
      </c>
      <c r="C144" s="375"/>
      <c r="D144" s="375">
        <f t="shared" si="33"/>
        <v>10198372348</v>
      </c>
      <c r="E144" s="379">
        <f t="shared" si="33"/>
        <v>9656340947</v>
      </c>
      <c r="F144" s="376"/>
      <c r="R144" s="307"/>
    </row>
    <row r="145" spans="2:18" ht="12" customHeight="1">
      <c r="B145" s="318" t="s">
        <v>233</v>
      </c>
      <c r="C145" s="380"/>
      <c r="D145" s="380">
        <f t="shared" si="33"/>
        <v>2349354784</v>
      </c>
      <c r="E145" s="381">
        <f t="shared" si="33"/>
        <v>6365302077</v>
      </c>
      <c r="R145" s="307"/>
    </row>
    <row r="146" spans="2:18" ht="12" customHeight="1">
      <c r="B146" s="317" t="s">
        <v>60</v>
      </c>
      <c r="C146" s="375"/>
      <c r="D146" s="375">
        <f t="shared" si="33"/>
        <v>-4279052075</v>
      </c>
      <c r="E146" s="379">
        <f t="shared" si="33"/>
        <v>-932027764</v>
      </c>
    </row>
    <row r="147" spans="2:18" ht="12" customHeight="1">
      <c r="B147" s="319" t="s">
        <v>240</v>
      </c>
      <c r="C147" s="382"/>
      <c r="D147" s="382">
        <f t="shared" si="33"/>
        <v>6628406859</v>
      </c>
      <c r="E147" s="383">
        <f t="shared" si="33"/>
        <v>7297329841</v>
      </c>
    </row>
    <row r="148" spans="2:18" ht="12" customHeight="1" thickBot="1">
      <c r="B148" s="19" t="s">
        <v>35</v>
      </c>
      <c r="C148" s="384"/>
      <c r="D148" s="384">
        <f>D139+D142+D145</f>
        <v>18677497353</v>
      </c>
      <c r="E148" s="385">
        <f>E139+E142+E145</f>
        <v>31203627756</v>
      </c>
    </row>
    <row r="149" spans="2:18" ht="12" customHeight="1"/>
    <row r="150" spans="2:18" ht="12" customHeight="1"/>
    <row r="151" spans="2:18" ht="12" customHeight="1"/>
    <row r="152" spans="2:18" ht="12" customHeight="1"/>
    <row r="153" spans="2:18" ht="12" customHeight="1">
      <c r="B153" s="1" t="s">
        <v>205</v>
      </c>
      <c r="C153" s="388" t="s">
        <v>77</v>
      </c>
      <c r="D153" s="388" t="s">
        <v>78</v>
      </c>
      <c r="E153" s="388" t="s">
        <v>79</v>
      </c>
    </row>
    <row r="154" spans="2:18" ht="12" customHeight="1">
      <c r="B154" s="1" t="s">
        <v>219</v>
      </c>
      <c r="C154" s="376">
        <f>I140</f>
        <v>403063322</v>
      </c>
      <c r="D154" s="376">
        <f>M140</f>
        <v>682494460</v>
      </c>
      <c r="E154" s="376">
        <f>Q140</f>
        <v>745931574</v>
      </c>
    </row>
    <row r="155" spans="2:18" ht="12" customHeight="1">
      <c r="B155" s="1" t="s">
        <v>222</v>
      </c>
      <c r="C155" s="376">
        <f t="shared" ref="C155:C156" si="37">I141</f>
        <v>192525501</v>
      </c>
      <c r="D155" s="376">
        <f t="shared" ref="D155:D156" si="38">M141</f>
        <v>263929582</v>
      </c>
      <c r="E155" s="376">
        <f t="shared" ref="E155:E156" si="39">Q141</f>
        <v>274935195</v>
      </c>
    </row>
    <row r="156" spans="2:18">
      <c r="B156" s="1" t="s">
        <v>226</v>
      </c>
      <c r="C156" s="376">
        <f t="shared" si="37"/>
        <v>123641582</v>
      </c>
      <c r="D156" s="376">
        <f t="shared" si="38"/>
        <v>187584447</v>
      </c>
      <c r="E156" s="376">
        <f t="shared" si="39"/>
        <v>221538523</v>
      </c>
    </row>
    <row r="160" spans="2:18">
      <c r="B160" s="1" t="s">
        <v>209</v>
      </c>
      <c r="C160" s="388" t="s">
        <v>77</v>
      </c>
      <c r="D160" s="388" t="s">
        <v>78</v>
      </c>
      <c r="E160" s="388" t="s">
        <v>79</v>
      </c>
    </row>
    <row r="161" spans="2:5">
      <c r="B161" s="1" t="s">
        <v>219</v>
      </c>
      <c r="C161" s="110">
        <f>C118/C154</f>
        <v>217.92261307765435</v>
      </c>
      <c r="D161" s="110">
        <f t="shared" ref="D161:E161" si="40">D118/D154</f>
        <v>136.6645608068379</v>
      </c>
      <c r="E161" s="110">
        <f t="shared" si="40"/>
        <v>138.69100175400271</v>
      </c>
    </row>
    <row r="162" spans="2:5">
      <c r="B162" s="1" t="s">
        <v>222</v>
      </c>
      <c r="C162" s="110">
        <f>C121/C155</f>
        <v>439.11541840371575</v>
      </c>
      <c r="D162" s="110">
        <f t="shared" ref="D162:E162" si="41">D121/D155</f>
        <v>361.58457308131528</v>
      </c>
      <c r="E162" s="110">
        <f t="shared" si="41"/>
        <v>400.42163136298353</v>
      </c>
    </row>
    <row r="163" spans="2:5">
      <c r="B163" s="1" t="s">
        <v>226</v>
      </c>
      <c r="C163" s="110">
        <f>C124/C156</f>
        <v>501.58396218191388</v>
      </c>
      <c r="D163" s="110">
        <f t="shared" ref="D163:E163" si="42">D124/D156</f>
        <v>343.1307360679001</v>
      </c>
      <c r="E163" s="110">
        <f t="shared" si="42"/>
        <v>319.27310200131649</v>
      </c>
    </row>
    <row r="166" spans="2:5">
      <c r="C166" s="388" t="s">
        <v>77</v>
      </c>
      <c r="D166" s="388" t="s">
        <v>78</v>
      </c>
      <c r="E166" s="388" t="s">
        <v>79</v>
      </c>
    </row>
    <row r="167" spans="2:5">
      <c r="B167" s="316" t="s">
        <v>215</v>
      </c>
      <c r="C167" s="377">
        <v>87836612366</v>
      </c>
      <c r="D167" s="377">
        <v>93272805629</v>
      </c>
      <c r="E167" s="378">
        <v>103453997238</v>
      </c>
    </row>
    <row r="168" spans="2:5">
      <c r="B168" s="318" t="s">
        <v>223</v>
      </c>
      <c r="C168" s="380">
        <v>84540915925</v>
      </c>
      <c r="D168" s="380">
        <v>95432865231</v>
      </c>
      <c r="E168" s="381">
        <v>110089999301</v>
      </c>
    </row>
    <row r="169" spans="2:5">
      <c r="B169" s="318" t="s">
        <v>233</v>
      </c>
      <c r="C169" s="380">
        <v>62016634590</v>
      </c>
      <c r="D169" s="380">
        <v>64365989374</v>
      </c>
      <c r="E169" s="381">
        <v>70731291451</v>
      </c>
    </row>
  </sheetData>
  <phoneticPr fontId="3" type="noConversion"/>
  <pageMargins left="0.7" right="0.7" top="0.75" bottom="0.75" header="0.3" footer="0.3"/>
  <ignoredErrors>
    <ignoredError sqref="C60:F60" formulaRange="1"/>
    <ignoredError sqref="C101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13"/>
  <sheetViews>
    <sheetView showGridLines="0" topLeftCell="A91" workbookViewId="0">
      <selection activeCell="F2" sqref="F2"/>
    </sheetView>
  </sheetViews>
  <sheetFormatPr defaultRowHeight="11.25"/>
  <cols>
    <col min="1" max="5" width="9" style="5"/>
    <col min="6" max="6" width="10" style="5" bestFit="1" customWidth="1"/>
    <col min="7" max="7" width="9.25" style="5" bestFit="1" customWidth="1"/>
    <col min="8" max="16384" width="9" style="5"/>
  </cols>
  <sheetData>
    <row r="2" spans="1:11">
      <c r="B2" s="47" t="s">
        <v>25</v>
      </c>
      <c r="C2" s="47" t="s">
        <v>26</v>
      </c>
      <c r="D2" s="47" t="s">
        <v>27</v>
      </c>
      <c r="E2" s="47" t="s">
        <v>258</v>
      </c>
      <c r="F2" s="12" t="s">
        <v>28</v>
      </c>
    </row>
    <row r="3" spans="1:11">
      <c r="A3" s="17" t="s">
        <v>38</v>
      </c>
      <c r="B3" s="21">
        <v>301650469844</v>
      </c>
      <c r="C3" s="21">
        <v>329529138676</v>
      </c>
      <c r="D3" s="21">
        <v>357818553490</v>
      </c>
      <c r="E3" s="22">
        <f t="shared" ref="E3:E9" si="0">F3*2</f>
        <v>379330315540</v>
      </c>
      <c r="F3" s="22">
        <v>189665157770</v>
      </c>
      <c r="H3" s="142">
        <f>B3/B$12</f>
        <v>0.57069214916361288</v>
      </c>
      <c r="I3" s="142">
        <f t="shared" ref="I3:I9" si="1">C3/C$12</f>
        <v>0.59295530228138982</v>
      </c>
      <c r="J3" s="142">
        <f t="shared" ref="J3:J9" si="2">D3/D$12</f>
        <v>0.61199844886919463</v>
      </c>
      <c r="K3" s="142">
        <f t="shared" ref="K3:K9" si="3">E3/E$12</f>
        <v>0.62405651586477706</v>
      </c>
    </row>
    <row r="4" spans="1:11">
      <c r="A4" s="20" t="s">
        <v>39</v>
      </c>
      <c r="B4" s="28">
        <v>69649481160</v>
      </c>
      <c r="C4" s="28">
        <v>63547706707</v>
      </c>
      <c r="D4" s="28">
        <v>56026768138</v>
      </c>
      <c r="E4" s="29">
        <f t="shared" si="0"/>
        <v>54293651228</v>
      </c>
      <c r="F4" s="29">
        <v>27146825614</v>
      </c>
      <c r="H4" s="142">
        <f t="shared" ref="H4:H9" si="4">B4/B$12</f>
        <v>0.13176976688246847</v>
      </c>
      <c r="I4" s="142">
        <f t="shared" si="1"/>
        <v>0.11434785339813908</v>
      </c>
      <c r="J4" s="142">
        <f t="shared" si="2"/>
        <v>9.5825928703745303E-2</v>
      </c>
      <c r="K4" s="142">
        <f t="shared" si="3"/>
        <v>8.932137883756934E-2</v>
      </c>
    </row>
    <row r="5" spans="1:11">
      <c r="A5" s="20" t="s">
        <v>40</v>
      </c>
      <c r="B5" s="28">
        <v>40168769460</v>
      </c>
      <c r="C5" s="28">
        <v>33386486016</v>
      </c>
      <c r="D5" s="28">
        <v>26961139273</v>
      </c>
      <c r="E5" s="29">
        <f t="shared" si="0"/>
        <v>20721850972</v>
      </c>
      <c r="F5" s="29">
        <v>10360925486</v>
      </c>
      <c r="H5" s="142">
        <f t="shared" si="4"/>
        <v>7.5995245040527709E-2</v>
      </c>
      <c r="I5" s="142">
        <f t="shared" si="1"/>
        <v>6.0075700702131841E-2</v>
      </c>
      <c r="J5" s="142">
        <f t="shared" si="2"/>
        <v>4.6113247213949903E-2</v>
      </c>
      <c r="K5" s="142">
        <f t="shared" si="3"/>
        <v>3.409062126090958E-2</v>
      </c>
    </row>
    <row r="6" spans="1:11">
      <c r="A6" s="20" t="s">
        <v>41</v>
      </c>
      <c r="B6" s="28">
        <v>43499623320</v>
      </c>
      <c r="C6" s="28">
        <v>44066949023</v>
      </c>
      <c r="D6" s="28">
        <v>48731959043</v>
      </c>
      <c r="E6" s="29">
        <f t="shared" si="0"/>
        <v>51126514884</v>
      </c>
      <c r="F6" s="29">
        <v>25563257442</v>
      </c>
      <c r="H6" s="142">
        <f t="shared" si="4"/>
        <v>8.2296883320409631E-2</v>
      </c>
      <c r="I6" s="142">
        <f t="shared" si="1"/>
        <v>7.9294144316150644E-2</v>
      </c>
      <c r="J6" s="142">
        <f t="shared" si="2"/>
        <v>8.3349180901282169E-2</v>
      </c>
      <c r="K6" s="142">
        <f t="shared" si="3"/>
        <v>8.4110954067559279E-2</v>
      </c>
    </row>
    <row r="7" spans="1:11">
      <c r="A7" s="20" t="s">
        <v>42</v>
      </c>
      <c r="B7" s="28">
        <v>21129287864</v>
      </c>
      <c r="C7" s="28">
        <v>21405858496</v>
      </c>
      <c r="D7" s="28">
        <v>23727187750</v>
      </c>
      <c r="E7" s="29">
        <f t="shared" si="0"/>
        <v>29783355412</v>
      </c>
      <c r="F7" s="29">
        <v>14891677706</v>
      </c>
      <c r="H7" s="142">
        <f t="shared" si="4"/>
        <v>3.997447346141652E-2</v>
      </c>
      <c r="I7" s="142">
        <f t="shared" si="1"/>
        <v>3.851773881389009E-2</v>
      </c>
      <c r="J7" s="142">
        <f t="shared" si="2"/>
        <v>4.0582026721076601E-2</v>
      </c>
      <c r="K7" s="142">
        <f t="shared" si="3"/>
        <v>4.8998185084986025E-2</v>
      </c>
    </row>
    <row r="8" spans="1:11">
      <c r="A8" s="20" t="s">
        <v>43</v>
      </c>
      <c r="B8" s="28">
        <v>47717791608</v>
      </c>
      <c r="C8" s="28">
        <v>54174492386</v>
      </c>
      <c r="D8" s="28">
        <v>58437212647</v>
      </c>
      <c r="E8" s="29">
        <f t="shared" si="0"/>
        <v>61062206652</v>
      </c>
      <c r="F8" s="29">
        <v>30531103326</v>
      </c>
      <c r="H8" s="142">
        <f t="shared" si="4"/>
        <v>9.0277230664332062E-2</v>
      </c>
      <c r="I8" s="142">
        <f t="shared" si="1"/>
        <v>9.748167533149639E-2</v>
      </c>
      <c r="J8" s="142">
        <f t="shared" si="2"/>
        <v>9.9948655952528095E-2</v>
      </c>
      <c r="K8" s="142">
        <f t="shared" si="3"/>
        <v>0.10045669004865988</v>
      </c>
    </row>
    <row r="9" spans="1:11">
      <c r="A9" s="18" t="s">
        <v>44</v>
      </c>
      <c r="B9" s="23">
        <v>4754087094</v>
      </c>
      <c r="C9" s="23">
        <v>9629636821</v>
      </c>
      <c r="D9" s="23">
        <v>12969500563</v>
      </c>
      <c r="E9" s="24">
        <f t="shared" si="0"/>
        <v>11528199210</v>
      </c>
      <c r="F9" s="24">
        <v>5764099605</v>
      </c>
      <c r="H9" s="142">
        <f t="shared" si="4"/>
        <v>8.9942514672327802E-3</v>
      </c>
      <c r="I9" s="142">
        <f t="shared" si="1"/>
        <v>1.7327585156802154E-2</v>
      </c>
      <c r="J9" s="142">
        <f t="shared" si="2"/>
        <v>2.2182511638223285E-2</v>
      </c>
      <c r="K9" s="142">
        <f t="shared" si="3"/>
        <v>1.8965654835538841E-2</v>
      </c>
    </row>
    <row r="10" spans="1:11">
      <c r="A10" s="141" t="s">
        <v>259</v>
      </c>
      <c r="B10" s="55">
        <f>B3/B12</f>
        <v>0.57069214916361288</v>
      </c>
      <c r="C10" s="55">
        <f>C3/C12</f>
        <v>0.59295530228138982</v>
      </c>
      <c r="D10" s="55">
        <f>D3/D12</f>
        <v>0.61199844886919463</v>
      </c>
      <c r="E10" s="55">
        <f>E3/E12</f>
        <v>0.62405651586477706</v>
      </c>
      <c r="F10" s="28"/>
    </row>
    <row r="11" spans="1:11">
      <c r="A11" s="141"/>
      <c r="B11" s="28"/>
      <c r="C11" s="28"/>
      <c r="D11" s="28"/>
      <c r="E11" s="28"/>
      <c r="F11" s="28"/>
    </row>
    <row r="12" spans="1:11">
      <c r="B12" s="48">
        <f>SUM(B3:B9)</f>
        <v>528569510350</v>
      </c>
      <c r="C12" s="48">
        <f>SUM(C3:C9)</f>
        <v>555740268125</v>
      </c>
      <c r="D12" s="48">
        <f>SUM(D3:D9)</f>
        <v>584672320904</v>
      </c>
      <c r="E12" s="48">
        <f>SUM(E3:E9)</f>
        <v>607846093898</v>
      </c>
    </row>
    <row r="34" spans="1:11">
      <c r="A34" s="5" t="s">
        <v>260</v>
      </c>
    </row>
    <row r="35" spans="1:11">
      <c r="B35" s="47" t="s">
        <v>25</v>
      </c>
      <c r="C35" s="47" t="s">
        <v>26</v>
      </c>
      <c r="D35" s="47" t="s">
        <v>27</v>
      </c>
      <c r="E35" s="137" t="s">
        <v>258</v>
      </c>
    </row>
    <row r="36" spans="1:11">
      <c r="A36" s="5" t="s">
        <v>193</v>
      </c>
      <c r="B36" s="67">
        <v>349368261452</v>
      </c>
      <c r="C36" s="67">
        <v>383703631062</v>
      </c>
      <c r="D36" s="67">
        <v>416255766137</v>
      </c>
      <c r="E36" s="67">
        <f>F36*2</f>
        <v>440392522192</v>
      </c>
      <c r="F36" s="68">
        <v>220196261096</v>
      </c>
      <c r="H36" s="142">
        <f t="shared" ref="H36:K38" si="5">B36/B$40</f>
        <v>0.6609693798279449</v>
      </c>
      <c r="I36" s="142">
        <f t="shared" si="5"/>
        <v>0.69043697761288625</v>
      </c>
      <c r="J36" s="142">
        <f t="shared" si="5"/>
        <v>0.71194710482172274</v>
      </c>
      <c r="K36" s="142">
        <f t="shared" si="5"/>
        <v>0.72451320591343693</v>
      </c>
    </row>
    <row r="37" spans="1:11">
      <c r="A37" s="5" t="s">
        <v>48</v>
      </c>
      <c r="B37" s="67">
        <v>64628911184</v>
      </c>
      <c r="C37" s="67">
        <v>65472807519</v>
      </c>
      <c r="D37" s="67">
        <v>72459146793</v>
      </c>
      <c r="E37" s="67">
        <f>F37*2</f>
        <v>80909870296</v>
      </c>
      <c r="F37" s="68">
        <v>40454935148</v>
      </c>
      <c r="H37" s="142">
        <f t="shared" si="5"/>
        <v>0.12227135678182616</v>
      </c>
      <c r="I37" s="142">
        <f t="shared" si="5"/>
        <v>0.11781188313004073</v>
      </c>
      <c r="J37" s="142">
        <f t="shared" si="5"/>
        <v>0.12393120762235878</v>
      </c>
      <c r="K37" s="142">
        <f t="shared" si="5"/>
        <v>0.1331091391525453</v>
      </c>
    </row>
    <row r="38" spans="1:11">
      <c r="A38" s="5" t="s">
        <v>50</v>
      </c>
      <c r="B38" s="67">
        <v>114572337714</v>
      </c>
      <c r="C38" s="67">
        <v>106563829544</v>
      </c>
      <c r="D38" s="67">
        <v>95957407974</v>
      </c>
      <c r="E38" s="67">
        <f>F38*2</f>
        <v>86543701410</v>
      </c>
      <c r="F38" s="68">
        <v>43271850705</v>
      </c>
      <c r="H38" s="142">
        <f t="shared" si="5"/>
        <v>0.21675926339022897</v>
      </c>
      <c r="I38" s="142">
        <f t="shared" si="5"/>
        <v>0.19175113925707307</v>
      </c>
      <c r="J38" s="142">
        <f t="shared" si="5"/>
        <v>0.16412168755591849</v>
      </c>
      <c r="K38" s="142">
        <f t="shared" si="5"/>
        <v>0.14237765493401774</v>
      </c>
    </row>
    <row r="39" spans="1:11">
      <c r="B39" s="143">
        <f>B36/B40</f>
        <v>0.6609693798279449</v>
      </c>
      <c r="C39" s="143">
        <f>C36/C40</f>
        <v>0.69043697761288625</v>
      </c>
      <c r="D39" s="143">
        <f>D36/D40</f>
        <v>0.71194710482172274</v>
      </c>
      <c r="E39" s="143">
        <f>E36/E40</f>
        <v>0.72451320591343693</v>
      </c>
      <c r="F39" s="69"/>
    </row>
    <row r="40" spans="1:11">
      <c r="B40" s="48">
        <f>SUM(B36:B38)</f>
        <v>528569510350</v>
      </c>
      <c r="C40" s="48">
        <f>SUM(C36:C38)</f>
        <v>555740268125</v>
      </c>
      <c r="D40" s="48">
        <f>SUM(D36:D38)</f>
        <v>584672320904</v>
      </c>
      <c r="E40" s="48">
        <f>SUM(E36:E38)</f>
        <v>607846093898</v>
      </c>
    </row>
    <row r="63" spans="2:6">
      <c r="B63" s="43" t="s">
        <v>197</v>
      </c>
      <c r="C63" s="44"/>
      <c r="D63" s="44"/>
      <c r="E63" s="44"/>
      <c r="F63" s="45"/>
    </row>
    <row r="64" spans="2:6">
      <c r="B64" s="46"/>
      <c r="C64" s="47" t="s">
        <v>77</v>
      </c>
      <c r="D64" s="47" t="s">
        <v>78</v>
      </c>
      <c r="E64" s="47" t="s">
        <v>79</v>
      </c>
      <c r="F64" s="12" t="s">
        <v>80</v>
      </c>
    </row>
    <row r="65" spans="2:6">
      <c r="B65" s="13" t="s">
        <v>83</v>
      </c>
      <c r="C65" s="14" t="s">
        <v>84</v>
      </c>
      <c r="D65" s="14" t="s">
        <v>84</v>
      </c>
      <c r="E65" s="14" t="s">
        <v>84</v>
      </c>
      <c r="F65" s="15" t="s">
        <v>85</v>
      </c>
    </row>
    <row r="66" spans="2:6">
      <c r="B66" s="17" t="s">
        <v>46</v>
      </c>
      <c r="C66" s="67">
        <v>296691633563</v>
      </c>
      <c r="D66" s="67">
        <v>317822974827</v>
      </c>
      <c r="E66" s="67">
        <v>329054293426</v>
      </c>
      <c r="F66" s="68">
        <v>174195511512</v>
      </c>
    </row>
    <row r="67" spans="2:6">
      <c r="B67" s="20" t="s">
        <v>154</v>
      </c>
      <c r="C67" s="69">
        <v>69793328452</v>
      </c>
      <c r="D67" s="69">
        <v>62770593661</v>
      </c>
      <c r="E67" s="69">
        <v>54726687904</v>
      </c>
      <c r="F67" s="70">
        <v>26891171748</v>
      </c>
    </row>
    <row r="68" spans="2:6">
      <c r="B68" s="20" t="s">
        <v>48</v>
      </c>
      <c r="C68" s="69">
        <v>39771393460</v>
      </c>
      <c r="D68" s="69">
        <v>32162937072</v>
      </c>
      <c r="E68" s="69">
        <v>22998719481</v>
      </c>
      <c r="F68" s="70">
        <v>9749865860</v>
      </c>
    </row>
    <row r="69" spans="2:6">
      <c r="B69" s="20" t="s">
        <v>188</v>
      </c>
      <c r="C69" s="69">
        <v>43418777428</v>
      </c>
      <c r="D69" s="69">
        <v>42307741487</v>
      </c>
      <c r="E69" s="69">
        <v>47816948703</v>
      </c>
      <c r="F69" s="70">
        <v>24345319543</v>
      </c>
    </row>
    <row r="70" spans="2:6">
      <c r="B70" s="20" t="s">
        <v>189</v>
      </c>
      <c r="C70" s="69">
        <v>20767223864</v>
      </c>
      <c r="D70" s="69">
        <v>21064695432</v>
      </c>
      <c r="E70" s="69">
        <v>23077848703</v>
      </c>
      <c r="F70" s="70">
        <v>14201251235</v>
      </c>
    </row>
    <row r="71" spans="2:6">
      <c r="B71" s="20" t="s">
        <v>190</v>
      </c>
      <c r="C71" s="69">
        <v>47711967609</v>
      </c>
      <c r="D71" s="69">
        <v>52294228059</v>
      </c>
      <c r="E71" s="69">
        <v>57857539144</v>
      </c>
      <c r="F71" s="70">
        <v>29633582018</v>
      </c>
    </row>
    <row r="72" spans="2:6">
      <c r="B72" s="18" t="s">
        <v>159</v>
      </c>
      <c r="C72" s="265">
        <v>1190214467</v>
      </c>
      <c r="D72" s="265">
        <v>349941738</v>
      </c>
      <c r="E72" s="265">
        <v>639290671</v>
      </c>
      <c r="F72" s="266">
        <v>190496254</v>
      </c>
    </row>
    <row r="73" spans="2:6" ht="12" thickBot="1">
      <c r="B73" s="19" t="s">
        <v>35</v>
      </c>
      <c r="C73" s="267">
        <v>519344538843</v>
      </c>
      <c r="D73" s="267">
        <v>528773112276</v>
      </c>
      <c r="E73" s="267">
        <v>536171328032</v>
      </c>
      <c r="F73" s="268">
        <v>279207198170</v>
      </c>
    </row>
    <row r="74" spans="2:6">
      <c r="B74" s="1"/>
      <c r="C74" s="1"/>
      <c r="D74" s="1"/>
      <c r="E74" s="1"/>
      <c r="F74" s="1"/>
    </row>
    <row r="75" spans="2:6">
      <c r="B75" s="1"/>
      <c r="C75" s="1"/>
      <c r="D75" s="1"/>
      <c r="E75" s="1"/>
      <c r="F75" s="1"/>
    </row>
    <row r="76" spans="2:6" ht="19.5" customHeight="1">
      <c r="B76" s="43" t="s">
        <v>261</v>
      </c>
      <c r="C76" s="44"/>
      <c r="D76" s="44"/>
      <c r="E76" s="44"/>
      <c r="F76" s="45"/>
    </row>
    <row r="77" spans="2:6">
      <c r="B77" s="46"/>
      <c r="C77" s="47" t="s">
        <v>77</v>
      </c>
      <c r="D77" s="47" t="s">
        <v>78</v>
      </c>
      <c r="E77" s="47" t="s">
        <v>79</v>
      </c>
      <c r="F77" s="12" t="s">
        <v>80</v>
      </c>
    </row>
    <row r="78" spans="2:6">
      <c r="B78" s="13" t="s">
        <v>83</v>
      </c>
      <c r="C78" s="14" t="s">
        <v>84</v>
      </c>
      <c r="D78" s="14" t="s">
        <v>84</v>
      </c>
      <c r="E78" s="14" t="s">
        <v>84</v>
      </c>
      <c r="F78" s="15" t="s">
        <v>85</v>
      </c>
    </row>
    <row r="79" spans="2:6">
      <c r="B79" s="391" t="s">
        <v>46</v>
      </c>
      <c r="C79" s="401">
        <v>229455283</v>
      </c>
      <c r="D79" s="401">
        <v>208390504</v>
      </c>
      <c r="E79" s="401">
        <v>5232644036</v>
      </c>
      <c r="F79" s="402">
        <v>2008255774</v>
      </c>
    </row>
    <row r="80" spans="2:6">
      <c r="B80" s="20" t="s">
        <v>154</v>
      </c>
      <c r="C80" s="69">
        <v>0</v>
      </c>
      <c r="D80" s="69">
        <v>0</v>
      </c>
      <c r="E80" s="69">
        <v>0</v>
      </c>
      <c r="F80" s="70">
        <v>0</v>
      </c>
    </row>
    <row r="81" spans="2:6">
      <c r="B81" s="20" t="s">
        <v>48</v>
      </c>
      <c r="C81" s="69">
        <v>268700000</v>
      </c>
      <c r="D81" s="69">
        <v>330685342</v>
      </c>
      <c r="E81" s="69">
        <v>1748118068</v>
      </c>
      <c r="F81" s="70">
        <v>0</v>
      </c>
    </row>
    <row r="82" spans="2:6">
      <c r="B82" s="20" t="s">
        <v>188</v>
      </c>
      <c r="C82" s="69">
        <v>0</v>
      </c>
      <c r="D82" s="69">
        <v>0</v>
      </c>
      <c r="E82" s="69">
        <v>0</v>
      </c>
      <c r="F82" s="70">
        <v>0</v>
      </c>
    </row>
    <row r="83" spans="2:6">
      <c r="B83" s="20" t="s">
        <v>189</v>
      </c>
      <c r="C83" s="69">
        <v>0</v>
      </c>
      <c r="D83" s="69">
        <v>0</v>
      </c>
      <c r="E83" s="69">
        <v>0</v>
      </c>
      <c r="F83" s="70">
        <v>0</v>
      </c>
    </row>
    <row r="84" spans="2:6">
      <c r="B84" s="20" t="s">
        <v>190</v>
      </c>
      <c r="C84" s="69">
        <v>0</v>
      </c>
      <c r="D84" s="69">
        <v>0</v>
      </c>
      <c r="E84" s="69">
        <v>285638653</v>
      </c>
      <c r="F84" s="70">
        <v>160586472</v>
      </c>
    </row>
    <row r="85" spans="2:6">
      <c r="B85" s="403" t="s">
        <v>159</v>
      </c>
      <c r="C85" s="404">
        <v>997599590</v>
      </c>
      <c r="D85" s="404">
        <v>3174994802</v>
      </c>
      <c r="E85" s="404">
        <v>5375166107</v>
      </c>
      <c r="F85" s="405">
        <v>755773134</v>
      </c>
    </row>
    <row r="86" spans="2:6" ht="12" thickBot="1">
      <c r="B86" s="19" t="s">
        <v>35</v>
      </c>
      <c r="C86" s="267">
        <v>1495754873</v>
      </c>
      <c r="D86" s="267">
        <v>3714070648</v>
      </c>
      <c r="E86" s="267">
        <v>12641566864</v>
      </c>
      <c r="F86" s="268">
        <v>2924615380</v>
      </c>
    </row>
    <row r="87" spans="2:6">
      <c r="B87" s="1"/>
      <c r="C87" s="1"/>
      <c r="D87" s="1"/>
      <c r="E87" s="1"/>
      <c r="F87" s="1"/>
    </row>
    <row r="88" spans="2:6" ht="12.75" customHeight="1">
      <c r="B88" s="1"/>
      <c r="C88" s="1"/>
      <c r="D88" s="1"/>
      <c r="E88" s="1"/>
      <c r="F88" s="1"/>
    </row>
    <row r="89" spans="2:6" ht="19.5" customHeight="1">
      <c r="B89" s="43" t="s">
        <v>262</v>
      </c>
      <c r="C89" s="44"/>
      <c r="D89" s="44"/>
      <c r="E89" s="44"/>
      <c r="F89" s="45"/>
    </row>
    <row r="90" spans="2:6">
      <c r="B90" s="46"/>
      <c r="C90" s="47" t="s">
        <v>77</v>
      </c>
      <c r="D90" s="47" t="s">
        <v>78</v>
      </c>
      <c r="E90" s="47" t="s">
        <v>79</v>
      </c>
      <c r="F90" s="12" t="s">
        <v>80</v>
      </c>
    </row>
    <row r="91" spans="2:6">
      <c r="B91" s="13" t="s">
        <v>83</v>
      </c>
      <c r="C91" s="14" t="s">
        <v>84</v>
      </c>
      <c r="D91" s="14" t="s">
        <v>84</v>
      </c>
      <c r="E91" s="14" t="s">
        <v>84</v>
      </c>
      <c r="F91" s="15" t="s">
        <v>85</v>
      </c>
    </row>
    <row r="92" spans="2:6">
      <c r="B92" s="17" t="s">
        <v>46</v>
      </c>
      <c r="C92" s="67">
        <v>0</v>
      </c>
      <c r="D92" s="67">
        <v>4021923644</v>
      </c>
      <c r="E92" s="67">
        <v>9301776759</v>
      </c>
      <c r="F92" s="68">
        <v>2677331021</v>
      </c>
    </row>
    <row r="93" spans="2:6">
      <c r="B93" s="20" t="s">
        <v>154</v>
      </c>
      <c r="C93" s="69">
        <v>0</v>
      </c>
      <c r="D93" s="69">
        <v>0</v>
      </c>
      <c r="E93" s="69">
        <v>140185300</v>
      </c>
      <c r="F93" s="70">
        <v>0</v>
      </c>
    </row>
    <row r="94" spans="2:6">
      <c r="B94" s="20" t="s">
        <v>48</v>
      </c>
      <c r="C94" s="69">
        <v>0</v>
      </c>
      <c r="D94" s="69">
        <v>17447048</v>
      </c>
      <c r="E94" s="69">
        <v>1082055615</v>
      </c>
      <c r="F94" s="70">
        <v>127504320</v>
      </c>
    </row>
    <row r="95" spans="2:6">
      <c r="B95" s="20" t="s">
        <v>188</v>
      </c>
      <c r="C95" s="69">
        <v>0</v>
      </c>
      <c r="D95" s="69">
        <v>828003249</v>
      </c>
      <c r="E95" s="69">
        <v>258229898</v>
      </c>
      <c r="F95" s="70">
        <v>323194000</v>
      </c>
    </row>
    <row r="96" spans="2:6">
      <c r="B96" s="20" t="s">
        <v>189</v>
      </c>
      <c r="C96" s="69">
        <v>0</v>
      </c>
      <c r="D96" s="69">
        <v>-6698680</v>
      </c>
      <c r="E96" s="69">
        <v>62630000</v>
      </c>
      <c r="F96" s="70">
        <v>101566570</v>
      </c>
    </row>
    <row r="97" spans="2:6">
      <c r="B97" s="20" t="s">
        <v>190</v>
      </c>
      <c r="C97" s="69">
        <v>0</v>
      </c>
      <c r="D97" s="69">
        <v>1810350000</v>
      </c>
      <c r="E97" s="69">
        <v>250060000</v>
      </c>
      <c r="F97" s="70">
        <v>402126000</v>
      </c>
    </row>
    <row r="98" spans="2:6">
      <c r="B98" s="18" t="s">
        <v>159</v>
      </c>
      <c r="C98" s="265">
        <v>0</v>
      </c>
      <c r="D98" s="265">
        <v>197197325</v>
      </c>
      <c r="E98" s="265">
        <v>0</v>
      </c>
      <c r="F98" s="266">
        <v>0</v>
      </c>
    </row>
    <row r="99" spans="2:6" ht="12" thickBot="1">
      <c r="B99" s="19" t="s">
        <v>35</v>
      </c>
      <c r="C99" s="267">
        <v>0</v>
      </c>
      <c r="D99" s="267">
        <v>6868222586</v>
      </c>
      <c r="E99" s="267">
        <v>11094937572</v>
      </c>
      <c r="F99" s="268">
        <v>3631721911</v>
      </c>
    </row>
    <row r="100" spans="2:6">
      <c r="B100" s="1"/>
      <c r="C100" s="1"/>
      <c r="D100" s="1"/>
      <c r="E100" s="1"/>
      <c r="F100" s="1"/>
    </row>
    <row r="101" spans="2:6">
      <c r="B101" s="1"/>
      <c r="C101" s="1"/>
      <c r="D101" s="1"/>
      <c r="E101" s="1"/>
      <c r="F101" s="1"/>
    </row>
    <row r="102" spans="2:6">
      <c r="B102" s="1"/>
      <c r="C102" s="1"/>
      <c r="D102" s="1"/>
      <c r="E102" s="1"/>
      <c r="F102" s="1"/>
    </row>
    <row r="103" spans="2:6" ht="19.5" customHeight="1">
      <c r="B103" s="43" t="s">
        <v>263</v>
      </c>
      <c r="C103" s="44"/>
      <c r="D103" s="44"/>
      <c r="E103" s="44"/>
      <c r="F103" s="45"/>
    </row>
    <row r="104" spans="2:6">
      <c r="B104" s="46"/>
      <c r="C104" s="47" t="s">
        <v>77</v>
      </c>
      <c r="D104" s="47" t="s">
        <v>78</v>
      </c>
      <c r="E104" s="47" t="s">
        <v>79</v>
      </c>
      <c r="F104" s="12" t="s">
        <v>80</v>
      </c>
    </row>
    <row r="105" spans="2:6">
      <c r="B105" s="13" t="s">
        <v>83</v>
      </c>
      <c r="C105" s="14" t="s">
        <v>84</v>
      </c>
      <c r="D105" s="14" t="s">
        <v>84</v>
      </c>
      <c r="E105" s="14" t="s">
        <v>84</v>
      </c>
      <c r="F105" s="15" t="s">
        <v>85</v>
      </c>
    </row>
    <row r="106" spans="2:6">
      <c r="B106" s="17" t="s">
        <v>46</v>
      </c>
      <c r="C106" s="67">
        <v>0</v>
      </c>
      <c r="D106" s="67">
        <v>0</v>
      </c>
      <c r="E106" s="67">
        <v>934105408</v>
      </c>
      <c r="F106" s="68">
        <v>0</v>
      </c>
    </row>
    <row r="107" spans="2:6">
      <c r="B107" s="20" t="s">
        <v>154</v>
      </c>
      <c r="C107" s="69">
        <v>0</v>
      </c>
      <c r="D107" s="69">
        <v>0</v>
      </c>
      <c r="E107" s="69">
        <v>0</v>
      </c>
      <c r="F107" s="70">
        <v>0</v>
      </c>
    </row>
    <row r="108" spans="2:6">
      <c r="B108" s="20" t="s">
        <v>48</v>
      </c>
      <c r="C108" s="69">
        <v>0</v>
      </c>
      <c r="D108" s="69">
        <v>270524118</v>
      </c>
      <c r="E108" s="69">
        <v>0</v>
      </c>
      <c r="F108" s="70">
        <v>0</v>
      </c>
    </row>
    <row r="109" spans="2:6">
      <c r="B109" s="20" t="s">
        <v>188</v>
      </c>
      <c r="C109" s="69">
        <v>0</v>
      </c>
      <c r="D109" s="69">
        <v>813920000</v>
      </c>
      <c r="E109" s="69">
        <v>324900000</v>
      </c>
      <c r="F109" s="70">
        <v>113600000</v>
      </c>
    </row>
    <row r="110" spans="2:6">
      <c r="B110" s="20" t="s">
        <v>189</v>
      </c>
      <c r="C110" s="69">
        <v>0</v>
      </c>
      <c r="D110" s="69">
        <v>0</v>
      </c>
      <c r="E110" s="69">
        <v>171216261</v>
      </c>
      <c r="F110" s="70">
        <v>0</v>
      </c>
    </row>
    <row r="111" spans="2:6">
      <c r="B111" s="20" t="s">
        <v>190</v>
      </c>
      <c r="C111" s="69">
        <v>0</v>
      </c>
      <c r="D111" s="69">
        <v>55000000</v>
      </c>
      <c r="E111" s="69">
        <v>0</v>
      </c>
      <c r="F111" s="70">
        <v>63240000</v>
      </c>
    </row>
    <row r="112" spans="2:6">
      <c r="B112" s="18" t="s">
        <v>159</v>
      </c>
      <c r="C112" s="265">
        <v>0</v>
      </c>
      <c r="D112" s="265">
        <v>0</v>
      </c>
      <c r="E112" s="265">
        <v>0</v>
      </c>
      <c r="F112" s="266">
        <v>0</v>
      </c>
    </row>
    <row r="113" spans="2:6" ht="12" thickBot="1">
      <c r="B113" s="19" t="s">
        <v>35</v>
      </c>
      <c r="C113" s="267">
        <v>0</v>
      </c>
      <c r="D113" s="267">
        <v>1139444118</v>
      </c>
      <c r="E113" s="267">
        <v>1430221669</v>
      </c>
      <c r="F113" s="268">
        <v>176840000</v>
      </c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R6"/>
  <sheetViews>
    <sheetView topLeftCell="B1" workbookViewId="0">
      <selection activeCell="C4" sqref="C4:N4"/>
    </sheetView>
  </sheetViews>
  <sheetFormatPr defaultRowHeight="11.25"/>
  <cols>
    <col min="1" max="1" width="9" style="1"/>
    <col min="2" max="2" width="12.875" style="1" customWidth="1"/>
    <col min="3" max="5" width="11.375" style="1" bestFit="1" customWidth="1"/>
    <col min="6" max="6" width="12" style="1" customWidth="1"/>
    <col min="7" max="7" width="10" style="1" bestFit="1" customWidth="1"/>
    <col min="8" max="16384" width="9" style="1"/>
  </cols>
  <sheetData>
    <row r="2" spans="2:44">
      <c r="B2" s="1" t="s">
        <v>264</v>
      </c>
    </row>
    <row r="3" spans="2:44" ht="12">
      <c r="C3" s="1" t="s">
        <v>265</v>
      </c>
      <c r="D3" s="1" t="s">
        <v>266</v>
      </c>
      <c r="E3" s="1" t="s">
        <v>267</v>
      </c>
      <c r="F3" s="1" t="s">
        <v>268</v>
      </c>
      <c r="G3" s="1" t="s">
        <v>269</v>
      </c>
      <c r="H3" s="1" t="s">
        <v>270</v>
      </c>
      <c r="I3" s="1" t="s">
        <v>271</v>
      </c>
      <c r="J3" s="1" t="s">
        <v>272</v>
      </c>
      <c r="K3" s="1" t="s">
        <v>273</v>
      </c>
      <c r="L3" s="1" t="s">
        <v>274</v>
      </c>
      <c r="M3" s="1" t="s">
        <v>275</v>
      </c>
      <c r="N3" s="1" t="s">
        <v>276</v>
      </c>
      <c r="O3" s="1" t="s">
        <v>277</v>
      </c>
      <c r="P3" s="1" t="s">
        <v>278</v>
      </c>
      <c r="Q3" s="1" t="s">
        <v>279</v>
      </c>
      <c r="R3" s="1" t="s">
        <v>280</v>
      </c>
      <c r="S3" s="1" t="s">
        <v>281</v>
      </c>
      <c r="T3" s="1" t="s">
        <v>282</v>
      </c>
      <c r="U3" s="1" t="s">
        <v>283</v>
      </c>
      <c r="V3" s="1" t="s">
        <v>284</v>
      </c>
      <c r="W3" s="1" t="s">
        <v>285</v>
      </c>
      <c r="X3" s="1" t="s">
        <v>286</v>
      </c>
      <c r="Y3" s="1" t="s">
        <v>287</v>
      </c>
      <c r="Z3" s="1" t="s">
        <v>288</v>
      </c>
      <c r="AA3" s="1" t="s">
        <v>289</v>
      </c>
      <c r="AB3" s="1" t="s">
        <v>290</v>
      </c>
      <c r="AC3" s="1" t="s">
        <v>291</v>
      </c>
      <c r="AD3" s="1" t="s">
        <v>292</v>
      </c>
      <c r="AE3" s="1" t="s">
        <v>293</v>
      </c>
      <c r="AF3" s="1" t="s">
        <v>294</v>
      </c>
      <c r="AG3" s="1" t="s">
        <v>295</v>
      </c>
      <c r="AH3" s="1" t="s">
        <v>296</v>
      </c>
      <c r="AI3" s="1" t="s">
        <v>297</v>
      </c>
      <c r="AJ3" s="1" t="s">
        <v>298</v>
      </c>
      <c r="AK3" s="1" t="s">
        <v>299</v>
      </c>
      <c r="AL3" s="1" t="s">
        <v>300</v>
      </c>
      <c r="AM3" s="286" t="s">
        <v>301</v>
      </c>
      <c r="AN3" s="286" t="s">
        <v>302</v>
      </c>
      <c r="AO3" s="286" t="s">
        <v>303</v>
      </c>
      <c r="AP3" s="286" t="s">
        <v>304</v>
      </c>
      <c r="AQ3" s="286" t="s">
        <v>305</v>
      </c>
      <c r="AR3" s="286" t="s">
        <v>306</v>
      </c>
    </row>
    <row r="4" spans="2:44">
      <c r="B4" s="1" t="s">
        <v>307</v>
      </c>
      <c r="C4" s="16">
        <v>40708099996</v>
      </c>
      <c r="D4" s="16">
        <v>43747582185</v>
      </c>
      <c r="E4" s="16">
        <v>45739498620</v>
      </c>
      <c r="F4" s="16">
        <v>43411672390</v>
      </c>
      <c r="G4" s="16">
        <v>45115254938</v>
      </c>
      <c r="H4" s="16">
        <v>45610093720</v>
      </c>
      <c r="I4" s="16">
        <v>43670801651</v>
      </c>
      <c r="J4" s="16">
        <v>36358521155</v>
      </c>
      <c r="K4" s="16">
        <v>40985890485</v>
      </c>
      <c r="L4" s="16">
        <v>43202342291</v>
      </c>
      <c r="M4" s="16">
        <v>45760730688</v>
      </c>
      <c r="N4" s="16">
        <v>45034050724</v>
      </c>
      <c r="O4" s="16">
        <v>45333802628</v>
      </c>
      <c r="P4" s="16">
        <v>39217568814</v>
      </c>
      <c r="Q4" s="16">
        <v>43634787801</v>
      </c>
      <c r="R4" s="16">
        <v>44687384478</v>
      </c>
      <c r="S4" s="16">
        <v>42884882168</v>
      </c>
      <c r="T4" s="16">
        <v>44484044902</v>
      </c>
      <c r="U4" s="16">
        <v>43464848706</v>
      </c>
      <c r="V4" s="16">
        <v>41904980145</v>
      </c>
      <c r="W4" s="16">
        <v>40627534490</v>
      </c>
      <c r="X4" s="16">
        <v>48893452332</v>
      </c>
      <c r="Y4" s="16">
        <v>45503091647</v>
      </c>
      <c r="Z4" s="16">
        <v>48136734165</v>
      </c>
      <c r="AA4" s="16">
        <v>44770750863</v>
      </c>
      <c r="AB4" s="16">
        <v>42701133945</v>
      </c>
      <c r="AC4" s="16">
        <v>48507255496</v>
      </c>
      <c r="AD4" s="16">
        <v>47481574847</v>
      </c>
      <c r="AE4" s="16">
        <v>42789599884</v>
      </c>
      <c r="AF4" s="16">
        <v>44264170668</v>
      </c>
      <c r="AG4" s="16">
        <v>46171411455</v>
      </c>
      <c r="AH4" s="16">
        <v>37947630363</v>
      </c>
      <c r="AI4" s="16">
        <v>39063582296</v>
      </c>
      <c r="AJ4" s="16">
        <v>45104593900</v>
      </c>
      <c r="AK4" s="16">
        <v>46501625261</v>
      </c>
      <c r="AL4" s="16">
        <v>50867999054</v>
      </c>
      <c r="AM4" s="16">
        <v>46054466935</v>
      </c>
      <c r="AN4" s="16">
        <v>41739918782</v>
      </c>
      <c r="AO4" s="16">
        <v>50461281054</v>
      </c>
      <c r="AP4" s="16">
        <v>49990226066</v>
      </c>
      <c r="AQ4" s="16">
        <v>42743687946</v>
      </c>
      <c r="AR4" s="16">
        <v>48217617387</v>
      </c>
    </row>
    <row r="5" spans="2:44">
      <c r="B5" s="1" t="s">
        <v>205</v>
      </c>
      <c r="C5" s="287">
        <v>86683652</v>
      </c>
      <c r="D5" s="287">
        <v>101549519</v>
      </c>
      <c r="E5" s="287">
        <v>131647549</v>
      </c>
      <c r="F5" s="287">
        <v>84342407</v>
      </c>
      <c r="G5" s="287">
        <v>79709434</v>
      </c>
      <c r="H5" s="287">
        <v>93428368</v>
      </c>
      <c r="I5" s="287">
        <v>88251425</v>
      </c>
      <c r="J5" s="287">
        <v>73993875</v>
      </c>
      <c r="K5" s="287">
        <v>78041598</v>
      </c>
      <c r="L5" s="287">
        <v>170141244</v>
      </c>
      <c r="M5" s="287">
        <v>188141196</v>
      </c>
      <c r="N5" s="287">
        <v>180775103</v>
      </c>
      <c r="O5" s="287">
        <v>193770288</v>
      </c>
      <c r="P5" s="287">
        <v>111533446</v>
      </c>
      <c r="Q5" s="287">
        <v>167929361</v>
      </c>
      <c r="R5" s="287">
        <v>158345174</v>
      </c>
      <c r="S5" s="287">
        <v>137108667</v>
      </c>
      <c r="T5" s="287">
        <v>115932179</v>
      </c>
      <c r="U5" s="287">
        <v>139176857</v>
      </c>
      <c r="V5" s="287">
        <v>167416859</v>
      </c>
      <c r="W5" s="287">
        <v>140206766</v>
      </c>
      <c r="X5" s="287">
        <v>193955644</v>
      </c>
      <c r="Y5" s="287">
        <v>185804038</v>
      </c>
      <c r="Z5" s="287">
        <v>182065605</v>
      </c>
      <c r="AA5" s="287">
        <v>116024987</v>
      </c>
      <c r="AB5" s="287">
        <v>176292403</v>
      </c>
      <c r="AC5" s="287">
        <v>175043187</v>
      </c>
      <c r="AD5" s="287">
        <v>173550611</v>
      </c>
      <c r="AE5" s="287">
        <v>200960669</v>
      </c>
      <c r="AF5" s="287">
        <v>157301653</v>
      </c>
      <c r="AG5" s="287">
        <v>142694177</v>
      </c>
      <c r="AH5" s="287">
        <v>168365532</v>
      </c>
      <c r="AI5" s="287">
        <v>178625938</v>
      </c>
      <c r="AJ5" s="287">
        <v>206303224</v>
      </c>
      <c r="AK5" s="287">
        <v>224340690</v>
      </c>
      <c r="AL5" s="287">
        <v>205079058</v>
      </c>
      <c r="AM5" s="287">
        <v>255491327</v>
      </c>
      <c r="AN5" s="287">
        <v>208908636</v>
      </c>
      <c r="AO5" s="287">
        <v>234398139</v>
      </c>
      <c r="AP5" s="287">
        <v>239557798</v>
      </c>
      <c r="AQ5" s="287">
        <v>185624431</v>
      </c>
      <c r="AR5" s="287">
        <v>170887682</v>
      </c>
    </row>
    <row r="6" spans="2:44">
      <c r="B6" s="1" t="s">
        <v>206</v>
      </c>
      <c r="C6" s="110">
        <f>C4/C5</f>
        <v>469.6168084381124</v>
      </c>
      <c r="D6" s="110">
        <f t="shared" ref="D6:AR6" si="0">D4/D5</f>
        <v>430.80048646020668</v>
      </c>
      <c r="E6" s="110">
        <f t="shared" si="0"/>
        <v>347.439044383576</v>
      </c>
      <c r="F6" s="110">
        <f t="shared" si="0"/>
        <v>514.70753484661634</v>
      </c>
      <c r="G6" s="110">
        <f t="shared" si="0"/>
        <v>565.99642820196163</v>
      </c>
      <c r="H6" s="110">
        <f t="shared" si="0"/>
        <v>488.18249420775498</v>
      </c>
      <c r="I6" s="110">
        <f t="shared" si="0"/>
        <v>494.84528607894998</v>
      </c>
      <c r="J6" s="110">
        <f t="shared" si="0"/>
        <v>491.37203795584429</v>
      </c>
      <c r="K6" s="110">
        <f t="shared" si="0"/>
        <v>525.18005186157257</v>
      </c>
      <c r="L6" s="110">
        <f t="shared" si="0"/>
        <v>253.9204561769867</v>
      </c>
      <c r="M6" s="110">
        <f t="shared" si="0"/>
        <v>243.22546927999755</v>
      </c>
      <c r="N6" s="110">
        <f t="shared" si="0"/>
        <v>249.11644345183973</v>
      </c>
      <c r="O6" s="110">
        <f t="shared" si="0"/>
        <v>233.95641868478825</v>
      </c>
      <c r="P6" s="110">
        <f t="shared" si="0"/>
        <v>351.62160069904053</v>
      </c>
      <c r="Q6" s="110">
        <f t="shared" si="0"/>
        <v>259.84013481120792</v>
      </c>
      <c r="R6" s="110">
        <f t="shared" si="0"/>
        <v>282.21500756316073</v>
      </c>
      <c r="S6" s="110">
        <f t="shared" si="0"/>
        <v>312.78024290032664</v>
      </c>
      <c r="T6" s="110">
        <f t="shared" si="0"/>
        <v>383.70748558085842</v>
      </c>
      <c r="U6" s="110">
        <f t="shared" si="0"/>
        <v>312.2993983547135</v>
      </c>
      <c r="V6" s="110">
        <f t="shared" si="0"/>
        <v>250.30322749634192</v>
      </c>
      <c r="W6" s="110">
        <f t="shared" si="0"/>
        <v>289.76871551263082</v>
      </c>
      <c r="X6" s="110">
        <f t="shared" si="0"/>
        <v>252.08574148014998</v>
      </c>
      <c r="Y6" s="110">
        <f t="shared" si="0"/>
        <v>244.89829250643089</v>
      </c>
      <c r="Z6" s="110">
        <f t="shared" si="0"/>
        <v>264.39224566880711</v>
      </c>
      <c r="AA6" s="110">
        <f t="shared" si="0"/>
        <v>385.87163007395986</v>
      </c>
      <c r="AB6" s="110">
        <f t="shared" si="0"/>
        <v>242.2176634860437</v>
      </c>
      <c r="AC6" s="110">
        <f t="shared" si="0"/>
        <v>277.11592965911893</v>
      </c>
      <c r="AD6" s="110">
        <f t="shared" si="0"/>
        <v>273.58921166229715</v>
      </c>
      <c r="AE6" s="110">
        <f t="shared" si="0"/>
        <v>212.92524600423181</v>
      </c>
      <c r="AF6" s="110">
        <f t="shared" si="0"/>
        <v>281.39672930201186</v>
      </c>
      <c r="AG6" s="110">
        <f t="shared" si="0"/>
        <v>323.56899507539117</v>
      </c>
      <c r="AH6" s="110">
        <f t="shared" si="0"/>
        <v>225.38835539687543</v>
      </c>
      <c r="AI6" s="110">
        <f t="shared" si="0"/>
        <v>218.68930533481648</v>
      </c>
      <c r="AJ6" s="110">
        <f t="shared" si="0"/>
        <v>218.63252074044175</v>
      </c>
      <c r="AK6" s="110">
        <f t="shared" si="0"/>
        <v>207.28127947275192</v>
      </c>
      <c r="AL6" s="110">
        <f t="shared" si="0"/>
        <v>248.04092407134033</v>
      </c>
      <c r="AM6" s="110">
        <f t="shared" si="0"/>
        <v>180.25843568067577</v>
      </c>
      <c r="AN6" s="110">
        <f t="shared" si="0"/>
        <v>199.79987223697157</v>
      </c>
      <c r="AO6" s="110">
        <f t="shared" si="0"/>
        <v>215.28021199007898</v>
      </c>
      <c r="AP6" s="110">
        <f t="shared" si="0"/>
        <v>208.67709790019026</v>
      </c>
      <c r="AQ6" s="110">
        <f t="shared" si="0"/>
        <v>230.26973182210051</v>
      </c>
      <c r="AR6" s="110">
        <f t="shared" si="0"/>
        <v>282.15970175661931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R66"/>
  <sheetViews>
    <sheetView showGridLines="0" workbookViewId="0">
      <selection activeCell="I6" sqref="I6"/>
    </sheetView>
  </sheetViews>
  <sheetFormatPr defaultRowHeight="11.25"/>
  <cols>
    <col min="1" max="2" width="9" style="1"/>
    <col min="3" max="6" width="7.625" style="1" customWidth="1"/>
    <col min="7" max="8" width="9" style="1"/>
    <col min="9" max="12" width="7.625" style="1" customWidth="1"/>
    <col min="13" max="14" width="9" style="1"/>
    <col min="15" max="18" width="7.625" style="1" customWidth="1"/>
    <col min="19" max="16384" width="9" style="1"/>
  </cols>
  <sheetData>
    <row r="3" spans="2:18" ht="19.5" customHeight="1">
      <c r="B3" s="43" t="s">
        <v>197</v>
      </c>
      <c r="C3" s="44"/>
      <c r="D3" s="44"/>
      <c r="E3" s="44"/>
      <c r="F3" s="45"/>
      <c r="H3" s="43" t="s">
        <v>308</v>
      </c>
      <c r="I3" s="44"/>
      <c r="J3" s="44"/>
      <c r="K3" s="44"/>
      <c r="L3" s="45"/>
      <c r="N3" s="43" t="s">
        <v>309</v>
      </c>
      <c r="O3" s="44"/>
      <c r="P3" s="44"/>
      <c r="Q3" s="44"/>
      <c r="R3" s="45"/>
    </row>
    <row r="4" spans="2:18" ht="12" customHeight="1">
      <c r="B4" s="46"/>
      <c r="C4" s="47" t="s">
        <v>77</v>
      </c>
      <c r="D4" s="47" t="s">
        <v>78</v>
      </c>
      <c r="E4" s="47" t="s">
        <v>79</v>
      </c>
      <c r="F4" s="12" t="s">
        <v>80</v>
      </c>
      <c r="H4" s="46"/>
      <c r="I4" s="47" t="s">
        <v>77</v>
      </c>
      <c r="J4" s="47" t="s">
        <v>78</v>
      </c>
      <c r="K4" s="47" t="s">
        <v>79</v>
      </c>
      <c r="L4" s="12" t="s">
        <v>80</v>
      </c>
      <c r="N4" s="46"/>
      <c r="O4" s="47" t="s">
        <v>77</v>
      </c>
      <c r="P4" s="47" t="s">
        <v>78</v>
      </c>
      <c r="Q4" s="47" t="s">
        <v>79</v>
      </c>
      <c r="R4" s="12" t="s">
        <v>80</v>
      </c>
    </row>
    <row r="5" spans="2:18" ht="12" customHeight="1">
      <c r="B5" s="13" t="s">
        <v>83</v>
      </c>
      <c r="C5" s="14" t="s">
        <v>84</v>
      </c>
      <c r="D5" s="14" t="s">
        <v>84</v>
      </c>
      <c r="E5" s="14" t="s">
        <v>84</v>
      </c>
      <c r="F5" s="15" t="s">
        <v>85</v>
      </c>
      <c r="H5" s="13" t="s">
        <v>200</v>
      </c>
      <c r="I5" s="14" t="s">
        <v>84</v>
      </c>
      <c r="J5" s="14" t="s">
        <v>84</v>
      </c>
      <c r="K5" s="14" t="s">
        <v>84</v>
      </c>
      <c r="L5" s="15" t="s">
        <v>85</v>
      </c>
      <c r="N5" s="13" t="s">
        <v>202</v>
      </c>
      <c r="O5" s="14" t="s">
        <v>84</v>
      </c>
      <c r="P5" s="14" t="s">
        <v>84</v>
      </c>
      <c r="Q5" s="14" t="s">
        <v>84</v>
      </c>
      <c r="R5" s="15" t="s">
        <v>85</v>
      </c>
    </row>
    <row r="6" spans="2:18" ht="12" customHeight="1">
      <c r="B6" s="17" t="s">
        <v>46</v>
      </c>
      <c r="C6" s="67">
        <v>296691633563</v>
      </c>
      <c r="D6" s="67">
        <v>317822974827</v>
      </c>
      <c r="E6" s="67">
        <v>329054293426</v>
      </c>
      <c r="F6" s="68">
        <v>174195511512</v>
      </c>
      <c r="H6" s="17" t="s">
        <v>46</v>
      </c>
      <c r="I6" s="67">
        <v>427220840</v>
      </c>
      <c r="J6" s="67">
        <v>412124532</v>
      </c>
      <c r="K6" s="67">
        <v>467000938</v>
      </c>
      <c r="L6" s="68">
        <v>282652547</v>
      </c>
      <c r="N6" s="17" t="s">
        <v>46</v>
      </c>
      <c r="O6" s="436">
        <f>C6/I6</f>
        <v>694.46900943081334</v>
      </c>
      <c r="P6" s="436">
        <f t="shared" ref="P6:P12" si="0">D6/J6</f>
        <v>771.18188835941464</v>
      </c>
      <c r="Q6" s="436">
        <f t="shared" ref="Q6:Q12" si="1">E6/K6</f>
        <v>704.6116327629303</v>
      </c>
      <c r="R6" s="437">
        <f t="shared" ref="R6:R12" si="2">F6/L6</f>
        <v>616.28849044830997</v>
      </c>
    </row>
    <row r="7" spans="2:18" ht="12" customHeight="1">
      <c r="B7" s="20" t="s">
        <v>154</v>
      </c>
      <c r="C7" s="69">
        <v>69793328452</v>
      </c>
      <c r="D7" s="69">
        <v>62770593661</v>
      </c>
      <c r="E7" s="69">
        <v>54726687904</v>
      </c>
      <c r="F7" s="70">
        <v>26891171748</v>
      </c>
      <c r="H7" s="20" t="s">
        <v>154</v>
      </c>
      <c r="I7" s="69">
        <v>173003594</v>
      </c>
      <c r="J7" s="69">
        <v>168959390</v>
      </c>
      <c r="K7" s="69">
        <v>129588031</v>
      </c>
      <c r="L7" s="70">
        <v>61046236</v>
      </c>
      <c r="N7" s="20" t="s">
        <v>154</v>
      </c>
      <c r="O7" s="438">
        <f t="shared" ref="O7:O12" si="3">C7/I7</f>
        <v>403.42126332936181</v>
      </c>
      <c r="P7" s="438">
        <f t="shared" si="0"/>
        <v>371.51290414223206</v>
      </c>
      <c r="Q7" s="438">
        <f t="shared" si="1"/>
        <v>422.31282844323795</v>
      </c>
      <c r="R7" s="439">
        <f t="shared" si="2"/>
        <v>440.50499277301878</v>
      </c>
    </row>
    <row r="8" spans="2:18" ht="12" customHeight="1">
      <c r="B8" s="20" t="s">
        <v>48</v>
      </c>
      <c r="C8" s="69">
        <v>39771393460</v>
      </c>
      <c r="D8" s="69">
        <v>32162937072</v>
      </c>
      <c r="E8" s="69">
        <v>22998719481</v>
      </c>
      <c r="F8" s="70">
        <v>9749865860</v>
      </c>
      <c r="H8" s="20" t="s">
        <v>48</v>
      </c>
      <c r="I8" s="69">
        <v>25638111</v>
      </c>
      <c r="J8" s="69">
        <v>26568581</v>
      </c>
      <c r="K8" s="69">
        <v>20630669</v>
      </c>
      <c r="L8" s="70">
        <v>12633454</v>
      </c>
      <c r="N8" s="20" t="s">
        <v>48</v>
      </c>
      <c r="O8" s="438">
        <f t="shared" si="3"/>
        <v>1551.2606782925623</v>
      </c>
      <c r="P8" s="438">
        <f t="shared" si="0"/>
        <v>1210.5628475980709</v>
      </c>
      <c r="Q8" s="438">
        <f t="shared" si="1"/>
        <v>1114.7830194454673</v>
      </c>
      <c r="R8" s="439">
        <f t="shared" si="2"/>
        <v>771.74982075369098</v>
      </c>
    </row>
    <row r="9" spans="2:18" ht="12" customHeight="1">
      <c r="B9" s="20" t="s">
        <v>188</v>
      </c>
      <c r="C9" s="69">
        <v>43418777428</v>
      </c>
      <c r="D9" s="69">
        <v>42307741487</v>
      </c>
      <c r="E9" s="69">
        <v>47816948703</v>
      </c>
      <c r="F9" s="70">
        <v>24345319543</v>
      </c>
      <c r="H9" s="20" t="s">
        <v>188</v>
      </c>
      <c r="I9" s="69">
        <v>6756172</v>
      </c>
      <c r="J9" s="69">
        <v>11367487</v>
      </c>
      <c r="K9" s="69">
        <v>8385809</v>
      </c>
      <c r="L9" s="70">
        <v>5279566</v>
      </c>
      <c r="N9" s="20" t="s">
        <v>188</v>
      </c>
      <c r="O9" s="438">
        <f t="shared" si="3"/>
        <v>6426.5352374095864</v>
      </c>
      <c r="P9" s="438">
        <f t="shared" si="0"/>
        <v>3721.820089787655</v>
      </c>
      <c r="Q9" s="438">
        <f t="shared" si="1"/>
        <v>5702.1270938796724</v>
      </c>
      <c r="R9" s="439">
        <f t="shared" si="2"/>
        <v>4611.2350035968866</v>
      </c>
    </row>
    <row r="10" spans="2:18" ht="12" customHeight="1">
      <c r="B10" s="20" t="s">
        <v>189</v>
      </c>
      <c r="C10" s="69">
        <v>20767223864</v>
      </c>
      <c r="D10" s="69">
        <v>21064695432</v>
      </c>
      <c r="E10" s="69">
        <v>23077848703</v>
      </c>
      <c r="F10" s="70">
        <v>14201251235</v>
      </c>
      <c r="H10" s="20" t="s">
        <v>189</v>
      </c>
      <c r="I10" s="69">
        <v>834513</v>
      </c>
      <c r="J10" s="69">
        <v>900638</v>
      </c>
      <c r="K10" s="69">
        <v>1278158</v>
      </c>
      <c r="L10" s="70">
        <v>4475007</v>
      </c>
      <c r="N10" s="20" t="s">
        <v>189</v>
      </c>
      <c r="O10" s="438">
        <f t="shared" si="3"/>
        <v>24885.440806793904</v>
      </c>
      <c r="P10" s="438">
        <f t="shared" si="0"/>
        <v>23388.637201628178</v>
      </c>
      <c r="Q10" s="438">
        <f t="shared" si="1"/>
        <v>18055.552367547672</v>
      </c>
      <c r="R10" s="439">
        <f t="shared" si="2"/>
        <v>3173.4589990585491</v>
      </c>
    </row>
    <row r="11" spans="2:18" ht="12" customHeight="1">
      <c r="B11" s="20" t="s">
        <v>190</v>
      </c>
      <c r="C11" s="69">
        <v>47711967609</v>
      </c>
      <c r="D11" s="69">
        <v>52294228059</v>
      </c>
      <c r="E11" s="69">
        <v>57857539144</v>
      </c>
      <c r="F11" s="70">
        <v>29633582018</v>
      </c>
      <c r="H11" s="20" t="s">
        <v>190</v>
      </c>
      <c r="I11" s="69">
        <v>12987815</v>
      </c>
      <c r="J11" s="69">
        <v>13146796</v>
      </c>
      <c r="K11" s="69">
        <v>13878612</v>
      </c>
      <c r="L11" s="70">
        <v>7431203</v>
      </c>
      <c r="N11" s="20" t="s">
        <v>190</v>
      </c>
      <c r="O11" s="438">
        <f t="shared" si="3"/>
        <v>3673.5946430558179</v>
      </c>
      <c r="P11" s="438">
        <f t="shared" si="0"/>
        <v>3977.716552306737</v>
      </c>
      <c r="Q11" s="438">
        <f t="shared" si="1"/>
        <v>4168.8274839011283</v>
      </c>
      <c r="R11" s="439">
        <f t="shared" si="2"/>
        <v>3987.7233898737527</v>
      </c>
    </row>
    <row r="12" spans="2:18" ht="12" customHeight="1">
      <c r="B12" s="18" t="s">
        <v>159</v>
      </c>
      <c r="C12" s="265">
        <v>1190214467</v>
      </c>
      <c r="D12" s="265">
        <v>349941738</v>
      </c>
      <c r="E12" s="265">
        <v>639290671</v>
      </c>
      <c r="F12" s="266">
        <v>190496254</v>
      </c>
      <c r="H12" s="18" t="s">
        <v>159</v>
      </c>
      <c r="I12" s="265">
        <v>710264325</v>
      </c>
      <c r="J12" s="265">
        <v>1260177460</v>
      </c>
      <c r="K12" s="265">
        <v>1483819912</v>
      </c>
      <c r="L12" s="266">
        <v>921350000</v>
      </c>
      <c r="N12" s="18" t="s">
        <v>159</v>
      </c>
      <c r="O12" s="440">
        <f t="shared" si="3"/>
        <v>1.6757345471349698</v>
      </c>
      <c r="P12" s="440">
        <f t="shared" si="0"/>
        <v>0.27769242754111789</v>
      </c>
      <c r="Q12" s="440">
        <f t="shared" si="1"/>
        <v>0.43084114576836868</v>
      </c>
      <c r="R12" s="441">
        <f t="shared" si="2"/>
        <v>0.20675775112606501</v>
      </c>
    </row>
    <row r="13" spans="2:18" ht="12" customHeight="1" thickBot="1">
      <c r="B13" s="19" t="s">
        <v>35</v>
      </c>
      <c r="C13" s="267">
        <f>SUM(C6:C12)</f>
        <v>519344538843</v>
      </c>
      <c r="D13" s="267">
        <f>SUM(D6:D12)</f>
        <v>528773112276</v>
      </c>
      <c r="E13" s="267">
        <f>SUM(E6:E12)</f>
        <v>536171328032</v>
      </c>
      <c r="F13" s="268">
        <f>SUM(F6:F12)</f>
        <v>279207198170</v>
      </c>
      <c r="H13" s="19" t="s">
        <v>35</v>
      </c>
      <c r="I13" s="267">
        <f>SUM(I6:I12)</f>
        <v>1356705370</v>
      </c>
      <c r="J13" s="267">
        <f>SUM(J6:J12)</f>
        <v>1893244884</v>
      </c>
      <c r="K13" s="267">
        <f>SUM(K6:K12)</f>
        <v>2124582129</v>
      </c>
      <c r="L13" s="268">
        <f>SUM(L6:L12)</f>
        <v>1294868013</v>
      </c>
      <c r="N13" s="19" t="s">
        <v>35</v>
      </c>
      <c r="O13" s="267"/>
      <c r="P13" s="267"/>
      <c r="Q13" s="267"/>
      <c r="R13" s="268"/>
    </row>
    <row r="14" spans="2:18" ht="12" customHeight="1"/>
    <row r="15" spans="2:18" ht="12" customHeight="1"/>
    <row r="16" spans="2:18" ht="12" customHeight="1"/>
    <row r="17" spans="2:6" ht="19.5" customHeight="1">
      <c r="B17" s="43" t="s">
        <v>197</v>
      </c>
      <c r="C17" s="44"/>
      <c r="D17" s="44"/>
      <c r="E17" s="44"/>
      <c r="F17" s="45"/>
    </row>
    <row r="18" spans="2:6" ht="12" customHeight="1">
      <c r="B18" s="46"/>
      <c r="C18" s="47" t="s">
        <v>77</v>
      </c>
      <c r="D18" s="47" t="s">
        <v>78</v>
      </c>
      <c r="E18" s="47" t="s">
        <v>79</v>
      </c>
      <c r="F18" s="12" t="s">
        <v>80</v>
      </c>
    </row>
    <row r="19" spans="2:6" ht="12" customHeight="1">
      <c r="B19" s="13" t="s">
        <v>83</v>
      </c>
      <c r="C19" s="14" t="s">
        <v>84</v>
      </c>
      <c r="D19" s="14" t="s">
        <v>84</v>
      </c>
      <c r="E19" s="14" t="s">
        <v>84</v>
      </c>
      <c r="F19" s="15" t="s">
        <v>85</v>
      </c>
    </row>
    <row r="20" spans="2:6" ht="12" customHeight="1">
      <c r="B20" s="17" t="s">
        <v>193</v>
      </c>
      <c r="C20" s="395">
        <f>C6+C11</f>
        <v>344403601172</v>
      </c>
      <c r="D20" s="395">
        <f>D6+D11</f>
        <v>370117202886</v>
      </c>
      <c r="E20" s="395">
        <f>E6+E11</f>
        <v>386911832570</v>
      </c>
      <c r="F20" s="396">
        <f>F6+F11</f>
        <v>203829093530</v>
      </c>
    </row>
    <row r="21" spans="2:6" ht="12" customHeight="1">
      <c r="B21" s="20" t="s">
        <v>48</v>
      </c>
      <c r="C21" s="209">
        <f>C9+C10</f>
        <v>64186001292</v>
      </c>
      <c r="D21" s="209">
        <f t="shared" ref="D21:E21" si="4">D9+D10</f>
        <v>63372436919</v>
      </c>
      <c r="E21" s="209">
        <f t="shared" si="4"/>
        <v>70894797406</v>
      </c>
      <c r="F21" s="397">
        <f>F9+F10</f>
        <v>38546570778</v>
      </c>
    </row>
    <row r="22" spans="2:6" ht="12" customHeight="1">
      <c r="B22" s="20" t="s">
        <v>50</v>
      </c>
      <c r="C22" s="209">
        <f>C7+C8</f>
        <v>109564721912</v>
      </c>
      <c r="D22" s="209">
        <f>D7+D8</f>
        <v>94933530733</v>
      </c>
      <c r="E22" s="209">
        <f>E7+E8</f>
        <v>77725407385</v>
      </c>
      <c r="F22" s="397">
        <f>F7+F8</f>
        <v>36641037608</v>
      </c>
    </row>
    <row r="23" spans="2:6" ht="12" customHeight="1">
      <c r="B23" s="18" t="s">
        <v>310</v>
      </c>
      <c r="C23" s="399">
        <f>C12</f>
        <v>1190214467</v>
      </c>
      <c r="D23" s="399">
        <f>D12</f>
        <v>349941738</v>
      </c>
      <c r="E23" s="399">
        <f>E12</f>
        <v>639290671</v>
      </c>
      <c r="F23" s="400">
        <f>F12</f>
        <v>190496254</v>
      </c>
    </row>
    <row r="24" spans="2:6" ht="12" customHeight="1" thickBot="1">
      <c r="B24" s="19" t="s">
        <v>35</v>
      </c>
      <c r="C24" s="267">
        <f>SUM(C20:C23)</f>
        <v>519344538843</v>
      </c>
      <c r="D24" s="267">
        <f>SUM(D20:D23)</f>
        <v>528773112276</v>
      </c>
      <c r="E24" s="267">
        <f>SUM(E20:E23)</f>
        <v>536171328032</v>
      </c>
      <c r="F24" s="268">
        <f>SUM(F20:F23)</f>
        <v>279207198170</v>
      </c>
    </row>
    <row r="25" spans="2:6" ht="12" customHeight="1"/>
    <row r="26" spans="2:6" ht="12" customHeight="1"/>
    <row r="27" spans="2:6" ht="12" customHeight="1"/>
    <row r="28" spans="2:6" ht="12" customHeight="1"/>
    <row r="29" spans="2:6" ht="12" customHeight="1"/>
    <row r="30" spans="2:6" ht="12" customHeight="1"/>
    <row r="31" spans="2:6" ht="12" customHeight="1"/>
    <row r="32" spans="2:6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51"/>
  <sheetViews>
    <sheetView showGridLines="0" zoomScaleNormal="100" workbookViewId="0">
      <selection activeCell="I24" sqref="I24"/>
    </sheetView>
  </sheetViews>
  <sheetFormatPr defaultRowHeight="11.25"/>
  <cols>
    <col min="1" max="1" width="9" style="1"/>
    <col min="2" max="2" width="17.125" style="1" customWidth="1"/>
    <col min="3" max="6" width="7.625" style="1" customWidth="1"/>
    <col min="7" max="16384" width="9" style="1"/>
  </cols>
  <sheetData>
    <row r="1" spans="2:12">
      <c r="B1" s="1" t="s">
        <v>36</v>
      </c>
    </row>
    <row r="2" spans="2:12" ht="19.5" customHeight="1">
      <c r="B2" s="43" t="s">
        <v>185</v>
      </c>
      <c r="C2" s="44"/>
      <c r="D2" s="44"/>
      <c r="E2" s="44"/>
      <c r="F2" s="45"/>
    </row>
    <row r="3" spans="2:12">
      <c r="B3" s="46"/>
      <c r="C3" s="47" t="s">
        <v>77</v>
      </c>
      <c r="D3" s="47" t="s">
        <v>78</v>
      </c>
      <c r="E3" s="47" t="s">
        <v>79</v>
      </c>
      <c r="F3" s="12" t="s">
        <v>80</v>
      </c>
      <c r="H3" s="46"/>
      <c r="I3" s="47" t="s">
        <v>77</v>
      </c>
      <c r="J3" s="47" t="s">
        <v>78</v>
      </c>
      <c r="K3" s="47" t="s">
        <v>79</v>
      </c>
      <c r="L3" s="12" t="s">
        <v>80</v>
      </c>
    </row>
    <row r="4" spans="2:12">
      <c r="B4" s="13" t="s">
        <v>83</v>
      </c>
      <c r="C4" s="14" t="s">
        <v>84</v>
      </c>
      <c r="D4" s="14" t="s">
        <v>84</v>
      </c>
      <c r="E4" s="14" t="s">
        <v>84</v>
      </c>
      <c r="F4" s="15" t="s">
        <v>85</v>
      </c>
      <c r="H4" s="13" t="s">
        <v>186</v>
      </c>
      <c r="I4" s="14" t="s">
        <v>77</v>
      </c>
      <c r="J4" s="14" t="s">
        <v>78</v>
      </c>
      <c r="K4" s="14" t="s">
        <v>79</v>
      </c>
      <c r="L4" s="15" t="s">
        <v>80</v>
      </c>
    </row>
    <row r="5" spans="2:12">
      <c r="B5" s="17" t="s">
        <v>46</v>
      </c>
      <c r="C5" s="67">
        <v>301650469844</v>
      </c>
      <c r="D5" s="67">
        <v>329529138676</v>
      </c>
      <c r="E5" s="67">
        <v>357818553490</v>
      </c>
      <c r="F5" s="68">
        <v>189665157770</v>
      </c>
      <c r="H5" s="17" t="s">
        <v>46</v>
      </c>
      <c r="I5" s="281">
        <f>C5/C$12</f>
        <v>0.57069214916361288</v>
      </c>
      <c r="J5" s="281">
        <f t="shared" ref="J5:J11" si="0">D5/D$12</f>
        <v>0.59295530228138982</v>
      </c>
      <c r="K5" s="281">
        <f t="shared" ref="K5:K11" si="1">E5/E$12</f>
        <v>0.61199844886919463</v>
      </c>
      <c r="L5" s="282">
        <f t="shared" ref="L5:L11" si="2">F5/F$12</f>
        <v>0.62405651586477706</v>
      </c>
    </row>
    <row r="6" spans="2:12">
      <c r="B6" s="20" t="s">
        <v>154</v>
      </c>
      <c r="C6" s="69">
        <v>69649481160</v>
      </c>
      <c r="D6" s="69">
        <v>63547706707</v>
      </c>
      <c r="E6" s="69">
        <v>56026768138</v>
      </c>
      <c r="F6" s="70">
        <v>27146825614</v>
      </c>
      <c r="H6" s="20" t="s">
        <v>154</v>
      </c>
      <c r="I6" s="55">
        <f t="shared" ref="I6:I11" si="3">C6/C$12</f>
        <v>0.13176976688246847</v>
      </c>
      <c r="J6" s="55">
        <f t="shared" si="0"/>
        <v>0.11434785339813908</v>
      </c>
      <c r="K6" s="55">
        <f t="shared" si="1"/>
        <v>9.5825928703745303E-2</v>
      </c>
      <c r="L6" s="283">
        <f t="shared" si="2"/>
        <v>8.932137883756934E-2</v>
      </c>
    </row>
    <row r="7" spans="2:12">
      <c r="B7" s="20" t="s">
        <v>48</v>
      </c>
      <c r="C7" s="69">
        <v>40168769460</v>
      </c>
      <c r="D7" s="69">
        <v>33386486016</v>
      </c>
      <c r="E7" s="69">
        <v>26961139273</v>
      </c>
      <c r="F7" s="70">
        <v>10360925486</v>
      </c>
      <c r="H7" s="20" t="s">
        <v>48</v>
      </c>
      <c r="I7" s="55">
        <f t="shared" si="3"/>
        <v>7.5995245040527709E-2</v>
      </c>
      <c r="J7" s="55">
        <f t="shared" si="0"/>
        <v>6.0075700702131841E-2</v>
      </c>
      <c r="K7" s="55">
        <f t="shared" si="1"/>
        <v>4.6113247213949903E-2</v>
      </c>
      <c r="L7" s="283">
        <f t="shared" si="2"/>
        <v>3.409062126090958E-2</v>
      </c>
    </row>
    <row r="8" spans="2:12">
      <c r="B8" s="20" t="s">
        <v>188</v>
      </c>
      <c r="C8" s="69">
        <v>43499623320</v>
      </c>
      <c r="D8" s="69">
        <v>44066949023</v>
      </c>
      <c r="E8" s="69">
        <v>48731959043</v>
      </c>
      <c r="F8" s="70">
        <v>25563257442</v>
      </c>
      <c r="H8" s="20" t="s">
        <v>188</v>
      </c>
      <c r="I8" s="55">
        <f t="shared" si="3"/>
        <v>8.2296883320409631E-2</v>
      </c>
      <c r="J8" s="55">
        <f t="shared" si="0"/>
        <v>7.9294144316150644E-2</v>
      </c>
      <c r="K8" s="55">
        <f t="shared" si="1"/>
        <v>8.3349180901282169E-2</v>
      </c>
      <c r="L8" s="283">
        <f t="shared" si="2"/>
        <v>8.4110954067559279E-2</v>
      </c>
    </row>
    <row r="9" spans="2:12">
      <c r="B9" s="20" t="s">
        <v>189</v>
      </c>
      <c r="C9" s="69">
        <v>21129287864</v>
      </c>
      <c r="D9" s="69">
        <v>21405858496</v>
      </c>
      <c r="E9" s="69">
        <v>23727187750</v>
      </c>
      <c r="F9" s="70">
        <v>14891677706</v>
      </c>
      <c r="H9" s="20" t="s">
        <v>189</v>
      </c>
      <c r="I9" s="55">
        <f t="shared" si="3"/>
        <v>3.997447346141652E-2</v>
      </c>
      <c r="J9" s="55">
        <f t="shared" si="0"/>
        <v>3.851773881389009E-2</v>
      </c>
      <c r="K9" s="55">
        <f t="shared" si="1"/>
        <v>4.0582026721076601E-2</v>
      </c>
      <c r="L9" s="283">
        <f t="shared" si="2"/>
        <v>4.8998185084986025E-2</v>
      </c>
    </row>
    <row r="10" spans="2:12">
      <c r="B10" s="20" t="s">
        <v>190</v>
      </c>
      <c r="C10" s="69">
        <v>47717791608</v>
      </c>
      <c r="D10" s="69">
        <v>54174492386</v>
      </c>
      <c r="E10" s="69">
        <v>58437212647</v>
      </c>
      <c r="F10" s="70">
        <v>30531103326</v>
      </c>
      <c r="H10" s="20" t="s">
        <v>190</v>
      </c>
      <c r="I10" s="55">
        <f t="shared" si="3"/>
        <v>9.0277230664332062E-2</v>
      </c>
      <c r="J10" s="55">
        <f t="shared" si="0"/>
        <v>9.748167533149639E-2</v>
      </c>
      <c r="K10" s="55">
        <f t="shared" si="1"/>
        <v>9.9948655952528095E-2</v>
      </c>
      <c r="L10" s="283">
        <f t="shared" si="2"/>
        <v>0.10045669004865988</v>
      </c>
    </row>
    <row r="11" spans="2:12">
      <c r="B11" s="18" t="s">
        <v>159</v>
      </c>
      <c r="C11" s="265">
        <v>4754087094</v>
      </c>
      <c r="D11" s="265">
        <v>9629636821</v>
      </c>
      <c r="E11" s="265">
        <v>12969500563</v>
      </c>
      <c r="F11" s="266">
        <v>5764099605</v>
      </c>
      <c r="H11" s="18" t="s">
        <v>159</v>
      </c>
      <c r="I11" s="284">
        <f t="shared" si="3"/>
        <v>8.9942514672327802E-3</v>
      </c>
      <c r="J11" s="284">
        <f t="shared" si="0"/>
        <v>1.7327585156802154E-2</v>
      </c>
      <c r="K11" s="284">
        <f t="shared" si="1"/>
        <v>2.2182511638223285E-2</v>
      </c>
      <c r="L11" s="285">
        <f t="shared" si="2"/>
        <v>1.8965654835538841E-2</v>
      </c>
    </row>
    <row r="12" spans="2:12" ht="12" thickBot="1">
      <c r="B12" s="19" t="s">
        <v>35</v>
      </c>
      <c r="C12" s="267">
        <f>SUM(C5:C11)</f>
        <v>528569510350</v>
      </c>
      <c r="D12" s="267">
        <f>SUM(D5:D11)</f>
        <v>555740268125</v>
      </c>
      <c r="E12" s="267">
        <f>SUM(E5:E11)</f>
        <v>584672320904</v>
      </c>
      <c r="F12" s="268">
        <f>SUM(F5:F11)</f>
        <v>303923046949</v>
      </c>
    </row>
    <row r="16" spans="2:12">
      <c r="B16" s="1" t="s">
        <v>142</v>
      </c>
    </row>
    <row r="17" spans="2:6" ht="19.5" customHeight="1">
      <c r="B17" s="43" t="s">
        <v>261</v>
      </c>
      <c r="C17" s="44"/>
      <c r="D17" s="44"/>
      <c r="E17" s="44"/>
      <c r="F17" s="45"/>
    </row>
    <row r="18" spans="2:6">
      <c r="B18" s="46"/>
      <c r="C18" s="47" t="s">
        <v>77</v>
      </c>
      <c r="D18" s="47" t="s">
        <v>78</v>
      </c>
      <c r="E18" s="47" t="s">
        <v>79</v>
      </c>
      <c r="F18" s="12" t="s">
        <v>80</v>
      </c>
    </row>
    <row r="19" spans="2:6">
      <c r="B19" s="13" t="s">
        <v>83</v>
      </c>
      <c r="C19" s="14" t="s">
        <v>84</v>
      </c>
      <c r="D19" s="14" t="s">
        <v>84</v>
      </c>
      <c r="E19" s="14" t="s">
        <v>84</v>
      </c>
      <c r="F19" s="15" t="s">
        <v>85</v>
      </c>
    </row>
    <row r="20" spans="2:6">
      <c r="B20" s="316" t="s">
        <v>311</v>
      </c>
      <c r="C20" s="320">
        <f>SUM(C21:C22)</f>
        <v>102761343</v>
      </c>
      <c r="D20" s="320">
        <f t="shared" ref="D20:F20" si="4">SUM(D21:D22)</f>
        <v>915776802</v>
      </c>
      <c r="E20" s="320">
        <f t="shared" si="4"/>
        <v>7166779519</v>
      </c>
      <c r="F20" s="321">
        <f t="shared" si="4"/>
        <v>0</v>
      </c>
    </row>
    <row r="21" spans="2:6">
      <c r="B21" s="317" t="s">
        <v>144</v>
      </c>
      <c r="C21" s="322">
        <f>매출2012!E48</f>
        <v>43790910</v>
      </c>
      <c r="D21" s="322">
        <f>매출2013!E51</f>
        <v>46130555</v>
      </c>
      <c r="E21" s="322">
        <f>매출2014!E53</f>
        <v>58717920</v>
      </c>
      <c r="F21" s="323"/>
    </row>
    <row r="22" spans="2:6">
      <c r="B22" s="317" t="s">
        <v>153</v>
      </c>
      <c r="C22" s="322">
        <f>매출2012!E87</f>
        <v>58970433</v>
      </c>
      <c r="D22" s="322">
        <f>매출2013!E88</f>
        <v>869646247</v>
      </c>
      <c r="E22" s="322">
        <f>매출2014!E95</f>
        <v>7108061599</v>
      </c>
      <c r="F22" s="323"/>
    </row>
    <row r="23" spans="2:6">
      <c r="B23" s="318" t="s">
        <v>312</v>
      </c>
      <c r="C23" s="324">
        <f t="shared" ref="C23:F23" si="5">SUM(C24:C25)</f>
        <v>1392993530</v>
      </c>
      <c r="D23" s="324">
        <f t="shared" si="5"/>
        <v>2798293845</v>
      </c>
      <c r="E23" s="324">
        <f t="shared" si="5"/>
        <v>5474787345</v>
      </c>
      <c r="F23" s="325">
        <f t="shared" si="5"/>
        <v>0</v>
      </c>
    </row>
    <row r="24" spans="2:6">
      <c r="B24" s="317" t="s">
        <v>144</v>
      </c>
      <c r="C24" s="322">
        <f>매출2012!E51</f>
        <v>20776377</v>
      </c>
      <c r="D24" s="322">
        <v>0</v>
      </c>
      <c r="E24" s="322">
        <f>매출2014!E54</f>
        <v>2000000</v>
      </c>
      <c r="F24" s="323"/>
    </row>
    <row r="25" spans="2:6">
      <c r="B25" s="319" t="s">
        <v>153</v>
      </c>
      <c r="C25" s="326">
        <f>매출2012!E90</f>
        <v>1372217153</v>
      </c>
      <c r="D25" s="326">
        <f>매출2013!E87</f>
        <v>2798293845</v>
      </c>
      <c r="E25" s="326">
        <f>매출2014!E96</f>
        <v>5472787345</v>
      </c>
      <c r="F25" s="327"/>
    </row>
    <row r="26" spans="2:6" ht="12" thickBot="1">
      <c r="B26" s="19" t="s">
        <v>35</v>
      </c>
      <c r="C26" s="328">
        <f>C20+C23</f>
        <v>1495754873</v>
      </c>
      <c r="D26" s="328">
        <f>D20+D23</f>
        <v>3714070647</v>
      </c>
      <c r="E26" s="328">
        <f>E20+E23</f>
        <v>12641566864</v>
      </c>
      <c r="F26" s="336">
        <f>F20+F23</f>
        <v>0</v>
      </c>
    </row>
    <row r="27" spans="2:6">
      <c r="C27" s="329"/>
      <c r="D27" s="329"/>
      <c r="E27" s="329"/>
      <c r="F27" s="329"/>
    </row>
    <row r="28" spans="2:6">
      <c r="B28" s="1" t="s">
        <v>144</v>
      </c>
      <c r="C28" s="329">
        <f>C21+C24</f>
        <v>64567287</v>
      </c>
      <c r="D28" s="329">
        <f t="shared" ref="D28:F28" si="6">D21+D24</f>
        <v>46130555</v>
      </c>
      <c r="E28" s="329">
        <f t="shared" si="6"/>
        <v>60717920</v>
      </c>
      <c r="F28" s="329">
        <f t="shared" si="6"/>
        <v>0</v>
      </c>
    </row>
    <row r="29" spans="2:6">
      <c r="B29" s="1" t="s">
        <v>153</v>
      </c>
      <c r="C29" s="329">
        <f>C22+C25</f>
        <v>1431187586</v>
      </c>
      <c r="D29" s="329">
        <f t="shared" ref="D29:F29" si="7">D22+D25</f>
        <v>3667940092</v>
      </c>
      <c r="E29" s="329">
        <f t="shared" si="7"/>
        <v>12580848944</v>
      </c>
      <c r="F29" s="329">
        <f t="shared" si="7"/>
        <v>0</v>
      </c>
    </row>
    <row r="31" spans="2:6">
      <c r="B31" s="1" t="s">
        <v>313</v>
      </c>
    </row>
    <row r="32" spans="2:6" ht="19.5" customHeight="1">
      <c r="B32" s="43" t="s">
        <v>314</v>
      </c>
      <c r="C32" s="44"/>
      <c r="D32" s="44"/>
      <c r="E32" s="44"/>
      <c r="F32" s="45"/>
    </row>
    <row r="33" spans="2:6">
      <c r="B33" s="46"/>
      <c r="C33" s="47" t="s">
        <v>77</v>
      </c>
      <c r="D33" s="47" t="s">
        <v>78</v>
      </c>
      <c r="E33" s="47" t="s">
        <v>79</v>
      </c>
      <c r="F33" s="12" t="s">
        <v>80</v>
      </c>
    </row>
    <row r="34" spans="2:6">
      <c r="B34" s="13" t="s">
        <v>83</v>
      </c>
      <c r="C34" s="14" t="s">
        <v>84</v>
      </c>
      <c r="D34" s="14" t="s">
        <v>84</v>
      </c>
      <c r="E34" s="14" t="s">
        <v>84</v>
      </c>
      <c r="F34" s="15" t="s">
        <v>85</v>
      </c>
    </row>
    <row r="35" spans="2:6">
      <c r="B35" s="316" t="s">
        <v>144</v>
      </c>
      <c r="C35" s="331">
        <f>SUM(C36:C40)</f>
        <v>64567287</v>
      </c>
      <c r="D35" s="331">
        <f t="shared" ref="D35:F35" si="8">SUM(D36:D40)</f>
        <v>46130555</v>
      </c>
      <c r="E35" s="331">
        <f t="shared" si="8"/>
        <v>60717920</v>
      </c>
      <c r="F35" s="332">
        <f t="shared" si="8"/>
        <v>29171760</v>
      </c>
    </row>
    <row r="36" spans="2:6">
      <c r="B36" s="317" t="s">
        <v>315</v>
      </c>
      <c r="C36" s="115">
        <v>24008200</v>
      </c>
      <c r="D36" s="115">
        <v>3096300</v>
      </c>
      <c r="E36" s="115">
        <v>9784860</v>
      </c>
      <c r="F36" s="333">
        <v>26151290</v>
      </c>
    </row>
    <row r="37" spans="2:6">
      <c r="B37" s="317" t="s">
        <v>316</v>
      </c>
      <c r="C37" s="115">
        <v>14732390</v>
      </c>
      <c r="D37" s="115">
        <v>0</v>
      </c>
      <c r="E37" s="115">
        <v>0</v>
      </c>
      <c r="F37" s="333">
        <v>0</v>
      </c>
    </row>
    <row r="38" spans="2:6">
      <c r="B38" s="317" t="s">
        <v>317</v>
      </c>
      <c r="C38" s="115">
        <v>5050320</v>
      </c>
      <c r="D38" s="115">
        <v>43034255</v>
      </c>
      <c r="E38" s="115">
        <v>48933060</v>
      </c>
      <c r="F38" s="333">
        <v>3020470</v>
      </c>
    </row>
    <row r="39" spans="2:6">
      <c r="B39" s="317" t="s">
        <v>318</v>
      </c>
      <c r="C39" s="115">
        <v>20776377</v>
      </c>
      <c r="D39" s="115">
        <v>0</v>
      </c>
      <c r="E39" s="115">
        <v>0</v>
      </c>
      <c r="F39" s="333">
        <v>0</v>
      </c>
    </row>
    <row r="40" spans="2:6">
      <c r="B40" s="317" t="s">
        <v>319</v>
      </c>
      <c r="C40" s="115">
        <v>0</v>
      </c>
      <c r="D40" s="115">
        <v>0</v>
      </c>
      <c r="E40" s="115">
        <v>2000000</v>
      </c>
      <c r="F40" s="333">
        <v>0</v>
      </c>
    </row>
    <row r="41" spans="2:6">
      <c r="B41" s="318" t="s">
        <v>153</v>
      </c>
      <c r="C41" s="330">
        <f>SUM(C42:C46)</f>
        <v>1431187586</v>
      </c>
      <c r="D41" s="330">
        <f t="shared" ref="D41:F41" si="9">SUM(D42:D46)</f>
        <v>3667940093</v>
      </c>
      <c r="E41" s="330">
        <f t="shared" si="9"/>
        <v>12580848944</v>
      </c>
      <c r="F41" s="334">
        <f t="shared" si="9"/>
        <v>2895443620</v>
      </c>
    </row>
    <row r="42" spans="2:6">
      <c r="B42" s="420" t="s">
        <v>320</v>
      </c>
      <c r="C42" s="421">
        <v>677941406</v>
      </c>
      <c r="D42" s="421">
        <v>1195014226</v>
      </c>
      <c r="E42" s="421">
        <v>1810593624</v>
      </c>
      <c r="F42" s="422">
        <v>233740872</v>
      </c>
    </row>
    <row r="43" spans="2:6">
      <c r="B43" s="420" t="s">
        <v>321</v>
      </c>
      <c r="C43" s="421">
        <v>171799565</v>
      </c>
      <c r="D43" s="421">
        <v>1343767423</v>
      </c>
      <c r="E43" s="421">
        <v>4558938731</v>
      </c>
      <c r="F43" s="422">
        <v>653446974</v>
      </c>
    </row>
    <row r="44" spans="2:6">
      <c r="B44" s="420" t="s">
        <v>322</v>
      </c>
      <c r="C44" s="421">
        <v>283746615</v>
      </c>
      <c r="D44" s="421">
        <v>1129158444</v>
      </c>
      <c r="E44" s="421">
        <v>4701060529</v>
      </c>
      <c r="F44" s="422">
        <v>1003486342</v>
      </c>
    </row>
    <row r="45" spans="2:6">
      <c r="B45" s="317" t="s">
        <v>323</v>
      </c>
      <c r="C45" s="115">
        <v>297700000</v>
      </c>
      <c r="D45" s="115">
        <v>0</v>
      </c>
      <c r="E45" s="115">
        <v>0</v>
      </c>
      <c r="F45" s="333">
        <v>0</v>
      </c>
    </row>
    <row r="46" spans="2:6">
      <c r="B46" s="319" t="s">
        <v>324</v>
      </c>
      <c r="C46" s="135">
        <v>0</v>
      </c>
      <c r="D46" s="135">
        <v>0</v>
      </c>
      <c r="E46" s="135">
        <v>1510256060</v>
      </c>
      <c r="F46" s="335">
        <v>1004769432</v>
      </c>
    </row>
    <row r="47" spans="2:6" ht="12" thickBot="1">
      <c r="B47" s="19" t="s">
        <v>35</v>
      </c>
      <c r="C47" s="25">
        <f>C35+C41</f>
        <v>1495754873</v>
      </c>
      <c r="D47" s="25">
        <f t="shared" ref="D47:F47" si="10">D35+D41</f>
        <v>3714070648</v>
      </c>
      <c r="E47" s="25">
        <f t="shared" si="10"/>
        <v>12641566864</v>
      </c>
      <c r="F47" s="25">
        <f t="shared" si="10"/>
        <v>2924615380</v>
      </c>
    </row>
    <row r="48" spans="2:6">
      <c r="C48" s="69"/>
      <c r="D48" s="69"/>
      <c r="E48" s="69"/>
      <c r="F48" s="69"/>
    </row>
    <row r="49" spans="2:6">
      <c r="C49" s="69"/>
      <c r="D49" s="69"/>
      <c r="E49" s="69"/>
      <c r="F49" s="69"/>
    </row>
    <row r="50" spans="2:6">
      <c r="B50" s="59" t="s">
        <v>325</v>
      </c>
      <c r="C50" s="31">
        <f>SUM(C42:C44)</f>
        <v>1133487586</v>
      </c>
      <c r="D50" s="31">
        <f t="shared" ref="D50:F50" si="11">SUM(D42:D44)</f>
        <v>3667940093</v>
      </c>
      <c r="E50" s="31">
        <f t="shared" si="11"/>
        <v>11070592884</v>
      </c>
      <c r="F50" s="32">
        <f t="shared" si="11"/>
        <v>1890674188</v>
      </c>
    </row>
    <row r="51" spans="2:6">
      <c r="B51" s="337" t="s">
        <v>326</v>
      </c>
      <c r="C51" s="338">
        <f>C50/C47</f>
        <v>0.75780303742323163</v>
      </c>
      <c r="D51" s="338">
        <f t="shared" ref="D51:F51" si="12">D50/D47</f>
        <v>0.98757951601571148</v>
      </c>
      <c r="E51" s="338">
        <f t="shared" si="12"/>
        <v>0.87572948852774424</v>
      </c>
      <c r="F51" s="339">
        <f t="shared" si="12"/>
        <v>0.64646934462883121</v>
      </c>
    </row>
  </sheetData>
  <phoneticPr fontId="3" type="noConversion"/>
  <pageMargins left="0.7" right="0.7" top="0.75" bottom="0.75" header="0.3" footer="0.3"/>
  <ignoredErrors>
    <ignoredError sqref="C50:F5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109"/>
  <sheetViews>
    <sheetView showGridLines="0" topLeftCell="A25" workbookViewId="0">
      <selection activeCell="C1" sqref="C1:F1048576"/>
    </sheetView>
  </sheetViews>
  <sheetFormatPr defaultRowHeight="11.25"/>
  <cols>
    <col min="1" max="1" width="9" style="5"/>
    <col min="2" max="2" width="17.75" style="5" customWidth="1"/>
    <col min="3" max="6" width="7.625" style="5" customWidth="1"/>
    <col min="7" max="16384" width="9" style="5"/>
  </cols>
  <sheetData>
    <row r="2" spans="2:6">
      <c r="B2" s="1" t="s">
        <v>313</v>
      </c>
      <c r="C2" s="1"/>
      <c r="D2" s="1"/>
      <c r="E2" s="1"/>
      <c r="F2" s="1"/>
    </row>
    <row r="3" spans="2:6" ht="19.5" customHeight="1">
      <c r="B3" s="7" t="s">
        <v>327</v>
      </c>
      <c r="C3" s="8"/>
      <c r="D3" s="8"/>
      <c r="E3" s="8"/>
      <c r="F3" s="9"/>
    </row>
    <row r="4" spans="2:6" ht="12" customHeight="1">
      <c r="B4" s="10"/>
      <c r="C4" s="11" t="s">
        <v>77</v>
      </c>
      <c r="D4" s="11" t="s">
        <v>78</v>
      </c>
      <c r="E4" s="11" t="s">
        <v>79</v>
      </c>
      <c r="F4" s="12" t="s">
        <v>80</v>
      </c>
    </row>
    <row r="5" spans="2:6" ht="12" customHeight="1">
      <c r="B5" s="13" t="s">
        <v>83</v>
      </c>
      <c r="C5" s="14" t="s">
        <v>84</v>
      </c>
      <c r="D5" s="14" t="s">
        <v>84</v>
      </c>
      <c r="E5" s="14" t="s">
        <v>84</v>
      </c>
      <c r="F5" s="15" t="s">
        <v>85</v>
      </c>
    </row>
    <row r="6" spans="2:6" ht="12" customHeight="1">
      <c r="B6" s="10" t="s">
        <v>144</v>
      </c>
      <c r="C6" s="11"/>
      <c r="D6" s="11"/>
      <c r="E6" s="11"/>
      <c r="F6" s="12"/>
    </row>
    <row r="7" spans="2:6">
      <c r="B7" s="343" t="s">
        <v>328</v>
      </c>
      <c r="C7" s="322">
        <v>8200000</v>
      </c>
      <c r="D7" s="322">
        <v>0</v>
      </c>
      <c r="E7" s="322">
        <v>0</v>
      </c>
      <c r="F7" s="323">
        <v>0</v>
      </c>
    </row>
    <row r="8" spans="2:6">
      <c r="B8" s="343" t="s">
        <v>329</v>
      </c>
      <c r="C8" s="322">
        <v>525229</v>
      </c>
      <c r="D8" s="322">
        <v>0</v>
      </c>
      <c r="E8" s="322">
        <v>0</v>
      </c>
      <c r="F8" s="323">
        <v>0</v>
      </c>
    </row>
    <row r="9" spans="2:6">
      <c r="B9" s="343" t="s">
        <v>330</v>
      </c>
      <c r="C9" s="322">
        <v>-3683</v>
      </c>
      <c r="D9" s="322">
        <v>0</v>
      </c>
      <c r="E9" s="322">
        <v>0</v>
      </c>
      <c r="F9" s="323">
        <v>0</v>
      </c>
    </row>
    <row r="10" spans="2:6">
      <c r="B10" s="343" t="s">
        <v>331</v>
      </c>
      <c r="C10" s="322">
        <v>2538331</v>
      </c>
      <c r="D10" s="322">
        <v>0</v>
      </c>
      <c r="E10" s="322">
        <v>0</v>
      </c>
      <c r="F10" s="323">
        <v>0</v>
      </c>
    </row>
    <row r="11" spans="2:6">
      <c r="B11" s="343" t="s">
        <v>332</v>
      </c>
      <c r="C11" s="322">
        <v>36217954</v>
      </c>
      <c r="D11" s="322">
        <v>0</v>
      </c>
      <c r="E11" s="322">
        <v>0</v>
      </c>
      <c r="F11" s="323">
        <v>0</v>
      </c>
    </row>
    <row r="12" spans="2:6">
      <c r="B12" s="343" t="s">
        <v>333</v>
      </c>
      <c r="C12" s="322">
        <v>22629842</v>
      </c>
      <c r="D12" s="322">
        <v>0</v>
      </c>
      <c r="E12" s="322">
        <v>0</v>
      </c>
      <c r="F12" s="323">
        <v>0</v>
      </c>
    </row>
    <row r="13" spans="2:6" ht="12" customHeight="1">
      <c r="B13" s="343" t="s">
        <v>334</v>
      </c>
      <c r="C13" s="322">
        <v>24100</v>
      </c>
      <c r="D13" s="322">
        <v>0</v>
      </c>
      <c r="E13" s="322">
        <v>0</v>
      </c>
      <c r="F13" s="323">
        <v>0</v>
      </c>
    </row>
    <row r="14" spans="2:6" ht="12" customHeight="1">
      <c r="B14" s="343" t="s">
        <v>335</v>
      </c>
      <c r="C14" s="322">
        <v>5775000</v>
      </c>
      <c r="D14" s="322">
        <v>0</v>
      </c>
      <c r="E14" s="322">
        <v>0</v>
      </c>
      <c r="F14" s="323">
        <v>0</v>
      </c>
    </row>
    <row r="15" spans="2:6" ht="12" customHeight="1">
      <c r="B15" s="343" t="s">
        <v>336</v>
      </c>
      <c r="C15" s="322">
        <v>0</v>
      </c>
      <c r="D15" s="322">
        <v>1137983</v>
      </c>
      <c r="E15" s="322">
        <v>0</v>
      </c>
      <c r="F15" s="323">
        <v>0</v>
      </c>
    </row>
    <row r="16" spans="2:6" ht="12" customHeight="1">
      <c r="B16" s="343" t="s">
        <v>337</v>
      </c>
      <c r="C16" s="322">
        <v>0</v>
      </c>
      <c r="D16" s="322">
        <v>12529366</v>
      </c>
      <c r="E16" s="322">
        <v>0</v>
      </c>
      <c r="F16" s="323">
        <v>0</v>
      </c>
    </row>
    <row r="17" spans="2:8" ht="12" customHeight="1">
      <c r="B17" s="343" t="s">
        <v>332</v>
      </c>
      <c r="C17" s="322">
        <v>0</v>
      </c>
      <c r="D17" s="322">
        <v>0</v>
      </c>
      <c r="E17" s="322">
        <v>14209609</v>
      </c>
      <c r="F17" s="323">
        <v>0</v>
      </c>
    </row>
    <row r="18" spans="2:8" ht="12" customHeight="1">
      <c r="B18" s="343" t="s">
        <v>338</v>
      </c>
      <c r="C18" s="322">
        <v>0</v>
      </c>
      <c r="D18" s="322">
        <v>0</v>
      </c>
      <c r="E18" s="322">
        <v>4069650</v>
      </c>
      <c r="F18" s="323">
        <v>0</v>
      </c>
    </row>
    <row r="19" spans="2:8" ht="12" customHeight="1">
      <c r="B19" s="343" t="s">
        <v>339</v>
      </c>
      <c r="C19" s="322">
        <v>0</v>
      </c>
      <c r="D19" s="322">
        <v>0</v>
      </c>
      <c r="E19" s="322">
        <v>0</v>
      </c>
      <c r="F19" s="323">
        <v>2050000</v>
      </c>
    </row>
    <row r="20" spans="2:8" ht="12" customHeight="1">
      <c r="B20" s="340" t="s">
        <v>340</v>
      </c>
      <c r="C20" s="341">
        <f>SUM(C7:C19)</f>
        <v>75906773</v>
      </c>
      <c r="D20" s="341">
        <f t="shared" ref="D20:F20" si="0">SUM(D7:D19)</f>
        <v>13667349</v>
      </c>
      <c r="E20" s="341">
        <f t="shared" si="0"/>
        <v>18279259</v>
      </c>
      <c r="F20" s="342">
        <f t="shared" si="0"/>
        <v>2050000</v>
      </c>
    </row>
    <row r="21" spans="2:8" ht="12" customHeight="1">
      <c r="B21" s="10" t="s">
        <v>153</v>
      </c>
      <c r="C21" s="11"/>
      <c r="D21" s="11"/>
      <c r="E21" s="11"/>
      <c r="F21" s="12"/>
    </row>
    <row r="22" spans="2:8" ht="12" customHeight="1">
      <c r="B22" s="423" t="s">
        <v>341</v>
      </c>
      <c r="C22" s="418">
        <v>3232844833</v>
      </c>
      <c r="D22" s="418">
        <v>8397951043</v>
      </c>
      <c r="E22" s="418">
        <v>12448064293</v>
      </c>
      <c r="F22" s="419">
        <v>7939098393</v>
      </c>
      <c r="H22" s="5" t="s">
        <v>310</v>
      </c>
    </row>
    <row r="23" spans="2:8" ht="12" customHeight="1">
      <c r="B23" s="423" t="s">
        <v>342</v>
      </c>
      <c r="C23" s="418">
        <v>2764595971</v>
      </c>
      <c r="D23" s="418">
        <v>3797321233</v>
      </c>
      <c r="E23" s="418">
        <v>4918770623</v>
      </c>
      <c r="F23" s="419">
        <v>3315809552</v>
      </c>
    </row>
    <row r="24" spans="2:8" ht="12" customHeight="1">
      <c r="B24" s="423" t="s">
        <v>343</v>
      </c>
      <c r="C24" s="418">
        <v>1527760382</v>
      </c>
      <c r="D24" s="418">
        <v>944112872</v>
      </c>
      <c r="E24" s="418">
        <v>1418610592</v>
      </c>
      <c r="F24" s="419">
        <v>1036099605</v>
      </c>
    </row>
    <row r="25" spans="2:8" ht="12" customHeight="1">
      <c r="B25" s="343" t="s">
        <v>344</v>
      </c>
      <c r="C25" s="322">
        <v>128676000</v>
      </c>
      <c r="D25" s="322">
        <v>0</v>
      </c>
      <c r="E25" s="322">
        <v>0</v>
      </c>
      <c r="F25" s="323">
        <v>0</v>
      </c>
    </row>
    <row r="26" spans="2:8" ht="12" customHeight="1">
      <c r="B26" s="343" t="s">
        <v>345</v>
      </c>
      <c r="C26" s="322">
        <v>31358975</v>
      </c>
      <c r="D26" s="322">
        <v>0</v>
      </c>
      <c r="E26" s="322">
        <v>0</v>
      </c>
      <c r="F26" s="323">
        <v>0</v>
      </c>
    </row>
    <row r="27" spans="2:8" ht="12" customHeight="1">
      <c r="B27" s="344" t="s">
        <v>176</v>
      </c>
      <c r="C27" s="326">
        <v>-31926300</v>
      </c>
      <c r="D27" s="326">
        <v>2092366000</v>
      </c>
      <c r="E27" s="326">
        <v>4530542000</v>
      </c>
      <c r="F27" s="327">
        <v>1369108000</v>
      </c>
    </row>
    <row r="28" spans="2:8" ht="12" customHeight="1">
      <c r="B28" s="340" t="s">
        <v>340</v>
      </c>
      <c r="C28" s="341">
        <f>SUM(C22:C27)</f>
        <v>7653309861</v>
      </c>
      <c r="D28" s="341">
        <f t="shared" ref="D28:F28" si="1">SUM(D22:D27)</f>
        <v>15231751148</v>
      </c>
      <c r="E28" s="341">
        <f t="shared" si="1"/>
        <v>23315987508</v>
      </c>
      <c r="F28" s="341">
        <f t="shared" si="1"/>
        <v>13660115550</v>
      </c>
    </row>
    <row r="29" spans="2:8" ht="12" customHeight="1" thickBot="1">
      <c r="B29" s="19" t="s">
        <v>35</v>
      </c>
      <c r="C29" s="267">
        <f>C20+C28</f>
        <v>7729216634</v>
      </c>
      <c r="D29" s="267">
        <f t="shared" ref="D29:E29" si="2">D20+D28</f>
        <v>15245418497</v>
      </c>
      <c r="E29" s="267">
        <f t="shared" si="2"/>
        <v>23334266767</v>
      </c>
      <c r="F29" s="268">
        <f>F20+F28</f>
        <v>13662165550</v>
      </c>
    </row>
    <row r="30" spans="2:8" ht="12" customHeight="1">
      <c r="C30" s="69"/>
      <c r="D30" s="69"/>
      <c r="E30" s="69"/>
      <c r="F30" s="69"/>
    </row>
    <row r="31" spans="2:8" ht="12" customHeight="1">
      <c r="B31" s="311" t="s">
        <v>325</v>
      </c>
      <c r="C31" s="345">
        <f>SUM(C22:C24)</f>
        <v>7525201186</v>
      </c>
      <c r="D31" s="345">
        <f t="shared" ref="D31:F31" si="3">SUM(D22:D24)</f>
        <v>13139385148</v>
      </c>
      <c r="E31" s="345">
        <f t="shared" si="3"/>
        <v>18785445508</v>
      </c>
      <c r="F31" s="346">
        <f t="shared" si="3"/>
        <v>12291007550</v>
      </c>
    </row>
    <row r="32" spans="2:8" ht="12" customHeight="1">
      <c r="B32" s="315" t="s">
        <v>346</v>
      </c>
      <c r="C32" s="347">
        <f>C31/C29</f>
        <v>0.97360464097971355</v>
      </c>
      <c r="D32" s="347">
        <f t="shared" ref="D32:F32" si="4">D31/D29</f>
        <v>0.86185795100249785</v>
      </c>
      <c r="E32" s="347">
        <f t="shared" si="4"/>
        <v>0.8050583159770387</v>
      </c>
      <c r="F32" s="348">
        <f t="shared" si="4"/>
        <v>0.89963831173162734</v>
      </c>
    </row>
    <row r="33" spans="2:6" ht="12" customHeight="1"/>
    <row r="34" spans="2:6" ht="12" customHeight="1"/>
    <row r="35" spans="2:6" ht="12" customHeight="1">
      <c r="B35" s="5" t="s">
        <v>310</v>
      </c>
    </row>
    <row r="36" spans="2:6" ht="12" customHeight="1"/>
    <row r="37" spans="2:6" ht="12" customHeight="1"/>
    <row r="38" spans="2:6" ht="19.5" customHeight="1">
      <c r="B38" s="7" t="s">
        <v>347</v>
      </c>
      <c r="C38" s="8"/>
      <c r="D38" s="8"/>
      <c r="E38" s="8"/>
      <c r="F38" s="9"/>
    </row>
    <row r="39" spans="2:6" ht="12" customHeight="1">
      <c r="B39" s="10"/>
      <c r="C39" s="11" t="s">
        <v>77</v>
      </c>
      <c r="D39" s="11" t="s">
        <v>78</v>
      </c>
      <c r="E39" s="11" t="s">
        <v>79</v>
      </c>
      <c r="F39" s="12" t="s">
        <v>80</v>
      </c>
    </row>
    <row r="40" spans="2:6" ht="12" customHeight="1">
      <c r="B40" s="13" t="s">
        <v>83</v>
      </c>
      <c r="C40" s="14" t="s">
        <v>84</v>
      </c>
      <c r="D40" s="14" t="s">
        <v>84</v>
      </c>
      <c r="E40" s="14" t="s">
        <v>84</v>
      </c>
      <c r="F40" s="15" t="s">
        <v>85</v>
      </c>
    </row>
    <row r="41" spans="2:6" ht="12" customHeight="1">
      <c r="B41" s="255" t="s">
        <v>169</v>
      </c>
      <c r="C41" s="256">
        <v>0</v>
      </c>
      <c r="D41" s="256">
        <v>6868222586</v>
      </c>
      <c r="E41" s="256">
        <v>11094937572</v>
      </c>
      <c r="F41" s="257">
        <v>3631721911</v>
      </c>
    </row>
    <row r="42" spans="2:6" ht="12" customHeight="1">
      <c r="B42" s="258" t="s">
        <v>171</v>
      </c>
      <c r="C42" s="259">
        <v>0</v>
      </c>
      <c r="D42" s="259">
        <v>1139444118</v>
      </c>
      <c r="E42" s="259">
        <v>1430221669</v>
      </c>
      <c r="F42" s="260">
        <v>176840000</v>
      </c>
    </row>
    <row r="43" spans="2:6" ht="12" customHeight="1">
      <c r="B43" s="254" t="s">
        <v>172</v>
      </c>
      <c r="C43" s="219">
        <v>0</v>
      </c>
      <c r="D43" s="219">
        <v>0</v>
      </c>
      <c r="E43" s="219">
        <v>0</v>
      </c>
      <c r="F43" s="220">
        <v>4320505938</v>
      </c>
    </row>
    <row r="44" spans="2:6" ht="12" customHeight="1">
      <c r="B44" s="106" t="s">
        <v>174</v>
      </c>
      <c r="C44" s="23">
        <v>7729216634</v>
      </c>
      <c r="D44" s="23">
        <v>15245418497</v>
      </c>
      <c r="E44" s="23">
        <v>23334266767</v>
      </c>
      <c r="F44" s="24">
        <v>13662165550</v>
      </c>
    </row>
    <row r="45" spans="2:6" ht="12" customHeight="1"/>
    <row r="46" spans="2:6" ht="12" customHeight="1"/>
    <row r="47" spans="2:6" ht="12" customHeight="1">
      <c r="B47" s="407" t="s">
        <v>348</v>
      </c>
      <c r="C47" s="408">
        <v>2731350327</v>
      </c>
      <c r="D47" s="408">
        <v>4116265656</v>
      </c>
      <c r="E47" s="408">
        <v>6524290406</v>
      </c>
      <c r="F47" s="409">
        <v>4320505938</v>
      </c>
    </row>
    <row r="48" spans="2:6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</sheetData>
  <phoneticPr fontId="3" type="noConversion"/>
  <pageMargins left="0.7" right="0.7" top="0.75" bottom="0.75" header="0.3" footer="0.3"/>
  <ignoredErrors>
    <ignoredError sqref="C31:G3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M568"/>
  <sheetViews>
    <sheetView showGridLines="0" topLeftCell="AS1" zoomScaleNormal="100" workbookViewId="0">
      <selection activeCell="BB5" sqref="BB5:BE5"/>
    </sheetView>
  </sheetViews>
  <sheetFormatPr defaultRowHeight="11.25" outlineLevelCol="1"/>
  <cols>
    <col min="1" max="2" width="9" style="1"/>
    <col min="3" max="6" width="7.125" style="1" customWidth="1"/>
    <col min="7" max="8" width="9" style="1"/>
    <col min="9" max="12" width="7.125" style="1" customWidth="1"/>
    <col min="13" max="13" width="9" style="406"/>
    <col min="14" max="14" width="4" style="94" customWidth="1"/>
    <col min="15" max="16" width="9" style="1"/>
    <col min="17" max="20" width="7.125" style="1" customWidth="1"/>
    <col min="21" max="22" width="9" style="1"/>
    <col min="23" max="26" width="7.125" style="1" customWidth="1"/>
    <col min="27" max="27" width="9" style="406"/>
    <col min="28" max="28" width="9" style="1"/>
    <col min="29" max="29" width="15.625" style="16" customWidth="1"/>
    <col min="30" max="33" width="12.75" style="16" customWidth="1" outlineLevel="1"/>
    <col min="34" max="35" width="11.875" style="16" customWidth="1" outlineLevel="1"/>
    <col min="36" max="36" width="7.125" style="16" customWidth="1" outlineLevel="1"/>
    <col min="37" max="37" width="8.25" style="16" customWidth="1" outlineLevel="1"/>
    <col min="38" max="53" width="11.875" style="16" customWidth="1" outlineLevel="1"/>
    <col min="54" max="55" width="11.125" style="16" customWidth="1" outlineLevel="1"/>
    <col min="56" max="56" width="11.875" style="16" customWidth="1" outlineLevel="1"/>
    <col min="57" max="57" width="11.125" style="16" customWidth="1" outlineLevel="1"/>
    <col min="58" max="61" width="12.75" style="16" bestFit="1" customWidth="1"/>
    <col min="62" max="16384" width="9" style="1"/>
  </cols>
  <sheetData>
    <row r="2" spans="2:65">
      <c r="E2" s="16">
        <f>E7-C7</f>
        <v>56102810554</v>
      </c>
      <c r="S2" s="16">
        <f>S7-Q7</f>
        <v>56168083646</v>
      </c>
    </row>
    <row r="3" spans="2:65">
      <c r="AC3" s="453" t="s">
        <v>349</v>
      </c>
      <c r="AD3" s="431" t="s">
        <v>350</v>
      </c>
      <c r="AE3" s="431" t="s">
        <v>351</v>
      </c>
      <c r="AF3" s="431" t="s">
        <v>352</v>
      </c>
      <c r="AG3" s="431" t="s">
        <v>353</v>
      </c>
      <c r="AH3" s="431" t="s">
        <v>350</v>
      </c>
      <c r="AI3" s="431" t="s">
        <v>351</v>
      </c>
      <c r="AJ3" s="431" t="s">
        <v>352</v>
      </c>
      <c r="AK3" s="431" t="s">
        <v>353</v>
      </c>
      <c r="AL3" s="431" t="s">
        <v>350</v>
      </c>
      <c r="AM3" s="431" t="s">
        <v>351</v>
      </c>
      <c r="AN3" s="431" t="s">
        <v>352</v>
      </c>
      <c r="AO3" s="431" t="s">
        <v>353</v>
      </c>
      <c r="AP3" s="431" t="s">
        <v>350</v>
      </c>
      <c r="AQ3" s="431" t="s">
        <v>351</v>
      </c>
      <c r="AR3" s="431" t="s">
        <v>352</v>
      </c>
      <c r="AS3" s="431" t="s">
        <v>353</v>
      </c>
      <c r="AT3" s="431" t="s">
        <v>350</v>
      </c>
      <c r="AU3" s="431" t="s">
        <v>351</v>
      </c>
      <c r="AV3" s="431" t="s">
        <v>352</v>
      </c>
      <c r="AW3" s="431" t="s">
        <v>353</v>
      </c>
      <c r="AX3" s="431" t="s">
        <v>350</v>
      </c>
      <c r="AY3" s="431" t="s">
        <v>351</v>
      </c>
      <c r="AZ3" s="431" t="s">
        <v>352</v>
      </c>
      <c r="BA3" s="431" t="s">
        <v>353</v>
      </c>
      <c r="BB3" s="431" t="s">
        <v>350</v>
      </c>
      <c r="BC3" s="431" t="s">
        <v>351</v>
      </c>
      <c r="BD3" s="431" t="s">
        <v>352</v>
      </c>
      <c r="BE3" s="431" t="s">
        <v>353</v>
      </c>
      <c r="BF3" s="431" t="s">
        <v>350</v>
      </c>
      <c r="BG3" s="431" t="s">
        <v>351</v>
      </c>
      <c r="BH3" s="431" t="s">
        <v>352</v>
      </c>
      <c r="BI3" s="431" t="s">
        <v>353</v>
      </c>
    </row>
    <row r="4" spans="2:65" ht="19.5" customHeight="1">
      <c r="B4" s="43" t="s">
        <v>354</v>
      </c>
      <c r="C4" s="44"/>
      <c r="D4" s="44"/>
      <c r="E4" s="44"/>
      <c r="F4" s="45"/>
      <c r="H4" s="43" t="s">
        <v>355</v>
      </c>
      <c r="I4" s="44"/>
      <c r="J4" s="44"/>
      <c r="K4" s="44"/>
      <c r="L4" s="45"/>
      <c r="P4" s="43" t="s">
        <v>356</v>
      </c>
      <c r="Q4" s="44"/>
      <c r="R4" s="44"/>
      <c r="S4" s="44"/>
      <c r="T4" s="45"/>
      <c r="V4" s="43" t="s">
        <v>357</v>
      </c>
      <c r="W4" s="44"/>
      <c r="X4" s="44"/>
      <c r="Y4" s="44"/>
      <c r="Z4" s="45"/>
      <c r="AC4" s="453"/>
      <c r="AD4" s="71" t="s">
        <v>38</v>
      </c>
      <c r="AE4" s="71" t="s">
        <v>38</v>
      </c>
      <c r="AF4" s="71" t="s">
        <v>38</v>
      </c>
      <c r="AG4" s="71" t="s">
        <v>38</v>
      </c>
      <c r="AH4" s="71" t="s">
        <v>358</v>
      </c>
      <c r="AI4" s="71" t="s">
        <v>358</v>
      </c>
      <c r="AJ4" s="71" t="s">
        <v>39</v>
      </c>
      <c r="AK4" s="71" t="s">
        <v>39</v>
      </c>
      <c r="AL4" s="71" t="s">
        <v>40</v>
      </c>
      <c r="AM4" s="71" t="s">
        <v>40</v>
      </c>
      <c r="AN4" s="71" t="s">
        <v>40</v>
      </c>
      <c r="AO4" s="71" t="s">
        <v>40</v>
      </c>
      <c r="AP4" s="71" t="s">
        <v>41</v>
      </c>
      <c r="AQ4" s="71" t="s">
        <v>41</v>
      </c>
      <c r="AR4" s="71" t="s">
        <v>41</v>
      </c>
      <c r="AS4" s="71" t="s">
        <v>41</v>
      </c>
      <c r="AT4" s="71" t="s">
        <v>42</v>
      </c>
      <c r="AU4" s="71" t="s">
        <v>42</v>
      </c>
      <c r="AV4" s="71" t="s">
        <v>42</v>
      </c>
      <c r="AW4" s="71" t="s">
        <v>42</v>
      </c>
      <c r="AX4" s="71" t="s">
        <v>43</v>
      </c>
      <c r="AY4" s="71" t="s">
        <v>43</v>
      </c>
      <c r="AZ4" s="71" t="s">
        <v>43</v>
      </c>
      <c r="BA4" s="71" t="s">
        <v>43</v>
      </c>
      <c r="BB4" s="71" t="s">
        <v>359</v>
      </c>
      <c r="BC4" s="71" t="s">
        <v>359</v>
      </c>
      <c r="BD4" s="71" t="s">
        <v>359</v>
      </c>
      <c r="BE4" s="71" t="s">
        <v>359</v>
      </c>
      <c r="BF4" s="71" t="s">
        <v>59</v>
      </c>
      <c r="BG4" s="71" t="s">
        <v>59</v>
      </c>
      <c r="BH4" s="71" t="s">
        <v>59</v>
      </c>
      <c r="BI4" s="71" t="s">
        <v>59</v>
      </c>
    </row>
    <row r="5" spans="2:65" ht="12" customHeight="1">
      <c r="B5" s="46"/>
      <c r="C5" s="47" t="s">
        <v>77</v>
      </c>
      <c r="D5" s="47" t="s">
        <v>78</v>
      </c>
      <c r="E5" s="47" t="s">
        <v>79</v>
      </c>
      <c r="F5" s="12" t="s">
        <v>80</v>
      </c>
      <c r="H5" s="46"/>
      <c r="I5" s="47" t="s">
        <v>77</v>
      </c>
      <c r="J5" s="47" t="s">
        <v>78</v>
      </c>
      <c r="K5" s="47" t="s">
        <v>79</v>
      </c>
      <c r="L5" s="12" t="s">
        <v>80</v>
      </c>
      <c r="P5" s="46"/>
      <c r="Q5" s="47" t="s">
        <v>77</v>
      </c>
      <c r="R5" s="47" t="s">
        <v>78</v>
      </c>
      <c r="S5" s="47" t="s">
        <v>79</v>
      </c>
      <c r="T5" s="12" t="s">
        <v>80</v>
      </c>
      <c r="V5" s="46"/>
      <c r="W5" s="47" t="s">
        <v>77</v>
      </c>
      <c r="X5" s="47" t="s">
        <v>78</v>
      </c>
      <c r="Y5" s="47" t="s">
        <v>79</v>
      </c>
      <c r="Z5" s="12" t="s">
        <v>80</v>
      </c>
      <c r="AC5" s="72" t="s">
        <v>360</v>
      </c>
      <c r="AD5" s="73">
        <v>427220840</v>
      </c>
      <c r="AE5" s="73">
        <v>412124532</v>
      </c>
      <c r="AF5" s="73">
        <v>467000938</v>
      </c>
      <c r="AG5" s="73">
        <v>282652547</v>
      </c>
      <c r="AH5" s="73">
        <v>173003594</v>
      </c>
      <c r="AI5" s="73">
        <v>168959390</v>
      </c>
      <c r="AJ5" s="73">
        <v>129588031</v>
      </c>
      <c r="AK5" s="73">
        <v>61046236</v>
      </c>
      <c r="AL5" s="73">
        <v>25638111</v>
      </c>
      <c r="AM5" s="73">
        <v>26568581</v>
      </c>
      <c r="AN5" s="73">
        <v>20630669</v>
      </c>
      <c r="AO5" s="73">
        <v>12633454</v>
      </c>
      <c r="AP5" s="73">
        <v>6756172</v>
      </c>
      <c r="AQ5" s="73">
        <v>11367487</v>
      </c>
      <c r="AR5" s="73">
        <v>8385809</v>
      </c>
      <c r="AS5" s="73">
        <v>5279566</v>
      </c>
      <c r="AT5" s="73">
        <v>834513</v>
      </c>
      <c r="AU5" s="73">
        <v>900638</v>
      </c>
      <c r="AV5" s="73">
        <v>1278158</v>
      </c>
      <c r="AW5" s="73">
        <v>4475007</v>
      </c>
      <c r="AX5" s="73">
        <v>12987815</v>
      </c>
      <c r="AY5" s="73">
        <v>13146796</v>
      </c>
      <c r="AZ5" s="73">
        <v>13878612</v>
      </c>
      <c r="BA5" s="73">
        <v>7431203</v>
      </c>
      <c r="BB5" s="73">
        <v>710264325</v>
      </c>
      <c r="BC5" s="73">
        <v>1260177460</v>
      </c>
      <c r="BD5" s="73">
        <v>1483819912</v>
      </c>
      <c r="BE5" s="73">
        <v>921350000</v>
      </c>
      <c r="BF5" s="73">
        <v>1356705370</v>
      </c>
      <c r="BG5" s="73">
        <v>1893244884</v>
      </c>
      <c r="BH5" s="73">
        <v>2124582129</v>
      </c>
      <c r="BI5" s="73">
        <v>1294868013</v>
      </c>
    </row>
    <row r="6" spans="2:65" ht="12" customHeight="1">
      <c r="B6" s="13" t="s">
        <v>83</v>
      </c>
      <c r="C6" s="14" t="s">
        <v>84</v>
      </c>
      <c r="D6" s="14" t="s">
        <v>84</v>
      </c>
      <c r="E6" s="14" t="s">
        <v>84</v>
      </c>
      <c r="F6" s="15" t="s">
        <v>85</v>
      </c>
      <c r="H6" s="13" t="s">
        <v>83</v>
      </c>
      <c r="I6" s="14" t="s">
        <v>84</v>
      </c>
      <c r="J6" s="14" t="s">
        <v>84</v>
      </c>
      <c r="K6" s="14" t="s">
        <v>84</v>
      </c>
      <c r="L6" s="15" t="s">
        <v>85</v>
      </c>
      <c r="P6" s="13" t="s">
        <v>83</v>
      </c>
      <c r="Q6" s="14" t="s">
        <v>84</v>
      </c>
      <c r="R6" s="14" t="s">
        <v>84</v>
      </c>
      <c r="S6" s="14" t="s">
        <v>84</v>
      </c>
      <c r="T6" s="15" t="s">
        <v>85</v>
      </c>
      <c r="V6" s="13" t="s">
        <v>83</v>
      </c>
      <c r="W6" s="14" t="s">
        <v>84</v>
      </c>
      <c r="X6" s="14" t="s">
        <v>84</v>
      </c>
      <c r="Y6" s="14" t="s">
        <v>84</v>
      </c>
      <c r="Z6" s="15" t="s">
        <v>85</v>
      </c>
      <c r="AC6" s="74" t="s">
        <v>361</v>
      </c>
      <c r="AD6" s="75">
        <v>296691633563</v>
      </c>
      <c r="AE6" s="75">
        <v>317822974827</v>
      </c>
      <c r="AF6" s="75">
        <v>329054293426</v>
      </c>
      <c r="AG6" s="75">
        <v>174195511512</v>
      </c>
      <c r="AH6" s="75">
        <v>69793328452</v>
      </c>
      <c r="AI6" s="75">
        <v>62770593661</v>
      </c>
      <c r="AJ6" s="75">
        <v>54726687904</v>
      </c>
      <c r="AK6" s="75">
        <v>26891171748</v>
      </c>
      <c r="AL6" s="75">
        <v>39771393460</v>
      </c>
      <c r="AM6" s="75">
        <v>32162937072</v>
      </c>
      <c r="AN6" s="75">
        <v>22998719481</v>
      </c>
      <c r="AO6" s="75">
        <v>9749865860</v>
      </c>
      <c r="AP6" s="75">
        <v>43418777428</v>
      </c>
      <c r="AQ6" s="75">
        <v>42307741487</v>
      </c>
      <c r="AR6" s="75">
        <v>47816948703</v>
      </c>
      <c r="AS6" s="75">
        <v>24345319543</v>
      </c>
      <c r="AT6" s="75">
        <v>20767223864</v>
      </c>
      <c r="AU6" s="75">
        <v>21064695432</v>
      </c>
      <c r="AV6" s="75">
        <v>23077848703</v>
      </c>
      <c r="AW6" s="75">
        <v>14201251235</v>
      </c>
      <c r="AX6" s="75">
        <v>47711967609</v>
      </c>
      <c r="AY6" s="75">
        <v>52294228059</v>
      </c>
      <c r="AZ6" s="75">
        <v>57857539144</v>
      </c>
      <c r="BA6" s="75">
        <v>29633582018</v>
      </c>
      <c r="BB6" s="75">
        <v>1190214467</v>
      </c>
      <c r="BC6" s="75">
        <v>349941738</v>
      </c>
      <c r="BD6" s="75">
        <v>639290671</v>
      </c>
      <c r="BE6" s="75">
        <v>190496254</v>
      </c>
      <c r="BF6" s="75">
        <v>519344538843</v>
      </c>
      <c r="BG6" s="75">
        <v>528773112276</v>
      </c>
      <c r="BH6" s="75">
        <v>536171328032</v>
      </c>
      <c r="BI6" s="75">
        <v>279207198170</v>
      </c>
    </row>
    <row r="7" spans="2:65" ht="12" customHeight="1">
      <c r="B7" s="65" t="s">
        <v>216</v>
      </c>
      <c r="C7" s="67">
        <f>BF12</f>
        <v>528569510350</v>
      </c>
      <c r="D7" s="67">
        <f>BG12</f>
        <v>555740268125</v>
      </c>
      <c r="E7" s="67">
        <f>BH12</f>
        <v>584672320904</v>
      </c>
      <c r="F7" s="68">
        <f>BI12</f>
        <v>303923046949</v>
      </c>
      <c r="H7" s="65" t="s">
        <v>362</v>
      </c>
      <c r="I7" s="67">
        <f t="shared" ref="I7:L8" si="0">BF12</f>
        <v>528569510350</v>
      </c>
      <c r="J7" s="67">
        <f t="shared" si="0"/>
        <v>555740268125</v>
      </c>
      <c r="K7" s="67">
        <f t="shared" si="0"/>
        <v>584672320904</v>
      </c>
      <c r="L7" s="68">
        <f t="shared" si="0"/>
        <v>303923046949</v>
      </c>
      <c r="P7" s="65" t="s">
        <v>216</v>
      </c>
      <c r="Q7" s="67">
        <f>AD12</f>
        <v>301650469844</v>
      </c>
      <c r="R7" s="67">
        <f>AE12</f>
        <v>329529138676</v>
      </c>
      <c r="S7" s="67">
        <f>AF12</f>
        <v>357818553490</v>
      </c>
      <c r="T7" s="68">
        <f>AG12</f>
        <v>189665157770</v>
      </c>
      <c r="V7" s="65" t="s">
        <v>362</v>
      </c>
      <c r="W7" s="67">
        <f t="shared" ref="W7:Z8" si="1">AD12</f>
        <v>301650469844</v>
      </c>
      <c r="X7" s="67">
        <f t="shared" si="1"/>
        <v>329529138676</v>
      </c>
      <c r="Y7" s="67">
        <f t="shared" si="1"/>
        <v>357818553490</v>
      </c>
      <c r="Z7" s="68">
        <f t="shared" si="1"/>
        <v>189665157770</v>
      </c>
      <c r="AC7" s="74" t="s">
        <v>363</v>
      </c>
      <c r="AD7" s="75">
        <v>229455283</v>
      </c>
      <c r="AE7" s="75">
        <v>208390504</v>
      </c>
      <c r="AF7" s="75">
        <v>5232644036</v>
      </c>
      <c r="AG7" s="75">
        <v>2008255774</v>
      </c>
      <c r="AH7" s="75">
        <v>0</v>
      </c>
      <c r="AI7" s="75">
        <v>0</v>
      </c>
      <c r="AJ7" s="75">
        <v>0</v>
      </c>
      <c r="AK7" s="75">
        <v>0</v>
      </c>
      <c r="AL7" s="75">
        <v>268700000</v>
      </c>
      <c r="AM7" s="75">
        <v>330685342</v>
      </c>
      <c r="AN7" s="75">
        <v>1748118068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285638653</v>
      </c>
      <c r="BA7" s="75">
        <v>160586472</v>
      </c>
      <c r="BB7" s="75">
        <v>997599590</v>
      </c>
      <c r="BC7" s="75">
        <v>3174994802</v>
      </c>
      <c r="BD7" s="75">
        <v>5375166107</v>
      </c>
      <c r="BE7" s="75">
        <v>755773134</v>
      </c>
      <c r="BF7" s="75">
        <v>1495754873</v>
      </c>
      <c r="BG7" s="75">
        <v>3714070648</v>
      </c>
      <c r="BH7" s="75">
        <v>12641566864</v>
      </c>
      <c r="BI7" s="75">
        <v>2924615380</v>
      </c>
    </row>
    <row r="8" spans="2:65" ht="12" customHeight="1">
      <c r="B8" s="66" t="s">
        <v>364</v>
      </c>
      <c r="C8" s="69">
        <f>BF36</f>
        <v>475725626210</v>
      </c>
      <c r="D8" s="69">
        <f>BG36</f>
        <v>499445340398</v>
      </c>
      <c r="E8" s="69">
        <f>BH36</f>
        <v>524218029958</v>
      </c>
      <c r="F8" s="70">
        <f>BI36</f>
        <v>273015109365</v>
      </c>
      <c r="H8" s="66" t="s">
        <v>365</v>
      </c>
      <c r="I8" s="69">
        <f t="shared" si="0"/>
        <v>352268620252</v>
      </c>
      <c r="J8" s="69">
        <f t="shared" si="0"/>
        <v>363893330049</v>
      </c>
      <c r="K8" s="69">
        <f t="shared" si="0"/>
        <v>381121250912</v>
      </c>
      <c r="L8" s="70">
        <f t="shared" si="0"/>
        <v>195831038107</v>
      </c>
      <c r="M8" s="406">
        <f>K8/K$7</f>
        <v>0.65185444442234508</v>
      </c>
      <c r="P8" s="66" t="s">
        <v>364</v>
      </c>
      <c r="Q8" s="69">
        <f>AD36</f>
        <v>269960864470</v>
      </c>
      <c r="R8" s="69">
        <f>AE36</f>
        <v>296358237035</v>
      </c>
      <c r="S8" s="69">
        <f>AF36</f>
        <v>322622742567</v>
      </c>
      <c r="T8" s="70">
        <f>AG36</f>
        <v>170152050497</v>
      </c>
      <c r="V8" s="66" t="s">
        <v>365</v>
      </c>
      <c r="W8" s="69">
        <f t="shared" si="1"/>
        <v>194886390241</v>
      </c>
      <c r="X8" s="69">
        <f t="shared" si="1"/>
        <v>210800399971</v>
      </c>
      <c r="Y8" s="69">
        <f t="shared" si="1"/>
        <v>230758364896</v>
      </c>
      <c r="Z8" s="70">
        <f t="shared" si="1"/>
        <v>121304219739</v>
      </c>
      <c r="AA8" s="406">
        <f>Y8/Y7</f>
        <v>0.64490329706295968</v>
      </c>
      <c r="AC8" s="74" t="s">
        <v>366</v>
      </c>
      <c r="AD8" s="75">
        <v>0</v>
      </c>
      <c r="AE8" s="75">
        <v>4021923644</v>
      </c>
      <c r="AF8" s="75">
        <v>9301776759</v>
      </c>
      <c r="AG8" s="75">
        <v>2677331021</v>
      </c>
      <c r="AH8" s="75">
        <v>0</v>
      </c>
      <c r="AI8" s="75">
        <v>0</v>
      </c>
      <c r="AJ8" s="75">
        <v>140185300</v>
      </c>
      <c r="AK8" s="75">
        <v>0</v>
      </c>
      <c r="AL8" s="75">
        <v>0</v>
      </c>
      <c r="AM8" s="75">
        <v>17447048</v>
      </c>
      <c r="AN8" s="75">
        <v>1082055615</v>
      </c>
      <c r="AO8" s="75">
        <v>127504320</v>
      </c>
      <c r="AP8" s="75">
        <v>0</v>
      </c>
      <c r="AQ8" s="75">
        <v>828003249</v>
      </c>
      <c r="AR8" s="75">
        <v>258229898</v>
      </c>
      <c r="AS8" s="75">
        <v>323194000</v>
      </c>
      <c r="AT8" s="75">
        <v>0</v>
      </c>
      <c r="AU8" s="75">
        <v>-6698680</v>
      </c>
      <c r="AV8" s="75">
        <v>62630000</v>
      </c>
      <c r="AW8" s="75">
        <v>101566570</v>
      </c>
      <c r="AX8" s="75">
        <v>0</v>
      </c>
      <c r="AY8" s="75">
        <v>1810350000</v>
      </c>
      <c r="AZ8" s="75">
        <v>250060000</v>
      </c>
      <c r="BA8" s="75">
        <v>402126000</v>
      </c>
      <c r="BB8" s="75">
        <v>0</v>
      </c>
      <c r="BC8" s="75">
        <v>197197325</v>
      </c>
      <c r="BD8" s="75">
        <v>0</v>
      </c>
      <c r="BE8" s="75">
        <v>0</v>
      </c>
      <c r="BF8" s="75">
        <v>0</v>
      </c>
      <c r="BG8" s="75">
        <v>6868222586</v>
      </c>
      <c r="BH8" s="75">
        <v>11094937572</v>
      </c>
      <c r="BI8" s="75">
        <v>3631721911</v>
      </c>
    </row>
    <row r="9" spans="2:65" ht="12" customHeight="1">
      <c r="B9" s="66" t="s">
        <v>367</v>
      </c>
      <c r="C9" s="69">
        <f>C7-C8</f>
        <v>52843884140</v>
      </c>
      <c r="D9" s="69">
        <f>D7-D8</f>
        <v>56294927727</v>
      </c>
      <c r="E9" s="69">
        <f>E7-E8</f>
        <v>60454290946</v>
      </c>
      <c r="F9" s="70">
        <f>F7-F8</f>
        <v>30907937584</v>
      </c>
      <c r="H9" s="66" t="s">
        <v>368</v>
      </c>
      <c r="I9" s="69">
        <f>BF24</f>
        <v>3334775091</v>
      </c>
      <c r="J9" s="69">
        <f>BG24</f>
        <v>3716744273</v>
      </c>
      <c r="K9" s="69">
        <f>BH24</f>
        <v>3723298066</v>
      </c>
      <c r="L9" s="70">
        <f>BI24</f>
        <v>2039628825</v>
      </c>
      <c r="M9" s="406">
        <f t="shared" ref="M9:M11" si="2">K9/K$7</f>
        <v>6.3681791199610167E-3</v>
      </c>
      <c r="P9" s="66" t="s">
        <v>367</v>
      </c>
      <c r="Q9" s="69">
        <f>Q7-Q8</f>
        <v>31689605374</v>
      </c>
      <c r="R9" s="69">
        <f>R7-R8</f>
        <v>33170901641</v>
      </c>
      <c r="S9" s="69">
        <f>S7-S8</f>
        <v>35195810923</v>
      </c>
      <c r="T9" s="70">
        <f>T7-T8</f>
        <v>19513107273</v>
      </c>
      <c r="V9" s="66" t="s">
        <v>368</v>
      </c>
      <c r="W9" s="69">
        <f>AD24</f>
        <v>1445166144</v>
      </c>
      <c r="X9" s="69">
        <f>AE24</f>
        <v>1520208795</v>
      </c>
      <c r="Y9" s="69">
        <f>AF24</f>
        <v>1508590795</v>
      </c>
      <c r="Z9" s="70">
        <f>AG24</f>
        <v>837340604</v>
      </c>
      <c r="AC9" s="74" t="s">
        <v>369</v>
      </c>
      <c r="AD9" s="75">
        <v>0</v>
      </c>
      <c r="AE9" s="75">
        <v>0</v>
      </c>
      <c r="AF9" s="75">
        <v>934105408</v>
      </c>
      <c r="AG9" s="75">
        <v>0</v>
      </c>
      <c r="AH9" s="75">
        <v>0</v>
      </c>
      <c r="AI9" s="75">
        <v>0</v>
      </c>
      <c r="AJ9" s="75">
        <v>0</v>
      </c>
      <c r="AK9" s="75">
        <v>0</v>
      </c>
      <c r="AL9" s="75">
        <v>0</v>
      </c>
      <c r="AM9" s="75">
        <v>270524118</v>
      </c>
      <c r="AN9" s="75">
        <v>0</v>
      </c>
      <c r="AO9" s="75">
        <v>0</v>
      </c>
      <c r="AP9" s="75">
        <v>0</v>
      </c>
      <c r="AQ9" s="75">
        <v>813920000</v>
      </c>
      <c r="AR9" s="75">
        <v>324900000</v>
      </c>
      <c r="AS9" s="75">
        <v>113600000</v>
      </c>
      <c r="AT9" s="75">
        <v>0</v>
      </c>
      <c r="AU9" s="75">
        <v>0</v>
      </c>
      <c r="AV9" s="75">
        <v>171216261</v>
      </c>
      <c r="AW9" s="75">
        <v>0</v>
      </c>
      <c r="AX9" s="75">
        <v>0</v>
      </c>
      <c r="AY9" s="75">
        <v>55000000</v>
      </c>
      <c r="AZ9" s="75">
        <v>0</v>
      </c>
      <c r="BA9" s="75">
        <v>63240000</v>
      </c>
      <c r="BB9" s="75">
        <v>0</v>
      </c>
      <c r="BC9" s="75">
        <v>0</v>
      </c>
      <c r="BD9" s="75">
        <v>0</v>
      </c>
      <c r="BE9" s="75">
        <v>0</v>
      </c>
      <c r="BF9" s="75">
        <v>0</v>
      </c>
      <c r="BG9" s="75">
        <v>1139444118</v>
      </c>
      <c r="BH9" s="75">
        <v>1430221669</v>
      </c>
      <c r="BI9" s="75">
        <v>176840000</v>
      </c>
    </row>
    <row r="10" spans="2:65" ht="12" customHeight="1">
      <c r="B10" s="84" t="s">
        <v>370</v>
      </c>
      <c r="C10" s="85">
        <f>C9/C7</f>
        <v>9.9975278757582234E-2</v>
      </c>
      <c r="D10" s="85">
        <f>D9/D7</f>
        <v>0.10129719035284636</v>
      </c>
      <c r="E10" s="85">
        <f>E9/E7</f>
        <v>0.10339858547182065</v>
      </c>
      <c r="F10" s="86">
        <f>F9/F7</f>
        <v>0.10169659028585129</v>
      </c>
      <c r="H10" s="66" t="s">
        <v>371</v>
      </c>
      <c r="I10" s="69">
        <f>SUM(BF27:BF28)</f>
        <v>42812279442</v>
      </c>
      <c r="J10" s="69">
        <f>SUM(BG27:BG28)</f>
        <v>47897101592</v>
      </c>
      <c r="K10" s="69">
        <f>SUM(BH27:BH28)</f>
        <v>50304835915</v>
      </c>
      <c r="L10" s="70">
        <f>SUM(BI27:BI28)</f>
        <v>27696459923</v>
      </c>
      <c r="M10" s="406">
        <f t="shared" si="2"/>
        <v>8.6039366182446286E-2</v>
      </c>
      <c r="P10" s="84" t="s">
        <v>370</v>
      </c>
      <c r="Q10" s="85">
        <f>Q9/Q$7</f>
        <v>0.10505405607486185</v>
      </c>
      <c r="R10" s="85">
        <f>R9/R$7</f>
        <v>0.10066151289162423</v>
      </c>
      <c r="S10" s="85">
        <f>S9/S$7</f>
        <v>9.8362174291176385E-2</v>
      </c>
      <c r="T10" s="86">
        <f>T9/T$7</f>
        <v>0.10288187615704741</v>
      </c>
      <c r="V10" s="66" t="s">
        <v>371</v>
      </c>
      <c r="W10" s="69">
        <f>SUM(AD27:AD28)</f>
        <v>31677418810</v>
      </c>
      <c r="X10" s="69">
        <f>SUM(AE27:AE28)</f>
        <v>37090176654</v>
      </c>
      <c r="Y10" s="69">
        <f>SUM(AF27:AF28)</f>
        <v>38768573600</v>
      </c>
      <c r="Z10" s="70">
        <f>SUM(AG27:AG28)</f>
        <v>21389907628</v>
      </c>
      <c r="AC10" s="109" t="s">
        <v>372</v>
      </c>
      <c r="AD10" s="75"/>
      <c r="AE10" s="75"/>
      <c r="AF10" s="75"/>
      <c r="AG10" s="75">
        <v>3502675094</v>
      </c>
      <c r="AH10" s="75"/>
      <c r="AI10" s="75"/>
      <c r="AJ10" s="75"/>
      <c r="AK10" s="75">
        <v>51367098</v>
      </c>
      <c r="AL10" s="75"/>
      <c r="AM10" s="75"/>
      <c r="AN10" s="75"/>
      <c r="AO10" s="75">
        <v>16280104</v>
      </c>
      <c r="AP10" s="75"/>
      <c r="AQ10" s="75"/>
      <c r="AR10" s="75"/>
      <c r="AS10" s="75">
        <v>203011697</v>
      </c>
      <c r="AT10" s="75"/>
      <c r="AU10" s="75"/>
      <c r="AV10" s="75"/>
      <c r="AW10" s="75">
        <v>86726</v>
      </c>
      <c r="AX10" s="75"/>
      <c r="AY10" s="75"/>
      <c r="AZ10" s="75"/>
      <c r="BA10" s="75">
        <v>170455150</v>
      </c>
      <c r="BB10" s="75"/>
      <c r="BC10" s="75"/>
      <c r="BD10" s="75"/>
      <c r="BE10" s="75">
        <v>376630069</v>
      </c>
      <c r="BF10" s="75"/>
      <c r="BG10" s="75"/>
      <c r="BH10" s="75"/>
      <c r="BI10" s="75">
        <v>4320505938</v>
      </c>
    </row>
    <row r="11" spans="2:65" ht="12" customHeight="1">
      <c r="B11" s="66" t="s">
        <v>373</v>
      </c>
      <c r="C11" s="69">
        <f>BF41</f>
        <v>43792009823</v>
      </c>
      <c r="D11" s="69">
        <f>BG41</f>
        <v>41361745470</v>
      </c>
      <c r="E11" s="69">
        <f>BH41</f>
        <v>44247827700</v>
      </c>
      <c r="F11" s="70">
        <f>BI41</f>
        <v>20978070672</v>
      </c>
      <c r="H11" s="66" t="s">
        <v>374</v>
      </c>
      <c r="I11" s="69">
        <f>SUM(BF42:BF45)</f>
        <v>26799595366</v>
      </c>
      <c r="J11" s="69">
        <f>SUM(BG42:BG45)</f>
        <v>26362159667</v>
      </c>
      <c r="K11" s="69">
        <f>SUM(BH42:BH45)</f>
        <v>28321154451</v>
      </c>
      <c r="L11" s="70">
        <f>SUM(BI42:BI45)</f>
        <v>12844989521</v>
      </c>
      <c r="M11" s="406">
        <f t="shared" si="2"/>
        <v>4.843936242305915E-2</v>
      </c>
      <c r="P11" s="66" t="s">
        <v>373</v>
      </c>
      <c r="Q11" s="69">
        <f>AD41</f>
        <v>29398219654</v>
      </c>
      <c r="R11" s="69">
        <f>AE41</f>
        <v>29088772983</v>
      </c>
      <c r="S11" s="69">
        <f>AF41</f>
        <v>30757672015</v>
      </c>
      <c r="T11" s="70">
        <f>AG41</f>
        <v>14231381521</v>
      </c>
      <c r="V11" s="66" t="s">
        <v>374</v>
      </c>
      <c r="W11" s="69">
        <f>SUM(AD42:AD45)</f>
        <v>19377716237</v>
      </c>
      <c r="X11" s="69">
        <f>SUM(AE42:AE45)</f>
        <v>19978953777</v>
      </c>
      <c r="Y11" s="69">
        <f>SUM(AF42:AF45)</f>
        <v>21171033705</v>
      </c>
      <c r="Z11" s="70">
        <f>SUM(AG42:AG45)</f>
        <v>9250225747</v>
      </c>
      <c r="AC11" s="74" t="s">
        <v>375</v>
      </c>
      <c r="AD11" s="75">
        <v>4729380998</v>
      </c>
      <c r="AE11" s="75">
        <v>7475849701</v>
      </c>
      <c r="AF11" s="75">
        <v>13295733861</v>
      </c>
      <c r="AG11" s="75">
        <v>7281384369</v>
      </c>
      <c r="AH11" s="75">
        <v>-143847292</v>
      </c>
      <c r="AI11" s="75">
        <v>777113046</v>
      </c>
      <c r="AJ11" s="75">
        <v>1159894934</v>
      </c>
      <c r="AK11" s="75">
        <v>204286768</v>
      </c>
      <c r="AL11" s="75">
        <v>128676000</v>
      </c>
      <c r="AM11" s="75">
        <v>604892436</v>
      </c>
      <c r="AN11" s="75">
        <v>1132246109</v>
      </c>
      <c r="AO11" s="75">
        <v>467275202</v>
      </c>
      <c r="AP11" s="75">
        <v>80845892</v>
      </c>
      <c r="AQ11" s="75">
        <v>117284287</v>
      </c>
      <c r="AR11" s="75">
        <v>331880442</v>
      </c>
      <c r="AS11" s="75">
        <v>578132202</v>
      </c>
      <c r="AT11" s="75">
        <v>362064000</v>
      </c>
      <c r="AU11" s="75">
        <v>347861744</v>
      </c>
      <c r="AV11" s="75">
        <v>415492786</v>
      </c>
      <c r="AW11" s="75">
        <v>588773175</v>
      </c>
      <c r="AX11" s="75">
        <v>5823999</v>
      </c>
      <c r="AY11" s="75">
        <v>14914327</v>
      </c>
      <c r="AZ11" s="75">
        <v>43974850</v>
      </c>
      <c r="BA11" s="75">
        <v>101113686</v>
      </c>
      <c r="BB11" s="75">
        <v>2566273037</v>
      </c>
      <c r="BC11" s="75">
        <v>5907502956</v>
      </c>
      <c r="BD11" s="75">
        <v>6955043785</v>
      </c>
      <c r="BE11" s="75">
        <v>4441200148</v>
      </c>
      <c r="BF11" s="75">
        <v>7729216634</v>
      </c>
      <c r="BG11" s="75">
        <v>15245418497</v>
      </c>
      <c r="BH11" s="75">
        <v>23334266767</v>
      </c>
      <c r="BI11" s="75">
        <v>13662165550</v>
      </c>
    </row>
    <row r="12" spans="2:65" ht="12" customHeight="1">
      <c r="B12" s="66" t="s">
        <v>376</v>
      </c>
      <c r="C12" s="69">
        <f>C9-C11</f>
        <v>9051874317</v>
      </c>
      <c r="D12" s="69">
        <f>D9-D11</f>
        <v>14933182257</v>
      </c>
      <c r="E12" s="69">
        <f>E9-E11</f>
        <v>16206463246</v>
      </c>
      <c r="F12" s="70">
        <f>F9-F11</f>
        <v>9929866912</v>
      </c>
      <c r="H12" s="66" t="s">
        <v>377</v>
      </c>
      <c r="I12" s="69">
        <f>I7-SUM(I8:I11)</f>
        <v>103354240199</v>
      </c>
      <c r="J12" s="69">
        <f>J7-SUM(J8:J11)</f>
        <v>113870932544</v>
      </c>
      <c r="K12" s="69">
        <f>K7-SUM(K8:K11)</f>
        <v>121201781560</v>
      </c>
      <c r="L12" s="70">
        <f>L7-SUM(L8:L11)</f>
        <v>65510930573</v>
      </c>
      <c r="P12" s="66" t="s">
        <v>376</v>
      </c>
      <c r="Q12" s="69">
        <f>Q9-Q11</f>
        <v>2291385720</v>
      </c>
      <c r="R12" s="69">
        <f>R9-R11</f>
        <v>4082128658</v>
      </c>
      <c r="S12" s="69">
        <f>S9-S11</f>
        <v>4438138908</v>
      </c>
      <c r="T12" s="70">
        <f>T9-T11</f>
        <v>5281725752</v>
      </c>
      <c r="V12" s="66" t="s">
        <v>377</v>
      </c>
      <c r="W12" s="69">
        <f>W7-SUM(W8:W11)</f>
        <v>54263778412</v>
      </c>
      <c r="X12" s="69">
        <f>X7-SUM(X8:X11)</f>
        <v>60139399479</v>
      </c>
      <c r="Y12" s="69">
        <f>Y7-SUM(Y8:Y11)</f>
        <v>65611990494</v>
      </c>
      <c r="Z12" s="70">
        <f>Z7-SUM(Z8:Z11)</f>
        <v>36883464052</v>
      </c>
      <c r="AC12" s="76" t="s">
        <v>378</v>
      </c>
      <c r="AD12" s="77">
        <v>301650469844</v>
      </c>
      <c r="AE12" s="77">
        <v>329529138676</v>
      </c>
      <c r="AF12" s="77">
        <v>357818553490</v>
      </c>
      <c r="AG12" s="77">
        <v>189665157770</v>
      </c>
      <c r="AH12" s="77">
        <v>69649481160</v>
      </c>
      <c r="AI12" s="77">
        <v>63547706707</v>
      </c>
      <c r="AJ12" s="77">
        <v>56026768138</v>
      </c>
      <c r="AK12" s="77">
        <v>27146825614</v>
      </c>
      <c r="AL12" s="77">
        <v>40168769460</v>
      </c>
      <c r="AM12" s="77">
        <v>33386486016</v>
      </c>
      <c r="AN12" s="77">
        <v>26961139273</v>
      </c>
      <c r="AO12" s="77">
        <v>10360925486</v>
      </c>
      <c r="AP12" s="77">
        <v>43499623320</v>
      </c>
      <c r="AQ12" s="77">
        <v>44066949023</v>
      </c>
      <c r="AR12" s="77">
        <v>48731959043</v>
      </c>
      <c r="AS12" s="77">
        <v>25563257442</v>
      </c>
      <c r="AT12" s="77">
        <v>21129287864</v>
      </c>
      <c r="AU12" s="77">
        <v>21405858496</v>
      </c>
      <c r="AV12" s="77">
        <v>23727187750</v>
      </c>
      <c r="AW12" s="77">
        <v>14891677706</v>
      </c>
      <c r="AX12" s="77">
        <v>47717791608</v>
      </c>
      <c r="AY12" s="77">
        <v>54174492386</v>
      </c>
      <c r="AZ12" s="77">
        <v>58437212647</v>
      </c>
      <c r="BA12" s="77">
        <v>30531103326</v>
      </c>
      <c r="BB12" s="77">
        <v>4754087094</v>
      </c>
      <c r="BC12" s="77">
        <v>9629636821</v>
      </c>
      <c r="BD12" s="77">
        <v>12969500563</v>
      </c>
      <c r="BE12" s="77">
        <v>5764099605</v>
      </c>
      <c r="BF12" s="77">
        <v>528569510350</v>
      </c>
      <c r="BG12" s="77">
        <v>555740268125</v>
      </c>
      <c r="BH12" s="77">
        <v>584672320904</v>
      </c>
      <c r="BI12" s="77">
        <v>303923046949</v>
      </c>
    </row>
    <row r="13" spans="2:65" ht="12" customHeight="1" thickBot="1">
      <c r="B13" s="87" t="s">
        <v>379</v>
      </c>
      <c r="C13" s="88">
        <f>C12/C7</f>
        <v>1.7125229775372723E-2</v>
      </c>
      <c r="D13" s="88">
        <f>D12/D7</f>
        <v>2.687079399047821E-2</v>
      </c>
      <c r="E13" s="88">
        <f>E12/E7</f>
        <v>2.771888229793764E-2</v>
      </c>
      <c r="F13" s="89">
        <f>F12/F7</f>
        <v>3.2672306400199677E-2</v>
      </c>
      <c r="H13" s="87" t="s">
        <v>380</v>
      </c>
      <c r="I13" s="88">
        <f>I12/I$7</f>
        <v>0.1955357586376151</v>
      </c>
      <c r="J13" s="88">
        <f>J12/J$7</f>
        <v>0.2048995530379446</v>
      </c>
      <c r="K13" s="88">
        <f>K12/K$7</f>
        <v>0.20729864785218843</v>
      </c>
      <c r="L13" s="89">
        <f>L12/L$7</f>
        <v>0.21555104566977148</v>
      </c>
      <c r="P13" s="87" t="s">
        <v>379</v>
      </c>
      <c r="Q13" s="88">
        <f>Q12/Q$7</f>
        <v>7.5961616144175114E-3</v>
      </c>
      <c r="R13" s="88">
        <f>R12/R$7</f>
        <v>1.2387762352068158E-2</v>
      </c>
      <c r="S13" s="88">
        <f>S12/S$7</f>
        <v>1.2403322479263316E-2</v>
      </c>
      <c r="T13" s="89">
        <f>T12/T$7</f>
        <v>2.7847633240075415E-2</v>
      </c>
      <c r="V13" s="87" t="s">
        <v>380</v>
      </c>
      <c r="W13" s="88">
        <f>W12/W$7</f>
        <v>0.17988958691184129</v>
      </c>
      <c r="X13" s="88">
        <f>X12/X$7</f>
        <v>0.18250100649864026</v>
      </c>
      <c r="Y13" s="88">
        <f>Y12/Y$7</f>
        <v>0.18336665288607978</v>
      </c>
      <c r="Z13" s="89">
        <f>Z12/Z$7</f>
        <v>0.19446620816210866</v>
      </c>
      <c r="AC13" s="78" t="s">
        <v>381</v>
      </c>
      <c r="AD13" s="79">
        <v>194886390241</v>
      </c>
      <c r="AE13" s="79">
        <v>210800399971</v>
      </c>
      <c r="AF13" s="79">
        <v>230758364896</v>
      </c>
      <c r="AG13" s="79">
        <v>121304219739</v>
      </c>
      <c r="AH13" s="79">
        <v>40702372545</v>
      </c>
      <c r="AI13" s="79">
        <v>37569239939</v>
      </c>
      <c r="AJ13" s="79">
        <v>30577437749</v>
      </c>
      <c r="AK13" s="79">
        <v>14033459273</v>
      </c>
      <c r="AL13" s="79">
        <v>26345154160</v>
      </c>
      <c r="AM13" s="79">
        <v>21085010054</v>
      </c>
      <c r="AN13" s="79">
        <v>18075937589</v>
      </c>
      <c r="AO13" s="79">
        <v>6525375145</v>
      </c>
      <c r="AP13" s="79">
        <v>28690417143</v>
      </c>
      <c r="AQ13" s="79">
        <v>27019228816</v>
      </c>
      <c r="AR13" s="79">
        <v>27482740582</v>
      </c>
      <c r="AS13" s="79">
        <v>14115100993</v>
      </c>
      <c r="AT13" s="79">
        <v>14401129395</v>
      </c>
      <c r="AU13" s="79">
        <v>13913763375</v>
      </c>
      <c r="AV13" s="79">
        <v>15160225506</v>
      </c>
      <c r="AW13" s="79">
        <v>9316599172</v>
      </c>
      <c r="AX13" s="79">
        <v>42998507019</v>
      </c>
      <c r="AY13" s="79">
        <v>46351454256</v>
      </c>
      <c r="AZ13" s="79">
        <v>49020488526</v>
      </c>
      <c r="BA13" s="79">
        <v>26179002174</v>
      </c>
      <c r="BB13" s="79">
        <v>4244649749</v>
      </c>
      <c r="BC13" s="79">
        <v>7154233638</v>
      </c>
      <c r="BD13" s="79">
        <v>10046056064</v>
      </c>
      <c r="BE13" s="79">
        <v>4357281611</v>
      </c>
      <c r="BF13" s="79">
        <v>352268620252</v>
      </c>
      <c r="BG13" s="79">
        <v>363893330049</v>
      </c>
      <c r="BH13" s="79">
        <v>381121250912</v>
      </c>
      <c r="BI13" s="79">
        <v>195831038107</v>
      </c>
      <c r="BJ13" s="40">
        <f>BF13/BF$12</f>
        <v>0.66645656503860806</v>
      </c>
      <c r="BK13" s="40">
        <f>BG13/BG$12</f>
        <v>0.65479028769452285</v>
      </c>
      <c r="BL13" s="40">
        <f>BH13/BH$12</f>
        <v>0.65185444442234508</v>
      </c>
      <c r="BM13" s="40">
        <f>BI13/BI$12</f>
        <v>0.64434415248495958</v>
      </c>
    </row>
    <row r="14" spans="2:65" ht="12" customHeight="1">
      <c r="AC14" s="74" t="s">
        <v>382</v>
      </c>
      <c r="AD14" s="75">
        <v>111855798147</v>
      </c>
      <c r="AE14" s="75">
        <v>108788023605</v>
      </c>
      <c r="AF14" s="75">
        <v>104256303089</v>
      </c>
      <c r="AG14" s="75">
        <v>55392533398</v>
      </c>
      <c r="AH14" s="75">
        <v>33482994453</v>
      </c>
      <c r="AI14" s="75">
        <v>31850651505</v>
      </c>
      <c r="AJ14" s="75">
        <v>27637981207</v>
      </c>
      <c r="AK14" s="75">
        <v>13250861383</v>
      </c>
      <c r="AL14" s="75">
        <v>21829176853</v>
      </c>
      <c r="AM14" s="75">
        <v>15984895414</v>
      </c>
      <c r="AN14" s="75">
        <v>12638798385</v>
      </c>
      <c r="AO14" s="75">
        <v>5020373454</v>
      </c>
      <c r="AP14" s="75">
        <v>26449993206</v>
      </c>
      <c r="AQ14" s="75">
        <v>22875535041</v>
      </c>
      <c r="AR14" s="75">
        <v>23230609982</v>
      </c>
      <c r="AS14" s="75">
        <v>11918769104</v>
      </c>
      <c r="AT14" s="75">
        <v>14437286162</v>
      </c>
      <c r="AU14" s="75">
        <v>13802047227</v>
      </c>
      <c r="AV14" s="75">
        <v>14606153794</v>
      </c>
      <c r="AW14" s="75">
        <v>9042124890</v>
      </c>
      <c r="AX14" s="75">
        <v>43004300061</v>
      </c>
      <c r="AY14" s="75">
        <v>43938929548</v>
      </c>
      <c r="AZ14" s="75">
        <v>48348655734</v>
      </c>
      <c r="BA14" s="75">
        <v>25563156760</v>
      </c>
      <c r="BB14" s="75">
        <v>989227550</v>
      </c>
      <c r="BC14" s="75">
        <v>254331007</v>
      </c>
      <c r="BD14" s="75">
        <v>382842683</v>
      </c>
      <c r="BE14" s="75">
        <v>129235964</v>
      </c>
      <c r="BF14" s="75">
        <v>252048776432</v>
      </c>
      <c r="BG14" s="75">
        <v>237494413347</v>
      </c>
      <c r="BH14" s="75">
        <v>231101344874</v>
      </c>
      <c r="BI14" s="75">
        <v>120317054953</v>
      </c>
      <c r="BJ14" s="95"/>
      <c r="BK14" s="95"/>
      <c r="BL14" s="95"/>
      <c r="BM14" s="95"/>
    </row>
    <row r="15" spans="2:65" ht="12" customHeight="1">
      <c r="H15" s="1" t="s">
        <v>383</v>
      </c>
      <c r="I15" s="16">
        <f>C8-SUM(I8:I10)</f>
        <v>77309951425</v>
      </c>
      <c r="J15" s="16">
        <f>D8-SUM(J8:J10)</f>
        <v>83938164484</v>
      </c>
      <c r="K15" s="16">
        <f>E8-SUM(K8:K10)</f>
        <v>89068645065</v>
      </c>
      <c r="L15" s="16">
        <f>F8-SUM(L8:L10)</f>
        <v>47447982510</v>
      </c>
      <c r="AC15" s="74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95"/>
      <c r="BK15" s="95"/>
      <c r="BL15" s="95"/>
      <c r="BM15" s="95"/>
    </row>
    <row r="16" spans="2:65" ht="12" customHeight="1">
      <c r="H16" s="1" t="s">
        <v>384</v>
      </c>
      <c r="I16" s="16">
        <f>C11-I11</f>
        <v>16992414457</v>
      </c>
      <c r="J16" s="16">
        <f>D11-J11</f>
        <v>14999585803</v>
      </c>
      <c r="K16" s="16">
        <f>E11-K11</f>
        <v>15926673249</v>
      </c>
      <c r="L16" s="16">
        <f>F11-L11</f>
        <v>8133081151</v>
      </c>
      <c r="AC16" s="74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95"/>
      <c r="BK16" s="95"/>
      <c r="BL16" s="95"/>
      <c r="BM16" s="95"/>
    </row>
    <row r="17" spans="2:65" ht="12" customHeight="1">
      <c r="H17" s="1" t="s">
        <v>376</v>
      </c>
      <c r="I17" s="16">
        <f>I12-I15-I16</f>
        <v>9051874317</v>
      </c>
      <c r="J17" s="16">
        <f>J12-J15-J16</f>
        <v>14933182257</v>
      </c>
      <c r="K17" s="16">
        <f>K12-K15-K16</f>
        <v>16206463246</v>
      </c>
      <c r="L17" s="16">
        <f>L12-L15-L16</f>
        <v>9929866912</v>
      </c>
      <c r="AC17" s="74" t="s">
        <v>385</v>
      </c>
      <c r="AD17" s="75">
        <v>2517688933</v>
      </c>
      <c r="AE17" s="75">
        <v>4603083969</v>
      </c>
      <c r="AF17" s="75">
        <v>7049907131</v>
      </c>
      <c r="AG17" s="75">
        <v>4092836283</v>
      </c>
      <c r="AH17" s="75">
        <v>219759182</v>
      </c>
      <c r="AI17" s="75">
        <v>198940782</v>
      </c>
      <c r="AJ17" s="75">
        <v>73205541</v>
      </c>
      <c r="AK17" s="75">
        <v>34589287</v>
      </c>
      <c r="AL17" s="75">
        <v>0</v>
      </c>
      <c r="AM17" s="75">
        <v>126185779</v>
      </c>
      <c r="AN17" s="75">
        <v>236343333</v>
      </c>
      <c r="AO17" s="75">
        <v>307809485</v>
      </c>
      <c r="AP17" s="75">
        <v>63420644</v>
      </c>
      <c r="AQ17" s="75">
        <v>211482355</v>
      </c>
      <c r="AR17" s="75">
        <v>141414834</v>
      </c>
      <c r="AS17" s="75">
        <v>415545819</v>
      </c>
      <c r="AT17" s="75">
        <v>0</v>
      </c>
      <c r="AU17" s="75">
        <v>3903587</v>
      </c>
      <c r="AV17" s="75">
        <v>910531</v>
      </c>
      <c r="AW17" s="75">
        <v>4545941</v>
      </c>
      <c r="AX17" s="75">
        <v>4355501</v>
      </c>
      <c r="AY17" s="75">
        <v>8679801</v>
      </c>
      <c r="AZ17" s="75">
        <v>2890847</v>
      </c>
      <c r="BA17" s="75">
        <v>3332730</v>
      </c>
      <c r="BB17" s="75">
        <v>2354667753</v>
      </c>
      <c r="BC17" s="75">
        <v>4328653660</v>
      </c>
      <c r="BD17" s="75">
        <v>4887011142</v>
      </c>
      <c r="BE17" s="75">
        <v>3003309984</v>
      </c>
      <c r="BF17" s="75">
        <v>5159892013</v>
      </c>
      <c r="BG17" s="75">
        <v>9480929933</v>
      </c>
      <c r="BH17" s="75">
        <v>12391683359</v>
      </c>
      <c r="BI17" s="75">
        <v>7861969529</v>
      </c>
      <c r="BJ17" s="95"/>
      <c r="BK17" s="95"/>
      <c r="BL17" s="95"/>
      <c r="BM17" s="95"/>
    </row>
    <row r="18" spans="2:65" ht="12" customHeight="1">
      <c r="AC18" s="74" t="s">
        <v>386</v>
      </c>
      <c r="AD18" s="75">
        <v>144353380</v>
      </c>
      <c r="AE18" s="75">
        <v>151487903</v>
      </c>
      <c r="AF18" s="75">
        <v>5035230767</v>
      </c>
      <c r="AG18" s="75">
        <v>1885539955</v>
      </c>
      <c r="AH18" s="75">
        <v>0</v>
      </c>
      <c r="AI18" s="75">
        <v>0</v>
      </c>
      <c r="AJ18" s="75">
        <v>0</v>
      </c>
      <c r="AK18" s="75">
        <v>0</v>
      </c>
      <c r="AL18" s="75">
        <v>88000000</v>
      </c>
      <c r="AM18" s="75">
        <v>307500000</v>
      </c>
      <c r="AN18" s="75">
        <v>1651535597</v>
      </c>
      <c r="AO18" s="75">
        <v>0</v>
      </c>
      <c r="AP18" s="75">
        <v>0</v>
      </c>
      <c r="AQ18" s="75">
        <v>0</v>
      </c>
      <c r="AR18" s="75">
        <v>0</v>
      </c>
      <c r="AS18" s="75">
        <v>0</v>
      </c>
      <c r="AT18" s="75">
        <v>0</v>
      </c>
      <c r="AU18" s="75">
        <v>0</v>
      </c>
      <c r="AV18" s="75">
        <v>0</v>
      </c>
      <c r="AW18" s="75">
        <v>0</v>
      </c>
      <c r="AX18" s="75">
        <v>0</v>
      </c>
      <c r="AY18" s="75">
        <v>0</v>
      </c>
      <c r="AZ18" s="75">
        <v>251346290</v>
      </c>
      <c r="BA18" s="75">
        <v>129000000</v>
      </c>
      <c r="BB18" s="75">
        <v>755338050</v>
      </c>
      <c r="BC18" s="75">
        <v>2238830294</v>
      </c>
      <c r="BD18" s="75">
        <v>4473291074</v>
      </c>
      <c r="BE18" s="75">
        <v>523409512</v>
      </c>
      <c r="BF18" s="75">
        <v>987691430</v>
      </c>
      <c r="BG18" s="75">
        <v>2697818197</v>
      </c>
      <c r="BH18" s="75">
        <v>11411403728</v>
      </c>
      <c r="BI18" s="75">
        <v>2537949467</v>
      </c>
      <c r="BJ18" s="95"/>
      <c r="BK18" s="95"/>
      <c r="BL18" s="95"/>
      <c r="BM18" s="95"/>
    </row>
    <row r="19" spans="2:65" ht="12" customHeight="1">
      <c r="E19" s="16">
        <f>E24-C24</f>
        <v>66887504685</v>
      </c>
      <c r="K19" s="16">
        <f>K24-I24</f>
        <v>66887504685</v>
      </c>
      <c r="S19" s="16">
        <f>S24-Q24</f>
        <v>-13622713022</v>
      </c>
      <c r="AC19" s="74" t="s">
        <v>387</v>
      </c>
      <c r="AD19" s="75">
        <v>0</v>
      </c>
      <c r="AE19" s="75">
        <v>3409448527</v>
      </c>
      <c r="AF19" s="75">
        <v>7427974124</v>
      </c>
      <c r="AG19" s="75">
        <v>2199642791</v>
      </c>
      <c r="AH19" s="75">
        <v>0</v>
      </c>
      <c r="AI19" s="75">
        <v>0</v>
      </c>
      <c r="AJ19" s="75">
        <v>59600000</v>
      </c>
      <c r="AK19" s="75">
        <v>0</v>
      </c>
      <c r="AL19" s="75">
        <v>0</v>
      </c>
      <c r="AM19" s="75">
        <v>15375000</v>
      </c>
      <c r="AN19" s="75">
        <v>835610305</v>
      </c>
      <c r="AO19" s="75">
        <v>113903873</v>
      </c>
      <c r="AP19" s="75">
        <v>0</v>
      </c>
      <c r="AQ19" s="75">
        <v>745605358</v>
      </c>
      <c r="AR19" s="75">
        <v>143715526</v>
      </c>
      <c r="AS19" s="75">
        <v>293972038</v>
      </c>
      <c r="AT19" s="75">
        <v>0</v>
      </c>
      <c r="AU19" s="75">
        <v>2000000</v>
      </c>
      <c r="AV19" s="75">
        <v>70500000</v>
      </c>
      <c r="AW19" s="75">
        <v>44000000</v>
      </c>
      <c r="AX19" s="75">
        <v>0</v>
      </c>
      <c r="AY19" s="75">
        <v>1605993576</v>
      </c>
      <c r="AZ19" s="75">
        <v>202578831</v>
      </c>
      <c r="BA19" s="75">
        <v>295000000</v>
      </c>
      <c r="BB19" s="75">
        <v>0</v>
      </c>
      <c r="BC19" s="75">
        <v>183462500</v>
      </c>
      <c r="BD19" s="75">
        <v>0</v>
      </c>
      <c r="BE19" s="75">
        <v>0</v>
      </c>
      <c r="BF19" s="75">
        <v>0</v>
      </c>
      <c r="BG19" s="75">
        <v>5961884961</v>
      </c>
      <c r="BH19" s="75">
        <v>8739978786</v>
      </c>
      <c r="BI19" s="75">
        <v>2946518702</v>
      </c>
      <c r="BJ19" s="95"/>
      <c r="BK19" s="95"/>
      <c r="BL19" s="95"/>
      <c r="BM19" s="95"/>
    </row>
    <row r="20" spans="2:65" ht="12" customHeight="1">
      <c r="B20" s="1" t="s">
        <v>388</v>
      </c>
      <c r="H20" s="1" t="s">
        <v>388</v>
      </c>
      <c r="AC20" s="74" t="s">
        <v>389</v>
      </c>
      <c r="AD20" s="75">
        <v>0</v>
      </c>
      <c r="AE20" s="75">
        <v>0</v>
      </c>
      <c r="AF20" s="75">
        <v>753767748</v>
      </c>
      <c r="AG20" s="75">
        <v>0</v>
      </c>
      <c r="AH20" s="75">
        <v>0</v>
      </c>
      <c r="AI20" s="75">
        <v>0</v>
      </c>
      <c r="AJ20" s="75">
        <v>0</v>
      </c>
      <c r="AK20" s="75">
        <v>0</v>
      </c>
      <c r="AL20" s="75">
        <v>0</v>
      </c>
      <c r="AM20" s="75">
        <v>153951814</v>
      </c>
      <c r="AN20" s="75">
        <v>0</v>
      </c>
      <c r="AO20" s="75">
        <v>0</v>
      </c>
      <c r="AP20" s="75">
        <v>0</v>
      </c>
      <c r="AQ20" s="75">
        <v>359787811</v>
      </c>
      <c r="AR20" s="75">
        <v>295622560</v>
      </c>
      <c r="AS20" s="75">
        <v>71312199</v>
      </c>
      <c r="AT20" s="75">
        <v>0</v>
      </c>
      <c r="AU20" s="75">
        <v>0</v>
      </c>
      <c r="AV20" s="75">
        <v>112916318</v>
      </c>
      <c r="AW20" s="75">
        <v>0</v>
      </c>
      <c r="AX20" s="75">
        <v>0</v>
      </c>
      <c r="AY20" s="75">
        <v>28406661</v>
      </c>
      <c r="AZ20" s="75">
        <v>0</v>
      </c>
      <c r="BA20" s="75">
        <v>48531349</v>
      </c>
      <c r="BB20" s="75">
        <v>0</v>
      </c>
      <c r="BC20" s="75">
        <v>0</v>
      </c>
      <c r="BD20" s="75">
        <v>0</v>
      </c>
      <c r="BE20" s="75">
        <v>0</v>
      </c>
      <c r="BF20" s="75">
        <v>0</v>
      </c>
      <c r="BG20" s="75">
        <v>542146286</v>
      </c>
      <c r="BH20" s="75">
        <v>1162306626</v>
      </c>
      <c r="BI20" s="75">
        <v>119843548</v>
      </c>
      <c r="BJ20" s="95"/>
      <c r="BK20" s="95"/>
      <c r="BL20" s="95"/>
      <c r="BM20" s="95"/>
    </row>
    <row r="21" spans="2:65" ht="19.5" customHeight="1">
      <c r="B21" s="43" t="s">
        <v>390</v>
      </c>
      <c r="C21" s="44"/>
      <c r="D21" s="44"/>
      <c r="E21" s="44"/>
      <c r="F21" s="45"/>
      <c r="H21" s="43" t="s">
        <v>391</v>
      </c>
      <c r="I21" s="44"/>
      <c r="J21" s="44"/>
      <c r="K21" s="44"/>
      <c r="L21" s="45"/>
      <c r="P21" s="43" t="s">
        <v>392</v>
      </c>
      <c r="Q21" s="44"/>
      <c r="R21" s="44"/>
      <c r="S21" s="44"/>
      <c r="T21" s="45"/>
      <c r="V21" s="43" t="s">
        <v>393</v>
      </c>
      <c r="W21" s="44"/>
      <c r="X21" s="44"/>
      <c r="Y21" s="44"/>
      <c r="Z21" s="45"/>
      <c r="AC21" s="429" t="s">
        <v>394</v>
      </c>
      <c r="AD21" s="430">
        <v>79496339860</v>
      </c>
      <c r="AE21" s="430">
        <v>91134624165</v>
      </c>
      <c r="AF21" s="430">
        <v>100635870628</v>
      </c>
      <c r="AG21" s="430">
        <v>53776074058</v>
      </c>
      <c r="AH21" s="430">
        <v>6904521680</v>
      </c>
      <c r="AI21" s="430">
        <v>4638819956</v>
      </c>
      <c r="AJ21" s="430">
        <v>2329360337</v>
      </c>
      <c r="AK21" s="430">
        <v>810891375</v>
      </c>
      <c r="AL21" s="430">
        <v>4306574911</v>
      </c>
      <c r="AM21" s="430">
        <v>4328243781</v>
      </c>
      <c r="AN21" s="430">
        <v>2487175993</v>
      </c>
      <c r="AO21" s="430">
        <v>1024798706</v>
      </c>
      <c r="AP21" s="430">
        <v>2078310820</v>
      </c>
      <c r="AQ21" s="430">
        <v>2613312799</v>
      </c>
      <c r="AR21" s="430">
        <v>2979077688</v>
      </c>
      <c r="AS21" s="430">
        <v>1168655884</v>
      </c>
      <c r="AT21" s="430">
        <v>37098437</v>
      </c>
      <c r="AU21" s="430">
        <v>43843716</v>
      </c>
      <c r="AV21" s="430">
        <v>114002499</v>
      </c>
      <c r="AW21" s="430">
        <v>57467814</v>
      </c>
      <c r="AX21" s="430">
        <v>0</v>
      </c>
      <c r="AY21" s="430">
        <v>0</v>
      </c>
      <c r="AZ21" s="430">
        <v>0</v>
      </c>
      <c r="BA21" s="430">
        <v>0</v>
      </c>
      <c r="BB21" s="430">
        <v>0</v>
      </c>
      <c r="BC21" s="430">
        <v>88</v>
      </c>
      <c r="BD21" s="430">
        <v>76</v>
      </c>
      <c r="BE21" s="430">
        <v>19</v>
      </c>
      <c r="BF21" s="430">
        <v>92822845708</v>
      </c>
      <c r="BG21" s="430">
        <v>102758844505</v>
      </c>
      <c r="BH21" s="430">
        <v>108545487221</v>
      </c>
      <c r="BI21" s="430">
        <v>56837887856</v>
      </c>
      <c r="BJ21" s="95"/>
      <c r="BK21" s="95"/>
      <c r="BL21" s="95"/>
      <c r="BM21" s="95"/>
    </row>
    <row r="22" spans="2:65" ht="12" customHeight="1">
      <c r="B22" s="46"/>
      <c r="C22" s="47" t="s">
        <v>77</v>
      </c>
      <c r="D22" s="47" t="s">
        <v>78</v>
      </c>
      <c r="E22" s="47" t="s">
        <v>79</v>
      </c>
      <c r="F22" s="12" t="s">
        <v>80</v>
      </c>
      <c r="H22" s="46"/>
      <c r="I22" s="47" t="s">
        <v>77</v>
      </c>
      <c r="J22" s="47" t="s">
        <v>78</v>
      </c>
      <c r="K22" s="47" t="s">
        <v>79</v>
      </c>
      <c r="L22" s="12" t="s">
        <v>80</v>
      </c>
      <c r="P22" s="46"/>
      <c r="Q22" s="47" t="s">
        <v>77</v>
      </c>
      <c r="R22" s="47" t="s">
        <v>78</v>
      </c>
      <c r="S22" s="47" t="s">
        <v>79</v>
      </c>
      <c r="T22" s="12" t="s">
        <v>80</v>
      </c>
      <c r="V22" s="46"/>
      <c r="W22" s="47" t="s">
        <v>77</v>
      </c>
      <c r="X22" s="47" t="s">
        <v>78</v>
      </c>
      <c r="Y22" s="47" t="s">
        <v>79</v>
      </c>
      <c r="Z22" s="12" t="s">
        <v>80</v>
      </c>
      <c r="AC22" s="80" t="s">
        <v>395</v>
      </c>
      <c r="AD22" s="81">
        <v>872209921</v>
      </c>
      <c r="AE22" s="81">
        <v>2713731802</v>
      </c>
      <c r="AF22" s="81">
        <v>5599311409</v>
      </c>
      <c r="AG22" s="81">
        <v>3957593254</v>
      </c>
      <c r="AH22" s="81">
        <v>95097230</v>
      </c>
      <c r="AI22" s="81">
        <v>880827696</v>
      </c>
      <c r="AJ22" s="81">
        <v>477290664</v>
      </c>
      <c r="AK22" s="81">
        <v>-62882772</v>
      </c>
      <c r="AL22" s="81">
        <v>121402396</v>
      </c>
      <c r="AM22" s="81">
        <v>168858266</v>
      </c>
      <c r="AN22" s="81">
        <v>226473976</v>
      </c>
      <c r="AO22" s="81">
        <v>58489627</v>
      </c>
      <c r="AP22" s="81">
        <v>98692473</v>
      </c>
      <c r="AQ22" s="81">
        <v>213505452</v>
      </c>
      <c r="AR22" s="81">
        <v>692299992</v>
      </c>
      <c r="AS22" s="81">
        <v>246845949</v>
      </c>
      <c r="AT22" s="81">
        <v>-73255204</v>
      </c>
      <c r="AU22" s="81">
        <v>61968845</v>
      </c>
      <c r="AV22" s="81">
        <v>255742364</v>
      </c>
      <c r="AW22" s="81">
        <v>168460527</v>
      </c>
      <c r="AX22" s="81">
        <v>-10148543</v>
      </c>
      <c r="AY22" s="81">
        <v>769444670</v>
      </c>
      <c r="AZ22" s="81">
        <v>215016824</v>
      </c>
      <c r="BA22" s="81">
        <v>139981335</v>
      </c>
      <c r="BB22" s="81">
        <v>145416396</v>
      </c>
      <c r="BC22" s="81">
        <v>148956089</v>
      </c>
      <c r="BD22" s="81">
        <v>302911089</v>
      </c>
      <c r="BE22" s="81">
        <v>701326132</v>
      </c>
      <c r="BF22" s="81">
        <v>1249414669</v>
      </c>
      <c r="BG22" s="81">
        <v>4957292820</v>
      </c>
      <c r="BH22" s="81">
        <v>7769046318</v>
      </c>
      <c r="BI22" s="81">
        <v>5209814052</v>
      </c>
      <c r="BJ22" s="95"/>
      <c r="BK22" s="95"/>
      <c r="BL22" s="95"/>
      <c r="BM22" s="95"/>
    </row>
    <row r="23" spans="2:65" ht="12" customHeight="1">
      <c r="B23" s="13" t="s">
        <v>83</v>
      </c>
      <c r="C23" s="14" t="s">
        <v>84</v>
      </c>
      <c r="D23" s="14" t="s">
        <v>84</v>
      </c>
      <c r="E23" s="14" t="s">
        <v>84</v>
      </c>
      <c r="F23" s="15" t="s">
        <v>85</v>
      </c>
      <c r="H23" s="13" t="s">
        <v>83</v>
      </c>
      <c r="I23" s="14" t="s">
        <v>84</v>
      </c>
      <c r="J23" s="14" t="s">
        <v>84</v>
      </c>
      <c r="K23" s="14" t="s">
        <v>84</v>
      </c>
      <c r="L23" s="15" t="s">
        <v>85</v>
      </c>
      <c r="P23" s="13" t="s">
        <v>83</v>
      </c>
      <c r="Q23" s="14" t="s">
        <v>84</v>
      </c>
      <c r="R23" s="14" t="s">
        <v>84</v>
      </c>
      <c r="S23" s="14" t="s">
        <v>84</v>
      </c>
      <c r="T23" s="15" t="s">
        <v>85</v>
      </c>
      <c r="V23" s="13" t="s">
        <v>83</v>
      </c>
      <c r="W23" s="14" t="s">
        <v>84</v>
      </c>
      <c r="X23" s="14" t="s">
        <v>84</v>
      </c>
      <c r="Y23" s="14" t="s">
        <v>84</v>
      </c>
      <c r="Z23" s="15" t="s">
        <v>85</v>
      </c>
      <c r="AC23" s="78" t="s">
        <v>396</v>
      </c>
      <c r="AD23" s="79">
        <v>15897574834</v>
      </c>
      <c r="AE23" s="79">
        <v>16802319550</v>
      </c>
      <c r="AF23" s="79">
        <v>19043835465</v>
      </c>
      <c r="AG23" s="79">
        <v>10200542535</v>
      </c>
      <c r="AH23" s="79">
        <v>3896287561</v>
      </c>
      <c r="AI23" s="79">
        <v>3811724094</v>
      </c>
      <c r="AJ23" s="79">
        <v>3990015763</v>
      </c>
      <c r="AK23" s="79">
        <v>2424188211</v>
      </c>
      <c r="AL23" s="79">
        <v>3238984507</v>
      </c>
      <c r="AM23" s="79">
        <v>3615780336</v>
      </c>
      <c r="AN23" s="79">
        <v>3124181023</v>
      </c>
      <c r="AO23" s="79">
        <v>1483098461</v>
      </c>
      <c r="AP23" s="79">
        <v>3399532901</v>
      </c>
      <c r="AQ23" s="79">
        <v>3746401163</v>
      </c>
      <c r="AR23" s="79">
        <v>4130731882</v>
      </c>
      <c r="AS23" s="79">
        <v>2640979146</v>
      </c>
      <c r="AT23" s="79">
        <v>2251143658</v>
      </c>
      <c r="AU23" s="79">
        <v>2526566429</v>
      </c>
      <c r="AV23" s="79">
        <v>2512871457</v>
      </c>
      <c r="AW23" s="79">
        <v>1290843016</v>
      </c>
      <c r="AX23" s="79">
        <v>354379091</v>
      </c>
      <c r="AY23" s="79">
        <v>1637897875</v>
      </c>
      <c r="AZ23" s="79">
        <v>1794436931</v>
      </c>
      <c r="BA23" s="79">
        <v>1258110527</v>
      </c>
      <c r="BB23" s="79">
        <v>2333386</v>
      </c>
      <c r="BC23" s="79">
        <v>4128046</v>
      </c>
      <c r="BD23" s="79">
        <v>-13309182</v>
      </c>
      <c r="BE23" s="79">
        <v>483540</v>
      </c>
      <c r="BF23" s="79">
        <v>29040235938</v>
      </c>
      <c r="BG23" s="79">
        <v>32144817493</v>
      </c>
      <c r="BH23" s="79">
        <v>34582763339</v>
      </c>
      <c r="BI23" s="79">
        <v>19298245436</v>
      </c>
      <c r="BJ23" s="40">
        <f t="shared" ref="BJ23:BM26" si="3">BF23/BF$12</f>
        <v>5.4941186295007036E-2</v>
      </c>
      <c r="BK23" s="40">
        <f t="shared" si="3"/>
        <v>5.7841440213524026E-2</v>
      </c>
      <c r="BL23" s="40">
        <f t="shared" si="3"/>
        <v>5.9148966185930157E-2</v>
      </c>
      <c r="BM23" s="40">
        <f t="shared" si="3"/>
        <v>6.3497143864967742E-2</v>
      </c>
    </row>
    <row r="24" spans="2:65" ht="12" customHeight="1">
      <c r="B24" s="65" t="s">
        <v>216</v>
      </c>
      <c r="C24" s="67">
        <f t="shared" ref="C24:F25" si="4">Q7+Q87</f>
        <v>349368261452</v>
      </c>
      <c r="D24" s="67">
        <f t="shared" si="4"/>
        <v>383703631062</v>
      </c>
      <c r="E24" s="67">
        <f t="shared" si="4"/>
        <v>416255766137</v>
      </c>
      <c r="F24" s="68">
        <f t="shared" si="4"/>
        <v>220196261096</v>
      </c>
      <c r="H24" s="65" t="s">
        <v>362</v>
      </c>
      <c r="I24" s="67">
        <f t="shared" ref="I24:L28" si="5">W7+W87</f>
        <v>349368261452</v>
      </c>
      <c r="J24" s="67">
        <f t="shared" si="5"/>
        <v>383703631062</v>
      </c>
      <c r="K24" s="67">
        <f t="shared" si="5"/>
        <v>416255766137</v>
      </c>
      <c r="L24" s="68">
        <f t="shared" si="5"/>
        <v>220196261096</v>
      </c>
      <c r="P24" s="65" t="s">
        <v>216</v>
      </c>
      <c r="Q24" s="67">
        <f>AH12</f>
        <v>69649481160</v>
      </c>
      <c r="R24" s="67">
        <f>AI12</f>
        <v>63547706707</v>
      </c>
      <c r="S24" s="67">
        <f>AJ12</f>
        <v>56026768138</v>
      </c>
      <c r="T24" s="68">
        <f>AK12</f>
        <v>27146825614</v>
      </c>
      <c r="V24" s="65" t="s">
        <v>362</v>
      </c>
      <c r="W24" s="67">
        <f t="shared" ref="W24:Z25" si="6">AH12</f>
        <v>69649481160</v>
      </c>
      <c r="X24" s="67">
        <f t="shared" si="6"/>
        <v>63547706707</v>
      </c>
      <c r="Y24" s="67">
        <f t="shared" si="6"/>
        <v>56026768138</v>
      </c>
      <c r="Z24" s="68">
        <f t="shared" si="6"/>
        <v>27146825614</v>
      </c>
      <c r="AC24" s="74" t="s">
        <v>397</v>
      </c>
      <c r="AD24" s="75">
        <v>1445166144</v>
      </c>
      <c r="AE24" s="75">
        <v>1520208795</v>
      </c>
      <c r="AF24" s="75">
        <v>1508590795</v>
      </c>
      <c r="AG24" s="75">
        <v>837340604</v>
      </c>
      <c r="AH24" s="75">
        <v>1004957948</v>
      </c>
      <c r="AI24" s="75">
        <v>1071886337</v>
      </c>
      <c r="AJ24" s="75">
        <v>1049398543</v>
      </c>
      <c r="AK24" s="75">
        <v>571690089</v>
      </c>
      <c r="AL24" s="75">
        <v>652969923</v>
      </c>
      <c r="AM24" s="75">
        <v>725152664</v>
      </c>
      <c r="AN24" s="75">
        <v>758458942</v>
      </c>
      <c r="AO24" s="75">
        <v>358344068</v>
      </c>
      <c r="AP24" s="75">
        <v>151093749</v>
      </c>
      <c r="AQ24" s="75">
        <v>186630451</v>
      </c>
      <c r="AR24" s="75">
        <v>189043006</v>
      </c>
      <c r="AS24" s="75">
        <v>136875448</v>
      </c>
      <c r="AT24" s="75">
        <v>80177168</v>
      </c>
      <c r="AU24" s="75">
        <v>212329393</v>
      </c>
      <c r="AV24" s="75">
        <v>217291539</v>
      </c>
      <c r="AW24" s="75">
        <v>135214526</v>
      </c>
      <c r="AX24" s="75">
        <v>0</v>
      </c>
      <c r="AY24" s="75">
        <v>0</v>
      </c>
      <c r="AZ24" s="75">
        <v>353937</v>
      </c>
      <c r="BA24" s="75">
        <v>117888</v>
      </c>
      <c r="BB24" s="75">
        <v>410159</v>
      </c>
      <c r="BC24" s="75">
        <v>536633</v>
      </c>
      <c r="BD24" s="75">
        <v>161304</v>
      </c>
      <c r="BE24" s="75">
        <v>46202</v>
      </c>
      <c r="BF24" s="75">
        <v>3334775091</v>
      </c>
      <c r="BG24" s="75">
        <v>3716744273</v>
      </c>
      <c r="BH24" s="75">
        <v>3723298066</v>
      </c>
      <c r="BI24" s="75">
        <v>2039628825</v>
      </c>
      <c r="BJ24" s="40">
        <f t="shared" si="3"/>
        <v>6.3090568519395497E-3</v>
      </c>
      <c r="BK24" s="40">
        <f t="shared" si="3"/>
        <v>6.6879160755074357E-3</v>
      </c>
      <c r="BL24" s="40">
        <f t="shared" si="3"/>
        <v>6.3681791199610167E-3</v>
      </c>
      <c r="BM24" s="40">
        <f t="shared" si="3"/>
        <v>6.7110041356694518E-3</v>
      </c>
    </row>
    <row r="25" spans="2:65" ht="12" customHeight="1">
      <c r="B25" s="66" t="s">
        <v>364</v>
      </c>
      <c r="C25" s="69">
        <f t="shared" si="4"/>
        <v>314982553442</v>
      </c>
      <c r="D25" s="69">
        <f t="shared" si="4"/>
        <v>347704095664</v>
      </c>
      <c r="E25" s="69">
        <f t="shared" si="4"/>
        <v>377756495497</v>
      </c>
      <c r="F25" s="70">
        <f t="shared" si="4"/>
        <v>199909703237</v>
      </c>
      <c r="H25" s="66" t="s">
        <v>365</v>
      </c>
      <c r="I25" s="69">
        <f t="shared" si="5"/>
        <v>237884897260</v>
      </c>
      <c r="J25" s="69">
        <f t="shared" si="5"/>
        <v>257151854227</v>
      </c>
      <c r="K25" s="69">
        <f t="shared" si="5"/>
        <v>279778853422</v>
      </c>
      <c r="L25" s="70">
        <f t="shared" si="5"/>
        <v>147483221913</v>
      </c>
      <c r="M25" s="406">
        <f>K25/K24</f>
        <v>0.67213207883808124</v>
      </c>
      <c r="P25" s="66" t="s">
        <v>364</v>
      </c>
      <c r="Q25" s="69">
        <f>AH36</f>
        <v>55935615384</v>
      </c>
      <c r="R25" s="69">
        <f>AI36</f>
        <v>51932549254</v>
      </c>
      <c r="S25" s="69">
        <f>AJ36</f>
        <v>45883493025</v>
      </c>
      <c r="T25" s="70">
        <f>AK36</f>
        <v>22633361107</v>
      </c>
      <c r="V25" s="66" t="s">
        <v>365</v>
      </c>
      <c r="W25" s="69">
        <f t="shared" si="6"/>
        <v>40702372545</v>
      </c>
      <c r="X25" s="69">
        <f t="shared" si="6"/>
        <v>37569239939</v>
      </c>
      <c r="Y25" s="69">
        <f t="shared" si="6"/>
        <v>30577437749</v>
      </c>
      <c r="Z25" s="70">
        <f t="shared" si="6"/>
        <v>14033459273</v>
      </c>
      <c r="AA25" s="406">
        <f>Y25/Y24</f>
        <v>0.54576479717131743</v>
      </c>
      <c r="AC25" s="80" t="s">
        <v>398</v>
      </c>
      <c r="AD25" s="81">
        <v>14452408690</v>
      </c>
      <c r="AE25" s="81">
        <v>15282110755</v>
      </c>
      <c r="AF25" s="81">
        <v>17535244670</v>
      </c>
      <c r="AG25" s="81">
        <v>9363201931</v>
      </c>
      <c r="AH25" s="81">
        <v>2891329613</v>
      </c>
      <c r="AI25" s="81">
        <v>2739837757</v>
      </c>
      <c r="AJ25" s="81">
        <v>2940617220</v>
      </c>
      <c r="AK25" s="81">
        <v>1852498122</v>
      </c>
      <c r="AL25" s="81">
        <v>2586014584</v>
      </c>
      <c r="AM25" s="81">
        <v>2890627672</v>
      </c>
      <c r="AN25" s="81">
        <v>2365722081</v>
      </c>
      <c r="AO25" s="81">
        <v>1124754393</v>
      </c>
      <c r="AP25" s="81">
        <v>3248439152</v>
      </c>
      <c r="AQ25" s="81">
        <v>3559770712</v>
      </c>
      <c r="AR25" s="81">
        <v>3941688876</v>
      </c>
      <c r="AS25" s="81">
        <v>2504103698</v>
      </c>
      <c r="AT25" s="81">
        <v>2170966490</v>
      </c>
      <c r="AU25" s="81">
        <v>2314237036</v>
      </c>
      <c r="AV25" s="81">
        <v>2295579918</v>
      </c>
      <c r="AW25" s="81">
        <v>1155628490</v>
      </c>
      <c r="AX25" s="81">
        <v>354379091</v>
      </c>
      <c r="AY25" s="81">
        <v>1637897875</v>
      </c>
      <c r="AZ25" s="81">
        <v>1794082994</v>
      </c>
      <c r="BA25" s="81">
        <v>1257992639</v>
      </c>
      <c r="BB25" s="81">
        <v>1923227</v>
      </c>
      <c r="BC25" s="81">
        <v>3591413</v>
      </c>
      <c r="BD25" s="81">
        <v>-13470486</v>
      </c>
      <c r="BE25" s="81">
        <v>437338</v>
      </c>
      <c r="BF25" s="81">
        <v>25705460847</v>
      </c>
      <c r="BG25" s="81">
        <v>28428073220</v>
      </c>
      <c r="BH25" s="81">
        <v>30859465273</v>
      </c>
      <c r="BI25" s="81">
        <v>17258616611</v>
      </c>
      <c r="BJ25" s="40">
        <f t="shared" si="3"/>
        <v>4.8632129443067489E-2</v>
      </c>
      <c r="BK25" s="40">
        <f t="shared" si="3"/>
        <v>5.115352413801659E-2</v>
      </c>
      <c r="BL25" s="40">
        <f t="shared" si="3"/>
        <v>5.2780787065969136E-2</v>
      </c>
      <c r="BM25" s="40">
        <f t="shared" si="3"/>
        <v>5.6786139729298295E-2</v>
      </c>
    </row>
    <row r="26" spans="2:65" ht="12" customHeight="1">
      <c r="B26" s="66" t="s">
        <v>367</v>
      </c>
      <c r="C26" s="69">
        <f>C24-C25</f>
        <v>34385708010</v>
      </c>
      <c r="D26" s="69">
        <f>D24-D25</f>
        <v>35999535398</v>
      </c>
      <c r="E26" s="69">
        <f>E24-E25</f>
        <v>38499270640</v>
      </c>
      <c r="F26" s="70">
        <f>F24-F25</f>
        <v>20286557859</v>
      </c>
      <c r="H26" s="66" t="s">
        <v>368</v>
      </c>
      <c r="I26" s="69">
        <f t="shared" si="5"/>
        <v>1445166144</v>
      </c>
      <c r="J26" s="69">
        <f t="shared" si="5"/>
        <v>1520208795</v>
      </c>
      <c r="K26" s="69">
        <f t="shared" si="5"/>
        <v>1508944732</v>
      </c>
      <c r="L26" s="70">
        <f t="shared" si="5"/>
        <v>837458492</v>
      </c>
      <c r="P26" s="66" t="s">
        <v>367</v>
      </c>
      <c r="Q26" s="69">
        <f>Q24-Q25</f>
        <v>13713865776</v>
      </c>
      <c r="R26" s="69">
        <f>R24-R25</f>
        <v>11615157453</v>
      </c>
      <c r="S26" s="69">
        <f>S24-S25</f>
        <v>10143275113</v>
      </c>
      <c r="T26" s="70">
        <f>T24-T25</f>
        <v>4513464507</v>
      </c>
      <c r="V26" s="66" t="s">
        <v>368</v>
      </c>
      <c r="W26" s="69">
        <f>AH24</f>
        <v>1004957948</v>
      </c>
      <c r="X26" s="69">
        <f>AI24</f>
        <v>1071886337</v>
      </c>
      <c r="Y26" s="69">
        <f>AJ24</f>
        <v>1049398543</v>
      </c>
      <c r="Z26" s="70">
        <f>AK24</f>
        <v>571690089</v>
      </c>
      <c r="AC26" s="78" t="s">
        <v>399</v>
      </c>
      <c r="AD26" s="79">
        <v>59176899395</v>
      </c>
      <c r="AE26" s="79">
        <v>68755517514</v>
      </c>
      <c r="AF26" s="79">
        <v>72820542206</v>
      </c>
      <c r="AG26" s="79">
        <v>38647288223</v>
      </c>
      <c r="AH26" s="79">
        <v>11336955278</v>
      </c>
      <c r="AI26" s="79">
        <v>10551585221</v>
      </c>
      <c r="AJ26" s="79">
        <v>11316039513</v>
      </c>
      <c r="AK26" s="79">
        <v>6175713623</v>
      </c>
      <c r="AL26" s="79">
        <v>10319637768</v>
      </c>
      <c r="AM26" s="79">
        <v>8645564890</v>
      </c>
      <c r="AN26" s="79">
        <v>6271873558</v>
      </c>
      <c r="AO26" s="79">
        <v>2797733352</v>
      </c>
      <c r="AP26" s="79">
        <v>8094232448</v>
      </c>
      <c r="AQ26" s="79">
        <v>8241409388</v>
      </c>
      <c r="AR26" s="79">
        <v>9531167938</v>
      </c>
      <c r="AS26" s="79">
        <v>5351428596</v>
      </c>
      <c r="AT26" s="79">
        <v>3792410229</v>
      </c>
      <c r="AU26" s="79">
        <v>3840255398</v>
      </c>
      <c r="AV26" s="79">
        <v>4240421828</v>
      </c>
      <c r="AW26" s="79">
        <v>2577496483</v>
      </c>
      <c r="AX26" s="79">
        <v>1668802862</v>
      </c>
      <c r="AY26" s="79">
        <v>3356506498</v>
      </c>
      <c r="AZ26" s="79">
        <v>4318827473</v>
      </c>
      <c r="BA26" s="79">
        <v>2320540039</v>
      </c>
      <c r="BB26" s="79">
        <v>27832040</v>
      </c>
      <c r="BC26" s="79">
        <v>16353947</v>
      </c>
      <c r="BD26" s="79">
        <v>15143191</v>
      </c>
      <c r="BE26" s="79">
        <v>15625506</v>
      </c>
      <c r="BF26" s="79">
        <v>94416770020</v>
      </c>
      <c r="BG26" s="79">
        <v>103407192856</v>
      </c>
      <c r="BH26" s="79">
        <v>108514015707</v>
      </c>
      <c r="BI26" s="79">
        <v>57885825822</v>
      </c>
      <c r="BJ26" s="40">
        <f t="shared" si="3"/>
        <v>0.17862696990880264</v>
      </c>
      <c r="BK26" s="40">
        <f t="shared" si="3"/>
        <v>0.1860710817391068</v>
      </c>
      <c r="BL26" s="40">
        <f t="shared" si="3"/>
        <v>0.18559800391990405</v>
      </c>
      <c r="BM26" s="40">
        <f t="shared" si="3"/>
        <v>0.19046211336422134</v>
      </c>
    </row>
    <row r="27" spans="2:65" ht="12" customHeight="1">
      <c r="B27" s="84" t="s">
        <v>370</v>
      </c>
      <c r="C27" s="85">
        <f>C26/C24</f>
        <v>9.8422529473886633E-2</v>
      </c>
      <c r="D27" s="85">
        <f>D26/D24</f>
        <v>9.3821200749030928E-2</v>
      </c>
      <c r="E27" s="85">
        <f>E26/E24</f>
        <v>9.2489459058517742E-2</v>
      </c>
      <c r="F27" s="86">
        <f>F26/F24</f>
        <v>9.2129438338444697E-2</v>
      </c>
      <c r="H27" s="66" t="s">
        <v>371</v>
      </c>
      <c r="I27" s="69">
        <f t="shared" si="5"/>
        <v>31681318813</v>
      </c>
      <c r="J27" s="69">
        <f t="shared" si="5"/>
        <v>37090176654</v>
      </c>
      <c r="K27" s="69">
        <f t="shared" si="5"/>
        <v>38774191908</v>
      </c>
      <c r="L27" s="70">
        <f t="shared" si="5"/>
        <v>21390807068</v>
      </c>
      <c r="P27" s="84" t="s">
        <v>370</v>
      </c>
      <c r="Q27" s="85">
        <f>Q26/Q$24</f>
        <v>0.19689831923508905</v>
      </c>
      <c r="R27" s="85">
        <f>R26/R$24</f>
        <v>0.18277854630622808</v>
      </c>
      <c r="S27" s="85">
        <f>S26/S$24</f>
        <v>0.18104337355344172</v>
      </c>
      <c r="T27" s="86">
        <f>T26/T$24</f>
        <v>0.16626122594136172</v>
      </c>
      <c r="V27" s="66" t="s">
        <v>371</v>
      </c>
      <c r="W27" s="69">
        <f>SUM(AH27:AH28)</f>
        <v>4638314703</v>
      </c>
      <c r="X27" s="69">
        <f>SUM(AI27:AI28)</f>
        <v>4440225075</v>
      </c>
      <c r="Y27" s="69">
        <f>SUM(AJ27:AJ28)</f>
        <v>4671184444</v>
      </c>
      <c r="Z27" s="70">
        <f>SUM(AK27:AK28)</f>
        <v>2648484755</v>
      </c>
      <c r="AC27" s="74" t="s">
        <v>400</v>
      </c>
      <c r="AD27" s="75">
        <v>30914895929</v>
      </c>
      <c r="AE27" s="75">
        <v>36837932975</v>
      </c>
      <c r="AF27" s="75">
        <v>38475725494</v>
      </c>
      <c r="AG27" s="75">
        <v>21238818686</v>
      </c>
      <c r="AH27" s="75">
        <v>3464466976</v>
      </c>
      <c r="AI27" s="75">
        <v>3446071067</v>
      </c>
      <c r="AJ27" s="75">
        <v>3635177576</v>
      </c>
      <c r="AK27" s="75">
        <v>2114484884</v>
      </c>
      <c r="AL27" s="75">
        <v>2004541301</v>
      </c>
      <c r="AM27" s="75">
        <v>1574194273</v>
      </c>
      <c r="AN27" s="75">
        <v>1207310175</v>
      </c>
      <c r="AO27" s="75">
        <v>514410377</v>
      </c>
      <c r="AP27" s="75">
        <v>2572891782</v>
      </c>
      <c r="AQ27" s="75">
        <v>3200256388</v>
      </c>
      <c r="AR27" s="75">
        <v>4088524433</v>
      </c>
      <c r="AS27" s="75">
        <v>2143522840</v>
      </c>
      <c r="AT27" s="75">
        <v>986636444</v>
      </c>
      <c r="AU27" s="75">
        <v>998221638</v>
      </c>
      <c r="AV27" s="75">
        <v>1161037993</v>
      </c>
      <c r="AW27" s="75">
        <v>847181313</v>
      </c>
      <c r="AX27" s="75">
        <v>0</v>
      </c>
      <c r="AY27" s="75">
        <v>0</v>
      </c>
      <c r="AZ27" s="75">
        <v>5496434</v>
      </c>
      <c r="BA27" s="75">
        <v>899440</v>
      </c>
      <c r="BB27" s="75">
        <v>13316</v>
      </c>
      <c r="BC27" s="75">
        <v>824826</v>
      </c>
      <c r="BD27" s="75">
        <v>13557868</v>
      </c>
      <c r="BE27" s="75">
        <v>2386376</v>
      </c>
      <c r="BF27" s="75">
        <v>39943445748</v>
      </c>
      <c r="BG27" s="75">
        <v>46057501167</v>
      </c>
      <c r="BH27" s="75">
        <v>48586829973</v>
      </c>
      <c r="BI27" s="75">
        <v>26861703916</v>
      </c>
      <c r="BJ27" s="40">
        <f>(BF27+BF28)/BF12</f>
        <v>8.0996498291494773E-2</v>
      </c>
      <c r="BK27" s="40">
        <f>(BG27+BG28)/BG12</f>
        <v>8.6186127475698301E-2</v>
      </c>
      <c r="BL27" s="40">
        <f>(BH27+BH28)/BH12</f>
        <v>8.6039366182446286E-2</v>
      </c>
      <c r="BM27" s="40">
        <f>(BI27+BI28)/BI12</f>
        <v>9.1129844218913819E-2</v>
      </c>
    </row>
    <row r="28" spans="2:65" ht="12" customHeight="1">
      <c r="B28" s="66" t="s">
        <v>373</v>
      </c>
      <c r="C28" s="69">
        <f>Q11+Q91</f>
        <v>29746723493</v>
      </c>
      <c r="D28" s="69">
        <f>R11+R91</f>
        <v>29613566321</v>
      </c>
      <c r="E28" s="69">
        <f>S11+S91</f>
        <v>33282505429</v>
      </c>
      <c r="F28" s="70">
        <f>T11+T91</f>
        <v>16089292544</v>
      </c>
      <c r="H28" s="66" t="s">
        <v>374</v>
      </c>
      <c r="I28" s="69">
        <f t="shared" si="5"/>
        <v>19714153292</v>
      </c>
      <c r="J28" s="69">
        <f t="shared" si="5"/>
        <v>20363100873</v>
      </c>
      <c r="K28" s="69">
        <f t="shared" si="5"/>
        <v>22294863091</v>
      </c>
      <c r="L28" s="70">
        <f t="shared" si="5"/>
        <v>10303078162</v>
      </c>
      <c r="P28" s="66" t="s">
        <v>373</v>
      </c>
      <c r="Q28" s="69">
        <f>AH41</f>
        <v>5633467235</v>
      </c>
      <c r="R28" s="69">
        <f>AI41</f>
        <v>4386481321</v>
      </c>
      <c r="S28" s="69">
        <f>AJ41</f>
        <v>3970390857</v>
      </c>
      <c r="T28" s="70">
        <f>AK41</f>
        <v>1899258526</v>
      </c>
      <c r="V28" s="66" t="s">
        <v>374</v>
      </c>
      <c r="W28" s="69">
        <f>SUM(AH42:AH45)</f>
        <v>3069867617</v>
      </c>
      <c r="X28" s="69">
        <f>SUM(AI42:AI45)</f>
        <v>2506225699</v>
      </c>
      <c r="Y28" s="69">
        <f>SUM(AJ42:AJ45)</f>
        <v>2225165274</v>
      </c>
      <c r="Z28" s="70">
        <f>SUM(AK42:AK45)</f>
        <v>1190511114</v>
      </c>
      <c r="AC28" s="74" t="s">
        <v>401</v>
      </c>
      <c r="AD28" s="75">
        <v>762522881</v>
      </c>
      <c r="AE28" s="75">
        <v>252243679</v>
      </c>
      <c r="AF28" s="75">
        <v>292848106</v>
      </c>
      <c r="AG28" s="75">
        <v>151088942</v>
      </c>
      <c r="AH28" s="75">
        <v>1173847727</v>
      </c>
      <c r="AI28" s="75">
        <v>994154008</v>
      </c>
      <c r="AJ28" s="75">
        <v>1036006868</v>
      </c>
      <c r="AK28" s="75">
        <v>533999871</v>
      </c>
      <c r="AL28" s="75">
        <v>696060813</v>
      </c>
      <c r="AM28" s="75">
        <v>535207820</v>
      </c>
      <c r="AN28" s="75">
        <v>330082419</v>
      </c>
      <c r="AO28" s="75">
        <v>119730427</v>
      </c>
      <c r="AP28" s="75">
        <v>156694766</v>
      </c>
      <c r="AQ28" s="75">
        <v>7807916</v>
      </c>
      <c r="AR28" s="75">
        <v>2863694</v>
      </c>
      <c r="AS28" s="75">
        <v>1930461</v>
      </c>
      <c r="AT28" s="75">
        <v>48231631</v>
      </c>
      <c r="AU28" s="75">
        <v>42164854</v>
      </c>
      <c r="AV28" s="75">
        <v>35106930</v>
      </c>
      <c r="AW28" s="75">
        <v>16035538</v>
      </c>
      <c r="AX28" s="75">
        <v>3900003</v>
      </c>
      <c r="AY28" s="75">
        <v>0</v>
      </c>
      <c r="AZ28" s="75">
        <v>121874</v>
      </c>
      <c r="BA28" s="75">
        <v>0</v>
      </c>
      <c r="BB28" s="75">
        <v>27575873</v>
      </c>
      <c r="BC28" s="75">
        <v>8022148</v>
      </c>
      <c r="BD28" s="75">
        <v>20976051</v>
      </c>
      <c r="BE28" s="75">
        <v>11970768</v>
      </c>
      <c r="BF28" s="75">
        <v>2868833694</v>
      </c>
      <c r="BG28" s="75">
        <v>1839600425</v>
      </c>
      <c r="BH28" s="75">
        <v>1718005942</v>
      </c>
      <c r="BI28" s="75">
        <v>834756007</v>
      </c>
      <c r="BJ28" s="40">
        <f>(BF27+BF28)/BF36</f>
        <v>8.9993637263302131E-2</v>
      </c>
      <c r="BK28" s="40">
        <f>(BG27+BG28)/BG36</f>
        <v>9.5900587547441254E-2</v>
      </c>
      <c r="BL28" s="40">
        <f>(BH27+BH28)/BH36</f>
        <v>9.5961666787825653E-2</v>
      </c>
      <c r="BM28" s="40">
        <f>(BI27+BI28)/BI36</f>
        <v>0.10144661952013792</v>
      </c>
    </row>
    <row r="29" spans="2:65" ht="12" customHeight="1">
      <c r="B29" s="66" t="s">
        <v>376</v>
      </c>
      <c r="C29" s="69">
        <f>C26-C28</f>
        <v>4638984517</v>
      </c>
      <c r="D29" s="69">
        <f>D26-D28</f>
        <v>6385969077</v>
      </c>
      <c r="E29" s="69">
        <f>E26-E28</f>
        <v>5216765211</v>
      </c>
      <c r="F29" s="70">
        <f>F26-F28</f>
        <v>4197265315</v>
      </c>
      <c r="H29" s="66" t="s">
        <v>377</v>
      </c>
      <c r="I29" s="69">
        <f>I24-SUM(I25:I28)</f>
        <v>58642725943</v>
      </c>
      <c r="J29" s="69">
        <f>J24-SUM(J25:J28)</f>
        <v>67578290513</v>
      </c>
      <c r="K29" s="69">
        <f>K24-SUM(K25:K28)</f>
        <v>73898912984</v>
      </c>
      <c r="L29" s="70">
        <f>L24-SUM(L25:L28)</f>
        <v>40181695461</v>
      </c>
      <c r="P29" s="66" t="s">
        <v>376</v>
      </c>
      <c r="Q29" s="69">
        <f>Q26-Q28</f>
        <v>8080398541</v>
      </c>
      <c r="R29" s="69">
        <f>R26-R28</f>
        <v>7228676132</v>
      </c>
      <c r="S29" s="69">
        <f>S26-S28</f>
        <v>6172884256</v>
      </c>
      <c r="T29" s="70">
        <f>T26-T28</f>
        <v>2614205981</v>
      </c>
      <c r="V29" s="66" t="s">
        <v>377</v>
      </c>
      <c r="W29" s="69">
        <f>W24-SUM(W25:W28)</f>
        <v>20233968347</v>
      </c>
      <c r="X29" s="69">
        <f>X24-SUM(X25:X28)</f>
        <v>17960129657</v>
      </c>
      <c r="Y29" s="69">
        <f>Y24-SUM(Y25:Y28)</f>
        <v>17503582128</v>
      </c>
      <c r="Z29" s="70">
        <f>Z24-SUM(Z25:Z28)</f>
        <v>8702680383</v>
      </c>
      <c r="AC29" s="74" t="s">
        <v>402</v>
      </c>
      <c r="AD29" s="75">
        <v>8696275869</v>
      </c>
      <c r="AE29" s="75">
        <v>8835499078</v>
      </c>
      <c r="AF29" s="75">
        <v>8883000531</v>
      </c>
      <c r="AG29" s="75">
        <v>4322323997</v>
      </c>
      <c r="AH29" s="75">
        <v>3220861350</v>
      </c>
      <c r="AI29" s="75">
        <v>2976608543</v>
      </c>
      <c r="AJ29" s="75">
        <v>3164262521</v>
      </c>
      <c r="AK29" s="75">
        <v>1653038085</v>
      </c>
      <c r="AL29" s="75">
        <v>2521309987</v>
      </c>
      <c r="AM29" s="75">
        <v>2289752101</v>
      </c>
      <c r="AN29" s="75">
        <v>1707557269</v>
      </c>
      <c r="AO29" s="75">
        <v>741372853</v>
      </c>
      <c r="AP29" s="75">
        <v>1611583267</v>
      </c>
      <c r="AQ29" s="75">
        <v>1293504907</v>
      </c>
      <c r="AR29" s="75">
        <v>1319140408</v>
      </c>
      <c r="AS29" s="75">
        <v>829653446</v>
      </c>
      <c r="AT29" s="75">
        <v>791826928</v>
      </c>
      <c r="AU29" s="75">
        <v>719191097</v>
      </c>
      <c r="AV29" s="75">
        <v>793069243</v>
      </c>
      <c r="AW29" s="75">
        <v>489902698</v>
      </c>
      <c r="AX29" s="75">
        <v>139773133</v>
      </c>
      <c r="AY29" s="75">
        <v>322897695</v>
      </c>
      <c r="AZ29" s="75">
        <v>446332086</v>
      </c>
      <c r="BA29" s="75">
        <v>460763180</v>
      </c>
      <c r="BB29" s="75">
        <v>166614</v>
      </c>
      <c r="BC29" s="75">
        <v>3999557</v>
      </c>
      <c r="BD29" s="75">
        <v>-2339723</v>
      </c>
      <c r="BE29" s="75">
        <v>805916</v>
      </c>
      <c r="BF29" s="75">
        <v>16981797148</v>
      </c>
      <c r="BG29" s="75">
        <v>16441452978</v>
      </c>
      <c r="BH29" s="75">
        <v>16311022335</v>
      </c>
      <c r="BI29" s="75">
        <v>8497860175</v>
      </c>
      <c r="BJ29" s="40">
        <f>(BF27+BF28)/BF6</f>
        <v>8.2435216392912389E-2</v>
      </c>
      <c r="BK29" s="40">
        <f>(BG27+BG28)/BG6</f>
        <v>9.0581575500002898E-2</v>
      </c>
      <c r="BL29" s="40">
        <f>(BH27+BH28)/BH6</f>
        <v>9.3822316272752435E-2</v>
      </c>
      <c r="BM29" s="40">
        <f>(BI27+BI28)/BI6</f>
        <v>9.9196797591645708E-2</v>
      </c>
    </row>
    <row r="30" spans="2:65" ht="12" customHeight="1" thickBot="1">
      <c r="B30" s="87" t="s">
        <v>379</v>
      </c>
      <c r="C30" s="88">
        <f>C29/C24</f>
        <v>1.327820820849622E-2</v>
      </c>
      <c r="D30" s="88">
        <f>D29/D24</f>
        <v>1.664297275302077E-2</v>
      </c>
      <c r="E30" s="88">
        <f>E29/E24</f>
        <v>1.253259566687428E-2</v>
      </c>
      <c r="F30" s="89">
        <f>F29/F24</f>
        <v>1.9061474041878024E-2</v>
      </c>
      <c r="H30" s="87" t="s">
        <v>380</v>
      </c>
      <c r="I30" s="88">
        <f>I29/I24</f>
        <v>0.16785361583584196</v>
      </c>
      <c r="J30" s="88">
        <f>J29/J24</f>
        <v>0.17612106074148798</v>
      </c>
      <c r="K30" s="88">
        <f>K29/K24</f>
        <v>0.17753246680474344</v>
      </c>
      <c r="L30" s="89">
        <f>L29/L24</f>
        <v>0.18248127947768286</v>
      </c>
      <c r="P30" s="87" t="s">
        <v>379</v>
      </c>
      <c r="Q30" s="88">
        <f>Q29/Q$24</f>
        <v>0.11601520077999673</v>
      </c>
      <c r="R30" s="88">
        <f>R29/R$24</f>
        <v>0.11375195906485382</v>
      </c>
      <c r="S30" s="88">
        <f>S29/S$24</f>
        <v>0.11017741092606873</v>
      </c>
      <c r="T30" s="89">
        <f>T29/T$24</f>
        <v>9.6298772393182394E-2</v>
      </c>
      <c r="V30" s="87" t="s">
        <v>380</v>
      </c>
      <c r="W30" s="88">
        <f>W29/W$24</f>
        <v>0.29051140094666572</v>
      </c>
      <c r="X30" s="88">
        <f>X29/X$24</f>
        <v>0.28262435558546489</v>
      </c>
      <c r="Y30" s="88">
        <f>Y29/Y$24</f>
        <v>0.31241463160764121</v>
      </c>
      <c r="Z30" s="89">
        <f>Z29/Z$24</f>
        <v>0.32057819601979193</v>
      </c>
      <c r="AC30" s="74" t="s">
        <v>403</v>
      </c>
      <c r="AD30" s="75">
        <v>2396504452</v>
      </c>
      <c r="AE30" s="75">
        <v>2570390228</v>
      </c>
      <c r="AF30" s="75">
        <v>3036207304</v>
      </c>
      <c r="AG30" s="75">
        <v>1323764936</v>
      </c>
      <c r="AH30" s="75">
        <v>273598619</v>
      </c>
      <c r="AI30" s="75">
        <v>173833724</v>
      </c>
      <c r="AJ30" s="75">
        <v>210137689</v>
      </c>
      <c r="AK30" s="75">
        <v>97697489</v>
      </c>
      <c r="AL30" s="75">
        <v>2293056963</v>
      </c>
      <c r="AM30" s="75">
        <v>1518417251</v>
      </c>
      <c r="AN30" s="75">
        <v>612343695</v>
      </c>
      <c r="AO30" s="75">
        <v>163120330</v>
      </c>
      <c r="AP30" s="75">
        <v>1328656227</v>
      </c>
      <c r="AQ30" s="75">
        <v>1055640261</v>
      </c>
      <c r="AR30" s="75">
        <v>992074466</v>
      </c>
      <c r="AS30" s="75">
        <v>512608689</v>
      </c>
      <c r="AT30" s="75">
        <v>429186349</v>
      </c>
      <c r="AU30" s="75">
        <v>459691319</v>
      </c>
      <c r="AV30" s="75">
        <v>526438893</v>
      </c>
      <c r="AW30" s="75">
        <v>234843192</v>
      </c>
      <c r="AX30" s="75">
        <v>144017232</v>
      </c>
      <c r="AY30" s="75">
        <v>119235230</v>
      </c>
      <c r="AZ30" s="75">
        <v>213452109</v>
      </c>
      <c r="BA30" s="75">
        <v>68515527</v>
      </c>
      <c r="BB30" s="75">
        <v>-466</v>
      </c>
      <c r="BC30" s="75">
        <v>1146816</v>
      </c>
      <c r="BD30" s="75">
        <v>-3311278</v>
      </c>
      <c r="BE30" s="75">
        <v>102117</v>
      </c>
      <c r="BF30" s="75">
        <v>6865019376</v>
      </c>
      <c r="BG30" s="75">
        <v>5898354829</v>
      </c>
      <c r="BH30" s="75">
        <v>5587342878</v>
      </c>
      <c r="BI30" s="75">
        <v>2400652280</v>
      </c>
      <c r="BJ30" s="95"/>
      <c r="BK30" s="95"/>
      <c r="BL30" s="95"/>
      <c r="BM30" s="95"/>
    </row>
    <row r="31" spans="2:65" ht="12" customHeight="1">
      <c r="C31" s="48"/>
      <c r="D31" s="48"/>
      <c r="E31" s="48"/>
      <c r="F31" s="48"/>
      <c r="I31" s="48"/>
      <c r="J31" s="48"/>
      <c r="K31" s="48"/>
      <c r="L31" s="48"/>
      <c r="Q31" s="48"/>
      <c r="R31" s="48"/>
      <c r="S31" s="48"/>
      <c r="T31" s="48"/>
      <c r="W31" s="48"/>
      <c r="X31" s="48"/>
      <c r="Y31" s="48"/>
      <c r="Z31" s="48"/>
      <c r="AC31" s="74" t="s">
        <v>404</v>
      </c>
      <c r="AD31" s="75">
        <v>10643737180</v>
      </c>
      <c r="AE31" s="75">
        <v>12762486030</v>
      </c>
      <c r="AF31" s="75">
        <v>14734530846</v>
      </c>
      <c r="AG31" s="75">
        <v>7761834307</v>
      </c>
      <c r="AH31" s="75">
        <v>2651990905</v>
      </c>
      <c r="AI31" s="75">
        <v>2504213403</v>
      </c>
      <c r="AJ31" s="75">
        <v>2834756463</v>
      </c>
      <c r="AK31" s="75">
        <v>1561009202</v>
      </c>
      <c r="AL31" s="75">
        <v>2470471382</v>
      </c>
      <c r="AM31" s="75">
        <v>2534223827</v>
      </c>
      <c r="AN31" s="75">
        <v>2125881731</v>
      </c>
      <c r="AO31" s="75">
        <v>1069828950</v>
      </c>
      <c r="AP31" s="75">
        <v>2219255953</v>
      </c>
      <c r="AQ31" s="75">
        <v>2499389337</v>
      </c>
      <c r="AR31" s="75">
        <v>2943286617</v>
      </c>
      <c r="AS31" s="75">
        <v>1764859319</v>
      </c>
      <c r="AT31" s="75">
        <v>1442228048</v>
      </c>
      <c r="AU31" s="75">
        <v>1486421283</v>
      </c>
      <c r="AV31" s="75">
        <v>1552059072</v>
      </c>
      <c r="AW31" s="75">
        <v>872888999</v>
      </c>
      <c r="AX31" s="75">
        <v>344416445</v>
      </c>
      <c r="AY31" s="75">
        <v>1716183161</v>
      </c>
      <c r="AZ31" s="75">
        <v>2162124501</v>
      </c>
      <c r="BA31" s="75">
        <v>1007525326</v>
      </c>
      <c r="BB31" s="75">
        <v>69784</v>
      </c>
      <c r="BC31" s="75">
        <v>2324471</v>
      </c>
      <c r="BD31" s="75">
        <v>-9104901</v>
      </c>
      <c r="BE31" s="75">
        <v>352027</v>
      </c>
      <c r="BF31" s="75">
        <v>19772169697</v>
      </c>
      <c r="BG31" s="75">
        <v>23505241512</v>
      </c>
      <c r="BH31" s="75">
        <v>26343534329</v>
      </c>
      <c r="BI31" s="75">
        <v>14038298130</v>
      </c>
      <c r="BJ31" s="95"/>
      <c r="BK31" s="95"/>
      <c r="BL31" s="95"/>
      <c r="BM31" s="95"/>
    </row>
    <row r="32" spans="2:65" ht="12" customHeight="1">
      <c r="C32" s="48"/>
      <c r="D32" s="48"/>
      <c r="E32" s="48"/>
      <c r="F32" s="48"/>
      <c r="H32" s="1" t="s">
        <v>383</v>
      </c>
      <c r="I32" s="16">
        <f>C25-SUM(I25:I27)</f>
        <v>43971171225</v>
      </c>
      <c r="J32" s="16">
        <f>D25-SUM(J25:J27)</f>
        <v>51941855988</v>
      </c>
      <c r="K32" s="16">
        <f>E25-SUM(K25:K27)</f>
        <v>57694505435</v>
      </c>
      <c r="L32" s="16">
        <f>F25-SUM(L25:L27)</f>
        <v>30198215764</v>
      </c>
      <c r="Q32" s="48"/>
      <c r="R32" s="48"/>
      <c r="S32" s="48"/>
      <c r="T32" s="48"/>
      <c r="W32" s="48"/>
      <c r="X32" s="48"/>
      <c r="Y32" s="48"/>
      <c r="Z32" s="48"/>
      <c r="AC32" s="96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5"/>
      <c r="BK32" s="95"/>
      <c r="BL32" s="95"/>
      <c r="BM32" s="95"/>
    </row>
    <row r="33" spans="2:65" ht="12" customHeight="1">
      <c r="C33" s="48"/>
      <c r="D33" s="48"/>
      <c r="E33" s="48"/>
      <c r="F33" s="48"/>
      <c r="H33" s="1" t="s">
        <v>384</v>
      </c>
      <c r="I33" s="16">
        <f>C28-I28</f>
        <v>10032570201</v>
      </c>
      <c r="J33" s="16">
        <f>D28-J28</f>
        <v>9250465448</v>
      </c>
      <c r="K33" s="16">
        <f>E28-K28</f>
        <v>10987642338</v>
      </c>
      <c r="L33" s="16">
        <f>F28-L28</f>
        <v>5786214382</v>
      </c>
      <c r="Q33" s="48"/>
      <c r="R33" s="48"/>
      <c r="S33" s="48"/>
      <c r="T33" s="48"/>
      <c r="W33" s="48"/>
      <c r="X33" s="48"/>
      <c r="Y33" s="48"/>
      <c r="Z33" s="48"/>
      <c r="AC33" s="96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7"/>
      <c r="BH33" s="97"/>
      <c r="BI33" s="97"/>
      <c r="BJ33" s="95"/>
      <c r="BK33" s="95"/>
      <c r="BL33" s="95"/>
      <c r="BM33" s="95"/>
    </row>
    <row r="34" spans="2:65" ht="12" customHeight="1">
      <c r="C34" s="48"/>
      <c r="D34" s="48"/>
      <c r="E34" s="48"/>
      <c r="F34" s="48"/>
      <c r="H34" s="1" t="s">
        <v>376</v>
      </c>
      <c r="I34" s="16">
        <f>I29-I32-I33</f>
        <v>4638984517</v>
      </c>
      <c r="J34" s="16">
        <f>J29-J32-J33</f>
        <v>6385969077</v>
      </c>
      <c r="K34" s="16">
        <f>K29-K32-K33</f>
        <v>5216765211</v>
      </c>
      <c r="L34" s="16">
        <f>L29-L32-L33</f>
        <v>4197265315</v>
      </c>
      <c r="Q34" s="48"/>
      <c r="R34" s="48"/>
      <c r="S34" s="48"/>
      <c r="T34" s="48"/>
      <c r="W34" s="48"/>
      <c r="X34" s="48"/>
      <c r="Y34" s="48"/>
      <c r="Z34" s="48"/>
      <c r="AC34" s="96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5"/>
      <c r="BK34" s="95"/>
      <c r="BL34" s="95"/>
      <c r="BM34" s="95"/>
    </row>
    <row r="35" spans="2:65" ht="12" customHeight="1">
      <c r="C35" s="48"/>
      <c r="D35" s="48"/>
      <c r="E35" s="48"/>
      <c r="F35" s="48"/>
      <c r="I35" s="48"/>
      <c r="J35" s="48"/>
      <c r="K35" s="48"/>
      <c r="L35" s="48"/>
      <c r="Q35" s="48"/>
      <c r="R35" s="48"/>
      <c r="S35" s="48"/>
      <c r="T35" s="48"/>
      <c r="W35" s="48"/>
      <c r="X35" s="48"/>
      <c r="Y35" s="48"/>
      <c r="Z35" s="48"/>
      <c r="AC35" s="80" t="s">
        <v>405</v>
      </c>
      <c r="AD35" s="81">
        <v>5762963084</v>
      </c>
      <c r="AE35" s="81">
        <v>7496965524</v>
      </c>
      <c r="AF35" s="81">
        <v>7398229925</v>
      </c>
      <c r="AG35" s="81">
        <v>3849457355</v>
      </c>
      <c r="AH35" s="81">
        <v>552189701</v>
      </c>
      <c r="AI35" s="81">
        <v>456704476</v>
      </c>
      <c r="AJ35" s="81">
        <v>435698396</v>
      </c>
      <c r="AK35" s="81">
        <v>215484092</v>
      </c>
      <c r="AL35" s="81">
        <v>334197322</v>
      </c>
      <c r="AM35" s="81">
        <v>193769618</v>
      </c>
      <c r="AN35" s="81">
        <v>288698269</v>
      </c>
      <c r="AO35" s="81">
        <v>189270415</v>
      </c>
      <c r="AP35" s="81">
        <v>205150453</v>
      </c>
      <c r="AQ35" s="81">
        <v>184810579</v>
      </c>
      <c r="AR35" s="81">
        <v>185278320</v>
      </c>
      <c r="AS35" s="81">
        <v>98853841</v>
      </c>
      <c r="AT35" s="81">
        <v>94300829</v>
      </c>
      <c r="AU35" s="81">
        <v>134565207</v>
      </c>
      <c r="AV35" s="81">
        <v>172709697</v>
      </c>
      <c r="AW35" s="81">
        <v>116644743</v>
      </c>
      <c r="AX35" s="81">
        <v>1036696049</v>
      </c>
      <c r="AY35" s="81">
        <v>1198190412</v>
      </c>
      <c r="AZ35" s="81">
        <v>1491300469</v>
      </c>
      <c r="BA35" s="81">
        <v>782836566</v>
      </c>
      <c r="BB35" s="81">
        <v>6919</v>
      </c>
      <c r="BC35" s="81">
        <v>36129</v>
      </c>
      <c r="BD35" s="81">
        <v>-4634826</v>
      </c>
      <c r="BE35" s="81">
        <v>8302</v>
      </c>
      <c r="BF35" s="81">
        <v>7985504357</v>
      </c>
      <c r="BG35" s="81">
        <v>9665041945</v>
      </c>
      <c r="BH35" s="81">
        <v>9967280250</v>
      </c>
      <c r="BI35" s="81">
        <v>5252555314</v>
      </c>
      <c r="BJ35" s="95"/>
      <c r="BK35" s="95"/>
      <c r="BL35" s="95"/>
      <c r="BM35" s="95"/>
    </row>
    <row r="36" spans="2:65" ht="12" customHeight="1">
      <c r="C36" s="48"/>
      <c r="D36" s="48"/>
      <c r="E36" s="16">
        <f>E41-C41</f>
        <v>7830235609</v>
      </c>
      <c r="F36" s="48"/>
      <c r="I36" s="48"/>
      <c r="J36" s="48"/>
      <c r="K36" s="48"/>
      <c r="L36" s="48"/>
      <c r="Q36" s="48"/>
      <c r="R36" s="48"/>
      <c r="S36" s="16">
        <f>S41-Q41</f>
        <v>-13207630187</v>
      </c>
      <c r="T36" s="48"/>
      <c r="W36" s="48"/>
      <c r="X36" s="48"/>
      <c r="Y36" s="48"/>
      <c r="Z36" s="48"/>
      <c r="AC36" s="78" t="s">
        <v>406</v>
      </c>
      <c r="AD36" s="79">
        <v>269960864470</v>
      </c>
      <c r="AE36" s="79">
        <v>296358237035</v>
      </c>
      <c r="AF36" s="79">
        <v>322622742567</v>
      </c>
      <c r="AG36" s="79">
        <v>170152050497</v>
      </c>
      <c r="AH36" s="79">
        <v>55935615384</v>
      </c>
      <c r="AI36" s="79">
        <v>51932549254</v>
      </c>
      <c r="AJ36" s="79">
        <v>45883493025</v>
      </c>
      <c r="AK36" s="79">
        <v>22633361107</v>
      </c>
      <c r="AL36" s="79">
        <v>39903776435</v>
      </c>
      <c r="AM36" s="79">
        <v>33346355280</v>
      </c>
      <c r="AN36" s="79">
        <v>27471992170</v>
      </c>
      <c r="AO36" s="79">
        <v>10806206958</v>
      </c>
      <c r="AP36" s="79">
        <v>40184182492</v>
      </c>
      <c r="AQ36" s="79">
        <v>39007039367</v>
      </c>
      <c r="AR36" s="79">
        <v>41144640402</v>
      </c>
      <c r="AS36" s="79">
        <v>22107508735</v>
      </c>
      <c r="AT36" s="79">
        <v>20444683282</v>
      </c>
      <c r="AU36" s="79">
        <v>20280585202</v>
      </c>
      <c r="AV36" s="79">
        <v>21913518791</v>
      </c>
      <c r="AW36" s="79">
        <v>13184938671</v>
      </c>
      <c r="AX36" s="79">
        <v>45021688972</v>
      </c>
      <c r="AY36" s="79">
        <v>51345858629</v>
      </c>
      <c r="AZ36" s="79">
        <v>55133752930</v>
      </c>
      <c r="BA36" s="79">
        <v>29757652740</v>
      </c>
      <c r="BB36" s="79">
        <v>4274815175</v>
      </c>
      <c r="BC36" s="79">
        <v>7174715631</v>
      </c>
      <c r="BD36" s="79">
        <v>10047890073</v>
      </c>
      <c r="BE36" s="79">
        <v>4373390657</v>
      </c>
      <c r="BF36" s="79">
        <v>475725626210</v>
      </c>
      <c r="BG36" s="79">
        <v>499445340398</v>
      </c>
      <c r="BH36" s="79">
        <v>524218029958</v>
      </c>
      <c r="BI36" s="79">
        <v>273015109365</v>
      </c>
      <c r="BJ36" s="40">
        <f>BF36/BF$12</f>
        <v>0.90002472124241772</v>
      </c>
      <c r="BK36" s="40">
        <f>BG36/BG$12</f>
        <v>0.89870280964715366</v>
      </c>
      <c r="BL36" s="40">
        <f>BH36/BH$12</f>
        <v>0.89660141452817932</v>
      </c>
      <c r="BM36" s="40">
        <f>BI36/BI$12</f>
        <v>0.89830340971414868</v>
      </c>
    </row>
    <row r="37" spans="2:65" ht="12" customHeight="1">
      <c r="B37" s="1" t="s">
        <v>407</v>
      </c>
      <c r="C37" s="48"/>
      <c r="D37" s="48"/>
      <c r="E37" s="48"/>
      <c r="F37" s="48"/>
      <c r="H37" s="1" t="s">
        <v>407</v>
      </c>
      <c r="I37" s="48"/>
      <c r="J37" s="48"/>
      <c r="K37" s="48"/>
      <c r="L37" s="48"/>
      <c r="Q37" s="48"/>
      <c r="R37" s="48"/>
      <c r="S37" s="48"/>
      <c r="T37" s="48"/>
      <c r="W37" s="48"/>
      <c r="X37" s="48"/>
      <c r="Y37" s="48"/>
      <c r="Z37" s="48"/>
      <c r="AC37" s="74" t="s">
        <v>408</v>
      </c>
      <c r="AD37" s="75">
        <v>266371959648</v>
      </c>
      <c r="AE37" s="75">
        <v>285474498228</v>
      </c>
      <c r="AF37" s="75">
        <v>296774206703</v>
      </c>
      <c r="AG37" s="75">
        <v>157877720313</v>
      </c>
      <c r="AH37" s="75">
        <v>55657882275</v>
      </c>
      <c r="AI37" s="75">
        <v>50852780537</v>
      </c>
      <c r="AJ37" s="75">
        <v>45283672925</v>
      </c>
      <c r="AK37" s="75">
        <v>22639084240</v>
      </c>
      <c r="AL37" s="75">
        <v>39685616450</v>
      </c>
      <c r="AM37" s="75">
        <v>32574483861</v>
      </c>
      <c r="AN37" s="75">
        <v>24522340269</v>
      </c>
      <c r="AO37" s="75">
        <v>10319903753</v>
      </c>
      <c r="AP37" s="75">
        <v>40012334678</v>
      </c>
      <c r="AQ37" s="75">
        <v>37476657866</v>
      </c>
      <c r="AR37" s="75">
        <v>39871587392</v>
      </c>
      <c r="AS37" s="75">
        <v>21060312444</v>
      </c>
      <c r="AT37" s="75">
        <v>20514639416</v>
      </c>
      <c r="AU37" s="75">
        <v>20212712772</v>
      </c>
      <c r="AV37" s="75">
        <v>21473449525</v>
      </c>
      <c r="AW37" s="75">
        <v>12955122216</v>
      </c>
      <c r="AX37" s="75">
        <v>45013388477</v>
      </c>
      <c r="AY37" s="75">
        <v>48933333759</v>
      </c>
      <c r="AZ37" s="75">
        <v>54461919812</v>
      </c>
      <c r="BA37" s="75">
        <v>29141807146</v>
      </c>
      <c r="BB37" s="75">
        <v>922119518</v>
      </c>
      <c r="BC37" s="75">
        <v>274888081</v>
      </c>
      <c r="BD37" s="75">
        <v>374399993</v>
      </c>
      <c r="BE37" s="75">
        <v>145345028</v>
      </c>
      <c r="BF37" s="75">
        <v>468177940462</v>
      </c>
      <c r="BG37" s="75">
        <v>475799355104</v>
      </c>
      <c r="BH37" s="75">
        <v>482761576619</v>
      </c>
      <c r="BI37" s="75">
        <v>254139295140</v>
      </c>
      <c r="BJ37" s="95"/>
      <c r="BK37" s="95"/>
      <c r="BL37" s="95"/>
      <c r="BM37" s="95"/>
    </row>
    <row r="38" spans="2:65" ht="19.5" customHeight="1">
      <c r="B38" s="43" t="s">
        <v>409</v>
      </c>
      <c r="C38" s="44"/>
      <c r="D38" s="44"/>
      <c r="E38" s="44"/>
      <c r="F38" s="45"/>
      <c r="H38" s="43" t="s">
        <v>410</v>
      </c>
      <c r="I38" s="44"/>
      <c r="J38" s="44"/>
      <c r="K38" s="44"/>
      <c r="L38" s="45"/>
      <c r="P38" s="43" t="s">
        <v>409</v>
      </c>
      <c r="Q38" s="44"/>
      <c r="R38" s="44"/>
      <c r="S38" s="44"/>
      <c r="T38" s="45"/>
      <c r="V38" s="43" t="s">
        <v>410</v>
      </c>
      <c r="W38" s="44"/>
      <c r="X38" s="44"/>
      <c r="Y38" s="44"/>
      <c r="Z38" s="45"/>
      <c r="AC38" s="74" t="s">
        <v>411</v>
      </c>
      <c r="AD38" s="75">
        <v>2517688933</v>
      </c>
      <c r="AE38" s="75">
        <v>4603083969</v>
      </c>
      <c r="AF38" s="75">
        <v>7049907131</v>
      </c>
      <c r="AG38" s="75">
        <v>4092836283</v>
      </c>
      <c r="AH38" s="75">
        <v>219759182</v>
      </c>
      <c r="AI38" s="75">
        <v>198940782</v>
      </c>
      <c r="AJ38" s="75">
        <v>73205541</v>
      </c>
      <c r="AK38" s="75">
        <v>34589287</v>
      </c>
      <c r="AL38" s="75">
        <v>0</v>
      </c>
      <c r="AM38" s="75">
        <v>126185779</v>
      </c>
      <c r="AN38" s="75">
        <v>236343333</v>
      </c>
      <c r="AO38" s="75">
        <v>307809485</v>
      </c>
      <c r="AP38" s="75">
        <v>63420644</v>
      </c>
      <c r="AQ38" s="75">
        <v>211482355</v>
      </c>
      <c r="AR38" s="75">
        <v>141414834</v>
      </c>
      <c r="AS38" s="75">
        <v>415545819</v>
      </c>
      <c r="AT38" s="75">
        <v>0</v>
      </c>
      <c r="AU38" s="75">
        <v>3903587</v>
      </c>
      <c r="AV38" s="75">
        <v>910531</v>
      </c>
      <c r="AW38" s="75">
        <v>4545941</v>
      </c>
      <c r="AX38" s="75">
        <v>4355501</v>
      </c>
      <c r="AY38" s="75">
        <v>8679801</v>
      </c>
      <c r="AZ38" s="75">
        <v>2890847</v>
      </c>
      <c r="BA38" s="75">
        <v>3332730</v>
      </c>
      <c r="BB38" s="75">
        <v>2354667753</v>
      </c>
      <c r="BC38" s="75">
        <v>4328653660</v>
      </c>
      <c r="BD38" s="75">
        <v>4887011142</v>
      </c>
      <c r="BE38" s="75">
        <v>3003309984</v>
      </c>
      <c r="BF38" s="75">
        <v>5159892013</v>
      </c>
      <c r="BG38" s="75">
        <v>9480929933</v>
      </c>
      <c r="BH38" s="75">
        <v>12391683359</v>
      </c>
      <c r="BI38" s="75">
        <v>7861969529</v>
      </c>
    </row>
    <row r="39" spans="2:65" ht="12" customHeight="1">
      <c r="B39" s="46"/>
      <c r="C39" s="47" t="s">
        <v>77</v>
      </c>
      <c r="D39" s="47" t="s">
        <v>78</v>
      </c>
      <c r="E39" s="47" t="s">
        <v>79</v>
      </c>
      <c r="F39" s="12" t="s">
        <v>80</v>
      </c>
      <c r="H39" s="46"/>
      <c r="I39" s="47" t="s">
        <v>77</v>
      </c>
      <c r="J39" s="47" t="s">
        <v>78</v>
      </c>
      <c r="K39" s="47" t="s">
        <v>79</v>
      </c>
      <c r="L39" s="12" t="s">
        <v>80</v>
      </c>
      <c r="P39" s="46"/>
      <c r="Q39" s="47" t="s">
        <v>77</v>
      </c>
      <c r="R39" s="47" t="s">
        <v>78</v>
      </c>
      <c r="S39" s="47" t="s">
        <v>79</v>
      </c>
      <c r="T39" s="12" t="s">
        <v>80</v>
      </c>
      <c r="V39" s="46"/>
      <c r="W39" s="47" t="s">
        <v>77</v>
      </c>
      <c r="X39" s="47" t="s">
        <v>78</v>
      </c>
      <c r="Y39" s="47" t="s">
        <v>79</v>
      </c>
      <c r="Z39" s="12" t="s">
        <v>80</v>
      </c>
      <c r="AC39" s="80" t="s">
        <v>412</v>
      </c>
      <c r="AD39" s="81">
        <v>144353380</v>
      </c>
      <c r="AE39" s="81">
        <v>151487903</v>
      </c>
      <c r="AF39" s="81">
        <v>5035230767</v>
      </c>
      <c r="AG39" s="81">
        <v>1885539955</v>
      </c>
      <c r="AH39" s="81">
        <v>0</v>
      </c>
      <c r="AI39" s="81">
        <v>0</v>
      </c>
      <c r="AJ39" s="81">
        <v>0</v>
      </c>
      <c r="AK39" s="81">
        <v>0</v>
      </c>
      <c r="AL39" s="81">
        <v>88000000</v>
      </c>
      <c r="AM39" s="81">
        <v>307500000</v>
      </c>
      <c r="AN39" s="81">
        <v>1651535597</v>
      </c>
      <c r="AO39" s="81">
        <v>0</v>
      </c>
      <c r="AP39" s="81">
        <v>0</v>
      </c>
      <c r="AQ39" s="81">
        <v>0</v>
      </c>
      <c r="AR39" s="81">
        <v>0</v>
      </c>
      <c r="AS39" s="81">
        <v>0</v>
      </c>
      <c r="AT39" s="81">
        <v>0</v>
      </c>
      <c r="AU39" s="81">
        <v>0</v>
      </c>
      <c r="AV39" s="81">
        <v>0</v>
      </c>
      <c r="AW39" s="81">
        <v>0</v>
      </c>
      <c r="AX39" s="81">
        <v>0</v>
      </c>
      <c r="AY39" s="81">
        <v>0</v>
      </c>
      <c r="AZ39" s="81">
        <v>251346290</v>
      </c>
      <c r="BA39" s="81">
        <v>129000000</v>
      </c>
      <c r="BB39" s="81">
        <v>755338050</v>
      </c>
      <c r="BC39" s="81">
        <v>2238830294</v>
      </c>
      <c r="BD39" s="81">
        <v>4473291074</v>
      </c>
      <c r="BE39" s="81">
        <v>523409512</v>
      </c>
      <c r="BF39" s="81">
        <v>987691430</v>
      </c>
      <c r="BG39" s="81">
        <v>2697818197</v>
      </c>
      <c r="BH39" s="81">
        <v>11411403728</v>
      </c>
      <c r="BI39" s="81">
        <v>2537949467</v>
      </c>
    </row>
    <row r="40" spans="2:65" ht="12" customHeight="1">
      <c r="B40" s="13" t="s">
        <v>83</v>
      </c>
      <c r="C40" s="14" t="s">
        <v>84</v>
      </c>
      <c r="D40" s="14" t="s">
        <v>84</v>
      </c>
      <c r="E40" s="14" t="s">
        <v>84</v>
      </c>
      <c r="F40" s="15" t="s">
        <v>85</v>
      </c>
      <c r="H40" s="13" t="s">
        <v>83</v>
      </c>
      <c r="I40" s="14" t="s">
        <v>84</v>
      </c>
      <c r="J40" s="14" t="s">
        <v>84</v>
      </c>
      <c r="K40" s="14" t="s">
        <v>84</v>
      </c>
      <c r="L40" s="15" t="s">
        <v>85</v>
      </c>
      <c r="P40" s="13" t="s">
        <v>83</v>
      </c>
      <c r="Q40" s="14" t="s">
        <v>84</v>
      </c>
      <c r="R40" s="14" t="s">
        <v>84</v>
      </c>
      <c r="S40" s="14" t="s">
        <v>84</v>
      </c>
      <c r="T40" s="15" t="s">
        <v>85</v>
      </c>
      <c r="V40" s="13" t="s">
        <v>83</v>
      </c>
      <c r="W40" s="14" t="s">
        <v>84</v>
      </c>
      <c r="X40" s="14" t="s">
        <v>84</v>
      </c>
      <c r="Y40" s="14" t="s">
        <v>84</v>
      </c>
      <c r="Z40" s="15" t="s">
        <v>85</v>
      </c>
      <c r="AC40" s="82" t="s">
        <v>413</v>
      </c>
      <c r="AD40" s="83">
        <v>31689605374</v>
      </c>
      <c r="AE40" s="83">
        <v>33170901641</v>
      </c>
      <c r="AF40" s="83">
        <v>35195810923</v>
      </c>
      <c r="AG40" s="83">
        <v>19513107273</v>
      </c>
      <c r="AH40" s="83">
        <v>13713865776</v>
      </c>
      <c r="AI40" s="83">
        <v>11615157453</v>
      </c>
      <c r="AJ40" s="83">
        <v>10143275113</v>
      </c>
      <c r="AK40" s="83">
        <v>4513464507</v>
      </c>
      <c r="AL40" s="83">
        <v>264993025</v>
      </c>
      <c r="AM40" s="83">
        <v>40130736</v>
      </c>
      <c r="AN40" s="83">
        <v>-510852897</v>
      </c>
      <c r="AO40" s="83">
        <v>-445281472</v>
      </c>
      <c r="AP40" s="83">
        <v>3315440828</v>
      </c>
      <c r="AQ40" s="83">
        <v>5059909656</v>
      </c>
      <c r="AR40" s="83">
        <v>7587318641</v>
      </c>
      <c r="AS40" s="83">
        <v>3455748707</v>
      </c>
      <c r="AT40" s="83">
        <v>684604582</v>
      </c>
      <c r="AU40" s="83">
        <v>1125273294</v>
      </c>
      <c r="AV40" s="83">
        <v>1813668959</v>
      </c>
      <c r="AW40" s="83">
        <v>1706739035</v>
      </c>
      <c r="AX40" s="83">
        <v>2696102636</v>
      </c>
      <c r="AY40" s="83">
        <v>2828633757</v>
      </c>
      <c r="AZ40" s="83">
        <v>3303459717</v>
      </c>
      <c r="BA40" s="83">
        <v>773450586</v>
      </c>
      <c r="BB40" s="83">
        <v>479271919</v>
      </c>
      <c r="BC40" s="83">
        <v>2454921190</v>
      </c>
      <c r="BD40" s="83">
        <v>2921610490</v>
      </c>
      <c r="BE40" s="83">
        <v>1390708948</v>
      </c>
      <c r="BF40" s="83">
        <v>52843884140</v>
      </c>
      <c r="BG40" s="83">
        <v>56294927727</v>
      </c>
      <c r="BH40" s="83">
        <v>60454290946</v>
      </c>
      <c r="BI40" s="83">
        <v>30907937584</v>
      </c>
    </row>
    <row r="41" spans="2:65" ht="12" customHeight="1">
      <c r="B41" s="65" t="s">
        <v>216</v>
      </c>
      <c r="C41" s="67">
        <f t="shared" ref="C41:F42" si="7">Q59+Q73</f>
        <v>64628911184</v>
      </c>
      <c r="D41" s="67">
        <f t="shared" si="7"/>
        <v>65472807519</v>
      </c>
      <c r="E41" s="67">
        <f t="shared" si="7"/>
        <v>72459146793</v>
      </c>
      <c r="F41" s="68">
        <f t="shared" si="7"/>
        <v>40454935148</v>
      </c>
      <c r="H41" s="65" t="s">
        <v>362</v>
      </c>
      <c r="I41" s="67">
        <f t="shared" ref="I41:L45" si="8">W59+W73</f>
        <v>64628911184</v>
      </c>
      <c r="J41" s="67">
        <f t="shared" si="8"/>
        <v>65472807519</v>
      </c>
      <c r="K41" s="67">
        <f t="shared" si="8"/>
        <v>72459146793</v>
      </c>
      <c r="L41" s="68">
        <f t="shared" si="8"/>
        <v>40454935148</v>
      </c>
      <c r="P41" s="65" t="s">
        <v>216</v>
      </c>
      <c r="Q41" s="67">
        <f>AL12</f>
        <v>40168769460</v>
      </c>
      <c r="R41" s="67">
        <f>AM12</f>
        <v>33386486016</v>
      </c>
      <c r="S41" s="67">
        <f>AN12</f>
        <v>26961139273</v>
      </c>
      <c r="T41" s="68">
        <f>AO12</f>
        <v>10360925486</v>
      </c>
      <c r="V41" s="65" t="s">
        <v>362</v>
      </c>
      <c r="W41" s="67">
        <f t="shared" ref="W41:Z42" si="9">AL12</f>
        <v>40168769460</v>
      </c>
      <c r="X41" s="67">
        <f t="shared" si="9"/>
        <v>33386486016</v>
      </c>
      <c r="Y41" s="67">
        <f t="shared" si="9"/>
        <v>26961139273</v>
      </c>
      <c r="Z41" s="68">
        <f t="shared" si="9"/>
        <v>10360925486</v>
      </c>
      <c r="AC41" s="78" t="s">
        <v>414</v>
      </c>
      <c r="AD41" s="79">
        <v>29398219654</v>
      </c>
      <c r="AE41" s="79">
        <v>29088772983</v>
      </c>
      <c r="AF41" s="79">
        <v>30757672015</v>
      </c>
      <c r="AG41" s="79">
        <v>14231381521</v>
      </c>
      <c r="AH41" s="79">
        <v>5633467235</v>
      </c>
      <c r="AI41" s="79">
        <v>4386481321</v>
      </c>
      <c r="AJ41" s="79">
        <v>3970390857</v>
      </c>
      <c r="AK41" s="79">
        <v>1899258526</v>
      </c>
      <c r="AL41" s="79">
        <v>3503533352</v>
      </c>
      <c r="AM41" s="79">
        <v>2920661045</v>
      </c>
      <c r="AN41" s="79">
        <v>2199843155</v>
      </c>
      <c r="AO41" s="79">
        <v>575601272</v>
      </c>
      <c r="AP41" s="79">
        <v>2672423786</v>
      </c>
      <c r="AQ41" s="79">
        <v>2801522542</v>
      </c>
      <c r="AR41" s="79">
        <v>3119509017</v>
      </c>
      <c r="AS41" s="79">
        <v>1488337724</v>
      </c>
      <c r="AT41" s="79">
        <v>1954685137</v>
      </c>
      <c r="AU41" s="79">
        <v>1251438652</v>
      </c>
      <c r="AV41" s="79">
        <v>1175129955</v>
      </c>
      <c r="AW41" s="79">
        <v>703044517</v>
      </c>
      <c r="AX41" s="79">
        <v>348503839</v>
      </c>
      <c r="AY41" s="79">
        <v>524793338</v>
      </c>
      <c r="AZ41" s="79">
        <v>2524833414</v>
      </c>
      <c r="BA41" s="79">
        <v>1857911023</v>
      </c>
      <c r="BB41" s="79">
        <v>281176820</v>
      </c>
      <c r="BC41" s="79">
        <v>388075589</v>
      </c>
      <c r="BD41" s="79">
        <v>500449287</v>
      </c>
      <c r="BE41" s="79">
        <v>222536089</v>
      </c>
      <c r="BF41" s="79">
        <v>43792009823</v>
      </c>
      <c r="BG41" s="79">
        <v>41361745470</v>
      </c>
      <c r="BH41" s="79">
        <v>44247827700</v>
      </c>
      <c r="BI41" s="79">
        <v>20978070672</v>
      </c>
    </row>
    <row r="42" spans="2:65" ht="12" customHeight="1">
      <c r="B42" s="66" t="s">
        <v>364</v>
      </c>
      <c r="C42" s="69">
        <f t="shared" si="7"/>
        <v>60628865774</v>
      </c>
      <c r="D42" s="69">
        <f t="shared" si="7"/>
        <v>59287624569</v>
      </c>
      <c r="E42" s="69">
        <f t="shared" si="7"/>
        <v>63058159193</v>
      </c>
      <c r="F42" s="70">
        <f t="shared" si="7"/>
        <v>35292447406</v>
      </c>
      <c r="H42" s="66" t="s">
        <v>365</v>
      </c>
      <c r="I42" s="69">
        <f t="shared" si="8"/>
        <v>43091546538</v>
      </c>
      <c r="J42" s="69">
        <f t="shared" si="8"/>
        <v>40932992191</v>
      </c>
      <c r="K42" s="69">
        <f t="shared" si="8"/>
        <v>42642966088</v>
      </c>
      <c r="L42" s="70">
        <f t="shared" si="8"/>
        <v>23431700165</v>
      </c>
      <c r="M42" s="406">
        <f>K42/K41</f>
        <v>0.58851046383173222</v>
      </c>
      <c r="P42" s="66" t="s">
        <v>364</v>
      </c>
      <c r="Q42" s="69">
        <f>AL36</f>
        <v>39903776435</v>
      </c>
      <c r="R42" s="69">
        <f>AM36</f>
        <v>33346355280</v>
      </c>
      <c r="S42" s="69">
        <f>AN36</f>
        <v>27471992170</v>
      </c>
      <c r="T42" s="70">
        <f>AO36</f>
        <v>10806206958</v>
      </c>
      <c r="V42" s="66" t="s">
        <v>365</v>
      </c>
      <c r="W42" s="69">
        <f t="shared" si="9"/>
        <v>26345154160</v>
      </c>
      <c r="X42" s="69">
        <f t="shared" si="9"/>
        <v>21085010054</v>
      </c>
      <c r="Y42" s="69">
        <f t="shared" si="9"/>
        <v>18075937589</v>
      </c>
      <c r="Z42" s="70">
        <f t="shared" si="9"/>
        <v>6525375145</v>
      </c>
      <c r="AA42" s="406">
        <f>Y42/Y41</f>
        <v>0.67044413093856137</v>
      </c>
      <c r="AC42" s="74" t="s">
        <v>415</v>
      </c>
      <c r="AD42" s="75">
        <v>3046375698</v>
      </c>
      <c r="AE42" s="75">
        <v>4052523427</v>
      </c>
      <c r="AF42" s="75">
        <v>4632764892</v>
      </c>
      <c r="AG42" s="75">
        <v>2321317962</v>
      </c>
      <c r="AH42" s="75">
        <v>887959477</v>
      </c>
      <c r="AI42" s="75">
        <v>799010565</v>
      </c>
      <c r="AJ42" s="75">
        <v>678774538</v>
      </c>
      <c r="AK42" s="75">
        <v>269729173</v>
      </c>
      <c r="AL42" s="75">
        <v>487496219</v>
      </c>
      <c r="AM42" s="75">
        <v>430291388</v>
      </c>
      <c r="AN42" s="75">
        <v>270005681</v>
      </c>
      <c r="AO42" s="75">
        <v>108900037</v>
      </c>
      <c r="AP42" s="75">
        <v>271576898</v>
      </c>
      <c r="AQ42" s="75">
        <v>407556457</v>
      </c>
      <c r="AR42" s="75">
        <v>376268104</v>
      </c>
      <c r="AS42" s="75">
        <v>167285589</v>
      </c>
      <c r="AT42" s="75">
        <v>400026589</v>
      </c>
      <c r="AU42" s="75">
        <v>170137799</v>
      </c>
      <c r="AV42" s="75">
        <v>156631398</v>
      </c>
      <c r="AW42" s="75">
        <v>87780029</v>
      </c>
      <c r="AX42" s="75">
        <v>208514371</v>
      </c>
      <c r="AY42" s="75">
        <v>184991</v>
      </c>
      <c r="AZ42" s="75">
        <v>456987034</v>
      </c>
      <c r="BA42" s="75">
        <v>175751418</v>
      </c>
      <c r="BB42" s="75">
        <v>661</v>
      </c>
      <c r="BC42" s="75">
        <v>8341</v>
      </c>
      <c r="BD42" s="75">
        <v>90955691</v>
      </c>
      <c r="BE42" s="75">
        <v>29490768</v>
      </c>
      <c r="BF42" s="75">
        <v>5301949913</v>
      </c>
      <c r="BG42" s="75">
        <v>5859712968</v>
      </c>
      <c r="BH42" s="75">
        <v>6662387338</v>
      </c>
      <c r="BI42" s="75">
        <v>3160254976</v>
      </c>
    </row>
    <row r="43" spans="2:65" ht="12" customHeight="1">
      <c r="B43" s="66" t="s">
        <v>367</v>
      </c>
      <c r="C43" s="69">
        <f>C41-C42</f>
        <v>4000045410</v>
      </c>
      <c r="D43" s="69">
        <f>D41-D42</f>
        <v>6185182950</v>
      </c>
      <c r="E43" s="69">
        <f>E41-E42</f>
        <v>9400987600</v>
      </c>
      <c r="F43" s="70">
        <f>F41-F42</f>
        <v>5162487742</v>
      </c>
      <c r="H43" s="66" t="s">
        <v>368</v>
      </c>
      <c r="I43" s="69">
        <f t="shared" si="8"/>
        <v>231270917</v>
      </c>
      <c r="J43" s="69">
        <f t="shared" si="8"/>
        <v>398959844</v>
      </c>
      <c r="K43" s="69">
        <f t="shared" si="8"/>
        <v>406334545</v>
      </c>
      <c r="L43" s="70">
        <f t="shared" si="8"/>
        <v>272089974</v>
      </c>
      <c r="P43" s="66" t="s">
        <v>367</v>
      </c>
      <c r="Q43" s="69">
        <f>Q41-Q42</f>
        <v>264993025</v>
      </c>
      <c r="R43" s="69">
        <f>R41-R42</f>
        <v>40130736</v>
      </c>
      <c r="S43" s="69">
        <f>S41-S42</f>
        <v>-510852897</v>
      </c>
      <c r="T43" s="70">
        <f>T41-T42</f>
        <v>-445281472</v>
      </c>
      <c r="V43" s="66" t="s">
        <v>368</v>
      </c>
      <c r="W43" s="69">
        <f>AL24</f>
        <v>652969923</v>
      </c>
      <c r="X43" s="69">
        <f>AM24</f>
        <v>725152664</v>
      </c>
      <c r="Y43" s="69">
        <f>AN24</f>
        <v>758458942</v>
      </c>
      <c r="Z43" s="70">
        <f>AO24</f>
        <v>358344068</v>
      </c>
      <c r="AC43" s="74" t="s">
        <v>416</v>
      </c>
      <c r="AD43" s="75">
        <v>8305617220</v>
      </c>
      <c r="AE43" s="75">
        <v>6941664546</v>
      </c>
      <c r="AF43" s="75">
        <v>5795078781</v>
      </c>
      <c r="AG43" s="75">
        <v>2135787436</v>
      </c>
      <c r="AH43" s="75">
        <v>29010275</v>
      </c>
      <c r="AI43" s="75">
        <v>35358062</v>
      </c>
      <c r="AJ43" s="75">
        <v>29483947</v>
      </c>
      <c r="AK43" s="75">
        <v>114946763</v>
      </c>
      <c r="AL43" s="75">
        <v>527274288</v>
      </c>
      <c r="AM43" s="75">
        <v>453709820</v>
      </c>
      <c r="AN43" s="75">
        <v>746187766</v>
      </c>
      <c r="AO43" s="75">
        <v>-32917513</v>
      </c>
      <c r="AP43" s="75">
        <v>62126931</v>
      </c>
      <c r="AQ43" s="75">
        <v>75110237</v>
      </c>
      <c r="AR43" s="75">
        <v>403370108</v>
      </c>
      <c r="AS43" s="75">
        <v>196325735</v>
      </c>
      <c r="AT43" s="75">
        <v>4840355</v>
      </c>
      <c r="AU43" s="75">
        <v>21915932</v>
      </c>
      <c r="AV43" s="75">
        <v>39010339</v>
      </c>
      <c r="AW43" s="75">
        <v>21586975</v>
      </c>
      <c r="AX43" s="75">
        <v>-7505403</v>
      </c>
      <c r="AY43" s="75">
        <v>64904630</v>
      </c>
      <c r="AZ43" s="75">
        <v>126173778</v>
      </c>
      <c r="BA43" s="75">
        <v>673448944</v>
      </c>
      <c r="BB43" s="75">
        <v>85607342</v>
      </c>
      <c r="BC43" s="75">
        <v>53669587</v>
      </c>
      <c r="BD43" s="75">
        <v>19885330</v>
      </c>
      <c r="BE43" s="75">
        <v>12049660</v>
      </c>
      <c r="BF43" s="75">
        <v>9006971008</v>
      </c>
      <c r="BG43" s="75">
        <v>7646332814</v>
      </c>
      <c r="BH43" s="75">
        <v>7159190049</v>
      </c>
      <c r="BI43" s="75">
        <v>3121228000</v>
      </c>
    </row>
    <row r="44" spans="2:65" ht="12" customHeight="1">
      <c r="B44" s="84" t="s">
        <v>370</v>
      </c>
      <c r="C44" s="85">
        <f>C43/C41</f>
        <v>6.1892508116248135E-2</v>
      </c>
      <c r="D44" s="85">
        <f>D43/D41</f>
        <v>9.4469493280933153E-2</v>
      </c>
      <c r="E44" s="85">
        <f>E43/E41</f>
        <v>0.12974190307341837</v>
      </c>
      <c r="F44" s="86">
        <f>F43/F41</f>
        <v>0.12761082728506665</v>
      </c>
      <c r="H44" s="66" t="s">
        <v>371</v>
      </c>
      <c r="I44" s="69">
        <f t="shared" si="8"/>
        <v>3764454623</v>
      </c>
      <c r="J44" s="69">
        <f t="shared" si="8"/>
        <v>4248450796</v>
      </c>
      <c r="K44" s="69">
        <f t="shared" si="8"/>
        <v>5287533050</v>
      </c>
      <c r="L44" s="70">
        <f t="shared" si="8"/>
        <v>3008670152</v>
      </c>
      <c r="P44" s="84" t="s">
        <v>370</v>
      </c>
      <c r="Q44" s="90">
        <f>Q43/Q41</f>
        <v>6.5969913582709988E-3</v>
      </c>
      <c r="R44" s="90">
        <f>R43/R41</f>
        <v>1.2020053856751475E-3</v>
      </c>
      <c r="S44" s="90">
        <f>S43/S41</f>
        <v>-1.8947748899898649E-2</v>
      </c>
      <c r="T44" s="91">
        <f>T43/T41</f>
        <v>-4.2976997817586661E-2</v>
      </c>
      <c r="V44" s="66" t="s">
        <v>371</v>
      </c>
      <c r="W44" s="69">
        <f>SUM(AL27:AL28)</f>
        <v>2700602114</v>
      </c>
      <c r="X44" s="69">
        <f>SUM(AM27:AM28)</f>
        <v>2109402093</v>
      </c>
      <c r="Y44" s="69">
        <f>SUM(AN27:AN28)</f>
        <v>1537392594</v>
      </c>
      <c r="Z44" s="70">
        <f>SUM(AO27:AO28)</f>
        <v>634140804</v>
      </c>
      <c r="AC44" s="74" t="s">
        <v>417</v>
      </c>
      <c r="AD44" s="75">
        <v>5991899391</v>
      </c>
      <c r="AE44" s="75">
        <v>6065457720</v>
      </c>
      <c r="AF44" s="75">
        <v>7116353094</v>
      </c>
      <c r="AG44" s="75">
        <v>2733931454</v>
      </c>
      <c r="AH44" s="75">
        <v>1643243113</v>
      </c>
      <c r="AI44" s="75">
        <v>1112557770</v>
      </c>
      <c r="AJ44" s="75">
        <v>972045923</v>
      </c>
      <c r="AK44" s="75">
        <v>555494650</v>
      </c>
      <c r="AL44" s="75">
        <v>540843583</v>
      </c>
      <c r="AM44" s="75">
        <v>406498266</v>
      </c>
      <c r="AN44" s="75">
        <v>293920528</v>
      </c>
      <c r="AO44" s="75">
        <v>83329658</v>
      </c>
      <c r="AP44" s="75">
        <v>413539069</v>
      </c>
      <c r="AQ44" s="75">
        <v>348373604</v>
      </c>
      <c r="AR44" s="75">
        <v>352093870</v>
      </c>
      <c r="AS44" s="75">
        <v>170443759</v>
      </c>
      <c r="AT44" s="75">
        <v>340596474</v>
      </c>
      <c r="AU44" s="75">
        <v>229049220</v>
      </c>
      <c r="AV44" s="75">
        <v>231189177</v>
      </c>
      <c r="AW44" s="75">
        <v>119768748</v>
      </c>
      <c r="AX44" s="75">
        <v>115690103</v>
      </c>
      <c r="AY44" s="75">
        <v>318939470</v>
      </c>
      <c r="AZ44" s="75">
        <v>123510363</v>
      </c>
      <c r="BA44" s="75">
        <v>49380524</v>
      </c>
      <c r="BB44" s="75">
        <v>147769488</v>
      </c>
      <c r="BC44" s="75">
        <v>105694389</v>
      </c>
      <c r="BD44" s="75">
        <v>95720635</v>
      </c>
      <c r="BE44" s="75">
        <v>44414855</v>
      </c>
      <c r="BF44" s="75">
        <v>9193581221</v>
      </c>
      <c r="BG44" s="75">
        <v>8586570439</v>
      </c>
      <c r="BH44" s="75">
        <v>9184833590</v>
      </c>
      <c r="BI44" s="75">
        <v>3756763648</v>
      </c>
    </row>
    <row r="45" spans="2:65" ht="12" customHeight="1">
      <c r="B45" s="66" t="s">
        <v>373</v>
      </c>
      <c r="C45" s="69">
        <f>Q63+Q77</f>
        <v>4627108923</v>
      </c>
      <c r="D45" s="69">
        <f>R63+R77</f>
        <v>4052961194</v>
      </c>
      <c r="E45" s="69">
        <f>S63+S77</f>
        <v>4294638972</v>
      </c>
      <c r="F45" s="70">
        <f>T63+T77</f>
        <v>2191382241</v>
      </c>
      <c r="H45" s="66" t="s">
        <v>374</v>
      </c>
      <c r="I45" s="69">
        <f t="shared" si="8"/>
        <v>1920528533</v>
      </c>
      <c r="J45" s="69">
        <f t="shared" si="8"/>
        <v>1708356454</v>
      </c>
      <c r="K45" s="69">
        <f t="shared" si="8"/>
        <v>2018034106</v>
      </c>
      <c r="L45" s="70">
        <f t="shared" si="8"/>
        <v>991809924</v>
      </c>
      <c r="P45" s="66" t="s">
        <v>373</v>
      </c>
      <c r="Q45" s="69">
        <f>AL41</f>
        <v>3503533352</v>
      </c>
      <c r="R45" s="69">
        <f>AM41</f>
        <v>2920661045</v>
      </c>
      <c r="S45" s="69">
        <f>AN41</f>
        <v>2199843155</v>
      </c>
      <c r="T45" s="70">
        <f>AO41</f>
        <v>575601272</v>
      </c>
      <c r="V45" s="66" t="s">
        <v>374</v>
      </c>
      <c r="W45" s="69">
        <f>SUM(AL42:AL45)</f>
        <v>1861667836</v>
      </c>
      <c r="X45" s="69">
        <f>SUM(AM42:AM45)</f>
        <v>1625098446</v>
      </c>
      <c r="Y45" s="69">
        <f>SUM(AN42:AN45)</f>
        <v>1531288707</v>
      </c>
      <c r="Z45" s="70">
        <f>SUM(AO42:AO45)</f>
        <v>261595798</v>
      </c>
      <c r="AC45" s="74" t="s">
        <v>418</v>
      </c>
      <c r="AD45" s="75">
        <v>2033823928</v>
      </c>
      <c r="AE45" s="75">
        <v>2919308084</v>
      </c>
      <c r="AF45" s="75">
        <v>3626836938</v>
      </c>
      <c r="AG45" s="75">
        <v>2059188895</v>
      </c>
      <c r="AH45" s="75">
        <v>509654752</v>
      </c>
      <c r="AI45" s="75">
        <v>559299302</v>
      </c>
      <c r="AJ45" s="75">
        <v>544860866</v>
      </c>
      <c r="AK45" s="75">
        <v>250340528</v>
      </c>
      <c r="AL45" s="75">
        <v>306053746</v>
      </c>
      <c r="AM45" s="75">
        <v>334598972</v>
      </c>
      <c r="AN45" s="75">
        <v>221174732</v>
      </c>
      <c r="AO45" s="75">
        <v>102283616</v>
      </c>
      <c r="AP45" s="75">
        <v>195999891</v>
      </c>
      <c r="AQ45" s="75">
        <v>335252400</v>
      </c>
      <c r="AR45" s="75">
        <v>339509388</v>
      </c>
      <c r="AS45" s="75">
        <v>151857755</v>
      </c>
      <c r="AT45" s="75">
        <v>231822326</v>
      </c>
      <c r="AU45" s="75">
        <v>120960805</v>
      </c>
      <c r="AV45" s="75">
        <v>119961722</v>
      </c>
      <c r="AW45" s="75">
        <v>76761334</v>
      </c>
      <c r="AX45" s="75">
        <v>19737984</v>
      </c>
      <c r="AY45" s="75">
        <v>118005</v>
      </c>
      <c r="AZ45" s="75">
        <v>417158211</v>
      </c>
      <c r="BA45" s="75">
        <v>154271529</v>
      </c>
      <c r="BB45" s="75">
        <v>597</v>
      </c>
      <c r="BC45" s="75">
        <v>5878</v>
      </c>
      <c r="BD45" s="75">
        <v>45241617</v>
      </c>
      <c r="BE45" s="75">
        <v>12039240</v>
      </c>
      <c r="BF45" s="75">
        <v>3297093224</v>
      </c>
      <c r="BG45" s="75">
        <v>4269543446</v>
      </c>
      <c r="BH45" s="75">
        <v>5314743474</v>
      </c>
      <c r="BI45" s="75">
        <v>2806742897</v>
      </c>
    </row>
    <row r="46" spans="2:65" ht="12" customHeight="1">
      <c r="B46" s="66" t="s">
        <v>376</v>
      </c>
      <c r="C46" s="69">
        <f>C43-C45</f>
        <v>-627063513</v>
      </c>
      <c r="D46" s="69">
        <f>D43-D45</f>
        <v>2132221756</v>
      </c>
      <c r="E46" s="69">
        <f>E43-E45</f>
        <v>5106348628</v>
      </c>
      <c r="F46" s="70">
        <f>F43-F45</f>
        <v>2971105501</v>
      </c>
      <c r="H46" s="66" t="s">
        <v>377</v>
      </c>
      <c r="I46" s="69">
        <f>I41-SUM(I42:I45)</f>
        <v>15621110573</v>
      </c>
      <c r="J46" s="69">
        <f>J41-SUM(J42:J45)</f>
        <v>18184048234</v>
      </c>
      <c r="K46" s="69">
        <f>K41-SUM(K42:K45)</f>
        <v>22104279004</v>
      </c>
      <c r="L46" s="70">
        <f>L41-SUM(L42:L45)</f>
        <v>12750664933</v>
      </c>
      <c r="P46" s="66" t="s">
        <v>376</v>
      </c>
      <c r="Q46" s="69">
        <f>Q43-Q45</f>
        <v>-3238540327</v>
      </c>
      <c r="R46" s="69">
        <f>R43-R45</f>
        <v>-2880530309</v>
      </c>
      <c r="S46" s="69">
        <f>S43-S45</f>
        <v>-2710696052</v>
      </c>
      <c r="T46" s="70">
        <f>T43-T45</f>
        <v>-1020882744</v>
      </c>
      <c r="V46" s="66" t="s">
        <v>377</v>
      </c>
      <c r="W46" s="69">
        <f>W41-SUM(W42:W45)</f>
        <v>8608375427</v>
      </c>
      <c r="X46" s="69">
        <f>X41-SUM(X42:X45)</f>
        <v>7841822759</v>
      </c>
      <c r="Y46" s="69">
        <f>Y41-SUM(Y42:Y45)</f>
        <v>5058061441</v>
      </c>
      <c r="Z46" s="70">
        <f>Z41-SUM(Z42:Z45)</f>
        <v>2581469671</v>
      </c>
      <c r="AC46" s="74" t="s">
        <v>419</v>
      </c>
      <c r="AD46" s="75">
        <v>3160645924</v>
      </c>
      <c r="AE46" s="75">
        <v>3481761570</v>
      </c>
      <c r="AF46" s="75">
        <v>4322664023</v>
      </c>
      <c r="AG46" s="75">
        <v>2653880685</v>
      </c>
      <c r="AH46" s="75">
        <v>826757167</v>
      </c>
      <c r="AI46" s="75">
        <v>749860795</v>
      </c>
      <c r="AJ46" s="75">
        <v>886563572</v>
      </c>
      <c r="AK46" s="75">
        <v>377054741</v>
      </c>
      <c r="AL46" s="75">
        <v>528006651</v>
      </c>
      <c r="AM46" s="75">
        <v>542287645</v>
      </c>
      <c r="AN46" s="75">
        <v>344844566</v>
      </c>
      <c r="AO46" s="75">
        <v>174187301</v>
      </c>
      <c r="AP46" s="75">
        <v>474611331</v>
      </c>
      <c r="AQ46" s="75">
        <v>553129520</v>
      </c>
      <c r="AR46" s="75">
        <v>667915121</v>
      </c>
      <c r="AS46" s="75">
        <v>369216057</v>
      </c>
      <c r="AT46" s="75">
        <v>294504294</v>
      </c>
      <c r="AU46" s="75">
        <v>284736605</v>
      </c>
      <c r="AV46" s="75">
        <v>301437055</v>
      </c>
      <c r="AW46" s="75">
        <v>193773367</v>
      </c>
      <c r="AX46" s="75">
        <v>11904</v>
      </c>
      <c r="AY46" s="75">
        <v>84398862</v>
      </c>
      <c r="AZ46" s="75">
        <v>710393609</v>
      </c>
      <c r="BA46" s="75">
        <v>433596134</v>
      </c>
      <c r="BB46" s="75">
        <v>1199205</v>
      </c>
      <c r="BC46" s="75">
        <v>83401050</v>
      </c>
      <c r="BD46" s="75">
        <v>110753644</v>
      </c>
      <c r="BE46" s="75">
        <v>69942197</v>
      </c>
      <c r="BF46" s="75">
        <v>5285736476</v>
      </c>
      <c r="BG46" s="75">
        <v>5779576047</v>
      </c>
      <c r="BH46" s="75">
        <v>7344571590</v>
      </c>
      <c r="BI46" s="75">
        <v>4271650482</v>
      </c>
    </row>
    <row r="47" spans="2:65" ht="12" customHeight="1" thickBot="1">
      <c r="B47" s="87" t="s">
        <v>379</v>
      </c>
      <c r="C47" s="92">
        <f>C46/C41</f>
        <v>-9.7025232440437637E-3</v>
      </c>
      <c r="D47" s="92">
        <f>D46/D41</f>
        <v>3.2566523978389592E-2</v>
      </c>
      <c r="E47" s="92">
        <f>E46/E41</f>
        <v>7.0472105372531166E-2</v>
      </c>
      <c r="F47" s="93">
        <f>F46/F41</f>
        <v>7.3442349867340842E-2</v>
      </c>
      <c r="H47" s="87" t="s">
        <v>380</v>
      </c>
      <c r="I47" s="88">
        <f>I46/I41</f>
        <v>0.24170468427862474</v>
      </c>
      <c r="J47" s="88">
        <f>J46/J41</f>
        <v>0.27773435908828331</v>
      </c>
      <c r="K47" s="88">
        <f>K46/K41</f>
        <v>0.30505850513458449</v>
      </c>
      <c r="L47" s="89">
        <f>L46/L41</f>
        <v>0.31518193976465597</v>
      </c>
      <c r="P47" s="87" t="s">
        <v>379</v>
      </c>
      <c r="Q47" s="92">
        <f>Q46/Q41</f>
        <v>-8.0623339239329544E-2</v>
      </c>
      <c r="R47" s="92">
        <f>R46/R41</f>
        <v>-8.6278331526700558E-2</v>
      </c>
      <c r="S47" s="92">
        <f>S46/S41</f>
        <v>-0.10054085714080351</v>
      </c>
      <c r="T47" s="93">
        <f>T46/T41</f>
        <v>-9.8532003282858091E-2</v>
      </c>
      <c r="V47" s="87" t="s">
        <v>380</v>
      </c>
      <c r="W47" s="88">
        <f>W46/W41</f>
        <v>0.21430518143136565</v>
      </c>
      <c r="X47" s="88">
        <f>X46/X41</f>
        <v>0.23488014747170211</v>
      </c>
      <c r="Y47" s="88">
        <f>Y46/Y41</f>
        <v>0.18760562711329309</v>
      </c>
      <c r="Z47" s="89">
        <f>Z46/Z41</f>
        <v>0.24915435155750912</v>
      </c>
      <c r="AC47" s="80" t="s">
        <v>420</v>
      </c>
      <c r="AD47" s="81">
        <v>6859857493</v>
      </c>
      <c r="AE47" s="81">
        <v>5628057636</v>
      </c>
      <c r="AF47" s="81">
        <v>5263974287</v>
      </c>
      <c r="AG47" s="81">
        <v>2327275089</v>
      </c>
      <c r="AH47" s="81">
        <v>1736842451</v>
      </c>
      <c r="AI47" s="81">
        <v>1130394827</v>
      </c>
      <c r="AJ47" s="81">
        <v>858662011</v>
      </c>
      <c r="AK47" s="81">
        <v>331692671</v>
      </c>
      <c r="AL47" s="81">
        <v>1113858865</v>
      </c>
      <c r="AM47" s="81">
        <v>753274954</v>
      </c>
      <c r="AN47" s="81">
        <v>323709882</v>
      </c>
      <c r="AO47" s="81">
        <v>139818173</v>
      </c>
      <c r="AP47" s="81">
        <v>1254569666</v>
      </c>
      <c r="AQ47" s="81">
        <v>1082100324</v>
      </c>
      <c r="AR47" s="81">
        <v>980352426</v>
      </c>
      <c r="AS47" s="81">
        <v>433208829</v>
      </c>
      <c r="AT47" s="81">
        <v>682895099</v>
      </c>
      <c r="AU47" s="81">
        <v>424638291</v>
      </c>
      <c r="AV47" s="81">
        <v>326900264</v>
      </c>
      <c r="AW47" s="81">
        <v>203374064</v>
      </c>
      <c r="AX47" s="81">
        <v>12054880</v>
      </c>
      <c r="AY47" s="81">
        <v>56247380</v>
      </c>
      <c r="AZ47" s="81">
        <v>690610419</v>
      </c>
      <c r="BA47" s="81">
        <v>371462474</v>
      </c>
      <c r="BB47" s="81">
        <v>46599527</v>
      </c>
      <c r="BC47" s="81">
        <v>145296344</v>
      </c>
      <c r="BD47" s="81">
        <v>137892370</v>
      </c>
      <c r="BE47" s="81">
        <v>54599369</v>
      </c>
      <c r="BF47" s="81">
        <v>11706677981</v>
      </c>
      <c r="BG47" s="81">
        <v>9220009756</v>
      </c>
      <c r="BH47" s="81">
        <v>8582101659</v>
      </c>
      <c r="BI47" s="81">
        <v>3861430669</v>
      </c>
    </row>
    <row r="48" spans="2:65" ht="12" customHeight="1">
      <c r="C48" s="48"/>
      <c r="D48" s="48"/>
      <c r="E48" s="48"/>
      <c r="F48" s="48"/>
      <c r="I48" s="48"/>
      <c r="J48" s="48"/>
      <c r="K48" s="48"/>
      <c r="L48" s="48"/>
      <c r="Q48" s="48"/>
      <c r="R48" s="48"/>
      <c r="S48" s="48"/>
      <c r="T48" s="48"/>
      <c r="W48" s="48"/>
      <c r="X48" s="48"/>
      <c r="Y48" s="48"/>
      <c r="Z48" s="48"/>
      <c r="AC48" s="78" t="s">
        <v>421</v>
      </c>
      <c r="AD48" s="79">
        <v>2291385720</v>
      </c>
      <c r="AE48" s="79">
        <v>4082128658</v>
      </c>
      <c r="AF48" s="79">
        <v>4438138908</v>
      </c>
      <c r="AG48" s="79">
        <v>5281725752</v>
      </c>
      <c r="AH48" s="79">
        <v>8080398541</v>
      </c>
      <c r="AI48" s="79">
        <v>7228676132</v>
      </c>
      <c r="AJ48" s="79">
        <v>6172884256</v>
      </c>
      <c r="AK48" s="79">
        <v>2614205981</v>
      </c>
      <c r="AL48" s="79">
        <v>-3238540327</v>
      </c>
      <c r="AM48" s="79">
        <v>-2880530309</v>
      </c>
      <c r="AN48" s="79">
        <v>-2710696052</v>
      </c>
      <c r="AO48" s="79">
        <v>-1020882744</v>
      </c>
      <c r="AP48" s="79">
        <v>643017042</v>
      </c>
      <c r="AQ48" s="79">
        <v>2258387114</v>
      </c>
      <c r="AR48" s="79">
        <v>4467809624</v>
      </c>
      <c r="AS48" s="79">
        <v>1967410983</v>
      </c>
      <c r="AT48" s="79">
        <v>-1270080555</v>
      </c>
      <c r="AU48" s="79">
        <v>-126165358</v>
      </c>
      <c r="AV48" s="79">
        <v>638539004</v>
      </c>
      <c r="AW48" s="79">
        <v>1003694518</v>
      </c>
      <c r="AX48" s="79">
        <v>2347598797</v>
      </c>
      <c r="AY48" s="79">
        <v>2303840419</v>
      </c>
      <c r="AZ48" s="79">
        <v>778626303</v>
      </c>
      <c r="BA48" s="79">
        <v>-1084460437</v>
      </c>
      <c r="BB48" s="79">
        <v>198095099</v>
      </c>
      <c r="BC48" s="79">
        <v>2066845601</v>
      </c>
      <c r="BD48" s="79">
        <v>2421161203</v>
      </c>
      <c r="BE48" s="79">
        <v>1168172859</v>
      </c>
      <c r="BF48" s="79">
        <v>9051874317</v>
      </c>
      <c r="BG48" s="79">
        <v>14933182257</v>
      </c>
      <c r="BH48" s="79">
        <v>16206463246</v>
      </c>
      <c r="BI48" s="79">
        <v>9929866912</v>
      </c>
    </row>
    <row r="49" spans="2:61" ht="12" customHeight="1">
      <c r="C49" s="48"/>
      <c r="D49" s="48"/>
      <c r="E49" s="48"/>
      <c r="F49" s="48"/>
      <c r="H49" s="1" t="s">
        <v>383</v>
      </c>
      <c r="I49" s="16">
        <f>C42-SUM(I42:I44)</f>
        <v>13541593696</v>
      </c>
      <c r="J49" s="16">
        <f>D42-SUM(J42:J44)</f>
        <v>13707221738</v>
      </c>
      <c r="K49" s="16">
        <f>E42-SUM(K42:K44)</f>
        <v>14721325510</v>
      </c>
      <c r="L49" s="16">
        <f>F42-SUM(L42:L44)</f>
        <v>8579987115</v>
      </c>
      <c r="Q49" s="48"/>
      <c r="R49" s="48"/>
      <c r="S49" s="48"/>
      <c r="T49" s="48"/>
      <c r="W49" s="48"/>
      <c r="X49" s="48"/>
      <c r="Y49" s="48"/>
      <c r="Z49" s="48"/>
      <c r="AC49" s="74" t="s">
        <v>422</v>
      </c>
      <c r="AD49" s="75">
        <v>-8664811552</v>
      </c>
      <c r="AE49" s="75">
        <v>-8752111410</v>
      </c>
      <c r="AF49" s="75">
        <v>-10957137106</v>
      </c>
      <c r="AG49" s="75">
        <v>-3354627729</v>
      </c>
      <c r="AH49" s="75">
        <v>-1575697256</v>
      </c>
      <c r="AI49" s="75">
        <v>-1759991334</v>
      </c>
      <c r="AJ49" s="75">
        <v>-1720128243</v>
      </c>
      <c r="AK49" s="75">
        <v>-867675337</v>
      </c>
      <c r="AL49" s="75">
        <v>-1445514590</v>
      </c>
      <c r="AM49" s="75">
        <v>-798121809</v>
      </c>
      <c r="AN49" s="75">
        <v>-576694105</v>
      </c>
      <c r="AO49" s="75">
        <v>-417842017</v>
      </c>
      <c r="AP49" s="75">
        <v>-629619386</v>
      </c>
      <c r="AQ49" s="75">
        <v>-527308825</v>
      </c>
      <c r="AR49" s="75">
        <v>-423609871</v>
      </c>
      <c r="AS49" s="75">
        <v>-221371046</v>
      </c>
      <c r="AT49" s="75">
        <v>-413837461</v>
      </c>
      <c r="AU49" s="75">
        <v>-474473662</v>
      </c>
      <c r="AV49" s="75">
        <v>-298044045</v>
      </c>
      <c r="AW49" s="75">
        <v>-159363317</v>
      </c>
      <c r="AX49" s="75">
        <v>-141291187</v>
      </c>
      <c r="AY49" s="75">
        <v>-72740852</v>
      </c>
      <c r="AZ49" s="75">
        <v>-513889781</v>
      </c>
      <c r="BA49" s="75">
        <v>-124264940</v>
      </c>
      <c r="BB49" s="75">
        <v>-168939263</v>
      </c>
      <c r="BC49" s="75">
        <v>-224154723</v>
      </c>
      <c r="BD49" s="75">
        <v>-141594013</v>
      </c>
      <c r="BE49" s="75">
        <v>-68280000</v>
      </c>
      <c r="BF49" s="75">
        <v>-13039710695</v>
      </c>
      <c r="BG49" s="75">
        <v>-12608902615</v>
      </c>
      <c r="BH49" s="75">
        <v>-14631097164</v>
      </c>
      <c r="BI49" s="75">
        <v>-5213424386</v>
      </c>
    </row>
    <row r="50" spans="2:61" ht="12" customHeight="1">
      <c r="C50" s="48"/>
      <c r="D50" s="48"/>
      <c r="E50" s="48"/>
      <c r="F50" s="48"/>
      <c r="H50" s="1" t="s">
        <v>384</v>
      </c>
      <c r="I50" s="16">
        <f>C45-I45</f>
        <v>2706580390</v>
      </c>
      <c r="J50" s="16">
        <f>D45-J45</f>
        <v>2344604740</v>
      </c>
      <c r="K50" s="16">
        <f>E45-K45</f>
        <v>2276604866</v>
      </c>
      <c r="L50" s="16">
        <f>F45-L45</f>
        <v>1199572317</v>
      </c>
      <c r="Q50" s="48"/>
      <c r="R50" s="48"/>
      <c r="S50" s="48"/>
      <c r="T50" s="48"/>
      <c r="W50" s="48"/>
      <c r="X50" s="48"/>
      <c r="Y50" s="48"/>
      <c r="Z50" s="48"/>
      <c r="AC50" s="96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</row>
    <row r="51" spans="2:61" ht="12" customHeight="1">
      <c r="C51" s="48"/>
      <c r="D51" s="48"/>
      <c r="E51" s="48"/>
      <c r="F51" s="48"/>
      <c r="H51" s="1" t="s">
        <v>376</v>
      </c>
      <c r="I51" s="16">
        <f>I46-I49-I50</f>
        <v>-627063513</v>
      </c>
      <c r="J51" s="16">
        <f>J46-J49-J50</f>
        <v>2132221756</v>
      </c>
      <c r="K51" s="16">
        <f>K46-K49-K50</f>
        <v>5106348628</v>
      </c>
      <c r="L51" s="16">
        <f>L46-L49-L50</f>
        <v>2971105501</v>
      </c>
      <c r="Q51" s="48"/>
      <c r="R51" s="48"/>
      <c r="S51" s="48"/>
      <c r="T51" s="48"/>
      <c r="W51" s="48"/>
      <c r="X51" s="48"/>
      <c r="Y51" s="48"/>
      <c r="Z51" s="48"/>
      <c r="AC51" s="96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</row>
    <row r="52" spans="2:61" ht="12" customHeight="1">
      <c r="C52" s="48"/>
      <c r="D52" s="48"/>
      <c r="E52" s="48"/>
      <c r="F52" s="48"/>
      <c r="I52" s="48"/>
      <c r="J52" s="48"/>
      <c r="K52" s="48"/>
      <c r="L52" s="48"/>
      <c r="Q52" s="48"/>
      <c r="R52" s="48"/>
      <c r="S52" s="48"/>
      <c r="T52" s="48"/>
      <c r="W52" s="48"/>
      <c r="X52" s="48"/>
      <c r="Y52" s="48"/>
      <c r="Z52" s="48"/>
      <c r="AC52" s="96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</row>
    <row r="53" spans="2:61" ht="12" customHeight="1">
      <c r="C53" s="48"/>
      <c r="D53" s="48"/>
      <c r="E53" s="48"/>
      <c r="F53" s="48"/>
      <c r="I53" s="48"/>
      <c r="J53" s="48"/>
      <c r="K53" s="48"/>
      <c r="L53" s="48"/>
      <c r="Q53" s="48"/>
      <c r="R53" s="48"/>
      <c r="S53" s="48"/>
      <c r="T53" s="48"/>
      <c r="W53" s="48"/>
      <c r="X53" s="48"/>
      <c r="Y53" s="48"/>
      <c r="Z53" s="48"/>
      <c r="AC53" s="96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</row>
    <row r="54" spans="2:61" ht="12" customHeight="1">
      <c r="C54" s="48"/>
      <c r="D54" s="48"/>
      <c r="E54" s="16">
        <f>E59-C59</f>
        <v>-18614929740</v>
      </c>
      <c r="F54" s="48"/>
      <c r="I54" s="48"/>
      <c r="J54" s="48"/>
      <c r="K54" s="48"/>
      <c r="L54" s="48"/>
      <c r="Q54" s="48"/>
      <c r="R54" s="48"/>
      <c r="S54" s="16">
        <f>S59-Q59</f>
        <v>5232335723</v>
      </c>
      <c r="T54" s="48"/>
      <c r="W54" s="48"/>
      <c r="X54" s="48"/>
      <c r="Y54" s="48"/>
      <c r="Z54" s="48"/>
      <c r="AC54" s="80" t="s">
        <v>423</v>
      </c>
      <c r="AD54" s="81">
        <v>5054927633</v>
      </c>
      <c r="AE54" s="81">
        <v>6505847544</v>
      </c>
      <c r="AF54" s="81">
        <v>4464933686</v>
      </c>
      <c r="AG54" s="81">
        <v>2183153459</v>
      </c>
      <c r="AH54" s="81">
        <v>1099773470</v>
      </c>
      <c r="AI54" s="81">
        <v>1144967600</v>
      </c>
      <c r="AJ54" s="81">
        <v>815706853</v>
      </c>
      <c r="AK54" s="81">
        <v>444802177</v>
      </c>
      <c r="AL54" s="81">
        <v>1022476549</v>
      </c>
      <c r="AM54" s="81">
        <v>921791767</v>
      </c>
      <c r="AN54" s="81">
        <v>540779698</v>
      </c>
      <c r="AO54" s="81">
        <v>426830829</v>
      </c>
      <c r="AP54" s="81">
        <v>578912870</v>
      </c>
      <c r="AQ54" s="81">
        <v>375599177</v>
      </c>
      <c r="AR54" s="81">
        <v>433080545</v>
      </c>
      <c r="AS54" s="81">
        <v>186878836</v>
      </c>
      <c r="AT54" s="81">
        <v>598762278</v>
      </c>
      <c r="AU54" s="81">
        <v>390695349</v>
      </c>
      <c r="AV54" s="81">
        <v>163157028</v>
      </c>
      <c r="AW54" s="81">
        <v>121413135</v>
      </c>
      <c r="AX54" s="81">
        <v>80340222</v>
      </c>
      <c r="AY54" s="81">
        <v>196953035</v>
      </c>
      <c r="AZ54" s="81">
        <v>252516279</v>
      </c>
      <c r="BA54" s="81">
        <v>291386191</v>
      </c>
      <c r="BB54" s="81">
        <v>175590753</v>
      </c>
      <c r="BC54" s="81">
        <v>35522333</v>
      </c>
      <c r="BD54" s="81">
        <v>60802691</v>
      </c>
      <c r="BE54" s="81">
        <v>89446026</v>
      </c>
      <c r="BF54" s="81">
        <v>8610783775</v>
      </c>
      <c r="BG54" s="81">
        <v>9571376805</v>
      </c>
      <c r="BH54" s="81">
        <v>6730976780</v>
      </c>
      <c r="BI54" s="81">
        <v>3743910653</v>
      </c>
    </row>
    <row r="55" spans="2:61" ht="12" customHeight="1">
      <c r="B55" s="1" t="s">
        <v>424</v>
      </c>
      <c r="H55" s="1" t="s">
        <v>424</v>
      </c>
      <c r="Q55" s="48"/>
      <c r="R55" s="48"/>
      <c r="S55" s="48"/>
      <c r="T55" s="48"/>
      <c r="W55" s="48"/>
      <c r="X55" s="48"/>
      <c r="Y55" s="48"/>
      <c r="Z55" s="48"/>
      <c r="AC55" s="78" t="s">
        <v>425</v>
      </c>
      <c r="AD55" s="79">
        <v>5901269639</v>
      </c>
      <c r="AE55" s="79">
        <v>6328392524</v>
      </c>
      <c r="AF55" s="79">
        <v>10930342328</v>
      </c>
      <c r="AG55" s="79">
        <v>6453200022</v>
      </c>
      <c r="AH55" s="79">
        <v>8556322327</v>
      </c>
      <c r="AI55" s="79">
        <v>7843699866</v>
      </c>
      <c r="AJ55" s="79">
        <v>7077305646</v>
      </c>
      <c r="AK55" s="79">
        <v>3037079141</v>
      </c>
      <c r="AL55" s="79">
        <v>-2815502286</v>
      </c>
      <c r="AM55" s="79">
        <v>-3004200267</v>
      </c>
      <c r="AN55" s="79">
        <v>-2674781645</v>
      </c>
      <c r="AO55" s="79">
        <v>-1029871556</v>
      </c>
      <c r="AP55" s="79">
        <v>693723558</v>
      </c>
      <c r="AQ55" s="79">
        <v>2410096762</v>
      </c>
      <c r="AR55" s="79">
        <v>4458338950</v>
      </c>
      <c r="AS55" s="79">
        <v>2001903193</v>
      </c>
      <c r="AT55" s="79">
        <v>-1455005372</v>
      </c>
      <c r="AU55" s="79">
        <v>-42387045</v>
      </c>
      <c r="AV55" s="79">
        <v>773426021</v>
      </c>
      <c r="AW55" s="79">
        <v>1041644700</v>
      </c>
      <c r="AX55" s="79">
        <v>2408549762</v>
      </c>
      <c r="AY55" s="79">
        <v>2179628236</v>
      </c>
      <c r="AZ55" s="79">
        <v>1039999805</v>
      </c>
      <c r="BA55" s="79">
        <v>-1251581688</v>
      </c>
      <c r="BB55" s="79">
        <v>191443609</v>
      </c>
      <c r="BC55" s="79">
        <v>2255477991</v>
      </c>
      <c r="BD55" s="79">
        <v>2501952525</v>
      </c>
      <c r="BE55" s="79">
        <v>1147006833</v>
      </c>
      <c r="BF55" s="79">
        <v>13480801237</v>
      </c>
      <c r="BG55" s="79">
        <v>17970708067</v>
      </c>
      <c r="BH55" s="79">
        <v>24106583630</v>
      </c>
      <c r="BI55" s="79">
        <v>11399380645</v>
      </c>
    </row>
    <row r="56" spans="2:61" ht="19.5" customHeight="1">
      <c r="B56" s="43" t="s">
        <v>426</v>
      </c>
      <c r="C56" s="44"/>
      <c r="D56" s="44"/>
      <c r="E56" s="44"/>
      <c r="F56" s="45"/>
      <c r="H56" s="43" t="s">
        <v>427</v>
      </c>
      <c r="I56" s="44"/>
      <c r="J56" s="44"/>
      <c r="K56" s="44"/>
      <c r="L56" s="45"/>
      <c r="P56" s="43" t="s">
        <v>428</v>
      </c>
      <c r="Q56" s="44"/>
      <c r="R56" s="44"/>
      <c r="S56" s="44"/>
      <c r="T56" s="45"/>
      <c r="V56" s="43" t="s">
        <v>429</v>
      </c>
      <c r="W56" s="44"/>
      <c r="X56" s="44"/>
      <c r="Y56" s="44"/>
      <c r="Z56" s="45"/>
      <c r="AC56" s="74" t="s">
        <v>430</v>
      </c>
      <c r="AD56" s="75">
        <v>-3353045226</v>
      </c>
      <c r="AE56" s="75">
        <v>-4177433063</v>
      </c>
      <c r="AF56" s="75">
        <v>-2291731151</v>
      </c>
      <c r="AG56" s="75">
        <v>-3187113919</v>
      </c>
      <c r="AH56" s="75">
        <v>-872306104</v>
      </c>
      <c r="AI56" s="75">
        <v>-830727117</v>
      </c>
      <c r="AJ56" s="75">
        <v>-398167438</v>
      </c>
      <c r="AK56" s="75">
        <v>-434983427</v>
      </c>
      <c r="AL56" s="75">
        <v>-538379746</v>
      </c>
      <c r="AM56" s="75">
        <v>-504972669</v>
      </c>
      <c r="AN56" s="75">
        <v>-179738409</v>
      </c>
      <c r="AO56" s="75">
        <v>-190880506</v>
      </c>
      <c r="AP56" s="75">
        <v>-501627995</v>
      </c>
      <c r="AQ56" s="75">
        <v>-614589286</v>
      </c>
      <c r="AR56" s="75">
        <v>-295891014</v>
      </c>
      <c r="AS56" s="75">
        <v>-420186547</v>
      </c>
      <c r="AT56" s="75">
        <v>-293541948</v>
      </c>
      <c r="AU56" s="75">
        <v>-282423863</v>
      </c>
      <c r="AV56" s="75">
        <v>-139100650</v>
      </c>
      <c r="AW56" s="75">
        <v>-234261688</v>
      </c>
      <c r="AX56" s="75">
        <v>-1202</v>
      </c>
      <c r="AY56" s="75">
        <v>-23977231</v>
      </c>
      <c r="AZ56" s="75">
        <v>-325253762</v>
      </c>
      <c r="BA56" s="75">
        <v>-476386165</v>
      </c>
      <c r="BB56" s="75">
        <v>-2175880</v>
      </c>
      <c r="BC56" s="75">
        <v>-64710344</v>
      </c>
      <c r="BD56" s="75">
        <v>-60184446</v>
      </c>
      <c r="BE56" s="75">
        <v>-95885541</v>
      </c>
      <c r="BF56" s="75">
        <v>-5561078101</v>
      </c>
      <c r="BG56" s="75">
        <v>-6498833573</v>
      </c>
      <c r="BH56" s="75">
        <v>-3690066870</v>
      </c>
      <c r="BI56" s="75">
        <v>-5039697793</v>
      </c>
    </row>
    <row r="57" spans="2:61" ht="12" customHeight="1">
      <c r="B57" s="46"/>
      <c r="C57" s="47" t="s">
        <v>77</v>
      </c>
      <c r="D57" s="47" t="s">
        <v>78</v>
      </c>
      <c r="E57" s="47" t="s">
        <v>79</v>
      </c>
      <c r="F57" s="12" t="s">
        <v>80</v>
      </c>
      <c r="H57" s="46"/>
      <c r="I57" s="47" t="s">
        <v>77</v>
      </c>
      <c r="J57" s="47" t="s">
        <v>78</v>
      </c>
      <c r="K57" s="47" t="s">
        <v>79</v>
      </c>
      <c r="L57" s="12" t="s">
        <v>80</v>
      </c>
      <c r="P57" s="46"/>
      <c r="Q57" s="47" t="s">
        <v>77</v>
      </c>
      <c r="R57" s="47" t="s">
        <v>78</v>
      </c>
      <c r="S57" s="47" t="s">
        <v>79</v>
      </c>
      <c r="T57" s="12" t="s">
        <v>80</v>
      </c>
      <c r="V57" s="46"/>
      <c r="W57" s="47" t="s">
        <v>77</v>
      </c>
      <c r="X57" s="47" t="s">
        <v>78</v>
      </c>
      <c r="Y57" s="47" t="s">
        <v>79</v>
      </c>
      <c r="Z57" s="12" t="s">
        <v>80</v>
      </c>
      <c r="AC57" s="80" t="s">
        <v>431</v>
      </c>
      <c r="AD57" s="81">
        <v>8513704335</v>
      </c>
      <c r="AE57" s="81">
        <v>7935315008</v>
      </c>
      <c r="AF57" s="81">
        <v>7338360328</v>
      </c>
      <c r="AG57" s="81">
        <v>3656649927</v>
      </c>
      <c r="AH57" s="81">
        <v>2125250541</v>
      </c>
      <c r="AI57" s="81">
        <v>1382167601</v>
      </c>
      <c r="AJ57" s="81">
        <v>1203404020</v>
      </c>
      <c r="AK57" s="81">
        <v>524011608</v>
      </c>
      <c r="AL57" s="81">
        <v>1398922326</v>
      </c>
      <c r="AM57" s="81">
        <v>822729900</v>
      </c>
      <c r="AN57" s="81">
        <v>584508756</v>
      </c>
      <c r="AO57" s="81">
        <v>268751095</v>
      </c>
      <c r="AP57" s="81">
        <v>1234030504</v>
      </c>
      <c r="AQ57" s="81">
        <v>1264385369</v>
      </c>
      <c r="AR57" s="81">
        <v>1151664190</v>
      </c>
      <c r="AS57" s="81">
        <v>567826421</v>
      </c>
      <c r="AT57" s="81">
        <v>745032423</v>
      </c>
      <c r="AU57" s="81">
        <v>458800731</v>
      </c>
      <c r="AV57" s="81">
        <v>428459286</v>
      </c>
      <c r="AW57" s="81">
        <v>236085306</v>
      </c>
      <c r="AX57" s="81">
        <v>1227</v>
      </c>
      <c r="AY57" s="81">
        <v>238929248</v>
      </c>
      <c r="AZ57" s="81">
        <v>544201642</v>
      </c>
      <c r="BA57" s="81">
        <v>271576408</v>
      </c>
      <c r="BB57" s="81">
        <v>3233289</v>
      </c>
      <c r="BC57" s="81">
        <v>126113251</v>
      </c>
      <c r="BD57" s="81">
        <v>150417142</v>
      </c>
      <c r="BE57" s="81">
        <v>69386016</v>
      </c>
      <c r="BF57" s="81">
        <v>14020174645</v>
      </c>
      <c r="BG57" s="81">
        <v>12228441108</v>
      </c>
      <c r="BH57" s="81">
        <v>11401015364</v>
      </c>
      <c r="BI57" s="81">
        <v>5594286781</v>
      </c>
    </row>
    <row r="58" spans="2:61" ht="12" customHeight="1">
      <c r="B58" s="13" t="s">
        <v>83</v>
      </c>
      <c r="C58" s="14" t="s">
        <v>84</v>
      </c>
      <c r="D58" s="14" t="s">
        <v>84</v>
      </c>
      <c r="E58" s="14" t="s">
        <v>84</v>
      </c>
      <c r="F58" s="15" t="s">
        <v>85</v>
      </c>
      <c r="H58" s="13" t="s">
        <v>83</v>
      </c>
      <c r="I58" s="14" t="s">
        <v>84</v>
      </c>
      <c r="J58" s="14" t="s">
        <v>84</v>
      </c>
      <c r="K58" s="14" t="s">
        <v>84</v>
      </c>
      <c r="L58" s="15" t="s">
        <v>85</v>
      </c>
      <c r="P58" s="13" t="s">
        <v>83</v>
      </c>
      <c r="Q58" s="14" t="s">
        <v>84</v>
      </c>
      <c r="R58" s="14" t="s">
        <v>84</v>
      </c>
      <c r="S58" s="14" t="s">
        <v>84</v>
      </c>
      <c r="T58" s="15" t="s">
        <v>85</v>
      </c>
      <c r="V58" s="13" t="s">
        <v>83</v>
      </c>
      <c r="W58" s="14" t="s">
        <v>84</v>
      </c>
      <c r="X58" s="14" t="s">
        <v>84</v>
      </c>
      <c r="Y58" s="14" t="s">
        <v>84</v>
      </c>
      <c r="Z58" s="15" t="s">
        <v>85</v>
      </c>
      <c r="AC58" s="82" t="s">
        <v>432</v>
      </c>
      <c r="AD58" s="83">
        <v>740610530</v>
      </c>
      <c r="AE58" s="83">
        <v>2570510579</v>
      </c>
      <c r="AF58" s="83">
        <v>5883713151</v>
      </c>
      <c r="AG58" s="83">
        <v>5983664014</v>
      </c>
      <c r="AH58" s="83">
        <v>7303377890</v>
      </c>
      <c r="AI58" s="83">
        <v>7292259382</v>
      </c>
      <c r="AJ58" s="83">
        <v>6272069064</v>
      </c>
      <c r="AK58" s="83">
        <v>2948050960</v>
      </c>
      <c r="AL58" s="83">
        <v>-3676044866</v>
      </c>
      <c r="AM58" s="83">
        <v>-3321957498</v>
      </c>
      <c r="AN58" s="83">
        <v>-3079551992</v>
      </c>
      <c r="AO58" s="83">
        <v>-1107742145</v>
      </c>
      <c r="AP58" s="83">
        <v>-38678951</v>
      </c>
      <c r="AQ58" s="83">
        <v>1760300679</v>
      </c>
      <c r="AR58" s="83">
        <v>3602565774</v>
      </c>
      <c r="AS58" s="83">
        <v>1854263319</v>
      </c>
      <c r="AT58" s="83">
        <v>-1906495847</v>
      </c>
      <c r="AU58" s="83">
        <v>-218763913</v>
      </c>
      <c r="AV58" s="83">
        <v>484067385</v>
      </c>
      <c r="AW58" s="83">
        <v>1039821082</v>
      </c>
      <c r="AX58" s="83">
        <v>2408549737</v>
      </c>
      <c r="AY58" s="83">
        <v>1964676219</v>
      </c>
      <c r="AZ58" s="83">
        <v>821051925</v>
      </c>
      <c r="BA58" s="83">
        <v>-1046771931</v>
      </c>
      <c r="BB58" s="83">
        <v>190386200</v>
      </c>
      <c r="BC58" s="83">
        <v>2194075084</v>
      </c>
      <c r="BD58" s="83">
        <v>2411719829</v>
      </c>
      <c r="BE58" s="83">
        <v>1173506358</v>
      </c>
      <c r="BF58" s="83">
        <v>5021704693</v>
      </c>
      <c r="BG58" s="83">
        <v>12241100532</v>
      </c>
      <c r="BH58" s="83">
        <v>16395635136</v>
      </c>
      <c r="BI58" s="83">
        <v>10844791657</v>
      </c>
    </row>
    <row r="59" spans="2:61" ht="12" customHeight="1">
      <c r="B59" s="65" t="s">
        <v>216</v>
      </c>
      <c r="C59" s="67">
        <f t="shared" ref="C59:F60" si="10">Q24+Q41+Q101</f>
        <v>114572337714</v>
      </c>
      <c r="D59" s="67">
        <f t="shared" si="10"/>
        <v>106563829544</v>
      </c>
      <c r="E59" s="67">
        <f t="shared" si="10"/>
        <v>95957407974</v>
      </c>
      <c r="F59" s="68">
        <f t="shared" si="10"/>
        <v>43271850705</v>
      </c>
      <c r="H59" s="65" t="s">
        <v>362</v>
      </c>
      <c r="I59" s="67">
        <f t="shared" ref="I59:L63" si="11">W24+W41+W101</f>
        <v>114572337714</v>
      </c>
      <c r="J59" s="67">
        <f t="shared" si="11"/>
        <v>106563829544</v>
      </c>
      <c r="K59" s="67">
        <f t="shared" si="11"/>
        <v>95957407974</v>
      </c>
      <c r="L59" s="68">
        <f t="shared" si="11"/>
        <v>43271850705</v>
      </c>
      <c r="P59" s="65" t="s">
        <v>216</v>
      </c>
      <c r="Q59" s="67">
        <f>AP12</f>
        <v>43499623320</v>
      </c>
      <c r="R59" s="67">
        <f>AQ12</f>
        <v>44066949023</v>
      </c>
      <c r="S59" s="67">
        <f>AR12</f>
        <v>48731959043</v>
      </c>
      <c r="T59" s="68">
        <f>AS12</f>
        <v>25563257442</v>
      </c>
      <c r="V59" s="65" t="s">
        <v>362</v>
      </c>
      <c r="W59" s="67">
        <f t="shared" ref="W59:Z60" si="12">AP12</f>
        <v>43499623320</v>
      </c>
      <c r="X59" s="67">
        <f t="shared" si="12"/>
        <v>44066949023</v>
      </c>
      <c r="Y59" s="67">
        <f t="shared" si="12"/>
        <v>48731959043</v>
      </c>
      <c r="Z59" s="68">
        <f t="shared" si="12"/>
        <v>25563257442</v>
      </c>
    </row>
    <row r="60" spans="2:61" ht="12" customHeight="1">
      <c r="B60" s="66" t="s">
        <v>364</v>
      </c>
      <c r="C60" s="69">
        <f t="shared" si="10"/>
        <v>100114206994</v>
      </c>
      <c r="D60" s="69">
        <f t="shared" si="10"/>
        <v>92453620165</v>
      </c>
      <c r="E60" s="69">
        <f t="shared" si="10"/>
        <v>83403375268</v>
      </c>
      <c r="F60" s="70">
        <f t="shared" si="10"/>
        <v>37812958722</v>
      </c>
      <c r="H60" s="66" t="s">
        <v>365</v>
      </c>
      <c r="I60" s="69">
        <f t="shared" si="11"/>
        <v>71292176454</v>
      </c>
      <c r="J60" s="69">
        <f t="shared" si="11"/>
        <v>65808483631</v>
      </c>
      <c r="K60" s="69">
        <f t="shared" si="11"/>
        <v>58699431402</v>
      </c>
      <c r="L60" s="70">
        <f t="shared" si="11"/>
        <v>24916116029</v>
      </c>
      <c r="M60" s="406">
        <f>K60/K59</f>
        <v>0.61172381206779591</v>
      </c>
      <c r="P60" s="66" t="s">
        <v>364</v>
      </c>
      <c r="Q60" s="69">
        <f>AP36</f>
        <v>40184182492</v>
      </c>
      <c r="R60" s="69">
        <f>AQ36</f>
        <v>39007039367</v>
      </c>
      <c r="S60" s="69">
        <f>AR36</f>
        <v>41144640402</v>
      </c>
      <c r="T60" s="70">
        <f>AS36</f>
        <v>22107508735</v>
      </c>
      <c r="V60" s="66" t="s">
        <v>365</v>
      </c>
      <c r="W60" s="69">
        <f t="shared" si="12"/>
        <v>28690417143</v>
      </c>
      <c r="X60" s="69">
        <f t="shared" si="12"/>
        <v>27019228816</v>
      </c>
      <c r="Y60" s="69">
        <f t="shared" si="12"/>
        <v>27482740582</v>
      </c>
      <c r="Z60" s="70">
        <f t="shared" si="12"/>
        <v>14115100993</v>
      </c>
      <c r="AA60" s="406">
        <f>Y60/Y59</f>
        <v>0.56395722892547451</v>
      </c>
    </row>
    <row r="61" spans="2:61" ht="12" customHeight="1">
      <c r="B61" s="66" t="s">
        <v>367</v>
      </c>
      <c r="C61" s="69">
        <f>C59-C60</f>
        <v>14458130720</v>
      </c>
      <c r="D61" s="69">
        <f>D59-D60</f>
        <v>14110209379</v>
      </c>
      <c r="E61" s="69">
        <f>E59-E60</f>
        <v>12554032706</v>
      </c>
      <c r="F61" s="70">
        <f>F59-F60</f>
        <v>5458891983</v>
      </c>
      <c r="H61" s="66" t="s">
        <v>368</v>
      </c>
      <c r="I61" s="69">
        <f t="shared" si="11"/>
        <v>1658338030</v>
      </c>
      <c r="J61" s="69">
        <f t="shared" si="11"/>
        <v>1797575634</v>
      </c>
      <c r="K61" s="69">
        <f t="shared" si="11"/>
        <v>1808018789</v>
      </c>
      <c r="L61" s="70">
        <f t="shared" si="11"/>
        <v>930080359</v>
      </c>
      <c r="P61" s="66" t="s">
        <v>367</v>
      </c>
      <c r="Q61" s="69">
        <f>Q59-Q60</f>
        <v>3315440828</v>
      </c>
      <c r="R61" s="69">
        <f>R59-R60</f>
        <v>5059909656</v>
      </c>
      <c r="S61" s="69">
        <f>S59-S60</f>
        <v>7587318641</v>
      </c>
      <c r="T61" s="70">
        <f>T59-T60</f>
        <v>3455748707</v>
      </c>
      <c r="V61" s="66" t="s">
        <v>368</v>
      </c>
      <c r="W61" s="69">
        <f>AP24</f>
        <v>151093749</v>
      </c>
      <c r="X61" s="69">
        <f>AQ24</f>
        <v>186630451</v>
      </c>
      <c r="Y61" s="69">
        <f>AR24</f>
        <v>189043006</v>
      </c>
      <c r="Z61" s="70">
        <f>AS24</f>
        <v>136875448</v>
      </c>
    </row>
    <row r="62" spans="2:61" ht="12" customHeight="1">
      <c r="B62" s="84" t="s">
        <v>370</v>
      </c>
      <c r="C62" s="85">
        <f>C61/C59</f>
        <v>0.12619215954282925</v>
      </c>
      <c r="D62" s="85">
        <f>D61/D59</f>
        <v>0.13241086998636739</v>
      </c>
      <c r="E62" s="85">
        <f>E61/E59</f>
        <v>0.13082921861959382</v>
      </c>
      <c r="F62" s="86">
        <f>F61/F59</f>
        <v>0.1261534206201454</v>
      </c>
      <c r="H62" s="66" t="s">
        <v>371</v>
      </c>
      <c r="I62" s="69">
        <f t="shared" si="11"/>
        <v>7366506006</v>
      </c>
      <c r="J62" s="69">
        <f t="shared" si="11"/>
        <v>6558474142</v>
      </c>
      <c r="K62" s="69">
        <f t="shared" si="11"/>
        <v>6243110957</v>
      </c>
      <c r="L62" s="70">
        <f t="shared" si="11"/>
        <v>3296982703</v>
      </c>
      <c r="P62" s="84" t="s">
        <v>370</v>
      </c>
      <c r="Q62" s="90">
        <f>Q61/Q59</f>
        <v>7.6217690521371617E-2</v>
      </c>
      <c r="R62" s="90">
        <f>R61/R59</f>
        <v>0.11482323528590703</v>
      </c>
      <c r="S62" s="90">
        <f>S61/S59</f>
        <v>0.15569492361891543</v>
      </c>
      <c r="T62" s="91">
        <f>T61/T59</f>
        <v>0.13518420783582391</v>
      </c>
      <c r="V62" s="66" t="s">
        <v>371</v>
      </c>
      <c r="W62" s="69">
        <f>SUM(AP27:AP28)</f>
        <v>2729586548</v>
      </c>
      <c r="X62" s="69">
        <f>SUM(AQ27:AQ28)</f>
        <v>3208064304</v>
      </c>
      <c r="Y62" s="69">
        <f>SUM(AR27:AR28)</f>
        <v>4091388127</v>
      </c>
      <c r="Z62" s="70">
        <f>SUM(AS27:AS28)</f>
        <v>2145453301</v>
      </c>
    </row>
    <row r="63" spans="2:61" ht="12" customHeight="1">
      <c r="B63" s="66" t="s">
        <v>373</v>
      </c>
      <c r="C63" s="69">
        <f>Q28+Q45+Q105</f>
        <v>9418177407</v>
      </c>
      <c r="D63" s="69">
        <f>R28+R45+R105</f>
        <v>7695217955</v>
      </c>
      <c r="E63" s="69">
        <f>S28+S45+S105</f>
        <v>6670683299</v>
      </c>
      <c r="F63" s="70">
        <f>T28+T45+T105</f>
        <v>2697395887</v>
      </c>
      <c r="H63" s="66" t="s">
        <v>374</v>
      </c>
      <c r="I63" s="69">
        <f t="shared" si="11"/>
        <v>5164913541</v>
      </c>
      <c r="J63" s="69">
        <f t="shared" si="11"/>
        <v>4290702340</v>
      </c>
      <c r="K63" s="69">
        <f t="shared" si="11"/>
        <v>4008257254</v>
      </c>
      <c r="L63" s="70">
        <f t="shared" si="11"/>
        <v>1550101435</v>
      </c>
      <c r="P63" s="66" t="s">
        <v>373</v>
      </c>
      <c r="Q63" s="69">
        <f>AP41</f>
        <v>2672423786</v>
      </c>
      <c r="R63" s="69">
        <f>AQ41</f>
        <v>2801522542</v>
      </c>
      <c r="S63" s="69">
        <f>AR41</f>
        <v>3119509017</v>
      </c>
      <c r="T63" s="70">
        <f>AS41</f>
        <v>1488337724</v>
      </c>
      <c r="V63" s="66" t="s">
        <v>374</v>
      </c>
      <c r="W63" s="69">
        <f>SUM(AP42:AP45)</f>
        <v>943242789</v>
      </c>
      <c r="X63" s="69">
        <f>SUM(AQ42:AQ45)</f>
        <v>1166292698</v>
      </c>
      <c r="Y63" s="69">
        <f>SUM(AR42:AR45)</f>
        <v>1471241470</v>
      </c>
      <c r="Z63" s="70">
        <f>SUM(AS42:AS45)</f>
        <v>685912838</v>
      </c>
    </row>
    <row r="64" spans="2:61" ht="12" customHeight="1">
      <c r="B64" s="66" t="s">
        <v>376</v>
      </c>
      <c r="C64" s="69">
        <f>C61-C63</f>
        <v>5039953313</v>
      </c>
      <c r="D64" s="69">
        <f>D61-D63</f>
        <v>6414991424</v>
      </c>
      <c r="E64" s="69">
        <f>E61-E63</f>
        <v>5883349407</v>
      </c>
      <c r="F64" s="70">
        <f>F61-F63</f>
        <v>2761496096</v>
      </c>
      <c r="H64" s="66" t="s">
        <v>377</v>
      </c>
      <c r="I64" s="69">
        <f>I59-SUM(I60:I63)</f>
        <v>29090403683</v>
      </c>
      <c r="J64" s="69">
        <f>J59-SUM(J60:J63)</f>
        <v>28108593797</v>
      </c>
      <c r="K64" s="69">
        <f>K59-SUM(K60:K63)</f>
        <v>25198589572</v>
      </c>
      <c r="L64" s="70">
        <f>L59-SUM(L60:L63)</f>
        <v>12578570179</v>
      </c>
      <c r="P64" s="66" t="s">
        <v>376</v>
      </c>
      <c r="Q64" s="69">
        <f>Q61-Q63</f>
        <v>643017042</v>
      </c>
      <c r="R64" s="69">
        <f>R61-R63</f>
        <v>2258387114</v>
      </c>
      <c r="S64" s="69">
        <f>S61-S63</f>
        <v>4467809624</v>
      </c>
      <c r="T64" s="70">
        <f>T61-T63</f>
        <v>1967410983</v>
      </c>
      <c r="V64" s="66" t="s">
        <v>377</v>
      </c>
      <c r="W64" s="69">
        <f>W59-SUM(W60:W63)</f>
        <v>10985283091</v>
      </c>
      <c r="X64" s="69">
        <f>X59-SUM(X60:X63)</f>
        <v>12486732754</v>
      </c>
      <c r="Y64" s="69">
        <f>Y59-SUM(Y60:Y63)</f>
        <v>15497545858</v>
      </c>
      <c r="Z64" s="70">
        <f>Z59-SUM(Z60:Z63)</f>
        <v>8479914862</v>
      </c>
    </row>
    <row r="65" spans="2:27" ht="12" customHeight="1" thickBot="1">
      <c r="B65" s="87" t="s">
        <v>379</v>
      </c>
      <c r="C65" s="88">
        <f>C64/C59</f>
        <v>4.3989268383271808E-2</v>
      </c>
      <c r="D65" s="88">
        <f>D64/D59</f>
        <v>6.0198581933950321E-2</v>
      </c>
      <c r="E65" s="88">
        <f>E64/E59</f>
        <v>6.1312091804252511E-2</v>
      </c>
      <c r="F65" s="89">
        <f>F64/F59</f>
        <v>6.3817378989082921E-2</v>
      </c>
      <c r="H65" s="87" t="s">
        <v>380</v>
      </c>
      <c r="I65" s="88">
        <f>I64/I59</f>
        <v>0.25390425178908904</v>
      </c>
      <c r="J65" s="88">
        <f>J64/J59</f>
        <v>0.26377236926713504</v>
      </c>
      <c r="K65" s="88">
        <f>K64/K59</f>
        <v>0.26260181578505798</v>
      </c>
      <c r="L65" s="89">
        <f>L64/L59</f>
        <v>0.29068713202845664</v>
      </c>
      <c r="P65" s="87" t="s">
        <v>379</v>
      </c>
      <c r="Q65" s="92">
        <f>Q64/Q59</f>
        <v>1.4782128968559537E-2</v>
      </c>
      <c r="R65" s="92">
        <f>R64/R59</f>
        <v>5.1249000987594419E-2</v>
      </c>
      <c r="S65" s="92">
        <f>S64/S59</f>
        <v>9.1681305486974243E-2</v>
      </c>
      <c r="T65" s="93">
        <f>T64/T59</f>
        <v>7.6962452358187231E-2</v>
      </c>
      <c r="V65" s="87" t="s">
        <v>380</v>
      </c>
      <c r="W65" s="88">
        <f>W64/W59</f>
        <v>0.25253743027124675</v>
      </c>
      <c r="X65" s="88">
        <f>X64/X59</f>
        <v>0.28335823175511338</v>
      </c>
      <c r="Y65" s="88">
        <f>Y64/Y59</f>
        <v>0.31801606506985097</v>
      </c>
      <c r="Z65" s="89">
        <f>Z64/Z59</f>
        <v>0.33172278146632611</v>
      </c>
    </row>
    <row r="66" spans="2:27" ht="12" customHeight="1">
      <c r="Q66" s="48"/>
      <c r="R66" s="48"/>
      <c r="S66" s="48"/>
      <c r="T66" s="48"/>
      <c r="W66" s="48"/>
      <c r="X66" s="48"/>
      <c r="Y66" s="48"/>
      <c r="Z66" s="48"/>
    </row>
    <row r="67" spans="2:27" ht="12" customHeight="1">
      <c r="H67" s="1" t="s">
        <v>383</v>
      </c>
      <c r="I67" s="16">
        <f>C60-SUM(I60:I62)</f>
        <v>19797186504</v>
      </c>
      <c r="J67" s="16">
        <f>D60-SUM(J60:J62)</f>
        <v>18289086758</v>
      </c>
      <c r="K67" s="16">
        <f>E60-SUM(K60:K62)</f>
        <v>16652814120</v>
      </c>
      <c r="L67" s="16">
        <f>F60-SUM(L60:L62)</f>
        <v>8669779631</v>
      </c>
      <c r="Q67" s="48"/>
      <c r="R67" s="48"/>
      <c r="S67" s="48"/>
      <c r="T67" s="48"/>
      <c r="W67" s="48"/>
      <c r="X67" s="48"/>
      <c r="Y67" s="48"/>
      <c r="Z67" s="48"/>
    </row>
    <row r="68" spans="2:27" ht="12" customHeight="1">
      <c r="H68" s="1" t="s">
        <v>384</v>
      </c>
      <c r="I68" s="16">
        <f>C63-I63</f>
        <v>4253263866</v>
      </c>
      <c r="J68" s="16">
        <f>D63-J63</f>
        <v>3404515615</v>
      </c>
      <c r="K68" s="16">
        <f>E63-K63</f>
        <v>2662426045</v>
      </c>
      <c r="L68" s="16">
        <f>F63-L63</f>
        <v>1147294452</v>
      </c>
      <c r="Q68" s="48"/>
      <c r="R68" s="48"/>
      <c r="S68" s="16">
        <f>S73-Q73</f>
        <v>2597899886</v>
      </c>
      <c r="T68" s="48"/>
      <c r="W68" s="48"/>
      <c r="X68" s="48"/>
      <c r="Y68" s="48"/>
      <c r="Z68" s="48"/>
    </row>
    <row r="69" spans="2:27" ht="12" customHeight="1">
      <c r="H69" s="1" t="s">
        <v>376</v>
      </c>
      <c r="I69" s="16">
        <f>I64-I67-I68</f>
        <v>5039953313</v>
      </c>
      <c r="J69" s="16">
        <f>J64-J67-J68</f>
        <v>6414991424</v>
      </c>
      <c r="K69" s="16">
        <f>K64-K67-K68</f>
        <v>5883349407</v>
      </c>
      <c r="L69" s="16">
        <f>L64-L67-L68</f>
        <v>2761496096</v>
      </c>
      <c r="Q69" s="48"/>
      <c r="R69" s="48"/>
      <c r="S69" s="48"/>
      <c r="T69" s="48"/>
      <c r="W69" s="48"/>
      <c r="X69" s="48"/>
      <c r="Y69" s="48"/>
      <c r="Z69" s="48"/>
    </row>
    <row r="70" spans="2:27" ht="19.5" customHeight="1">
      <c r="P70" s="43" t="s">
        <v>433</v>
      </c>
      <c r="Q70" s="44"/>
      <c r="R70" s="44"/>
      <c r="S70" s="44"/>
      <c r="T70" s="45"/>
      <c r="V70" s="43" t="s">
        <v>434</v>
      </c>
      <c r="W70" s="44"/>
      <c r="X70" s="44"/>
      <c r="Y70" s="44"/>
      <c r="Z70" s="45"/>
    </row>
    <row r="71" spans="2:27" ht="12" customHeight="1">
      <c r="P71" s="46"/>
      <c r="Q71" s="47" t="s">
        <v>77</v>
      </c>
      <c r="R71" s="47" t="s">
        <v>78</v>
      </c>
      <c r="S71" s="47" t="s">
        <v>79</v>
      </c>
      <c r="T71" s="12" t="s">
        <v>80</v>
      </c>
      <c r="V71" s="46"/>
      <c r="W71" s="47" t="s">
        <v>77</v>
      </c>
      <c r="X71" s="47" t="s">
        <v>78</v>
      </c>
      <c r="Y71" s="47" t="s">
        <v>79</v>
      </c>
      <c r="Z71" s="12" t="s">
        <v>80</v>
      </c>
    </row>
    <row r="72" spans="2:27" ht="12" customHeight="1">
      <c r="P72" s="13" t="s">
        <v>83</v>
      </c>
      <c r="Q72" s="14" t="s">
        <v>84</v>
      </c>
      <c r="R72" s="14" t="s">
        <v>84</v>
      </c>
      <c r="S72" s="14" t="s">
        <v>84</v>
      </c>
      <c r="T72" s="15" t="s">
        <v>85</v>
      </c>
      <c r="V72" s="13" t="s">
        <v>83</v>
      </c>
      <c r="W72" s="14" t="s">
        <v>84</v>
      </c>
      <c r="X72" s="14" t="s">
        <v>84</v>
      </c>
      <c r="Y72" s="14" t="s">
        <v>84</v>
      </c>
      <c r="Z72" s="15" t="s">
        <v>85</v>
      </c>
    </row>
    <row r="73" spans="2:27" ht="12" customHeight="1">
      <c r="P73" s="65" t="s">
        <v>216</v>
      </c>
      <c r="Q73" s="67">
        <f>AT12</f>
        <v>21129287864</v>
      </c>
      <c r="R73" s="67">
        <f>AU12</f>
        <v>21405858496</v>
      </c>
      <c r="S73" s="67">
        <f>AV12</f>
        <v>23727187750</v>
      </c>
      <c r="T73" s="68">
        <f>AW12</f>
        <v>14891677706</v>
      </c>
      <c r="V73" s="65" t="s">
        <v>362</v>
      </c>
      <c r="W73" s="67">
        <f t="shared" ref="W73:Z74" si="13">AT12</f>
        <v>21129287864</v>
      </c>
      <c r="X73" s="67">
        <f t="shared" si="13"/>
        <v>21405858496</v>
      </c>
      <c r="Y73" s="67">
        <f t="shared" si="13"/>
        <v>23727187750</v>
      </c>
      <c r="Z73" s="68">
        <f t="shared" si="13"/>
        <v>14891677706</v>
      </c>
    </row>
    <row r="74" spans="2:27" ht="12" customHeight="1">
      <c r="P74" s="66" t="s">
        <v>364</v>
      </c>
      <c r="Q74" s="69">
        <f>AT36</f>
        <v>20444683282</v>
      </c>
      <c r="R74" s="69">
        <f>AU36</f>
        <v>20280585202</v>
      </c>
      <c r="S74" s="69">
        <f>AV36</f>
        <v>21913518791</v>
      </c>
      <c r="T74" s="70">
        <f>AW36</f>
        <v>13184938671</v>
      </c>
      <c r="V74" s="66" t="s">
        <v>365</v>
      </c>
      <c r="W74" s="69">
        <f t="shared" si="13"/>
        <v>14401129395</v>
      </c>
      <c r="X74" s="69">
        <f t="shared" si="13"/>
        <v>13913763375</v>
      </c>
      <c r="Y74" s="69">
        <f t="shared" si="13"/>
        <v>15160225506</v>
      </c>
      <c r="Z74" s="70">
        <f t="shared" si="13"/>
        <v>9316599172</v>
      </c>
      <c r="AA74" s="406">
        <f>Y74/Y73</f>
        <v>0.63893899545680466</v>
      </c>
    </row>
    <row r="75" spans="2:27" ht="12" customHeight="1">
      <c r="P75" s="66" t="s">
        <v>367</v>
      </c>
      <c r="Q75" s="69">
        <f>Q73-Q74</f>
        <v>684604582</v>
      </c>
      <c r="R75" s="69">
        <f>R73-R74</f>
        <v>1125273294</v>
      </c>
      <c r="S75" s="69">
        <f>S73-S74</f>
        <v>1813668959</v>
      </c>
      <c r="T75" s="70">
        <f>T73-T74</f>
        <v>1706739035</v>
      </c>
      <c r="V75" s="66" t="s">
        <v>368</v>
      </c>
      <c r="W75" s="69">
        <f>AT24</f>
        <v>80177168</v>
      </c>
      <c r="X75" s="69">
        <f>AU24</f>
        <v>212329393</v>
      </c>
      <c r="Y75" s="69">
        <f>AV24</f>
        <v>217291539</v>
      </c>
      <c r="Z75" s="70">
        <f>AW24</f>
        <v>135214526</v>
      </c>
    </row>
    <row r="76" spans="2:27" ht="12" customHeight="1">
      <c r="P76" s="84" t="s">
        <v>370</v>
      </c>
      <c r="Q76" s="90">
        <f>Q75/Q73</f>
        <v>3.2400740924469429E-2</v>
      </c>
      <c r="R76" s="90">
        <f>R75/R73</f>
        <v>5.2568472981836908E-2</v>
      </c>
      <c r="S76" s="90">
        <f>S75/S73</f>
        <v>7.6438429118090484E-2</v>
      </c>
      <c r="T76" s="91">
        <f>T75/T73</f>
        <v>0.11461025874286404</v>
      </c>
      <c r="V76" s="66" t="s">
        <v>371</v>
      </c>
      <c r="W76" s="69">
        <f>SUM(AT27:AT28)</f>
        <v>1034868075</v>
      </c>
      <c r="X76" s="69">
        <f>SUM(AU27:AU28)</f>
        <v>1040386492</v>
      </c>
      <c r="Y76" s="69">
        <f>SUM(AV27:AV28)</f>
        <v>1196144923</v>
      </c>
      <c r="Z76" s="70">
        <f>SUM(AW27:AW28)</f>
        <v>863216851</v>
      </c>
    </row>
    <row r="77" spans="2:27" ht="12" customHeight="1">
      <c r="P77" s="66" t="s">
        <v>373</v>
      </c>
      <c r="Q77" s="69">
        <f>AT41</f>
        <v>1954685137</v>
      </c>
      <c r="R77" s="69">
        <f>AU41</f>
        <v>1251438652</v>
      </c>
      <c r="S77" s="69">
        <f>AV41</f>
        <v>1175129955</v>
      </c>
      <c r="T77" s="70">
        <f>AW41</f>
        <v>703044517</v>
      </c>
      <c r="V77" s="66" t="s">
        <v>374</v>
      </c>
      <c r="W77" s="69">
        <f>SUM(AT42:AT45)</f>
        <v>977285744</v>
      </c>
      <c r="X77" s="69">
        <f>SUM(AU42:AU45)</f>
        <v>542063756</v>
      </c>
      <c r="Y77" s="69">
        <f>SUM(AV42:AV45)</f>
        <v>546792636</v>
      </c>
      <c r="Z77" s="70">
        <f>SUM(AW42:AW45)</f>
        <v>305897086</v>
      </c>
    </row>
    <row r="78" spans="2:27" ht="12" customHeight="1">
      <c r="P78" s="66" t="s">
        <v>376</v>
      </c>
      <c r="Q78" s="69">
        <f>Q75-Q77</f>
        <v>-1270080555</v>
      </c>
      <c r="R78" s="69">
        <f>R75-R77</f>
        <v>-126165358</v>
      </c>
      <c r="S78" s="69">
        <f>S75-S77</f>
        <v>638539004</v>
      </c>
      <c r="T78" s="70">
        <f>T75-T77</f>
        <v>1003694518</v>
      </c>
      <c r="V78" s="66" t="s">
        <v>377</v>
      </c>
      <c r="W78" s="69">
        <f>W73-SUM(W74:W77)</f>
        <v>4635827482</v>
      </c>
      <c r="X78" s="69">
        <f>X73-SUM(X74:X77)</f>
        <v>5697315480</v>
      </c>
      <c r="Y78" s="69">
        <f>Y73-SUM(Y74:Y77)</f>
        <v>6606733146</v>
      </c>
      <c r="Z78" s="70">
        <f>Z73-SUM(Z74:Z77)</f>
        <v>4270750071</v>
      </c>
    </row>
    <row r="79" spans="2:27" ht="12" customHeight="1" thickBot="1">
      <c r="P79" s="87" t="s">
        <v>379</v>
      </c>
      <c r="Q79" s="92">
        <f>Q78/Q73</f>
        <v>-6.0109955582741549E-2</v>
      </c>
      <c r="R79" s="92">
        <f>R78/R73</f>
        <v>-5.8939639362549211E-3</v>
      </c>
      <c r="S79" s="92">
        <f>S78/S73</f>
        <v>2.6911701914610592E-2</v>
      </c>
      <c r="T79" s="93">
        <f>T78/T73</f>
        <v>6.7399693830037827E-2</v>
      </c>
      <c r="V79" s="87" t="s">
        <v>380</v>
      </c>
      <c r="W79" s="88">
        <f>W78/W73</f>
        <v>0.21940292128342409</v>
      </c>
      <c r="X79" s="88">
        <f>X78/X73</f>
        <v>0.26615683183482819</v>
      </c>
      <c r="Y79" s="88">
        <f>Y78/Y73</f>
        <v>0.27844568920731028</v>
      </c>
      <c r="Z79" s="89">
        <f>Z78/Z73</f>
        <v>0.2867877048721833</v>
      </c>
    </row>
    <row r="80" spans="2:27" ht="12" customHeight="1">
      <c r="Q80" s="48"/>
      <c r="R80" s="48"/>
      <c r="S80" s="48"/>
      <c r="T80" s="48"/>
      <c r="W80" s="48"/>
      <c r="X80" s="48"/>
      <c r="Y80" s="48"/>
      <c r="Z80" s="48"/>
    </row>
    <row r="81" spans="16:27" ht="12" customHeight="1">
      <c r="Q81" s="48"/>
      <c r="R81" s="48"/>
      <c r="S81" s="48"/>
      <c r="T81" s="48"/>
      <c r="W81" s="48"/>
      <c r="X81" s="48"/>
      <c r="Y81" s="48"/>
      <c r="Z81" s="48"/>
    </row>
    <row r="82" spans="16:27" ht="12" customHeight="1">
      <c r="Q82" s="48"/>
      <c r="R82" s="48"/>
      <c r="S82" s="16">
        <f>S87-Q87</f>
        <v>10719421039</v>
      </c>
      <c r="T82" s="48"/>
      <c r="W82" s="48"/>
      <c r="X82" s="48"/>
      <c r="Y82" s="48"/>
      <c r="Z82" s="48"/>
    </row>
    <row r="83" spans="16:27" ht="12" customHeight="1">
      <c r="Q83" s="48"/>
      <c r="R83" s="48"/>
      <c r="S83" s="48"/>
      <c r="T83" s="48"/>
      <c r="W83" s="48"/>
      <c r="X83" s="48"/>
      <c r="Y83" s="48"/>
      <c r="Z83" s="48"/>
    </row>
    <row r="84" spans="16:27" ht="19.5" customHeight="1">
      <c r="P84" s="43" t="s">
        <v>435</v>
      </c>
      <c r="Q84" s="44"/>
      <c r="R84" s="44"/>
      <c r="S84" s="44"/>
      <c r="T84" s="45"/>
      <c r="V84" s="43" t="s">
        <v>436</v>
      </c>
      <c r="W84" s="44"/>
      <c r="X84" s="44"/>
      <c r="Y84" s="44"/>
      <c r="Z84" s="45"/>
    </row>
    <row r="85" spans="16:27" ht="12" customHeight="1">
      <c r="P85" s="46"/>
      <c r="Q85" s="47" t="s">
        <v>77</v>
      </c>
      <c r="R85" s="47" t="s">
        <v>78</v>
      </c>
      <c r="S85" s="47" t="s">
        <v>79</v>
      </c>
      <c r="T85" s="12" t="s">
        <v>80</v>
      </c>
      <c r="V85" s="46"/>
      <c r="W85" s="47" t="s">
        <v>77</v>
      </c>
      <c r="X85" s="47" t="s">
        <v>78</v>
      </c>
      <c r="Y85" s="47" t="s">
        <v>79</v>
      </c>
      <c r="Z85" s="12" t="s">
        <v>80</v>
      </c>
    </row>
    <row r="86" spans="16:27" ht="12" customHeight="1">
      <c r="P86" s="13" t="s">
        <v>83</v>
      </c>
      <c r="Q86" s="14" t="s">
        <v>84</v>
      </c>
      <c r="R86" s="14" t="s">
        <v>84</v>
      </c>
      <c r="S86" s="14" t="s">
        <v>84</v>
      </c>
      <c r="T86" s="15" t="s">
        <v>85</v>
      </c>
      <c r="V86" s="13" t="s">
        <v>83</v>
      </c>
      <c r="W86" s="14" t="s">
        <v>84</v>
      </c>
      <c r="X86" s="14" t="s">
        <v>84</v>
      </c>
      <c r="Y86" s="14" t="s">
        <v>84</v>
      </c>
      <c r="Z86" s="15" t="s">
        <v>85</v>
      </c>
    </row>
    <row r="87" spans="16:27" ht="12" customHeight="1">
      <c r="P87" s="65" t="s">
        <v>216</v>
      </c>
      <c r="Q87" s="67">
        <f>AX12</f>
        <v>47717791608</v>
      </c>
      <c r="R87" s="67">
        <f>AY12</f>
        <v>54174492386</v>
      </c>
      <c r="S87" s="67">
        <f>AZ12</f>
        <v>58437212647</v>
      </c>
      <c r="T87" s="68">
        <f>BA12</f>
        <v>30531103326</v>
      </c>
      <c r="V87" s="65" t="s">
        <v>362</v>
      </c>
      <c r="W87" s="67">
        <f t="shared" ref="W87:Z88" si="14">AX12</f>
        <v>47717791608</v>
      </c>
      <c r="X87" s="67">
        <f t="shared" si="14"/>
        <v>54174492386</v>
      </c>
      <c r="Y87" s="67">
        <f t="shared" si="14"/>
        <v>58437212647</v>
      </c>
      <c r="Z87" s="68">
        <f t="shared" si="14"/>
        <v>30531103326</v>
      </c>
    </row>
    <row r="88" spans="16:27" ht="12" customHeight="1">
      <c r="P88" s="66" t="s">
        <v>364</v>
      </c>
      <c r="Q88" s="69">
        <f>AX36</f>
        <v>45021688972</v>
      </c>
      <c r="R88" s="69">
        <f>AY36</f>
        <v>51345858629</v>
      </c>
      <c r="S88" s="69">
        <f>AZ36</f>
        <v>55133752930</v>
      </c>
      <c r="T88" s="70">
        <f>BA36</f>
        <v>29757652740</v>
      </c>
      <c r="V88" s="66" t="s">
        <v>365</v>
      </c>
      <c r="W88" s="69">
        <f t="shared" si="14"/>
        <v>42998507019</v>
      </c>
      <c r="X88" s="69">
        <f t="shared" si="14"/>
        <v>46351454256</v>
      </c>
      <c r="Y88" s="69">
        <f t="shared" si="14"/>
        <v>49020488526</v>
      </c>
      <c r="Z88" s="70">
        <f t="shared" si="14"/>
        <v>26179002174</v>
      </c>
      <c r="AA88" s="406">
        <f>Y88/Y87</f>
        <v>0.83885740447814761</v>
      </c>
    </row>
    <row r="89" spans="16:27" ht="12" customHeight="1">
      <c r="P89" s="66" t="s">
        <v>367</v>
      </c>
      <c r="Q89" s="69">
        <f>Q87-Q88</f>
        <v>2696102636</v>
      </c>
      <c r="R89" s="69">
        <f>R87-R88</f>
        <v>2828633757</v>
      </c>
      <c r="S89" s="69">
        <f>S87-S88</f>
        <v>3303459717</v>
      </c>
      <c r="T89" s="70">
        <f>T87-T88</f>
        <v>773450586</v>
      </c>
      <c r="V89" s="66" t="s">
        <v>368</v>
      </c>
      <c r="W89" s="69">
        <f>AX24</f>
        <v>0</v>
      </c>
      <c r="X89" s="69">
        <f>AY24</f>
        <v>0</v>
      </c>
      <c r="Y89" s="69">
        <f>AZ24</f>
        <v>353937</v>
      </c>
      <c r="Z89" s="70">
        <f>BA24</f>
        <v>117888</v>
      </c>
    </row>
    <row r="90" spans="16:27" ht="12" customHeight="1">
      <c r="P90" s="84" t="s">
        <v>370</v>
      </c>
      <c r="Q90" s="90">
        <f>Q89/Q87</f>
        <v>5.6500993552853186E-2</v>
      </c>
      <c r="R90" s="90">
        <f>R89/R87</f>
        <v>5.2213387378798722E-2</v>
      </c>
      <c r="S90" s="90">
        <f>S89/S87</f>
        <v>5.6530069922313284E-2</v>
      </c>
      <c r="T90" s="91">
        <f>T89/T87</f>
        <v>2.5333201284649835E-2</v>
      </c>
      <c r="V90" s="66" t="s">
        <v>371</v>
      </c>
      <c r="W90" s="69">
        <f>SUM(AX27:AX28)</f>
        <v>3900003</v>
      </c>
      <c r="X90" s="69">
        <f>SUM(AY27:AY28)</f>
        <v>0</v>
      </c>
      <c r="Y90" s="69">
        <f>SUM(AZ27:AZ28)</f>
        <v>5618308</v>
      </c>
      <c r="Z90" s="70">
        <f>SUM(BA27:BA28)</f>
        <v>899440</v>
      </c>
    </row>
    <row r="91" spans="16:27" ht="12" customHeight="1">
      <c r="P91" s="66" t="s">
        <v>373</v>
      </c>
      <c r="Q91" s="69">
        <f>AX41</f>
        <v>348503839</v>
      </c>
      <c r="R91" s="69">
        <f>AY41</f>
        <v>524793338</v>
      </c>
      <c r="S91" s="69">
        <f>AZ41</f>
        <v>2524833414</v>
      </c>
      <c r="T91" s="70">
        <f>BA41</f>
        <v>1857911023</v>
      </c>
      <c r="V91" s="66" t="s">
        <v>374</v>
      </c>
      <c r="W91" s="69">
        <f>SUM(AX42:AX45)</f>
        <v>336437055</v>
      </c>
      <c r="X91" s="69">
        <f>SUM(AY42:AY45)</f>
        <v>384147096</v>
      </c>
      <c r="Y91" s="69">
        <f>SUM(AZ42:AZ45)</f>
        <v>1123829386</v>
      </c>
      <c r="Z91" s="70">
        <f>SUM(BA42:BA45)</f>
        <v>1052852415</v>
      </c>
    </row>
    <row r="92" spans="16:27" ht="12" customHeight="1">
      <c r="P92" s="66" t="s">
        <v>376</v>
      </c>
      <c r="Q92" s="69">
        <f>Q89-Q91</f>
        <v>2347598797</v>
      </c>
      <c r="R92" s="69">
        <f>R89-R91</f>
        <v>2303840419</v>
      </c>
      <c r="S92" s="69">
        <f>S89-S91</f>
        <v>778626303</v>
      </c>
      <c r="T92" s="70">
        <f>T89-T91</f>
        <v>-1084460437</v>
      </c>
      <c r="V92" s="66" t="s">
        <v>377</v>
      </c>
      <c r="W92" s="69">
        <f>W87-SUM(W88:W91)</f>
        <v>4378947531</v>
      </c>
      <c r="X92" s="69">
        <f>X87-SUM(X88:X91)</f>
        <v>7438891034</v>
      </c>
      <c r="Y92" s="69">
        <f>Y87-SUM(Y88:Y91)</f>
        <v>8286922490</v>
      </c>
      <c r="Z92" s="70">
        <f>Z87-SUM(Z88:Z91)</f>
        <v>3298231409</v>
      </c>
    </row>
    <row r="93" spans="16:27" ht="12" customHeight="1" thickBot="1">
      <c r="P93" s="87" t="s">
        <v>379</v>
      </c>
      <c r="Q93" s="92">
        <f>Q92/Q87</f>
        <v>4.9197557512414711E-2</v>
      </c>
      <c r="R93" s="92">
        <f>R92/R87</f>
        <v>4.2526294525933907E-2</v>
      </c>
      <c r="S93" s="92">
        <f>S92/S87</f>
        <v>1.3324151986909876E-2</v>
      </c>
      <c r="T93" s="93">
        <f>T92/T87</f>
        <v>-3.5519857419514994E-2</v>
      </c>
      <c r="V93" s="87" t="s">
        <v>380</v>
      </c>
      <c r="W93" s="88">
        <f>W92/W87</f>
        <v>9.1767606660695902E-2</v>
      </c>
      <c r="X93" s="88">
        <f>X92/X87</f>
        <v>0.13731353458740278</v>
      </c>
      <c r="Y93" s="88">
        <f>Y92/Y87</f>
        <v>0.14180899660732582</v>
      </c>
      <c r="Z93" s="89">
        <f>Z92/Z87</f>
        <v>0.1080285692194837</v>
      </c>
    </row>
    <row r="94" spans="16:27" ht="12" customHeight="1">
      <c r="Q94" s="48"/>
      <c r="R94" s="48"/>
      <c r="S94" s="48"/>
      <c r="T94" s="48"/>
      <c r="W94" s="48"/>
      <c r="X94" s="48"/>
      <c r="Y94" s="48"/>
      <c r="Z94" s="48"/>
    </row>
    <row r="95" spans="16:27" ht="12" customHeight="1">
      <c r="Q95" s="48"/>
      <c r="R95" s="48"/>
      <c r="S95" s="48"/>
      <c r="T95" s="48"/>
      <c r="W95" s="48"/>
      <c r="X95" s="48"/>
      <c r="Y95" s="48"/>
      <c r="Z95" s="48"/>
    </row>
    <row r="96" spans="16:27" ht="12" customHeight="1">
      <c r="Q96" s="48"/>
      <c r="R96" s="48"/>
      <c r="S96" s="16">
        <f>S101-Q101</f>
        <v>8215413469</v>
      </c>
      <c r="T96" s="48"/>
      <c r="W96" s="48"/>
      <c r="X96" s="48"/>
      <c r="Y96" s="48"/>
      <c r="Z96" s="48"/>
    </row>
    <row r="97" spans="16:27" ht="12" customHeight="1">
      <c r="Q97" s="48"/>
      <c r="R97" s="48"/>
      <c r="S97" s="48"/>
      <c r="T97" s="48"/>
      <c r="W97" s="48"/>
      <c r="X97" s="48"/>
      <c r="Y97" s="48"/>
      <c r="Z97" s="48"/>
    </row>
    <row r="98" spans="16:27" ht="19.5" customHeight="1">
      <c r="P98" s="43" t="s">
        <v>437</v>
      </c>
      <c r="Q98" s="44"/>
      <c r="R98" s="44"/>
      <c r="S98" s="44"/>
      <c r="T98" s="45"/>
      <c r="V98" s="43" t="s">
        <v>438</v>
      </c>
      <c r="W98" s="44"/>
      <c r="X98" s="44"/>
      <c r="Y98" s="44"/>
      <c r="Z98" s="45"/>
    </row>
    <row r="99" spans="16:27" ht="12" customHeight="1">
      <c r="P99" s="46"/>
      <c r="Q99" s="47" t="s">
        <v>77</v>
      </c>
      <c r="R99" s="47" t="s">
        <v>78</v>
      </c>
      <c r="S99" s="47" t="s">
        <v>79</v>
      </c>
      <c r="T99" s="12" t="s">
        <v>80</v>
      </c>
      <c r="V99" s="46"/>
      <c r="W99" s="47" t="s">
        <v>77</v>
      </c>
      <c r="X99" s="47" t="s">
        <v>78</v>
      </c>
      <c r="Y99" s="47" t="s">
        <v>79</v>
      </c>
      <c r="Z99" s="12" t="s">
        <v>80</v>
      </c>
    </row>
    <row r="100" spans="16:27" ht="12" customHeight="1">
      <c r="P100" s="13" t="s">
        <v>83</v>
      </c>
      <c r="Q100" s="14" t="s">
        <v>84</v>
      </c>
      <c r="R100" s="14" t="s">
        <v>84</v>
      </c>
      <c r="S100" s="14" t="s">
        <v>84</v>
      </c>
      <c r="T100" s="15" t="s">
        <v>85</v>
      </c>
      <c r="V100" s="13" t="s">
        <v>83</v>
      </c>
      <c r="W100" s="14" t="s">
        <v>84</v>
      </c>
      <c r="X100" s="14" t="s">
        <v>84</v>
      </c>
      <c r="Y100" s="14" t="s">
        <v>84</v>
      </c>
      <c r="Z100" s="15" t="s">
        <v>85</v>
      </c>
    </row>
    <row r="101" spans="16:27" ht="12" customHeight="1">
      <c r="P101" s="65" t="s">
        <v>216</v>
      </c>
      <c r="Q101" s="67">
        <f>BB12</f>
        <v>4754087094</v>
      </c>
      <c r="R101" s="67">
        <f>BC12</f>
        <v>9629636821</v>
      </c>
      <c r="S101" s="67">
        <f>BD12</f>
        <v>12969500563</v>
      </c>
      <c r="T101" s="68">
        <f>BE12</f>
        <v>5764099605</v>
      </c>
      <c r="V101" s="65" t="s">
        <v>362</v>
      </c>
      <c r="W101" s="67">
        <f t="shared" ref="W101:Z102" si="15">BB12</f>
        <v>4754087094</v>
      </c>
      <c r="X101" s="67">
        <f t="shared" si="15"/>
        <v>9629636821</v>
      </c>
      <c r="Y101" s="67">
        <f t="shared" si="15"/>
        <v>12969500563</v>
      </c>
      <c r="Z101" s="68">
        <f t="shared" si="15"/>
        <v>5764099605</v>
      </c>
    </row>
    <row r="102" spans="16:27" ht="12" customHeight="1">
      <c r="P102" s="66" t="s">
        <v>364</v>
      </c>
      <c r="Q102" s="69">
        <f>BB36</f>
        <v>4274815175</v>
      </c>
      <c r="R102" s="69">
        <f>BC36</f>
        <v>7174715631</v>
      </c>
      <c r="S102" s="69">
        <f>BD36</f>
        <v>10047890073</v>
      </c>
      <c r="T102" s="70">
        <f>BE36</f>
        <v>4373390657</v>
      </c>
      <c r="V102" s="66" t="s">
        <v>365</v>
      </c>
      <c r="W102" s="69">
        <f t="shared" si="15"/>
        <v>4244649749</v>
      </c>
      <c r="X102" s="69">
        <f t="shared" si="15"/>
        <v>7154233638</v>
      </c>
      <c r="Y102" s="69">
        <f t="shared" si="15"/>
        <v>10046056064</v>
      </c>
      <c r="Z102" s="70">
        <f t="shared" si="15"/>
        <v>4357281611</v>
      </c>
      <c r="AA102" s="406">
        <f>Y102/Y101</f>
        <v>0.77459081906822691</v>
      </c>
    </row>
    <row r="103" spans="16:27" ht="12" customHeight="1">
      <c r="P103" s="66" t="s">
        <v>367</v>
      </c>
      <c r="Q103" s="69">
        <f>Q101-Q102</f>
        <v>479271919</v>
      </c>
      <c r="R103" s="69">
        <f>R101-R102</f>
        <v>2454921190</v>
      </c>
      <c r="S103" s="69">
        <f>S101-S102</f>
        <v>2921610490</v>
      </c>
      <c r="T103" s="70">
        <f>T101-T102</f>
        <v>1390708948</v>
      </c>
      <c r="V103" s="66" t="s">
        <v>368</v>
      </c>
      <c r="W103" s="69">
        <f>BB24</f>
        <v>410159</v>
      </c>
      <c r="X103" s="69">
        <f>BC24</f>
        <v>536633</v>
      </c>
      <c r="Y103" s="69">
        <f>BD24</f>
        <v>161304</v>
      </c>
      <c r="Z103" s="70">
        <f>BE24</f>
        <v>46202</v>
      </c>
    </row>
    <row r="104" spans="16:27" ht="12" customHeight="1">
      <c r="P104" s="84" t="s">
        <v>370</v>
      </c>
      <c r="Q104" s="90">
        <f>Q103/Q101</f>
        <v>0.10081260808302726</v>
      </c>
      <c r="R104" s="90">
        <f>R103/R101</f>
        <v>0.25493393319324226</v>
      </c>
      <c r="S104" s="90">
        <f>S103/S101</f>
        <v>0.2252677715543579</v>
      </c>
      <c r="T104" s="91">
        <f>T103/T101</f>
        <v>0.24127080434100168</v>
      </c>
      <c r="V104" s="66" t="s">
        <v>371</v>
      </c>
      <c r="W104" s="69">
        <f>SUM(BB27:BB28)</f>
        <v>27589189</v>
      </c>
      <c r="X104" s="69">
        <f>SUM(BC27:BC28)</f>
        <v>8846974</v>
      </c>
      <c r="Y104" s="69">
        <f>SUM(BD27:BD28)</f>
        <v>34533919</v>
      </c>
      <c r="Z104" s="70">
        <f>SUM(BE27:BE28)</f>
        <v>14357144</v>
      </c>
    </row>
    <row r="105" spans="16:27" ht="12" customHeight="1">
      <c r="P105" s="66" t="s">
        <v>373</v>
      </c>
      <c r="Q105" s="69">
        <f>BB41</f>
        <v>281176820</v>
      </c>
      <c r="R105" s="69">
        <f>BC41</f>
        <v>388075589</v>
      </c>
      <c r="S105" s="69">
        <f>BD41</f>
        <v>500449287</v>
      </c>
      <c r="T105" s="70">
        <f>BE41</f>
        <v>222536089</v>
      </c>
      <c r="V105" s="66" t="s">
        <v>374</v>
      </c>
      <c r="W105" s="69">
        <f>SUM(BB42:BB45)</f>
        <v>233378088</v>
      </c>
      <c r="X105" s="69">
        <f>SUM(BC42:BC45)</f>
        <v>159378195</v>
      </c>
      <c r="Y105" s="69">
        <f>SUM(BD42:BD45)</f>
        <v>251803273</v>
      </c>
      <c r="Z105" s="70">
        <f>SUM(BE42:BE45)</f>
        <v>97994523</v>
      </c>
    </row>
    <row r="106" spans="16:27" ht="12" customHeight="1">
      <c r="P106" s="66" t="s">
        <v>376</v>
      </c>
      <c r="Q106" s="69">
        <f>Q103-Q105</f>
        <v>198095099</v>
      </c>
      <c r="R106" s="69">
        <f>R103-R105</f>
        <v>2066845601</v>
      </c>
      <c r="S106" s="69">
        <f>S103-S105</f>
        <v>2421161203</v>
      </c>
      <c r="T106" s="70">
        <f>T103-T105</f>
        <v>1168172859</v>
      </c>
      <c r="V106" s="66" t="s">
        <v>377</v>
      </c>
      <c r="W106" s="69">
        <f>W101-SUM(W102:W105)</f>
        <v>248059909</v>
      </c>
      <c r="X106" s="69">
        <f>X101-SUM(X102:X105)</f>
        <v>2306641381</v>
      </c>
      <c r="Y106" s="69">
        <f>Y101-SUM(Y102:Y105)</f>
        <v>2636946003</v>
      </c>
      <c r="Z106" s="70">
        <f>Z101-SUM(Z102:Z105)</f>
        <v>1294420125</v>
      </c>
    </row>
    <row r="107" spans="16:27" ht="12" customHeight="1" thickBot="1">
      <c r="P107" s="87" t="s">
        <v>379</v>
      </c>
      <c r="Q107" s="92">
        <f>Q106/Q101</f>
        <v>4.1668378193998649E-2</v>
      </c>
      <c r="R107" s="92">
        <f>R106/R101</f>
        <v>0.21463380596999151</v>
      </c>
      <c r="S107" s="92">
        <f>S106/S101</f>
        <v>0.18668114406095193</v>
      </c>
      <c r="T107" s="93">
        <f>T106/T101</f>
        <v>0.20266354488161209</v>
      </c>
      <c r="V107" s="87" t="s">
        <v>380</v>
      </c>
      <c r="W107" s="88">
        <f>W106/W101</f>
        <v>5.2178242445972321E-2</v>
      </c>
      <c r="X107" s="88">
        <f>X106/X101</f>
        <v>0.23953565683492353</v>
      </c>
      <c r="Y107" s="88">
        <f>Y106/Y101</f>
        <v>0.20331900910068992</v>
      </c>
      <c r="Z107" s="89">
        <f>Z106/Z101</f>
        <v>0.22456588430171653</v>
      </c>
    </row>
    <row r="108" spans="16:27" ht="12" customHeight="1">
      <c r="Q108" s="48"/>
      <c r="R108" s="48"/>
      <c r="S108" s="48"/>
      <c r="T108" s="48"/>
      <c r="W108" s="48"/>
      <c r="X108" s="48"/>
      <c r="Y108" s="48"/>
      <c r="Z108" s="48"/>
    </row>
    <row r="109" spans="16:27" ht="12" customHeight="1">
      <c r="Q109" s="48"/>
      <c r="R109" s="48"/>
      <c r="S109" s="48"/>
      <c r="T109" s="48"/>
      <c r="W109" s="48"/>
      <c r="X109" s="48"/>
      <c r="Y109" s="48"/>
      <c r="Z109" s="48"/>
    </row>
    <row r="110" spans="16:27" ht="12" customHeight="1">
      <c r="Q110" s="48"/>
      <c r="R110" s="48"/>
      <c r="S110" s="48"/>
      <c r="T110" s="48"/>
      <c r="W110" s="48"/>
      <c r="X110" s="48"/>
      <c r="Y110" s="48"/>
      <c r="Z110" s="48"/>
    </row>
    <row r="111" spans="16:27" ht="12" customHeight="1">
      <c r="Q111" s="48"/>
      <c r="R111" s="48"/>
      <c r="S111" s="48"/>
      <c r="T111" s="48"/>
      <c r="W111" s="48"/>
      <c r="X111" s="48"/>
      <c r="Y111" s="48"/>
      <c r="Z111" s="48"/>
    </row>
    <row r="112" spans="16:27" ht="12" customHeight="1">
      <c r="Q112" s="48"/>
      <c r="R112" s="48"/>
      <c r="S112" s="48"/>
      <c r="T112" s="48"/>
      <c r="W112" s="48"/>
      <c r="X112" s="48"/>
      <c r="Y112" s="48"/>
      <c r="Z112" s="48"/>
    </row>
    <row r="113" spans="17:26" ht="12" customHeight="1">
      <c r="Q113" s="48"/>
      <c r="R113" s="48"/>
      <c r="S113" s="48"/>
      <c r="T113" s="48"/>
      <c r="W113" s="48"/>
      <c r="X113" s="48"/>
      <c r="Y113" s="48"/>
      <c r="Z113" s="48"/>
    </row>
    <row r="114" spans="17:26" ht="12" customHeight="1">
      <c r="Q114" s="48"/>
      <c r="R114" s="48"/>
      <c r="S114" s="48"/>
      <c r="T114" s="48"/>
      <c r="W114" s="48"/>
      <c r="X114" s="48"/>
      <c r="Y114" s="48"/>
      <c r="Z114" s="48"/>
    </row>
    <row r="115" spans="17:26" ht="12" customHeight="1">
      <c r="Q115" s="48"/>
      <c r="R115" s="48"/>
      <c r="S115" s="48"/>
      <c r="T115" s="48"/>
      <c r="W115" s="48"/>
      <c r="X115" s="48"/>
      <c r="Y115" s="48"/>
      <c r="Z115" s="48"/>
    </row>
    <row r="116" spans="17:26" ht="12" customHeight="1">
      <c r="Q116" s="48"/>
      <c r="R116" s="48"/>
      <c r="S116" s="48"/>
      <c r="T116" s="48"/>
      <c r="W116" s="48"/>
      <c r="X116" s="48"/>
      <c r="Y116" s="48"/>
      <c r="Z116" s="48"/>
    </row>
    <row r="117" spans="17:26" ht="12" customHeight="1">
      <c r="Q117" s="48"/>
      <c r="R117" s="48"/>
      <c r="S117" s="48"/>
      <c r="T117" s="48"/>
      <c r="W117" s="48"/>
      <c r="X117" s="48"/>
      <c r="Y117" s="48"/>
      <c r="Z117" s="48"/>
    </row>
    <row r="118" spans="17:26" ht="12" customHeight="1">
      <c r="Q118" s="48"/>
      <c r="R118" s="48"/>
      <c r="S118" s="48"/>
      <c r="T118" s="48"/>
      <c r="W118" s="48"/>
      <c r="X118" s="48"/>
      <c r="Y118" s="48"/>
      <c r="Z118" s="48"/>
    </row>
    <row r="119" spans="17:26" ht="12" customHeight="1">
      <c r="Q119" s="48"/>
      <c r="R119" s="48"/>
      <c r="S119" s="48"/>
      <c r="T119" s="48"/>
      <c r="W119" s="48"/>
      <c r="X119" s="48"/>
      <c r="Y119" s="48"/>
      <c r="Z119" s="48"/>
    </row>
    <row r="120" spans="17:26" ht="12" customHeight="1">
      <c r="Q120" s="48"/>
      <c r="R120" s="48"/>
      <c r="S120" s="48"/>
      <c r="T120" s="48"/>
      <c r="W120" s="48"/>
      <c r="X120" s="48"/>
      <c r="Y120" s="48"/>
      <c r="Z120" s="48"/>
    </row>
    <row r="121" spans="17:26" ht="12" customHeight="1">
      <c r="Q121" s="48"/>
      <c r="R121" s="48"/>
      <c r="S121" s="48"/>
      <c r="T121" s="48"/>
      <c r="W121" s="48"/>
      <c r="X121" s="48"/>
      <c r="Y121" s="48"/>
      <c r="Z121" s="48"/>
    </row>
    <row r="122" spans="17:26" ht="12" customHeight="1">
      <c r="Q122" s="48"/>
      <c r="R122" s="48"/>
      <c r="S122" s="48"/>
      <c r="T122" s="48"/>
      <c r="W122" s="48"/>
      <c r="X122" s="48"/>
      <c r="Y122" s="48"/>
      <c r="Z122" s="48"/>
    </row>
    <row r="123" spans="17:26" ht="12" customHeight="1">
      <c r="Q123" s="48"/>
      <c r="R123" s="48"/>
      <c r="S123" s="48"/>
      <c r="T123" s="48"/>
      <c r="W123" s="48"/>
      <c r="X123" s="48"/>
      <c r="Y123" s="48"/>
      <c r="Z123" s="48"/>
    </row>
    <row r="124" spans="17:26" ht="12" customHeight="1">
      <c r="Q124" s="48"/>
      <c r="R124" s="48"/>
      <c r="S124" s="48"/>
      <c r="T124" s="48"/>
      <c r="W124" s="48"/>
      <c r="X124" s="48"/>
      <c r="Y124" s="48"/>
      <c r="Z124" s="48"/>
    </row>
    <row r="125" spans="17:26" ht="12" customHeight="1">
      <c r="Q125" s="48"/>
      <c r="R125" s="48"/>
      <c r="S125" s="48"/>
      <c r="T125" s="48"/>
      <c r="W125" s="48"/>
      <c r="X125" s="48"/>
      <c r="Y125" s="48"/>
      <c r="Z125" s="48"/>
    </row>
    <row r="126" spans="17:26" ht="12" customHeight="1">
      <c r="Q126" s="48"/>
      <c r="R126" s="48"/>
      <c r="S126" s="48"/>
      <c r="T126" s="48"/>
      <c r="W126" s="48"/>
      <c r="X126" s="48"/>
      <c r="Y126" s="48"/>
      <c r="Z126" s="48"/>
    </row>
    <row r="127" spans="17:26" ht="12" customHeight="1">
      <c r="Q127" s="48"/>
      <c r="R127" s="48"/>
      <c r="S127" s="48"/>
      <c r="T127" s="48"/>
      <c r="W127" s="48"/>
      <c r="X127" s="48"/>
      <c r="Y127" s="48"/>
      <c r="Z127" s="48"/>
    </row>
    <row r="128" spans="17:26" ht="12" customHeight="1">
      <c r="Q128" s="48"/>
      <c r="R128" s="48"/>
      <c r="S128" s="48"/>
      <c r="T128" s="48"/>
      <c r="W128" s="48"/>
      <c r="X128" s="48"/>
      <c r="Y128" s="48"/>
      <c r="Z128" s="48"/>
    </row>
    <row r="129" spans="3:26" ht="12" customHeight="1">
      <c r="Q129" s="48"/>
      <c r="R129" s="48"/>
      <c r="S129" s="48"/>
      <c r="T129" s="48"/>
      <c r="W129" s="48"/>
      <c r="X129" s="48"/>
      <c r="Y129" s="48"/>
      <c r="Z129" s="48"/>
    </row>
    <row r="130" spans="3:26" ht="12" customHeight="1">
      <c r="Q130" s="48"/>
      <c r="R130" s="48"/>
      <c r="S130" s="48"/>
      <c r="T130" s="48"/>
      <c r="W130" s="48"/>
      <c r="X130" s="48"/>
      <c r="Y130" s="48"/>
      <c r="Z130" s="48"/>
    </row>
    <row r="131" spans="3:26" ht="12" customHeight="1">
      <c r="Q131" s="48"/>
      <c r="R131" s="48"/>
      <c r="S131" s="48"/>
      <c r="T131" s="48"/>
      <c r="W131" s="48"/>
      <c r="X131" s="48"/>
      <c r="Y131" s="48"/>
      <c r="Z131" s="48"/>
    </row>
    <row r="132" spans="3:26">
      <c r="Q132" s="48"/>
      <c r="R132" s="48"/>
      <c r="S132" s="48"/>
      <c r="T132" s="48"/>
      <c r="W132" s="48"/>
      <c r="X132" s="48"/>
      <c r="Y132" s="48"/>
      <c r="Z132" s="48"/>
    </row>
    <row r="133" spans="3:26">
      <c r="Q133" s="48"/>
      <c r="R133" s="48"/>
      <c r="S133" s="48"/>
      <c r="T133" s="48"/>
      <c r="W133" s="48"/>
      <c r="X133" s="48"/>
      <c r="Y133" s="48"/>
      <c r="Z133" s="48"/>
    </row>
    <row r="134" spans="3:26">
      <c r="Q134" s="48"/>
      <c r="R134" s="48"/>
      <c r="S134" s="48"/>
      <c r="T134" s="48"/>
      <c r="W134" s="48"/>
      <c r="X134" s="48"/>
      <c r="Y134" s="48"/>
      <c r="Z134" s="48"/>
    </row>
    <row r="135" spans="3:26">
      <c r="Q135" s="48"/>
      <c r="R135" s="48"/>
      <c r="S135" s="48"/>
      <c r="T135" s="48"/>
      <c r="W135" s="48"/>
      <c r="X135" s="48"/>
      <c r="Y135" s="48"/>
      <c r="Z135" s="48"/>
    </row>
    <row r="136" spans="3:26">
      <c r="Q136" s="48"/>
      <c r="R136" s="48"/>
      <c r="S136" s="48"/>
      <c r="T136" s="48"/>
      <c r="W136" s="48"/>
      <c r="X136" s="48"/>
      <c r="Y136" s="48"/>
      <c r="Z136" s="48"/>
    </row>
    <row r="137" spans="3:26">
      <c r="Q137" s="48"/>
      <c r="R137" s="48"/>
      <c r="S137" s="48"/>
      <c r="T137" s="48"/>
      <c r="W137" s="48"/>
      <c r="X137" s="48"/>
      <c r="Y137" s="48"/>
      <c r="Z137" s="48"/>
    </row>
    <row r="138" spans="3:26">
      <c r="Q138" s="48"/>
      <c r="R138" s="48"/>
      <c r="S138" s="48"/>
      <c r="T138" s="48"/>
      <c r="W138" s="48"/>
      <c r="X138" s="48"/>
      <c r="Y138" s="48"/>
      <c r="Z138" s="48"/>
    </row>
    <row r="139" spans="3:26">
      <c r="Q139" s="48"/>
      <c r="R139" s="48"/>
      <c r="S139" s="48"/>
      <c r="T139" s="48"/>
      <c r="W139" s="48"/>
      <c r="X139" s="48"/>
      <c r="Y139" s="48"/>
      <c r="Z139" s="48"/>
    </row>
    <row r="140" spans="3:26">
      <c r="Q140" s="48"/>
      <c r="R140" s="48"/>
      <c r="S140" s="48"/>
      <c r="T140" s="48"/>
      <c r="W140" s="48"/>
      <c r="X140" s="48"/>
      <c r="Y140" s="48"/>
      <c r="Z140" s="48"/>
    </row>
    <row r="141" spans="3:26">
      <c r="Q141" s="48"/>
      <c r="R141" s="48"/>
      <c r="S141" s="48"/>
      <c r="T141" s="48"/>
      <c r="W141" s="48"/>
      <c r="X141" s="48"/>
      <c r="Y141" s="48"/>
      <c r="Z141" s="48"/>
    </row>
    <row r="142" spans="3:26">
      <c r="Q142" s="48"/>
      <c r="R142" s="48"/>
      <c r="S142" s="48"/>
      <c r="T142" s="48"/>
      <c r="W142" s="48"/>
      <c r="X142" s="48"/>
      <c r="Y142" s="48"/>
      <c r="Z142" s="48"/>
    </row>
    <row r="143" spans="3:26">
      <c r="Q143" s="48"/>
      <c r="R143" s="48"/>
      <c r="S143" s="48"/>
      <c r="T143" s="48"/>
      <c r="W143" s="48"/>
      <c r="X143" s="48"/>
      <c r="Y143" s="48"/>
      <c r="Z143" s="48"/>
    </row>
    <row r="144" spans="3:26">
      <c r="C144" s="48"/>
      <c r="D144" s="48"/>
      <c r="E144" s="48"/>
      <c r="F144" s="48"/>
      <c r="I144" s="48"/>
      <c r="J144" s="48"/>
      <c r="K144" s="48"/>
      <c r="L144" s="48"/>
      <c r="Q144" s="48"/>
      <c r="R144" s="48"/>
      <c r="S144" s="48"/>
      <c r="T144" s="48"/>
      <c r="W144" s="48"/>
      <c r="X144" s="48"/>
      <c r="Y144" s="48"/>
      <c r="Z144" s="48"/>
    </row>
    <row r="145" spans="3:26">
      <c r="C145" s="48"/>
      <c r="D145" s="48"/>
      <c r="E145" s="48"/>
      <c r="F145" s="48"/>
      <c r="I145" s="48"/>
      <c r="J145" s="48"/>
      <c r="K145" s="48"/>
      <c r="L145" s="48"/>
      <c r="Q145" s="48"/>
      <c r="R145" s="48"/>
      <c r="S145" s="48"/>
      <c r="T145" s="48"/>
      <c r="W145" s="48"/>
      <c r="X145" s="48"/>
      <c r="Y145" s="48"/>
      <c r="Z145" s="48"/>
    </row>
    <row r="146" spans="3:26">
      <c r="C146" s="48"/>
      <c r="D146" s="48"/>
      <c r="E146" s="48"/>
      <c r="F146" s="48"/>
      <c r="I146" s="48"/>
      <c r="J146" s="48"/>
      <c r="K146" s="48"/>
      <c r="L146" s="48"/>
      <c r="Q146" s="48"/>
      <c r="R146" s="48"/>
      <c r="S146" s="48"/>
      <c r="T146" s="48"/>
      <c r="W146" s="48"/>
      <c r="X146" s="48"/>
      <c r="Y146" s="48"/>
      <c r="Z146" s="48"/>
    </row>
    <row r="147" spans="3:26">
      <c r="C147" s="48"/>
      <c r="D147" s="48"/>
      <c r="E147" s="48"/>
      <c r="F147" s="48"/>
      <c r="I147" s="48"/>
      <c r="J147" s="48"/>
      <c r="K147" s="48"/>
      <c r="L147" s="48"/>
      <c r="Q147" s="48"/>
      <c r="R147" s="48"/>
      <c r="S147" s="48"/>
      <c r="T147" s="48"/>
      <c r="W147" s="48"/>
      <c r="X147" s="48"/>
      <c r="Y147" s="48"/>
      <c r="Z147" s="48"/>
    </row>
    <row r="148" spans="3:26">
      <c r="C148" s="48"/>
      <c r="D148" s="48"/>
      <c r="E148" s="48"/>
      <c r="F148" s="48"/>
      <c r="I148" s="48"/>
      <c r="J148" s="48"/>
      <c r="K148" s="48"/>
      <c r="L148" s="48"/>
      <c r="Q148" s="48"/>
      <c r="R148" s="48"/>
      <c r="S148" s="48"/>
      <c r="T148" s="48"/>
      <c r="W148" s="48"/>
      <c r="X148" s="48"/>
      <c r="Y148" s="48"/>
      <c r="Z148" s="48"/>
    </row>
    <row r="149" spans="3:26">
      <c r="C149" s="48"/>
      <c r="D149" s="48"/>
      <c r="E149" s="48"/>
      <c r="F149" s="48"/>
      <c r="I149" s="48"/>
      <c r="J149" s="48"/>
      <c r="K149" s="48"/>
      <c r="L149" s="48"/>
      <c r="Q149" s="48"/>
      <c r="R149" s="48"/>
      <c r="S149" s="48"/>
      <c r="T149" s="48"/>
      <c r="W149" s="48"/>
      <c r="X149" s="48"/>
      <c r="Y149" s="48"/>
      <c r="Z149" s="48"/>
    </row>
    <row r="150" spans="3:26">
      <c r="C150" s="48"/>
      <c r="D150" s="48"/>
      <c r="E150" s="48"/>
      <c r="F150" s="48"/>
      <c r="I150" s="48"/>
      <c r="J150" s="48"/>
      <c r="K150" s="48"/>
      <c r="L150" s="48"/>
      <c r="Q150" s="48"/>
      <c r="R150" s="48"/>
      <c r="S150" s="48"/>
      <c r="T150" s="48"/>
      <c r="W150" s="48"/>
      <c r="X150" s="48"/>
      <c r="Y150" s="48"/>
      <c r="Z150" s="48"/>
    </row>
    <row r="151" spans="3:26">
      <c r="C151" s="48"/>
      <c r="D151" s="48"/>
      <c r="E151" s="48"/>
      <c r="F151" s="48"/>
      <c r="I151" s="48"/>
      <c r="J151" s="48"/>
      <c r="K151" s="48"/>
      <c r="L151" s="48"/>
      <c r="Q151" s="48"/>
      <c r="R151" s="48"/>
      <c r="S151" s="48"/>
      <c r="T151" s="48"/>
      <c r="W151" s="48"/>
      <c r="X151" s="48"/>
      <c r="Y151" s="48"/>
      <c r="Z151" s="48"/>
    </row>
    <row r="152" spans="3:26">
      <c r="C152" s="48"/>
      <c r="D152" s="48"/>
      <c r="E152" s="48"/>
      <c r="F152" s="48"/>
      <c r="I152" s="48"/>
      <c r="J152" s="48"/>
      <c r="K152" s="48"/>
      <c r="L152" s="48"/>
      <c r="Q152" s="48"/>
      <c r="R152" s="48"/>
      <c r="S152" s="48"/>
      <c r="T152" s="48"/>
      <c r="W152" s="48"/>
      <c r="X152" s="48"/>
      <c r="Y152" s="48"/>
      <c r="Z152" s="48"/>
    </row>
    <row r="153" spans="3:26">
      <c r="C153" s="48"/>
      <c r="D153" s="48"/>
      <c r="E153" s="48"/>
      <c r="F153" s="48"/>
      <c r="I153" s="48"/>
      <c r="J153" s="48"/>
      <c r="K153" s="48"/>
      <c r="L153" s="48"/>
      <c r="Q153" s="48"/>
      <c r="R153" s="48"/>
      <c r="S153" s="48"/>
      <c r="T153" s="48"/>
      <c r="W153" s="48"/>
      <c r="X153" s="48"/>
      <c r="Y153" s="48"/>
      <c r="Z153" s="48"/>
    </row>
    <row r="154" spans="3:26">
      <c r="C154" s="48"/>
      <c r="D154" s="48"/>
      <c r="E154" s="48"/>
      <c r="F154" s="48"/>
      <c r="I154" s="48"/>
      <c r="J154" s="48"/>
      <c r="K154" s="48"/>
      <c r="L154" s="48"/>
      <c r="Q154" s="48"/>
      <c r="R154" s="48"/>
      <c r="S154" s="48"/>
      <c r="T154" s="48"/>
      <c r="W154" s="48"/>
      <c r="X154" s="48"/>
      <c r="Y154" s="48"/>
      <c r="Z154" s="48"/>
    </row>
    <row r="155" spans="3:26">
      <c r="C155" s="48"/>
      <c r="D155" s="48"/>
      <c r="E155" s="48"/>
      <c r="F155" s="48"/>
      <c r="I155" s="48"/>
      <c r="J155" s="48"/>
      <c r="K155" s="48"/>
      <c r="L155" s="48"/>
      <c r="Q155" s="48"/>
      <c r="R155" s="48"/>
      <c r="S155" s="48"/>
      <c r="T155" s="48"/>
      <c r="W155" s="48"/>
      <c r="X155" s="48"/>
      <c r="Y155" s="48"/>
      <c r="Z155" s="48"/>
    </row>
    <row r="156" spans="3:26">
      <c r="C156" s="48"/>
      <c r="D156" s="48"/>
      <c r="E156" s="48"/>
      <c r="F156" s="48"/>
      <c r="I156" s="48"/>
      <c r="J156" s="48"/>
      <c r="K156" s="48"/>
      <c r="L156" s="48"/>
      <c r="Q156" s="48"/>
      <c r="R156" s="48"/>
      <c r="S156" s="48"/>
      <c r="T156" s="48"/>
      <c r="W156" s="48"/>
      <c r="X156" s="48"/>
      <c r="Y156" s="48"/>
      <c r="Z156" s="48"/>
    </row>
    <row r="157" spans="3:26">
      <c r="C157" s="48"/>
      <c r="D157" s="48"/>
      <c r="E157" s="48"/>
      <c r="F157" s="48"/>
      <c r="I157" s="48"/>
      <c r="J157" s="48"/>
      <c r="K157" s="48"/>
      <c r="L157" s="48"/>
      <c r="Q157" s="48"/>
      <c r="R157" s="48"/>
      <c r="S157" s="48"/>
      <c r="T157" s="48"/>
      <c r="W157" s="48"/>
      <c r="X157" s="48"/>
      <c r="Y157" s="48"/>
      <c r="Z157" s="48"/>
    </row>
    <row r="158" spans="3:26">
      <c r="C158" s="48"/>
      <c r="D158" s="48"/>
      <c r="E158" s="48"/>
      <c r="F158" s="48"/>
      <c r="I158" s="48"/>
      <c r="J158" s="48"/>
      <c r="K158" s="48"/>
      <c r="L158" s="48"/>
      <c r="Q158" s="48"/>
      <c r="R158" s="48"/>
      <c r="S158" s="48"/>
      <c r="T158" s="48"/>
      <c r="W158" s="48"/>
      <c r="X158" s="48"/>
      <c r="Y158" s="48"/>
      <c r="Z158" s="48"/>
    </row>
    <row r="159" spans="3:26">
      <c r="C159" s="48"/>
      <c r="D159" s="48"/>
      <c r="E159" s="48"/>
      <c r="F159" s="48"/>
      <c r="I159" s="48"/>
      <c r="J159" s="48"/>
      <c r="K159" s="48"/>
      <c r="L159" s="48"/>
      <c r="Q159" s="48"/>
      <c r="R159" s="48"/>
      <c r="S159" s="48"/>
      <c r="T159" s="48"/>
      <c r="W159" s="48"/>
      <c r="X159" s="48"/>
      <c r="Y159" s="48"/>
      <c r="Z159" s="48"/>
    </row>
    <row r="160" spans="3:26">
      <c r="C160" s="48"/>
      <c r="D160" s="48"/>
      <c r="E160" s="48"/>
      <c r="F160" s="48"/>
      <c r="I160" s="48"/>
      <c r="J160" s="48"/>
      <c r="K160" s="48"/>
      <c r="L160" s="48"/>
      <c r="Q160" s="48"/>
      <c r="R160" s="48"/>
      <c r="S160" s="48"/>
      <c r="T160" s="48"/>
      <c r="W160" s="48"/>
      <c r="X160" s="48"/>
      <c r="Y160" s="48"/>
      <c r="Z160" s="48"/>
    </row>
    <row r="161" spans="3:26">
      <c r="C161" s="48"/>
      <c r="D161" s="48"/>
      <c r="E161" s="48"/>
      <c r="F161" s="48"/>
      <c r="I161" s="48"/>
      <c r="J161" s="48"/>
      <c r="K161" s="48"/>
      <c r="L161" s="48"/>
      <c r="Q161" s="48"/>
      <c r="R161" s="48"/>
      <c r="S161" s="48"/>
      <c r="T161" s="48"/>
      <c r="W161" s="48"/>
      <c r="X161" s="48"/>
      <c r="Y161" s="48"/>
      <c r="Z161" s="48"/>
    </row>
    <row r="162" spans="3:26">
      <c r="C162" s="48"/>
      <c r="D162" s="48"/>
      <c r="E162" s="48"/>
      <c r="F162" s="48"/>
      <c r="I162" s="48"/>
      <c r="J162" s="48"/>
      <c r="K162" s="48"/>
      <c r="L162" s="48"/>
      <c r="Q162" s="48"/>
      <c r="R162" s="48"/>
      <c r="S162" s="48"/>
      <c r="T162" s="48"/>
      <c r="W162" s="48"/>
      <c r="X162" s="48"/>
      <c r="Y162" s="48"/>
      <c r="Z162" s="48"/>
    </row>
    <row r="163" spans="3:26">
      <c r="C163" s="48"/>
      <c r="D163" s="48"/>
      <c r="E163" s="48"/>
      <c r="F163" s="48"/>
      <c r="I163" s="48"/>
      <c r="J163" s="48"/>
      <c r="K163" s="48"/>
      <c r="L163" s="48"/>
      <c r="Q163" s="48"/>
      <c r="R163" s="48"/>
      <c r="S163" s="48"/>
      <c r="T163" s="48"/>
      <c r="W163" s="48"/>
      <c r="X163" s="48"/>
      <c r="Y163" s="48"/>
      <c r="Z163" s="48"/>
    </row>
    <row r="164" spans="3:26">
      <c r="C164" s="48"/>
      <c r="D164" s="48"/>
      <c r="E164" s="48"/>
      <c r="F164" s="48"/>
      <c r="I164" s="48"/>
      <c r="J164" s="48"/>
      <c r="K164" s="48"/>
      <c r="L164" s="48"/>
      <c r="Q164" s="48"/>
      <c r="R164" s="48"/>
      <c r="S164" s="48"/>
      <c r="T164" s="48"/>
      <c r="W164" s="48"/>
      <c r="X164" s="48"/>
      <c r="Y164" s="48"/>
      <c r="Z164" s="48"/>
    </row>
    <row r="165" spans="3:26">
      <c r="C165" s="48"/>
      <c r="D165" s="48"/>
      <c r="E165" s="48"/>
      <c r="F165" s="48"/>
      <c r="I165" s="48"/>
      <c r="J165" s="48"/>
      <c r="K165" s="48"/>
      <c r="L165" s="48"/>
      <c r="Q165" s="48"/>
      <c r="R165" s="48"/>
      <c r="S165" s="48"/>
      <c r="T165" s="48"/>
      <c r="W165" s="48"/>
      <c r="X165" s="48"/>
      <c r="Y165" s="48"/>
      <c r="Z165" s="48"/>
    </row>
    <row r="166" spans="3:26">
      <c r="C166" s="48"/>
      <c r="D166" s="48"/>
      <c r="E166" s="48"/>
      <c r="F166" s="48"/>
      <c r="I166" s="48"/>
      <c r="J166" s="48"/>
      <c r="K166" s="48"/>
      <c r="L166" s="48"/>
      <c r="Q166" s="48"/>
      <c r="R166" s="48"/>
      <c r="S166" s="48"/>
      <c r="T166" s="48"/>
      <c r="W166" s="48"/>
      <c r="X166" s="48"/>
      <c r="Y166" s="48"/>
      <c r="Z166" s="48"/>
    </row>
    <row r="167" spans="3:26">
      <c r="C167" s="48"/>
      <c r="D167" s="48"/>
      <c r="E167" s="48"/>
      <c r="F167" s="48"/>
      <c r="I167" s="48"/>
      <c r="J167" s="48"/>
      <c r="K167" s="48"/>
      <c r="L167" s="48"/>
      <c r="Q167" s="48"/>
      <c r="R167" s="48"/>
      <c r="S167" s="48"/>
      <c r="T167" s="48"/>
      <c r="W167" s="48"/>
      <c r="X167" s="48"/>
      <c r="Y167" s="48"/>
      <c r="Z167" s="48"/>
    </row>
    <row r="168" spans="3:26">
      <c r="C168" s="48"/>
      <c r="D168" s="48"/>
      <c r="E168" s="48"/>
      <c r="F168" s="48"/>
      <c r="I168" s="48"/>
      <c r="J168" s="48"/>
      <c r="K168" s="48"/>
      <c r="L168" s="48"/>
      <c r="Q168" s="48"/>
      <c r="R168" s="48"/>
      <c r="S168" s="48"/>
      <c r="T168" s="48"/>
      <c r="W168" s="48"/>
      <c r="X168" s="48"/>
      <c r="Y168" s="48"/>
      <c r="Z168" s="48"/>
    </row>
    <row r="169" spans="3:26">
      <c r="C169" s="48"/>
      <c r="D169" s="48"/>
      <c r="E169" s="48"/>
      <c r="F169" s="48"/>
      <c r="I169" s="48"/>
      <c r="J169" s="48"/>
      <c r="K169" s="48"/>
      <c r="L169" s="48"/>
      <c r="Q169" s="48"/>
      <c r="R169" s="48"/>
      <c r="S169" s="48"/>
      <c r="T169" s="48"/>
      <c r="W169" s="48"/>
      <c r="X169" s="48"/>
      <c r="Y169" s="48"/>
      <c r="Z169" s="48"/>
    </row>
    <row r="170" spans="3:26">
      <c r="C170" s="48"/>
      <c r="D170" s="48"/>
      <c r="E170" s="48"/>
      <c r="F170" s="48"/>
      <c r="I170" s="48"/>
      <c r="J170" s="48"/>
      <c r="K170" s="48"/>
      <c r="L170" s="48"/>
      <c r="Q170" s="48"/>
      <c r="R170" s="48"/>
      <c r="S170" s="48"/>
      <c r="T170" s="48"/>
      <c r="W170" s="48"/>
      <c r="X170" s="48"/>
      <c r="Y170" s="48"/>
      <c r="Z170" s="48"/>
    </row>
    <row r="171" spans="3:26">
      <c r="C171" s="48"/>
      <c r="D171" s="48"/>
      <c r="E171" s="48"/>
      <c r="F171" s="48"/>
      <c r="I171" s="48"/>
      <c r="J171" s="48"/>
      <c r="K171" s="48"/>
      <c r="L171" s="48"/>
      <c r="Q171" s="48"/>
      <c r="R171" s="48"/>
      <c r="S171" s="48"/>
      <c r="T171" s="48"/>
      <c r="W171" s="48"/>
      <c r="X171" s="48"/>
      <c r="Y171" s="48"/>
      <c r="Z171" s="48"/>
    </row>
    <row r="172" spans="3:26">
      <c r="C172" s="48"/>
      <c r="D172" s="48"/>
      <c r="E172" s="48"/>
      <c r="F172" s="48"/>
      <c r="I172" s="48"/>
      <c r="J172" s="48"/>
      <c r="K172" s="48"/>
      <c r="L172" s="48"/>
      <c r="Q172" s="48"/>
      <c r="R172" s="48"/>
      <c r="S172" s="48"/>
      <c r="T172" s="48"/>
      <c r="W172" s="48"/>
      <c r="X172" s="48"/>
      <c r="Y172" s="48"/>
      <c r="Z172" s="48"/>
    </row>
    <row r="173" spans="3:26">
      <c r="C173" s="48"/>
      <c r="D173" s="48"/>
      <c r="E173" s="48"/>
      <c r="F173" s="48"/>
      <c r="I173" s="48"/>
      <c r="J173" s="48"/>
      <c r="K173" s="48"/>
      <c r="L173" s="48"/>
      <c r="Q173" s="48"/>
      <c r="R173" s="48"/>
      <c r="S173" s="48"/>
      <c r="T173" s="48"/>
      <c r="W173" s="48"/>
      <c r="X173" s="48"/>
      <c r="Y173" s="48"/>
      <c r="Z173" s="48"/>
    </row>
    <row r="174" spans="3:26">
      <c r="C174" s="48"/>
      <c r="D174" s="48"/>
      <c r="E174" s="48"/>
      <c r="F174" s="48"/>
      <c r="I174" s="48"/>
      <c r="J174" s="48"/>
      <c r="K174" s="48"/>
      <c r="L174" s="48"/>
      <c r="Q174" s="48"/>
      <c r="R174" s="48"/>
      <c r="S174" s="48"/>
      <c r="T174" s="48"/>
      <c r="W174" s="48"/>
      <c r="X174" s="48"/>
      <c r="Y174" s="48"/>
      <c r="Z174" s="48"/>
    </row>
    <row r="175" spans="3:26">
      <c r="C175" s="48"/>
      <c r="D175" s="48"/>
      <c r="E175" s="48"/>
      <c r="F175" s="48"/>
      <c r="I175" s="48"/>
      <c r="J175" s="48"/>
      <c r="K175" s="48"/>
      <c r="L175" s="48"/>
      <c r="Q175" s="48"/>
      <c r="R175" s="48"/>
      <c r="S175" s="48"/>
      <c r="T175" s="48"/>
      <c r="W175" s="48"/>
      <c r="X175" s="48"/>
      <c r="Y175" s="48"/>
      <c r="Z175" s="48"/>
    </row>
    <row r="176" spans="3:26">
      <c r="C176" s="48"/>
      <c r="D176" s="48"/>
      <c r="E176" s="48"/>
      <c r="F176" s="48"/>
      <c r="I176" s="48"/>
      <c r="J176" s="48"/>
      <c r="K176" s="48"/>
      <c r="L176" s="48"/>
      <c r="Q176" s="48"/>
      <c r="R176" s="48"/>
      <c r="S176" s="48"/>
      <c r="T176" s="48"/>
      <c r="W176" s="48"/>
      <c r="X176" s="48"/>
      <c r="Y176" s="48"/>
      <c r="Z176" s="48"/>
    </row>
    <row r="177" spans="3:26">
      <c r="C177" s="48"/>
      <c r="D177" s="48"/>
      <c r="E177" s="48"/>
      <c r="F177" s="48"/>
      <c r="I177" s="48"/>
      <c r="J177" s="48"/>
      <c r="K177" s="48"/>
      <c r="L177" s="48"/>
      <c r="Q177" s="48"/>
      <c r="R177" s="48"/>
      <c r="S177" s="48"/>
      <c r="T177" s="48"/>
      <c r="W177" s="48"/>
      <c r="X177" s="48"/>
      <c r="Y177" s="48"/>
      <c r="Z177" s="48"/>
    </row>
    <row r="178" spans="3:26">
      <c r="C178" s="48"/>
      <c r="D178" s="48"/>
      <c r="E178" s="48"/>
      <c r="F178" s="48"/>
      <c r="I178" s="48"/>
      <c r="J178" s="48"/>
      <c r="K178" s="48"/>
      <c r="L178" s="48"/>
      <c r="Q178" s="48"/>
      <c r="R178" s="48"/>
      <c r="S178" s="48"/>
      <c r="T178" s="48"/>
      <c r="W178" s="48"/>
      <c r="X178" s="48"/>
      <c r="Y178" s="48"/>
      <c r="Z178" s="48"/>
    </row>
    <row r="179" spans="3:26">
      <c r="C179" s="48"/>
      <c r="D179" s="48"/>
      <c r="E179" s="48"/>
      <c r="F179" s="48"/>
      <c r="I179" s="48"/>
      <c r="J179" s="48"/>
      <c r="K179" s="48"/>
      <c r="L179" s="48"/>
      <c r="Q179" s="48"/>
      <c r="R179" s="48"/>
      <c r="S179" s="48"/>
      <c r="T179" s="48"/>
      <c r="W179" s="48"/>
      <c r="X179" s="48"/>
      <c r="Y179" s="48"/>
      <c r="Z179" s="48"/>
    </row>
    <row r="180" spans="3:26">
      <c r="C180" s="48"/>
      <c r="D180" s="48"/>
      <c r="E180" s="48"/>
      <c r="F180" s="48"/>
      <c r="I180" s="48"/>
      <c r="J180" s="48"/>
      <c r="K180" s="48"/>
      <c r="L180" s="48"/>
      <c r="Q180" s="48"/>
      <c r="R180" s="48"/>
      <c r="S180" s="48"/>
      <c r="T180" s="48"/>
      <c r="W180" s="48"/>
      <c r="X180" s="48"/>
      <c r="Y180" s="48"/>
      <c r="Z180" s="48"/>
    </row>
    <row r="181" spans="3:26">
      <c r="C181" s="48"/>
      <c r="D181" s="48"/>
      <c r="E181" s="48"/>
      <c r="F181" s="48"/>
      <c r="I181" s="48"/>
      <c r="J181" s="48"/>
      <c r="K181" s="48"/>
      <c r="L181" s="48"/>
      <c r="Q181" s="48"/>
      <c r="R181" s="48"/>
      <c r="S181" s="48"/>
      <c r="T181" s="48"/>
      <c r="W181" s="48"/>
      <c r="X181" s="48"/>
      <c r="Y181" s="48"/>
      <c r="Z181" s="48"/>
    </row>
    <row r="182" spans="3:26">
      <c r="C182" s="48"/>
      <c r="D182" s="48"/>
      <c r="E182" s="48"/>
      <c r="F182" s="48"/>
      <c r="I182" s="48"/>
      <c r="J182" s="48"/>
      <c r="K182" s="48"/>
      <c r="L182" s="48"/>
      <c r="Q182" s="48"/>
      <c r="R182" s="48"/>
      <c r="S182" s="48"/>
      <c r="T182" s="48"/>
      <c r="W182" s="48"/>
      <c r="X182" s="48"/>
      <c r="Y182" s="48"/>
      <c r="Z182" s="48"/>
    </row>
    <row r="183" spans="3:26">
      <c r="C183" s="48"/>
      <c r="D183" s="48"/>
      <c r="E183" s="48"/>
      <c r="F183" s="48"/>
      <c r="I183" s="48"/>
      <c r="J183" s="48"/>
      <c r="K183" s="48"/>
      <c r="L183" s="48"/>
      <c r="Q183" s="48"/>
      <c r="R183" s="48"/>
      <c r="S183" s="48"/>
      <c r="T183" s="48"/>
      <c r="W183" s="48"/>
      <c r="X183" s="48"/>
      <c r="Y183" s="48"/>
      <c r="Z183" s="48"/>
    </row>
    <row r="184" spans="3:26">
      <c r="C184" s="48"/>
      <c r="D184" s="48"/>
      <c r="E184" s="48"/>
      <c r="F184" s="48"/>
      <c r="I184" s="48"/>
      <c r="J184" s="48"/>
      <c r="K184" s="48"/>
      <c r="L184" s="48"/>
      <c r="Q184" s="48"/>
      <c r="R184" s="48"/>
      <c r="S184" s="48"/>
      <c r="T184" s="48"/>
      <c r="W184" s="48"/>
      <c r="X184" s="48"/>
      <c r="Y184" s="48"/>
      <c r="Z184" s="48"/>
    </row>
    <row r="185" spans="3:26">
      <c r="C185" s="48"/>
      <c r="D185" s="48"/>
      <c r="E185" s="48"/>
      <c r="F185" s="48"/>
      <c r="I185" s="48"/>
      <c r="J185" s="48"/>
      <c r="K185" s="48"/>
      <c r="L185" s="48"/>
      <c r="Q185" s="48"/>
      <c r="R185" s="48"/>
      <c r="S185" s="48"/>
      <c r="T185" s="48"/>
      <c r="W185" s="48"/>
      <c r="X185" s="48"/>
      <c r="Y185" s="48"/>
      <c r="Z185" s="48"/>
    </row>
    <row r="186" spans="3:26">
      <c r="C186" s="48"/>
      <c r="D186" s="48"/>
      <c r="E186" s="48"/>
      <c r="F186" s="48"/>
      <c r="I186" s="48"/>
      <c r="J186" s="48"/>
      <c r="K186" s="48"/>
      <c r="L186" s="48"/>
      <c r="Q186" s="48"/>
      <c r="R186" s="48"/>
      <c r="S186" s="48"/>
      <c r="T186" s="48"/>
      <c r="W186" s="48"/>
      <c r="X186" s="48"/>
      <c r="Y186" s="48"/>
      <c r="Z186" s="48"/>
    </row>
    <row r="187" spans="3:26">
      <c r="C187" s="48"/>
      <c r="D187" s="48"/>
      <c r="E187" s="48"/>
      <c r="F187" s="48"/>
      <c r="I187" s="48"/>
      <c r="J187" s="48"/>
      <c r="K187" s="48"/>
      <c r="L187" s="48"/>
      <c r="Q187" s="48"/>
      <c r="R187" s="48"/>
      <c r="S187" s="48"/>
      <c r="T187" s="48"/>
      <c r="W187" s="48"/>
      <c r="X187" s="48"/>
      <c r="Y187" s="48"/>
      <c r="Z187" s="48"/>
    </row>
    <row r="188" spans="3:26">
      <c r="C188" s="48"/>
      <c r="D188" s="48"/>
      <c r="E188" s="48"/>
      <c r="F188" s="48"/>
      <c r="I188" s="48"/>
      <c r="J188" s="48"/>
      <c r="K188" s="48"/>
      <c r="L188" s="48"/>
      <c r="Q188" s="48"/>
      <c r="R188" s="48"/>
      <c r="S188" s="48"/>
      <c r="T188" s="48"/>
      <c r="W188" s="48"/>
      <c r="X188" s="48"/>
      <c r="Y188" s="48"/>
      <c r="Z188" s="48"/>
    </row>
    <row r="189" spans="3:26">
      <c r="C189" s="48"/>
      <c r="D189" s="48"/>
      <c r="E189" s="48"/>
      <c r="F189" s="48"/>
      <c r="I189" s="48"/>
      <c r="J189" s="48"/>
      <c r="K189" s="48"/>
      <c r="L189" s="48"/>
      <c r="Q189" s="48"/>
      <c r="R189" s="48"/>
      <c r="S189" s="48"/>
      <c r="T189" s="48"/>
      <c r="W189" s="48"/>
      <c r="X189" s="48"/>
      <c r="Y189" s="48"/>
      <c r="Z189" s="48"/>
    </row>
    <row r="190" spans="3:26">
      <c r="C190" s="48"/>
      <c r="D190" s="48"/>
      <c r="E190" s="48"/>
      <c r="F190" s="48"/>
      <c r="I190" s="48"/>
      <c r="J190" s="48"/>
      <c r="K190" s="48"/>
      <c r="L190" s="48"/>
      <c r="Q190" s="48"/>
      <c r="R190" s="48"/>
      <c r="S190" s="48"/>
      <c r="T190" s="48"/>
      <c r="W190" s="48"/>
      <c r="X190" s="48"/>
      <c r="Y190" s="48"/>
      <c r="Z190" s="48"/>
    </row>
    <row r="191" spans="3:26">
      <c r="C191" s="48"/>
      <c r="D191" s="48"/>
      <c r="E191" s="48"/>
      <c r="F191" s="48"/>
      <c r="I191" s="48"/>
      <c r="J191" s="48"/>
      <c r="K191" s="48"/>
      <c r="L191" s="48"/>
      <c r="Q191" s="48"/>
      <c r="R191" s="48"/>
      <c r="S191" s="48"/>
      <c r="T191" s="48"/>
      <c r="W191" s="48"/>
      <c r="X191" s="48"/>
      <c r="Y191" s="48"/>
      <c r="Z191" s="48"/>
    </row>
    <row r="192" spans="3:26">
      <c r="C192" s="48"/>
      <c r="D192" s="48"/>
      <c r="E192" s="48"/>
      <c r="F192" s="48"/>
      <c r="I192" s="48"/>
      <c r="J192" s="48"/>
      <c r="K192" s="48"/>
      <c r="L192" s="48"/>
      <c r="Q192" s="48"/>
      <c r="R192" s="48"/>
      <c r="S192" s="48"/>
      <c r="T192" s="48"/>
      <c r="W192" s="48"/>
      <c r="X192" s="48"/>
      <c r="Y192" s="48"/>
      <c r="Z192" s="48"/>
    </row>
    <row r="193" spans="3:26">
      <c r="C193" s="48"/>
      <c r="D193" s="48"/>
      <c r="E193" s="48"/>
      <c r="F193" s="48"/>
      <c r="I193" s="48"/>
      <c r="J193" s="48"/>
      <c r="K193" s="48"/>
      <c r="L193" s="48"/>
      <c r="Q193" s="48"/>
      <c r="R193" s="48"/>
      <c r="S193" s="48"/>
      <c r="T193" s="48"/>
      <c r="W193" s="48"/>
      <c r="X193" s="48"/>
      <c r="Y193" s="48"/>
      <c r="Z193" s="48"/>
    </row>
    <row r="194" spans="3:26">
      <c r="C194" s="48"/>
      <c r="D194" s="48"/>
      <c r="E194" s="48"/>
      <c r="F194" s="48"/>
      <c r="I194" s="48"/>
      <c r="J194" s="48"/>
      <c r="K194" s="48"/>
      <c r="L194" s="48"/>
      <c r="Q194" s="48"/>
      <c r="R194" s="48"/>
      <c r="S194" s="48"/>
      <c r="T194" s="48"/>
      <c r="W194" s="48"/>
      <c r="X194" s="48"/>
      <c r="Y194" s="48"/>
      <c r="Z194" s="48"/>
    </row>
    <row r="195" spans="3:26">
      <c r="C195" s="48"/>
      <c r="D195" s="48"/>
      <c r="E195" s="48"/>
      <c r="F195" s="48"/>
      <c r="I195" s="48"/>
      <c r="J195" s="48"/>
      <c r="K195" s="48"/>
      <c r="L195" s="48"/>
      <c r="Q195" s="48"/>
      <c r="R195" s="48"/>
      <c r="S195" s="48"/>
      <c r="T195" s="48"/>
      <c r="W195" s="48"/>
      <c r="X195" s="48"/>
      <c r="Y195" s="48"/>
      <c r="Z195" s="48"/>
    </row>
    <row r="196" spans="3:26">
      <c r="C196" s="48"/>
      <c r="D196" s="48"/>
      <c r="E196" s="48"/>
      <c r="F196" s="48"/>
      <c r="I196" s="48"/>
      <c r="J196" s="48"/>
      <c r="K196" s="48"/>
      <c r="L196" s="48"/>
      <c r="Q196" s="48"/>
      <c r="R196" s="48"/>
      <c r="S196" s="48"/>
      <c r="T196" s="48"/>
      <c r="W196" s="48"/>
      <c r="X196" s="48"/>
      <c r="Y196" s="48"/>
      <c r="Z196" s="48"/>
    </row>
    <row r="197" spans="3:26">
      <c r="C197" s="48"/>
      <c r="D197" s="48"/>
      <c r="E197" s="48"/>
      <c r="F197" s="48"/>
      <c r="I197" s="48"/>
      <c r="J197" s="48"/>
      <c r="K197" s="48"/>
      <c r="L197" s="48"/>
      <c r="Q197" s="48"/>
      <c r="R197" s="48"/>
      <c r="S197" s="48"/>
      <c r="T197" s="48"/>
      <c r="W197" s="48"/>
      <c r="X197" s="48"/>
      <c r="Y197" s="48"/>
      <c r="Z197" s="48"/>
    </row>
    <row r="198" spans="3:26">
      <c r="C198" s="48"/>
      <c r="D198" s="48"/>
      <c r="E198" s="48"/>
      <c r="F198" s="48"/>
      <c r="I198" s="48"/>
      <c r="J198" s="48"/>
      <c r="K198" s="48"/>
      <c r="L198" s="48"/>
      <c r="Q198" s="48"/>
      <c r="R198" s="48"/>
      <c r="S198" s="48"/>
      <c r="T198" s="48"/>
      <c r="W198" s="48"/>
      <c r="X198" s="48"/>
      <c r="Y198" s="48"/>
      <c r="Z198" s="48"/>
    </row>
    <row r="199" spans="3:26">
      <c r="C199" s="48"/>
      <c r="D199" s="48"/>
      <c r="E199" s="48"/>
      <c r="F199" s="48"/>
      <c r="I199" s="48"/>
      <c r="J199" s="48"/>
      <c r="K199" s="48"/>
      <c r="L199" s="48"/>
      <c r="Q199" s="48"/>
      <c r="R199" s="48"/>
      <c r="S199" s="48"/>
      <c r="T199" s="48"/>
      <c r="W199" s="48"/>
      <c r="X199" s="48"/>
      <c r="Y199" s="48"/>
      <c r="Z199" s="48"/>
    </row>
    <row r="200" spans="3:26">
      <c r="C200" s="48"/>
      <c r="D200" s="48"/>
      <c r="E200" s="48"/>
      <c r="F200" s="48"/>
      <c r="I200" s="48"/>
      <c r="J200" s="48"/>
      <c r="K200" s="48"/>
      <c r="L200" s="48"/>
      <c r="Q200" s="48"/>
      <c r="R200" s="48"/>
      <c r="S200" s="48"/>
      <c r="T200" s="48"/>
      <c r="W200" s="48"/>
      <c r="X200" s="48"/>
      <c r="Y200" s="48"/>
      <c r="Z200" s="48"/>
    </row>
    <row r="201" spans="3:26">
      <c r="C201" s="48"/>
      <c r="D201" s="48"/>
      <c r="E201" s="48"/>
      <c r="F201" s="48"/>
      <c r="I201" s="48"/>
      <c r="J201" s="48"/>
      <c r="K201" s="48"/>
      <c r="L201" s="48"/>
      <c r="Q201" s="48"/>
      <c r="R201" s="48"/>
      <c r="S201" s="48"/>
      <c r="T201" s="48"/>
      <c r="W201" s="48"/>
      <c r="X201" s="48"/>
      <c r="Y201" s="48"/>
      <c r="Z201" s="48"/>
    </row>
    <row r="202" spans="3:26">
      <c r="C202" s="48"/>
      <c r="D202" s="48"/>
      <c r="E202" s="48"/>
      <c r="F202" s="48"/>
      <c r="I202" s="48"/>
      <c r="J202" s="48"/>
      <c r="K202" s="48"/>
      <c r="L202" s="48"/>
      <c r="Q202" s="48"/>
      <c r="R202" s="48"/>
      <c r="S202" s="48"/>
      <c r="T202" s="48"/>
      <c r="W202" s="48"/>
      <c r="X202" s="48"/>
      <c r="Y202" s="48"/>
      <c r="Z202" s="48"/>
    </row>
    <row r="203" spans="3:26">
      <c r="C203" s="48"/>
      <c r="D203" s="48"/>
      <c r="E203" s="48"/>
      <c r="F203" s="48"/>
      <c r="I203" s="48"/>
      <c r="J203" s="48"/>
      <c r="K203" s="48"/>
      <c r="L203" s="48"/>
      <c r="Q203" s="48"/>
      <c r="R203" s="48"/>
      <c r="S203" s="48"/>
      <c r="T203" s="48"/>
      <c r="W203" s="48"/>
      <c r="X203" s="48"/>
      <c r="Y203" s="48"/>
      <c r="Z203" s="48"/>
    </row>
    <row r="204" spans="3:26">
      <c r="C204" s="48"/>
      <c r="D204" s="48"/>
      <c r="E204" s="48"/>
      <c r="F204" s="48"/>
      <c r="I204" s="48"/>
      <c r="J204" s="48"/>
      <c r="K204" s="48"/>
      <c r="L204" s="48"/>
      <c r="Q204" s="48"/>
      <c r="R204" s="48"/>
      <c r="S204" s="48"/>
      <c r="T204" s="48"/>
      <c r="W204" s="48"/>
      <c r="X204" s="48"/>
      <c r="Y204" s="48"/>
      <c r="Z204" s="48"/>
    </row>
    <row r="205" spans="3:26">
      <c r="C205" s="48"/>
      <c r="D205" s="48"/>
      <c r="E205" s="48"/>
      <c r="F205" s="48"/>
      <c r="I205" s="48"/>
      <c r="J205" s="48"/>
      <c r="K205" s="48"/>
      <c r="L205" s="48"/>
      <c r="Q205" s="48"/>
      <c r="R205" s="48"/>
      <c r="S205" s="48"/>
      <c r="T205" s="48"/>
      <c r="W205" s="48"/>
      <c r="X205" s="48"/>
      <c r="Y205" s="48"/>
      <c r="Z205" s="48"/>
    </row>
    <row r="206" spans="3:26">
      <c r="C206" s="48"/>
      <c r="D206" s="48"/>
      <c r="E206" s="48"/>
      <c r="F206" s="48"/>
      <c r="I206" s="48"/>
      <c r="J206" s="48"/>
      <c r="K206" s="48"/>
      <c r="L206" s="48"/>
      <c r="Q206" s="48"/>
      <c r="R206" s="48"/>
      <c r="S206" s="48"/>
      <c r="T206" s="48"/>
      <c r="W206" s="48"/>
      <c r="X206" s="48"/>
      <c r="Y206" s="48"/>
      <c r="Z206" s="48"/>
    </row>
    <row r="207" spans="3:26">
      <c r="C207" s="48"/>
      <c r="D207" s="48"/>
      <c r="E207" s="48"/>
      <c r="F207" s="48"/>
      <c r="I207" s="48"/>
      <c r="J207" s="48"/>
      <c r="K207" s="48"/>
      <c r="L207" s="48"/>
      <c r="Q207" s="48"/>
      <c r="R207" s="48"/>
      <c r="S207" s="48"/>
      <c r="T207" s="48"/>
      <c r="W207" s="48"/>
      <c r="X207" s="48"/>
      <c r="Y207" s="48"/>
      <c r="Z207" s="48"/>
    </row>
    <row r="208" spans="3:26">
      <c r="C208" s="48"/>
      <c r="D208" s="48"/>
      <c r="E208" s="48"/>
      <c r="F208" s="48"/>
      <c r="I208" s="48"/>
      <c r="J208" s="48"/>
      <c r="K208" s="48"/>
      <c r="L208" s="48"/>
      <c r="Q208" s="48"/>
      <c r="R208" s="48"/>
      <c r="S208" s="48"/>
      <c r="T208" s="48"/>
      <c r="W208" s="48"/>
      <c r="X208" s="48"/>
      <c r="Y208" s="48"/>
      <c r="Z208" s="48"/>
    </row>
    <row r="209" spans="3:26">
      <c r="C209" s="48"/>
      <c r="D209" s="48"/>
      <c r="E209" s="48"/>
      <c r="F209" s="48"/>
      <c r="I209" s="48"/>
      <c r="J209" s="48"/>
      <c r="K209" s="48"/>
      <c r="L209" s="48"/>
      <c r="Q209" s="48"/>
      <c r="R209" s="48"/>
      <c r="S209" s="48"/>
      <c r="T209" s="48"/>
      <c r="W209" s="48"/>
      <c r="X209" s="48"/>
      <c r="Y209" s="48"/>
      <c r="Z209" s="48"/>
    </row>
    <row r="210" spans="3:26">
      <c r="C210" s="48"/>
      <c r="D210" s="48"/>
      <c r="E210" s="48"/>
      <c r="F210" s="48"/>
      <c r="I210" s="48"/>
      <c r="J210" s="48"/>
      <c r="K210" s="48"/>
      <c r="L210" s="48"/>
      <c r="Q210" s="48"/>
      <c r="R210" s="48"/>
      <c r="S210" s="48"/>
      <c r="T210" s="48"/>
      <c r="W210" s="48"/>
      <c r="X210" s="48"/>
      <c r="Y210" s="48"/>
      <c r="Z210" s="48"/>
    </row>
    <row r="211" spans="3:26">
      <c r="C211" s="48"/>
      <c r="D211" s="48"/>
      <c r="E211" s="48"/>
      <c r="F211" s="48"/>
      <c r="I211" s="48"/>
      <c r="J211" s="48"/>
      <c r="K211" s="48"/>
      <c r="L211" s="48"/>
      <c r="Q211" s="48"/>
      <c r="R211" s="48"/>
      <c r="S211" s="48"/>
      <c r="T211" s="48"/>
      <c r="W211" s="48"/>
      <c r="X211" s="48"/>
      <c r="Y211" s="48"/>
      <c r="Z211" s="48"/>
    </row>
    <row r="212" spans="3:26">
      <c r="C212" s="48"/>
      <c r="D212" s="48"/>
      <c r="E212" s="48"/>
      <c r="F212" s="48"/>
      <c r="I212" s="48"/>
      <c r="J212" s="48"/>
      <c r="K212" s="48"/>
      <c r="L212" s="48"/>
      <c r="Q212" s="48"/>
      <c r="R212" s="48"/>
      <c r="S212" s="48"/>
      <c r="T212" s="48"/>
      <c r="W212" s="48"/>
      <c r="X212" s="48"/>
      <c r="Y212" s="48"/>
      <c r="Z212" s="48"/>
    </row>
    <row r="213" spans="3:26">
      <c r="C213" s="48"/>
      <c r="D213" s="48"/>
      <c r="E213" s="48"/>
      <c r="F213" s="48"/>
      <c r="I213" s="48"/>
      <c r="J213" s="48"/>
      <c r="K213" s="48"/>
      <c r="L213" s="48"/>
      <c r="Q213" s="48"/>
      <c r="R213" s="48"/>
      <c r="S213" s="48"/>
      <c r="T213" s="48"/>
      <c r="W213" s="48"/>
      <c r="X213" s="48"/>
      <c r="Y213" s="48"/>
      <c r="Z213" s="48"/>
    </row>
    <row r="214" spans="3:26">
      <c r="C214" s="48"/>
      <c r="D214" s="48"/>
      <c r="E214" s="48"/>
      <c r="F214" s="48"/>
      <c r="I214" s="48"/>
      <c r="J214" s="48"/>
      <c r="K214" s="48"/>
      <c r="L214" s="48"/>
      <c r="Q214" s="48"/>
      <c r="R214" s="48"/>
      <c r="S214" s="48"/>
      <c r="T214" s="48"/>
      <c r="W214" s="48"/>
      <c r="X214" s="48"/>
      <c r="Y214" s="48"/>
      <c r="Z214" s="48"/>
    </row>
    <row r="215" spans="3:26">
      <c r="C215" s="48"/>
      <c r="D215" s="48"/>
      <c r="E215" s="48"/>
      <c r="F215" s="48"/>
      <c r="I215" s="48"/>
      <c r="J215" s="48"/>
      <c r="K215" s="48"/>
      <c r="L215" s="48"/>
      <c r="Q215" s="48"/>
      <c r="R215" s="48"/>
      <c r="S215" s="48"/>
      <c r="T215" s="48"/>
      <c r="W215" s="48"/>
      <c r="X215" s="48"/>
      <c r="Y215" s="48"/>
      <c r="Z215" s="48"/>
    </row>
    <row r="216" spans="3:26">
      <c r="C216" s="48"/>
      <c r="D216" s="48"/>
      <c r="E216" s="48"/>
      <c r="F216" s="48"/>
      <c r="I216" s="48"/>
      <c r="J216" s="48"/>
      <c r="K216" s="48"/>
      <c r="L216" s="48"/>
      <c r="Q216" s="48"/>
      <c r="R216" s="48"/>
      <c r="S216" s="48"/>
      <c r="T216" s="48"/>
      <c r="W216" s="48"/>
      <c r="X216" s="48"/>
      <c r="Y216" s="48"/>
      <c r="Z216" s="48"/>
    </row>
    <row r="217" spans="3:26">
      <c r="C217" s="48"/>
      <c r="D217" s="48"/>
      <c r="E217" s="48"/>
      <c r="F217" s="48"/>
      <c r="I217" s="48"/>
      <c r="J217" s="48"/>
      <c r="K217" s="48"/>
      <c r="L217" s="48"/>
      <c r="Q217" s="48"/>
      <c r="R217" s="48"/>
      <c r="S217" s="48"/>
      <c r="T217" s="48"/>
      <c r="W217" s="48"/>
      <c r="X217" s="48"/>
      <c r="Y217" s="48"/>
      <c r="Z217" s="48"/>
    </row>
    <row r="218" spans="3:26">
      <c r="C218" s="48"/>
      <c r="D218" s="48"/>
      <c r="E218" s="48"/>
      <c r="F218" s="48"/>
      <c r="I218" s="48"/>
      <c r="J218" s="48"/>
      <c r="K218" s="48"/>
      <c r="L218" s="48"/>
      <c r="Q218" s="48"/>
      <c r="R218" s="48"/>
      <c r="S218" s="48"/>
      <c r="T218" s="48"/>
      <c r="W218" s="48"/>
      <c r="X218" s="48"/>
      <c r="Y218" s="48"/>
      <c r="Z218" s="48"/>
    </row>
    <row r="219" spans="3:26">
      <c r="C219" s="48"/>
      <c r="D219" s="48"/>
      <c r="E219" s="48"/>
      <c r="F219" s="48"/>
      <c r="I219" s="48"/>
      <c r="J219" s="48"/>
      <c r="K219" s="48"/>
      <c r="L219" s="48"/>
      <c r="Q219" s="48"/>
      <c r="R219" s="48"/>
      <c r="S219" s="48"/>
      <c r="T219" s="48"/>
      <c r="W219" s="48"/>
      <c r="X219" s="48"/>
      <c r="Y219" s="48"/>
      <c r="Z219" s="48"/>
    </row>
    <row r="220" spans="3:26">
      <c r="C220" s="48"/>
      <c r="D220" s="48"/>
      <c r="E220" s="48"/>
      <c r="F220" s="48"/>
      <c r="I220" s="48"/>
      <c r="J220" s="48"/>
      <c r="K220" s="48"/>
      <c r="L220" s="48"/>
      <c r="Q220" s="48"/>
      <c r="R220" s="48"/>
      <c r="S220" s="48"/>
      <c r="T220" s="48"/>
      <c r="W220" s="48"/>
      <c r="X220" s="48"/>
      <c r="Y220" s="48"/>
      <c r="Z220" s="48"/>
    </row>
    <row r="221" spans="3:26">
      <c r="C221" s="48"/>
      <c r="D221" s="48"/>
      <c r="E221" s="48"/>
      <c r="F221" s="48"/>
      <c r="I221" s="48"/>
      <c r="J221" s="48"/>
      <c r="K221" s="48"/>
      <c r="L221" s="48"/>
      <c r="Q221" s="48"/>
      <c r="R221" s="48"/>
      <c r="S221" s="48"/>
      <c r="T221" s="48"/>
      <c r="W221" s="48"/>
      <c r="X221" s="48"/>
      <c r="Y221" s="48"/>
      <c r="Z221" s="48"/>
    </row>
    <row r="222" spans="3:26">
      <c r="C222" s="48"/>
      <c r="D222" s="48"/>
      <c r="E222" s="48"/>
      <c r="F222" s="48"/>
      <c r="I222" s="48"/>
      <c r="J222" s="48"/>
      <c r="K222" s="48"/>
      <c r="L222" s="48"/>
      <c r="Q222" s="48"/>
      <c r="R222" s="48"/>
      <c r="S222" s="48"/>
      <c r="T222" s="48"/>
      <c r="W222" s="48"/>
      <c r="X222" s="48"/>
      <c r="Y222" s="48"/>
      <c r="Z222" s="48"/>
    </row>
    <row r="223" spans="3:26">
      <c r="C223" s="48"/>
      <c r="D223" s="48"/>
      <c r="E223" s="48"/>
      <c r="F223" s="48"/>
      <c r="I223" s="48"/>
      <c r="J223" s="48"/>
      <c r="K223" s="48"/>
      <c r="L223" s="48"/>
      <c r="Q223" s="48"/>
      <c r="R223" s="48"/>
      <c r="S223" s="48"/>
      <c r="T223" s="48"/>
      <c r="W223" s="48"/>
      <c r="X223" s="48"/>
      <c r="Y223" s="48"/>
      <c r="Z223" s="48"/>
    </row>
    <row r="224" spans="3:26">
      <c r="C224" s="48"/>
      <c r="D224" s="48"/>
      <c r="E224" s="48"/>
      <c r="F224" s="48"/>
      <c r="I224" s="48"/>
      <c r="J224" s="48"/>
      <c r="K224" s="48"/>
      <c r="L224" s="48"/>
      <c r="Q224" s="48"/>
      <c r="R224" s="48"/>
      <c r="S224" s="48"/>
      <c r="T224" s="48"/>
      <c r="W224" s="48"/>
      <c r="X224" s="48"/>
      <c r="Y224" s="48"/>
      <c r="Z224" s="48"/>
    </row>
    <row r="225" spans="3:26">
      <c r="C225" s="48"/>
      <c r="D225" s="48"/>
      <c r="E225" s="48"/>
      <c r="F225" s="48"/>
      <c r="I225" s="48"/>
      <c r="J225" s="48"/>
      <c r="K225" s="48"/>
      <c r="L225" s="48"/>
      <c r="Q225" s="48"/>
      <c r="R225" s="48"/>
      <c r="S225" s="48"/>
      <c r="T225" s="48"/>
      <c r="W225" s="48"/>
      <c r="X225" s="48"/>
      <c r="Y225" s="48"/>
      <c r="Z225" s="48"/>
    </row>
    <row r="226" spans="3:26">
      <c r="C226" s="48"/>
      <c r="D226" s="48"/>
      <c r="E226" s="48"/>
      <c r="F226" s="48"/>
      <c r="I226" s="48"/>
      <c r="J226" s="48"/>
      <c r="K226" s="48"/>
      <c r="L226" s="48"/>
      <c r="Q226" s="48"/>
      <c r="R226" s="48"/>
      <c r="S226" s="48"/>
      <c r="T226" s="48"/>
      <c r="W226" s="48"/>
      <c r="X226" s="48"/>
      <c r="Y226" s="48"/>
      <c r="Z226" s="48"/>
    </row>
    <row r="227" spans="3:26">
      <c r="C227" s="48"/>
      <c r="D227" s="48"/>
      <c r="E227" s="48"/>
      <c r="F227" s="48"/>
      <c r="I227" s="48"/>
      <c r="J227" s="48"/>
      <c r="K227" s="48"/>
      <c r="L227" s="48"/>
      <c r="Q227" s="48"/>
      <c r="R227" s="48"/>
      <c r="S227" s="48"/>
      <c r="T227" s="48"/>
      <c r="W227" s="48"/>
      <c r="X227" s="48"/>
      <c r="Y227" s="48"/>
      <c r="Z227" s="48"/>
    </row>
    <row r="228" spans="3:26">
      <c r="C228" s="48"/>
      <c r="D228" s="48"/>
      <c r="E228" s="48"/>
      <c r="F228" s="48"/>
      <c r="I228" s="48"/>
      <c r="J228" s="48"/>
      <c r="K228" s="48"/>
      <c r="L228" s="48"/>
      <c r="Q228" s="48"/>
      <c r="R228" s="48"/>
      <c r="S228" s="48"/>
      <c r="T228" s="48"/>
      <c r="W228" s="48"/>
      <c r="X228" s="48"/>
      <c r="Y228" s="48"/>
      <c r="Z228" s="48"/>
    </row>
    <row r="229" spans="3:26">
      <c r="C229" s="48"/>
      <c r="D229" s="48"/>
      <c r="E229" s="48"/>
      <c r="F229" s="48"/>
      <c r="I229" s="48"/>
      <c r="J229" s="48"/>
      <c r="K229" s="48"/>
      <c r="L229" s="48"/>
      <c r="Q229" s="48"/>
      <c r="R229" s="48"/>
      <c r="S229" s="48"/>
      <c r="T229" s="48"/>
      <c r="W229" s="48"/>
      <c r="X229" s="48"/>
      <c r="Y229" s="48"/>
      <c r="Z229" s="48"/>
    </row>
    <row r="230" spans="3:26">
      <c r="C230" s="48"/>
      <c r="D230" s="48"/>
      <c r="E230" s="48"/>
      <c r="F230" s="48"/>
      <c r="I230" s="48"/>
      <c r="J230" s="48"/>
      <c r="K230" s="48"/>
      <c r="L230" s="48"/>
      <c r="Q230" s="48"/>
      <c r="R230" s="48"/>
      <c r="S230" s="48"/>
      <c r="T230" s="48"/>
      <c r="W230" s="48"/>
      <c r="X230" s="48"/>
      <c r="Y230" s="48"/>
      <c r="Z230" s="48"/>
    </row>
    <row r="231" spans="3:26">
      <c r="C231" s="48"/>
      <c r="D231" s="48"/>
      <c r="E231" s="48"/>
      <c r="F231" s="48"/>
      <c r="I231" s="48"/>
      <c r="J231" s="48"/>
      <c r="K231" s="48"/>
      <c r="L231" s="48"/>
      <c r="Q231" s="48"/>
      <c r="R231" s="48"/>
      <c r="S231" s="48"/>
      <c r="T231" s="48"/>
      <c r="W231" s="48"/>
      <c r="X231" s="48"/>
      <c r="Y231" s="48"/>
      <c r="Z231" s="48"/>
    </row>
    <row r="232" spans="3:26">
      <c r="C232" s="48"/>
      <c r="D232" s="48"/>
      <c r="E232" s="48"/>
      <c r="F232" s="48"/>
      <c r="I232" s="48"/>
      <c r="J232" s="48"/>
      <c r="K232" s="48"/>
      <c r="L232" s="48"/>
      <c r="Q232" s="48"/>
      <c r="R232" s="48"/>
      <c r="S232" s="48"/>
      <c r="T232" s="48"/>
      <c r="W232" s="48"/>
      <c r="X232" s="48"/>
      <c r="Y232" s="48"/>
      <c r="Z232" s="48"/>
    </row>
    <row r="233" spans="3:26">
      <c r="C233" s="48"/>
      <c r="D233" s="48"/>
      <c r="E233" s="48"/>
      <c r="F233" s="48"/>
      <c r="I233" s="48"/>
      <c r="J233" s="48"/>
      <c r="K233" s="48"/>
      <c r="L233" s="48"/>
      <c r="Q233" s="48"/>
      <c r="R233" s="48"/>
      <c r="S233" s="48"/>
      <c r="T233" s="48"/>
      <c r="W233" s="48"/>
      <c r="X233" s="48"/>
      <c r="Y233" s="48"/>
      <c r="Z233" s="48"/>
    </row>
    <row r="234" spans="3:26">
      <c r="C234" s="48"/>
      <c r="D234" s="48"/>
      <c r="E234" s="48"/>
      <c r="F234" s="48"/>
      <c r="I234" s="48"/>
      <c r="J234" s="48"/>
      <c r="K234" s="48"/>
      <c r="L234" s="48"/>
      <c r="Q234" s="48"/>
      <c r="R234" s="48"/>
      <c r="S234" s="48"/>
      <c r="T234" s="48"/>
      <c r="W234" s="48"/>
      <c r="X234" s="48"/>
      <c r="Y234" s="48"/>
      <c r="Z234" s="48"/>
    </row>
    <row r="235" spans="3:26">
      <c r="C235" s="48"/>
      <c r="D235" s="48"/>
      <c r="E235" s="48"/>
      <c r="F235" s="48"/>
      <c r="I235" s="48"/>
      <c r="J235" s="48"/>
      <c r="K235" s="48"/>
      <c r="L235" s="48"/>
      <c r="Q235" s="48"/>
      <c r="R235" s="48"/>
      <c r="S235" s="48"/>
      <c r="T235" s="48"/>
      <c r="W235" s="48"/>
      <c r="X235" s="48"/>
      <c r="Y235" s="48"/>
      <c r="Z235" s="48"/>
    </row>
    <row r="236" spans="3:26">
      <c r="C236" s="48"/>
      <c r="D236" s="48"/>
      <c r="E236" s="48"/>
      <c r="F236" s="48"/>
      <c r="I236" s="48"/>
      <c r="J236" s="48"/>
      <c r="K236" s="48"/>
      <c r="L236" s="48"/>
      <c r="Q236" s="48"/>
      <c r="R236" s="48"/>
      <c r="S236" s="48"/>
      <c r="T236" s="48"/>
      <c r="W236" s="48"/>
      <c r="X236" s="48"/>
      <c r="Y236" s="48"/>
      <c r="Z236" s="48"/>
    </row>
    <row r="237" spans="3:26">
      <c r="C237" s="48"/>
      <c r="D237" s="48"/>
      <c r="E237" s="48"/>
      <c r="F237" s="48"/>
      <c r="I237" s="48"/>
      <c r="J237" s="48"/>
      <c r="K237" s="48"/>
      <c r="L237" s="48"/>
      <c r="Q237" s="48"/>
      <c r="R237" s="48"/>
      <c r="S237" s="48"/>
      <c r="T237" s="48"/>
      <c r="W237" s="48"/>
      <c r="X237" s="48"/>
      <c r="Y237" s="48"/>
      <c r="Z237" s="48"/>
    </row>
    <row r="238" spans="3:26">
      <c r="C238" s="48"/>
      <c r="D238" s="48"/>
      <c r="E238" s="48"/>
      <c r="F238" s="48"/>
      <c r="I238" s="48"/>
      <c r="J238" s="48"/>
      <c r="K238" s="48"/>
      <c r="L238" s="48"/>
      <c r="Q238" s="48"/>
      <c r="R238" s="48"/>
      <c r="S238" s="48"/>
      <c r="T238" s="48"/>
      <c r="W238" s="48"/>
      <c r="X238" s="48"/>
      <c r="Y238" s="48"/>
      <c r="Z238" s="48"/>
    </row>
    <row r="239" spans="3:26">
      <c r="C239" s="48"/>
      <c r="D239" s="48"/>
      <c r="E239" s="48"/>
      <c r="F239" s="48"/>
      <c r="I239" s="48"/>
      <c r="J239" s="48"/>
      <c r="K239" s="48"/>
      <c r="L239" s="48"/>
      <c r="Q239" s="48"/>
      <c r="R239" s="48"/>
      <c r="S239" s="48"/>
      <c r="T239" s="48"/>
      <c r="W239" s="48"/>
      <c r="X239" s="48"/>
      <c r="Y239" s="48"/>
      <c r="Z239" s="48"/>
    </row>
    <row r="240" spans="3:26">
      <c r="C240" s="48"/>
      <c r="D240" s="48"/>
      <c r="E240" s="48"/>
      <c r="F240" s="48"/>
      <c r="I240" s="48"/>
      <c r="J240" s="48"/>
      <c r="K240" s="48"/>
      <c r="L240" s="48"/>
      <c r="Q240" s="48"/>
      <c r="R240" s="48"/>
      <c r="S240" s="48"/>
      <c r="T240" s="48"/>
      <c r="W240" s="48"/>
      <c r="X240" s="48"/>
      <c r="Y240" s="48"/>
      <c r="Z240" s="48"/>
    </row>
    <row r="241" spans="3:26">
      <c r="C241" s="48"/>
      <c r="D241" s="48"/>
      <c r="E241" s="48"/>
      <c r="F241" s="48"/>
      <c r="I241" s="48"/>
      <c r="J241" s="48"/>
      <c r="K241" s="48"/>
      <c r="L241" s="48"/>
      <c r="Q241" s="48"/>
      <c r="R241" s="48"/>
      <c r="S241" s="48"/>
      <c r="T241" s="48"/>
      <c r="W241" s="48"/>
      <c r="X241" s="48"/>
      <c r="Y241" s="48"/>
      <c r="Z241" s="48"/>
    </row>
    <row r="242" spans="3:26">
      <c r="C242" s="48"/>
      <c r="D242" s="48"/>
      <c r="E242" s="48"/>
      <c r="F242" s="48"/>
      <c r="I242" s="48"/>
      <c r="J242" s="48"/>
      <c r="K242" s="48"/>
      <c r="L242" s="48"/>
      <c r="Q242" s="48"/>
      <c r="R242" s="48"/>
      <c r="S242" s="48"/>
      <c r="T242" s="48"/>
      <c r="W242" s="48"/>
      <c r="X242" s="48"/>
      <c r="Y242" s="48"/>
      <c r="Z242" s="48"/>
    </row>
    <row r="243" spans="3:26">
      <c r="C243" s="48"/>
      <c r="D243" s="48"/>
      <c r="E243" s="48"/>
      <c r="F243" s="48"/>
      <c r="I243" s="48"/>
      <c r="J243" s="48"/>
      <c r="K243" s="48"/>
      <c r="L243" s="48"/>
      <c r="Q243" s="48"/>
      <c r="R243" s="48"/>
      <c r="S243" s="48"/>
      <c r="T243" s="48"/>
      <c r="W243" s="48"/>
      <c r="X243" s="48"/>
      <c r="Y243" s="48"/>
      <c r="Z243" s="48"/>
    </row>
    <row r="244" spans="3:26">
      <c r="C244" s="48"/>
      <c r="D244" s="48"/>
      <c r="E244" s="48"/>
      <c r="F244" s="48"/>
      <c r="I244" s="48"/>
      <c r="J244" s="48"/>
      <c r="K244" s="48"/>
      <c r="L244" s="48"/>
      <c r="Q244" s="48"/>
      <c r="R244" s="48"/>
      <c r="S244" s="48"/>
      <c r="T244" s="48"/>
      <c r="W244" s="48"/>
      <c r="X244" s="48"/>
      <c r="Y244" s="48"/>
      <c r="Z244" s="48"/>
    </row>
    <row r="245" spans="3:26">
      <c r="C245" s="48"/>
      <c r="D245" s="48"/>
      <c r="E245" s="48"/>
      <c r="F245" s="48"/>
      <c r="I245" s="48"/>
      <c r="J245" s="48"/>
      <c r="K245" s="48"/>
      <c r="L245" s="48"/>
      <c r="Q245" s="48"/>
      <c r="R245" s="48"/>
      <c r="S245" s="48"/>
      <c r="T245" s="48"/>
      <c r="W245" s="48"/>
      <c r="X245" s="48"/>
      <c r="Y245" s="48"/>
      <c r="Z245" s="48"/>
    </row>
    <row r="246" spans="3:26">
      <c r="C246" s="48"/>
      <c r="D246" s="48"/>
      <c r="E246" s="48"/>
      <c r="F246" s="48"/>
      <c r="I246" s="48"/>
      <c r="J246" s="48"/>
      <c r="K246" s="48"/>
      <c r="L246" s="48"/>
      <c r="Q246" s="48"/>
      <c r="R246" s="48"/>
      <c r="S246" s="48"/>
      <c r="T246" s="48"/>
      <c r="W246" s="48"/>
      <c r="X246" s="48"/>
      <c r="Y246" s="48"/>
      <c r="Z246" s="48"/>
    </row>
    <row r="247" spans="3:26">
      <c r="C247" s="48"/>
      <c r="D247" s="48"/>
      <c r="E247" s="48"/>
      <c r="F247" s="48"/>
      <c r="I247" s="48"/>
      <c r="J247" s="48"/>
      <c r="K247" s="48"/>
      <c r="L247" s="48"/>
      <c r="Q247" s="48"/>
      <c r="R247" s="48"/>
      <c r="S247" s="48"/>
      <c r="T247" s="48"/>
      <c r="W247" s="48"/>
      <c r="X247" s="48"/>
      <c r="Y247" s="48"/>
      <c r="Z247" s="48"/>
    </row>
    <row r="248" spans="3:26">
      <c r="C248" s="48"/>
      <c r="D248" s="48"/>
      <c r="E248" s="48"/>
      <c r="F248" s="48"/>
      <c r="I248" s="48"/>
      <c r="J248" s="48"/>
      <c r="K248" s="48"/>
      <c r="L248" s="48"/>
      <c r="Q248" s="48"/>
      <c r="R248" s="48"/>
      <c r="S248" s="48"/>
      <c r="T248" s="48"/>
      <c r="W248" s="48"/>
      <c r="X248" s="48"/>
      <c r="Y248" s="48"/>
      <c r="Z248" s="48"/>
    </row>
    <row r="249" spans="3:26">
      <c r="C249" s="48"/>
      <c r="D249" s="48"/>
      <c r="E249" s="48"/>
      <c r="F249" s="48"/>
      <c r="I249" s="48"/>
      <c r="J249" s="48"/>
      <c r="K249" s="48"/>
      <c r="L249" s="48"/>
      <c r="Q249" s="48"/>
      <c r="R249" s="48"/>
      <c r="S249" s="48"/>
      <c r="T249" s="48"/>
      <c r="W249" s="48"/>
      <c r="X249" s="48"/>
      <c r="Y249" s="48"/>
      <c r="Z249" s="48"/>
    </row>
    <row r="250" spans="3:26">
      <c r="C250" s="48"/>
      <c r="D250" s="48"/>
      <c r="E250" s="48"/>
      <c r="F250" s="48"/>
      <c r="I250" s="48"/>
      <c r="J250" s="48"/>
      <c r="K250" s="48"/>
      <c r="L250" s="48"/>
      <c r="Q250" s="48"/>
      <c r="R250" s="48"/>
      <c r="S250" s="48"/>
      <c r="T250" s="48"/>
      <c r="W250" s="48"/>
      <c r="X250" s="48"/>
      <c r="Y250" s="48"/>
      <c r="Z250" s="48"/>
    </row>
    <row r="251" spans="3:26">
      <c r="C251" s="48"/>
      <c r="D251" s="48"/>
      <c r="E251" s="48"/>
      <c r="F251" s="48"/>
      <c r="I251" s="48"/>
      <c r="J251" s="48"/>
      <c r="K251" s="48"/>
      <c r="L251" s="48"/>
      <c r="Q251" s="48"/>
      <c r="R251" s="48"/>
      <c r="S251" s="48"/>
      <c r="T251" s="48"/>
      <c r="W251" s="48"/>
      <c r="X251" s="48"/>
      <c r="Y251" s="48"/>
      <c r="Z251" s="48"/>
    </row>
    <row r="252" spans="3:26">
      <c r="C252" s="48"/>
      <c r="D252" s="48"/>
      <c r="E252" s="48"/>
      <c r="F252" s="48"/>
      <c r="I252" s="48"/>
      <c r="J252" s="48"/>
      <c r="K252" s="48"/>
      <c r="L252" s="48"/>
      <c r="Q252" s="48"/>
      <c r="R252" s="48"/>
      <c r="S252" s="48"/>
      <c r="T252" s="48"/>
      <c r="W252" s="48"/>
      <c r="X252" s="48"/>
      <c r="Y252" s="48"/>
      <c r="Z252" s="48"/>
    </row>
    <row r="253" spans="3:26">
      <c r="C253" s="48"/>
      <c r="D253" s="48"/>
      <c r="E253" s="48"/>
      <c r="F253" s="48"/>
      <c r="I253" s="48"/>
      <c r="J253" s="48"/>
      <c r="K253" s="48"/>
      <c r="L253" s="48"/>
      <c r="Q253" s="48"/>
      <c r="R253" s="48"/>
      <c r="S253" s="48"/>
      <c r="T253" s="48"/>
      <c r="W253" s="48"/>
      <c r="X253" s="48"/>
      <c r="Y253" s="48"/>
      <c r="Z253" s="48"/>
    </row>
    <row r="254" spans="3:26">
      <c r="C254" s="48"/>
      <c r="D254" s="48"/>
      <c r="E254" s="48"/>
      <c r="F254" s="48"/>
      <c r="I254" s="48"/>
      <c r="J254" s="48"/>
      <c r="K254" s="48"/>
      <c r="L254" s="48"/>
      <c r="Q254" s="48"/>
      <c r="R254" s="48"/>
      <c r="S254" s="48"/>
      <c r="T254" s="48"/>
      <c r="W254" s="48"/>
      <c r="X254" s="48"/>
      <c r="Y254" s="48"/>
      <c r="Z254" s="48"/>
    </row>
    <row r="255" spans="3:26">
      <c r="C255" s="48"/>
      <c r="D255" s="48"/>
      <c r="E255" s="48"/>
      <c r="F255" s="48"/>
      <c r="I255" s="48"/>
      <c r="J255" s="48"/>
      <c r="K255" s="48"/>
      <c r="L255" s="48"/>
      <c r="Q255" s="48"/>
      <c r="R255" s="48"/>
      <c r="S255" s="48"/>
      <c r="T255" s="48"/>
      <c r="W255" s="48"/>
      <c r="X255" s="48"/>
      <c r="Y255" s="48"/>
      <c r="Z255" s="48"/>
    </row>
    <row r="256" spans="3:26">
      <c r="C256" s="48"/>
      <c r="D256" s="48"/>
      <c r="E256" s="48"/>
      <c r="F256" s="48"/>
      <c r="I256" s="48"/>
      <c r="J256" s="48"/>
      <c r="K256" s="48"/>
      <c r="L256" s="48"/>
      <c r="Q256" s="48"/>
      <c r="R256" s="48"/>
      <c r="S256" s="48"/>
      <c r="T256" s="48"/>
      <c r="W256" s="48"/>
      <c r="X256" s="48"/>
      <c r="Y256" s="48"/>
      <c r="Z256" s="48"/>
    </row>
    <row r="257" spans="3:26">
      <c r="C257" s="48"/>
      <c r="D257" s="48"/>
      <c r="E257" s="48"/>
      <c r="F257" s="48"/>
      <c r="I257" s="48"/>
      <c r="J257" s="48"/>
      <c r="K257" s="48"/>
      <c r="L257" s="48"/>
      <c r="Q257" s="48"/>
      <c r="R257" s="48"/>
      <c r="S257" s="48"/>
      <c r="T257" s="48"/>
      <c r="W257" s="48"/>
      <c r="X257" s="48"/>
      <c r="Y257" s="48"/>
      <c r="Z257" s="48"/>
    </row>
    <row r="258" spans="3:26">
      <c r="C258" s="48"/>
      <c r="D258" s="48"/>
      <c r="E258" s="48"/>
      <c r="F258" s="48"/>
      <c r="I258" s="48"/>
      <c r="J258" s="48"/>
      <c r="K258" s="48"/>
      <c r="L258" s="48"/>
      <c r="Q258" s="48"/>
      <c r="R258" s="48"/>
      <c r="S258" s="48"/>
      <c r="T258" s="48"/>
      <c r="W258" s="48"/>
      <c r="X258" s="48"/>
      <c r="Y258" s="48"/>
      <c r="Z258" s="48"/>
    </row>
    <row r="259" spans="3:26">
      <c r="C259" s="48"/>
      <c r="D259" s="48"/>
      <c r="E259" s="48"/>
      <c r="F259" s="48"/>
      <c r="I259" s="48"/>
      <c r="J259" s="48"/>
      <c r="K259" s="48"/>
      <c r="L259" s="48"/>
      <c r="Q259" s="48"/>
      <c r="R259" s="48"/>
      <c r="S259" s="48"/>
      <c r="T259" s="48"/>
      <c r="W259" s="48"/>
      <c r="X259" s="48"/>
      <c r="Y259" s="48"/>
      <c r="Z259" s="48"/>
    </row>
    <row r="260" spans="3:26">
      <c r="C260" s="48"/>
      <c r="D260" s="48"/>
      <c r="E260" s="48"/>
      <c r="F260" s="48"/>
      <c r="I260" s="48"/>
      <c r="J260" s="48"/>
      <c r="K260" s="48"/>
      <c r="L260" s="48"/>
      <c r="Q260" s="48"/>
      <c r="R260" s="48"/>
      <c r="S260" s="48"/>
      <c r="T260" s="48"/>
      <c r="W260" s="48"/>
      <c r="X260" s="48"/>
      <c r="Y260" s="48"/>
      <c r="Z260" s="48"/>
    </row>
    <row r="261" spans="3:26">
      <c r="C261" s="48"/>
      <c r="D261" s="48"/>
      <c r="E261" s="48"/>
      <c r="F261" s="48"/>
      <c r="I261" s="48"/>
      <c r="J261" s="48"/>
      <c r="K261" s="48"/>
      <c r="L261" s="48"/>
      <c r="Q261" s="48"/>
      <c r="R261" s="48"/>
      <c r="S261" s="48"/>
      <c r="T261" s="48"/>
      <c r="W261" s="48"/>
      <c r="X261" s="48"/>
      <c r="Y261" s="48"/>
      <c r="Z261" s="48"/>
    </row>
    <row r="262" spans="3:26">
      <c r="C262" s="48"/>
      <c r="D262" s="48"/>
      <c r="E262" s="48"/>
      <c r="F262" s="48"/>
      <c r="I262" s="48"/>
      <c r="J262" s="48"/>
      <c r="K262" s="48"/>
      <c r="L262" s="48"/>
      <c r="Q262" s="48"/>
      <c r="R262" s="48"/>
      <c r="S262" s="48"/>
      <c r="T262" s="48"/>
      <c r="W262" s="48"/>
      <c r="X262" s="48"/>
      <c r="Y262" s="48"/>
      <c r="Z262" s="48"/>
    </row>
    <row r="263" spans="3:26">
      <c r="C263" s="48"/>
      <c r="D263" s="48"/>
      <c r="E263" s="48"/>
      <c r="F263" s="48"/>
      <c r="I263" s="48"/>
      <c r="J263" s="48"/>
      <c r="K263" s="48"/>
      <c r="L263" s="48"/>
      <c r="Q263" s="48"/>
      <c r="R263" s="48"/>
      <c r="S263" s="48"/>
      <c r="T263" s="48"/>
      <c r="W263" s="48"/>
      <c r="X263" s="48"/>
      <c r="Y263" s="48"/>
      <c r="Z263" s="48"/>
    </row>
    <row r="264" spans="3:26">
      <c r="C264" s="48"/>
      <c r="D264" s="48"/>
      <c r="E264" s="48"/>
      <c r="F264" s="48"/>
      <c r="I264" s="48"/>
      <c r="J264" s="48"/>
      <c r="K264" s="48"/>
      <c r="L264" s="48"/>
      <c r="Q264" s="48"/>
      <c r="R264" s="48"/>
      <c r="S264" s="48"/>
      <c r="T264" s="48"/>
      <c r="W264" s="48"/>
      <c r="X264" s="48"/>
      <c r="Y264" s="48"/>
      <c r="Z264" s="48"/>
    </row>
    <row r="265" spans="3:26">
      <c r="C265" s="48"/>
      <c r="D265" s="48"/>
      <c r="E265" s="48"/>
      <c r="F265" s="48"/>
      <c r="I265" s="48"/>
      <c r="J265" s="48"/>
      <c r="K265" s="48"/>
      <c r="L265" s="48"/>
      <c r="Q265" s="48"/>
      <c r="R265" s="48"/>
      <c r="S265" s="48"/>
      <c r="T265" s="48"/>
      <c r="W265" s="48"/>
      <c r="X265" s="48"/>
      <c r="Y265" s="48"/>
      <c r="Z265" s="48"/>
    </row>
    <row r="266" spans="3:26">
      <c r="C266" s="48"/>
      <c r="D266" s="48"/>
      <c r="E266" s="48"/>
      <c r="F266" s="48"/>
      <c r="I266" s="48"/>
      <c r="J266" s="48"/>
      <c r="K266" s="48"/>
      <c r="L266" s="48"/>
      <c r="Q266" s="48"/>
      <c r="R266" s="48"/>
      <c r="S266" s="48"/>
      <c r="T266" s="48"/>
      <c r="W266" s="48"/>
      <c r="X266" s="48"/>
      <c r="Y266" s="48"/>
      <c r="Z266" s="48"/>
    </row>
    <row r="267" spans="3:26">
      <c r="C267" s="48"/>
      <c r="D267" s="48"/>
      <c r="E267" s="48"/>
      <c r="F267" s="48"/>
      <c r="I267" s="48"/>
      <c r="J267" s="48"/>
      <c r="K267" s="48"/>
      <c r="L267" s="48"/>
      <c r="Q267" s="48"/>
      <c r="R267" s="48"/>
      <c r="S267" s="48"/>
      <c r="T267" s="48"/>
      <c r="W267" s="48"/>
      <c r="X267" s="48"/>
      <c r="Y267" s="48"/>
      <c r="Z267" s="48"/>
    </row>
    <row r="268" spans="3:26">
      <c r="C268" s="48"/>
      <c r="D268" s="48"/>
      <c r="E268" s="48"/>
      <c r="F268" s="48"/>
      <c r="I268" s="48"/>
      <c r="J268" s="48"/>
      <c r="K268" s="48"/>
      <c r="L268" s="48"/>
      <c r="Q268" s="48"/>
      <c r="R268" s="48"/>
      <c r="S268" s="48"/>
      <c r="T268" s="48"/>
      <c r="W268" s="48"/>
      <c r="X268" s="48"/>
      <c r="Y268" s="48"/>
      <c r="Z268" s="48"/>
    </row>
    <row r="269" spans="3:26">
      <c r="C269" s="48"/>
      <c r="D269" s="48"/>
      <c r="E269" s="48"/>
      <c r="F269" s="48"/>
      <c r="I269" s="48"/>
      <c r="J269" s="48"/>
      <c r="K269" s="48"/>
      <c r="L269" s="48"/>
      <c r="Q269" s="48"/>
      <c r="R269" s="48"/>
      <c r="S269" s="48"/>
      <c r="T269" s="48"/>
      <c r="W269" s="48"/>
      <c r="X269" s="48"/>
      <c r="Y269" s="48"/>
      <c r="Z269" s="48"/>
    </row>
    <row r="270" spans="3:26">
      <c r="C270" s="48"/>
      <c r="D270" s="48"/>
      <c r="E270" s="48"/>
      <c r="F270" s="48"/>
      <c r="I270" s="48"/>
      <c r="J270" s="48"/>
      <c r="K270" s="48"/>
      <c r="L270" s="48"/>
      <c r="Q270" s="48"/>
      <c r="R270" s="48"/>
      <c r="S270" s="48"/>
      <c r="T270" s="48"/>
      <c r="W270" s="48"/>
      <c r="X270" s="48"/>
      <c r="Y270" s="48"/>
      <c r="Z270" s="48"/>
    </row>
    <row r="271" spans="3:26">
      <c r="C271" s="48"/>
      <c r="D271" s="48"/>
      <c r="E271" s="48"/>
      <c r="F271" s="48"/>
      <c r="I271" s="48"/>
      <c r="J271" s="48"/>
      <c r="K271" s="48"/>
      <c r="L271" s="48"/>
      <c r="Q271" s="48"/>
      <c r="R271" s="48"/>
      <c r="S271" s="48"/>
      <c r="T271" s="48"/>
      <c r="W271" s="48"/>
      <c r="X271" s="48"/>
      <c r="Y271" s="48"/>
      <c r="Z271" s="48"/>
    </row>
    <row r="272" spans="3:26">
      <c r="C272" s="48"/>
      <c r="D272" s="48"/>
      <c r="E272" s="48"/>
      <c r="F272" s="48"/>
      <c r="I272" s="48"/>
      <c r="J272" s="48"/>
      <c r="K272" s="48"/>
      <c r="L272" s="48"/>
      <c r="Q272" s="48"/>
      <c r="R272" s="48"/>
      <c r="S272" s="48"/>
      <c r="T272" s="48"/>
      <c r="W272" s="48"/>
      <c r="X272" s="48"/>
      <c r="Y272" s="48"/>
      <c r="Z272" s="48"/>
    </row>
    <row r="273" spans="3:26">
      <c r="C273" s="48"/>
      <c r="D273" s="48"/>
      <c r="E273" s="48"/>
      <c r="F273" s="48"/>
      <c r="I273" s="48"/>
      <c r="J273" s="48"/>
      <c r="K273" s="48"/>
      <c r="L273" s="48"/>
      <c r="Q273" s="48"/>
      <c r="R273" s="48"/>
      <c r="S273" s="48"/>
      <c r="T273" s="48"/>
      <c r="W273" s="48"/>
      <c r="X273" s="48"/>
      <c r="Y273" s="48"/>
      <c r="Z273" s="48"/>
    </row>
    <row r="274" spans="3:26">
      <c r="C274" s="48"/>
      <c r="D274" s="48"/>
      <c r="E274" s="48"/>
      <c r="F274" s="48"/>
      <c r="I274" s="48"/>
      <c r="J274" s="48"/>
      <c r="K274" s="48"/>
      <c r="L274" s="48"/>
      <c r="Q274" s="48"/>
      <c r="R274" s="48"/>
      <c r="S274" s="48"/>
      <c r="T274" s="48"/>
      <c r="W274" s="48"/>
      <c r="X274" s="48"/>
      <c r="Y274" s="48"/>
      <c r="Z274" s="48"/>
    </row>
    <row r="275" spans="3:26">
      <c r="C275" s="48"/>
      <c r="D275" s="48"/>
      <c r="E275" s="48"/>
      <c r="F275" s="48"/>
      <c r="I275" s="48"/>
      <c r="J275" s="48"/>
      <c r="K275" s="48"/>
      <c r="L275" s="48"/>
      <c r="Q275" s="48"/>
      <c r="R275" s="48"/>
      <c r="S275" s="48"/>
      <c r="T275" s="48"/>
      <c r="W275" s="48"/>
      <c r="X275" s="48"/>
      <c r="Y275" s="48"/>
      <c r="Z275" s="48"/>
    </row>
    <row r="276" spans="3:26">
      <c r="C276" s="48"/>
      <c r="D276" s="48"/>
      <c r="E276" s="48"/>
      <c r="F276" s="48"/>
      <c r="I276" s="48"/>
      <c r="J276" s="48"/>
      <c r="K276" s="48"/>
      <c r="L276" s="48"/>
      <c r="Q276" s="48"/>
      <c r="R276" s="48"/>
      <c r="S276" s="48"/>
      <c r="T276" s="48"/>
      <c r="W276" s="48"/>
      <c r="X276" s="48"/>
      <c r="Y276" s="48"/>
      <c r="Z276" s="48"/>
    </row>
    <row r="277" spans="3:26">
      <c r="C277" s="48"/>
      <c r="D277" s="48"/>
      <c r="E277" s="48"/>
      <c r="F277" s="48"/>
      <c r="I277" s="48"/>
      <c r="J277" s="48"/>
      <c r="K277" s="48"/>
      <c r="L277" s="48"/>
      <c r="Q277" s="48"/>
      <c r="R277" s="48"/>
      <c r="S277" s="48"/>
      <c r="T277" s="48"/>
      <c r="W277" s="48"/>
      <c r="X277" s="48"/>
      <c r="Y277" s="48"/>
      <c r="Z277" s="48"/>
    </row>
    <row r="278" spans="3:26">
      <c r="C278" s="48"/>
      <c r="D278" s="48"/>
      <c r="E278" s="48"/>
      <c r="F278" s="48"/>
      <c r="I278" s="48"/>
      <c r="J278" s="48"/>
      <c r="K278" s="48"/>
      <c r="L278" s="48"/>
      <c r="Q278" s="48"/>
      <c r="R278" s="48"/>
      <c r="S278" s="48"/>
      <c r="T278" s="48"/>
      <c r="W278" s="48"/>
      <c r="X278" s="48"/>
      <c r="Y278" s="48"/>
      <c r="Z278" s="48"/>
    </row>
    <row r="279" spans="3:26">
      <c r="C279" s="48"/>
      <c r="D279" s="48"/>
      <c r="E279" s="48"/>
      <c r="F279" s="48"/>
      <c r="I279" s="48"/>
      <c r="J279" s="48"/>
      <c r="K279" s="48"/>
      <c r="L279" s="48"/>
      <c r="Q279" s="48"/>
      <c r="R279" s="48"/>
      <c r="S279" s="48"/>
      <c r="T279" s="48"/>
      <c r="W279" s="48"/>
      <c r="X279" s="48"/>
      <c r="Y279" s="48"/>
      <c r="Z279" s="48"/>
    </row>
    <row r="280" spans="3:26">
      <c r="C280" s="48"/>
      <c r="D280" s="48"/>
      <c r="E280" s="48"/>
      <c r="F280" s="48"/>
      <c r="I280" s="48"/>
      <c r="J280" s="48"/>
      <c r="K280" s="48"/>
      <c r="L280" s="48"/>
      <c r="Q280" s="48"/>
      <c r="R280" s="48"/>
      <c r="S280" s="48"/>
      <c r="T280" s="48"/>
      <c r="W280" s="48"/>
      <c r="X280" s="48"/>
      <c r="Y280" s="48"/>
      <c r="Z280" s="48"/>
    </row>
    <row r="281" spans="3:26">
      <c r="C281" s="48"/>
      <c r="D281" s="48"/>
      <c r="E281" s="48"/>
      <c r="F281" s="48"/>
      <c r="I281" s="48"/>
      <c r="J281" s="48"/>
      <c r="K281" s="48"/>
      <c r="L281" s="48"/>
      <c r="Q281" s="48"/>
      <c r="R281" s="48"/>
      <c r="S281" s="48"/>
      <c r="T281" s="48"/>
      <c r="W281" s="48"/>
      <c r="X281" s="48"/>
      <c r="Y281" s="48"/>
      <c r="Z281" s="48"/>
    </row>
    <row r="282" spans="3:26">
      <c r="C282" s="48"/>
      <c r="D282" s="48"/>
      <c r="E282" s="48"/>
      <c r="F282" s="48"/>
      <c r="I282" s="48"/>
      <c r="J282" s="48"/>
      <c r="K282" s="48"/>
      <c r="L282" s="48"/>
      <c r="Q282" s="48"/>
      <c r="R282" s="48"/>
      <c r="S282" s="48"/>
      <c r="T282" s="48"/>
      <c r="W282" s="48"/>
      <c r="X282" s="48"/>
      <c r="Y282" s="48"/>
      <c r="Z282" s="48"/>
    </row>
    <row r="283" spans="3:26">
      <c r="C283" s="48"/>
      <c r="D283" s="48"/>
      <c r="E283" s="48"/>
      <c r="F283" s="48"/>
      <c r="I283" s="48"/>
      <c r="J283" s="48"/>
      <c r="K283" s="48"/>
      <c r="L283" s="48"/>
      <c r="Q283" s="48"/>
      <c r="R283" s="48"/>
      <c r="S283" s="48"/>
      <c r="T283" s="48"/>
      <c r="W283" s="48"/>
      <c r="X283" s="48"/>
      <c r="Y283" s="48"/>
      <c r="Z283" s="48"/>
    </row>
    <row r="284" spans="3:26">
      <c r="C284" s="48"/>
      <c r="D284" s="48"/>
      <c r="E284" s="48"/>
      <c r="F284" s="48"/>
      <c r="I284" s="48"/>
      <c r="J284" s="48"/>
      <c r="K284" s="48"/>
      <c r="L284" s="48"/>
      <c r="Q284" s="48"/>
      <c r="R284" s="48"/>
      <c r="S284" s="48"/>
      <c r="T284" s="48"/>
      <c r="W284" s="48"/>
      <c r="X284" s="48"/>
      <c r="Y284" s="48"/>
      <c r="Z284" s="48"/>
    </row>
    <row r="285" spans="3:26">
      <c r="C285" s="48"/>
      <c r="D285" s="48"/>
      <c r="E285" s="48"/>
      <c r="F285" s="48"/>
      <c r="I285" s="48"/>
      <c r="J285" s="48"/>
      <c r="K285" s="48"/>
      <c r="L285" s="48"/>
      <c r="Q285" s="48"/>
      <c r="R285" s="48"/>
      <c r="S285" s="48"/>
      <c r="T285" s="48"/>
      <c r="W285" s="48"/>
      <c r="X285" s="48"/>
      <c r="Y285" s="48"/>
      <c r="Z285" s="48"/>
    </row>
    <row r="286" spans="3:26">
      <c r="C286" s="48"/>
      <c r="D286" s="48"/>
      <c r="E286" s="48"/>
      <c r="F286" s="48"/>
      <c r="I286" s="48"/>
      <c r="J286" s="48"/>
      <c r="K286" s="48"/>
      <c r="L286" s="48"/>
      <c r="Q286" s="48"/>
      <c r="R286" s="48"/>
      <c r="S286" s="48"/>
      <c r="T286" s="48"/>
      <c r="W286" s="48"/>
      <c r="X286" s="48"/>
      <c r="Y286" s="48"/>
      <c r="Z286" s="48"/>
    </row>
    <row r="287" spans="3:26">
      <c r="C287" s="48"/>
      <c r="D287" s="48"/>
      <c r="E287" s="48"/>
      <c r="F287" s="48"/>
      <c r="I287" s="48"/>
      <c r="J287" s="48"/>
      <c r="K287" s="48"/>
      <c r="L287" s="48"/>
      <c r="Q287" s="48"/>
      <c r="R287" s="48"/>
      <c r="S287" s="48"/>
      <c r="T287" s="48"/>
      <c r="W287" s="48"/>
      <c r="X287" s="48"/>
      <c r="Y287" s="48"/>
      <c r="Z287" s="48"/>
    </row>
    <row r="288" spans="3:26">
      <c r="C288" s="48"/>
      <c r="D288" s="48"/>
      <c r="E288" s="48"/>
      <c r="F288" s="48"/>
      <c r="I288" s="48"/>
      <c r="J288" s="48"/>
      <c r="K288" s="48"/>
      <c r="L288" s="48"/>
      <c r="Q288" s="48"/>
      <c r="R288" s="48"/>
      <c r="S288" s="48"/>
      <c r="T288" s="48"/>
      <c r="W288" s="48"/>
      <c r="X288" s="48"/>
      <c r="Y288" s="48"/>
      <c r="Z288" s="48"/>
    </row>
    <row r="289" spans="3:26">
      <c r="C289" s="48"/>
      <c r="D289" s="48"/>
      <c r="E289" s="48"/>
      <c r="F289" s="48"/>
      <c r="I289" s="48"/>
      <c r="J289" s="48"/>
      <c r="K289" s="48"/>
      <c r="L289" s="48"/>
      <c r="Q289" s="48"/>
      <c r="R289" s="48"/>
      <c r="S289" s="48"/>
      <c r="T289" s="48"/>
      <c r="W289" s="48"/>
      <c r="X289" s="48"/>
      <c r="Y289" s="48"/>
      <c r="Z289" s="48"/>
    </row>
    <row r="290" spans="3:26">
      <c r="C290" s="48"/>
      <c r="D290" s="48"/>
      <c r="E290" s="48"/>
      <c r="F290" s="48"/>
      <c r="I290" s="48"/>
      <c r="J290" s="48"/>
      <c r="K290" s="48"/>
      <c r="L290" s="48"/>
      <c r="Q290" s="48"/>
      <c r="R290" s="48"/>
      <c r="S290" s="48"/>
      <c r="T290" s="48"/>
      <c r="W290" s="48"/>
      <c r="X290" s="48"/>
      <c r="Y290" s="48"/>
      <c r="Z290" s="48"/>
    </row>
    <row r="291" spans="3:26">
      <c r="C291" s="48"/>
      <c r="D291" s="48"/>
      <c r="E291" s="48"/>
      <c r="F291" s="48"/>
      <c r="I291" s="48"/>
      <c r="J291" s="48"/>
      <c r="K291" s="48"/>
      <c r="L291" s="48"/>
      <c r="Q291" s="48"/>
      <c r="R291" s="48"/>
      <c r="S291" s="48"/>
      <c r="T291" s="48"/>
      <c r="W291" s="48"/>
      <c r="X291" s="48"/>
      <c r="Y291" s="48"/>
      <c r="Z291" s="48"/>
    </row>
    <row r="292" spans="3:26">
      <c r="C292" s="48"/>
      <c r="D292" s="48"/>
      <c r="E292" s="48"/>
      <c r="F292" s="48"/>
      <c r="I292" s="48"/>
      <c r="J292" s="48"/>
      <c r="K292" s="48"/>
      <c r="L292" s="48"/>
      <c r="Q292" s="48"/>
      <c r="R292" s="48"/>
      <c r="S292" s="48"/>
      <c r="T292" s="48"/>
      <c r="W292" s="48"/>
      <c r="X292" s="48"/>
      <c r="Y292" s="48"/>
      <c r="Z292" s="48"/>
    </row>
    <row r="293" spans="3:26">
      <c r="C293" s="48"/>
      <c r="D293" s="48"/>
      <c r="E293" s="48"/>
      <c r="F293" s="48"/>
      <c r="I293" s="48"/>
      <c r="J293" s="48"/>
      <c r="K293" s="48"/>
      <c r="L293" s="48"/>
      <c r="Q293" s="48"/>
      <c r="R293" s="48"/>
      <c r="S293" s="48"/>
      <c r="T293" s="48"/>
      <c r="W293" s="48"/>
      <c r="X293" s="48"/>
      <c r="Y293" s="48"/>
      <c r="Z293" s="48"/>
    </row>
    <row r="294" spans="3:26">
      <c r="C294" s="48"/>
      <c r="D294" s="48"/>
      <c r="E294" s="48"/>
      <c r="F294" s="48"/>
      <c r="I294" s="48"/>
      <c r="J294" s="48"/>
      <c r="K294" s="48"/>
      <c r="L294" s="48"/>
      <c r="Q294" s="48"/>
      <c r="R294" s="48"/>
      <c r="S294" s="48"/>
      <c r="T294" s="48"/>
      <c r="W294" s="48"/>
      <c r="X294" s="48"/>
      <c r="Y294" s="48"/>
      <c r="Z294" s="48"/>
    </row>
    <row r="295" spans="3:26">
      <c r="C295" s="48"/>
      <c r="D295" s="48"/>
      <c r="E295" s="48"/>
      <c r="F295" s="48"/>
      <c r="I295" s="48"/>
      <c r="J295" s="48"/>
      <c r="K295" s="48"/>
      <c r="L295" s="48"/>
      <c r="Q295" s="48"/>
      <c r="R295" s="48"/>
      <c r="S295" s="48"/>
      <c r="T295" s="48"/>
      <c r="W295" s="48"/>
      <c r="X295" s="48"/>
      <c r="Y295" s="48"/>
      <c r="Z295" s="48"/>
    </row>
    <row r="296" spans="3:26">
      <c r="C296" s="48"/>
      <c r="D296" s="48"/>
      <c r="E296" s="48"/>
      <c r="F296" s="48"/>
      <c r="I296" s="48"/>
      <c r="J296" s="48"/>
      <c r="K296" s="48"/>
      <c r="L296" s="48"/>
      <c r="Q296" s="48"/>
      <c r="R296" s="48"/>
      <c r="S296" s="48"/>
      <c r="T296" s="48"/>
      <c r="W296" s="48"/>
      <c r="X296" s="48"/>
      <c r="Y296" s="48"/>
      <c r="Z296" s="48"/>
    </row>
    <row r="297" spans="3:26">
      <c r="C297" s="48"/>
      <c r="D297" s="48"/>
      <c r="E297" s="48"/>
      <c r="F297" s="48"/>
      <c r="I297" s="48"/>
      <c r="J297" s="48"/>
      <c r="K297" s="48"/>
      <c r="L297" s="48"/>
      <c r="Q297" s="48"/>
      <c r="R297" s="48"/>
      <c r="S297" s="48"/>
      <c r="T297" s="48"/>
      <c r="W297" s="48"/>
      <c r="X297" s="48"/>
      <c r="Y297" s="48"/>
      <c r="Z297" s="48"/>
    </row>
    <row r="298" spans="3:26">
      <c r="C298" s="48"/>
      <c r="D298" s="48"/>
      <c r="E298" s="48"/>
      <c r="F298" s="48"/>
      <c r="I298" s="48"/>
      <c r="J298" s="48"/>
      <c r="K298" s="48"/>
      <c r="L298" s="48"/>
      <c r="Q298" s="48"/>
      <c r="R298" s="48"/>
      <c r="S298" s="48"/>
      <c r="T298" s="48"/>
      <c r="W298" s="48"/>
      <c r="X298" s="48"/>
      <c r="Y298" s="48"/>
      <c r="Z298" s="48"/>
    </row>
    <row r="299" spans="3:26">
      <c r="C299" s="48"/>
      <c r="D299" s="48"/>
      <c r="E299" s="48"/>
      <c r="F299" s="48"/>
      <c r="I299" s="48"/>
      <c r="J299" s="48"/>
      <c r="K299" s="48"/>
      <c r="L299" s="48"/>
      <c r="Q299" s="48"/>
      <c r="R299" s="48"/>
      <c r="S299" s="48"/>
      <c r="T299" s="48"/>
      <c r="W299" s="48"/>
      <c r="X299" s="48"/>
      <c r="Y299" s="48"/>
      <c r="Z299" s="48"/>
    </row>
    <row r="300" spans="3:26">
      <c r="C300" s="48"/>
      <c r="D300" s="48"/>
      <c r="E300" s="48"/>
      <c r="F300" s="48"/>
      <c r="I300" s="48"/>
      <c r="J300" s="48"/>
      <c r="K300" s="48"/>
      <c r="L300" s="48"/>
      <c r="Q300" s="48"/>
      <c r="R300" s="48"/>
      <c r="S300" s="48"/>
      <c r="T300" s="48"/>
      <c r="W300" s="48"/>
      <c r="X300" s="48"/>
      <c r="Y300" s="48"/>
      <c r="Z300" s="48"/>
    </row>
    <row r="301" spans="3:26">
      <c r="C301" s="48"/>
      <c r="D301" s="48"/>
      <c r="E301" s="48"/>
      <c r="F301" s="48"/>
      <c r="I301" s="48"/>
      <c r="J301" s="48"/>
      <c r="K301" s="48"/>
      <c r="L301" s="48"/>
      <c r="Q301" s="48"/>
      <c r="R301" s="48"/>
      <c r="S301" s="48"/>
      <c r="T301" s="48"/>
      <c r="W301" s="48"/>
      <c r="X301" s="48"/>
      <c r="Y301" s="48"/>
      <c r="Z301" s="48"/>
    </row>
    <row r="302" spans="3:26">
      <c r="C302" s="48"/>
      <c r="D302" s="48"/>
      <c r="E302" s="48"/>
      <c r="F302" s="48"/>
      <c r="I302" s="48"/>
      <c r="J302" s="48"/>
      <c r="K302" s="48"/>
      <c r="L302" s="48"/>
      <c r="Q302" s="48"/>
      <c r="R302" s="48"/>
      <c r="S302" s="48"/>
      <c r="T302" s="48"/>
      <c r="W302" s="48"/>
      <c r="X302" s="48"/>
      <c r="Y302" s="48"/>
      <c r="Z302" s="48"/>
    </row>
    <row r="303" spans="3:26">
      <c r="C303" s="48"/>
      <c r="D303" s="48"/>
      <c r="E303" s="48"/>
      <c r="F303" s="48"/>
      <c r="I303" s="48"/>
      <c r="J303" s="48"/>
      <c r="K303" s="48"/>
      <c r="L303" s="48"/>
      <c r="Q303" s="48"/>
      <c r="R303" s="48"/>
      <c r="S303" s="48"/>
      <c r="T303" s="48"/>
      <c r="W303" s="48"/>
      <c r="X303" s="48"/>
      <c r="Y303" s="48"/>
      <c r="Z303" s="48"/>
    </row>
    <row r="304" spans="3:26">
      <c r="C304" s="48"/>
      <c r="D304" s="48"/>
      <c r="E304" s="48"/>
      <c r="F304" s="48"/>
      <c r="I304" s="48"/>
      <c r="J304" s="48"/>
      <c r="K304" s="48"/>
      <c r="L304" s="48"/>
      <c r="Q304" s="48"/>
      <c r="R304" s="48"/>
      <c r="S304" s="48"/>
      <c r="T304" s="48"/>
      <c r="W304" s="48"/>
      <c r="X304" s="48"/>
      <c r="Y304" s="48"/>
      <c r="Z304" s="48"/>
    </row>
    <row r="305" spans="3:26">
      <c r="C305" s="48"/>
      <c r="D305" s="48"/>
      <c r="E305" s="48"/>
      <c r="F305" s="48"/>
      <c r="I305" s="48"/>
      <c r="J305" s="48"/>
      <c r="K305" s="48"/>
      <c r="L305" s="48"/>
      <c r="Q305" s="48"/>
      <c r="R305" s="48"/>
      <c r="S305" s="48"/>
      <c r="T305" s="48"/>
      <c r="W305" s="48"/>
      <c r="X305" s="48"/>
      <c r="Y305" s="48"/>
      <c r="Z305" s="48"/>
    </row>
    <row r="306" spans="3:26">
      <c r="C306" s="48"/>
      <c r="D306" s="48"/>
      <c r="E306" s="48"/>
      <c r="F306" s="48"/>
      <c r="I306" s="48"/>
      <c r="J306" s="48"/>
      <c r="K306" s="48"/>
      <c r="L306" s="48"/>
      <c r="Q306" s="48"/>
      <c r="R306" s="48"/>
      <c r="S306" s="48"/>
      <c r="T306" s="48"/>
      <c r="W306" s="48"/>
      <c r="X306" s="48"/>
      <c r="Y306" s="48"/>
      <c r="Z306" s="48"/>
    </row>
    <row r="307" spans="3:26">
      <c r="C307" s="48"/>
      <c r="D307" s="48"/>
      <c r="E307" s="48"/>
      <c r="F307" s="48"/>
      <c r="I307" s="48"/>
      <c r="J307" s="48"/>
      <c r="K307" s="48"/>
      <c r="L307" s="48"/>
      <c r="Q307" s="48"/>
      <c r="R307" s="48"/>
      <c r="S307" s="48"/>
      <c r="T307" s="48"/>
      <c r="W307" s="48"/>
      <c r="X307" s="48"/>
      <c r="Y307" s="48"/>
      <c r="Z307" s="48"/>
    </row>
    <row r="308" spans="3:26">
      <c r="C308" s="48"/>
      <c r="D308" s="48"/>
      <c r="E308" s="48"/>
      <c r="F308" s="48"/>
      <c r="I308" s="48"/>
      <c r="J308" s="48"/>
      <c r="K308" s="48"/>
      <c r="L308" s="48"/>
      <c r="Q308" s="48"/>
      <c r="R308" s="48"/>
      <c r="S308" s="48"/>
      <c r="T308" s="48"/>
      <c r="W308" s="48"/>
      <c r="X308" s="48"/>
      <c r="Y308" s="48"/>
      <c r="Z308" s="48"/>
    </row>
    <row r="309" spans="3:26">
      <c r="C309" s="48"/>
      <c r="D309" s="48"/>
      <c r="E309" s="48"/>
      <c r="F309" s="48"/>
      <c r="I309" s="48"/>
      <c r="J309" s="48"/>
      <c r="K309" s="48"/>
      <c r="L309" s="48"/>
      <c r="Q309" s="48"/>
      <c r="R309" s="48"/>
      <c r="S309" s="48"/>
      <c r="T309" s="48"/>
      <c r="W309" s="48"/>
      <c r="X309" s="48"/>
      <c r="Y309" s="48"/>
      <c r="Z309" s="48"/>
    </row>
    <row r="310" spans="3:26">
      <c r="C310" s="48"/>
      <c r="D310" s="48"/>
      <c r="E310" s="48"/>
      <c r="F310" s="48"/>
      <c r="I310" s="48"/>
      <c r="J310" s="48"/>
      <c r="K310" s="48"/>
      <c r="L310" s="48"/>
      <c r="Q310" s="48"/>
      <c r="R310" s="48"/>
      <c r="S310" s="48"/>
      <c r="T310" s="48"/>
      <c r="W310" s="48"/>
      <c r="X310" s="48"/>
      <c r="Y310" s="48"/>
      <c r="Z310" s="48"/>
    </row>
    <row r="311" spans="3:26">
      <c r="C311" s="48"/>
      <c r="D311" s="48"/>
      <c r="E311" s="48"/>
      <c r="F311" s="48"/>
      <c r="I311" s="48"/>
      <c r="J311" s="48"/>
      <c r="K311" s="48"/>
      <c r="L311" s="48"/>
      <c r="Q311" s="48"/>
      <c r="R311" s="48"/>
      <c r="S311" s="48"/>
      <c r="T311" s="48"/>
      <c r="W311" s="48"/>
      <c r="X311" s="48"/>
      <c r="Y311" s="48"/>
      <c r="Z311" s="48"/>
    </row>
    <row r="312" spans="3:26">
      <c r="C312" s="48"/>
      <c r="D312" s="48"/>
      <c r="E312" s="48"/>
      <c r="F312" s="48"/>
      <c r="I312" s="48"/>
      <c r="J312" s="48"/>
      <c r="K312" s="48"/>
      <c r="L312" s="48"/>
      <c r="Q312" s="48"/>
      <c r="R312" s="48"/>
      <c r="S312" s="48"/>
      <c r="T312" s="48"/>
      <c r="W312" s="48"/>
      <c r="X312" s="48"/>
      <c r="Y312" s="48"/>
      <c r="Z312" s="48"/>
    </row>
    <row r="313" spans="3:26">
      <c r="C313" s="48"/>
      <c r="D313" s="48"/>
      <c r="E313" s="48"/>
      <c r="F313" s="48"/>
      <c r="I313" s="48"/>
      <c r="J313" s="48"/>
      <c r="K313" s="48"/>
      <c r="L313" s="48"/>
      <c r="Q313" s="48"/>
      <c r="R313" s="48"/>
      <c r="S313" s="48"/>
      <c r="T313" s="48"/>
      <c r="W313" s="48"/>
      <c r="X313" s="48"/>
      <c r="Y313" s="48"/>
      <c r="Z313" s="48"/>
    </row>
    <row r="314" spans="3:26">
      <c r="C314" s="48"/>
      <c r="D314" s="48"/>
      <c r="E314" s="48"/>
      <c r="F314" s="48"/>
      <c r="I314" s="48"/>
      <c r="J314" s="48"/>
      <c r="K314" s="48"/>
      <c r="L314" s="48"/>
      <c r="Q314" s="48"/>
      <c r="R314" s="48"/>
      <c r="S314" s="48"/>
      <c r="T314" s="48"/>
      <c r="W314" s="48"/>
      <c r="X314" s="48"/>
      <c r="Y314" s="48"/>
      <c r="Z314" s="48"/>
    </row>
    <row r="315" spans="3:26">
      <c r="C315" s="48"/>
      <c r="D315" s="48"/>
      <c r="E315" s="48"/>
      <c r="F315" s="48"/>
      <c r="I315" s="48"/>
      <c r="J315" s="48"/>
      <c r="K315" s="48"/>
      <c r="L315" s="48"/>
      <c r="Q315" s="48"/>
      <c r="R315" s="48"/>
      <c r="S315" s="48"/>
      <c r="T315" s="48"/>
      <c r="W315" s="48"/>
      <c r="X315" s="48"/>
      <c r="Y315" s="48"/>
      <c r="Z315" s="48"/>
    </row>
    <row r="316" spans="3:26">
      <c r="C316" s="48"/>
      <c r="D316" s="48"/>
      <c r="E316" s="48"/>
      <c r="F316" s="48"/>
      <c r="I316" s="48"/>
      <c r="J316" s="48"/>
      <c r="K316" s="48"/>
      <c r="L316" s="48"/>
      <c r="Q316" s="48"/>
      <c r="R316" s="48"/>
      <c r="S316" s="48"/>
      <c r="T316" s="48"/>
      <c r="W316" s="48"/>
      <c r="X316" s="48"/>
      <c r="Y316" s="48"/>
      <c r="Z316" s="48"/>
    </row>
    <row r="317" spans="3:26">
      <c r="C317" s="48"/>
      <c r="D317" s="48"/>
      <c r="E317" s="48"/>
      <c r="F317" s="48"/>
      <c r="I317" s="48"/>
      <c r="J317" s="48"/>
      <c r="K317" s="48"/>
      <c r="L317" s="48"/>
      <c r="Q317" s="48"/>
      <c r="R317" s="48"/>
      <c r="S317" s="48"/>
      <c r="T317" s="48"/>
      <c r="W317" s="48"/>
      <c r="X317" s="48"/>
      <c r="Y317" s="48"/>
      <c r="Z317" s="48"/>
    </row>
    <row r="318" spans="3:26">
      <c r="C318" s="48"/>
      <c r="D318" s="48"/>
      <c r="E318" s="48"/>
      <c r="F318" s="48"/>
      <c r="I318" s="48"/>
      <c r="J318" s="48"/>
      <c r="K318" s="48"/>
      <c r="L318" s="48"/>
      <c r="Q318" s="48"/>
      <c r="R318" s="48"/>
      <c r="S318" s="48"/>
      <c r="T318" s="48"/>
      <c r="W318" s="48"/>
      <c r="X318" s="48"/>
      <c r="Y318" s="48"/>
      <c r="Z318" s="48"/>
    </row>
    <row r="319" spans="3:26">
      <c r="C319" s="48"/>
      <c r="D319" s="48"/>
      <c r="E319" s="48"/>
      <c r="F319" s="48"/>
      <c r="I319" s="48"/>
      <c r="J319" s="48"/>
      <c r="K319" s="48"/>
      <c r="L319" s="48"/>
      <c r="Q319" s="48"/>
      <c r="R319" s="48"/>
      <c r="S319" s="48"/>
      <c r="T319" s="48"/>
      <c r="W319" s="48"/>
      <c r="X319" s="48"/>
      <c r="Y319" s="48"/>
      <c r="Z319" s="48"/>
    </row>
    <row r="320" spans="3:26">
      <c r="C320" s="48"/>
      <c r="D320" s="48"/>
      <c r="E320" s="48"/>
      <c r="F320" s="48"/>
      <c r="I320" s="48"/>
      <c r="J320" s="48"/>
      <c r="K320" s="48"/>
      <c r="L320" s="48"/>
      <c r="Q320" s="48"/>
      <c r="R320" s="48"/>
      <c r="S320" s="48"/>
      <c r="T320" s="48"/>
      <c r="W320" s="48"/>
      <c r="X320" s="48"/>
      <c r="Y320" s="48"/>
      <c r="Z320" s="48"/>
    </row>
    <row r="321" spans="3:26">
      <c r="C321" s="48"/>
      <c r="D321" s="48"/>
      <c r="E321" s="48"/>
      <c r="F321" s="48"/>
      <c r="I321" s="48"/>
      <c r="J321" s="48"/>
      <c r="K321" s="48"/>
      <c r="L321" s="48"/>
      <c r="Q321" s="48"/>
      <c r="R321" s="48"/>
      <c r="S321" s="48"/>
      <c r="T321" s="48"/>
      <c r="W321" s="48"/>
      <c r="X321" s="48"/>
      <c r="Y321" s="48"/>
      <c r="Z321" s="48"/>
    </row>
    <row r="322" spans="3:26">
      <c r="C322" s="48"/>
      <c r="D322" s="48"/>
      <c r="E322" s="48"/>
      <c r="F322" s="48"/>
      <c r="I322" s="48"/>
      <c r="J322" s="48"/>
      <c r="K322" s="48"/>
      <c r="L322" s="48"/>
      <c r="Q322" s="48"/>
      <c r="R322" s="48"/>
      <c r="S322" s="48"/>
      <c r="T322" s="48"/>
      <c r="W322" s="48"/>
      <c r="X322" s="48"/>
      <c r="Y322" s="48"/>
      <c r="Z322" s="48"/>
    </row>
    <row r="323" spans="3:26">
      <c r="C323" s="48"/>
      <c r="D323" s="48"/>
      <c r="E323" s="48"/>
      <c r="F323" s="48"/>
      <c r="I323" s="48"/>
      <c r="J323" s="48"/>
      <c r="K323" s="48"/>
      <c r="L323" s="48"/>
      <c r="Q323" s="48"/>
      <c r="R323" s="48"/>
      <c r="S323" s="48"/>
      <c r="T323" s="48"/>
      <c r="W323" s="48"/>
      <c r="X323" s="48"/>
      <c r="Y323" s="48"/>
      <c r="Z323" s="48"/>
    </row>
    <row r="324" spans="3:26">
      <c r="C324" s="48"/>
      <c r="D324" s="48"/>
      <c r="E324" s="48"/>
      <c r="F324" s="48"/>
      <c r="I324" s="48"/>
      <c r="J324" s="48"/>
      <c r="K324" s="48"/>
      <c r="L324" s="48"/>
      <c r="Q324" s="48"/>
      <c r="R324" s="48"/>
      <c r="S324" s="48"/>
      <c r="T324" s="48"/>
      <c r="W324" s="48"/>
      <c r="X324" s="48"/>
      <c r="Y324" s="48"/>
      <c r="Z324" s="48"/>
    </row>
    <row r="325" spans="3:26">
      <c r="C325" s="48"/>
      <c r="D325" s="48"/>
      <c r="E325" s="48"/>
      <c r="F325" s="48"/>
      <c r="I325" s="48"/>
      <c r="J325" s="48"/>
      <c r="K325" s="48"/>
      <c r="L325" s="48"/>
      <c r="Q325" s="48"/>
      <c r="R325" s="48"/>
      <c r="S325" s="48"/>
      <c r="T325" s="48"/>
      <c r="W325" s="48"/>
      <c r="X325" s="48"/>
      <c r="Y325" s="48"/>
      <c r="Z325" s="48"/>
    </row>
    <row r="326" spans="3:26">
      <c r="C326" s="48"/>
      <c r="D326" s="48"/>
      <c r="E326" s="48"/>
      <c r="F326" s="48"/>
      <c r="I326" s="48"/>
      <c r="J326" s="48"/>
      <c r="K326" s="48"/>
      <c r="L326" s="48"/>
      <c r="Q326" s="48"/>
      <c r="R326" s="48"/>
      <c r="S326" s="48"/>
      <c r="T326" s="48"/>
      <c r="W326" s="48"/>
      <c r="X326" s="48"/>
      <c r="Y326" s="48"/>
      <c r="Z326" s="48"/>
    </row>
    <row r="327" spans="3:26">
      <c r="C327" s="48"/>
      <c r="D327" s="48"/>
      <c r="E327" s="48"/>
      <c r="F327" s="48"/>
      <c r="I327" s="48"/>
      <c r="J327" s="48"/>
      <c r="K327" s="48"/>
      <c r="L327" s="48"/>
      <c r="Q327" s="48"/>
      <c r="R327" s="48"/>
      <c r="S327" s="48"/>
      <c r="T327" s="48"/>
      <c r="W327" s="48"/>
      <c r="X327" s="48"/>
      <c r="Y327" s="48"/>
      <c r="Z327" s="48"/>
    </row>
    <row r="328" spans="3:26">
      <c r="C328" s="48"/>
      <c r="D328" s="48"/>
      <c r="E328" s="48"/>
      <c r="F328" s="48"/>
      <c r="I328" s="48"/>
      <c r="J328" s="48"/>
      <c r="K328" s="48"/>
      <c r="L328" s="48"/>
      <c r="Q328" s="48"/>
      <c r="R328" s="48"/>
      <c r="S328" s="48"/>
      <c r="T328" s="48"/>
      <c r="W328" s="48"/>
      <c r="X328" s="48"/>
      <c r="Y328" s="48"/>
      <c r="Z328" s="48"/>
    </row>
    <row r="329" spans="3:26">
      <c r="C329" s="48"/>
      <c r="D329" s="48"/>
      <c r="E329" s="48"/>
      <c r="F329" s="48"/>
      <c r="I329" s="48"/>
      <c r="J329" s="48"/>
      <c r="K329" s="48"/>
      <c r="L329" s="48"/>
      <c r="Q329" s="48"/>
      <c r="R329" s="48"/>
      <c r="S329" s="48"/>
      <c r="T329" s="48"/>
      <c r="W329" s="48"/>
      <c r="X329" s="48"/>
      <c r="Y329" s="48"/>
      <c r="Z329" s="48"/>
    </row>
    <row r="330" spans="3:26">
      <c r="C330" s="48"/>
      <c r="D330" s="48"/>
      <c r="E330" s="48"/>
      <c r="F330" s="48"/>
      <c r="I330" s="48"/>
      <c r="J330" s="48"/>
      <c r="K330" s="48"/>
      <c r="L330" s="48"/>
      <c r="Q330" s="48"/>
      <c r="R330" s="48"/>
      <c r="S330" s="48"/>
      <c r="T330" s="48"/>
      <c r="W330" s="48"/>
      <c r="X330" s="48"/>
      <c r="Y330" s="48"/>
      <c r="Z330" s="48"/>
    </row>
    <row r="331" spans="3:26">
      <c r="C331" s="48"/>
      <c r="D331" s="48"/>
      <c r="E331" s="48"/>
      <c r="F331" s="48"/>
      <c r="I331" s="48"/>
      <c r="J331" s="48"/>
      <c r="K331" s="48"/>
      <c r="L331" s="48"/>
      <c r="Q331" s="48"/>
      <c r="R331" s="48"/>
      <c r="S331" s="48"/>
      <c r="T331" s="48"/>
      <c r="W331" s="48"/>
      <c r="X331" s="48"/>
      <c r="Y331" s="48"/>
      <c r="Z331" s="48"/>
    </row>
    <row r="332" spans="3:26">
      <c r="C332" s="48"/>
      <c r="D332" s="48"/>
      <c r="E332" s="48"/>
      <c r="F332" s="48"/>
      <c r="I332" s="48"/>
      <c r="J332" s="48"/>
      <c r="K332" s="48"/>
      <c r="L332" s="48"/>
      <c r="Q332" s="48"/>
      <c r="R332" s="48"/>
      <c r="S332" s="48"/>
      <c r="T332" s="48"/>
      <c r="W332" s="48"/>
      <c r="X332" s="48"/>
      <c r="Y332" s="48"/>
      <c r="Z332" s="48"/>
    </row>
    <row r="333" spans="3:26">
      <c r="C333" s="48"/>
      <c r="D333" s="48"/>
      <c r="E333" s="48"/>
      <c r="F333" s="48"/>
      <c r="I333" s="48"/>
      <c r="J333" s="48"/>
      <c r="K333" s="48"/>
      <c r="L333" s="48"/>
      <c r="Q333" s="48"/>
      <c r="R333" s="48"/>
      <c r="S333" s="48"/>
      <c r="T333" s="48"/>
      <c r="W333" s="48"/>
      <c r="X333" s="48"/>
      <c r="Y333" s="48"/>
      <c r="Z333" s="48"/>
    </row>
    <row r="334" spans="3:26">
      <c r="C334" s="48"/>
      <c r="D334" s="48"/>
      <c r="E334" s="48"/>
      <c r="F334" s="48"/>
      <c r="I334" s="48"/>
      <c r="J334" s="48"/>
      <c r="K334" s="48"/>
      <c r="L334" s="48"/>
      <c r="Q334" s="48"/>
      <c r="R334" s="48"/>
      <c r="S334" s="48"/>
      <c r="T334" s="48"/>
      <c r="W334" s="48"/>
      <c r="X334" s="48"/>
      <c r="Y334" s="48"/>
      <c r="Z334" s="48"/>
    </row>
    <row r="335" spans="3:26">
      <c r="C335" s="48"/>
      <c r="D335" s="48"/>
      <c r="E335" s="48"/>
      <c r="F335" s="48"/>
      <c r="I335" s="48"/>
      <c r="J335" s="48"/>
      <c r="K335" s="48"/>
      <c r="L335" s="48"/>
      <c r="Q335" s="48"/>
      <c r="R335" s="48"/>
      <c r="S335" s="48"/>
      <c r="T335" s="48"/>
      <c r="W335" s="48"/>
      <c r="X335" s="48"/>
      <c r="Y335" s="48"/>
      <c r="Z335" s="48"/>
    </row>
    <row r="336" spans="3:26">
      <c r="C336" s="48"/>
      <c r="D336" s="48"/>
      <c r="E336" s="48"/>
      <c r="F336" s="48"/>
      <c r="I336" s="48"/>
      <c r="J336" s="48"/>
      <c r="K336" s="48"/>
      <c r="L336" s="48"/>
      <c r="Q336" s="48"/>
      <c r="R336" s="48"/>
      <c r="S336" s="48"/>
      <c r="T336" s="48"/>
      <c r="W336" s="48"/>
      <c r="X336" s="48"/>
      <c r="Y336" s="48"/>
      <c r="Z336" s="48"/>
    </row>
    <row r="337" spans="3:26">
      <c r="C337" s="48"/>
      <c r="D337" s="48"/>
      <c r="E337" s="48"/>
      <c r="F337" s="48"/>
      <c r="I337" s="48"/>
      <c r="J337" s="48"/>
      <c r="K337" s="48"/>
      <c r="L337" s="48"/>
      <c r="Q337" s="48"/>
      <c r="R337" s="48"/>
      <c r="S337" s="48"/>
      <c r="T337" s="48"/>
      <c r="W337" s="48"/>
      <c r="X337" s="48"/>
      <c r="Y337" s="48"/>
      <c r="Z337" s="48"/>
    </row>
    <row r="338" spans="3:26">
      <c r="C338" s="48"/>
      <c r="D338" s="48"/>
      <c r="E338" s="48"/>
      <c r="F338" s="48"/>
      <c r="I338" s="48"/>
      <c r="J338" s="48"/>
      <c r="K338" s="48"/>
      <c r="L338" s="48"/>
      <c r="Q338" s="48"/>
      <c r="R338" s="48"/>
      <c r="S338" s="48"/>
      <c r="T338" s="48"/>
      <c r="W338" s="48"/>
      <c r="X338" s="48"/>
      <c r="Y338" s="48"/>
      <c r="Z338" s="48"/>
    </row>
    <row r="339" spans="3:26">
      <c r="C339" s="48"/>
      <c r="D339" s="48"/>
      <c r="E339" s="48"/>
      <c r="F339" s="48"/>
      <c r="I339" s="48"/>
      <c r="J339" s="48"/>
      <c r="K339" s="48"/>
      <c r="L339" s="48"/>
      <c r="Q339" s="48"/>
      <c r="R339" s="48"/>
      <c r="S339" s="48"/>
      <c r="T339" s="48"/>
      <c r="W339" s="48"/>
      <c r="X339" s="48"/>
      <c r="Y339" s="48"/>
      <c r="Z339" s="48"/>
    </row>
    <row r="340" spans="3:26">
      <c r="C340" s="48"/>
      <c r="D340" s="48"/>
      <c r="E340" s="48"/>
      <c r="F340" s="48"/>
      <c r="I340" s="48"/>
      <c r="J340" s="48"/>
      <c r="K340" s="48"/>
      <c r="L340" s="48"/>
      <c r="Q340" s="48"/>
      <c r="R340" s="48"/>
      <c r="S340" s="48"/>
      <c r="T340" s="48"/>
      <c r="W340" s="48"/>
      <c r="X340" s="48"/>
      <c r="Y340" s="48"/>
      <c r="Z340" s="48"/>
    </row>
    <row r="341" spans="3:26">
      <c r="C341" s="48"/>
      <c r="D341" s="48"/>
      <c r="E341" s="48"/>
      <c r="F341" s="48"/>
      <c r="I341" s="48"/>
      <c r="J341" s="48"/>
      <c r="K341" s="48"/>
      <c r="L341" s="48"/>
      <c r="Q341" s="48"/>
      <c r="R341" s="48"/>
      <c r="S341" s="48"/>
      <c r="T341" s="48"/>
      <c r="W341" s="48"/>
      <c r="X341" s="48"/>
      <c r="Y341" s="48"/>
      <c r="Z341" s="48"/>
    </row>
    <row r="342" spans="3:26">
      <c r="C342" s="48"/>
      <c r="D342" s="48"/>
      <c r="E342" s="48"/>
      <c r="F342" s="48"/>
      <c r="I342" s="48"/>
      <c r="J342" s="48"/>
      <c r="K342" s="48"/>
      <c r="L342" s="48"/>
      <c r="Q342" s="48"/>
      <c r="R342" s="48"/>
      <c r="S342" s="48"/>
      <c r="T342" s="48"/>
      <c r="W342" s="48"/>
      <c r="X342" s="48"/>
      <c r="Y342" s="48"/>
      <c r="Z342" s="48"/>
    </row>
    <row r="343" spans="3:26">
      <c r="C343" s="48"/>
      <c r="D343" s="48"/>
      <c r="E343" s="48"/>
      <c r="F343" s="48"/>
      <c r="I343" s="48"/>
      <c r="J343" s="48"/>
      <c r="K343" s="48"/>
      <c r="L343" s="48"/>
      <c r="Q343" s="48"/>
      <c r="R343" s="48"/>
      <c r="S343" s="48"/>
      <c r="T343" s="48"/>
      <c r="W343" s="48"/>
      <c r="X343" s="48"/>
      <c r="Y343" s="48"/>
      <c r="Z343" s="48"/>
    </row>
    <row r="344" spans="3:26">
      <c r="C344" s="48"/>
      <c r="D344" s="48"/>
      <c r="E344" s="48"/>
      <c r="F344" s="48"/>
      <c r="I344" s="48"/>
      <c r="J344" s="48"/>
      <c r="K344" s="48"/>
      <c r="L344" s="48"/>
      <c r="Q344" s="48"/>
      <c r="R344" s="48"/>
      <c r="S344" s="48"/>
      <c r="T344" s="48"/>
      <c r="W344" s="48"/>
      <c r="X344" s="48"/>
      <c r="Y344" s="48"/>
      <c r="Z344" s="48"/>
    </row>
    <row r="345" spans="3:26">
      <c r="C345" s="48"/>
      <c r="D345" s="48"/>
      <c r="E345" s="48"/>
      <c r="F345" s="48"/>
      <c r="I345" s="48"/>
      <c r="J345" s="48"/>
      <c r="K345" s="48"/>
      <c r="L345" s="48"/>
      <c r="Q345" s="48"/>
      <c r="R345" s="48"/>
      <c r="S345" s="48"/>
      <c r="T345" s="48"/>
      <c r="W345" s="48"/>
      <c r="X345" s="48"/>
      <c r="Y345" s="48"/>
      <c r="Z345" s="48"/>
    </row>
    <row r="346" spans="3:26">
      <c r="C346" s="48"/>
      <c r="D346" s="48"/>
      <c r="E346" s="48"/>
      <c r="F346" s="48"/>
      <c r="I346" s="48"/>
      <c r="J346" s="48"/>
      <c r="K346" s="48"/>
      <c r="L346" s="48"/>
      <c r="Q346" s="48"/>
      <c r="R346" s="48"/>
      <c r="S346" s="48"/>
      <c r="T346" s="48"/>
      <c r="W346" s="48"/>
      <c r="X346" s="48"/>
      <c r="Y346" s="48"/>
      <c r="Z346" s="48"/>
    </row>
    <row r="347" spans="3:26">
      <c r="C347" s="48"/>
      <c r="D347" s="48"/>
      <c r="E347" s="48"/>
      <c r="F347" s="48"/>
      <c r="I347" s="48"/>
      <c r="J347" s="48"/>
      <c r="K347" s="48"/>
      <c r="L347" s="48"/>
      <c r="Q347" s="48"/>
      <c r="R347" s="48"/>
      <c r="S347" s="48"/>
      <c r="T347" s="48"/>
      <c r="W347" s="48"/>
      <c r="X347" s="48"/>
      <c r="Y347" s="48"/>
      <c r="Z347" s="48"/>
    </row>
    <row r="348" spans="3:26">
      <c r="C348" s="48"/>
      <c r="D348" s="48"/>
      <c r="E348" s="48"/>
      <c r="F348" s="48"/>
      <c r="I348" s="48"/>
      <c r="J348" s="48"/>
      <c r="K348" s="48"/>
      <c r="L348" s="48"/>
      <c r="Q348" s="48"/>
      <c r="R348" s="48"/>
      <c r="S348" s="48"/>
      <c r="T348" s="48"/>
      <c r="W348" s="48"/>
      <c r="X348" s="48"/>
      <c r="Y348" s="48"/>
      <c r="Z348" s="48"/>
    </row>
    <row r="349" spans="3:26">
      <c r="C349" s="48"/>
      <c r="D349" s="48"/>
      <c r="E349" s="48"/>
      <c r="F349" s="48"/>
      <c r="I349" s="48"/>
      <c r="J349" s="48"/>
      <c r="K349" s="48"/>
      <c r="L349" s="48"/>
      <c r="Q349" s="48"/>
      <c r="R349" s="48"/>
      <c r="S349" s="48"/>
      <c r="T349" s="48"/>
      <c r="W349" s="48"/>
      <c r="X349" s="48"/>
      <c r="Y349" s="48"/>
      <c r="Z349" s="48"/>
    </row>
    <row r="350" spans="3:26">
      <c r="C350" s="48"/>
      <c r="D350" s="48"/>
      <c r="E350" s="48"/>
      <c r="F350" s="48"/>
      <c r="I350" s="48"/>
      <c r="J350" s="48"/>
      <c r="K350" s="48"/>
      <c r="L350" s="48"/>
      <c r="Q350" s="48"/>
      <c r="R350" s="48"/>
      <c r="S350" s="48"/>
      <c r="T350" s="48"/>
      <c r="W350" s="48"/>
      <c r="X350" s="48"/>
      <c r="Y350" s="48"/>
      <c r="Z350" s="48"/>
    </row>
    <row r="351" spans="3:26">
      <c r="C351" s="48"/>
      <c r="D351" s="48"/>
      <c r="E351" s="48"/>
      <c r="F351" s="48"/>
      <c r="I351" s="48"/>
      <c r="J351" s="48"/>
      <c r="K351" s="48"/>
      <c r="L351" s="48"/>
      <c r="Q351" s="48"/>
      <c r="R351" s="48"/>
      <c r="S351" s="48"/>
      <c r="T351" s="48"/>
      <c r="W351" s="48"/>
      <c r="X351" s="48"/>
      <c r="Y351" s="48"/>
      <c r="Z351" s="48"/>
    </row>
    <row r="352" spans="3:26">
      <c r="C352" s="48"/>
      <c r="D352" s="48"/>
      <c r="E352" s="48"/>
      <c r="F352" s="48"/>
      <c r="I352" s="48"/>
      <c r="J352" s="48"/>
      <c r="K352" s="48"/>
      <c r="L352" s="48"/>
      <c r="Q352" s="48"/>
      <c r="R352" s="48"/>
      <c r="S352" s="48"/>
      <c r="T352" s="48"/>
      <c r="W352" s="48"/>
      <c r="X352" s="48"/>
      <c r="Y352" s="48"/>
      <c r="Z352" s="48"/>
    </row>
    <row r="353" spans="3:26">
      <c r="C353" s="48"/>
      <c r="D353" s="48"/>
      <c r="E353" s="48"/>
      <c r="F353" s="48"/>
      <c r="I353" s="48"/>
      <c r="J353" s="48"/>
      <c r="K353" s="48"/>
      <c r="L353" s="48"/>
      <c r="Q353" s="48"/>
      <c r="R353" s="48"/>
      <c r="S353" s="48"/>
      <c r="T353" s="48"/>
      <c r="W353" s="48"/>
      <c r="X353" s="48"/>
      <c r="Y353" s="48"/>
      <c r="Z353" s="48"/>
    </row>
    <row r="354" spans="3:26">
      <c r="C354" s="48"/>
      <c r="D354" s="48"/>
      <c r="E354" s="48"/>
      <c r="F354" s="48"/>
      <c r="I354" s="48"/>
      <c r="J354" s="48"/>
      <c r="K354" s="48"/>
      <c r="L354" s="48"/>
      <c r="Q354" s="48"/>
      <c r="R354" s="48"/>
      <c r="S354" s="48"/>
      <c r="T354" s="48"/>
      <c r="W354" s="48"/>
      <c r="X354" s="48"/>
      <c r="Y354" s="48"/>
      <c r="Z354" s="48"/>
    </row>
    <row r="355" spans="3:26">
      <c r="C355" s="48"/>
      <c r="D355" s="48"/>
      <c r="E355" s="48"/>
      <c r="F355" s="48"/>
      <c r="I355" s="48"/>
      <c r="J355" s="48"/>
      <c r="K355" s="48"/>
      <c r="L355" s="48"/>
      <c r="Q355" s="48"/>
      <c r="R355" s="48"/>
      <c r="S355" s="48"/>
      <c r="T355" s="48"/>
      <c r="W355" s="48"/>
      <c r="X355" s="48"/>
      <c r="Y355" s="48"/>
      <c r="Z355" s="48"/>
    </row>
    <row r="356" spans="3:26">
      <c r="C356" s="48"/>
      <c r="D356" s="48"/>
      <c r="E356" s="48"/>
      <c r="F356" s="48"/>
      <c r="I356" s="48"/>
      <c r="J356" s="48"/>
      <c r="K356" s="48"/>
      <c r="L356" s="48"/>
      <c r="Q356" s="48"/>
      <c r="R356" s="48"/>
      <c r="S356" s="48"/>
      <c r="T356" s="48"/>
      <c r="W356" s="48"/>
      <c r="X356" s="48"/>
      <c r="Y356" s="48"/>
      <c r="Z356" s="48"/>
    </row>
    <row r="357" spans="3:26">
      <c r="C357" s="48"/>
      <c r="D357" s="48"/>
      <c r="E357" s="48"/>
      <c r="F357" s="48"/>
      <c r="I357" s="48"/>
      <c r="J357" s="48"/>
      <c r="K357" s="48"/>
      <c r="L357" s="48"/>
      <c r="Q357" s="48"/>
      <c r="R357" s="48"/>
      <c r="S357" s="48"/>
      <c r="T357" s="48"/>
      <c r="W357" s="48"/>
      <c r="X357" s="48"/>
      <c r="Y357" s="48"/>
      <c r="Z357" s="48"/>
    </row>
    <row r="358" spans="3:26">
      <c r="C358" s="48"/>
      <c r="D358" s="48"/>
      <c r="E358" s="48"/>
      <c r="F358" s="48"/>
      <c r="I358" s="48"/>
      <c r="J358" s="48"/>
      <c r="K358" s="48"/>
      <c r="L358" s="48"/>
      <c r="Q358" s="48"/>
      <c r="R358" s="48"/>
      <c r="S358" s="48"/>
      <c r="T358" s="48"/>
      <c r="W358" s="48"/>
      <c r="X358" s="48"/>
      <c r="Y358" s="48"/>
      <c r="Z358" s="48"/>
    </row>
    <row r="359" spans="3:26">
      <c r="C359" s="48"/>
      <c r="D359" s="48"/>
      <c r="E359" s="48"/>
      <c r="F359" s="48"/>
      <c r="I359" s="48"/>
      <c r="J359" s="48"/>
      <c r="K359" s="48"/>
      <c r="L359" s="48"/>
      <c r="Q359" s="48"/>
      <c r="R359" s="48"/>
      <c r="S359" s="48"/>
      <c r="T359" s="48"/>
      <c r="W359" s="48"/>
      <c r="X359" s="48"/>
      <c r="Y359" s="48"/>
      <c r="Z359" s="48"/>
    </row>
    <row r="360" spans="3:26">
      <c r="C360" s="48"/>
      <c r="D360" s="48"/>
      <c r="E360" s="48"/>
      <c r="F360" s="48"/>
      <c r="I360" s="48"/>
      <c r="J360" s="48"/>
      <c r="K360" s="48"/>
      <c r="L360" s="48"/>
      <c r="Q360" s="48"/>
      <c r="R360" s="48"/>
      <c r="S360" s="48"/>
      <c r="T360" s="48"/>
      <c r="W360" s="48"/>
      <c r="X360" s="48"/>
      <c r="Y360" s="48"/>
      <c r="Z360" s="48"/>
    </row>
    <row r="361" spans="3:26">
      <c r="C361" s="48"/>
      <c r="D361" s="48"/>
      <c r="E361" s="48"/>
      <c r="F361" s="48"/>
      <c r="I361" s="48"/>
      <c r="J361" s="48"/>
      <c r="K361" s="48"/>
      <c r="L361" s="48"/>
      <c r="Q361" s="48"/>
      <c r="R361" s="48"/>
      <c r="S361" s="48"/>
      <c r="T361" s="48"/>
      <c r="W361" s="48"/>
      <c r="X361" s="48"/>
      <c r="Y361" s="48"/>
      <c r="Z361" s="48"/>
    </row>
    <row r="362" spans="3:26">
      <c r="C362" s="48"/>
      <c r="D362" s="48"/>
      <c r="E362" s="48"/>
      <c r="F362" s="48"/>
      <c r="I362" s="48"/>
      <c r="J362" s="48"/>
      <c r="K362" s="48"/>
      <c r="L362" s="48"/>
      <c r="Q362" s="48"/>
      <c r="R362" s="48"/>
      <c r="S362" s="48"/>
      <c r="T362" s="48"/>
      <c r="W362" s="48"/>
      <c r="X362" s="48"/>
      <c r="Y362" s="48"/>
      <c r="Z362" s="48"/>
    </row>
    <row r="363" spans="3:26">
      <c r="C363" s="48"/>
      <c r="D363" s="48"/>
      <c r="E363" s="48"/>
      <c r="F363" s="48"/>
      <c r="I363" s="48"/>
      <c r="J363" s="48"/>
      <c r="K363" s="48"/>
      <c r="L363" s="48"/>
      <c r="Q363" s="48"/>
      <c r="R363" s="48"/>
      <c r="S363" s="48"/>
      <c r="T363" s="48"/>
      <c r="W363" s="48"/>
      <c r="X363" s="48"/>
      <c r="Y363" s="48"/>
      <c r="Z363" s="48"/>
    </row>
    <row r="364" spans="3:26">
      <c r="C364" s="48"/>
      <c r="D364" s="48"/>
      <c r="E364" s="48"/>
      <c r="F364" s="48"/>
      <c r="I364" s="48"/>
      <c r="J364" s="48"/>
      <c r="K364" s="48"/>
      <c r="L364" s="48"/>
      <c r="Q364" s="48"/>
      <c r="R364" s="48"/>
      <c r="S364" s="48"/>
      <c r="T364" s="48"/>
      <c r="W364" s="48"/>
      <c r="X364" s="48"/>
      <c r="Y364" s="48"/>
      <c r="Z364" s="48"/>
    </row>
    <row r="365" spans="3:26">
      <c r="C365" s="48"/>
      <c r="D365" s="48"/>
      <c r="E365" s="48"/>
      <c r="F365" s="48"/>
      <c r="I365" s="48"/>
      <c r="J365" s="48"/>
      <c r="K365" s="48"/>
      <c r="L365" s="48"/>
      <c r="Q365" s="48"/>
      <c r="R365" s="48"/>
      <c r="S365" s="48"/>
      <c r="T365" s="48"/>
      <c r="W365" s="48"/>
      <c r="X365" s="48"/>
      <c r="Y365" s="48"/>
      <c r="Z365" s="48"/>
    </row>
    <row r="366" spans="3:26">
      <c r="C366" s="48"/>
      <c r="D366" s="48"/>
      <c r="E366" s="48"/>
      <c r="F366" s="48"/>
      <c r="I366" s="48"/>
      <c r="J366" s="48"/>
      <c r="K366" s="48"/>
      <c r="L366" s="48"/>
      <c r="Q366" s="48"/>
      <c r="R366" s="48"/>
      <c r="S366" s="48"/>
      <c r="T366" s="48"/>
      <c r="W366" s="48"/>
      <c r="X366" s="48"/>
      <c r="Y366" s="48"/>
      <c r="Z366" s="48"/>
    </row>
    <row r="367" spans="3:26">
      <c r="C367" s="48"/>
      <c r="D367" s="48"/>
      <c r="E367" s="48"/>
      <c r="F367" s="48"/>
      <c r="I367" s="48"/>
      <c r="J367" s="48"/>
      <c r="K367" s="48"/>
      <c r="L367" s="48"/>
      <c r="Q367" s="48"/>
      <c r="R367" s="48"/>
      <c r="S367" s="48"/>
      <c r="T367" s="48"/>
      <c r="W367" s="48"/>
      <c r="X367" s="48"/>
      <c r="Y367" s="48"/>
      <c r="Z367" s="48"/>
    </row>
    <row r="368" spans="3:26">
      <c r="C368" s="48"/>
      <c r="D368" s="48"/>
      <c r="E368" s="48"/>
      <c r="F368" s="48"/>
      <c r="I368" s="48"/>
      <c r="J368" s="48"/>
      <c r="K368" s="48"/>
      <c r="L368" s="48"/>
      <c r="Q368" s="48"/>
      <c r="R368" s="48"/>
      <c r="S368" s="48"/>
      <c r="T368" s="48"/>
      <c r="W368" s="48"/>
      <c r="X368" s="48"/>
      <c r="Y368" s="48"/>
      <c r="Z368" s="48"/>
    </row>
    <row r="369" spans="3:26">
      <c r="C369" s="48"/>
      <c r="D369" s="48"/>
      <c r="E369" s="48"/>
      <c r="F369" s="48"/>
      <c r="I369" s="48"/>
      <c r="J369" s="48"/>
      <c r="K369" s="48"/>
      <c r="L369" s="48"/>
      <c r="Q369" s="48"/>
      <c r="R369" s="48"/>
      <c r="S369" s="48"/>
      <c r="T369" s="48"/>
      <c r="W369" s="48"/>
      <c r="X369" s="48"/>
      <c r="Y369" s="48"/>
      <c r="Z369" s="48"/>
    </row>
    <row r="370" spans="3:26">
      <c r="C370" s="48"/>
      <c r="D370" s="48"/>
      <c r="E370" s="48"/>
      <c r="F370" s="48"/>
      <c r="I370" s="48"/>
      <c r="J370" s="48"/>
      <c r="K370" s="48"/>
      <c r="L370" s="48"/>
      <c r="Q370" s="48"/>
      <c r="R370" s="48"/>
      <c r="S370" s="48"/>
      <c r="T370" s="48"/>
      <c r="W370" s="48"/>
      <c r="X370" s="48"/>
      <c r="Y370" s="48"/>
      <c r="Z370" s="48"/>
    </row>
    <row r="371" spans="3:26">
      <c r="C371" s="48"/>
      <c r="D371" s="48"/>
      <c r="E371" s="48"/>
      <c r="F371" s="48"/>
      <c r="I371" s="48"/>
      <c r="J371" s="48"/>
      <c r="K371" s="48"/>
      <c r="L371" s="48"/>
      <c r="Q371" s="48"/>
      <c r="R371" s="48"/>
      <c r="S371" s="48"/>
      <c r="T371" s="48"/>
      <c r="W371" s="48"/>
      <c r="X371" s="48"/>
      <c r="Y371" s="48"/>
      <c r="Z371" s="48"/>
    </row>
    <row r="372" spans="3:26">
      <c r="C372" s="48"/>
      <c r="D372" s="48"/>
      <c r="E372" s="48"/>
      <c r="F372" s="48"/>
      <c r="I372" s="48"/>
      <c r="J372" s="48"/>
      <c r="K372" s="48"/>
      <c r="L372" s="48"/>
      <c r="Q372" s="48"/>
      <c r="R372" s="48"/>
      <c r="S372" s="48"/>
      <c r="T372" s="48"/>
      <c r="W372" s="48"/>
      <c r="X372" s="48"/>
      <c r="Y372" s="48"/>
      <c r="Z372" s="48"/>
    </row>
    <row r="373" spans="3:26">
      <c r="C373" s="48"/>
      <c r="D373" s="48"/>
      <c r="E373" s="48"/>
      <c r="F373" s="48"/>
      <c r="I373" s="48"/>
      <c r="J373" s="48"/>
      <c r="K373" s="48"/>
      <c r="L373" s="48"/>
      <c r="Q373" s="48"/>
      <c r="R373" s="48"/>
      <c r="S373" s="48"/>
      <c r="T373" s="48"/>
      <c r="W373" s="48"/>
      <c r="X373" s="48"/>
      <c r="Y373" s="48"/>
      <c r="Z373" s="48"/>
    </row>
    <row r="374" spans="3:26">
      <c r="C374" s="48"/>
      <c r="D374" s="48"/>
      <c r="E374" s="48"/>
      <c r="F374" s="48"/>
      <c r="I374" s="48"/>
      <c r="J374" s="48"/>
      <c r="K374" s="48"/>
      <c r="L374" s="48"/>
      <c r="Q374" s="48"/>
      <c r="R374" s="48"/>
      <c r="S374" s="48"/>
      <c r="T374" s="48"/>
      <c r="W374" s="48"/>
      <c r="X374" s="48"/>
      <c r="Y374" s="48"/>
      <c r="Z374" s="48"/>
    </row>
    <row r="375" spans="3:26">
      <c r="C375" s="48"/>
      <c r="D375" s="48"/>
      <c r="E375" s="48"/>
      <c r="F375" s="48"/>
      <c r="I375" s="48"/>
      <c r="J375" s="48"/>
      <c r="K375" s="48"/>
      <c r="L375" s="48"/>
      <c r="Q375" s="48"/>
      <c r="R375" s="48"/>
      <c r="S375" s="48"/>
      <c r="T375" s="48"/>
      <c r="W375" s="48"/>
      <c r="X375" s="48"/>
      <c r="Y375" s="48"/>
      <c r="Z375" s="48"/>
    </row>
    <row r="376" spans="3:26">
      <c r="C376" s="48"/>
      <c r="D376" s="48"/>
      <c r="E376" s="48"/>
      <c r="F376" s="48"/>
      <c r="I376" s="48"/>
      <c r="J376" s="48"/>
      <c r="K376" s="48"/>
      <c r="L376" s="48"/>
      <c r="Q376" s="48"/>
      <c r="R376" s="48"/>
      <c r="S376" s="48"/>
      <c r="T376" s="48"/>
      <c r="W376" s="48"/>
      <c r="X376" s="48"/>
      <c r="Y376" s="48"/>
      <c r="Z376" s="48"/>
    </row>
    <row r="377" spans="3:26">
      <c r="C377" s="48"/>
      <c r="D377" s="48"/>
      <c r="E377" s="48"/>
      <c r="F377" s="48"/>
      <c r="I377" s="48"/>
      <c r="J377" s="48"/>
      <c r="K377" s="48"/>
      <c r="L377" s="48"/>
      <c r="Q377" s="48"/>
      <c r="R377" s="48"/>
      <c r="S377" s="48"/>
      <c r="T377" s="48"/>
      <c r="W377" s="48"/>
      <c r="X377" s="48"/>
      <c r="Y377" s="48"/>
      <c r="Z377" s="48"/>
    </row>
    <row r="378" spans="3:26">
      <c r="C378" s="48"/>
      <c r="D378" s="48"/>
      <c r="E378" s="48"/>
      <c r="F378" s="48"/>
      <c r="I378" s="48"/>
      <c r="J378" s="48"/>
      <c r="K378" s="48"/>
      <c r="L378" s="48"/>
      <c r="Q378" s="48"/>
      <c r="R378" s="48"/>
      <c r="S378" s="48"/>
      <c r="T378" s="48"/>
      <c r="W378" s="48"/>
      <c r="X378" s="48"/>
      <c r="Y378" s="48"/>
      <c r="Z378" s="48"/>
    </row>
    <row r="379" spans="3:26">
      <c r="C379" s="48"/>
      <c r="D379" s="48"/>
      <c r="E379" s="48"/>
      <c r="F379" s="48"/>
      <c r="I379" s="48"/>
      <c r="J379" s="48"/>
      <c r="K379" s="48"/>
      <c r="L379" s="48"/>
      <c r="Q379" s="48"/>
      <c r="R379" s="48"/>
      <c r="S379" s="48"/>
      <c r="T379" s="48"/>
      <c r="W379" s="48"/>
      <c r="X379" s="48"/>
      <c r="Y379" s="48"/>
      <c r="Z379" s="48"/>
    </row>
    <row r="380" spans="3:26">
      <c r="C380" s="48"/>
      <c r="D380" s="48"/>
      <c r="E380" s="48"/>
      <c r="F380" s="48"/>
      <c r="I380" s="48"/>
      <c r="J380" s="48"/>
      <c r="K380" s="48"/>
      <c r="L380" s="48"/>
      <c r="Q380" s="48"/>
      <c r="R380" s="48"/>
      <c r="S380" s="48"/>
      <c r="T380" s="48"/>
      <c r="W380" s="48"/>
      <c r="X380" s="48"/>
      <c r="Y380" s="48"/>
      <c r="Z380" s="48"/>
    </row>
    <row r="381" spans="3:26">
      <c r="C381" s="48"/>
      <c r="D381" s="48"/>
      <c r="E381" s="48"/>
      <c r="F381" s="48"/>
      <c r="I381" s="48"/>
      <c r="J381" s="48"/>
      <c r="K381" s="48"/>
      <c r="L381" s="48"/>
      <c r="Q381" s="48"/>
      <c r="R381" s="48"/>
      <c r="S381" s="48"/>
      <c r="T381" s="48"/>
      <c r="W381" s="48"/>
      <c r="X381" s="48"/>
      <c r="Y381" s="48"/>
      <c r="Z381" s="48"/>
    </row>
    <row r="382" spans="3:26">
      <c r="C382" s="48"/>
      <c r="D382" s="48"/>
      <c r="E382" s="48"/>
      <c r="F382" s="48"/>
      <c r="I382" s="48"/>
      <c r="J382" s="48"/>
      <c r="K382" s="48"/>
      <c r="L382" s="48"/>
      <c r="Q382" s="48"/>
      <c r="R382" s="48"/>
      <c r="S382" s="48"/>
      <c r="T382" s="48"/>
      <c r="W382" s="48"/>
      <c r="X382" s="48"/>
      <c r="Y382" s="48"/>
      <c r="Z382" s="48"/>
    </row>
    <row r="383" spans="3:26">
      <c r="C383" s="48"/>
      <c r="D383" s="48"/>
      <c r="E383" s="48"/>
      <c r="F383" s="48"/>
      <c r="I383" s="48"/>
      <c r="J383" s="48"/>
      <c r="K383" s="48"/>
      <c r="L383" s="48"/>
      <c r="Q383" s="48"/>
      <c r="R383" s="48"/>
      <c r="S383" s="48"/>
      <c r="T383" s="48"/>
      <c r="W383" s="48"/>
      <c r="X383" s="48"/>
      <c r="Y383" s="48"/>
      <c r="Z383" s="48"/>
    </row>
    <row r="384" spans="3:26">
      <c r="C384" s="48"/>
      <c r="D384" s="48"/>
      <c r="E384" s="48"/>
      <c r="F384" s="48"/>
      <c r="I384" s="48"/>
      <c r="J384" s="48"/>
      <c r="K384" s="48"/>
      <c r="L384" s="48"/>
      <c r="Q384" s="48"/>
      <c r="R384" s="48"/>
      <c r="S384" s="48"/>
      <c r="T384" s="48"/>
      <c r="W384" s="48"/>
      <c r="X384" s="48"/>
      <c r="Y384" s="48"/>
      <c r="Z384" s="48"/>
    </row>
    <row r="385" spans="3:26">
      <c r="C385" s="48"/>
      <c r="D385" s="48"/>
      <c r="E385" s="48"/>
      <c r="F385" s="48"/>
      <c r="I385" s="48"/>
      <c r="J385" s="48"/>
      <c r="K385" s="48"/>
      <c r="L385" s="48"/>
      <c r="Q385" s="48"/>
      <c r="R385" s="48"/>
      <c r="S385" s="48"/>
      <c r="T385" s="48"/>
      <c r="W385" s="48"/>
      <c r="X385" s="48"/>
      <c r="Y385" s="48"/>
      <c r="Z385" s="48"/>
    </row>
    <row r="386" spans="3:26">
      <c r="C386" s="48"/>
      <c r="D386" s="48"/>
      <c r="E386" s="48"/>
      <c r="F386" s="48"/>
      <c r="I386" s="48"/>
      <c r="J386" s="48"/>
      <c r="K386" s="48"/>
      <c r="L386" s="48"/>
      <c r="Q386" s="48"/>
      <c r="R386" s="48"/>
      <c r="S386" s="48"/>
      <c r="T386" s="48"/>
      <c r="W386" s="48"/>
      <c r="X386" s="48"/>
      <c r="Y386" s="48"/>
      <c r="Z386" s="48"/>
    </row>
    <row r="387" spans="3:26">
      <c r="C387" s="48"/>
      <c r="D387" s="48"/>
      <c r="E387" s="48"/>
      <c r="F387" s="48"/>
      <c r="I387" s="48"/>
      <c r="J387" s="48"/>
      <c r="K387" s="48"/>
      <c r="L387" s="48"/>
      <c r="Q387" s="48"/>
      <c r="R387" s="48"/>
      <c r="S387" s="48"/>
      <c r="T387" s="48"/>
      <c r="W387" s="48"/>
      <c r="X387" s="48"/>
      <c r="Y387" s="48"/>
      <c r="Z387" s="48"/>
    </row>
    <row r="388" spans="3:26">
      <c r="C388" s="48"/>
      <c r="D388" s="48"/>
      <c r="E388" s="48"/>
      <c r="F388" s="48"/>
      <c r="I388" s="48"/>
      <c r="J388" s="48"/>
      <c r="K388" s="48"/>
      <c r="L388" s="48"/>
      <c r="Q388" s="48"/>
      <c r="R388" s="48"/>
      <c r="S388" s="48"/>
      <c r="T388" s="48"/>
      <c r="W388" s="48"/>
      <c r="X388" s="48"/>
      <c r="Y388" s="48"/>
      <c r="Z388" s="48"/>
    </row>
    <row r="389" spans="3:26">
      <c r="C389" s="48"/>
      <c r="D389" s="48"/>
      <c r="E389" s="48"/>
      <c r="F389" s="48"/>
      <c r="I389" s="48"/>
      <c r="J389" s="48"/>
      <c r="K389" s="48"/>
      <c r="L389" s="48"/>
      <c r="Q389" s="48"/>
      <c r="R389" s="48"/>
      <c r="S389" s="48"/>
      <c r="T389" s="48"/>
      <c r="W389" s="48"/>
      <c r="X389" s="48"/>
      <c r="Y389" s="48"/>
      <c r="Z389" s="48"/>
    </row>
    <row r="390" spans="3:26">
      <c r="C390" s="48"/>
      <c r="D390" s="48"/>
      <c r="E390" s="48"/>
      <c r="F390" s="48"/>
      <c r="I390" s="48"/>
      <c r="J390" s="48"/>
      <c r="K390" s="48"/>
      <c r="L390" s="48"/>
      <c r="Q390" s="48"/>
      <c r="R390" s="48"/>
      <c r="S390" s="48"/>
      <c r="T390" s="48"/>
      <c r="W390" s="48"/>
      <c r="X390" s="48"/>
      <c r="Y390" s="48"/>
      <c r="Z390" s="48"/>
    </row>
    <row r="391" spans="3:26">
      <c r="C391" s="48"/>
      <c r="D391" s="48"/>
      <c r="E391" s="48"/>
      <c r="F391" s="48"/>
      <c r="I391" s="48"/>
      <c r="J391" s="48"/>
      <c r="K391" s="48"/>
      <c r="L391" s="48"/>
      <c r="Q391" s="48"/>
      <c r="R391" s="48"/>
      <c r="S391" s="48"/>
      <c r="T391" s="48"/>
      <c r="W391" s="48"/>
      <c r="X391" s="48"/>
      <c r="Y391" s="48"/>
      <c r="Z391" s="48"/>
    </row>
    <row r="392" spans="3:26">
      <c r="C392" s="48"/>
      <c r="D392" s="48"/>
      <c r="E392" s="48"/>
      <c r="F392" s="48"/>
      <c r="I392" s="48"/>
      <c r="J392" s="48"/>
      <c r="K392" s="48"/>
      <c r="L392" s="48"/>
      <c r="Q392" s="48"/>
      <c r="R392" s="48"/>
      <c r="S392" s="48"/>
      <c r="T392" s="48"/>
      <c r="W392" s="48"/>
      <c r="X392" s="48"/>
      <c r="Y392" s="48"/>
      <c r="Z392" s="48"/>
    </row>
    <row r="393" spans="3:26">
      <c r="C393" s="48"/>
      <c r="D393" s="48"/>
      <c r="E393" s="48"/>
      <c r="F393" s="48"/>
      <c r="I393" s="48"/>
      <c r="J393" s="48"/>
      <c r="K393" s="48"/>
      <c r="L393" s="48"/>
      <c r="Q393" s="48"/>
      <c r="R393" s="48"/>
      <c r="S393" s="48"/>
      <c r="T393" s="48"/>
      <c r="W393" s="48"/>
      <c r="X393" s="48"/>
      <c r="Y393" s="48"/>
      <c r="Z393" s="48"/>
    </row>
    <row r="394" spans="3:26">
      <c r="C394" s="48"/>
      <c r="D394" s="48"/>
      <c r="E394" s="48"/>
      <c r="F394" s="48"/>
      <c r="I394" s="48"/>
      <c r="J394" s="48"/>
      <c r="K394" s="48"/>
      <c r="L394" s="48"/>
      <c r="Q394" s="48"/>
      <c r="R394" s="48"/>
      <c r="S394" s="48"/>
      <c r="T394" s="48"/>
      <c r="W394" s="48"/>
      <c r="X394" s="48"/>
      <c r="Y394" s="48"/>
      <c r="Z394" s="48"/>
    </row>
    <row r="395" spans="3:26">
      <c r="C395" s="48"/>
      <c r="D395" s="48"/>
      <c r="E395" s="48"/>
      <c r="F395" s="48"/>
      <c r="I395" s="48"/>
      <c r="J395" s="48"/>
      <c r="K395" s="48"/>
      <c r="L395" s="48"/>
      <c r="Q395" s="48"/>
      <c r="R395" s="48"/>
      <c r="S395" s="48"/>
      <c r="T395" s="48"/>
      <c r="W395" s="48"/>
      <c r="X395" s="48"/>
      <c r="Y395" s="48"/>
      <c r="Z395" s="48"/>
    </row>
    <row r="396" spans="3:26">
      <c r="C396" s="48"/>
      <c r="D396" s="48"/>
      <c r="E396" s="48"/>
      <c r="F396" s="48"/>
      <c r="I396" s="48"/>
      <c r="J396" s="48"/>
      <c r="K396" s="48"/>
      <c r="L396" s="48"/>
      <c r="Q396" s="48"/>
      <c r="R396" s="48"/>
      <c r="S396" s="48"/>
      <c r="T396" s="48"/>
      <c r="W396" s="48"/>
      <c r="X396" s="48"/>
      <c r="Y396" s="48"/>
      <c r="Z396" s="48"/>
    </row>
    <row r="397" spans="3:26">
      <c r="C397" s="48"/>
      <c r="D397" s="48"/>
      <c r="E397" s="48"/>
      <c r="F397" s="48"/>
      <c r="I397" s="48"/>
      <c r="J397" s="48"/>
      <c r="K397" s="48"/>
      <c r="L397" s="48"/>
      <c r="Q397" s="48"/>
      <c r="R397" s="48"/>
      <c r="S397" s="48"/>
      <c r="T397" s="48"/>
      <c r="W397" s="48"/>
      <c r="X397" s="48"/>
      <c r="Y397" s="48"/>
      <c r="Z397" s="48"/>
    </row>
    <row r="398" spans="3:26">
      <c r="C398" s="48"/>
      <c r="D398" s="48"/>
      <c r="E398" s="48"/>
      <c r="F398" s="48"/>
      <c r="I398" s="48"/>
      <c r="J398" s="48"/>
      <c r="K398" s="48"/>
      <c r="L398" s="48"/>
      <c r="Q398" s="48"/>
      <c r="R398" s="48"/>
      <c r="S398" s="48"/>
      <c r="T398" s="48"/>
      <c r="W398" s="48"/>
      <c r="X398" s="48"/>
      <c r="Y398" s="48"/>
      <c r="Z398" s="48"/>
    </row>
    <row r="399" spans="3:26">
      <c r="C399" s="48"/>
      <c r="D399" s="48"/>
      <c r="E399" s="48"/>
      <c r="F399" s="48"/>
      <c r="I399" s="48"/>
      <c r="J399" s="48"/>
      <c r="K399" s="48"/>
      <c r="L399" s="48"/>
      <c r="Q399" s="48"/>
      <c r="R399" s="48"/>
      <c r="S399" s="48"/>
      <c r="T399" s="48"/>
      <c r="W399" s="48"/>
      <c r="X399" s="48"/>
      <c r="Y399" s="48"/>
      <c r="Z399" s="48"/>
    </row>
    <row r="400" spans="3:26">
      <c r="C400" s="48"/>
      <c r="D400" s="48"/>
      <c r="E400" s="48"/>
      <c r="F400" s="48"/>
      <c r="I400" s="48"/>
      <c r="J400" s="48"/>
      <c r="K400" s="48"/>
      <c r="L400" s="48"/>
      <c r="Q400" s="48"/>
      <c r="R400" s="48"/>
      <c r="S400" s="48"/>
      <c r="T400" s="48"/>
      <c r="W400" s="48"/>
      <c r="X400" s="48"/>
      <c r="Y400" s="48"/>
      <c r="Z400" s="48"/>
    </row>
    <row r="401" spans="3:26">
      <c r="C401" s="48"/>
      <c r="D401" s="48"/>
      <c r="E401" s="48"/>
      <c r="F401" s="48"/>
      <c r="I401" s="48"/>
      <c r="J401" s="48"/>
      <c r="K401" s="48"/>
      <c r="L401" s="48"/>
      <c r="Q401" s="48"/>
      <c r="R401" s="48"/>
      <c r="S401" s="48"/>
      <c r="T401" s="48"/>
      <c r="W401" s="48"/>
      <c r="X401" s="48"/>
      <c r="Y401" s="48"/>
      <c r="Z401" s="48"/>
    </row>
    <row r="402" spans="3:26">
      <c r="C402" s="48"/>
      <c r="D402" s="48"/>
      <c r="E402" s="48"/>
      <c r="F402" s="48"/>
      <c r="I402" s="48"/>
      <c r="J402" s="48"/>
      <c r="K402" s="48"/>
      <c r="L402" s="48"/>
      <c r="Q402" s="48"/>
      <c r="R402" s="48"/>
      <c r="S402" s="48"/>
      <c r="T402" s="48"/>
      <c r="W402" s="48"/>
      <c r="X402" s="48"/>
      <c r="Y402" s="48"/>
      <c r="Z402" s="48"/>
    </row>
    <row r="403" spans="3:26">
      <c r="C403" s="48"/>
      <c r="D403" s="48"/>
      <c r="E403" s="48"/>
      <c r="F403" s="48"/>
      <c r="I403" s="48"/>
      <c r="J403" s="48"/>
      <c r="K403" s="48"/>
      <c r="L403" s="48"/>
      <c r="Q403" s="48"/>
      <c r="R403" s="48"/>
      <c r="S403" s="48"/>
      <c r="T403" s="48"/>
      <c r="W403" s="48"/>
      <c r="X403" s="48"/>
      <c r="Y403" s="48"/>
      <c r="Z403" s="48"/>
    </row>
    <row r="404" spans="3:26">
      <c r="C404" s="48"/>
      <c r="D404" s="48"/>
      <c r="E404" s="48"/>
      <c r="F404" s="48"/>
      <c r="I404" s="48"/>
      <c r="J404" s="48"/>
      <c r="K404" s="48"/>
      <c r="L404" s="48"/>
      <c r="Q404" s="48"/>
      <c r="R404" s="48"/>
      <c r="S404" s="48"/>
      <c r="T404" s="48"/>
      <c r="W404" s="48"/>
      <c r="X404" s="48"/>
      <c r="Y404" s="48"/>
      <c r="Z404" s="48"/>
    </row>
    <row r="405" spans="3:26">
      <c r="C405" s="48"/>
      <c r="D405" s="48"/>
      <c r="E405" s="48"/>
      <c r="F405" s="48"/>
      <c r="I405" s="48"/>
      <c r="J405" s="48"/>
      <c r="K405" s="48"/>
      <c r="L405" s="48"/>
      <c r="Q405" s="48"/>
      <c r="R405" s="48"/>
      <c r="S405" s="48"/>
      <c r="T405" s="48"/>
      <c r="W405" s="48"/>
      <c r="X405" s="48"/>
      <c r="Y405" s="48"/>
      <c r="Z405" s="48"/>
    </row>
    <row r="406" spans="3:26">
      <c r="C406" s="48"/>
      <c r="D406" s="48"/>
      <c r="E406" s="48"/>
      <c r="F406" s="48"/>
      <c r="I406" s="48"/>
      <c r="J406" s="48"/>
      <c r="K406" s="48"/>
      <c r="L406" s="48"/>
      <c r="Q406" s="48"/>
      <c r="R406" s="48"/>
      <c r="S406" s="48"/>
      <c r="T406" s="48"/>
      <c r="W406" s="48"/>
      <c r="X406" s="48"/>
      <c r="Y406" s="48"/>
      <c r="Z406" s="48"/>
    </row>
    <row r="407" spans="3:26">
      <c r="C407" s="48"/>
      <c r="D407" s="48"/>
      <c r="E407" s="48"/>
      <c r="F407" s="48"/>
      <c r="I407" s="48"/>
      <c r="J407" s="48"/>
      <c r="K407" s="48"/>
      <c r="L407" s="48"/>
      <c r="Q407" s="48"/>
      <c r="R407" s="48"/>
      <c r="S407" s="48"/>
      <c r="T407" s="48"/>
      <c r="W407" s="48"/>
      <c r="X407" s="48"/>
      <c r="Y407" s="48"/>
      <c r="Z407" s="48"/>
    </row>
    <row r="408" spans="3:26">
      <c r="C408" s="48"/>
      <c r="D408" s="48"/>
      <c r="E408" s="48"/>
      <c r="F408" s="48"/>
      <c r="I408" s="48"/>
      <c r="J408" s="48"/>
      <c r="K408" s="48"/>
      <c r="L408" s="48"/>
      <c r="Q408" s="48"/>
      <c r="R408" s="48"/>
      <c r="S408" s="48"/>
      <c r="T408" s="48"/>
      <c r="W408" s="48"/>
      <c r="X408" s="48"/>
      <c r="Y408" s="48"/>
      <c r="Z408" s="48"/>
    </row>
    <row r="409" spans="3:26">
      <c r="C409" s="48"/>
      <c r="D409" s="48"/>
      <c r="E409" s="48"/>
      <c r="F409" s="48"/>
      <c r="I409" s="48"/>
      <c r="J409" s="48"/>
      <c r="K409" s="48"/>
      <c r="L409" s="48"/>
      <c r="Q409" s="48"/>
      <c r="R409" s="48"/>
      <c r="S409" s="48"/>
      <c r="T409" s="48"/>
      <c r="W409" s="48"/>
      <c r="X409" s="48"/>
      <c r="Y409" s="48"/>
      <c r="Z409" s="48"/>
    </row>
    <row r="410" spans="3:26">
      <c r="C410" s="48"/>
      <c r="D410" s="48"/>
      <c r="E410" s="48"/>
      <c r="F410" s="48"/>
      <c r="I410" s="48"/>
      <c r="J410" s="48"/>
      <c r="K410" s="48"/>
      <c r="L410" s="48"/>
      <c r="Q410" s="48"/>
      <c r="R410" s="48"/>
      <c r="S410" s="48"/>
      <c r="T410" s="48"/>
      <c r="W410" s="48"/>
      <c r="X410" s="48"/>
      <c r="Y410" s="48"/>
      <c r="Z410" s="48"/>
    </row>
    <row r="411" spans="3:26">
      <c r="C411" s="48"/>
      <c r="D411" s="48"/>
      <c r="E411" s="48"/>
      <c r="F411" s="48"/>
      <c r="I411" s="48"/>
      <c r="J411" s="48"/>
      <c r="K411" s="48"/>
      <c r="L411" s="48"/>
      <c r="Q411" s="48"/>
      <c r="R411" s="48"/>
      <c r="S411" s="48"/>
      <c r="T411" s="48"/>
      <c r="W411" s="48"/>
      <c r="X411" s="48"/>
      <c r="Y411" s="48"/>
      <c r="Z411" s="48"/>
    </row>
    <row r="412" spans="3:26">
      <c r="C412" s="48"/>
      <c r="D412" s="48"/>
      <c r="E412" s="48"/>
      <c r="F412" s="48"/>
      <c r="I412" s="48"/>
      <c r="J412" s="48"/>
      <c r="K412" s="48"/>
      <c r="L412" s="48"/>
      <c r="Q412" s="48"/>
      <c r="R412" s="48"/>
      <c r="S412" s="48"/>
      <c r="T412" s="48"/>
      <c r="W412" s="48"/>
      <c r="X412" s="48"/>
      <c r="Y412" s="48"/>
      <c r="Z412" s="48"/>
    </row>
    <row r="413" spans="3:26">
      <c r="C413" s="48"/>
      <c r="D413" s="48"/>
      <c r="E413" s="48"/>
      <c r="F413" s="48"/>
      <c r="I413" s="48"/>
      <c r="J413" s="48"/>
      <c r="K413" s="48"/>
      <c r="L413" s="48"/>
      <c r="Q413" s="48"/>
      <c r="R413" s="48"/>
      <c r="S413" s="48"/>
      <c r="T413" s="48"/>
      <c r="W413" s="48"/>
      <c r="X413" s="48"/>
      <c r="Y413" s="48"/>
      <c r="Z413" s="48"/>
    </row>
    <row r="414" spans="3:26">
      <c r="C414" s="48"/>
      <c r="D414" s="48"/>
      <c r="E414" s="48"/>
      <c r="F414" s="48"/>
      <c r="I414" s="48"/>
      <c r="J414" s="48"/>
      <c r="K414" s="48"/>
      <c r="L414" s="48"/>
      <c r="Q414" s="48"/>
      <c r="R414" s="48"/>
      <c r="S414" s="48"/>
      <c r="T414" s="48"/>
      <c r="W414" s="48"/>
      <c r="X414" s="48"/>
      <c r="Y414" s="48"/>
      <c r="Z414" s="48"/>
    </row>
    <row r="415" spans="3:26">
      <c r="C415" s="48"/>
      <c r="D415" s="48"/>
      <c r="E415" s="48"/>
      <c r="F415" s="48"/>
      <c r="I415" s="48"/>
      <c r="J415" s="48"/>
      <c r="K415" s="48"/>
      <c r="L415" s="48"/>
      <c r="Q415" s="48"/>
      <c r="R415" s="48"/>
      <c r="S415" s="48"/>
      <c r="T415" s="48"/>
      <c r="W415" s="48"/>
      <c r="X415" s="48"/>
      <c r="Y415" s="48"/>
      <c r="Z415" s="48"/>
    </row>
    <row r="416" spans="3:26">
      <c r="C416" s="48"/>
      <c r="D416" s="48"/>
      <c r="E416" s="48"/>
      <c r="F416" s="48"/>
      <c r="I416" s="48"/>
      <c r="J416" s="48"/>
      <c r="K416" s="48"/>
      <c r="L416" s="48"/>
      <c r="Q416" s="48"/>
      <c r="R416" s="48"/>
      <c r="S416" s="48"/>
      <c r="T416" s="48"/>
      <c r="W416" s="48"/>
      <c r="X416" s="48"/>
      <c r="Y416" s="48"/>
      <c r="Z416" s="48"/>
    </row>
    <row r="417" spans="3:26">
      <c r="C417" s="48"/>
      <c r="D417" s="48"/>
      <c r="E417" s="48"/>
      <c r="F417" s="48"/>
      <c r="I417" s="48"/>
      <c r="J417" s="48"/>
      <c r="K417" s="48"/>
      <c r="L417" s="48"/>
      <c r="Q417" s="48"/>
      <c r="R417" s="48"/>
      <c r="S417" s="48"/>
      <c r="T417" s="48"/>
      <c r="W417" s="48"/>
      <c r="X417" s="48"/>
      <c r="Y417" s="48"/>
      <c r="Z417" s="48"/>
    </row>
    <row r="418" spans="3:26">
      <c r="C418" s="48"/>
      <c r="D418" s="48"/>
      <c r="E418" s="48"/>
      <c r="F418" s="48"/>
      <c r="I418" s="48"/>
      <c r="J418" s="48"/>
      <c r="K418" s="48"/>
      <c r="L418" s="48"/>
      <c r="Q418" s="48"/>
      <c r="R418" s="48"/>
      <c r="S418" s="48"/>
      <c r="T418" s="48"/>
      <c r="W418" s="48"/>
      <c r="X418" s="48"/>
      <c r="Y418" s="48"/>
      <c r="Z418" s="48"/>
    </row>
    <row r="419" spans="3:26">
      <c r="C419" s="48"/>
      <c r="D419" s="48"/>
      <c r="E419" s="48"/>
      <c r="F419" s="48"/>
      <c r="I419" s="48"/>
      <c r="J419" s="48"/>
      <c r="K419" s="48"/>
      <c r="L419" s="48"/>
      <c r="Q419" s="48"/>
      <c r="R419" s="48"/>
      <c r="S419" s="48"/>
      <c r="T419" s="48"/>
      <c r="W419" s="48"/>
      <c r="X419" s="48"/>
      <c r="Y419" s="48"/>
      <c r="Z419" s="48"/>
    </row>
    <row r="420" spans="3:26">
      <c r="C420" s="48"/>
      <c r="D420" s="48"/>
      <c r="E420" s="48"/>
      <c r="F420" s="48"/>
      <c r="I420" s="48"/>
      <c r="J420" s="48"/>
      <c r="K420" s="48"/>
      <c r="L420" s="48"/>
      <c r="Q420" s="48"/>
      <c r="R420" s="48"/>
      <c r="S420" s="48"/>
      <c r="T420" s="48"/>
      <c r="W420" s="48"/>
      <c r="X420" s="48"/>
      <c r="Y420" s="48"/>
      <c r="Z420" s="48"/>
    </row>
    <row r="421" spans="3:26">
      <c r="C421" s="48"/>
      <c r="D421" s="48"/>
      <c r="E421" s="48"/>
      <c r="F421" s="48"/>
      <c r="I421" s="48"/>
      <c r="J421" s="48"/>
      <c r="K421" s="48"/>
      <c r="L421" s="48"/>
      <c r="Q421" s="48"/>
      <c r="R421" s="48"/>
      <c r="S421" s="48"/>
      <c r="T421" s="48"/>
      <c r="W421" s="48"/>
      <c r="X421" s="48"/>
      <c r="Y421" s="48"/>
      <c r="Z421" s="48"/>
    </row>
    <row r="422" spans="3:26">
      <c r="C422" s="48"/>
      <c r="D422" s="48"/>
      <c r="E422" s="48"/>
      <c r="F422" s="48"/>
      <c r="I422" s="48"/>
      <c r="J422" s="48"/>
      <c r="K422" s="48"/>
      <c r="L422" s="48"/>
      <c r="Q422" s="48"/>
      <c r="R422" s="48"/>
      <c r="S422" s="48"/>
      <c r="T422" s="48"/>
      <c r="W422" s="48"/>
      <c r="X422" s="48"/>
      <c r="Y422" s="48"/>
      <c r="Z422" s="48"/>
    </row>
    <row r="423" spans="3:26">
      <c r="C423" s="48"/>
      <c r="D423" s="48"/>
      <c r="E423" s="48"/>
      <c r="F423" s="48"/>
      <c r="I423" s="48"/>
      <c r="J423" s="48"/>
      <c r="K423" s="48"/>
      <c r="L423" s="48"/>
      <c r="Q423" s="48"/>
      <c r="R423" s="48"/>
      <c r="S423" s="48"/>
      <c r="T423" s="48"/>
      <c r="W423" s="48"/>
      <c r="X423" s="48"/>
      <c r="Y423" s="48"/>
      <c r="Z423" s="48"/>
    </row>
    <row r="424" spans="3:26">
      <c r="C424" s="48"/>
      <c r="D424" s="48"/>
      <c r="E424" s="48"/>
      <c r="F424" s="48"/>
      <c r="I424" s="48"/>
      <c r="J424" s="48"/>
      <c r="K424" s="48"/>
      <c r="L424" s="48"/>
      <c r="Q424" s="48"/>
      <c r="R424" s="48"/>
      <c r="S424" s="48"/>
      <c r="T424" s="48"/>
      <c r="W424" s="48"/>
      <c r="X424" s="48"/>
      <c r="Y424" s="48"/>
      <c r="Z424" s="48"/>
    </row>
    <row r="425" spans="3:26">
      <c r="C425" s="48"/>
      <c r="D425" s="48"/>
      <c r="E425" s="48"/>
      <c r="F425" s="48"/>
      <c r="I425" s="48"/>
      <c r="J425" s="48"/>
      <c r="K425" s="48"/>
      <c r="L425" s="48"/>
      <c r="Q425" s="48"/>
      <c r="R425" s="48"/>
      <c r="S425" s="48"/>
      <c r="T425" s="48"/>
      <c r="W425" s="48"/>
      <c r="X425" s="48"/>
      <c r="Y425" s="48"/>
      <c r="Z425" s="48"/>
    </row>
    <row r="426" spans="3:26">
      <c r="C426" s="48"/>
      <c r="D426" s="48"/>
      <c r="E426" s="48"/>
      <c r="F426" s="48"/>
      <c r="I426" s="48"/>
      <c r="J426" s="48"/>
      <c r="K426" s="48"/>
      <c r="L426" s="48"/>
      <c r="Q426" s="48"/>
      <c r="R426" s="48"/>
      <c r="S426" s="48"/>
      <c r="T426" s="48"/>
      <c r="W426" s="48"/>
      <c r="X426" s="48"/>
      <c r="Y426" s="48"/>
      <c r="Z426" s="48"/>
    </row>
    <row r="427" spans="3:26">
      <c r="C427" s="48"/>
      <c r="D427" s="48"/>
      <c r="E427" s="48"/>
      <c r="F427" s="48"/>
      <c r="I427" s="48"/>
      <c r="J427" s="48"/>
      <c r="K427" s="48"/>
      <c r="L427" s="48"/>
      <c r="Q427" s="48"/>
      <c r="R427" s="48"/>
      <c r="S427" s="48"/>
      <c r="T427" s="48"/>
      <c r="W427" s="48"/>
      <c r="X427" s="48"/>
      <c r="Y427" s="48"/>
      <c r="Z427" s="48"/>
    </row>
    <row r="428" spans="3:26">
      <c r="C428" s="48"/>
      <c r="D428" s="48"/>
      <c r="E428" s="48"/>
      <c r="F428" s="48"/>
      <c r="I428" s="48"/>
      <c r="J428" s="48"/>
      <c r="K428" s="48"/>
      <c r="L428" s="48"/>
      <c r="Q428" s="48"/>
      <c r="R428" s="48"/>
      <c r="S428" s="48"/>
      <c r="T428" s="48"/>
      <c r="W428" s="48"/>
      <c r="X428" s="48"/>
      <c r="Y428" s="48"/>
      <c r="Z428" s="48"/>
    </row>
    <row r="429" spans="3:26">
      <c r="C429" s="48"/>
      <c r="D429" s="48"/>
      <c r="E429" s="48"/>
      <c r="F429" s="48"/>
      <c r="I429" s="48"/>
      <c r="J429" s="48"/>
      <c r="K429" s="48"/>
      <c r="L429" s="48"/>
      <c r="Q429" s="48"/>
      <c r="R429" s="48"/>
      <c r="S429" s="48"/>
      <c r="T429" s="48"/>
      <c r="W429" s="48"/>
      <c r="X429" s="48"/>
      <c r="Y429" s="48"/>
      <c r="Z429" s="48"/>
    </row>
    <row r="430" spans="3:26">
      <c r="C430" s="48"/>
      <c r="D430" s="48"/>
      <c r="E430" s="48"/>
      <c r="F430" s="48"/>
      <c r="I430" s="48"/>
      <c r="J430" s="48"/>
      <c r="K430" s="48"/>
      <c r="L430" s="48"/>
      <c r="Q430" s="48"/>
      <c r="R430" s="48"/>
      <c r="S430" s="48"/>
      <c r="T430" s="48"/>
      <c r="W430" s="48"/>
      <c r="X430" s="48"/>
      <c r="Y430" s="48"/>
      <c r="Z430" s="48"/>
    </row>
    <row r="431" spans="3:26">
      <c r="C431" s="48"/>
      <c r="D431" s="48"/>
      <c r="E431" s="48"/>
      <c r="F431" s="48"/>
      <c r="I431" s="48"/>
      <c r="J431" s="48"/>
      <c r="K431" s="48"/>
      <c r="L431" s="48"/>
      <c r="Q431" s="48"/>
      <c r="R431" s="48"/>
      <c r="S431" s="48"/>
      <c r="T431" s="48"/>
      <c r="W431" s="48"/>
      <c r="X431" s="48"/>
      <c r="Y431" s="48"/>
      <c r="Z431" s="48"/>
    </row>
    <row r="432" spans="3:26">
      <c r="C432" s="48"/>
      <c r="D432" s="48"/>
      <c r="E432" s="48"/>
      <c r="F432" s="48"/>
      <c r="I432" s="48"/>
      <c r="J432" s="48"/>
      <c r="K432" s="48"/>
      <c r="L432" s="48"/>
      <c r="Q432" s="48"/>
      <c r="R432" s="48"/>
      <c r="S432" s="48"/>
      <c r="T432" s="48"/>
      <c r="W432" s="48"/>
      <c r="X432" s="48"/>
      <c r="Y432" s="48"/>
      <c r="Z432" s="48"/>
    </row>
    <row r="433" spans="3:26">
      <c r="C433" s="48"/>
      <c r="D433" s="48"/>
      <c r="E433" s="48"/>
      <c r="F433" s="48"/>
      <c r="I433" s="48"/>
      <c r="J433" s="48"/>
      <c r="K433" s="48"/>
      <c r="L433" s="48"/>
      <c r="Q433" s="48"/>
      <c r="R433" s="48"/>
      <c r="S433" s="48"/>
      <c r="T433" s="48"/>
      <c r="W433" s="48"/>
      <c r="X433" s="48"/>
      <c r="Y433" s="48"/>
      <c r="Z433" s="48"/>
    </row>
    <row r="434" spans="3:26">
      <c r="C434" s="48"/>
      <c r="D434" s="48"/>
      <c r="E434" s="48"/>
      <c r="F434" s="48"/>
      <c r="I434" s="48"/>
      <c r="J434" s="48"/>
      <c r="K434" s="48"/>
      <c r="L434" s="48"/>
      <c r="Q434" s="48"/>
      <c r="R434" s="48"/>
      <c r="S434" s="48"/>
      <c r="T434" s="48"/>
      <c r="W434" s="48"/>
      <c r="X434" s="48"/>
      <c r="Y434" s="48"/>
      <c r="Z434" s="48"/>
    </row>
    <row r="435" spans="3:26">
      <c r="C435" s="48"/>
      <c r="D435" s="48"/>
      <c r="E435" s="48"/>
      <c r="F435" s="48"/>
      <c r="I435" s="48"/>
      <c r="J435" s="48"/>
      <c r="K435" s="48"/>
      <c r="L435" s="48"/>
      <c r="Q435" s="48"/>
      <c r="R435" s="48"/>
      <c r="S435" s="48"/>
      <c r="T435" s="48"/>
      <c r="W435" s="48"/>
      <c r="X435" s="48"/>
      <c r="Y435" s="48"/>
      <c r="Z435" s="48"/>
    </row>
    <row r="436" spans="3:26">
      <c r="C436" s="48"/>
      <c r="D436" s="48"/>
      <c r="E436" s="48"/>
      <c r="F436" s="48"/>
      <c r="I436" s="48"/>
      <c r="J436" s="48"/>
      <c r="K436" s="48"/>
      <c r="L436" s="48"/>
      <c r="Q436" s="48"/>
      <c r="R436" s="48"/>
      <c r="S436" s="48"/>
      <c r="T436" s="48"/>
      <c r="W436" s="48"/>
      <c r="X436" s="48"/>
      <c r="Y436" s="48"/>
      <c r="Z436" s="48"/>
    </row>
    <row r="437" spans="3:26">
      <c r="C437" s="48"/>
      <c r="D437" s="48"/>
      <c r="E437" s="48"/>
      <c r="F437" s="48"/>
      <c r="I437" s="48"/>
      <c r="J437" s="48"/>
      <c r="K437" s="48"/>
      <c r="L437" s="48"/>
      <c r="Q437" s="48"/>
      <c r="R437" s="48"/>
      <c r="S437" s="48"/>
      <c r="T437" s="48"/>
      <c r="W437" s="48"/>
      <c r="X437" s="48"/>
      <c r="Y437" s="48"/>
      <c r="Z437" s="48"/>
    </row>
    <row r="438" spans="3:26">
      <c r="C438" s="48"/>
      <c r="D438" s="48"/>
      <c r="E438" s="48"/>
      <c r="F438" s="48"/>
      <c r="I438" s="48"/>
      <c r="J438" s="48"/>
      <c r="K438" s="48"/>
      <c r="L438" s="48"/>
      <c r="Q438" s="48"/>
      <c r="R438" s="48"/>
      <c r="S438" s="48"/>
      <c r="T438" s="48"/>
      <c r="W438" s="48"/>
      <c r="X438" s="48"/>
      <c r="Y438" s="48"/>
      <c r="Z438" s="48"/>
    </row>
    <row r="439" spans="3:26">
      <c r="C439" s="48"/>
      <c r="D439" s="48"/>
      <c r="E439" s="48"/>
      <c r="F439" s="48"/>
      <c r="I439" s="48"/>
      <c r="J439" s="48"/>
      <c r="K439" s="48"/>
      <c r="L439" s="48"/>
      <c r="Q439" s="48"/>
      <c r="R439" s="48"/>
      <c r="S439" s="48"/>
      <c r="T439" s="48"/>
      <c r="W439" s="48"/>
      <c r="X439" s="48"/>
      <c r="Y439" s="48"/>
      <c r="Z439" s="48"/>
    </row>
    <row r="440" spans="3:26">
      <c r="C440" s="48"/>
      <c r="D440" s="48"/>
      <c r="E440" s="48"/>
      <c r="F440" s="48"/>
      <c r="I440" s="48"/>
      <c r="J440" s="48"/>
      <c r="K440" s="48"/>
      <c r="L440" s="48"/>
      <c r="Q440" s="48"/>
      <c r="R440" s="48"/>
      <c r="S440" s="48"/>
      <c r="T440" s="48"/>
      <c r="W440" s="48"/>
      <c r="X440" s="48"/>
      <c r="Y440" s="48"/>
      <c r="Z440" s="48"/>
    </row>
    <row r="441" spans="3:26">
      <c r="C441" s="48"/>
      <c r="D441" s="48"/>
      <c r="E441" s="48"/>
      <c r="F441" s="48"/>
      <c r="I441" s="48"/>
      <c r="J441" s="48"/>
      <c r="K441" s="48"/>
      <c r="L441" s="48"/>
      <c r="Q441" s="48"/>
      <c r="R441" s="48"/>
      <c r="S441" s="48"/>
      <c r="T441" s="48"/>
      <c r="W441" s="48"/>
      <c r="X441" s="48"/>
      <c r="Y441" s="48"/>
      <c r="Z441" s="48"/>
    </row>
    <row r="442" spans="3:26">
      <c r="C442" s="48"/>
      <c r="D442" s="48"/>
      <c r="E442" s="48"/>
      <c r="F442" s="48"/>
      <c r="I442" s="48"/>
      <c r="J442" s="48"/>
      <c r="K442" s="48"/>
      <c r="L442" s="48"/>
      <c r="Q442" s="48"/>
      <c r="R442" s="48"/>
      <c r="S442" s="48"/>
      <c r="T442" s="48"/>
      <c r="W442" s="48"/>
      <c r="X442" s="48"/>
      <c r="Y442" s="48"/>
      <c r="Z442" s="48"/>
    </row>
    <row r="443" spans="3:26">
      <c r="C443" s="48"/>
      <c r="D443" s="48"/>
      <c r="E443" s="48"/>
      <c r="F443" s="48"/>
      <c r="I443" s="48"/>
      <c r="J443" s="48"/>
      <c r="K443" s="48"/>
      <c r="L443" s="48"/>
      <c r="Q443" s="48"/>
      <c r="R443" s="48"/>
      <c r="S443" s="48"/>
      <c r="T443" s="48"/>
      <c r="W443" s="48"/>
      <c r="X443" s="48"/>
      <c r="Y443" s="48"/>
      <c r="Z443" s="48"/>
    </row>
    <row r="444" spans="3:26">
      <c r="C444" s="48"/>
      <c r="D444" s="48"/>
      <c r="E444" s="48"/>
      <c r="F444" s="48"/>
      <c r="I444" s="48"/>
      <c r="J444" s="48"/>
      <c r="K444" s="48"/>
      <c r="L444" s="48"/>
      <c r="Q444" s="48"/>
      <c r="R444" s="48"/>
      <c r="S444" s="48"/>
      <c r="T444" s="48"/>
      <c r="W444" s="48"/>
      <c r="X444" s="48"/>
      <c r="Y444" s="48"/>
      <c r="Z444" s="48"/>
    </row>
    <row r="445" spans="3:26">
      <c r="C445" s="48"/>
      <c r="D445" s="48"/>
      <c r="E445" s="48"/>
      <c r="F445" s="48"/>
      <c r="I445" s="48"/>
      <c r="J445" s="48"/>
      <c r="K445" s="48"/>
      <c r="L445" s="48"/>
      <c r="Q445" s="48"/>
      <c r="R445" s="48"/>
      <c r="S445" s="48"/>
      <c r="T445" s="48"/>
      <c r="W445" s="48"/>
      <c r="X445" s="48"/>
      <c r="Y445" s="48"/>
      <c r="Z445" s="48"/>
    </row>
    <row r="446" spans="3:26">
      <c r="C446" s="48"/>
      <c r="D446" s="48"/>
      <c r="E446" s="48"/>
      <c r="F446" s="48"/>
      <c r="I446" s="48"/>
      <c r="J446" s="48"/>
      <c r="K446" s="48"/>
      <c r="L446" s="48"/>
      <c r="Q446" s="48"/>
      <c r="R446" s="48"/>
      <c r="S446" s="48"/>
      <c r="T446" s="48"/>
      <c r="W446" s="48"/>
      <c r="X446" s="48"/>
      <c r="Y446" s="48"/>
      <c r="Z446" s="48"/>
    </row>
    <row r="447" spans="3:26">
      <c r="C447" s="48"/>
      <c r="D447" s="48"/>
      <c r="E447" s="48"/>
      <c r="F447" s="48"/>
      <c r="I447" s="48"/>
      <c r="J447" s="48"/>
      <c r="K447" s="48"/>
      <c r="L447" s="48"/>
      <c r="Q447" s="48"/>
      <c r="R447" s="48"/>
      <c r="S447" s="48"/>
      <c r="T447" s="48"/>
      <c r="W447" s="48"/>
      <c r="X447" s="48"/>
      <c r="Y447" s="48"/>
      <c r="Z447" s="48"/>
    </row>
    <row r="448" spans="3:26">
      <c r="C448" s="48"/>
      <c r="D448" s="48"/>
      <c r="E448" s="48"/>
      <c r="F448" s="48"/>
      <c r="I448" s="48"/>
      <c r="J448" s="48"/>
      <c r="K448" s="48"/>
      <c r="L448" s="48"/>
      <c r="Q448" s="48"/>
      <c r="R448" s="48"/>
      <c r="S448" s="48"/>
      <c r="T448" s="48"/>
      <c r="W448" s="48"/>
      <c r="X448" s="48"/>
      <c r="Y448" s="48"/>
      <c r="Z448" s="48"/>
    </row>
    <row r="449" spans="3:26">
      <c r="C449" s="48"/>
      <c r="D449" s="48"/>
      <c r="E449" s="48"/>
      <c r="F449" s="48"/>
      <c r="I449" s="48"/>
      <c r="J449" s="48"/>
      <c r="K449" s="48"/>
      <c r="L449" s="48"/>
      <c r="Q449" s="48"/>
      <c r="R449" s="48"/>
      <c r="S449" s="48"/>
      <c r="T449" s="48"/>
      <c r="W449" s="48"/>
      <c r="X449" s="48"/>
      <c r="Y449" s="48"/>
      <c r="Z449" s="48"/>
    </row>
    <row r="450" spans="3:26">
      <c r="C450" s="48"/>
      <c r="D450" s="48"/>
      <c r="E450" s="48"/>
      <c r="F450" s="48"/>
      <c r="I450" s="48"/>
      <c r="J450" s="48"/>
      <c r="K450" s="48"/>
      <c r="L450" s="48"/>
      <c r="Q450" s="48"/>
      <c r="R450" s="48"/>
      <c r="S450" s="48"/>
      <c r="T450" s="48"/>
      <c r="W450" s="48"/>
      <c r="X450" s="48"/>
      <c r="Y450" s="48"/>
      <c r="Z450" s="48"/>
    </row>
    <row r="451" spans="3:26">
      <c r="C451" s="48"/>
      <c r="D451" s="48"/>
      <c r="E451" s="48"/>
      <c r="F451" s="48"/>
      <c r="I451" s="48"/>
      <c r="J451" s="48"/>
      <c r="K451" s="48"/>
      <c r="L451" s="48"/>
      <c r="Q451" s="48"/>
      <c r="R451" s="48"/>
      <c r="S451" s="48"/>
      <c r="T451" s="48"/>
      <c r="W451" s="48"/>
      <c r="X451" s="48"/>
      <c r="Y451" s="48"/>
      <c r="Z451" s="48"/>
    </row>
    <row r="452" spans="3:26">
      <c r="C452" s="48"/>
      <c r="D452" s="48"/>
      <c r="E452" s="48"/>
      <c r="F452" s="48"/>
      <c r="I452" s="48"/>
      <c r="J452" s="48"/>
      <c r="K452" s="48"/>
      <c r="L452" s="48"/>
      <c r="Q452" s="48"/>
      <c r="R452" s="48"/>
      <c r="S452" s="48"/>
      <c r="T452" s="48"/>
      <c r="W452" s="48"/>
      <c r="X452" s="48"/>
      <c r="Y452" s="48"/>
      <c r="Z452" s="48"/>
    </row>
    <row r="453" spans="3:26">
      <c r="C453" s="48"/>
      <c r="D453" s="48"/>
      <c r="E453" s="48"/>
      <c r="F453" s="48"/>
      <c r="I453" s="48"/>
      <c r="J453" s="48"/>
      <c r="K453" s="48"/>
      <c r="L453" s="48"/>
      <c r="Q453" s="48"/>
      <c r="R453" s="48"/>
      <c r="S453" s="48"/>
      <c r="T453" s="48"/>
      <c r="W453" s="48"/>
      <c r="X453" s="48"/>
      <c r="Y453" s="48"/>
      <c r="Z453" s="48"/>
    </row>
    <row r="454" spans="3:26">
      <c r="C454" s="48"/>
      <c r="D454" s="48"/>
      <c r="E454" s="48"/>
      <c r="F454" s="48"/>
      <c r="I454" s="48"/>
      <c r="J454" s="48"/>
      <c r="K454" s="48"/>
      <c r="L454" s="48"/>
      <c r="Q454" s="48"/>
      <c r="R454" s="48"/>
      <c r="S454" s="48"/>
      <c r="T454" s="48"/>
      <c r="W454" s="48"/>
      <c r="X454" s="48"/>
      <c r="Y454" s="48"/>
      <c r="Z454" s="48"/>
    </row>
    <row r="455" spans="3:26">
      <c r="C455" s="48"/>
      <c r="D455" s="48"/>
      <c r="E455" s="48"/>
      <c r="F455" s="48"/>
      <c r="I455" s="48"/>
      <c r="J455" s="48"/>
      <c r="K455" s="48"/>
      <c r="L455" s="48"/>
      <c r="Q455" s="48"/>
      <c r="R455" s="48"/>
      <c r="S455" s="48"/>
      <c r="T455" s="48"/>
      <c r="W455" s="48"/>
      <c r="X455" s="48"/>
      <c r="Y455" s="48"/>
      <c r="Z455" s="48"/>
    </row>
    <row r="456" spans="3:26">
      <c r="C456" s="48"/>
      <c r="D456" s="48"/>
      <c r="E456" s="48"/>
      <c r="F456" s="48"/>
      <c r="I456" s="48"/>
      <c r="J456" s="48"/>
      <c r="K456" s="48"/>
      <c r="L456" s="48"/>
      <c r="Q456" s="48"/>
      <c r="R456" s="48"/>
      <c r="S456" s="48"/>
      <c r="T456" s="48"/>
      <c r="W456" s="48"/>
      <c r="X456" s="48"/>
      <c r="Y456" s="48"/>
      <c r="Z456" s="48"/>
    </row>
    <row r="457" spans="3:26">
      <c r="C457" s="48"/>
      <c r="D457" s="48"/>
      <c r="E457" s="48"/>
      <c r="F457" s="48"/>
      <c r="I457" s="48"/>
      <c r="J457" s="48"/>
      <c r="K457" s="48"/>
      <c r="L457" s="48"/>
      <c r="Q457" s="48"/>
      <c r="R457" s="48"/>
      <c r="S457" s="48"/>
      <c r="T457" s="48"/>
      <c r="W457" s="48"/>
      <c r="X457" s="48"/>
      <c r="Y457" s="48"/>
      <c r="Z457" s="48"/>
    </row>
    <row r="458" spans="3:26">
      <c r="C458" s="48"/>
      <c r="D458" s="48"/>
      <c r="E458" s="48"/>
      <c r="F458" s="48"/>
      <c r="I458" s="48"/>
      <c r="J458" s="48"/>
      <c r="K458" s="48"/>
      <c r="L458" s="48"/>
      <c r="Q458" s="48"/>
      <c r="R458" s="48"/>
      <c r="S458" s="48"/>
      <c r="T458" s="48"/>
      <c r="W458" s="48"/>
      <c r="X458" s="48"/>
      <c r="Y458" s="48"/>
      <c r="Z458" s="48"/>
    </row>
    <row r="459" spans="3:26">
      <c r="C459" s="48"/>
      <c r="D459" s="48"/>
      <c r="E459" s="48"/>
      <c r="F459" s="48"/>
      <c r="I459" s="48"/>
      <c r="J459" s="48"/>
      <c r="K459" s="48"/>
      <c r="L459" s="48"/>
      <c r="Q459" s="48"/>
      <c r="R459" s="48"/>
      <c r="S459" s="48"/>
      <c r="T459" s="48"/>
      <c r="W459" s="48"/>
      <c r="X459" s="48"/>
      <c r="Y459" s="48"/>
      <c r="Z459" s="48"/>
    </row>
    <row r="460" spans="3:26">
      <c r="C460" s="48"/>
      <c r="D460" s="48"/>
      <c r="E460" s="48"/>
      <c r="F460" s="48"/>
      <c r="I460" s="48"/>
      <c r="J460" s="48"/>
      <c r="K460" s="48"/>
      <c r="L460" s="48"/>
      <c r="Q460" s="48"/>
      <c r="R460" s="48"/>
      <c r="S460" s="48"/>
      <c r="T460" s="48"/>
      <c r="W460" s="48"/>
      <c r="X460" s="48"/>
      <c r="Y460" s="48"/>
      <c r="Z460" s="48"/>
    </row>
    <row r="461" spans="3:26">
      <c r="C461" s="48"/>
      <c r="D461" s="48"/>
      <c r="E461" s="48"/>
      <c r="F461" s="48"/>
      <c r="I461" s="48"/>
      <c r="J461" s="48"/>
      <c r="K461" s="48"/>
      <c r="L461" s="48"/>
      <c r="Q461" s="48"/>
      <c r="R461" s="48"/>
      <c r="S461" s="48"/>
      <c r="T461" s="48"/>
      <c r="W461" s="48"/>
      <c r="X461" s="48"/>
      <c r="Y461" s="48"/>
      <c r="Z461" s="48"/>
    </row>
    <row r="462" spans="3:26">
      <c r="C462" s="48"/>
      <c r="D462" s="48"/>
      <c r="E462" s="48"/>
      <c r="F462" s="48"/>
      <c r="I462" s="48"/>
      <c r="J462" s="48"/>
      <c r="K462" s="48"/>
      <c r="L462" s="48"/>
      <c r="Q462" s="48"/>
      <c r="R462" s="48"/>
      <c r="S462" s="48"/>
      <c r="T462" s="48"/>
      <c r="W462" s="48"/>
      <c r="X462" s="48"/>
      <c r="Y462" s="48"/>
      <c r="Z462" s="48"/>
    </row>
    <row r="463" spans="3:26">
      <c r="C463" s="48"/>
      <c r="D463" s="48"/>
      <c r="E463" s="48"/>
      <c r="F463" s="48"/>
      <c r="I463" s="48"/>
      <c r="J463" s="48"/>
      <c r="K463" s="48"/>
      <c r="L463" s="48"/>
      <c r="Q463" s="48"/>
      <c r="R463" s="48"/>
      <c r="S463" s="48"/>
      <c r="T463" s="48"/>
      <c r="W463" s="48"/>
      <c r="X463" s="48"/>
      <c r="Y463" s="48"/>
      <c r="Z463" s="48"/>
    </row>
    <row r="464" spans="3:26">
      <c r="C464" s="48"/>
      <c r="D464" s="48"/>
      <c r="E464" s="48"/>
      <c r="F464" s="48"/>
      <c r="I464" s="48"/>
      <c r="J464" s="48"/>
      <c r="K464" s="48"/>
      <c r="L464" s="48"/>
      <c r="Q464" s="48"/>
      <c r="R464" s="48"/>
      <c r="S464" s="48"/>
      <c r="T464" s="48"/>
      <c r="W464" s="48"/>
      <c r="X464" s="48"/>
      <c r="Y464" s="48"/>
      <c r="Z464" s="48"/>
    </row>
    <row r="465" spans="3:26">
      <c r="C465" s="48"/>
      <c r="D465" s="48"/>
      <c r="E465" s="48"/>
      <c r="F465" s="48"/>
      <c r="I465" s="48"/>
      <c r="J465" s="48"/>
      <c r="K465" s="48"/>
      <c r="L465" s="48"/>
      <c r="Q465" s="48"/>
      <c r="R465" s="48"/>
      <c r="S465" s="48"/>
      <c r="T465" s="48"/>
      <c r="W465" s="48"/>
      <c r="X465" s="48"/>
      <c r="Y465" s="48"/>
      <c r="Z465" s="48"/>
    </row>
    <row r="466" spans="3:26">
      <c r="C466" s="48"/>
      <c r="D466" s="48"/>
      <c r="E466" s="48"/>
      <c r="F466" s="48"/>
      <c r="I466" s="48"/>
      <c r="J466" s="48"/>
      <c r="K466" s="48"/>
      <c r="L466" s="48"/>
      <c r="Q466" s="48"/>
      <c r="R466" s="48"/>
      <c r="S466" s="48"/>
      <c r="T466" s="48"/>
      <c r="W466" s="48"/>
      <c r="X466" s="48"/>
      <c r="Y466" s="48"/>
      <c r="Z466" s="48"/>
    </row>
    <row r="467" spans="3:26">
      <c r="C467" s="48"/>
      <c r="D467" s="48"/>
      <c r="E467" s="48"/>
      <c r="F467" s="48"/>
      <c r="I467" s="48"/>
      <c r="J467" s="48"/>
      <c r="K467" s="48"/>
      <c r="L467" s="48"/>
      <c r="Q467" s="48"/>
      <c r="R467" s="48"/>
      <c r="S467" s="48"/>
      <c r="T467" s="48"/>
      <c r="W467" s="48"/>
      <c r="X467" s="48"/>
      <c r="Y467" s="48"/>
      <c r="Z467" s="48"/>
    </row>
    <row r="468" spans="3:26">
      <c r="C468" s="48"/>
      <c r="D468" s="48"/>
      <c r="E468" s="48"/>
      <c r="F468" s="48"/>
      <c r="I468" s="48"/>
      <c r="J468" s="48"/>
      <c r="K468" s="48"/>
      <c r="L468" s="48"/>
      <c r="Q468" s="48"/>
      <c r="R468" s="48"/>
      <c r="S468" s="48"/>
      <c r="T468" s="48"/>
      <c r="W468" s="48"/>
      <c r="X468" s="48"/>
      <c r="Y468" s="48"/>
      <c r="Z468" s="48"/>
    </row>
    <row r="469" spans="3:26">
      <c r="C469" s="48"/>
      <c r="D469" s="48"/>
      <c r="E469" s="48"/>
      <c r="F469" s="48"/>
      <c r="I469" s="48"/>
      <c r="J469" s="48"/>
      <c r="K469" s="48"/>
      <c r="L469" s="48"/>
      <c r="Q469" s="48"/>
      <c r="R469" s="48"/>
      <c r="S469" s="48"/>
      <c r="T469" s="48"/>
      <c r="W469" s="48"/>
      <c r="X469" s="48"/>
      <c r="Y469" s="48"/>
      <c r="Z469" s="48"/>
    </row>
    <row r="470" spans="3:26">
      <c r="C470" s="48"/>
      <c r="D470" s="48"/>
      <c r="E470" s="48"/>
      <c r="F470" s="48"/>
      <c r="I470" s="48"/>
      <c r="J470" s="48"/>
      <c r="K470" s="48"/>
      <c r="L470" s="48"/>
      <c r="Q470" s="48"/>
      <c r="R470" s="48"/>
      <c r="S470" s="48"/>
      <c r="T470" s="48"/>
      <c r="W470" s="48"/>
      <c r="X470" s="48"/>
      <c r="Y470" s="48"/>
      <c r="Z470" s="48"/>
    </row>
    <row r="471" spans="3:26">
      <c r="C471" s="48"/>
      <c r="D471" s="48"/>
      <c r="E471" s="48"/>
      <c r="F471" s="48"/>
      <c r="I471" s="48"/>
      <c r="J471" s="48"/>
      <c r="K471" s="48"/>
      <c r="L471" s="48"/>
      <c r="Q471" s="48"/>
      <c r="R471" s="48"/>
      <c r="S471" s="48"/>
      <c r="T471" s="48"/>
      <c r="W471" s="48"/>
      <c r="X471" s="48"/>
      <c r="Y471" s="48"/>
      <c r="Z471" s="48"/>
    </row>
    <row r="472" spans="3:26">
      <c r="C472" s="48"/>
      <c r="D472" s="48"/>
      <c r="E472" s="48"/>
      <c r="F472" s="48"/>
      <c r="I472" s="48"/>
      <c r="J472" s="48"/>
      <c r="K472" s="48"/>
      <c r="L472" s="48"/>
      <c r="Q472" s="48"/>
      <c r="R472" s="48"/>
      <c r="S472" s="48"/>
      <c r="T472" s="48"/>
      <c r="W472" s="48"/>
      <c r="X472" s="48"/>
      <c r="Y472" s="48"/>
      <c r="Z472" s="48"/>
    </row>
    <row r="473" spans="3:26">
      <c r="C473" s="48"/>
      <c r="D473" s="48"/>
      <c r="E473" s="48"/>
      <c r="F473" s="48"/>
      <c r="I473" s="48"/>
      <c r="J473" s="48"/>
      <c r="K473" s="48"/>
      <c r="L473" s="48"/>
      <c r="Q473" s="48"/>
      <c r="R473" s="48"/>
      <c r="S473" s="48"/>
      <c r="T473" s="48"/>
      <c r="W473" s="48"/>
      <c r="X473" s="48"/>
      <c r="Y473" s="48"/>
      <c r="Z473" s="48"/>
    </row>
    <row r="474" spans="3:26">
      <c r="C474" s="48"/>
      <c r="D474" s="48"/>
      <c r="E474" s="48"/>
      <c r="F474" s="48"/>
      <c r="I474" s="48"/>
      <c r="J474" s="48"/>
      <c r="K474" s="48"/>
      <c r="L474" s="48"/>
      <c r="Q474" s="48"/>
      <c r="R474" s="48"/>
      <c r="S474" s="48"/>
      <c r="T474" s="48"/>
      <c r="W474" s="48"/>
      <c r="X474" s="48"/>
      <c r="Y474" s="48"/>
      <c r="Z474" s="48"/>
    </row>
    <row r="475" spans="3:26">
      <c r="C475" s="48"/>
      <c r="D475" s="48"/>
      <c r="E475" s="48"/>
      <c r="F475" s="48"/>
      <c r="I475" s="48"/>
      <c r="J475" s="48"/>
      <c r="K475" s="48"/>
      <c r="L475" s="48"/>
      <c r="Q475" s="48"/>
      <c r="R475" s="48"/>
      <c r="S475" s="48"/>
      <c r="T475" s="48"/>
      <c r="W475" s="48"/>
      <c r="X475" s="48"/>
      <c r="Y475" s="48"/>
      <c r="Z475" s="48"/>
    </row>
    <row r="476" spans="3:26">
      <c r="C476" s="48"/>
      <c r="D476" s="48"/>
      <c r="E476" s="48"/>
      <c r="F476" s="48"/>
      <c r="I476" s="48"/>
      <c r="J476" s="48"/>
      <c r="K476" s="48"/>
      <c r="L476" s="48"/>
      <c r="Q476" s="48"/>
      <c r="R476" s="48"/>
      <c r="S476" s="48"/>
      <c r="T476" s="48"/>
      <c r="W476" s="48"/>
      <c r="X476" s="48"/>
      <c r="Y476" s="48"/>
      <c r="Z476" s="48"/>
    </row>
    <row r="477" spans="3:26">
      <c r="C477" s="48"/>
      <c r="D477" s="48"/>
      <c r="E477" s="48"/>
      <c r="F477" s="48"/>
      <c r="I477" s="48"/>
      <c r="J477" s="48"/>
      <c r="K477" s="48"/>
      <c r="L477" s="48"/>
      <c r="Q477" s="48"/>
      <c r="R477" s="48"/>
      <c r="S477" s="48"/>
      <c r="T477" s="48"/>
      <c r="W477" s="48"/>
      <c r="X477" s="48"/>
      <c r="Y477" s="48"/>
      <c r="Z477" s="48"/>
    </row>
    <row r="478" spans="3:26">
      <c r="C478" s="48"/>
      <c r="D478" s="48"/>
      <c r="E478" s="48"/>
      <c r="F478" s="48"/>
      <c r="I478" s="48"/>
      <c r="J478" s="48"/>
      <c r="K478" s="48"/>
      <c r="L478" s="48"/>
      <c r="Q478" s="48"/>
      <c r="R478" s="48"/>
      <c r="S478" s="48"/>
      <c r="T478" s="48"/>
      <c r="W478" s="48"/>
      <c r="X478" s="48"/>
      <c r="Y478" s="48"/>
      <c r="Z478" s="48"/>
    </row>
    <row r="479" spans="3:26">
      <c r="C479" s="48"/>
      <c r="D479" s="48"/>
      <c r="E479" s="48"/>
      <c r="F479" s="48"/>
      <c r="I479" s="48"/>
      <c r="J479" s="48"/>
      <c r="K479" s="48"/>
      <c r="L479" s="48"/>
      <c r="Q479" s="48"/>
      <c r="R479" s="48"/>
      <c r="S479" s="48"/>
      <c r="T479" s="48"/>
      <c r="W479" s="48"/>
      <c r="X479" s="48"/>
      <c r="Y479" s="48"/>
      <c r="Z479" s="48"/>
    </row>
    <row r="480" spans="3:26">
      <c r="C480" s="48"/>
      <c r="D480" s="48"/>
      <c r="E480" s="48"/>
      <c r="F480" s="48"/>
      <c r="I480" s="48"/>
      <c r="J480" s="48"/>
      <c r="K480" s="48"/>
      <c r="L480" s="48"/>
      <c r="Q480" s="48"/>
      <c r="R480" s="48"/>
      <c r="S480" s="48"/>
      <c r="T480" s="48"/>
      <c r="W480" s="48"/>
      <c r="X480" s="48"/>
      <c r="Y480" s="48"/>
      <c r="Z480" s="48"/>
    </row>
    <row r="481" spans="3:26">
      <c r="C481" s="48"/>
      <c r="D481" s="48"/>
      <c r="E481" s="48"/>
      <c r="F481" s="48"/>
      <c r="I481" s="48"/>
      <c r="J481" s="48"/>
      <c r="K481" s="48"/>
      <c r="L481" s="48"/>
      <c r="Q481" s="48"/>
      <c r="R481" s="48"/>
      <c r="S481" s="48"/>
      <c r="T481" s="48"/>
      <c r="W481" s="48"/>
      <c r="X481" s="48"/>
      <c r="Y481" s="48"/>
      <c r="Z481" s="48"/>
    </row>
    <row r="482" spans="3:26">
      <c r="C482" s="48"/>
      <c r="D482" s="48"/>
      <c r="E482" s="48"/>
      <c r="F482" s="48"/>
      <c r="I482" s="48"/>
      <c r="J482" s="48"/>
      <c r="K482" s="48"/>
      <c r="L482" s="48"/>
      <c r="Q482" s="48"/>
      <c r="R482" s="48"/>
      <c r="S482" s="48"/>
      <c r="T482" s="48"/>
      <c r="W482" s="48"/>
      <c r="X482" s="48"/>
      <c r="Y482" s="48"/>
      <c r="Z482" s="48"/>
    </row>
    <row r="483" spans="3:26">
      <c r="C483" s="48"/>
      <c r="D483" s="48"/>
      <c r="E483" s="48"/>
      <c r="F483" s="48"/>
      <c r="I483" s="48"/>
      <c r="J483" s="48"/>
      <c r="K483" s="48"/>
      <c r="L483" s="48"/>
      <c r="Q483" s="48"/>
      <c r="R483" s="48"/>
      <c r="S483" s="48"/>
      <c r="T483" s="48"/>
      <c r="W483" s="48"/>
      <c r="X483" s="48"/>
      <c r="Y483" s="48"/>
      <c r="Z483" s="48"/>
    </row>
    <row r="484" spans="3:26">
      <c r="C484" s="48"/>
      <c r="D484" s="48"/>
      <c r="E484" s="48"/>
      <c r="F484" s="48"/>
      <c r="I484" s="48"/>
      <c r="J484" s="48"/>
      <c r="K484" s="48"/>
      <c r="L484" s="48"/>
      <c r="Q484" s="48"/>
      <c r="R484" s="48"/>
      <c r="S484" s="48"/>
      <c r="T484" s="48"/>
      <c r="W484" s="48"/>
      <c r="X484" s="48"/>
      <c r="Y484" s="48"/>
      <c r="Z484" s="48"/>
    </row>
    <row r="485" spans="3:26">
      <c r="C485" s="48"/>
      <c r="D485" s="48"/>
      <c r="E485" s="48"/>
      <c r="F485" s="48"/>
      <c r="I485" s="48"/>
      <c r="J485" s="48"/>
      <c r="K485" s="48"/>
      <c r="L485" s="48"/>
      <c r="Q485" s="48"/>
      <c r="R485" s="48"/>
      <c r="S485" s="48"/>
      <c r="T485" s="48"/>
      <c r="W485" s="48"/>
      <c r="X485" s="48"/>
      <c r="Y485" s="48"/>
      <c r="Z485" s="48"/>
    </row>
    <row r="486" spans="3:26">
      <c r="C486" s="48"/>
      <c r="D486" s="48"/>
      <c r="E486" s="48"/>
      <c r="F486" s="48"/>
      <c r="I486" s="48"/>
      <c r="J486" s="48"/>
      <c r="K486" s="48"/>
      <c r="L486" s="48"/>
      <c r="Q486" s="48"/>
      <c r="R486" s="48"/>
      <c r="S486" s="48"/>
      <c r="T486" s="48"/>
      <c r="W486" s="48"/>
      <c r="X486" s="48"/>
      <c r="Y486" s="48"/>
      <c r="Z486" s="48"/>
    </row>
    <row r="487" spans="3:26">
      <c r="C487" s="48"/>
      <c r="D487" s="48"/>
      <c r="E487" s="48"/>
      <c r="F487" s="48"/>
      <c r="I487" s="48"/>
      <c r="J487" s="48"/>
      <c r="K487" s="48"/>
      <c r="L487" s="48"/>
      <c r="Q487" s="48"/>
      <c r="R487" s="48"/>
      <c r="S487" s="48"/>
      <c r="T487" s="48"/>
      <c r="W487" s="48"/>
      <c r="X487" s="48"/>
      <c r="Y487" s="48"/>
      <c r="Z487" s="48"/>
    </row>
    <row r="488" spans="3:26">
      <c r="C488" s="48"/>
      <c r="D488" s="48"/>
      <c r="E488" s="48"/>
      <c r="F488" s="48"/>
      <c r="I488" s="48"/>
      <c r="J488" s="48"/>
      <c r="K488" s="48"/>
      <c r="L488" s="48"/>
      <c r="Q488" s="48"/>
      <c r="R488" s="48"/>
      <c r="S488" s="48"/>
      <c r="T488" s="48"/>
      <c r="W488" s="48"/>
      <c r="X488" s="48"/>
      <c r="Y488" s="48"/>
      <c r="Z488" s="48"/>
    </row>
    <row r="489" spans="3:26">
      <c r="C489" s="48"/>
      <c r="D489" s="48"/>
      <c r="E489" s="48"/>
      <c r="F489" s="48"/>
      <c r="I489" s="48"/>
      <c r="J489" s="48"/>
      <c r="K489" s="48"/>
      <c r="L489" s="48"/>
      <c r="Q489" s="48"/>
      <c r="R489" s="48"/>
      <c r="S489" s="48"/>
      <c r="T489" s="48"/>
      <c r="W489" s="48"/>
      <c r="X489" s="48"/>
      <c r="Y489" s="48"/>
      <c r="Z489" s="48"/>
    </row>
    <row r="490" spans="3:26">
      <c r="C490" s="48"/>
      <c r="D490" s="48"/>
      <c r="E490" s="48"/>
      <c r="F490" s="48"/>
      <c r="I490" s="48"/>
      <c r="J490" s="48"/>
      <c r="K490" s="48"/>
      <c r="L490" s="48"/>
      <c r="Q490" s="48"/>
      <c r="R490" s="48"/>
      <c r="S490" s="48"/>
      <c r="T490" s="48"/>
      <c r="W490" s="48"/>
      <c r="X490" s="48"/>
      <c r="Y490" s="48"/>
      <c r="Z490" s="48"/>
    </row>
    <row r="491" spans="3:26">
      <c r="C491" s="48"/>
      <c r="D491" s="48"/>
      <c r="E491" s="48"/>
      <c r="F491" s="48"/>
      <c r="I491" s="48"/>
      <c r="J491" s="48"/>
      <c r="K491" s="48"/>
      <c r="L491" s="48"/>
      <c r="Q491" s="48"/>
      <c r="R491" s="48"/>
      <c r="S491" s="48"/>
      <c r="T491" s="48"/>
      <c r="W491" s="48"/>
      <c r="X491" s="48"/>
      <c r="Y491" s="48"/>
      <c r="Z491" s="48"/>
    </row>
    <row r="492" spans="3:26">
      <c r="C492" s="48"/>
      <c r="D492" s="48"/>
      <c r="E492" s="48"/>
      <c r="F492" s="48"/>
      <c r="I492" s="48"/>
      <c r="J492" s="48"/>
      <c r="K492" s="48"/>
      <c r="L492" s="48"/>
      <c r="Q492" s="48"/>
      <c r="R492" s="48"/>
      <c r="S492" s="48"/>
      <c r="T492" s="48"/>
      <c r="W492" s="48"/>
      <c r="X492" s="48"/>
      <c r="Y492" s="48"/>
      <c r="Z492" s="48"/>
    </row>
    <row r="493" spans="3:26">
      <c r="C493" s="48"/>
      <c r="D493" s="48"/>
      <c r="E493" s="48"/>
      <c r="F493" s="48"/>
      <c r="I493" s="48"/>
      <c r="J493" s="48"/>
      <c r="K493" s="48"/>
      <c r="L493" s="48"/>
      <c r="Q493" s="48"/>
      <c r="R493" s="48"/>
      <c r="S493" s="48"/>
      <c r="T493" s="48"/>
      <c r="W493" s="48"/>
      <c r="X493" s="48"/>
      <c r="Y493" s="48"/>
      <c r="Z493" s="48"/>
    </row>
    <row r="494" spans="3:26">
      <c r="C494" s="48"/>
      <c r="D494" s="48"/>
      <c r="E494" s="48"/>
      <c r="F494" s="48"/>
      <c r="I494" s="48"/>
      <c r="J494" s="48"/>
      <c r="K494" s="48"/>
      <c r="L494" s="48"/>
      <c r="Q494" s="48"/>
      <c r="R494" s="48"/>
      <c r="S494" s="48"/>
      <c r="T494" s="48"/>
      <c r="W494" s="48"/>
      <c r="X494" s="48"/>
      <c r="Y494" s="48"/>
      <c r="Z494" s="48"/>
    </row>
    <row r="495" spans="3:26">
      <c r="C495" s="48"/>
      <c r="D495" s="48"/>
      <c r="E495" s="48"/>
      <c r="F495" s="48"/>
      <c r="I495" s="48"/>
      <c r="J495" s="48"/>
      <c r="K495" s="48"/>
      <c r="L495" s="48"/>
      <c r="Q495" s="48"/>
      <c r="R495" s="48"/>
      <c r="S495" s="48"/>
      <c r="T495" s="48"/>
      <c r="W495" s="48"/>
      <c r="X495" s="48"/>
      <c r="Y495" s="48"/>
      <c r="Z495" s="48"/>
    </row>
    <row r="496" spans="3:26">
      <c r="C496" s="48"/>
      <c r="D496" s="48"/>
      <c r="E496" s="48"/>
      <c r="F496" s="48"/>
      <c r="I496" s="48"/>
      <c r="J496" s="48"/>
      <c r="K496" s="48"/>
      <c r="L496" s="48"/>
      <c r="Q496" s="48"/>
      <c r="R496" s="48"/>
      <c r="S496" s="48"/>
      <c r="T496" s="48"/>
      <c r="W496" s="48"/>
      <c r="X496" s="48"/>
      <c r="Y496" s="48"/>
      <c r="Z496" s="48"/>
    </row>
    <row r="497" spans="3:26">
      <c r="C497" s="48"/>
      <c r="D497" s="48"/>
      <c r="E497" s="48"/>
      <c r="F497" s="48"/>
      <c r="I497" s="48"/>
      <c r="J497" s="48"/>
      <c r="K497" s="48"/>
      <c r="L497" s="48"/>
      <c r="Q497" s="48"/>
      <c r="R497" s="48"/>
      <c r="S497" s="48"/>
      <c r="T497" s="48"/>
      <c r="W497" s="48"/>
      <c r="X497" s="48"/>
      <c r="Y497" s="48"/>
      <c r="Z497" s="48"/>
    </row>
    <row r="498" spans="3:26">
      <c r="C498" s="48"/>
      <c r="D498" s="48"/>
      <c r="E498" s="48"/>
      <c r="F498" s="48"/>
      <c r="I498" s="48"/>
      <c r="J498" s="48"/>
      <c r="K498" s="48"/>
      <c r="L498" s="48"/>
      <c r="Q498" s="48"/>
      <c r="R498" s="48"/>
      <c r="S498" s="48"/>
      <c r="T498" s="48"/>
      <c r="W498" s="48"/>
      <c r="X498" s="48"/>
      <c r="Y498" s="48"/>
      <c r="Z498" s="48"/>
    </row>
    <row r="499" spans="3:26">
      <c r="C499" s="48"/>
      <c r="D499" s="48"/>
      <c r="E499" s="48"/>
      <c r="F499" s="48"/>
      <c r="I499" s="48"/>
      <c r="J499" s="48"/>
      <c r="K499" s="48"/>
      <c r="L499" s="48"/>
      <c r="Q499" s="48"/>
      <c r="R499" s="48"/>
      <c r="S499" s="48"/>
      <c r="T499" s="48"/>
      <c r="W499" s="48"/>
      <c r="X499" s="48"/>
      <c r="Y499" s="48"/>
      <c r="Z499" s="48"/>
    </row>
    <row r="500" spans="3:26">
      <c r="C500" s="48"/>
      <c r="D500" s="48"/>
      <c r="E500" s="48"/>
      <c r="F500" s="48"/>
      <c r="I500" s="48"/>
      <c r="J500" s="48"/>
      <c r="K500" s="48"/>
      <c r="L500" s="48"/>
      <c r="Q500" s="48"/>
      <c r="R500" s="48"/>
      <c r="S500" s="48"/>
      <c r="T500" s="48"/>
      <c r="W500" s="48"/>
      <c r="X500" s="48"/>
      <c r="Y500" s="48"/>
      <c r="Z500" s="48"/>
    </row>
    <row r="501" spans="3:26">
      <c r="C501" s="48"/>
      <c r="D501" s="48"/>
      <c r="E501" s="48"/>
      <c r="F501" s="48"/>
      <c r="I501" s="48"/>
      <c r="J501" s="48"/>
      <c r="K501" s="48"/>
      <c r="L501" s="48"/>
      <c r="Q501" s="48"/>
      <c r="R501" s="48"/>
      <c r="S501" s="48"/>
      <c r="T501" s="48"/>
      <c r="W501" s="48"/>
      <c r="X501" s="48"/>
      <c r="Y501" s="48"/>
      <c r="Z501" s="48"/>
    </row>
    <row r="502" spans="3:26">
      <c r="C502" s="48"/>
      <c r="D502" s="48"/>
      <c r="E502" s="48"/>
      <c r="F502" s="48"/>
      <c r="I502" s="48"/>
      <c r="J502" s="48"/>
      <c r="K502" s="48"/>
      <c r="L502" s="48"/>
      <c r="Q502" s="48"/>
      <c r="R502" s="48"/>
      <c r="S502" s="48"/>
      <c r="T502" s="48"/>
      <c r="W502" s="48"/>
      <c r="X502" s="48"/>
      <c r="Y502" s="48"/>
      <c r="Z502" s="48"/>
    </row>
    <row r="503" spans="3:26">
      <c r="C503" s="48"/>
      <c r="D503" s="48"/>
      <c r="E503" s="48"/>
      <c r="F503" s="48"/>
      <c r="I503" s="48"/>
      <c r="J503" s="48"/>
      <c r="K503" s="48"/>
      <c r="L503" s="48"/>
      <c r="Q503" s="48"/>
      <c r="R503" s="48"/>
      <c r="S503" s="48"/>
      <c r="T503" s="48"/>
      <c r="W503" s="48"/>
      <c r="X503" s="48"/>
      <c r="Y503" s="48"/>
      <c r="Z503" s="48"/>
    </row>
    <row r="504" spans="3:26">
      <c r="C504" s="48"/>
      <c r="D504" s="48"/>
      <c r="E504" s="48"/>
      <c r="F504" s="48"/>
      <c r="I504" s="48"/>
      <c r="J504" s="48"/>
      <c r="K504" s="48"/>
      <c r="L504" s="48"/>
      <c r="Q504" s="48"/>
      <c r="R504" s="48"/>
      <c r="S504" s="48"/>
      <c r="T504" s="48"/>
      <c r="W504" s="48"/>
      <c r="X504" s="48"/>
      <c r="Y504" s="48"/>
      <c r="Z504" s="48"/>
    </row>
    <row r="505" spans="3:26">
      <c r="C505" s="48"/>
      <c r="D505" s="48"/>
      <c r="E505" s="48"/>
      <c r="F505" s="48"/>
      <c r="I505" s="48"/>
      <c r="J505" s="48"/>
      <c r="K505" s="48"/>
      <c r="L505" s="48"/>
      <c r="Q505" s="48"/>
      <c r="R505" s="48"/>
      <c r="S505" s="48"/>
      <c r="T505" s="48"/>
      <c r="W505" s="48"/>
      <c r="X505" s="48"/>
      <c r="Y505" s="48"/>
      <c r="Z505" s="48"/>
    </row>
    <row r="506" spans="3:26">
      <c r="C506" s="48"/>
      <c r="D506" s="48"/>
      <c r="E506" s="48"/>
      <c r="F506" s="48"/>
      <c r="I506" s="48"/>
      <c r="J506" s="48"/>
      <c r="K506" s="48"/>
      <c r="L506" s="48"/>
      <c r="Q506" s="48"/>
      <c r="R506" s="48"/>
      <c r="S506" s="48"/>
      <c r="T506" s="48"/>
      <c r="W506" s="48"/>
      <c r="X506" s="48"/>
      <c r="Y506" s="48"/>
      <c r="Z506" s="48"/>
    </row>
    <row r="507" spans="3:26">
      <c r="C507" s="48"/>
      <c r="D507" s="48"/>
      <c r="E507" s="48"/>
      <c r="F507" s="48"/>
      <c r="I507" s="48"/>
      <c r="J507" s="48"/>
      <c r="K507" s="48"/>
      <c r="L507" s="48"/>
      <c r="Q507" s="48"/>
      <c r="R507" s="48"/>
      <c r="S507" s="48"/>
      <c r="T507" s="48"/>
      <c r="W507" s="48"/>
      <c r="X507" s="48"/>
      <c r="Y507" s="48"/>
      <c r="Z507" s="48"/>
    </row>
    <row r="508" spans="3:26">
      <c r="C508" s="48"/>
      <c r="D508" s="48"/>
      <c r="E508" s="48"/>
      <c r="F508" s="48"/>
      <c r="I508" s="48"/>
      <c r="J508" s="48"/>
      <c r="K508" s="48"/>
      <c r="L508" s="48"/>
      <c r="Q508" s="48"/>
      <c r="R508" s="48"/>
      <c r="S508" s="48"/>
      <c r="T508" s="48"/>
      <c r="W508" s="48"/>
      <c r="X508" s="48"/>
      <c r="Y508" s="48"/>
      <c r="Z508" s="48"/>
    </row>
    <row r="509" spans="3:26">
      <c r="C509" s="48"/>
      <c r="D509" s="48"/>
      <c r="E509" s="48"/>
      <c r="F509" s="48"/>
      <c r="I509" s="48"/>
      <c r="J509" s="48"/>
      <c r="K509" s="48"/>
      <c r="L509" s="48"/>
      <c r="Q509" s="48"/>
      <c r="R509" s="48"/>
      <c r="S509" s="48"/>
      <c r="T509" s="48"/>
      <c r="W509" s="48"/>
      <c r="X509" s="48"/>
      <c r="Y509" s="48"/>
      <c r="Z509" s="48"/>
    </row>
    <row r="510" spans="3:26">
      <c r="C510" s="48"/>
      <c r="D510" s="48"/>
      <c r="E510" s="48"/>
      <c r="F510" s="48"/>
      <c r="I510" s="48"/>
      <c r="J510" s="48"/>
      <c r="K510" s="48"/>
      <c r="L510" s="48"/>
      <c r="Q510" s="48"/>
      <c r="R510" s="48"/>
      <c r="S510" s="48"/>
      <c r="T510" s="48"/>
      <c r="W510" s="48"/>
      <c r="X510" s="48"/>
      <c r="Y510" s="48"/>
      <c r="Z510" s="48"/>
    </row>
    <row r="511" spans="3:26">
      <c r="C511" s="48"/>
      <c r="D511" s="48"/>
      <c r="E511" s="48"/>
      <c r="F511" s="48"/>
      <c r="I511" s="48"/>
      <c r="J511" s="48"/>
      <c r="K511" s="48"/>
      <c r="L511" s="48"/>
      <c r="Q511" s="48"/>
      <c r="R511" s="48"/>
      <c r="S511" s="48"/>
      <c r="T511" s="48"/>
      <c r="W511" s="48"/>
      <c r="X511" s="48"/>
      <c r="Y511" s="48"/>
      <c r="Z511" s="48"/>
    </row>
    <row r="512" spans="3:26">
      <c r="C512" s="48"/>
      <c r="D512" s="48"/>
      <c r="E512" s="48"/>
      <c r="F512" s="48"/>
      <c r="I512" s="48"/>
      <c r="J512" s="48"/>
      <c r="K512" s="48"/>
      <c r="L512" s="48"/>
      <c r="Q512" s="48"/>
      <c r="R512" s="48"/>
      <c r="S512" s="48"/>
      <c r="T512" s="48"/>
      <c r="W512" s="48"/>
      <c r="X512" s="48"/>
      <c r="Y512" s="48"/>
      <c r="Z512" s="48"/>
    </row>
    <row r="513" spans="3:26">
      <c r="C513" s="48"/>
      <c r="D513" s="48"/>
      <c r="E513" s="48"/>
      <c r="F513" s="48"/>
      <c r="I513" s="48"/>
      <c r="J513" s="48"/>
      <c r="K513" s="48"/>
      <c r="L513" s="48"/>
      <c r="Q513" s="48"/>
      <c r="R513" s="48"/>
      <c r="S513" s="48"/>
      <c r="T513" s="48"/>
      <c r="W513" s="48"/>
      <c r="X513" s="48"/>
      <c r="Y513" s="48"/>
      <c r="Z513" s="48"/>
    </row>
    <row r="514" spans="3:26">
      <c r="C514" s="48"/>
      <c r="D514" s="48"/>
      <c r="E514" s="48"/>
      <c r="F514" s="48"/>
      <c r="I514" s="48"/>
      <c r="J514" s="48"/>
      <c r="K514" s="48"/>
      <c r="L514" s="48"/>
      <c r="Q514" s="48"/>
      <c r="R514" s="48"/>
      <c r="S514" s="48"/>
      <c r="T514" s="48"/>
      <c r="W514" s="48"/>
      <c r="X514" s="48"/>
      <c r="Y514" s="48"/>
      <c r="Z514" s="48"/>
    </row>
    <row r="515" spans="3:26">
      <c r="C515" s="48"/>
      <c r="D515" s="48"/>
      <c r="E515" s="48"/>
      <c r="F515" s="48"/>
      <c r="I515" s="48"/>
      <c r="J515" s="48"/>
      <c r="K515" s="48"/>
      <c r="L515" s="48"/>
      <c r="Q515" s="48"/>
      <c r="R515" s="48"/>
      <c r="S515" s="48"/>
      <c r="T515" s="48"/>
      <c r="W515" s="48"/>
      <c r="X515" s="48"/>
      <c r="Y515" s="48"/>
      <c r="Z515" s="48"/>
    </row>
    <row r="516" spans="3:26">
      <c r="C516" s="48"/>
      <c r="D516" s="48"/>
      <c r="E516" s="48"/>
      <c r="F516" s="48"/>
      <c r="I516" s="48"/>
      <c r="J516" s="48"/>
      <c r="K516" s="48"/>
      <c r="L516" s="48"/>
      <c r="Q516" s="48"/>
      <c r="R516" s="48"/>
      <c r="S516" s="48"/>
      <c r="T516" s="48"/>
      <c r="W516" s="48"/>
      <c r="X516" s="48"/>
      <c r="Y516" s="48"/>
      <c r="Z516" s="48"/>
    </row>
    <row r="517" spans="3:26">
      <c r="C517" s="48"/>
      <c r="D517" s="48"/>
      <c r="E517" s="48"/>
      <c r="F517" s="48"/>
      <c r="I517" s="48"/>
      <c r="J517" s="48"/>
      <c r="K517" s="48"/>
      <c r="L517" s="48"/>
      <c r="Q517" s="48"/>
      <c r="R517" s="48"/>
      <c r="S517" s="48"/>
      <c r="T517" s="48"/>
      <c r="W517" s="48"/>
      <c r="X517" s="48"/>
      <c r="Y517" s="48"/>
      <c r="Z517" s="48"/>
    </row>
    <row r="518" spans="3:26">
      <c r="C518" s="48"/>
      <c r="D518" s="48"/>
      <c r="E518" s="48"/>
      <c r="F518" s="48"/>
      <c r="I518" s="48"/>
      <c r="J518" s="48"/>
      <c r="K518" s="48"/>
      <c r="L518" s="48"/>
      <c r="Q518" s="48"/>
      <c r="R518" s="48"/>
      <c r="S518" s="48"/>
      <c r="T518" s="48"/>
      <c r="W518" s="48"/>
      <c r="X518" s="48"/>
      <c r="Y518" s="48"/>
      <c r="Z518" s="48"/>
    </row>
    <row r="519" spans="3:26">
      <c r="C519" s="48"/>
      <c r="D519" s="48"/>
      <c r="E519" s="48"/>
      <c r="F519" s="48"/>
      <c r="I519" s="48"/>
      <c r="J519" s="48"/>
      <c r="K519" s="48"/>
      <c r="L519" s="48"/>
      <c r="Q519" s="48"/>
      <c r="R519" s="48"/>
      <c r="S519" s="48"/>
      <c r="T519" s="48"/>
      <c r="W519" s="48"/>
      <c r="X519" s="48"/>
      <c r="Y519" s="48"/>
      <c r="Z519" s="48"/>
    </row>
    <row r="520" spans="3:26">
      <c r="C520" s="48"/>
      <c r="D520" s="48"/>
      <c r="E520" s="48"/>
      <c r="F520" s="48"/>
      <c r="I520" s="48"/>
      <c r="J520" s="48"/>
      <c r="K520" s="48"/>
      <c r="L520" s="48"/>
      <c r="Q520" s="48"/>
      <c r="R520" s="48"/>
      <c r="S520" s="48"/>
      <c r="T520" s="48"/>
      <c r="W520" s="48"/>
      <c r="X520" s="48"/>
      <c r="Y520" s="48"/>
      <c r="Z520" s="48"/>
    </row>
    <row r="521" spans="3:26">
      <c r="C521" s="48"/>
      <c r="D521" s="48"/>
      <c r="E521" s="48"/>
      <c r="F521" s="48"/>
      <c r="I521" s="48"/>
      <c r="J521" s="48"/>
      <c r="K521" s="48"/>
      <c r="L521" s="48"/>
      <c r="Q521" s="48"/>
      <c r="R521" s="48"/>
      <c r="S521" s="48"/>
      <c r="T521" s="48"/>
      <c r="W521" s="48"/>
      <c r="X521" s="48"/>
      <c r="Y521" s="48"/>
      <c r="Z521" s="48"/>
    </row>
    <row r="522" spans="3:26">
      <c r="C522" s="48"/>
      <c r="D522" s="48"/>
      <c r="E522" s="48"/>
      <c r="F522" s="48"/>
      <c r="I522" s="48"/>
      <c r="J522" s="48"/>
      <c r="K522" s="48"/>
      <c r="L522" s="48"/>
      <c r="Q522" s="48"/>
      <c r="R522" s="48"/>
      <c r="S522" s="48"/>
      <c r="T522" s="48"/>
      <c r="W522" s="48"/>
      <c r="X522" s="48"/>
      <c r="Y522" s="48"/>
      <c r="Z522" s="48"/>
    </row>
    <row r="523" spans="3:26">
      <c r="C523" s="48"/>
      <c r="D523" s="48"/>
      <c r="E523" s="48"/>
      <c r="F523" s="48"/>
      <c r="I523" s="48"/>
      <c r="J523" s="48"/>
      <c r="K523" s="48"/>
      <c r="L523" s="48"/>
      <c r="Q523" s="48"/>
      <c r="R523" s="48"/>
      <c r="S523" s="48"/>
      <c r="T523" s="48"/>
      <c r="W523" s="48"/>
      <c r="X523" s="48"/>
      <c r="Y523" s="48"/>
      <c r="Z523" s="48"/>
    </row>
    <row r="524" spans="3:26">
      <c r="C524" s="48"/>
      <c r="D524" s="48"/>
      <c r="E524" s="48"/>
      <c r="F524" s="48"/>
      <c r="I524" s="48"/>
      <c r="J524" s="48"/>
      <c r="K524" s="48"/>
      <c r="L524" s="48"/>
      <c r="Q524" s="48"/>
      <c r="R524" s="48"/>
      <c r="S524" s="48"/>
      <c r="T524" s="48"/>
      <c r="W524" s="48"/>
      <c r="X524" s="48"/>
      <c r="Y524" s="48"/>
      <c r="Z524" s="48"/>
    </row>
    <row r="525" spans="3:26">
      <c r="C525" s="48"/>
      <c r="D525" s="48"/>
      <c r="E525" s="48"/>
      <c r="F525" s="48"/>
      <c r="I525" s="48"/>
      <c r="J525" s="48"/>
      <c r="K525" s="48"/>
      <c r="L525" s="48"/>
      <c r="Q525" s="48"/>
      <c r="R525" s="48"/>
      <c r="S525" s="48"/>
      <c r="T525" s="48"/>
      <c r="W525" s="48"/>
      <c r="X525" s="48"/>
      <c r="Y525" s="48"/>
      <c r="Z525" s="48"/>
    </row>
    <row r="526" spans="3:26">
      <c r="C526" s="48"/>
      <c r="D526" s="48"/>
      <c r="E526" s="48"/>
      <c r="F526" s="48"/>
      <c r="I526" s="48"/>
      <c r="J526" s="48"/>
      <c r="K526" s="48"/>
      <c r="L526" s="48"/>
      <c r="Q526" s="48"/>
      <c r="R526" s="48"/>
      <c r="S526" s="48"/>
      <c r="T526" s="48"/>
      <c r="W526" s="48"/>
      <c r="X526" s="48"/>
      <c r="Y526" s="48"/>
      <c r="Z526" s="48"/>
    </row>
    <row r="527" spans="3:26">
      <c r="C527" s="48"/>
      <c r="D527" s="48"/>
      <c r="E527" s="48"/>
      <c r="F527" s="48"/>
      <c r="I527" s="48"/>
      <c r="J527" s="48"/>
      <c r="K527" s="48"/>
      <c r="L527" s="48"/>
      <c r="Q527" s="48"/>
      <c r="R527" s="48"/>
      <c r="S527" s="48"/>
      <c r="T527" s="48"/>
      <c r="W527" s="48"/>
      <c r="X527" s="48"/>
      <c r="Y527" s="48"/>
      <c r="Z527" s="48"/>
    </row>
    <row r="528" spans="3:26">
      <c r="C528" s="48"/>
      <c r="D528" s="48"/>
      <c r="E528" s="48"/>
      <c r="F528" s="48"/>
      <c r="I528" s="48"/>
      <c r="J528" s="48"/>
      <c r="K528" s="48"/>
      <c r="L528" s="48"/>
      <c r="Q528" s="48"/>
      <c r="R528" s="48"/>
      <c r="S528" s="48"/>
      <c r="T528" s="48"/>
      <c r="W528" s="48"/>
      <c r="X528" s="48"/>
      <c r="Y528" s="48"/>
      <c r="Z528" s="48"/>
    </row>
    <row r="529" spans="3:26">
      <c r="C529" s="48"/>
      <c r="D529" s="48"/>
      <c r="E529" s="48"/>
      <c r="F529" s="48"/>
      <c r="I529" s="48"/>
      <c r="J529" s="48"/>
      <c r="K529" s="48"/>
      <c r="L529" s="48"/>
      <c r="Q529" s="48"/>
      <c r="R529" s="48"/>
      <c r="S529" s="48"/>
      <c r="T529" s="48"/>
      <c r="W529" s="48"/>
      <c r="X529" s="48"/>
      <c r="Y529" s="48"/>
      <c r="Z529" s="48"/>
    </row>
    <row r="530" spans="3:26">
      <c r="C530" s="48"/>
      <c r="D530" s="48"/>
      <c r="E530" s="48"/>
      <c r="F530" s="48"/>
      <c r="I530" s="48"/>
      <c r="J530" s="48"/>
      <c r="K530" s="48"/>
      <c r="L530" s="48"/>
      <c r="Q530" s="48"/>
      <c r="R530" s="48"/>
      <c r="S530" s="48"/>
      <c r="T530" s="48"/>
      <c r="W530" s="48"/>
      <c r="X530" s="48"/>
      <c r="Y530" s="48"/>
      <c r="Z530" s="48"/>
    </row>
    <row r="531" spans="3:26">
      <c r="C531" s="48"/>
      <c r="D531" s="48"/>
      <c r="E531" s="48"/>
      <c r="F531" s="48"/>
      <c r="I531" s="48"/>
      <c r="J531" s="48"/>
      <c r="K531" s="48"/>
      <c r="L531" s="48"/>
      <c r="Q531" s="48"/>
      <c r="R531" s="48"/>
      <c r="S531" s="48"/>
      <c r="T531" s="48"/>
      <c r="W531" s="48"/>
      <c r="X531" s="48"/>
      <c r="Y531" s="48"/>
      <c r="Z531" s="48"/>
    </row>
    <row r="532" spans="3:26">
      <c r="C532" s="48"/>
      <c r="D532" s="48"/>
      <c r="E532" s="48"/>
      <c r="F532" s="48"/>
      <c r="I532" s="48"/>
      <c r="J532" s="48"/>
      <c r="K532" s="48"/>
      <c r="L532" s="48"/>
      <c r="Q532" s="48"/>
      <c r="R532" s="48"/>
      <c r="S532" s="48"/>
      <c r="T532" s="48"/>
      <c r="W532" s="48"/>
      <c r="X532" s="48"/>
      <c r="Y532" s="48"/>
      <c r="Z532" s="48"/>
    </row>
    <row r="533" spans="3:26">
      <c r="C533" s="48"/>
      <c r="D533" s="48"/>
      <c r="E533" s="48"/>
      <c r="F533" s="48"/>
      <c r="I533" s="48"/>
      <c r="J533" s="48"/>
      <c r="K533" s="48"/>
      <c r="L533" s="48"/>
      <c r="Q533" s="48"/>
      <c r="R533" s="48"/>
      <c r="S533" s="48"/>
      <c r="T533" s="48"/>
      <c r="W533" s="48"/>
      <c r="X533" s="48"/>
      <c r="Y533" s="48"/>
      <c r="Z533" s="48"/>
    </row>
    <row r="534" spans="3:26">
      <c r="C534" s="48"/>
      <c r="D534" s="48"/>
      <c r="E534" s="48"/>
      <c r="F534" s="48"/>
      <c r="I534" s="48"/>
      <c r="J534" s="48"/>
      <c r="K534" s="48"/>
      <c r="L534" s="48"/>
      <c r="Q534" s="48"/>
      <c r="R534" s="48"/>
      <c r="S534" s="48"/>
      <c r="T534" s="48"/>
      <c r="W534" s="48"/>
      <c r="X534" s="48"/>
      <c r="Y534" s="48"/>
      <c r="Z534" s="48"/>
    </row>
    <row r="535" spans="3:26">
      <c r="C535" s="48"/>
      <c r="D535" s="48"/>
      <c r="E535" s="48"/>
      <c r="F535" s="48"/>
      <c r="I535" s="48"/>
      <c r="J535" s="48"/>
      <c r="K535" s="48"/>
      <c r="L535" s="48"/>
      <c r="Q535" s="48"/>
      <c r="R535" s="48"/>
      <c r="S535" s="48"/>
      <c r="T535" s="48"/>
      <c r="W535" s="48"/>
      <c r="X535" s="48"/>
      <c r="Y535" s="48"/>
      <c r="Z535" s="48"/>
    </row>
    <row r="536" spans="3:26">
      <c r="C536" s="48"/>
      <c r="D536" s="48"/>
      <c r="E536" s="48"/>
      <c r="F536" s="48"/>
      <c r="I536" s="48"/>
      <c r="J536" s="48"/>
      <c r="K536" s="48"/>
      <c r="L536" s="48"/>
      <c r="Q536" s="48"/>
      <c r="R536" s="48"/>
      <c r="S536" s="48"/>
      <c r="T536" s="48"/>
      <c r="W536" s="48"/>
      <c r="X536" s="48"/>
      <c r="Y536" s="48"/>
      <c r="Z536" s="48"/>
    </row>
    <row r="537" spans="3:26">
      <c r="C537" s="48"/>
      <c r="D537" s="48"/>
      <c r="E537" s="48"/>
      <c r="F537" s="48"/>
      <c r="I537" s="48"/>
      <c r="J537" s="48"/>
      <c r="K537" s="48"/>
      <c r="L537" s="48"/>
      <c r="Q537" s="48"/>
      <c r="R537" s="48"/>
      <c r="S537" s="48"/>
      <c r="T537" s="48"/>
      <c r="W537" s="48"/>
      <c r="X537" s="48"/>
      <c r="Y537" s="48"/>
      <c r="Z537" s="48"/>
    </row>
    <row r="538" spans="3:26">
      <c r="C538" s="48"/>
      <c r="D538" s="48"/>
      <c r="E538" s="48"/>
      <c r="F538" s="48"/>
      <c r="I538" s="48"/>
      <c r="J538" s="48"/>
      <c r="K538" s="48"/>
      <c r="L538" s="48"/>
      <c r="Q538" s="48"/>
      <c r="R538" s="48"/>
      <c r="S538" s="48"/>
      <c r="T538" s="48"/>
      <c r="W538" s="48"/>
      <c r="X538" s="48"/>
      <c r="Y538" s="48"/>
      <c r="Z538" s="48"/>
    </row>
    <row r="539" spans="3:26">
      <c r="C539" s="48"/>
      <c r="D539" s="48"/>
      <c r="E539" s="48"/>
      <c r="F539" s="48"/>
      <c r="I539" s="48"/>
      <c r="J539" s="48"/>
      <c r="K539" s="48"/>
      <c r="L539" s="48"/>
      <c r="Q539" s="48"/>
      <c r="R539" s="48"/>
      <c r="S539" s="48"/>
      <c r="T539" s="48"/>
      <c r="W539" s="48"/>
      <c r="X539" s="48"/>
      <c r="Y539" s="48"/>
      <c r="Z539" s="48"/>
    </row>
    <row r="540" spans="3:26">
      <c r="C540" s="48"/>
      <c r="D540" s="48"/>
      <c r="E540" s="48"/>
      <c r="F540" s="48"/>
      <c r="I540" s="48"/>
      <c r="J540" s="48"/>
      <c r="K540" s="48"/>
      <c r="L540" s="48"/>
      <c r="Q540" s="48"/>
      <c r="R540" s="48"/>
      <c r="S540" s="48"/>
      <c r="T540" s="48"/>
      <c r="W540" s="48"/>
      <c r="X540" s="48"/>
      <c r="Y540" s="48"/>
      <c r="Z540" s="48"/>
    </row>
    <row r="541" spans="3:26">
      <c r="C541" s="48"/>
      <c r="D541" s="48"/>
      <c r="E541" s="48"/>
      <c r="F541" s="48"/>
      <c r="I541" s="48"/>
      <c r="J541" s="48"/>
      <c r="K541" s="48"/>
      <c r="L541" s="48"/>
      <c r="Q541" s="48"/>
      <c r="R541" s="48"/>
      <c r="S541" s="48"/>
      <c r="T541" s="48"/>
      <c r="W541" s="48"/>
      <c r="X541" s="48"/>
      <c r="Y541" s="48"/>
      <c r="Z541" s="48"/>
    </row>
    <row r="542" spans="3:26">
      <c r="C542" s="48"/>
      <c r="D542" s="48"/>
      <c r="E542" s="48"/>
      <c r="F542" s="48"/>
      <c r="I542" s="48"/>
      <c r="J542" s="48"/>
      <c r="K542" s="48"/>
      <c r="L542" s="48"/>
      <c r="Q542" s="48"/>
      <c r="R542" s="48"/>
      <c r="S542" s="48"/>
      <c r="T542" s="48"/>
      <c r="W542" s="48"/>
      <c r="X542" s="48"/>
      <c r="Y542" s="48"/>
      <c r="Z542" s="48"/>
    </row>
    <row r="543" spans="3:26">
      <c r="C543" s="48"/>
      <c r="D543" s="48"/>
      <c r="E543" s="48"/>
      <c r="F543" s="48"/>
      <c r="I543" s="48"/>
      <c r="J543" s="48"/>
      <c r="K543" s="48"/>
      <c r="L543" s="48"/>
      <c r="Q543" s="48"/>
      <c r="R543" s="48"/>
      <c r="S543" s="48"/>
      <c r="T543" s="48"/>
      <c r="W543" s="48"/>
      <c r="X543" s="48"/>
      <c r="Y543" s="48"/>
      <c r="Z543" s="48"/>
    </row>
    <row r="544" spans="3:26">
      <c r="C544" s="48"/>
      <c r="D544" s="48"/>
      <c r="E544" s="48"/>
      <c r="F544" s="48"/>
      <c r="I544" s="48"/>
      <c r="J544" s="48"/>
      <c r="K544" s="48"/>
      <c r="L544" s="48"/>
      <c r="Q544" s="48"/>
      <c r="R544" s="48"/>
      <c r="S544" s="48"/>
      <c r="T544" s="48"/>
      <c r="W544" s="48"/>
      <c r="X544" s="48"/>
      <c r="Y544" s="48"/>
      <c r="Z544" s="48"/>
    </row>
    <row r="545" spans="3:26">
      <c r="C545" s="48"/>
      <c r="D545" s="48"/>
      <c r="E545" s="48"/>
      <c r="F545" s="48"/>
      <c r="I545" s="48"/>
      <c r="J545" s="48"/>
      <c r="K545" s="48"/>
      <c r="L545" s="48"/>
      <c r="Q545" s="48"/>
      <c r="R545" s="48"/>
      <c r="S545" s="48"/>
      <c r="T545" s="48"/>
      <c r="W545" s="48"/>
      <c r="X545" s="48"/>
      <c r="Y545" s="48"/>
      <c r="Z545" s="48"/>
    </row>
    <row r="546" spans="3:26">
      <c r="C546" s="48"/>
      <c r="D546" s="48"/>
      <c r="E546" s="48"/>
      <c r="F546" s="48"/>
      <c r="I546" s="48"/>
      <c r="J546" s="48"/>
      <c r="K546" s="48"/>
      <c r="L546" s="48"/>
      <c r="Q546" s="48"/>
      <c r="R546" s="48"/>
      <c r="S546" s="48"/>
      <c r="T546" s="48"/>
      <c r="W546" s="48"/>
      <c r="X546" s="48"/>
      <c r="Y546" s="48"/>
      <c r="Z546" s="48"/>
    </row>
    <row r="547" spans="3:26">
      <c r="C547" s="48"/>
      <c r="D547" s="48"/>
      <c r="E547" s="48"/>
      <c r="F547" s="48"/>
      <c r="I547" s="48"/>
      <c r="J547" s="48"/>
      <c r="K547" s="48"/>
      <c r="L547" s="48"/>
      <c r="Q547" s="48"/>
      <c r="R547" s="48"/>
      <c r="S547" s="48"/>
      <c r="T547" s="48"/>
      <c r="W547" s="48"/>
      <c r="X547" s="48"/>
      <c r="Y547" s="48"/>
      <c r="Z547" s="48"/>
    </row>
    <row r="548" spans="3:26">
      <c r="C548" s="48"/>
      <c r="D548" s="48"/>
      <c r="E548" s="48"/>
      <c r="F548" s="48"/>
      <c r="I548" s="48"/>
      <c r="J548" s="48"/>
      <c r="K548" s="48"/>
      <c r="L548" s="48"/>
      <c r="Q548" s="48"/>
      <c r="R548" s="48"/>
      <c r="S548" s="48"/>
      <c r="T548" s="48"/>
      <c r="W548" s="48"/>
      <c r="X548" s="48"/>
      <c r="Y548" s="48"/>
      <c r="Z548" s="48"/>
    </row>
    <row r="549" spans="3:26">
      <c r="C549" s="48"/>
      <c r="D549" s="48"/>
      <c r="E549" s="48"/>
      <c r="F549" s="48"/>
      <c r="I549" s="48"/>
      <c r="J549" s="48"/>
      <c r="K549" s="48"/>
      <c r="L549" s="48"/>
      <c r="Q549" s="48"/>
      <c r="R549" s="48"/>
      <c r="S549" s="48"/>
      <c r="T549" s="48"/>
      <c r="W549" s="48"/>
      <c r="X549" s="48"/>
      <c r="Y549" s="48"/>
      <c r="Z549" s="48"/>
    </row>
    <row r="550" spans="3:26">
      <c r="C550" s="48"/>
      <c r="D550" s="48"/>
      <c r="E550" s="48"/>
      <c r="F550" s="48"/>
      <c r="I550" s="48"/>
      <c r="J550" s="48"/>
      <c r="K550" s="48"/>
      <c r="L550" s="48"/>
      <c r="Q550" s="48"/>
      <c r="R550" s="48"/>
      <c r="S550" s="48"/>
      <c r="T550" s="48"/>
      <c r="W550" s="48"/>
      <c r="X550" s="48"/>
      <c r="Y550" s="48"/>
      <c r="Z550" s="48"/>
    </row>
    <row r="551" spans="3:26">
      <c r="C551" s="48"/>
      <c r="D551" s="48"/>
      <c r="E551" s="48"/>
      <c r="F551" s="48"/>
      <c r="I551" s="48"/>
      <c r="J551" s="48"/>
      <c r="K551" s="48"/>
      <c r="L551" s="48"/>
      <c r="Q551" s="48"/>
      <c r="R551" s="48"/>
      <c r="S551" s="48"/>
      <c r="T551" s="48"/>
      <c r="W551" s="48"/>
      <c r="X551" s="48"/>
      <c r="Y551" s="48"/>
      <c r="Z551" s="48"/>
    </row>
    <row r="552" spans="3:26">
      <c r="C552" s="48"/>
      <c r="D552" s="48"/>
      <c r="E552" s="48"/>
      <c r="F552" s="48"/>
      <c r="I552" s="48"/>
      <c r="J552" s="48"/>
      <c r="K552" s="48"/>
      <c r="L552" s="48"/>
      <c r="Q552" s="48"/>
      <c r="R552" s="48"/>
      <c r="S552" s="48"/>
      <c r="T552" s="48"/>
      <c r="W552" s="48"/>
      <c r="X552" s="48"/>
      <c r="Y552" s="48"/>
      <c r="Z552" s="48"/>
    </row>
    <row r="553" spans="3:26">
      <c r="C553" s="48"/>
      <c r="D553" s="48"/>
      <c r="E553" s="48"/>
      <c r="F553" s="48"/>
      <c r="I553" s="48"/>
      <c r="J553" s="48"/>
      <c r="K553" s="48"/>
      <c r="L553" s="48"/>
      <c r="Q553" s="48"/>
      <c r="R553" s="48"/>
      <c r="S553" s="48"/>
      <c r="T553" s="48"/>
      <c r="W553" s="48"/>
      <c r="X553" s="48"/>
      <c r="Y553" s="48"/>
      <c r="Z553" s="48"/>
    </row>
    <row r="554" spans="3:26">
      <c r="C554" s="48"/>
      <c r="D554" s="48"/>
      <c r="E554" s="48"/>
      <c r="F554" s="48"/>
      <c r="I554" s="48"/>
      <c r="J554" s="48"/>
      <c r="K554" s="48"/>
      <c r="L554" s="48"/>
      <c r="Q554" s="48"/>
      <c r="R554" s="48"/>
      <c r="S554" s="48"/>
      <c r="T554" s="48"/>
      <c r="W554" s="48"/>
      <c r="X554" s="48"/>
      <c r="Y554" s="48"/>
      <c r="Z554" s="48"/>
    </row>
    <row r="555" spans="3:26">
      <c r="C555" s="48"/>
      <c r="D555" s="48"/>
      <c r="E555" s="48"/>
      <c r="F555" s="48"/>
      <c r="I555" s="48"/>
      <c r="J555" s="48"/>
      <c r="K555" s="48"/>
      <c r="L555" s="48"/>
      <c r="Q555" s="48"/>
      <c r="R555" s="48"/>
      <c r="S555" s="48"/>
      <c r="T555" s="48"/>
      <c r="W555" s="48"/>
      <c r="X555" s="48"/>
      <c r="Y555" s="48"/>
      <c r="Z555" s="48"/>
    </row>
    <row r="556" spans="3:26">
      <c r="C556" s="48"/>
      <c r="D556" s="48"/>
      <c r="E556" s="48"/>
      <c r="F556" s="48"/>
      <c r="I556" s="48"/>
      <c r="J556" s="48"/>
      <c r="K556" s="48"/>
      <c r="L556" s="48"/>
      <c r="Q556" s="48"/>
      <c r="R556" s="48"/>
      <c r="S556" s="48"/>
      <c r="T556" s="48"/>
      <c r="W556" s="48"/>
      <c r="X556" s="48"/>
      <c r="Y556" s="48"/>
      <c r="Z556" s="48"/>
    </row>
    <row r="557" spans="3:26">
      <c r="C557" s="48"/>
      <c r="D557" s="48"/>
      <c r="E557" s="48"/>
      <c r="F557" s="48"/>
      <c r="I557" s="48"/>
      <c r="J557" s="48"/>
      <c r="K557" s="48"/>
      <c r="L557" s="48"/>
      <c r="Q557" s="48"/>
      <c r="R557" s="48"/>
      <c r="S557" s="48"/>
      <c r="T557" s="48"/>
      <c r="W557" s="48"/>
      <c r="X557" s="48"/>
      <c r="Y557" s="48"/>
      <c r="Z557" s="48"/>
    </row>
    <row r="558" spans="3:26">
      <c r="C558" s="48"/>
      <c r="D558" s="48"/>
      <c r="E558" s="48"/>
      <c r="F558" s="48"/>
      <c r="I558" s="48"/>
      <c r="J558" s="48"/>
      <c r="K558" s="48"/>
      <c r="L558" s="48"/>
      <c r="Q558" s="48"/>
      <c r="R558" s="48"/>
      <c r="S558" s="48"/>
      <c r="T558" s="48"/>
      <c r="W558" s="48"/>
      <c r="X558" s="48"/>
      <c r="Y558" s="48"/>
      <c r="Z558" s="48"/>
    </row>
    <row r="559" spans="3:26">
      <c r="C559" s="48"/>
      <c r="D559" s="48"/>
      <c r="E559" s="48"/>
      <c r="F559" s="48"/>
      <c r="I559" s="48"/>
      <c r="J559" s="48"/>
      <c r="K559" s="48"/>
      <c r="L559" s="48"/>
      <c r="Q559" s="48"/>
      <c r="R559" s="48"/>
      <c r="S559" s="48"/>
      <c r="T559" s="48"/>
      <c r="W559" s="48"/>
      <c r="X559" s="48"/>
      <c r="Y559" s="48"/>
      <c r="Z559" s="48"/>
    </row>
    <row r="560" spans="3:26">
      <c r="C560" s="48"/>
      <c r="D560" s="48"/>
      <c r="E560" s="48"/>
      <c r="F560" s="48"/>
      <c r="I560" s="48"/>
      <c r="J560" s="48"/>
      <c r="K560" s="48"/>
      <c r="L560" s="48"/>
      <c r="Q560" s="48"/>
      <c r="R560" s="48"/>
      <c r="S560" s="48"/>
      <c r="T560" s="48"/>
      <c r="W560" s="48"/>
      <c r="X560" s="48"/>
      <c r="Y560" s="48"/>
      <c r="Z560" s="48"/>
    </row>
    <row r="561" spans="3:26">
      <c r="C561" s="48"/>
      <c r="D561" s="48"/>
      <c r="E561" s="48"/>
      <c r="F561" s="48"/>
      <c r="I561" s="48"/>
      <c r="J561" s="48"/>
      <c r="K561" s="48"/>
      <c r="L561" s="48"/>
      <c r="Q561" s="48"/>
      <c r="R561" s="48"/>
      <c r="S561" s="48"/>
      <c r="T561" s="48"/>
      <c r="W561" s="48"/>
      <c r="X561" s="48"/>
      <c r="Y561" s="48"/>
      <c r="Z561" s="48"/>
    </row>
    <row r="562" spans="3:26">
      <c r="C562" s="48"/>
      <c r="D562" s="48"/>
      <c r="E562" s="48"/>
      <c r="F562" s="48"/>
      <c r="I562" s="48"/>
      <c r="J562" s="48"/>
      <c r="K562" s="48"/>
      <c r="L562" s="48"/>
      <c r="Q562" s="48"/>
      <c r="R562" s="48"/>
      <c r="S562" s="48"/>
      <c r="T562" s="48"/>
      <c r="W562" s="48"/>
      <c r="X562" s="48"/>
      <c r="Y562" s="48"/>
      <c r="Z562" s="48"/>
    </row>
    <row r="563" spans="3:26">
      <c r="C563" s="48"/>
      <c r="D563" s="48"/>
      <c r="E563" s="48"/>
      <c r="F563" s="48"/>
      <c r="I563" s="48"/>
      <c r="J563" s="48"/>
      <c r="K563" s="48"/>
      <c r="L563" s="48"/>
      <c r="Q563" s="48"/>
      <c r="R563" s="48"/>
      <c r="S563" s="48"/>
      <c r="T563" s="48"/>
      <c r="W563" s="48"/>
      <c r="X563" s="48"/>
      <c r="Y563" s="48"/>
      <c r="Z563" s="48"/>
    </row>
    <row r="564" spans="3:26">
      <c r="C564" s="48"/>
      <c r="D564" s="48"/>
      <c r="E564" s="48"/>
      <c r="F564" s="48"/>
      <c r="I564" s="48"/>
      <c r="J564" s="48"/>
      <c r="K564" s="48"/>
      <c r="L564" s="48"/>
      <c r="Q564" s="48"/>
      <c r="R564" s="48"/>
      <c r="S564" s="48"/>
      <c r="T564" s="48"/>
      <c r="W564" s="48"/>
      <c r="X564" s="48"/>
      <c r="Y564" s="48"/>
      <c r="Z564" s="48"/>
    </row>
    <row r="565" spans="3:26">
      <c r="C565" s="48"/>
      <c r="D565" s="48"/>
      <c r="E565" s="48"/>
      <c r="F565" s="48"/>
      <c r="I565" s="48"/>
      <c r="J565" s="48"/>
      <c r="K565" s="48"/>
      <c r="L565" s="48"/>
      <c r="Q565" s="48"/>
      <c r="R565" s="48"/>
      <c r="S565" s="48"/>
      <c r="T565" s="48"/>
      <c r="W565" s="48"/>
      <c r="X565" s="48"/>
      <c r="Y565" s="48"/>
      <c r="Z565" s="48"/>
    </row>
    <row r="566" spans="3:26">
      <c r="C566" s="48"/>
      <c r="D566" s="48"/>
      <c r="E566" s="48"/>
      <c r="F566" s="48"/>
      <c r="I566" s="48"/>
      <c r="J566" s="48"/>
      <c r="K566" s="48"/>
      <c r="L566" s="48"/>
      <c r="Q566" s="48"/>
      <c r="R566" s="48"/>
      <c r="S566" s="48"/>
      <c r="T566" s="48"/>
      <c r="W566" s="48"/>
      <c r="X566" s="48"/>
      <c r="Y566" s="48"/>
      <c r="Z566" s="48"/>
    </row>
    <row r="567" spans="3:26">
      <c r="C567" s="48"/>
      <c r="D567" s="48"/>
      <c r="E567" s="48"/>
      <c r="F567" s="48"/>
      <c r="I567" s="48"/>
      <c r="J567" s="48"/>
      <c r="K567" s="48"/>
      <c r="L567" s="48"/>
      <c r="Q567" s="48"/>
      <c r="R567" s="48"/>
      <c r="S567" s="48"/>
      <c r="T567" s="48"/>
      <c r="W567" s="48"/>
      <c r="X567" s="48"/>
      <c r="Y567" s="48"/>
      <c r="Z567" s="48"/>
    </row>
    <row r="568" spans="3:26">
      <c r="C568" s="48"/>
      <c r="D568" s="48"/>
      <c r="E568" s="48"/>
      <c r="F568" s="48"/>
      <c r="I568" s="48"/>
      <c r="J568" s="48"/>
      <c r="K568" s="48"/>
      <c r="L568" s="48"/>
      <c r="Q568" s="48"/>
      <c r="R568" s="48"/>
      <c r="S568" s="48"/>
      <c r="T568" s="48"/>
      <c r="W568" s="48"/>
      <c r="X568" s="48"/>
      <c r="Y568" s="48"/>
      <c r="Z568" s="48"/>
    </row>
  </sheetData>
  <mergeCells count="1">
    <mergeCell ref="AC3:AC4"/>
  </mergeCells>
  <phoneticPr fontId="3" type="noConversion"/>
  <pageMargins left="0.7" right="0.7" top="0.75" bottom="0.75" header="0.3" footer="0.3"/>
  <ignoredErrors>
    <ignoredError sqref="W10:Z11 W27:Z28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208"/>
  <sheetViews>
    <sheetView topLeftCell="A16" workbookViewId="0">
      <selection activeCell="C172" sqref="C172"/>
    </sheetView>
  </sheetViews>
  <sheetFormatPr defaultRowHeight="12" customHeight="1"/>
  <cols>
    <col min="1" max="1" width="9" style="1"/>
    <col min="2" max="2" width="13.75" style="98" customWidth="1"/>
    <col min="3" max="3" width="27.125" style="98" customWidth="1"/>
    <col min="4" max="4" width="9" style="98"/>
    <col min="5" max="5" width="18.875" style="98" customWidth="1"/>
    <col min="6" max="16384" width="9" style="1"/>
  </cols>
  <sheetData>
    <row r="1" spans="2:5" ht="11.25"/>
    <row r="2" spans="2:5" ht="11.25">
      <c r="B2" s="98" t="s">
        <v>439</v>
      </c>
    </row>
    <row r="3" spans="2:5" ht="19.5" customHeight="1">
      <c r="B3" s="43" t="s">
        <v>440</v>
      </c>
      <c r="C3" s="43"/>
      <c r="D3" s="43"/>
      <c r="E3" s="43"/>
    </row>
    <row r="4" spans="2:5" ht="12" customHeight="1">
      <c r="B4" s="99" t="s">
        <v>441</v>
      </c>
      <c r="C4" s="99" t="s">
        <v>442</v>
      </c>
      <c r="D4" s="99" t="s">
        <v>443</v>
      </c>
      <c r="E4" s="99" t="s">
        <v>444</v>
      </c>
    </row>
    <row r="5" spans="2:5" ht="12" customHeight="1">
      <c r="B5" s="100">
        <v>10004</v>
      </c>
      <c r="C5" s="101" t="s">
        <v>445</v>
      </c>
      <c r="D5" s="101" t="s">
        <v>87</v>
      </c>
      <c r="E5" s="102" t="s">
        <v>88</v>
      </c>
    </row>
    <row r="6" spans="2:5" ht="12" customHeight="1">
      <c r="B6" s="103">
        <v>10181</v>
      </c>
      <c r="C6" s="104" t="s">
        <v>446</v>
      </c>
      <c r="D6" s="104" t="s">
        <v>87</v>
      </c>
      <c r="E6" s="105" t="s">
        <v>88</v>
      </c>
    </row>
    <row r="7" spans="2:5" ht="12" customHeight="1">
      <c r="B7" s="103">
        <v>10511</v>
      </c>
      <c r="C7" s="104" t="s">
        <v>447</v>
      </c>
      <c r="D7" s="104" t="s">
        <v>87</v>
      </c>
      <c r="E7" s="105" t="s">
        <v>88</v>
      </c>
    </row>
    <row r="8" spans="2:5" ht="12" customHeight="1">
      <c r="B8" s="103">
        <v>10641</v>
      </c>
      <c r="C8" s="104" t="s">
        <v>448</v>
      </c>
      <c r="D8" s="104" t="s">
        <v>87</v>
      </c>
      <c r="E8" s="105" t="s">
        <v>88</v>
      </c>
    </row>
    <row r="9" spans="2:5" ht="12" customHeight="1">
      <c r="B9" s="103">
        <v>10831</v>
      </c>
      <c r="C9" s="104" t="s">
        <v>449</v>
      </c>
      <c r="D9" s="104" t="s">
        <v>87</v>
      </c>
      <c r="E9" s="105" t="s">
        <v>88</v>
      </c>
    </row>
    <row r="10" spans="2:5" ht="12" customHeight="1">
      <c r="B10" s="103">
        <v>10896</v>
      </c>
      <c r="C10" s="104" t="s">
        <v>450</v>
      </c>
      <c r="D10" s="104" t="s">
        <v>87</v>
      </c>
      <c r="E10" s="105" t="s">
        <v>88</v>
      </c>
    </row>
    <row r="11" spans="2:5" ht="12" customHeight="1">
      <c r="B11" s="103">
        <v>10906</v>
      </c>
      <c r="C11" s="104" t="s">
        <v>451</v>
      </c>
      <c r="D11" s="104" t="s">
        <v>87</v>
      </c>
      <c r="E11" s="105" t="s">
        <v>88</v>
      </c>
    </row>
    <row r="12" spans="2:5" ht="12" customHeight="1">
      <c r="B12" s="103">
        <v>12104</v>
      </c>
      <c r="C12" s="104" t="s">
        <v>452</v>
      </c>
      <c r="D12" s="104" t="s">
        <v>87</v>
      </c>
      <c r="E12" s="105" t="s">
        <v>88</v>
      </c>
    </row>
    <row r="13" spans="2:5" ht="12" customHeight="1">
      <c r="B13" s="103">
        <v>12107</v>
      </c>
      <c r="C13" s="104" t="s">
        <v>453</v>
      </c>
      <c r="D13" s="104" t="s">
        <v>87</v>
      </c>
      <c r="E13" s="105" t="s">
        <v>88</v>
      </c>
    </row>
    <row r="14" spans="2:5" ht="12" customHeight="1">
      <c r="B14" s="103">
        <v>12111</v>
      </c>
      <c r="C14" s="104" t="s">
        <v>454</v>
      </c>
      <c r="D14" s="104" t="s">
        <v>87</v>
      </c>
      <c r="E14" s="105" t="s">
        <v>88</v>
      </c>
    </row>
    <row r="15" spans="2:5" ht="12" customHeight="1">
      <c r="B15" s="103">
        <v>12115</v>
      </c>
      <c r="C15" s="104" t="s">
        <v>455</v>
      </c>
      <c r="D15" s="104" t="s">
        <v>87</v>
      </c>
      <c r="E15" s="105" t="s">
        <v>88</v>
      </c>
    </row>
    <row r="16" spans="2:5" ht="12" customHeight="1">
      <c r="B16" s="103">
        <v>12180</v>
      </c>
      <c r="C16" s="104" t="s">
        <v>456</v>
      </c>
      <c r="D16" s="104" t="s">
        <v>87</v>
      </c>
      <c r="E16" s="105" t="s">
        <v>88</v>
      </c>
    </row>
    <row r="17" spans="2:5" ht="12" customHeight="1">
      <c r="B17" s="103">
        <v>12200</v>
      </c>
      <c r="C17" s="104" t="s">
        <v>457</v>
      </c>
      <c r="D17" s="104" t="s">
        <v>87</v>
      </c>
      <c r="E17" s="105" t="s">
        <v>88</v>
      </c>
    </row>
    <row r="18" spans="2:5" ht="12" customHeight="1">
      <c r="B18" s="103">
        <v>12251</v>
      </c>
      <c r="C18" s="104" t="s">
        <v>458</v>
      </c>
      <c r="D18" s="104" t="s">
        <v>87</v>
      </c>
      <c r="E18" s="105" t="s">
        <v>88</v>
      </c>
    </row>
    <row r="19" spans="2:5" ht="12" customHeight="1">
      <c r="B19" s="103">
        <v>12422</v>
      </c>
      <c r="C19" s="104" t="s">
        <v>459</v>
      </c>
      <c r="D19" s="104" t="s">
        <v>87</v>
      </c>
      <c r="E19" s="105" t="s">
        <v>88</v>
      </c>
    </row>
    <row r="20" spans="2:5" ht="12" customHeight="1">
      <c r="B20" s="103">
        <v>12431</v>
      </c>
      <c r="C20" s="104" t="s">
        <v>460</v>
      </c>
      <c r="D20" s="104" t="s">
        <v>87</v>
      </c>
      <c r="E20" s="105" t="s">
        <v>88</v>
      </c>
    </row>
    <row r="21" spans="2:5" ht="12" customHeight="1">
      <c r="B21" s="103">
        <v>12485</v>
      </c>
      <c r="C21" s="104" t="s">
        <v>461</v>
      </c>
      <c r="D21" s="104" t="s">
        <v>87</v>
      </c>
      <c r="E21" s="105" t="s">
        <v>88</v>
      </c>
    </row>
    <row r="22" spans="2:5" ht="12" customHeight="1">
      <c r="B22" s="103">
        <v>10016</v>
      </c>
      <c r="C22" s="104" t="s">
        <v>462</v>
      </c>
      <c r="D22" s="104" t="s">
        <v>90</v>
      </c>
      <c r="E22" s="105" t="s">
        <v>463</v>
      </c>
    </row>
    <row r="23" spans="2:5" ht="12" customHeight="1">
      <c r="B23" s="103">
        <v>10039</v>
      </c>
      <c r="C23" s="104" t="s">
        <v>464</v>
      </c>
      <c r="D23" s="104" t="s">
        <v>90</v>
      </c>
      <c r="E23" s="105" t="s">
        <v>463</v>
      </c>
    </row>
    <row r="24" spans="2:5" ht="12" customHeight="1">
      <c r="B24" s="103">
        <v>10050</v>
      </c>
      <c r="C24" s="104" t="s">
        <v>465</v>
      </c>
      <c r="D24" s="104" t="s">
        <v>90</v>
      </c>
      <c r="E24" s="105" t="s">
        <v>463</v>
      </c>
    </row>
    <row r="25" spans="2:5" ht="12" customHeight="1">
      <c r="B25" s="103">
        <v>10053</v>
      </c>
      <c r="C25" s="104" t="s">
        <v>466</v>
      </c>
      <c r="D25" s="104" t="s">
        <v>90</v>
      </c>
      <c r="E25" s="105" t="s">
        <v>463</v>
      </c>
    </row>
    <row r="26" spans="2:5" ht="12" customHeight="1">
      <c r="B26" s="103">
        <v>10066</v>
      </c>
      <c r="C26" s="104" t="s">
        <v>467</v>
      </c>
      <c r="D26" s="104" t="s">
        <v>90</v>
      </c>
      <c r="E26" s="105" t="s">
        <v>463</v>
      </c>
    </row>
    <row r="27" spans="2:5" ht="12" customHeight="1">
      <c r="B27" s="103">
        <v>10082</v>
      </c>
      <c r="C27" s="104" t="s">
        <v>468</v>
      </c>
      <c r="D27" s="104" t="s">
        <v>90</v>
      </c>
      <c r="E27" s="105" t="s">
        <v>463</v>
      </c>
    </row>
    <row r="28" spans="2:5" ht="12" customHeight="1">
      <c r="B28" s="103">
        <v>10083</v>
      </c>
      <c r="C28" s="104" t="s">
        <v>469</v>
      </c>
      <c r="D28" s="104" t="s">
        <v>90</v>
      </c>
      <c r="E28" s="105" t="s">
        <v>463</v>
      </c>
    </row>
    <row r="29" spans="2:5" ht="12" customHeight="1">
      <c r="B29" s="103">
        <v>10089</v>
      </c>
      <c r="C29" s="104" t="s">
        <v>470</v>
      </c>
      <c r="D29" s="104" t="s">
        <v>90</v>
      </c>
      <c r="E29" s="105" t="s">
        <v>463</v>
      </c>
    </row>
    <row r="30" spans="2:5" ht="12" customHeight="1">
      <c r="B30" s="103">
        <v>10090</v>
      </c>
      <c r="C30" s="104" t="s">
        <v>471</v>
      </c>
      <c r="D30" s="104" t="s">
        <v>90</v>
      </c>
      <c r="E30" s="105" t="s">
        <v>463</v>
      </c>
    </row>
    <row r="31" spans="2:5" ht="12" customHeight="1">
      <c r="B31" s="103">
        <v>10091</v>
      </c>
      <c r="C31" s="104" t="s">
        <v>472</v>
      </c>
      <c r="D31" s="104" t="s">
        <v>90</v>
      </c>
      <c r="E31" s="105" t="s">
        <v>463</v>
      </c>
    </row>
    <row r="32" spans="2:5" ht="12" customHeight="1">
      <c r="B32" s="103">
        <v>10104</v>
      </c>
      <c r="C32" s="104" t="s">
        <v>473</v>
      </c>
      <c r="D32" s="104" t="s">
        <v>90</v>
      </c>
      <c r="E32" s="105" t="s">
        <v>463</v>
      </c>
    </row>
    <row r="33" spans="2:5" ht="12" customHeight="1">
      <c r="B33" s="103">
        <v>10128</v>
      </c>
      <c r="C33" s="104" t="s">
        <v>474</v>
      </c>
      <c r="D33" s="104" t="s">
        <v>90</v>
      </c>
      <c r="E33" s="105" t="s">
        <v>463</v>
      </c>
    </row>
    <row r="34" spans="2:5" ht="12" customHeight="1">
      <c r="B34" s="103">
        <v>10179</v>
      </c>
      <c r="C34" s="104" t="s">
        <v>475</v>
      </c>
      <c r="D34" s="104" t="s">
        <v>90</v>
      </c>
      <c r="E34" s="105" t="s">
        <v>463</v>
      </c>
    </row>
    <row r="35" spans="2:5" ht="12" customHeight="1">
      <c r="B35" s="103">
        <v>10183</v>
      </c>
      <c r="C35" s="104" t="s">
        <v>476</v>
      </c>
      <c r="D35" s="104" t="s">
        <v>90</v>
      </c>
      <c r="E35" s="105" t="s">
        <v>463</v>
      </c>
    </row>
    <row r="36" spans="2:5" ht="12" customHeight="1">
      <c r="B36" s="103">
        <v>10184</v>
      </c>
      <c r="C36" s="104" t="s">
        <v>477</v>
      </c>
      <c r="D36" s="104" t="s">
        <v>90</v>
      </c>
      <c r="E36" s="105" t="s">
        <v>463</v>
      </c>
    </row>
    <row r="37" spans="2:5" ht="12" customHeight="1">
      <c r="B37" s="103">
        <v>10185</v>
      </c>
      <c r="C37" s="104" t="s">
        <v>478</v>
      </c>
      <c r="D37" s="104" t="s">
        <v>90</v>
      </c>
      <c r="E37" s="105" t="s">
        <v>463</v>
      </c>
    </row>
    <row r="38" spans="2:5" ht="12" customHeight="1">
      <c r="B38" s="103">
        <v>10195</v>
      </c>
      <c r="C38" s="104" t="s">
        <v>479</v>
      </c>
      <c r="D38" s="104" t="s">
        <v>90</v>
      </c>
      <c r="E38" s="105" t="s">
        <v>463</v>
      </c>
    </row>
    <row r="39" spans="2:5" ht="12" customHeight="1">
      <c r="B39" s="103">
        <v>10196</v>
      </c>
      <c r="C39" s="104" t="s">
        <v>480</v>
      </c>
      <c r="D39" s="104" t="s">
        <v>90</v>
      </c>
      <c r="E39" s="105" t="s">
        <v>463</v>
      </c>
    </row>
    <row r="40" spans="2:5" ht="12" customHeight="1">
      <c r="B40" s="103">
        <v>10197</v>
      </c>
      <c r="C40" s="104" t="s">
        <v>481</v>
      </c>
      <c r="D40" s="104" t="s">
        <v>90</v>
      </c>
      <c r="E40" s="105" t="s">
        <v>463</v>
      </c>
    </row>
    <row r="41" spans="2:5" ht="12" customHeight="1">
      <c r="B41" s="103">
        <v>10198</v>
      </c>
      <c r="C41" s="104" t="s">
        <v>482</v>
      </c>
      <c r="D41" s="104" t="s">
        <v>90</v>
      </c>
      <c r="E41" s="105" t="s">
        <v>463</v>
      </c>
    </row>
    <row r="42" spans="2:5" ht="12" customHeight="1">
      <c r="B42" s="103">
        <v>10252</v>
      </c>
      <c r="C42" s="104" t="s">
        <v>483</v>
      </c>
      <c r="D42" s="104" t="s">
        <v>90</v>
      </c>
      <c r="E42" s="105" t="s">
        <v>463</v>
      </c>
    </row>
    <row r="43" spans="2:5" ht="12" customHeight="1">
      <c r="B43" s="103">
        <v>10292</v>
      </c>
      <c r="C43" s="104" t="s">
        <v>484</v>
      </c>
      <c r="D43" s="104" t="s">
        <v>90</v>
      </c>
      <c r="E43" s="105" t="s">
        <v>463</v>
      </c>
    </row>
    <row r="44" spans="2:5" ht="12" customHeight="1">
      <c r="B44" s="103">
        <v>10297</v>
      </c>
      <c r="C44" s="104" t="s">
        <v>485</v>
      </c>
      <c r="D44" s="104" t="s">
        <v>90</v>
      </c>
      <c r="E44" s="105" t="s">
        <v>463</v>
      </c>
    </row>
    <row r="45" spans="2:5" ht="12" customHeight="1">
      <c r="B45" s="103">
        <v>10371</v>
      </c>
      <c r="C45" s="104" t="s">
        <v>486</v>
      </c>
      <c r="D45" s="104" t="s">
        <v>90</v>
      </c>
      <c r="E45" s="105" t="s">
        <v>463</v>
      </c>
    </row>
    <row r="46" spans="2:5" ht="12" customHeight="1">
      <c r="B46" s="103">
        <v>10401</v>
      </c>
      <c r="C46" s="104" t="s">
        <v>453</v>
      </c>
      <c r="D46" s="104" t="s">
        <v>90</v>
      </c>
      <c r="E46" s="105" t="s">
        <v>463</v>
      </c>
    </row>
    <row r="47" spans="2:5" ht="12" customHeight="1">
      <c r="B47" s="103">
        <v>10421</v>
      </c>
      <c r="C47" s="104" t="s">
        <v>487</v>
      </c>
      <c r="D47" s="104" t="s">
        <v>90</v>
      </c>
      <c r="E47" s="105" t="s">
        <v>463</v>
      </c>
    </row>
    <row r="48" spans="2:5" ht="12" customHeight="1">
      <c r="B48" s="103">
        <v>10434</v>
      </c>
      <c r="C48" s="104" t="s">
        <v>488</v>
      </c>
      <c r="D48" s="104" t="s">
        <v>90</v>
      </c>
      <c r="E48" s="105" t="s">
        <v>463</v>
      </c>
    </row>
    <row r="49" spans="2:5" ht="12" customHeight="1">
      <c r="B49" s="103">
        <v>10457</v>
      </c>
      <c r="C49" s="104" t="s">
        <v>489</v>
      </c>
      <c r="D49" s="104" t="s">
        <v>90</v>
      </c>
      <c r="E49" s="105" t="s">
        <v>463</v>
      </c>
    </row>
    <row r="50" spans="2:5" ht="12" customHeight="1">
      <c r="B50" s="103">
        <v>10522</v>
      </c>
      <c r="C50" s="104" t="s">
        <v>453</v>
      </c>
      <c r="D50" s="104" t="s">
        <v>90</v>
      </c>
      <c r="E50" s="105" t="s">
        <v>463</v>
      </c>
    </row>
    <row r="51" spans="2:5" ht="12" customHeight="1">
      <c r="B51" s="103">
        <v>10761</v>
      </c>
      <c r="C51" s="104" t="s">
        <v>490</v>
      </c>
      <c r="D51" s="104" t="s">
        <v>90</v>
      </c>
      <c r="E51" s="105" t="s">
        <v>463</v>
      </c>
    </row>
    <row r="52" spans="2:5" ht="12" customHeight="1">
      <c r="B52" s="103">
        <v>10906</v>
      </c>
      <c r="C52" s="104" t="s">
        <v>451</v>
      </c>
      <c r="D52" s="104" t="s">
        <v>90</v>
      </c>
      <c r="E52" s="105" t="s">
        <v>463</v>
      </c>
    </row>
    <row r="53" spans="2:5" ht="12" customHeight="1">
      <c r="B53" s="103">
        <v>10917</v>
      </c>
      <c r="C53" s="104" t="s">
        <v>491</v>
      </c>
      <c r="D53" s="104" t="s">
        <v>90</v>
      </c>
      <c r="E53" s="105" t="s">
        <v>463</v>
      </c>
    </row>
    <row r="54" spans="2:5" ht="12" customHeight="1">
      <c r="B54" s="103">
        <v>10932</v>
      </c>
      <c r="C54" s="104" t="s">
        <v>492</v>
      </c>
      <c r="D54" s="104" t="s">
        <v>90</v>
      </c>
      <c r="E54" s="105" t="s">
        <v>463</v>
      </c>
    </row>
    <row r="55" spans="2:5" ht="12" customHeight="1">
      <c r="B55" s="103">
        <v>10941</v>
      </c>
      <c r="C55" s="104" t="s">
        <v>493</v>
      </c>
      <c r="D55" s="104" t="s">
        <v>90</v>
      </c>
      <c r="E55" s="105" t="s">
        <v>463</v>
      </c>
    </row>
    <row r="56" spans="2:5" ht="12" customHeight="1">
      <c r="B56" s="103">
        <v>12065</v>
      </c>
      <c r="C56" s="104" t="s">
        <v>494</v>
      </c>
      <c r="D56" s="104" t="s">
        <v>90</v>
      </c>
      <c r="E56" s="105" t="s">
        <v>463</v>
      </c>
    </row>
    <row r="57" spans="2:5" ht="12" customHeight="1">
      <c r="B57" s="103">
        <v>12066</v>
      </c>
      <c r="C57" s="104" t="s">
        <v>495</v>
      </c>
      <c r="D57" s="104" t="s">
        <v>90</v>
      </c>
      <c r="E57" s="105" t="s">
        <v>463</v>
      </c>
    </row>
    <row r="58" spans="2:5" ht="12" customHeight="1">
      <c r="B58" s="103">
        <v>12072</v>
      </c>
      <c r="C58" s="104" t="s">
        <v>496</v>
      </c>
      <c r="D58" s="104" t="s">
        <v>90</v>
      </c>
      <c r="E58" s="105" t="s">
        <v>463</v>
      </c>
    </row>
    <row r="59" spans="2:5" ht="12" customHeight="1">
      <c r="B59" s="103">
        <v>12107</v>
      </c>
      <c r="C59" s="104" t="s">
        <v>453</v>
      </c>
      <c r="D59" s="104" t="s">
        <v>90</v>
      </c>
      <c r="E59" s="105" t="s">
        <v>463</v>
      </c>
    </row>
    <row r="60" spans="2:5" ht="12" customHeight="1">
      <c r="B60" s="103">
        <v>12115</v>
      </c>
      <c r="C60" s="104" t="s">
        <v>455</v>
      </c>
      <c r="D60" s="104" t="s">
        <v>90</v>
      </c>
      <c r="E60" s="105" t="s">
        <v>463</v>
      </c>
    </row>
    <row r="61" spans="2:5" ht="12" customHeight="1">
      <c r="B61" s="103">
        <v>12256</v>
      </c>
      <c r="C61" s="104" t="s">
        <v>497</v>
      </c>
      <c r="D61" s="104" t="s">
        <v>90</v>
      </c>
      <c r="E61" s="105" t="s">
        <v>463</v>
      </c>
    </row>
    <row r="62" spans="2:5" ht="12" customHeight="1">
      <c r="B62" s="103">
        <v>12307</v>
      </c>
      <c r="C62" s="104" t="s">
        <v>498</v>
      </c>
      <c r="D62" s="104" t="s">
        <v>90</v>
      </c>
      <c r="E62" s="105" t="s">
        <v>463</v>
      </c>
    </row>
    <row r="63" spans="2:5" ht="12" customHeight="1">
      <c r="B63" s="103">
        <v>12355</v>
      </c>
      <c r="C63" s="104" t="s">
        <v>499</v>
      </c>
      <c r="D63" s="104" t="s">
        <v>90</v>
      </c>
      <c r="E63" s="105" t="s">
        <v>463</v>
      </c>
    </row>
    <row r="64" spans="2:5" ht="12" customHeight="1">
      <c r="B64" s="103">
        <v>12365</v>
      </c>
      <c r="C64" s="104" t="s">
        <v>500</v>
      </c>
      <c r="D64" s="104" t="s">
        <v>90</v>
      </c>
      <c r="E64" s="105" t="s">
        <v>463</v>
      </c>
    </row>
    <row r="65" spans="2:5" ht="12" customHeight="1">
      <c r="B65" s="103">
        <v>12371</v>
      </c>
      <c r="C65" s="104" t="s">
        <v>501</v>
      </c>
      <c r="D65" s="104" t="s">
        <v>90</v>
      </c>
      <c r="E65" s="105" t="s">
        <v>463</v>
      </c>
    </row>
    <row r="66" spans="2:5" ht="12" customHeight="1">
      <c r="B66" s="103">
        <v>12417</v>
      </c>
      <c r="C66" s="104" t="s">
        <v>502</v>
      </c>
      <c r="D66" s="104" t="s">
        <v>90</v>
      </c>
      <c r="E66" s="105" t="s">
        <v>463</v>
      </c>
    </row>
    <row r="67" spans="2:5" ht="12" customHeight="1">
      <c r="B67" s="103">
        <v>12420</v>
      </c>
      <c r="C67" s="104" t="s">
        <v>503</v>
      </c>
      <c r="D67" s="104" t="s">
        <v>90</v>
      </c>
      <c r="E67" s="105" t="s">
        <v>463</v>
      </c>
    </row>
    <row r="68" spans="2:5" ht="12" customHeight="1">
      <c r="B68" s="103">
        <v>12445</v>
      </c>
      <c r="C68" s="104" t="s">
        <v>504</v>
      </c>
      <c r="D68" s="104" t="s">
        <v>90</v>
      </c>
      <c r="E68" s="105" t="s">
        <v>463</v>
      </c>
    </row>
    <row r="69" spans="2:5" ht="12" customHeight="1">
      <c r="B69" s="103">
        <v>12467</v>
      </c>
      <c r="C69" s="104" t="s">
        <v>505</v>
      </c>
      <c r="D69" s="104" t="s">
        <v>90</v>
      </c>
      <c r="E69" s="105" t="s">
        <v>463</v>
      </c>
    </row>
    <row r="70" spans="2:5" ht="12" customHeight="1">
      <c r="B70" s="103">
        <v>22375</v>
      </c>
      <c r="C70" s="104" t="s">
        <v>506</v>
      </c>
      <c r="D70" s="104" t="s">
        <v>90</v>
      </c>
      <c r="E70" s="105" t="s">
        <v>463</v>
      </c>
    </row>
    <row r="71" spans="2:5" ht="12" customHeight="1">
      <c r="B71" s="103">
        <v>22390</v>
      </c>
      <c r="C71" s="104" t="s">
        <v>507</v>
      </c>
      <c r="D71" s="104" t="s">
        <v>90</v>
      </c>
      <c r="E71" s="105" t="s">
        <v>463</v>
      </c>
    </row>
    <row r="72" spans="2:5" ht="12" customHeight="1">
      <c r="B72" s="103">
        <v>10058</v>
      </c>
      <c r="C72" s="104" t="s">
        <v>508</v>
      </c>
      <c r="D72" s="104" t="s">
        <v>93</v>
      </c>
      <c r="E72" s="105" t="s">
        <v>509</v>
      </c>
    </row>
    <row r="73" spans="2:5" ht="12" customHeight="1">
      <c r="B73" s="103">
        <v>10059</v>
      </c>
      <c r="C73" s="104" t="s">
        <v>510</v>
      </c>
      <c r="D73" s="104" t="s">
        <v>93</v>
      </c>
      <c r="E73" s="105" t="s">
        <v>509</v>
      </c>
    </row>
    <row r="74" spans="2:5" ht="12" customHeight="1">
      <c r="B74" s="103">
        <v>10060</v>
      </c>
      <c r="C74" s="104" t="s">
        <v>511</v>
      </c>
      <c r="D74" s="104" t="s">
        <v>93</v>
      </c>
      <c r="E74" s="105" t="s">
        <v>509</v>
      </c>
    </row>
    <row r="75" spans="2:5" ht="12" customHeight="1">
      <c r="B75" s="103">
        <v>10063</v>
      </c>
      <c r="C75" s="104" t="s">
        <v>512</v>
      </c>
      <c r="D75" s="104" t="s">
        <v>93</v>
      </c>
      <c r="E75" s="105" t="s">
        <v>509</v>
      </c>
    </row>
    <row r="76" spans="2:5" ht="12" customHeight="1">
      <c r="B76" s="103">
        <v>10092</v>
      </c>
      <c r="C76" s="104" t="s">
        <v>513</v>
      </c>
      <c r="D76" s="104" t="s">
        <v>93</v>
      </c>
      <c r="E76" s="105" t="s">
        <v>509</v>
      </c>
    </row>
    <row r="77" spans="2:5" ht="12" customHeight="1">
      <c r="B77" s="103">
        <v>10101</v>
      </c>
      <c r="C77" s="104" t="s">
        <v>514</v>
      </c>
      <c r="D77" s="104" t="s">
        <v>93</v>
      </c>
      <c r="E77" s="105" t="s">
        <v>509</v>
      </c>
    </row>
    <row r="78" spans="2:5" ht="12" customHeight="1">
      <c r="B78" s="103">
        <v>10116</v>
      </c>
      <c r="C78" s="104" t="s">
        <v>515</v>
      </c>
      <c r="D78" s="104" t="s">
        <v>93</v>
      </c>
      <c r="E78" s="105" t="s">
        <v>509</v>
      </c>
    </row>
    <row r="79" spans="2:5" ht="12" customHeight="1">
      <c r="B79" s="103">
        <v>10139</v>
      </c>
      <c r="C79" s="104" t="s">
        <v>516</v>
      </c>
      <c r="D79" s="104" t="s">
        <v>93</v>
      </c>
      <c r="E79" s="105" t="s">
        <v>509</v>
      </c>
    </row>
    <row r="80" spans="2:5" ht="12" customHeight="1">
      <c r="B80" s="103">
        <v>10173</v>
      </c>
      <c r="C80" s="104" t="s">
        <v>517</v>
      </c>
      <c r="D80" s="104" t="s">
        <v>93</v>
      </c>
      <c r="E80" s="105" t="s">
        <v>509</v>
      </c>
    </row>
    <row r="81" spans="2:5" ht="12" customHeight="1">
      <c r="B81" s="103">
        <v>10199</v>
      </c>
      <c r="C81" s="104" t="s">
        <v>518</v>
      </c>
      <c r="D81" s="104" t="s">
        <v>93</v>
      </c>
      <c r="E81" s="105" t="s">
        <v>509</v>
      </c>
    </row>
    <row r="82" spans="2:5" ht="12" customHeight="1">
      <c r="B82" s="103">
        <v>10511</v>
      </c>
      <c r="C82" s="104" t="s">
        <v>447</v>
      </c>
      <c r="D82" s="104" t="s">
        <v>93</v>
      </c>
      <c r="E82" s="105" t="s">
        <v>509</v>
      </c>
    </row>
    <row r="83" spans="2:5" ht="12" customHeight="1">
      <c r="B83" s="103">
        <v>10641</v>
      </c>
      <c r="C83" s="104" t="s">
        <v>448</v>
      </c>
      <c r="D83" s="104" t="s">
        <v>93</v>
      </c>
      <c r="E83" s="105" t="s">
        <v>509</v>
      </c>
    </row>
    <row r="84" spans="2:5" ht="12" customHeight="1">
      <c r="B84" s="103">
        <v>10691</v>
      </c>
      <c r="C84" s="104" t="s">
        <v>519</v>
      </c>
      <c r="D84" s="104" t="s">
        <v>93</v>
      </c>
      <c r="E84" s="105" t="s">
        <v>509</v>
      </c>
    </row>
    <row r="85" spans="2:5" ht="12" customHeight="1">
      <c r="B85" s="103">
        <v>10831</v>
      </c>
      <c r="C85" s="104" t="s">
        <v>449</v>
      </c>
      <c r="D85" s="104" t="s">
        <v>93</v>
      </c>
      <c r="E85" s="105" t="s">
        <v>509</v>
      </c>
    </row>
    <row r="86" spans="2:5" ht="12" customHeight="1">
      <c r="B86" s="103">
        <v>10861</v>
      </c>
      <c r="C86" s="104" t="s">
        <v>520</v>
      </c>
      <c r="D86" s="104" t="s">
        <v>93</v>
      </c>
      <c r="E86" s="105" t="s">
        <v>509</v>
      </c>
    </row>
    <row r="87" spans="2:5" ht="12" customHeight="1">
      <c r="B87" s="103">
        <v>10922</v>
      </c>
      <c r="C87" s="104" t="s">
        <v>521</v>
      </c>
      <c r="D87" s="104" t="s">
        <v>93</v>
      </c>
      <c r="E87" s="105" t="s">
        <v>509</v>
      </c>
    </row>
    <row r="88" spans="2:5" ht="12" customHeight="1">
      <c r="B88" s="103">
        <v>10925</v>
      </c>
      <c r="C88" s="104" t="s">
        <v>522</v>
      </c>
      <c r="D88" s="104" t="s">
        <v>93</v>
      </c>
      <c r="E88" s="105" t="s">
        <v>509</v>
      </c>
    </row>
    <row r="89" spans="2:5" ht="12" customHeight="1">
      <c r="B89" s="103">
        <v>10935</v>
      </c>
      <c r="C89" s="104" t="s">
        <v>523</v>
      </c>
      <c r="D89" s="104" t="s">
        <v>93</v>
      </c>
      <c r="E89" s="105" t="s">
        <v>509</v>
      </c>
    </row>
    <row r="90" spans="2:5" ht="12" customHeight="1">
      <c r="B90" s="103">
        <v>12111</v>
      </c>
      <c r="C90" s="104" t="s">
        <v>454</v>
      </c>
      <c r="D90" s="104" t="s">
        <v>93</v>
      </c>
      <c r="E90" s="105" t="s">
        <v>509</v>
      </c>
    </row>
    <row r="91" spans="2:5" ht="12" customHeight="1">
      <c r="B91" s="103">
        <v>12194</v>
      </c>
      <c r="C91" s="104" t="s">
        <v>524</v>
      </c>
      <c r="D91" s="104" t="s">
        <v>93</v>
      </c>
      <c r="E91" s="105" t="s">
        <v>509</v>
      </c>
    </row>
    <row r="92" spans="2:5" ht="12" customHeight="1">
      <c r="B92" s="103">
        <v>12200</v>
      </c>
      <c r="C92" s="104" t="s">
        <v>457</v>
      </c>
      <c r="D92" s="104" t="s">
        <v>93</v>
      </c>
      <c r="E92" s="105" t="s">
        <v>509</v>
      </c>
    </row>
    <row r="93" spans="2:5" ht="12" customHeight="1">
      <c r="B93" s="103">
        <v>12251</v>
      </c>
      <c r="C93" s="104" t="s">
        <v>458</v>
      </c>
      <c r="D93" s="104" t="s">
        <v>93</v>
      </c>
      <c r="E93" s="105" t="s">
        <v>509</v>
      </c>
    </row>
    <row r="94" spans="2:5" ht="12" customHeight="1">
      <c r="B94" s="103">
        <v>12320</v>
      </c>
      <c r="C94" s="104" t="s">
        <v>525</v>
      </c>
      <c r="D94" s="104" t="s">
        <v>93</v>
      </c>
      <c r="E94" s="105" t="s">
        <v>509</v>
      </c>
    </row>
    <row r="95" spans="2:5" ht="12" customHeight="1">
      <c r="B95" s="103">
        <v>12345</v>
      </c>
      <c r="C95" s="104" t="s">
        <v>526</v>
      </c>
      <c r="D95" s="104" t="s">
        <v>93</v>
      </c>
      <c r="E95" s="105" t="s">
        <v>509</v>
      </c>
    </row>
    <row r="96" spans="2:5" ht="12" customHeight="1">
      <c r="B96" s="103">
        <v>12446</v>
      </c>
      <c r="C96" s="104" t="s">
        <v>527</v>
      </c>
      <c r="D96" s="104" t="s">
        <v>93</v>
      </c>
      <c r="E96" s="105" t="s">
        <v>509</v>
      </c>
    </row>
    <row r="97" spans="2:5" ht="12" customHeight="1">
      <c r="B97" s="103">
        <v>12452</v>
      </c>
      <c r="C97" s="104" t="s">
        <v>528</v>
      </c>
      <c r="D97" s="104" t="s">
        <v>93</v>
      </c>
      <c r="E97" s="105" t="s">
        <v>509</v>
      </c>
    </row>
    <row r="98" spans="2:5" ht="12" customHeight="1">
      <c r="B98" s="103">
        <v>20402</v>
      </c>
      <c r="C98" s="104" t="s">
        <v>529</v>
      </c>
      <c r="D98" s="104" t="s">
        <v>93</v>
      </c>
      <c r="E98" s="105" t="s">
        <v>509</v>
      </c>
    </row>
    <row r="99" spans="2:5" ht="12" customHeight="1">
      <c r="B99" s="103">
        <v>10018</v>
      </c>
      <c r="C99" s="104" t="s">
        <v>530</v>
      </c>
      <c r="D99" s="104" t="s">
        <v>96</v>
      </c>
      <c r="E99" s="105" t="s">
        <v>531</v>
      </c>
    </row>
    <row r="100" spans="2:5" ht="12" customHeight="1">
      <c r="B100" s="103">
        <v>10069</v>
      </c>
      <c r="C100" s="104" t="s">
        <v>532</v>
      </c>
      <c r="D100" s="104" t="s">
        <v>96</v>
      </c>
      <c r="E100" s="105" t="s">
        <v>531</v>
      </c>
    </row>
    <row r="101" spans="2:5" ht="12" customHeight="1">
      <c r="B101" s="103">
        <v>10071</v>
      </c>
      <c r="C101" s="104" t="s">
        <v>533</v>
      </c>
      <c r="D101" s="104" t="s">
        <v>96</v>
      </c>
      <c r="E101" s="105" t="s">
        <v>531</v>
      </c>
    </row>
    <row r="102" spans="2:5" ht="12" customHeight="1">
      <c r="B102" s="103">
        <v>10072</v>
      </c>
      <c r="C102" s="104" t="s">
        <v>534</v>
      </c>
      <c r="D102" s="104" t="s">
        <v>96</v>
      </c>
      <c r="E102" s="105" t="s">
        <v>531</v>
      </c>
    </row>
    <row r="103" spans="2:5" ht="12" customHeight="1">
      <c r="B103" s="103">
        <v>10087</v>
      </c>
      <c r="C103" s="104" t="s">
        <v>535</v>
      </c>
      <c r="D103" s="104" t="s">
        <v>96</v>
      </c>
      <c r="E103" s="105" t="s">
        <v>531</v>
      </c>
    </row>
    <row r="104" spans="2:5" ht="12" customHeight="1">
      <c r="B104" s="103">
        <v>10156</v>
      </c>
      <c r="C104" s="104" t="s">
        <v>536</v>
      </c>
      <c r="D104" s="104" t="s">
        <v>96</v>
      </c>
      <c r="E104" s="105" t="s">
        <v>531</v>
      </c>
    </row>
    <row r="105" spans="2:5" ht="12" customHeight="1">
      <c r="B105" s="103">
        <v>10163</v>
      </c>
      <c r="C105" s="104" t="s">
        <v>537</v>
      </c>
      <c r="D105" s="104" t="s">
        <v>96</v>
      </c>
      <c r="E105" s="105" t="s">
        <v>531</v>
      </c>
    </row>
    <row r="106" spans="2:5" ht="12" customHeight="1">
      <c r="B106" s="103">
        <v>10171</v>
      </c>
      <c r="C106" s="104" t="s">
        <v>538</v>
      </c>
      <c r="D106" s="104" t="s">
        <v>96</v>
      </c>
      <c r="E106" s="105" t="s">
        <v>531</v>
      </c>
    </row>
    <row r="107" spans="2:5" ht="12" customHeight="1">
      <c r="B107" s="103">
        <v>10174</v>
      </c>
      <c r="C107" s="104" t="s">
        <v>539</v>
      </c>
      <c r="D107" s="104" t="s">
        <v>96</v>
      </c>
      <c r="E107" s="105" t="s">
        <v>531</v>
      </c>
    </row>
    <row r="108" spans="2:5" ht="12" customHeight="1">
      <c r="B108" s="103">
        <v>10396</v>
      </c>
      <c r="C108" s="104" t="s">
        <v>540</v>
      </c>
      <c r="D108" s="104" t="s">
        <v>96</v>
      </c>
      <c r="E108" s="105" t="s">
        <v>531</v>
      </c>
    </row>
    <row r="109" spans="2:5" ht="12" customHeight="1">
      <c r="B109" s="103">
        <v>10672</v>
      </c>
      <c r="C109" s="104" t="s">
        <v>541</v>
      </c>
      <c r="D109" s="104" t="s">
        <v>96</v>
      </c>
      <c r="E109" s="105" t="s">
        <v>531</v>
      </c>
    </row>
    <row r="110" spans="2:5" ht="12" customHeight="1">
      <c r="B110" s="103">
        <v>10711</v>
      </c>
      <c r="C110" s="104" t="s">
        <v>542</v>
      </c>
      <c r="D110" s="104" t="s">
        <v>96</v>
      </c>
      <c r="E110" s="105" t="s">
        <v>531</v>
      </c>
    </row>
    <row r="111" spans="2:5" ht="12" customHeight="1">
      <c r="B111" s="103">
        <v>10801</v>
      </c>
      <c r="C111" s="104" t="s">
        <v>543</v>
      </c>
      <c r="D111" s="104" t="s">
        <v>96</v>
      </c>
      <c r="E111" s="105" t="s">
        <v>531</v>
      </c>
    </row>
    <row r="112" spans="2:5" ht="12" customHeight="1">
      <c r="B112" s="103">
        <v>10918</v>
      </c>
      <c r="C112" s="104" t="s">
        <v>544</v>
      </c>
      <c r="D112" s="104" t="s">
        <v>96</v>
      </c>
      <c r="E112" s="105" t="s">
        <v>531</v>
      </c>
    </row>
    <row r="113" spans="2:5" ht="12" customHeight="1">
      <c r="B113" s="103">
        <v>10919</v>
      </c>
      <c r="C113" s="104" t="s">
        <v>545</v>
      </c>
      <c r="D113" s="104" t="s">
        <v>96</v>
      </c>
      <c r="E113" s="105" t="s">
        <v>531</v>
      </c>
    </row>
    <row r="114" spans="2:5" ht="12" customHeight="1">
      <c r="B114" s="103">
        <v>12067</v>
      </c>
      <c r="C114" s="104" t="s">
        <v>546</v>
      </c>
      <c r="D114" s="104" t="s">
        <v>96</v>
      </c>
      <c r="E114" s="105" t="s">
        <v>531</v>
      </c>
    </row>
    <row r="115" spans="2:5" ht="12" customHeight="1">
      <c r="B115" s="103">
        <v>12402</v>
      </c>
      <c r="C115" s="104" t="s">
        <v>547</v>
      </c>
      <c r="D115" s="104" t="s">
        <v>96</v>
      </c>
      <c r="E115" s="105" t="s">
        <v>531</v>
      </c>
    </row>
    <row r="116" spans="2:5" ht="12" customHeight="1">
      <c r="B116" s="103">
        <v>12450</v>
      </c>
      <c r="C116" s="104" t="s">
        <v>548</v>
      </c>
      <c r="D116" s="104" t="s">
        <v>96</v>
      </c>
      <c r="E116" s="105" t="s">
        <v>531</v>
      </c>
    </row>
    <row r="117" spans="2:5" ht="12" customHeight="1">
      <c r="B117" s="103">
        <v>10123</v>
      </c>
      <c r="C117" s="104" t="s">
        <v>328</v>
      </c>
      <c r="D117" s="104" t="s">
        <v>99</v>
      </c>
      <c r="E117" s="105" t="s">
        <v>549</v>
      </c>
    </row>
    <row r="118" spans="2:5" ht="12" customHeight="1">
      <c r="B118" s="103">
        <v>10125</v>
      </c>
      <c r="C118" s="104" t="s">
        <v>550</v>
      </c>
      <c r="D118" s="104" t="s">
        <v>99</v>
      </c>
      <c r="E118" s="105" t="s">
        <v>549</v>
      </c>
    </row>
    <row r="119" spans="2:5" ht="12" customHeight="1">
      <c r="B119" s="103">
        <v>10401</v>
      </c>
      <c r="C119" s="104" t="s">
        <v>453</v>
      </c>
      <c r="D119" s="104" t="s">
        <v>99</v>
      </c>
      <c r="E119" s="105" t="s">
        <v>549</v>
      </c>
    </row>
    <row r="120" spans="2:5" ht="12" customHeight="1">
      <c r="B120" s="103">
        <v>12150</v>
      </c>
      <c r="C120" s="104" t="s">
        <v>551</v>
      </c>
      <c r="D120" s="104" t="s">
        <v>99</v>
      </c>
      <c r="E120" s="105" t="s">
        <v>549</v>
      </c>
    </row>
    <row r="121" spans="2:5" ht="12" customHeight="1">
      <c r="B121" s="103">
        <v>12362</v>
      </c>
      <c r="C121" s="104" t="s">
        <v>552</v>
      </c>
      <c r="D121" s="104" t="s">
        <v>99</v>
      </c>
      <c r="E121" s="105" t="s">
        <v>549</v>
      </c>
    </row>
    <row r="122" spans="2:5" ht="12" customHeight="1">
      <c r="B122" s="103">
        <v>20008</v>
      </c>
      <c r="C122" s="104" t="s">
        <v>553</v>
      </c>
      <c r="D122" s="104" t="s">
        <v>102</v>
      </c>
      <c r="E122" s="105" t="s">
        <v>554</v>
      </c>
    </row>
    <row r="123" spans="2:5" ht="12" customHeight="1">
      <c r="B123" s="103">
        <v>20009</v>
      </c>
      <c r="C123" s="104" t="s">
        <v>555</v>
      </c>
      <c r="D123" s="104" t="s">
        <v>102</v>
      </c>
      <c r="E123" s="105" t="s">
        <v>554</v>
      </c>
    </row>
    <row r="124" spans="2:5" ht="12" customHeight="1">
      <c r="B124" s="103">
        <v>22103</v>
      </c>
      <c r="C124" s="104" t="s">
        <v>556</v>
      </c>
      <c r="D124" s="104" t="s">
        <v>102</v>
      </c>
      <c r="E124" s="105" t="s">
        <v>554</v>
      </c>
    </row>
    <row r="125" spans="2:5" ht="12" customHeight="1">
      <c r="B125" s="103">
        <v>10914</v>
      </c>
      <c r="C125" s="104" t="s">
        <v>557</v>
      </c>
      <c r="D125" s="104" t="s">
        <v>105</v>
      </c>
      <c r="E125" s="105" t="s">
        <v>558</v>
      </c>
    </row>
    <row r="126" spans="2:5" ht="12" customHeight="1">
      <c r="B126" s="103">
        <v>12360</v>
      </c>
      <c r="C126" s="104" t="s">
        <v>559</v>
      </c>
      <c r="D126" s="104" t="s">
        <v>105</v>
      </c>
      <c r="E126" s="105" t="s">
        <v>558</v>
      </c>
    </row>
    <row r="127" spans="2:5" ht="12" customHeight="1">
      <c r="B127" s="103">
        <v>22045</v>
      </c>
      <c r="C127" s="104" t="s">
        <v>560</v>
      </c>
      <c r="D127" s="104" t="s">
        <v>107</v>
      </c>
      <c r="E127" s="105" t="s">
        <v>108</v>
      </c>
    </row>
    <row r="128" spans="2:5" ht="12" customHeight="1">
      <c r="B128" s="103">
        <v>22056</v>
      </c>
      <c r="C128" s="104" t="s">
        <v>561</v>
      </c>
      <c r="D128" s="104" t="s">
        <v>107</v>
      </c>
      <c r="E128" s="105" t="s">
        <v>108</v>
      </c>
    </row>
    <row r="129" spans="2:5" ht="12" customHeight="1">
      <c r="B129" s="103">
        <v>22075</v>
      </c>
      <c r="C129" s="104" t="s">
        <v>562</v>
      </c>
      <c r="D129" s="104" t="s">
        <v>107</v>
      </c>
      <c r="E129" s="105" t="s">
        <v>108</v>
      </c>
    </row>
    <row r="130" spans="2:5" ht="12" customHeight="1">
      <c r="B130" s="103">
        <v>22076</v>
      </c>
      <c r="C130" s="104" t="s">
        <v>563</v>
      </c>
      <c r="D130" s="104" t="s">
        <v>107</v>
      </c>
      <c r="E130" s="105" t="s">
        <v>108</v>
      </c>
    </row>
    <row r="131" spans="2:5" ht="12" customHeight="1">
      <c r="B131" s="103">
        <v>22098</v>
      </c>
      <c r="C131" s="104" t="s">
        <v>564</v>
      </c>
      <c r="D131" s="104" t="s">
        <v>107</v>
      </c>
      <c r="E131" s="105" t="s">
        <v>108</v>
      </c>
    </row>
    <row r="132" spans="2:5" ht="12" customHeight="1">
      <c r="B132" s="103">
        <v>22116</v>
      </c>
      <c r="C132" s="104" t="s">
        <v>565</v>
      </c>
      <c r="D132" s="104" t="s">
        <v>107</v>
      </c>
      <c r="E132" s="105" t="s">
        <v>108</v>
      </c>
    </row>
    <row r="133" spans="2:5" ht="12" customHeight="1">
      <c r="B133" s="103">
        <v>22126</v>
      </c>
      <c r="C133" s="104" t="s">
        <v>566</v>
      </c>
      <c r="D133" s="104" t="s">
        <v>107</v>
      </c>
      <c r="E133" s="105" t="s">
        <v>108</v>
      </c>
    </row>
    <row r="134" spans="2:5" ht="12" customHeight="1">
      <c r="B134" s="103">
        <v>22180</v>
      </c>
      <c r="C134" s="104" t="s">
        <v>567</v>
      </c>
      <c r="D134" s="104" t="s">
        <v>107</v>
      </c>
      <c r="E134" s="105" t="s">
        <v>108</v>
      </c>
    </row>
    <row r="135" spans="2:5" ht="12" customHeight="1">
      <c r="B135" s="103">
        <v>22182</v>
      </c>
      <c r="C135" s="104" t="s">
        <v>568</v>
      </c>
      <c r="D135" s="104" t="s">
        <v>107</v>
      </c>
      <c r="E135" s="105" t="s">
        <v>108</v>
      </c>
    </row>
    <row r="136" spans="2:5" ht="12" customHeight="1">
      <c r="B136" s="103">
        <v>22188</v>
      </c>
      <c r="C136" s="104" t="s">
        <v>569</v>
      </c>
      <c r="D136" s="104" t="s">
        <v>107</v>
      </c>
      <c r="E136" s="105" t="s">
        <v>108</v>
      </c>
    </row>
    <row r="137" spans="2:5" ht="12" customHeight="1">
      <c r="B137" s="103">
        <v>22195</v>
      </c>
      <c r="C137" s="104" t="s">
        <v>570</v>
      </c>
      <c r="D137" s="104" t="s">
        <v>107</v>
      </c>
      <c r="E137" s="105" t="s">
        <v>108</v>
      </c>
    </row>
    <row r="138" spans="2:5" ht="12" customHeight="1">
      <c r="B138" s="103">
        <v>22215</v>
      </c>
      <c r="C138" s="104" t="s">
        <v>571</v>
      </c>
      <c r="D138" s="104" t="s">
        <v>107</v>
      </c>
      <c r="E138" s="105" t="s">
        <v>108</v>
      </c>
    </row>
    <row r="139" spans="2:5" ht="12" customHeight="1">
      <c r="B139" s="103">
        <v>22220</v>
      </c>
      <c r="C139" s="104" t="s">
        <v>572</v>
      </c>
      <c r="D139" s="104" t="s">
        <v>107</v>
      </c>
      <c r="E139" s="105" t="s">
        <v>108</v>
      </c>
    </row>
    <row r="140" spans="2:5" ht="12" customHeight="1">
      <c r="B140" s="103">
        <v>22247</v>
      </c>
      <c r="C140" s="104" t="s">
        <v>573</v>
      </c>
      <c r="D140" s="104" t="s">
        <v>107</v>
      </c>
      <c r="E140" s="105" t="s">
        <v>108</v>
      </c>
    </row>
    <row r="141" spans="2:5" ht="12" customHeight="1">
      <c r="B141" s="103">
        <v>22255</v>
      </c>
      <c r="C141" s="104" t="s">
        <v>574</v>
      </c>
      <c r="D141" s="104" t="s">
        <v>107</v>
      </c>
      <c r="E141" s="105" t="s">
        <v>108</v>
      </c>
    </row>
    <row r="142" spans="2:5" ht="12" customHeight="1">
      <c r="B142" s="103">
        <v>22266</v>
      </c>
      <c r="C142" s="104" t="s">
        <v>575</v>
      </c>
      <c r="D142" s="104" t="s">
        <v>107</v>
      </c>
      <c r="E142" s="105" t="s">
        <v>108</v>
      </c>
    </row>
    <row r="143" spans="2:5" ht="12" customHeight="1">
      <c r="B143" s="103">
        <v>22290</v>
      </c>
      <c r="C143" s="104" t="s">
        <v>576</v>
      </c>
      <c r="D143" s="104" t="s">
        <v>107</v>
      </c>
      <c r="E143" s="105" t="s">
        <v>108</v>
      </c>
    </row>
    <row r="144" spans="2:5" ht="12" customHeight="1">
      <c r="B144" s="103">
        <v>22300</v>
      </c>
      <c r="C144" s="104" t="s">
        <v>577</v>
      </c>
      <c r="D144" s="104" t="s">
        <v>107</v>
      </c>
      <c r="E144" s="105" t="s">
        <v>108</v>
      </c>
    </row>
    <row r="145" spans="2:5" ht="12" customHeight="1">
      <c r="B145" s="103">
        <v>22311</v>
      </c>
      <c r="C145" s="104" t="s">
        <v>578</v>
      </c>
      <c r="D145" s="104" t="s">
        <v>107</v>
      </c>
      <c r="E145" s="105" t="s">
        <v>108</v>
      </c>
    </row>
    <row r="146" spans="2:5" ht="12" customHeight="1">
      <c r="B146" s="103">
        <v>22317</v>
      </c>
      <c r="C146" s="104" t="s">
        <v>579</v>
      </c>
      <c r="D146" s="104" t="s">
        <v>107</v>
      </c>
      <c r="E146" s="105" t="s">
        <v>108</v>
      </c>
    </row>
    <row r="147" spans="2:5" ht="12" customHeight="1">
      <c r="B147" s="103">
        <v>12330</v>
      </c>
      <c r="C147" s="104" t="s">
        <v>580</v>
      </c>
      <c r="D147" s="104" t="s">
        <v>109</v>
      </c>
      <c r="E147" s="105" t="s">
        <v>581</v>
      </c>
    </row>
    <row r="148" spans="2:5" ht="12" customHeight="1">
      <c r="B148" s="103">
        <v>20342</v>
      </c>
      <c r="C148" s="104" t="s">
        <v>582</v>
      </c>
      <c r="D148" s="104" t="s">
        <v>109</v>
      </c>
      <c r="E148" s="105" t="s">
        <v>581</v>
      </c>
    </row>
    <row r="149" spans="2:5" ht="12" customHeight="1">
      <c r="B149" s="103">
        <v>20357</v>
      </c>
      <c r="C149" s="104" t="s">
        <v>583</v>
      </c>
      <c r="D149" s="104" t="s">
        <v>109</v>
      </c>
      <c r="E149" s="105" t="s">
        <v>581</v>
      </c>
    </row>
    <row r="150" spans="2:5" ht="12" customHeight="1">
      <c r="B150" s="103">
        <v>20372</v>
      </c>
      <c r="C150" s="104" t="s">
        <v>584</v>
      </c>
      <c r="D150" s="104" t="s">
        <v>109</v>
      </c>
      <c r="E150" s="105" t="s">
        <v>581</v>
      </c>
    </row>
    <row r="151" spans="2:5" ht="12" customHeight="1">
      <c r="B151" s="103">
        <v>22025</v>
      </c>
      <c r="C151" s="104" t="s">
        <v>585</v>
      </c>
      <c r="D151" s="104" t="s">
        <v>109</v>
      </c>
      <c r="E151" s="105" t="s">
        <v>581</v>
      </c>
    </row>
    <row r="152" spans="2:5" ht="12" customHeight="1">
      <c r="B152" s="103">
        <v>22095</v>
      </c>
      <c r="C152" s="104" t="s">
        <v>586</v>
      </c>
      <c r="D152" s="104" t="s">
        <v>109</v>
      </c>
      <c r="E152" s="105" t="s">
        <v>581</v>
      </c>
    </row>
    <row r="153" spans="2:5" ht="12" customHeight="1">
      <c r="B153" s="103">
        <v>22111</v>
      </c>
      <c r="C153" s="104" t="s">
        <v>587</v>
      </c>
      <c r="D153" s="104" t="s">
        <v>109</v>
      </c>
      <c r="E153" s="105" t="s">
        <v>581</v>
      </c>
    </row>
    <row r="154" spans="2:5" ht="12" customHeight="1">
      <c r="B154" s="103">
        <v>22142</v>
      </c>
      <c r="C154" s="104" t="s">
        <v>588</v>
      </c>
      <c r="D154" s="104" t="s">
        <v>109</v>
      </c>
      <c r="E154" s="105" t="s">
        <v>581</v>
      </c>
    </row>
    <row r="155" spans="2:5" ht="12" customHeight="1">
      <c r="B155" s="103">
        <v>22143</v>
      </c>
      <c r="C155" s="104" t="s">
        <v>589</v>
      </c>
      <c r="D155" s="104" t="s">
        <v>109</v>
      </c>
      <c r="E155" s="105" t="s">
        <v>581</v>
      </c>
    </row>
    <row r="156" spans="2:5" ht="12" customHeight="1">
      <c r="B156" s="103">
        <v>22185</v>
      </c>
      <c r="C156" s="104" t="s">
        <v>590</v>
      </c>
      <c r="D156" s="104" t="s">
        <v>109</v>
      </c>
      <c r="E156" s="105" t="s">
        <v>581</v>
      </c>
    </row>
    <row r="157" spans="2:5" ht="12" customHeight="1">
      <c r="B157" s="103">
        <v>22196</v>
      </c>
      <c r="C157" s="104" t="s">
        <v>591</v>
      </c>
      <c r="D157" s="104" t="s">
        <v>109</v>
      </c>
      <c r="E157" s="105" t="s">
        <v>581</v>
      </c>
    </row>
    <row r="158" spans="2:5" ht="12" customHeight="1">
      <c r="B158" s="103">
        <v>22313</v>
      </c>
      <c r="C158" s="104" t="s">
        <v>592</v>
      </c>
      <c r="D158" s="104" t="s">
        <v>109</v>
      </c>
      <c r="E158" s="105" t="s">
        <v>581</v>
      </c>
    </row>
    <row r="159" spans="2:5" ht="12" customHeight="1">
      <c r="B159" s="103">
        <v>22330</v>
      </c>
      <c r="C159" s="104" t="s">
        <v>593</v>
      </c>
      <c r="D159" s="104" t="s">
        <v>109</v>
      </c>
      <c r="E159" s="105" t="s">
        <v>581</v>
      </c>
    </row>
    <row r="160" spans="2:5" ht="12" customHeight="1">
      <c r="B160" s="103">
        <v>22331</v>
      </c>
      <c r="C160" s="104" t="s">
        <v>594</v>
      </c>
      <c r="D160" s="104" t="s">
        <v>109</v>
      </c>
      <c r="E160" s="105" t="s">
        <v>581</v>
      </c>
    </row>
    <row r="161" spans="2:5" ht="12" customHeight="1">
      <c r="B161" s="103">
        <v>22350</v>
      </c>
      <c r="C161" s="104" t="s">
        <v>595</v>
      </c>
      <c r="D161" s="104" t="s">
        <v>109</v>
      </c>
      <c r="E161" s="105" t="s">
        <v>581</v>
      </c>
    </row>
    <row r="162" spans="2:5" ht="12" customHeight="1">
      <c r="B162" s="103">
        <v>22366</v>
      </c>
      <c r="C162" s="104" t="s">
        <v>596</v>
      </c>
      <c r="D162" s="104" t="s">
        <v>109</v>
      </c>
      <c r="E162" s="105" t="s">
        <v>581</v>
      </c>
    </row>
    <row r="163" spans="2:5" ht="12" customHeight="1">
      <c r="B163" s="103">
        <v>22380</v>
      </c>
      <c r="C163" s="104" t="s">
        <v>597</v>
      </c>
      <c r="D163" s="104" t="s">
        <v>109</v>
      </c>
      <c r="E163" s="105" t="s">
        <v>581</v>
      </c>
    </row>
    <row r="164" spans="2:5" ht="12" customHeight="1">
      <c r="B164" s="103">
        <v>12171</v>
      </c>
      <c r="C164" s="104" t="s">
        <v>598</v>
      </c>
      <c r="D164" s="104" t="s">
        <v>112</v>
      </c>
      <c r="E164" s="105" t="s">
        <v>599</v>
      </c>
    </row>
    <row r="165" spans="2:5" ht="12" customHeight="1">
      <c r="B165" s="103">
        <v>20122</v>
      </c>
      <c r="C165" s="104" t="s">
        <v>600</v>
      </c>
      <c r="D165" s="104" t="s">
        <v>112</v>
      </c>
      <c r="E165" s="105" t="s">
        <v>599</v>
      </c>
    </row>
    <row r="166" spans="2:5" ht="12" customHeight="1">
      <c r="B166" s="103">
        <v>20127</v>
      </c>
      <c r="C166" s="104" t="s">
        <v>601</v>
      </c>
      <c r="D166" s="104" t="s">
        <v>112</v>
      </c>
      <c r="E166" s="105" t="s">
        <v>599</v>
      </c>
    </row>
    <row r="167" spans="2:5" ht="12" customHeight="1">
      <c r="B167" s="103">
        <v>20182</v>
      </c>
      <c r="C167" s="104" t="s">
        <v>602</v>
      </c>
      <c r="D167" s="104" t="s">
        <v>112</v>
      </c>
      <c r="E167" s="105" t="s">
        <v>599</v>
      </c>
    </row>
    <row r="168" spans="2:5" ht="12" customHeight="1">
      <c r="B168" s="103">
        <v>20217</v>
      </c>
      <c r="C168" s="104" t="s">
        <v>603</v>
      </c>
      <c r="D168" s="104" t="s">
        <v>112</v>
      </c>
      <c r="E168" s="105" t="s">
        <v>599</v>
      </c>
    </row>
    <row r="169" spans="2:5" ht="12" customHeight="1">
      <c r="B169" s="103">
        <v>20317</v>
      </c>
      <c r="C169" s="104" t="s">
        <v>604</v>
      </c>
      <c r="D169" s="104" t="s">
        <v>112</v>
      </c>
      <c r="E169" s="105" t="s">
        <v>599</v>
      </c>
    </row>
    <row r="170" spans="2:5" ht="12" customHeight="1">
      <c r="B170" s="103">
        <v>20377</v>
      </c>
      <c r="C170" s="104" t="s">
        <v>605</v>
      </c>
      <c r="D170" s="104" t="s">
        <v>112</v>
      </c>
      <c r="E170" s="105" t="s">
        <v>599</v>
      </c>
    </row>
    <row r="171" spans="2:5" ht="12" customHeight="1">
      <c r="B171" s="103">
        <v>22016</v>
      </c>
      <c r="C171" s="104" t="s">
        <v>606</v>
      </c>
      <c r="D171" s="104" t="s">
        <v>112</v>
      </c>
      <c r="E171" s="105" t="s">
        <v>599</v>
      </c>
    </row>
    <row r="172" spans="2:5" ht="12" customHeight="1">
      <c r="B172" s="103">
        <v>22060</v>
      </c>
      <c r="C172" s="104" t="s">
        <v>607</v>
      </c>
      <c r="D172" s="104" t="s">
        <v>112</v>
      </c>
      <c r="E172" s="105" t="s">
        <v>599</v>
      </c>
    </row>
    <row r="173" spans="2:5" ht="12" customHeight="1">
      <c r="B173" s="103">
        <v>22071</v>
      </c>
      <c r="C173" s="104" t="s">
        <v>608</v>
      </c>
      <c r="D173" s="104" t="s">
        <v>112</v>
      </c>
      <c r="E173" s="105" t="s">
        <v>599</v>
      </c>
    </row>
    <row r="174" spans="2:5" ht="12" customHeight="1">
      <c r="B174" s="103">
        <v>22074</v>
      </c>
      <c r="C174" s="104" t="s">
        <v>609</v>
      </c>
      <c r="D174" s="104" t="s">
        <v>112</v>
      </c>
      <c r="E174" s="105" t="s">
        <v>599</v>
      </c>
    </row>
    <row r="175" spans="2:5" ht="12" customHeight="1">
      <c r="B175" s="103">
        <v>22085</v>
      </c>
      <c r="C175" s="104" t="s">
        <v>610</v>
      </c>
      <c r="D175" s="104" t="s">
        <v>112</v>
      </c>
      <c r="E175" s="105" t="s">
        <v>599</v>
      </c>
    </row>
    <row r="176" spans="2:5" ht="12" customHeight="1">
      <c r="B176" s="103">
        <v>22086</v>
      </c>
      <c r="C176" s="104" t="s">
        <v>611</v>
      </c>
      <c r="D176" s="104" t="s">
        <v>112</v>
      </c>
      <c r="E176" s="105" t="s">
        <v>599</v>
      </c>
    </row>
    <row r="177" spans="2:5" ht="12" customHeight="1">
      <c r="B177" s="103">
        <v>22091</v>
      </c>
      <c r="C177" s="104" t="s">
        <v>612</v>
      </c>
      <c r="D177" s="104" t="s">
        <v>112</v>
      </c>
      <c r="E177" s="105" t="s">
        <v>599</v>
      </c>
    </row>
    <row r="178" spans="2:5" ht="12" customHeight="1">
      <c r="B178" s="103">
        <v>22112</v>
      </c>
      <c r="C178" s="104" t="s">
        <v>613</v>
      </c>
      <c r="D178" s="104" t="s">
        <v>112</v>
      </c>
      <c r="E178" s="105" t="s">
        <v>599</v>
      </c>
    </row>
    <row r="179" spans="2:5" ht="12" customHeight="1">
      <c r="B179" s="103">
        <v>22115</v>
      </c>
      <c r="C179" s="104" t="s">
        <v>614</v>
      </c>
      <c r="D179" s="104" t="s">
        <v>112</v>
      </c>
      <c r="E179" s="105" t="s">
        <v>599</v>
      </c>
    </row>
    <row r="180" spans="2:5" ht="12" customHeight="1">
      <c r="B180" s="103">
        <v>22124</v>
      </c>
      <c r="C180" s="104" t="s">
        <v>615</v>
      </c>
      <c r="D180" s="104" t="s">
        <v>112</v>
      </c>
      <c r="E180" s="105" t="s">
        <v>599</v>
      </c>
    </row>
    <row r="181" spans="2:5" ht="12" customHeight="1">
      <c r="B181" s="103">
        <v>22144</v>
      </c>
      <c r="C181" s="104" t="s">
        <v>616</v>
      </c>
      <c r="D181" s="104" t="s">
        <v>112</v>
      </c>
      <c r="E181" s="105" t="s">
        <v>599</v>
      </c>
    </row>
    <row r="182" spans="2:5" ht="12" customHeight="1">
      <c r="B182" s="103">
        <v>22165</v>
      </c>
      <c r="C182" s="104" t="s">
        <v>617</v>
      </c>
      <c r="D182" s="104" t="s">
        <v>112</v>
      </c>
      <c r="E182" s="105" t="s">
        <v>599</v>
      </c>
    </row>
    <row r="183" spans="2:5" ht="12" customHeight="1">
      <c r="B183" s="103">
        <v>22170</v>
      </c>
      <c r="C183" s="104" t="s">
        <v>618</v>
      </c>
      <c r="D183" s="104" t="s">
        <v>112</v>
      </c>
      <c r="E183" s="105" t="s">
        <v>599</v>
      </c>
    </row>
    <row r="184" spans="2:5" ht="12" customHeight="1">
      <c r="B184" s="103">
        <v>22175</v>
      </c>
      <c r="C184" s="104" t="s">
        <v>619</v>
      </c>
      <c r="D184" s="104" t="s">
        <v>112</v>
      </c>
      <c r="E184" s="105" t="s">
        <v>599</v>
      </c>
    </row>
    <row r="185" spans="2:5" ht="12" customHeight="1">
      <c r="B185" s="103">
        <v>22176</v>
      </c>
      <c r="C185" s="104" t="s">
        <v>620</v>
      </c>
      <c r="D185" s="104" t="s">
        <v>112</v>
      </c>
      <c r="E185" s="105" t="s">
        <v>599</v>
      </c>
    </row>
    <row r="186" spans="2:5" ht="12" customHeight="1">
      <c r="B186" s="103">
        <v>22190</v>
      </c>
      <c r="C186" s="104" t="s">
        <v>621</v>
      </c>
      <c r="D186" s="104" t="s">
        <v>112</v>
      </c>
      <c r="E186" s="105" t="s">
        <v>599</v>
      </c>
    </row>
    <row r="187" spans="2:5" ht="12" customHeight="1">
      <c r="B187" s="103">
        <v>22341</v>
      </c>
      <c r="C187" s="104" t="s">
        <v>622</v>
      </c>
      <c r="D187" s="104" t="s">
        <v>112</v>
      </c>
      <c r="E187" s="105" t="s">
        <v>599</v>
      </c>
    </row>
    <row r="188" spans="2:5" ht="12" customHeight="1">
      <c r="B188" s="103">
        <v>22345</v>
      </c>
      <c r="C188" s="104" t="s">
        <v>623</v>
      </c>
      <c r="D188" s="104" t="s">
        <v>112</v>
      </c>
      <c r="E188" s="105" t="s">
        <v>599</v>
      </c>
    </row>
    <row r="189" spans="2:5" ht="12" customHeight="1">
      <c r="B189" s="103">
        <v>22357</v>
      </c>
      <c r="C189" s="104" t="s">
        <v>624</v>
      </c>
      <c r="D189" s="104" t="s">
        <v>112</v>
      </c>
      <c r="E189" s="105" t="s">
        <v>599</v>
      </c>
    </row>
    <row r="190" spans="2:5" ht="12" customHeight="1">
      <c r="B190" s="103">
        <v>22360</v>
      </c>
      <c r="C190" s="104" t="s">
        <v>625</v>
      </c>
      <c r="D190" s="104" t="s">
        <v>112</v>
      </c>
      <c r="E190" s="105" t="s">
        <v>599</v>
      </c>
    </row>
    <row r="191" spans="2:5" ht="12" customHeight="1">
      <c r="B191" s="103">
        <v>22361</v>
      </c>
      <c r="C191" s="104" t="s">
        <v>626</v>
      </c>
      <c r="D191" s="104" t="s">
        <v>112</v>
      </c>
      <c r="E191" s="105" t="s">
        <v>599</v>
      </c>
    </row>
    <row r="192" spans="2:5" ht="12" customHeight="1">
      <c r="B192" s="103">
        <v>22367</v>
      </c>
      <c r="C192" s="104" t="s">
        <v>627</v>
      </c>
      <c r="D192" s="104" t="s">
        <v>112</v>
      </c>
      <c r="E192" s="105" t="s">
        <v>599</v>
      </c>
    </row>
    <row r="193" spans="2:5" ht="12" customHeight="1">
      <c r="B193" s="103">
        <v>22371</v>
      </c>
      <c r="C193" s="104" t="s">
        <v>628</v>
      </c>
      <c r="D193" s="104" t="s">
        <v>112</v>
      </c>
      <c r="E193" s="105" t="s">
        <v>599</v>
      </c>
    </row>
    <row r="194" spans="2:5" ht="12" customHeight="1">
      <c r="B194" s="103">
        <v>20397</v>
      </c>
      <c r="C194" s="104" t="s">
        <v>629</v>
      </c>
      <c r="D194" s="104" t="s">
        <v>117</v>
      </c>
      <c r="E194" s="105" t="s">
        <v>118</v>
      </c>
    </row>
    <row r="195" spans="2:5" ht="12" customHeight="1">
      <c r="B195" s="103">
        <v>22119</v>
      </c>
      <c r="C195" s="104" t="s">
        <v>630</v>
      </c>
      <c r="D195" s="104" t="s">
        <v>117</v>
      </c>
      <c r="E195" s="105" t="s">
        <v>118</v>
      </c>
    </row>
    <row r="196" spans="2:5" ht="12" customHeight="1">
      <c r="B196" s="103">
        <v>22123</v>
      </c>
      <c r="C196" s="104" t="s">
        <v>631</v>
      </c>
      <c r="D196" s="104" t="s">
        <v>117</v>
      </c>
      <c r="E196" s="105" t="s">
        <v>118</v>
      </c>
    </row>
    <row r="197" spans="2:5" ht="12" customHeight="1">
      <c r="B197" s="103">
        <v>22020</v>
      </c>
      <c r="C197" s="104" t="s">
        <v>632</v>
      </c>
      <c r="D197" s="104" t="s">
        <v>119</v>
      </c>
      <c r="E197" s="105" t="s">
        <v>633</v>
      </c>
    </row>
    <row r="198" spans="2:5" ht="12" customHeight="1">
      <c r="B198" s="103">
        <v>10107</v>
      </c>
      <c r="C198" s="104" t="s">
        <v>634</v>
      </c>
      <c r="D198" s="104" t="s">
        <v>124</v>
      </c>
      <c r="E198" s="105" t="s">
        <v>635</v>
      </c>
    </row>
    <row r="199" spans="2:5" ht="12" customHeight="1">
      <c r="B199" s="103">
        <v>20072</v>
      </c>
      <c r="C199" s="104" t="s">
        <v>341</v>
      </c>
      <c r="D199" s="104" t="s">
        <v>126</v>
      </c>
      <c r="E199" s="105" t="s">
        <v>636</v>
      </c>
    </row>
    <row r="200" spans="2:5" ht="12" customHeight="1">
      <c r="B200" s="103">
        <v>20152</v>
      </c>
      <c r="C200" s="104" t="s">
        <v>342</v>
      </c>
      <c r="D200" s="104" t="s">
        <v>126</v>
      </c>
      <c r="E200" s="105" t="s">
        <v>636</v>
      </c>
    </row>
    <row r="201" spans="2:5" ht="12" customHeight="1">
      <c r="B201" s="103">
        <v>20347</v>
      </c>
      <c r="C201" s="104" t="s">
        <v>343</v>
      </c>
      <c r="D201" s="104" t="s">
        <v>126</v>
      </c>
      <c r="E201" s="105" t="s">
        <v>636</v>
      </c>
    </row>
    <row r="202" spans="2:5" ht="12" customHeight="1">
      <c r="B202" s="103">
        <v>10164</v>
      </c>
      <c r="C202" s="104" t="s">
        <v>329</v>
      </c>
      <c r="D202" s="104" t="s">
        <v>128</v>
      </c>
      <c r="E202" s="105" t="s">
        <v>129</v>
      </c>
    </row>
    <row r="203" spans="2:5" ht="12" customHeight="1">
      <c r="B203" s="103">
        <v>10927</v>
      </c>
      <c r="C203" s="104" t="s">
        <v>637</v>
      </c>
      <c r="D203" s="104" t="s">
        <v>128</v>
      </c>
      <c r="E203" s="105" t="s">
        <v>129</v>
      </c>
    </row>
    <row r="204" spans="2:5" ht="12" customHeight="1">
      <c r="B204" s="103">
        <v>12030</v>
      </c>
      <c r="C204" s="104" t="s">
        <v>638</v>
      </c>
      <c r="D204" s="104" t="s">
        <v>128</v>
      </c>
      <c r="E204" s="105" t="s">
        <v>129</v>
      </c>
    </row>
    <row r="205" spans="2:5" ht="12" customHeight="1">
      <c r="B205" s="103">
        <v>12320</v>
      </c>
      <c r="C205" s="104" t="s">
        <v>525</v>
      </c>
      <c r="D205" s="104" t="s">
        <v>639</v>
      </c>
      <c r="E205" s="105" t="s">
        <v>132</v>
      </c>
    </row>
    <row r="206" spans="2:5" ht="12" customHeight="1">
      <c r="B206" s="103">
        <v>12331</v>
      </c>
      <c r="C206" s="104" t="s">
        <v>640</v>
      </c>
      <c r="D206" s="104" t="s">
        <v>639</v>
      </c>
      <c r="E206" s="105" t="s">
        <v>132</v>
      </c>
    </row>
    <row r="207" spans="2:5" ht="12" customHeight="1">
      <c r="B207" s="103">
        <v>12345</v>
      </c>
      <c r="C207" s="104" t="s">
        <v>526</v>
      </c>
      <c r="D207" s="104" t="s">
        <v>639</v>
      </c>
      <c r="E207" s="105" t="s">
        <v>132</v>
      </c>
    </row>
    <row r="208" spans="2:5" ht="12" customHeight="1">
      <c r="B208" s="106">
        <v>12452</v>
      </c>
      <c r="C208" s="107" t="s">
        <v>528</v>
      </c>
      <c r="D208" s="107" t="s">
        <v>639</v>
      </c>
      <c r="E208" s="108" t="s">
        <v>132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"/>
  <sheetViews>
    <sheetView workbookViewId="0">
      <selection activeCell="J18" sqref="J18"/>
    </sheetView>
  </sheetViews>
  <sheetFormatPr defaultRowHeight="16.5"/>
  <sheetData/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F104"/>
  <sheetViews>
    <sheetView showGridLines="0" view="pageBreakPreview" zoomScaleNormal="100" zoomScaleSheetLayoutView="100" workbookViewId="0">
      <selection activeCell="I50" sqref="I50"/>
    </sheetView>
  </sheetViews>
  <sheetFormatPr defaultRowHeight="11.25"/>
  <cols>
    <col min="1" max="1" width="6" style="150" customWidth="1"/>
    <col min="2" max="2" width="9" style="150" customWidth="1"/>
    <col min="3" max="3" width="17.125" style="150" customWidth="1"/>
    <col min="4" max="4" width="17.25" style="112" customWidth="1"/>
    <col min="5" max="5" width="19.25" style="112" customWidth="1"/>
    <col min="6" max="6" width="11.875" style="112" customWidth="1"/>
    <col min="7" max="16384" width="9" style="150"/>
  </cols>
  <sheetData>
    <row r="1" spans="1:6">
      <c r="A1" s="424" t="s">
        <v>641</v>
      </c>
      <c r="B1" s="151"/>
      <c r="C1" s="151"/>
      <c r="D1" s="151"/>
      <c r="E1" s="151"/>
    </row>
    <row r="2" spans="1:6" ht="2.25" customHeight="1">
      <c r="A2" s="424"/>
      <c r="B2" s="151"/>
      <c r="C2" s="151"/>
      <c r="D2" s="161"/>
      <c r="E2" s="161"/>
    </row>
    <row r="3" spans="1:6">
      <c r="A3" s="425" t="s">
        <v>642</v>
      </c>
      <c r="B3" s="197"/>
      <c r="C3" s="197"/>
      <c r="D3" s="197"/>
      <c r="E3" s="197"/>
    </row>
    <row r="4" spans="1:6">
      <c r="A4" s="152" t="s">
        <v>643</v>
      </c>
      <c r="B4" s="153"/>
      <c r="C4" s="154"/>
      <c r="D4" s="162"/>
      <c r="E4" s="163" t="s">
        <v>644</v>
      </c>
    </row>
    <row r="5" spans="1:6" ht="17.25" customHeight="1">
      <c r="A5" s="155" t="s">
        <v>645</v>
      </c>
      <c r="B5" s="155" t="s">
        <v>646</v>
      </c>
      <c r="C5" s="155" t="s">
        <v>647</v>
      </c>
      <c r="D5" s="164" t="s">
        <v>648</v>
      </c>
      <c r="E5" s="164" t="s">
        <v>649</v>
      </c>
      <c r="F5" s="164" t="s">
        <v>206</v>
      </c>
    </row>
    <row r="6" spans="1:6" ht="17.25" customHeight="1">
      <c r="A6" s="198" t="s">
        <v>650</v>
      </c>
      <c r="B6" s="199" t="s">
        <v>651</v>
      </c>
      <c r="C6" s="156" t="s">
        <v>227</v>
      </c>
      <c r="D6" s="165">
        <v>11723980</v>
      </c>
      <c r="E6" s="165">
        <v>44429056993</v>
      </c>
      <c r="F6" s="112">
        <f>E6/D6</f>
        <v>3789.5882620918833</v>
      </c>
    </row>
    <row r="7" spans="1:6" ht="17.25" customHeight="1">
      <c r="A7" s="198" t="s">
        <v>650</v>
      </c>
      <c r="B7" s="199" t="s">
        <v>651</v>
      </c>
      <c r="C7" s="157" t="s">
        <v>237</v>
      </c>
      <c r="D7" s="166">
        <v>3782</v>
      </c>
      <c r="E7" s="166">
        <v>451683356</v>
      </c>
      <c r="F7" s="112">
        <f t="shared" ref="F7:F70" si="0">E7/D7</f>
        <v>119429.76097303015</v>
      </c>
    </row>
    <row r="8" spans="1:6" ht="17.25" customHeight="1">
      <c r="A8" s="198" t="s">
        <v>650</v>
      </c>
      <c r="B8" s="199" t="s">
        <v>651</v>
      </c>
      <c r="C8" s="157" t="s">
        <v>241</v>
      </c>
      <c r="D8" s="166">
        <v>4176</v>
      </c>
      <c r="E8" s="166">
        <v>198946076</v>
      </c>
      <c r="F8" s="112">
        <f t="shared" si="0"/>
        <v>47640.343869731798</v>
      </c>
    </row>
    <row r="9" spans="1:6" ht="17.25" customHeight="1">
      <c r="A9" s="198" t="s">
        <v>650</v>
      </c>
      <c r="B9" s="199" t="s">
        <v>651</v>
      </c>
      <c r="C9" s="157" t="s">
        <v>230</v>
      </c>
      <c r="D9" s="166">
        <v>6689981</v>
      </c>
      <c r="E9" s="166">
        <v>33308206605</v>
      </c>
      <c r="F9" s="112">
        <f t="shared" si="0"/>
        <v>4978.819312790275</v>
      </c>
    </row>
    <row r="10" spans="1:6" ht="17.25" customHeight="1">
      <c r="A10" s="198" t="s">
        <v>650</v>
      </c>
      <c r="B10" s="199" t="s">
        <v>651</v>
      </c>
      <c r="C10" s="157" t="s">
        <v>244</v>
      </c>
      <c r="D10" s="166">
        <v>55300892.899999999</v>
      </c>
      <c r="E10" s="166">
        <v>4512056637</v>
      </c>
      <c r="F10" s="112">
        <f t="shared" si="0"/>
        <v>81.591026842172383</v>
      </c>
    </row>
    <row r="11" spans="1:6" ht="17.25" customHeight="1">
      <c r="A11" s="198" t="s">
        <v>650</v>
      </c>
      <c r="B11" s="199" t="s">
        <v>651</v>
      </c>
      <c r="C11" s="157" t="s">
        <v>247</v>
      </c>
      <c r="D11" s="166">
        <v>2211335</v>
      </c>
      <c r="E11" s="166">
        <v>356317510</v>
      </c>
      <c r="F11" s="112">
        <f t="shared" si="0"/>
        <v>161.13230695484853</v>
      </c>
    </row>
    <row r="12" spans="1:6" ht="17.25" customHeight="1">
      <c r="A12" s="198" t="s">
        <v>650</v>
      </c>
      <c r="B12" s="199" t="s">
        <v>651</v>
      </c>
      <c r="C12" s="157" t="s">
        <v>234</v>
      </c>
      <c r="D12" s="166">
        <v>5408289</v>
      </c>
      <c r="E12" s="166">
        <v>20525008102</v>
      </c>
      <c r="F12" s="112">
        <f t="shared" si="0"/>
        <v>3795.1019448110114</v>
      </c>
    </row>
    <row r="13" spans="1:6" ht="17.25" customHeight="1">
      <c r="A13" s="198" t="s">
        <v>650</v>
      </c>
      <c r="B13" s="199" t="s">
        <v>651</v>
      </c>
      <c r="C13" s="157" t="s">
        <v>220</v>
      </c>
      <c r="D13" s="166">
        <v>24640227</v>
      </c>
      <c r="E13" s="166">
        <v>50021114779</v>
      </c>
      <c r="F13" s="112">
        <f t="shared" si="0"/>
        <v>2030.0590079385227</v>
      </c>
    </row>
    <row r="14" spans="1:6" ht="17.25" customHeight="1">
      <c r="A14" s="198" t="s">
        <v>650</v>
      </c>
      <c r="B14" s="199" t="s">
        <v>651</v>
      </c>
      <c r="C14" s="157" t="s">
        <v>224</v>
      </c>
      <c r="D14" s="166">
        <v>7137554</v>
      </c>
      <c r="E14" s="166">
        <v>48001462591</v>
      </c>
      <c r="F14" s="112">
        <f t="shared" si="0"/>
        <v>6725.197818608448</v>
      </c>
    </row>
    <row r="15" spans="1:6" ht="17.25" customHeight="1">
      <c r="A15" s="198" t="s">
        <v>650</v>
      </c>
      <c r="B15" s="199" t="s">
        <v>651</v>
      </c>
      <c r="C15" s="158" t="s">
        <v>217</v>
      </c>
      <c r="D15" s="167">
        <v>15516608</v>
      </c>
      <c r="E15" s="167">
        <v>69285314580</v>
      </c>
      <c r="F15" s="112">
        <f t="shared" si="0"/>
        <v>4465.235867272022</v>
      </c>
    </row>
    <row r="16" spans="1:6" ht="17.25" customHeight="1">
      <c r="A16" s="198" t="s">
        <v>650</v>
      </c>
      <c r="B16" s="199" t="s">
        <v>651</v>
      </c>
      <c r="C16" s="159" t="s">
        <v>652</v>
      </c>
      <c r="D16" s="168">
        <f>SUM(D6:D15)</f>
        <v>128636824.90000001</v>
      </c>
      <c r="E16" s="168">
        <f>SUM(E6:E15)</f>
        <v>271089167229</v>
      </c>
      <c r="F16" s="112">
        <f t="shared" si="0"/>
        <v>2107.3993970213423</v>
      </c>
    </row>
    <row r="17" spans="1:6" ht="17.25" customHeight="1">
      <c r="A17" s="198" t="s">
        <v>650</v>
      </c>
      <c r="B17" s="199" t="s">
        <v>653</v>
      </c>
      <c r="C17" s="156" t="s">
        <v>654</v>
      </c>
      <c r="D17" s="165">
        <v>3295581</v>
      </c>
      <c r="E17" s="165">
        <v>2383128789</v>
      </c>
      <c r="F17" s="112">
        <f t="shared" si="0"/>
        <v>723.12857399044356</v>
      </c>
    </row>
    <row r="18" spans="1:6" ht="17.25" customHeight="1">
      <c r="A18" s="198" t="s">
        <v>650</v>
      </c>
      <c r="B18" s="199" t="s">
        <v>653</v>
      </c>
      <c r="C18" s="157" t="s">
        <v>655</v>
      </c>
      <c r="D18" s="166">
        <v>30920</v>
      </c>
      <c r="E18" s="166">
        <v>89121248</v>
      </c>
      <c r="F18" s="112">
        <f t="shared" si="0"/>
        <v>2882.3172056921085</v>
      </c>
    </row>
    <row r="19" spans="1:6" ht="17.25" customHeight="1">
      <c r="A19" s="198" t="s">
        <v>650</v>
      </c>
      <c r="B19" s="199" t="s">
        <v>653</v>
      </c>
      <c r="C19" s="157" t="s">
        <v>656</v>
      </c>
      <c r="D19" s="166">
        <v>36417936</v>
      </c>
      <c r="E19" s="166">
        <v>30160665684</v>
      </c>
      <c r="F19" s="112">
        <f t="shared" si="0"/>
        <v>828.18163236928092</v>
      </c>
    </row>
    <row r="20" spans="1:6" ht="17.25" customHeight="1">
      <c r="A20" s="198" t="s">
        <v>650</v>
      </c>
      <c r="B20" s="199" t="s">
        <v>653</v>
      </c>
      <c r="C20" s="157" t="s">
        <v>657</v>
      </c>
      <c r="D20" s="166">
        <v>86191</v>
      </c>
      <c r="E20" s="166">
        <v>91138936</v>
      </c>
      <c r="F20" s="112">
        <f t="shared" si="0"/>
        <v>1057.4066433850403</v>
      </c>
    </row>
    <row r="21" spans="1:6" ht="17.25" customHeight="1">
      <c r="A21" s="198" t="s">
        <v>650</v>
      </c>
      <c r="B21" s="199" t="s">
        <v>653</v>
      </c>
      <c r="C21" s="157" t="s">
        <v>658</v>
      </c>
      <c r="D21" s="166">
        <v>1600</v>
      </c>
      <c r="E21" s="166">
        <v>2220800</v>
      </c>
      <c r="F21" s="112">
        <f t="shared" si="0"/>
        <v>1388</v>
      </c>
    </row>
    <row r="22" spans="1:6" ht="17.25" customHeight="1">
      <c r="A22" s="198" t="s">
        <v>650</v>
      </c>
      <c r="B22" s="199" t="s">
        <v>653</v>
      </c>
      <c r="C22" s="157" t="s">
        <v>659</v>
      </c>
      <c r="D22" s="166">
        <v>15347</v>
      </c>
      <c r="E22" s="166">
        <v>34621986</v>
      </c>
      <c r="F22" s="112">
        <f t="shared" si="0"/>
        <v>2255.9448752199128</v>
      </c>
    </row>
    <row r="23" spans="1:6" ht="17.25" customHeight="1">
      <c r="A23" s="198" t="s">
        <v>650</v>
      </c>
      <c r="B23" s="199" t="s">
        <v>653</v>
      </c>
      <c r="C23" s="158" t="s">
        <v>660</v>
      </c>
      <c r="D23" s="167">
        <v>1990534</v>
      </c>
      <c r="E23" s="167">
        <v>10450385755</v>
      </c>
      <c r="F23" s="112">
        <f t="shared" si="0"/>
        <v>5250.0413230821478</v>
      </c>
    </row>
    <row r="24" spans="1:6" ht="17.25" customHeight="1">
      <c r="A24" s="198" t="s">
        <v>650</v>
      </c>
      <c r="B24" s="199" t="s">
        <v>653</v>
      </c>
      <c r="C24" s="159" t="s">
        <v>652</v>
      </c>
      <c r="D24" s="168">
        <f>SUM(D17:D23)</f>
        <v>41838109</v>
      </c>
      <c r="E24" s="168">
        <f>SUM(E17:E23)</f>
        <v>43211283198</v>
      </c>
      <c r="F24" s="112">
        <f t="shared" si="0"/>
        <v>1032.8211343873118</v>
      </c>
    </row>
    <row r="25" spans="1:6" ht="17.25" customHeight="1">
      <c r="A25" s="198" t="s">
        <v>650</v>
      </c>
      <c r="B25" s="199" t="s">
        <v>155</v>
      </c>
      <c r="C25" s="156" t="s">
        <v>661</v>
      </c>
      <c r="D25" s="165">
        <v>3201932</v>
      </c>
      <c r="E25" s="165">
        <v>5971059113</v>
      </c>
      <c r="F25" s="112">
        <f t="shared" si="0"/>
        <v>1864.8300816507033</v>
      </c>
    </row>
    <row r="26" spans="1:6" ht="17.25" customHeight="1">
      <c r="A26" s="198" t="s">
        <v>650</v>
      </c>
      <c r="B26" s="199" t="s">
        <v>155</v>
      </c>
      <c r="C26" s="157" t="s">
        <v>662</v>
      </c>
      <c r="D26" s="166">
        <v>575000</v>
      </c>
      <c r="E26" s="166">
        <v>-6340784</v>
      </c>
      <c r="F26" s="112">
        <f t="shared" si="0"/>
        <v>-11.027450434782608</v>
      </c>
    </row>
    <row r="27" spans="1:6" ht="17.25" customHeight="1">
      <c r="A27" s="198" t="s">
        <v>650</v>
      </c>
      <c r="B27" s="199" t="s">
        <v>155</v>
      </c>
      <c r="C27" s="157" t="s">
        <v>663</v>
      </c>
      <c r="D27" s="166">
        <v>233480</v>
      </c>
      <c r="E27" s="166">
        <v>53436104</v>
      </c>
      <c r="F27" s="112">
        <f t="shared" si="0"/>
        <v>228.86801439095424</v>
      </c>
    </row>
    <row r="28" spans="1:6" ht="17.25" customHeight="1">
      <c r="A28" s="198" t="s">
        <v>650</v>
      </c>
      <c r="B28" s="199" t="s">
        <v>155</v>
      </c>
      <c r="C28" s="157" t="s">
        <v>664</v>
      </c>
      <c r="D28" s="166">
        <v>120375</v>
      </c>
      <c r="E28" s="166">
        <v>304125</v>
      </c>
      <c r="F28" s="112">
        <f t="shared" si="0"/>
        <v>2.5264797507788161</v>
      </c>
    </row>
    <row r="29" spans="1:6" ht="17.25" customHeight="1">
      <c r="A29" s="198" t="s">
        <v>650</v>
      </c>
      <c r="B29" s="199" t="s">
        <v>155</v>
      </c>
      <c r="C29" s="157" t="s">
        <v>665</v>
      </c>
      <c r="D29" s="166">
        <v>15278920</v>
      </c>
      <c r="E29" s="166">
        <v>19819895630</v>
      </c>
      <c r="F29" s="112">
        <f t="shared" si="0"/>
        <v>1297.2052756346652</v>
      </c>
    </row>
    <row r="30" spans="1:6" ht="17.25" customHeight="1">
      <c r="A30" s="198" t="s">
        <v>650</v>
      </c>
      <c r="B30" s="199" t="s">
        <v>155</v>
      </c>
      <c r="C30" s="158" t="s">
        <v>666</v>
      </c>
      <c r="D30" s="167">
        <v>643006</v>
      </c>
      <c r="E30" s="167">
        <v>870264012</v>
      </c>
      <c r="F30" s="112">
        <f t="shared" si="0"/>
        <v>1353.4306242865541</v>
      </c>
    </row>
    <row r="31" spans="1:6" ht="17.25" customHeight="1">
      <c r="A31" s="198" t="s">
        <v>650</v>
      </c>
      <c r="B31" s="199" t="s">
        <v>155</v>
      </c>
      <c r="C31" s="159" t="s">
        <v>652</v>
      </c>
      <c r="D31" s="168">
        <f>SUM(D25:D30)</f>
        <v>20052713</v>
      </c>
      <c r="E31" s="168">
        <f>SUM(E25:E30)</f>
        <v>26708618200</v>
      </c>
      <c r="F31" s="112">
        <f t="shared" si="0"/>
        <v>1331.9204339083694</v>
      </c>
    </row>
    <row r="32" spans="1:6" ht="17.25" customHeight="1">
      <c r="A32" s="198" t="s">
        <v>650</v>
      </c>
      <c r="B32" s="199" t="s">
        <v>156</v>
      </c>
      <c r="C32" s="156" t="s">
        <v>667</v>
      </c>
      <c r="D32" s="165">
        <v>2951533</v>
      </c>
      <c r="E32" s="165">
        <v>8529265275</v>
      </c>
      <c r="F32" s="112">
        <f t="shared" si="0"/>
        <v>2889.7746611676034</v>
      </c>
    </row>
    <row r="33" spans="1:6" ht="17.25" customHeight="1">
      <c r="A33" s="198" t="s">
        <v>650</v>
      </c>
      <c r="B33" s="199" t="s">
        <v>156</v>
      </c>
      <c r="C33" s="157" t="s">
        <v>668</v>
      </c>
      <c r="D33" s="166">
        <v>8873</v>
      </c>
      <c r="E33" s="166">
        <v>50693370</v>
      </c>
      <c r="F33" s="112">
        <f t="shared" si="0"/>
        <v>5713.2164994928435</v>
      </c>
    </row>
    <row r="34" spans="1:6" ht="17.25" customHeight="1">
      <c r="A34" s="198" t="s">
        <v>650</v>
      </c>
      <c r="B34" s="199" t="s">
        <v>156</v>
      </c>
      <c r="C34" s="157" t="s">
        <v>669</v>
      </c>
      <c r="D34" s="166">
        <v>10036</v>
      </c>
      <c r="E34" s="166">
        <v>19474732</v>
      </c>
      <c r="F34" s="112">
        <f t="shared" si="0"/>
        <v>1940.4874451972898</v>
      </c>
    </row>
    <row r="35" spans="1:6" ht="17.25" customHeight="1">
      <c r="A35" s="198" t="s">
        <v>650</v>
      </c>
      <c r="B35" s="199" t="s">
        <v>156</v>
      </c>
      <c r="C35" s="157" t="s">
        <v>670</v>
      </c>
      <c r="D35" s="166">
        <v>533223</v>
      </c>
      <c r="E35" s="166">
        <v>2643774748</v>
      </c>
      <c r="F35" s="112">
        <f t="shared" si="0"/>
        <v>4958.1033601326271</v>
      </c>
    </row>
    <row r="36" spans="1:6" ht="17.25" customHeight="1">
      <c r="A36" s="198" t="s">
        <v>650</v>
      </c>
      <c r="B36" s="199" t="s">
        <v>156</v>
      </c>
      <c r="C36" s="157" t="s">
        <v>671</v>
      </c>
      <c r="D36" s="166">
        <v>559546</v>
      </c>
      <c r="E36" s="166">
        <v>1821700637</v>
      </c>
      <c r="F36" s="112">
        <f t="shared" si="0"/>
        <v>3255.6762750515595</v>
      </c>
    </row>
    <row r="37" spans="1:6" ht="17.25" customHeight="1">
      <c r="A37" s="198" t="s">
        <v>650</v>
      </c>
      <c r="B37" s="199" t="s">
        <v>156</v>
      </c>
      <c r="C37" s="157" t="s">
        <v>672</v>
      </c>
      <c r="D37" s="166">
        <v>270493</v>
      </c>
      <c r="E37" s="166">
        <v>6623998637</v>
      </c>
      <c r="F37" s="112">
        <f t="shared" si="0"/>
        <v>24488.613890193094</v>
      </c>
    </row>
    <row r="38" spans="1:6" ht="17.25" customHeight="1">
      <c r="A38" s="198" t="s">
        <v>650</v>
      </c>
      <c r="B38" s="199" t="s">
        <v>156</v>
      </c>
      <c r="C38" s="157" t="s">
        <v>673</v>
      </c>
      <c r="D38" s="166">
        <v>308319</v>
      </c>
      <c r="E38" s="166">
        <v>3563093350</v>
      </c>
      <c r="F38" s="112">
        <f t="shared" si="0"/>
        <v>11556.515654241224</v>
      </c>
    </row>
    <row r="39" spans="1:6" ht="17.25" customHeight="1">
      <c r="A39" s="198" t="s">
        <v>650</v>
      </c>
      <c r="B39" s="199" t="s">
        <v>156</v>
      </c>
      <c r="C39" s="158" t="s">
        <v>674</v>
      </c>
      <c r="D39" s="167">
        <v>103</v>
      </c>
      <c r="E39" s="167">
        <v>14147054</v>
      </c>
      <c r="F39" s="112">
        <f t="shared" si="0"/>
        <v>137350.03883495147</v>
      </c>
    </row>
    <row r="40" spans="1:6" ht="17.25" customHeight="1">
      <c r="A40" s="198" t="s">
        <v>650</v>
      </c>
      <c r="B40" s="199" t="s">
        <v>156</v>
      </c>
      <c r="C40" s="157" t="s">
        <v>675</v>
      </c>
      <c r="D40" s="166">
        <v>64291</v>
      </c>
      <c r="E40" s="166">
        <v>2188684000</v>
      </c>
      <c r="F40" s="112">
        <f t="shared" si="0"/>
        <v>34043.396431848938</v>
      </c>
    </row>
    <row r="41" spans="1:6" ht="17.25" customHeight="1">
      <c r="A41" s="198" t="s">
        <v>650</v>
      </c>
      <c r="B41" s="199" t="s">
        <v>156</v>
      </c>
      <c r="C41" s="158" t="s">
        <v>676</v>
      </c>
      <c r="D41" s="167">
        <v>442944</v>
      </c>
      <c r="E41" s="167">
        <v>12472056770</v>
      </c>
      <c r="F41" s="112">
        <f t="shared" si="0"/>
        <v>28157.186393765351</v>
      </c>
    </row>
    <row r="42" spans="1:6" ht="17.25" customHeight="1">
      <c r="A42" s="198" t="s">
        <v>650</v>
      </c>
      <c r="B42" s="199" t="s">
        <v>156</v>
      </c>
      <c r="C42" s="159" t="s">
        <v>652</v>
      </c>
      <c r="D42" s="168">
        <f>SUM(D32:D41)</f>
        <v>5149361</v>
      </c>
      <c r="E42" s="168">
        <f>SUM(E32:E41)</f>
        <v>37926888573</v>
      </c>
      <c r="F42" s="112">
        <f t="shared" si="0"/>
        <v>7365.3582595976468</v>
      </c>
    </row>
    <row r="43" spans="1:6" ht="17.25" customHeight="1">
      <c r="A43" s="198" t="s">
        <v>650</v>
      </c>
      <c r="B43" s="199" t="s">
        <v>157</v>
      </c>
      <c r="C43" s="156" t="s">
        <v>677</v>
      </c>
      <c r="D43" s="165">
        <v>196446</v>
      </c>
      <c r="E43" s="165">
        <v>5679426019</v>
      </c>
      <c r="F43" s="112">
        <f t="shared" si="0"/>
        <v>28910.876368060435</v>
      </c>
    </row>
    <row r="44" spans="1:6" ht="17.25" customHeight="1">
      <c r="A44" s="198" t="s">
        <v>650</v>
      </c>
      <c r="B44" s="199" t="s">
        <v>157</v>
      </c>
      <c r="C44" s="158" t="s">
        <v>678</v>
      </c>
      <c r="D44" s="167">
        <v>152948</v>
      </c>
      <c r="E44" s="167">
        <v>3722587952</v>
      </c>
      <c r="F44" s="112">
        <f t="shared" si="0"/>
        <v>24338.912257760807</v>
      </c>
    </row>
    <row r="45" spans="1:6" ht="17.25" customHeight="1">
      <c r="A45" s="198" t="s">
        <v>650</v>
      </c>
      <c r="B45" s="199" t="s">
        <v>157</v>
      </c>
      <c r="C45" s="159" t="s">
        <v>652</v>
      </c>
      <c r="D45" s="168">
        <f>SUM(D43:D44)</f>
        <v>349394</v>
      </c>
      <c r="E45" s="168">
        <f>SUM(E43:E44)</f>
        <v>9402013971</v>
      </c>
      <c r="F45" s="112">
        <f t="shared" si="0"/>
        <v>26909.488917955088</v>
      </c>
    </row>
    <row r="46" spans="1:6" ht="17.25" customHeight="1">
      <c r="A46" s="198" t="s">
        <v>650</v>
      </c>
      <c r="B46" s="199" t="s">
        <v>679</v>
      </c>
      <c r="C46" s="160" t="s">
        <v>680</v>
      </c>
      <c r="D46" s="169">
        <v>250000</v>
      </c>
      <c r="E46" s="169">
        <v>56454227</v>
      </c>
      <c r="F46" s="112">
        <f t="shared" si="0"/>
        <v>225.81690800000001</v>
      </c>
    </row>
    <row r="47" spans="1:6" ht="17.25" customHeight="1">
      <c r="A47" s="198" t="s">
        <v>650</v>
      </c>
      <c r="B47" s="199" t="s">
        <v>679</v>
      </c>
      <c r="C47" s="159" t="s">
        <v>652</v>
      </c>
      <c r="D47" s="168">
        <f>SUM(D46)</f>
        <v>250000</v>
      </c>
      <c r="E47" s="168">
        <f>SUM(E46)</f>
        <v>56454227</v>
      </c>
      <c r="F47" s="112">
        <f t="shared" si="0"/>
        <v>225.81690800000001</v>
      </c>
    </row>
    <row r="48" spans="1:6" ht="17.25" customHeight="1">
      <c r="A48" s="198" t="s">
        <v>650</v>
      </c>
      <c r="B48" s="198" t="s">
        <v>139</v>
      </c>
      <c r="C48" s="156" t="s">
        <v>681</v>
      </c>
      <c r="D48" s="165">
        <v>29</v>
      </c>
      <c r="E48" s="165">
        <v>43790910</v>
      </c>
      <c r="F48" s="112">
        <f t="shared" si="0"/>
        <v>1510031.3793103448</v>
      </c>
    </row>
    <row r="49" spans="1:6" ht="17.25" customHeight="1">
      <c r="A49" s="198" t="s">
        <v>650</v>
      </c>
      <c r="B49" s="198" t="s">
        <v>139</v>
      </c>
      <c r="C49" s="157" t="s">
        <v>682</v>
      </c>
      <c r="D49" s="166">
        <v>14687741</v>
      </c>
      <c r="E49" s="166">
        <v>777126284</v>
      </c>
      <c r="F49" s="112">
        <f t="shared" si="0"/>
        <v>52.909857547188501</v>
      </c>
    </row>
    <row r="50" spans="1:6" ht="17.25" customHeight="1">
      <c r="A50" s="198" t="s">
        <v>650</v>
      </c>
      <c r="B50" s="198" t="s">
        <v>139</v>
      </c>
      <c r="C50" s="157" t="s">
        <v>683</v>
      </c>
      <c r="D50" s="166">
        <v>18653674</v>
      </c>
      <c r="E50" s="166">
        <v>196675494</v>
      </c>
      <c r="F50" s="112">
        <f t="shared" si="0"/>
        <v>10.543525849116909</v>
      </c>
    </row>
    <row r="51" spans="1:6" ht="17.25" customHeight="1">
      <c r="A51" s="198" t="s">
        <v>650</v>
      </c>
      <c r="B51" s="198" t="s">
        <v>139</v>
      </c>
      <c r="C51" s="157" t="s">
        <v>684</v>
      </c>
      <c r="D51" s="166">
        <v>2</v>
      </c>
      <c r="E51" s="166">
        <v>20776377</v>
      </c>
      <c r="F51" s="112">
        <f t="shared" si="0"/>
        <v>10388188.5</v>
      </c>
    </row>
    <row r="52" spans="1:6" ht="17.25" customHeight="1">
      <c r="A52" s="198" t="s">
        <v>650</v>
      </c>
      <c r="B52" s="198" t="s">
        <v>139</v>
      </c>
      <c r="C52" s="158" t="s">
        <v>685</v>
      </c>
      <c r="D52" s="167"/>
      <c r="E52" s="167">
        <v>-31926300</v>
      </c>
      <c r="F52" s="112" t="e">
        <f t="shared" si="0"/>
        <v>#DIV/0!</v>
      </c>
    </row>
    <row r="53" spans="1:6" ht="17.25" customHeight="1">
      <c r="A53" s="198" t="s">
        <v>650</v>
      </c>
      <c r="B53" s="198" t="s">
        <v>139</v>
      </c>
      <c r="C53" s="159" t="s">
        <v>652</v>
      </c>
      <c r="D53" s="168">
        <f>SUM(D48:D52)</f>
        <v>33341446</v>
      </c>
      <c r="E53" s="168">
        <f>SUM(E48:E52)</f>
        <v>1006442765</v>
      </c>
      <c r="F53" s="112">
        <f t="shared" si="0"/>
        <v>30.185936296824078</v>
      </c>
    </row>
    <row r="54" spans="1:6" ht="17.25" customHeight="1">
      <c r="A54" s="198" t="s">
        <v>650</v>
      </c>
      <c r="B54" s="200" t="s">
        <v>686</v>
      </c>
      <c r="C54" s="159"/>
      <c r="D54" s="168">
        <f>+D16+D24+D31+D42+D45+D47+D53</f>
        <v>229617847.90000001</v>
      </c>
      <c r="E54" s="168">
        <f>+E16+E24+E31+E42+E45+E47+E53</f>
        <v>389400868163</v>
      </c>
      <c r="F54" s="112">
        <f t="shared" si="0"/>
        <v>1695.8649849056442</v>
      </c>
    </row>
    <row r="55" spans="1:6" ht="17.25" customHeight="1">
      <c r="A55" s="198" t="s">
        <v>687</v>
      </c>
      <c r="B55" s="199" t="s">
        <v>651</v>
      </c>
      <c r="C55" s="156" t="s">
        <v>227</v>
      </c>
      <c r="D55" s="165">
        <v>1261190</v>
      </c>
      <c r="E55" s="165">
        <v>3283269416</v>
      </c>
      <c r="F55" s="112">
        <f t="shared" si="0"/>
        <v>2603.3106954542932</v>
      </c>
    </row>
    <row r="56" spans="1:6" ht="17.25" customHeight="1">
      <c r="A56" s="198" t="s">
        <v>687</v>
      </c>
      <c r="B56" s="199" t="s">
        <v>651</v>
      </c>
      <c r="C56" s="157" t="s">
        <v>230</v>
      </c>
      <c r="D56" s="166">
        <v>6422408</v>
      </c>
      <c r="E56" s="166">
        <v>8355744720</v>
      </c>
      <c r="F56" s="112">
        <f t="shared" si="0"/>
        <v>1301.0298816269537</v>
      </c>
    </row>
    <row r="57" spans="1:6" ht="17.25" customHeight="1">
      <c r="A57" s="198" t="s">
        <v>687</v>
      </c>
      <c r="B57" s="199" t="s">
        <v>651</v>
      </c>
      <c r="C57" s="157" t="s">
        <v>244</v>
      </c>
      <c r="D57" s="166">
        <v>9437648</v>
      </c>
      <c r="E57" s="166">
        <v>440990328</v>
      </c>
      <c r="F57" s="112">
        <f t="shared" si="0"/>
        <v>46.726719199529377</v>
      </c>
    </row>
    <row r="58" spans="1:6" ht="17.25" customHeight="1">
      <c r="A58" s="198" t="s">
        <v>687</v>
      </c>
      <c r="B58" s="199" t="s">
        <v>651</v>
      </c>
      <c r="C58" s="157" t="s">
        <v>247</v>
      </c>
      <c r="D58" s="166">
        <v>694370</v>
      </c>
      <c r="E58" s="166">
        <v>105967178</v>
      </c>
      <c r="F58" s="112">
        <f t="shared" si="0"/>
        <v>152.60909601509283</v>
      </c>
    </row>
    <row r="59" spans="1:6" ht="17.25" customHeight="1">
      <c r="A59" s="198" t="s">
        <v>687</v>
      </c>
      <c r="B59" s="199" t="s">
        <v>651</v>
      </c>
      <c r="C59" s="157" t="s">
        <v>234</v>
      </c>
      <c r="D59" s="166">
        <v>4970892</v>
      </c>
      <c r="E59" s="166">
        <v>517106776</v>
      </c>
      <c r="F59" s="112">
        <f t="shared" si="0"/>
        <v>104.02695854184722</v>
      </c>
    </row>
    <row r="60" spans="1:6" ht="17.25" customHeight="1">
      <c r="A60" s="198" t="s">
        <v>687</v>
      </c>
      <c r="B60" s="199" t="s">
        <v>651</v>
      </c>
      <c r="C60" s="157" t="s">
        <v>220</v>
      </c>
      <c r="D60" s="166">
        <v>167885274</v>
      </c>
      <c r="E60" s="166">
        <v>34519801146</v>
      </c>
      <c r="F60" s="112">
        <f t="shared" si="0"/>
        <v>205.61542012314911</v>
      </c>
    </row>
    <row r="61" spans="1:6" ht="17.25" customHeight="1">
      <c r="A61" s="198" t="s">
        <v>687</v>
      </c>
      <c r="B61" s="199" t="s">
        <v>651</v>
      </c>
      <c r="C61" s="157" t="s">
        <v>224</v>
      </c>
      <c r="D61" s="166">
        <v>116504028</v>
      </c>
      <c r="E61" s="166">
        <v>14015171999</v>
      </c>
      <c r="F61" s="112">
        <f t="shared" si="0"/>
        <v>120.29774626333091</v>
      </c>
    </row>
    <row r="62" spans="1:6" ht="17.25" customHeight="1">
      <c r="A62" s="198" t="s">
        <v>687</v>
      </c>
      <c r="B62" s="199" t="s">
        <v>651</v>
      </c>
      <c r="C62" s="158" t="s">
        <v>217</v>
      </c>
      <c r="D62" s="167">
        <v>387546714</v>
      </c>
      <c r="E62" s="167">
        <v>18551297786</v>
      </c>
      <c r="F62" s="112">
        <f t="shared" si="0"/>
        <v>47.868546205761405</v>
      </c>
    </row>
    <row r="63" spans="1:6" ht="17.25" customHeight="1">
      <c r="A63" s="198" t="s">
        <v>687</v>
      </c>
      <c r="B63" s="199" t="s">
        <v>651</v>
      </c>
      <c r="C63" s="159" t="s">
        <v>652</v>
      </c>
      <c r="D63" s="168">
        <f>SUM(D55:D62)</f>
        <v>694722524</v>
      </c>
      <c r="E63" s="168">
        <f>SUM(E55:E62)</f>
        <v>79789349349</v>
      </c>
      <c r="F63" s="112">
        <f t="shared" si="0"/>
        <v>114.85067288389803</v>
      </c>
    </row>
    <row r="64" spans="1:6" ht="17.25" customHeight="1">
      <c r="A64" s="198" t="s">
        <v>687</v>
      </c>
      <c r="B64" s="199" t="s">
        <v>653</v>
      </c>
      <c r="C64" s="156" t="s">
        <v>654</v>
      </c>
      <c r="D64" s="165">
        <v>43992394</v>
      </c>
      <c r="E64" s="165">
        <v>20394379254</v>
      </c>
      <c r="F64" s="112">
        <f t="shared" si="0"/>
        <v>463.58875704741143</v>
      </c>
    </row>
    <row r="65" spans="1:6" ht="17.25" customHeight="1">
      <c r="A65" s="198" t="s">
        <v>687</v>
      </c>
      <c r="B65" s="199" t="s">
        <v>653</v>
      </c>
      <c r="C65" s="157" t="s">
        <v>656</v>
      </c>
      <c r="D65" s="166">
        <v>3994450</v>
      </c>
      <c r="E65" s="166">
        <v>2138430601</v>
      </c>
      <c r="F65" s="112">
        <f t="shared" si="0"/>
        <v>535.3504489979847</v>
      </c>
    </row>
    <row r="66" spans="1:6" ht="17.25" customHeight="1">
      <c r="A66" s="198" t="s">
        <v>687</v>
      </c>
      <c r="B66" s="199" t="s">
        <v>653</v>
      </c>
      <c r="C66" s="157" t="s">
        <v>657</v>
      </c>
      <c r="D66" s="166">
        <v>450783</v>
      </c>
      <c r="E66" s="166">
        <v>329426149</v>
      </c>
      <c r="F66" s="112">
        <f t="shared" si="0"/>
        <v>730.78654030875168</v>
      </c>
    </row>
    <row r="67" spans="1:6" ht="17.25" customHeight="1">
      <c r="A67" s="198" t="s">
        <v>687</v>
      </c>
      <c r="B67" s="199" t="s">
        <v>653</v>
      </c>
      <c r="C67" s="157" t="s">
        <v>658</v>
      </c>
      <c r="D67" s="166">
        <v>70560</v>
      </c>
      <c r="E67" s="166">
        <v>79804485</v>
      </c>
      <c r="F67" s="112">
        <f t="shared" si="0"/>
        <v>1131.0159438775511</v>
      </c>
    </row>
    <row r="68" spans="1:6" ht="17.25" customHeight="1">
      <c r="A68" s="198" t="s">
        <v>687</v>
      </c>
      <c r="B68" s="199" t="s">
        <v>653</v>
      </c>
      <c r="C68" s="158" t="s">
        <v>660</v>
      </c>
      <c r="D68" s="167">
        <v>29000</v>
      </c>
      <c r="E68" s="167">
        <v>-48657759</v>
      </c>
      <c r="F68" s="112">
        <f t="shared" si="0"/>
        <v>-1677.8537586206896</v>
      </c>
    </row>
    <row r="69" spans="1:6" ht="17.25" customHeight="1">
      <c r="A69" s="198" t="s">
        <v>687</v>
      </c>
      <c r="B69" s="199" t="s">
        <v>653</v>
      </c>
      <c r="C69" s="159" t="s">
        <v>652</v>
      </c>
      <c r="D69" s="168">
        <f>SUM(D64:D68)</f>
        <v>48537187</v>
      </c>
      <c r="E69" s="168">
        <f>SUM(E64:E68)</f>
        <v>22893382730</v>
      </c>
      <c r="F69" s="112">
        <f t="shared" si="0"/>
        <v>471.66686297662864</v>
      </c>
    </row>
    <row r="70" spans="1:6" ht="17.25" customHeight="1">
      <c r="A70" s="198" t="s">
        <v>687</v>
      </c>
      <c r="B70" s="199" t="s">
        <v>155</v>
      </c>
      <c r="C70" s="156" t="s">
        <v>662</v>
      </c>
      <c r="D70" s="165">
        <v>19</v>
      </c>
      <c r="E70" s="165">
        <v>18891</v>
      </c>
      <c r="F70" s="112">
        <f t="shared" si="0"/>
        <v>994.26315789473688</v>
      </c>
    </row>
    <row r="71" spans="1:6" ht="17.25" customHeight="1">
      <c r="A71" s="198" t="s">
        <v>687</v>
      </c>
      <c r="B71" s="199" t="s">
        <v>155</v>
      </c>
      <c r="C71" s="157" t="s">
        <v>665</v>
      </c>
      <c r="D71" s="166">
        <v>22253974</v>
      </c>
      <c r="E71" s="166">
        <v>17075818222</v>
      </c>
      <c r="F71" s="112">
        <f t="shared" ref="F71:F93" si="1">E71/D71</f>
        <v>767.31545664608041</v>
      </c>
    </row>
    <row r="72" spans="1:6" ht="17.25" customHeight="1">
      <c r="A72" s="198" t="s">
        <v>687</v>
      </c>
      <c r="B72" s="199" t="s">
        <v>155</v>
      </c>
      <c r="C72" s="158" t="s">
        <v>666</v>
      </c>
      <c r="D72" s="167">
        <v>83275914</v>
      </c>
      <c r="E72" s="167">
        <v>3058079882</v>
      </c>
      <c r="F72" s="112">
        <f t="shared" si="1"/>
        <v>36.722261397215043</v>
      </c>
    </row>
    <row r="73" spans="1:6" ht="17.25" customHeight="1">
      <c r="A73" s="198" t="s">
        <v>687</v>
      </c>
      <c r="B73" s="199" t="s">
        <v>155</v>
      </c>
      <c r="C73" s="159" t="s">
        <v>652</v>
      </c>
      <c r="D73" s="168">
        <f>SUM(D70:D72)</f>
        <v>105529907</v>
      </c>
      <c r="E73" s="168">
        <f>SUM(E70:E72)</f>
        <v>20133916995</v>
      </c>
      <c r="F73" s="112">
        <f t="shared" si="1"/>
        <v>190.7887305823173</v>
      </c>
    </row>
    <row r="74" spans="1:6" ht="17.25" customHeight="1">
      <c r="A74" s="198" t="s">
        <v>687</v>
      </c>
      <c r="B74" s="199" t="s">
        <v>156</v>
      </c>
      <c r="C74" s="156" t="s">
        <v>667</v>
      </c>
      <c r="D74" s="165">
        <v>2399361</v>
      </c>
      <c r="E74" s="165">
        <v>704477894</v>
      </c>
      <c r="F74" s="112">
        <f t="shared" si="1"/>
        <v>293.61062966348123</v>
      </c>
    </row>
    <row r="75" spans="1:6" ht="17.25" customHeight="1">
      <c r="A75" s="198" t="s">
        <v>687</v>
      </c>
      <c r="B75" s="199" t="s">
        <v>156</v>
      </c>
      <c r="C75" s="157" t="s">
        <v>668</v>
      </c>
      <c r="D75" s="166">
        <v>5700</v>
      </c>
      <c r="E75" s="166">
        <v>4416612</v>
      </c>
      <c r="F75" s="112">
        <f t="shared" si="1"/>
        <v>774.84421052631581</v>
      </c>
    </row>
    <row r="76" spans="1:6" ht="17.25" customHeight="1">
      <c r="A76" s="198" t="s">
        <v>687</v>
      </c>
      <c r="B76" s="199" t="s">
        <v>156</v>
      </c>
      <c r="C76" s="158" t="s">
        <v>670</v>
      </c>
      <c r="D76" s="167">
        <v>8240</v>
      </c>
      <c r="E76" s="167">
        <v>47150701</v>
      </c>
      <c r="F76" s="112">
        <f t="shared" si="1"/>
        <v>5722.1724514563102</v>
      </c>
    </row>
    <row r="77" spans="1:6" ht="17.25" customHeight="1">
      <c r="A77" s="198" t="s">
        <v>687</v>
      </c>
      <c r="B77" s="199" t="s">
        <v>156</v>
      </c>
      <c r="C77" s="157" t="s">
        <v>671</v>
      </c>
      <c r="D77" s="166">
        <v>398965</v>
      </c>
      <c r="E77" s="166">
        <v>120179532</v>
      </c>
      <c r="F77" s="112">
        <f t="shared" si="1"/>
        <v>301.22825811787999</v>
      </c>
    </row>
    <row r="78" spans="1:6" ht="17.25" customHeight="1">
      <c r="A78" s="198" t="s">
        <v>687</v>
      </c>
      <c r="B78" s="199" t="s">
        <v>156</v>
      </c>
      <c r="C78" s="157" t="s">
        <v>672</v>
      </c>
      <c r="D78" s="166">
        <v>480</v>
      </c>
      <c r="E78" s="166">
        <v>11438592</v>
      </c>
      <c r="F78" s="112">
        <f t="shared" si="1"/>
        <v>23830.400000000001</v>
      </c>
    </row>
    <row r="79" spans="1:6" ht="17.25" customHeight="1">
      <c r="A79" s="198" t="s">
        <v>687</v>
      </c>
      <c r="B79" s="199" t="s">
        <v>156</v>
      </c>
      <c r="C79" s="157" t="s">
        <v>673</v>
      </c>
      <c r="D79" s="166">
        <v>17667</v>
      </c>
      <c r="E79" s="166">
        <v>218494595</v>
      </c>
      <c r="F79" s="112">
        <f t="shared" si="1"/>
        <v>12367.385238014376</v>
      </c>
    </row>
    <row r="80" spans="1:6" ht="17.25" customHeight="1">
      <c r="A80" s="198" t="s">
        <v>687</v>
      </c>
      <c r="B80" s="199" t="s">
        <v>156</v>
      </c>
      <c r="C80" s="157" t="s">
        <v>674</v>
      </c>
      <c r="D80" s="166"/>
      <c r="E80" s="166">
        <v>77785</v>
      </c>
      <c r="F80" s="112" t="e">
        <f t="shared" si="1"/>
        <v>#DIV/0!</v>
      </c>
    </row>
    <row r="81" spans="1:6" ht="17.25" customHeight="1">
      <c r="A81" s="198" t="s">
        <v>687</v>
      </c>
      <c r="B81" s="199" t="s">
        <v>156</v>
      </c>
      <c r="C81" s="158" t="s">
        <v>676</v>
      </c>
      <c r="D81" s="167">
        <v>29363</v>
      </c>
      <c r="E81" s="167">
        <v>1142010713</v>
      </c>
      <c r="F81" s="112">
        <f t="shared" si="1"/>
        <v>38892.848584953856</v>
      </c>
    </row>
    <row r="82" spans="1:6" ht="17.25" customHeight="1">
      <c r="A82" s="198" t="s">
        <v>687</v>
      </c>
      <c r="B82" s="199" t="s">
        <v>156</v>
      </c>
      <c r="C82" s="159" t="s">
        <v>652</v>
      </c>
      <c r="D82" s="168">
        <f>SUM(D74:D81)</f>
        <v>2859776</v>
      </c>
      <c r="E82" s="168">
        <f>SUM(E74:E81)</f>
        <v>2248246424</v>
      </c>
      <c r="F82" s="112">
        <f t="shared" si="1"/>
        <v>786.16172175722852</v>
      </c>
    </row>
    <row r="83" spans="1:6" ht="17.25" customHeight="1">
      <c r="A83" s="198" t="s">
        <v>687</v>
      </c>
      <c r="B83" s="199" t="s">
        <v>157</v>
      </c>
      <c r="C83" s="160" t="s">
        <v>678</v>
      </c>
      <c r="D83" s="169">
        <v>481860</v>
      </c>
      <c r="E83" s="169">
        <v>11456155657</v>
      </c>
      <c r="F83" s="112">
        <f t="shared" si="1"/>
        <v>23774.863356576599</v>
      </c>
    </row>
    <row r="84" spans="1:6" ht="17.25" customHeight="1">
      <c r="A84" s="198" t="s">
        <v>687</v>
      </c>
      <c r="B84" s="199" t="s">
        <v>157</v>
      </c>
      <c r="C84" s="159" t="s">
        <v>652</v>
      </c>
      <c r="D84" s="168">
        <f>SUM(D83)</f>
        <v>481860</v>
      </c>
      <c r="E84" s="168">
        <f>SUM(E83)</f>
        <v>11456155657</v>
      </c>
      <c r="F84" s="112">
        <f t="shared" si="1"/>
        <v>23774.863356576599</v>
      </c>
    </row>
    <row r="85" spans="1:6" ht="17.25" customHeight="1">
      <c r="A85" s="198" t="s">
        <v>687</v>
      </c>
      <c r="B85" s="199" t="s">
        <v>679</v>
      </c>
      <c r="C85" s="160" t="s">
        <v>680</v>
      </c>
      <c r="D85" s="169">
        <v>2023000</v>
      </c>
      <c r="E85" s="169">
        <v>9037247</v>
      </c>
      <c r="F85" s="112">
        <f t="shared" si="1"/>
        <v>4.4672501235788431</v>
      </c>
    </row>
    <row r="86" spans="1:6" ht="17.25" customHeight="1">
      <c r="A86" s="198" t="s">
        <v>687</v>
      </c>
      <c r="B86" s="199" t="s">
        <v>679</v>
      </c>
      <c r="C86" s="159" t="s">
        <v>652</v>
      </c>
      <c r="D86" s="168">
        <f>SUM(D85)</f>
        <v>2023000</v>
      </c>
      <c r="E86" s="168">
        <f>SUM(E85)</f>
        <v>9037247</v>
      </c>
      <c r="F86" s="112">
        <f t="shared" si="1"/>
        <v>4.4672501235788431</v>
      </c>
    </row>
    <row r="87" spans="1:6" ht="17.25" customHeight="1">
      <c r="A87" s="198" t="s">
        <v>687</v>
      </c>
      <c r="B87" s="198" t="s">
        <v>139</v>
      </c>
      <c r="C87" s="156" t="s">
        <v>681</v>
      </c>
      <c r="D87" s="165">
        <v>4</v>
      </c>
      <c r="E87" s="165">
        <v>58970433</v>
      </c>
      <c r="F87" s="112">
        <f t="shared" si="1"/>
        <v>14742608.25</v>
      </c>
    </row>
    <row r="88" spans="1:6" ht="17.25" customHeight="1">
      <c r="A88" s="198" t="s">
        <v>687</v>
      </c>
      <c r="B88" s="198" t="s">
        <v>139</v>
      </c>
      <c r="C88" s="157" t="s">
        <v>682</v>
      </c>
      <c r="D88" s="166">
        <v>4025876</v>
      </c>
      <c r="E88" s="166">
        <v>95036361</v>
      </c>
      <c r="F88" s="112">
        <f t="shared" si="1"/>
        <v>23.606380574066364</v>
      </c>
    </row>
    <row r="89" spans="1:6" ht="17.25" customHeight="1">
      <c r="A89" s="198" t="s">
        <v>687</v>
      </c>
      <c r="B89" s="198" t="s">
        <v>139</v>
      </c>
      <c r="C89" s="157" t="s">
        <v>683</v>
      </c>
      <c r="D89" s="166">
        <v>268907371</v>
      </c>
      <c r="E89" s="166">
        <v>1112329838</v>
      </c>
      <c r="F89" s="112">
        <f t="shared" si="1"/>
        <v>4.136479538896686</v>
      </c>
    </row>
    <row r="90" spans="1:6" ht="17.25" customHeight="1">
      <c r="A90" s="198" t="s">
        <v>687</v>
      </c>
      <c r="B90" s="198" t="s">
        <v>139</v>
      </c>
      <c r="C90" s="158" t="s">
        <v>684</v>
      </c>
      <c r="D90" s="167">
        <v>17</v>
      </c>
      <c r="E90" s="167">
        <v>1372217153</v>
      </c>
      <c r="F90" s="112">
        <f t="shared" si="1"/>
        <v>80718656.058823526</v>
      </c>
    </row>
    <row r="91" spans="1:6" ht="17.25" customHeight="1">
      <c r="A91" s="198" t="s">
        <v>687</v>
      </c>
      <c r="B91" s="198" t="s">
        <v>139</v>
      </c>
      <c r="C91" s="159" t="s">
        <v>652</v>
      </c>
      <c r="D91" s="168">
        <f>SUM(D87:D90)</f>
        <v>272933268</v>
      </c>
      <c r="E91" s="168">
        <f>SUM(E87:E90)</f>
        <v>2638553785</v>
      </c>
      <c r="F91" s="112">
        <f t="shared" si="1"/>
        <v>9.6673952733383892</v>
      </c>
    </row>
    <row r="92" spans="1:6" ht="17.25" customHeight="1">
      <c r="A92" s="198" t="s">
        <v>687</v>
      </c>
      <c r="B92" s="200" t="s">
        <v>686</v>
      </c>
      <c r="C92" s="159"/>
      <c r="D92" s="168">
        <f>+D63+D69+D73+D82+D84+D86+D91</f>
        <v>1127087522</v>
      </c>
      <c r="E92" s="168">
        <f>+E63+E69+E73+E82+E84+E86+E91</f>
        <v>139168642187</v>
      </c>
      <c r="F92" s="112">
        <f t="shared" si="1"/>
        <v>123.47634009828032</v>
      </c>
    </row>
    <row r="93" spans="1:6" ht="17.25" customHeight="1">
      <c r="A93" s="201" t="s">
        <v>688</v>
      </c>
      <c r="B93" s="202"/>
      <c r="C93" s="203"/>
      <c r="D93" s="168">
        <v>1356705369.9000001</v>
      </c>
      <c r="E93" s="168">
        <v>528569510350</v>
      </c>
      <c r="F93" s="112">
        <f t="shared" si="1"/>
        <v>389.59786116934123</v>
      </c>
    </row>
    <row r="94" spans="1:6" ht="17.25" customHeight="1"/>
    <row r="95" spans="1:6" ht="17.25" customHeight="1"/>
    <row r="96" spans="1: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</sheetData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F109"/>
  <sheetViews>
    <sheetView showGridLines="0" view="pageBreakPreview" topLeftCell="A40" zoomScaleSheetLayoutView="100" workbookViewId="0">
      <selection activeCell="E46" sqref="E46"/>
    </sheetView>
  </sheetViews>
  <sheetFormatPr defaultRowHeight="11.25"/>
  <cols>
    <col min="1" max="1" width="6.75" style="190" customWidth="1"/>
    <col min="2" max="2" width="12" style="190" customWidth="1"/>
    <col min="3" max="3" width="26.875" style="191" customWidth="1"/>
    <col min="4" max="4" width="10.125" style="149" customWidth="1"/>
    <col min="5" max="5" width="11.625" style="149" customWidth="1"/>
    <col min="6" max="6" width="10.625" style="112" customWidth="1"/>
    <col min="7" max="16384" width="9" style="144"/>
  </cols>
  <sheetData>
    <row r="1" spans="1:6">
      <c r="A1" s="455" t="s">
        <v>689</v>
      </c>
      <c r="B1" s="455"/>
      <c r="C1" s="455"/>
      <c r="D1" s="455"/>
      <c r="E1" s="455"/>
    </row>
    <row r="2" spans="1:6">
      <c r="A2" s="456" t="s">
        <v>690</v>
      </c>
      <c r="B2" s="456"/>
      <c r="C2" s="456"/>
      <c r="D2" s="456"/>
      <c r="E2" s="456"/>
    </row>
    <row r="3" spans="1:6">
      <c r="A3" s="170"/>
      <c r="B3" s="170"/>
      <c r="C3" s="432"/>
      <c r="D3" s="170"/>
      <c r="E3" s="170"/>
    </row>
    <row r="4" spans="1:6">
      <c r="A4" s="145" t="s">
        <v>691</v>
      </c>
      <c r="B4" s="171"/>
      <c r="C4" s="146"/>
      <c r="D4" s="147"/>
      <c r="E4" s="148" t="s">
        <v>644</v>
      </c>
    </row>
    <row r="5" spans="1:6">
      <c r="A5" s="172" t="s">
        <v>645</v>
      </c>
      <c r="B5" s="172" t="s">
        <v>692</v>
      </c>
      <c r="C5" s="172" t="s">
        <v>647</v>
      </c>
      <c r="D5" s="172" t="s">
        <v>648</v>
      </c>
      <c r="E5" s="172" t="s">
        <v>649</v>
      </c>
      <c r="F5" s="192" t="s">
        <v>209</v>
      </c>
    </row>
    <row r="6" spans="1:6">
      <c r="A6" s="173" t="s">
        <v>60</v>
      </c>
      <c r="B6" s="174" t="s">
        <v>693</v>
      </c>
      <c r="C6" s="175" t="s">
        <v>238</v>
      </c>
      <c r="D6" s="176">
        <v>196</v>
      </c>
      <c r="E6" s="176">
        <v>34294026</v>
      </c>
      <c r="F6" s="112">
        <f>E6/D6</f>
        <v>174969.52040816325</v>
      </c>
    </row>
    <row r="7" spans="1:6">
      <c r="A7" s="173" t="s">
        <v>60</v>
      </c>
      <c r="B7" s="173"/>
      <c r="C7" s="177" t="s">
        <v>242</v>
      </c>
      <c r="D7" s="178">
        <v>7880</v>
      </c>
      <c r="E7" s="178">
        <v>344694176</v>
      </c>
      <c r="F7" s="112">
        <f t="shared" ref="F7:F70" si="0">E7/D7</f>
        <v>43742.91573604061</v>
      </c>
    </row>
    <row r="8" spans="1:6">
      <c r="A8" s="173" t="s">
        <v>60</v>
      </c>
      <c r="B8" s="173"/>
      <c r="C8" s="177" t="s">
        <v>235</v>
      </c>
      <c r="D8" s="178">
        <v>4911129</v>
      </c>
      <c r="E8" s="178">
        <v>23011950358</v>
      </c>
      <c r="F8" s="112">
        <f t="shared" si="0"/>
        <v>4685.6741816392932</v>
      </c>
    </row>
    <row r="9" spans="1:6">
      <c r="A9" s="173" t="s">
        <v>60</v>
      </c>
      <c r="B9" s="173"/>
      <c r="C9" s="177" t="s">
        <v>221</v>
      </c>
      <c r="D9" s="178">
        <v>23974392</v>
      </c>
      <c r="E9" s="178">
        <v>50714691737</v>
      </c>
      <c r="F9" s="112">
        <f t="shared" si="0"/>
        <v>2115.3692547031014</v>
      </c>
    </row>
    <row r="10" spans="1:6">
      <c r="A10" s="173" t="s">
        <v>60</v>
      </c>
      <c r="B10" s="173"/>
      <c r="C10" s="177" t="s">
        <v>225</v>
      </c>
      <c r="D10" s="178">
        <v>7342293</v>
      </c>
      <c r="E10" s="178">
        <v>43722410516</v>
      </c>
      <c r="F10" s="112">
        <f t="shared" si="0"/>
        <v>5954.8713890878507</v>
      </c>
    </row>
    <row r="11" spans="1:6">
      <c r="A11" s="173" t="s">
        <v>60</v>
      </c>
      <c r="B11" s="173"/>
      <c r="C11" s="177" t="s">
        <v>218</v>
      </c>
      <c r="D11" s="178">
        <v>17241831</v>
      </c>
      <c r="E11" s="178">
        <v>74257129163</v>
      </c>
      <c r="F11" s="112">
        <f t="shared" si="0"/>
        <v>4306.80066189026</v>
      </c>
    </row>
    <row r="12" spans="1:6">
      <c r="A12" s="173" t="s">
        <v>60</v>
      </c>
      <c r="B12" s="173"/>
      <c r="C12" s="177" t="s">
        <v>231</v>
      </c>
      <c r="D12" s="178">
        <v>6475561</v>
      </c>
      <c r="E12" s="178">
        <v>38991641762</v>
      </c>
      <c r="F12" s="112">
        <f t="shared" si="0"/>
        <v>6021.3534799533199</v>
      </c>
    </row>
    <row r="13" spans="1:6">
      <c r="A13" s="173" t="s">
        <v>60</v>
      </c>
      <c r="B13" s="173"/>
      <c r="C13" s="177" t="s">
        <v>245</v>
      </c>
      <c r="D13" s="178">
        <v>293876</v>
      </c>
      <c r="E13" s="178">
        <v>476799445</v>
      </c>
      <c r="F13" s="112">
        <f t="shared" si="0"/>
        <v>1622.4511188392382</v>
      </c>
    </row>
    <row r="14" spans="1:6">
      <c r="A14" s="173" t="s">
        <v>60</v>
      </c>
      <c r="B14" s="173"/>
      <c r="C14" s="177" t="s">
        <v>248</v>
      </c>
      <c r="D14" s="178">
        <v>4870906</v>
      </c>
      <c r="E14" s="178">
        <v>2625634862</v>
      </c>
      <c r="F14" s="112">
        <f t="shared" si="0"/>
        <v>539.04445333167996</v>
      </c>
    </row>
    <row r="15" spans="1:6">
      <c r="A15" s="173" t="s">
        <v>60</v>
      </c>
      <c r="B15" s="173"/>
      <c r="C15" s="179" t="s">
        <v>228</v>
      </c>
      <c r="D15" s="180">
        <v>11714696</v>
      </c>
      <c r="E15" s="180">
        <v>50476459696</v>
      </c>
      <c r="F15" s="112">
        <f t="shared" si="0"/>
        <v>4308.8151579861742</v>
      </c>
    </row>
    <row r="16" spans="1:6">
      <c r="A16" s="173" t="s">
        <v>60</v>
      </c>
      <c r="B16" s="181" t="s">
        <v>693</v>
      </c>
      <c r="C16" s="182" t="s">
        <v>694</v>
      </c>
      <c r="D16" s="180">
        <v>76832760</v>
      </c>
      <c r="E16" s="180">
        <v>284655705741</v>
      </c>
      <c r="F16" s="112">
        <f t="shared" si="0"/>
        <v>3704.8741414599708</v>
      </c>
    </row>
    <row r="17" spans="1:6">
      <c r="A17" s="173" t="s">
        <v>60</v>
      </c>
      <c r="B17" s="174" t="s">
        <v>695</v>
      </c>
      <c r="C17" s="175" t="s">
        <v>696</v>
      </c>
      <c r="D17" s="176">
        <v>2831229</v>
      </c>
      <c r="E17" s="176">
        <v>2054175210</v>
      </c>
      <c r="F17" s="112">
        <f t="shared" si="0"/>
        <v>725.54187951592758</v>
      </c>
    </row>
    <row r="18" spans="1:6">
      <c r="A18" s="173" t="s">
        <v>60</v>
      </c>
      <c r="B18" s="173"/>
      <c r="C18" s="177" t="s">
        <v>697</v>
      </c>
      <c r="D18" s="178">
        <v>80869</v>
      </c>
      <c r="E18" s="178">
        <v>255450339</v>
      </c>
      <c r="F18" s="112">
        <f t="shared" si="0"/>
        <v>3158.8165922665053</v>
      </c>
    </row>
    <row r="19" spans="1:6">
      <c r="A19" s="173" t="s">
        <v>60</v>
      </c>
      <c r="B19" s="173"/>
      <c r="C19" s="177" t="s">
        <v>698</v>
      </c>
      <c r="D19" s="178">
        <v>36905214</v>
      </c>
      <c r="E19" s="178">
        <v>33105737510</v>
      </c>
      <c r="F19" s="112">
        <f t="shared" si="0"/>
        <v>897.04770469560208</v>
      </c>
    </row>
    <row r="20" spans="1:6">
      <c r="A20" s="173" t="s">
        <v>60</v>
      </c>
      <c r="B20" s="173"/>
      <c r="C20" s="177" t="s">
        <v>699</v>
      </c>
      <c r="D20" s="178">
        <v>349931</v>
      </c>
      <c r="E20" s="178">
        <v>370097869</v>
      </c>
      <c r="F20" s="112">
        <f t="shared" si="0"/>
        <v>1057.6309872517725</v>
      </c>
    </row>
    <row r="21" spans="1:6">
      <c r="A21" s="173" t="s">
        <v>60</v>
      </c>
      <c r="B21" s="173"/>
      <c r="C21" s="177" t="s">
        <v>700</v>
      </c>
      <c r="D21" s="178">
        <v>11200</v>
      </c>
      <c r="E21" s="178">
        <v>9287200</v>
      </c>
      <c r="F21" s="112">
        <f t="shared" si="0"/>
        <v>829.21428571428567</v>
      </c>
    </row>
    <row r="22" spans="1:6">
      <c r="A22" s="173" t="s">
        <v>60</v>
      </c>
      <c r="B22" s="173"/>
      <c r="C22" s="179" t="s">
        <v>701</v>
      </c>
      <c r="D22" s="180">
        <v>53101</v>
      </c>
      <c r="E22" s="180">
        <v>123123588</v>
      </c>
      <c r="F22" s="112">
        <f t="shared" si="0"/>
        <v>2318.6679723545694</v>
      </c>
    </row>
    <row r="23" spans="1:6">
      <c r="A23" s="173" t="s">
        <v>60</v>
      </c>
      <c r="B23" s="181" t="s">
        <v>695</v>
      </c>
      <c r="C23" s="182" t="s">
        <v>694</v>
      </c>
      <c r="D23" s="180">
        <v>40231544</v>
      </c>
      <c r="E23" s="180">
        <v>35917871716</v>
      </c>
      <c r="F23" s="112">
        <f t="shared" si="0"/>
        <v>892.77885323019166</v>
      </c>
    </row>
    <row r="24" spans="1:6">
      <c r="A24" s="173" t="s">
        <v>60</v>
      </c>
      <c r="B24" s="183" t="s">
        <v>702</v>
      </c>
      <c r="C24" s="175" t="s">
        <v>703</v>
      </c>
      <c r="D24" s="176">
        <v>10777851</v>
      </c>
      <c r="E24" s="176">
        <v>15792464401</v>
      </c>
      <c r="F24" s="112">
        <f t="shared" si="0"/>
        <v>1465.2702473804843</v>
      </c>
    </row>
    <row r="25" spans="1:6">
      <c r="A25" s="173" t="s">
        <v>60</v>
      </c>
      <c r="B25" s="184"/>
      <c r="C25" s="177" t="s">
        <v>704</v>
      </c>
      <c r="D25" s="178">
        <v>52098</v>
      </c>
      <c r="E25" s="178">
        <v>-25389243</v>
      </c>
      <c r="F25" s="112">
        <f t="shared" si="0"/>
        <v>-487.33623171714845</v>
      </c>
    </row>
    <row r="26" spans="1:6">
      <c r="A26" s="173" t="s">
        <v>60</v>
      </c>
      <c r="B26" s="173"/>
      <c r="C26" s="177" t="s">
        <v>705</v>
      </c>
      <c r="D26" s="178">
        <v>87750</v>
      </c>
      <c r="E26" s="178">
        <v>1579500</v>
      </c>
      <c r="F26" s="112">
        <f t="shared" si="0"/>
        <v>18</v>
      </c>
    </row>
    <row r="27" spans="1:6">
      <c r="A27" s="173" t="s">
        <v>60</v>
      </c>
      <c r="B27" s="173"/>
      <c r="C27" s="177" t="s">
        <v>706</v>
      </c>
      <c r="D27" s="178">
        <v>-2400</v>
      </c>
      <c r="E27" s="178">
        <v>-514800</v>
      </c>
      <c r="F27" s="112">
        <f t="shared" si="0"/>
        <v>214.5</v>
      </c>
    </row>
    <row r="28" spans="1:6">
      <c r="A28" s="173" t="s">
        <v>60</v>
      </c>
      <c r="B28" s="173"/>
      <c r="C28" s="177" t="s">
        <v>707</v>
      </c>
      <c r="D28" s="178">
        <v>323600</v>
      </c>
      <c r="E28" s="178">
        <v>4679681092</v>
      </c>
      <c r="F28" s="112">
        <f t="shared" si="0"/>
        <v>14461.313634116193</v>
      </c>
    </row>
    <row r="29" spans="1:6">
      <c r="A29" s="173" t="s">
        <v>60</v>
      </c>
      <c r="B29" s="173"/>
      <c r="C29" s="179" t="s">
        <v>708</v>
      </c>
      <c r="D29" s="180">
        <v>38000</v>
      </c>
      <c r="E29" s="180">
        <v>760000</v>
      </c>
      <c r="F29" s="112">
        <f t="shared" si="0"/>
        <v>20</v>
      </c>
    </row>
    <row r="30" spans="1:6">
      <c r="A30" s="173" t="s">
        <v>60</v>
      </c>
      <c r="B30" s="181" t="s">
        <v>702</v>
      </c>
      <c r="C30" s="182" t="s">
        <v>694</v>
      </c>
      <c r="D30" s="180">
        <v>11276899</v>
      </c>
      <c r="E30" s="180">
        <v>20448580950</v>
      </c>
      <c r="F30" s="112">
        <f t="shared" si="0"/>
        <v>1813.315961240763</v>
      </c>
    </row>
    <row r="31" spans="1:6">
      <c r="A31" s="173" t="s">
        <v>60</v>
      </c>
      <c r="B31" s="173" t="s">
        <v>709</v>
      </c>
      <c r="C31" s="177" t="s">
        <v>710</v>
      </c>
      <c r="D31" s="178">
        <v>-72811</v>
      </c>
      <c r="E31" s="178">
        <v>-6918777</v>
      </c>
      <c r="F31" s="112">
        <f t="shared" si="0"/>
        <v>95.023787614508791</v>
      </c>
    </row>
    <row r="32" spans="1:6">
      <c r="A32" s="173" t="s">
        <v>60</v>
      </c>
      <c r="B32" s="184"/>
      <c r="C32" s="177" t="s">
        <v>711</v>
      </c>
      <c r="D32" s="178">
        <v>321</v>
      </c>
      <c r="E32" s="178">
        <v>13113580</v>
      </c>
      <c r="F32" s="112">
        <f t="shared" si="0"/>
        <v>40852.27414330218</v>
      </c>
    </row>
    <row r="33" spans="1:6">
      <c r="A33" s="173" t="s">
        <v>60</v>
      </c>
      <c r="B33" s="184"/>
      <c r="C33" s="177" t="s">
        <v>712</v>
      </c>
      <c r="D33" s="178">
        <v>782831</v>
      </c>
      <c r="E33" s="178">
        <v>685939285</v>
      </c>
      <c r="F33" s="112">
        <f t="shared" si="0"/>
        <v>876.22907754036316</v>
      </c>
    </row>
    <row r="34" spans="1:6">
      <c r="A34" s="173" t="s">
        <v>60</v>
      </c>
      <c r="B34" s="184"/>
      <c r="C34" s="177" t="s">
        <v>713</v>
      </c>
      <c r="D34" s="178">
        <v>1041259</v>
      </c>
      <c r="E34" s="178">
        <v>1484325322</v>
      </c>
      <c r="F34" s="112">
        <f t="shared" si="0"/>
        <v>1425.510196790616</v>
      </c>
    </row>
    <row r="35" spans="1:6">
      <c r="A35" s="173" t="s">
        <v>60</v>
      </c>
      <c r="B35" s="184"/>
      <c r="C35" s="177" t="s">
        <v>714</v>
      </c>
      <c r="D35" s="178">
        <v>415365</v>
      </c>
      <c r="E35" s="178">
        <v>9513607221</v>
      </c>
      <c r="F35" s="112">
        <f t="shared" si="0"/>
        <v>22904.210082698348</v>
      </c>
    </row>
    <row r="36" spans="1:6">
      <c r="A36" s="173" t="s">
        <v>60</v>
      </c>
      <c r="B36" s="185"/>
      <c r="C36" s="179"/>
      <c r="D36" s="180"/>
      <c r="E36" s="180"/>
      <c r="F36" s="112" t="e">
        <f t="shared" si="0"/>
        <v>#DIV/0!</v>
      </c>
    </row>
    <row r="37" spans="1:6">
      <c r="A37" s="173" t="s">
        <v>60</v>
      </c>
      <c r="B37" s="174"/>
      <c r="C37" s="175" t="s">
        <v>715</v>
      </c>
      <c r="D37" s="176">
        <v>299301</v>
      </c>
      <c r="E37" s="176">
        <v>3510570607</v>
      </c>
      <c r="F37" s="112">
        <f t="shared" si="0"/>
        <v>11729.231131870592</v>
      </c>
    </row>
    <row r="38" spans="1:6">
      <c r="A38" s="173" t="s">
        <v>60</v>
      </c>
      <c r="B38" s="184"/>
      <c r="C38" s="177" t="s">
        <v>716</v>
      </c>
      <c r="D38" s="178">
        <v>195091</v>
      </c>
      <c r="E38" s="178">
        <v>5517196849</v>
      </c>
      <c r="F38" s="112">
        <f t="shared" si="0"/>
        <v>28280.119785125917</v>
      </c>
    </row>
    <row r="39" spans="1:6">
      <c r="A39" s="173" t="s">
        <v>60</v>
      </c>
      <c r="B39" s="184"/>
      <c r="C39" s="177" t="s">
        <v>717</v>
      </c>
      <c r="D39" s="178"/>
      <c r="E39" s="178">
        <v>-39279</v>
      </c>
      <c r="F39" s="112" t="e">
        <f t="shared" si="0"/>
        <v>#DIV/0!</v>
      </c>
    </row>
    <row r="40" spans="1:6">
      <c r="A40" s="173" t="s">
        <v>60</v>
      </c>
      <c r="B40" s="184"/>
      <c r="C40" s="177" t="s">
        <v>718</v>
      </c>
      <c r="D40" s="178">
        <v>4615415</v>
      </c>
      <c r="E40" s="178">
        <v>14195431838</v>
      </c>
      <c r="F40" s="112">
        <f t="shared" si="0"/>
        <v>3075.6566501603866</v>
      </c>
    </row>
    <row r="41" spans="1:6">
      <c r="A41" s="173" t="s">
        <v>60</v>
      </c>
      <c r="B41" s="184"/>
      <c r="C41" s="179" t="s">
        <v>719</v>
      </c>
      <c r="D41" s="180">
        <v>72920</v>
      </c>
      <c r="E41" s="180">
        <v>2423895370</v>
      </c>
      <c r="F41" s="112">
        <f t="shared" si="0"/>
        <v>33240.474081184861</v>
      </c>
    </row>
    <row r="42" spans="1:6">
      <c r="A42" s="173" t="s">
        <v>60</v>
      </c>
      <c r="B42" s="186" t="s">
        <v>709</v>
      </c>
      <c r="C42" s="182" t="s">
        <v>694</v>
      </c>
      <c r="D42" s="180">
        <v>7349692</v>
      </c>
      <c r="E42" s="180">
        <v>37337122016</v>
      </c>
      <c r="F42" s="112">
        <f t="shared" si="0"/>
        <v>5080.0934265000496</v>
      </c>
    </row>
    <row r="43" spans="1:6">
      <c r="A43" s="173" t="s">
        <v>60</v>
      </c>
      <c r="B43" s="174" t="s">
        <v>720</v>
      </c>
      <c r="C43" s="175" t="s">
        <v>721</v>
      </c>
      <c r="D43" s="176">
        <v>290863</v>
      </c>
      <c r="E43" s="176">
        <v>8075465260</v>
      </c>
      <c r="F43" s="112">
        <f t="shared" si="0"/>
        <v>27763.810660001443</v>
      </c>
    </row>
    <row r="44" spans="1:6">
      <c r="A44" s="173" t="s">
        <v>60</v>
      </c>
      <c r="B44" s="184"/>
      <c r="C44" s="179" t="s">
        <v>722</v>
      </c>
      <c r="D44" s="180">
        <v>244949</v>
      </c>
      <c r="E44" s="180">
        <v>2670711032</v>
      </c>
      <c r="F44" s="112">
        <f t="shared" si="0"/>
        <v>10903.13098645024</v>
      </c>
    </row>
    <row r="45" spans="1:6">
      <c r="A45" s="173" t="s">
        <v>60</v>
      </c>
      <c r="B45" s="181" t="s">
        <v>720</v>
      </c>
      <c r="C45" s="182" t="s">
        <v>694</v>
      </c>
      <c r="D45" s="180">
        <v>535812</v>
      </c>
      <c r="E45" s="180">
        <v>10746176292</v>
      </c>
      <c r="F45" s="112">
        <f t="shared" si="0"/>
        <v>20055.870887550111</v>
      </c>
    </row>
    <row r="46" spans="1:6">
      <c r="A46" s="173" t="s">
        <v>60</v>
      </c>
      <c r="B46" s="183" t="s">
        <v>723</v>
      </c>
      <c r="C46" s="175" t="s">
        <v>724</v>
      </c>
      <c r="D46" s="176">
        <v>5088</v>
      </c>
      <c r="E46" s="176">
        <v>92813086</v>
      </c>
      <c r="F46" s="112">
        <f t="shared" si="0"/>
        <v>18241.565644654089</v>
      </c>
    </row>
    <row r="47" spans="1:6">
      <c r="A47" s="173" t="s">
        <v>60</v>
      </c>
      <c r="B47" s="184"/>
      <c r="C47" s="179" t="s">
        <v>725</v>
      </c>
      <c r="D47" s="180">
        <v>2</v>
      </c>
      <c r="E47" s="180">
        <v>197197325</v>
      </c>
      <c r="F47" s="112">
        <f t="shared" si="0"/>
        <v>98598662.5</v>
      </c>
    </row>
    <row r="48" spans="1:6">
      <c r="A48" s="173" t="s">
        <v>60</v>
      </c>
      <c r="B48" s="181" t="s">
        <v>723</v>
      </c>
      <c r="C48" s="182" t="s">
        <v>694</v>
      </c>
      <c r="D48" s="180">
        <v>5090</v>
      </c>
      <c r="E48" s="180">
        <v>290010411</v>
      </c>
      <c r="F48" s="112">
        <f t="shared" si="0"/>
        <v>56976.505108055011</v>
      </c>
    </row>
    <row r="49" spans="1:6">
      <c r="A49" s="173" t="s">
        <v>60</v>
      </c>
      <c r="B49" s="183" t="s">
        <v>139</v>
      </c>
      <c r="C49" s="175" t="s">
        <v>726</v>
      </c>
      <c r="D49" s="176">
        <v>857000</v>
      </c>
      <c r="E49" s="176">
        <v>35165000</v>
      </c>
      <c r="F49" s="112">
        <f t="shared" si="0"/>
        <v>41.032672112018673</v>
      </c>
    </row>
    <row r="50" spans="1:6">
      <c r="A50" s="173" t="s">
        <v>60</v>
      </c>
      <c r="B50" s="173"/>
      <c r="C50" s="177" t="s">
        <v>727</v>
      </c>
      <c r="D50" s="178">
        <v>1637043</v>
      </c>
      <c r="E50" s="178">
        <v>7535341</v>
      </c>
      <c r="F50" s="112">
        <f t="shared" si="0"/>
        <v>4.6030195908109928</v>
      </c>
    </row>
    <row r="51" spans="1:6">
      <c r="A51" s="173" t="s">
        <v>60</v>
      </c>
      <c r="B51" s="173"/>
      <c r="C51" s="177" t="s">
        <v>728</v>
      </c>
      <c r="D51" s="178">
        <v>12</v>
      </c>
      <c r="E51" s="178">
        <v>46130555</v>
      </c>
      <c r="F51" s="112">
        <f t="shared" si="0"/>
        <v>3844212.9166666665</v>
      </c>
    </row>
    <row r="52" spans="1:6">
      <c r="A52" s="173" t="s">
        <v>60</v>
      </c>
      <c r="B52" s="173"/>
      <c r="C52" s="179" t="s">
        <v>729</v>
      </c>
      <c r="D52" s="180"/>
      <c r="E52" s="180">
        <v>2092366000</v>
      </c>
      <c r="F52" s="112" t="e">
        <f t="shared" si="0"/>
        <v>#DIV/0!</v>
      </c>
    </row>
    <row r="53" spans="1:6">
      <c r="A53" s="173" t="s">
        <v>60</v>
      </c>
      <c r="B53" s="181" t="s">
        <v>139</v>
      </c>
      <c r="C53" s="182" t="s">
        <v>694</v>
      </c>
      <c r="D53" s="180">
        <v>2494055</v>
      </c>
      <c r="E53" s="180">
        <v>2181196896</v>
      </c>
      <c r="F53" s="112">
        <f t="shared" si="0"/>
        <v>874.55845841410871</v>
      </c>
    </row>
    <row r="54" spans="1:6">
      <c r="A54" s="173" t="s">
        <v>60</v>
      </c>
      <c r="B54" s="214"/>
      <c r="C54" s="215" t="s">
        <v>730</v>
      </c>
      <c r="D54" s="180">
        <v>138725852</v>
      </c>
      <c r="E54" s="180">
        <v>391576664022</v>
      </c>
      <c r="F54" s="112">
        <f t="shared" si="0"/>
        <v>2822.6654107844297</v>
      </c>
    </row>
    <row r="55" spans="1:6">
      <c r="A55" s="173" t="s">
        <v>61</v>
      </c>
      <c r="B55" s="187" t="s">
        <v>693</v>
      </c>
      <c r="C55" s="175" t="s">
        <v>254</v>
      </c>
      <c r="D55" s="176">
        <v>53765</v>
      </c>
      <c r="E55" s="176">
        <v>16461322</v>
      </c>
      <c r="F55" s="112">
        <f t="shared" si="0"/>
        <v>306.17171022040361</v>
      </c>
    </row>
    <row r="56" spans="1:6">
      <c r="A56" s="173" t="s">
        <v>61</v>
      </c>
      <c r="B56" s="184"/>
      <c r="C56" s="177" t="s">
        <v>235</v>
      </c>
      <c r="D56" s="178">
        <v>17905352</v>
      </c>
      <c r="E56" s="178">
        <v>660264649</v>
      </c>
      <c r="F56" s="112">
        <f t="shared" si="0"/>
        <v>36.875267741175932</v>
      </c>
    </row>
    <row r="57" spans="1:6">
      <c r="A57" s="173" t="s">
        <v>61</v>
      </c>
      <c r="B57" s="173"/>
      <c r="C57" s="177" t="s">
        <v>221</v>
      </c>
      <c r="D57" s="178">
        <v>239955190</v>
      </c>
      <c r="E57" s="178">
        <v>44718173494</v>
      </c>
      <c r="F57" s="112">
        <f t="shared" si="0"/>
        <v>186.36051795337289</v>
      </c>
    </row>
    <row r="58" spans="1:6">
      <c r="A58" s="173" t="s">
        <v>61</v>
      </c>
      <c r="B58" s="173"/>
      <c r="C58" s="177" t="s">
        <v>225</v>
      </c>
      <c r="D58" s="178">
        <v>180242154</v>
      </c>
      <c r="E58" s="178">
        <v>20643578858</v>
      </c>
      <c r="F58" s="112">
        <f t="shared" si="0"/>
        <v>114.53246868099457</v>
      </c>
    </row>
    <row r="59" spans="1:6">
      <c r="A59" s="173" t="s">
        <v>61</v>
      </c>
      <c r="B59" s="173"/>
      <c r="C59" s="177" t="s">
        <v>218</v>
      </c>
      <c r="D59" s="178">
        <v>665252629</v>
      </c>
      <c r="E59" s="178">
        <v>19015676466</v>
      </c>
      <c r="F59" s="112">
        <f t="shared" si="0"/>
        <v>28.584143281905018</v>
      </c>
    </row>
    <row r="60" spans="1:6">
      <c r="A60" s="173" t="s">
        <v>61</v>
      </c>
      <c r="B60" s="173"/>
      <c r="C60" s="177" t="s">
        <v>231</v>
      </c>
      <c r="D60" s="178">
        <v>6397618</v>
      </c>
      <c r="E60" s="178">
        <v>12683374776</v>
      </c>
      <c r="F60" s="112">
        <f t="shared" si="0"/>
        <v>1982.5151761171112</v>
      </c>
    </row>
    <row r="61" spans="1:6">
      <c r="A61" s="173" t="s">
        <v>61</v>
      </c>
      <c r="B61" s="173"/>
      <c r="C61" s="177" t="s">
        <v>245</v>
      </c>
      <c r="D61" s="178">
        <v>546511</v>
      </c>
      <c r="E61" s="178">
        <v>5361741</v>
      </c>
      <c r="F61" s="112">
        <f t="shared" si="0"/>
        <v>9.8108565060904542</v>
      </c>
    </row>
    <row r="62" spans="1:6">
      <c r="A62" s="173" t="s">
        <v>61</v>
      </c>
      <c r="B62" s="173"/>
      <c r="C62" s="177" t="s">
        <v>248</v>
      </c>
      <c r="D62" s="178">
        <v>8068568</v>
      </c>
      <c r="E62" s="178">
        <v>446770558</v>
      </c>
      <c r="F62" s="112">
        <f t="shared" si="0"/>
        <v>55.371728663624076</v>
      </c>
    </row>
    <row r="63" spans="1:6">
      <c r="A63" s="173" t="s">
        <v>61</v>
      </c>
      <c r="B63" s="173"/>
      <c r="C63" s="179" t="s">
        <v>228</v>
      </c>
      <c r="D63" s="180">
        <v>1426368</v>
      </c>
      <c r="E63" s="180">
        <v>3683118363</v>
      </c>
      <c r="F63" s="112">
        <f t="shared" si="0"/>
        <v>2582.1655863003098</v>
      </c>
    </row>
    <row r="64" spans="1:6">
      <c r="A64" s="173" t="s">
        <v>61</v>
      </c>
      <c r="B64" s="181" t="s">
        <v>693</v>
      </c>
      <c r="C64" s="182" t="s">
        <v>694</v>
      </c>
      <c r="D64" s="180">
        <v>1119848155</v>
      </c>
      <c r="E64" s="180">
        <v>101872780227</v>
      </c>
      <c r="F64" s="112">
        <f t="shared" si="0"/>
        <v>90.970172850800466</v>
      </c>
    </row>
    <row r="65" spans="1:6">
      <c r="A65" s="173" t="s">
        <v>61</v>
      </c>
      <c r="B65" s="184" t="s">
        <v>695</v>
      </c>
      <c r="C65" s="175" t="s">
        <v>696</v>
      </c>
      <c r="D65" s="176">
        <v>98695622</v>
      </c>
      <c r="E65" s="176">
        <v>19913221874</v>
      </c>
      <c r="F65" s="112">
        <f t="shared" si="0"/>
        <v>201.76398375603733</v>
      </c>
    </row>
    <row r="66" spans="1:6">
      <c r="A66" s="173" t="s">
        <v>61</v>
      </c>
      <c r="B66" s="173"/>
      <c r="C66" s="177" t="s">
        <v>698</v>
      </c>
      <c r="D66" s="178">
        <v>27148753</v>
      </c>
      <c r="E66" s="178">
        <v>5016778990</v>
      </c>
      <c r="F66" s="112">
        <f t="shared" si="0"/>
        <v>184.78856063849415</v>
      </c>
    </row>
    <row r="67" spans="1:6">
      <c r="A67" s="173" t="s">
        <v>61</v>
      </c>
      <c r="B67" s="173"/>
      <c r="C67" s="177" t="s">
        <v>699</v>
      </c>
      <c r="D67" s="178">
        <v>2627403</v>
      </c>
      <c r="E67" s="178">
        <v>1911296981</v>
      </c>
      <c r="F67" s="112">
        <f t="shared" si="0"/>
        <v>727.44720965911972</v>
      </c>
    </row>
    <row r="68" spans="1:6">
      <c r="A68" s="173" t="s">
        <v>61</v>
      </c>
      <c r="B68" s="173"/>
      <c r="C68" s="177" t="s">
        <v>700</v>
      </c>
      <c r="D68" s="178">
        <v>252349</v>
      </c>
      <c r="E68" s="178">
        <v>301106669</v>
      </c>
      <c r="F68" s="112">
        <f t="shared" si="0"/>
        <v>1193.2152257389569</v>
      </c>
    </row>
    <row r="69" spans="1:6">
      <c r="A69" s="173" t="s">
        <v>61</v>
      </c>
      <c r="B69" s="173"/>
      <c r="C69" s="179" t="s">
        <v>731</v>
      </c>
      <c r="D69" s="180">
        <v>36000</v>
      </c>
      <c r="E69" s="180">
        <v>2995216</v>
      </c>
      <c r="F69" s="112">
        <f t="shared" si="0"/>
        <v>83.200444444444443</v>
      </c>
    </row>
    <row r="70" spans="1:6">
      <c r="A70" s="173" t="s">
        <v>61</v>
      </c>
      <c r="B70" s="181"/>
      <c r="C70" s="182" t="s">
        <v>694</v>
      </c>
      <c r="D70" s="180">
        <v>128760127</v>
      </c>
      <c r="E70" s="180">
        <v>27145399730</v>
      </c>
      <c r="F70" s="112">
        <f t="shared" si="0"/>
        <v>210.82147371600527</v>
      </c>
    </row>
    <row r="71" spans="1:6">
      <c r="A71" s="173" t="s">
        <v>61</v>
      </c>
      <c r="B71" s="174" t="s">
        <v>702</v>
      </c>
      <c r="C71" s="188" t="s">
        <v>703</v>
      </c>
      <c r="D71" s="189">
        <v>18780432</v>
      </c>
      <c r="E71" s="189">
        <v>14608790639</v>
      </c>
      <c r="F71" s="112">
        <f t="shared" ref="F71:F91" si="1">E71/D71</f>
        <v>777.8729817823147</v>
      </c>
    </row>
    <row r="72" spans="1:6">
      <c r="A72" s="173" t="s">
        <v>61</v>
      </c>
      <c r="B72" s="181"/>
      <c r="C72" s="182" t="s">
        <v>694</v>
      </c>
      <c r="D72" s="180">
        <v>18780432</v>
      </c>
      <c r="E72" s="180">
        <v>14608790639</v>
      </c>
      <c r="F72" s="112">
        <f t="shared" si="1"/>
        <v>777.8729817823147</v>
      </c>
    </row>
    <row r="73" spans="1:6">
      <c r="A73" s="173" t="s">
        <v>61</v>
      </c>
      <c r="B73" s="183" t="s">
        <v>709</v>
      </c>
      <c r="C73" s="175" t="s">
        <v>710</v>
      </c>
      <c r="D73" s="176">
        <v>36003</v>
      </c>
      <c r="E73" s="176">
        <v>2491141728</v>
      </c>
      <c r="F73" s="112">
        <f t="shared" si="1"/>
        <v>69192.615282059822</v>
      </c>
    </row>
    <row r="74" spans="1:6">
      <c r="A74" s="173" t="s">
        <v>61</v>
      </c>
      <c r="B74" s="173"/>
      <c r="C74" s="177" t="s">
        <v>712</v>
      </c>
      <c r="D74" s="178">
        <v>110000</v>
      </c>
      <c r="E74" s="178">
        <v>207737</v>
      </c>
      <c r="F74" s="112">
        <f t="shared" si="1"/>
        <v>1.8885181818181818</v>
      </c>
    </row>
    <row r="75" spans="1:6">
      <c r="A75" s="173" t="s">
        <v>61</v>
      </c>
      <c r="B75" s="184"/>
      <c r="C75" s="177" t="s">
        <v>713</v>
      </c>
      <c r="D75" s="178">
        <v>295313</v>
      </c>
      <c r="E75" s="178">
        <v>20059105</v>
      </c>
      <c r="F75" s="112">
        <f t="shared" si="1"/>
        <v>67.924896635095649</v>
      </c>
    </row>
    <row r="76" spans="1:6">
      <c r="A76" s="173" t="s">
        <v>61</v>
      </c>
      <c r="B76" s="184"/>
      <c r="C76" s="177" t="s">
        <v>714</v>
      </c>
      <c r="D76" s="178">
        <v>16992</v>
      </c>
      <c r="E76" s="178">
        <v>415043797</v>
      </c>
      <c r="F76" s="112">
        <f t="shared" si="1"/>
        <v>24425.835510828627</v>
      </c>
    </row>
    <row r="77" spans="1:6">
      <c r="A77" s="173" t="s">
        <v>61</v>
      </c>
      <c r="B77" s="184"/>
      <c r="C77" s="177" t="s">
        <v>716</v>
      </c>
      <c r="D77" s="178">
        <v>13351</v>
      </c>
      <c r="E77" s="178">
        <v>660437662</v>
      </c>
      <c r="F77" s="112">
        <f t="shared" si="1"/>
        <v>49467.280503333081</v>
      </c>
    </row>
    <row r="78" spans="1:6">
      <c r="A78" s="173" t="s">
        <v>61</v>
      </c>
      <c r="B78" s="184"/>
      <c r="C78" s="177" t="s">
        <v>732</v>
      </c>
      <c r="D78" s="178">
        <v>1</v>
      </c>
      <c r="E78" s="178">
        <v>166653747</v>
      </c>
      <c r="F78" s="112">
        <f t="shared" si="1"/>
        <v>166653747</v>
      </c>
    </row>
    <row r="79" spans="1:6">
      <c r="A79" s="173" t="s">
        <v>61</v>
      </c>
      <c r="B79" s="173"/>
      <c r="C79" s="179" t="s">
        <v>718</v>
      </c>
      <c r="D79" s="180">
        <v>1172822</v>
      </c>
      <c r="E79" s="180">
        <v>158834657</v>
      </c>
      <c r="F79" s="112">
        <f t="shared" si="1"/>
        <v>135.4294658524482</v>
      </c>
    </row>
    <row r="80" spans="1:6">
      <c r="A80" s="173" t="s">
        <v>61</v>
      </c>
      <c r="B80" s="181"/>
      <c r="C80" s="182" t="s">
        <v>694</v>
      </c>
      <c r="D80" s="180">
        <v>1644482</v>
      </c>
      <c r="E80" s="180">
        <v>3912378433</v>
      </c>
      <c r="F80" s="112">
        <f t="shared" si="1"/>
        <v>2379.0947137153221</v>
      </c>
    </row>
    <row r="81" spans="1:6">
      <c r="A81" s="173" t="s">
        <v>61</v>
      </c>
      <c r="B81" s="183" t="s">
        <v>720</v>
      </c>
      <c r="C81" s="188" t="s">
        <v>722</v>
      </c>
      <c r="D81" s="189">
        <v>481197</v>
      </c>
      <c r="E81" s="189">
        <v>10311943211</v>
      </c>
      <c r="F81" s="112">
        <f t="shared" si="1"/>
        <v>21429.774522700682</v>
      </c>
    </row>
    <row r="82" spans="1:6">
      <c r="A82" s="173" t="s">
        <v>61</v>
      </c>
      <c r="B82" s="181"/>
      <c r="C82" s="182" t="s">
        <v>694</v>
      </c>
      <c r="D82" s="180">
        <v>481197</v>
      </c>
      <c r="E82" s="180">
        <v>10311943211</v>
      </c>
      <c r="F82" s="112">
        <f t="shared" si="1"/>
        <v>21429.774522700682</v>
      </c>
    </row>
    <row r="83" spans="1:6">
      <c r="A83" s="173" t="s">
        <v>61</v>
      </c>
      <c r="B83" s="183" t="s">
        <v>723</v>
      </c>
      <c r="C83" s="188" t="s">
        <v>724</v>
      </c>
      <c r="D83" s="189">
        <v>8566000</v>
      </c>
      <c r="E83" s="189">
        <v>47633993</v>
      </c>
      <c r="F83" s="112">
        <f t="shared" si="1"/>
        <v>5.5608210366565496</v>
      </c>
    </row>
    <row r="84" spans="1:6">
      <c r="A84" s="173" t="s">
        <v>61</v>
      </c>
      <c r="B84" s="186"/>
      <c r="C84" s="182" t="s">
        <v>694</v>
      </c>
      <c r="D84" s="180">
        <v>8566000</v>
      </c>
      <c r="E84" s="180">
        <v>47633993</v>
      </c>
      <c r="F84" s="112">
        <f t="shared" si="1"/>
        <v>5.5608210366565496</v>
      </c>
    </row>
    <row r="85" spans="1:6">
      <c r="A85" s="173" t="s">
        <v>61</v>
      </c>
      <c r="B85" s="183" t="s">
        <v>139</v>
      </c>
      <c r="C85" s="175" t="s">
        <v>726</v>
      </c>
      <c r="D85" s="176">
        <v>2425227</v>
      </c>
      <c r="E85" s="176">
        <v>138715594</v>
      </c>
      <c r="F85" s="112">
        <f t="shared" si="1"/>
        <v>57.196952697623772</v>
      </c>
    </row>
    <row r="86" spans="1:6">
      <c r="A86" s="173" t="s">
        <v>61</v>
      </c>
      <c r="B86" s="184"/>
      <c r="C86" s="177" t="s">
        <v>727</v>
      </c>
      <c r="D86" s="178">
        <v>474013486</v>
      </c>
      <c r="E86" s="178">
        <v>2458022184</v>
      </c>
      <c r="F86" s="112">
        <f t="shared" si="1"/>
        <v>5.1855532734779617</v>
      </c>
    </row>
    <row r="87" spans="1:6">
      <c r="A87" s="173" t="s">
        <v>61</v>
      </c>
      <c r="B87" s="173"/>
      <c r="C87" s="177" t="s">
        <v>733</v>
      </c>
      <c r="D87" s="178">
        <v>31</v>
      </c>
      <c r="E87" s="178">
        <v>2798293845</v>
      </c>
      <c r="F87" s="112">
        <f t="shared" si="1"/>
        <v>90267543.387096778</v>
      </c>
    </row>
    <row r="88" spans="1:6">
      <c r="A88" s="173" t="s">
        <v>61</v>
      </c>
      <c r="B88" s="173"/>
      <c r="C88" s="179" t="s">
        <v>728</v>
      </c>
      <c r="D88" s="180">
        <v>19</v>
      </c>
      <c r="E88" s="180">
        <v>869646247</v>
      </c>
      <c r="F88" s="112">
        <f t="shared" si="1"/>
        <v>45770855.105263159</v>
      </c>
    </row>
    <row r="89" spans="1:6">
      <c r="A89" s="173" t="s">
        <v>61</v>
      </c>
      <c r="B89" s="181"/>
      <c r="C89" s="182" t="s">
        <v>694</v>
      </c>
      <c r="D89" s="180">
        <v>476438763</v>
      </c>
      <c r="E89" s="180">
        <v>6264677870</v>
      </c>
      <c r="F89" s="112">
        <f t="shared" si="1"/>
        <v>13.148967625037679</v>
      </c>
    </row>
    <row r="90" spans="1:6">
      <c r="A90" s="181"/>
      <c r="B90" s="214"/>
      <c r="C90" s="215" t="s">
        <v>730</v>
      </c>
      <c r="D90" s="180">
        <v>1754519156</v>
      </c>
      <c r="E90" s="180">
        <v>164163604103</v>
      </c>
      <c r="F90" s="112">
        <f t="shared" si="1"/>
        <v>93.566150897585302</v>
      </c>
    </row>
    <row r="91" spans="1:6">
      <c r="A91" s="216"/>
      <c r="B91" s="217"/>
      <c r="C91" s="182" t="s">
        <v>734</v>
      </c>
      <c r="D91" s="180">
        <v>1893245008</v>
      </c>
      <c r="E91" s="180">
        <v>555740268125</v>
      </c>
      <c r="F91" s="112">
        <f t="shared" si="1"/>
        <v>293.5384832796031</v>
      </c>
    </row>
    <row r="107" spans="1:6">
      <c r="A107" s="454" t="e">
        <f>#REF!+1</f>
        <v>#REF!</v>
      </c>
      <c r="B107" s="454"/>
      <c r="C107" s="454"/>
      <c r="D107" s="454"/>
      <c r="E107" s="454"/>
    </row>
    <row r="109" spans="1:6" s="190" customFormat="1">
      <c r="C109" s="191"/>
      <c r="D109" s="149"/>
      <c r="E109" s="149"/>
      <c r="F109" s="193"/>
    </row>
  </sheetData>
  <mergeCells count="3">
    <mergeCell ref="A107:E107"/>
    <mergeCell ref="A1:E1"/>
    <mergeCell ref="A2:E2"/>
  </mergeCells>
  <phoneticPr fontId="3" type="noConversion"/>
  <printOptions horizontalCentered="1"/>
  <pageMargins left="0.59055118110236227" right="3.937007874015748E-2" top="0.74803149606299213" bottom="0.19685039370078741" header="0" footer="0"/>
  <pageSetup paperSize="9" scale="9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F112"/>
  <sheetViews>
    <sheetView showGridLines="0" tabSelected="1" view="pageBreakPreview" topLeftCell="A46" zoomScale="70" zoomScaleSheetLayoutView="70" workbookViewId="0">
      <selection activeCell="E46" sqref="E46"/>
    </sheetView>
  </sheetViews>
  <sheetFormatPr defaultRowHeight="13.5"/>
  <cols>
    <col min="1" max="1" width="6.75" style="242" customWidth="1"/>
    <col min="2" max="2" width="12.125" style="242" customWidth="1"/>
    <col min="3" max="3" width="26.875" style="224" customWidth="1"/>
    <col min="4" max="4" width="18.125" style="195" customWidth="1"/>
    <col min="5" max="5" width="26.875" style="195" customWidth="1"/>
    <col min="6" max="6" width="11.5" style="195" customWidth="1"/>
    <col min="7" max="16384" width="9" style="222"/>
  </cols>
  <sheetData>
    <row r="1" spans="1:6" s="221" customFormat="1" ht="30" customHeight="1">
      <c r="A1" s="461" t="s">
        <v>689</v>
      </c>
      <c r="B1" s="461"/>
      <c r="C1" s="461"/>
      <c r="D1" s="461"/>
      <c r="E1" s="461"/>
      <c r="F1" s="194"/>
    </row>
    <row r="2" spans="1:6" ht="15" customHeight="1">
      <c r="A2" s="462" t="s">
        <v>735</v>
      </c>
      <c r="B2" s="462"/>
      <c r="C2" s="462"/>
      <c r="D2" s="462"/>
      <c r="E2" s="462"/>
    </row>
    <row r="3" spans="1:6" ht="15" customHeight="1">
      <c r="A3" s="433"/>
      <c r="B3" s="433"/>
      <c r="C3" s="223"/>
      <c r="D3" s="243"/>
      <c r="E3" s="243"/>
    </row>
    <row r="4" spans="1:6" ht="15" customHeight="1">
      <c r="A4" s="224" t="s">
        <v>691</v>
      </c>
      <c r="B4" s="225"/>
      <c r="C4" s="226"/>
      <c r="D4" s="244"/>
      <c r="E4" s="245" t="s">
        <v>644</v>
      </c>
    </row>
    <row r="5" spans="1:6" ht="30" customHeight="1">
      <c r="A5" s="227" t="s">
        <v>645</v>
      </c>
      <c r="B5" s="227" t="s">
        <v>692</v>
      </c>
      <c r="C5" s="227" t="s">
        <v>647</v>
      </c>
      <c r="D5" s="196" t="s">
        <v>648</v>
      </c>
      <c r="E5" s="196" t="s">
        <v>649</v>
      </c>
      <c r="F5" s="196" t="s">
        <v>206</v>
      </c>
    </row>
    <row r="6" spans="1:6" ht="21" customHeight="1">
      <c r="A6" s="228" t="s">
        <v>60</v>
      </c>
      <c r="B6" s="229" t="s">
        <v>693</v>
      </c>
      <c r="C6" s="230" t="s">
        <v>219</v>
      </c>
      <c r="D6" s="246">
        <v>14682298</v>
      </c>
      <c r="E6" s="246">
        <v>77304936133</v>
      </c>
      <c r="F6" s="195">
        <f>E6/D6</f>
        <v>5265.1796151392646</v>
      </c>
    </row>
    <row r="7" spans="1:6" ht="21" customHeight="1">
      <c r="A7" s="228"/>
      <c r="B7" s="228"/>
      <c r="C7" s="231" t="s">
        <v>222</v>
      </c>
      <c r="D7" s="247">
        <v>21739980</v>
      </c>
      <c r="E7" s="247">
        <v>55715484860</v>
      </c>
      <c r="F7" s="195">
        <f t="shared" ref="F7:F70" si="0">E7/D7</f>
        <v>2562.8121488612223</v>
      </c>
    </row>
    <row r="8" spans="1:6" ht="21" customHeight="1">
      <c r="A8" s="228"/>
      <c r="B8" s="228"/>
      <c r="C8" s="231" t="s">
        <v>229</v>
      </c>
      <c r="D8" s="247">
        <v>12227198</v>
      </c>
      <c r="E8" s="247">
        <v>54299390077</v>
      </c>
      <c r="F8" s="195">
        <f t="shared" si="0"/>
        <v>4440.8694516110727</v>
      </c>
    </row>
    <row r="9" spans="1:6" ht="21" customHeight="1">
      <c r="A9" s="228"/>
      <c r="B9" s="228"/>
      <c r="C9" s="231" t="s">
        <v>226</v>
      </c>
      <c r="D9" s="247">
        <v>6861427</v>
      </c>
      <c r="E9" s="247">
        <v>42790382752</v>
      </c>
      <c r="F9" s="195">
        <f t="shared" si="0"/>
        <v>6236.3678505943444</v>
      </c>
    </row>
    <row r="10" spans="1:6" ht="21" customHeight="1">
      <c r="A10" s="228"/>
      <c r="B10" s="228"/>
      <c r="C10" s="231" t="s">
        <v>232</v>
      </c>
      <c r="D10" s="247">
        <v>5650329</v>
      </c>
      <c r="E10" s="247">
        <v>35095350293</v>
      </c>
      <c r="F10" s="195">
        <f t="shared" si="0"/>
        <v>6211.2047445378848</v>
      </c>
    </row>
    <row r="11" spans="1:6" ht="21" customHeight="1">
      <c r="A11" s="228"/>
      <c r="B11" s="228"/>
      <c r="C11" s="231" t="s">
        <v>236</v>
      </c>
      <c r="D11" s="247">
        <v>2982876</v>
      </c>
      <c r="E11" s="247">
        <v>16778628079</v>
      </c>
      <c r="F11" s="195">
        <f t="shared" si="0"/>
        <v>5624.9834317618297</v>
      </c>
    </row>
    <row r="12" spans="1:6" ht="21" customHeight="1">
      <c r="A12" s="228"/>
      <c r="B12" s="228"/>
      <c r="C12" s="231" t="s">
        <v>239</v>
      </c>
      <c r="D12" s="247">
        <v>1959760</v>
      </c>
      <c r="E12" s="247">
        <v>1073865459</v>
      </c>
      <c r="F12" s="195">
        <f t="shared" si="0"/>
        <v>547.95763715965222</v>
      </c>
    </row>
    <row r="13" spans="1:6" ht="21" customHeight="1">
      <c r="A13" s="228"/>
      <c r="B13" s="228"/>
      <c r="C13" s="231" t="s">
        <v>243</v>
      </c>
      <c r="D13" s="247">
        <v>263780</v>
      </c>
      <c r="E13" s="247">
        <v>466541548</v>
      </c>
      <c r="F13" s="195">
        <f t="shared" si="0"/>
        <v>1768.6767306088407</v>
      </c>
    </row>
    <row r="14" spans="1:6" ht="21" customHeight="1">
      <c r="A14" s="228"/>
      <c r="B14" s="228"/>
      <c r="C14" s="231" t="s">
        <v>246</v>
      </c>
      <c r="D14" s="247">
        <v>4979</v>
      </c>
      <c r="E14" s="247">
        <v>221709229</v>
      </c>
      <c r="F14" s="195">
        <f t="shared" si="0"/>
        <v>44528.867041574616</v>
      </c>
    </row>
    <row r="15" spans="1:6" ht="21" customHeight="1">
      <c r="A15" s="228"/>
      <c r="B15" s="228"/>
      <c r="C15" s="232" t="s">
        <v>249</v>
      </c>
      <c r="D15" s="248">
        <v>1446</v>
      </c>
      <c r="E15" s="248">
        <v>32171610</v>
      </c>
      <c r="F15" s="195">
        <f t="shared" si="0"/>
        <v>22248.69294605809</v>
      </c>
    </row>
    <row r="16" spans="1:6" ht="21" customHeight="1">
      <c r="A16" s="228"/>
      <c r="B16" s="434"/>
      <c r="C16" s="233" t="s">
        <v>694</v>
      </c>
      <c r="D16" s="248">
        <f>SUM(D6:D15)</f>
        <v>66374073</v>
      </c>
      <c r="E16" s="248">
        <f>SUM(E6:E15)</f>
        <v>283778460040</v>
      </c>
      <c r="F16" s="195">
        <f t="shared" si="0"/>
        <v>4275.4414067673688</v>
      </c>
    </row>
    <row r="17" spans="1:6" ht="21" customHeight="1">
      <c r="A17" s="228"/>
      <c r="B17" s="229" t="s">
        <v>695</v>
      </c>
      <c r="C17" s="230" t="s">
        <v>736</v>
      </c>
      <c r="D17" s="246">
        <v>33635928</v>
      </c>
      <c r="E17" s="246">
        <v>26727866922</v>
      </c>
      <c r="F17" s="195">
        <f t="shared" si="0"/>
        <v>794.62255127909657</v>
      </c>
    </row>
    <row r="18" spans="1:6" ht="21" customHeight="1">
      <c r="A18" s="228"/>
      <c r="B18" s="228"/>
      <c r="C18" s="231" t="s">
        <v>654</v>
      </c>
      <c r="D18" s="247">
        <v>2336023</v>
      </c>
      <c r="E18" s="247">
        <v>1659179890</v>
      </c>
      <c r="F18" s="195">
        <f t="shared" si="0"/>
        <v>710.25837074378126</v>
      </c>
    </row>
    <row r="19" spans="1:6" ht="21" customHeight="1">
      <c r="A19" s="228"/>
      <c r="B19" s="228"/>
      <c r="C19" s="231" t="s">
        <v>737</v>
      </c>
      <c r="D19" s="247">
        <v>320934</v>
      </c>
      <c r="E19" s="247">
        <v>351990189</v>
      </c>
      <c r="F19" s="195">
        <f t="shared" si="0"/>
        <v>1096.7681485912992</v>
      </c>
    </row>
    <row r="20" spans="1:6" ht="21" customHeight="1">
      <c r="A20" s="228"/>
      <c r="B20" s="228"/>
      <c r="C20" s="231" t="s">
        <v>738</v>
      </c>
      <c r="D20" s="247">
        <v>67459</v>
      </c>
      <c r="E20" s="247">
        <v>218329249</v>
      </c>
      <c r="F20" s="195">
        <f t="shared" si="0"/>
        <v>3236.4732504187727</v>
      </c>
    </row>
    <row r="21" spans="1:6" ht="21" customHeight="1">
      <c r="A21" s="228"/>
      <c r="B21" s="228"/>
      <c r="C21" s="231" t="s">
        <v>659</v>
      </c>
      <c r="D21" s="247">
        <v>10293</v>
      </c>
      <c r="E21" s="247">
        <v>21557214</v>
      </c>
      <c r="F21" s="195">
        <f t="shared" si="0"/>
        <v>2094.356747303993</v>
      </c>
    </row>
    <row r="22" spans="1:6" ht="21" customHeight="1">
      <c r="A22" s="228"/>
      <c r="B22" s="228"/>
      <c r="C22" s="231" t="s">
        <v>739</v>
      </c>
      <c r="D22" s="247">
        <v>8400</v>
      </c>
      <c r="E22" s="247">
        <v>6724000</v>
      </c>
      <c r="F22" s="195">
        <f t="shared" si="0"/>
        <v>800.47619047619048</v>
      </c>
    </row>
    <row r="23" spans="1:6" ht="21" customHeight="1">
      <c r="A23" s="228"/>
      <c r="B23" s="228"/>
      <c r="C23" s="232" t="s">
        <v>666</v>
      </c>
      <c r="D23" s="248">
        <v>31000</v>
      </c>
      <c r="E23" s="248">
        <v>620000</v>
      </c>
      <c r="F23" s="195">
        <f t="shared" si="0"/>
        <v>20</v>
      </c>
    </row>
    <row r="24" spans="1:6" ht="21" customHeight="1">
      <c r="A24" s="228"/>
      <c r="B24" s="434"/>
      <c r="C24" s="233" t="s">
        <v>694</v>
      </c>
      <c r="D24" s="248">
        <f>SUM(D17:D23)</f>
        <v>36410037</v>
      </c>
      <c r="E24" s="248">
        <f>SUM(E17:E23)</f>
        <v>28986267464</v>
      </c>
      <c r="F24" s="195">
        <f t="shared" si="0"/>
        <v>796.1065094221135</v>
      </c>
    </row>
    <row r="25" spans="1:6" ht="21" customHeight="1">
      <c r="A25" s="228"/>
      <c r="B25" s="234" t="s">
        <v>702</v>
      </c>
      <c r="C25" s="230" t="s">
        <v>740</v>
      </c>
      <c r="D25" s="246">
        <v>8619164</v>
      </c>
      <c r="E25" s="246">
        <v>9158571567</v>
      </c>
      <c r="F25" s="195">
        <f t="shared" si="0"/>
        <v>1062.5823533465659</v>
      </c>
    </row>
    <row r="26" spans="1:6" ht="21" customHeight="1">
      <c r="A26" s="228"/>
      <c r="B26" s="235"/>
      <c r="C26" s="232" t="s">
        <v>741</v>
      </c>
      <c r="D26" s="248">
        <v>529048</v>
      </c>
      <c r="E26" s="248">
        <v>3127316549</v>
      </c>
      <c r="F26" s="195">
        <f t="shared" si="0"/>
        <v>5911.2151430494023</v>
      </c>
    </row>
    <row r="27" spans="1:6" ht="21" customHeight="1">
      <c r="A27" s="228"/>
      <c r="B27" s="434"/>
      <c r="C27" s="233" t="s">
        <v>694</v>
      </c>
      <c r="D27" s="249">
        <f>SUM(D25:D26)</f>
        <v>9148212</v>
      </c>
      <c r="E27" s="249">
        <f>SUM(E25:E26)</f>
        <v>12285888116</v>
      </c>
      <c r="F27" s="195">
        <f t="shared" si="0"/>
        <v>1342.9824446569451</v>
      </c>
    </row>
    <row r="28" spans="1:6" ht="21" customHeight="1">
      <c r="A28" s="228"/>
      <c r="B28" s="228" t="s">
        <v>709</v>
      </c>
      <c r="C28" s="231" t="s">
        <v>742</v>
      </c>
      <c r="D28" s="247">
        <v>4801358</v>
      </c>
      <c r="E28" s="247">
        <v>23182182122</v>
      </c>
      <c r="F28" s="195">
        <f t="shared" si="0"/>
        <v>4828.2552815266017</v>
      </c>
    </row>
    <row r="29" spans="1:6" ht="21" customHeight="1">
      <c r="A29" s="228"/>
      <c r="B29" s="236"/>
      <c r="C29" s="231" t="s">
        <v>672</v>
      </c>
      <c r="D29" s="247">
        <v>419798</v>
      </c>
      <c r="E29" s="247">
        <v>9997420421</v>
      </c>
      <c r="F29" s="195">
        <f t="shared" si="0"/>
        <v>23814.835756721091</v>
      </c>
    </row>
    <row r="30" spans="1:6" ht="21" customHeight="1">
      <c r="A30" s="228"/>
      <c r="B30" s="236"/>
      <c r="C30" s="231" t="s">
        <v>743</v>
      </c>
      <c r="D30" s="247">
        <v>429482</v>
      </c>
      <c r="E30" s="247">
        <v>4559100053</v>
      </c>
      <c r="F30" s="195">
        <f t="shared" si="0"/>
        <v>10615.34605175537</v>
      </c>
    </row>
    <row r="31" spans="1:6" ht="21" customHeight="1">
      <c r="A31" s="228"/>
      <c r="B31" s="236"/>
      <c r="C31" s="231" t="s">
        <v>744</v>
      </c>
      <c r="D31" s="247">
        <v>79951</v>
      </c>
      <c r="E31" s="247">
        <v>2919359568</v>
      </c>
      <c r="F31" s="195">
        <f t="shared" si="0"/>
        <v>36514.359645282733</v>
      </c>
    </row>
    <row r="32" spans="1:6" ht="21" customHeight="1">
      <c r="A32" s="228"/>
      <c r="B32" s="236"/>
      <c r="C32" s="231" t="s">
        <v>745</v>
      </c>
      <c r="D32" s="247">
        <v>593270</v>
      </c>
      <c r="E32" s="247">
        <v>1682875242</v>
      </c>
      <c r="F32" s="195">
        <f t="shared" si="0"/>
        <v>2836.6093717868762</v>
      </c>
    </row>
    <row r="33" spans="1:6" ht="21" customHeight="1">
      <c r="A33" s="228"/>
      <c r="B33" s="236"/>
      <c r="C33" s="231" t="s">
        <v>746</v>
      </c>
      <c r="D33" s="247">
        <v>41629</v>
      </c>
      <c r="E33" s="247">
        <v>1405456428</v>
      </c>
      <c r="F33" s="195">
        <f t="shared" si="0"/>
        <v>33761.47464507915</v>
      </c>
    </row>
    <row r="34" spans="1:6" ht="21" customHeight="1">
      <c r="A34" s="228"/>
      <c r="B34" s="236"/>
      <c r="C34" s="231" t="s">
        <v>747</v>
      </c>
      <c r="D34" s="247">
        <v>150375</v>
      </c>
      <c r="E34" s="247">
        <v>512516411</v>
      </c>
      <c r="F34" s="195">
        <f t="shared" si="0"/>
        <v>3408.255434746467</v>
      </c>
    </row>
    <row r="35" spans="1:6" ht="21" customHeight="1">
      <c r="A35" s="228"/>
      <c r="B35" s="236"/>
      <c r="C35" s="231" t="s">
        <v>676</v>
      </c>
      <c r="D35" s="247">
        <v>24871</v>
      </c>
      <c r="E35" s="247">
        <v>415596050</v>
      </c>
      <c r="F35" s="195">
        <f t="shared" si="0"/>
        <v>16710.065940251698</v>
      </c>
    </row>
    <row r="36" spans="1:6" ht="9.75" customHeight="1">
      <c r="A36" s="237"/>
      <c r="B36" s="238"/>
      <c r="C36" s="232"/>
      <c r="D36" s="248"/>
      <c r="E36" s="248"/>
      <c r="F36" s="195" t="e">
        <f t="shared" si="0"/>
        <v>#DIV/0!</v>
      </c>
    </row>
    <row r="37" spans="1:6" ht="33" customHeight="1">
      <c r="A37" s="460" t="e">
        <f>#REF!+1</f>
        <v>#REF!</v>
      </c>
      <c r="B37" s="460"/>
      <c r="C37" s="460"/>
      <c r="D37" s="460"/>
      <c r="E37" s="460"/>
      <c r="F37" s="195" t="e">
        <f t="shared" si="0"/>
        <v>#DIV/0!</v>
      </c>
    </row>
    <row r="38" spans="1:6" ht="30" customHeight="1">
      <c r="A38" s="227" t="s">
        <v>645</v>
      </c>
      <c r="B38" s="227" t="s">
        <v>692</v>
      </c>
      <c r="C38" s="227" t="s">
        <v>647</v>
      </c>
      <c r="D38" s="196" t="s">
        <v>648</v>
      </c>
      <c r="E38" s="196" t="s">
        <v>649</v>
      </c>
      <c r="F38" s="195" t="e">
        <f t="shared" si="0"/>
        <v>#VALUE!</v>
      </c>
    </row>
    <row r="39" spans="1:6" ht="21" customHeight="1">
      <c r="A39" s="228"/>
      <c r="B39" s="236"/>
      <c r="C39" s="231" t="s">
        <v>674</v>
      </c>
      <c r="D39" s="247">
        <v>23867</v>
      </c>
      <c r="E39" s="247">
        <v>371423585</v>
      </c>
      <c r="F39" s="195">
        <f t="shared" si="0"/>
        <v>15562.223362802195</v>
      </c>
    </row>
    <row r="40" spans="1:6" ht="21" customHeight="1">
      <c r="A40" s="228"/>
      <c r="B40" s="236"/>
      <c r="C40" s="231" t="s">
        <v>748</v>
      </c>
      <c r="D40" s="247">
        <v>0</v>
      </c>
      <c r="E40" s="247">
        <v>108702000</v>
      </c>
      <c r="F40" s="195" t="e">
        <f t="shared" si="0"/>
        <v>#DIV/0!</v>
      </c>
    </row>
    <row r="41" spans="1:6" ht="21" customHeight="1">
      <c r="A41" s="228"/>
      <c r="B41" s="236"/>
      <c r="C41" s="231" t="s">
        <v>749</v>
      </c>
      <c r="D41" s="247">
        <v>597</v>
      </c>
      <c r="E41" s="247">
        <v>85150730</v>
      </c>
      <c r="F41" s="195">
        <f t="shared" si="0"/>
        <v>142631.03852596314</v>
      </c>
    </row>
    <row r="42" spans="1:6" ht="21" customHeight="1">
      <c r="A42" s="228"/>
      <c r="B42" s="236"/>
      <c r="C42" s="231" t="s">
        <v>750</v>
      </c>
      <c r="D42" s="247">
        <v>-33500</v>
      </c>
      <c r="E42" s="247">
        <v>22140000</v>
      </c>
      <c r="F42" s="195">
        <f t="shared" si="0"/>
        <v>-660.8955223880597</v>
      </c>
    </row>
    <row r="43" spans="1:6" ht="21" customHeight="1">
      <c r="A43" s="228"/>
      <c r="B43" s="239"/>
      <c r="C43" s="233" t="s">
        <v>694</v>
      </c>
      <c r="D43" s="249">
        <f>SUM(D28:D42)</f>
        <v>6531698</v>
      </c>
      <c r="E43" s="249">
        <f>SUM(E28:E42)</f>
        <v>45261922610</v>
      </c>
      <c r="F43" s="195">
        <f t="shared" si="0"/>
        <v>6929.5798137023485</v>
      </c>
    </row>
    <row r="44" spans="1:6" ht="21" customHeight="1">
      <c r="A44" s="228"/>
      <c r="B44" s="229" t="s">
        <v>720</v>
      </c>
      <c r="C44" s="230" t="s">
        <v>677</v>
      </c>
      <c r="D44" s="246">
        <v>390339</v>
      </c>
      <c r="E44" s="246">
        <v>10345800233</v>
      </c>
      <c r="F44" s="195">
        <f t="shared" si="0"/>
        <v>26504.654244131383</v>
      </c>
    </row>
    <row r="45" spans="1:6" ht="21" customHeight="1">
      <c r="A45" s="228"/>
      <c r="B45" s="236"/>
      <c r="C45" s="232" t="s">
        <v>678</v>
      </c>
      <c r="D45" s="248">
        <v>119076</v>
      </c>
      <c r="E45" s="248">
        <v>2824838029</v>
      </c>
      <c r="F45" s="195">
        <f t="shared" si="0"/>
        <v>23722.983884241996</v>
      </c>
    </row>
    <row r="46" spans="1:6" ht="21" customHeight="1">
      <c r="A46" s="228"/>
      <c r="B46" s="434"/>
      <c r="C46" s="233" t="s">
        <v>694</v>
      </c>
      <c r="D46" s="248">
        <f>SUM(D44:D45)</f>
        <v>509415</v>
      </c>
      <c r="E46" s="248">
        <f>SUM(E44:E45)</f>
        <v>13170638262</v>
      </c>
      <c r="F46" s="195">
        <f t="shared" si="0"/>
        <v>25854.437466505697</v>
      </c>
    </row>
    <row r="47" spans="1:6" ht="21" customHeight="1">
      <c r="A47" s="228"/>
      <c r="B47" s="229" t="s">
        <v>723</v>
      </c>
      <c r="C47" s="230" t="s">
        <v>751</v>
      </c>
      <c r="D47" s="246">
        <v>939027</v>
      </c>
      <c r="E47" s="246">
        <v>100941254</v>
      </c>
      <c r="F47" s="195">
        <f t="shared" si="0"/>
        <v>107.49558212916135</v>
      </c>
    </row>
    <row r="48" spans="1:6" ht="21" customHeight="1">
      <c r="A48" s="228"/>
      <c r="B48" s="236"/>
      <c r="C48" s="232" t="s">
        <v>752</v>
      </c>
      <c r="D48" s="248">
        <v>68</v>
      </c>
      <c r="E48" s="248">
        <v>57523882</v>
      </c>
      <c r="F48" s="195">
        <f t="shared" si="0"/>
        <v>845939.4411764706</v>
      </c>
    </row>
    <row r="49" spans="1:6" ht="21" customHeight="1">
      <c r="A49" s="228"/>
      <c r="B49" s="434"/>
      <c r="C49" s="233" t="s">
        <v>694</v>
      </c>
      <c r="D49" s="248">
        <f>SUM(D47:D48)</f>
        <v>939095</v>
      </c>
      <c r="E49" s="248">
        <f>SUM(E47:E48)</f>
        <v>158465136</v>
      </c>
      <c r="F49" s="195">
        <f t="shared" si="0"/>
        <v>168.74239134485862</v>
      </c>
    </row>
    <row r="50" spans="1:6" ht="21" customHeight="1">
      <c r="A50" s="228"/>
      <c r="B50" s="234" t="s">
        <v>139</v>
      </c>
      <c r="C50" s="230" t="s">
        <v>753</v>
      </c>
      <c r="D50" s="246"/>
      <c r="E50" s="246">
        <v>4530542000</v>
      </c>
      <c r="F50" s="195" t="e">
        <f t="shared" si="0"/>
        <v>#DIV/0!</v>
      </c>
    </row>
    <row r="51" spans="1:6" ht="21" customHeight="1">
      <c r="A51" s="228"/>
      <c r="B51" s="228"/>
      <c r="C51" s="231" t="s">
        <v>683</v>
      </c>
      <c r="D51" s="247">
        <v>25254</v>
      </c>
      <c r="E51" s="247">
        <v>8056026</v>
      </c>
      <c r="F51" s="195">
        <f t="shared" si="0"/>
        <v>319</v>
      </c>
    </row>
    <row r="52" spans="1:6" ht="21" customHeight="1">
      <c r="A52" s="228"/>
      <c r="B52" s="228"/>
      <c r="C52" s="231" t="s">
        <v>682</v>
      </c>
      <c r="D52" s="247">
        <v>-320</v>
      </c>
      <c r="E52" s="247">
        <v>14136550</v>
      </c>
      <c r="F52" s="195">
        <f t="shared" si="0"/>
        <v>-44176.71875</v>
      </c>
    </row>
    <row r="53" spans="1:6" ht="21" customHeight="1">
      <c r="A53" s="228"/>
      <c r="B53" s="228"/>
      <c r="C53" s="231" t="s">
        <v>754</v>
      </c>
      <c r="D53" s="247"/>
      <c r="E53" s="247">
        <v>58717920</v>
      </c>
      <c r="F53" s="195" t="e">
        <f t="shared" si="0"/>
        <v>#DIV/0!</v>
      </c>
    </row>
    <row r="54" spans="1:6" ht="21" customHeight="1">
      <c r="A54" s="228"/>
      <c r="B54" s="228"/>
      <c r="C54" s="232" t="s">
        <v>755</v>
      </c>
      <c r="D54" s="248"/>
      <c r="E54" s="248">
        <v>2000000</v>
      </c>
      <c r="F54" s="195" t="e">
        <f t="shared" si="0"/>
        <v>#DIV/0!</v>
      </c>
    </row>
    <row r="55" spans="1:6" ht="21" customHeight="1">
      <c r="A55" s="228"/>
      <c r="B55" s="434"/>
      <c r="C55" s="233" t="s">
        <v>694</v>
      </c>
      <c r="D55" s="248">
        <f>SUM(D50:D54)</f>
        <v>24934</v>
      </c>
      <c r="E55" s="248">
        <f>SUM(E50:E54)</f>
        <v>4613452496</v>
      </c>
      <c r="F55" s="195">
        <f t="shared" si="0"/>
        <v>185026.56998475976</v>
      </c>
    </row>
    <row r="56" spans="1:6" ht="21" customHeight="1">
      <c r="A56" s="463" t="s">
        <v>688</v>
      </c>
      <c r="B56" s="464"/>
      <c r="C56" s="465"/>
      <c r="D56" s="248">
        <f>D16+D24+D27+D43+D46+D49+D55</f>
        <v>119937464</v>
      </c>
      <c r="E56" s="248">
        <f>E16+E24+E27+E43+E46+E49+E55</f>
        <v>388255094124</v>
      </c>
      <c r="F56" s="195">
        <f t="shared" si="0"/>
        <v>3237.1461024388509</v>
      </c>
    </row>
    <row r="57" spans="1:6" ht="21" customHeight="1">
      <c r="A57" s="234" t="s">
        <v>61</v>
      </c>
      <c r="B57" s="240" t="s">
        <v>693</v>
      </c>
      <c r="C57" s="230" t="s">
        <v>222</v>
      </c>
      <c r="D57" s="246">
        <v>253195215</v>
      </c>
      <c r="E57" s="246">
        <v>54374514441</v>
      </c>
      <c r="F57" s="195">
        <f t="shared" si="0"/>
        <v>214.75332557528782</v>
      </c>
    </row>
    <row r="58" spans="1:6" ht="21" customHeight="1">
      <c r="A58" s="228"/>
      <c r="B58" s="236"/>
      <c r="C58" s="231" t="s">
        <v>226</v>
      </c>
      <c r="D58" s="247">
        <v>214677096</v>
      </c>
      <c r="E58" s="247">
        <v>27940908699</v>
      </c>
      <c r="F58" s="195">
        <f t="shared" si="0"/>
        <v>130.15318922983755</v>
      </c>
    </row>
    <row r="59" spans="1:6" ht="21" customHeight="1">
      <c r="A59" s="228"/>
      <c r="B59" s="228"/>
      <c r="C59" s="231" t="s">
        <v>219</v>
      </c>
      <c r="D59" s="247">
        <v>731249276</v>
      </c>
      <c r="E59" s="247">
        <v>26149061105</v>
      </c>
      <c r="F59" s="195">
        <f t="shared" si="0"/>
        <v>35.759435206606618</v>
      </c>
    </row>
    <row r="60" spans="1:6" ht="21" customHeight="1">
      <c r="A60" s="228"/>
      <c r="B60" s="228"/>
      <c r="C60" s="231" t="s">
        <v>232</v>
      </c>
      <c r="D60" s="247">
        <v>10294424</v>
      </c>
      <c r="E60" s="247">
        <v>12717676422</v>
      </c>
      <c r="F60" s="195">
        <f t="shared" si="0"/>
        <v>1235.3946585063914</v>
      </c>
    </row>
    <row r="61" spans="1:6" ht="21" customHeight="1">
      <c r="A61" s="228"/>
      <c r="B61" s="228"/>
      <c r="C61" s="231" t="s">
        <v>229</v>
      </c>
      <c r="D61" s="247">
        <v>1503479</v>
      </c>
      <c r="E61" s="247">
        <v>3776137724</v>
      </c>
      <c r="F61" s="195">
        <f t="shared" si="0"/>
        <v>2511.5999119375792</v>
      </c>
    </row>
    <row r="62" spans="1:6" ht="21" customHeight="1">
      <c r="A62" s="228"/>
      <c r="B62" s="228"/>
      <c r="C62" s="231" t="s">
        <v>255</v>
      </c>
      <c r="D62" s="247">
        <v>9564169</v>
      </c>
      <c r="E62" s="247">
        <v>2972834598</v>
      </c>
      <c r="F62" s="195">
        <f t="shared" si="0"/>
        <v>310.83041276246792</v>
      </c>
    </row>
    <row r="63" spans="1:6" ht="21" customHeight="1">
      <c r="A63" s="228"/>
      <c r="B63" s="228"/>
      <c r="C63" s="231" t="s">
        <v>236</v>
      </c>
      <c r="D63" s="247">
        <v>23578144</v>
      </c>
      <c r="E63" s="247">
        <v>537528923</v>
      </c>
      <c r="F63" s="195">
        <f t="shared" si="0"/>
        <v>22.797762325991393</v>
      </c>
    </row>
    <row r="64" spans="1:6" ht="21" customHeight="1">
      <c r="A64" s="228"/>
      <c r="B64" s="228"/>
      <c r="C64" s="231" t="s">
        <v>239</v>
      </c>
      <c r="D64" s="247">
        <v>7750583</v>
      </c>
      <c r="E64" s="247">
        <v>211126581</v>
      </c>
      <c r="F64" s="195">
        <f t="shared" si="0"/>
        <v>27.240090326108373</v>
      </c>
    </row>
    <row r="65" spans="1:6" ht="21" customHeight="1">
      <c r="A65" s="228"/>
      <c r="B65" s="228"/>
      <c r="C65" s="232" t="s">
        <v>243</v>
      </c>
      <c r="D65" s="248">
        <v>493789</v>
      </c>
      <c r="E65" s="248">
        <v>14167317</v>
      </c>
      <c r="F65" s="195">
        <f t="shared" si="0"/>
        <v>28.691034024654254</v>
      </c>
    </row>
    <row r="66" spans="1:6" ht="21" customHeight="1">
      <c r="A66" s="228"/>
      <c r="B66" s="434"/>
      <c r="C66" s="435" t="s">
        <v>694</v>
      </c>
      <c r="D66" s="248">
        <f>SUM(D57:D65)</f>
        <v>1252306175</v>
      </c>
      <c r="E66" s="248">
        <f>SUM(E57:E65)</f>
        <v>128693955810</v>
      </c>
      <c r="F66" s="195">
        <f t="shared" si="0"/>
        <v>102.76556834034616</v>
      </c>
    </row>
    <row r="67" spans="1:6" ht="21" customHeight="1">
      <c r="A67" s="228"/>
      <c r="B67" s="236" t="s">
        <v>695</v>
      </c>
      <c r="C67" s="230" t="s">
        <v>654</v>
      </c>
      <c r="D67" s="246">
        <v>20517196</v>
      </c>
      <c r="E67" s="246">
        <v>10885495410</v>
      </c>
      <c r="F67" s="195">
        <f t="shared" si="0"/>
        <v>530.55473126054846</v>
      </c>
    </row>
    <row r="68" spans="1:6" ht="21" customHeight="1">
      <c r="A68" s="228"/>
      <c r="B68" s="228"/>
      <c r="C68" s="231" t="s">
        <v>736</v>
      </c>
      <c r="D68" s="247">
        <v>18708653</v>
      </c>
      <c r="E68" s="247">
        <v>10622145076</v>
      </c>
      <c r="F68" s="195">
        <f t="shared" si="0"/>
        <v>567.76642743868308</v>
      </c>
    </row>
    <row r="69" spans="1:6" ht="21" customHeight="1">
      <c r="A69" s="228"/>
      <c r="B69" s="228"/>
      <c r="C69" s="231" t="s">
        <v>737</v>
      </c>
      <c r="D69" s="247">
        <v>3228522</v>
      </c>
      <c r="E69" s="247">
        <v>2188610227</v>
      </c>
      <c r="F69" s="195">
        <f t="shared" si="0"/>
        <v>677.89850185316993</v>
      </c>
    </row>
    <row r="70" spans="1:6" ht="21" customHeight="1">
      <c r="A70" s="228"/>
      <c r="B70" s="228"/>
      <c r="C70" s="231" t="s">
        <v>756</v>
      </c>
      <c r="D70" s="247">
        <v>51030975</v>
      </c>
      <c r="E70" s="247">
        <v>1761089641</v>
      </c>
      <c r="F70" s="195">
        <f t="shared" si="0"/>
        <v>34.510209554099248</v>
      </c>
    </row>
    <row r="71" spans="1:6" ht="21" customHeight="1">
      <c r="A71" s="228"/>
      <c r="B71" s="228"/>
      <c r="C71" s="231" t="s">
        <v>739</v>
      </c>
      <c r="D71" s="247">
        <v>381426</v>
      </c>
      <c r="E71" s="247">
        <v>512065514</v>
      </c>
      <c r="F71" s="195">
        <f t="shared" ref="F71:F99" si="1">E71/D71</f>
        <v>1342.5029075102379</v>
      </c>
    </row>
    <row r="72" spans="1:6" ht="21" customHeight="1">
      <c r="A72" s="237"/>
      <c r="B72" s="237"/>
      <c r="C72" s="232" t="s">
        <v>757</v>
      </c>
      <c r="D72" s="248">
        <v>0</v>
      </c>
      <c r="E72" s="248">
        <v>15453819</v>
      </c>
      <c r="F72" s="195" t="e">
        <f t="shared" si="1"/>
        <v>#DIV/0!</v>
      </c>
    </row>
    <row r="73" spans="1:6" ht="33" customHeight="1">
      <c r="A73" s="460" t="e">
        <f>A37+1</f>
        <v>#REF!</v>
      </c>
      <c r="B73" s="460"/>
      <c r="C73" s="460"/>
      <c r="D73" s="460"/>
      <c r="E73" s="460"/>
      <c r="F73" s="195" t="e">
        <f t="shared" si="1"/>
        <v>#DIV/0!</v>
      </c>
    </row>
    <row r="74" spans="1:6" ht="30" customHeight="1">
      <c r="A74" s="227" t="s">
        <v>645</v>
      </c>
      <c r="B74" s="227" t="s">
        <v>692</v>
      </c>
      <c r="C74" s="227" t="s">
        <v>647</v>
      </c>
      <c r="D74" s="196" t="s">
        <v>648</v>
      </c>
      <c r="E74" s="196" t="s">
        <v>649</v>
      </c>
      <c r="F74" s="195" t="e">
        <f t="shared" si="1"/>
        <v>#VALUE!</v>
      </c>
    </row>
    <row r="75" spans="1:6" ht="21" customHeight="1">
      <c r="A75" s="228"/>
      <c r="B75" s="228"/>
      <c r="C75" s="232" t="s">
        <v>758</v>
      </c>
      <c r="D75" s="248">
        <v>34000</v>
      </c>
      <c r="E75" s="248">
        <v>8961035</v>
      </c>
      <c r="F75" s="195">
        <f t="shared" si="1"/>
        <v>263.55985294117647</v>
      </c>
    </row>
    <row r="76" spans="1:6" ht="21" customHeight="1">
      <c r="A76" s="228"/>
      <c r="B76" s="434"/>
      <c r="C76" s="233" t="s">
        <v>694</v>
      </c>
      <c r="D76" s="248">
        <f>SUM(D67:D75)</f>
        <v>93900772</v>
      </c>
      <c r="E76" s="248">
        <f>SUM(E67:E75)</f>
        <v>25993820722</v>
      </c>
      <c r="F76" s="195">
        <f t="shared" si="1"/>
        <v>276.82222593441509</v>
      </c>
    </row>
    <row r="77" spans="1:6" ht="21" customHeight="1">
      <c r="A77" s="228"/>
      <c r="B77" s="229" t="s">
        <v>702</v>
      </c>
      <c r="C77" s="241" t="s">
        <v>740</v>
      </c>
      <c r="D77" s="249">
        <v>12557473</v>
      </c>
      <c r="E77" s="249">
        <v>11729429923</v>
      </c>
      <c r="F77" s="195">
        <f t="shared" si="1"/>
        <v>934.05973662057647</v>
      </c>
    </row>
    <row r="78" spans="1:6" ht="21" customHeight="1">
      <c r="A78" s="228"/>
      <c r="B78" s="434"/>
      <c r="C78" s="233" t="s">
        <v>694</v>
      </c>
      <c r="D78" s="248">
        <f>SUM(D77)</f>
        <v>12557473</v>
      </c>
      <c r="E78" s="248">
        <f>SUM(E77)</f>
        <v>11729429923</v>
      </c>
      <c r="F78" s="195">
        <f t="shared" si="1"/>
        <v>934.05973662057647</v>
      </c>
    </row>
    <row r="79" spans="1:6" ht="21" customHeight="1">
      <c r="A79" s="228"/>
      <c r="B79" s="234" t="s">
        <v>709</v>
      </c>
      <c r="C79" s="230" t="s">
        <v>750</v>
      </c>
      <c r="D79" s="246">
        <v>28000</v>
      </c>
      <c r="E79" s="246">
        <v>1353338957</v>
      </c>
      <c r="F79" s="195">
        <f t="shared" si="1"/>
        <v>48333.534178571426</v>
      </c>
    </row>
    <row r="80" spans="1:6" ht="21" customHeight="1">
      <c r="A80" s="228"/>
      <c r="B80" s="228"/>
      <c r="C80" s="231" t="s">
        <v>672</v>
      </c>
      <c r="D80" s="247">
        <v>45032</v>
      </c>
      <c r="E80" s="247">
        <v>978846238</v>
      </c>
      <c r="F80" s="195">
        <f t="shared" si="1"/>
        <v>21736.681426541127</v>
      </c>
    </row>
    <row r="81" spans="1:6" ht="21" customHeight="1">
      <c r="A81" s="228"/>
      <c r="B81" s="236"/>
      <c r="C81" s="231" t="s">
        <v>676</v>
      </c>
      <c r="D81" s="247">
        <v>15480</v>
      </c>
      <c r="E81" s="247">
        <v>653802357</v>
      </c>
      <c r="F81" s="195">
        <f t="shared" si="1"/>
        <v>42235.294379844963</v>
      </c>
    </row>
    <row r="82" spans="1:6" ht="21" customHeight="1">
      <c r="A82" s="228"/>
      <c r="B82" s="236"/>
      <c r="C82" s="231" t="s">
        <v>742</v>
      </c>
      <c r="D82" s="247">
        <v>5422945</v>
      </c>
      <c r="E82" s="247">
        <v>649179201</v>
      </c>
      <c r="F82" s="195">
        <f t="shared" si="1"/>
        <v>119.7097151086725</v>
      </c>
    </row>
    <row r="83" spans="1:6" ht="21" customHeight="1">
      <c r="A83" s="228"/>
      <c r="B83" s="236"/>
      <c r="C83" s="231" t="s">
        <v>743</v>
      </c>
      <c r="D83" s="247">
        <v>6552</v>
      </c>
      <c r="E83" s="247">
        <v>67124363</v>
      </c>
      <c r="F83" s="195">
        <f t="shared" si="1"/>
        <v>10244.866147741148</v>
      </c>
    </row>
    <row r="84" spans="1:6" ht="21" customHeight="1">
      <c r="A84" s="228"/>
      <c r="B84" s="236"/>
      <c r="C84" s="231" t="s">
        <v>674</v>
      </c>
      <c r="D84" s="247">
        <v>0</v>
      </c>
      <c r="E84" s="247">
        <v>61029338</v>
      </c>
      <c r="F84" s="195" t="e">
        <f t="shared" si="1"/>
        <v>#DIV/0!</v>
      </c>
    </row>
    <row r="85" spans="1:6" ht="21" customHeight="1">
      <c r="A85" s="228"/>
      <c r="B85" s="236"/>
      <c r="C85" s="231" t="s">
        <v>745</v>
      </c>
      <c r="D85" s="247">
        <v>508435</v>
      </c>
      <c r="E85" s="247">
        <v>57401382</v>
      </c>
      <c r="F85" s="195">
        <f t="shared" si="1"/>
        <v>112.89817184104163</v>
      </c>
    </row>
    <row r="86" spans="1:6" ht="21" customHeight="1">
      <c r="A86" s="228"/>
      <c r="B86" s="236"/>
      <c r="C86" s="231" t="s">
        <v>746</v>
      </c>
      <c r="D86" s="247">
        <v>0</v>
      </c>
      <c r="E86" s="247">
        <v>23306800</v>
      </c>
      <c r="F86" s="195" t="e">
        <f t="shared" si="1"/>
        <v>#DIV/0!</v>
      </c>
    </row>
    <row r="87" spans="1:6" ht="21" customHeight="1">
      <c r="A87" s="228"/>
      <c r="B87" s="228"/>
      <c r="C87" s="232" t="s">
        <v>747</v>
      </c>
      <c r="D87" s="248">
        <v>0</v>
      </c>
      <c r="E87" s="248">
        <v>17114508</v>
      </c>
      <c r="F87" s="195" t="e">
        <f t="shared" si="1"/>
        <v>#DIV/0!</v>
      </c>
    </row>
    <row r="88" spans="1:6" ht="21" customHeight="1">
      <c r="A88" s="228"/>
      <c r="B88" s="434"/>
      <c r="C88" s="233" t="s">
        <v>694</v>
      </c>
      <c r="D88" s="248">
        <f>SUM(D79:D87)</f>
        <v>6026444</v>
      </c>
      <c r="E88" s="248">
        <f>SUM(E79:E87)</f>
        <v>3861143144</v>
      </c>
      <c r="F88" s="195">
        <f t="shared" si="1"/>
        <v>640.70007852060019</v>
      </c>
    </row>
    <row r="89" spans="1:6" ht="21" customHeight="1">
      <c r="A89" s="228"/>
      <c r="B89" s="234" t="s">
        <v>720</v>
      </c>
      <c r="C89" s="241" t="s">
        <v>678</v>
      </c>
      <c r="D89" s="249">
        <v>551785</v>
      </c>
      <c r="E89" s="249">
        <v>10141814662</v>
      </c>
      <c r="F89" s="195">
        <f t="shared" si="1"/>
        <v>18380.011529853113</v>
      </c>
    </row>
    <row r="90" spans="1:6" ht="21" customHeight="1">
      <c r="A90" s="228"/>
      <c r="B90" s="434"/>
      <c r="C90" s="233" t="s">
        <v>694</v>
      </c>
      <c r="D90" s="248">
        <f>SUM(D89)</f>
        <v>551785</v>
      </c>
      <c r="E90" s="248">
        <f>SUM(E89)</f>
        <v>10141814662</v>
      </c>
      <c r="F90" s="195">
        <f t="shared" si="1"/>
        <v>18380.011529853113</v>
      </c>
    </row>
    <row r="91" spans="1:6" ht="21" customHeight="1">
      <c r="A91" s="228"/>
      <c r="B91" s="234" t="s">
        <v>723</v>
      </c>
      <c r="C91" s="241" t="s">
        <v>752</v>
      </c>
      <c r="D91" s="249">
        <v>3000000</v>
      </c>
      <c r="E91" s="249">
        <v>15550997</v>
      </c>
      <c r="F91" s="195">
        <f t="shared" si="1"/>
        <v>5.1836656666666663</v>
      </c>
    </row>
    <row r="92" spans="1:6" ht="21" customHeight="1">
      <c r="A92" s="228"/>
      <c r="B92" s="239"/>
      <c r="C92" s="233" t="s">
        <v>694</v>
      </c>
      <c r="D92" s="248">
        <f>SUM(D91)</f>
        <v>3000000</v>
      </c>
      <c r="E92" s="248">
        <f>SUM(E91)</f>
        <v>15550997</v>
      </c>
      <c r="F92" s="195">
        <f t="shared" si="1"/>
        <v>5.1836656666666663</v>
      </c>
    </row>
    <row r="93" spans="1:6" ht="21" customHeight="1">
      <c r="A93" s="228"/>
      <c r="B93" s="234" t="s">
        <v>139</v>
      </c>
      <c r="C93" s="230" t="s">
        <v>683</v>
      </c>
      <c r="D93" s="246">
        <v>654817375</v>
      </c>
      <c r="E93" s="246">
        <v>3393558686</v>
      </c>
      <c r="F93" s="195">
        <f t="shared" si="1"/>
        <v>5.1824505817366253</v>
      </c>
    </row>
    <row r="94" spans="1:6" ht="21" customHeight="1">
      <c r="A94" s="228"/>
      <c r="B94" s="236"/>
      <c r="C94" s="231" t="s">
        <v>682</v>
      </c>
      <c r="D94" s="247">
        <v>9569</v>
      </c>
      <c r="E94" s="247">
        <v>7103892</v>
      </c>
      <c r="F94" s="195">
        <f t="shared" si="1"/>
        <v>742.38603824851077</v>
      </c>
    </row>
    <row r="95" spans="1:6" ht="21" customHeight="1">
      <c r="A95" s="228"/>
      <c r="B95" s="228"/>
      <c r="C95" s="231" t="s">
        <v>754</v>
      </c>
      <c r="D95" s="247"/>
      <c r="E95" s="247">
        <v>7108061599</v>
      </c>
      <c r="F95" s="195" t="e">
        <f t="shared" si="1"/>
        <v>#DIV/0!</v>
      </c>
    </row>
    <row r="96" spans="1:6" ht="21" customHeight="1">
      <c r="A96" s="228"/>
      <c r="B96" s="228"/>
      <c r="C96" s="232" t="s">
        <v>755</v>
      </c>
      <c r="D96" s="248"/>
      <c r="E96" s="248">
        <v>5472787345</v>
      </c>
      <c r="F96" s="195" t="e">
        <f t="shared" si="1"/>
        <v>#DIV/0!</v>
      </c>
    </row>
    <row r="97" spans="1:6" ht="21" customHeight="1">
      <c r="A97" s="228"/>
      <c r="B97" s="434"/>
      <c r="C97" s="233" t="s">
        <v>694</v>
      </c>
      <c r="D97" s="248">
        <f>SUM(D93:D96)</f>
        <v>654826944</v>
      </c>
      <c r="E97" s="248">
        <f>SUM(E93:E96)</f>
        <v>15981511522</v>
      </c>
      <c r="F97" s="195">
        <f t="shared" si="1"/>
        <v>24.405702404939525</v>
      </c>
    </row>
    <row r="98" spans="1:6" ht="21" customHeight="1">
      <c r="A98" s="463" t="s">
        <v>688</v>
      </c>
      <c r="B98" s="464"/>
      <c r="C98" s="465"/>
      <c r="D98" s="248">
        <f>D66+D76+D78+D88+D90+D92+D97</f>
        <v>2023169593</v>
      </c>
      <c r="E98" s="248">
        <f>E66+E76+E78+E88+E90+E92+E97</f>
        <v>196417226780</v>
      </c>
      <c r="F98" s="195">
        <f t="shared" si="1"/>
        <v>97.083915979949197</v>
      </c>
    </row>
    <row r="99" spans="1:6" ht="30" customHeight="1">
      <c r="A99" s="457" t="s">
        <v>759</v>
      </c>
      <c r="B99" s="458"/>
      <c r="C99" s="459"/>
      <c r="D99" s="250">
        <f>D56+D98</f>
        <v>2143107057</v>
      </c>
      <c r="E99" s="250">
        <f>E56+E98</f>
        <v>584672320904</v>
      </c>
      <c r="F99" s="195">
        <f t="shared" si="1"/>
        <v>272.81526557168161</v>
      </c>
    </row>
    <row r="100" spans="1:6" ht="17.25" customHeight="1"/>
    <row r="101" spans="1:6" ht="17.25" customHeight="1"/>
    <row r="102" spans="1:6" ht="17.25" customHeight="1">
      <c r="E102" s="195">
        <v>12448064293</v>
      </c>
    </row>
    <row r="103" spans="1:6" ht="17.25" customHeight="1"/>
    <row r="104" spans="1:6" ht="17.25" customHeight="1"/>
    <row r="105" spans="1:6" ht="17.25" customHeight="1"/>
    <row r="106" spans="1:6" ht="17.25" customHeight="1"/>
    <row r="107" spans="1:6" ht="17.25" customHeight="1"/>
    <row r="108" spans="1:6" ht="17.25" customHeight="1"/>
    <row r="109" spans="1:6" ht="9.75" customHeight="1"/>
    <row r="110" spans="1:6" ht="33" customHeight="1">
      <c r="A110" s="460" t="e">
        <f>A73+1</f>
        <v>#REF!</v>
      </c>
      <c r="B110" s="460"/>
      <c r="C110" s="460"/>
      <c r="D110" s="460"/>
      <c r="E110" s="460"/>
    </row>
    <row r="111" spans="1:6" ht="17.25" customHeight="1"/>
    <row r="112" spans="1:6" ht="17.25" customHeight="1"/>
  </sheetData>
  <mergeCells count="8">
    <mergeCell ref="A99:C99"/>
    <mergeCell ref="A110:E110"/>
    <mergeCell ref="A1:E1"/>
    <mergeCell ref="A2:E2"/>
    <mergeCell ref="A37:E37"/>
    <mergeCell ref="A56:C56"/>
    <mergeCell ref="A73:E73"/>
    <mergeCell ref="A98:C98"/>
  </mergeCells>
  <phoneticPr fontId="3" type="noConversion"/>
  <printOptions horizontalCentered="1"/>
  <pageMargins left="0.59055118110236227" right="3.937007874015748E-2" top="0.74803149606299213" bottom="0.19685039370078741" header="0" footer="0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B8F4AC52B259641BE62E3A32AC663D5" ma:contentTypeVersion="0" ma:contentTypeDescription="새 문서를 만듭니다." ma:contentTypeScope="" ma:versionID="2b20d8835c4c23da34b40c39c69aa2d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d8f6c9257034a6ffde9c3b3e5e5b89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A57F41-22AD-4568-8853-46E7F2931F26}"/>
</file>

<file path=customXml/itemProps2.xml><?xml version="1.0" encoding="utf-8"?>
<ds:datastoreItem xmlns:ds="http://schemas.openxmlformats.org/officeDocument/2006/customXml" ds:itemID="{B98A0BC5-2FFB-4A3B-B7AB-0F97E82FEDF6}"/>
</file>

<file path=customXml/itemProps3.xml><?xml version="1.0" encoding="utf-8"?>
<ds:datastoreItem xmlns:ds="http://schemas.openxmlformats.org/officeDocument/2006/customXml" ds:itemID="{FFEB913F-6987-44F3-B94A-D1E850E52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Jin Suk [KR]</dc:creator>
  <cp:keywords/>
  <dc:description/>
  <cp:lastModifiedBy>Yang, Jin Suk [KR]</cp:lastModifiedBy>
  <cp:revision/>
  <dcterms:created xsi:type="dcterms:W3CDTF">2015-08-31T04:47:51Z</dcterms:created>
  <dcterms:modified xsi:type="dcterms:W3CDTF">2026-02-25T01:45:52Z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0x010100FB8F4AC52B259641BE62E3A32AC663D5</vt:lpwstr>
  </property>
</Properties>
</file>