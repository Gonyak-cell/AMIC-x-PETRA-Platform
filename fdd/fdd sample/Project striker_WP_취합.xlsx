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31fecfadb131e8b/Documents/Coding/AMIC x PETRA Platform/fdd/fdd sample/"/>
    </mc:Choice>
  </mc:AlternateContent>
  <xr:revisionPtr revIDLastSave="0" documentId="8_{89E0678A-14CC-4088-AA23-B245564F1F5D}" xr6:coauthVersionLast="47" xr6:coauthVersionMax="47" xr10:uidLastSave="{00000000-0000-0000-0000-000000000000}"/>
  <bookViews>
    <workbookView xWindow="-110" yWindow="-110" windowWidth="38620" windowHeight="21100" tabRatio="1000" firstSheet="3" activeTab="18" xr2:uid="{00000000-000D-0000-FFFF-FFFF00000000}"/>
  </bookViews>
  <sheets>
    <sheet name="ES &gt;&gt;&gt;&gt;&gt;&gt;&gt;&gt;" sheetId="1" r:id="rId1"/>
    <sheet name="TO" sheetId="20" r:id="rId2"/>
    <sheet name="매출유형별 bridge" sheetId="23" r:id="rId3"/>
    <sheet name="사업부별 제품별 bridge " sheetId="24" r:id="rId4"/>
    <sheet name="사업부별 상품별 bridge " sheetId="25" r:id="rId5"/>
    <sheet name="매출" sheetId="17" r:id="rId6"/>
    <sheet name="매출 (2)" sheetId="14" r:id="rId7"/>
    <sheet name="거래처별매출" sheetId="6" r:id="rId8"/>
    <sheet name="거래처별 매출액" sheetId="11" r:id="rId9"/>
    <sheet name="특수관계자" sheetId="12" r:id="rId10"/>
    <sheet name="원가" sheetId="8" r:id="rId11"/>
    <sheet name="WC" sheetId="16" r:id="rId12"/>
    <sheet name="인건비" sheetId="31" r:id="rId13"/>
    <sheet name="경상개발비,capex" sheetId="15" r:id="rId14"/>
    <sheet name="Appendices &gt;&gt;&gt;&gt;&gt;&gt;" sheetId="3" r:id="rId15"/>
    <sheet name="사업계획대비매출실적" sheetId="18" r:id="rId16"/>
    <sheet name="사업부문별매출" sheetId="19" r:id="rId17"/>
    <sheet name="제조원가" sheetId="21" r:id="rId18"/>
    <sheet name="연구과제현황" sheetId="22" r:id="rId19"/>
    <sheet name="매출채권" sheetId="7" r:id="rId20"/>
    <sheet name="재고" sheetId="10" r:id="rId21"/>
    <sheet name="유 무형자산" sheetId="26" r:id="rId22"/>
    <sheet name="차입금, 전환상환우선주" sheetId="27" r:id="rId23"/>
    <sheet name="차입금계약조건,담보" sheetId="28" r:id="rId24"/>
    <sheet name="환율효과" sheetId="32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1__123Graph_AA_\FIN_TOP" localSheetId="11" hidden="1">[1]경영기획팀!#REF!</definedName>
    <definedName name="_1__123Graph_AA_\FIN_TOP" localSheetId="13" hidden="1">[1]경영기획팀!#REF!</definedName>
    <definedName name="_1__123Graph_AA_\FIN_TOP" localSheetId="5" hidden="1">[1]경영기획팀!#REF!</definedName>
    <definedName name="_1__123Graph_AA_\FIN_TOP" localSheetId="15" hidden="1">[1]경영기획팀!#REF!</definedName>
    <definedName name="_1__123Graph_AA_\FIN_TOP" localSheetId="21" hidden="1">[1]경영기획팀!#REF!</definedName>
    <definedName name="_1__123Graph_AA_\FIN_TOP" localSheetId="12" hidden="1">[1]경영기획팀!#REF!</definedName>
    <definedName name="_1__123Graph_AA_\FIN_TOP" localSheetId="17" hidden="1">[1]경영기획팀!#REF!</definedName>
    <definedName name="_1__123Graph_AA_\FIN_TOP" localSheetId="22" hidden="1">[1]경영기획팀!#REF!</definedName>
    <definedName name="_1__123Graph_AA_\FIN_TOP" localSheetId="23" hidden="1">[1]경영기획팀!#REF!</definedName>
    <definedName name="_1__123Graph_AA_\FIN_TOP" localSheetId="9" hidden="1">[1]경영기획팀!#REF!</definedName>
    <definedName name="_1__123Graph_AA_\FIN_TOP" localSheetId="24" hidden="1">[1]경영기획팀!#REF!</definedName>
    <definedName name="_1__123Graph_AA_\FIN_TOP" hidden="1">[1]경영기획팀!#REF!</definedName>
    <definedName name="_12__123Graph_LBL_CA_\FIN_TOP" localSheetId="11" hidden="1">[1]경영기획팀!#REF!</definedName>
    <definedName name="_12__123Graph_LBL_CA_\FIN_TOP" localSheetId="13" hidden="1">[1]경영기획팀!#REF!</definedName>
    <definedName name="_12__123Graph_LBL_CA_\FIN_TOP" localSheetId="5" hidden="1">[1]경영기획팀!#REF!</definedName>
    <definedName name="_12__123Graph_LBL_CA_\FIN_TOP" localSheetId="15" hidden="1">[1]경영기획팀!#REF!</definedName>
    <definedName name="_12__123Graph_LBL_CA_\FIN_TOP" localSheetId="21" hidden="1">[1]경영기획팀!#REF!</definedName>
    <definedName name="_12__123Graph_LBL_CA_\FIN_TOP" localSheetId="12" hidden="1">[1]경영기획팀!#REF!</definedName>
    <definedName name="_12__123Graph_LBL_CA_\FIN_TOP" localSheetId="17" hidden="1">[1]경영기획팀!#REF!</definedName>
    <definedName name="_12__123Graph_LBL_CA_\FIN_TOP" localSheetId="22" hidden="1">[1]경영기획팀!#REF!</definedName>
    <definedName name="_12__123Graph_LBL_CA_\FIN_TOP" localSheetId="23" hidden="1">[1]경영기획팀!#REF!</definedName>
    <definedName name="_12__123Graph_LBL_CA_\FIN_TOP" localSheetId="9" hidden="1">[1]경영기획팀!#REF!</definedName>
    <definedName name="_12__123Graph_LBL_CA_\FIN_TOP" localSheetId="24" hidden="1">[1]경영기획팀!#REF!</definedName>
    <definedName name="_12__123Graph_LBL_CA_\FIN_TOP" hidden="1">[1]경영기획팀!#REF!</definedName>
    <definedName name="_15__123Graph_XA_\FIN_TOP" localSheetId="11" hidden="1">[1]경영기획팀!#REF!</definedName>
    <definedName name="_15__123Graph_XA_\FIN_TOP" localSheetId="13" hidden="1">[1]경영기획팀!#REF!</definedName>
    <definedName name="_15__123Graph_XA_\FIN_TOP" localSheetId="5" hidden="1">[1]경영기획팀!#REF!</definedName>
    <definedName name="_15__123Graph_XA_\FIN_TOP" localSheetId="15" hidden="1">[1]경영기획팀!#REF!</definedName>
    <definedName name="_15__123Graph_XA_\FIN_TOP" localSheetId="21" hidden="1">[1]경영기획팀!#REF!</definedName>
    <definedName name="_15__123Graph_XA_\FIN_TOP" localSheetId="12" hidden="1">[1]경영기획팀!#REF!</definedName>
    <definedName name="_15__123Graph_XA_\FIN_TOP" localSheetId="17" hidden="1">[1]경영기획팀!#REF!</definedName>
    <definedName name="_15__123Graph_XA_\FIN_TOP" localSheetId="22" hidden="1">[1]경영기획팀!#REF!</definedName>
    <definedName name="_15__123Graph_XA_\FIN_TOP" localSheetId="23" hidden="1">[1]경영기획팀!#REF!</definedName>
    <definedName name="_15__123Graph_XA_\FIN_TOP" localSheetId="9" hidden="1">[1]경영기획팀!#REF!</definedName>
    <definedName name="_15__123Graph_XA_\FIN_TOP" localSheetId="24" hidden="1">[1]경영기획팀!#REF!</definedName>
    <definedName name="_15__123Graph_XA_\FIN_TOP" hidden="1">[1]경영기획팀!#REF!</definedName>
    <definedName name="_2__123Graph_LBL_AA_\FIN_TOP" localSheetId="11" hidden="1">[1]경영기획팀!#REF!</definedName>
    <definedName name="_2__123Graph_LBL_AA_\FIN_TOP" localSheetId="13" hidden="1">[1]경영기획팀!#REF!</definedName>
    <definedName name="_2__123Graph_LBL_AA_\FIN_TOP" localSheetId="5" hidden="1">[1]경영기획팀!#REF!</definedName>
    <definedName name="_2__123Graph_LBL_AA_\FIN_TOP" localSheetId="15" hidden="1">[1]경영기획팀!#REF!</definedName>
    <definedName name="_2__123Graph_LBL_AA_\FIN_TOP" localSheetId="21" hidden="1">[1]경영기획팀!#REF!</definedName>
    <definedName name="_2__123Graph_LBL_AA_\FIN_TOP" localSheetId="12" hidden="1">[1]경영기획팀!#REF!</definedName>
    <definedName name="_2__123Graph_LBL_AA_\FIN_TOP" localSheetId="17" hidden="1">[1]경영기획팀!#REF!</definedName>
    <definedName name="_2__123Graph_LBL_AA_\FIN_TOP" localSheetId="22" hidden="1">[1]경영기획팀!#REF!</definedName>
    <definedName name="_2__123Graph_LBL_AA_\FIN_TOP" localSheetId="23" hidden="1">[1]경영기획팀!#REF!</definedName>
    <definedName name="_2__123Graph_LBL_AA_\FIN_TOP" localSheetId="9" hidden="1">[1]경영기획팀!#REF!</definedName>
    <definedName name="_2__123Graph_LBL_AA_\FIN_TOP" localSheetId="24" hidden="1">[1]경영기획팀!#REF!</definedName>
    <definedName name="_2__123Graph_LBL_AA_\FIN_TOP" hidden="1">[1]경영기획팀!#REF!</definedName>
    <definedName name="_3__123Graph_AA_\FIN_TOP" localSheetId="11" hidden="1">[1]경영기획팀!#REF!</definedName>
    <definedName name="_3__123Graph_AA_\FIN_TOP" localSheetId="13" hidden="1">[1]경영기획팀!#REF!</definedName>
    <definedName name="_3__123Graph_AA_\FIN_TOP" localSheetId="5" hidden="1">[1]경영기획팀!#REF!</definedName>
    <definedName name="_3__123Graph_AA_\FIN_TOP" localSheetId="15" hidden="1">[1]경영기획팀!#REF!</definedName>
    <definedName name="_3__123Graph_AA_\FIN_TOP" localSheetId="21" hidden="1">[1]경영기획팀!#REF!</definedName>
    <definedName name="_3__123Graph_AA_\FIN_TOP" localSheetId="12" hidden="1">[1]경영기획팀!#REF!</definedName>
    <definedName name="_3__123Graph_AA_\FIN_TOP" localSheetId="17" hidden="1">[1]경영기획팀!#REF!</definedName>
    <definedName name="_3__123Graph_AA_\FIN_TOP" localSheetId="22" hidden="1">[1]경영기획팀!#REF!</definedName>
    <definedName name="_3__123Graph_AA_\FIN_TOP" localSheetId="23" hidden="1">[1]경영기획팀!#REF!</definedName>
    <definedName name="_3__123Graph_AA_\FIN_TOP" localSheetId="9" hidden="1">[1]경영기획팀!#REF!</definedName>
    <definedName name="_3__123Graph_AA_\FIN_TOP" localSheetId="24" hidden="1">[1]경영기획팀!#REF!</definedName>
    <definedName name="_3__123Graph_AA_\FIN_TOP" hidden="1">[1]경영기획팀!#REF!</definedName>
    <definedName name="_3__123Graph_LBL_BA_\FIN_TOP" localSheetId="11" hidden="1">[1]경영기획팀!#REF!</definedName>
    <definedName name="_3__123Graph_LBL_BA_\FIN_TOP" localSheetId="13" hidden="1">[1]경영기획팀!#REF!</definedName>
    <definedName name="_3__123Graph_LBL_BA_\FIN_TOP" localSheetId="5" hidden="1">[1]경영기획팀!#REF!</definedName>
    <definedName name="_3__123Graph_LBL_BA_\FIN_TOP" localSheetId="15" hidden="1">[1]경영기획팀!#REF!</definedName>
    <definedName name="_3__123Graph_LBL_BA_\FIN_TOP" localSheetId="21" hidden="1">[1]경영기획팀!#REF!</definedName>
    <definedName name="_3__123Graph_LBL_BA_\FIN_TOP" localSheetId="12" hidden="1">[1]경영기획팀!#REF!</definedName>
    <definedName name="_3__123Graph_LBL_BA_\FIN_TOP" localSheetId="17" hidden="1">[1]경영기획팀!#REF!</definedName>
    <definedName name="_3__123Graph_LBL_BA_\FIN_TOP" localSheetId="22" hidden="1">[1]경영기획팀!#REF!</definedName>
    <definedName name="_3__123Graph_LBL_BA_\FIN_TOP" localSheetId="23" hidden="1">[1]경영기획팀!#REF!</definedName>
    <definedName name="_3__123Graph_LBL_BA_\FIN_TOP" localSheetId="9" hidden="1">[1]경영기획팀!#REF!</definedName>
    <definedName name="_3__123Graph_LBL_BA_\FIN_TOP" localSheetId="24" hidden="1">[1]경영기획팀!#REF!</definedName>
    <definedName name="_3__123Graph_LBL_BA_\FIN_TOP" hidden="1">[1]경영기획팀!#REF!</definedName>
    <definedName name="_4__123Graph_LBL_CA_\FIN_TOP" localSheetId="11" hidden="1">[1]경영기획팀!#REF!</definedName>
    <definedName name="_4__123Graph_LBL_CA_\FIN_TOP" localSheetId="13" hidden="1">[1]경영기획팀!#REF!</definedName>
    <definedName name="_4__123Graph_LBL_CA_\FIN_TOP" localSheetId="5" hidden="1">[1]경영기획팀!#REF!</definedName>
    <definedName name="_4__123Graph_LBL_CA_\FIN_TOP" localSheetId="15" hidden="1">[1]경영기획팀!#REF!</definedName>
    <definedName name="_4__123Graph_LBL_CA_\FIN_TOP" localSheetId="21" hidden="1">[1]경영기획팀!#REF!</definedName>
    <definedName name="_4__123Graph_LBL_CA_\FIN_TOP" localSheetId="12" hidden="1">[1]경영기획팀!#REF!</definedName>
    <definedName name="_4__123Graph_LBL_CA_\FIN_TOP" localSheetId="17" hidden="1">[1]경영기획팀!#REF!</definedName>
    <definedName name="_4__123Graph_LBL_CA_\FIN_TOP" localSheetId="22" hidden="1">[1]경영기획팀!#REF!</definedName>
    <definedName name="_4__123Graph_LBL_CA_\FIN_TOP" localSheetId="23" hidden="1">[1]경영기획팀!#REF!</definedName>
    <definedName name="_4__123Graph_LBL_CA_\FIN_TOP" localSheetId="9" hidden="1">[1]경영기획팀!#REF!</definedName>
    <definedName name="_4__123Graph_LBL_CA_\FIN_TOP" localSheetId="24" hidden="1">[1]경영기획팀!#REF!</definedName>
    <definedName name="_4__123Graph_LBL_CA_\FIN_TOP" hidden="1">[1]경영기획팀!#REF!</definedName>
    <definedName name="_5__123Graph_XA_\FIN_TOP" localSheetId="11" hidden="1">[1]경영기획팀!#REF!</definedName>
    <definedName name="_5__123Graph_XA_\FIN_TOP" localSheetId="13" hidden="1">[1]경영기획팀!#REF!</definedName>
    <definedName name="_5__123Graph_XA_\FIN_TOP" localSheetId="5" hidden="1">[1]경영기획팀!#REF!</definedName>
    <definedName name="_5__123Graph_XA_\FIN_TOP" localSheetId="15" hidden="1">[1]경영기획팀!#REF!</definedName>
    <definedName name="_5__123Graph_XA_\FIN_TOP" localSheetId="21" hidden="1">[1]경영기획팀!#REF!</definedName>
    <definedName name="_5__123Graph_XA_\FIN_TOP" localSheetId="12" hidden="1">[1]경영기획팀!#REF!</definedName>
    <definedName name="_5__123Graph_XA_\FIN_TOP" localSheetId="17" hidden="1">[1]경영기획팀!#REF!</definedName>
    <definedName name="_5__123Graph_XA_\FIN_TOP" localSheetId="22" hidden="1">[1]경영기획팀!#REF!</definedName>
    <definedName name="_5__123Graph_XA_\FIN_TOP" localSheetId="23" hidden="1">[1]경영기획팀!#REF!</definedName>
    <definedName name="_5__123Graph_XA_\FIN_TOP" localSheetId="9" hidden="1">[1]경영기획팀!#REF!</definedName>
    <definedName name="_5__123Graph_XA_\FIN_TOP" localSheetId="24" hidden="1">[1]경영기획팀!#REF!</definedName>
    <definedName name="_5__123Graph_XA_\FIN_TOP" hidden="1">[1]경영기획팀!#REF!</definedName>
    <definedName name="_6__123Graph_LBL_AA_\FIN_TOP" localSheetId="11" hidden="1">[1]경영기획팀!#REF!</definedName>
    <definedName name="_6__123Graph_LBL_AA_\FIN_TOP" localSheetId="13" hidden="1">[1]경영기획팀!#REF!</definedName>
    <definedName name="_6__123Graph_LBL_AA_\FIN_TOP" localSheetId="5" hidden="1">[1]경영기획팀!#REF!</definedName>
    <definedName name="_6__123Graph_LBL_AA_\FIN_TOP" localSheetId="15" hidden="1">[1]경영기획팀!#REF!</definedName>
    <definedName name="_6__123Graph_LBL_AA_\FIN_TOP" localSheetId="21" hidden="1">[1]경영기획팀!#REF!</definedName>
    <definedName name="_6__123Graph_LBL_AA_\FIN_TOP" localSheetId="12" hidden="1">[1]경영기획팀!#REF!</definedName>
    <definedName name="_6__123Graph_LBL_AA_\FIN_TOP" localSheetId="17" hidden="1">[1]경영기획팀!#REF!</definedName>
    <definedName name="_6__123Graph_LBL_AA_\FIN_TOP" localSheetId="22" hidden="1">[1]경영기획팀!#REF!</definedName>
    <definedName name="_6__123Graph_LBL_AA_\FIN_TOP" localSheetId="23" hidden="1">[1]경영기획팀!#REF!</definedName>
    <definedName name="_6__123Graph_LBL_AA_\FIN_TOP" localSheetId="9" hidden="1">[1]경영기획팀!#REF!</definedName>
    <definedName name="_6__123Graph_LBL_AA_\FIN_TOP" localSheetId="24" hidden="1">[1]경영기획팀!#REF!</definedName>
    <definedName name="_6__123Graph_LBL_AA_\FIN_TOP" hidden="1">[1]경영기획팀!#REF!</definedName>
    <definedName name="_9__123Graph_LBL_BA_\FIN_TOP" localSheetId="11" hidden="1">[1]경영기획팀!#REF!</definedName>
    <definedName name="_9__123Graph_LBL_BA_\FIN_TOP" localSheetId="13" hidden="1">[1]경영기획팀!#REF!</definedName>
    <definedName name="_9__123Graph_LBL_BA_\FIN_TOP" localSheetId="5" hidden="1">[1]경영기획팀!#REF!</definedName>
    <definedName name="_9__123Graph_LBL_BA_\FIN_TOP" localSheetId="15" hidden="1">[1]경영기획팀!#REF!</definedName>
    <definedName name="_9__123Graph_LBL_BA_\FIN_TOP" localSheetId="21" hidden="1">[1]경영기획팀!#REF!</definedName>
    <definedName name="_9__123Graph_LBL_BA_\FIN_TOP" localSheetId="12" hidden="1">[1]경영기획팀!#REF!</definedName>
    <definedName name="_9__123Graph_LBL_BA_\FIN_TOP" localSheetId="17" hidden="1">[1]경영기획팀!#REF!</definedName>
    <definedName name="_9__123Graph_LBL_BA_\FIN_TOP" localSheetId="22" hidden="1">[1]경영기획팀!#REF!</definedName>
    <definedName name="_9__123Graph_LBL_BA_\FIN_TOP" localSheetId="23" hidden="1">[1]경영기획팀!#REF!</definedName>
    <definedName name="_9__123Graph_LBL_BA_\FIN_TOP" localSheetId="9" hidden="1">[1]경영기획팀!#REF!</definedName>
    <definedName name="_9__123Graph_LBL_BA_\FIN_TOP" localSheetId="24" hidden="1">[1]경영기획팀!#REF!</definedName>
    <definedName name="_9__123Graph_LBL_BA_\FIN_TOP" hidden="1">[1]경영기획팀!#REF!</definedName>
    <definedName name="aaa">[2]대구동수금!$A$1:$H$29</definedName>
    <definedName name="AS2DocOpenMode" hidden="1">"AS2DocumentEdit"</definedName>
    <definedName name="BBB">[3]대구동수금!$A$1:$H$29</definedName>
    <definedName name="esis" localSheetId="11" hidden="1">[4]BOOK!#REF!</definedName>
    <definedName name="esis" localSheetId="13" hidden="1">[4]BOOK!#REF!</definedName>
    <definedName name="esis" localSheetId="5" hidden="1">[4]BOOK!#REF!</definedName>
    <definedName name="esis" localSheetId="15" hidden="1">[4]BOOK!#REF!</definedName>
    <definedName name="esis" localSheetId="21" hidden="1">[4]BOOK!#REF!</definedName>
    <definedName name="esis" localSheetId="12" hidden="1">[4]BOOK!#REF!</definedName>
    <definedName name="esis" localSheetId="17" hidden="1">[4]BOOK!#REF!</definedName>
    <definedName name="esis" localSheetId="22" hidden="1">[4]BOOK!#REF!</definedName>
    <definedName name="esis" localSheetId="23" hidden="1">[4]BOOK!#REF!</definedName>
    <definedName name="esis" localSheetId="9" hidden="1">[4]BOOK!#REF!</definedName>
    <definedName name="esis" localSheetId="24" hidden="1">[4]BOOK!#REF!</definedName>
    <definedName name="esis" hidden="1">[4]BOOK!#REF!</definedName>
    <definedName name="jjj" localSheetId="11">#REF!</definedName>
    <definedName name="jjj" localSheetId="13">#REF!</definedName>
    <definedName name="jjj" localSheetId="5">#REF!</definedName>
    <definedName name="jjj" localSheetId="15">#REF!</definedName>
    <definedName name="jjj" localSheetId="21">#REF!</definedName>
    <definedName name="jjj" localSheetId="12">#REF!</definedName>
    <definedName name="jjj" localSheetId="17">#REF!</definedName>
    <definedName name="jjj" localSheetId="22">#REF!</definedName>
    <definedName name="jjj" localSheetId="23">#REF!</definedName>
    <definedName name="jjj" localSheetId="9">#REF!</definedName>
    <definedName name="jjj" localSheetId="24">#REF!</definedName>
    <definedName name="jjj">#REF!</definedName>
    <definedName name="pc수불부">[5]상품!$A$1</definedName>
    <definedName name="TextRefCopyRangeCount" hidden="1">1</definedName>
    <definedName name="ㄴ" localSheetId="11">#REF!</definedName>
    <definedName name="ㄴ" localSheetId="13">#REF!</definedName>
    <definedName name="ㄴ" localSheetId="5">#REF!</definedName>
    <definedName name="ㄴ" localSheetId="15">#REF!</definedName>
    <definedName name="ㄴ" localSheetId="21">#REF!</definedName>
    <definedName name="ㄴ" localSheetId="12">#REF!</definedName>
    <definedName name="ㄴ" localSheetId="17">#REF!</definedName>
    <definedName name="ㄴ" localSheetId="22">#REF!</definedName>
    <definedName name="ㄴ" localSheetId="23">#REF!</definedName>
    <definedName name="ㄴ" localSheetId="9">#REF!</definedName>
    <definedName name="ㄴ" localSheetId="24">#REF!</definedName>
    <definedName name="ㄴ">#REF!</definedName>
    <definedName name="ㄴㅇㄹ" localSheetId="11">#REF!</definedName>
    <definedName name="ㄴㅇㄹ" localSheetId="13">#REF!</definedName>
    <definedName name="ㄴㅇㄹ" localSheetId="5">#REF!</definedName>
    <definedName name="ㄴㅇㄹ" localSheetId="15">#REF!</definedName>
    <definedName name="ㄴㅇㄹ" localSheetId="21">#REF!</definedName>
    <definedName name="ㄴㅇㄹ" localSheetId="12">#REF!</definedName>
    <definedName name="ㄴㅇㄹ" localSheetId="17">#REF!</definedName>
    <definedName name="ㄴㅇㄹ" localSheetId="22">#REF!</definedName>
    <definedName name="ㄴㅇㄹ" localSheetId="23">#REF!</definedName>
    <definedName name="ㄴㅇㄹ" localSheetId="9">#REF!</definedName>
    <definedName name="ㄴㅇㄹ" localSheetId="24">#REF!</definedName>
    <definedName name="ㄴㅇㄹ">#REF!</definedName>
    <definedName name="나는" localSheetId="11">#REF!</definedName>
    <definedName name="나는" localSheetId="13">#REF!</definedName>
    <definedName name="나는" localSheetId="5">#REF!</definedName>
    <definedName name="나는" localSheetId="15">#REF!</definedName>
    <definedName name="나는" localSheetId="21">#REF!</definedName>
    <definedName name="나는" localSheetId="12">#REF!</definedName>
    <definedName name="나는" localSheetId="17">#REF!</definedName>
    <definedName name="나는" localSheetId="22">#REF!</definedName>
    <definedName name="나는" localSheetId="23">#REF!</definedName>
    <definedName name="나는" localSheetId="9">#REF!</definedName>
    <definedName name="나는" localSheetId="24">#REF!</definedName>
    <definedName name="나는">#REF!</definedName>
    <definedName name="노무비" localSheetId="11">#REF!</definedName>
    <definedName name="노무비" localSheetId="13">#REF!</definedName>
    <definedName name="노무비" localSheetId="5">#REF!</definedName>
    <definedName name="노무비" localSheetId="15">#REF!</definedName>
    <definedName name="노무비" localSheetId="21">#REF!</definedName>
    <definedName name="노무비" localSheetId="12">#REF!</definedName>
    <definedName name="노무비" localSheetId="17">#REF!</definedName>
    <definedName name="노무비" localSheetId="22">#REF!</definedName>
    <definedName name="노무비" localSheetId="23">#REF!</definedName>
    <definedName name="노무비" localSheetId="9">#REF!</definedName>
    <definedName name="노무비" localSheetId="24">#REF!</definedName>
    <definedName name="노무비">#REF!</definedName>
    <definedName name="대구2">[3]대구동수금!$A$1:$H$29</definedName>
    <definedName name="대구수금" localSheetId="11">#REF!</definedName>
    <definedName name="대구수금" localSheetId="13">#REF!</definedName>
    <definedName name="대구수금" localSheetId="5">#REF!</definedName>
    <definedName name="대구수금" localSheetId="15">#REF!</definedName>
    <definedName name="대구수금" localSheetId="21">#REF!</definedName>
    <definedName name="대구수금" localSheetId="12">#REF!</definedName>
    <definedName name="대구수금" localSheetId="17">#REF!</definedName>
    <definedName name="대구수금" localSheetId="22">#REF!</definedName>
    <definedName name="대구수금" localSheetId="23">#REF!</definedName>
    <definedName name="대구수금" localSheetId="9">#REF!</definedName>
    <definedName name="대구수금" localSheetId="24">#REF!</definedName>
    <definedName name="대구수금">#REF!</definedName>
    <definedName name="대차대조표" localSheetId="11">#REF!</definedName>
    <definedName name="대차대조표" localSheetId="13">#REF!</definedName>
    <definedName name="대차대조표" localSheetId="5">#REF!</definedName>
    <definedName name="대차대조표" localSheetId="15">#REF!</definedName>
    <definedName name="대차대조표" localSheetId="21">#REF!</definedName>
    <definedName name="대차대조표" localSheetId="12">#REF!</definedName>
    <definedName name="대차대조표" localSheetId="17">#REF!</definedName>
    <definedName name="대차대조표" localSheetId="22">#REF!</definedName>
    <definedName name="대차대조표" localSheetId="23">#REF!</definedName>
    <definedName name="대차대조표" localSheetId="9">#REF!</definedName>
    <definedName name="대차대조표" localSheetId="24">#REF!</definedName>
    <definedName name="대차대조표">#REF!</definedName>
    <definedName name="대차대조표집계표">[6]비디오!$A$1</definedName>
    <definedName name="ㄹ" localSheetId="11" hidden="1">[7]경영기획팀!#REF!</definedName>
    <definedName name="ㄹ" localSheetId="13" hidden="1">[7]경영기획팀!#REF!</definedName>
    <definedName name="ㄹ" localSheetId="5" hidden="1">[7]경영기획팀!#REF!</definedName>
    <definedName name="ㄹ" localSheetId="15" hidden="1">[7]경영기획팀!#REF!</definedName>
    <definedName name="ㄹ" localSheetId="21" hidden="1">[7]경영기획팀!#REF!</definedName>
    <definedName name="ㄹ" localSheetId="12" hidden="1">[7]경영기획팀!#REF!</definedName>
    <definedName name="ㄹ" localSheetId="17" hidden="1">[7]경영기획팀!#REF!</definedName>
    <definedName name="ㄹ" localSheetId="22" hidden="1">[7]경영기획팀!#REF!</definedName>
    <definedName name="ㄹ" localSheetId="23" hidden="1">[7]경영기획팀!#REF!</definedName>
    <definedName name="ㄹ" localSheetId="9" hidden="1">[7]경영기획팀!#REF!</definedName>
    <definedName name="ㄹ" localSheetId="24" hidden="1">[7]경영기획팀!#REF!</definedName>
    <definedName name="ㄹ" hidden="1">[7]경영기획팀!#REF!</definedName>
    <definedName name="먕" localSheetId="11" hidden="1">[1]경영기획팀!#REF!</definedName>
    <definedName name="먕" localSheetId="13" hidden="1">[1]경영기획팀!#REF!</definedName>
    <definedName name="먕" localSheetId="5" hidden="1">[1]경영기획팀!#REF!</definedName>
    <definedName name="먕" localSheetId="15" hidden="1">[1]경영기획팀!#REF!</definedName>
    <definedName name="먕" localSheetId="21" hidden="1">[1]경영기획팀!#REF!</definedName>
    <definedName name="먕" localSheetId="12" hidden="1">[1]경영기획팀!#REF!</definedName>
    <definedName name="먕" localSheetId="17" hidden="1">[1]경영기획팀!#REF!</definedName>
    <definedName name="먕" localSheetId="22" hidden="1">[1]경영기획팀!#REF!</definedName>
    <definedName name="먕" localSheetId="23" hidden="1">[1]경영기획팀!#REF!</definedName>
    <definedName name="먕" localSheetId="9" hidden="1">[1]경영기획팀!#REF!</definedName>
    <definedName name="먕" localSheetId="24" hidden="1">[1]경영기획팀!#REF!</definedName>
    <definedName name="먕" hidden="1">[1]경영기획팀!#REF!</definedName>
    <definedName name="모의수능수불부" localSheetId="11">#REF!</definedName>
    <definedName name="모의수능수불부" localSheetId="13">#REF!</definedName>
    <definedName name="모의수능수불부" localSheetId="5">#REF!</definedName>
    <definedName name="모의수능수불부" localSheetId="15">#REF!</definedName>
    <definedName name="모의수능수불부" localSheetId="21">#REF!</definedName>
    <definedName name="모의수능수불부" localSheetId="12">#REF!</definedName>
    <definedName name="모의수능수불부" localSheetId="17">#REF!</definedName>
    <definedName name="모의수능수불부" localSheetId="22">#REF!</definedName>
    <definedName name="모의수능수불부" localSheetId="23">#REF!</definedName>
    <definedName name="모의수능수불부" localSheetId="9">#REF!</definedName>
    <definedName name="모의수능수불부" localSheetId="24">#REF!</definedName>
    <definedName name="모의수능수불부">#REF!</definedName>
    <definedName name="모의수능제조원가" localSheetId="11">#REF!</definedName>
    <definedName name="모의수능제조원가" localSheetId="13">#REF!</definedName>
    <definedName name="모의수능제조원가" localSheetId="5">#REF!</definedName>
    <definedName name="모의수능제조원가" localSheetId="15">#REF!</definedName>
    <definedName name="모의수능제조원가" localSheetId="21">#REF!</definedName>
    <definedName name="모의수능제조원가" localSheetId="12">#REF!</definedName>
    <definedName name="모의수능제조원가" localSheetId="17">#REF!</definedName>
    <definedName name="모의수능제조원가" localSheetId="22">#REF!</definedName>
    <definedName name="모의수능제조원가" localSheetId="23">#REF!</definedName>
    <definedName name="모의수능제조원가" localSheetId="9">#REF!</definedName>
    <definedName name="모의수능제조원가" localSheetId="24">#REF!</definedName>
    <definedName name="모의수능제조원가">#REF!</definedName>
    <definedName name="미수금" localSheetId="11">#REF!</definedName>
    <definedName name="미수금" localSheetId="13">#REF!</definedName>
    <definedName name="미수금" localSheetId="5">#REF!</definedName>
    <definedName name="미수금" localSheetId="15">#REF!</definedName>
    <definedName name="미수금" localSheetId="21">#REF!</definedName>
    <definedName name="미수금" localSheetId="12">#REF!</definedName>
    <definedName name="미수금" localSheetId="17">#REF!</definedName>
    <definedName name="미수금" localSheetId="22">#REF!</definedName>
    <definedName name="미수금" localSheetId="23">#REF!</definedName>
    <definedName name="미수금" localSheetId="9">#REF!</definedName>
    <definedName name="미수금" localSheetId="24">#REF!</definedName>
    <definedName name="미수금">#REF!</definedName>
    <definedName name="바인더수불부" localSheetId="11">#REF!</definedName>
    <definedName name="바인더수불부" localSheetId="13">#REF!</definedName>
    <definedName name="바인더수불부" localSheetId="5">#REF!</definedName>
    <definedName name="바인더수불부" localSheetId="15">#REF!</definedName>
    <definedName name="바인더수불부" localSheetId="21">#REF!</definedName>
    <definedName name="바인더수불부" localSheetId="12">#REF!</definedName>
    <definedName name="바인더수불부" localSheetId="17">#REF!</definedName>
    <definedName name="바인더수불부" localSheetId="22">#REF!</definedName>
    <definedName name="바인더수불부" localSheetId="23">#REF!</definedName>
    <definedName name="바인더수불부" localSheetId="9">#REF!</definedName>
    <definedName name="바인더수불부" localSheetId="24">#REF!</definedName>
    <definedName name="바인더수불부">#REF!</definedName>
    <definedName name="비디오수불부" localSheetId="11">#REF!</definedName>
    <definedName name="비디오수불부" localSheetId="13">#REF!</definedName>
    <definedName name="비디오수불부" localSheetId="5">#REF!</definedName>
    <definedName name="비디오수불부" localSheetId="15">#REF!</definedName>
    <definedName name="비디오수불부" localSheetId="21">#REF!</definedName>
    <definedName name="비디오수불부" localSheetId="12">#REF!</definedName>
    <definedName name="비디오수불부" localSheetId="17">#REF!</definedName>
    <definedName name="비디오수불부" localSheetId="22">#REF!</definedName>
    <definedName name="비디오수불부" localSheetId="23">#REF!</definedName>
    <definedName name="비디오수불부" localSheetId="9">#REF!</definedName>
    <definedName name="비디오수불부" localSheetId="24">#REF!</definedName>
    <definedName name="비디오수불부">#REF!</definedName>
    <definedName name="비디오제조원가" localSheetId="11">#REF!</definedName>
    <definedName name="비디오제조원가" localSheetId="13">#REF!</definedName>
    <definedName name="비디오제조원가" localSheetId="5">#REF!</definedName>
    <definedName name="비디오제조원가" localSheetId="15">#REF!</definedName>
    <definedName name="비디오제조원가" localSheetId="21">#REF!</definedName>
    <definedName name="비디오제조원가" localSheetId="12">#REF!</definedName>
    <definedName name="비디오제조원가" localSheetId="17">#REF!</definedName>
    <definedName name="비디오제조원가" localSheetId="22">#REF!</definedName>
    <definedName name="비디오제조원가" localSheetId="23">#REF!</definedName>
    <definedName name="비디오제조원가" localSheetId="9">#REF!</definedName>
    <definedName name="비디오제조원가" localSheetId="24">#REF!</definedName>
    <definedName name="비디오제조원가">#REF!</definedName>
    <definedName name="비디오중학영어" localSheetId="11">#REF!</definedName>
    <definedName name="비디오중학영어" localSheetId="13">#REF!</definedName>
    <definedName name="비디오중학영어" localSheetId="5">#REF!</definedName>
    <definedName name="비디오중학영어" localSheetId="15">#REF!</definedName>
    <definedName name="비디오중학영어" localSheetId="21">#REF!</definedName>
    <definedName name="비디오중학영어" localSheetId="12">#REF!</definedName>
    <definedName name="비디오중학영어" localSheetId="17">#REF!</definedName>
    <definedName name="비디오중학영어" localSheetId="22">#REF!</definedName>
    <definedName name="비디오중학영어" localSheetId="23">#REF!</definedName>
    <definedName name="비디오중학영어" localSheetId="9">#REF!</definedName>
    <definedName name="비디오중학영어" localSheetId="24">#REF!</definedName>
    <definedName name="비디오중학영어">#REF!</definedName>
    <definedName name="손익" localSheetId="11">#REF!</definedName>
    <definedName name="손익" localSheetId="13">#REF!</definedName>
    <definedName name="손익" localSheetId="5">#REF!</definedName>
    <definedName name="손익" localSheetId="15">#REF!</definedName>
    <definedName name="손익" localSheetId="21">#REF!</definedName>
    <definedName name="손익" localSheetId="12">#REF!</definedName>
    <definedName name="손익" localSheetId="17">#REF!</definedName>
    <definedName name="손익" localSheetId="22">#REF!</definedName>
    <definedName name="손익" localSheetId="23">#REF!</definedName>
    <definedName name="손익" localSheetId="9">#REF!</definedName>
    <definedName name="손익" localSheetId="24">#REF!</definedName>
    <definedName name="손익">#REF!</definedName>
    <definedName name="손익계산서" localSheetId="11">#REF!</definedName>
    <definedName name="손익계산서" localSheetId="13">#REF!</definedName>
    <definedName name="손익계산서" localSheetId="5">#REF!</definedName>
    <definedName name="손익계산서" localSheetId="15">#REF!</definedName>
    <definedName name="손익계산서" localSheetId="21">#REF!</definedName>
    <definedName name="손익계산서" localSheetId="12">#REF!</definedName>
    <definedName name="손익계산서" localSheetId="17">#REF!</definedName>
    <definedName name="손익계산서" localSheetId="22">#REF!</definedName>
    <definedName name="손익계산서" localSheetId="23">#REF!</definedName>
    <definedName name="손익계산서" localSheetId="9">#REF!</definedName>
    <definedName name="손익계산서" localSheetId="24">#REF!</definedName>
    <definedName name="손익계산서">#REF!</definedName>
    <definedName name="손익계산서2" localSheetId="11">#REF!</definedName>
    <definedName name="손익계산서2" localSheetId="13">#REF!</definedName>
    <definedName name="손익계산서2" localSheetId="5">#REF!</definedName>
    <definedName name="손익계산서2" localSheetId="15">#REF!</definedName>
    <definedName name="손익계산서2" localSheetId="21">#REF!</definedName>
    <definedName name="손익계산서2" localSheetId="12">#REF!</definedName>
    <definedName name="손익계산서2" localSheetId="17">#REF!</definedName>
    <definedName name="손익계산서2" localSheetId="22">#REF!</definedName>
    <definedName name="손익계산서2" localSheetId="23">#REF!</definedName>
    <definedName name="손익계산서2" localSheetId="9">#REF!</definedName>
    <definedName name="손익계산서2" localSheetId="24">#REF!</definedName>
    <definedName name="손익계산서2">#REF!</definedName>
    <definedName name="송금1" localSheetId="11" hidden="1">[7]경영기획팀!#REF!</definedName>
    <definedName name="송금1" localSheetId="13" hidden="1">[7]경영기획팀!#REF!</definedName>
    <definedName name="송금1" localSheetId="5" hidden="1">[7]경영기획팀!#REF!</definedName>
    <definedName name="송금1" localSheetId="15" hidden="1">[7]경영기획팀!#REF!</definedName>
    <definedName name="송금1" localSheetId="21" hidden="1">[7]경영기획팀!#REF!</definedName>
    <definedName name="송금1" localSheetId="12" hidden="1">[7]경영기획팀!#REF!</definedName>
    <definedName name="송금1" localSheetId="17" hidden="1">[7]경영기획팀!#REF!</definedName>
    <definedName name="송금1" localSheetId="22" hidden="1">[7]경영기획팀!#REF!</definedName>
    <definedName name="송금1" localSheetId="23" hidden="1">[7]경영기획팀!#REF!</definedName>
    <definedName name="송금1" localSheetId="9" hidden="1">[7]경영기획팀!#REF!</definedName>
    <definedName name="송금1" localSheetId="24" hidden="1">[7]경영기획팀!#REF!</definedName>
    <definedName name="송금1" hidden="1">[7]경영기획팀!#REF!</definedName>
    <definedName name="앙" localSheetId="11">#REF!</definedName>
    <definedName name="앙" localSheetId="13">#REF!</definedName>
    <definedName name="앙" localSheetId="5">#REF!</definedName>
    <definedName name="앙" localSheetId="15">#REF!</definedName>
    <definedName name="앙" localSheetId="21">#REF!</definedName>
    <definedName name="앙" localSheetId="12">#REF!</definedName>
    <definedName name="앙" localSheetId="17">#REF!</definedName>
    <definedName name="앙" localSheetId="22">#REF!</definedName>
    <definedName name="앙" localSheetId="23">#REF!</definedName>
    <definedName name="앙" localSheetId="9">#REF!</definedName>
    <definedName name="앙" localSheetId="24">#REF!</definedName>
    <definedName name="앙">#REF!</definedName>
    <definedName name="월례고사원재료" localSheetId="11">#REF!</definedName>
    <definedName name="월례고사원재료" localSheetId="13">#REF!</definedName>
    <definedName name="월례고사원재료" localSheetId="5">#REF!</definedName>
    <definedName name="월례고사원재료" localSheetId="15">#REF!</definedName>
    <definedName name="월례고사원재료" localSheetId="21">#REF!</definedName>
    <definedName name="월례고사원재료" localSheetId="12">#REF!</definedName>
    <definedName name="월례고사원재료" localSheetId="17">#REF!</definedName>
    <definedName name="월례고사원재료" localSheetId="22">#REF!</definedName>
    <definedName name="월례고사원재료" localSheetId="23">#REF!</definedName>
    <definedName name="월례고사원재료" localSheetId="9">#REF!</definedName>
    <definedName name="월례고사원재료" localSheetId="24">#REF!</definedName>
    <definedName name="월례고사원재료">#REF!</definedName>
    <definedName name="일반관리비" localSheetId="11">#REF!</definedName>
    <definedName name="일반관리비" localSheetId="13">#REF!</definedName>
    <definedName name="일반관리비" localSheetId="5">#REF!</definedName>
    <definedName name="일반관리비" localSheetId="15">#REF!</definedName>
    <definedName name="일반관리비" localSheetId="21">#REF!</definedName>
    <definedName name="일반관리비" localSheetId="12">#REF!</definedName>
    <definedName name="일반관리비" localSheetId="17">#REF!</definedName>
    <definedName name="일반관리비" localSheetId="22">#REF!</definedName>
    <definedName name="일반관리비" localSheetId="23">#REF!</definedName>
    <definedName name="일반관리비" localSheetId="9">#REF!</definedName>
    <definedName name="일반관리비" localSheetId="24">#REF!</definedName>
    <definedName name="일반관리비">#REF!</definedName>
    <definedName name="임율" localSheetId="11">[8]원가계산!#REF!</definedName>
    <definedName name="임율" localSheetId="13">[8]원가계산!#REF!</definedName>
    <definedName name="임율" localSheetId="5">[8]원가계산!#REF!</definedName>
    <definedName name="임율" localSheetId="15">[8]원가계산!#REF!</definedName>
    <definedName name="임율" localSheetId="21">[8]원가계산!#REF!</definedName>
    <definedName name="임율" localSheetId="12">[8]원가계산!#REF!</definedName>
    <definedName name="임율" localSheetId="17">[8]원가계산!#REF!</definedName>
    <definedName name="임율" localSheetId="22">[8]원가계산!#REF!</definedName>
    <definedName name="임율" localSheetId="23">[8]원가계산!#REF!</definedName>
    <definedName name="임율" localSheetId="9">[8]원가계산!#REF!</definedName>
    <definedName name="임율" localSheetId="24">[8]원가계산!#REF!</definedName>
    <definedName name="임율">[8]원가계산!#REF!</definedName>
    <definedName name="입학고사제조원가" localSheetId="11">#REF!</definedName>
    <definedName name="입학고사제조원가" localSheetId="13">#REF!</definedName>
    <definedName name="입학고사제조원가" localSheetId="5">#REF!</definedName>
    <definedName name="입학고사제조원가" localSheetId="15">#REF!</definedName>
    <definedName name="입학고사제조원가" localSheetId="21">#REF!</definedName>
    <definedName name="입학고사제조원가" localSheetId="12">#REF!</definedName>
    <definedName name="입학고사제조원가" localSheetId="17">#REF!</definedName>
    <definedName name="입학고사제조원가" localSheetId="22">#REF!</definedName>
    <definedName name="입학고사제조원가" localSheetId="23">#REF!</definedName>
    <definedName name="입학고사제조원가" localSheetId="9">#REF!</definedName>
    <definedName name="입학고사제조원가" localSheetId="24">#REF!</definedName>
    <definedName name="입학고사제조원가">#REF!</definedName>
    <definedName name="재료비" localSheetId="11">#REF!</definedName>
    <definedName name="재료비" localSheetId="13">#REF!</definedName>
    <definedName name="재료비" localSheetId="5">#REF!</definedName>
    <definedName name="재료비" localSheetId="15">#REF!</definedName>
    <definedName name="재료비" localSheetId="21">#REF!</definedName>
    <definedName name="재료비" localSheetId="12">#REF!</definedName>
    <definedName name="재료비" localSheetId="17">#REF!</definedName>
    <definedName name="재료비" localSheetId="22">#REF!</definedName>
    <definedName name="재료비" localSheetId="23">#REF!</definedName>
    <definedName name="재료비" localSheetId="9">#REF!</definedName>
    <definedName name="재료비" localSheetId="24">#REF!</definedName>
    <definedName name="재료비">#REF!</definedName>
    <definedName name="제조경비" localSheetId="11">#REF!</definedName>
    <definedName name="제조경비" localSheetId="13">#REF!</definedName>
    <definedName name="제조경비" localSheetId="5">#REF!</definedName>
    <definedName name="제조경비" localSheetId="15">#REF!</definedName>
    <definedName name="제조경비" localSheetId="21">#REF!</definedName>
    <definedName name="제조경비" localSheetId="12">#REF!</definedName>
    <definedName name="제조경비" localSheetId="17">#REF!</definedName>
    <definedName name="제조경비" localSheetId="22">#REF!</definedName>
    <definedName name="제조경비" localSheetId="23">#REF!</definedName>
    <definedName name="제조경비" localSheetId="9">#REF!</definedName>
    <definedName name="제조경비" localSheetId="24">#REF!</definedName>
    <definedName name="제조경비">#REF!</definedName>
    <definedName name="제조원가명세서" localSheetId="11">#REF!</definedName>
    <definedName name="제조원가명세서" localSheetId="13">#REF!</definedName>
    <definedName name="제조원가명세서" localSheetId="5">#REF!</definedName>
    <definedName name="제조원가명세서" localSheetId="15">#REF!</definedName>
    <definedName name="제조원가명세서" localSheetId="21">#REF!</definedName>
    <definedName name="제조원가명세서" localSheetId="12">#REF!</definedName>
    <definedName name="제조원가명세서" localSheetId="17">#REF!</definedName>
    <definedName name="제조원가명세서" localSheetId="22">#REF!</definedName>
    <definedName name="제조원가명세서" localSheetId="23">#REF!</definedName>
    <definedName name="제조원가명세서" localSheetId="9">#REF!</definedName>
    <definedName name="제조원가명세서" localSheetId="24">#REF!</definedName>
    <definedName name="제조원가명세서">#REF!</definedName>
    <definedName name="표준원가" localSheetId="11">#REF!</definedName>
    <definedName name="표준원가" localSheetId="13">#REF!</definedName>
    <definedName name="표준원가" localSheetId="5">#REF!</definedName>
    <definedName name="표준원가" localSheetId="15">#REF!</definedName>
    <definedName name="표준원가" localSheetId="21">#REF!</definedName>
    <definedName name="표준원가" localSheetId="12">#REF!</definedName>
    <definedName name="표준원가" localSheetId="17">#REF!</definedName>
    <definedName name="표준원가" localSheetId="22">#REF!</definedName>
    <definedName name="표준원가" localSheetId="23">#REF!</definedName>
    <definedName name="표준원가" localSheetId="9">#REF!</definedName>
    <definedName name="표준원가" localSheetId="24">#REF!</definedName>
    <definedName name="표준원가">#REF!</definedName>
    <definedName name="학습지원재료" localSheetId="11">#REF!</definedName>
    <definedName name="학습지원재료" localSheetId="13">#REF!</definedName>
    <definedName name="학습지원재료" localSheetId="5">#REF!</definedName>
    <definedName name="학습지원재료" localSheetId="15">#REF!</definedName>
    <definedName name="학습지원재료" localSheetId="21">#REF!</definedName>
    <definedName name="학습지원재료" localSheetId="12">#REF!</definedName>
    <definedName name="학습지원재료" localSheetId="17">#REF!</definedName>
    <definedName name="학습지원재료" localSheetId="22">#REF!</definedName>
    <definedName name="학습지원재료" localSheetId="23">#REF!</definedName>
    <definedName name="학습지원재료" localSheetId="9">#REF!</definedName>
    <definedName name="학습지원재료" localSheetId="24">#REF!</definedName>
    <definedName name="학습지원재료">#REF!</definedName>
    <definedName name="학습지제조원가" localSheetId="11">#REF!</definedName>
    <definedName name="학습지제조원가" localSheetId="13">#REF!</definedName>
    <definedName name="학습지제조원가" localSheetId="5">#REF!</definedName>
    <definedName name="학습지제조원가" localSheetId="15">#REF!</definedName>
    <definedName name="학습지제조원가" localSheetId="21">#REF!</definedName>
    <definedName name="학습지제조원가" localSheetId="12">#REF!</definedName>
    <definedName name="학습지제조원가" localSheetId="17">#REF!</definedName>
    <definedName name="학습지제조원가" localSheetId="22">#REF!</definedName>
    <definedName name="학습지제조원가" localSheetId="23">#REF!</definedName>
    <definedName name="학습지제조원가" localSheetId="9">#REF!</definedName>
    <definedName name="학습지제조원가" localSheetId="24">#REF!</definedName>
    <definedName name="학습지제조원가">#REF!</definedName>
    <definedName name="합계잔액시산표" localSheetId="11">#REF!</definedName>
    <definedName name="합계잔액시산표" localSheetId="13">#REF!</definedName>
    <definedName name="합계잔액시산표" localSheetId="5">#REF!</definedName>
    <definedName name="합계잔액시산표" localSheetId="15">#REF!</definedName>
    <definedName name="합계잔액시산표" localSheetId="21">#REF!</definedName>
    <definedName name="합계잔액시산표" localSheetId="12">#REF!</definedName>
    <definedName name="합계잔액시산표" localSheetId="17">#REF!</definedName>
    <definedName name="합계잔액시산표" localSheetId="22">#REF!</definedName>
    <definedName name="합계잔액시산표" localSheetId="23">#REF!</definedName>
    <definedName name="합계잔액시산표" localSheetId="9">#REF!</definedName>
    <definedName name="합계잔액시산표" localSheetId="24">#REF!</definedName>
    <definedName name="합계잔액시산표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2" l="1"/>
  <c r="F14" i="32" s="1"/>
  <c r="E12" i="32"/>
  <c r="E14" i="32" s="1"/>
  <c r="D12" i="32"/>
  <c r="D14" i="32" s="1"/>
  <c r="C12" i="32"/>
  <c r="C14" i="32" s="1"/>
  <c r="F11" i="32"/>
  <c r="F13" i="32" s="1"/>
  <c r="E11" i="32"/>
  <c r="E13" i="32" s="1"/>
  <c r="D11" i="32"/>
  <c r="D13" i="32" s="1"/>
  <c r="C11" i="32"/>
  <c r="C13" i="32" s="1"/>
  <c r="F31" i="31" l="1"/>
  <c r="E31" i="31"/>
  <c r="D31" i="31"/>
  <c r="C31" i="31"/>
  <c r="F30" i="31"/>
  <c r="E30" i="31"/>
  <c r="D30" i="31"/>
  <c r="C30" i="31"/>
  <c r="F29" i="31"/>
  <c r="E29" i="31"/>
  <c r="D29" i="31"/>
  <c r="C29" i="31"/>
  <c r="F28" i="31"/>
  <c r="E28" i="31"/>
  <c r="D28" i="31"/>
  <c r="C28" i="31"/>
  <c r="F27" i="31"/>
  <c r="E27" i="31"/>
  <c r="D27" i="31"/>
  <c r="C27" i="31"/>
  <c r="F26" i="31"/>
  <c r="E26" i="31"/>
  <c r="D26" i="31"/>
  <c r="F25" i="31"/>
  <c r="E25" i="31"/>
  <c r="D25" i="31"/>
  <c r="C25" i="31"/>
  <c r="F24" i="31"/>
  <c r="F21" i="31" s="1"/>
  <c r="E24" i="31"/>
  <c r="D24" i="31"/>
  <c r="C24" i="31"/>
  <c r="F23" i="31"/>
  <c r="E23" i="31"/>
  <c r="D23" i="31"/>
  <c r="C23" i="31"/>
  <c r="F22" i="31"/>
  <c r="E22" i="31"/>
  <c r="D22" i="31"/>
  <c r="C22" i="31"/>
  <c r="C21" i="31" s="1"/>
  <c r="E21" i="31"/>
  <c r="D21" i="31"/>
  <c r="F16" i="31"/>
  <c r="E16" i="31"/>
  <c r="D16" i="31"/>
  <c r="C16" i="31"/>
  <c r="F15" i="31"/>
  <c r="E15" i="31"/>
  <c r="D15" i="31"/>
  <c r="C15" i="31"/>
  <c r="F14" i="31"/>
  <c r="F12" i="31" s="1"/>
  <c r="E14" i="31"/>
  <c r="E12" i="31" s="1"/>
  <c r="D14" i="31"/>
  <c r="D12" i="31" s="1"/>
  <c r="C14" i="31"/>
  <c r="C12" i="31" s="1"/>
  <c r="F13" i="31"/>
  <c r="E13" i="31"/>
  <c r="D13" i="31"/>
  <c r="F11" i="31"/>
  <c r="E11" i="31"/>
  <c r="D11" i="31"/>
  <c r="C11" i="31"/>
  <c r="F10" i="31"/>
  <c r="E10" i="31"/>
  <c r="D10" i="31"/>
  <c r="C10" i="31"/>
  <c r="C9" i="31" s="1"/>
  <c r="F9" i="31"/>
  <c r="E9" i="31"/>
  <c r="D9" i="31"/>
  <c r="F8" i="31"/>
  <c r="E8" i="31"/>
  <c r="D8" i="31"/>
  <c r="C8" i="31"/>
  <c r="F7" i="31"/>
  <c r="E7" i="31"/>
  <c r="D7" i="31"/>
  <c r="C7" i="31"/>
  <c r="F6" i="31"/>
  <c r="E6" i="31"/>
  <c r="E5" i="31" s="1"/>
  <c r="D6" i="31"/>
  <c r="D5" i="31" s="1"/>
  <c r="C6" i="31"/>
  <c r="C5" i="31" s="1"/>
  <c r="F5" i="31"/>
  <c r="D5" i="18" l="1"/>
  <c r="D4" i="18"/>
  <c r="F13" i="15"/>
  <c r="E16" i="15"/>
  <c r="E15" i="15"/>
  <c r="E14" i="15"/>
  <c r="E13" i="15"/>
  <c r="D16" i="15"/>
  <c r="D15" i="15"/>
  <c r="D14" i="15"/>
  <c r="D13" i="15"/>
  <c r="C13" i="15"/>
  <c r="C16" i="15"/>
  <c r="C15" i="15"/>
  <c r="C14" i="15"/>
  <c r="D15" i="14" l="1"/>
  <c r="F12" i="14"/>
  <c r="E96" i="21"/>
  <c r="D96" i="21"/>
  <c r="B96" i="21"/>
  <c r="E95" i="21"/>
  <c r="D95" i="21"/>
  <c r="E97" i="21"/>
  <c r="D97" i="21"/>
  <c r="C97" i="21"/>
  <c r="C96" i="21"/>
  <c r="C95" i="21"/>
  <c r="B97" i="21"/>
  <c r="B95" i="21"/>
  <c r="J6" i="20" l="1"/>
  <c r="J3" i="20"/>
  <c r="J11" i="20" s="1"/>
  <c r="F34" i="28"/>
  <c r="E34" i="28"/>
  <c r="C34" i="28"/>
  <c r="F33" i="28"/>
  <c r="E33" i="28"/>
  <c r="C33" i="28"/>
  <c r="C29" i="28"/>
  <c r="G21" i="28"/>
  <c r="F10" i="27"/>
  <c r="E10" i="27"/>
  <c r="D10" i="27"/>
  <c r="C10" i="27"/>
  <c r="F9" i="27"/>
  <c r="E9" i="27"/>
  <c r="D9" i="27"/>
  <c r="C9" i="27"/>
  <c r="F8" i="27"/>
  <c r="E8" i="27"/>
  <c r="D8" i="27"/>
  <c r="C8" i="27"/>
  <c r="F7" i="27"/>
  <c r="E7" i="27"/>
  <c r="D7" i="27"/>
  <c r="D5" i="27" s="1"/>
  <c r="C7" i="27"/>
  <c r="F6" i="27"/>
  <c r="E6" i="27"/>
  <c r="D6" i="27"/>
  <c r="C6" i="27"/>
  <c r="F32" i="26"/>
  <c r="E32" i="26"/>
  <c r="D32" i="26"/>
  <c r="C32" i="26"/>
  <c r="F31" i="26"/>
  <c r="F29" i="26" s="1"/>
  <c r="F33" i="26" s="1"/>
  <c r="E31" i="26"/>
  <c r="E29" i="26" s="1"/>
  <c r="E33" i="26" s="1"/>
  <c r="D31" i="26"/>
  <c r="D29" i="26" s="1"/>
  <c r="D33" i="26" s="1"/>
  <c r="C31" i="26"/>
  <c r="C29" i="26" s="1"/>
  <c r="C33" i="26" s="1"/>
  <c r="F30" i="26"/>
  <c r="E30" i="26"/>
  <c r="D30" i="26"/>
  <c r="C30" i="26"/>
  <c r="F23" i="26"/>
  <c r="E23" i="26"/>
  <c r="D23" i="26"/>
  <c r="C23" i="26"/>
  <c r="F22" i="26"/>
  <c r="E22" i="26"/>
  <c r="D22" i="26"/>
  <c r="C22" i="26"/>
  <c r="F21" i="26"/>
  <c r="E21" i="26"/>
  <c r="D21" i="26"/>
  <c r="C21" i="26"/>
  <c r="F20" i="26"/>
  <c r="E20" i="26"/>
  <c r="D20" i="26"/>
  <c r="C20" i="26"/>
  <c r="F19" i="26"/>
  <c r="F18" i="26" s="1"/>
  <c r="E19" i="26"/>
  <c r="E18" i="26" s="1"/>
  <c r="D19" i="26"/>
  <c r="C19" i="26"/>
  <c r="C18" i="26" s="1"/>
  <c r="F17" i="26"/>
  <c r="E17" i="26"/>
  <c r="D17" i="26"/>
  <c r="C17" i="26"/>
  <c r="F16" i="26"/>
  <c r="E16" i="26"/>
  <c r="D16" i="26"/>
  <c r="C16" i="26"/>
  <c r="C15" i="26" s="1"/>
  <c r="F15" i="26"/>
  <c r="E15" i="26"/>
  <c r="D15" i="26"/>
  <c r="F14" i="26"/>
  <c r="E14" i="26"/>
  <c r="D14" i="26"/>
  <c r="C14" i="26"/>
  <c r="F13" i="26"/>
  <c r="E13" i="26"/>
  <c r="D13" i="26"/>
  <c r="C13" i="26"/>
  <c r="F12" i="26"/>
  <c r="E12" i="26"/>
  <c r="E11" i="26" s="1"/>
  <c r="D12" i="26"/>
  <c r="D11" i="26" s="1"/>
  <c r="C12" i="26"/>
  <c r="C11" i="26" s="1"/>
  <c r="F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F5" i="26"/>
  <c r="E5" i="26"/>
  <c r="D5" i="26"/>
  <c r="C5" i="26"/>
  <c r="F4" i="26"/>
  <c r="E4" i="26"/>
  <c r="D4" i="26"/>
  <c r="C4" i="26"/>
  <c r="E15" i="25"/>
  <c r="D15" i="25"/>
  <c r="M6" i="25" s="1"/>
  <c r="L6" i="25" s="1"/>
  <c r="E14" i="25"/>
  <c r="D14" i="25"/>
  <c r="M5" i="25" s="1"/>
  <c r="L5" i="25" s="1"/>
  <c r="M8" i="25"/>
  <c r="L8" i="25" s="1"/>
  <c r="H7" i="25"/>
  <c r="F7" i="25"/>
  <c r="E7" i="25"/>
  <c r="D7" i="25"/>
  <c r="K4" i="25" s="1"/>
  <c r="N4" i="25" s="1"/>
  <c r="G6" i="25"/>
  <c r="F15" i="25" s="1"/>
  <c r="M12" i="25" s="1"/>
  <c r="L12" i="25" s="1"/>
  <c r="G5" i="25"/>
  <c r="F14" i="25" s="1"/>
  <c r="E17" i="24"/>
  <c r="M13" i="24" s="1"/>
  <c r="L13" i="24" s="1"/>
  <c r="D17" i="24"/>
  <c r="E16" i="24"/>
  <c r="M12" i="24" s="1"/>
  <c r="L12" i="24" s="1"/>
  <c r="D16" i="24"/>
  <c r="E15" i="24"/>
  <c r="M11" i="24" s="1"/>
  <c r="L11" i="24" s="1"/>
  <c r="D15" i="24"/>
  <c r="M6" i="24" s="1"/>
  <c r="L6" i="24" s="1"/>
  <c r="E14" i="24"/>
  <c r="M10" i="24" s="1"/>
  <c r="L10" i="24" s="1"/>
  <c r="D14" i="24"/>
  <c r="D18" i="24" s="1"/>
  <c r="F9" i="24"/>
  <c r="E9" i="24"/>
  <c r="D9" i="24"/>
  <c r="K4" i="24" s="1"/>
  <c r="M8" i="24"/>
  <c r="L8" i="24" s="1"/>
  <c r="G8" i="24"/>
  <c r="F17" i="24" s="1"/>
  <c r="M18" i="24" s="1"/>
  <c r="L18" i="24" s="1"/>
  <c r="M7" i="24"/>
  <c r="L7" i="24" s="1"/>
  <c r="G7" i="24"/>
  <c r="F16" i="24" s="1"/>
  <c r="M17" i="24" s="1"/>
  <c r="L17" i="24" s="1"/>
  <c r="G6" i="24"/>
  <c r="F15" i="24" s="1"/>
  <c r="M16" i="24" s="1"/>
  <c r="L16" i="24" s="1"/>
  <c r="G5" i="24"/>
  <c r="F14" i="24" s="1"/>
  <c r="G42" i="23"/>
  <c r="F42" i="23"/>
  <c r="E42" i="23"/>
  <c r="D42" i="23"/>
  <c r="C42" i="23"/>
  <c r="D14" i="23"/>
  <c r="H6" i="23"/>
  <c r="G6" i="23" s="1"/>
  <c r="F6" i="23"/>
  <c r="E15" i="23" s="1"/>
  <c r="M9" i="23" s="1"/>
  <c r="L9" i="23" s="1"/>
  <c r="E6" i="23"/>
  <c r="D6" i="23"/>
  <c r="H5" i="23"/>
  <c r="F5" i="23"/>
  <c r="E5" i="23"/>
  <c r="D5" i="23"/>
  <c r="N4" i="24" l="1"/>
  <c r="N5" i="24" s="1"/>
  <c r="O5" i="24" s="1"/>
  <c r="K5" i="24" s="1"/>
  <c r="M4" i="24"/>
  <c r="M5" i="24"/>
  <c r="L5" i="24" s="1"/>
  <c r="C5" i="27"/>
  <c r="E7" i="23"/>
  <c r="E16" i="25"/>
  <c r="E17" i="25" s="1"/>
  <c r="E5" i="27"/>
  <c r="F7" i="23"/>
  <c r="F5" i="27"/>
  <c r="H7" i="23"/>
  <c r="I5" i="25"/>
  <c r="I6" i="25"/>
  <c r="E24" i="26"/>
  <c r="D15" i="23"/>
  <c r="M6" i="23" s="1"/>
  <c r="L6" i="23" s="1"/>
  <c r="F15" i="23"/>
  <c r="M12" i="23" s="1"/>
  <c r="L12" i="23" s="1"/>
  <c r="E18" i="24"/>
  <c r="G7" i="25"/>
  <c r="D18" i="26"/>
  <c r="F24" i="26"/>
  <c r="D7" i="23"/>
  <c r="K4" i="23" s="1"/>
  <c r="E19" i="24"/>
  <c r="C24" i="26"/>
  <c r="D24" i="26"/>
  <c r="E35" i="28"/>
  <c r="F35" i="28"/>
  <c r="G34" i="28"/>
  <c r="H34" i="28" s="1"/>
  <c r="K8" i="20"/>
  <c r="K5" i="20"/>
  <c r="K7" i="20"/>
  <c r="K4" i="20"/>
  <c r="K10" i="20"/>
  <c r="K9" i="20"/>
  <c r="G33" i="28"/>
  <c r="D19" i="24"/>
  <c r="N5" i="25"/>
  <c r="M15" i="24"/>
  <c r="L15" i="24" s="1"/>
  <c r="F18" i="24"/>
  <c r="M4" i="23"/>
  <c r="N4" i="23"/>
  <c r="M11" i="25"/>
  <c r="L11" i="25" s="1"/>
  <c r="F16" i="25"/>
  <c r="F17" i="25" s="1"/>
  <c r="N6" i="24"/>
  <c r="G5" i="23"/>
  <c r="M5" i="23"/>
  <c r="L5" i="23" s="1"/>
  <c r="E14" i="23"/>
  <c r="I5" i="24"/>
  <c r="M4" i="25"/>
  <c r="M9" i="25"/>
  <c r="L9" i="25" s="1"/>
  <c r="G9" i="24"/>
  <c r="I7" i="25"/>
  <c r="D16" i="25"/>
  <c r="D17" i="25" s="1"/>
  <c r="D16" i="23" l="1"/>
  <c r="D17" i="23" s="1"/>
  <c r="K3" i="20"/>
  <c r="K6" i="20"/>
  <c r="G35" i="28"/>
  <c r="H33" i="28"/>
  <c r="H35" i="28" s="1"/>
  <c r="F14" i="23"/>
  <c r="G7" i="23"/>
  <c r="F19" i="24"/>
  <c r="E16" i="23"/>
  <c r="E17" i="23" s="1"/>
  <c r="M8" i="23"/>
  <c r="L8" i="23" s="1"/>
  <c r="N7" i="24"/>
  <c r="O6" i="24"/>
  <c r="K6" i="24" s="1"/>
  <c r="N5" i="23"/>
  <c r="N6" i="25"/>
  <c r="O5" i="25"/>
  <c r="K5" i="25" s="1"/>
  <c r="K11" i="20" l="1"/>
  <c r="N8" i="24"/>
  <c r="O7" i="24"/>
  <c r="K7" i="24" s="1"/>
  <c r="N7" i="25"/>
  <c r="O6" i="25"/>
  <c r="K6" i="25" s="1"/>
  <c r="F16" i="23"/>
  <c r="F17" i="23" s="1"/>
  <c r="M11" i="23"/>
  <c r="L11" i="23" s="1"/>
  <c r="O5" i="23"/>
  <c r="K5" i="23" s="1"/>
  <c r="N6" i="23"/>
  <c r="O6" i="23" l="1"/>
  <c r="K6" i="23" s="1"/>
  <c r="N7" i="23"/>
  <c r="N9" i="24"/>
  <c r="O8" i="24"/>
  <c r="K8" i="24" s="1"/>
  <c r="N8" i="25"/>
  <c r="O7" i="25"/>
  <c r="K7" i="25" s="1"/>
  <c r="N8" i="23" l="1"/>
  <c r="O7" i="23"/>
  <c r="K7" i="23" s="1"/>
  <c r="N9" i="25"/>
  <c r="O8" i="25"/>
  <c r="K8" i="25" s="1"/>
  <c r="N10" i="24"/>
  <c r="O9" i="24"/>
  <c r="K9" i="24" s="1"/>
  <c r="O9" i="25" l="1"/>
  <c r="K9" i="25" s="1"/>
  <c r="N10" i="25"/>
  <c r="N11" i="24"/>
  <c r="O10" i="24"/>
  <c r="K10" i="24" s="1"/>
  <c r="N9" i="23"/>
  <c r="O8" i="23"/>
  <c r="K8" i="23" s="1"/>
  <c r="N12" i="24" l="1"/>
  <c r="O11" i="24"/>
  <c r="K11" i="24" s="1"/>
  <c r="O9" i="23"/>
  <c r="K9" i="23" s="1"/>
  <c r="N10" i="23"/>
  <c r="N11" i="25"/>
  <c r="O10" i="25"/>
  <c r="K10" i="25" s="1"/>
  <c r="N12" i="25" l="1"/>
  <c r="O11" i="25"/>
  <c r="K11" i="25" s="1"/>
  <c r="N13" i="24"/>
  <c r="O12" i="24"/>
  <c r="K12" i="24" s="1"/>
  <c r="N11" i="23"/>
  <c r="O10" i="23"/>
  <c r="K10" i="23" s="1"/>
  <c r="N12" i="23" l="1"/>
  <c r="O11" i="23"/>
  <c r="K11" i="23" s="1"/>
  <c r="N13" i="25"/>
  <c r="O13" i="25" s="1"/>
  <c r="K13" i="25" s="1"/>
  <c r="O12" i="25"/>
  <c r="K12" i="25" s="1"/>
  <c r="O13" i="24"/>
  <c r="K13" i="24" s="1"/>
  <c r="N14" i="24"/>
  <c r="N13" i="23" l="1"/>
  <c r="O13" i="23" s="1"/>
  <c r="K13" i="23" s="1"/>
  <c r="O12" i="23"/>
  <c r="K12" i="23" s="1"/>
  <c r="N15" i="24"/>
  <c r="O14" i="24"/>
  <c r="K14" i="24" s="1"/>
  <c r="N16" i="24" l="1"/>
  <c r="O15" i="24"/>
  <c r="K15" i="24" s="1"/>
  <c r="N17" i="24" l="1"/>
  <c r="O16" i="24"/>
  <c r="K16" i="24" s="1"/>
  <c r="O17" i="24" l="1"/>
  <c r="K17" i="24" s="1"/>
  <c r="N18" i="24"/>
  <c r="N19" i="24" l="1"/>
  <c r="O19" i="24" s="1"/>
  <c r="K19" i="24" s="1"/>
  <c r="O18" i="24"/>
  <c r="K18" i="24" s="1"/>
  <c r="D57" i="21" l="1"/>
  <c r="C57" i="21"/>
  <c r="B57" i="21"/>
  <c r="E44" i="21"/>
  <c r="E48" i="21" s="1"/>
  <c r="E49" i="21" s="1"/>
  <c r="D44" i="21"/>
  <c r="D48" i="21" s="1"/>
  <c r="D49" i="21" s="1"/>
  <c r="C44" i="21"/>
  <c r="C48" i="21" s="1"/>
  <c r="C49" i="21" s="1"/>
  <c r="B44" i="21"/>
  <c r="B48" i="21" s="1"/>
  <c r="B49" i="21" s="1"/>
  <c r="I43" i="21"/>
  <c r="H43" i="21"/>
  <c r="G43" i="21"/>
  <c r="F43" i="21"/>
  <c r="I32" i="21"/>
  <c r="H32" i="21"/>
  <c r="G32" i="21"/>
  <c r="F32" i="21"/>
  <c r="I31" i="21"/>
  <c r="H31" i="21"/>
  <c r="G31" i="21"/>
  <c r="F31" i="21"/>
  <c r="I30" i="21"/>
  <c r="H30" i="21"/>
  <c r="G30" i="21"/>
  <c r="F30" i="21"/>
  <c r="E29" i="21"/>
  <c r="D29" i="21"/>
  <c r="C29" i="21"/>
  <c r="B29" i="21"/>
  <c r="I28" i="21"/>
  <c r="H28" i="21"/>
  <c r="G28" i="21"/>
  <c r="F28" i="21"/>
  <c r="E24" i="21"/>
  <c r="D24" i="21"/>
  <c r="C24" i="21"/>
  <c r="B24" i="21"/>
  <c r="I20" i="21"/>
  <c r="H20" i="21"/>
  <c r="G20" i="21"/>
  <c r="F20" i="21"/>
  <c r="E19" i="21"/>
  <c r="I19" i="21" s="1"/>
  <c r="D19" i="21"/>
  <c r="H19" i="21" s="1"/>
  <c r="C19" i="21"/>
  <c r="G19" i="21" s="1"/>
  <c r="B19" i="21"/>
  <c r="F19" i="21" s="1"/>
  <c r="I18" i="21"/>
  <c r="H18" i="21"/>
  <c r="G18" i="21"/>
  <c r="F18" i="21"/>
  <c r="I11" i="21"/>
  <c r="H11" i="21"/>
  <c r="G11" i="21"/>
  <c r="F11" i="21"/>
  <c r="I10" i="21"/>
  <c r="H10" i="21"/>
  <c r="G10" i="21"/>
  <c r="F10" i="21"/>
  <c r="E4" i="21"/>
  <c r="E17" i="21" s="1"/>
  <c r="D4" i="21"/>
  <c r="D17" i="21" s="1"/>
  <c r="C4" i="21"/>
  <c r="C17" i="21" s="1"/>
  <c r="B4" i="21"/>
  <c r="B17" i="21" s="1"/>
  <c r="E27" i="21" l="1"/>
  <c r="I17" i="21"/>
  <c r="B27" i="21"/>
  <c r="F17" i="21"/>
  <c r="C27" i="21"/>
  <c r="G17" i="21"/>
  <c r="D27" i="21"/>
  <c r="H17" i="21"/>
  <c r="I4" i="21"/>
  <c r="F4" i="21"/>
  <c r="G4" i="21"/>
  <c r="H4" i="21"/>
  <c r="F8" i="18"/>
  <c r="E8" i="18"/>
  <c r="C8" i="18"/>
  <c r="B8" i="18"/>
  <c r="G7" i="18"/>
  <c r="D7" i="18"/>
  <c r="G6" i="18"/>
  <c r="D6" i="18"/>
  <c r="G5" i="18"/>
  <c r="G4" i="18"/>
  <c r="D34" i="17"/>
  <c r="F32" i="17"/>
  <c r="E32" i="17"/>
  <c r="C32" i="17"/>
  <c r="D32" i="17" s="1"/>
  <c r="B32" i="17"/>
  <c r="G31" i="17"/>
  <c r="D31" i="17"/>
  <c r="G30" i="17"/>
  <c r="D30" i="17"/>
  <c r="G29" i="17"/>
  <c r="D29" i="17"/>
  <c r="G28" i="17"/>
  <c r="D28" i="17"/>
  <c r="L19" i="17"/>
  <c r="K19" i="17"/>
  <c r="J19" i="17"/>
  <c r="I19" i="17"/>
  <c r="L18" i="17"/>
  <c r="K18" i="17"/>
  <c r="J18" i="17"/>
  <c r="I18" i="17"/>
  <c r="L17" i="17"/>
  <c r="K17" i="17"/>
  <c r="J17" i="17"/>
  <c r="I17" i="17"/>
  <c r="L16" i="17"/>
  <c r="L20" i="17" s="1"/>
  <c r="L21" i="17" s="1"/>
  <c r="K16" i="17"/>
  <c r="K20" i="17" s="1"/>
  <c r="K21" i="17" s="1"/>
  <c r="J16" i="17"/>
  <c r="J20" i="17" s="1"/>
  <c r="J21" i="17" s="1"/>
  <c r="I16" i="17"/>
  <c r="F16" i="17"/>
  <c r="E16" i="17"/>
  <c r="D16" i="17"/>
  <c r="C16" i="17"/>
  <c r="L15" i="17"/>
  <c r="K15" i="17"/>
  <c r="J15" i="17"/>
  <c r="I15" i="17"/>
  <c r="F15" i="17"/>
  <c r="F37" i="17" s="1"/>
  <c r="E15" i="17"/>
  <c r="E12" i="17" s="1"/>
  <c r="D15" i="17"/>
  <c r="D37" i="17" s="1"/>
  <c r="C15" i="17"/>
  <c r="L14" i="17"/>
  <c r="K14" i="17"/>
  <c r="J14" i="17"/>
  <c r="I14" i="17"/>
  <c r="L10" i="17"/>
  <c r="K10" i="17"/>
  <c r="J10" i="17"/>
  <c r="I10" i="17"/>
  <c r="F10" i="17"/>
  <c r="E10" i="17"/>
  <c r="D10" i="17"/>
  <c r="C10" i="17"/>
  <c r="L9" i="17"/>
  <c r="K9" i="17"/>
  <c r="J9" i="17"/>
  <c r="I9" i="17"/>
  <c r="F7" i="17"/>
  <c r="E7" i="17"/>
  <c r="D7" i="17"/>
  <c r="C7" i="17"/>
  <c r="I25" i="16"/>
  <c r="H25" i="16"/>
  <c r="G25" i="16"/>
  <c r="F25" i="16"/>
  <c r="E25" i="16"/>
  <c r="I24" i="16"/>
  <c r="H24" i="16"/>
  <c r="G24" i="16"/>
  <c r="F24" i="16"/>
  <c r="E24" i="16"/>
  <c r="G22" i="16"/>
  <c r="F22" i="16"/>
  <c r="E22" i="16"/>
  <c r="E8" i="16" s="1"/>
  <c r="I21" i="16"/>
  <c r="H21" i="16"/>
  <c r="G21" i="16"/>
  <c r="F21" i="16"/>
  <c r="F23" i="16" s="1"/>
  <c r="E21" i="16"/>
  <c r="D21" i="16"/>
  <c r="E7" i="16" s="1"/>
  <c r="C21" i="16"/>
  <c r="I20" i="16"/>
  <c r="H20" i="16"/>
  <c r="G20" i="16"/>
  <c r="F20" i="16"/>
  <c r="F6" i="16" s="1"/>
  <c r="F16" i="16" s="1"/>
  <c r="E20" i="16"/>
  <c r="D20" i="16"/>
  <c r="D6" i="16" s="1"/>
  <c r="D9" i="16" s="1"/>
  <c r="D11" i="16" s="1"/>
  <c r="C20" i="16"/>
  <c r="C23" i="16" s="1"/>
  <c r="H8" i="16"/>
  <c r="H30" i="16" s="1"/>
  <c r="F8" i="16"/>
  <c r="D8" i="16"/>
  <c r="H7" i="16"/>
  <c r="H29" i="16" s="1"/>
  <c r="F7" i="16"/>
  <c r="F18" i="16" s="1"/>
  <c r="D7" i="16"/>
  <c r="C18" i="17" l="1"/>
  <c r="F15" i="16"/>
  <c r="D36" i="17"/>
  <c r="C37" i="17"/>
  <c r="E23" i="16"/>
  <c r="F12" i="17"/>
  <c r="F19" i="17" s="1"/>
  <c r="D19" i="17"/>
  <c r="E19" i="17"/>
  <c r="H23" i="16"/>
  <c r="D18" i="17"/>
  <c r="D35" i="17"/>
  <c r="C35" i="17"/>
  <c r="E18" i="17"/>
  <c r="C36" i="17"/>
  <c r="I7" i="16"/>
  <c r="I14" i="16" s="1"/>
  <c r="C12" i="17"/>
  <c r="G8" i="16"/>
  <c r="G30" i="16" s="1"/>
  <c r="D12" i="17"/>
  <c r="C19" i="17"/>
  <c r="G23" i="16"/>
  <c r="I23" i="16"/>
  <c r="H6" i="16"/>
  <c r="H28" i="16" s="1"/>
  <c r="I20" i="17"/>
  <c r="I21" i="17" s="1"/>
  <c r="G32" i="17"/>
  <c r="C34" i="17"/>
  <c r="C33" i="21"/>
  <c r="G27" i="21"/>
  <c r="B33" i="21"/>
  <c r="F27" i="21"/>
  <c r="D33" i="21"/>
  <c r="H27" i="21"/>
  <c r="E33" i="21"/>
  <c r="I27" i="21"/>
  <c r="D8" i="18"/>
  <c r="G8" i="18"/>
  <c r="E34" i="17"/>
  <c r="E35" i="17"/>
  <c r="E36" i="17"/>
  <c r="E37" i="17"/>
  <c r="F18" i="17"/>
  <c r="F34" i="17"/>
  <c r="F35" i="17"/>
  <c r="F36" i="17"/>
  <c r="E18" i="16"/>
  <c r="E17" i="16"/>
  <c r="E29" i="16"/>
  <c r="E14" i="16"/>
  <c r="G15" i="16"/>
  <c r="E15" i="16"/>
  <c r="E30" i="16"/>
  <c r="F9" i="16"/>
  <c r="F13" i="16"/>
  <c r="H15" i="16"/>
  <c r="D23" i="16"/>
  <c r="E6" i="16"/>
  <c r="I6" i="16"/>
  <c r="G7" i="16"/>
  <c r="I8" i="16"/>
  <c r="I15" i="16" s="1"/>
  <c r="F14" i="16"/>
  <c r="H16" i="16"/>
  <c r="H17" i="16"/>
  <c r="H18" i="16"/>
  <c r="F28" i="16"/>
  <c r="F29" i="16"/>
  <c r="F30" i="16"/>
  <c r="H9" i="16"/>
  <c r="H13" i="16"/>
  <c r="G6" i="16"/>
  <c r="H14" i="16"/>
  <c r="F17" i="16"/>
  <c r="E64" i="21" l="1"/>
  <c r="E34" i="21"/>
  <c r="E62" i="21" s="1"/>
  <c r="I33" i="21"/>
  <c r="B34" i="21"/>
  <c r="B62" i="21" s="1"/>
  <c r="F33" i="21"/>
  <c r="B64" i="21"/>
  <c r="D34" i="21"/>
  <c r="D62" i="21" s="1"/>
  <c r="H33" i="21"/>
  <c r="D64" i="21"/>
  <c r="C34" i="21"/>
  <c r="C62" i="21" s="1"/>
  <c r="G33" i="21"/>
  <c r="C64" i="21"/>
  <c r="G29" i="16"/>
  <c r="G14" i="16"/>
  <c r="G18" i="16"/>
  <c r="G17" i="16"/>
  <c r="H31" i="16"/>
  <c r="H11" i="16"/>
  <c r="H32" i="16" s="1"/>
  <c r="G28" i="16"/>
  <c r="G13" i="16"/>
  <c r="G9" i="16"/>
  <c r="G16" i="16"/>
  <c r="I13" i="16"/>
  <c r="I9" i="16"/>
  <c r="E13" i="16"/>
  <c r="E9" i="16"/>
  <c r="E16" i="16"/>
  <c r="E28" i="16"/>
  <c r="F11" i="16"/>
  <c r="F32" i="16" s="1"/>
  <c r="F31" i="16"/>
  <c r="F10" i="16"/>
  <c r="E11" i="16" l="1"/>
  <c r="E32" i="16" s="1"/>
  <c r="E31" i="16"/>
  <c r="E10" i="16"/>
  <c r="G31" i="16"/>
  <c r="G10" i="16"/>
  <c r="G11" i="16"/>
  <c r="G32" i="16" s="1"/>
  <c r="H10" i="16"/>
  <c r="I11" i="16"/>
  <c r="I10" i="16"/>
  <c r="F16" i="15" l="1"/>
  <c r="F15" i="15"/>
  <c r="F14" i="15"/>
  <c r="F12" i="15"/>
  <c r="E12" i="15"/>
  <c r="D12" i="15"/>
  <c r="C12" i="15"/>
  <c r="F7" i="15"/>
  <c r="E7" i="15"/>
  <c r="D7" i="15"/>
  <c r="C7" i="15"/>
  <c r="F6" i="15"/>
  <c r="E6" i="15"/>
  <c r="D6" i="15"/>
  <c r="C6" i="15"/>
  <c r="G66" i="14"/>
  <c r="F66" i="14"/>
  <c r="D66" i="14"/>
  <c r="E66" i="14" s="1"/>
  <c r="C66" i="14"/>
  <c r="H65" i="14"/>
  <c r="E65" i="14"/>
  <c r="H64" i="14"/>
  <c r="E64" i="14"/>
  <c r="H63" i="14"/>
  <c r="E63" i="14"/>
  <c r="H62" i="14"/>
  <c r="E62" i="14"/>
  <c r="G34" i="14"/>
  <c r="F34" i="14"/>
  <c r="E34" i="14"/>
  <c r="D34" i="14"/>
  <c r="G33" i="14"/>
  <c r="G35" i="14" s="1"/>
  <c r="F33" i="14"/>
  <c r="F35" i="14" s="1"/>
  <c r="E33" i="14"/>
  <c r="E35" i="14" s="1"/>
  <c r="D33" i="14"/>
  <c r="G31" i="14"/>
  <c r="F31" i="14"/>
  <c r="E31" i="14"/>
  <c r="D31" i="14"/>
  <c r="G30" i="14"/>
  <c r="F30" i="14"/>
  <c r="E30" i="14"/>
  <c r="D30" i="14"/>
  <c r="G29" i="14"/>
  <c r="F29" i="14"/>
  <c r="E29" i="14"/>
  <c r="D29" i="14"/>
  <c r="G28" i="14"/>
  <c r="G32" i="14" s="1"/>
  <c r="G36" i="14" s="1"/>
  <c r="F28" i="14"/>
  <c r="E28" i="14"/>
  <c r="D28" i="14"/>
  <c r="G19" i="14"/>
  <c r="F19" i="14"/>
  <c r="E19" i="14"/>
  <c r="D19" i="14"/>
  <c r="G18" i="14"/>
  <c r="G22" i="14" s="1"/>
  <c r="F18" i="14"/>
  <c r="F22" i="14" s="1"/>
  <c r="E18" i="14"/>
  <c r="E22" i="14" s="1"/>
  <c r="D18" i="14"/>
  <c r="D22" i="14" s="1"/>
  <c r="G17" i="14"/>
  <c r="F17" i="14"/>
  <c r="E17" i="14"/>
  <c r="D17" i="14"/>
  <c r="G15" i="14"/>
  <c r="F15" i="14"/>
  <c r="E15" i="14"/>
  <c r="G12" i="14"/>
  <c r="E12" i="14"/>
  <c r="D12" i="14"/>
  <c r="G9" i="14"/>
  <c r="F9" i="14"/>
  <c r="E9" i="14"/>
  <c r="D9" i="14"/>
  <c r="D20" i="14" s="1"/>
  <c r="H6" i="14"/>
  <c r="D23" i="15" l="1"/>
  <c r="D17" i="15"/>
  <c r="E20" i="14"/>
  <c r="E32" i="14"/>
  <c r="E36" i="14" s="1"/>
  <c r="C17" i="15"/>
  <c r="C23" i="15" s="1"/>
  <c r="E17" i="15"/>
  <c r="E23" i="15" s="1"/>
  <c r="G20" i="14"/>
  <c r="G37" i="14" s="1"/>
  <c r="D32" i="14"/>
  <c r="F32" i="14"/>
  <c r="F36" i="14" s="1"/>
  <c r="D35" i="14"/>
  <c r="F17" i="15"/>
  <c r="F23" i="15" s="1"/>
  <c r="F20" i="14"/>
  <c r="H66" i="14"/>
  <c r="E19" i="15"/>
  <c r="E20" i="15"/>
  <c r="E21" i="15"/>
  <c r="E22" i="15"/>
  <c r="F19" i="15"/>
  <c r="F20" i="15"/>
  <c r="F21" i="15"/>
  <c r="F22" i="15"/>
  <c r="C19" i="15"/>
  <c r="C20" i="15"/>
  <c r="C21" i="15"/>
  <c r="C22" i="15"/>
  <c r="D19" i="15"/>
  <c r="D20" i="15"/>
  <c r="D21" i="15"/>
  <c r="D22" i="15"/>
  <c r="C52" i="12"/>
  <c r="E51" i="12"/>
  <c r="D51" i="12"/>
  <c r="E50" i="12"/>
  <c r="D50" i="12"/>
  <c r="D52" i="12" s="1"/>
  <c r="C50" i="12"/>
  <c r="E48" i="12"/>
  <c r="E47" i="12"/>
  <c r="D47" i="12"/>
  <c r="C47" i="12"/>
  <c r="E45" i="12"/>
  <c r="E44" i="12"/>
  <c r="D44" i="12"/>
  <c r="C44" i="12"/>
  <c r="C46" i="12" s="1"/>
  <c r="E42" i="12"/>
  <c r="D42" i="12"/>
  <c r="C42" i="12"/>
  <c r="E41" i="12"/>
  <c r="D41" i="12"/>
  <c r="C41" i="12"/>
  <c r="E38" i="12"/>
  <c r="E37" i="12"/>
  <c r="D37" i="12"/>
  <c r="E36" i="12"/>
  <c r="D36" i="12"/>
  <c r="E35" i="12"/>
  <c r="D35" i="12"/>
  <c r="C35" i="12"/>
  <c r="C39" i="12" s="1"/>
  <c r="D28" i="12"/>
  <c r="C28" i="12"/>
  <c r="E27" i="12"/>
  <c r="D27" i="12"/>
  <c r="C27" i="12"/>
  <c r="E26" i="12"/>
  <c r="E28" i="12" s="1"/>
  <c r="E18" i="12"/>
  <c r="D18" i="12"/>
  <c r="C18" i="12"/>
  <c r="E17" i="12"/>
  <c r="D17" i="12"/>
  <c r="C17" i="12"/>
  <c r="E16" i="12"/>
  <c r="D16" i="12"/>
  <c r="C16" i="12"/>
  <c r="E15" i="12"/>
  <c r="E19" i="12" s="1"/>
  <c r="D15" i="12"/>
  <c r="C15" i="12"/>
  <c r="E10" i="12"/>
  <c r="E9" i="12"/>
  <c r="D9" i="12"/>
  <c r="E8" i="12"/>
  <c r="D8" i="12"/>
  <c r="E7" i="12"/>
  <c r="E11" i="12" s="1"/>
  <c r="E13" i="12" s="1"/>
  <c r="D7" i="12"/>
  <c r="C7" i="12"/>
  <c r="C11" i="12" s="1"/>
  <c r="C13" i="12" s="1"/>
  <c r="N13" i="11"/>
  <c r="L13" i="11"/>
  <c r="I13" i="11"/>
  <c r="F13" i="11"/>
  <c r="C13" i="11"/>
  <c r="L12" i="11"/>
  <c r="M12" i="11" s="1"/>
  <c r="I12" i="11"/>
  <c r="J11" i="11" s="1"/>
  <c r="F12" i="11"/>
  <c r="G12" i="11" s="1"/>
  <c r="D12" i="11"/>
  <c r="C12" i="11"/>
  <c r="D11" i="11"/>
  <c r="S10" i="11"/>
  <c r="S8" i="11" s="1"/>
  <c r="R10" i="11"/>
  <c r="R8" i="11" s="1"/>
  <c r="Q10" i="11"/>
  <c r="P10" i="11"/>
  <c r="D10" i="11"/>
  <c r="J9" i="11"/>
  <c r="D9" i="11"/>
  <c r="Q8" i="11"/>
  <c r="P8" i="11"/>
  <c r="J8" i="11"/>
  <c r="G8" i="11"/>
  <c r="D8" i="11"/>
  <c r="D7" i="11"/>
  <c r="D6" i="11"/>
  <c r="D13" i="11" s="1"/>
  <c r="P6" i="11" s="1"/>
  <c r="G9" i="11" l="1"/>
  <c r="G6" i="11"/>
  <c r="J6" i="11"/>
  <c r="J12" i="11"/>
  <c r="G7" i="11"/>
  <c r="J10" i="11"/>
  <c r="J7" i="11"/>
  <c r="C19" i="12"/>
  <c r="E46" i="12"/>
  <c r="E52" i="12"/>
  <c r="G10" i="11"/>
  <c r="D36" i="14"/>
  <c r="D37" i="14" s="1"/>
  <c r="D19" i="12"/>
  <c r="G11" i="11"/>
  <c r="D39" i="12"/>
  <c r="D46" i="12"/>
  <c r="E37" i="14"/>
  <c r="E39" i="12"/>
  <c r="D11" i="12"/>
  <c r="D13" i="12" s="1"/>
  <c r="F37" i="14"/>
  <c r="M6" i="11"/>
  <c r="M7" i="11"/>
  <c r="M8" i="11"/>
  <c r="M9" i="11"/>
  <c r="M10" i="11"/>
  <c r="M11" i="11"/>
  <c r="J13" i="11" l="1"/>
  <c r="R6" i="11" s="1"/>
  <c r="G13" i="11"/>
  <c r="Q6" i="11" s="1"/>
  <c r="M13" i="11"/>
  <c r="S6" i="11" s="1"/>
  <c r="G30" i="10"/>
  <c r="F30" i="10"/>
  <c r="E30" i="10"/>
  <c r="D30" i="10"/>
  <c r="I27" i="10"/>
  <c r="E36" i="21" s="1"/>
  <c r="H27" i="10"/>
  <c r="G27" i="10"/>
  <c r="D36" i="21" s="1"/>
  <c r="F27" i="10"/>
  <c r="C36" i="21" s="1"/>
  <c r="E27" i="10"/>
  <c r="B36" i="21" s="1"/>
  <c r="D27" i="10"/>
  <c r="C27" i="10"/>
  <c r="I24" i="10"/>
  <c r="H24" i="10"/>
  <c r="G24" i="10"/>
  <c r="F24" i="10"/>
  <c r="E24" i="10"/>
  <c r="D24" i="10"/>
  <c r="C24" i="10"/>
  <c r="K23" i="10"/>
  <c r="I23" i="10"/>
  <c r="H23" i="10"/>
  <c r="G23" i="10"/>
  <c r="F23" i="10"/>
  <c r="E23" i="10"/>
  <c r="D23" i="10"/>
  <c r="C23" i="10"/>
  <c r="K22" i="10"/>
  <c r="I22" i="10"/>
  <c r="H22" i="10"/>
  <c r="G22" i="10"/>
  <c r="F22" i="10"/>
  <c r="E22" i="10"/>
  <c r="D22" i="10"/>
  <c r="C22" i="10"/>
  <c r="K21" i="10"/>
  <c r="G21" i="10"/>
  <c r="F21" i="10"/>
  <c r="E21" i="10"/>
  <c r="D21" i="10"/>
  <c r="K20" i="10"/>
  <c r="D20" i="10"/>
  <c r="K19" i="10"/>
  <c r="I19" i="10"/>
  <c r="I20" i="10" s="1"/>
  <c r="H19" i="10"/>
  <c r="H20" i="10" s="1"/>
  <c r="G19" i="10"/>
  <c r="G20" i="10" s="1"/>
  <c r="F19" i="10"/>
  <c r="F20" i="10" s="1"/>
  <c r="E19" i="10"/>
  <c r="E16" i="10" s="1"/>
  <c r="D19" i="10"/>
  <c r="E20" i="10" s="1"/>
  <c r="C19" i="10"/>
  <c r="K18" i="10"/>
  <c r="I18" i="10"/>
  <c r="H18" i="10"/>
  <c r="G18" i="10"/>
  <c r="F18" i="10"/>
  <c r="E18" i="10"/>
  <c r="D18" i="10"/>
  <c r="C18" i="10"/>
  <c r="K17" i="10"/>
  <c r="I17" i="10"/>
  <c r="H17" i="10"/>
  <c r="G17" i="10"/>
  <c r="F17" i="10"/>
  <c r="E17" i="10"/>
  <c r="D17" i="10"/>
  <c r="C17" i="10"/>
  <c r="K16" i="10"/>
  <c r="I16" i="10"/>
  <c r="H16" i="10"/>
  <c r="G16" i="10"/>
  <c r="K15" i="10"/>
  <c r="I2" i="10"/>
  <c r="H2" i="10"/>
  <c r="G2" i="10"/>
  <c r="F2" i="10"/>
  <c r="E2" i="10"/>
  <c r="I1" i="10"/>
  <c r="H1" i="10"/>
  <c r="G1" i="10"/>
  <c r="F1" i="10"/>
  <c r="E1" i="10"/>
  <c r="D57" i="8"/>
  <c r="C57" i="8"/>
  <c r="B57" i="8"/>
  <c r="C48" i="8"/>
  <c r="C49" i="8" s="1"/>
  <c r="B48" i="8"/>
  <c r="B49" i="8" s="1"/>
  <c r="E44" i="8"/>
  <c r="E48" i="8" s="1"/>
  <c r="E49" i="8" s="1"/>
  <c r="D44" i="8"/>
  <c r="D48" i="8" s="1"/>
  <c r="D49" i="8" s="1"/>
  <c r="C44" i="8"/>
  <c r="B44" i="8"/>
  <c r="I43" i="8"/>
  <c r="H43" i="8"/>
  <c r="G43" i="8"/>
  <c r="F43" i="8"/>
  <c r="E36" i="8"/>
  <c r="I32" i="8"/>
  <c r="H32" i="8"/>
  <c r="G32" i="8"/>
  <c r="F32" i="8"/>
  <c r="I31" i="8"/>
  <c r="H31" i="8"/>
  <c r="G31" i="8"/>
  <c r="F31" i="8"/>
  <c r="I30" i="8"/>
  <c r="H30" i="8"/>
  <c r="G30" i="8"/>
  <c r="F30" i="8"/>
  <c r="E29" i="8"/>
  <c r="D29" i="8"/>
  <c r="C29" i="8"/>
  <c r="B29" i="8"/>
  <c r="I28" i="8"/>
  <c r="H28" i="8"/>
  <c r="G28" i="8"/>
  <c r="F28" i="8"/>
  <c r="E24" i="8"/>
  <c r="D24" i="8"/>
  <c r="C24" i="8"/>
  <c r="B24" i="8"/>
  <c r="I20" i="8"/>
  <c r="H20" i="8"/>
  <c r="G20" i="8"/>
  <c r="F20" i="8"/>
  <c r="I19" i="8"/>
  <c r="H19" i="8"/>
  <c r="G19" i="8"/>
  <c r="F19" i="8"/>
  <c r="E19" i="8"/>
  <c r="D19" i="8"/>
  <c r="C19" i="8"/>
  <c r="B19" i="8"/>
  <c r="I18" i="8"/>
  <c r="H18" i="8"/>
  <c r="G18" i="8"/>
  <c r="F18" i="8"/>
  <c r="I11" i="8"/>
  <c r="H11" i="8"/>
  <c r="G11" i="8"/>
  <c r="F11" i="8"/>
  <c r="I10" i="8"/>
  <c r="H10" i="8"/>
  <c r="G10" i="8"/>
  <c r="F10" i="8"/>
  <c r="E4" i="8"/>
  <c r="E17" i="8" s="1"/>
  <c r="E27" i="8" s="1"/>
  <c r="D4" i="8"/>
  <c r="D17" i="8" s="1"/>
  <c r="D27" i="8" s="1"/>
  <c r="C4" i="8"/>
  <c r="C17" i="8" s="1"/>
  <c r="C27" i="8" s="1"/>
  <c r="B4" i="8"/>
  <c r="B17" i="8" s="1"/>
  <c r="B27" i="8" s="1"/>
  <c r="C37" i="21" l="1"/>
  <c r="C35" i="21" s="1"/>
  <c r="C63" i="21" s="1"/>
  <c r="C65" i="21" s="1"/>
  <c r="C39" i="21"/>
  <c r="C36" i="8"/>
  <c r="D39" i="21"/>
  <c r="D37" i="21"/>
  <c r="D35" i="21" s="1"/>
  <c r="D63" i="21" s="1"/>
  <c r="D65" i="21" s="1"/>
  <c r="D36" i="8"/>
  <c r="B37" i="21"/>
  <c r="B35" i="21" s="1"/>
  <c r="B63" i="21" s="1"/>
  <c r="B65" i="21" s="1"/>
  <c r="B39" i="21"/>
  <c r="B36" i="8"/>
  <c r="F16" i="10"/>
  <c r="E39" i="21"/>
  <c r="E37" i="21"/>
  <c r="E35" i="21" s="1"/>
  <c r="E63" i="21" s="1"/>
  <c r="E65" i="21" s="1"/>
  <c r="G4" i="8"/>
  <c r="H4" i="8"/>
  <c r="I4" i="8"/>
  <c r="F4" i="8"/>
  <c r="C33" i="8"/>
  <c r="G27" i="8"/>
  <c r="D33" i="8"/>
  <c r="H27" i="8"/>
  <c r="E33" i="8"/>
  <c r="E64" i="8" s="1"/>
  <c r="I27" i="8"/>
  <c r="B33" i="8"/>
  <c r="F27" i="8"/>
  <c r="G17" i="8"/>
  <c r="H17" i="8"/>
  <c r="I17" i="8"/>
  <c r="F17" i="8"/>
  <c r="D39" i="8" l="1"/>
  <c r="D37" i="8"/>
  <c r="D35" i="8" s="1"/>
  <c r="D63" i="8" s="1"/>
  <c r="D34" i="8"/>
  <c r="D62" i="8" s="1"/>
  <c r="H33" i="8"/>
  <c r="D64" i="8"/>
  <c r="B39" i="8"/>
  <c r="B37" i="8"/>
  <c r="B35" i="8" s="1"/>
  <c r="B63" i="8" s="1"/>
  <c r="B34" i="8"/>
  <c r="B62" i="8" s="1"/>
  <c r="F33" i="8"/>
  <c r="B64" i="8"/>
  <c r="E37" i="8"/>
  <c r="E35" i="8" s="1"/>
  <c r="E63" i="8" s="1"/>
  <c r="E34" i="8"/>
  <c r="E62" i="8" s="1"/>
  <c r="E65" i="8" s="1"/>
  <c r="I33" i="8"/>
  <c r="E39" i="8"/>
  <c r="C64" i="8"/>
  <c r="C39" i="8"/>
  <c r="C37" i="8"/>
  <c r="C35" i="8" s="1"/>
  <c r="C63" i="8" s="1"/>
  <c r="C34" i="8"/>
  <c r="C62" i="8" s="1"/>
  <c r="G33" i="8"/>
  <c r="B65" i="8" l="1"/>
  <c r="D65" i="8"/>
  <c r="C65" i="8"/>
  <c r="C5" i="7" l="1"/>
  <c r="D5" i="7"/>
  <c r="E5" i="7"/>
  <c r="F5" i="7"/>
  <c r="C13" i="7"/>
  <c r="D13" i="7"/>
  <c r="E13" i="7"/>
  <c r="F13" i="7"/>
  <c r="C19" i="7"/>
  <c r="C20" i="7"/>
  <c r="D20" i="7"/>
  <c r="E20" i="7"/>
  <c r="F20" i="7"/>
  <c r="G20" i="7"/>
  <c r="H20" i="7"/>
  <c r="I20" i="7"/>
  <c r="C12" i="6"/>
  <c r="D12" i="6"/>
  <c r="D16" i="6" s="1"/>
  <c r="E12" i="6"/>
  <c r="E21" i="6" s="1"/>
  <c r="F12" i="6"/>
  <c r="F21" i="6" s="1"/>
  <c r="G12" i="6"/>
  <c r="G21" i="6" s="1"/>
  <c r="J12" i="6"/>
  <c r="J13" i="6" s="1"/>
  <c r="K12" i="6"/>
  <c r="K13" i="6" s="1"/>
  <c r="L12" i="6"/>
  <c r="L13" i="6" s="1"/>
  <c r="M12" i="6"/>
  <c r="M13" i="6" s="1"/>
  <c r="C13" i="6"/>
  <c r="D13" i="6"/>
  <c r="E13" i="6"/>
  <c r="E17" i="6" s="1"/>
  <c r="F13" i="6"/>
  <c r="G13" i="6"/>
  <c r="C14" i="6"/>
  <c r="D14" i="6"/>
  <c r="E14" i="6"/>
  <c r="F14" i="6"/>
  <c r="G14" i="6"/>
  <c r="C15" i="6"/>
  <c r="D15" i="6"/>
  <c r="E15" i="6"/>
  <c r="F15" i="6"/>
  <c r="G15" i="6"/>
  <c r="J15" i="6"/>
  <c r="K15" i="6"/>
  <c r="L15" i="6"/>
  <c r="M15" i="6"/>
  <c r="C16" i="6"/>
  <c r="E16" i="6"/>
  <c r="F16" i="6"/>
  <c r="G16" i="6"/>
  <c r="C17" i="6"/>
  <c r="D17" i="6"/>
  <c r="F17" i="6"/>
  <c r="G17" i="6"/>
  <c r="C19" i="6"/>
  <c r="D19" i="6"/>
  <c r="E19" i="6"/>
  <c r="F19" i="6"/>
  <c r="G19" i="6"/>
  <c r="C20" i="6"/>
  <c r="D20" i="6"/>
  <c r="E20" i="6"/>
  <c r="F20" i="6"/>
  <c r="G20" i="6"/>
  <c r="C21" i="6"/>
  <c r="D21" i="6"/>
  <c r="C22" i="6"/>
  <c r="D22" i="6"/>
  <c r="E22" i="6"/>
  <c r="F22" i="6"/>
  <c r="G22" i="6"/>
  <c r="C24" i="6"/>
  <c r="C27" i="6" s="1"/>
  <c r="D24" i="6"/>
  <c r="D27" i="6" s="1"/>
  <c r="E24" i="6"/>
  <c r="F24" i="6"/>
  <c r="C25" i="6"/>
  <c r="D25" i="6"/>
  <c r="H25" i="6" s="1"/>
  <c r="E25" i="6"/>
  <c r="F25" i="6"/>
  <c r="C26" i="6"/>
  <c r="D26" i="6"/>
  <c r="H26" i="6" s="1"/>
  <c r="E26" i="6"/>
  <c r="F26" i="6"/>
  <c r="C32" i="6"/>
  <c r="D32" i="6"/>
  <c r="H32" i="6" s="1"/>
  <c r="E32" i="6"/>
  <c r="F32" i="6"/>
  <c r="C37" i="6"/>
  <c r="D37" i="6"/>
  <c r="E37" i="6"/>
  <c r="F37" i="6"/>
  <c r="C38" i="6"/>
  <c r="D38" i="6"/>
  <c r="E38" i="6"/>
  <c r="F38" i="6"/>
  <c r="G38" i="6" l="1"/>
  <c r="G25" i="6"/>
  <c r="G34" i="6"/>
  <c r="G30" i="6"/>
  <c r="C36" i="6"/>
  <c r="G33" i="6"/>
  <c r="G31" i="6"/>
  <c r="G27" i="6"/>
  <c r="G29" i="6"/>
  <c r="G37" i="6"/>
  <c r="G24" i="6"/>
  <c r="G35" i="6"/>
  <c r="G32" i="6"/>
  <c r="G26" i="6"/>
  <c r="J32" i="6"/>
  <c r="H38" i="6"/>
  <c r="D36" i="6"/>
  <c r="H30" i="6"/>
  <c r="H33" i="6"/>
  <c r="H24" i="6"/>
  <c r="H27" i="6"/>
  <c r="H29" i="6"/>
  <c r="H31" i="6"/>
  <c r="H34" i="6"/>
  <c r="H37" i="6"/>
  <c r="H35" i="6"/>
  <c r="F27" i="6"/>
  <c r="E27" i="6"/>
  <c r="I24" i="6" s="1"/>
  <c r="I29" i="6" l="1"/>
  <c r="I35" i="6"/>
  <c r="E36" i="6"/>
  <c r="I30" i="6"/>
  <c r="I27" i="6"/>
  <c r="I33" i="6"/>
  <c r="I38" i="6"/>
  <c r="I34" i="6"/>
  <c r="I37" i="6"/>
  <c r="I25" i="6"/>
  <c r="I31" i="6"/>
  <c r="J29" i="6"/>
  <c r="J35" i="6"/>
  <c r="J31" i="6"/>
  <c r="J34" i="6"/>
  <c r="J37" i="6"/>
  <c r="F36" i="6"/>
  <c r="J25" i="6"/>
  <c r="J27" i="6"/>
  <c r="J30" i="6"/>
  <c r="J33" i="6"/>
  <c r="J38" i="6"/>
  <c r="J24" i="6"/>
  <c r="I26" i="6"/>
  <c r="J26" i="6"/>
  <c r="I32" i="6"/>
</calcChain>
</file>

<file path=xl/sharedStrings.xml><?xml version="1.0" encoding="utf-8"?>
<sst xmlns="http://schemas.openxmlformats.org/spreadsheetml/2006/main" count="1323" uniqueCount="606">
  <si>
    <t>회사개요</t>
    <phoneticPr fontId="3" type="noConversion"/>
  </si>
  <si>
    <t>주주 구성 내역</t>
    <phoneticPr fontId="3" type="noConversion"/>
  </si>
  <si>
    <t>설립일</t>
    <phoneticPr fontId="3" type="noConversion"/>
  </si>
  <si>
    <t>주식 수</t>
    <phoneticPr fontId="3" type="noConversion"/>
  </si>
  <si>
    <t>지분율</t>
    <phoneticPr fontId="3" type="noConversion"/>
  </si>
  <si>
    <t>자본금</t>
    <phoneticPr fontId="3" type="noConversion"/>
  </si>
  <si>
    <t>4,191백만원
(8,382,000주, 1주당 액면가액 500원)</t>
    <phoneticPr fontId="3" type="noConversion"/>
  </si>
  <si>
    <t>보통주</t>
    <phoneticPr fontId="3" type="noConversion"/>
  </si>
  <si>
    <t>최대주주</t>
    <phoneticPr fontId="3" type="noConversion"/>
  </si>
  <si>
    <t>동아쏘시오홀딩스주식회사 및 특수관계인(85.74%)</t>
    <phoneticPr fontId="3" type="noConversion"/>
  </si>
  <si>
    <t>네오플럭스</t>
    <phoneticPr fontId="3" type="noConversion"/>
  </si>
  <si>
    <t>소재지</t>
    <phoneticPr fontId="3" type="noConversion"/>
  </si>
  <si>
    <t>(본사) 경기도 시흥시 정왕3동 1241-2</t>
    <phoneticPr fontId="3" type="noConversion"/>
  </si>
  <si>
    <t>동아쏘시오홀딩스와 
그 특수관계자</t>
  </si>
  <si>
    <t>(서울사무소) 서울시 강남구 대치동 891-43 MSA빌딩 7층</t>
    <phoneticPr fontId="3" type="noConversion"/>
  </si>
  <si>
    <t>우선주</t>
    <phoneticPr fontId="3" type="noConversion"/>
  </si>
  <si>
    <t>(반월공장) 경기도 안산시 단원구 목내동 434-5</t>
    <phoneticPr fontId="3" type="noConversion"/>
  </si>
  <si>
    <t>네오플럭스</t>
  </si>
  <si>
    <t>업종명</t>
    <phoneticPr fontId="3" type="noConversion"/>
  </si>
  <si>
    <t xml:space="preserve">의약용 화합물 및 항생물질 제조업 </t>
    <phoneticPr fontId="3" type="noConversion"/>
  </si>
  <si>
    <t>동아쏘시오홀딩스</t>
  </si>
  <si>
    <t>인원현황</t>
    <phoneticPr fontId="3" type="noConversion"/>
  </si>
  <si>
    <t>372명(임원10명, 직원 362명)</t>
    <phoneticPr fontId="3" type="noConversion"/>
  </si>
  <si>
    <t>동아에스티</t>
  </si>
  <si>
    <t>공급현황</t>
    <phoneticPr fontId="3" type="noConversion"/>
  </si>
  <si>
    <t>고객사 93개사 (2015년 9월 현재)</t>
    <phoneticPr fontId="3" type="noConversion"/>
  </si>
  <si>
    <t>수석문화재단</t>
  </si>
  <si>
    <t>주요상품</t>
    <phoneticPr fontId="3" type="noConversion"/>
  </si>
  <si>
    <t>신약CMO, 제네릭, 정밀화학, 바이오</t>
    <phoneticPr fontId="3" type="noConversion"/>
  </si>
  <si>
    <t>총계</t>
    <phoneticPr fontId="3" type="noConversion"/>
  </si>
  <si>
    <r>
      <rPr>
        <b/>
        <sz val="8"/>
        <color rgb="FFFFFFFF"/>
        <rFont val="맑은 고딕"/>
        <family val="2"/>
        <charset val="129"/>
      </rPr>
      <t>회사연혁</t>
    </r>
    <phoneticPr fontId="3" type="noConversion"/>
  </si>
  <si>
    <t>1983. 2</t>
    <phoneticPr fontId="3" type="noConversion"/>
  </si>
  <si>
    <r>
      <rPr>
        <sz val="8"/>
        <rFont val="맑은 고딕"/>
        <family val="3"/>
        <charset val="129"/>
        <scheme val="major"/>
      </rPr>
      <t>의약품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제조사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설립</t>
    </r>
    <phoneticPr fontId="3" type="noConversion"/>
  </si>
  <si>
    <t>1985. 2</t>
    <phoneticPr fontId="3" type="noConversion"/>
  </si>
  <si>
    <r>
      <rPr>
        <sz val="8"/>
        <rFont val="맑은 고딕"/>
        <family val="3"/>
        <charset val="129"/>
        <scheme val="major"/>
      </rPr>
      <t>신광약품에서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삼천리제약으로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상호변경</t>
    </r>
  </si>
  <si>
    <t>1987. 9</t>
    <phoneticPr fontId="3" type="noConversion"/>
  </si>
  <si>
    <r>
      <rPr>
        <sz val="8"/>
        <rFont val="맑은 고딕"/>
        <family val="3"/>
        <charset val="129"/>
        <scheme val="major"/>
      </rPr>
      <t>국내최초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에이즈치료제</t>
    </r>
    <r>
      <rPr>
        <sz val="8"/>
        <rFont val="Arial"/>
        <family val="2"/>
      </rPr>
      <t xml:space="preserve"> Zidovudine </t>
    </r>
    <r>
      <rPr>
        <sz val="8"/>
        <rFont val="맑은 고딕"/>
        <family val="3"/>
        <charset val="129"/>
        <scheme val="major"/>
      </rPr>
      <t>공동개발</t>
    </r>
    <phoneticPr fontId="3" type="noConversion"/>
  </si>
  <si>
    <t>1988. 1</t>
    <phoneticPr fontId="3" type="noConversion"/>
  </si>
  <si>
    <r>
      <rPr>
        <sz val="8"/>
        <rFont val="맑은 고딕"/>
        <family val="3"/>
        <charset val="129"/>
        <scheme val="major"/>
      </rPr>
      <t>경기도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화성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공장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준공</t>
    </r>
    <phoneticPr fontId="3" type="noConversion"/>
  </si>
  <si>
    <t>1994. 2</t>
    <phoneticPr fontId="56" type="noConversion"/>
  </si>
  <si>
    <r>
      <rPr>
        <sz val="8"/>
        <rFont val="맑은 고딕"/>
        <family val="3"/>
        <charset val="129"/>
        <scheme val="major"/>
      </rPr>
      <t>시화</t>
    </r>
    <r>
      <rPr>
        <sz val="8"/>
        <rFont val="맑은 고딕"/>
        <family val="2"/>
        <scheme val="major"/>
      </rPr>
      <t xml:space="preserve"> 1,2</t>
    </r>
    <r>
      <rPr>
        <sz val="8"/>
        <rFont val="맑은 고딕"/>
        <family val="3"/>
        <charset val="129"/>
        <scheme val="major"/>
      </rPr>
      <t>공장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준공</t>
    </r>
    <phoneticPr fontId="3" type="noConversion"/>
  </si>
  <si>
    <r>
      <t xml:space="preserve">1997. 4 </t>
    </r>
    <r>
      <rPr>
        <sz val="8"/>
        <rFont val="맑은 고딕"/>
        <family val="3"/>
        <charset val="129"/>
      </rPr>
      <t/>
    </r>
    <phoneticPr fontId="56" type="noConversion"/>
  </si>
  <si>
    <r>
      <rPr>
        <sz val="8"/>
        <rFont val="맑은 고딕"/>
        <family val="3"/>
        <charset val="129"/>
        <scheme val="major"/>
      </rPr>
      <t>시화</t>
    </r>
    <r>
      <rPr>
        <sz val="8"/>
        <rFont val="Arial"/>
        <family val="2"/>
      </rPr>
      <t xml:space="preserve"> 3</t>
    </r>
    <r>
      <rPr>
        <sz val="8"/>
        <rFont val="맑은 고딕"/>
        <family val="3"/>
        <charset val="129"/>
        <scheme val="major"/>
      </rPr>
      <t>공장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준공</t>
    </r>
    <phoneticPr fontId="3" type="noConversion"/>
  </si>
  <si>
    <t>1998. 5</t>
    <phoneticPr fontId="3" type="noConversion"/>
  </si>
  <si>
    <r>
      <rPr>
        <sz val="8"/>
        <rFont val="맑은 고딕"/>
        <family val="3"/>
        <charset val="129"/>
        <scheme val="major"/>
      </rPr>
      <t>시화</t>
    </r>
    <r>
      <rPr>
        <sz val="8"/>
        <rFont val="Arial"/>
        <family val="2"/>
      </rPr>
      <t xml:space="preserve"> 5</t>
    </r>
    <r>
      <rPr>
        <sz val="8"/>
        <rFont val="맑은 고딕"/>
        <family val="3"/>
        <charset val="129"/>
        <scheme val="major"/>
      </rPr>
      <t>공장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준공</t>
    </r>
    <phoneticPr fontId="3" type="noConversion"/>
  </si>
  <si>
    <t>2007. 11</t>
    <phoneticPr fontId="3" type="noConversion"/>
  </si>
  <si>
    <r>
      <rPr>
        <sz val="8"/>
        <rFont val="맑은 고딕"/>
        <family val="3"/>
        <charset val="129"/>
        <scheme val="minor"/>
      </rPr>
      <t>시화</t>
    </r>
    <r>
      <rPr>
        <sz val="8"/>
        <rFont val="Arial"/>
        <family val="2"/>
      </rPr>
      <t xml:space="preserve"> 6</t>
    </r>
    <r>
      <rPr>
        <sz val="8"/>
        <rFont val="맑은 고딕"/>
        <family val="3"/>
        <charset val="129"/>
        <scheme val="minor"/>
      </rPr>
      <t>공장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inor"/>
      </rPr>
      <t>준공</t>
    </r>
    <phoneticPr fontId="3" type="noConversion"/>
  </si>
  <si>
    <t>2010. 6</t>
    <phoneticPr fontId="56" type="noConversion"/>
  </si>
  <si>
    <r>
      <rPr>
        <sz val="8"/>
        <rFont val="맑은 고딕"/>
        <family val="3"/>
        <charset val="129"/>
        <scheme val="major"/>
      </rPr>
      <t>유켐과</t>
    </r>
    <r>
      <rPr>
        <sz val="8"/>
        <rFont val="맑은 고딕"/>
        <family val="2"/>
        <scheme val="major"/>
      </rPr>
      <t xml:space="preserve"> </t>
    </r>
    <r>
      <rPr>
        <sz val="8"/>
        <rFont val="맑은 고딕"/>
        <family val="3"/>
        <charset val="129"/>
        <scheme val="major"/>
      </rPr>
      <t>삼천리제약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합병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  <scheme val="major"/>
      </rPr>
      <t>동아쏘시아그룹편입</t>
    </r>
    <phoneticPr fontId="3" type="noConversion"/>
  </si>
  <si>
    <t>2010. 9</t>
    <phoneticPr fontId="3" type="noConversion"/>
  </si>
  <si>
    <r>
      <rPr>
        <sz val="8"/>
        <rFont val="맑은 고딕"/>
        <family val="3"/>
        <charset val="129"/>
        <scheme val="major"/>
      </rPr>
      <t>에스티팜으로사명변경</t>
    </r>
    <phoneticPr fontId="3" type="noConversion"/>
  </si>
  <si>
    <r>
      <t xml:space="preserve">2015. 5 </t>
    </r>
    <r>
      <rPr>
        <sz val="8"/>
        <rFont val="맑은 고딕"/>
        <family val="3"/>
        <charset val="129"/>
      </rPr>
      <t/>
    </r>
    <phoneticPr fontId="3" type="noConversion"/>
  </si>
  <si>
    <r>
      <rPr>
        <sz val="8"/>
        <rFont val="맑은 고딕"/>
        <family val="3"/>
        <charset val="129"/>
        <scheme val="major"/>
      </rPr>
      <t>반월</t>
    </r>
    <r>
      <rPr>
        <sz val="8"/>
        <rFont val="Arial"/>
        <family val="2"/>
      </rPr>
      <t>1</t>
    </r>
    <r>
      <rPr>
        <sz val="8"/>
        <rFont val="맑은 고딕"/>
        <family val="3"/>
        <charset val="129"/>
        <scheme val="major"/>
      </rPr>
      <t>공장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준공</t>
    </r>
  </si>
  <si>
    <t>2015. 9</t>
    <phoneticPr fontId="3" type="noConversion"/>
  </si>
  <si>
    <r>
      <rPr>
        <sz val="8"/>
        <rFont val="맑은 고딕"/>
        <family val="3"/>
        <charset val="129"/>
        <scheme val="major"/>
      </rPr>
      <t>반월</t>
    </r>
    <r>
      <rPr>
        <sz val="8"/>
        <rFont val="Arial"/>
        <family val="2"/>
      </rPr>
      <t>1</t>
    </r>
    <r>
      <rPr>
        <sz val="8"/>
        <rFont val="맑은 고딕"/>
        <family val="3"/>
        <charset val="129"/>
        <scheme val="major"/>
      </rPr>
      <t>공장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식약청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승인</t>
    </r>
    <phoneticPr fontId="3" type="noConversion"/>
  </si>
  <si>
    <r>
      <t xml:space="preserve">2015. 11 </t>
    </r>
    <r>
      <rPr>
        <sz val="8"/>
        <rFont val="맑은 고딕"/>
        <family val="3"/>
        <charset val="129"/>
      </rPr>
      <t/>
    </r>
    <phoneticPr fontId="56" type="noConversion"/>
  </si>
  <si>
    <r>
      <rPr>
        <sz val="8"/>
        <rFont val="맑은 고딕"/>
        <family val="3"/>
        <charset val="129"/>
        <scheme val="major"/>
      </rPr>
      <t>동아에스티로부터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반월</t>
    </r>
    <r>
      <rPr>
        <sz val="8"/>
        <rFont val="Arial"/>
        <family val="2"/>
      </rPr>
      <t>2</t>
    </r>
    <r>
      <rPr>
        <sz val="8"/>
        <rFont val="맑은 고딕"/>
        <family val="3"/>
        <charset val="129"/>
        <scheme val="major"/>
      </rPr>
      <t>공장</t>
    </r>
    <r>
      <rPr>
        <sz val="8"/>
        <rFont val="Arial"/>
        <family val="2"/>
      </rPr>
      <t xml:space="preserve"> 510</t>
    </r>
    <r>
      <rPr>
        <sz val="8"/>
        <rFont val="맑은 고딕"/>
        <family val="3"/>
        <charset val="129"/>
        <scheme val="major"/>
      </rPr>
      <t>억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원에</t>
    </r>
    <r>
      <rPr>
        <sz val="8"/>
        <rFont val="Arial"/>
        <family val="2"/>
      </rPr>
      <t xml:space="preserve"> 
</t>
    </r>
    <r>
      <rPr>
        <sz val="8"/>
        <rFont val="맑은 고딕"/>
        <family val="3"/>
        <charset val="129"/>
        <scheme val="major"/>
      </rPr>
      <t>영업양수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진행중에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  <scheme val="major"/>
      </rPr>
      <t>있음</t>
    </r>
    <phoneticPr fontId="3" type="noConversion"/>
  </si>
  <si>
    <r>
      <rPr>
        <b/>
        <sz val="8"/>
        <color theme="1"/>
        <rFont val="맑은 고딕"/>
        <family val="3"/>
        <charset val="129"/>
      </rPr>
      <t>매출액</t>
    </r>
    <phoneticPr fontId="81" type="noConversion"/>
  </si>
  <si>
    <r>
      <t>2012</t>
    </r>
    <r>
      <rPr>
        <b/>
        <sz val="8"/>
        <color theme="1"/>
        <rFont val="맑은 고딕"/>
        <family val="3"/>
        <charset val="129"/>
      </rPr>
      <t>년</t>
    </r>
    <phoneticPr fontId="81" type="noConversion"/>
  </si>
  <si>
    <r>
      <t>2013</t>
    </r>
    <r>
      <rPr>
        <b/>
        <sz val="8"/>
        <color theme="1"/>
        <rFont val="맑은 고딕"/>
        <family val="3"/>
        <charset val="129"/>
      </rPr>
      <t>년</t>
    </r>
  </si>
  <si>
    <r>
      <t>2014</t>
    </r>
    <r>
      <rPr>
        <b/>
        <sz val="8"/>
        <color theme="1"/>
        <rFont val="맑은 고딕"/>
        <family val="3"/>
        <charset val="129"/>
      </rPr>
      <t>년</t>
    </r>
  </si>
  <si>
    <r>
      <t>2015</t>
    </r>
    <r>
      <rPr>
        <b/>
        <sz val="8"/>
        <color theme="1"/>
        <rFont val="돋움"/>
        <family val="3"/>
        <charset val="129"/>
      </rPr>
      <t>년</t>
    </r>
    <r>
      <rPr>
        <b/>
        <sz val="8"/>
        <color theme="1"/>
        <rFont val="Arial"/>
        <family val="2"/>
      </rPr>
      <t xml:space="preserve"> 12</t>
    </r>
    <r>
      <rPr>
        <b/>
        <sz val="8"/>
        <color theme="1"/>
        <rFont val="돋움"/>
        <family val="3"/>
        <charset val="129"/>
      </rPr>
      <t>개월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돋움"/>
        <family val="3"/>
        <charset val="129"/>
      </rPr>
      <t>환산</t>
    </r>
    <phoneticPr fontId="81" type="noConversion"/>
  </si>
  <si>
    <t>2015년 3분기</t>
    <phoneticPr fontId="81" type="noConversion"/>
  </si>
  <si>
    <t>FY12</t>
    <phoneticPr fontId="81" type="noConversion"/>
  </si>
  <si>
    <t>제품</t>
    <phoneticPr fontId="81" type="noConversion"/>
  </si>
  <si>
    <t>제품</t>
  </si>
  <si>
    <t>상품</t>
    <phoneticPr fontId="81" type="noConversion"/>
  </si>
  <si>
    <t>상품</t>
  </si>
  <si>
    <r>
      <rPr>
        <sz val="8"/>
        <color theme="1"/>
        <rFont val="맑은 고딕"/>
        <family val="3"/>
        <charset val="129"/>
      </rPr>
      <t>합계</t>
    </r>
    <phoneticPr fontId="81" type="noConversion"/>
  </si>
  <si>
    <t>FY13</t>
    <phoneticPr fontId="81" type="noConversion"/>
  </si>
  <si>
    <t>Note: 2015년의 경우, 3분기 실적을 단순 연환산 함.</t>
    <phoneticPr fontId="81" type="noConversion"/>
  </si>
  <si>
    <t>FY14</t>
    <phoneticPr fontId="81" type="noConversion"/>
  </si>
  <si>
    <t>연도별 변동</t>
    <phoneticPr fontId="81" type="noConversion"/>
  </si>
  <si>
    <r>
      <t>2014년</t>
    </r>
    <r>
      <rPr>
        <b/>
        <sz val="8"/>
        <color theme="1"/>
        <rFont val="맑은 고딕"/>
        <family val="3"/>
        <charset val="129"/>
      </rPr>
      <t/>
    </r>
  </si>
  <si>
    <r>
      <t>2015년</t>
    </r>
    <r>
      <rPr>
        <b/>
        <sz val="8"/>
        <color theme="1"/>
        <rFont val="맑은 고딕"/>
        <family val="3"/>
        <charset val="129"/>
      </rPr>
      <t/>
    </r>
  </si>
  <si>
    <t>FY15(E)</t>
    <phoneticPr fontId="81" type="noConversion"/>
  </si>
  <si>
    <t>합계</t>
    <phoneticPr fontId="81" type="noConversion"/>
  </si>
  <si>
    <r>
      <rPr>
        <b/>
        <sz val="8"/>
        <color rgb="FFFFFFFF"/>
        <rFont val="맑은 고딕"/>
        <family val="3"/>
        <charset val="129"/>
      </rPr>
      <t>손익계산서</t>
    </r>
    <r>
      <rPr>
        <b/>
        <sz val="8"/>
        <color rgb="FFFFFFFF"/>
        <rFont val="Arial"/>
        <family val="2"/>
      </rPr>
      <t>(</t>
    </r>
    <r>
      <rPr>
        <b/>
        <sz val="8"/>
        <color rgb="FFFFFFFF"/>
        <rFont val="맑은 고딕"/>
        <family val="3"/>
        <charset val="129"/>
      </rPr>
      <t>별도</t>
    </r>
    <r>
      <rPr>
        <b/>
        <sz val="8"/>
        <color rgb="FFFFFFFF"/>
        <rFont val="Arial"/>
        <family val="2"/>
      </rPr>
      <t>)</t>
    </r>
    <phoneticPr fontId="3" type="noConversion"/>
  </si>
  <si>
    <r>
      <t>2012</t>
    </r>
    <r>
      <rPr>
        <b/>
        <sz val="8"/>
        <color rgb="FF000000"/>
        <rFont val="맑은 고딕"/>
        <family val="3"/>
        <charset val="129"/>
      </rPr>
      <t>년</t>
    </r>
  </si>
  <si>
    <r>
      <t>2013</t>
    </r>
    <r>
      <rPr>
        <b/>
        <sz val="8"/>
        <color rgb="FF000000"/>
        <rFont val="맑은 고딕"/>
        <family val="3"/>
        <charset val="129"/>
      </rPr>
      <t>년</t>
    </r>
  </si>
  <si>
    <r>
      <t>2014</t>
    </r>
    <r>
      <rPr>
        <b/>
        <sz val="8"/>
        <color rgb="FF000000"/>
        <rFont val="맑은 고딕"/>
        <family val="3"/>
        <charset val="129"/>
      </rPr>
      <t>년</t>
    </r>
  </si>
  <si>
    <r>
      <t>2015</t>
    </r>
    <r>
      <rPr>
        <b/>
        <sz val="8"/>
        <color rgb="FF000000"/>
        <rFont val="맑은 고딕"/>
        <family val="3"/>
        <charset val="129"/>
      </rPr>
      <t>년</t>
    </r>
    <phoneticPr fontId="3" type="noConversion"/>
  </si>
  <si>
    <r>
      <rPr>
        <b/>
        <sz val="8"/>
        <color rgb="FF000000"/>
        <rFont val="맑은 고딕"/>
        <family val="3"/>
        <charset val="129"/>
      </rPr>
      <t>백만원</t>
    </r>
    <phoneticPr fontId="3" type="noConversion"/>
  </si>
  <si>
    <r>
      <t>12</t>
    </r>
    <r>
      <rPr>
        <b/>
        <sz val="8"/>
        <color rgb="FF000000"/>
        <rFont val="맑은 고딕"/>
        <family val="3"/>
        <charset val="129"/>
      </rPr>
      <t>개월</t>
    </r>
    <phoneticPr fontId="3" type="noConversion"/>
  </si>
  <si>
    <r>
      <t>6</t>
    </r>
    <r>
      <rPr>
        <b/>
        <sz val="8"/>
        <color rgb="FF000000"/>
        <rFont val="맑은 고딕"/>
        <family val="3"/>
        <charset val="129"/>
      </rPr>
      <t>개월</t>
    </r>
    <phoneticPr fontId="3" type="noConversion"/>
  </si>
  <si>
    <r>
      <t>9</t>
    </r>
    <r>
      <rPr>
        <b/>
        <sz val="8"/>
        <color rgb="FF000000"/>
        <rFont val="맑은 고딕"/>
        <family val="3"/>
        <charset val="129"/>
      </rPr>
      <t>개월</t>
    </r>
    <phoneticPr fontId="3" type="noConversion"/>
  </si>
  <si>
    <r>
      <rPr>
        <b/>
        <sz val="8"/>
        <rFont val="맑은 고딕"/>
        <family val="3"/>
        <charset val="129"/>
      </rPr>
      <t>매출</t>
    </r>
    <phoneticPr fontId="3" type="noConversion"/>
  </si>
  <si>
    <r>
      <t xml:space="preserve">  </t>
    </r>
    <r>
      <rPr>
        <sz val="8"/>
        <rFont val="맑은 고딕"/>
        <family val="3"/>
        <charset val="129"/>
      </rPr>
      <t>제품</t>
    </r>
    <phoneticPr fontId="3" type="noConversion"/>
  </si>
  <si>
    <r>
      <t xml:space="preserve">  </t>
    </r>
    <r>
      <rPr>
        <sz val="8"/>
        <rFont val="맑은 고딕"/>
        <family val="3"/>
        <charset val="129"/>
      </rPr>
      <t>상품</t>
    </r>
    <phoneticPr fontId="3" type="noConversion"/>
  </si>
  <si>
    <r>
      <t xml:space="preserve">  </t>
    </r>
    <r>
      <rPr>
        <sz val="8"/>
        <rFont val="맑은 고딕"/>
        <family val="3"/>
        <charset val="129"/>
      </rPr>
      <t>기타</t>
    </r>
    <phoneticPr fontId="3" type="noConversion"/>
  </si>
  <si>
    <t>CMO신약</t>
  </si>
  <si>
    <t>정밀화학</t>
  </si>
  <si>
    <t>제네릭API</t>
  </si>
  <si>
    <t>바이오사업</t>
  </si>
  <si>
    <t>매출유형별 사업부별 매출</t>
  </si>
  <si>
    <t>백만원</t>
  </si>
  <si>
    <t>2012년</t>
  </si>
  <si>
    <t>2013년</t>
  </si>
  <si>
    <t>2014년</t>
  </si>
  <si>
    <t>2015년</t>
  </si>
  <si>
    <t>12개월</t>
  </si>
  <si>
    <t>9개월</t>
  </si>
  <si>
    <t>소계</t>
  </si>
  <si>
    <t>총계</t>
  </si>
  <si>
    <r>
      <rPr>
        <b/>
        <sz val="8"/>
        <color theme="0"/>
        <rFont val="맑은 고딕"/>
        <family val="3"/>
        <charset val="129"/>
      </rPr>
      <t>매출유형별</t>
    </r>
    <r>
      <rPr>
        <b/>
        <sz val="8"/>
        <color theme="0"/>
        <rFont val="Arial"/>
        <family val="2"/>
      </rPr>
      <t xml:space="preserve"> </t>
    </r>
    <r>
      <rPr>
        <b/>
        <sz val="8"/>
        <color theme="0"/>
        <rFont val="맑은 고딕"/>
        <family val="3"/>
        <charset val="129"/>
      </rPr>
      <t>사업부별</t>
    </r>
    <r>
      <rPr>
        <b/>
        <sz val="8"/>
        <color theme="0"/>
        <rFont val="Arial"/>
        <family val="2"/>
      </rPr>
      <t xml:space="preserve"> </t>
    </r>
    <r>
      <rPr>
        <b/>
        <sz val="8"/>
        <color theme="0"/>
        <rFont val="맑은 고딕"/>
        <family val="3"/>
        <charset val="129"/>
      </rPr>
      <t>매출</t>
    </r>
    <phoneticPr fontId="3" type="noConversion"/>
  </si>
  <si>
    <r>
      <rPr>
        <b/>
        <sz val="8"/>
        <color theme="1"/>
        <rFont val="맑은 고딕"/>
        <family val="3"/>
        <charset val="129"/>
      </rPr>
      <t>백만원</t>
    </r>
    <phoneticPr fontId="3" type="noConversion"/>
  </si>
  <si>
    <r>
      <t>2012</t>
    </r>
    <r>
      <rPr>
        <b/>
        <sz val="8"/>
        <color theme="1"/>
        <rFont val="맑은 고딕"/>
        <family val="3"/>
        <charset val="129"/>
      </rPr>
      <t>년</t>
    </r>
    <phoneticPr fontId="3" type="noConversion"/>
  </si>
  <si>
    <r>
      <t>2015</t>
    </r>
    <r>
      <rPr>
        <b/>
        <sz val="8"/>
        <color theme="1"/>
        <rFont val="맑은 고딕"/>
        <family val="3"/>
        <charset val="129"/>
      </rPr>
      <t>년</t>
    </r>
    <phoneticPr fontId="3" type="noConversion"/>
  </si>
  <si>
    <r>
      <t>12</t>
    </r>
    <r>
      <rPr>
        <b/>
        <sz val="8"/>
        <color theme="1"/>
        <rFont val="맑은 고딕"/>
        <family val="3"/>
        <charset val="129"/>
      </rPr>
      <t>개월</t>
    </r>
    <phoneticPr fontId="3" type="noConversion"/>
  </si>
  <si>
    <r>
      <t>12</t>
    </r>
    <r>
      <rPr>
        <b/>
        <sz val="8"/>
        <color theme="1"/>
        <rFont val="맑은 고딕"/>
        <family val="3"/>
        <charset val="129"/>
      </rPr>
      <t>개월</t>
    </r>
  </si>
  <si>
    <r>
      <t>9</t>
    </r>
    <r>
      <rPr>
        <b/>
        <sz val="8"/>
        <color theme="1"/>
        <rFont val="맑은 고딕"/>
        <family val="3"/>
        <charset val="129"/>
      </rPr>
      <t>개월</t>
    </r>
    <phoneticPr fontId="3" type="noConversion"/>
  </si>
  <si>
    <r>
      <rPr>
        <sz val="8"/>
        <color theme="1"/>
        <rFont val="맑은 고딕"/>
        <family val="3"/>
        <charset val="129"/>
      </rPr>
      <t>상품</t>
    </r>
    <phoneticPr fontId="3" type="noConversion"/>
  </si>
  <si>
    <r>
      <rPr>
        <sz val="8"/>
        <color theme="1"/>
        <rFont val="맑은 고딕"/>
        <family val="3"/>
        <charset val="129"/>
      </rPr>
      <t>정밀화학</t>
    </r>
    <phoneticPr fontId="3" type="noConversion"/>
  </si>
  <si>
    <r>
      <rPr>
        <sz val="8"/>
        <color theme="1"/>
        <rFont val="맑은 고딕"/>
        <family val="3"/>
        <charset val="129"/>
      </rPr>
      <t>제네릭</t>
    </r>
    <r>
      <rPr>
        <sz val="8"/>
        <color theme="1"/>
        <rFont val="Arial"/>
        <family val="2"/>
      </rPr>
      <t>API</t>
    </r>
    <phoneticPr fontId="3" type="noConversion"/>
  </si>
  <si>
    <r>
      <rPr>
        <b/>
        <sz val="8"/>
        <color theme="1"/>
        <rFont val="맑은 고딕"/>
        <family val="3"/>
        <charset val="129"/>
      </rPr>
      <t>소계</t>
    </r>
    <phoneticPr fontId="3" type="noConversion"/>
  </si>
  <si>
    <r>
      <rPr>
        <b/>
        <sz val="8"/>
        <color theme="1"/>
        <rFont val="맑은 고딕"/>
        <family val="3"/>
        <charset val="129"/>
      </rPr>
      <t>총계</t>
    </r>
    <phoneticPr fontId="3" type="noConversion"/>
  </si>
  <si>
    <t>사업부문별 매출</t>
    <phoneticPr fontId="3" type="noConversion"/>
  </si>
  <si>
    <t>2015년</t>
    <phoneticPr fontId="3" type="noConversion"/>
  </si>
  <si>
    <t>2015년 9개월</t>
    <phoneticPr fontId="3" type="noConversion"/>
  </si>
  <si>
    <t>백만원</t>
    <phoneticPr fontId="3" type="noConversion"/>
  </si>
  <si>
    <t>12개월</t>
    <phoneticPr fontId="3" type="noConversion"/>
  </si>
  <si>
    <t>9개월</t>
    <phoneticPr fontId="3" type="noConversion"/>
  </si>
  <si>
    <t>CMO신약</t>
    <phoneticPr fontId="3" type="noConversion"/>
  </si>
  <si>
    <t>제품</t>
    <phoneticPr fontId="3" type="noConversion"/>
  </si>
  <si>
    <t>용역매출 일부 있음</t>
    <phoneticPr fontId="3" type="noConversion"/>
  </si>
  <si>
    <t>13년 소발디 판매시작으로 인해 매출증가. 16년 중 3~4년 장기계약 체결 예정.</t>
    <phoneticPr fontId="3" type="noConversion"/>
  </si>
  <si>
    <t>상품</t>
    <phoneticPr fontId="3" type="noConversion"/>
  </si>
  <si>
    <t>연구개발을 통해 최근 신제품 개발 -&gt; 마진율 개선될 것</t>
  </si>
  <si>
    <t>소계</t>
    <phoneticPr fontId="3" type="noConversion"/>
  </si>
  <si>
    <t xml:space="preserve">13년 매출액 261억 감소: 외주가공 대상거래 중단(100억), AIDS치료제 중간체 매출중단(97억) </t>
    <phoneticPr fontId="3" type="noConversion"/>
  </si>
  <si>
    <t>전자제품부문 마진율 낮음</t>
    <phoneticPr fontId="3" type="noConversion"/>
  </si>
  <si>
    <t>제품 매출총이익%</t>
    <phoneticPr fontId="3" type="noConversion"/>
  </si>
  <si>
    <t>제품 소계</t>
    <phoneticPr fontId="3" type="noConversion"/>
  </si>
  <si>
    <t>14년 동아관련 동아홀딩스 감사 권고사항으로 인해 상품판매 지양(체질개선), 동아의존도 낮추려는 노력</t>
    <phoneticPr fontId="3" type="noConversion"/>
  </si>
  <si>
    <t>매출 총계</t>
    <phoneticPr fontId="3" type="noConversion"/>
  </si>
  <si>
    <t>올리오 business/올해부터 증가할 예정(100억 규모)/용역매출 주요 발생 사업부문</t>
    <phoneticPr fontId="3" type="noConversion"/>
  </si>
  <si>
    <t>상품 매출총이익%</t>
    <phoneticPr fontId="3" type="noConversion"/>
  </si>
  <si>
    <t>상품 소계</t>
    <phoneticPr fontId="3" type="noConversion"/>
  </si>
  <si>
    <t>14년 영업이익률 감소: 정밀화학 상품 매출 mix 증가로 인해.</t>
    <phoneticPr fontId="3" type="noConversion"/>
  </si>
  <si>
    <t>* 제품 마진율: CMO신약&gt;바이오&gt;&gt;&gt;제네릭API≥정밀화학</t>
    <phoneticPr fontId="3" type="noConversion"/>
  </si>
  <si>
    <t>매출실적</t>
    <phoneticPr fontId="3" type="noConversion"/>
  </si>
  <si>
    <t>2014년</t>
    <phoneticPr fontId="3" type="noConversion"/>
  </si>
  <si>
    <t>목표</t>
    <phoneticPr fontId="3" type="noConversion"/>
  </si>
  <si>
    <t>실적</t>
    <phoneticPr fontId="3" type="noConversion"/>
  </si>
  <si>
    <t>달성률</t>
    <phoneticPr fontId="3" type="noConversion"/>
  </si>
  <si>
    <t>목표(년간)</t>
    <phoneticPr fontId="3" type="noConversion"/>
  </si>
  <si>
    <t>실적(1~9월)</t>
    <phoneticPr fontId="3" type="noConversion"/>
  </si>
  <si>
    <t>진도율</t>
    <phoneticPr fontId="3" type="noConversion"/>
  </si>
  <si>
    <t>정밀화학</t>
    <phoneticPr fontId="3" type="noConversion"/>
  </si>
  <si>
    <t>제네릭API</t>
    <phoneticPr fontId="3" type="noConversion"/>
  </si>
  <si>
    <t>바이오사업</t>
    <phoneticPr fontId="3" type="noConversion"/>
  </si>
  <si>
    <t>합계</t>
    <phoneticPr fontId="3" type="noConversion"/>
  </si>
  <si>
    <r>
      <rPr>
        <b/>
        <sz val="8"/>
        <color theme="0"/>
        <rFont val="맑은 고딕"/>
        <family val="3"/>
        <charset val="129"/>
      </rPr>
      <t>연도별</t>
    </r>
    <r>
      <rPr>
        <b/>
        <sz val="8"/>
        <color theme="0"/>
        <rFont val="Arial"/>
        <family val="2"/>
      </rPr>
      <t xml:space="preserve"> </t>
    </r>
    <r>
      <rPr>
        <b/>
        <sz val="8"/>
        <color theme="0"/>
        <rFont val="맑은 고딕"/>
        <family val="3"/>
        <charset val="129"/>
      </rPr>
      <t>사업부별</t>
    </r>
    <r>
      <rPr>
        <b/>
        <sz val="8"/>
        <color theme="0"/>
        <rFont val="Arial"/>
        <family val="2"/>
      </rPr>
      <t xml:space="preserve"> </t>
    </r>
    <r>
      <rPr>
        <b/>
        <sz val="8"/>
        <color theme="0"/>
        <rFont val="맑은 고딕"/>
        <family val="3"/>
        <charset val="129"/>
      </rPr>
      <t>매출실적</t>
    </r>
    <phoneticPr fontId="3" type="noConversion"/>
  </si>
  <si>
    <r>
      <t>CMO</t>
    </r>
    <r>
      <rPr>
        <sz val="8"/>
        <color theme="1"/>
        <rFont val="맑은 고딕"/>
        <family val="3"/>
        <charset val="129"/>
      </rPr>
      <t>신약</t>
    </r>
    <phoneticPr fontId="3" type="noConversion"/>
  </si>
  <si>
    <r>
      <rPr>
        <sz val="8"/>
        <color theme="1"/>
        <rFont val="맑은 고딕"/>
        <family val="3"/>
        <charset val="129"/>
      </rPr>
      <t>제품</t>
    </r>
    <phoneticPr fontId="3" type="noConversion"/>
  </si>
  <si>
    <r>
      <t>13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소발디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판매시작으로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매출증가</t>
    </r>
    <r>
      <rPr>
        <sz val="8"/>
        <color theme="1"/>
        <rFont val="Arial"/>
        <family val="2"/>
      </rPr>
      <t>. 16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3~4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장기계약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체결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예정</t>
    </r>
    <r>
      <rPr>
        <sz val="8"/>
        <color theme="1"/>
        <rFont val="Arial"/>
        <family val="2"/>
      </rPr>
      <t>.</t>
    </r>
    <phoneticPr fontId="3" type="noConversion"/>
  </si>
  <si>
    <r>
      <t>13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매출액</t>
    </r>
    <r>
      <rPr>
        <sz val="8"/>
        <color theme="1"/>
        <rFont val="Arial"/>
        <family val="2"/>
      </rPr>
      <t xml:space="preserve"> 261</t>
    </r>
    <r>
      <rPr>
        <sz val="8"/>
        <color theme="1"/>
        <rFont val="맑은 고딕"/>
        <family val="3"/>
        <charset val="129"/>
      </rPr>
      <t>억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감소</t>
    </r>
    <r>
      <rPr>
        <sz val="8"/>
        <color theme="1"/>
        <rFont val="Arial"/>
        <family val="2"/>
      </rPr>
      <t xml:space="preserve">: </t>
    </r>
    <r>
      <rPr>
        <sz val="8"/>
        <color theme="1"/>
        <rFont val="맑은 고딕"/>
        <family val="3"/>
        <charset val="129"/>
      </rPr>
      <t>외주가공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대상거래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중단</t>
    </r>
    <r>
      <rPr>
        <sz val="8"/>
        <color theme="1"/>
        <rFont val="Arial"/>
        <family val="2"/>
      </rPr>
      <t>(100</t>
    </r>
    <r>
      <rPr>
        <sz val="8"/>
        <color theme="1"/>
        <rFont val="맑은 고딕"/>
        <family val="3"/>
        <charset val="129"/>
      </rPr>
      <t>억</t>
    </r>
    <r>
      <rPr>
        <sz val="8"/>
        <color theme="1"/>
        <rFont val="Arial"/>
        <family val="2"/>
      </rPr>
      <t>), AIDS</t>
    </r>
    <r>
      <rPr>
        <sz val="8"/>
        <color theme="1"/>
        <rFont val="맑은 고딕"/>
        <family val="3"/>
        <charset val="129"/>
      </rPr>
      <t>치료제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중간체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매출중단</t>
    </r>
    <r>
      <rPr>
        <sz val="8"/>
        <color theme="1"/>
        <rFont val="Arial"/>
        <family val="2"/>
      </rPr>
      <t>(97</t>
    </r>
    <r>
      <rPr>
        <sz val="8"/>
        <color theme="1"/>
        <rFont val="맑은 고딕"/>
        <family val="3"/>
        <charset val="129"/>
      </rPr>
      <t>억</t>
    </r>
    <r>
      <rPr>
        <sz val="8"/>
        <color theme="1"/>
        <rFont val="Arial"/>
        <family val="2"/>
      </rPr>
      <t xml:space="preserve">) </t>
    </r>
    <phoneticPr fontId="3" type="noConversion"/>
  </si>
  <si>
    <r>
      <rPr>
        <sz val="8"/>
        <color theme="1"/>
        <rFont val="맑은 고딕"/>
        <family val="3"/>
        <charset val="129"/>
      </rPr>
      <t>전자제품부문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마진율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낮음</t>
    </r>
    <phoneticPr fontId="3" type="noConversion"/>
  </si>
  <si>
    <r>
      <rPr>
        <sz val="8"/>
        <color theme="1"/>
        <rFont val="맑은 고딕"/>
        <family val="3"/>
        <charset val="129"/>
      </rPr>
      <t>연구개발을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최근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신제품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개발</t>
    </r>
    <r>
      <rPr>
        <sz val="8"/>
        <color theme="1"/>
        <rFont val="Arial"/>
        <family val="2"/>
      </rPr>
      <t xml:space="preserve"> -&gt; </t>
    </r>
    <r>
      <rPr>
        <sz val="8"/>
        <color theme="1"/>
        <rFont val="맑은 고딕"/>
        <family val="3"/>
        <charset val="129"/>
      </rPr>
      <t>마진율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개선될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것</t>
    </r>
  </si>
  <si>
    <r>
      <t>14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동아관련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동아홀딩스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감사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권고사항으로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상품판매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지양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3"/>
        <charset val="129"/>
      </rPr>
      <t>체질개선</t>
    </r>
    <r>
      <rPr>
        <sz val="8"/>
        <color theme="1"/>
        <rFont val="Arial"/>
        <family val="2"/>
      </rPr>
      <t xml:space="preserve">), </t>
    </r>
    <r>
      <rPr>
        <sz val="8"/>
        <color theme="1"/>
        <rFont val="맑은 고딕"/>
        <family val="3"/>
        <charset val="129"/>
      </rPr>
      <t>동아의존도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낮추려는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노력</t>
    </r>
    <phoneticPr fontId="3" type="noConversion"/>
  </si>
  <si>
    <r>
      <rPr>
        <sz val="8"/>
        <color theme="1"/>
        <rFont val="맑은 고딕"/>
        <family val="3"/>
        <charset val="129"/>
      </rPr>
      <t>바이오사업</t>
    </r>
    <phoneticPr fontId="3" type="noConversion"/>
  </si>
  <si>
    <r>
      <rPr>
        <sz val="8"/>
        <color theme="1"/>
        <rFont val="맑은 고딕"/>
        <family val="3"/>
        <charset val="129"/>
      </rPr>
      <t>올리오</t>
    </r>
    <r>
      <rPr>
        <sz val="8"/>
        <color theme="1"/>
        <rFont val="Arial"/>
        <family val="2"/>
      </rPr>
      <t xml:space="preserve"> business/</t>
    </r>
    <r>
      <rPr>
        <sz val="8"/>
        <color theme="1"/>
        <rFont val="맑은 고딕"/>
        <family val="3"/>
        <charset val="129"/>
      </rPr>
      <t>올해부터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증가할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예정</t>
    </r>
    <r>
      <rPr>
        <sz val="8"/>
        <color theme="1"/>
        <rFont val="Arial"/>
        <family val="2"/>
      </rPr>
      <t>(100</t>
    </r>
    <r>
      <rPr>
        <sz val="8"/>
        <color theme="1"/>
        <rFont val="맑은 고딕"/>
        <family val="3"/>
        <charset val="129"/>
      </rPr>
      <t>억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규모</t>
    </r>
    <r>
      <rPr>
        <sz val="8"/>
        <color theme="1"/>
        <rFont val="Arial"/>
        <family val="2"/>
      </rPr>
      <t>)/</t>
    </r>
    <r>
      <rPr>
        <sz val="8"/>
        <color theme="1"/>
        <rFont val="맑은 고딕"/>
        <family val="3"/>
        <charset val="129"/>
      </rPr>
      <t>용역매출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주요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사업부문</t>
    </r>
    <phoneticPr fontId="3" type="noConversion"/>
  </si>
  <si>
    <r>
      <rPr>
        <sz val="8"/>
        <color theme="1"/>
        <rFont val="맑은 고딕"/>
        <family val="3"/>
        <charset val="129"/>
      </rPr>
      <t>합계</t>
    </r>
    <phoneticPr fontId="3" type="noConversion"/>
  </si>
  <si>
    <r>
      <rPr>
        <b/>
        <sz val="8"/>
        <color theme="1"/>
        <rFont val="맑은 고딕"/>
        <family val="3"/>
        <charset val="129"/>
      </rPr>
      <t>합계</t>
    </r>
    <phoneticPr fontId="3" type="noConversion"/>
  </si>
  <si>
    <r>
      <t>14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영업이익률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감소</t>
    </r>
    <r>
      <rPr>
        <sz val="8"/>
        <color theme="1"/>
        <rFont val="Arial"/>
        <family val="2"/>
      </rPr>
      <t xml:space="preserve">: </t>
    </r>
    <r>
      <rPr>
        <sz val="8"/>
        <color theme="1"/>
        <rFont val="맑은 고딕"/>
        <family val="3"/>
        <charset val="129"/>
      </rPr>
      <t>정밀화학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</t>
    </r>
    <r>
      <rPr>
        <sz val="8"/>
        <color theme="1"/>
        <rFont val="Arial"/>
        <family val="2"/>
      </rPr>
      <t xml:space="preserve"> mix </t>
    </r>
    <r>
      <rPr>
        <sz val="8"/>
        <color theme="1"/>
        <rFont val="맑은 고딕"/>
        <family val="3"/>
        <charset val="129"/>
      </rPr>
      <t>증가로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인해</t>
    </r>
    <r>
      <rPr>
        <sz val="8"/>
        <color theme="1"/>
        <rFont val="Arial"/>
        <family val="2"/>
      </rPr>
      <t>.</t>
    </r>
    <phoneticPr fontId="3" type="noConversion"/>
  </si>
  <si>
    <r>
      <t xml:space="preserve">* </t>
    </r>
    <r>
      <rPr>
        <i/>
        <sz val="8"/>
        <color theme="1"/>
        <rFont val="맑은 고딕"/>
        <family val="3"/>
        <charset val="129"/>
      </rPr>
      <t>제품</t>
    </r>
    <r>
      <rPr>
        <i/>
        <sz val="8"/>
        <color theme="1"/>
        <rFont val="Arial"/>
        <family val="2"/>
      </rPr>
      <t xml:space="preserve"> </t>
    </r>
    <r>
      <rPr>
        <i/>
        <sz val="8"/>
        <color theme="1"/>
        <rFont val="맑은 고딕"/>
        <family val="3"/>
        <charset val="129"/>
      </rPr>
      <t>마진율</t>
    </r>
    <r>
      <rPr>
        <i/>
        <sz val="8"/>
        <color theme="1"/>
        <rFont val="Arial"/>
        <family val="2"/>
      </rPr>
      <t xml:space="preserve"> : CMO</t>
    </r>
    <r>
      <rPr>
        <i/>
        <sz val="8"/>
        <color theme="1"/>
        <rFont val="맑은 고딕"/>
        <family val="3"/>
        <charset val="129"/>
      </rPr>
      <t>신약</t>
    </r>
    <r>
      <rPr>
        <i/>
        <sz val="8"/>
        <color theme="1"/>
        <rFont val="Arial"/>
        <family val="2"/>
      </rPr>
      <t>&gt;</t>
    </r>
    <r>
      <rPr>
        <i/>
        <sz val="8"/>
        <color theme="1"/>
        <rFont val="맑은 고딕"/>
        <family val="3"/>
        <charset val="129"/>
      </rPr>
      <t>바이오</t>
    </r>
    <r>
      <rPr>
        <i/>
        <sz val="8"/>
        <color theme="1"/>
        <rFont val="Arial"/>
        <family val="2"/>
      </rPr>
      <t>&gt;&gt;&gt;</t>
    </r>
    <r>
      <rPr>
        <i/>
        <sz val="8"/>
        <color theme="1"/>
        <rFont val="맑은 고딕"/>
        <family val="3"/>
        <charset val="129"/>
      </rPr>
      <t>제네릭≥정밀화학</t>
    </r>
    <phoneticPr fontId="3" type="noConversion"/>
  </si>
  <si>
    <t>제품매출총이익률</t>
  </si>
  <si>
    <t>상품매출총이익률</t>
  </si>
  <si>
    <t>사업계획 대비 매출실적</t>
    <phoneticPr fontId="3" type="noConversion"/>
  </si>
  <si>
    <r>
      <t>2014</t>
    </r>
    <r>
      <rPr>
        <b/>
        <sz val="8"/>
        <color theme="1"/>
        <rFont val="맑은 고딕"/>
        <family val="3"/>
        <charset val="129"/>
      </rPr>
      <t>년</t>
    </r>
    <phoneticPr fontId="3" type="noConversion"/>
  </si>
  <si>
    <r>
      <rPr>
        <b/>
        <sz val="8"/>
        <color theme="1"/>
        <rFont val="맑은 고딕"/>
        <family val="3"/>
        <charset val="129"/>
      </rPr>
      <t>목표</t>
    </r>
    <phoneticPr fontId="3" type="noConversion"/>
  </si>
  <si>
    <r>
      <rPr>
        <b/>
        <sz val="8"/>
        <color theme="1"/>
        <rFont val="맑은 고딕"/>
        <family val="3"/>
        <charset val="129"/>
      </rPr>
      <t>실적</t>
    </r>
    <phoneticPr fontId="3" type="noConversion"/>
  </si>
  <si>
    <r>
      <rPr>
        <b/>
        <sz val="8"/>
        <color theme="1"/>
        <rFont val="맑은 고딕"/>
        <family val="3"/>
        <charset val="129"/>
      </rPr>
      <t>달성률</t>
    </r>
    <phoneticPr fontId="3" type="noConversion"/>
  </si>
  <si>
    <r>
      <rPr>
        <b/>
        <sz val="8"/>
        <color theme="1"/>
        <rFont val="맑은 고딕"/>
        <family val="3"/>
        <charset val="129"/>
      </rPr>
      <t>목표</t>
    </r>
    <r>
      <rPr>
        <b/>
        <sz val="8"/>
        <color theme="1"/>
        <rFont val="Arial"/>
        <family val="2"/>
      </rPr>
      <t>(</t>
    </r>
    <r>
      <rPr>
        <b/>
        <sz val="8"/>
        <color theme="1"/>
        <rFont val="맑은 고딕"/>
        <family val="3"/>
        <charset val="129"/>
      </rPr>
      <t>년간</t>
    </r>
    <r>
      <rPr>
        <b/>
        <sz val="8"/>
        <color theme="1"/>
        <rFont val="Arial"/>
        <family val="2"/>
      </rPr>
      <t>)</t>
    </r>
    <phoneticPr fontId="3" type="noConversion"/>
  </si>
  <si>
    <r>
      <rPr>
        <b/>
        <sz val="8"/>
        <color theme="1"/>
        <rFont val="맑은 고딕"/>
        <family val="3"/>
        <charset val="129"/>
      </rPr>
      <t>실적</t>
    </r>
    <r>
      <rPr>
        <b/>
        <sz val="8"/>
        <color theme="1"/>
        <rFont val="Arial"/>
        <family val="2"/>
      </rPr>
      <t>(1~9</t>
    </r>
    <r>
      <rPr>
        <b/>
        <sz val="8"/>
        <color theme="1"/>
        <rFont val="맑은 고딕"/>
        <family val="3"/>
        <charset val="129"/>
      </rPr>
      <t>월</t>
    </r>
    <r>
      <rPr>
        <b/>
        <sz val="8"/>
        <color theme="1"/>
        <rFont val="Arial"/>
        <family val="2"/>
      </rPr>
      <t>)</t>
    </r>
    <phoneticPr fontId="3" type="noConversion"/>
  </si>
  <si>
    <r>
      <rPr>
        <b/>
        <sz val="8"/>
        <color theme="1"/>
        <rFont val="맑은 고딕"/>
        <family val="3"/>
        <charset val="129"/>
      </rPr>
      <t>진도율</t>
    </r>
    <phoneticPr fontId="3" type="noConversion"/>
  </si>
  <si>
    <t>매출 및 매출총이익 overview</t>
    <phoneticPr fontId="3" type="noConversion"/>
  </si>
  <si>
    <t>거래처 별 매출액</t>
    <phoneticPr fontId="3" type="noConversion"/>
  </si>
  <si>
    <t>6개월</t>
    <phoneticPr fontId="3" type="noConversion"/>
  </si>
  <si>
    <t>매출</t>
    <phoneticPr fontId="3" type="noConversion"/>
  </si>
  <si>
    <t>A사</t>
    <phoneticPr fontId="3" type="noConversion"/>
  </si>
  <si>
    <t>Gilead</t>
    <phoneticPr fontId="3" type="noConversion"/>
  </si>
  <si>
    <t>G사</t>
    <phoneticPr fontId="3" type="noConversion"/>
  </si>
  <si>
    <t>동아에스티(?)</t>
    <phoneticPr fontId="3" type="noConversion"/>
  </si>
  <si>
    <t>F사</t>
    <phoneticPr fontId="3" type="noConversion"/>
  </si>
  <si>
    <t>천보(?)</t>
    <phoneticPr fontId="3" type="noConversion"/>
  </si>
  <si>
    <t>용역</t>
    <phoneticPr fontId="3" type="noConversion"/>
  </si>
  <si>
    <t>C사</t>
    <phoneticPr fontId="3" type="noConversion"/>
  </si>
  <si>
    <t>BMSI</t>
    <phoneticPr fontId="3" type="noConversion"/>
  </si>
  <si>
    <t>매출원가</t>
    <phoneticPr fontId="3" type="noConversion"/>
  </si>
  <si>
    <t>D사</t>
    <phoneticPr fontId="3" type="noConversion"/>
  </si>
  <si>
    <t>천보정밀</t>
    <phoneticPr fontId="3" type="noConversion"/>
  </si>
  <si>
    <t>B사</t>
    <phoneticPr fontId="3" type="noConversion"/>
  </si>
  <si>
    <t>동아제약</t>
    <phoneticPr fontId="3" type="noConversion"/>
  </si>
  <si>
    <t>E사</t>
    <phoneticPr fontId="3" type="noConversion"/>
  </si>
  <si>
    <t>Novartis</t>
    <phoneticPr fontId="3" type="noConversion"/>
  </si>
  <si>
    <t>매출총이익</t>
    <phoneticPr fontId="3" type="noConversion"/>
  </si>
  <si>
    <t>기타</t>
    <phoneticPr fontId="3" type="noConversion"/>
  </si>
  <si>
    <t>TOP 업체 매출%</t>
    <phoneticPr fontId="3" type="noConversion"/>
  </si>
  <si>
    <t>연도별 고객 수</t>
    <phoneticPr fontId="3" type="noConversion"/>
  </si>
  <si>
    <t>매출총이익%</t>
    <phoneticPr fontId="3" type="noConversion"/>
  </si>
  <si>
    <t>제품%</t>
    <phoneticPr fontId="3" type="noConversion"/>
  </si>
  <si>
    <t>상품%</t>
    <phoneticPr fontId="3" type="noConversion"/>
  </si>
  <si>
    <t>매출 합계</t>
    <phoneticPr fontId="3" type="noConversion"/>
  </si>
  <si>
    <t>2015년 6개월</t>
    <phoneticPr fontId="3" type="noConversion"/>
  </si>
  <si>
    <t>제품 국내매출</t>
    <phoneticPr fontId="3" type="noConversion"/>
  </si>
  <si>
    <t>제품 수출</t>
    <phoneticPr fontId="3" type="noConversion"/>
  </si>
  <si>
    <t>상품 국내매출</t>
    <phoneticPr fontId="3" type="noConversion"/>
  </si>
  <si>
    <t>상품수출 및 용역매출</t>
    <phoneticPr fontId="3" type="noConversion"/>
  </si>
  <si>
    <t>상품-해외</t>
    <phoneticPr fontId="3" type="noConversion"/>
  </si>
  <si>
    <t>용역-국내</t>
    <phoneticPr fontId="3" type="noConversion"/>
  </si>
  <si>
    <t>용역-해외</t>
    <phoneticPr fontId="3" type="noConversion"/>
  </si>
  <si>
    <t>국내매출</t>
    <phoneticPr fontId="3" type="noConversion"/>
  </si>
  <si>
    <t>수출</t>
    <phoneticPr fontId="3" type="noConversion"/>
  </si>
  <si>
    <t>연도별 매출처 상위 TOP5</t>
  </si>
  <si>
    <t>(단위 : 백만원)</t>
  </si>
  <si>
    <t xml:space="preserve">고객별 매출 </t>
    <phoneticPr fontId="3" type="noConversion"/>
  </si>
  <si>
    <t>2012년</t>
    <phoneticPr fontId="3" type="noConversion"/>
  </si>
  <si>
    <t>%</t>
    <phoneticPr fontId="3" type="noConversion"/>
  </si>
  <si>
    <t>B사</t>
  </si>
  <si>
    <t>Top 5 매출 비중</t>
    <phoneticPr fontId="3" type="noConversion"/>
  </si>
  <si>
    <t>A사</t>
  </si>
  <si>
    <t>거래처 수</t>
    <phoneticPr fontId="3" type="noConversion"/>
  </si>
  <si>
    <t>C사</t>
  </si>
  <si>
    <t>Non-Top 5 평균 매출</t>
    <phoneticPr fontId="3" type="noConversion"/>
  </si>
  <si>
    <t>E사</t>
  </si>
  <si>
    <t>D사</t>
  </si>
  <si>
    <t>기타</t>
  </si>
  <si>
    <t>Top 5</t>
    <phoneticPr fontId="3" type="noConversion"/>
  </si>
  <si>
    <t>Top 5</t>
  </si>
  <si>
    <t>특수관계자 수익 및 비용</t>
    <phoneticPr fontId="3" type="noConversion"/>
  </si>
  <si>
    <t>2013년</t>
    <phoneticPr fontId="3" type="noConversion"/>
  </si>
  <si>
    <t>수익</t>
    <phoneticPr fontId="3" type="noConversion"/>
  </si>
  <si>
    <t>동아쏘시오홀딩스</t>
    <phoneticPr fontId="3" type="noConversion"/>
  </si>
  <si>
    <t>동아에스티</t>
    <phoneticPr fontId="3" type="noConversion"/>
  </si>
  <si>
    <t>동아오츠카</t>
    <phoneticPr fontId="3" type="noConversion"/>
  </si>
  <si>
    <r>
      <rPr>
        <b/>
        <sz val="8"/>
        <color rgb="FF000000"/>
        <rFont val="맑은 고딕"/>
        <family val="3"/>
        <charset val="129"/>
        <scheme val="minor"/>
      </rPr>
      <t>합계</t>
    </r>
    <phoneticPr fontId="3" type="noConversion"/>
  </si>
  <si>
    <t>총수익</t>
    <phoneticPr fontId="3" type="noConversion"/>
  </si>
  <si>
    <t>관계사비중%</t>
    <phoneticPr fontId="3" type="noConversion"/>
  </si>
  <si>
    <t>비용</t>
    <phoneticPr fontId="3" type="noConversion"/>
  </si>
  <si>
    <t>용마로지스</t>
    <phoneticPr fontId="3" type="noConversion"/>
  </si>
  <si>
    <t>DA인포메이션</t>
    <phoneticPr fontId="3" type="noConversion"/>
  </si>
  <si>
    <r>
      <rPr>
        <b/>
        <sz val="8"/>
        <color rgb="FFFFFFFF"/>
        <rFont val="맑은 고딕"/>
        <family val="3"/>
        <charset val="129"/>
      </rPr>
      <t>특수관계자간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맑은 고딕"/>
        <family val="3"/>
        <charset val="129"/>
      </rPr>
      <t>자산취득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맑은 고딕"/>
        <family val="3"/>
        <charset val="129"/>
      </rPr>
      <t>현황</t>
    </r>
    <phoneticPr fontId="3" type="noConversion"/>
  </si>
  <si>
    <r>
      <t>2012</t>
    </r>
    <r>
      <rPr>
        <b/>
        <sz val="8"/>
        <color rgb="FF000000"/>
        <rFont val="맑은 고딕"/>
        <family val="3"/>
        <charset val="129"/>
        <scheme val="minor"/>
      </rPr>
      <t>년</t>
    </r>
    <phoneticPr fontId="3" type="noConversion"/>
  </si>
  <si>
    <r>
      <t>2013</t>
    </r>
    <r>
      <rPr>
        <b/>
        <sz val="8"/>
        <color rgb="FF000000"/>
        <rFont val="맑은 고딕"/>
        <family val="3"/>
        <charset val="129"/>
        <scheme val="minor"/>
      </rPr>
      <t>년</t>
    </r>
    <phoneticPr fontId="3" type="noConversion"/>
  </si>
  <si>
    <r>
      <t>2014</t>
    </r>
    <r>
      <rPr>
        <b/>
        <sz val="8"/>
        <color rgb="FF000000"/>
        <rFont val="맑은 고딕"/>
        <family val="3"/>
        <charset val="129"/>
        <scheme val="minor"/>
      </rPr>
      <t>년</t>
    </r>
    <phoneticPr fontId="3" type="noConversion"/>
  </si>
  <si>
    <r>
      <rPr>
        <b/>
        <sz val="8"/>
        <color rgb="FF000000"/>
        <rFont val="돋움"/>
        <family val="3"/>
        <charset val="129"/>
      </rPr>
      <t>백만원</t>
    </r>
    <phoneticPr fontId="3" type="noConversion"/>
  </si>
  <si>
    <r>
      <t>12</t>
    </r>
    <r>
      <rPr>
        <b/>
        <sz val="8"/>
        <color rgb="FF000000"/>
        <rFont val="맑은 고딕"/>
        <family val="3"/>
        <charset val="129"/>
        <scheme val="minor"/>
      </rPr>
      <t>개월</t>
    </r>
    <phoneticPr fontId="3" type="noConversion"/>
  </si>
  <si>
    <r>
      <t>12</t>
    </r>
    <r>
      <rPr>
        <b/>
        <sz val="8"/>
        <color rgb="FF000000"/>
        <rFont val="맑은 고딕"/>
        <family val="3"/>
        <charset val="129"/>
        <scheme val="minor"/>
      </rPr>
      <t>개월</t>
    </r>
  </si>
  <si>
    <r>
      <rPr>
        <b/>
        <sz val="8"/>
        <rFont val="맑은 고딕"/>
        <family val="3"/>
        <charset val="129"/>
      </rPr>
      <t>자산취득</t>
    </r>
    <phoneticPr fontId="3" type="noConversion"/>
  </si>
  <si>
    <r>
      <rPr>
        <sz val="8"/>
        <rFont val="맑은 고딕"/>
        <family val="3"/>
        <charset val="129"/>
      </rPr>
      <t>철근종합건설</t>
    </r>
    <phoneticPr fontId="3" type="noConversion"/>
  </si>
  <si>
    <r>
      <rPr>
        <sz val="8"/>
        <rFont val="맑은 고딕"/>
        <family val="3"/>
        <charset val="129"/>
      </rPr>
      <t>기타</t>
    </r>
    <phoneticPr fontId="3" type="noConversion"/>
  </si>
  <si>
    <r>
      <rPr>
        <b/>
        <sz val="8"/>
        <color rgb="FFFFFFFF"/>
        <rFont val="맑은 고딕"/>
        <family val="3"/>
        <charset val="129"/>
      </rPr>
      <t>특수관계자간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맑은 고딕"/>
        <family val="3"/>
        <charset val="129"/>
      </rPr>
      <t>자산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맑은 고딕"/>
        <family val="3"/>
        <charset val="129"/>
      </rPr>
      <t>및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맑은 고딕"/>
        <family val="3"/>
        <charset val="129"/>
      </rPr>
      <t>부채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맑은 고딕"/>
        <family val="3"/>
        <charset val="129"/>
      </rPr>
      <t>현황</t>
    </r>
    <phoneticPr fontId="3" type="noConversion"/>
  </si>
  <si>
    <r>
      <t>12</t>
    </r>
    <r>
      <rPr>
        <b/>
        <sz val="8"/>
        <color rgb="FF000000"/>
        <rFont val="돋움"/>
        <family val="3"/>
        <charset val="129"/>
      </rPr>
      <t>월</t>
    </r>
    <r>
      <rPr>
        <b/>
        <sz val="8"/>
        <color rgb="FF000000"/>
        <rFont val="Arial"/>
        <family val="2"/>
      </rPr>
      <t>31</t>
    </r>
    <r>
      <rPr>
        <b/>
        <sz val="8"/>
        <color rgb="FF000000"/>
        <rFont val="돋움"/>
        <family val="3"/>
        <charset val="129"/>
      </rPr>
      <t>일</t>
    </r>
    <phoneticPr fontId="3" type="noConversion"/>
  </si>
  <si>
    <t>매출채권, 미수금</t>
    <phoneticPr fontId="3" type="noConversion"/>
  </si>
  <si>
    <t>매입채무, 미지급금, 미지급비용</t>
    <phoneticPr fontId="3" type="noConversion"/>
  </si>
  <si>
    <t>용마로지스</t>
  </si>
  <si>
    <t>동아오츠카</t>
  </si>
  <si>
    <t>DA인포메이션</t>
  </si>
  <si>
    <t>철근종합건설</t>
  </si>
  <si>
    <t>임차보증금</t>
    <phoneticPr fontId="3" type="noConversion"/>
  </si>
  <si>
    <t>기타금융부채</t>
    <phoneticPr fontId="3" type="noConversion"/>
  </si>
  <si>
    <t>제품매출원가 overview</t>
    <phoneticPr fontId="3" type="noConversion"/>
  </si>
  <si>
    <t>원재료비</t>
    <phoneticPr fontId="31" type="noConversion"/>
  </si>
  <si>
    <t>당기원재료매입액</t>
    <phoneticPr fontId="31" type="noConversion"/>
  </si>
  <si>
    <t>타계정대체입</t>
    <phoneticPr fontId="31" type="noConversion"/>
  </si>
  <si>
    <t>타계정대체출</t>
    <phoneticPr fontId="31" type="noConversion"/>
  </si>
  <si>
    <t>기초원재료재고액</t>
    <phoneticPr fontId="31" type="noConversion"/>
  </si>
  <si>
    <t>기말원재료재고액</t>
    <phoneticPr fontId="31" type="noConversion"/>
  </si>
  <si>
    <t>노무비</t>
    <phoneticPr fontId="31" type="noConversion"/>
  </si>
  <si>
    <t>제조경비</t>
    <phoneticPr fontId="31" type="noConversion"/>
  </si>
  <si>
    <t>감가상각비</t>
    <phoneticPr fontId="31" type="noConversion"/>
  </si>
  <si>
    <t>소모품비</t>
    <phoneticPr fontId="31" type="noConversion"/>
  </si>
  <si>
    <t>전력비</t>
    <phoneticPr fontId="31" type="noConversion"/>
  </si>
  <si>
    <t>폐기물처리비</t>
    <phoneticPr fontId="31" type="noConversion"/>
  </si>
  <si>
    <t>기타제조경비</t>
    <phoneticPr fontId="3" type="noConversion"/>
  </si>
  <si>
    <t>당기총제조비용</t>
    <phoneticPr fontId="31" type="noConversion"/>
  </si>
  <si>
    <t>당기반제품제조원가</t>
    <phoneticPr fontId="31" type="noConversion"/>
  </si>
  <si>
    <t>반제품 대체</t>
    <phoneticPr fontId="3" type="noConversion"/>
  </si>
  <si>
    <t>타계정에서대체</t>
    <phoneticPr fontId="31" type="noConversion"/>
  </si>
  <si>
    <t>반제품에서 제품전환</t>
    <phoneticPr fontId="31" type="noConversion"/>
  </si>
  <si>
    <t>반제품평가손실증감</t>
    <phoneticPr fontId="31" type="noConversion"/>
  </si>
  <si>
    <t>타계정으로대체</t>
    <phoneticPr fontId="31" type="noConversion"/>
  </si>
  <si>
    <t>재공품변동</t>
    <phoneticPr fontId="3" type="noConversion"/>
  </si>
  <si>
    <t>기초재공품대체</t>
    <phoneticPr fontId="31" type="noConversion"/>
  </si>
  <si>
    <t>기말재공품재고액</t>
    <phoneticPr fontId="31" type="noConversion"/>
  </si>
  <si>
    <t>당기제품제조원가</t>
    <phoneticPr fontId="31" type="noConversion"/>
  </si>
  <si>
    <t>타계정으로대체</t>
    <phoneticPr fontId="3" type="noConversion"/>
  </si>
  <si>
    <t>제품재고변동/관세환급</t>
    <phoneticPr fontId="3" type="noConversion"/>
  </si>
  <si>
    <t>기초제품재고액</t>
  </si>
  <si>
    <t>기말제품재고액</t>
  </si>
  <si>
    <t>관세환급</t>
    <phoneticPr fontId="3" type="noConversion"/>
  </si>
  <si>
    <t>제품매출원가</t>
    <phoneticPr fontId="3" type="noConversion"/>
  </si>
  <si>
    <t>제품매출원가%</t>
    <phoneticPr fontId="3" type="noConversion"/>
  </si>
  <si>
    <t>조정후 제품매출원가%</t>
    <phoneticPr fontId="3" type="noConversion"/>
  </si>
  <si>
    <t>재고 평가손익 조정</t>
    <phoneticPr fontId="3" type="noConversion"/>
  </si>
  <si>
    <t>조정후 제품매출원가</t>
    <phoneticPr fontId="3" type="noConversion"/>
  </si>
  <si>
    <t>제품매출</t>
    <phoneticPr fontId="3" type="noConversion"/>
  </si>
  <si>
    <t>상품매출원가 overview</t>
    <phoneticPr fontId="3" type="noConversion"/>
  </si>
  <si>
    <t>당기상품매입액</t>
  </si>
  <si>
    <t>원가율 높은(90% 이상) 정밀화학 쪽 상품 매출 증가</t>
    <phoneticPr fontId="3" type="noConversion"/>
  </si>
  <si>
    <t>상품재고변동</t>
    <phoneticPr fontId="3" type="noConversion"/>
  </si>
  <si>
    <t>타계정으로대체</t>
  </si>
  <si>
    <t>기초상품재고액</t>
  </si>
  <si>
    <t>기말상품재고액</t>
  </si>
  <si>
    <t>상품매출원가</t>
    <phoneticPr fontId="3" type="noConversion"/>
  </si>
  <si>
    <t>상품매출%</t>
    <phoneticPr fontId="3" type="noConversion"/>
  </si>
  <si>
    <t>상품매출</t>
    <phoneticPr fontId="3" type="noConversion"/>
  </si>
  <si>
    <t>재고자산 평가손실 및 환입액</t>
    <phoneticPr fontId="3" type="noConversion"/>
  </si>
  <si>
    <t>재고자산평가손실</t>
    <phoneticPr fontId="3" type="noConversion"/>
  </si>
  <si>
    <t>재고자산평가손실환입</t>
    <phoneticPr fontId="3" type="noConversion"/>
  </si>
  <si>
    <t>매출원가 가산(차감)</t>
    <phoneticPr fontId="3" type="noConversion"/>
  </si>
  <si>
    <t>제품 매출총이익률</t>
    <phoneticPr fontId="3" type="noConversion"/>
  </si>
  <si>
    <t>재고평가 효과 조정 전</t>
    <phoneticPr fontId="3" type="noConversion"/>
  </si>
  <si>
    <t>재고평가 효과 조정 후</t>
    <phoneticPr fontId="3" type="noConversion"/>
  </si>
  <si>
    <t>조정후 제품 매출총이익%</t>
    <phoneticPr fontId="3" type="noConversion"/>
  </si>
  <si>
    <t>환입분만 조정</t>
    <phoneticPr fontId="3" type="noConversion"/>
  </si>
  <si>
    <t>재고평가 효과분</t>
    <phoneticPr fontId="3" type="noConversion"/>
  </si>
  <si>
    <t>운전자본</t>
    <phoneticPr fontId="3" type="noConversion"/>
  </si>
  <si>
    <t>2010년</t>
    <phoneticPr fontId="3" type="noConversion"/>
  </si>
  <si>
    <t>2011년</t>
    <phoneticPr fontId="3" type="noConversion"/>
  </si>
  <si>
    <t>백만원, 일</t>
    <phoneticPr fontId="3" type="noConversion"/>
  </si>
  <si>
    <t>순운전자본</t>
    <phoneticPr fontId="3" type="noConversion"/>
  </si>
  <si>
    <t>매출채권</t>
    <phoneticPr fontId="3" type="noConversion"/>
  </si>
  <si>
    <t>재고자산</t>
    <phoneticPr fontId="3" type="noConversion"/>
  </si>
  <si>
    <t>매입채무</t>
    <phoneticPr fontId="3" type="noConversion"/>
  </si>
  <si>
    <t>순운전자본 합계</t>
    <phoneticPr fontId="3" type="noConversion"/>
  </si>
  <si>
    <t>순운전자본 변동</t>
    <phoneticPr fontId="3" type="noConversion"/>
  </si>
  <si>
    <t>매출액%</t>
    <phoneticPr fontId="3" type="noConversion"/>
  </si>
  <si>
    <t>회전기일</t>
    <phoneticPr fontId="3" type="noConversion"/>
  </si>
  <si>
    <t>매출채권/매출액</t>
    <phoneticPr fontId="3" type="noConversion"/>
  </si>
  <si>
    <t>재고자산/매출원가</t>
    <phoneticPr fontId="3" type="noConversion"/>
  </si>
  <si>
    <t>재고자산/매출액</t>
    <phoneticPr fontId="3" type="noConversion"/>
  </si>
  <si>
    <t>운전자본 계정 기말잔액</t>
    <phoneticPr fontId="3" type="noConversion"/>
  </si>
  <si>
    <t>2015년 9월</t>
    <phoneticPr fontId="3" type="noConversion"/>
  </si>
  <si>
    <t>2015년 6월</t>
    <phoneticPr fontId="3" type="noConversion"/>
  </si>
  <si>
    <t>&lt;for chart&gt;</t>
    <phoneticPr fontId="3" type="noConversion"/>
  </si>
  <si>
    <t>매출액 대비 순운전자본%</t>
    <phoneticPr fontId="3" type="noConversion"/>
  </si>
  <si>
    <t>인건비</t>
    <phoneticPr fontId="3" type="noConversion"/>
  </si>
  <si>
    <t>급여와 상여</t>
    <phoneticPr fontId="3" type="noConversion"/>
  </si>
  <si>
    <t>임원</t>
    <phoneticPr fontId="3" type="noConversion"/>
  </si>
  <si>
    <t>급여</t>
    <phoneticPr fontId="3" type="noConversion"/>
  </si>
  <si>
    <t>상여</t>
    <phoneticPr fontId="3" type="noConversion"/>
  </si>
  <si>
    <t>직원</t>
  </si>
  <si>
    <t>인건비 총액</t>
    <phoneticPr fontId="3" type="noConversion"/>
  </si>
  <si>
    <t>% of Growth</t>
    <phoneticPr fontId="3" type="noConversion"/>
  </si>
  <si>
    <t>n/a</t>
    <phoneticPr fontId="3" type="noConversion"/>
  </si>
  <si>
    <t>제조원가</t>
    <phoneticPr fontId="3" type="noConversion"/>
  </si>
  <si>
    <t>판관비(연구개발비 외)</t>
    <phoneticPr fontId="3" type="noConversion"/>
  </si>
  <si>
    <t>연구개발비</t>
    <phoneticPr fontId="3" type="noConversion"/>
  </si>
  <si>
    <t>1인당 인건비</t>
    <phoneticPr fontId="3" type="noConversion"/>
  </si>
  <si>
    <t>인원 수(명)</t>
    <phoneticPr fontId="3" type="noConversion"/>
  </si>
  <si>
    <t>생산/관리 직원</t>
    <phoneticPr fontId="3" type="noConversion"/>
  </si>
  <si>
    <t>연구/개발 직원</t>
    <phoneticPr fontId="3" type="noConversion"/>
  </si>
  <si>
    <t>1인당 급여와 상여</t>
    <phoneticPr fontId="3" type="noConversion"/>
  </si>
  <si>
    <t>직원</t>
    <phoneticPr fontId="3" type="noConversion"/>
  </si>
  <si>
    <t>생산/관리 인력</t>
    <phoneticPr fontId="3" type="noConversion"/>
  </si>
  <si>
    <t>연구/개발 인력</t>
    <phoneticPr fontId="3" type="noConversion"/>
  </si>
  <si>
    <t>CAPEX</t>
    <phoneticPr fontId="3" type="noConversion"/>
  </si>
  <si>
    <t>유형자산 취득 관련 현금유출입</t>
    <phoneticPr fontId="3" type="noConversion"/>
  </si>
  <si>
    <t>유형자산 취득</t>
    <phoneticPr fontId="3" type="noConversion"/>
  </si>
  <si>
    <t>차입금 순차입</t>
    <phoneticPr fontId="3" type="noConversion"/>
  </si>
  <si>
    <t>경상연구개발비</t>
    <phoneticPr fontId="3" type="noConversion"/>
  </si>
  <si>
    <t>경상연구개발비 내역</t>
    <phoneticPr fontId="3" type="noConversion"/>
  </si>
  <si>
    <t>시료,원재료,소모품비</t>
    <phoneticPr fontId="3" type="noConversion"/>
  </si>
  <si>
    <t>감가상각비</t>
    <phoneticPr fontId="3" type="noConversion"/>
  </si>
  <si>
    <t>위탁연구비</t>
    <phoneticPr fontId="3" type="noConversion"/>
  </si>
  <si>
    <t>구성비율</t>
    <phoneticPr fontId="3" type="noConversion"/>
  </si>
  <si>
    <t>인건비%</t>
    <phoneticPr fontId="3" type="noConversion"/>
  </si>
  <si>
    <t>시료,원재료,소모품비%</t>
    <phoneticPr fontId="3" type="noConversion"/>
  </si>
  <si>
    <t>감가상각비%</t>
    <phoneticPr fontId="3" type="noConversion"/>
  </si>
  <si>
    <t>위탁연구비%</t>
    <phoneticPr fontId="3" type="noConversion"/>
  </si>
  <si>
    <t>기타%</t>
    <phoneticPr fontId="3" type="noConversion"/>
  </si>
  <si>
    <t>제조원가명세서</t>
    <phoneticPr fontId="3" type="noConversion"/>
  </si>
  <si>
    <t>당기총제조비용</t>
  </si>
  <si>
    <t>원재료비</t>
  </si>
  <si>
    <t>노무비</t>
  </si>
  <si>
    <t>제조경비</t>
  </si>
  <si>
    <t>정부지원 과제 현황(2015년 10월 28일 기준)</t>
    <phoneticPr fontId="3" type="noConversion"/>
  </si>
  <si>
    <t>해당기관</t>
    <phoneticPr fontId="31" type="noConversion"/>
  </si>
  <si>
    <t>사업명
(사내별명)</t>
    <phoneticPr fontId="31" type="noConversion"/>
  </si>
  <si>
    <t>과제명</t>
    <phoneticPr fontId="31" type="noConversion"/>
  </si>
  <si>
    <t>산업통상자원부</t>
    <phoneticPr fontId="31" type="noConversion"/>
  </si>
  <si>
    <t>부품소재기술개발사업
( 지경부과제)</t>
    <phoneticPr fontId="31" type="noConversion"/>
  </si>
  <si>
    <t>고순도 Montelukast, Olmesartan, Paliperidone 핵심소재 대량생산 기술개발</t>
    <phoneticPr fontId="31" type="noConversion"/>
  </si>
  <si>
    <t>기술혁신개발사업
(산업원천기술과제)</t>
    <phoneticPr fontId="31" type="noConversion"/>
  </si>
  <si>
    <t>핵산조절기술을 이용한 항바이러스 핵산치료제 개발</t>
    <phoneticPr fontId="78" type="noConversion"/>
  </si>
  <si>
    <t>산업통상자원부</t>
    <phoneticPr fontId="78" type="noConversion"/>
  </si>
  <si>
    <t>기술혁신개발사업
(WPM과제)</t>
    <phoneticPr fontId="31" type="noConversion"/>
  </si>
  <si>
    <t>폴리케톤소재개발</t>
    <phoneticPr fontId="78" type="noConversion"/>
  </si>
  <si>
    <t>우수기술연구소사업
(ATC과제)</t>
    <phoneticPr fontId="31" type="noConversion"/>
  </si>
  <si>
    <t>의약용 뉴클레오사이드 모노머 및 올리고뉴클레오타이드의 양산기술 개발</t>
    <phoneticPr fontId="78" type="noConversion"/>
  </si>
  <si>
    <t>기술혁신개발사업
(신성장과제)</t>
    <phoneticPr fontId="78" type="noConversion"/>
  </si>
  <si>
    <t>사업화연계기술개발
(2차전지전해질주요첨가제개발)</t>
    <phoneticPr fontId="78" type="noConversion"/>
  </si>
  <si>
    <t>보건복지부</t>
    <phoneticPr fontId="31" type="noConversion"/>
  </si>
  <si>
    <t>혁신형제약기업국제공동연구과제
(국제공동연구과제)</t>
    <phoneticPr fontId="78" type="noConversion"/>
  </si>
  <si>
    <t>올리고 약물에 사용되는 EMM 모노머의 고품질 제조 공정 개발</t>
    <phoneticPr fontId="78" type="noConversion"/>
  </si>
  <si>
    <t>범부처신약개발사업단</t>
    <phoneticPr fontId="31" type="noConversion"/>
  </si>
  <si>
    <t>범부처전주기
신약개발사업
(범부처과제)</t>
    <phoneticPr fontId="78" type="noConversion"/>
  </si>
  <si>
    <t>알츠하이머병 치료를 위한 microRNA 조절 혁신 신약 개발</t>
    <phoneticPr fontId="78" type="noConversion"/>
  </si>
  <si>
    <t>범부처전주기
신약개발사업
(범부처과제2)</t>
    <phoneticPr fontId="78" type="noConversion"/>
  </si>
  <si>
    <t>Oral Heparin 과제</t>
    <phoneticPr fontId="78" type="noConversion"/>
  </si>
  <si>
    <t>범부처전주기
신약개발사업
(범부처과제3)</t>
    <phoneticPr fontId="78" type="noConversion"/>
  </si>
  <si>
    <t>Tankyrase 저해제를 이용한 항암제 후보물질 개발</t>
    <phoneticPr fontId="79" type="noConversion"/>
  </si>
  <si>
    <t>12월31일</t>
    <phoneticPr fontId="3" type="noConversion"/>
  </si>
  <si>
    <t>9월30일</t>
    <phoneticPr fontId="3" type="noConversion"/>
  </si>
  <si>
    <t>만기 미도래</t>
    <phoneticPr fontId="3" type="noConversion"/>
  </si>
  <si>
    <t>만기경과 ~ 6개월</t>
    <phoneticPr fontId="3" type="noConversion"/>
  </si>
  <si>
    <t>NP</t>
    <phoneticPr fontId="3" type="noConversion"/>
  </si>
  <si>
    <t>6개월 ~ 9개월</t>
    <phoneticPr fontId="3" type="noConversion"/>
  </si>
  <si>
    <t>9개월 ~ 12개월</t>
    <phoneticPr fontId="3" type="noConversion"/>
  </si>
  <si>
    <t>12개월 초과</t>
  </si>
  <si>
    <t>매출채권 총 장부금액</t>
  </si>
  <si>
    <t xml:space="preserve"> (대손충당금)</t>
    <phoneticPr fontId="3" type="noConversion"/>
  </si>
  <si>
    <t>매출채권 순 장부금액</t>
  </si>
  <si>
    <t>대손설정%</t>
    <phoneticPr fontId="3" type="noConversion"/>
  </si>
  <si>
    <r>
      <t xml:space="preserve">(1) </t>
    </r>
    <r>
      <rPr>
        <sz val="8"/>
        <color theme="1"/>
        <rFont val="맑은 고딕"/>
        <family val="3"/>
        <charset val="129"/>
      </rPr>
      <t>매출채권은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대손충당금이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차감된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순액으로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재무상태표에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표시되었는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바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당기말과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전기말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현재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대손충당금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차감전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총액기준에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매출채권과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대손충당금의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내역은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같습니다</t>
    </r>
    <r>
      <rPr>
        <sz val="8"/>
        <color theme="1"/>
        <rFont val="Arial"/>
        <family val="2"/>
      </rPr>
      <t>.</t>
    </r>
    <phoneticPr fontId="3" type="noConversion"/>
  </si>
  <si>
    <r>
      <t>aging-1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이상이면</t>
    </r>
    <r>
      <rPr>
        <sz val="8"/>
        <color theme="1"/>
        <rFont val="Arial"/>
        <family val="2"/>
      </rPr>
      <t xml:space="preserve"> 100% </t>
    </r>
    <r>
      <rPr>
        <sz val="8"/>
        <color theme="1"/>
        <rFont val="맑은 고딕"/>
        <family val="3"/>
        <charset val="129"/>
      </rPr>
      <t>인식</t>
    </r>
    <r>
      <rPr>
        <sz val="8"/>
        <color theme="1"/>
        <rFont val="Arial"/>
        <family val="2"/>
      </rPr>
      <t>, 1</t>
    </r>
    <r>
      <rPr>
        <sz val="8"/>
        <color theme="1"/>
        <rFont val="맑은 고딕"/>
        <family val="3"/>
        <charset val="129"/>
      </rPr>
      <t>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미만이면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충당금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설정하지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않음</t>
    </r>
    <r>
      <rPr>
        <sz val="8"/>
        <color theme="1"/>
        <rFont val="Arial"/>
        <family val="2"/>
      </rPr>
      <t>.</t>
    </r>
    <phoneticPr fontId="3" type="noConversion"/>
  </si>
  <si>
    <r>
      <rPr>
        <b/>
        <sz val="8"/>
        <color rgb="FF000000"/>
        <rFont val="맑은 고딕"/>
        <family val="3"/>
        <charset val="129"/>
      </rPr>
      <t>구분</t>
    </r>
  </si>
  <si>
    <r>
      <t>2010</t>
    </r>
    <r>
      <rPr>
        <b/>
        <sz val="8"/>
        <color rgb="FF000000"/>
        <rFont val="맑은 고딕"/>
        <family val="3"/>
        <charset val="129"/>
      </rPr>
      <t>년</t>
    </r>
    <phoneticPr fontId="3" type="noConversion"/>
  </si>
  <si>
    <r>
      <t>2011</t>
    </r>
    <r>
      <rPr>
        <b/>
        <sz val="8"/>
        <color rgb="FF000000"/>
        <rFont val="맑은 고딕"/>
        <family val="3"/>
        <charset val="129"/>
      </rPr>
      <t>년</t>
    </r>
  </si>
  <si>
    <r>
      <t>2015</t>
    </r>
    <r>
      <rPr>
        <b/>
        <sz val="8"/>
        <color rgb="FF000000"/>
        <rFont val="맑은 고딕"/>
        <family val="3"/>
        <charset val="129"/>
      </rPr>
      <t>년</t>
    </r>
    <r>
      <rPr>
        <b/>
        <sz val="8"/>
        <color rgb="FF000000"/>
        <rFont val="Arial"/>
        <family val="2"/>
      </rPr>
      <t xml:space="preserve"> 6</t>
    </r>
    <r>
      <rPr>
        <b/>
        <sz val="8"/>
        <color rgb="FF000000"/>
        <rFont val="맑은 고딕"/>
        <family val="3"/>
        <charset val="129"/>
      </rPr>
      <t>월</t>
    </r>
    <phoneticPr fontId="3" type="noConversion"/>
  </si>
  <si>
    <r>
      <t>2015</t>
    </r>
    <r>
      <rPr>
        <b/>
        <sz val="8"/>
        <color rgb="FF000000"/>
        <rFont val="맑은 고딕"/>
        <family val="3"/>
        <charset val="129"/>
      </rPr>
      <t>년</t>
    </r>
    <r>
      <rPr>
        <b/>
        <sz val="8"/>
        <color rgb="FF000000"/>
        <rFont val="Arial"/>
        <family val="2"/>
      </rPr>
      <t xml:space="preserve"> 9</t>
    </r>
    <r>
      <rPr>
        <b/>
        <sz val="8"/>
        <color rgb="FF000000"/>
        <rFont val="맑은 고딕"/>
        <family val="3"/>
        <charset val="129"/>
      </rPr>
      <t>월</t>
    </r>
    <phoneticPr fontId="3" type="noConversion"/>
  </si>
  <si>
    <r>
      <rPr>
        <sz val="8"/>
        <color theme="1"/>
        <rFont val="맑은 고딕"/>
        <family val="3"/>
        <charset val="129"/>
      </rPr>
      <t>보통</t>
    </r>
    <r>
      <rPr>
        <sz val="8"/>
        <color theme="1"/>
        <rFont val="Arial"/>
        <family val="2"/>
      </rPr>
      <t xml:space="preserve"> 60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>~90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해외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바이오신약은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대학교들이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많아</t>
    </r>
    <r>
      <rPr>
        <sz val="8"/>
        <color theme="1"/>
        <rFont val="Arial"/>
        <family val="2"/>
      </rPr>
      <t xml:space="preserve"> 6</t>
    </r>
    <r>
      <rPr>
        <sz val="8"/>
        <color theme="1"/>
        <rFont val="맑은 고딕"/>
        <family val="3"/>
        <charset val="129"/>
      </rPr>
      <t>개월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가기도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함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국내대학교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쪽도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늦은편</t>
    </r>
    <r>
      <rPr>
        <sz val="8"/>
        <color theme="1"/>
        <rFont val="Arial"/>
        <family val="2"/>
      </rPr>
      <t>.</t>
    </r>
    <phoneticPr fontId="3" type="noConversion"/>
  </si>
  <si>
    <r>
      <rPr>
        <sz val="8"/>
        <color rgb="FF000000"/>
        <rFont val="맑은 고딕"/>
        <family val="3"/>
        <charset val="129"/>
      </rPr>
      <t>매출채권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총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장부금액</t>
    </r>
  </si>
  <si>
    <r>
      <t>7</t>
    </r>
    <r>
      <rPr>
        <sz val="8"/>
        <color theme="1"/>
        <rFont val="맑은 고딕"/>
        <family val="3"/>
        <charset val="129"/>
      </rPr>
      <t>억</t>
    </r>
    <r>
      <rPr>
        <sz val="8"/>
        <color theme="1"/>
        <rFont val="Arial"/>
        <family val="2"/>
      </rPr>
      <t xml:space="preserve">-&gt; </t>
    </r>
    <r>
      <rPr>
        <sz val="8"/>
        <color theme="1"/>
        <rFont val="맑은 고딕"/>
        <family val="3"/>
        <charset val="129"/>
      </rPr>
      <t>회수는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결국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하지만</t>
    </r>
    <r>
      <rPr>
        <sz val="8"/>
        <color theme="1"/>
        <rFont val="Arial"/>
        <family val="2"/>
      </rPr>
      <t xml:space="preserve"> '</t>
    </r>
    <r>
      <rPr>
        <sz val="8"/>
        <color theme="1"/>
        <rFont val="맑은 고딕"/>
        <family val="3"/>
        <charset val="129"/>
      </rPr>
      <t>장기간</t>
    </r>
    <r>
      <rPr>
        <sz val="8"/>
        <color theme="1"/>
        <rFont val="Arial"/>
        <family val="2"/>
      </rPr>
      <t>'</t>
    </r>
    <r>
      <rPr>
        <sz val="8"/>
        <color theme="1"/>
        <rFont val="맑은 고딕"/>
        <family val="3"/>
        <charset val="129"/>
      </rPr>
      <t>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걸려서</t>
    </r>
    <r>
      <rPr>
        <sz val="8"/>
        <color theme="1"/>
        <rFont val="Arial"/>
        <family val="2"/>
      </rPr>
      <t xml:space="preserve"> 100% </t>
    </r>
    <r>
      <rPr>
        <sz val="8"/>
        <color theme="1"/>
        <rFont val="맑은 고딕"/>
        <family val="3"/>
        <charset val="129"/>
      </rPr>
      <t>충당금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설정중</t>
    </r>
    <r>
      <rPr>
        <sz val="8"/>
        <color theme="1"/>
        <rFont val="Arial"/>
        <family val="2"/>
      </rPr>
      <t>.</t>
    </r>
    <phoneticPr fontId="3" type="noConversion"/>
  </si>
  <si>
    <r>
      <rPr>
        <sz val="8"/>
        <color rgb="FF000000"/>
        <rFont val="맑은 고딕"/>
        <family val="3"/>
        <charset val="129"/>
      </rPr>
      <t>대손충당금</t>
    </r>
  </si>
  <si>
    <r>
      <rPr>
        <sz val="8"/>
        <color theme="1"/>
        <rFont val="맑은 고딕"/>
        <family val="3"/>
        <charset val="129"/>
      </rPr>
      <t>모사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3"/>
        <charset val="129"/>
      </rPr>
      <t>동아</t>
    </r>
    <r>
      <rPr>
        <sz val="8"/>
        <color theme="1"/>
        <rFont val="Arial"/>
        <family val="2"/>
      </rPr>
      <t>?)</t>
    </r>
    <r>
      <rPr>
        <sz val="8"/>
        <color theme="1"/>
        <rFont val="맑은 고딕"/>
        <family val="3"/>
        <charset val="129"/>
      </rPr>
      <t>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나가는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건</t>
    </r>
    <r>
      <rPr>
        <sz val="8"/>
        <color theme="1"/>
        <rFont val="Arial"/>
        <family val="2"/>
      </rPr>
      <t xml:space="preserve"> 60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해외는</t>
    </r>
    <r>
      <rPr>
        <sz val="8"/>
        <color theme="1"/>
        <rFont val="Arial"/>
        <family val="2"/>
      </rPr>
      <t xml:space="preserve"> CIF 60~90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>, G</t>
    </r>
    <r>
      <rPr>
        <sz val="8"/>
        <color theme="1"/>
        <rFont val="맑은 고딕"/>
        <family val="3"/>
        <charset val="129"/>
      </rPr>
      <t>사는</t>
    </r>
    <r>
      <rPr>
        <sz val="8"/>
        <color theme="1"/>
        <rFont val="Arial"/>
        <family val="2"/>
      </rPr>
      <t xml:space="preserve"> 30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/ </t>
    </r>
    <r>
      <rPr>
        <sz val="8"/>
        <color theme="1"/>
        <rFont val="맑은 고딕"/>
        <family val="3"/>
        <charset val="129"/>
      </rPr>
      <t>국내는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보통</t>
    </r>
    <r>
      <rPr>
        <sz val="8"/>
        <color theme="1"/>
        <rFont val="Arial"/>
        <family val="2"/>
      </rPr>
      <t xml:space="preserve"> 60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(G</t>
    </r>
    <r>
      <rPr>
        <sz val="8"/>
        <color theme="1"/>
        <rFont val="맑은 고딕"/>
        <family val="3"/>
        <charset val="129"/>
      </rPr>
      <t>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워낙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커서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총</t>
    </r>
    <r>
      <rPr>
        <sz val="8"/>
        <color theme="1"/>
        <rFont val="Arial"/>
        <family val="2"/>
      </rPr>
      <t xml:space="preserve"> 40~45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수준일것</t>
    </r>
    <r>
      <rPr>
        <sz val="8"/>
        <color theme="1"/>
        <rFont val="Arial"/>
        <family val="2"/>
      </rPr>
      <t>)</t>
    </r>
    <phoneticPr fontId="3" type="noConversion"/>
  </si>
  <si>
    <r>
      <rPr>
        <b/>
        <sz val="8"/>
        <color rgb="FF000000"/>
        <rFont val="맑은 고딕"/>
        <family val="3"/>
        <charset val="129"/>
      </rPr>
      <t>매출채권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맑은 고딕"/>
        <family val="3"/>
        <charset val="129"/>
      </rPr>
      <t>순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맑은 고딕"/>
        <family val="3"/>
        <charset val="129"/>
      </rPr>
      <t>장부금액</t>
    </r>
  </si>
  <si>
    <r>
      <rPr>
        <sz val="8"/>
        <color theme="1"/>
        <rFont val="맑은 고딕"/>
        <family val="3"/>
        <charset val="129"/>
      </rPr>
      <t>품목별로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다름</t>
    </r>
    <r>
      <rPr>
        <sz val="8"/>
        <color theme="1"/>
        <rFont val="Arial"/>
        <family val="2"/>
      </rPr>
      <t xml:space="preserve">. </t>
    </r>
    <phoneticPr fontId="3" type="noConversion"/>
  </si>
  <si>
    <r>
      <rPr>
        <b/>
        <i/>
        <sz val="8"/>
        <color rgb="FF000000"/>
        <rFont val="맑은 고딕"/>
        <family val="3"/>
        <charset val="129"/>
      </rPr>
      <t>대손율</t>
    </r>
    <r>
      <rPr>
        <b/>
        <i/>
        <sz val="8"/>
        <color rgb="FF000000"/>
        <rFont val="Arial"/>
        <family val="2"/>
      </rPr>
      <t>%</t>
    </r>
    <phoneticPr fontId="3" type="noConversion"/>
  </si>
  <si>
    <r>
      <t xml:space="preserve">raw material - </t>
    </r>
    <r>
      <rPr>
        <sz val="8"/>
        <color theme="1"/>
        <rFont val="맑은 고딕"/>
        <family val="3"/>
        <charset val="129"/>
      </rPr>
      <t>중국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인도에서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수입</t>
    </r>
    <r>
      <rPr>
        <sz val="8"/>
        <color theme="1"/>
        <rFont val="Arial"/>
        <family val="2"/>
      </rPr>
      <t xml:space="preserve"> -&gt; </t>
    </r>
    <r>
      <rPr>
        <sz val="8"/>
        <color theme="1"/>
        <rFont val="맑은 고딕"/>
        <family val="3"/>
        <charset val="129"/>
      </rPr>
      <t>만드는데</t>
    </r>
    <r>
      <rPr>
        <sz val="8"/>
        <color theme="1"/>
        <rFont val="Arial"/>
        <family val="2"/>
      </rPr>
      <t xml:space="preserve"> 6</t>
    </r>
    <r>
      <rPr>
        <sz val="8"/>
        <color theme="1"/>
        <rFont val="맑은 고딕"/>
        <family val="3"/>
        <charset val="129"/>
      </rPr>
      <t>개월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걸림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공장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출고로부터</t>
    </r>
    <r>
      <rPr>
        <sz val="8"/>
        <color theme="1"/>
        <rFont val="Arial"/>
        <family val="2"/>
      </rPr>
      <t xml:space="preserve"> 60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 </t>
    </r>
    <r>
      <rPr>
        <sz val="8"/>
        <color theme="1"/>
        <rFont val="맑은 고딕"/>
        <family val="3"/>
        <charset val="129"/>
      </rPr>
      <t>납품</t>
    </r>
    <r>
      <rPr>
        <sz val="8"/>
        <color theme="1"/>
        <rFont val="Arial"/>
        <family val="2"/>
      </rPr>
      <t xml:space="preserve"> </t>
    </r>
    <phoneticPr fontId="3" type="noConversion"/>
  </si>
  <si>
    <r>
      <t xml:space="preserve">PO </t>
    </r>
    <r>
      <rPr>
        <sz val="8"/>
        <color theme="1"/>
        <rFont val="맑은 고딕"/>
        <family val="3"/>
        <charset val="129"/>
      </rPr>
      <t>오면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시작</t>
    </r>
    <r>
      <rPr>
        <sz val="8"/>
        <color theme="1"/>
        <rFont val="Arial"/>
        <family val="2"/>
      </rPr>
      <t xml:space="preserve">… </t>
    </r>
    <r>
      <rPr>
        <sz val="8"/>
        <color theme="1"/>
        <rFont val="맑은 고딕"/>
        <family val="3"/>
        <charset val="129"/>
      </rPr>
      <t>보통</t>
    </r>
    <r>
      <rPr>
        <sz val="8"/>
        <color theme="1"/>
        <rFont val="Arial"/>
        <family val="2"/>
      </rPr>
      <t xml:space="preserve"> 6</t>
    </r>
    <r>
      <rPr>
        <sz val="8"/>
        <color theme="1"/>
        <rFont val="맑은 고딕"/>
        <family val="3"/>
        <charset val="129"/>
      </rPr>
      <t>개월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텀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선수금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거래도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있음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작은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선수금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받고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거래처는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선수금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안받음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회수가능성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낮은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작은거래처들에게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선수금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받는편</t>
    </r>
    <r>
      <rPr>
        <sz val="8"/>
        <color theme="1"/>
        <rFont val="Arial"/>
        <family val="2"/>
      </rPr>
      <t>.</t>
    </r>
    <phoneticPr fontId="3" type="noConversion"/>
  </si>
  <si>
    <r>
      <t xml:space="preserve">(2) </t>
    </r>
    <r>
      <rPr>
        <sz val="8"/>
        <color theme="1"/>
        <rFont val="맑은 고딕"/>
        <family val="3"/>
        <charset val="129"/>
      </rPr>
      <t>당기와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매출채권의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대손충당금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변동은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같습니다</t>
    </r>
    <r>
      <rPr>
        <sz val="8"/>
        <color theme="1"/>
        <rFont val="Arial"/>
        <family val="2"/>
      </rPr>
      <t>.</t>
    </r>
    <phoneticPr fontId="3" type="noConversion"/>
  </si>
  <si>
    <r>
      <rPr>
        <sz val="8"/>
        <color rgb="FF000000"/>
        <rFont val="맑은 고딕"/>
        <family val="3"/>
        <charset val="129"/>
      </rPr>
      <t>기초금액</t>
    </r>
  </si>
  <si>
    <r>
      <rPr>
        <sz val="8"/>
        <color rgb="FF000000"/>
        <rFont val="맑은 고딕"/>
        <family val="3"/>
        <charset val="129"/>
      </rPr>
      <t>대손상각비</t>
    </r>
  </si>
  <si>
    <r>
      <rPr>
        <b/>
        <sz val="8"/>
        <color rgb="FF000000"/>
        <rFont val="맑은 고딕"/>
        <family val="3"/>
        <charset val="129"/>
      </rPr>
      <t>기말금액</t>
    </r>
  </si>
  <si>
    <r>
      <t xml:space="preserve">(3) </t>
    </r>
    <r>
      <rPr>
        <sz val="8"/>
        <color theme="1"/>
        <rFont val="맑은 고딕"/>
        <family val="3"/>
        <charset val="129"/>
      </rPr>
      <t>당기말과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전기말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현재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연체되었으나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손상되지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매출채권의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약정회수기일기준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연령분석은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같습니다</t>
    </r>
    <r>
      <rPr>
        <sz val="8"/>
        <color theme="1"/>
        <rFont val="Arial"/>
        <family val="2"/>
      </rPr>
      <t xml:space="preserve">. </t>
    </r>
    <phoneticPr fontId="3" type="noConversion"/>
  </si>
  <si>
    <r>
      <rPr>
        <sz val="8"/>
        <color rgb="FF000000"/>
        <rFont val="맑은 고딕"/>
        <family val="3"/>
        <charset val="129"/>
      </rPr>
      <t>만기경과</t>
    </r>
    <r>
      <rPr>
        <sz val="8"/>
        <color rgb="FF000000"/>
        <rFont val="Arial"/>
        <family val="2"/>
      </rPr>
      <t xml:space="preserve"> ~ 6</t>
    </r>
    <r>
      <rPr>
        <sz val="8"/>
        <color rgb="FF000000"/>
        <rFont val="맑은 고딕"/>
        <family val="3"/>
        <charset val="129"/>
      </rPr>
      <t>개월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이하</t>
    </r>
  </si>
  <si>
    <r>
      <t>6</t>
    </r>
    <r>
      <rPr>
        <sz val="8"/>
        <color rgb="FF000000"/>
        <rFont val="맑은 고딕"/>
        <family val="3"/>
        <charset val="129"/>
      </rPr>
      <t>개월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초과</t>
    </r>
    <r>
      <rPr>
        <sz val="8"/>
        <color rgb="FF000000"/>
        <rFont val="Arial"/>
        <family val="2"/>
      </rPr>
      <t xml:space="preserve"> ~ 9</t>
    </r>
    <r>
      <rPr>
        <sz val="8"/>
        <color rgb="FF000000"/>
        <rFont val="맑은 고딕"/>
        <family val="3"/>
        <charset val="129"/>
      </rPr>
      <t>개월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이하</t>
    </r>
  </si>
  <si>
    <r>
      <t>9</t>
    </r>
    <r>
      <rPr>
        <sz val="8"/>
        <color rgb="FF000000"/>
        <rFont val="맑은 고딕"/>
        <family val="3"/>
        <charset val="129"/>
      </rPr>
      <t>개월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초과</t>
    </r>
    <r>
      <rPr>
        <sz val="8"/>
        <color rgb="FF000000"/>
        <rFont val="Arial"/>
        <family val="2"/>
      </rPr>
      <t xml:space="preserve"> ~ 12</t>
    </r>
    <r>
      <rPr>
        <sz val="8"/>
        <color rgb="FF000000"/>
        <rFont val="맑은 고딕"/>
        <family val="3"/>
        <charset val="129"/>
      </rPr>
      <t>개월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이하</t>
    </r>
  </si>
  <si>
    <r>
      <rPr>
        <b/>
        <sz val="8"/>
        <color rgb="FF000000"/>
        <rFont val="맑은 고딕"/>
        <family val="3"/>
        <charset val="129"/>
      </rPr>
      <t>합계</t>
    </r>
  </si>
  <si>
    <r>
      <t xml:space="preserve">(4) </t>
    </r>
    <r>
      <rPr>
        <sz val="8"/>
        <color theme="1"/>
        <rFont val="맑은 고딕"/>
        <family val="3"/>
        <charset val="129"/>
      </rPr>
      <t>당기말과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전기말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현재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매출채권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거래처의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약정회수기일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개별적으로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손상된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채권의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내역은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같습니다</t>
    </r>
    <r>
      <rPr>
        <sz val="8"/>
        <color theme="1"/>
        <rFont val="Arial"/>
        <family val="2"/>
      </rPr>
      <t>.</t>
    </r>
    <phoneticPr fontId="3" type="noConversion"/>
  </si>
  <si>
    <r>
      <rPr>
        <sz val="8"/>
        <color rgb="FF000000"/>
        <rFont val="맑은 고딕"/>
        <family val="3"/>
        <charset val="129"/>
      </rPr>
      <t>만기경과</t>
    </r>
    <r>
      <rPr>
        <sz val="8"/>
        <color rgb="FF000000"/>
        <rFont val="Arial"/>
        <family val="2"/>
      </rPr>
      <t xml:space="preserve"> ~ 12</t>
    </r>
    <r>
      <rPr>
        <sz val="8"/>
        <color rgb="FF000000"/>
        <rFont val="맑은 고딕"/>
        <family val="3"/>
        <charset val="129"/>
      </rPr>
      <t>개월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이하</t>
    </r>
  </si>
  <si>
    <r>
      <t>12</t>
    </r>
    <r>
      <rPr>
        <sz val="8"/>
        <color rgb="FF000000"/>
        <rFont val="맑은 고딕"/>
        <family val="3"/>
        <charset val="129"/>
      </rPr>
      <t>개월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초과</t>
    </r>
  </si>
  <si>
    <t>제품+반제품(총액)</t>
    <phoneticPr fontId="3" type="noConversion"/>
  </si>
  <si>
    <t>제품+반제품(순액)</t>
    <phoneticPr fontId="3" type="noConversion"/>
  </si>
  <si>
    <t>기말시점 입,출고 체크함. 1년간 입,출고(기초금액의 20% 미만 움직인것도 안움직인것으로 봄) 전체 재고금액의 10%, 2년간 없으면 100% 설정. (제품, 반제품)</t>
    <phoneticPr fontId="3" type="noConversion"/>
  </si>
  <si>
    <t>원재료-1년 이상 10%, 2년 이상 50%</t>
    <phoneticPr fontId="3" type="noConversion"/>
  </si>
  <si>
    <t>6월30일</t>
    <phoneticPr fontId="3" type="noConversion"/>
  </si>
  <si>
    <t>상품은 재고평가하지 않음. 상품은 1년간 입출고 없는 항목이 거의없음.</t>
    <phoneticPr fontId="3" type="noConversion"/>
  </si>
  <si>
    <t>하반기에 G사에  납품 예정 (10월 물량정도 반영되어 있음)</t>
    <phoneticPr fontId="3" type="noConversion"/>
  </si>
  <si>
    <t>삼천리 때는 평가방법이 달랐음. 판매가능가액을 반영… 합병 이후에 aging 을 통해 평가하기 시작. 합병 시 삼천리 항목에 대해서는 평가가 이루어지지 않았었음. 삼천리 양수 당시 재고규모 약 269억(평가되지 않음).</t>
    <phoneticPr fontId="3" type="noConversion"/>
  </si>
  <si>
    <t xml:space="preserve"> (평가손실충당금)</t>
    <phoneticPr fontId="3" type="noConversion"/>
  </si>
  <si>
    <t>재고 폐기는 거의 없음.</t>
    <phoneticPr fontId="3" type="noConversion"/>
  </si>
  <si>
    <t>14년 재고환입 50억 대부분은 삼천리 시절 재고임.</t>
    <phoneticPr fontId="3" type="noConversion"/>
  </si>
  <si>
    <t>재공품</t>
  </si>
  <si>
    <t>지금처럼 정상 궤도의 CMO 상황에선 재고 남는게 많지않음. 과거에는 좀 더 남았음…</t>
    <phoneticPr fontId="3" type="noConversion"/>
  </si>
  <si>
    <t>원재료</t>
  </si>
  <si>
    <t>G사 영향</t>
    <phoneticPr fontId="3" type="noConversion"/>
  </si>
  <si>
    <t>어떨땐 PO base 기 때문에 cutoff issue (안전재고개념이 아님)</t>
    <phoneticPr fontId="3" type="noConversion"/>
  </si>
  <si>
    <t>재공품 12/31현재 반응기 에 원재료 투입되서 기계 돌아가서 나오는건데 12/31에 그 기계 안에 들어가있는게 재공품임.</t>
    <phoneticPr fontId="3" type="noConversion"/>
  </si>
  <si>
    <t>반제품</t>
  </si>
  <si>
    <t>CMO, 상품 - 재고부담 거의 없음.</t>
    <phoneticPr fontId="3" type="noConversion"/>
  </si>
  <si>
    <t>미착품</t>
  </si>
  <si>
    <t>generic - 가장 재고부담이 큼 (제품으로 많이 남음)</t>
    <phoneticPr fontId="3" type="noConversion"/>
  </si>
  <si>
    <t>합계</t>
  </si>
  <si>
    <t>충당금 설정%</t>
    <phoneticPr fontId="3" type="noConversion"/>
  </si>
  <si>
    <t>재고자산 총액</t>
    <phoneticPr fontId="3" type="noConversion"/>
  </si>
  <si>
    <t>평가손실충당금</t>
  </si>
  <si>
    <t>매출원가반영분</t>
    <phoneticPr fontId="3" type="noConversion"/>
  </si>
  <si>
    <t>재고변동</t>
    <phoneticPr fontId="3" type="noConversion"/>
  </si>
  <si>
    <t>원재료</t>
    <phoneticPr fontId="3" type="noConversion"/>
  </si>
  <si>
    <t>반제품</t>
    <phoneticPr fontId="3" type="noConversion"/>
  </si>
  <si>
    <t>구분</t>
  </si>
  <si>
    <t>매출원가:</t>
  </si>
  <si>
    <t> 재고자산평가손실</t>
  </si>
  <si>
    <t> 재고자산평가손실환입</t>
  </si>
  <si>
    <t>판매되거나, 반제품화되어 공정에 투입됨. 100% 삼천리에서 넘어온건 아님.</t>
    <phoneticPr fontId="3" type="noConversion"/>
  </si>
  <si>
    <t>2014년 당기 중 건설중인자산에서 재고자산으로 대체된 금액은 341,780천원입니다.</t>
    <phoneticPr fontId="3" type="noConversion"/>
  </si>
  <si>
    <t>2013년 전기 중 건설중인자산에서 재고자산으로 대체된 금액은 449,104천원입니다.</t>
    <phoneticPr fontId="3" type="noConversion"/>
  </si>
  <si>
    <t>유형자산 내역</t>
    <phoneticPr fontId="3" type="noConversion"/>
  </si>
  <si>
    <t>12월 31일</t>
    <phoneticPr fontId="3" type="noConversion"/>
  </si>
  <si>
    <t>6월 30일</t>
    <phoneticPr fontId="3" type="noConversion"/>
  </si>
  <si>
    <t>토지</t>
    <phoneticPr fontId="3" type="noConversion"/>
  </si>
  <si>
    <t>건물</t>
    <phoneticPr fontId="3" type="noConversion"/>
  </si>
  <si>
    <t>취득원가</t>
    <phoneticPr fontId="3" type="noConversion"/>
  </si>
  <si>
    <t>감가상각누계액</t>
    <phoneticPr fontId="3" type="noConversion"/>
  </si>
  <si>
    <t>구축물</t>
    <phoneticPr fontId="3" type="noConversion"/>
  </si>
  <si>
    <t>기계장치</t>
    <phoneticPr fontId="3" type="noConversion"/>
  </si>
  <si>
    <t>정부보조금</t>
    <phoneticPr fontId="3" type="noConversion"/>
  </si>
  <si>
    <t>차량운반구</t>
    <phoneticPr fontId="3" type="noConversion"/>
  </si>
  <si>
    <t>공기구비품</t>
    <phoneticPr fontId="3" type="noConversion"/>
  </si>
  <si>
    <t>건설중인자산</t>
    <phoneticPr fontId="3" type="noConversion"/>
  </si>
  <si>
    <t>미착기계</t>
    <phoneticPr fontId="3" type="noConversion"/>
  </si>
  <si>
    <t>무형자산 내역</t>
    <phoneticPr fontId="3" type="noConversion"/>
  </si>
  <si>
    <t>산업재산권</t>
    <phoneticPr fontId="3" type="noConversion"/>
  </si>
  <si>
    <t>회원권</t>
    <phoneticPr fontId="3" type="noConversion"/>
  </si>
  <si>
    <t>차입금 내역</t>
    <phoneticPr fontId="3" type="noConversion"/>
  </si>
  <si>
    <t>12월 31일</t>
  </si>
  <si>
    <t>6월 30일</t>
  </si>
  <si>
    <t>차입금 합계</t>
    <phoneticPr fontId="3" type="noConversion"/>
  </si>
  <si>
    <t>단기차입금</t>
    <phoneticPr fontId="3" type="noConversion"/>
  </si>
  <si>
    <t>유동성장기차입금</t>
    <phoneticPr fontId="3" type="noConversion"/>
  </si>
  <si>
    <t>장기차입금</t>
    <phoneticPr fontId="3" type="noConversion"/>
  </si>
  <si>
    <t>전환상환우선주</t>
    <phoneticPr fontId="3" type="noConversion"/>
  </si>
  <si>
    <t>이자비용</t>
    <phoneticPr fontId="3" type="noConversion"/>
  </si>
  <si>
    <t>전환상환우선주 계약 조건</t>
    <phoneticPr fontId="3" type="noConversion"/>
  </si>
  <si>
    <t>인수대가</t>
    <phoneticPr fontId="3" type="noConversion"/>
  </si>
  <si>
    <t>26,520,000,000원(주당 312,000원)</t>
  </si>
  <si>
    <t>의결권</t>
    <phoneticPr fontId="3" type="noConversion"/>
  </si>
  <si>
    <t>1주당 1개의 의결권</t>
  </si>
  <si>
    <t>배당권</t>
    <phoneticPr fontId="3" type="noConversion"/>
  </si>
  <si>
    <t>누적적, 참가적 우선주로 인수가격의 1%</t>
  </si>
  <si>
    <t>상환권</t>
    <phoneticPr fontId="3" type="noConversion"/>
  </si>
  <si>
    <t>청구기간</t>
    <phoneticPr fontId="3" type="noConversion"/>
  </si>
  <si>
    <t>주금납입일로부터 3년 6개월~7년, 조기상환가능</t>
  </si>
  <si>
    <t>상환방법</t>
    <phoneticPr fontId="3" type="noConversion"/>
  </si>
  <si>
    <t>상환청구 또는 조기상환청구로부터</t>
  </si>
  <si>
    <t>2개월 이내 현금상환</t>
  </si>
  <si>
    <t>상환금액</t>
    <phoneticPr fontId="3" type="noConversion"/>
  </si>
  <si>
    <t>인수대금+인수대금의 10% 연복리이자-지급배당</t>
    <phoneticPr fontId="3" type="noConversion"/>
  </si>
  <si>
    <t>전환권</t>
    <phoneticPr fontId="3" type="noConversion"/>
  </si>
  <si>
    <t>2011년 정기주총 익일~주금납입일로부터 7년</t>
    <phoneticPr fontId="3" type="noConversion"/>
  </si>
  <si>
    <t>전환방법</t>
    <phoneticPr fontId="3" type="noConversion"/>
  </si>
  <si>
    <t>전환청구시 우선주 1주당 보통주 1주</t>
    <phoneticPr fontId="3" type="noConversion"/>
  </si>
  <si>
    <r>
      <rPr>
        <b/>
        <sz val="8"/>
        <color rgb="FFFFFFFF"/>
        <rFont val="돋움"/>
        <family val="3"/>
        <charset val="129"/>
      </rPr>
      <t>공장별</t>
    </r>
    <r>
      <rPr>
        <b/>
        <sz val="8"/>
        <color rgb="FFFFFFFF"/>
        <rFont val="Arial"/>
        <family val="2"/>
      </rPr>
      <t xml:space="preserve"> </t>
    </r>
    <r>
      <rPr>
        <b/>
        <sz val="8"/>
        <color rgb="FFFFFFFF"/>
        <rFont val="돋움"/>
        <family val="3"/>
        <charset val="129"/>
      </rPr>
      <t>개요</t>
    </r>
    <phoneticPr fontId="31" type="noConversion"/>
  </si>
  <si>
    <t>공장</t>
    <phoneticPr fontId="31" type="noConversion"/>
  </si>
  <si>
    <t>주요설비</t>
    <phoneticPr fontId="31" type="noConversion"/>
  </si>
  <si>
    <t>관련사업부(혹은 제품)</t>
    <phoneticPr fontId="31" type="noConversion"/>
  </si>
  <si>
    <t>주요공정</t>
    <phoneticPr fontId="31" type="noConversion"/>
  </si>
  <si>
    <t>동시생산인원(명)</t>
    <phoneticPr fontId="31" type="noConversion"/>
  </si>
  <si>
    <t>가동률(300일 생산 기준)</t>
    <phoneticPr fontId="31" type="noConversion"/>
  </si>
  <si>
    <t>시화공장</t>
    <phoneticPr fontId="31" type="noConversion"/>
  </si>
  <si>
    <t>1공장</t>
    <phoneticPr fontId="31" type="noConversion"/>
  </si>
  <si>
    <t>반응기 9기 총 59톤</t>
    <phoneticPr fontId="31" type="noConversion"/>
  </si>
  <si>
    <t>제네릭 API 품목</t>
    <phoneticPr fontId="31" type="noConversion"/>
  </si>
  <si>
    <t>원료의약품 등 합성설비</t>
    <phoneticPr fontId="31" type="noConversion"/>
  </si>
  <si>
    <t>평균 90% 이상</t>
    <phoneticPr fontId="31" type="noConversion"/>
  </si>
  <si>
    <t>2공장</t>
    <phoneticPr fontId="31" type="noConversion"/>
  </si>
  <si>
    <t>반응기 6기 총 18톤</t>
    <phoneticPr fontId="31" type="noConversion"/>
  </si>
  <si>
    <t>원료의약품 등 합성설비</t>
  </si>
  <si>
    <t>평균 80% 이상</t>
    <phoneticPr fontId="31" type="noConversion"/>
  </si>
  <si>
    <t>3공장</t>
    <phoneticPr fontId="31" type="noConversion"/>
  </si>
  <si>
    <t>반응기 19기 총 100톤</t>
    <phoneticPr fontId="31" type="noConversion"/>
  </si>
  <si>
    <t xml:space="preserve">C형간염 API 중간체 </t>
    <phoneticPr fontId="31" type="noConversion"/>
  </si>
  <si>
    <t>5공장</t>
    <phoneticPr fontId="31" type="noConversion"/>
  </si>
  <si>
    <t>반응기 8 총 28톤</t>
    <phoneticPr fontId="31" type="noConversion"/>
  </si>
  <si>
    <t>항결핵제 관련 API</t>
    <phoneticPr fontId="31" type="noConversion"/>
  </si>
  <si>
    <t>평균 60% 이상</t>
    <phoneticPr fontId="31" type="noConversion"/>
  </si>
  <si>
    <t>6공장</t>
    <phoneticPr fontId="31" type="noConversion"/>
  </si>
  <si>
    <t>반응기 16기 총 88톤</t>
    <phoneticPr fontId="31" type="noConversion"/>
  </si>
  <si>
    <t>C형간염 API</t>
    <phoneticPr fontId="31" type="noConversion"/>
  </si>
  <si>
    <t>반월 제 1공장</t>
  </si>
  <si>
    <t>반응기 12기 총 86톤</t>
  </si>
  <si>
    <t xml:space="preserve">C형간염 API 중간체
정밀화학 품목
올리고 중간체 등  </t>
  </si>
  <si>
    <t>약 40~50%
(초기 Validation 및 허가일정)</t>
  </si>
  <si>
    <t>차입금 계약조건</t>
    <phoneticPr fontId="31" type="noConversion"/>
  </si>
  <si>
    <t>구분</t>
    <phoneticPr fontId="3" type="noConversion"/>
  </si>
  <si>
    <t>금융기관</t>
    <phoneticPr fontId="31" type="noConversion"/>
  </si>
  <si>
    <t>차입금 종류</t>
    <phoneticPr fontId="31" type="noConversion"/>
  </si>
  <si>
    <t>이자율(%)</t>
    <phoneticPr fontId="31" type="noConversion"/>
  </si>
  <si>
    <t>만기</t>
    <phoneticPr fontId="31" type="noConversion"/>
  </si>
  <si>
    <t>장부금액(백만 원)</t>
    <phoneticPr fontId="31" type="noConversion"/>
  </si>
  <si>
    <t>단기차입금</t>
  </si>
  <si>
    <t>(주)한국씨티은행</t>
  </si>
  <si>
    <t>일반자금대출 등</t>
  </si>
  <si>
    <t>3MCD+0.7</t>
  </si>
  <si>
    <t>(주)한국외환은행</t>
  </si>
  <si>
    <t>기업일반자금대출</t>
  </si>
  <si>
    <t>(주)신한은행</t>
  </si>
  <si>
    <t>(주)우리은행</t>
  </si>
  <si>
    <t>유동성장기차입금</t>
  </si>
  <si>
    <t>시흥환경기술개발센터</t>
  </si>
  <si>
    <t>대기개선기금대출</t>
  </si>
  <si>
    <t>-</t>
  </si>
  <si>
    <t>2024년</t>
  </si>
  <si>
    <t>담보제공자산 내역</t>
    <phoneticPr fontId="31" type="noConversion"/>
  </si>
  <si>
    <t>담보제공자산</t>
    <phoneticPr fontId="31" type="noConversion"/>
  </si>
  <si>
    <t>장부금액</t>
    <phoneticPr fontId="31" type="noConversion"/>
  </si>
  <si>
    <t>담보설정금액</t>
    <phoneticPr fontId="31" type="noConversion"/>
  </si>
  <si>
    <t>차입금액</t>
    <phoneticPr fontId="31" type="noConversion"/>
  </si>
  <si>
    <t>담보권자</t>
    <phoneticPr fontId="31" type="noConversion"/>
  </si>
  <si>
    <t>토지</t>
  </si>
  <si>
    <t>기업일반자금대출</t>
    <phoneticPr fontId="3" type="noConversion"/>
  </si>
  <si>
    <t>외환은행</t>
    <phoneticPr fontId="3" type="noConversion"/>
  </si>
  <si>
    <t>건물</t>
  </si>
  <si>
    <t>기계장치</t>
  </si>
  <si>
    <t>매도가능금융자산 내역</t>
    <phoneticPr fontId="31" type="noConversion"/>
  </si>
  <si>
    <t>피투자회사</t>
    <phoneticPr fontId="31" type="noConversion"/>
  </si>
  <si>
    <t>주식 수</t>
    <phoneticPr fontId="31" type="noConversion"/>
  </si>
  <si>
    <t>지분율</t>
    <phoneticPr fontId="31" type="noConversion"/>
  </si>
  <si>
    <t>취득원가</t>
    <phoneticPr fontId="31" type="noConversion"/>
  </si>
  <si>
    <t>누적손익(세전)</t>
    <phoneticPr fontId="31" type="noConversion"/>
  </si>
  <si>
    <t>누적손익(세후)</t>
    <phoneticPr fontId="31" type="noConversion"/>
  </si>
  <si>
    <t>환율위험노출금액</t>
    <phoneticPr fontId="3" type="noConversion"/>
  </si>
  <si>
    <t>000'USD,백만원</t>
    <phoneticPr fontId="3" type="noConversion"/>
  </si>
  <si>
    <t>외환익스포져(USD)</t>
    <phoneticPr fontId="3" type="noConversion"/>
  </si>
  <si>
    <t>현금및현금성자산</t>
    <phoneticPr fontId="3" type="noConversion"/>
  </si>
  <si>
    <t>외화매출채권</t>
    <phoneticPr fontId="3" type="noConversion"/>
  </si>
  <si>
    <t>외화매입채무</t>
    <phoneticPr fontId="3" type="noConversion"/>
  </si>
  <si>
    <t>적용환율</t>
    <phoneticPr fontId="3" type="noConversion"/>
  </si>
  <si>
    <t>환율10%상승시(A)</t>
    <phoneticPr fontId="3" type="noConversion"/>
  </si>
  <si>
    <t>환율20%상승시(B)</t>
    <phoneticPr fontId="3" type="noConversion"/>
  </si>
  <si>
    <t>원화순자산변동가능금액(A)</t>
    <phoneticPr fontId="3" type="noConversion"/>
  </si>
  <si>
    <t>원화순자산변동가능금액(B)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</si>
</sst>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,,;\(#,##0,,\);\-"/>
    <numFmt numFmtId="177" formatCode="0.0%;\(0.0%\);\-"/>
    <numFmt numFmtId="178" formatCode="0.0%"/>
    <numFmt numFmtId="179" formatCode="#,##0_);\(#,##0\)"/>
    <numFmt numFmtId="180" formatCode="#,##0&quot;개&quot;"/>
    <numFmt numFmtId="181" formatCode="#,##0_ "/>
    <numFmt numFmtId="182" formatCode="_-* #,##0,,_-;\-* #,##0,,_-;_-* &quot;-&quot;_-;_-@_-"/>
    <numFmt numFmtId="183" formatCode="#,##0,,"/>
    <numFmt numFmtId="184" formatCode="#,###,,;\(#,###\)\,;\-"/>
    <numFmt numFmtId="185" formatCode="#,###,,;\(#,###,,\);\-"/>
    <numFmt numFmtId="186" formatCode="#,###;\(#,###\);\-"/>
    <numFmt numFmtId="187" formatCode="#,##0_);[Red]\(#,##0\)"/>
    <numFmt numFmtId="188" formatCode="#,###,;\(#,###,\);\-"/>
    <numFmt numFmtId="189" formatCode="0.0%;\(0.0%\);&quot;-&quot;"/>
    <numFmt numFmtId="190" formatCode="#,###,;\(#,###,\);&quot;-&quot;"/>
    <numFmt numFmtId="191" formatCode="_-* #,##0.0_-;\-* #,##0.0_-;_-* &quot;-&quot;?_-;_-@_-"/>
    <numFmt numFmtId="192" formatCode="#,###,,;\(#,###,,\);&quot;-&quot;"/>
  </numFmts>
  <fonts count="8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ajor"/>
    </font>
    <font>
      <sz val="8"/>
      <color theme="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8"/>
      <color rgb="FF00338D"/>
      <name val="맑은 고딕"/>
      <family val="3"/>
      <charset val="129"/>
      <scheme val="maj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맑은 고딕"/>
      <family val="3"/>
      <charset val="129"/>
      <scheme val="major"/>
    </font>
    <font>
      <i/>
      <sz val="8"/>
      <color theme="1"/>
      <name val="Arial"/>
      <family val="2"/>
    </font>
    <font>
      <sz val="8"/>
      <name val="맑은 고딕"/>
      <family val="3"/>
      <charset val="129"/>
      <scheme val="major"/>
    </font>
    <font>
      <b/>
      <i/>
      <sz val="8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8"/>
      <name val="맑은 고딕"/>
      <family val="3"/>
      <charset val="129"/>
      <scheme val="major"/>
    </font>
    <font>
      <b/>
      <i/>
      <sz val="8"/>
      <color theme="1"/>
      <name val="Arial"/>
      <family val="2"/>
    </font>
    <font>
      <sz val="8"/>
      <color theme="1"/>
      <name val="맑은 고딕"/>
      <family val="2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color rgb="FF000000"/>
      <name val="Aria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8"/>
      <color rgb="FF000000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i/>
      <sz val="8"/>
      <color rgb="FF000000"/>
      <name val="Arial"/>
      <family val="2"/>
    </font>
    <font>
      <b/>
      <i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  <scheme val="major"/>
    </font>
    <font>
      <b/>
      <sz val="7"/>
      <color rgb="FFFFFFFF"/>
      <name val="맑은 고딕"/>
      <family val="3"/>
      <charset val="129"/>
      <scheme val="major"/>
    </font>
    <font>
      <b/>
      <i/>
      <sz val="7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Arial"/>
      <family val="2"/>
    </font>
    <font>
      <sz val="11"/>
      <color theme="1"/>
      <name val="맑은 고딕"/>
      <family val="3"/>
      <charset val="129"/>
      <scheme val="minor"/>
    </font>
    <font>
      <i/>
      <sz val="7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b/>
      <sz val="8"/>
      <name val="Arial"/>
      <family val="2"/>
    </font>
    <font>
      <b/>
      <i/>
      <sz val="7"/>
      <name val="Arial"/>
      <family val="2"/>
    </font>
    <font>
      <sz val="10"/>
      <name val="Arial"/>
      <family val="2"/>
    </font>
    <font>
      <i/>
      <sz val="8"/>
      <name val="맑은 고딕"/>
      <family val="3"/>
      <charset val="129"/>
      <scheme val="major"/>
    </font>
    <font>
      <i/>
      <sz val="8"/>
      <name val="Arial"/>
      <family val="2"/>
    </font>
    <font>
      <sz val="7"/>
      <name val="맑은 고딕"/>
      <family val="3"/>
      <charset val="129"/>
      <scheme val="major"/>
    </font>
    <font>
      <sz val="7"/>
      <color theme="1"/>
      <name val="맑은 고딕"/>
      <family val="3"/>
      <charset val="129"/>
      <scheme val="major"/>
    </font>
    <font>
      <i/>
      <sz val="7"/>
      <name val="맑은 고딕"/>
      <family val="3"/>
      <charset val="129"/>
      <scheme val="major"/>
    </font>
    <font>
      <b/>
      <i/>
      <sz val="7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i/>
      <sz val="8"/>
      <color rgb="FF000000"/>
      <name val="맑은 고딕"/>
      <family val="3"/>
      <charset val="129"/>
      <scheme val="minor"/>
    </font>
    <font>
      <i/>
      <sz val="8"/>
      <color rgb="FF000000"/>
      <name val="Arial"/>
      <family val="2"/>
    </font>
    <font>
      <b/>
      <sz val="8"/>
      <color rgb="FFFFFFFF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7.5"/>
      <color rgb="FFFFFFFF"/>
      <name val="맑은 고딕"/>
      <family val="3"/>
      <charset val="129"/>
      <scheme val="minor"/>
    </font>
    <font>
      <b/>
      <sz val="7.5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7.5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i/>
      <sz val="8"/>
      <name val="맑은 고딕"/>
      <family val="3"/>
      <charset val="129"/>
      <scheme val="minor"/>
    </font>
    <font>
      <b/>
      <sz val="8"/>
      <color rgb="FFFFFFFF"/>
      <name val="Arial"/>
      <family val="2"/>
    </font>
    <font>
      <b/>
      <sz val="8"/>
      <color rgb="FFFFFFFF"/>
      <name val="맑은 고딕"/>
      <family val="3"/>
      <charset val="129"/>
    </font>
    <font>
      <b/>
      <sz val="8"/>
      <color rgb="FF000000"/>
      <name val="돋움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8"/>
      <color theme="0"/>
      <name val="Arial"/>
      <family val="2"/>
    </font>
    <font>
      <b/>
      <sz val="8"/>
      <color theme="0"/>
      <name val="맑은 고딕"/>
      <family val="3"/>
      <charset val="129"/>
    </font>
    <font>
      <sz val="8"/>
      <color theme="0"/>
      <name val="Arial"/>
      <family val="2"/>
    </font>
    <font>
      <b/>
      <sz val="8"/>
      <color theme="1"/>
      <name val="맑은 고딕"/>
      <family val="3"/>
      <charset val="129"/>
    </font>
    <font>
      <i/>
      <sz val="8"/>
      <color theme="1"/>
      <name val="맑은 고딕"/>
      <family val="3"/>
      <charset val="129"/>
    </font>
    <font>
      <b/>
      <sz val="8"/>
      <color rgb="FF00338D"/>
      <name val="Arial"/>
      <family val="2"/>
    </font>
    <font>
      <sz val="8"/>
      <color rgb="FF00338D"/>
      <name val="맑은 고딕"/>
      <family val="3"/>
      <charset val="129"/>
      <scheme val="major"/>
    </font>
    <font>
      <sz val="9"/>
      <color theme="0"/>
      <name val="맑은 고딕"/>
      <family val="2"/>
      <charset val="129"/>
      <scheme val="minor"/>
    </font>
    <font>
      <b/>
      <sz val="8"/>
      <color rgb="FFFFFFFF"/>
      <name val="맑은 고딕"/>
      <family val="2"/>
      <charset val="129"/>
    </font>
    <font>
      <sz val="8"/>
      <name val="맑은 고딕"/>
      <family val="2"/>
      <scheme val="major"/>
    </font>
    <font>
      <sz val="8"/>
      <name val="굴림"/>
      <family val="3"/>
      <charset val="129"/>
    </font>
    <font>
      <sz val="8"/>
      <name val="굴림"/>
      <family val="2"/>
      <charset val="129"/>
    </font>
    <font>
      <sz val="9"/>
      <color theme="1"/>
      <name val="가는각진제목체"/>
      <family val="2"/>
      <charset val="129"/>
    </font>
    <font>
      <sz val="8"/>
      <name val="가는각진제목체"/>
      <family val="2"/>
      <charset val="129"/>
    </font>
    <font>
      <b/>
      <sz val="8"/>
      <color theme="1"/>
      <name val="돋움"/>
      <family val="3"/>
      <charset val="129"/>
    </font>
    <font>
      <b/>
      <sz val="8"/>
      <color rgb="FFFFFFFF"/>
      <name val="돋움"/>
      <family val="3"/>
      <charset val="129"/>
    </font>
    <font>
      <i/>
      <sz val="8"/>
      <color rgb="FF00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4097AD"/>
        <bgColor indexed="64"/>
      </patternFill>
    </fill>
    <fill>
      <patternFill patternType="solid">
        <fgColor rgb="FFE5F2F4"/>
        <bgColor indexed="64"/>
      </patternFill>
    </fill>
    <fill>
      <patternFill patternType="solid">
        <fgColor rgb="FF409D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5F0"/>
        <bgColor indexed="64"/>
      </patternFill>
    </fill>
  </fills>
  <borders count="117">
    <border>
      <left/>
      <right/>
      <top/>
      <bottom/>
      <diagonal/>
    </border>
    <border>
      <left style="thin">
        <color rgb="FF4097AD"/>
      </left>
      <right/>
      <top style="thin">
        <color rgb="FF4097AD"/>
      </top>
      <bottom style="thin">
        <color rgb="FF4097AD"/>
      </bottom>
      <diagonal/>
    </border>
    <border>
      <left/>
      <right/>
      <top style="thin">
        <color rgb="FF4097AD"/>
      </top>
      <bottom style="thin">
        <color rgb="FF4097AD"/>
      </bottom>
      <diagonal/>
    </border>
    <border>
      <left/>
      <right style="thin">
        <color rgb="FF4097AD"/>
      </right>
      <top style="thin">
        <color rgb="FF4097AD"/>
      </top>
      <bottom style="thin">
        <color rgb="FF4097AD"/>
      </bottom>
      <diagonal/>
    </border>
    <border>
      <left style="thin">
        <color rgb="FF4097AD"/>
      </left>
      <right/>
      <top style="thin">
        <color rgb="FF4097AD"/>
      </top>
      <bottom/>
      <diagonal/>
    </border>
    <border>
      <left/>
      <right/>
      <top style="thin">
        <color rgb="FF4097AD"/>
      </top>
      <bottom/>
      <diagonal/>
    </border>
    <border>
      <left/>
      <right style="thin">
        <color rgb="FF4097AD"/>
      </right>
      <top style="thin">
        <color rgb="FF4097AD"/>
      </top>
      <bottom/>
      <diagonal/>
    </border>
    <border>
      <left style="thin">
        <color rgb="FF4097AD"/>
      </left>
      <right/>
      <top/>
      <bottom style="thin">
        <color rgb="FF4097AD"/>
      </bottom>
      <diagonal/>
    </border>
    <border>
      <left/>
      <right/>
      <top/>
      <bottom style="thin">
        <color rgb="FF4097AD"/>
      </bottom>
      <diagonal/>
    </border>
    <border>
      <left/>
      <right style="thin">
        <color rgb="FF4097AD"/>
      </right>
      <top/>
      <bottom style="thin">
        <color rgb="FF4097AD"/>
      </bottom>
      <diagonal/>
    </border>
    <border>
      <left style="thin">
        <color rgb="FF4097AD"/>
      </left>
      <right/>
      <top/>
      <bottom/>
      <diagonal/>
    </border>
    <border>
      <left/>
      <right style="thin">
        <color rgb="FF4097AD"/>
      </right>
      <top/>
      <bottom/>
      <diagonal/>
    </border>
    <border>
      <left style="thin">
        <color rgb="FF4097AD"/>
      </left>
      <right/>
      <top/>
      <bottom style="medium">
        <color rgb="FF4097AD"/>
      </bottom>
      <diagonal/>
    </border>
    <border>
      <left/>
      <right/>
      <top/>
      <bottom style="medium">
        <color rgb="FF4097AD"/>
      </bottom>
      <diagonal/>
    </border>
    <border>
      <left/>
      <right style="thin">
        <color rgb="FF4097AD"/>
      </right>
      <top/>
      <bottom style="medium">
        <color rgb="FF4097AD"/>
      </bottom>
      <diagonal/>
    </border>
    <border>
      <left style="thin">
        <color rgb="FF4097AD"/>
      </left>
      <right/>
      <top style="thin">
        <color rgb="FF4097AD"/>
      </top>
      <bottom style="medium">
        <color rgb="FF4097AD"/>
      </bottom>
      <diagonal/>
    </border>
    <border>
      <left/>
      <right/>
      <top style="thin">
        <color rgb="FF4097AD"/>
      </top>
      <bottom style="medium">
        <color rgb="FF4097AD"/>
      </bottom>
      <diagonal/>
    </border>
    <border>
      <left/>
      <right style="thin">
        <color rgb="FF4097AD"/>
      </right>
      <top style="thin">
        <color rgb="FF4097AD"/>
      </top>
      <bottom style="medium">
        <color rgb="FF4097AD"/>
      </bottom>
      <diagonal/>
    </border>
    <border>
      <left style="dotted">
        <color rgb="FF4097AD"/>
      </left>
      <right/>
      <top style="thin">
        <color rgb="FF4097AD"/>
      </top>
      <bottom/>
      <diagonal/>
    </border>
    <border>
      <left style="dotted">
        <color rgb="FF4097AD"/>
      </left>
      <right/>
      <top/>
      <bottom style="thin">
        <color rgb="FF4097AD"/>
      </bottom>
      <diagonal/>
    </border>
    <border>
      <left style="dotted">
        <color rgb="FF4097AD"/>
      </left>
      <right/>
      <top/>
      <bottom/>
      <diagonal/>
    </border>
    <border>
      <left style="dotted">
        <color rgb="FF4097AD"/>
      </left>
      <right/>
      <top style="thin">
        <color rgb="FF4097AD"/>
      </top>
      <bottom style="medium">
        <color rgb="FF4097AD"/>
      </bottom>
      <diagonal/>
    </border>
    <border>
      <left style="thin">
        <color rgb="FF409DAD"/>
      </left>
      <right/>
      <top/>
      <bottom/>
      <diagonal/>
    </border>
    <border>
      <left/>
      <right style="thin">
        <color rgb="FF409DAD"/>
      </right>
      <top/>
      <bottom style="thin">
        <color rgb="FF409DAD"/>
      </bottom>
      <diagonal/>
    </border>
    <border>
      <left/>
      <right/>
      <top/>
      <bottom style="thin">
        <color rgb="FF409DAD"/>
      </bottom>
      <diagonal/>
    </border>
    <border>
      <left style="thin">
        <color rgb="FF409DAD"/>
      </left>
      <right/>
      <top/>
      <bottom style="thin">
        <color rgb="FF409DAD"/>
      </bottom>
      <diagonal/>
    </border>
    <border>
      <left/>
      <right style="thin">
        <color rgb="FF409DAD"/>
      </right>
      <top/>
      <bottom/>
      <diagonal/>
    </border>
    <border>
      <left/>
      <right style="thin">
        <color rgb="FF409DAD"/>
      </right>
      <top/>
      <bottom style="medium">
        <color rgb="FF409DAD"/>
      </bottom>
      <diagonal/>
    </border>
    <border>
      <left/>
      <right/>
      <top/>
      <bottom style="medium">
        <color rgb="FF409DAD"/>
      </bottom>
      <diagonal/>
    </border>
    <border>
      <left style="thin">
        <color rgb="FF409DAD"/>
      </left>
      <right/>
      <top/>
      <bottom style="medium">
        <color rgb="FF409DAD"/>
      </bottom>
      <diagonal/>
    </border>
    <border>
      <left/>
      <right style="thin">
        <color rgb="FF409DAD"/>
      </right>
      <top style="thin">
        <color rgb="FF409DAD"/>
      </top>
      <bottom/>
      <diagonal/>
    </border>
    <border>
      <left/>
      <right/>
      <top style="thin">
        <color rgb="FF409DAD"/>
      </top>
      <bottom/>
      <diagonal/>
    </border>
    <border>
      <left style="thin">
        <color rgb="FF409DAD"/>
      </left>
      <right/>
      <top style="thin">
        <color rgb="FF409DAD"/>
      </top>
      <bottom/>
      <diagonal/>
    </border>
    <border>
      <left/>
      <right style="thin">
        <color rgb="FF409DAD"/>
      </right>
      <top style="thin">
        <color rgb="FF409DAD"/>
      </top>
      <bottom style="thin">
        <color rgb="FF409DAD"/>
      </bottom>
      <diagonal/>
    </border>
    <border>
      <left/>
      <right/>
      <top style="thin">
        <color rgb="FF409DAD"/>
      </top>
      <bottom style="thin">
        <color rgb="FF409DAD"/>
      </bottom>
      <diagonal/>
    </border>
    <border>
      <left style="thin">
        <color rgb="FF409DAD"/>
      </left>
      <right/>
      <top style="thin">
        <color rgb="FF409DAD"/>
      </top>
      <bottom style="thin">
        <color rgb="FF409DAD"/>
      </bottom>
      <diagonal/>
    </border>
    <border>
      <left style="dotted">
        <color rgb="FF409DAD"/>
      </left>
      <right/>
      <top/>
      <bottom style="medium">
        <color rgb="FF409DAD"/>
      </bottom>
      <diagonal/>
    </border>
    <border>
      <left style="dotted">
        <color rgb="FF409DAD"/>
      </left>
      <right/>
      <top/>
      <bottom/>
      <diagonal/>
    </border>
    <border>
      <left/>
      <right style="thin">
        <color rgb="FF409DAD"/>
      </right>
      <top style="thin">
        <color rgb="FF409DAD"/>
      </top>
      <bottom style="medium">
        <color rgb="FF409DAD"/>
      </bottom>
      <diagonal/>
    </border>
    <border>
      <left/>
      <right/>
      <top style="thin">
        <color rgb="FF409DAD"/>
      </top>
      <bottom style="medium">
        <color rgb="FF409DAD"/>
      </bottom>
      <diagonal/>
    </border>
    <border>
      <left style="thin">
        <color rgb="FF409DAD"/>
      </left>
      <right/>
      <top style="thin">
        <color rgb="FF409DAD"/>
      </top>
      <bottom style="medium">
        <color rgb="FF409DAD"/>
      </bottom>
      <diagonal/>
    </border>
    <border>
      <left style="dotted">
        <color rgb="FF409DAD"/>
      </left>
      <right/>
      <top/>
      <bottom style="thin">
        <color rgb="FF409DAD"/>
      </bottom>
      <diagonal/>
    </border>
    <border>
      <left style="dotted">
        <color rgb="FF409DAD"/>
      </left>
      <right/>
      <top style="thin">
        <color rgb="FF409DAD"/>
      </top>
      <bottom/>
      <diagonal/>
    </border>
    <border>
      <left style="thin">
        <color rgb="FF409DAD"/>
      </left>
      <right style="thin">
        <color rgb="FF409DAD"/>
      </right>
      <top style="thin">
        <color rgb="FF409DAD"/>
      </top>
      <bottom/>
      <diagonal/>
    </border>
    <border>
      <left style="thin">
        <color rgb="FF409DAD"/>
      </left>
      <right style="thin">
        <color rgb="FF409DAD"/>
      </right>
      <top/>
      <bottom/>
      <diagonal/>
    </border>
    <border>
      <left style="thin">
        <color rgb="FF409DAD"/>
      </left>
      <right style="thin">
        <color rgb="FF409DAD"/>
      </right>
      <top/>
      <bottom style="thin">
        <color rgb="FF409DAD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 style="thin">
        <color indexed="24"/>
      </left>
      <right/>
      <top style="thin">
        <color indexed="24"/>
      </top>
      <bottom/>
      <diagonal/>
    </border>
    <border>
      <left/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 style="hair">
        <color indexed="24"/>
      </top>
      <bottom style="hair">
        <color indexed="24"/>
      </bottom>
      <diagonal/>
    </border>
    <border>
      <left/>
      <right/>
      <top style="hair">
        <color indexed="24"/>
      </top>
      <bottom style="hair">
        <color indexed="24"/>
      </bottom>
      <diagonal/>
    </border>
    <border>
      <left/>
      <right style="thin">
        <color indexed="24"/>
      </right>
      <top style="hair">
        <color indexed="24"/>
      </top>
      <bottom style="hair">
        <color indexed="24"/>
      </bottom>
      <diagonal/>
    </border>
    <border>
      <left style="thin">
        <color indexed="24"/>
      </left>
      <right/>
      <top/>
      <bottom style="medium">
        <color indexed="24"/>
      </bottom>
      <diagonal/>
    </border>
    <border>
      <left/>
      <right/>
      <top/>
      <bottom style="medium">
        <color indexed="24"/>
      </bottom>
      <diagonal/>
    </border>
    <border>
      <left/>
      <right style="thin">
        <color indexed="24"/>
      </right>
      <top/>
      <bottom style="medium">
        <color indexed="24"/>
      </bottom>
      <diagonal/>
    </border>
    <border>
      <left style="thin">
        <color indexed="24"/>
      </left>
      <right/>
      <top style="thin">
        <color indexed="24"/>
      </top>
      <bottom style="medium">
        <color indexed="24"/>
      </bottom>
      <diagonal/>
    </border>
    <border>
      <left/>
      <right/>
      <top style="thin">
        <color indexed="24"/>
      </top>
      <bottom style="medium">
        <color indexed="24"/>
      </bottom>
      <diagonal/>
    </border>
    <border>
      <left/>
      <right style="thin">
        <color indexed="24"/>
      </right>
      <top style="thin">
        <color indexed="24"/>
      </top>
      <bottom style="medium">
        <color indexed="24"/>
      </bottom>
      <diagonal/>
    </border>
    <border>
      <left style="thin">
        <color rgb="FF409DAD"/>
      </left>
      <right/>
      <top style="thin">
        <color indexed="24"/>
      </top>
      <bottom/>
      <diagonal/>
    </border>
    <border>
      <left/>
      <right style="thin">
        <color rgb="FF409DAD"/>
      </right>
      <top style="thin">
        <color indexed="24"/>
      </top>
      <bottom/>
      <diagonal/>
    </border>
    <border>
      <left style="thin">
        <color indexed="24"/>
      </left>
      <right/>
      <top style="thin">
        <color rgb="FF409DAD"/>
      </top>
      <bottom/>
      <diagonal/>
    </border>
    <border>
      <left/>
      <right style="thin">
        <color indexed="24"/>
      </right>
      <top style="thin">
        <color rgb="FF409DAD"/>
      </top>
      <bottom/>
      <diagonal/>
    </border>
    <border>
      <left style="thin">
        <color indexed="24"/>
      </left>
      <right/>
      <top/>
      <bottom style="thin">
        <color rgb="FF409DAD"/>
      </bottom>
      <diagonal/>
    </border>
    <border>
      <left/>
      <right style="thin">
        <color indexed="24"/>
      </right>
      <top/>
      <bottom style="thin">
        <color rgb="FF409DAD"/>
      </bottom>
      <diagonal/>
    </border>
    <border>
      <left/>
      <right/>
      <top style="thin">
        <color rgb="FF409DAD"/>
      </top>
      <bottom style="thin">
        <color indexed="24"/>
      </bottom>
      <diagonal/>
    </border>
    <border>
      <left/>
      <right style="thin">
        <color indexed="24"/>
      </right>
      <top style="thin">
        <color rgb="FF409DAD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medium">
        <color rgb="FF409DAD"/>
      </bottom>
      <diagonal/>
    </border>
    <border>
      <left/>
      <right style="thin">
        <color indexed="24"/>
      </right>
      <top style="thin">
        <color rgb="FF409DAD"/>
      </top>
      <bottom style="medium">
        <color rgb="FF409DAD"/>
      </bottom>
      <diagonal/>
    </border>
    <border>
      <left style="thin">
        <color indexed="24"/>
      </left>
      <right/>
      <top style="thin">
        <color rgb="FF409DAD"/>
      </top>
      <bottom style="medium">
        <color rgb="FF409DAD"/>
      </bottom>
      <diagonal/>
    </border>
    <border>
      <left style="thin">
        <color indexed="24"/>
      </left>
      <right style="dotted">
        <color indexed="24"/>
      </right>
      <top/>
      <bottom style="thin">
        <color rgb="FF409DAD"/>
      </bottom>
      <diagonal/>
    </border>
    <border>
      <left style="thin">
        <color indexed="24"/>
      </left>
      <right style="dotted">
        <color indexed="24"/>
      </right>
      <top/>
      <bottom/>
      <diagonal/>
    </border>
    <border>
      <left style="thin">
        <color indexed="24"/>
      </left>
      <right style="dotted">
        <color indexed="24"/>
      </right>
      <top/>
      <bottom style="medium">
        <color indexed="24"/>
      </bottom>
      <diagonal/>
    </border>
    <border>
      <left style="thin">
        <color rgb="FF4097AD"/>
      </left>
      <right/>
      <top style="hair">
        <color rgb="FF4097AD"/>
      </top>
      <bottom/>
      <diagonal/>
    </border>
    <border>
      <left/>
      <right/>
      <top style="hair">
        <color rgb="FF4097AD"/>
      </top>
      <bottom/>
      <diagonal/>
    </border>
    <border>
      <left/>
      <right style="thin">
        <color rgb="FF4097AD"/>
      </right>
      <top style="hair">
        <color rgb="FF4097AD"/>
      </top>
      <bottom/>
      <diagonal/>
    </border>
    <border>
      <left style="thin">
        <color rgb="FF4097AD"/>
      </left>
      <right/>
      <top/>
      <bottom style="hair">
        <color rgb="FF4097AD"/>
      </bottom>
      <diagonal/>
    </border>
    <border>
      <left/>
      <right/>
      <top/>
      <bottom style="hair">
        <color rgb="FF4097AD"/>
      </bottom>
      <diagonal/>
    </border>
    <border>
      <left/>
      <right style="thin">
        <color rgb="FF4097AD"/>
      </right>
      <top/>
      <bottom style="hair">
        <color rgb="FF4097AD"/>
      </bottom>
      <diagonal/>
    </border>
    <border>
      <left/>
      <right/>
      <top style="medium">
        <color rgb="FF4097A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9DAD"/>
      </left>
      <right/>
      <top style="thin">
        <color rgb="FF409DAD"/>
      </top>
      <bottom style="dotted">
        <color rgb="FF409DAD"/>
      </bottom>
      <diagonal/>
    </border>
    <border>
      <left/>
      <right/>
      <top style="thin">
        <color rgb="FF409DAD"/>
      </top>
      <bottom style="dotted">
        <color rgb="FF409DAD"/>
      </bottom>
      <diagonal/>
    </border>
    <border>
      <left/>
      <right style="thin">
        <color rgb="FF409DAD"/>
      </right>
      <top style="thin">
        <color rgb="FF409DAD"/>
      </top>
      <bottom style="dotted">
        <color rgb="FF409DAD"/>
      </bottom>
      <diagonal/>
    </border>
    <border>
      <left/>
      <right/>
      <top style="dotted">
        <color rgb="FF409DAD"/>
      </top>
      <bottom/>
      <diagonal/>
    </border>
    <border>
      <left style="thin">
        <color rgb="FF409DAD"/>
      </left>
      <right/>
      <top style="thin">
        <color rgb="FF409DAD"/>
      </top>
      <bottom style="medium">
        <color indexed="24"/>
      </bottom>
      <diagonal/>
    </border>
    <border>
      <left/>
      <right/>
      <top style="thin">
        <color rgb="FF409DAD"/>
      </top>
      <bottom style="medium">
        <color indexed="24"/>
      </bottom>
      <diagonal/>
    </border>
    <border>
      <left/>
      <right style="thin">
        <color rgb="FF409DAD"/>
      </right>
      <top style="thin">
        <color rgb="FF409DAD"/>
      </top>
      <bottom style="medium">
        <color indexed="24"/>
      </bottom>
      <diagonal/>
    </border>
    <border>
      <left style="thin">
        <color rgb="FF409DAD"/>
      </left>
      <right/>
      <top/>
      <bottom style="dotted">
        <color rgb="FF409DAD"/>
      </bottom>
      <diagonal/>
    </border>
    <border>
      <left/>
      <right/>
      <top/>
      <bottom style="dotted">
        <color rgb="FF409DAD"/>
      </bottom>
      <diagonal/>
    </border>
    <border>
      <left/>
      <right style="thin">
        <color rgb="FF409DAD"/>
      </right>
      <top/>
      <bottom style="dotted">
        <color rgb="FF409DAD"/>
      </bottom>
      <diagonal/>
    </border>
    <border>
      <left style="thin">
        <color rgb="FF409DAD"/>
      </left>
      <right/>
      <top style="dotted">
        <color rgb="FF409DAD"/>
      </top>
      <bottom style="dotted">
        <color rgb="FF409DAD"/>
      </bottom>
      <diagonal/>
    </border>
    <border>
      <left/>
      <right/>
      <top style="dotted">
        <color rgb="FF409DAD"/>
      </top>
      <bottom style="dotted">
        <color rgb="FF409DAD"/>
      </bottom>
      <diagonal/>
    </border>
    <border>
      <left/>
      <right style="thin">
        <color rgb="FF409DAD"/>
      </right>
      <top style="dotted">
        <color rgb="FF409DAD"/>
      </top>
      <bottom style="dotted">
        <color rgb="FF409DAD"/>
      </bottom>
      <diagonal/>
    </border>
    <border>
      <left style="thin">
        <color rgb="FF409DAD"/>
      </left>
      <right/>
      <top style="thin">
        <color rgb="FF409DAD"/>
      </top>
      <bottom style="hair">
        <color rgb="FF409DAD"/>
      </bottom>
      <diagonal/>
    </border>
    <border>
      <left/>
      <right/>
      <top style="thin">
        <color rgb="FF409DAD"/>
      </top>
      <bottom style="hair">
        <color rgb="FF409DAD"/>
      </bottom>
      <diagonal/>
    </border>
    <border>
      <left/>
      <right style="thin">
        <color rgb="FF409DAD"/>
      </right>
      <top style="thin">
        <color rgb="FF409DAD"/>
      </top>
      <bottom style="hair">
        <color rgb="FF409DAD"/>
      </bottom>
      <diagonal/>
    </border>
    <border>
      <left style="thin">
        <color rgb="FF409DAD"/>
      </left>
      <right/>
      <top style="hair">
        <color rgb="FF409DAD"/>
      </top>
      <bottom style="hair">
        <color rgb="FF409DAD"/>
      </bottom>
      <diagonal/>
    </border>
    <border>
      <left/>
      <right/>
      <top style="hair">
        <color rgb="FF409DAD"/>
      </top>
      <bottom style="hair">
        <color rgb="FF409DAD"/>
      </bottom>
      <diagonal/>
    </border>
    <border>
      <left/>
      <right style="thin">
        <color rgb="FF409DAD"/>
      </right>
      <top style="hair">
        <color rgb="FF409DAD"/>
      </top>
      <bottom style="hair">
        <color rgb="FF409DAD"/>
      </bottom>
      <diagonal/>
    </border>
    <border>
      <left style="thin">
        <color rgb="FF409DAD"/>
      </left>
      <right/>
      <top style="hair">
        <color rgb="FF409DAD"/>
      </top>
      <bottom style="thin">
        <color rgb="FF409DAD"/>
      </bottom>
      <diagonal/>
    </border>
    <border>
      <left/>
      <right/>
      <top style="hair">
        <color rgb="FF409DAD"/>
      </top>
      <bottom style="thin">
        <color rgb="FF409DAD"/>
      </bottom>
      <diagonal/>
    </border>
    <border>
      <left/>
      <right style="thin">
        <color rgb="FF409DAD"/>
      </right>
      <top style="hair">
        <color rgb="FF409DAD"/>
      </top>
      <bottom style="thin">
        <color rgb="FF409DAD"/>
      </bottom>
      <diagonal/>
    </border>
    <border>
      <left style="thin">
        <color rgb="FF409DAD"/>
      </left>
      <right style="thin">
        <color rgb="FF409DAD"/>
      </right>
      <top/>
      <bottom style="medium">
        <color rgb="FF409DAD"/>
      </bottom>
      <diagonal/>
    </border>
    <border>
      <left/>
      <right style="dotted">
        <color rgb="FF4097AD"/>
      </right>
      <top/>
      <bottom/>
      <diagonal/>
    </border>
    <border>
      <left style="thin">
        <color rgb="FF409DAD"/>
      </left>
      <right/>
      <top style="dashed">
        <color rgb="FF409DAD"/>
      </top>
      <bottom/>
      <diagonal/>
    </border>
    <border>
      <left/>
      <right/>
      <top style="dashed">
        <color rgb="FF409DAD"/>
      </top>
      <bottom/>
      <diagonal/>
    </border>
    <border>
      <left/>
      <right style="thin">
        <color rgb="FF409DAD"/>
      </right>
      <top style="dashed">
        <color rgb="FF409DAD"/>
      </top>
      <bottom/>
      <diagonal/>
    </border>
    <border>
      <left style="thin">
        <color rgb="FF409DAD"/>
      </left>
      <right/>
      <top/>
      <bottom style="dashed">
        <color rgb="FF409DAD"/>
      </bottom>
      <diagonal/>
    </border>
    <border>
      <left/>
      <right/>
      <top/>
      <bottom style="dashed">
        <color rgb="FF409DAD"/>
      </bottom>
      <diagonal/>
    </border>
    <border>
      <left/>
      <right style="thin">
        <color rgb="FF409DAD"/>
      </right>
      <top/>
      <bottom style="dashed">
        <color rgb="FF409DAD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/>
    <xf numFmtId="9" fontId="33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80" fillId="0" borderId="0">
      <alignment vertical="center"/>
    </xf>
    <xf numFmtId="41" fontId="80" fillId="0" borderId="0" applyFont="0" applyFill="0" applyBorder="0" applyAlignment="0" applyProtection="0">
      <alignment vertical="center"/>
    </xf>
    <xf numFmtId="9" fontId="80" fillId="0" borderId="0" applyFont="0" applyFill="0" applyBorder="0" applyAlignment="0" applyProtection="0">
      <alignment vertical="center"/>
    </xf>
    <xf numFmtId="0" fontId="39" fillId="0" borderId="0"/>
  </cellStyleXfs>
  <cellXfs count="854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0" borderId="0" xfId="0" applyFont="1">
      <alignment vertical="center"/>
    </xf>
    <xf numFmtId="0" fontId="4" fillId="0" borderId="4" xfId="0" applyFont="1" applyBorder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8" fillId="0" borderId="7" xfId="0" applyFont="1" applyBorder="1">
      <alignment vertical="center"/>
    </xf>
    <xf numFmtId="0" fontId="8" fillId="0" borderId="8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9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10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10" xfId="0" applyFont="1" applyBorder="1" applyAlignment="1">
      <alignment horizontal="left" vertical="center" indent="1"/>
    </xf>
    <xf numFmtId="176" fontId="10" fillId="0" borderId="0" xfId="0" applyNumberFormat="1" applyFont="1" applyAlignment="1">
      <alignment horizontal="right" vertical="center"/>
    </xf>
    <xf numFmtId="176" fontId="10" fillId="0" borderId="11" xfId="0" applyNumberFormat="1" applyFont="1" applyBorder="1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0" fontId="6" fillId="0" borderId="7" xfId="0" applyFont="1" applyBorder="1" applyAlignment="1">
      <alignment horizontal="left" vertical="center" indent="1"/>
    </xf>
    <xf numFmtId="176" fontId="10" fillId="0" borderId="8" xfId="0" applyNumberFormat="1" applyFont="1" applyBorder="1" applyAlignment="1">
      <alignment horizontal="right" vertical="center"/>
    </xf>
    <xf numFmtId="176" fontId="10" fillId="0" borderId="9" xfId="0" applyNumberFormat="1" applyFont="1" applyBorder="1" applyAlignment="1">
      <alignment horizontal="right" vertical="center"/>
    </xf>
    <xf numFmtId="0" fontId="12" fillId="0" borderId="1" xfId="0" applyFont="1" applyBorder="1">
      <alignment vertical="center"/>
    </xf>
    <xf numFmtId="177" fontId="13" fillId="0" borderId="2" xfId="0" applyNumberFormat="1" applyFont="1" applyBorder="1">
      <alignment vertical="center"/>
    </xf>
    <xf numFmtId="177" fontId="13" fillId="0" borderId="3" xfId="0" applyNumberFormat="1" applyFont="1" applyBorder="1">
      <alignment vertical="center"/>
    </xf>
    <xf numFmtId="0" fontId="8" fillId="0" borderId="1" xfId="0" applyFont="1" applyBorder="1">
      <alignment vertical="center"/>
    </xf>
    <xf numFmtId="176" fontId="11" fillId="0" borderId="2" xfId="0" applyNumberFormat="1" applyFont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0" fontId="8" fillId="0" borderId="4" xfId="0" applyFont="1" applyBorder="1">
      <alignment vertical="center"/>
    </xf>
    <xf numFmtId="0" fontId="14" fillId="0" borderId="4" xfId="0" applyFont="1" applyBorder="1" applyAlignment="1">
      <alignment horizontal="left" vertical="center" indent="1"/>
    </xf>
    <xf numFmtId="176" fontId="10" fillId="0" borderId="5" xfId="0" applyNumberFormat="1" applyFont="1" applyBorder="1">
      <alignment vertical="center"/>
    </xf>
    <xf numFmtId="176" fontId="10" fillId="0" borderId="6" xfId="0" applyNumberFormat="1" applyFont="1" applyBorder="1">
      <alignment vertical="center"/>
    </xf>
    <xf numFmtId="0" fontId="12" fillId="0" borderId="0" xfId="0" applyFont="1">
      <alignment vertical="center"/>
    </xf>
    <xf numFmtId="178" fontId="12" fillId="0" borderId="0" xfId="2" applyNumberFormat="1" applyFont="1">
      <alignment vertical="center"/>
    </xf>
    <xf numFmtId="0" fontId="14" fillId="0" borderId="10" xfId="0" applyFont="1" applyBorder="1" applyAlignment="1">
      <alignment horizontal="left" vertical="center" indent="1"/>
    </xf>
    <xf numFmtId="176" fontId="10" fillId="0" borderId="0" xfId="0" applyNumberFormat="1" applyFont="1">
      <alignment vertical="center"/>
    </xf>
    <xf numFmtId="176" fontId="10" fillId="0" borderId="11" xfId="0" applyNumberFormat="1" applyFont="1" applyBorder="1">
      <alignment vertical="center"/>
    </xf>
    <xf numFmtId="0" fontId="14" fillId="0" borderId="7" xfId="0" applyFont="1" applyBorder="1" applyAlignment="1">
      <alignment horizontal="left" vertical="center" indent="1"/>
    </xf>
    <xf numFmtId="176" fontId="10" fillId="0" borderId="8" xfId="0" applyNumberFormat="1" applyFont="1" applyBorder="1">
      <alignment vertical="center"/>
    </xf>
    <xf numFmtId="176" fontId="10" fillId="0" borderId="9" xfId="0" applyNumberFormat="1" applyFont="1" applyBorder="1">
      <alignment vertical="center"/>
    </xf>
    <xf numFmtId="0" fontId="8" fillId="0" borderId="15" xfId="0" applyFont="1" applyBorder="1">
      <alignment vertical="center"/>
    </xf>
    <xf numFmtId="176" fontId="11" fillId="0" borderId="16" xfId="0" applyNumberFormat="1" applyFont="1" applyBorder="1" applyAlignment="1">
      <alignment horizontal="right" vertical="center"/>
    </xf>
    <xf numFmtId="176" fontId="11" fillId="0" borderId="17" xfId="0" applyNumberFormat="1" applyFont="1" applyBorder="1" applyAlignment="1">
      <alignment horizontal="right" vertical="center"/>
    </xf>
    <xf numFmtId="0" fontId="4" fillId="2" borderId="3" xfId="0" applyFont="1" applyFill="1" applyBorder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9" xfId="0" applyFont="1" applyBorder="1" applyAlignment="1">
      <alignment horizontal="right"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176" fontId="6" fillId="0" borderId="5" xfId="0" applyNumberFormat="1" applyFont="1" applyBorder="1" applyAlignment="1">
      <alignment horizontal="right" vertical="center"/>
    </xf>
    <xf numFmtId="178" fontId="12" fillId="0" borderId="5" xfId="2" applyNumberFormat="1" applyFont="1" applyBorder="1">
      <alignment vertical="center"/>
    </xf>
    <xf numFmtId="176" fontId="6" fillId="0" borderId="18" xfId="0" applyNumberFormat="1" applyFont="1" applyBorder="1" applyAlignment="1">
      <alignment horizontal="right" vertical="center"/>
    </xf>
    <xf numFmtId="178" fontId="12" fillId="0" borderId="6" xfId="2" applyNumberFormat="1" applyFont="1" applyBorder="1" applyAlignment="1">
      <alignment horizontal="right" vertical="center"/>
    </xf>
    <xf numFmtId="0" fontId="6" fillId="0" borderId="10" xfId="0" applyFont="1" applyBorder="1">
      <alignment vertical="center"/>
    </xf>
    <xf numFmtId="176" fontId="6" fillId="0" borderId="0" xfId="0" applyNumberFormat="1" applyFont="1" applyAlignment="1">
      <alignment horizontal="right" vertical="center"/>
    </xf>
    <xf numFmtId="178" fontId="12" fillId="0" borderId="0" xfId="2" applyNumberFormat="1" applyFont="1" applyBorder="1">
      <alignment vertical="center"/>
    </xf>
    <xf numFmtId="176" fontId="6" fillId="0" borderId="20" xfId="0" applyNumberFormat="1" applyFont="1" applyBorder="1" applyAlignment="1">
      <alignment horizontal="right" vertical="center"/>
    </xf>
    <xf numFmtId="178" fontId="12" fillId="0" borderId="11" xfId="2" applyNumberFormat="1" applyFont="1" applyBorder="1" applyAlignment="1">
      <alignment horizontal="right" vertical="center"/>
    </xf>
    <xf numFmtId="176" fontId="8" fillId="0" borderId="16" xfId="0" applyNumberFormat="1" applyFont="1" applyBorder="1" applyAlignment="1">
      <alignment horizontal="right" vertical="center"/>
    </xf>
    <xf numFmtId="178" fontId="15" fillId="0" borderId="16" xfId="2" applyNumberFormat="1" applyFont="1" applyBorder="1">
      <alignment vertical="center"/>
    </xf>
    <xf numFmtId="176" fontId="8" fillId="0" borderId="21" xfId="0" applyNumberFormat="1" applyFont="1" applyBorder="1" applyAlignment="1">
      <alignment horizontal="right" vertical="center"/>
    </xf>
    <xf numFmtId="178" fontId="15" fillId="0" borderId="17" xfId="2" applyNumberFormat="1" applyFont="1" applyBorder="1" applyAlignment="1">
      <alignment horizontal="right" vertical="center"/>
    </xf>
    <xf numFmtId="178" fontId="12" fillId="0" borderId="6" xfId="2" applyNumberFormat="1" applyFont="1" applyBorder="1">
      <alignment vertical="center"/>
    </xf>
    <xf numFmtId="178" fontId="12" fillId="0" borderId="11" xfId="2" applyNumberFormat="1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178" fontId="12" fillId="0" borderId="8" xfId="2" applyNumberFormat="1" applyFont="1" applyBorder="1">
      <alignment vertical="center"/>
    </xf>
    <xf numFmtId="178" fontId="12" fillId="0" borderId="9" xfId="2" applyNumberFormat="1" applyFont="1" applyBorder="1">
      <alignment vertical="center"/>
    </xf>
    <xf numFmtId="178" fontId="12" fillId="0" borderId="0" xfId="2" applyNumberFormat="1" applyFont="1" applyFill="1" applyBorder="1" applyAlignment="1">
      <alignment vertical="center"/>
    </xf>
    <xf numFmtId="178" fontId="12" fillId="0" borderId="22" xfId="2" applyNumberFormat="1" applyFont="1" applyFill="1" applyBorder="1" applyAlignment="1">
      <alignment vertical="center"/>
    </xf>
    <xf numFmtId="176" fontId="6" fillId="0" borderId="0" xfId="0" applyNumberFormat="1" applyFont="1">
      <alignment vertical="center"/>
    </xf>
    <xf numFmtId="177" fontId="12" fillId="0" borderId="23" xfId="2" applyNumberFormat="1" applyFont="1" applyFill="1" applyBorder="1" applyAlignment="1">
      <alignment vertical="center"/>
    </xf>
    <xf numFmtId="177" fontId="12" fillId="0" borderId="24" xfId="2" applyNumberFormat="1" applyFont="1" applyFill="1" applyBorder="1" applyAlignment="1">
      <alignment vertical="center"/>
    </xf>
    <xf numFmtId="177" fontId="12" fillId="0" borderId="25" xfId="2" applyNumberFormat="1" applyFont="1" applyFill="1" applyBorder="1" applyAlignment="1">
      <alignment vertical="center"/>
    </xf>
    <xf numFmtId="176" fontId="6" fillId="0" borderId="23" xfId="0" applyNumberFormat="1" applyFont="1" applyBorder="1">
      <alignment vertical="center"/>
    </xf>
    <xf numFmtId="176" fontId="6" fillId="0" borderId="24" xfId="0" applyNumberFormat="1" applyFont="1" applyBorder="1">
      <alignment vertical="center"/>
    </xf>
    <xf numFmtId="0" fontId="6" fillId="0" borderId="25" xfId="0" applyFont="1" applyBorder="1" applyAlignment="1">
      <alignment horizontal="left" vertical="center" indent="1"/>
    </xf>
    <xf numFmtId="177" fontId="12" fillId="0" borderId="26" xfId="2" applyNumberFormat="1" applyFont="1" applyFill="1" applyBorder="1" applyAlignment="1">
      <alignment vertical="center"/>
    </xf>
    <xf numFmtId="177" fontId="12" fillId="0" borderId="0" xfId="2" applyNumberFormat="1" applyFont="1" applyFill="1" applyBorder="1" applyAlignment="1">
      <alignment vertical="center"/>
    </xf>
    <xf numFmtId="177" fontId="12" fillId="0" borderId="22" xfId="2" applyNumberFormat="1" applyFont="1" applyFill="1" applyBorder="1" applyAlignment="1">
      <alignment vertical="center"/>
    </xf>
    <xf numFmtId="176" fontId="6" fillId="0" borderId="26" xfId="0" applyNumberFormat="1" applyFont="1" applyBorder="1">
      <alignment vertical="center"/>
    </xf>
    <xf numFmtId="0" fontId="6" fillId="0" borderId="22" xfId="0" applyFont="1" applyBorder="1" applyAlignment="1">
      <alignment horizontal="left" vertical="center" indent="1"/>
    </xf>
    <xf numFmtId="177" fontId="12" fillId="0" borderId="27" xfId="2" applyNumberFormat="1" applyFont="1" applyFill="1" applyBorder="1" applyAlignment="1">
      <alignment vertical="center"/>
    </xf>
    <xf numFmtId="177" fontId="12" fillId="0" borderId="28" xfId="2" applyNumberFormat="1" applyFont="1" applyFill="1" applyBorder="1" applyAlignment="1">
      <alignment vertical="center"/>
    </xf>
    <xf numFmtId="177" fontId="12" fillId="0" borderId="29" xfId="2" applyNumberFormat="1" applyFont="1" applyFill="1" applyBorder="1" applyAlignment="1">
      <alignment vertical="center"/>
    </xf>
    <xf numFmtId="176" fontId="6" fillId="0" borderId="28" xfId="0" applyNumberFormat="1" applyFont="1" applyBorder="1">
      <alignment vertical="center"/>
    </xf>
    <xf numFmtId="0" fontId="6" fillId="0" borderId="29" xfId="0" applyFont="1" applyBorder="1" applyAlignment="1">
      <alignment horizontal="left" vertical="center" indent="1"/>
    </xf>
    <xf numFmtId="177" fontId="12" fillId="0" borderId="30" xfId="2" applyNumberFormat="1" applyFont="1" applyFill="1" applyBorder="1" applyAlignment="1">
      <alignment vertical="center"/>
    </xf>
    <xf numFmtId="177" fontId="12" fillId="0" borderId="31" xfId="2" applyNumberFormat="1" applyFont="1" applyFill="1" applyBorder="1" applyAlignment="1">
      <alignment vertical="center"/>
    </xf>
    <xf numFmtId="177" fontId="12" fillId="0" borderId="32" xfId="2" applyNumberFormat="1" applyFont="1" applyFill="1" applyBorder="1" applyAlignment="1">
      <alignment vertical="center"/>
    </xf>
    <xf numFmtId="176" fontId="6" fillId="0" borderId="31" xfId="0" applyNumberFormat="1" applyFont="1" applyBorder="1">
      <alignment vertical="center"/>
    </xf>
    <xf numFmtId="0" fontId="6" fillId="0" borderId="32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7" fillId="0" borderId="35" xfId="0" applyFont="1" applyBorder="1" applyAlignment="1">
      <alignment horizontal="right"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178" fontId="15" fillId="0" borderId="23" xfId="2" applyNumberFormat="1" applyFont="1" applyFill="1" applyBorder="1" applyAlignment="1">
      <alignment vertical="center"/>
    </xf>
    <xf numFmtId="178" fontId="15" fillId="0" borderId="24" xfId="2" applyNumberFormat="1" applyFont="1" applyFill="1" applyBorder="1" applyAlignment="1">
      <alignment vertical="center"/>
    </xf>
    <xf numFmtId="178" fontId="15" fillId="0" borderId="25" xfId="2" applyNumberFormat="1" applyFont="1" applyFill="1" applyBorder="1" applyAlignment="1">
      <alignment vertical="center"/>
    </xf>
    <xf numFmtId="176" fontId="8" fillId="0" borderId="23" xfId="0" applyNumberFormat="1" applyFont="1" applyBorder="1">
      <alignment vertical="center"/>
    </xf>
    <xf numFmtId="176" fontId="8" fillId="0" borderId="24" xfId="0" applyNumberFormat="1" applyFont="1" applyBorder="1">
      <alignment vertical="center"/>
    </xf>
    <xf numFmtId="0" fontId="8" fillId="0" borderId="25" xfId="0" applyFont="1" applyBorder="1">
      <alignment vertical="center"/>
    </xf>
    <xf numFmtId="178" fontId="15" fillId="0" borderId="26" xfId="2" applyNumberFormat="1" applyFont="1" applyFill="1" applyBorder="1" applyAlignment="1">
      <alignment vertical="center"/>
    </xf>
    <xf numFmtId="178" fontId="15" fillId="0" borderId="0" xfId="2" applyNumberFormat="1" applyFont="1" applyFill="1" applyBorder="1" applyAlignment="1">
      <alignment vertical="center"/>
    </xf>
    <xf numFmtId="178" fontId="15" fillId="0" borderId="22" xfId="2" applyNumberFormat="1" applyFont="1" applyFill="1" applyBorder="1" applyAlignment="1">
      <alignment vertical="center"/>
    </xf>
    <xf numFmtId="176" fontId="8" fillId="0" borderId="26" xfId="0" applyNumberFormat="1" applyFont="1" applyBorder="1">
      <alignment vertical="center"/>
    </xf>
    <xf numFmtId="176" fontId="8" fillId="0" borderId="0" xfId="0" applyNumberFormat="1" applyFont="1">
      <alignment vertical="center"/>
    </xf>
    <xf numFmtId="179" fontId="17" fillId="0" borderId="22" xfId="3" applyNumberFormat="1" applyFont="1" applyBorder="1" applyAlignment="1">
      <alignment vertical="center"/>
    </xf>
    <xf numFmtId="178" fontId="15" fillId="0" borderId="30" xfId="2" applyNumberFormat="1" applyFont="1" applyFill="1" applyBorder="1" applyAlignment="1">
      <alignment vertical="center"/>
    </xf>
    <xf numFmtId="178" fontId="15" fillId="0" borderId="31" xfId="2" applyNumberFormat="1" applyFont="1" applyFill="1" applyBorder="1" applyAlignment="1">
      <alignment vertical="center"/>
    </xf>
    <xf numFmtId="178" fontId="15" fillId="0" borderId="32" xfId="2" applyNumberFormat="1" applyFont="1" applyFill="1" applyBorder="1" applyAlignment="1">
      <alignment vertical="center"/>
    </xf>
    <xf numFmtId="176" fontId="8" fillId="0" borderId="30" xfId="0" applyNumberFormat="1" applyFont="1" applyBorder="1">
      <alignment vertical="center"/>
    </xf>
    <xf numFmtId="176" fontId="8" fillId="0" borderId="31" xfId="0" applyNumberFormat="1" applyFont="1" applyBorder="1">
      <alignment vertical="center"/>
    </xf>
    <xf numFmtId="179" fontId="17" fillId="0" borderId="32" xfId="3" applyNumberFormat="1" applyFont="1" applyBorder="1" applyAlignment="1">
      <alignment vertical="center"/>
    </xf>
    <xf numFmtId="177" fontId="13" fillId="0" borderId="27" xfId="0" applyNumberFormat="1" applyFont="1" applyBorder="1">
      <alignment vertical="center"/>
    </xf>
    <xf numFmtId="177" fontId="13" fillId="0" borderId="36" xfId="0" applyNumberFormat="1" applyFont="1" applyBorder="1">
      <alignment vertical="center"/>
    </xf>
    <xf numFmtId="177" fontId="13" fillId="0" borderId="28" xfId="0" applyNumberFormat="1" applyFont="1" applyBorder="1">
      <alignment vertical="center"/>
    </xf>
    <xf numFmtId="0" fontId="12" fillId="0" borderId="29" xfId="0" applyFont="1" applyBorder="1" applyAlignment="1">
      <alignment horizontal="left" vertical="center" indent="1"/>
    </xf>
    <xf numFmtId="177" fontId="13" fillId="0" borderId="26" xfId="0" applyNumberFormat="1" applyFont="1" applyBorder="1">
      <alignment vertical="center"/>
    </xf>
    <xf numFmtId="177" fontId="13" fillId="0" borderId="37" xfId="0" applyNumberFormat="1" applyFont="1" applyBorder="1">
      <alignment vertical="center"/>
    </xf>
    <xf numFmtId="177" fontId="13" fillId="0" borderId="0" xfId="0" applyNumberFormat="1" applyFont="1">
      <alignment vertical="center"/>
    </xf>
    <xf numFmtId="0" fontId="12" fillId="0" borderId="22" xfId="0" applyFont="1" applyBorder="1" applyAlignment="1">
      <alignment horizontal="left" vertical="center" indent="1"/>
    </xf>
    <xf numFmtId="176" fontId="10" fillId="0" borderId="0" xfId="1" applyNumberFormat="1" applyFont="1" applyFill="1" applyBorder="1">
      <alignment vertical="center"/>
    </xf>
    <xf numFmtId="177" fontId="18" fillId="0" borderId="26" xfId="0" applyNumberFormat="1" applyFont="1" applyBorder="1">
      <alignment vertical="center"/>
    </xf>
    <xf numFmtId="177" fontId="18" fillId="0" borderId="37" xfId="0" applyNumberFormat="1" applyFont="1" applyBorder="1">
      <alignment vertical="center"/>
    </xf>
    <xf numFmtId="177" fontId="18" fillId="0" borderId="0" xfId="0" applyNumberFormat="1" applyFont="1">
      <alignment vertical="center"/>
    </xf>
    <xf numFmtId="0" fontId="15" fillId="0" borderId="22" xfId="0" applyFont="1" applyBorder="1">
      <alignment vertical="center"/>
    </xf>
    <xf numFmtId="180" fontId="6" fillId="3" borderId="38" xfId="0" applyNumberFormat="1" applyFont="1" applyFill="1" applyBorder="1">
      <alignment vertical="center"/>
    </xf>
    <xf numFmtId="180" fontId="6" fillId="3" borderId="39" xfId="0" applyNumberFormat="1" applyFont="1" applyFill="1" applyBorder="1">
      <alignment vertical="center"/>
    </xf>
    <xf numFmtId="0" fontId="6" fillId="3" borderId="40" xfId="0" applyFont="1" applyFill="1" applyBorder="1">
      <alignment vertical="center"/>
    </xf>
    <xf numFmtId="176" fontId="10" fillId="0" borderId="23" xfId="0" applyNumberFormat="1" applyFont="1" applyBorder="1">
      <alignment vertical="center"/>
    </xf>
    <xf numFmtId="176" fontId="10" fillId="0" borderId="41" xfId="0" applyNumberFormat="1" applyFont="1" applyBorder="1">
      <alignment vertical="center"/>
    </xf>
    <xf numFmtId="176" fontId="10" fillId="0" borderId="24" xfId="0" applyNumberFormat="1" applyFont="1" applyBorder="1">
      <alignment vertical="center"/>
    </xf>
    <xf numFmtId="178" fontId="13" fillId="0" borderId="30" xfId="2" applyNumberFormat="1" applyFont="1" applyFill="1" applyBorder="1" applyAlignment="1">
      <alignment vertical="center"/>
    </xf>
    <xf numFmtId="178" fontId="13" fillId="0" borderId="31" xfId="2" applyNumberFormat="1" applyFont="1" applyFill="1" applyBorder="1" applyAlignment="1">
      <alignment vertical="center"/>
    </xf>
    <xf numFmtId="0" fontId="12" fillId="0" borderId="32" xfId="0" applyFont="1" applyBorder="1">
      <alignment vertical="center"/>
    </xf>
    <xf numFmtId="176" fontId="10" fillId="0" borderId="26" xfId="0" applyNumberFormat="1" applyFont="1" applyBorder="1">
      <alignment vertical="center"/>
    </xf>
    <xf numFmtId="176" fontId="10" fillId="0" borderId="37" xfId="0" applyNumberFormat="1" applyFont="1" applyBorder="1">
      <alignment vertical="center"/>
    </xf>
    <xf numFmtId="176" fontId="11" fillId="0" borderId="33" xfId="1" applyNumberFormat="1" applyFont="1" applyFill="1" applyBorder="1">
      <alignment vertical="center"/>
    </xf>
    <xf numFmtId="176" fontId="11" fillId="0" borderId="34" xfId="1" applyNumberFormat="1" applyFont="1" applyFill="1" applyBorder="1">
      <alignment vertical="center"/>
    </xf>
    <xf numFmtId="0" fontId="8" fillId="0" borderId="35" xfId="0" applyFont="1" applyBorder="1">
      <alignment vertical="center"/>
    </xf>
    <xf numFmtId="176" fontId="10" fillId="0" borderId="23" xfId="1" applyNumberFormat="1" applyFont="1" applyFill="1" applyBorder="1">
      <alignment vertical="center"/>
    </xf>
    <xf numFmtId="176" fontId="10" fillId="0" borderId="24" xfId="1" applyNumberFormat="1" applyFont="1" applyFill="1" applyBorder="1">
      <alignment vertical="center"/>
    </xf>
    <xf numFmtId="176" fontId="11" fillId="0" borderId="30" xfId="0" applyNumberFormat="1" applyFont="1" applyBorder="1">
      <alignment vertical="center"/>
    </xf>
    <xf numFmtId="176" fontId="11" fillId="0" borderId="42" xfId="0" applyNumberFormat="1" applyFont="1" applyBorder="1">
      <alignment vertical="center"/>
    </xf>
    <xf numFmtId="176" fontId="11" fillId="0" borderId="31" xfId="0" applyNumberFormat="1" applyFont="1" applyBorder="1">
      <alignment vertical="center"/>
    </xf>
    <xf numFmtId="0" fontId="8" fillId="0" borderId="32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19" fillId="0" borderId="22" xfId="0" applyFont="1" applyBorder="1" applyAlignment="1">
      <alignment horizontal="left" vertical="center" indent="1"/>
    </xf>
    <xf numFmtId="176" fontId="10" fillId="0" borderId="26" xfId="1" applyNumberFormat="1" applyFont="1" applyFill="1" applyBorder="1">
      <alignment vertical="center"/>
    </xf>
    <xf numFmtId="176" fontId="11" fillId="0" borderId="26" xfId="0" applyNumberFormat="1" applyFont="1" applyBorder="1">
      <alignment vertical="center"/>
    </xf>
    <xf numFmtId="176" fontId="11" fillId="0" borderId="37" xfId="0" applyNumberFormat="1" applyFont="1" applyBorder="1">
      <alignment vertical="center"/>
    </xf>
    <xf numFmtId="176" fontId="11" fillId="0" borderId="0" xfId="0" applyNumberFormat="1" applyFont="1">
      <alignment vertical="center"/>
    </xf>
    <xf numFmtId="0" fontId="8" fillId="0" borderId="22" xfId="0" applyFont="1" applyBorder="1">
      <alignment vertical="center"/>
    </xf>
    <xf numFmtId="0" fontId="12" fillId="0" borderId="0" xfId="0" applyFont="1" applyAlignment="1">
      <alignment horizontal="left" vertical="center"/>
    </xf>
    <xf numFmtId="176" fontId="10" fillId="0" borderId="30" xfId="1" applyNumberFormat="1" applyFont="1" applyFill="1" applyBorder="1">
      <alignment vertical="center"/>
    </xf>
    <xf numFmtId="176" fontId="10" fillId="0" borderId="31" xfId="1" applyNumberFormat="1" applyFont="1" applyFill="1" applyBorder="1">
      <alignment vertical="center"/>
    </xf>
    <xf numFmtId="0" fontId="19" fillId="0" borderId="32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right" vertical="center"/>
    </xf>
    <xf numFmtId="0" fontId="8" fillId="0" borderId="24" xfId="0" applyFont="1" applyBorder="1" applyAlignment="1">
      <alignment horizontal="right" vertical="center"/>
    </xf>
    <xf numFmtId="0" fontId="8" fillId="0" borderId="41" xfId="0" applyFont="1" applyBorder="1" applyAlignment="1">
      <alignment horizontal="right" vertical="center"/>
    </xf>
    <xf numFmtId="0" fontId="7" fillId="0" borderId="30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/>
    </xf>
    <xf numFmtId="0" fontId="7" fillId="0" borderId="42" xfId="0" applyFont="1" applyBorder="1" applyAlignment="1">
      <alignment horizontal="right" vertical="center"/>
    </xf>
    <xf numFmtId="0" fontId="20" fillId="4" borderId="33" xfId="0" applyFont="1" applyFill="1" applyBorder="1">
      <alignment vertical="center"/>
    </xf>
    <xf numFmtId="0" fontId="20" fillId="4" borderId="34" xfId="0" applyFont="1" applyFill="1" applyBorder="1">
      <alignment vertical="center"/>
    </xf>
    <xf numFmtId="0" fontId="20" fillId="4" borderId="35" xfId="0" applyFont="1" applyFill="1" applyBorder="1">
      <alignment vertical="center"/>
    </xf>
    <xf numFmtId="176" fontId="21" fillId="0" borderId="0" xfId="0" applyNumberFormat="1" applyFont="1" applyAlignment="1">
      <alignment horizontal="right" vertical="center"/>
    </xf>
    <xf numFmtId="0" fontId="21" fillId="0" borderId="0" xfId="0" applyFont="1">
      <alignment vertical="center"/>
    </xf>
    <xf numFmtId="176" fontId="23" fillId="5" borderId="0" xfId="0" applyNumberFormat="1" applyFont="1" applyFill="1" applyAlignment="1">
      <alignment horizontal="right" vertical="center"/>
    </xf>
    <xf numFmtId="176" fontId="23" fillId="0" borderId="0" xfId="0" applyNumberFormat="1" applyFont="1" applyAlignment="1">
      <alignment horizontal="right" vertical="center"/>
    </xf>
    <xf numFmtId="0" fontId="23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3" fontId="23" fillId="0" borderId="0" xfId="0" applyNumberFormat="1" applyFont="1">
      <alignment vertical="center"/>
    </xf>
    <xf numFmtId="178" fontId="13" fillId="0" borderId="0" xfId="2" applyNumberFormat="1" applyFont="1" applyBorder="1" applyAlignment="1">
      <alignment vertical="center"/>
    </xf>
    <xf numFmtId="0" fontId="26" fillId="0" borderId="0" xfId="0" applyFont="1">
      <alignment vertical="center"/>
    </xf>
    <xf numFmtId="178" fontId="13" fillId="0" borderId="38" xfId="2" applyNumberFormat="1" applyFont="1" applyFill="1" applyBorder="1" applyAlignment="1">
      <alignment vertical="center"/>
    </xf>
    <xf numFmtId="178" fontId="13" fillId="0" borderId="39" xfId="2" applyNumberFormat="1" applyFont="1" applyFill="1" applyBorder="1" applyAlignment="1">
      <alignment vertical="center"/>
    </xf>
    <xf numFmtId="0" fontId="12" fillId="0" borderId="40" xfId="0" applyFont="1" applyBorder="1">
      <alignment vertical="center"/>
    </xf>
    <xf numFmtId="176" fontId="21" fillId="0" borderId="23" xfId="0" applyNumberFormat="1" applyFont="1" applyBorder="1" applyAlignment="1">
      <alignment horizontal="right" vertical="center"/>
    </xf>
    <xf numFmtId="176" fontId="21" fillId="0" borderId="24" xfId="0" applyNumberFormat="1" applyFont="1" applyBorder="1" applyAlignment="1">
      <alignment horizontal="right" vertical="center"/>
    </xf>
    <xf numFmtId="0" fontId="7" fillId="0" borderId="25" xfId="0" applyFont="1" applyBorder="1">
      <alignment vertical="center"/>
    </xf>
    <xf numFmtId="176" fontId="23" fillId="0" borderId="30" xfId="0" applyNumberFormat="1" applyFont="1" applyBorder="1" applyAlignment="1">
      <alignment horizontal="right" vertical="center"/>
    </xf>
    <xf numFmtId="176" fontId="23" fillId="0" borderId="31" xfId="0" applyNumberFormat="1" applyFont="1" applyBorder="1" applyAlignment="1">
      <alignment horizontal="right" vertical="center"/>
    </xf>
    <xf numFmtId="0" fontId="28" fillId="0" borderId="32" xfId="0" applyFont="1" applyBorder="1">
      <alignment vertical="center"/>
    </xf>
    <xf numFmtId="176" fontId="21" fillId="0" borderId="33" xfId="0" applyNumberFormat="1" applyFont="1" applyBorder="1" applyAlignment="1">
      <alignment horizontal="right" vertical="center"/>
    </xf>
    <xf numFmtId="176" fontId="21" fillId="0" borderId="34" xfId="0" applyNumberFormat="1" applyFont="1" applyBorder="1" applyAlignment="1">
      <alignment horizontal="right" vertical="center"/>
    </xf>
    <xf numFmtId="0" fontId="7" fillId="0" borderId="35" xfId="0" applyFont="1" applyBorder="1">
      <alignment vertical="center"/>
    </xf>
    <xf numFmtId="0" fontId="10" fillId="0" borderId="26" xfId="0" applyFont="1" applyBorder="1" applyAlignment="1">
      <alignment horizontal="right" vertical="center"/>
    </xf>
    <xf numFmtId="0" fontId="28" fillId="0" borderId="22" xfId="0" applyFont="1" applyBorder="1">
      <alignment vertical="center"/>
    </xf>
    <xf numFmtId="176" fontId="10" fillId="0" borderId="30" xfId="0" applyNumberFormat="1" applyFont="1" applyBorder="1" applyAlignment="1">
      <alignment horizontal="right" vertical="center"/>
    </xf>
    <xf numFmtId="176" fontId="10" fillId="0" borderId="31" xfId="0" applyNumberFormat="1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0" fontId="7" fillId="0" borderId="32" xfId="0" applyFont="1" applyBorder="1">
      <alignment vertical="center"/>
    </xf>
    <xf numFmtId="0" fontId="29" fillId="4" borderId="0" xfId="0" applyFont="1" applyFill="1">
      <alignment vertical="center"/>
    </xf>
    <xf numFmtId="0" fontId="7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181" fontId="14" fillId="0" borderId="32" xfId="3" applyNumberFormat="1" applyFont="1" applyBorder="1" applyAlignment="1">
      <alignment vertical="center"/>
    </xf>
    <xf numFmtId="176" fontId="32" fillId="0" borderId="31" xfId="3" applyNumberFormat="1" applyFont="1" applyBorder="1" applyAlignment="1">
      <alignment vertical="center"/>
    </xf>
    <xf numFmtId="176" fontId="32" fillId="5" borderId="31" xfId="3" applyNumberFormat="1" applyFont="1" applyFill="1" applyBorder="1" applyAlignment="1">
      <alignment vertical="center"/>
    </xf>
    <xf numFmtId="176" fontId="32" fillId="0" borderId="30" xfId="3" applyNumberFormat="1" applyFont="1" applyBorder="1" applyAlignment="1">
      <alignment vertical="center"/>
    </xf>
    <xf numFmtId="178" fontId="34" fillId="0" borderId="0" xfId="4" applyNumberFormat="1" applyFont="1" applyFill="1" applyBorder="1" applyAlignment="1">
      <alignment vertical="center"/>
    </xf>
    <xf numFmtId="181" fontId="14" fillId="0" borderId="22" xfId="3" applyNumberFormat="1" applyFont="1" applyBorder="1" applyAlignment="1">
      <alignment horizontal="left" vertical="center" indent="1"/>
    </xf>
    <xf numFmtId="176" fontId="32" fillId="0" borderId="0" xfId="3" applyNumberFormat="1" applyFont="1" applyAlignment="1">
      <alignment vertical="center"/>
    </xf>
    <xf numFmtId="176" fontId="32" fillId="0" borderId="26" xfId="3" applyNumberFormat="1" applyFont="1" applyBorder="1" applyAlignment="1">
      <alignment vertical="center"/>
    </xf>
    <xf numFmtId="181" fontId="14" fillId="0" borderId="22" xfId="3" applyNumberFormat="1" applyFont="1" applyBorder="1" applyAlignment="1">
      <alignment vertical="center"/>
    </xf>
    <xf numFmtId="181" fontId="35" fillId="0" borderId="0" xfId="3" applyNumberFormat="1" applyFont="1" applyAlignment="1">
      <alignment vertical="center"/>
    </xf>
    <xf numFmtId="0" fontId="36" fillId="0" borderId="0" xfId="0" applyFont="1">
      <alignment vertical="center"/>
    </xf>
    <xf numFmtId="181" fontId="17" fillId="0" borderId="35" xfId="3" applyNumberFormat="1" applyFont="1" applyBorder="1" applyAlignment="1">
      <alignment vertical="center"/>
    </xf>
    <xf numFmtId="176" fontId="37" fillId="0" borderId="34" xfId="3" applyNumberFormat="1" applyFont="1" applyBorder="1" applyAlignment="1">
      <alignment vertical="center"/>
    </xf>
    <xf numFmtId="176" fontId="37" fillId="0" borderId="33" xfId="3" applyNumberFormat="1" applyFont="1" applyBorder="1" applyAlignment="1">
      <alignment vertical="center"/>
    </xf>
    <xf numFmtId="178" fontId="38" fillId="0" borderId="0" xfId="4" applyNumberFormat="1" applyFont="1" applyFill="1" applyBorder="1" applyAlignment="1">
      <alignment vertical="center"/>
    </xf>
    <xf numFmtId="181" fontId="14" fillId="0" borderId="32" xfId="3" applyNumberFormat="1" applyFont="1" applyBorder="1" applyAlignment="1">
      <alignment horizontal="left" vertical="center" indent="1"/>
    </xf>
    <xf numFmtId="176" fontId="10" fillId="0" borderId="31" xfId="0" applyNumberFormat="1" applyFont="1" applyBorder="1">
      <alignment vertical="center"/>
    </xf>
    <xf numFmtId="176" fontId="10" fillId="0" borderId="30" xfId="0" applyNumberFormat="1" applyFont="1" applyBorder="1">
      <alignment vertical="center"/>
    </xf>
    <xf numFmtId="181" fontId="14" fillId="0" borderId="22" xfId="3" applyNumberFormat="1" applyFont="1" applyBorder="1" applyAlignment="1">
      <alignment horizontal="left" vertical="center" indent="2"/>
    </xf>
    <xf numFmtId="0" fontId="14" fillId="0" borderId="32" xfId="5" applyFont="1" applyBorder="1" applyAlignment="1">
      <alignment horizontal="left" vertical="center" indent="1"/>
    </xf>
    <xf numFmtId="176" fontId="32" fillId="0" borderId="31" xfId="5" applyNumberFormat="1" applyFont="1" applyBorder="1">
      <alignment vertical="center"/>
    </xf>
    <xf numFmtId="176" fontId="32" fillId="0" borderId="30" xfId="5" applyNumberFormat="1" applyFont="1" applyBorder="1">
      <alignment vertical="center"/>
    </xf>
    <xf numFmtId="0" fontId="14" fillId="0" borderId="22" xfId="5" applyFont="1" applyBorder="1" applyAlignment="1">
      <alignment horizontal="left" vertical="center" indent="1"/>
    </xf>
    <xf numFmtId="176" fontId="32" fillId="0" borderId="0" xfId="5" applyNumberFormat="1" applyFont="1">
      <alignment vertical="center"/>
    </xf>
    <xf numFmtId="176" fontId="32" fillId="0" borderId="26" xfId="5" applyNumberFormat="1" applyFont="1" applyBorder="1">
      <alignment vertical="center"/>
    </xf>
    <xf numFmtId="0" fontId="14" fillId="0" borderId="22" xfId="5" applyFont="1" applyBorder="1" applyAlignment="1">
      <alignment horizontal="left" vertical="center" indent="2"/>
    </xf>
    <xf numFmtId="181" fontId="40" fillId="0" borderId="40" xfId="3" applyNumberFormat="1" applyFont="1" applyBorder="1" applyAlignment="1">
      <alignment vertical="center"/>
    </xf>
    <xf numFmtId="178" fontId="41" fillId="0" borderId="39" xfId="2" applyNumberFormat="1" applyFont="1" applyFill="1" applyBorder="1" applyAlignment="1">
      <alignment vertical="center"/>
    </xf>
    <xf numFmtId="178" fontId="41" fillId="0" borderId="38" xfId="2" applyNumberFormat="1" applyFont="1" applyFill="1" applyBorder="1" applyAlignment="1">
      <alignment vertical="center"/>
    </xf>
    <xf numFmtId="181" fontId="40" fillId="0" borderId="35" xfId="3" applyNumberFormat="1" applyFont="1" applyBorder="1" applyAlignment="1">
      <alignment vertical="center"/>
    </xf>
    <xf numFmtId="178" fontId="41" fillId="0" borderId="34" xfId="2" applyNumberFormat="1" applyFont="1" applyFill="1" applyBorder="1" applyAlignment="1">
      <alignment vertical="center"/>
    </xf>
    <xf numFmtId="178" fontId="41" fillId="0" borderId="33" xfId="2" applyNumberFormat="1" applyFont="1" applyFill="1" applyBorder="1" applyAlignment="1">
      <alignment vertical="center"/>
    </xf>
    <xf numFmtId="181" fontId="42" fillId="0" borderId="0" xfId="3" applyNumberFormat="1" applyFont="1" applyAlignment="1">
      <alignment vertical="center"/>
    </xf>
    <xf numFmtId="181" fontId="14" fillId="0" borderId="0" xfId="3" applyNumberFormat="1" applyFont="1" applyAlignment="1">
      <alignment vertical="center"/>
    </xf>
    <xf numFmtId="0" fontId="43" fillId="0" borderId="0" xfId="0" applyFont="1">
      <alignment vertical="center"/>
    </xf>
    <xf numFmtId="181" fontId="14" fillId="0" borderId="35" xfId="3" applyNumberFormat="1" applyFont="1" applyBorder="1" applyAlignment="1">
      <alignment vertical="center"/>
    </xf>
    <xf numFmtId="176" fontId="10" fillId="0" borderId="34" xfId="6" applyNumberFormat="1" applyFont="1" applyBorder="1">
      <alignment vertical="center"/>
    </xf>
    <xf numFmtId="176" fontId="10" fillId="0" borderId="33" xfId="6" applyNumberFormat="1" applyFont="1" applyBorder="1">
      <alignment vertical="center"/>
    </xf>
    <xf numFmtId="9" fontId="14" fillId="0" borderId="0" xfId="2" applyFont="1" applyFill="1" applyBorder="1" applyAlignment="1">
      <alignment vertical="center"/>
    </xf>
    <xf numFmtId="0" fontId="14" fillId="0" borderId="32" xfId="5" applyFont="1" applyBorder="1">
      <alignment vertical="center"/>
    </xf>
    <xf numFmtId="178" fontId="44" fillId="0" borderId="0" xfId="2" applyNumberFormat="1" applyFont="1" applyFill="1" applyBorder="1" applyAlignment="1">
      <alignment vertical="center"/>
    </xf>
    <xf numFmtId="0" fontId="14" fillId="0" borderId="22" xfId="5" applyFont="1" applyBorder="1">
      <alignment vertical="center"/>
    </xf>
    <xf numFmtId="0" fontId="14" fillId="0" borderId="25" xfId="5" applyFont="1" applyBorder="1" applyAlignment="1">
      <alignment horizontal="left" vertical="center" indent="1"/>
    </xf>
    <xf numFmtId="176" fontId="32" fillId="0" borderId="24" xfId="5" applyNumberFormat="1" applyFont="1" applyBorder="1">
      <alignment vertical="center"/>
    </xf>
    <xf numFmtId="176" fontId="32" fillId="0" borderId="23" xfId="5" applyNumberFormat="1" applyFont="1" applyBorder="1">
      <alignment vertical="center"/>
    </xf>
    <xf numFmtId="178" fontId="45" fillId="0" borderId="0" xfId="2" applyNumberFormat="1" applyFont="1" applyFill="1" applyBorder="1" applyAlignment="1">
      <alignment vertical="center"/>
    </xf>
    <xf numFmtId="181" fontId="14" fillId="0" borderId="25" xfId="3" applyNumberFormat="1" applyFont="1" applyBorder="1" applyAlignment="1">
      <alignment vertical="center"/>
    </xf>
    <xf numFmtId="176" fontId="10" fillId="0" borderId="24" xfId="6" applyNumberFormat="1" applyFont="1" applyBorder="1">
      <alignment vertical="center"/>
    </xf>
    <xf numFmtId="176" fontId="10" fillId="0" borderId="23" xfId="6" applyNumberFormat="1" applyFont="1" applyBorder="1">
      <alignment vertical="center"/>
    </xf>
    <xf numFmtId="0" fontId="46" fillId="0" borderId="0" xfId="0" applyFont="1">
      <alignment vertical="center"/>
    </xf>
    <xf numFmtId="0" fontId="47" fillId="0" borderId="32" xfId="0" applyFont="1" applyBorder="1">
      <alignment vertical="center"/>
    </xf>
    <xf numFmtId="0" fontId="47" fillId="0" borderId="22" xfId="0" applyFont="1" applyBorder="1">
      <alignment vertical="center"/>
    </xf>
    <xf numFmtId="176" fontId="23" fillId="0" borderId="26" xfId="0" applyNumberFormat="1" applyFont="1" applyBorder="1" applyAlignment="1">
      <alignment horizontal="right" vertical="center"/>
    </xf>
    <xf numFmtId="0" fontId="8" fillId="0" borderId="40" xfId="0" applyFont="1" applyBorder="1">
      <alignment vertical="center"/>
    </xf>
    <xf numFmtId="176" fontId="11" fillId="0" borderId="39" xfId="0" applyNumberFormat="1" applyFont="1" applyBorder="1">
      <alignment vertical="center"/>
    </xf>
    <xf numFmtId="176" fontId="11" fillId="0" borderId="38" xfId="0" applyNumberFormat="1" applyFont="1" applyBorder="1">
      <alignment vertical="center"/>
    </xf>
    <xf numFmtId="0" fontId="48" fillId="0" borderId="32" xfId="0" applyFont="1" applyBorder="1">
      <alignment vertical="center"/>
    </xf>
    <xf numFmtId="177" fontId="49" fillId="0" borderId="31" xfId="2" applyNumberFormat="1" applyFont="1" applyBorder="1" applyAlignment="1">
      <alignment horizontal="right" vertical="center"/>
    </xf>
    <xf numFmtId="177" fontId="49" fillId="0" borderId="30" xfId="2" applyNumberFormat="1" applyFont="1" applyBorder="1" applyAlignment="1">
      <alignment horizontal="right" vertical="center"/>
    </xf>
    <xf numFmtId="0" fontId="48" fillId="0" borderId="25" xfId="0" applyFont="1" applyBorder="1">
      <alignment vertical="center"/>
    </xf>
    <xf numFmtId="177" fontId="49" fillId="0" borderId="24" xfId="2" applyNumberFormat="1" applyFont="1" applyBorder="1" applyAlignment="1">
      <alignment horizontal="right" vertical="center"/>
    </xf>
    <xf numFmtId="177" fontId="49" fillId="0" borderId="23" xfId="2" applyNumberFormat="1" applyFont="1" applyBorder="1" applyAlignment="1">
      <alignment horizontal="right" vertical="center"/>
    </xf>
    <xf numFmtId="0" fontId="48" fillId="0" borderId="40" xfId="0" applyFont="1" applyBorder="1">
      <alignment vertical="center"/>
    </xf>
    <xf numFmtId="177" fontId="49" fillId="0" borderId="39" xfId="2" applyNumberFormat="1" applyFont="1" applyBorder="1" applyAlignment="1">
      <alignment horizontal="right" vertical="center"/>
    </xf>
    <xf numFmtId="177" fontId="49" fillId="0" borderId="38" xfId="2" applyNumberFormat="1" applyFont="1" applyBorder="1" applyAlignment="1">
      <alignment horizontal="right" vertical="center"/>
    </xf>
    <xf numFmtId="0" fontId="20" fillId="4" borderId="35" xfId="0" applyFont="1" applyFill="1" applyBorder="1" applyAlignment="1">
      <alignment horizontal="left" vertical="center"/>
    </xf>
    <xf numFmtId="0" fontId="20" fillId="4" borderId="34" xfId="0" applyFont="1" applyFill="1" applyBorder="1" applyAlignment="1">
      <alignment horizontal="left" vertical="center"/>
    </xf>
    <xf numFmtId="0" fontId="20" fillId="4" borderId="33" xfId="0" applyFont="1" applyFill="1" applyBorder="1" applyAlignment="1">
      <alignment horizontal="left" vertical="center"/>
    </xf>
    <xf numFmtId="0" fontId="7" fillId="6" borderId="31" xfId="0" applyFont="1" applyFill="1" applyBorder="1" applyAlignment="1">
      <alignment horizontal="right" vertical="center"/>
    </xf>
    <xf numFmtId="0" fontId="8" fillId="6" borderId="24" xfId="0" applyFont="1" applyFill="1" applyBorder="1" applyAlignment="1">
      <alignment horizontal="right" vertical="center"/>
    </xf>
    <xf numFmtId="0" fontId="9" fillId="0" borderId="32" xfId="0" applyFont="1" applyBorder="1">
      <alignment vertical="center"/>
    </xf>
    <xf numFmtId="176" fontId="10" fillId="6" borderId="0" xfId="0" applyNumberFormat="1" applyFont="1" applyFill="1">
      <alignment vertical="center"/>
    </xf>
    <xf numFmtId="176" fontId="10" fillId="6" borderId="24" xfId="0" applyNumberFormat="1" applyFont="1" applyFill="1" applyBorder="1">
      <alignment vertical="center"/>
    </xf>
    <xf numFmtId="0" fontId="8" fillId="0" borderId="32" xfId="0" applyFont="1" applyBorder="1" applyAlignment="1">
      <alignment horizontal="left" vertical="center"/>
    </xf>
    <xf numFmtId="176" fontId="11" fillId="6" borderId="31" xfId="0" applyNumberFormat="1" applyFont="1" applyFill="1" applyBorder="1">
      <alignment vertical="center"/>
    </xf>
    <xf numFmtId="0" fontId="8" fillId="0" borderId="25" xfId="0" applyFont="1" applyBorder="1" applyAlignment="1">
      <alignment horizontal="left" vertical="center"/>
    </xf>
    <xf numFmtId="176" fontId="11" fillId="0" borderId="24" xfId="0" applyNumberFormat="1" applyFont="1" applyBorder="1">
      <alignment vertical="center"/>
    </xf>
    <xf numFmtId="176" fontId="11" fillId="0" borderId="23" xfId="0" applyNumberFormat="1" applyFont="1" applyBorder="1">
      <alignment vertical="center"/>
    </xf>
    <xf numFmtId="176" fontId="11" fillId="6" borderId="24" xfId="0" applyNumberFormat="1" applyFont="1" applyFill="1" applyBorder="1">
      <alignment vertical="center"/>
    </xf>
    <xf numFmtId="0" fontId="12" fillId="0" borderId="35" xfId="0" applyFont="1" applyBorder="1" applyAlignment="1">
      <alignment horizontal="left" vertical="center"/>
    </xf>
    <xf numFmtId="178" fontId="13" fillId="0" borderId="34" xfId="2" applyNumberFormat="1" applyFont="1" applyBorder="1">
      <alignment vertical="center"/>
    </xf>
    <xf numFmtId="178" fontId="13" fillId="0" borderId="33" xfId="2" applyNumberFormat="1" applyFont="1" applyBorder="1">
      <alignment vertical="center"/>
    </xf>
    <xf numFmtId="178" fontId="13" fillId="6" borderId="34" xfId="2" applyNumberFormat="1" applyFont="1" applyFill="1" applyBorder="1">
      <alignment vertical="center"/>
    </xf>
    <xf numFmtId="0" fontId="9" fillId="0" borderId="22" xfId="0" applyFont="1" applyBorder="1">
      <alignment vertical="center"/>
    </xf>
    <xf numFmtId="0" fontId="10" fillId="0" borderId="26" xfId="0" applyFont="1" applyBorder="1">
      <alignment vertical="center"/>
    </xf>
    <xf numFmtId="179" fontId="10" fillId="0" borderId="0" xfId="0" applyNumberFormat="1" applyFont="1">
      <alignment vertical="center"/>
    </xf>
    <xf numFmtId="179" fontId="10" fillId="0" borderId="26" xfId="0" applyNumberFormat="1" applyFont="1" applyBorder="1">
      <alignment vertical="center"/>
    </xf>
    <xf numFmtId="179" fontId="10" fillId="6" borderId="0" xfId="0" applyNumberFormat="1" applyFont="1" applyFill="1">
      <alignment vertical="center"/>
    </xf>
    <xf numFmtId="179" fontId="10" fillId="0" borderId="28" xfId="0" applyNumberFormat="1" applyFont="1" applyBorder="1">
      <alignment vertical="center"/>
    </xf>
    <xf numFmtId="179" fontId="10" fillId="0" borderId="27" xfId="0" applyNumberFormat="1" applyFont="1" applyBorder="1">
      <alignment vertical="center"/>
    </xf>
    <xf numFmtId="179" fontId="10" fillId="6" borderId="28" xfId="0" applyNumberFormat="1" applyFont="1" applyFill="1" applyBorder="1">
      <alignment vertical="center"/>
    </xf>
    <xf numFmtId="178" fontId="6" fillId="0" borderId="0" xfId="2" applyNumberFormat="1" applyFont="1">
      <alignment vertical="center"/>
    </xf>
    <xf numFmtId="0" fontId="7" fillId="6" borderId="43" xfId="0" applyFont="1" applyFill="1" applyBorder="1" applyAlignment="1">
      <alignment horizontal="right" vertical="center"/>
    </xf>
    <xf numFmtId="176" fontId="6" fillId="0" borderId="44" xfId="0" applyNumberFormat="1" applyFont="1" applyBorder="1">
      <alignment vertical="center"/>
    </xf>
    <xf numFmtId="176" fontId="8" fillId="0" borderId="45" xfId="0" applyNumberFormat="1" applyFont="1" applyBorder="1">
      <alignment vertical="center"/>
    </xf>
    <xf numFmtId="176" fontId="6" fillId="0" borderId="43" xfId="0" applyNumberFormat="1" applyFont="1" applyBorder="1">
      <alignment vertical="center"/>
    </xf>
    <xf numFmtId="0" fontId="6" fillId="0" borderId="25" xfId="0" applyFont="1" applyBorder="1">
      <alignment vertical="center"/>
    </xf>
    <xf numFmtId="176" fontId="6" fillId="0" borderId="45" xfId="0" applyNumberFormat="1" applyFont="1" applyBorder="1">
      <alignment vertical="center"/>
    </xf>
    <xf numFmtId="0" fontId="15" fillId="0" borderId="32" xfId="0" applyFont="1" applyBorder="1">
      <alignment vertical="center"/>
    </xf>
    <xf numFmtId="0" fontId="8" fillId="0" borderId="31" xfId="0" applyFont="1" applyBorder="1" applyAlignment="1">
      <alignment horizontal="right" vertical="center"/>
    </xf>
    <xf numFmtId="0" fontId="8" fillId="0" borderId="30" xfId="0" applyFont="1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35" xfId="0" applyFont="1" applyBorder="1">
      <alignment vertical="center"/>
    </xf>
    <xf numFmtId="0" fontId="6" fillId="0" borderId="34" xfId="0" applyFont="1" applyBorder="1">
      <alignment vertical="center"/>
    </xf>
    <xf numFmtId="176" fontId="8" fillId="0" borderId="34" xfId="0" applyNumberFormat="1" applyFont="1" applyBorder="1">
      <alignment vertical="center"/>
    </xf>
    <xf numFmtId="176" fontId="8" fillId="0" borderId="33" xfId="0" applyNumberFormat="1" applyFont="1" applyBorder="1">
      <alignment vertical="center"/>
    </xf>
    <xf numFmtId="0" fontId="12" fillId="0" borderId="25" xfId="0" applyFont="1" applyBorder="1">
      <alignment vertical="center"/>
    </xf>
    <xf numFmtId="0" fontId="6" fillId="0" borderId="24" xfId="0" applyFont="1" applyBorder="1">
      <alignment vertical="center"/>
    </xf>
    <xf numFmtId="177" fontId="12" fillId="0" borderId="24" xfId="0" applyNumberFormat="1" applyFont="1" applyBorder="1">
      <alignment vertical="center"/>
    </xf>
    <xf numFmtId="177" fontId="12" fillId="0" borderId="23" xfId="0" applyNumberFormat="1" applyFont="1" applyBorder="1">
      <alignment vertical="center"/>
    </xf>
    <xf numFmtId="0" fontId="46" fillId="0" borderId="0" xfId="0" applyFont="1" applyAlignment="1">
      <alignment horizontal="right" vertical="center"/>
    </xf>
    <xf numFmtId="176" fontId="46" fillId="0" borderId="0" xfId="0" applyNumberFormat="1" applyFont="1">
      <alignment vertical="center"/>
    </xf>
    <xf numFmtId="0" fontId="50" fillId="4" borderId="35" xfId="0" applyFont="1" applyFill="1" applyBorder="1">
      <alignment vertical="center"/>
    </xf>
    <xf numFmtId="0" fontId="50" fillId="4" borderId="34" xfId="0" applyFont="1" applyFill="1" applyBorder="1">
      <alignment vertical="center"/>
    </xf>
    <xf numFmtId="0" fontId="50" fillId="4" borderId="33" xfId="0" applyFont="1" applyFill="1" applyBorder="1">
      <alignment vertical="center"/>
    </xf>
    <xf numFmtId="0" fontId="51" fillId="0" borderId="32" xfId="0" applyFont="1" applyBorder="1">
      <alignment vertical="center"/>
    </xf>
    <xf numFmtId="0" fontId="51" fillId="0" borderId="31" xfId="0" applyFont="1" applyBorder="1" applyAlignment="1">
      <alignment horizontal="right" vertical="center"/>
    </xf>
    <xf numFmtId="0" fontId="51" fillId="0" borderId="30" xfId="0" applyFont="1" applyBorder="1" applyAlignment="1">
      <alignment horizontal="right" vertical="center"/>
    </xf>
    <xf numFmtId="0" fontId="51" fillId="0" borderId="25" xfId="0" applyFont="1" applyBorder="1">
      <alignment vertical="center"/>
    </xf>
    <xf numFmtId="0" fontId="51" fillId="0" borderId="24" xfId="0" applyFont="1" applyBorder="1" applyAlignment="1">
      <alignment horizontal="right" vertical="center"/>
    </xf>
    <xf numFmtId="0" fontId="51" fillId="0" borderId="23" xfId="0" applyFont="1" applyBorder="1" applyAlignment="1">
      <alignment horizontal="right" vertical="center"/>
    </xf>
    <xf numFmtId="176" fontId="47" fillId="0" borderId="31" xfId="0" applyNumberFormat="1" applyFont="1" applyBorder="1" applyAlignment="1">
      <alignment horizontal="right" vertical="center"/>
    </xf>
    <xf numFmtId="176" fontId="47" fillId="0" borderId="0" xfId="0" applyNumberFormat="1" applyFont="1" applyAlignment="1">
      <alignment horizontal="right" vertical="center"/>
    </xf>
    <xf numFmtId="0" fontId="51" fillId="0" borderId="35" xfId="0" applyFont="1" applyBorder="1">
      <alignment vertical="center"/>
    </xf>
    <xf numFmtId="176" fontId="51" fillId="0" borderId="34" xfId="0" applyNumberFormat="1" applyFont="1" applyBorder="1" applyAlignment="1">
      <alignment horizontal="right" vertical="center"/>
    </xf>
    <xf numFmtId="178" fontId="46" fillId="5" borderId="0" xfId="2" applyNumberFormat="1" applyFont="1" applyFill="1" applyBorder="1" applyAlignment="1">
      <alignment vertical="center"/>
    </xf>
    <xf numFmtId="0" fontId="48" fillId="0" borderId="29" xfId="0" applyFont="1" applyBorder="1">
      <alignment vertical="center"/>
    </xf>
    <xf numFmtId="176" fontId="47" fillId="0" borderId="28" xfId="0" applyNumberFormat="1" applyFont="1" applyBorder="1" applyAlignment="1">
      <alignment horizontal="right" vertical="center"/>
    </xf>
    <xf numFmtId="178" fontId="49" fillId="0" borderId="28" xfId="2" applyNumberFormat="1" applyFont="1" applyBorder="1" applyAlignment="1">
      <alignment horizontal="right" vertical="center"/>
    </xf>
    <xf numFmtId="178" fontId="49" fillId="0" borderId="27" xfId="2" applyNumberFormat="1" applyFont="1" applyBorder="1" applyAlignment="1">
      <alignment horizontal="right" vertical="center"/>
    </xf>
    <xf numFmtId="178" fontId="46" fillId="0" borderId="0" xfId="2" applyNumberFormat="1" applyFont="1" applyBorder="1" applyAlignment="1">
      <alignment vertical="center"/>
    </xf>
    <xf numFmtId="0" fontId="46" fillId="0" borderId="32" xfId="0" applyFont="1" applyBorder="1">
      <alignment vertical="center"/>
    </xf>
    <xf numFmtId="176" fontId="46" fillId="0" borderId="31" xfId="0" applyNumberFormat="1" applyFont="1" applyBorder="1">
      <alignment vertical="center"/>
    </xf>
    <xf numFmtId="176" fontId="46" fillId="0" borderId="30" xfId="0" applyNumberFormat="1" applyFont="1" applyBorder="1">
      <alignment vertical="center"/>
    </xf>
    <xf numFmtId="0" fontId="46" fillId="0" borderId="22" xfId="0" applyFont="1" applyBorder="1">
      <alignment vertical="center"/>
    </xf>
    <xf numFmtId="176" fontId="46" fillId="0" borderId="26" xfId="0" applyNumberFormat="1" applyFont="1" applyBorder="1">
      <alignment vertical="center"/>
    </xf>
    <xf numFmtId="0" fontId="46" fillId="0" borderId="25" xfId="0" applyFont="1" applyBorder="1">
      <alignment vertical="center"/>
    </xf>
    <xf numFmtId="0" fontId="46" fillId="0" borderId="24" xfId="0" applyFont="1" applyBorder="1">
      <alignment vertical="center"/>
    </xf>
    <xf numFmtId="176" fontId="46" fillId="0" borderId="24" xfId="0" applyNumberFormat="1" applyFont="1" applyBorder="1">
      <alignment vertical="center"/>
    </xf>
    <xf numFmtId="176" fontId="46" fillId="0" borderId="23" xfId="0" applyNumberFormat="1" applyFont="1" applyBorder="1">
      <alignment vertical="center"/>
    </xf>
    <xf numFmtId="176" fontId="47" fillId="0" borderId="0" xfId="0" applyNumberFormat="1" applyFont="1">
      <alignment vertical="center"/>
    </xf>
    <xf numFmtId="178" fontId="52" fillId="0" borderId="0" xfId="2" applyNumberFormat="1" applyFont="1" applyBorder="1" applyAlignment="1">
      <alignment vertical="center"/>
    </xf>
    <xf numFmtId="0" fontId="51" fillId="0" borderId="0" xfId="0" applyFont="1">
      <alignment vertical="center"/>
    </xf>
    <xf numFmtId="0" fontId="51" fillId="0" borderId="0" xfId="0" applyFont="1" applyAlignment="1">
      <alignment horizontal="right" vertical="center"/>
    </xf>
    <xf numFmtId="176" fontId="53" fillId="0" borderId="0" xfId="0" applyNumberFormat="1" applyFont="1" applyAlignment="1">
      <alignment horizontal="right" vertical="center"/>
    </xf>
    <xf numFmtId="0" fontId="47" fillId="0" borderId="0" xfId="0" applyFont="1">
      <alignment vertical="center"/>
    </xf>
    <xf numFmtId="3" fontId="46" fillId="0" borderId="0" xfId="0" applyNumberFormat="1" applyFont="1">
      <alignment vertical="center"/>
    </xf>
    <xf numFmtId="0" fontId="50" fillId="4" borderId="46" xfId="0" applyFont="1" applyFill="1" applyBorder="1" applyAlignment="1">
      <alignment horizontal="left" vertical="center"/>
    </xf>
    <xf numFmtId="0" fontId="50" fillId="4" borderId="47" xfId="0" applyFont="1" applyFill="1" applyBorder="1" applyAlignment="1">
      <alignment horizontal="left" vertical="center"/>
    </xf>
    <xf numFmtId="0" fontId="54" fillId="4" borderId="47" xfId="0" applyFont="1" applyFill="1" applyBorder="1" applyAlignment="1">
      <alignment horizontal="left" vertical="center"/>
    </xf>
    <xf numFmtId="0" fontId="54" fillId="4" borderId="47" xfId="0" applyFont="1" applyFill="1" applyBorder="1" applyAlignment="1">
      <alignment horizontal="right" vertical="center"/>
    </xf>
    <xf numFmtId="0" fontId="50" fillId="4" borderId="48" xfId="0" applyFont="1" applyFill="1" applyBorder="1" applyAlignment="1">
      <alignment horizontal="left" vertical="center"/>
    </xf>
    <xf numFmtId="0" fontId="51" fillId="7" borderId="49" xfId="0" applyFont="1" applyFill="1" applyBorder="1" applyAlignment="1">
      <alignment horizontal="left"/>
    </xf>
    <xf numFmtId="0" fontId="51" fillId="7" borderId="48" xfId="0" applyFont="1" applyFill="1" applyBorder="1" applyAlignment="1">
      <alignment horizontal="right"/>
    </xf>
    <xf numFmtId="0" fontId="55" fillId="7" borderId="50" xfId="0" applyFont="1" applyFill="1" applyBorder="1" applyAlignment="1">
      <alignment horizontal="right"/>
    </xf>
    <xf numFmtId="0" fontId="46" fillId="0" borderId="49" xfId="0" applyFont="1" applyBorder="1">
      <alignment vertical="center"/>
    </xf>
    <xf numFmtId="0" fontId="51" fillId="7" borderId="50" xfId="0" applyFont="1" applyFill="1" applyBorder="1" applyAlignment="1">
      <alignment horizontal="right"/>
    </xf>
    <xf numFmtId="0" fontId="51" fillId="7" borderId="51" xfId="0" applyFont="1" applyFill="1" applyBorder="1" applyAlignment="1">
      <alignment horizontal="left"/>
    </xf>
    <xf numFmtId="0" fontId="51" fillId="7" borderId="52" xfId="0" applyFont="1" applyFill="1" applyBorder="1" applyAlignment="1">
      <alignment horizontal="right"/>
    </xf>
    <xf numFmtId="0" fontId="55" fillId="7" borderId="53" xfId="0" applyFont="1" applyFill="1" applyBorder="1" applyAlignment="1">
      <alignment horizontal="right"/>
    </xf>
    <xf numFmtId="0" fontId="46" fillId="0" borderId="51" xfId="0" applyFont="1" applyBorder="1">
      <alignment vertical="center"/>
    </xf>
    <xf numFmtId="0" fontId="51" fillId="7" borderId="53" xfId="0" applyFont="1" applyFill="1" applyBorder="1" applyAlignment="1">
      <alignment horizontal="right"/>
    </xf>
    <xf numFmtId="0" fontId="56" fillId="7" borderId="54" xfId="0" applyFont="1" applyFill="1" applyBorder="1" applyAlignment="1">
      <alignment horizontal="left" vertical="center"/>
    </xf>
    <xf numFmtId="182" fontId="56" fillId="7" borderId="0" xfId="1" applyNumberFormat="1" applyFont="1" applyFill="1" applyBorder="1" applyAlignment="1">
      <alignment horizontal="right" vertical="center"/>
    </xf>
    <xf numFmtId="178" fontId="57" fillId="7" borderId="55" xfId="2" applyNumberFormat="1" applyFont="1" applyFill="1" applyBorder="1" applyAlignment="1">
      <alignment horizontal="right" vertical="center"/>
    </xf>
    <xf numFmtId="0" fontId="58" fillId="7" borderId="54" xfId="0" applyFont="1" applyFill="1" applyBorder="1" applyAlignment="1">
      <alignment horizontal="left" vertical="center"/>
    </xf>
    <xf numFmtId="0" fontId="56" fillId="7" borderId="49" xfId="0" applyFont="1" applyFill="1" applyBorder="1" applyAlignment="1">
      <alignment horizontal="left" vertical="center"/>
    </xf>
    <xf numFmtId="178" fontId="56" fillId="7" borderId="48" xfId="0" applyNumberFormat="1" applyFont="1" applyFill="1" applyBorder="1" applyAlignment="1">
      <alignment horizontal="right" vertical="center"/>
    </xf>
    <xf numFmtId="178" fontId="56" fillId="7" borderId="48" xfId="2" applyNumberFormat="1" applyFont="1" applyFill="1" applyBorder="1" applyAlignment="1">
      <alignment horizontal="right" vertical="center"/>
    </xf>
    <xf numFmtId="178" fontId="56" fillId="7" borderId="50" xfId="2" applyNumberFormat="1" applyFont="1" applyFill="1" applyBorder="1" applyAlignment="1">
      <alignment horizontal="right" vertical="center"/>
    </xf>
    <xf numFmtId="0" fontId="56" fillId="7" borderId="56" xfId="0" applyFont="1" applyFill="1" applyBorder="1" applyAlignment="1">
      <alignment horizontal="left" vertical="center"/>
    </xf>
    <xf numFmtId="0" fontId="56" fillId="7" borderId="57" xfId="0" applyFont="1" applyFill="1" applyBorder="1" applyAlignment="1">
      <alignment horizontal="right" vertical="center"/>
    </xf>
    <xf numFmtId="3" fontId="56" fillId="7" borderId="57" xfId="2" applyNumberFormat="1" applyFont="1" applyFill="1" applyBorder="1" applyAlignment="1">
      <alignment horizontal="right" vertical="center"/>
    </xf>
    <xf numFmtId="3" fontId="56" fillId="7" borderId="58" xfId="2" applyNumberFormat="1" applyFont="1" applyFill="1" applyBorder="1" applyAlignment="1">
      <alignment horizontal="right" vertical="center"/>
    </xf>
    <xf numFmtId="0" fontId="56" fillId="7" borderId="59" xfId="0" applyFont="1" applyFill="1" applyBorder="1" applyAlignment="1">
      <alignment horizontal="left" vertical="center"/>
    </xf>
    <xf numFmtId="183" fontId="56" fillId="7" borderId="60" xfId="1" applyNumberFormat="1" applyFont="1" applyFill="1" applyBorder="1" applyAlignment="1">
      <alignment horizontal="right" vertical="center"/>
    </xf>
    <xf numFmtId="183" fontId="56" fillId="7" borderId="61" xfId="1" applyNumberFormat="1" applyFont="1" applyFill="1" applyBorder="1" applyAlignment="1">
      <alignment horizontal="right" vertical="center"/>
    </xf>
    <xf numFmtId="0" fontId="58" fillId="7" borderId="49" xfId="0" applyFont="1" applyFill="1" applyBorder="1" applyAlignment="1">
      <alignment horizontal="left" vertical="center"/>
    </xf>
    <xf numFmtId="182" fontId="58" fillId="7" borderId="48" xfId="1" applyNumberFormat="1" applyFont="1" applyFill="1" applyBorder="1" applyAlignment="1">
      <alignment horizontal="right" vertical="center"/>
    </xf>
    <xf numFmtId="9" fontId="59" fillId="7" borderId="50" xfId="2" applyFont="1" applyFill="1" applyBorder="1" applyAlignment="1">
      <alignment horizontal="right" vertical="center"/>
    </xf>
    <xf numFmtId="0" fontId="58" fillId="7" borderId="62" xfId="0" applyFont="1" applyFill="1" applyBorder="1" applyAlignment="1">
      <alignment horizontal="left" vertical="center"/>
    </xf>
    <xf numFmtId="182" fontId="58" fillId="7" borderId="63" xfId="1" applyNumberFormat="1" applyFont="1" applyFill="1" applyBorder="1" applyAlignment="1">
      <alignment horizontal="right" vertical="center"/>
    </xf>
    <xf numFmtId="178" fontId="59" fillId="7" borderId="64" xfId="2" applyNumberFormat="1" applyFont="1" applyFill="1" applyBorder="1" applyAlignment="1">
      <alignment horizontal="right" vertical="center"/>
    </xf>
    <xf numFmtId="0" fontId="60" fillId="0" borderId="0" xfId="0" applyFont="1">
      <alignment vertical="center"/>
    </xf>
    <xf numFmtId="0" fontId="50" fillId="4" borderId="65" xfId="0" applyFont="1" applyFill="1" applyBorder="1" applyAlignment="1">
      <alignment horizontal="left" vertical="center"/>
    </xf>
    <xf numFmtId="0" fontId="50" fillId="4" borderId="66" xfId="0" applyFont="1" applyFill="1" applyBorder="1" applyAlignment="1">
      <alignment horizontal="left" vertical="center"/>
    </xf>
    <xf numFmtId="184" fontId="61" fillId="0" borderId="0" xfId="0" applyNumberFormat="1" applyFont="1">
      <alignment vertical="center"/>
    </xf>
    <xf numFmtId="0" fontId="51" fillId="7" borderId="67" xfId="0" applyFont="1" applyFill="1" applyBorder="1" applyAlignment="1">
      <alignment horizontal="left"/>
    </xf>
    <xf numFmtId="0" fontId="51" fillId="7" borderId="31" xfId="0" applyFont="1" applyFill="1" applyBorder="1" applyAlignment="1">
      <alignment horizontal="right"/>
    </xf>
    <xf numFmtId="0" fontId="51" fillId="7" borderId="68" xfId="0" applyFont="1" applyFill="1" applyBorder="1" applyAlignment="1">
      <alignment horizontal="right"/>
    </xf>
    <xf numFmtId="0" fontId="51" fillId="7" borderId="69" xfId="0" applyFont="1" applyFill="1" applyBorder="1" applyAlignment="1">
      <alignment horizontal="left"/>
    </xf>
    <xf numFmtId="0" fontId="51" fillId="7" borderId="24" xfId="0" applyFont="1" applyFill="1" applyBorder="1" applyAlignment="1">
      <alignment horizontal="right"/>
    </xf>
    <xf numFmtId="0" fontId="51" fillId="7" borderId="70" xfId="0" applyFont="1" applyFill="1" applyBorder="1" applyAlignment="1">
      <alignment horizontal="right"/>
    </xf>
    <xf numFmtId="184" fontId="10" fillId="0" borderId="0" xfId="0" applyNumberFormat="1" applyFont="1">
      <alignment vertical="center"/>
    </xf>
    <xf numFmtId="184" fontId="10" fillId="0" borderId="55" xfId="0" applyNumberFormat="1" applyFont="1" applyBorder="1">
      <alignment vertical="center"/>
    </xf>
    <xf numFmtId="0" fontId="56" fillId="7" borderId="54" xfId="0" applyFont="1" applyFill="1" applyBorder="1" applyAlignment="1">
      <alignment horizontal="left" vertical="center" indent="1"/>
    </xf>
    <xf numFmtId="185" fontId="32" fillId="7" borderId="0" xfId="0" applyNumberFormat="1" applyFont="1" applyFill="1" applyAlignment="1">
      <alignment horizontal="right" vertical="center"/>
    </xf>
    <xf numFmtId="185" fontId="32" fillId="7" borderId="55" xfId="0" applyNumberFormat="1" applyFont="1" applyFill="1" applyBorder="1" applyAlignment="1">
      <alignment horizontal="right" vertical="center"/>
    </xf>
    <xf numFmtId="0" fontId="21" fillId="7" borderId="46" xfId="0" applyFont="1" applyFill="1" applyBorder="1" applyAlignment="1">
      <alignment horizontal="left" vertical="center"/>
    </xf>
    <xf numFmtId="185" fontId="21" fillId="7" borderId="71" xfId="0" applyNumberFormat="1" applyFont="1" applyFill="1" applyBorder="1" applyAlignment="1">
      <alignment horizontal="right" vertical="center"/>
    </xf>
    <xf numFmtId="185" fontId="21" fillId="7" borderId="72" xfId="0" applyNumberFormat="1" applyFont="1" applyFill="1" applyBorder="1" applyAlignment="1">
      <alignment horizontal="right" vertical="center"/>
    </xf>
    <xf numFmtId="185" fontId="37" fillId="7" borderId="0" xfId="0" applyNumberFormat="1" applyFont="1" applyFill="1" applyAlignment="1">
      <alignment horizontal="right" vertical="center"/>
    </xf>
    <xf numFmtId="185" fontId="37" fillId="7" borderId="55" xfId="0" applyNumberFormat="1" applyFont="1" applyFill="1" applyBorder="1" applyAlignment="1">
      <alignment horizontal="right" vertical="center"/>
    </xf>
    <xf numFmtId="0" fontId="62" fillId="7" borderId="51" xfId="0" applyFont="1" applyFill="1" applyBorder="1" applyAlignment="1">
      <alignment horizontal="left" vertical="center"/>
    </xf>
    <xf numFmtId="178" fontId="41" fillId="7" borderId="52" xfId="0" applyNumberFormat="1" applyFont="1" applyFill="1" applyBorder="1" applyAlignment="1">
      <alignment horizontal="right" vertical="center"/>
    </xf>
    <xf numFmtId="178" fontId="41" fillId="7" borderId="53" xfId="0" applyNumberFormat="1" applyFont="1" applyFill="1" applyBorder="1" applyAlignment="1">
      <alignment horizontal="right" vertical="center"/>
    </xf>
    <xf numFmtId="185" fontId="32" fillId="7" borderId="48" xfId="0" applyNumberFormat="1" applyFont="1" applyFill="1" applyBorder="1" applyAlignment="1">
      <alignment horizontal="right" vertical="center"/>
    </xf>
    <xf numFmtId="185" fontId="32" fillId="7" borderId="50" xfId="0" applyNumberFormat="1" applyFont="1" applyFill="1" applyBorder="1" applyAlignment="1">
      <alignment horizontal="right" vertical="center"/>
    </xf>
    <xf numFmtId="0" fontId="21" fillId="7" borderId="73" xfId="0" applyFont="1" applyFill="1" applyBorder="1" applyAlignment="1">
      <alignment horizontal="left" vertical="center"/>
    </xf>
    <xf numFmtId="185" fontId="21" fillId="7" borderId="39" xfId="0" applyNumberFormat="1" applyFont="1" applyFill="1" applyBorder="1" applyAlignment="1">
      <alignment horizontal="right" vertical="center"/>
    </xf>
    <xf numFmtId="185" fontId="21" fillId="7" borderId="74" xfId="0" applyNumberFormat="1" applyFont="1" applyFill="1" applyBorder="1" applyAlignment="1">
      <alignment horizontal="right" vertical="center"/>
    </xf>
    <xf numFmtId="0" fontId="56" fillId="7" borderId="0" xfId="0" applyFont="1" applyFill="1" applyAlignment="1">
      <alignment horizontal="left" vertical="center" indent="1"/>
    </xf>
    <xf numFmtId="185" fontId="56" fillId="7" borderId="0" xfId="0" applyNumberFormat="1" applyFont="1" applyFill="1" applyAlignment="1">
      <alignment horizontal="right" vertical="center"/>
    </xf>
    <xf numFmtId="0" fontId="63" fillId="4" borderId="65" xfId="0" applyFont="1" applyFill="1" applyBorder="1" applyAlignment="1">
      <alignment horizontal="left" vertical="center"/>
    </xf>
    <xf numFmtId="185" fontId="63" fillId="4" borderId="48" xfId="0" applyNumberFormat="1" applyFont="1" applyFill="1" applyBorder="1" applyAlignment="1">
      <alignment horizontal="left" vertical="center"/>
    </xf>
    <xf numFmtId="185" fontId="63" fillId="4" borderId="66" xfId="0" applyNumberFormat="1" applyFont="1" applyFill="1" applyBorder="1" applyAlignment="1">
      <alignment horizontal="left" vertical="center"/>
    </xf>
    <xf numFmtId="0" fontId="21" fillId="7" borderId="32" xfId="0" applyFont="1" applyFill="1" applyBorder="1" applyAlignment="1">
      <alignment horizontal="left"/>
    </xf>
    <xf numFmtId="0" fontId="21" fillId="7" borderId="31" xfId="0" applyFont="1" applyFill="1" applyBorder="1" applyAlignment="1">
      <alignment horizontal="right"/>
    </xf>
    <xf numFmtId="0" fontId="21" fillId="7" borderId="68" xfId="0" applyFont="1" applyFill="1" applyBorder="1" applyAlignment="1">
      <alignment horizontal="right"/>
    </xf>
    <xf numFmtId="0" fontId="21" fillId="7" borderId="25" xfId="0" applyFont="1" applyFill="1" applyBorder="1" applyAlignment="1">
      <alignment horizontal="left"/>
    </xf>
    <xf numFmtId="0" fontId="21" fillId="7" borderId="24" xfId="0" applyFont="1" applyFill="1" applyBorder="1" applyAlignment="1">
      <alignment horizontal="right"/>
    </xf>
    <xf numFmtId="0" fontId="21" fillId="7" borderId="70" xfId="0" applyFont="1" applyFill="1" applyBorder="1" applyAlignment="1">
      <alignment horizontal="right"/>
    </xf>
    <xf numFmtId="0" fontId="37" fillId="7" borderId="54" xfId="0" applyFont="1" applyFill="1" applyBorder="1" applyAlignment="1">
      <alignment horizontal="left" vertical="center"/>
    </xf>
    <xf numFmtId="184" fontId="61" fillId="0" borderId="55" xfId="0" applyNumberFormat="1" applyFont="1" applyBorder="1">
      <alignment vertical="center"/>
    </xf>
    <xf numFmtId="0" fontId="32" fillId="7" borderId="54" xfId="0" applyFont="1" applyFill="1" applyBorder="1" applyAlignment="1">
      <alignment horizontal="left" vertical="center" indent="1"/>
    </xf>
    <xf numFmtId="0" fontId="21" fillId="7" borderId="75" xfId="0" applyFont="1" applyFill="1" applyBorder="1" applyAlignment="1">
      <alignment vertical="top"/>
    </xf>
    <xf numFmtId="184" fontId="61" fillId="0" borderId="30" xfId="0" applyNumberFormat="1" applyFont="1" applyBorder="1">
      <alignment vertical="center"/>
    </xf>
    <xf numFmtId="185" fontId="56" fillId="7" borderId="55" xfId="0" applyNumberFormat="1" applyFont="1" applyFill="1" applyBorder="1" applyAlignment="1">
      <alignment horizontal="right" vertical="center"/>
    </xf>
    <xf numFmtId="185" fontId="56" fillId="7" borderId="52" xfId="0" applyNumberFormat="1" applyFont="1" applyFill="1" applyBorder="1" applyAlignment="1">
      <alignment horizontal="right" vertical="center"/>
    </xf>
    <xf numFmtId="185" fontId="56" fillId="7" borderId="53" xfId="0" applyNumberFormat="1" applyFont="1" applyFill="1" applyBorder="1" applyAlignment="1">
      <alignment horizontal="right" vertical="center"/>
    </xf>
    <xf numFmtId="0" fontId="58" fillId="7" borderId="46" xfId="0" applyFont="1" applyFill="1" applyBorder="1" applyAlignment="1">
      <alignment vertical="top"/>
    </xf>
    <xf numFmtId="185" fontId="58" fillId="7" borderId="0" xfId="0" applyNumberFormat="1" applyFont="1" applyFill="1" applyAlignment="1">
      <alignment horizontal="right" vertical="center"/>
    </xf>
    <xf numFmtId="185" fontId="58" fillId="7" borderId="55" xfId="0" applyNumberFormat="1" applyFont="1" applyFill="1" applyBorder="1" applyAlignment="1">
      <alignment horizontal="right" vertical="center"/>
    </xf>
    <xf numFmtId="184" fontId="61" fillId="0" borderId="48" xfId="0" applyNumberFormat="1" applyFont="1" applyBorder="1">
      <alignment vertical="center"/>
    </xf>
    <xf numFmtId="184" fontId="61" fillId="0" borderId="50" xfId="0" applyNumberFormat="1" applyFont="1" applyBorder="1">
      <alignment vertical="center"/>
    </xf>
    <xf numFmtId="0" fontId="58" fillId="7" borderId="46" xfId="0" applyFont="1" applyFill="1" applyBorder="1">
      <alignment vertical="center"/>
    </xf>
    <xf numFmtId="185" fontId="58" fillId="7" borderId="48" xfId="0" applyNumberFormat="1" applyFont="1" applyFill="1" applyBorder="1" applyAlignment="1">
      <alignment horizontal="right" vertical="center"/>
    </xf>
    <xf numFmtId="185" fontId="58" fillId="7" borderId="50" xfId="0" applyNumberFormat="1" applyFont="1" applyFill="1" applyBorder="1" applyAlignment="1">
      <alignment horizontal="right" vertical="center"/>
    </xf>
    <xf numFmtId="0" fontId="56" fillId="7" borderId="51" xfId="0" applyFont="1" applyFill="1" applyBorder="1" applyAlignment="1">
      <alignment horizontal="left" vertical="center" indent="1"/>
    </xf>
    <xf numFmtId="0" fontId="58" fillId="7" borderId="62" xfId="0" applyFont="1" applyFill="1" applyBorder="1">
      <alignment vertical="center"/>
    </xf>
    <xf numFmtId="185" fontId="58" fillId="7" borderId="63" xfId="0" applyNumberFormat="1" applyFont="1" applyFill="1" applyBorder="1" applyAlignment="1">
      <alignment horizontal="right" vertical="center"/>
    </xf>
    <xf numFmtId="185" fontId="58" fillId="7" borderId="64" xfId="0" applyNumberFormat="1" applyFont="1" applyFill="1" applyBorder="1" applyAlignment="1">
      <alignment horizontal="right" vertical="center"/>
    </xf>
    <xf numFmtId="0" fontId="2" fillId="8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1" fillId="7" borderId="67" xfId="0" applyFont="1" applyFill="1" applyBorder="1" applyAlignment="1">
      <alignment horizontal="left" vertical="center"/>
    </xf>
    <xf numFmtId="0" fontId="51" fillId="7" borderId="31" xfId="0" applyFont="1" applyFill="1" applyBorder="1" applyAlignment="1">
      <alignment horizontal="right" vertical="center"/>
    </xf>
    <xf numFmtId="0" fontId="51" fillId="7" borderId="68" xfId="0" applyFont="1" applyFill="1" applyBorder="1" applyAlignment="1">
      <alignment horizontal="right" vertical="center"/>
    </xf>
    <xf numFmtId="0" fontId="51" fillId="7" borderId="69" xfId="0" applyFont="1" applyFill="1" applyBorder="1" applyAlignment="1">
      <alignment horizontal="left" vertical="center"/>
    </xf>
    <xf numFmtId="0" fontId="51" fillId="7" borderId="24" xfId="0" applyFont="1" applyFill="1" applyBorder="1" applyAlignment="1">
      <alignment horizontal="right" vertical="center"/>
    </xf>
    <xf numFmtId="0" fontId="51" fillId="7" borderId="70" xfId="0" applyFont="1" applyFill="1" applyBorder="1" applyAlignment="1">
      <alignment horizontal="right" vertical="center"/>
    </xf>
    <xf numFmtId="185" fontId="58" fillId="0" borderId="0" xfId="0" applyNumberFormat="1" applyFont="1" applyAlignment="1">
      <alignment horizontal="right" vertical="center"/>
    </xf>
    <xf numFmtId="185" fontId="56" fillId="0" borderId="0" xfId="0" applyNumberFormat="1" applyFont="1" applyAlignment="1">
      <alignment horizontal="right" vertical="center"/>
    </xf>
    <xf numFmtId="185" fontId="56" fillId="7" borderId="60" xfId="0" applyNumberFormat="1" applyFont="1" applyFill="1" applyBorder="1" applyAlignment="1">
      <alignment horizontal="right" vertical="center"/>
    </xf>
    <xf numFmtId="185" fontId="56" fillId="7" borderId="61" xfId="0" applyNumberFormat="1" applyFont="1" applyFill="1" applyBorder="1" applyAlignment="1">
      <alignment horizontal="right" vertical="center"/>
    </xf>
    <xf numFmtId="0" fontId="62" fillId="7" borderId="54" xfId="0" applyFont="1" applyFill="1" applyBorder="1" applyAlignment="1">
      <alignment horizontal="left" vertical="center" indent="1"/>
    </xf>
    <xf numFmtId="0" fontId="62" fillId="7" borderId="59" xfId="0" applyFont="1" applyFill="1" applyBorder="1" applyAlignment="1">
      <alignment horizontal="left" vertical="center" indent="1"/>
    </xf>
    <xf numFmtId="0" fontId="56" fillId="7" borderId="51" xfId="0" applyFont="1" applyFill="1" applyBorder="1" applyAlignment="1">
      <alignment horizontal="left" vertical="center"/>
    </xf>
    <xf numFmtId="0" fontId="47" fillId="7" borderId="69" xfId="0" applyFont="1" applyFill="1" applyBorder="1" applyAlignment="1">
      <alignment horizontal="left" vertical="center"/>
    </xf>
    <xf numFmtId="185" fontId="47" fillId="7" borderId="24" xfId="0" applyNumberFormat="1" applyFont="1" applyFill="1" applyBorder="1" applyAlignment="1">
      <alignment horizontal="right" vertical="center"/>
    </xf>
    <xf numFmtId="185" fontId="47" fillId="7" borderId="70" xfId="0" applyNumberFormat="1" applyFont="1" applyFill="1" applyBorder="1" applyAlignment="1">
      <alignment horizontal="right" vertical="center"/>
    </xf>
    <xf numFmtId="185" fontId="56" fillId="7" borderId="52" xfId="1" applyNumberFormat="1" applyFont="1" applyFill="1" applyBorder="1" applyAlignment="1">
      <alignment horizontal="right" vertical="center"/>
    </xf>
    <xf numFmtId="185" fontId="56" fillId="7" borderId="0" xfId="1" applyNumberFormat="1" applyFont="1" applyFill="1" applyBorder="1" applyAlignment="1">
      <alignment horizontal="right" vertical="center"/>
    </xf>
    <xf numFmtId="185" fontId="56" fillId="7" borderId="55" xfId="1" applyNumberFormat="1" applyFont="1" applyFill="1" applyBorder="1" applyAlignment="1">
      <alignment horizontal="right" vertical="center"/>
    </xf>
    <xf numFmtId="185" fontId="56" fillId="7" borderId="53" xfId="1" applyNumberFormat="1" applyFont="1" applyFill="1" applyBorder="1" applyAlignment="1">
      <alignment horizontal="right" vertical="center"/>
    </xf>
    <xf numFmtId="0" fontId="58" fillId="7" borderId="59" xfId="0" applyFont="1" applyFill="1" applyBorder="1" applyAlignment="1">
      <alignment horizontal="left" vertical="center"/>
    </xf>
    <xf numFmtId="185" fontId="58" fillId="7" borderId="60" xfId="0" applyNumberFormat="1" applyFont="1" applyFill="1" applyBorder="1" applyAlignment="1">
      <alignment horizontal="right" vertical="center"/>
    </xf>
    <xf numFmtId="185" fontId="58" fillId="7" borderId="61" xfId="0" applyNumberFormat="1" applyFont="1" applyFill="1" applyBorder="1" applyAlignment="1">
      <alignment horizontal="right" vertical="center"/>
    </xf>
    <xf numFmtId="0" fontId="51" fillId="7" borderId="76" xfId="0" applyFont="1" applyFill="1" applyBorder="1" applyAlignment="1">
      <alignment horizontal="left" vertical="center"/>
    </xf>
    <xf numFmtId="0" fontId="51" fillId="7" borderId="24" xfId="0" applyFont="1" applyFill="1" applyBorder="1" applyAlignment="1">
      <alignment horizontal="left" vertical="center"/>
    </xf>
    <xf numFmtId="0" fontId="47" fillId="7" borderId="76" xfId="0" applyFont="1" applyFill="1" applyBorder="1" applyAlignment="1">
      <alignment horizontal="left" vertical="center"/>
    </xf>
    <xf numFmtId="0" fontId="47" fillId="7" borderId="24" xfId="0" applyFont="1" applyFill="1" applyBorder="1" applyAlignment="1">
      <alignment horizontal="left" vertical="center"/>
    </xf>
    <xf numFmtId="0" fontId="47" fillId="7" borderId="24" xfId="0" applyFont="1" applyFill="1" applyBorder="1" applyAlignment="1">
      <alignment horizontal="right" vertical="center"/>
    </xf>
    <xf numFmtId="0" fontId="47" fillId="7" borderId="70" xfId="0" applyFont="1" applyFill="1" applyBorder="1" applyAlignment="1">
      <alignment horizontal="right" vertical="center"/>
    </xf>
    <xf numFmtId="0" fontId="56" fillId="7" borderId="77" xfId="0" applyFont="1" applyFill="1" applyBorder="1">
      <alignment vertical="center"/>
    </xf>
    <xf numFmtId="185" fontId="56" fillId="7" borderId="0" xfId="0" applyNumberFormat="1" applyFont="1" applyFill="1" applyAlignment="1">
      <alignment horizontal="left" vertical="center"/>
    </xf>
    <xf numFmtId="0" fontId="56" fillId="7" borderId="77" xfId="0" applyFont="1" applyFill="1" applyBorder="1" applyAlignment="1">
      <alignment horizontal="left" vertical="center" indent="1"/>
    </xf>
    <xf numFmtId="0" fontId="47" fillId="7" borderId="76" xfId="0" applyFont="1" applyFill="1" applyBorder="1" applyAlignment="1">
      <alignment horizontal="left" vertical="center" indent="1"/>
    </xf>
    <xf numFmtId="0" fontId="56" fillId="7" borderId="77" xfId="0" applyFont="1" applyFill="1" applyBorder="1" applyAlignment="1">
      <alignment horizontal="left" vertical="center"/>
    </xf>
    <xf numFmtId="0" fontId="56" fillId="7" borderId="78" xfId="0" applyFont="1" applyFill="1" applyBorder="1" applyAlignment="1">
      <alignment horizontal="left" vertical="center" indent="1"/>
    </xf>
    <xf numFmtId="185" fontId="56" fillId="7" borderId="60" xfId="0" applyNumberFormat="1" applyFont="1" applyFill="1" applyBorder="1" applyAlignment="1">
      <alignment horizontal="left" vertical="center"/>
    </xf>
    <xf numFmtId="0" fontId="51" fillId="7" borderId="24" xfId="0" applyFont="1" applyFill="1" applyBorder="1" applyAlignment="1">
      <alignment horizontal="center" vertical="center"/>
    </xf>
    <xf numFmtId="0" fontId="51" fillId="7" borderId="70" xfId="0" applyFont="1" applyFill="1" applyBorder="1" applyAlignment="1">
      <alignment horizontal="center" vertical="center"/>
    </xf>
    <xf numFmtId="186" fontId="58" fillId="7" borderId="0" xfId="0" applyNumberFormat="1" applyFont="1" applyFill="1" applyAlignment="1">
      <alignment horizontal="right" vertical="center"/>
    </xf>
    <xf numFmtId="178" fontId="58" fillId="7" borderId="55" xfId="2" applyNumberFormat="1" applyFont="1" applyFill="1" applyBorder="1" applyAlignment="1">
      <alignment horizontal="right" vertical="center"/>
    </xf>
    <xf numFmtId="186" fontId="56" fillId="7" borderId="0" xfId="0" applyNumberFormat="1" applyFont="1" applyFill="1" applyAlignment="1">
      <alignment horizontal="right" vertical="center"/>
    </xf>
    <xf numFmtId="178" fontId="56" fillId="7" borderId="55" xfId="2" applyNumberFormat="1" applyFont="1" applyFill="1" applyBorder="1" applyAlignment="1">
      <alignment horizontal="right" vertical="center"/>
    </xf>
    <xf numFmtId="0" fontId="47" fillId="7" borderId="69" xfId="0" applyFont="1" applyFill="1" applyBorder="1" applyAlignment="1">
      <alignment horizontal="left" vertical="center" indent="1"/>
    </xf>
    <xf numFmtId="186" fontId="47" fillId="7" borderId="24" xfId="0" applyNumberFormat="1" applyFont="1" applyFill="1" applyBorder="1" applyAlignment="1">
      <alignment horizontal="right" vertical="center"/>
    </xf>
    <xf numFmtId="178" fontId="47" fillId="7" borderId="70" xfId="2" applyNumberFormat="1" applyFont="1" applyFill="1" applyBorder="1" applyAlignment="1">
      <alignment horizontal="right" vertical="center"/>
    </xf>
    <xf numFmtId="186" fontId="58" fillId="7" borderId="60" xfId="0" applyNumberFormat="1" applyFont="1" applyFill="1" applyBorder="1" applyAlignment="1">
      <alignment horizontal="right" vertical="center"/>
    </xf>
    <xf numFmtId="178" fontId="58" fillId="7" borderId="61" xfId="2" applyNumberFormat="1" applyFont="1" applyFill="1" applyBorder="1" applyAlignment="1">
      <alignment horizontal="right" vertical="center"/>
    </xf>
    <xf numFmtId="0" fontId="68" fillId="2" borderId="1" xfId="0" applyFont="1" applyFill="1" applyBorder="1">
      <alignment vertical="center"/>
    </xf>
    <xf numFmtId="0" fontId="70" fillId="2" borderId="2" xfId="0" applyFont="1" applyFill="1" applyBorder="1">
      <alignment vertical="center"/>
    </xf>
    <xf numFmtId="0" fontId="70" fillId="2" borderId="3" xfId="0" applyFont="1" applyFill="1" applyBorder="1">
      <alignment vertical="center"/>
    </xf>
    <xf numFmtId="0" fontId="11" fillId="0" borderId="4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5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176" fontId="10" fillId="0" borderId="6" xfId="0" applyNumberFormat="1" applyFont="1" applyBorder="1" applyAlignment="1">
      <alignment horizontal="right"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8" xfId="0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0" fillId="0" borderId="4" xfId="0" applyFont="1" applyBorder="1">
      <alignment vertical="center"/>
    </xf>
    <xf numFmtId="176" fontId="10" fillId="0" borderId="5" xfId="0" applyNumberFormat="1" applyFont="1" applyBorder="1" applyAlignment="1">
      <alignment horizontal="right" vertical="center"/>
    </xf>
    <xf numFmtId="0" fontId="10" fillId="0" borderId="7" xfId="0" applyFont="1" applyBorder="1">
      <alignment vertical="center"/>
    </xf>
    <xf numFmtId="176" fontId="11" fillId="0" borderId="8" xfId="0" applyNumberFormat="1" applyFont="1" applyBorder="1" applyAlignment="1">
      <alignment horizontal="right" vertical="center"/>
    </xf>
    <xf numFmtId="176" fontId="11" fillId="0" borderId="9" xfId="0" applyNumberFormat="1" applyFont="1" applyBorder="1" applyAlignment="1">
      <alignment horizontal="right" vertical="center"/>
    </xf>
    <xf numFmtId="0" fontId="10" fillId="0" borderId="10" xfId="0" applyFont="1" applyBorder="1">
      <alignment vertical="center"/>
    </xf>
    <xf numFmtId="0" fontId="10" fillId="0" borderId="12" xfId="0" applyFont="1" applyBorder="1">
      <alignment vertical="center"/>
    </xf>
    <xf numFmtId="0" fontId="11" fillId="0" borderId="13" xfId="0" applyFont="1" applyBorder="1">
      <alignment vertical="center"/>
    </xf>
    <xf numFmtId="176" fontId="11" fillId="0" borderId="13" xfId="0" applyNumberFormat="1" applyFont="1" applyBorder="1" applyAlignment="1">
      <alignment horizontal="right" vertical="center"/>
    </xf>
    <xf numFmtId="176" fontId="11" fillId="0" borderId="14" xfId="0" applyNumberFormat="1" applyFont="1" applyBorder="1" applyAlignment="1">
      <alignment horizontal="right" vertical="center"/>
    </xf>
    <xf numFmtId="0" fontId="13" fillId="0" borderId="0" xfId="0" applyFont="1">
      <alignment vertical="center"/>
    </xf>
    <xf numFmtId="0" fontId="11" fillId="0" borderId="2" xfId="0" applyFont="1" applyBorder="1">
      <alignment vertical="center"/>
    </xf>
    <xf numFmtId="0" fontId="10" fillId="0" borderId="15" xfId="0" applyFont="1" applyBorder="1">
      <alignment vertical="center"/>
    </xf>
    <xf numFmtId="178" fontId="41" fillId="7" borderId="49" xfId="0" applyNumberFormat="1" applyFont="1" applyFill="1" applyBorder="1" applyAlignment="1">
      <alignment horizontal="right" vertical="center"/>
    </xf>
    <xf numFmtId="178" fontId="41" fillId="7" borderId="48" xfId="0" applyNumberFormat="1" applyFont="1" applyFill="1" applyBorder="1" applyAlignment="1">
      <alignment horizontal="right" vertical="center"/>
    </xf>
    <xf numFmtId="178" fontId="41" fillId="7" borderId="50" xfId="0" applyNumberFormat="1" applyFont="1" applyFill="1" applyBorder="1" applyAlignment="1">
      <alignment horizontal="right" vertical="center"/>
    </xf>
    <xf numFmtId="178" fontId="41" fillId="7" borderId="51" xfId="0" applyNumberFormat="1" applyFont="1" applyFill="1" applyBorder="1" applyAlignment="1">
      <alignment horizontal="right" vertical="center"/>
    </xf>
    <xf numFmtId="0" fontId="69" fillId="2" borderId="1" xfId="0" applyFont="1" applyFill="1" applyBorder="1">
      <alignment vertical="center"/>
    </xf>
    <xf numFmtId="0" fontId="68" fillId="2" borderId="2" xfId="0" applyFont="1" applyFill="1" applyBorder="1">
      <alignment vertical="center"/>
    </xf>
    <xf numFmtId="0" fontId="68" fillId="2" borderId="3" xfId="0" applyFont="1" applyFill="1" applyBorder="1">
      <alignment vertical="center"/>
    </xf>
    <xf numFmtId="0" fontId="11" fillId="0" borderId="19" xfId="0" applyFont="1" applyBorder="1" applyAlignment="1">
      <alignment horizontal="right" vertical="center"/>
    </xf>
    <xf numFmtId="178" fontId="13" fillId="0" borderId="5" xfId="2" applyNumberFormat="1" applyFont="1" applyBorder="1">
      <alignment vertical="center"/>
    </xf>
    <xf numFmtId="176" fontId="10" fillId="0" borderId="18" xfId="0" applyNumberFormat="1" applyFont="1" applyBorder="1" applyAlignment="1">
      <alignment horizontal="right" vertical="center"/>
    </xf>
    <xf numFmtId="178" fontId="13" fillId="0" borderId="6" xfId="2" applyNumberFormat="1" applyFont="1" applyBorder="1">
      <alignment vertical="center"/>
    </xf>
    <xf numFmtId="178" fontId="13" fillId="0" borderId="0" xfId="2" applyNumberFormat="1" applyFont="1" applyBorder="1">
      <alignment vertical="center"/>
    </xf>
    <xf numFmtId="176" fontId="10" fillId="0" borderId="20" xfId="0" applyNumberFormat="1" applyFont="1" applyBorder="1" applyAlignment="1">
      <alignment horizontal="right" vertical="center"/>
    </xf>
    <xf numFmtId="178" fontId="13" fillId="0" borderId="11" xfId="2" applyNumberFormat="1" applyFont="1" applyBorder="1">
      <alignment vertical="center"/>
    </xf>
    <xf numFmtId="0" fontId="11" fillId="0" borderId="15" xfId="0" applyFont="1" applyBorder="1">
      <alignment vertical="center"/>
    </xf>
    <xf numFmtId="178" fontId="18" fillId="0" borderId="16" xfId="2" applyNumberFormat="1" applyFont="1" applyBorder="1">
      <alignment vertical="center"/>
    </xf>
    <xf numFmtId="176" fontId="11" fillId="0" borderId="21" xfId="0" applyNumberFormat="1" applyFont="1" applyBorder="1" applyAlignment="1">
      <alignment horizontal="right" vertical="center"/>
    </xf>
    <xf numFmtId="178" fontId="18" fillId="0" borderId="17" xfId="2" applyNumberFormat="1" applyFont="1" applyBorder="1">
      <alignment vertical="center"/>
    </xf>
    <xf numFmtId="0" fontId="7" fillId="9" borderId="31" xfId="0" applyFont="1" applyFill="1" applyBorder="1" applyAlignment="1">
      <alignment horizontal="right" vertical="center"/>
    </xf>
    <xf numFmtId="0" fontId="8" fillId="9" borderId="24" xfId="0" applyFont="1" applyFill="1" applyBorder="1" applyAlignment="1">
      <alignment horizontal="right" vertical="center"/>
    </xf>
    <xf numFmtId="0" fontId="73" fillId="9" borderId="31" xfId="0" applyFont="1" applyFill="1" applyBorder="1">
      <alignment vertical="center"/>
    </xf>
    <xf numFmtId="0" fontId="10" fillId="9" borderId="31" xfId="0" applyFont="1" applyFill="1" applyBorder="1">
      <alignment vertical="center"/>
    </xf>
    <xf numFmtId="0" fontId="10" fillId="0" borderId="31" xfId="0" applyFont="1" applyBorder="1">
      <alignment vertical="center"/>
    </xf>
    <xf numFmtId="0" fontId="10" fillId="0" borderId="30" xfId="0" applyFont="1" applyBorder="1">
      <alignment vertical="center"/>
    </xf>
    <xf numFmtId="0" fontId="10" fillId="6" borderId="31" xfId="0" applyFont="1" applyFill="1" applyBorder="1">
      <alignment vertical="center"/>
    </xf>
    <xf numFmtId="0" fontId="10" fillId="9" borderId="0" xfId="0" applyFont="1" applyFill="1" applyAlignment="1">
      <alignment horizontal="left" vertical="center" indent="1"/>
    </xf>
    <xf numFmtId="176" fontId="10" fillId="9" borderId="0" xfId="0" applyNumberFormat="1" applyFont="1" applyFill="1">
      <alignment vertical="center"/>
    </xf>
    <xf numFmtId="0" fontId="10" fillId="9" borderId="24" xfId="0" applyFont="1" applyFill="1" applyBorder="1" applyAlignment="1">
      <alignment horizontal="left" vertical="center" indent="1"/>
    </xf>
    <xf numFmtId="176" fontId="10" fillId="9" borderId="24" xfId="0" applyNumberFormat="1" applyFont="1" applyFill="1" applyBorder="1">
      <alignment vertical="center"/>
    </xf>
    <xf numFmtId="0" fontId="11" fillId="9" borderId="31" xfId="0" applyFont="1" applyFill="1" applyBorder="1" applyAlignment="1">
      <alignment horizontal="left" vertical="center"/>
    </xf>
    <xf numFmtId="176" fontId="11" fillId="9" borderId="31" xfId="0" applyNumberFormat="1" applyFont="1" applyFill="1" applyBorder="1">
      <alignment vertical="center"/>
    </xf>
    <xf numFmtId="0" fontId="11" fillId="9" borderId="24" xfId="0" applyFont="1" applyFill="1" applyBorder="1" applyAlignment="1">
      <alignment horizontal="left" vertical="center"/>
    </xf>
    <xf numFmtId="176" fontId="11" fillId="9" borderId="24" xfId="0" applyNumberFormat="1" applyFont="1" applyFill="1" applyBorder="1">
      <alignment vertical="center"/>
    </xf>
    <xf numFmtId="0" fontId="13" fillId="9" borderId="34" xfId="0" applyFont="1" applyFill="1" applyBorder="1" applyAlignment="1">
      <alignment horizontal="left" vertical="center"/>
    </xf>
    <xf numFmtId="178" fontId="13" fillId="9" borderId="34" xfId="2" applyNumberFormat="1" applyFont="1" applyFill="1" applyBorder="1">
      <alignment vertical="center"/>
    </xf>
    <xf numFmtId="0" fontId="73" fillId="9" borderId="0" xfId="0" applyFont="1" applyFill="1">
      <alignment vertical="center"/>
    </xf>
    <xf numFmtId="0" fontId="10" fillId="9" borderId="0" xfId="0" applyFont="1" applyFill="1">
      <alignment vertical="center"/>
    </xf>
    <xf numFmtId="0" fontId="10" fillId="9" borderId="28" xfId="0" applyFont="1" applyFill="1" applyBorder="1" applyAlignment="1">
      <alignment horizontal="left" vertical="center" indent="1"/>
    </xf>
    <xf numFmtId="0" fontId="10" fillId="9" borderId="28" xfId="0" applyFont="1" applyFill="1" applyBorder="1">
      <alignment vertical="center"/>
    </xf>
    <xf numFmtId="0" fontId="17" fillId="0" borderId="4" xfId="0" applyFont="1" applyBorder="1">
      <alignment vertical="center"/>
    </xf>
    <xf numFmtId="0" fontId="17" fillId="0" borderId="5" xfId="0" applyFont="1" applyBorder="1">
      <alignment vertical="center"/>
    </xf>
    <xf numFmtId="0" fontId="17" fillId="0" borderId="5" xfId="0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0" fontId="17" fillId="0" borderId="7" xfId="0" applyFont="1" applyBorder="1">
      <alignment vertical="center"/>
    </xf>
    <xf numFmtId="0" fontId="17" fillId="0" borderId="8" xfId="0" applyFont="1" applyBorder="1">
      <alignment vertical="center"/>
    </xf>
    <xf numFmtId="0" fontId="17" fillId="0" borderId="8" xfId="0" applyFont="1" applyBorder="1" applyAlignment="1">
      <alignment horizontal="right" vertical="center"/>
    </xf>
    <xf numFmtId="0" fontId="17" fillId="0" borderId="9" xfId="0" applyFont="1" applyBorder="1" applyAlignment="1">
      <alignment horizontal="right" vertical="center"/>
    </xf>
    <xf numFmtId="0" fontId="14" fillId="0" borderId="5" xfId="0" applyFont="1" applyBorder="1">
      <alignment vertical="center"/>
    </xf>
    <xf numFmtId="176" fontId="37" fillId="0" borderId="5" xfId="0" applyNumberFormat="1" applyFont="1" applyBorder="1" applyAlignment="1">
      <alignment horizontal="right" vertical="center"/>
    </xf>
    <xf numFmtId="176" fontId="37" fillId="0" borderId="6" xfId="0" applyNumberFormat="1" applyFont="1" applyBorder="1" applyAlignment="1">
      <alignment horizontal="right" vertical="center"/>
    </xf>
    <xf numFmtId="0" fontId="9" fillId="0" borderId="79" xfId="0" applyFont="1" applyBorder="1">
      <alignment vertical="center"/>
    </xf>
    <xf numFmtId="0" fontId="14" fillId="0" borderId="80" xfId="0" applyFont="1" applyBorder="1">
      <alignment vertical="center"/>
    </xf>
    <xf numFmtId="176" fontId="32" fillId="0" borderId="80" xfId="0" applyNumberFormat="1" applyFont="1" applyBorder="1" applyAlignment="1">
      <alignment horizontal="right" vertical="center"/>
    </xf>
    <xf numFmtId="176" fontId="32" fillId="0" borderId="81" xfId="0" applyNumberFormat="1" applyFont="1" applyBorder="1" applyAlignment="1">
      <alignment horizontal="right" vertical="center"/>
    </xf>
    <xf numFmtId="0" fontId="9" fillId="0" borderId="10" xfId="0" applyFont="1" applyBorder="1">
      <alignment vertical="center"/>
    </xf>
    <xf numFmtId="0" fontId="14" fillId="0" borderId="0" xfId="0" applyFont="1">
      <alignment vertical="center"/>
    </xf>
    <xf numFmtId="176" fontId="32" fillId="0" borderId="0" xfId="0" applyNumberFormat="1" applyFont="1" applyAlignment="1">
      <alignment horizontal="right" vertical="center"/>
    </xf>
    <xf numFmtId="176" fontId="32" fillId="0" borderId="11" xfId="0" applyNumberFormat="1" applyFont="1" applyBorder="1" applyAlignment="1">
      <alignment horizontal="right" vertical="center"/>
    </xf>
    <xf numFmtId="0" fontId="74" fillId="0" borderId="82" xfId="0" applyFont="1" applyBorder="1">
      <alignment vertical="center"/>
    </xf>
    <xf numFmtId="0" fontId="17" fillId="0" borderId="83" xfId="0" applyFont="1" applyBorder="1">
      <alignment vertical="center"/>
    </xf>
    <xf numFmtId="176" fontId="37" fillId="0" borderId="83" xfId="0" applyNumberFormat="1" applyFont="1" applyBorder="1">
      <alignment vertical="center"/>
    </xf>
    <xf numFmtId="176" fontId="37" fillId="0" borderId="84" xfId="0" applyNumberFormat="1" applyFont="1" applyBorder="1">
      <alignment vertical="center"/>
    </xf>
    <xf numFmtId="0" fontId="9" fillId="0" borderId="7" xfId="0" applyFont="1" applyBorder="1">
      <alignment vertical="center"/>
    </xf>
    <xf numFmtId="0" fontId="14" fillId="0" borderId="8" xfId="0" applyFont="1" applyBorder="1">
      <alignment vertical="center"/>
    </xf>
    <xf numFmtId="176" fontId="37" fillId="0" borderId="8" xfId="0" applyNumberFormat="1" applyFont="1" applyBorder="1" applyAlignment="1">
      <alignment horizontal="right" vertical="center"/>
    </xf>
    <xf numFmtId="176" fontId="37" fillId="0" borderId="9" xfId="0" applyNumberFormat="1" applyFont="1" applyBorder="1" applyAlignment="1">
      <alignment horizontal="right" vertical="center"/>
    </xf>
    <xf numFmtId="0" fontId="17" fillId="0" borderId="15" xfId="0" applyFont="1" applyBorder="1">
      <alignment vertical="center"/>
    </xf>
    <xf numFmtId="0" fontId="17" fillId="0" borderId="16" xfId="0" applyFont="1" applyBorder="1">
      <alignment vertical="center"/>
    </xf>
    <xf numFmtId="176" fontId="37" fillId="0" borderId="16" xfId="0" applyNumberFormat="1" applyFont="1" applyBorder="1" applyAlignment="1">
      <alignment horizontal="right" vertical="center"/>
    </xf>
    <xf numFmtId="176" fontId="37" fillId="0" borderId="17" xfId="0" applyNumberFormat="1" applyFont="1" applyBorder="1" applyAlignment="1">
      <alignment horizontal="right" vertical="center"/>
    </xf>
    <xf numFmtId="0" fontId="6" fillId="0" borderId="85" xfId="0" applyFont="1" applyBorder="1">
      <alignment vertical="center"/>
    </xf>
    <xf numFmtId="176" fontId="10" fillId="0" borderId="24" xfId="0" applyNumberFormat="1" applyFont="1" applyBorder="1" applyAlignment="1">
      <alignment horizontal="right" vertical="center"/>
    </xf>
    <xf numFmtId="176" fontId="10" fillId="0" borderId="23" xfId="0" applyNumberFormat="1" applyFont="1" applyBorder="1" applyAlignment="1">
      <alignment horizontal="right" vertical="center"/>
    </xf>
    <xf numFmtId="0" fontId="75" fillId="8" borderId="0" xfId="0" applyFont="1" applyFill="1">
      <alignment vertical="center"/>
    </xf>
    <xf numFmtId="0" fontId="4" fillId="8" borderId="4" xfId="0" applyFont="1" applyFill="1" applyBorder="1">
      <alignment vertical="center"/>
    </xf>
    <xf numFmtId="0" fontId="7" fillId="8" borderId="5" xfId="0" applyFont="1" applyFill="1" applyBorder="1" applyAlignment="1">
      <alignment horizontal="right" vertical="center"/>
    </xf>
    <xf numFmtId="0" fontId="7" fillId="8" borderId="6" xfId="0" applyFont="1" applyFill="1" applyBorder="1" applyAlignment="1">
      <alignment horizontal="right" vertical="center"/>
    </xf>
    <xf numFmtId="0" fontId="8" fillId="8" borderId="7" xfId="0" applyFont="1" applyFill="1" applyBorder="1">
      <alignment vertical="center"/>
    </xf>
    <xf numFmtId="0" fontId="8" fillId="8" borderId="8" xfId="0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9" fillId="8" borderId="4" xfId="0" applyFont="1" applyFill="1" applyBorder="1">
      <alignment vertical="center"/>
    </xf>
    <xf numFmtId="0" fontId="10" fillId="8" borderId="5" xfId="0" applyFont="1" applyFill="1" applyBorder="1">
      <alignment vertical="center"/>
    </xf>
    <xf numFmtId="0" fontId="6" fillId="8" borderId="6" xfId="0" applyFont="1" applyFill="1" applyBorder="1">
      <alignment vertical="center"/>
    </xf>
    <xf numFmtId="0" fontId="6" fillId="8" borderId="10" xfId="0" applyFont="1" applyFill="1" applyBorder="1" applyAlignment="1">
      <alignment horizontal="left" vertical="center" indent="1"/>
    </xf>
    <xf numFmtId="176" fontId="10" fillId="8" borderId="0" xfId="0" applyNumberFormat="1" applyFont="1" applyFill="1" applyAlignment="1">
      <alignment horizontal="right" vertical="center"/>
    </xf>
    <xf numFmtId="176" fontId="10" fillId="8" borderId="11" xfId="0" applyNumberFormat="1" applyFont="1" applyFill="1" applyBorder="1" applyAlignment="1">
      <alignment horizontal="right" vertical="center"/>
    </xf>
    <xf numFmtId="0" fontId="6" fillId="8" borderId="7" xfId="0" applyFont="1" applyFill="1" applyBorder="1" applyAlignment="1">
      <alignment horizontal="left" vertical="center" indent="1"/>
    </xf>
    <xf numFmtId="176" fontId="10" fillId="8" borderId="8" xfId="0" applyNumberFormat="1" applyFont="1" applyFill="1" applyBorder="1" applyAlignment="1">
      <alignment horizontal="right" vertical="center"/>
    </xf>
    <xf numFmtId="176" fontId="10" fillId="8" borderId="9" xfId="0" applyNumberFormat="1" applyFont="1" applyFill="1" applyBorder="1" applyAlignment="1">
      <alignment horizontal="right" vertical="center"/>
    </xf>
    <xf numFmtId="0" fontId="12" fillId="8" borderId="1" xfId="0" applyFont="1" applyFill="1" applyBorder="1">
      <alignment vertical="center"/>
    </xf>
    <xf numFmtId="177" fontId="13" fillId="8" borderId="2" xfId="0" applyNumberFormat="1" applyFont="1" applyFill="1" applyBorder="1">
      <alignment vertical="center"/>
    </xf>
    <xf numFmtId="177" fontId="13" fillId="8" borderId="3" xfId="0" applyNumberFormat="1" applyFont="1" applyFill="1" applyBorder="1">
      <alignment vertical="center"/>
    </xf>
    <xf numFmtId="0" fontId="8" fillId="8" borderId="1" xfId="0" applyFont="1" applyFill="1" applyBorder="1">
      <alignment vertical="center"/>
    </xf>
    <xf numFmtId="176" fontId="11" fillId="8" borderId="2" xfId="0" applyNumberFormat="1" applyFont="1" applyFill="1" applyBorder="1" applyAlignment="1">
      <alignment horizontal="right" vertical="center"/>
    </xf>
    <xf numFmtId="176" fontId="11" fillId="8" borderId="3" xfId="0" applyNumberFormat="1" applyFont="1" applyFill="1" applyBorder="1" applyAlignment="1">
      <alignment horizontal="right" vertical="center"/>
    </xf>
    <xf numFmtId="0" fontId="14" fillId="8" borderId="4" xfId="0" applyFont="1" applyFill="1" applyBorder="1" applyAlignment="1">
      <alignment horizontal="left" vertical="center" indent="1"/>
    </xf>
    <xf numFmtId="176" fontId="10" fillId="8" borderId="5" xfId="0" applyNumberFormat="1" applyFont="1" applyFill="1" applyBorder="1">
      <alignment vertical="center"/>
    </xf>
    <xf numFmtId="176" fontId="10" fillId="8" borderId="6" xfId="0" applyNumberFormat="1" applyFont="1" applyFill="1" applyBorder="1">
      <alignment vertical="center"/>
    </xf>
    <xf numFmtId="0" fontId="14" fillId="8" borderId="10" xfId="0" applyFont="1" applyFill="1" applyBorder="1" applyAlignment="1">
      <alignment horizontal="left" vertical="center" indent="1"/>
    </xf>
    <xf numFmtId="176" fontId="10" fillId="8" borderId="0" xfId="0" applyNumberFormat="1" applyFont="1" applyFill="1">
      <alignment vertical="center"/>
    </xf>
    <xf numFmtId="176" fontId="10" fillId="8" borderId="11" xfId="0" applyNumberFormat="1" applyFont="1" applyFill="1" applyBorder="1">
      <alignment vertical="center"/>
    </xf>
    <xf numFmtId="0" fontId="14" fillId="8" borderId="7" xfId="0" applyFont="1" applyFill="1" applyBorder="1" applyAlignment="1">
      <alignment horizontal="left" vertical="center" indent="1"/>
    </xf>
    <xf numFmtId="176" fontId="10" fillId="8" borderId="8" xfId="0" applyNumberFormat="1" applyFont="1" applyFill="1" applyBorder="1">
      <alignment vertical="center"/>
    </xf>
    <xf numFmtId="176" fontId="10" fillId="8" borderId="9" xfId="0" applyNumberFormat="1" applyFont="1" applyFill="1" applyBorder="1">
      <alignment vertical="center"/>
    </xf>
    <xf numFmtId="0" fontId="8" fillId="8" borderId="15" xfId="0" applyFont="1" applyFill="1" applyBorder="1">
      <alignment vertical="center"/>
    </xf>
    <xf numFmtId="176" fontId="11" fillId="8" borderId="16" xfId="0" applyNumberFormat="1" applyFont="1" applyFill="1" applyBorder="1" applyAlignment="1">
      <alignment horizontal="right" vertical="center"/>
    </xf>
    <xf numFmtId="176" fontId="11" fillId="8" borderId="17" xfId="0" applyNumberFormat="1" applyFont="1" applyFill="1" applyBorder="1" applyAlignment="1">
      <alignment horizontal="right" vertical="center"/>
    </xf>
    <xf numFmtId="0" fontId="6" fillId="8" borderId="0" xfId="0" applyFont="1" applyFill="1">
      <alignment vertical="center"/>
    </xf>
    <xf numFmtId="0" fontId="0" fillId="0" borderId="0" xfId="0" applyAlignment="1">
      <alignment horizontal="left" vertical="top"/>
    </xf>
    <xf numFmtId="0" fontId="17" fillId="0" borderId="0" xfId="7" applyFont="1">
      <alignment vertical="center"/>
    </xf>
    <xf numFmtId="0" fontId="14" fillId="0" borderId="0" xfId="7" applyFont="1">
      <alignment vertical="center"/>
    </xf>
    <xf numFmtId="0" fontId="20" fillId="4" borderId="65" xfId="7" applyFont="1" applyFill="1" applyBorder="1" applyAlignment="1">
      <alignment horizontal="left" vertical="center"/>
    </xf>
    <xf numFmtId="0" fontId="20" fillId="4" borderId="48" xfId="7" applyFont="1" applyFill="1" applyBorder="1" applyAlignment="1">
      <alignment horizontal="left" vertical="center" wrapText="1"/>
    </xf>
    <xf numFmtId="0" fontId="20" fillId="4" borderId="66" xfId="7" applyFont="1" applyFill="1" applyBorder="1" applyAlignment="1">
      <alignment horizontal="left" vertical="center"/>
    </xf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horizontal="center" vertical="center" wrapText="1"/>
    </xf>
    <xf numFmtId="0" fontId="14" fillId="0" borderId="0" xfId="7" applyFont="1" applyAlignment="1">
      <alignment horizontal="center" vertical="center" shrinkToFit="1"/>
    </xf>
    <xf numFmtId="41" fontId="14" fillId="0" borderId="0" xfId="9" applyFont="1">
      <alignment vertical="center"/>
    </xf>
    <xf numFmtId="0" fontId="10" fillId="0" borderId="0" xfId="10" applyFont="1">
      <alignment vertical="center"/>
    </xf>
    <xf numFmtId="3" fontId="10" fillId="0" borderId="0" xfId="10" applyNumberFormat="1" applyFont="1">
      <alignment vertical="center"/>
    </xf>
    <xf numFmtId="0" fontId="11" fillId="0" borderId="86" xfId="10" applyFont="1" applyBorder="1">
      <alignment vertical="center"/>
    </xf>
    <xf numFmtId="0" fontId="11" fillId="0" borderId="86" xfId="10" applyFont="1" applyBorder="1" applyAlignment="1">
      <alignment horizontal="center" vertical="center"/>
    </xf>
    <xf numFmtId="187" fontId="11" fillId="5" borderId="86" xfId="10" applyNumberFormat="1" applyFont="1" applyFill="1" applyBorder="1">
      <alignment vertical="center"/>
    </xf>
    <xf numFmtId="187" fontId="11" fillId="0" borderId="86" xfId="10" applyNumberFormat="1" applyFont="1" applyBorder="1">
      <alignment vertical="center"/>
    </xf>
    <xf numFmtId="0" fontId="10" fillId="0" borderId="86" xfId="10" applyFont="1" applyBorder="1">
      <alignment vertical="center"/>
    </xf>
    <xf numFmtId="41" fontId="10" fillId="0" borderId="86" xfId="11" applyFont="1" applyBorder="1">
      <alignment vertical="center"/>
    </xf>
    <xf numFmtId="187" fontId="10" fillId="0" borderId="86" xfId="10" applyNumberFormat="1" applyFont="1" applyBorder="1">
      <alignment vertical="center"/>
    </xf>
    <xf numFmtId="187" fontId="32" fillId="0" borderId="86" xfId="11" applyNumberFormat="1" applyFont="1" applyBorder="1">
      <alignment vertical="center"/>
    </xf>
    <xf numFmtId="187" fontId="10" fillId="0" borderId="86" xfId="11" applyNumberFormat="1" applyFont="1" applyBorder="1">
      <alignment vertical="center"/>
    </xf>
    <xf numFmtId="41" fontId="25" fillId="0" borderId="86" xfId="11" applyFont="1" applyBorder="1">
      <alignment vertical="center"/>
    </xf>
    <xf numFmtId="41" fontId="10" fillId="0" borderId="0" xfId="11" applyFont="1">
      <alignment vertical="center"/>
    </xf>
    <xf numFmtId="187" fontId="10" fillId="0" borderId="0" xfId="10" applyNumberFormat="1" applyFont="1">
      <alignment vertical="center"/>
    </xf>
    <xf numFmtId="0" fontId="63" fillId="4" borderId="65" xfId="10" applyFont="1" applyFill="1" applyBorder="1" applyAlignment="1">
      <alignment horizontal="left" vertical="center"/>
    </xf>
    <xf numFmtId="0" fontId="63" fillId="4" borderId="48" xfId="10" applyFont="1" applyFill="1" applyBorder="1" applyAlignment="1">
      <alignment horizontal="left" vertical="center"/>
    </xf>
    <xf numFmtId="0" fontId="63" fillId="4" borderId="66" xfId="10" applyFont="1" applyFill="1" applyBorder="1" applyAlignment="1">
      <alignment horizontal="left" vertical="center"/>
    </xf>
    <xf numFmtId="0" fontId="63" fillId="4" borderId="50" xfId="10" applyFont="1" applyFill="1" applyBorder="1" applyAlignment="1">
      <alignment horizontal="left" vertical="center"/>
    </xf>
    <xf numFmtId="0" fontId="21" fillId="7" borderId="67" xfId="10" applyFont="1" applyFill="1" applyBorder="1" applyAlignment="1">
      <alignment horizontal="left" vertical="center"/>
    </xf>
    <xf numFmtId="0" fontId="21" fillId="7" borderId="31" xfId="10" applyFont="1" applyFill="1" applyBorder="1" applyAlignment="1">
      <alignment horizontal="right" vertical="center"/>
    </xf>
    <xf numFmtId="187" fontId="21" fillId="7" borderId="31" xfId="10" applyNumberFormat="1" applyFont="1" applyFill="1" applyBorder="1" applyAlignment="1">
      <alignment horizontal="right" vertical="center"/>
    </xf>
    <xf numFmtId="0" fontId="21" fillId="7" borderId="48" xfId="10" applyFont="1" applyFill="1" applyBorder="1" applyAlignment="1">
      <alignment horizontal="right" vertical="center"/>
    </xf>
    <xf numFmtId="0" fontId="21" fillId="7" borderId="66" xfId="10" applyFont="1" applyFill="1" applyBorder="1" applyAlignment="1">
      <alignment horizontal="right" vertical="center"/>
    </xf>
    <xf numFmtId="0" fontId="21" fillId="7" borderId="69" xfId="10" applyFont="1" applyFill="1" applyBorder="1" applyAlignment="1">
      <alignment horizontal="left" vertical="center"/>
    </xf>
    <xf numFmtId="3" fontId="21" fillId="7" borderId="24" xfId="10" applyNumberFormat="1" applyFont="1" applyFill="1" applyBorder="1" applyAlignment="1">
      <alignment horizontal="right" vertical="center"/>
    </xf>
    <xf numFmtId="187" fontId="21" fillId="7" borderId="24" xfId="10" applyNumberFormat="1" applyFont="1" applyFill="1" applyBorder="1" applyAlignment="1">
      <alignment horizontal="right" vertical="center"/>
    </xf>
    <xf numFmtId="0" fontId="21" fillId="7" borderId="24" xfId="10" applyFont="1" applyFill="1" applyBorder="1" applyAlignment="1">
      <alignment horizontal="right" vertical="center"/>
    </xf>
    <xf numFmtId="0" fontId="21" fillId="7" borderId="23" xfId="10" applyFont="1" applyFill="1" applyBorder="1" applyAlignment="1">
      <alignment horizontal="right" vertical="center"/>
    </xf>
    <xf numFmtId="3" fontId="37" fillId="7" borderId="54" xfId="10" applyNumberFormat="1" applyFont="1" applyFill="1" applyBorder="1" applyAlignment="1">
      <alignment horizontal="left" vertical="center"/>
    </xf>
    <xf numFmtId="185" fontId="37" fillId="7" borderId="0" xfId="10" applyNumberFormat="1" applyFont="1" applyFill="1" applyAlignment="1">
      <alignment horizontal="right" vertical="center"/>
    </xf>
    <xf numFmtId="185" fontId="37" fillId="7" borderId="55" xfId="10" applyNumberFormat="1" applyFont="1" applyFill="1" applyBorder="1" applyAlignment="1">
      <alignment horizontal="right" vertical="center"/>
    </xf>
    <xf numFmtId="3" fontId="32" fillId="7" borderId="54" xfId="10" applyNumberFormat="1" applyFont="1" applyFill="1" applyBorder="1" applyAlignment="1">
      <alignment horizontal="left" vertical="center"/>
    </xf>
    <xf numFmtId="185" fontId="32" fillId="7" borderId="0" xfId="10" applyNumberFormat="1" applyFont="1" applyFill="1" applyAlignment="1">
      <alignment horizontal="right" vertical="center"/>
    </xf>
    <xf numFmtId="185" fontId="32" fillId="7" borderId="55" xfId="10" applyNumberFormat="1" applyFont="1" applyFill="1" applyBorder="1" applyAlignment="1">
      <alignment horizontal="right" vertical="center"/>
    </xf>
    <xf numFmtId="3" fontId="32" fillId="7" borderId="51" xfId="10" applyNumberFormat="1" applyFont="1" applyFill="1" applyBorder="1" applyAlignment="1">
      <alignment horizontal="left" vertical="center"/>
    </xf>
    <xf numFmtId="185" fontId="32" fillId="7" borderId="52" xfId="10" applyNumberFormat="1" applyFont="1" applyFill="1" applyBorder="1" applyAlignment="1">
      <alignment horizontal="right" vertical="center"/>
    </xf>
    <xf numFmtId="185" fontId="32" fillId="7" borderId="53" xfId="10" applyNumberFormat="1" applyFont="1" applyFill="1" applyBorder="1" applyAlignment="1">
      <alignment horizontal="right" vertical="center"/>
    </xf>
    <xf numFmtId="179" fontId="10" fillId="0" borderId="0" xfId="10" applyNumberFormat="1" applyFont="1">
      <alignment vertical="center"/>
    </xf>
    <xf numFmtId="179" fontId="32" fillId="0" borderId="0" xfId="11" applyNumberFormat="1" applyFont="1" applyBorder="1">
      <alignment vertical="center"/>
    </xf>
    <xf numFmtId="178" fontId="10" fillId="0" borderId="0" xfId="12" applyNumberFormat="1" applyFont="1">
      <alignment vertical="center"/>
    </xf>
    <xf numFmtId="0" fontId="68" fillId="2" borderId="1" xfId="10" applyFont="1" applyFill="1" applyBorder="1">
      <alignment vertical="center"/>
    </xf>
    <xf numFmtId="0" fontId="70" fillId="2" borderId="2" xfId="10" applyFont="1" applyFill="1" applyBorder="1">
      <alignment vertical="center"/>
    </xf>
    <xf numFmtId="0" fontId="70" fillId="2" borderId="3" xfId="10" applyFont="1" applyFill="1" applyBorder="1">
      <alignment vertical="center"/>
    </xf>
    <xf numFmtId="0" fontId="11" fillId="0" borderId="4" xfId="10" applyFont="1" applyBorder="1">
      <alignment vertical="center"/>
    </xf>
    <xf numFmtId="0" fontId="11" fillId="0" borderId="5" xfId="10" applyFont="1" applyBorder="1">
      <alignment vertical="center"/>
    </xf>
    <xf numFmtId="0" fontId="11" fillId="0" borderId="5" xfId="10" applyFont="1" applyBorder="1" applyAlignment="1">
      <alignment horizontal="right" vertical="center"/>
    </xf>
    <xf numFmtId="0" fontId="11" fillId="0" borderId="6" xfId="10" applyFont="1" applyBorder="1" applyAlignment="1">
      <alignment horizontal="right" vertical="center"/>
    </xf>
    <xf numFmtId="0" fontId="11" fillId="0" borderId="7" xfId="10" applyFont="1" applyBorder="1">
      <alignment vertical="center"/>
    </xf>
    <xf numFmtId="0" fontId="11" fillId="0" borderId="8" xfId="10" applyFont="1" applyBorder="1">
      <alignment vertical="center"/>
    </xf>
    <xf numFmtId="0" fontId="11" fillId="0" borderId="8" xfId="10" applyFont="1" applyBorder="1" applyAlignment="1">
      <alignment horizontal="right" vertical="center"/>
    </xf>
    <xf numFmtId="0" fontId="11" fillId="0" borderId="9" xfId="10" applyFont="1" applyBorder="1" applyAlignment="1">
      <alignment horizontal="right" vertical="center"/>
    </xf>
    <xf numFmtId="0" fontId="10" fillId="0" borderId="4" xfId="10" applyFont="1" applyBorder="1">
      <alignment vertical="center"/>
    </xf>
    <xf numFmtId="0" fontId="10" fillId="0" borderId="5" xfId="10" applyFont="1" applyBorder="1">
      <alignment vertical="center"/>
    </xf>
    <xf numFmtId="176" fontId="10" fillId="0" borderId="5" xfId="10" applyNumberFormat="1" applyFont="1" applyBorder="1" applyAlignment="1">
      <alignment horizontal="right" vertical="center"/>
    </xf>
    <xf numFmtId="176" fontId="10" fillId="0" borderId="6" xfId="10" applyNumberFormat="1" applyFont="1" applyBorder="1" applyAlignment="1">
      <alignment horizontal="right" vertical="center"/>
    </xf>
    <xf numFmtId="0" fontId="10" fillId="0" borderId="10" xfId="10" applyFont="1" applyBorder="1">
      <alignment vertical="center"/>
    </xf>
    <xf numFmtId="176" fontId="10" fillId="0" borderId="0" xfId="10" applyNumberFormat="1" applyFont="1" applyAlignment="1">
      <alignment horizontal="right" vertical="center"/>
    </xf>
    <xf numFmtId="176" fontId="10" fillId="0" borderId="11" xfId="10" applyNumberFormat="1" applyFont="1" applyBorder="1" applyAlignment="1">
      <alignment horizontal="right" vertical="center"/>
    </xf>
    <xf numFmtId="0" fontId="11" fillId="0" borderId="2" xfId="10" applyFont="1" applyBorder="1">
      <alignment vertical="center"/>
    </xf>
    <xf numFmtId="176" fontId="11" fillId="0" borderId="2" xfId="10" applyNumberFormat="1" applyFont="1" applyBorder="1" applyAlignment="1">
      <alignment horizontal="right" vertical="center"/>
    </xf>
    <xf numFmtId="176" fontId="11" fillId="0" borderId="3" xfId="10" applyNumberFormat="1" applyFont="1" applyBorder="1" applyAlignment="1">
      <alignment horizontal="right" vertical="center"/>
    </xf>
    <xf numFmtId="0" fontId="10" fillId="0" borderId="15" xfId="10" applyFont="1" applyBorder="1">
      <alignment vertical="center"/>
    </xf>
    <xf numFmtId="0" fontId="11" fillId="0" borderId="13" xfId="10" applyFont="1" applyBorder="1">
      <alignment vertical="center"/>
    </xf>
    <xf numFmtId="176" fontId="11" fillId="0" borderId="13" xfId="10" applyNumberFormat="1" applyFont="1" applyBorder="1" applyAlignment="1">
      <alignment horizontal="right" vertical="center"/>
    </xf>
    <xf numFmtId="176" fontId="11" fillId="0" borderId="14" xfId="10" applyNumberFormat="1" applyFont="1" applyBorder="1" applyAlignment="1">
      <alignment horizontal="right" vertical="center"/>
    </xf>
    <xf numFmtId="43" fontId="10" fillId="0" borderId="86" xfId="11" applyNumberFormat="1" applyFont="1" applyBorder="1">
      <alignment vertical="center"/>
    </xf>
    <xf numFmtId="0" fontId="63" fillId="4" borderId="32" xfId="13" applyFont="1" applyFill="1" applyBorder="1" applyAlignment="1">
      <alignment horizontal="left" vertical="center"/>
    </xf>
    <xf numFmtId="0" fontId="63" fillId="4" borderId="31" xfId="13" applyFont="1" applyFill="1" applyBorder="1" applyAlignment="1">
      <alignment horizontal="left" vertical="center"/>
    </xf>
    <xf numFmtId="0" fontId="63" fillId="4" borderId="30" xfId="13" applyFont="1" applyFill="1" applyBorder="1" applyAlignment="1">
      <alignment horizontal="left" vertical="center"/>
    </xf>
    <xf numFmtId="0" fontId="39" fillId="0" borderId="0" xfId="13"/>
    <xf numFmtId="0" fontId="7" fillId="7" borderId="22" xfId="13" applyFont="1" applyFill="1" applyBorder="1" applyAlignment="1">
      <alignment horizontal="left" vertical="center"/>
    </xf>
    <xf numFmtId="0" fontId="7" fillId="7" borderId="0" xfId="13" applyFont="1" applyFill="1" applyAlignment="1">
      <alignment horizontal="center" vertical="center"/>
    </xf>
    <xf numFmtId="0" fontId="7" fillId="7" borderId="26" xfId="13" applyFont="1" applyFill="1" applyBorder="1" applyAlignment="1">
      <alignment horizontal="center" vertical="center"/>
    </xf>
    <xf numFmtId="0" fontId="28" fillId="7" borderId="87" xfId="13" applyFont="1" applyFill="1" applyBorder="1" applyAlignment="1">
      <alignment horizontal="left" vertical="center"/>
    </xf>
    <xf numFmtId="0" fontId="28" fillId="7" borderId="88" xfId="13" applyFont="1" applyFill="1" applyBorder="1" applyAlignment="1">
      <alignment horizontal="left" vertical="center"/>
    </xf>
    <xf numFmtId="0" fontId="28" fillId="7" borderId="88" xfId="13" applyFont="1" applyFill="1" applyBorder="1" applyAlignment="1">
      <alignment horizontal="right" vertical="center"/>
    </xf>
    <xf numFmtId="0" fontId="28" fillId="7" borderId="88" xfId="13" applyFont="1" applyFill="1" applyBorder="1" applyAlignment="1">
      <alignment horizontal="center" vertical="center"/>
    </xf>
    <xf numFmtId="0" fontId="28" fillId="7" borderId="89" xfId="13" applyFont="1" applyFill="1" applyBorder="1" applyAlignment="1">
      <alignment horizontal="left" vertical="center"/>
    </xf>
    <xf numFmtId="0" fontId="28" fillId="7" borderId="22" xfId="13" applyFont="1" applyFill="1" applyBorder="1" applyAlignment="1">
      <alignment horizontal="left" vertical="center"/>
    </xf>
    <xf numFmtId="0" fontId="28" fillId="7" borderId="0" xfId="13" applyFont="1" applyFill="1" applyAlignment="1">
      <alignment horizontal="left" vertical="center"/>
    </xf>
    <xf numFmtId="0" fontId="28" fillId="7" borderId="90" xfId="13" applyFont="1" applyFill="1" applyBorder="1" applyAlignment="1">
      <alignment vertical="center"/>
    </xf>
    <xf numFmtId="0" fontId="28" fillId="7" borderId="26" xfId="13" applyFont="1" applyFill="1" applyBorder="1" applyAlignment="1">
      <alignment horizontal="left" vertical="center"/>
    </xf>
    <xf numFmtId="0" fontId="28" fillId="7" borderId="0" xfId="13" applyFont="1" applyFill="1" applyAlignment="1">
      <alignment vertical="center"/>
    </xf>
    <xf numFmtId="0" fontId="28" fillId="7" borderId="24" xfId="13" applyFont="1" applyFill="1" applyBorder="1" applyAlignment="1">
      <alignment vertical="center"/>
    </xf>
    <xf numFmtId="0" fontId="14" fillId="7" borderId="91" xfId="13" applyFont="1" applyFill="1" applyBorder="1" applyAlignment="1">
      <alignment horizontal="left" vertical="center" wrapText="1"/>
    </xf>
    <xf numFmtId="0" fontId="14" fillId="7" borderId="92" xfId="13" applyFont="1" applyFill="1" applyBorder="1" applyAlignment="1">
      <alignment horizontal="left" vertical="center" wrapText="1"/>
    </xf>
    <xf numFmtId="0" fontId="28" fillId="7" borderId="92" xfId="13" applyFont="1" applyFill="1" applyBorder="1" applyAlignment="1">
      <alignment horizontal="left" vertical="center"/>
    </xf>
    <xf numFmtId="0" fontId="14" fillId="7" borderId="92" xfId="13" applyFont="1" applyFill="1" applyBorder="1" applyAlignment="1">
      <alignment horizontal="center" vertical="center" wrapText="1"/>
    </xf>
    <xf numFmtId="0" fontId="14" fillId="7" borderId="93" xfId="13" applyFont="1" applyFill="1" applyBorder="1" applyAlignment="1">
      <alignment horizontal="left" vertical="center" wrapText="1"/>
    </xf>
    <xf numFmtId="0" fontId="83" fillId="4" borderId="32" xfId="13" applyFont="1" applyFill="1" applyBorder="1" applyAlignment="1">
      <alignment horizontal="left" vertical="center"/>
    </xf>
    <xf numFmtId="0" fontId="7" fillId="7" borderId="25" xfId="13" applyFont="1" applyFill="1" applyBorder="1" applyAlignment="1">
      <alignment horizontal="center" vertical="center"/>
    </xf>
    <xf numFmtId="0" fontId="7" fillId="7" borderId="24" xfId="13" applyFont="1" applyFill="1" applyBorder="1" applyAlignment="1">
      <alignment horizontal="center" vertical="center"/>
    </xf>
    <xf numFmtId="0" fontId="7" fillId="7" borderId="23" xfId="13" applyFont="1" applyFill="1" applyBorder="1" applyAlignment="1">
      <alignment horizontal="center" vertical="center"/>
    </xf>
    <xf numFmtId="188" fontId="28" fillId="7" borderId="26" xfId="13" applyNumberFormat="1" applyFont="1" applyFill="1" applyBorder="1" applyAlignment="1">
      <alignment horizontal="right" vertical="center"/>
    </xf>
    <xf numFmtId="0" fontId="28" fillId="7" borderId="94" xfId="13" applyFont="1" applyFill="1" applyBorder="1" applyAlignment="1">
      <alignment horizontal="left" vertical="center"/>
    </xf>
    <xf numFmtId="0" fontId="28" fillId="7" borderId="95" xfId="13" applyFont="1" applyFill="1" applyBorder="1" applyAlignment="1">
      <alignment horizontal="left" vertical="center"/>
    </xf>
    <xf numFmtId="0" fontId="28" fillId="7" borderId="95" xfId="13" applyFont="1" applyFill="1" applyBorder="1" applyAlignment="1">
      <alignment horizontal="center" vertical="center"/>
    </xf>
    <xf numFmtId="188" fontId="28" fillId="7" borderId="96" xfId="13" applyNumberFormat="1" applyFont="1" applyFill="1" applyBorder="1" applyAlignment="1">
      <alignment horizontal="right" vertical="center"/>
    </xf>
    <xf numFmtId="0" fontId="28" fillId="7" borderId="97" xfId="13" applyFont="1" applyFill="1" applyBorder="1" applyAlignment="1">
      <alignment horizontal="left" vertical="center"/>
    </xf>
    <xf numFmtId="0" fontId="28" fillId="7" borderId="98" xfId="13" applyFont="1" applyFill="1" applyBorder="1" applyAlignment="1">
      <alignment horizontal="left" vertical="center"/>
    </xf>
    <xf numFmtId="0" fontId="28" fillId="7" borderId="98" xfId="13" applyFont="1" applyFill="1" applyBorder="1" applyAlignment="1">
      <alignment horizontal="center" vertical="center"/>
    </xf>
    <xf numFmtId="188" fontId="28" fillId="7" borderId="99" xfId="13" applyNumberFormat="1" applyFont="1" applyFill="1" applyBorder="1" applyAlignment="1">
      <alignment horizontal="right" vertical="center"/>
    </xf>
    <xf numFmtId="0" fontId="20" fillId="4" borderId="32" xfId="13" applyFont="1" applyFill="1" applyBorder="1" applyAlignment="1">
      <alignment horizontal="left" vertical="center"/>
    </xf>
    <xf numFmtId="185" fontId="14" fillId="7" borderId="92" xfId="13" applyNumberFormat="1" applyFont="1" applyFill="1" applyBorder="1" applyAlignment="1">
      <alignment horizontal="right" vertical="center" wrapText="1"/>
    </xf>
    <xf numFmtId="185" fontId="14" fillId="7" borderId="92" xfId="13" applyNumberFormat="1" applyFont="1" applyFill="1" applyBorder="1" applyAlignment="1">
      <alignment horizontal="left" vertical="center" wrapText="1"/>
    </xf>
    <xf numFmtId="186" fontId="28" fillId="7" borderId="0" xfId="13" applyNumberFormat="1" applyFont="1" applyFill="1" applyAlignment="1">
      <alignment horizontal="right" vertical="center"/>
    </xf>
    <xf numFmtId="178" fontId="84" fillId="7" borderId="31" xfId="2" applyNumberFormat="1" applyFont="1" applyFill="1" applyBorder="1" applyAlignment="1">
      <alignment vertical="center"/>
    </xf>
    <xf numFmtId="185" fontId="28" fillId="7" borderId="31" xfId="13" applyNumberFormat="1" applyFont="1" applyFill="1" applyBorder="1" applyAlignment="1">
      <alignment vertical="center"/>
    </xf>
    <xf numFmtId="185" fontId="28" fillId="7" borderId="30" xfId="13" applyNumberFormat="1" applyFont="1" applyFill="1" applyBorder="1" applyAlignment="1">
      <alignment vertical="center"/>
    </xf>
    <xf numFmtId="178" fontId="84" fillId="7" borderId="0" xfId="2" applyNumberFormat="1" applyFont="1" applyFill="1" applyBorder="1" applyAlignment="1">
      <alignment vertical="center"/>
    </xf>
    <xf numFmtId="185" fontId="28" fillId="7" borderId="0" xfId="13" applyNumberFormat="1" applyFont="1" applyFill="1" applyAlignment="1">
      <alignment vertical="center"/>
    </xf>
    <xf numFmtId="185" fontId="28" fillId="7" borderId="26" xfId="13" applyNumberFormat="1" applyFont="1" applyFill="1" applyBorder="1" applyAlignment="1">
      <alignment vertical="center"/>
    </xf>
    <xf numFmtId="186" fontId="14" fillId="7" borderId="92" xfId="13" applyNumberFormat="1" applyFont="1" applyFill="1" applyBorder="1" applyAlignment="1">
      <alignment horizontal="right" vertical="center" wrapText="1"/>
    </xf>
    <xf numFmtId="185" fontId="28" fillId="7" borderId="92" xfId="13" applyNumberFormat="1" applyFont="1" applyFill="1" applyBorder="1" applyAlignment="1">
      <alignment horizontal="right" vertical="center"/>
    </xf>
    <xf numFmtId="185" fontId="14" fillId="7" borderId="93" xfId="13" applyNumberFormat="1" applyFont="1" applyFill="1" applyBorder="1" applyAlignment="1">
      <alignment horizontal="right" vertical="center" wrapText="1"/>
    </xf>
    <xf numFmtId="0" fontId="17" fillId="7" borderId="35" xfId="8" applyFont="1" applyFill="1" applyBorder="1" applyAlignment="1">
      <alignment horizontal="center" vertical="center" wrapText="1"/>
    </xf>
    <xf numFmtId="0" fontId="17" fillId="7" borderId="34" xfId="8" applyFont="1" applyFill="1" applyBorder="1" applyAlignment="1">
      <alignment horizontal="center" vertical="center" wrapText="1"/>
    </xf>
    <xf numFmtId="0" fontId="17" fillId="7" borderId="33" xfId="8" applyFont="1" applyFill="1" applyBorder="1" applyAlignment="1">
      <alignment horizontal="center" vertical="center" wrapText="1"/>
    </xf>
    <xf numFmtId="0" fontId="14" fillId="7" borderId="100" xfId="7" applyFont="1" applyFill="1" applyBorder="1" applyAlignment="1">
      <alignment horizontal="left" vertical="center" wrapText="1"/>
    </xf>
    <xf numFmtId="0" fontId="14" fillId="7" borderId="101" xfId="7" applyFont="1" applyFill="1" applyBorder="1" applyAlignment="1">
      <alignment horizontal="center" vertical="center" wrapText="1"/>
    </xf>
    <xf numFmtId="0" fontId="14" fillId="7" borderId="102" xfId="7" applyFont="1" applyFill="1" applyBorder="1" applyAlignment="1">
      <alignment horizontal="left" vertical="center" wrapText="1"/>
    </xf>
    <xf numFmtId="0" fontId="14" fillId="7" borderId="103" xfId="7" applyFont="1" applyFill="1" applyBorder="1" applyAlignment="1">
      <alignment horizontal="left" vertical="center" wrapText="1"/>
    </xf>
    <xf numFmtId="0" fontId="14" fillId="7" borderId="104" xfId="7" applyFont="1" applyFill="1" applyBorder="1" applyAlignment="1">
      <alignment horizontal="center" vertical="center" wrapText="1"/>
    </xf>
    <xf numFmtId="0" fontId="14" fillId="7" borderId="105" xfId="7" applyFont="1" applyFill="1" applyBorder="1" applyAlignment="1">
      <alignment horizontal="left" vertical="center" wrapText="1"/>
    </xf>
    <xf numFmtId="0" fontId="14" fillId="7" borderId="106" xfId="7" applyFont="1" applyFill="1" applyBorder="1" applyAlignment="1">
      <alignment horizontal="left" vertical="center" wrapText="1"/>
    </xf>
    <xf numFmtId="0" fontId="14" fillId="7" borderId="107" xfId="7" applyFont="1" applyFill="1" applyBorder="1" applyAlignment="1">
      <alignment horizontal="center" vertical="center" wrapText="1"/>
    </xf>
    <xf numFmtId="0" fontId="14" fillId="7" borderId="108" xfId="7" applyFont="1" applyFill="1" applyBorder="1" applyAlignment="1">
      <alignment horizontal="left" vertical="center" wrapText="1"/>
    </xf>
    <xf numFmtId="0" fontId="63" fillId="4" borderId="35" xfId="0" applyFont="1" applyFill="1" applyBorder="1" applyAlignment="1">
      <alignment horizontal="left" vertical="center"/>
    </xf>
    <xf numFmtId="0" fontId="63" fillId="4" borderId="33" xfId="0" applyFont="1" applyFill="1" applyBorder="1" applyAlignment="1">
      <alignment horizontal="left" vertical="center"/>
    </xf>
    <xf numFmtId="0" fontId="37" fillId="7" borderId="22" xfId="0" applyFont="1" applyFill="1" applyBorder="1" applyAlignment="1">
      <alignment horizontal="center" vertical="top"/>
    </xf>
    <xf numFmtId="0" fontId="32" fillId="7" borderId="43" xfId="0" applyFont="1" applyFill="1" applyBorder="1" applyAlignment="1">
      <alignment horizontal="left" vertical="center"/>
    </xf>
    <xf numFmtId="0" fontId="32" fillId="7" borderId="44" xfId="0" applyFont="1" applyFill="1" applyBorder="1" applyAlignment="1">
      <alignment horizontal="left" vertical="center"/>
    </xf>
    <xf numFmtId="0" fontId="37" fillId="7" borderId="29" xfId="0" applyFont="1" applyFill="1" applyBorder="1" applyAlignment="1">
      <alignment horizontal="center" vertical="center"/>
    </xf>
    <xf numFmtId="0" fontId="32" fillId="7" borderId="109" xfId="0" applyFont="1" applyFill="1" applyBorder="1" applyAlignment="1">
      <alignment horizontal="left" vertical="center" wrapText="1"/>
    </xf>
    <xf numFmtId="0" fontId="14" fillId="7" borderId="40" xfId="13" applyFont="1" applyFill="1" applyBorder="1" applyAlignment="1">
      <alignment horizontal="left" vertical="center" wrapText="1"/>
    </xf>
    <xf numFmtId="0" fontId="14" fillId="7" borderId="39" xfId="13" applyFont="1" applyFill="1" applyBorder="1" applyAlignment="1">
      <alignment horizontal="left" vertical="center" wrapText="1"/>
    </xf>
    <xf numFmtId="0" fontId="28" fillId="7" borderId="39" xfId="13" applyFont="1" applyFill="1" applyBorder="1" applyAlignment="1">
      <alignment horizontal="left" vertical="center"/>
    </xf>
    <xf numFmtId="0" fontId="14" fillId="7" borderId="39" xfId="13" applyFont="1" applyFill="1" applyBorder="1" applyAlignment="1">
      <alignment horizontal="center" vertical="center" wrapText="1"/>
    </xf>
    <xf numFmtId="188" fontId="14" fillId="7" borderId="38" xfId="13" applyNumberFormat="1" applyFont="1" applyFill="1" applyBorder="1" applyAlignment="1">
      <alignment horizontal="right" vertical="center" wrapText="1"/>
    </xf>
    <xf numFmtId="0" fontId="8" fillId="0" borderId="10" xfId="0" applyFont="1" applyBorder="1">
      <alignment vertical="center"/>
    </xf>
    <xf numFmtId="185" fontId="14" fillId="7" borderId="39" xfId="13" applyNumberFormat="1" applyFont="1" applyFill="1" applyBorder="1" applyAlignment="1">
      <alignment horizontal="right" vertical="center" wrapText="1"/>
    </xf>
    <xf numFmtId="185" fontId="14" fillId="7" borderId="39" xfId="13" applyNumberFormat="1" applyFont="1" applyFill="1" applyBorder="1" applyAlignment="1">
      <alignment horizontal="left" vertical="center" wrapText="1"/>
    </xf>
    <xf numFmtId="185" fontId="14" fillId="7" borderId="39" xfId="13" applyNumberFormat="1" applyFont="1" applyFill="1" applyBorder="1" applyAlignment="1">
      <alignment horizontal="center" vertical="center" wrapText="1"/>
    </xf>
    <xf numFmtId="0" fontId="20" fillId="4" borderId="32" xfId="0" applyFont="1" applyFill="1" applyBorder="1" applyAlignment="1">
      <alignment horizontal="left" vertical="center"/>
    </xf>
    <xf numFmtId="0" fontId="20" fillId="4" borderId="30" xfId="0" applyFont="1" applyFill="1" applyBorder="1" applyAlignment="1">
      <alignment horizontal="left" vertical="center"/>
    </xf>
    <xf numFmtId="31" fontId="14" fillId="7" borderId="26" xfId="0" applyNumberFormat="1" applyFont="1" applyFill="1" applyBorder="1" applyAlignment="1">
      <alignment horizontal="left" vertical="center"/>
    </xf>
    <xf numFmtId="0" fontId="14" fillId="7" borderId="26" xfId="0" applyFont="1" applyFill="1" applyBorder="1" applyAlignment="1">
      <alignment horizontal="left" vertical="center" wrapText="1"/>
    </xf>
    <xf numFmtId="0" fontId="14" fillId="7" borderId="26" xfId="0" applyFont="1" applyFill="1" applyBorder="1" applyAlignment="1">
      <alignment horizontal="left" vertical="center"/>
    </xf>
    <xf numFmtId="0" fontId="14" fillId="7" borderId="27" xfId="0" applyFont="1" applyFill="1" applyBorder="1" applyAlignment="1">
      <alignment horizontal="left" vertical="center"/>
    </xf>
    <xf numFmtId="0" fontId="17" fillId="7" borderId="44" xfId="0" applyFont="1" applyFill="1" applyBorder="1" applyAlignment="1">
      <alignment horizontal="left" vertical="center"/>
    </xf>
    <xf numFmtId="0" fontId="17" fillId="7" borderId="44" xfId="0" applyFont="1" applyFill="1" applyBorder="1" applyAlignment="1">
      <alignment horizontal="left" vertical="top"/>
    </xf>
    <xf numFmtId="0" fontId="17" fillId="7" borderId="109" xfId="0" applyFont="1" applyFill="1" applyBorder="1" applyAlignment="1">
      <alignment horizontal="left" vertical="center"/>
    </xf>
    <xf numFmtId="176" fontId="32" fillId="8" borderId="31" xfId="3" applyNumberFormat="1" applyFont="1" applyFill="1" applyBorder="1" applyAlignment="1">
      <alignment vertical="center"/>
    </xf>
    <xf numFmtId="178" fontId="6" fillId="0" borderId="0" xfId="2" applyNumberFormat="1" applyFont="1" applyBorder="1">
      <alignment vertical="center"/>
    </xf>
    <xf numFmtId="178" fontId="41" fillId="7" borderId="0" xfId="2" applyNumberFormat="1" applyFont="1" applyFill="1" applyBorder="1" applyAlignment="1">
      <alignment horizontal="right" vertical="center"/>
    </xf>
    <xf numFmtId="178" fontId="41" fillId="7" borderId="55" xfId="2" applyNumberFormat="1" applyFont="1" applyFill="1" applyBorder="1" applyAlignment="1">
      <alignment horizontal="right" vertical="center"/>
    </xf>
    <xf numFmtId="178" fontId="41" fillId="7" borderId="60" xfId="2" applyNumberFormat="1" applyFont="1" applyFill="1" applyBorder="1" applyAlignment="1">
      <alignment horizontal="right" vertical="center"/>
    </xf>
    <xf numFmtId="178" fontId="41" fillId="7" borderId="61" xfId="2" applyNumberFormat="1" applyFont="1" applyFill="1" applyBorder="1" applyAlignment="1">
      <alignment horizontal="right" vertical="center"/>
    </xf>
    <xf numFmtId="0" fontId="21" fillId="7" borderId="23" xfId="0" applyFont="1" applyFill="1" applyBorder="1" applyAlignment="1">
      <alignment horizontal="right"/>
    </xf>
    <xf numFmtId="0" fontId="62" fillId="7" borderId="54" xfId="0" applyFont="1" applyFill="1" applyBorder="1" applyAlignment="1">
      <alignment horizontal="left" vertical="center"/>
    </xf>
    <xf numFmtId="185" fontId="32" fillId="7" borderId="52" xfId="0" applyNumberFormat="1" applyFont="1" applyFill="1" applyBorder="1" applyAlignment="1">
      <alignment horizontal="right" vertical="center"/>
    </xf>
    <xf numFmtId="185" fontId="32" fillId="7" borderId="53" xfId="0" applyNumberFormat="1" applyFont="1" applyFill="1" applyBorder="1" applyAlignment="1">
      <alignment horizontal="right" vertical="center"/>
    </xf>
    <xf numFmtId="184" fontId="52" fillId="0" borderId="0" xfId="0" applyNumberFormat="1" applyFont="1" applyAlignment="1">
      <alignment horizontal="right" vertical="center"/>
    </xf>
    <xf numFmtId="0" fontId="56" fillId="7" borderId="0" xfId="0" applyFont="1" applyFill="1" applyAlignment="1">
      <alignment horizontal="left" vertical="center"/>
    </xf>
    <xf numFmtId="0" fontId="37" fillId="7" borderId="0" xfId="0" applyFont="1" applyFill="1" applyAlignment="1">
      <alignment horizontal="right" vertical="center"/>
    </xf>
    <xf numFmtId="0" fontId="37" fillId="7" borderId="55" xfId="0" applyFont="1" applyFill="1" applyBorder="1" applyAlignment="1">
      <alignment horizontal="right" vertical="center"/>
    </xf>
    <xf numFmtId="0" fontId="32" fillId="7" borderId="0" xfId="1" applyNumberFormat="1" applyFont="1" applyFill="1" applyBorder="1" applyAlignment="1">
      <alignment horizontal="right" vertical="center"/>
    </xf>
    <xf numFmtId="0" fontId="32" fillId="7" borderId="55" xfId="1" applyNumberFormat="1" applyFont="1" applyFill="1" applyBorder="1" applyAlignment="1">
      <alignment horizontal="right" vertical="center"/>
    </xf>
    <xf numFmtId="0" fontId="32" fillId="7" borderId="52" xfId="1" applyNumberFormat="1" applyFont="1" applyFill="1" applyBorder="1" applyAlignment="1">
      <alignment horizontal="right" vertical="center"/>
    </xf>
    <xf numFmtId="0" fontId="32" fillId="7" borderId="53" xfId="1" applyNumberFormat="1" applyFont="1" applyFill="1" applyBorder="1" applyAlignment="1">
      <alignment horizontal="right" vertical="center"/>
    </xf>
    <xf numFmtId="185" fontId="32" fillId="7" borderId="60" xfId="0" applyNumberFormat="1" applyFont="1" applyFill="1" applyBorder="1" applyAlignment="1">
      <alignment horizontal="right" vertical="center"/>
    </xf>
    <xf numFmtId="185" fontId="32" fillId="7" borderId="61" xfId="0" applyNumberFormat="1" applyFont="1" applyFill="1" applyBorder="1" applyAlignment="1">
      <alignment horizontal="right" vertical="center"/>
    </xf>
    <xf numFmtId="189" fontId="41" fillId="7" borderId="0" xfId="2" applyNumberFormat="1" applyFont="1" applyFill="1" applyBorder="1" applyAlignment="1">
      <alignment horizontal="right" vertical="center"/>
    </xf>
    <xf numFmtId="189" fontId="41" fillId="7" borderId="55" xfId="2" applyNumberFormat="1" applyFont="1" applyFill="1" applyBorder="1" applyAlignment="1">
      <alignment horizontal="right" vertical="center"/>
    </xf>
    <xf numFmtId="184" fontId="13" fillId="0" borderId="0" xfId="0" applyNumberFormat="1" applyFont="1" applyAlignment="1">
      <alignment horizontal="right" vertical="center"/>
    </xf>
    <xf numFmtId="0" fontId="61" fillId="8" borderId="0" xfId="0" applyFont="1" applyFill="1">
      <alignment vertical="center"/>
    </xf>
    <xf numFmtId="0" fontId="51" fillId="7" borderId="32" xfId="0" applyFont="1" applyFill="1" applyBorder="1" applyAlignment="1">
      <alignment horizontal="left"/>
    </xf>
    <xf numFmtId="0" fontId="51" fillId="7" borderId="30" xfId="0" applyFont="1" applyFill="1" applyBorder="1" applyAlignment="1">
      <alignment horizontal="right"/>
    </xf>
    <xf numFmtId="0" fontId="51" fillId="7" borderId="25" xfId="0" applyFont="1" applyFill="1" applyBorder="1" applyAlignment="1">
      <alignment horizontal="left"/>
    </xf>
    <xf numFmtId="0" fontId="51" fillId="7" borderId="23" xfId="0" applyFont="1" applyFill="1" applyBorder="1" applyAlignment="1">
      <alignment horizontal="right"/>
    </xf>
    <xf numFmtId="0" fontId="51" fillId="7" borderId="22" xfId="0" applyFont="1" applyFill="1" applyBorder="1" applyAlignment="1">
      <alignment horizontal="left"/>
    </xf>
    <xf numFmtId="0" fontId="51" fillId="7" borderId="0" xfId="0" applyFont="1" applyFill="1" applyAlignment="1">
      <alignment horizontal="right"/>
    </xf>
    <xf numFmtId="0" fontId="56" fillId="7" borderId="22" xfId="0" applyFont="1" applyFill="1" applyBorder="1" applyAlignment="1">
      <alignment horizontal="left" vertical="center" indent="1"/>
    </xf>
    <xf numFmtId="190" fontId="32" fillId="7" borderId="0" xfId="1" applyNumberFormat="1" applyFont="1" applyFill="1" applyBorder="1" applyAlignment="1">
      <alignment horizontal="right" vertical="center"/>
    </xf>
    <xf numFmtId="190" fontId="32" fillId="7" borderId="26" xfId="1" applyNumberFormat="1" applyFont="1" applyFill="1" applyBorder="1" applyAlignment="1">
      <alignment horizontal="right" vertical="center"/>
    </xf>
    <xf numFmtId="0" fontId="56" fillId="7" borderId="111" xfId="0" applyFont="1" applyFill="1" applyBorder="1" applyAlignment="1">
      <alignment horizontal="left" vertical="center"/>
    </xf>
    <xf numFmtId="191" fontId="32" fillId="7" borderId="112" xfId="0" applyNumberFormat="1" applyFont="1" applyFill="1" applyBorder="1" applyAlignment="1">
      <alignment horizontal="right" vertical="center"/>
    </xf>
    <xf numFmtId="191" fontId="32" fillId="7" borderId="113" xfId="0" applyNumberFormat="1" applyFont="1" applyFill="1" applyBorder="1" applyAlignment="1">
      <alignment horizontal="right" vertical="center"/>
    </xf>
    <xf numFmtId="0" fontId="56" fillId="7" borderId="22" xfId="0" applyFont="1" applyFill="1" applyBorder="1" applyAlignment="1">
      <alignment horizontal="left" vertical="center"/>
    </xf>
    <xf numFmtId="191" fontId="32" fillId="7" borderId="0" xfId="0" applyNumberFormat="1" applyFont="1" applyFill="1" applyAlignment="1">
      <alignment horizontal="right" vertical="center"/>
    </xf>
    <xf numFmtId="191" fontId="32" fillId="7" borderId="26" xfId="0" applyNumberFormat="1" applyFont="1" applyFill="1" applyBorder="1" applyAlignment="1">
      <alignment horizontal="right" vertical="center"/>
    </xf>
    <xf numFmtId="0" fontId="56" fillId="7" borderId="114" xfId="0" applyFont="1" applyFill="1" applyBorder="1" applyAlignment="1">
      <alignment horizontal="left" vertical="center"/>
    </xf>
    <xf numFmtId="191" fontId="32" fillId="7" borderId="115" xfId="0" applyNumberFormat="1" applyFont="1" applyFill="1" applyBorder="1" applyAlignment="1">
      <alignment horizontal="right" vertical="center"/>
    </xf>
    <xf numFmtId="191" fontId="32" fillId="7" borderId="116" xfId="0" applyNumberFormat="1" applyFont="1" applyFill="1" applyBorder="1" applyAlignment="1">
      <alignment horizontal="right" vertical="center"/>
    </xf>
    <xf numFmtId="0" fontId="58" fillId="7" borderId="22" xfId="0" applyFont="1" applyFill="1" applyBorder="1" applyAlignment="1">
      <alignment horizontal="left" vertical="center"/>
    </xf>
    <xf numFmtId="192" fontId="37" fillId="7" borderId="0" xfId="0" applyNumberFormat="1" applyFont="1" applyFill="1" applyAlignment="1">
      <alignment horizontal="right" vertical="center"/>
    </xf>
    <xf numFmtId="192" fontId="37" fillId="7" borderId="26" xfId="0" applyNumberFormat="1" applyFont="1" applyFill="1" applyBorder="1" applyAlignment="1">
      <alignment horizontal="right" vertical="center"/>
    </xf>
    <xf numFmtId="0" fontId="58" fillId="7" borderId="29" xfId="0" applyFont="1" applyFill="1" applyBorder="1" applyAlignment="1">
      <alignment horizontal="left" vertical="center"/>
    </xf>
    <xf numFmtId="192" fontId="37" fillId="7" borderId="28" xfId="0" applyNumberFormat="1" applyFont="1" applyFill="1" applyBorder="1" applyAlignment="1">
      <alignment horizontal="right" vertical="center"/>
    </xf>
    <xf numFmtId="192" fontId="37" fillId="7" borderId="27" xfId="0" applyNumberFormat="1" applyFont="1" applyFill="1" applyBorder="1" applyAlignment="1">
      <alignment horizontal="right" vertical="center"/>
    </xf>
    <xf numFmtId="185" fontId="28" fillId="7" borderId="0" xfId="13" applyNumberFormat="1" applyFont="1" applyFill="1" applyAlignment="1">
      <alignment horizontal="right" vertical="center"/>
    </xf>
    <xf numFmtId="0" fontId="28" fillId="7" borderId="0" xfId="13" applyFont="1" applyFill="1" applyAlignment="1">
      <alignment horizontal="center" vertical="center"/>
    </xf>
    <xf numFmtId="0" fontId="28" fillId="7" borderId="24" xfId="13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5" fontId="28" fillId="7" borderId="31" xfId="13" applyNumberFormat="1" applyFont="1" applyFill="1" applyBorder="1" applyAlignment="1">
      <alignment horizontal="right" vertical="center"/>
    </xf>
    <xf numFmtId="185" fontId="28" fillId="7" borderId="0" xfId="13" applyNumberFormat="1" applyFont="1" applyFill="1" applyAlignment="1">
      <alignment horizontal="right" vertical="center"/>
    </xf>
    <xf numFmtId="185" fontId="28" fillId="7" borderId="24" xfId="13" applyNumberFormat="1" applyFont="1" applyFill="1" applyBorder="1" applyAlignment="1">
      <alignment horizontal="right" vertical="center"/>
    </xf>
    <xf numFmtId="0" fontId="28" fillId="7" borderId="31" xfId="13" applyFont="1" applyFill="1" applyBorder="1" applyAlignment="1">
      <alignment horizontal="center" vertical="center"/>
    </xf>
    <xf numFmtId="0" fontId="28" fillId="7" borderId="0" xfId="13" applyFont="1" applyFill="1" applyAlignment="1">
      <alignment horizontal="center" vertical="center"/>
    </xf>
    <xf numFmtId="0" fontId="28" fillId="7" borderId="24" xfId="13" applyFont="1" applyFill="1" applyBorder="1" applyAlignment="1">
      <alignment horizontal="center" vertical="center"/>
    </xf>
    <xf numFmtId="188" fontId="28" fillId="7" borderId="30" xfId="13" applyNumberFormat="1" applyFont="1" applyFill="1" applyBorder="1" applyAlignment="1">
      <alignment horizontal="center" vertical="center"/>
    </xf>
    <xf numFmtId="188" fontId="28" fillId="7" borderId="26" xfId="13" applyNumberFormat="1" applyFont="1" applyFill="1" applyBorder="1" applyAlignment="1">
      <alignment horizontal="center" vertical="center"/>
    </xf>
    <xf numFmtId="188" fontId="28" fillId="7" borderId="23" xfId="13" applyNumberFormat="1" applyFont="1" applyFill="1" applyBorder="1" applyAlignment="1">
      <alignment horizontal="center" vertical="center"/>
    </xf>
  </cellXfs>
  <cellStyles count="14">
    <cellStyle name="백분율" xfId="2" builtinId="5"/>
    <cellStyle name="백분율 2" xfId="4" xr:uid="{00000000-0005-0000-0000-000001000000}"/>
    <cellStyle name="백분율 3" xfId="12" xr:uid="{00000000-0005-0000-0000-000002000000}"/>
    <cellStyle name="쉼표 [0]" xfId="1" builtinId="6"/>
    <cellStyle name="쉼표 [0] 2" xfId="9" xr:uid="{00000000-0005-0000-0000-000004000000}"/>
    <cellStyle name="쉼표 [0] 3" xfId="11" xr:uid="{00000000-0005-0000-0000-000005000000}"/>
    <cellStyle name="표준" xfId="0" builtinId="0"/>
    <cellStyle name="표준 2" xfId="7" xr:uid="{00000000-0005-0000-0000-000007000000}"/>
    <cellStyle name="표준 2 2" xfId="3" xr:uid="{00000000-0005-0000-0000-000008000000}"/>
    <cellStyle name="표준 2 3" xfId="13" xr:uid="{00000000-0005-0000-0000-000009000000}"/>
    <cellStyle name="표준 3" xfId="10" xr:uid="{00000000-0005-0000-0000-00000A000000}"/>
    <cellStyle name="표준 34 2" xfId="5" xr:uid="{00000000-0005-0000-0000-00000B000000}"/>
    <cellStyle name="표준 4" xfId="6" xr:uid="{00000000-0005-0000-0000-00000C000000}"/>
    <cellStyle name="표준_학회_간행물_과제 정보" xfId="8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09DAD"/>
      <rgbColor rgb="00BFDEE4"/>
      <rgbColor rgb="00AA5CAA"/>
      <rgbColor rgb="00E3C9E3"/>
      <rgbColor rgb="00BDB694"/>
      <rgbColor rgb="00E9E7DB"/>
      <rgbColor rgb="009BCA40"/>
      <rgbColor rgb="00DEEDBF"/>
      <rgbColor rgb="00007C92"/>
      <rgbColor rgb="008E258D"/>
      <rgbColor rgb="00A79E70"/>
      <rgbColor rgb="007AB800"/>
      <rgbColor rgb="0000338D"/>
      <rgbColor rgb="00C84E00"/>
      <rgbColor rgb="0098C6EA"/>
      <rgbColor rgb="0000338D"/>
      <rgbColor rgb="004066AA"/>
      <rgbColor rgb="00BFCCE3"/>
      <rgbColor rgb="00D67A40"/>
      <rgbColor rgb="00F1D3BF"/>
      <rgbColor rgb="00B2D4EF"/>
      <rgbColor rgb="00E5F1FA"/>
      <rgbColor rgb="00B6646B"/>
      <rgbColor rgb="00E7CBCE"/>
      <rgbColor rgb="003366FF"/>
      <rgbColor rgb="0033CCCC"/>
      <rgbColor rgb="0099CC00"/>
      <rgbColor rgb="00F5B36A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6E9EE"/>
      <rgbColor rgb="00333399"/>
      <rgbColor rgb="00333333"/>
    </indexedColors>
    <mruColors>
      <color rgb="FF409DAD"/>
      <color rgb="FFEE12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ko-KR" altLang="en-US" b="1">
                <a:solidFill>
                  <a:srgbClr val="00338D"/>
                </a:solidFill>
              </a:rPr>
              <a:t>제품별 매출 </a:t>
            </a:r>
            <a:r>
              <a:rPr lang="en-US" altLang="en-US" b="1">
                <a:solidFill>
                  <a:srgbClr val="00338D"/>
                </a:solidFill>
              </a:rPr>
              <a:t>Bridge</a:t>
            </a:r>
          </a:p>
        </c:rich>
      </c:tx>
      <c:layout>
        <c:manualLayout>
          <c:xMode val="edge"/>
          <c:yMode val="edge"/>
          <c:x val="2.0861875661448832E-2"/>
          <c:y val="2.74149430746054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8188679767019"/>
          <c:y val="0.1527158196134574"/>
          <c:w val="0.83968004731008783"/>
          <c:h val="0.584330171929013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E3-4678-9EDA-127CEFE71419}"/>
              </c:ext>
            </c:extLst>
          </c:dPt>
          <c:dPt>
            <c:idx val="2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E3-4678-9EDA-127CEFE71419}"/>
              </c:ext>
            </c:extLst>
          </c:dPt>
          <c:dPt>
            <c:idx val="3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EE3-4678-9EDA-127CEFE71419}"/>
              </c:ext>
            </c:extLst>
          </c:dPt>
          <c:dPt>
            <c:idx val="4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EE3-4678-9EDA-127CEFE71419}"/>
              </c:ext>
            </c:extLst>
          </c:dPt>
          <c:dPt>
            <c:idx val="5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EE3-4678-9EDA-127CEFE71419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0"/>
                </a:srgbClr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EE3-4678-9EDA-127CEFE71419}"/>
              </c:ext>
            </c:extLst>
          </c:dPt>
          <c:dPt>
            <c:idx val="8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EE3-4678-9EDA-127CEFE71419}"/>
              </c:ext>
            </c:extLst>
          </c:dPt>
          <c:dPt>
            <c:idx val="9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EE3-4678-9EDA-127CEFE71419}"/>
              </c:ext>
            </c:extLst>
          </c:dPt>
          <c:dPt>
            <c:idx val="10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EE3-4678-9EDA-127CEFE71419}"/>
              </c:ext>
            </c:extLst>
          </c:dPt>
          <c:dPt>
            <c:idx val="11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EE3-4678-9EDA-127CEFE71419}"/>
              </c:ext>
            </c:extLst>
          </c:dPt>
          <c:dPt>
            <c:idx val="13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EE3-4678-9EDA-127CEFE71419}"/>
              </c:ext>
            </c:extLst>
          </c:dPt>
          <c:dPt>
            <c:idx val="15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4EE3-4678-9EDA-127CEFE71419}"/>
              </c:ext>
            </c:extLst>
          </c:dPt>
          <c:dPt>
            <c:idx val="16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4EE3-4678-9EDA-127CEFE71419}"/>
              </c:ext>
            </c:extLst>
          </c:dPt>
          <c:dPt>
            <c:idx val="17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4EE3-4678-9EDA-127CEFE71419}"/>
              </c:ext>
            </c:extLst>
          </c:dPt>
          <c:dPt>
            <c:idx val="18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4EE3-4678-9EDA-127CEFE71419}"/>
              </c:ext>
            </c:extLst>
          </c:dPt>
          <c:dPt>
            <c:idx val="19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4EE3-4678-9EDA-127CEFE71419}"/>
              </c:ext>
            </c:extLst>
          </c:dPt>
          <c:dPt>
            <c:idx val="20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4EE3-4678-9EDA-127CEFE7141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EE3-4678-9EDA-127CEFE71419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EE3-4678-9EDA-127CEFE7141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EE3-4678-9EDA-127CEFE71419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EE3-4678-9EDA-127CEFE71419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EE3-4678-9EDA-127CEFE71419}"/>
                </c:ext>
              </c:extLst>
            </c:dLbl>
            <c:numFmt formatCode="#,###,,;\(#,###,,\);&quot;-&quot;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'매출유형별 bridge'!$J$4:$J$15</c:f>
              <c:strCache>
                <c:ptCount val="10"/>
                <c:pt idx="0">
                  <c:v>FY12</c:v>
                </c:pt>
                <c:pt idx="1">
                  <c:v>제품</c:v>
                </c:pt>
                <c:pt idx="2">
                  <c:v>상품</c:v>
                </c:pt>
                <c:pt idx="3">
                  <c:v>FY13</c:v>
                </c:pt>
                <c:pt idx="4">
                  <c:v>제품</c:v>
                </c:pt>
                <c:pt idx="5">
                  <c:v>상품</c:v>
                </c:pt>
                <c:pt idx="6">
                  <c:v>FY14</c:v>
                </c:pt>
                <c:pt idx="7">
                  <c:v>제품</c:v>
                </c:pt>
                <c:pt idx="8">
                  <c:v>상품</c:v>
                </c:pt>
                <c:pt idx="9">
                  <c:v>FY15(E)</c:v>
                </c:pt>
              </c:strCache>
            </c:strRef>
          </c:cat>
          <c:val>
            <c:numRef>
              <c:f>'매출유형별 bridge'!$K$4:$K$15</c:f>
              <c:numCache>
                <c:formatCode>#,##0_);[Red]\(#,##0\)</c:formatCode>
                <c:ptCount val="12"/>
                <c:pt idx="0">
                  <c:v>82729037197</c:v>
                </c:pt>
                <c:pt idx="1">
                  <c:v>80750096785</c:v>
                </c:pt>
                <c:pt idx="2">
                  <c:v>80750096785</c:v>
                </c:pt>
                <c:pt idx="3">
                  <c:v>83255200137</c:v>
                </c:pt>
                <c:pt idx="4">
                  <c:v>83255200137</c:v>
                </c:pt>
                <c:pt idx="5">
                  <c:v>96044850738</c:v>
                </c:pt>
                <c:pt idx="6">
                  <c:v>96044850738</c:v>
                </c:pt>
                <c:pt idx="7">
                  <c:v>96044850738</c:v>
                </c:pt>
                <c:pt idx="8">
                  <c:v>118989031133.66666</c:v>
                </c:pt>
                <c:pt idx="9">
                  <c:v>123966206990.66666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EE3-4678-9EDA-127CEFE71419}"/>
            </c:ext>
          </c:extLst>
        </c:ser>
        <c:ser>
          <c:idx val="1"/>
          <c:order val="1"/>
          <c:spPr>
            <a:solidFill>
              <a:srgbClr val="F7964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BFDEE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4EE3-4678-9EDA-127CEFE71419}"/>
              </c:ext>
            </c:extLst>
          </c:dPt>
          <c:dPt>
            <c:idx val="2"/>
            <c:invertIfNegative val="0"/>
            <c:bubble3D val="0"/>
            <c:spPr>
              <a:solidFill>
                <a:srgbClr val="BFDEE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4EE3-4678-9EDA-127CEFE71419}"/>
              </c:ext>
            </c:extLst>
          </c:dPt>
          <c:dLbls>
            <c:dLbl>
              <c:idx val="4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4EE3-4678-9EDA-127CEFE71419}"/>
                </c:ext>
              </c:extLst>
            </c:dLbl>
            <c:dLbl>
              <c:idx val="5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4EE3-4678-9EDA-127CEFE71419}"/>
                </c:ext>
              </c:extLst>
            </c:dLbl>
            <c:dLbl>
              <c:idx val="7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4EE3-4678-9EDA-127CEFE71419}"/>
                </c:ext>
              </c:extLst>
            </c:dLbl>
            <c:dLbl>
              <c:idx val="8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4EE3-4678-9EDA-127CEFE71419}"/>
                </c:ext>
              </c:extLst>
            </c:dLbl>
            <c:dLbl>
              <c:idx val="9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4EE3-4678-9EDA-127CEFE71419}"/>
                </c:ext>
              </c:extLst>
            </c:dLbl>
            <c:dLbl>
              <c:idx val="10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4EE3-4678-9EDA-127CEFE71419}"/>
                </c:ext>
              </c:extLst>
            </c:dLbl>
            <c:dLbl>
              <c:idx val="11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4EE3-4678-9EDA-127CEFE71419}"/>
                </c:ext>
              </c:extLst>
            </c:dLbl>
            <c:numFmt formatCode="#,###,,;\(#,###,,\);&quot;-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'매출유형별 bridge'!$J$4:$J$15</c:f>
              <c:strCache>
                <c:ptCount val="10"/>
                <c:pt idx="0">
                  <c:v>FY12</c:v>
                </c:pt>
                <c:pt idx="1">
                  <c:v>제품</c:v>
                </c:pt>
                <c:pt idx="2">
                  <c:v>상품</c:v>
                </c:pt>
                <c:pt idx="3">
                  <c:v>FY13</c:v>
                </c:pt>
                <c:pt idx="4">
                  <c:v>제품</c:v>
                </c:pt>
                <c:pt idx="5">
                  <c:v>상품</c:v>
                </c:pt>
                <c:pt idx="6">
                  <c:v>FY14</c:v>
                </c:pt>
                <c:pt idx="7">
                  <c:v>제품</c:v>
                </c:pt>
                <c:pt idx="8">
                  <c:v>상품</c:v>
                </c:pt>
                <c:pt idx="9">
                  <c:v>FY15(E)</c:v>
                </c:pt>
              </c:strCache>
            </c:strRef>
          </c:cat>
          <c:val>
            <c:numRef>
              <c:f>'매출유형별 bridge'!$L$4:$L$15</c:f>
              <c:numCache>
                <c:formatCode>#,##0_);[Red]\(#,##0\)</c:formatCode>
                <c:ptCount val="12"/>
                <c:pt idx="1">
                  <c:v>1978940412</c:v>
                </c:pt>
                <c:pt idx="2">
                  <c:v>2505103352</c:v>
                </c:pt>
                <c:pt idx="4">
                  <c:v>17824853539</c:v>
                </c:pt>
                <c:pt idx="5">
                  <c:v>5035202938</c:v>
                </c:pt>
                <c:pt idx="7">
                  <c:v>22944180395.666656</c:v>
                </c:pt>
                <c:pt idx="8">
                  <c:v>4977175857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EE3-4678-9EDA-127CEFE7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73434472"/>
        <c:axId val="273434864"/>
      </c:barChart>
      <c:catAx>
        <c:axId val="273434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aseline="0">
                <a:latin typeface="맑은 고딕" pitchFamily="50" charset="-127"/>
                <a:ea typeface="맑은 고딕" pitchFamily="50" charset="-127"/>
              </a:defRPr>
            </a:pPr>
            <a:endParaRPr lang="ko-KR"/>
          </a:p>
        </c:txPr>
        <c:crossAx val="273434864"/>
        <c:crosses val="autoZero"/>
        <c:auto val="1"/>
        <c:lblAlgn val="ctr"/>
        <c:lblOffset val="100"/>
        <c:noMultiLvlLbl val="0"/>
      </c:catAx>
      <c:valAx>
        <c:axId val="273434864"/>
        <c:scaling>
          <c:orientation val="minMax"/>
          <c:max val="300000000000"/>
          <c:min val="1000000000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458940455147192E-2"/>
              <c:y val="0.30926453620232391"/>
            </c:manualLayout>
          </c:layout>
          <c:overlay val="0"/>
        </c:title>
        <c:numFmt formatCode="#,###,,;\(#,###,,\);&quot;-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73434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맑은 고딕" pitchFamily="50" charset="-127"/>
          <a:ea typeface="맑은 고딕" pitchFamily="50" charset="-127"/>
          <a:cs typeface="Arial"/>
        </a:defRPr>
      </a:pPr>
      <a:endParaRPr lang="ko-KR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연도별 제품 및 상품매출</a:t>
            </a:r>
            <a:endParaRPr lang="en-US"/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14855515356667"/>
          <c:y val="0.18394309234073014"/>
          <c:w val="0.82789265777423382"/>
          <c:h val="0.5915561918396563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D2-4DE9-9EC9-DF94F7A47B7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D2-4DE9-9EC9-DF94F7A47B7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5D2-4DE9-9EC9-DF94F7A47B7B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5D2-4DE9-9EC9-DF94F7A47B7B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15D2-4DE9-9EC9-DF94F7A47B7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5D2-4DE9-9EC9-DF94F7A47B7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5D2-4DE9-9EC9-DF94F7A47B7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5D2-4DE9-9EC9-DF94F7A47B7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5D2-4DE9-9EC9-DF94F7A47B7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5D2-4DE9-9EC9-DF94F7A47B7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5D2-4DE9-9EC9-DF94F7A47B7B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5D2-4DE9-9EC9-DF94F7A47B7B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5D2-4DE9-9EC9-DF94F7A47B7B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15D2-4DE9-9EC9-DF94F7A47B7B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15D2-4DE9-9EC9-DF94F7A47B7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5D2-4DE9-9EC9-DF94F7A47B7B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D2-4DE9-9EC9-DF94F7A47B7B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D2-4DE9-9EC9-DF94F7A47B7B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D2-4DE9-9EC9-DF94F7A47B7B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5D2-4DE9-9EC9-DF94F7A47B7B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5D2-4DE9-9EC9-DF94F7A47B7B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5D2-4DE9-9EC9-DF94F7A47B7B}"/>
                </c:ext>
              </c:extLst>
            </c:dLbl>
            <c:numFmt formatCode="#,##0,,;\(#,##0,,\);\-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'매출유형별 bridge'!$J$4:$J$13</c:f>
              <c:strCache>
                <c:ptCount val="10"/>
                <c:pt idx="0">
                  <c:v>FY12</c:v>
                </c:pt>
                <c:pt idx="1">
                  <c:v>제품</c:v>
                </c:pt>
                <c:pt idx="2">
                  <c:v>상품</c:v>
                </c:pt>
                <c:pt idx="3">
                  <c:v>FY13</c:v>
                </c:pt>
                <c:pt idx="4">
                  <c:v>제품</c:v>
                </c:pt>
                <c:pt idx="5">
                  <c:v>상품</c:v>
                </c:pt>
                <c:pt idx="6">
                  <c:v>FY14</c:v>
                </c:pt>
                <c:pt idx="7">
                  <c:v>제품</c:v>
                </c:pt>
                <c:pt idx="8">
                  <c:v>상품</c:v>
                </c:pt>
                <c:pt idx="9">
                  <c:v>FY15(E)</c:v>
                </c:pt>
              </c:strCache>
            </c:strRef>
          </c:cat>
          <c:val>
            <c:numRef>
              <c:f>'매출유형별 bridge'!$K$4:$K$13</c:f>
              <c:numCache>
                <c:formatCode>#,##0_);[Red]\(#,##0\)</c:formatCode>
                <c:ptCount val="10"/>
                <c:pt idx="0">
                  <c:v>82729037197</c:v>
                </c:pt>
                <c:pt idx="1">
                  <c:v>80750096785</c:v>
                </c:pt>
                <c:pt idx="2">
                  <c:v>80750096785</c:v>
                </c:pt>
                <c:pt idx="3">
                  <c:v>83255200137</c:v>
                </c:pt>
                <c:pt idx="4">
                  <c:v>83255200137</c:v>
                </c:pt>
                <c:pt idx="5">
                  <c:v>96044850738</c:v>
                </c:pt>
                <c:pt idx="6">
                  <c:v>96044850738</c:v>
                </c:pt>
                <c:pt idx="7">
                  <c:v>96044850738</c:v>
                </c:pt>
                <c:pt idx="8">
                  <c:v>118989031133.66666</c:v>
                </c:pt>
                <c:pt idx="9">
                  <c:v>123966206990.66666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5D2-4DE9-9EC9-DF94F7A47B7B}"/>
            </c:ext>
          </c:extLst>
        </c:ser>
        <c:ser>
          <c:idx val="1"/>
          <c:order val="1"/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15D2-4DE9-9EC9-DF94F7A47B7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15D2-4DE9-9EC9-DF94F7A47B7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15D2-4DE9-9EC9-DF94F7A47B7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15D2-4DE9-9EC9-DF94F7A47B7B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15D2-4DE9-9EC9-DF94F7A47B7B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15D2-4DE9-9EC9-DF94F7A47B7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DBCA8C7B-519D-4AE5-9526-4D07014AFB59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C-15D2-4DE9-9EC9-DF94F7A47B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B5CF5D-FCAF-4C40-A073-4C1A7D589624}" type="VALUE">
                      <a:rPr lang="en-US" altLang="ko-KR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D-15D2-4DE9-9EC9-DF94F7A47B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3C9DAD3C-92F5-4C92-9FC1-2CE105A0F4E1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E-15D2-4DE9-9EC9-DF94F7A47B7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1EEC8E-29E8-47D1-AE5B-257C9646E352}" type="VALUE">
                      <a:rPr lang="en-US" altLang="ko-KR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F-15D2-4DE9-9EC9-DF94F7A47B7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A7D3259D-5EF8-4CDF-A997-10B3B0014832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1-15D2-4DE9-9EC9-DF94F7A47B7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A39522B2-F638-4AEB-8B1C-DA574FF88324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2-15D2-4DE9-9EC9-DF94F7A47B7B}"/>
                </c:ext>
              </c:extLst>
            </c:dLbl>
            <c:numFmt formatCode="#,##0,,;\(#,##0,,\);\-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'매출유형별 bridge'!$J$4:$J$13</c:f>
              <c:strCache>
                <c:ptCount val="10"/>
                <c:pt idx="0">
                  <c:v>FY12</c:v>
                </c:pt>
                <c:pt idx="1">
                  <c:v>제품</c:v>
                </c:pt>
                <c:pt idx="2">
                  <c:v>상품</c:v>
                </c:pt>
                <c:pt idx="3">
                  <c:v>FY13</c:v>
                </c:pt>
                <c:pt idx="4">
                  <c:v>제품</c:v>
                </c:pt>
                <c:pt idx="5">
                  <c:v>상품</c:v>
                </c:pt>
                <c:pt idx="6">
                  <c:v>FY14</c:v>
                </c:pt>
                <c:pt idx="7">
                  <c:v>제품</c:v>
                </c:pt>
                <c:pt idx="8">
                  <c:v>상품</c:v>
                </c:pt>
                <c:pt idx="9">
                  <c:v>FY15(E)</c:v>
                </c:pt>
              </c:strCache>
            </c:strRef>
          </c:cat>
          <c:val>
            <c:numRef>
              <c:f>'매출유형별 bridge'!$L$4:$L$13</c:f>
              <c:numCache>
                <c:formatCode>#,##0_);[Red]\(#,##0\)</c:formatCode>
                <c:ptCount val="10"/>
                <c:pt idx="1">
                  <c:v>1978940412</c:v>
                </c:pt>
                <c:pt idx="2">
                  <c:v>2505103352</c:v>
                </c:pt>
                <c:pt idx="4">
                  <c:v>17824853539</c:v>
                </c:pt>
                <c:pt idx="5">
                  <c:v>5035202938</c:v>
                </c:pt>
                <c:pt idx="7">
                  <c:v>22944180395.666656</c:v>
                </c:pt>
                <c:pt idx="8">
                  <c:v>4977175857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5D2-4DE9-9EC9-DF94F7A47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73435648"/>
        <c:axId val="275139176"/>
      </c:barChart>
      <c:catAx>
        <c:axId val="27343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39176"/>
        <c:crosses val="autoZero"/>
        <c:auto val="1"/>
        <c:lblAlgn val="ctr"/>
        <c:lblOffset val="100"/>
        <c:noMultiLvlLbl val="0"/>
      </c:catAx>
      <c:valAx>
        <c:axId val="275139176"/>
        <c:scaling>
          <c:orientation val="minMax"/>
          <c:min val="200000000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714285714285714E-2"/>
              <c:y val="0.254209735146743"/>
            </c:manualLayout>
          </c:layout>
          <c:overlay val="0"/>
        </c:title>
        <c:numFmt formatCode="#,###,,;\(#,###,,\);&quot;-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3435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ko-KR" altLang="en-US" b="1">
                <a:solidFill>
                  <a:srgbClr val="00338D"/>
                </a:solidFill>
              </a:rPr>
              <a:t>제품별 매출 </a:t>
            </a:r>
            <a:r>
              <a:rPr lang="en-US" altLang="en-US" b="1">
                <a:solidFill>
                  <a:srgbClr val="00338D"/>
                </a:solidFill>
              </a:rPr>
              <a:t>Bridge</a:t>
            </a:r>
          </a:p>
        </c:rich>
      </c:tx>
      <c:layout>
        <c:manualLayout>
          <c:xMode val="edge"/>
          <c:yMode val="edge"/>
          <c:x val="2.0861875661448832E-2"/>
          <c:y val="2.74149430746054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8188679767019"/>
          <c:y val="0.1527158196134574"/>
          <c:w val="0.83968004731008783"/>
          <c:h val="0.584330171929013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55-4D37-88C5-98D38A442558}"/>
              </c:ext>
            </c:extLst>
          </c:dPt>
          <c:dPt>
            <c:idx val="2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55-4D37-88C5-98D38A442558}"/>
              </c:ext>
            </c:extLst>
          </c:dPt>
          <c:dPt>
            <c:idx val="3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55-4D37-88C5-98D38A442558}"/>
              </c:ext>
            </c:extLst>
          </c:dPt>
          <c:dPt>
            <c:idx val="4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55-4D37-88C5-98D38A442558}"/>
              </c:ext>
            </c:extLst>
          </c:dPt>
          <c:dPt>
            <c:idx val="5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55-4D37-88C5-98D38A442558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0"/>
                </a:srgbClr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755-4D37-88C5-98D38A442558}"/>
              </c:ext>
            </c:extLst>
          </c:dPt>
          <c:dPt>
            <c:idx val="8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755-4D37-88C5-98D38A442558}"/>
              </c:ext>
            </c:extLst>
          </c:dPt>
          <c:dPt>
            <c:idx val="9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755-4D37-88C5-98D38A442558}"/>
              </c:ext>
            </c:extLst>
          </c:dPt>
          <c:dPt>
            <c:idx val="10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755-4D37-88C5-98D38A442558}"/>
              </c:ext>
            </c:extLst>
          </c:dPt>
          <c:dPt>
            <c:idx val="11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755-4D37-88C5-98D38A442558}"/>
              </c:ext>
            </c:extLst>
          </c:dPt>
          <c:dPt>
            <c:idx val="13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755-4D37-88C5-98D38A442558}"/>
              </c:ext>
            </c:extLst>
          </c:dPt>
          <c:dPt>
            <c:idx val="15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5755-4D37-88C5-98D38A442558}"/>
              </c:ext>
            </c:extLst>
          </c:dPt>
          <c:dPt>
            <c:idx val="16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5755-4D37-88C5-98D38A442558}"/>
              </c:ext>
            </c:extLst>
          </c:dPt>
          <c:dPt>
            <c:idx val="17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5755-4D37-88C5-98D38A442558}"/>
              </c:ext>
            </c:extLst>
          </c:dPt>
          <c:dPt>
            <c:idx val="18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5755-4D37-88C5-98D38A442558}"/>
              </c:ext>
            </c:extLst>
          </c:dPt>
          <c:dPt>
            <c:idx val="19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5755-4D37-88C5-98D38A442558}"/>
              </c:ext>
            </c:extLst>
          </c:dPt>
          <c:dPt>
            <c:idx val="20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5755-4D37-88C5-98D38A442558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755-4D37-88C5-98D38A442558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755-4D37-88C5-98D38A442558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755-4D37-88C5-98D38A44255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755-4D37-88C5-98D38A442558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755-4D37-88C5-98D38A442558}"/>
                </c:ext>
              </c:extLst>
            </c:dLbl>
            <c:numFmt formatCode="#,###,,;\(#,###,,\);&quot;-&quot;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'사업부별 제품별 bridge '!$J$4:$J$19</c:f>
              <c:strCache>
                <c:ptCount val="16"/>
                <c:pt idx="0">
                  <c:v>FY12</c:v>
                </c:pt>
                <c:pt idx="1">
                  <c:v>CMO신약</c:v>
                </c:pt>
                <c:pt idx="2">
                  <c:v>정밀화학</c:v>
                </c:pt>
                <c:pt idx="3">
                  <c:v>제네릭API</c:v>
                </c:pt>
                <c:pt idx="4">
                  <c:v>바이오사업</c:v>
                </c:pt>
                <c:pt idx="5">
                  <c:v>FY13</c:v>
                </c:pt>
                <c:pt idx="6">
                  <c:v>CMO신약</c:v>
                </c:pt>
                <c:pt idx="7">
                  <c:v>정밀화학</c:v>
                </c:pt>
                <c:pt idx="8">
                  <c:v>제네릭API</c:v>
                </c:pt>
                <c:pt idx="9">
                  <c:v>바이오사업</c:v>
                </c:pt>
                <c:pt idx="10">
                  <c:v>FY14</c:v>
                </c:pt>
                <c:pt idx="11">
                  <c:v>CMO신약</c:v>
                </c:pt>
                <c:pt idx="12">
                  <c:v>정밀화학</c:v>
                </c:pt>
                <c:pt idx="13">
                  <c:v>제네릭API</c:v>
                </c:pt>
                <c:pt idx="14">
                  <c:v>바이오사업</c:v>
                </c:pt>
                <c:pt idx="15">
                  <c:v>FY15(E)</c:v>
                </c:pt>
              </c:strCache>
            </c:strRef>
          </c:cat>
          <c:val>
            <c:numRef>
              <c:f>'사업부별 제품별 bridge '!$K$4:$K$19</c:f>
              <c:numCache>
                <c:formatCode>#,##0_);[Red]\(#,##0\)</c:formatCode>
                <c:ptCount val="16"/>
                <c:pt idx="0">
                  <c:v>65496000000</c:v>
                </c:pt>
                <c:pt idx="1">
                  <c:v>65496000000</c:v>
                </c:pt>
                <c:pt idx="2">
                  <c:v>66205000000</c:v>
                </c:pt>
                <c:pt idx="3">
                  <c:v>65474000000</c:v>
                </c:pt>
                <c:pt idx="4">
                  <c:v>64272000000</c:v>
                </c:pt>
                <c:pt idx="5">
                  <c:v>64272000000</c:v>
                </c:pt>
                <c:pt idx="6">
                  <c:v>64272000000</c:v>
                </c:pt>
                <c:pt idx="7">
                  <c:v>74932000000</c:v>
                </c:pt>
                <c:pt idx="8">
                  <c:v>78474000000</c:v>
                </c:pt>
                <c:pt idx="9">
                  <c:v>80533000000</c:v>
                </c:pt>
                <c:pt idx="10">
                  <c:v>81582000000</c:v>
                </c:pt>
                <c:pt idx="11">
                  <c:v>81582000000</c:v>
                </c:pt>
                <c:pt idx="12">
                  <c:v>102538333333.33334</c:v>
                </c:pt>
                <c:pt idx="13">
                  <c:v>103431666666.66667</c:v>
                </c:pt>
                <c:pt idx="14">
                  <c:v>103431666666.66667</c:v>
                </c:pt>
                <c:pt idx="15">
                  <c:v>106208000000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5755-4D37-88C5-98D38A442558}"/>
            </c:ext>
          </c:extLst>
        </c:ser>
        <c:ser>
          <c:idx val="1"/>
          <c:order val="1"/>
          <c:spPr>
            <a:solidFill>
              <a:srgbClr val="F7964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BFDEE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5755-4D37-88C5-98D38A442558}"/>
              </c:ext>
            </c:extLst>
          </c:dPt>
          <c:dPt>
            <c:idx val="2"/>
            <c:invertIfNegative val="0"/>
            <c:bubble3D val="0"/>
            <c:spPr>
              <a:solidFill>
                <a:srgbClr val="BFDEE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5755-4D37-88C5-98D38A442558}"/>
              </c:ext>
            </c:extLst>
          </c:dPt>
          <c:dLbls>
            <c:dLbl>
              <c:idx val="4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5755-4D37-88C5-98D38A442558}"/>
                </c:ext>
              </c:extLst>
            </c:dLbl>
            <c:dLbl>
              <c:idx val="5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5755-4D37-88C5-98D38A442558}"/>
                </c:ext>
              </c:extLst>
            </c:dLbl>
            <c:dLbl>
              <c:idx val="7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5755-4D37-88C5-98D38A442558}"/>
                </c:ext>
              </c:extLst>
            </c:dLbl>
            <c:dLbl>
              <c:idx val="8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5755-4D37-88C5-98D38A442558}"/>
                </c:ext>
              </c:extLst>
            </c:dLbl>
            <c:dLbl>
              <c:idx val="9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5755-4D37-88C5-98D38A442558}"/>
                </c:ext>
              </c:extLst>
            </c:dLbl>
            <c:dLbl>
              <c:idx val="10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5755-4D37-88C5-98D38A442558}"/>
                </c:ext>
              </c:extLst>
            </c:dLbl>
            <c:dLbl>
              <c:idx val="11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5755-4D37-88C5-98D38A442558}"/>
                </c:ext>
              </c:extLst>
            </c:dLbl>
            <c:numFmt formatCode="#,###,,;\(#,###,,\);&quot;-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'사업부별 제품별 bridge '!$J$4:$J$19</c:f>
              <c:strCache>
                <c:ptCount val="16"/>
                <c:pt idx="0">
                  <c:v>FY12</c:v>
                </c:pt>
                <c:pt idx="1">
                  <c:v>CMO신약</c:v>
                </c:pt>
                <c:pt idx="2">
                  <c:v>정밀화학</c:v>
                </c:pt>
                <c:pt idx="3">
                  <c:v>제네릭API</c:v>
                </c:pt>
                <c:pt idx="4">
                  <c:v>바이오사업</c:v>
                </c:pt>
                <c:pt idx="5">
                  <c:v>FY13</c:v>
                </c:pt>
                <c:pt idx="6">
                  <c:v>CMO신약</c:v>
                </c:pt>
                <c:pt idx="7">
                  <c:v>정밀화학</c:v>
                </c:pt>
                <c:pt idx="8">
                  <c:v>제네릭API</c:v>
                </c:pt>
                <c:pt idx="9">
                  <c:v>바이오사업</c:v>
                </c:pt>
                <c:pt idx="10">
                  <c:v>FY14</c:v>
                </c:pt>
                <c:pt idx="11">
                  <c:v>CMO신약</c:v>
                </c:pt>
                <c:pt idx="12">
                  <c:v>정밀화학</c:v>
                </c:pt>
                <c:pt idx="13">
                  <c:v>제네릭API</c:v>
                </c:pt>
                <c:pt idx="14">
                  <c:v>바이오사업</c:v>
                </c:pt>
                <c:pt idx="15">
                  <c:v>FY15(E)</c:v>
                </c:pt>
              </c:strCache>
            </c:strRef>
          </c:cat>
          <c:val>
            <c:numRef>
              <c:f>'사업부별 제품별 bridge '!$L$4:$L$19</c:f>
              <c:numCache>
                <c:formatCode>#,##0_);[Red]\(#,##0\)</c:formatCode>
                <c:ptCount val="16"/>
                <c:pt idx="1">
                  <c:v>26855000000</c:v>
                </c:pt>
                <c:pt idx="2">
                  <c:v>26146000000</c:v>
                </c:pt>
                <c:pt idx="3">
                  <c:v>731000000</c:v>
                </c:pt>
                <c:pt idx="4">
                  <c:v>1202000000</c:v>
                </c:pt>
                <c:pt idx="6">
                  <c:v>10660000000</c:v>
                </c:pt>
                <c:pt idx="7">
                  <c:v>3542000000</c:v>
                </c:pt>
                <c:pt idx="8">
                  <c:v>2059000000</c:v>
                </c:pt>
                <c:pt idx="9">
                  <c:v>1049000000</c:v>
                </c:pt>
                <c:pt idx="11">
                  <c:v>20956333333.333344</c:v>
                </c:pt>
                <c:pt idx="12">
                  <c:v>1025333333.333334</c:v>
                </c:pt>
                <c:pt idx="13">
                  <c:v>132000000</c:v>
                </c:pt>
                <c:pt idx="14">
                  <c:v>2776333333.333333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5755-4D37-88C5-98D38A442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75139960"/>
        <c:axId val="275140352"/>
      </c:barChart>
      <c:catAx>
        <c:axId val="275139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aseline="0">
                <a:latin typeface="맑은 고딕" pitchFamily="50" charset="-127"/>
                <a:ea typeface="맑은 고딕" pitchFamily="50" charset="-127"/>
              </a:defRPr>
            </a:pPr>
            <a:endParaRPr lang="ko-KR"/>
          </a:p>
        </c:txPr>
        <c:crossAx val="275140352"/>
        <c:crosses val="autoZero"/>
        <c:auto val="1"/>
        <c:lblAlgn val="ctr"/>
        <c:lblOffset val="100"/>
        <c:noMultiLvlLbl val="0"/>
      </c:catAx>
      <c:valAx>
        <c:axId val="275140352"/>
        <c:scaling>
          <c:orientation val="minMax"/>
          <c:max val="300000000000"/>
          <c:min val="1000000000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458940455147192E-2"/>
              <c:y val="0.30926453620232391"/>
            </c:manualLayout>
          </c:layout>
          <c:overlay val="0"/>
        </c:title>
        <c:numFmt formatCode="#,###,,;\(#,###,,\);&quot;-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751399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맑은 고딕" pitchFamily="50" charset="-127"/>
          <a:ea typeface="맑은 고딕" pitchFamily="50" charset="-127"/>
          <a:cs typeface="Arial"/>
        </a:defRPr>
      </a:pPr>
      <a:endParaRPr lang="ko-KR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연도별 사업부별 제품매출</a:t>
            </a:r>
            <a:endParaRPr lang="en-US"/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36653130814993"/>
          <c:y val="0.18394309234073014"/>
          <c:w val="0.84967480345515611"/>
          <c:h val="0.5915561918396563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5E-4451-9F7A-6F03287AF74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5E-4451-9F7A-6F03287AF74F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5E-4451-9F7A-6F03287AF74F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F5E-4451-9F7A-6F03287AF74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F5E-4451-9F7A-6F03287AF74F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2F5E-4451-9F7A-6F03287AF74F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F5E-4451-9F7A-6F03287AF74F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F5E-4451-9F7A-6F03287AF74F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F5E-4451-9F7A-6F03287AF74F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2F5E-4451-9F7A-6F03287AF74F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2F5E-4451-9F7A-6F03287AF74F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2F5E-4451-9F7A-6F03287AF74F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2F5E-4451-9F7A-6F03287AF74F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2F5E-4451-9F7A-6F03287AF74F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2F5E-4451-9F7A-6F03287AF74F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F5E-4451-9F7A-6F03287AF74F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5E-4451-9F7A-6F03287AF74F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5E-4451-9F7A-6F03287AF74F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F5E-4451-9F7A-6F03287AF74F}"/>
                </c:ext>
              </c:extLst>
            </c:dLbl>
            <c:numFmt formatCode="#,##0,,;\(#,##0,,\);\-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'사업부별 제품별 bridge '!$J$4:$J$19</c:f>
              <c:strCache>
                <c:ptCount val="16"/>
                <c:pt idx="0">
                  <c:v>FY12</c:v>
                </c:pt>
                <c:pt idx="1">
                  <c:v>CMO신약</c:v>
                </c:pt>
                <c:pt idx="2">
                  <c:v>정밀화학</c:v>
                </c:pt>
                <c:pt idx="3">
                  <c:v>제네릭API</c:v>
                </c:pt>
                <c:pt idx="4">
                  <c:v>바이오사업</c:v>
                </c:pt>
                <c:pt idx="5">
                  <c:v>FY13</c:v>
                </c:pt>
                <c:pt idx="6">
                  <c:v>CMO신약</c:v>
                </c:pt>
                <c:pt idx="7">
                  <c:v>정밀화학</c:v>
                </c:pt>
                <c:pt idx="8">
                  <c:v>제네릭API</c:v>
                </c:pt>
                <c:pt idx="9">
                  <c:v>바이오사업</c:v>
                </c:pt>
                <c:pt idx="10">
                  <c:v>FY14</c:v>
                </c:pt>
                <c:pt idx="11">
                  <c:v>CMO신약</c:v>
                </c:pt>
                <c:pt idx="12">
                  <c:v>정밀화학</c:v>
                </c:pt>
                <c:pt idx="13">
                  <c:v>제네릭API</c:v>
                </c:pt>
                <c:pt idx="14">
                  <c:v>바이오사업</c:v>
                </c:pt>
                <c:pt idx="15">
                  <c:v>FY15(E)</c:v>
                </c:pt>
              </c:strCache>
            </c:strRef>
          </c:cat>
          <c:val>
            <c:numRef>
              <c:f>'사업부별 제품별 bridge '!$K$4:$K$19</c:f>
              <c:numCache>
                <c:formatCode>#,##0_);[Red]\(#,##0\)</c:formatCode>
                <c:ptCount val="16"/>
                <c:pt idx="0">
                  <c:v>65496000000</c:v>
                </c:pt>
                <c:pt idx="1">
                  <c:v>65496000000</c:v>
                </c:pt>
                <c:pt idx="2">
                  <c:v>66205000000</c:v>
                </c:pt>
                <c:pt idx="3">
                  <c:v>65474000000</c:v>
                </c:pt>
                <c:pt idx="4">
                  <c:v>64272000000</c:v>
                </c:pt>
                <c:pt idx="5">
                  <c:v>64272000000</c:v>
                </c:pt>
                <c:pt idx="6">
                  <c:v>64272000000</c:v>
                </c:pt>
                <c:pt idx="7">
                  <c:v>74932000000</c:v>
                </c:pt>
                <c:pt idx="8">
                  <c:v>78474000000</c:v>
                </c:pt>
                <c:pt idx="9">
                  <c:v>80533000000</c:v>
                </c:pt>
                <c:pt idx="10">
                  <c:v>81582000000</c:v>
                </c:pt>
                <c:pt idx="11">
                  <c:v>81582000000</c:v>
                </c:pt>
                <c:pt idx="12">
                  <c:v>102538333333.33334</c:v>
                </c:pt>
                <c:pt idx="13">
                  <c:v>103431666666.66667</c:v>
                </c:pt>
                <c:pt idx="14">
                  <c:v>103431666666.66667</c:v>
                </c:pt>
                <c:pt idx="15">
                  <c:v>106208000000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5E-4451-9F7A-6F03287AF74F}"/>
            </c:ext>
          </c:extLst>
        </c:ser>
        <c:ser>
          <c:idx val="1"/>
          <c:order val="1"/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F5E-4451-9F7A-6F03287AF74F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F5E-4451-9F7A-6F03287AF74F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2F5E-4451-9F7A-6F03287AF74F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2F5E-4451-9F7A-6F03287AF74F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E7B5CF5D-FCAF-4C40-A073-4C1A7D589624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E-2F5E-4451-9F7A-6F03287AF74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3C9DAD3C-92F5-4C92-9FC1-2CE105A0F4E1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0-2F5E-4451-9F7A-6F03287AF74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101EEC8E-29E8-47D1-AE5B-257C9646E352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2-2F5E-4451-9F7A-6F03287AF74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A39522B2-F638-4AEB-8B1C-DA574FF88324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4-2F5E-4451-9F7A-6F03287AF74F}"/>
                </c:ext>
              </c:extLst>
            </c:dLbl>
            <c:numFmt formatCode="#,##0,,;\(#,##0,,\);\-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'사업부별 제품별 bridge '!$J$4:$J$19</c:f>
              <c:strCache>
                <c:ptCount val="16"/>
                <c:pt idx="0">
                  <c:v>FY12</c:v>
                </c:pt>
                <c:pt idx="1">
                  <c:v>CMO신약</c:v>
                </c:pt>
                <c:pt idx="2">
                  <c:v>정밀화학</c:v>
                </c:pt>
                <c:pt idx="3">
                  <c:v>제네릭API</c:v>
                </c:pt>
                <c:pt idx="4">
                  <c:v>바이오사업</c:v>
                </c:pt>
                <c:pt idx="5">
                  <c:v>FY13</c:v>
                </c:pt>
                <c:pt idx="6">
                  <c:v>CMO신약</c:v>
                </c:pt>
                <c:pt idx="7">
                  <c:v>정밀화학</c:v>
                </c:pt>
                <c:pt idx="8">
                  <c:v>제네릭API</c:v>
                </c:pt>
                <c:pt idx="9">
                  <c:v>바이오사업</c:v>
                </c:pt>
                <c:pt idx="10">
                  <c:v>FY14</c:v>
                </c:pt>
                <c:pt idx="11">
                  <c:v>CMO신약</c:v>
                </c:pt>
                <c:pt idx="12">
                  <c:v>정밀화학</c:v>
                </c:pt>
                <c:pt idx="13">
                  <c:v>제네릭API</c:v>
                </c:pt>
                <c:pt idx="14">
                  <c:v>바이오사업</c:v>
                </c:pt>
                <c:pt idx="15">
                  <c:v>FY15(E)</c:v>
                </c:pt>
              </c:strCache>
            </c:strRef>
          </c:cat>
          <c:val>
            <c:numRef>
              <c:f>'사업부별 제품별 bridge '!$L$4:$L$19</c:f>
              <c:numCache>
                <c:formatCode>#,##0_);[Red]\(#,##0\)</c:formatCode>
                <c:ptCount val="16"/>
                <c:pt idx="1">
                  <c:v>26855000000</c:v>
                </c:pt>
                <c:pt idx="2">
                  <c:v>26146000000</c:v>
                </c:pt>
                <c:pt idx="3">
                  <c:v>731000000</c:v>
                </c:pt>
                <c:pt idx="4">
                  <c:v>1202000000</c:v>
                </c:pt>
                <c:pt idx="6">
                  <c:v>10660000000</c:v>
                </c:pt>
                <c:pt idx="7">
                  <c:v>3542000000</c:v>
                </c:pt>
                <c:pt idx="8">
                  <c:v>2059000000</c:v>
                </c:pt>
                <c:pt idx="9">
                  <c:v>1049000000</c:v>
                </c:pt>
                <c:pt idx="11">
                  <c:v>20956333333.333344</c:v>
                </c:pt>
                <c:pt idx="12">
                  <c:v>1025333333.333334</c:v>
                </c:pt>
                <c:pt idx="13">
                  <c:v>132000000</c:v>
                </c:pt>
                <c:pt idx="14">
                  <c:v>2776333333.333333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F5E-4451-9F7A-6F03287AF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75141136"/>
        <c:axId val="275141528"/>
      </c:barChart>
      <c:catAx>
        <c:axId val="27514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1528"/>
        <c:crosses val="autoZero"/>
        <c:auto val="1"/>
        <c:lblAlgn val="ctr"/>
        <c:lblOffset val="100"/>
        <c:noMultiLvlLbl val="0"/>
      </c:catAx>
      <c:valAx>
        <c:axId val="275141528"/>
        <c:scaling>
          <c:orientation val="minMax"/>
          <c:min val="200000000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714285714285714E-2"/>
              <c:y val="0.254209735146743"/>
            </c:manualLayout>
          </c:layout>
          <c:overlay val="0"/>
        </c:title>
        <c:numFmt formatCode="#,###,,;\(#,###,,\);&quot;-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11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ko-KR" altLang="en-US" b="1">
                <a:solidFill>
                  <a:srgbClr val="00338D"/>
                </a:solidFill>
              </a:rPr>
              <a:t>제품별 매출 </a:t>
            </a:r>
            <a:r>
              <a:rPr lang="en-US" altLang="en-US" b="1">
                <a:solidFill>
                  <a:srgbClr val="00338D"/>
                </a:solidFill>
              </a:rPr>
              <a:t>Bridge</a:t>
            </a:r>
          </a:p>
        </c:rich>
      </c:tx>
      <c:layout>
        <c:manualLayout>
          <c:xMode val="edge"/>
          <c:yMode val="edge"/>
          <c:x val="2.0861875661448832E-2"/>
          <c:y val="2.74149430746054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8188679767019"/>
          <c:y val="0.1527158196134574"/>
          <c:w val="0.83968004731008783"/>
          <c:h val="0.5843301719290139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73-414A-AE0A-DDD181FB31AD}"/>
              </c:ext>
            </c:extLst>
          </c:dPt>
          <c:dPt>
            <c:idx val="2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73-414A-AE0A-DDD181FB31AD}"/>
              </c:ext>
            </c:extLst>
          </c:dPt>
          <c:dPt>
            <c:idx val="3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73-414A-AE0A-DDD181FB31AD}"/>
              </c:ext>
            </c:extLst>
          </c:dPt>
          <c:dPt>
            <c:idx val="4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73-414A-AE0A-DDD181FB31AD}"/>
              </c:ext>
            </c:extLst>
          </c:dPt>
          <c:dPt>
            <c:idx val="5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273-414A-AE0A-DDD181FB31A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0"/>
                </a:srgbClr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273-414A-AE0A-DDD181FB31AD}"/>
              </c:ext>
            </c:extLst>
          </c:dPt>
          <c:dPt>
            <c:idx val="8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273-414A-AE0A-DDD181FB31AD}"/>
              </c:ext>
            </c:extLst>
          </c:dPt>
          <c:dPt>
            <c:idx val="9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273-414A-AE0A-DDD181FB31AD}"/>
              </c:ext>
            </c:extLst>
          </c:dPt>
          <c:dPt>
            <c:idx val="10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273-414A-AE0A-DDD181FB31AD}"/>
              </c:ext>
            </c:extLst>
          </c:dPt>
          <c:dPt>
            <c:idx val="11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273-414A-AE0A-DDD181FB31AD}"/>
              </c:ext>
            </c:extLst>
          </c:dPt>
          <c:dPt>
            <c:idx val="13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273-414A-AE0A-DDD181FB31AD}"/>
              </c:ext>
            </c:extLst>
          </c:dPt>
          <c:dPt>
            <c:idx val="15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E273-414A-AE0A-DDD181FB31AD}"/>
              </c:ext>
            </c:extLst>
          </c:dPt>
          <c:dPt>
            <c:idx val="16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E273-414A-AE0A-DDD181FB31AD}"/>
              </c:ext>
            </c:extLst>
          </c:dPt>
          <c:dPt>
            <c:idx val="17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E273-414A-AE0A-DDD181FB31AD}"/>
              </c:ext>
            </c:extLst>
          </c:dPt>
          <c:dPt>
            <c:idx val="18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E273-414A-AE0A-DDD181FB31AD}"/>
              </c:ext>
            </c:extLst>
          </c:dPt>
          <c:dPt>
            <c:idx val="19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E273-414A-AE0A-DDD181FB31AD}"/>
              </c:ext>
            </c:extLst>
          </c:dPt>
          <c:dPt>
            <c:idx val="20"/>
            <c:invertIfNegative val="0"/>
            <c:bubble3D val="0"/>
            <c:spPr>
              <a:noFill/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E273-414A-AE0A-DDD181FB31AD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273-414A-AE0A-DDD181FB31AD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273-414A-AE0A-DDD181FB31AD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273-414A-AE0A-DDD181FB31AD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273-414A-AE0A-DDD181FB31AD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273-414A-AE0A-DDD181FB31AD}"/>
                </c:ext>
              </c:extLst>
            </c:dLbl>
            <c:numFmt formatCode="#,###,,;\(#,###,,\);&quot;-&quot;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'사업부별 상품별 bridge '!$J$4:$J$15</c:f>
              <c:strCache>
                <c:ptCount val="10"/>
                <c:pt idx="0">
                  <c:v>FY12</c:v>
                </c:pt>
                <c:pt idx="1">
                  <c:v>정밀화학</c:v>
                </c:pt>
                <c:pt idx="2">
                  <c:v>제네릭API</c:v>
                </c:pt>
                <c:pt idx="3">
                  <c:v>FY13</c:v>
                </c:pt>
                <c:pt idx="4">
                  <c:v>정밀화학</c:v>
                </c:pt>
                <c:pt idx="5">
                  <c:v>제네릭API</c:v>
                </c:pt>
                <c:pt idx="6">
                  <c:v>FY14</c:v>
                </c:pt>
                <c:pt idx="7">
                  <c:v>정밀화학</c:v>
                </c:pt>
                <c:pt idx="8">
                  <c:v>제네릭API</c:v>
                </c:pt>
                <c:pt idx="9">
                  <c:v>FY15(E)</c:v>
                </c:pt>
              </c:strCache>
            </c:strRef>
          </c:cat>
          <c:val>
            <c:numRef>
              <c:f>'사업부별 상품별 bridge '!$K$4:$K$15</c:f>
              <c:numCache>
                <c:formatCode>#,##0_);[Red]\(#,##0\)</c:formatCode>
                <c:ptCount val="12"/>
                <c:pt idx="0">
                  <c:v>17488000000</c:v>
                </c:pt>
                <c:pt idx="1">
                  <c:v>17488000000</c:v>
                </c:pt>
                <c:pt idx="2">
                  <c:v>17617000000</c:v>
                </c:pt>
                <c:pt idx="3">
                  <c:v>19984000000</c:v>
                </c:pt>
                <c:pt idx="4">
                  <c:v>19984000000</c:v>
                </c:pt>
                <c:pt idx="5">
                  <c:v>14958000000</c:v>
                </c:pt>
                <c:pt idx="6">
                  <c:v>14958000000</c:v>
                </c:pt>
                <c:pt idx="7">
                  <c:v>14958000000</c:v>
                </c:pt>
                <c:pt idx="8">
                  <c:v>18482333333.333336</c:v>
                </c:pt>
                <c:pt idx="9">
                  <c:v>19061333333.333336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273-414A-AE0A-DDD181FB31AD}"/>
            </c:ext>
          </c:extLst>
        </c:ser>
        <c:ser>
          <c:idx val="1"/>
          <c:order val="1"/>
          <c:spPr>
            <a:solidFill>
              <a:srgbClr val="F79646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BFDEE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E273-414A-AE0A-DDD181FB31AD}"/>
              </c:ext>
            </c:extLst>
          </c:dPt>
          <c:dPt>
            <c:idx val="2"/>
            <c:invertIfNegative val="0"/>
            <c:bubble3D val="0"/>
            <c:spPr>
              <a:solidFill>
                <a:srgbClr val="BFDEE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E273-414A-AE0A-DDD181FB31AD}"/>
              </c:ext>
            </c:extLst>
          </c:dPt>
          <c:dLbls>
            <c:dLbl>
              <c:idx val="4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E273-414A-AE0A-DDD181FB31AD}"/>
                </c:ext>
              </c:extLst>
            </c:dLbl>
            <c:dLbl>
              <c:idx val="5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E273-414A-AE0A-DDD181FB31AD}"/>
                </c:ext>
              </c:extLst>
            </c:dLbl>
            <c:dLbl>
              <c:idx val="7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E273-414A-AE0A-DDD181FB31AD}"/>
                </c:ext>
              </c:extLst>
            </c:dLbl>
            <c:dLbl>
              <c:idx val="8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E273-414A-AE0A-DDD181FB31AD}"/>
                </c:ext>
              </c:extLst>
            </c:dLbl>
            <c:dLbl>
              <c:idx val="9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E273-414A-AE0A-DDD181FB31AD}"/>
                </c:ext>
              </c:extLst>
            </c:dLbl>
            <c:dLbl>
              <c:idx val="10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E273-414A-AE0A-DDD181FB31AD}"/>
                </c:ext>
              </c:extLst>
            </c:dLbl>
            <c:dLbl>
              <c:idx val="11"/>
              <c:numFmt formatCode="\(#,###,,\)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E273-414A-AE0A-DDD181FB31AD}"/>
                </c:ext>
              </c:extLst>
            </c:dLbl>
            <c:numFmt formatCode="#,###,,;\(#,###,,\);&quot;-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'사업부별 상품별 bridge '!$J$4:$J$15</c:f>
              <c:strCache>
                <c:ptCount val="10"/>
                <c:pt idx="0">
                  <c:v>FY12</c:v>
                </c:pt>
                <c:pt idx="1">
                  <c:v>정밀화학</c:v>
                </c:pt>
                <c:pt idx="2">
                  <c:v>제네릭API</c:v>
                </c:pt>
                <c:pt idx="3">
                  <c:v>FY13</c:v>
                </c:pt>
                <c:pt idx="4">
                  <c:v>정밀화학</c:v>
                </c:pt>
                <c:pt idx="5">
                  <c:v>제네릭API</c:v>
                </c:pt>
                <c:pt idx="6">
                  <c:v>FY14</c:v>
                </c:pt>
                <c:pt idx="7">
                  <c:v>정밀화학</c:v>
                </c:pt>
                <c:pt idx="8">
                  <c:v>제네릭API</c:v>
                </c:pt>
                <c:pt idx="9">
                  <c:v>FY15(E)</c:v>
                </c:pt>
              </c:strCache>
            </c:strRef>
          </c:cat>
          <c:val>
            <c:numRef>
              <c:f>'사업부별 상품별 bridge '!$L$4:$L$15</c:f>
              <c:numCache>
                <c:formatCode>#,##0_);[Red]\(#,##0\)</c:formatCode>
                <c:ptCount val="12"/>
                <c:pt idx="1">
                  <c:v>129000000</c:v>
                </c:pt>
                <c:pt idx="2">
                  <c:v>2367000000</c:v>
                </c:pt>
                <c:pt idx="4">
                  <c:v>5614000000</c:v>
                </c:pt>
                <c:pt idx="5">
                  <c:v>10640000000</c:v>
                </c:pt>
                <c:pt idx="7">
                  <c:v>3524333333.333334</c:v>
                </c:pt>
                <c:pt idx="8">
                  <c:v>579000000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E273-414A-AE0A-DDD181FB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75144056"/>
        <c:axId val="275144448"/>
      </c:barChart>
      <c:catAx>
        <c:axId val="275144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aseline="0">
                <a:latin typeface="맑은 고딕" pitchFamily="50" charset="-127"/>
                <a:ea typeface="맑은 고딕" pitchFamily="50" charset="-127"/>
              </a:defRPr>
            </a:pPr>
            <a:endParaRPr lang="ko-KR"/>
          </a:p>
        </c:txPr>
        <c:crossAx val="275144448"/>
        <c:crosses val="autoZero"/>
        <c:auto val="1"/>
        <c:lblAlgn val="ctr"/>
        <c:lblOffset val="100"/>
        <c:noMultiLvlLbl val="0"/>
      </c:catAx>
      <c:valAx>
        <c:axId val="275144448"/>
        <c:scaling>
          <c:orientation val="minMax"/>
          <c:max val="300000000000"/>
          <c:min val="1000000000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458940455147192E-2"/>
              <c:y val="0.30926453620232391"/>
            </c:manualLayout>
          </c:layout>
          <c:overlay val="0"/>
        </c:title>
        <c:numFmt formatCode="#,###,,;\(#,###,,\);&quot;-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751440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맑은 고딕" pitchFamily="50" charset="-127"/>
          <a:ea typeface="맑은 고딕" pitchFamily="50" charset="-127"/>
          <a:cs typeface="Arial"/>
        </a:defRPr>
      </a:pPr>
      <a:endParaRPr lang="ko-KR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연도별 사업부별 제품매출</a:t>
            </a:r>
            <a:endParaRPr lang="en-US"/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14855515356667"/>
          <c:y val="0.18394309234073014"/>
          <c:w val="0.82789265777423382"/>
          <c:h val="0.5915561918396563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59-43C2-AE06-6CCC9191F1F8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59-43C2-AE06-6CCC9191F1F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359-43C2-AE06-6CCC9191F1F8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359-43C2-AE06-6CCC9191F1F8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359-43C2-AE06-6CCC9191F1F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A359-43C2-AE06-6CCC9191F1F8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359-43C2-AE06-6CCC9191F1F8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359-43C2-AE06-6CCC9191F1F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A359-43C2-AE06-6CCC9191F1F8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A359-43C2-AE06-6CCC9191F1F8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359-43C2-AE06-6CCC9191F1F8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359-43C2-AE06-6CCC9191F1F8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359-43C2-AE06-6CCC9191F1F8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A359-43C2-AE06-6CCC9191F1F8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A359-43C2-AE06-6CCC9191F1F8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359-43C2-AE06-6CCC9191F1F8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59-43C2-AE06-6CCC9191F1F8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59-43C2-AE06-6CCC9191F1F8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59-43C2-AE06-6CCC9191F1F8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359-43C2-AE06-6CCC9191F1F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359-43C2-AE06-6CCC9191F1F8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359-43C2-AE06-6CCC9191F1F8}"/>
                </c:ext>
              </c:extLst>
            </c:dLbl>
            <c:numFmt formatCode="#,##0,,;\(#,##0,,\);\-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'사업부별 상품별 bridge '!$J$4:$J$13</c:f>
              <c:strCache>
                <c:ptCount val="10"/>
                <c:pt idx="0">
                  <c:v>FY12</c:v>
                </c:pt>
                <c:pt idx="1">
                  <c:v>정밀화학</c:v>
                </c:pt>
                <c:pt idx="2">
                  <c:v>제네릭API</c:v>
                </c:pt>
                <c:pt idx="3">
                  <c:v>FY13</c:v>
                </c:pt>
                <c:pt idx="4">
                  <c:v>정밀화학</c:v>
                </c:pt>
                <c:pt idx="5">
                  <c:v>제네릭API</c:v>
                </c:pt>
                <c:pt idx="6">
                  <c:v>FY14</c:v>
                </c:pt>
                <c:pt idx="7">
                  <c:v>정밀화학</c:v>
                </c:pt>
                <c:pt idx="8">
                  <c:v>제네릭API</c:v>
                </c:pt>
                <c:pt idx="9">
                  <c:v>FY15(E)</c:v>
                </c:pt>
              </c:strCache>
            </c:strRef>
          </c:cat>
          <c:val>
            <c:numRef>
              <c:f>'사업부별 상품별 bridge '!$K$4:$K$13</c:f>
              <c:numCache>
                <c:formatCode>#,##0_);[Red]\(#,##0\)</c:formatCode>
                <c:ptCount val="10"/>
                <c:pt idx="0">
                  <c:v>17488000000</c:v>
                </c:pt>
                <c:pt idx="1">
                  <c:v>17488000000</c:v>
                </c:pt>
                <c:pt idx="2">
                  <c:v>17617000000</c:v>
                </c:pt>
                <c:pt idx="3">
                  <c:v>19984000000</c:v>
                </c:pt>
                <c:pt idx="4">
                  <c:v>19984000000</c:v>
                </c:pt>
                <c:pt idx="5">
                  <c:v>14958000000</c:v>
                </c:pt>
                <c:pt idx="6">
                  <c:v>14958000000</c:v>
                </c:pt>
                <c:pt idx="7">
                  <c:v>14958000000</c:v>
                </c:pt>
                <c:pt idx="8">
                  <c:v>18482333333.333336</c:v>
                </c:pt>
                <c:pt idx="9">
                  <c:v>19061333333.333336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359-43C2-AE06-6CCC9191F1F8}"/>
            </c:ext>
          </c:extLst>
        </c:ser>
        <c:ser>
          <c:idx val="1"/>
          <c:order val="1"/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A359-43C2-AE06-6CCC9191F1F8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A359-43C2-AE06-6CCC9191F1F8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A359-43C2-AE06-6CCC9191F1F8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A359-43C2-AE06-6CCC9191F1F8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E7B5CF5D-FCAF-4C40-A073-4C1A7D589624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C-A359-43C2-AE06-6CCC9191F1F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3C9DAD3C-92F5-4C92-9FC1-2CE105A0F4E1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E-A359-43C2-AE06-6CCC9191F1F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101EEC8E-29E8-47D1-AE5B-257C9646E352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0-A359-43C2-AE06-6CCC9191F1F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 altLang="ko-KR"/>
                      <a:t>(</a:t>
                    </a:r>
                    <a:fld id="{A39522B2-F638-4AEB-8B1C-DA574FF88324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2-A359-43C2-AE06-6CCC9191F1F8}"/>
                </c:ext>
              </c:extLst>
            </c:dLbl>
            <c:numFmt formatCode="#,##0,,;\(#,##0,,\);\-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'사업부별 상품별 bridge '!$J$4:$J$13</c:f>
              <c:strCache>
                <c:ptCount val="10"/>
                <c:pt idx="0">
                  <c:v>FY12</c:v>
                </c:pt>
                <c:pt idx="1">
                  <c:v>정밀화학</c:v>
                </c:pt>
                <c:pt idx="2">
                  <c:v>제네릭API</c:v>
                </c:pt>
                <c:pt idx="3">
                  <c:v>FY13</c:v>
                </c:pt>
                <c:pt idx="4">
                  <c:v>정밀화학</c:v>
                </c:pt>
                <c:pt idx="5">
                  <c:v>제네릭API</c:v>
                </c:pt>
                <c:pt idx="6">
                  <c:v>FY14</c:v>
                </c:pt>
                <c:pt idx="7">
                  <c:v>정밀화학</c:v>
                </c:pt>
                <c:pt idx="8">
                  <c:v>제네릭API</c:v>
                </c:pt>
                <c:pt idx="9">
                  <c:v>FY15(E)</c:v>
                </c:pt>
              </c:strCache>
            </c:strRef>
          </c:cat>
          <c:val>
            <c:numRef>
              <c:f>'사업부별 상품별 bridge '!$L$4:$L$13</c:f>
              <c:numCache>
                <c:formatCode>#,##0_);[Red]\(#,##0\)</c:formatCode>
                <c:ptCount val="10"/>
                <c:pt idx="1">
                  <c:v>129000000</c:v>
                </c:pt>
                <c:pt idx="2">
                  <c:v>2367000000</c:v>
                </c:pt>
                <c:pt idx="4">
                  <c:v>5614000000</c:v>
                </c:pt>
                <c:pt idx="5">
                  <c:v>10640000000</c:v>
                </c:pt>
                <c:pt idx="7">
                  <c:v>3524333333.333334</c:v>
                </c:pt>
                <c:pt idx="8">
                  <c:v>579000000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359-43C2-AE06-6CCC9191F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75145624"/>
        <c:axId val="275146016"/>
      </c:barChart>
      <c:catAx>
        <c:axId val="275145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6016"/>
        <c:crosses val="autoZero"/>
        <c:auto val="1"/>
        <c:lblAlgn val="ctr"/>
        <c:lblOffset val="100"/>
        <c:noMultiLvlLbl val="0"/>
      </c:catAx>
      <c:valAx>
        <c:axId val="27514601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714285714285714E-2"/>
              <c:y val="0.254209735146743"/>
            </c:manualLayout>
          </c:layout>
          <c:overlay val="0"/>
        </c:title>
        <c:numFmt formatCode="#,###,,;\(#,###,,\);&quot;-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56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사업부문별 제품매출 및 매출총이익</a:t>
            </a:r>
            <a:r>
              <a:rPr lang="en-US" altLang="ko-KR"/>
              <a:t>%</a:t>
            </a:r>
            <a:endParaRPr lang="en-US"/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15950506186725"/>
          <c:y val="0.15212491052254831"/>
          <c:w val="0.46749516310461198"/>
          <c:h val="0.423958482462419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매출!$H$5</c:f>
              <c:strCache>
                <c:ptCount val="1"/>
                <c:pt idx="0">
                  <c:v>CMO신약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매출!$I$2:$L$2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매출!$I$5:$L$5</c:f>
              <c:numCache>
                <c:formatCode>#,##0,,;\(#,##0,,\);\-</c:formatCode>
                <c:ptCount val="4"/>
                <c:pt idx="0">
                  <c:v>16330000000</c:v>
                </c:pt>
                <c:pt idx="1">
                  <c:v>43185000000</c:v>
                </c:pt>
                <c:pt idx="2">
                  <c:v>53845000000</c:v>
                </c:pt>
                <c:pt idx="3">
                  <c:v>56101000000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5-45EB-864E-C7BB5E7B6B25}"/>
            </c:ext>
          </c:extLst>
        </c:ser>
        <c:ser>
          <c:idx val="1"/>
          <c:order val="1"/>
          <c:tx>
            <c:strRef>
              <c:f>매출!$H$6</c:f>
              <c:strCache>
                <c:ptCount val="1"/>
                <c:pt idx="0">
                  <c:v>정밀화학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매출!$I$2:$L$2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매출!$I$6:$L$6</c:f>
              <c:numCache>
                <c:formatCode>#,##0,,;\(#,##0,,\);\-</c:formatCode>
                <c:ptCount val="4"/>
                <c:pt idx="0">
                  <c:v>33388000000</c:v>
                </c:pt>
                <c:pt idx="1">
                  <c:v>7242000000</c:v>
                </c:pt>
                <c:pt idx="2">
                  <c:v>10784000000</c:v>
                </c:pt>
                <c:pt idx="3">
                  <c:v>8857000000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5-45EB-864E-C7BB5E7B6B25}"/>
            </c:ext>
          </c:extLst>
        </c:ser>
        <c:ser>
          <c:idx val="2"/>
          <c:order val="2"/>
          <c:tx>
            <c:strRef>
              <c:f>매출!$H$7</c:f>
              <c:strCache>
                <c:ptCount val="1"/>
                <c:pt idx="0">
                  <c:v>제네릭API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매출!$I$2:$L$2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매출!$I$7:$L$7</c:f>
              <c:numCache>
                <c:formatCode>#,##0,,;\(#,##0,,\);\-</c:formatCode>
                <c:ptCount val="4"/>
                <c:pt idx="0">
                  <c:v>10176000000</c:v>
                </c:pt>
                <c:pt idx="1">
                  <c:v>9445000000</c:v>
                </c:pt>
                <c:pt idx="2">
                  <c:v>11504000000</c:v>
                </c:pt>
                <c:pt idx="3">
                  <c:v>8529000000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35-45EB-864E-C7BB5E7B6B25}"/>
            </c:ext>
          </c:extLst>
        </c:ser>
        <c:ser>
          <c:idx val="3"/>
          <c:order val="3"/>
          <c:tx>
            <c:strRef>
              <c:f>매출!$H$8</c:f>
              <c:strCache>
                <c:ptCount val="1"/>
                <c:pt idx="0">
                  <c:v>바이오사업</c:v>
                </c:pt>
              </c:strCache>
            </c:strRef>
          </c:tx>
          <c:spPr>
            <a:solidFill>
              <a:srgbClr val="E3C9E3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매출!$I$2:$L$2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매출!$I$8:$L$8</c:f>
              <c:numCache>
                <c:formatCode>#,##0,,;\(#,##0,,\);\-</c:formatCode>
                <c:ptCount val="4"/>
                <c:pt idx="0">
                  <c:v>5602000000</c:v>
                </c:pt>
                <c:pt idx="1">
                  <c:v>4400000000</c:v>
                </c:pt>
                <c:pt idx="2">
                  <c:v>5449000000</c:v>
                </c:pt>
                <c:pt idx="3">
                  <c:v>6169000000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35-45EB-864E-C7BB5E7B6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75146800"/>
        <c:axId val="274578872"/>
      </c:barChart>
      <c:lineChart>
        <c:grouping val="standard"/>
        <c:varyColors val="0"/>
        <c:ser>
          <c:idx val="4"/>
          <c:order val="4"/>
          <c:tx>
            <c:strRef>
              <c:f>매출!$H$9</c:f>
              <c:strCache>
                <c:ptCount val="1"/>
                <c:pt idx="0">
                  <c:v>제품 매출총이익%</c:v>
                </c:pt>
              </c:strCache>
            </c:strRef>
          </c:tx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매출!$I$9:$L$9</c:f>
              <c:numCache>
                <c:formatCode>0.0%;\(0.0%\);\-</c:formatCode>
                <c:ptCount val="4"/>
                <c:pt idx="0">
                  <c:v>0.22734223578472929</c:v>
                </c:pt>
                <c:pt idx="1">
                  <c:v>0.25679600522036194</c:v>
                </c:pt>
                <c:pt idx="2">
                  <c:v>0.23088554943497047</c:v>
                </c:pt>
                <c:pt idx="3">
                  <c:v>0.43019200071861358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5-45EB-864E-C7BB5E7B6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79656"/>
        <c:axId val="274579264"/>
      </c:lineChart>
      <c:catAx>
        <c:axId val="27514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anchor="t" anchorCtr="0"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4578872"/>
        <c:crosses val="autoZero"/>
        <c:auto val="1"/>
        <c:lblAlgn val="ctr"/>
        <c:lblOffset val="100"/>
        <c:noMultiLvlLbl val="0"/>
      </c:catAx>
      <c:valAx>
        <c:axId val="2745788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714285714285714E-2"/>
              <c:y val="0.32041088045812455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6800"/>
        <c:crosses val="autoZero"/>
        <c:crossBetween val="between"/>
      </c:valAx>
      <c:valAx>
        <c:axId val="27457926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altLang="ko-KR" b="0">
                    <a:solidFill>
                      <a:srgbClr val="000000"/>
                    </a:solidFill>
                  </a:defRPr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0.0%;\(0.0%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74579656"/>
        <c:crosses val="max"/>
        <c:crossBetween val="between"/>
        <c:majorUnit val="0.1"/>
      </c:valAx>
      <c:catAx>
        <c:axId val="274579656"/>
        <c:scaling>
          <c:orientation val="minMax"/>
        </c:scaling>
        <c:delete val="1"/>
        <c:axPos val="b"/>
        <c:majorTickMark val="out"/>
        <c:minorTickMark val="none"/>
        <c:tickLblPos val="nextTo"/>
        <c:crossAx val="2745792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3428571428571429"/>
          <c:y val="0.83181818181818179"/>
          <c:w val="0.58955748031496058"/>
          <c:h val="0.119050823192555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사업부문별 상품매출 및 매출총이익</a:t>
            </a:r>
            <a:r>
              <a:rPr lang="en-US" altLang="ko-KR"/>
              <a:t>%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793285214348207"/>
          <c:y val="0.15496269082886605"/>
          <c:w val="0.4502036307961505"/>
          <c:h val="0.436330291164427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매출!$H$12</c:f>
              <c:strCache>
                <c:ptCount val="1"/>
                <c:pt idx="0">
                  <c:v>정밀화학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매출!$I$2:$L$2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매출!$I$12:$L$12</c:f>
              <c:numCache>
                <c:formatCode>#,##0,,;\(#,##0,,\);\-</c:formatCode>
                <c:ptCount val="4"/>
                <c:pt idx="0">
                  <c:v>7702000000</c:v>
                </c:pt>
                <c:pt idx="1">
                  <c:v>7831000000</c:v>
                </c:pt>
                <c:pt idx="2">
                  <c:v>13445000000</c:v>
                </c:pt>
                <c:pt idx="3">
                  <c:v>12727000000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2-4D06-B90E-9A98FB7028EA}"/>
            </c:ext>
          </c:extLst>
        </c:ser>
        <c:ser>
          <c:idx val="1"/>
          <c:order val="1"/>
          <c:tx>
            <c:strRef>
              <c:f>매출!$H$13</c:f>
              <c:strCache>
                <c:ptCount val="1"/>
                <c:pt idx="0">
                  <c:v>제네릭API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매출!$I$2:$L$2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매출!$I$13:$L$13</c:f>
              <c:numCache>
                <c:formatCode>#,##0,,;\(#,##0,,\);\-</c:formatCode>
                <c:ptCount val="4"/>
                <c:pt idx="0">
                  <c:v>9786000000</c:v>
                </c:pt>
                <c:pt idx="1">
                  <c:v>12153000000</c:v>
                </c:pt>
                <c:pt idx="2">
                  <c:v>1513000000</c:v>
                </c:pt>
                <c:pt idx="3">
                  <c:v>1569000000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F2-4D06-B90E-9A98FB702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75145232"/>
        <c:axId val="275143664"/>
      </c:barChart>
      <c:lineChart>
        <c:grouping val="standard"/>
        <c:varyColors val="0"/>
        <c:ser>
          <c:idx val="2"/>
          <c:order val="2"/>
          <c:tx>
            <c:strRef>
              <c:f>매출!$H$14</c:f>
              <c:strCache>
                <c:ptCount val="1"/>
                <c:pt idx="0">
                  <c:v>상품 매출총이익%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매출!$I$14:$L$14</c:f>
              <c:numCache>
                <c:formatCode>0.0%;\(0.0%\);\-</c:formatCode>
                <c:ptCount val="4"/>
                <c:pt idx="0">
                  <c:v>0.20240879034781134</c:v>
                </c:pt>
                <c:pt idx="1">
                  <c:v>0.22818068032919986</c:v>
                </c:pt>
                <c:pt idx="2">
                  <c:v>0.11083298435417968</c:v>
                </c:pt>
                <c:pt idx="3">
                  <c:v>0.10693506988477799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F2-4D06-B90E-9A98FB702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80440"/>
        <c:axId val="275143272"/>
      </c:lineChart>
      <c:catAx>
        <c:axId val="27514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3664"/>
        <c:crosses val="autoZero"/>
        <c:auto val="1"/>
        <c:lblAlgn val="ctr"/>
        <c:lblOffset val="100"/>
        <c:noMultiLvlLbl val="0"/>
      </c:catAx>
      <c:valAx>
        <c:axId val="2751436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000000000000001E-2"/>
              <c:y val="0.32634441528142316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5232"/>
        <c:crosses val="autoZero"/>
        <c:crossBetween val="between"/>
      </c:valAx>
      <c:valAx>
        <c:axId val="275143272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altLang="ko-KR" b="0">
                    <a:solidFill>
                      <a:srgbClr val="000000"/>
                    </a:solidFill>
                  </a:defRPr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0.0%;\(0.0%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74580440"/>
        <c:crosses val="max"/>
        <c:crossBetween val="between"/>
      </c:valAx>
      <c:catAx>
        <c:axId val="274580440"/>
        <c:scaling>
          <c:orientation val="minMax"/>
        </c:scaling>
        <c:delete val="1"/>
        <c:axPos val="b"/>
        <c:majorTickMark val="out"/>
        <c:minorTickMark val="none"/>
        <c:tickLblPos val="nextTo"/>
        <c:crossAx val="27514327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5303893263342083"/>
          <c:y val="0.84721758495503885"/>
          <c:w val="0.51614457567804028"/>
          <c:h val="9.196895871123260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매출 제품</a:t>
            </a:r>
            <a:r>
              <a:rPr lang="en-US" altLang="ko-KR"/>
              <a:t>/</a:t>
            </a:r>
            <a:r>
              <a:rPr lang="ko-KR" altLang="en-US"/>
              <a:t>상품 </a:t>
            </a:r>
            <a:r>
              <a:rPr lang="en-US" altLang="ko-KR"/>
              <a:t>Mix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029396325459317"/>
          <c:y val="0.1873494459025955"/>
          <c:w val="0.49081714785651792"/>
          <c:h val="0.511786599591717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매출!$B$15</c:f>
              <c:strCache>
                <c:ptCount val="1"/>
                <c:pt idx="0">
                  <c:v>제품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매출!$C$14:$F$14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9개월</c:v>
                </c:pt>
              </c:strCache>
            </c:strRef>
          </c:cat>
          <c:val>
            <c:numRef>
              <c:f>매출!$C$15:$F$15</c:f>
              <c:numCache>
                <c:formatCode>#,##0,,;\(#,##0,,\);\-</c:formatCode>
                <c:ptCount val="4"/>
                <c:pt idx="0">
                  <c:v>65496000000</c:v>
                </c:pt>
                <c:pt idx="1">
                  <c:v>64272000000</c:v>
                </c:pt>
                <c:pt idx="2">
                  <c:v>81582000000</c:v>
                </c:pt>
                <c:pt idx="3">
                  <c:v>79656000000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C-404D-86DD-E4F873552D01}"/>
            </c:ext>
          </c:extLst>
        </c:ser>
        <c:ser>
          <c:idx val="1"/>
          <c:order val="1"/>
          <c:tx>
            <c:strRef>
              <c:f>매출!$B$16</c:f>
              <c:strCache>
                <c:ptCount val="1"/>
                <c:pt idx="0">
                  <c:v>상품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매출!$C$14:$F$14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9개월</c:v>
                </c:pt>
              </c:strCache>
            </c:strRef>
          </c:cat>
          <c:val>
            <c:numRef>
              <c:f>매출!$C$16:$F$16</c:f>
              <c:numCache>
                <c:formatCode>#,##0,,;\(#,##0,,\);\-</c:formatCode>
                <c:ptCount val="4"/>
                <c:pt idx="0">
                  <c:v>17488000000</c:v>
                </c:pt>
                <c:pt idx="1">
                  <c:v>19984000000</c:v>
                </c:pt>
                <c:pt idx="2">
                  <c:v>14958000000</c:v>
                </c:pt>
                <c:pt idx="3">
                  <c:v>14296000000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C-404D-86DD-E4F873552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74581224"/>
        <c:axId val="274581616"/>
      </c:barChart>
      <c:catAx>
        <c:axId val="274581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4581616"/>
        <c:crosses val="autoZero"/>
        <c:auto val="1"/>
        <c:lblAlgn val="ctr"/>
        <c:lblOffset val="100"/>
        <c:noMultiLvlLbl val="0"/>
      </c:catAx>
      <c:valAx>
        <c:axId val="2745816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000000000000001E-2"/>
              <c:y val="0.32634441528142316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458122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3097288343641496"/>
          <c:y val="0.85185185185185186"/>
          <c:w val="0.16162332649595271"/>
          <c:h val="6.87295858850976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사업부별 제품매출</a:t>
            </a:r>
            <a:endParaRPr lang="en-US"/>
          </a:p>
        </c:rich>
      </c:tx>
      <c:layout>
        <c:manualLayout>
          <c:xMode val="edge"/>
          <c:yMode val="edge"/>
          <c:x val="2.0004532752506098E-2"/>
          <c:y val="1.78133559636692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1316562045015156"/>
          <c:y val="0.15193500727030465"/>
          <c:w val="0.64010827216912347"/>
          <c:h val="0.592091766455335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'매출 (2)'!$C$28</c:f>
              <c:strCache>
                <c:ptCount val="1"/>
                <c:pt idx="0">
                  <c:v>CMO신약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(2)'!$D$28:$G$28</c:f>
              <c:numCache>
                <c:formatCode>#,##0,,;\(#,##0,,\);\-</c:formatCode>
                <c:ptCount val="4"/>
                <c:pt idx="0">
                  <c:v>16330000000</c:v>
                </c:pt>
                <c:pt idx="1">
                  <c:v>43185000000</c:v>
                </c:pt>
                <c:pt idx="2">
                  <c:v>53845000000</c:v>
                </c:pt>
                <c:pt idx="3">
                  <c:v>56101000000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E-4879-9663-9DC322239F3D}"/>
            </c:ext>
          </c:extLst>
        </c:ser>
        <c:ser>
          <c:idx val="1"/>
          <c:order val="1"/>
          <c:tx>
            <c:strRef>
              <c:f>'매출 (2)'!$C$29</c:f>
              <c:strCache>
                <c:ptCount val="1"/>
                <c:pt idx="0">
                  <c:v>정밀화학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(2)'!$D$29:$G$29</c:f>
              <c:numCache>
                <c:formatCode>#,##0,,;\(#,##0,,\);\-</c:formatCode>
                <c:ptCount val="4"/>
                <c:pt idx="0">
                  <c:v>33388000000</c:v>
                </c:pt>
                <c:pt idx="1">
                  <c:v>7242000000</c:v>
                </c:pt>
                <c:pt idx="2">
                  <c:v>10784000000</c:v>
                </c:pt>
                <c:pt idx="3">
                  <c:v>8857000000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E-4879-9663-9DC322239F3D}"/>
            </c:ext>
          </c:extLst>
        </c:ser>
        <c:ser>
          <c:idx val="2"/>
          <c:order val="2"/>
          <c:tx>
            <c:strRef>
              <c:f>'매출 (2)'!$C$30</c:f>
              <c:strCache>
                <c:ptCount val="1"/>
                <c:pt idx="0">
                  <c:v>제네릭API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(2)'!$D$30:$G$30</c:f>
              <c:numCache>
                <c:formatCode>#,##0,,;\(#,##0,,\);\-</c:formatCode>
                <c:ptCount val="4"/>
                <c:pt idx="0">
                  <c:v>10176000000</c:v>
                </c:pt>
                <c:pt idx="1">
                  <c:v>9445000000</c:v>
                </c:pt>
                <c:pt idx="2">
                  <c:v>11504000000</c:v>
                </c:pt>
                <c:pt idx="3">
                  <c:v>8529000000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E-4879-9663-9DC322239F3D}"/>
            </c:ext>
          </c:extLst>
        </c:ser>
        <c:ser>
          <c:idx val="3"/>
          <c:order val="3"/>
          <c:tx>
            <c:strRef>
              <c:f>'매출 (2)'!$C$31</c:f>
              <c:strCache>
                <c:ptCount val="1"/>
                <c:pt idx="0">
                  <c:v>바이오사업</c:v>
                </c:pt>
              </c:strCache>
            </c:strRef>
          </c:tx>
          <c:spPr>
            <a:solidFill>
              <a:srgbClr val="E3C9E3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(2)'!$D$31:$G$31</c:f>
              <c:numCache>
                <c:formatCode>#,##0,,;\(#,##0,,\);\-</c:formatCode>
                <c:ptCount val="4"/>
                <c:pt idx="0">
                  <c:v>5602000000</c:v>
                </c:pt>
                <c:pt idx="1">
                  <c:v>4400000000</c:v>
                </c:pt>
                <c:pt idx="2">
                  <c:v>5449000000</c:v>
                </c:pt>
                <c:pt idx="3">
                  <c:v>6169000000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879-9663-9DC32223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74582400"/>
        <c:axId val="275142704"/>
      </c:barChart>
      <c:lineChart>
        <c:grouping val="standard"/>
        <c:varyColors val="0"/>
        <c:ser>
          <c:idx val="4"/>
          <c:order val="4"/>
          <c:tx>
            <c:strRef>
              <c:f>'매출 (2)'!$C$38</c:f>
              <c:strCache>
                <c:ptCount val="1"/>
                <c:pt idx="0">
                  <c:v>제품매출총이익률</c:v>
                </c:pt>
              </c:strCache>
            </c:strRef>
          </c:tx>
          <c:spPr>
            <a:ln w="952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7.3956561830664555E-2"/>
                  <c:y val="-1.8011776439816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6E-4879-9663-9DC322239F3D}"/>
                </c:ext>
              </c:extLst>
            </c:dLbl>
            <c:dLbl>
              <c:idx val="1"/>
              <c:layout>
                <c:manualLayout>
                  <c:x val="-4.2730483689538863E-2"/>
                  <c:y val="4.0483894058697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6E-4879-9663-9DC322239F3D}"/>
                </c:ext>
              </c:extLst>
            </c:dLbl>
            <c:dLbl>
              <c:idx val="2"/>
              <c:layout>
                <c:manualLayout>
                  <c:x val="-3.3969178852643417E-2"/>
                  <c:y val="2.3109878310665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6E-4879-9663-9DC322239F3D}"/>
                </c:ext>
              </c:extLst>
            </c:dLbl>
            <c:dLbl>
              <c:idx val="3"/>
              <c:layout>
                <c:manualLayout>
                  <c:x val="-5.1200696651998542E-2"/>
                  <c:y val="-4.05264969895868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6E-4879-9663-9DC322239F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(2)'!$D$38:$G$38</c:f>
              <c:numCache>
                <c:formatCode>0.0%</c:formatCode>
                <c:ptCount val="4"/>
                <c:pt idx="0">
                  <c:v>0.22734223578472929</c:v>
                </c:pt>
                <c:pt idx="1">
                  <c:v>0.25679600522036194</c:v>
                </c:pt>
                <c:pt idx="2">
                  <c:v>0.23088554943497047</c:v>
                </c:pt>
                <c:pt idx="3">
                  <c:v>0.43019200071861358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6E-4879-9663-9DC32223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844256"/>
        <c:axId val="275142312"/>
      </c:lineChart>
      <c:catAx>
        <c:axId val="27458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5142704"/>
        <c:crosses val="autoZero"/>
        <c:auto val="1"/>
        <c:lblAlgn val="ctr"/>
        <c:lblOffset val="100"/>
        <c:noMultiLvlLbl val="0"/>
      </c:catAx>
      <c:valAx>
        <c:axId val="2751427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714285714285714E-2"/>
              <c:y val="0.30928596993557622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4582400"/>
        <c:crosses val="autoZero"/>
        <c:crossBetween val="between"/>
      </c:valAx>
      <c:valAx>
        <c:axId val="275142312"/>
        <c:scaling>
          <c:orientation val="minMax"/>
          <c:max val="0.5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74844256"/>
        <c:crosses val="max"/>
        <c:crossBetween val="between"/>
        <c:majorUnit val="0.1"/>
      </c:valAx>
      <c:catAx>
        <c:axId val="27484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514231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7.0482932765153439E-2"/>
          <c:y val="0.86855374299251487"/>
          <c:w val="0.80498873069531041"/>
          <c:h val="0.104428592347760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사업부별 상품매출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12661854768154"/>
          <c:y val="0.18873721420976622"/>
          <c:w val="0.6418702974628171"/>
          <c:h val="0.542019427824601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'매출 (2)'!$C$33</c:f>
              <c:strCache>
                <c:ptCount val="1"/>
                <c:pt idx="0">
                  <c:v>정밀화학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(2)'!$D$33:$G$33</c:f>
              <c:numCache>
                <c:formatCode>#,##0,,;\(#,##0,,\);\-</c:formatCode>
                <c:ptCount val="4"/>
                <c:pt idx="0">
                  <c:v>7702000000</c:v>
                </c:pt>
                <c:pt idx="1">
                  <c:v>7831000000</c:v>
                </c:pt>
                <c:pt idx="2">
                  <c:v>13445000000</c:v>
                </c:pt>
                <c:pt idx="3">
                  <c:v>12727000000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C-4CE7-B67E-13BF1E59C65D}"/>
            </c:ext>
          </c:extLst>
        </c:ser>
        <c:ser>
          <c:idx val="1"/>
          <c:order val="1"/>
          <c:tx>
            <c:strRef>
              <c:f>'매출 (2)'!$C$34</c:f>
              <c:strCache>
                <c:ptCount val="1"/>
                <c:pt idx="0">
                  <c:v>제네릭API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(2)'!$D$34:$G$34</c:f>
              <c:numCache>
                <c:formatCode>#,##0,,;\(#,##0,,\);\-</c:formatCode>
                <c:ptCount val="4"/>
                <c:pt idx="0">
                  <c:v>9786000000</c:v>
                </c:pt>
                <c:pt idx="1">
                  <c:v>12153000000</c:v>
                </c:pt>
                <c:pt idx="2">
                  <c:v>1513000000</c:v>
                </c:pt>
                <c:pt idx="3">
                  <c:v>1569000000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C-4CE7-B67E-13BF1E59C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74845040"/>
        <c:axId val="274845432"/>
      </c:barChart>
      <c:lineChart>
        <c:grouping val="standard"/>
        <c:varyColors val="0"/>
        <c:ser>
          <c:idx val="2"/>
          <c:order val="2"/>
          <c:tx>
            <c:strRef>
              <c:f>'매출 (2)'!$C$39</c:f>
              <c:strCache>
                <c:ptCount val="1"/>
                <c:pt idx="0">
                  <c:v>상품매출총이익률</c:v>
                </c:pt>
              </c:strCache>
            </c:strRef>
          </c:tx>
          <c:spPr>
            <a:ln w="9525">
              <a:solidFill>
                <a:srgbClr val="C00000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layout>
                <c:manualLayout>
                  <c:x val="-5.4022498886211454E-2"/>
                  <c:y val="2.12548140945054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7C-4CE7-B67E-13BF1E59C65D}"/>
                </c:ext>
              </c:extLst>
            </c:dLbl>
            <c:dLbl>
              <c:idx val="3"/>
              <c:layout>
                <c:manualLayout>
                  <c:x val="-5.7049810721498992E-2"/>
                  <c:y val="2.6082688951427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7C-4CE7-B67E-13BF1E59C6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'매출 (2)'!$D$26:$G$26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'매출 (2)'!$D$39:$G$39</c:f>
              <c:numCache>
                <c:formatCode>0.0%</c:formatCode>
                <c:ptCount val="4"/>
                <c:pt idx="0">
                  <c:v>0.20240879034781134</c:v>
                </c:pt>
                <c:pt idx="1">
                  <c:v>0.22818068032919986</c:v>
                </c:pt>
                <c:pt idx="2">
                  <c:v>0.11083298435417968</c:v>
                </c:pt>
                <c:pt idx="3">
                  <c:v>0.10693506988477799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7C-4CE7-B67E-13BF1E59C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846216"/>
        <c:axId val="274845824"/>
      </c:lineChart>
      <c:catAx>
        <c:axId val="27484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4845432"/>
        <c:crosses val="autoZero"/>
        <c:auto val="1"/>
        <c:lblAlgn val="ctr"/>
        <c:lblOffset val="100"/>
        <c:noMultiLvlLbl val="0"/>
      </c:catAx>
      <c:valAx>
        <c:axId val="274845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000000000000001E-2"/>
              <c:y val="0.31501348789734618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4845040"/>
        <c:crosses val="autoZero"/>
        <c:crossBetween val="between"/>
      </c:valAx>
      <c:valAx>
        <c:axId val="27484582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274846216"/>
        <c:crosses val="max"/>
        <c:crossBetween val="between"/>
      </c:valAx>
      <c:catAx>
        <c:axId val="274846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484582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고객별 매출</a:t>
            </a:r>
            <a:r>
              <a:rPr lang="en-US" altLang="ko-KR"/>
              <a:t>(2015</a:t>
            </a:r>
            <a:r>
              <a:rPr lang="ko-KR" altLang="en-US"/>
              <a:t>년 누적</a:t>
            </a:r>
            <a:r>
              <a:rPr lang="en-US" altLang="ko-KR"/>
              <a:t>3</a:t>
            </a:r>
            <a:r>
              <a:rPr lang="ko-KR" altLang="en-US"/>
              <a:t>분기 기준</a:t>
            </a:r>
            <a:r>
              <a:rPr lang="en-US" altLang="ko-KR"/>
              <a:t>)</a:t>
            </a:r>
            <a:endParaRPr lang="en-US"/>
          </a:p>
        </c:rich>
      </c:tx>
      <c:layout>
        <c:manualLayout>
          <c:xMode val="edge"/>
          <c:yMode val="edge"/>
          <c:x val="0.23532163742690054"/>
          <c:y val="2.32322834645669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285718440319614"/>
          <c:y val="0.23921568627450981"/>
          <c:w val="0.44284744185370178"/>
          <c:h val="0.671713976929354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09DAD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58-4C6B-8B7C-9CF5F7188CCD}"/>
              </c:ext>
            </c:extLst>
          </c:dPt>
          <c:dPt>
            <c:idx val="1"/>
            <c:bubble3D val="0"/>
            <c:spPr>
              <a:solidFill>
                <a:srgbClr val="BFDEE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58-4C6B-8B7C-9CF5F7188CCD}"/>
              </c:ext>
            </c:extLst>
          </c:dPt>
          <c:dPt>
            <c:idx val="2"/>
            <c:bubble3D val="0"/>
            <c:spPr>
              <a:solidFill>
                <a:srgbClr val="AA5CAA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58-4C6B-8B7C-9CF5F7188CCD}"/>
              </c:ext>
            </c:extLst>
          </c:dPt>
          <c:dPt>
            <c:idx val="3"/>
            <c:bubble3D val="0"/>
            <c:spPr>
              <a:solidFill>
                <a:srgbClr val="E3C9E3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58-4C6B-8B7C-9CF5F7188CCD}"/>
              </c:ext>
            </c:extLst>
          </c:dPt>
          <c:dPt>
            <c:idx val="4"/>
            <c:bubble3D val="0"/>
            <c:spPr>
              <a:solidFill>
                <a:srgbClr val="BDB694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458-4C6B-8B7C-9CF5F7188CCD}"/>
              </c:ext>
            </c:extLst>
          </c:dPt>
          <c:dPt>
            <c:idx val="5"/>
            <c:bubble3D val="0"/>
            <c:spPr>
              <a:solidFill>
                <a:srgbClr val="E9E7DB"/>
              </a:solidFill>
              <a:ln w="317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458-4C6B-8B7C-9CF5F7188C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/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458-4C6B-8B7C-9CF5F7188C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/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458-4C6B-8B7C-9CF5F7188C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/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458-4C6B-8B7C-9CF5F7188C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/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458-4C6B-8B7C-9CF5F7188CC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/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458-4C6B-8B7C-9CF5F7188CC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/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458-4C6B-8B7C-9CF5F7188CC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rgbClr val="000000"/>
                  </a:solidFill>
                  <a:prstDash val="solid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'거래처별 매출액'!$K$6:$K$11</c:f>
              <c:strCache>
                <c:ptCount val="6"/>
                <c:pt idx="0">
                  <c:v>A사</c:v>
                </c:pt>
                <c:pt idx="1">
                  <c:v>G사</c:v>
                </c:pt>
                <c:pt idx="2">
                  <c:v>F사</c:v>
                </c:pt>
                <c:pt idx="3">
                  <c:v>C사</c:v>
                </c:pt>
                <c:pt idx="4">
                  <c:v>D사</c:v>
                </c:pt>
                <c:pt idx="5">
                  <c:v>기타</c:v>
                </c:pt>
              </c:strCache>
            </c:strRef>
          </c:cat>
          <c:val>
            <c:numRef>
              <c:f>'거래처별 매출액'!$L$6:$L$11</c:f>
              <c:numCache>
                <c:formatCode>_-* #,##0,,_-;\-* #,##0,,_-;_-* "-"_-;_-@_-</c:formatCode>
                <c:ptCount val="6"/>
                <c:pt idx="0">
                  <c:v>55608043985</c:v>
                </c:pt>
                <c:pt idx="1">
                  <c:v>7823384695</c:v>
                </c:pt>
                <c:pt idx="2">
                  <c:v>7662972256</c:v>
                </c:pt>
                <c:pt idx="3">
                  <c:v>6662330026</c:v>
                </c:pt>
                <c:pt idx="4">
                  <c:v>4095519926</c:v>
                </c:pt>
                <c:pt idx="5">
                  <c:v>12099419956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58-4C6B-8B7C-9CF5F7188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제품 매출총이익</a:t>
            </a:r>
            <a:r>
              <a:rPr lang="en-US" altLang="ko-KR"/>
              <a:t>%</a:t>
            </a:r>
            <a:endParaRPr lang="en-US"/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xMode val="edge"/>
          <c:yMode val="edge"/>
          <c:x val="6.8571428571428575E-2"/>
          <c:y val="0.13181818181818181"/>
          <c:w val="0.60285714285714287"/>
          <c:h val="0.53636363636363638"/>
        </c:manualLayout>
      </c:layout>
      <c:lineChart>
        <c:grouping val="standard"/>
        <c:varyColors val="0"/>
        <c:ser>
          <c:idx val="0"/>
          <c:order val="0"/>
          <c:tx>
            <c:strRef>
              <c:f>원가!$F$62</c:f>
              <c:strCache>
                <c:ptCount val="1"/>
                <c:pt idx="0">
                  <c:v>제품 매출총이익%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원가!$B$62:$E$62</c:f>
              <c:numCache>
                <c:formatCode>0.0%;\(0.0%\);\-</c:formatCode>
                <c:ptCount val="4"/>
                <c:pt idx="0">
                  <c:v>0.22734223578472934</c:v>
                </c:pt>
                <c:pt idx="1">
                  <c:v>0.25679600522036194</c:v>
                </c:pt>
                <c:pt idx="2">
                  <c:v>0.23088554943497042</c:v>
                </c:pt>
                <c:pt idx="3">
                  <c:v>0.43019200071861352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F-46A2-A109-2F3EC3F24299}"/>
            </c:ext>
          </c:extLst>
        </c:ser>
        <c:ser>
          <c:idx val="1"/>
          <c:order val="1"/>
          <c:tx>
            <c:strRef>
              <c:f>원가!$F$63</c:f>
              <c:strCache>
                <c:ptCount val="1"/>
                <c:pt idx="0">
                  <c:v>조정후 제품 매출총이익%</c:v>
                </c:pt>
              </c:strCache>
            </c:strRef>
          </c:tx>
          <c:spPr>
            <a:ln w="12700">
              <a:solidFill>
                <a:srgbClr val="8E258D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8E258D"/>
              </a:solidFill>
              <a:ln>
                <a:solidFill>
                  <a:srgbClr val="8E258D"/>
                </a:solidFill>
                <a:prstDash val="solid"/>
              </a:ln>
            </c:spPr>
          </c:marker>
          <c:cat>
            <c:strRef>
              <c:f>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원가!$B$63:$E$63</c:f>
              <c:numCache>
                <c:formatCode>0.0%;\(0.0%\);\-</c:formatCode>
                <c:ptCount val="4"/>
                <c:pt idx="0">
                  <c:v>0.21546221465597415</c:v>
                </c:pt>
                <c:pt idx="1">
                  <c:v>0.2861059846299735</c:v>
                </c:pt>
                <c:pt idx="2">
                  <c:v>0.19683799056869522</c:v>
                </c:pt>
                <c:pt idx="3">
                  <c:v>0.44987894262453709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F-46A2-A109-2F3EC3F24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290680"/>
        <c:axId val="413291072"/>
      </c:lineChart>
      <c:catAx>
        <c:axId val="413290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3291072"/>
        <c:crosses val="autoZero"/>
        <c:auto val="1"/>
        <c:lblAlgn val="ctr"/>
        <c:lblOffset val="100"/>
        <c:noMultiLvlLbl val="0"/>
      </c:catAx>
      <c:valAx>
        <c:axId val="4132910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2.5714285714285714E-2"/>
              <c:y val="0.32041088045812455"/>
            </c:manualLayout>
          </c:layout>
          <c:overlay val="0"/>
        </c:title>
        <c:numFmt formatCode="0.0%;\(0.0%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3290680"/>
        <c:crosses val="autoZero"/>
        <c:crossBetween val="midCat"/>
        <c:majorUnit val="0.1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733142857142857"/>
          <c:y val="0.70454545454545459"/>
          <c:w val="0.40670281214848142"/>
          <c:h val="0.126570866141732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제품 매출총이익</a:t>
            </a:r>
            <a:r>
              <a:rPr lang="en-US" altLang="ko-KR"/>
              <a:t>%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97462817147855"/>
          <c:y val="0.1873494459025955"/>
          <c:w val="0.4486894138232721"/>
          <c:h val="0.48785141440653251"/>
        </c:manualLayout>
      </c:layout>
      <c:lineChart>
        <c:grouping val="standard"/>
        <c:varyColors val="0"/>
        <c:ser>
          <c:idx val="0"/>
          <c:order val="0"/>
          <c:tx>
            <c:strRef>
              <c:f>원가!$F$62</c:f>
              <c:strCache>
                <c:ptCount val="1"/>
                <c:pt idx="0">
                  <c:v>제품 매출총이익%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원가!$B$62:$E$62</c:f>
              <c:numCache>
                <c:formatCode>0.0%;\(0.0%\);\-</c:formatCode>
                <c:ptCount val="4"/>
                <c:pt idx="0">
                  <c:v>0.22734223578472934</c:v>
                </c:pt>
                <c:pt idx="1">
                  <c:v>0.25679600522036194</c:v>
                </c:pt>
                <c:pt idx="2">
                  <c:v>0.23088554943497042</c:v>
                </c:pt>
                <c:pt idx="3">
                  <c:v>0.43019200071861352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1-4F2C-90CA-25D89EDE589C}"/>
            </c:ext>
          </c:extLst>
        </c:ser>
        <c:ser>
          <c:idx val="1"/>
          <c:order val="1"/>
          <c:tx>
            <c:strRef>
              <c:f>원가!$F$63</c:f>
              <c:strCache>
                <c:ptCount val="1"/>
                <c:pt idx="0">
                  <c:v>조정후 제품 매출총이익%</c:v>
                </c:pt>
              </c:strCache>
            </c:strRef>
          </c:tx>
          <c:spPr>
            <a:ln w="12700">
              <a:solidFill>
                <a:srgbClr val="8E258D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8E258D"/>
              </a:solidFill>
              <a:ln>
                <a:solidFill>
                  <a:srgbClr val="8E258D"/>
                </a:solidFill>
                <a:prstDash val="solid"/>
              </a:ln>
            </c:spPr>
          </c:marker>
          <c:cat>
            <c:strRef>
              <c:f>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원가!$B$63:$E$63</c:f>
              <c:numCache>
                <c:formatCode>0.0%;\(0.0%\);\-</c:formatCode>
                <c:ptCount val="4"/>
                <c:pt idx="0">
                  <c:v>0.21546221465597415</c:v>
                </c:pt>
                <c:pt idx="1">
                  <c:v>0.2861059846299735</c:v>
                </c:pt>
                <c:pt idx="2">
                  <c:v>0.19683799056869522</c:v>
                </c:pt>
                <c:pt idx="3">
                  <c:v>0.44987894262453709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1-4F2C-90CA-25D89EDE5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291856"/>
        <c:axId val="413292248"/>
      </c:lineChart>
      <c:catAx>
        <c:axId val="413291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3292248"/>
        <c:crosses val="autoZero"/>
        <c:auto val="1"/>
        <c:lblAlgn val="ctr"/>
        <c:lblOffset val="100"/>
        <c:noMultiLvlLbl val="0"/>
      </c:catAx>
      <c:valAx>
        <c:axId val="413292248"/>
        <c:scaling>
          <c:orientation val="minMax"/>
          <c:max val="0.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2634441528142316"/>
            </c:manualLayout>
          </c:layout>
          <c:overlay val="0"/>
        </c:title>
        <c:numFmt formatCode="0.0%;\(0.0%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3291856"/>
        <c:crosses val="autoZero"/>
        <c:crossBetween val="midCat"/>
        <c:majorUnit val="0.1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8052777777777781"/>
          <c:y val="0.80092592592592593"/>
          <c:w val="0.40280555555555553"/>
          <c:h val="0.1381740303295421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운전자본</a:t>
            </a:r>
            <a:endParaRPr lang="en-US"/>
          </a:p>
        </c:rich>
      </c:tx>
      <c:layout>
        <c:manualLayout>
          <c:xMode val="edge"/>
          <c:yMode val="edge"/>
          <c:x val="2.2857132578788648E-2"/>
          <c:y val="2.27272727272727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767401574803149"/>
          <c:y val="0.15212491052254831"/>
          <c:w val="0.55926636670416197"/>
          <c:h val="0.507026843235504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WC!$B$28:$D$28</c:f>
              <c:strCache>
                <c:ptCount val="3"/>
                <c:pt idx="0">
                  <c:v>매출채권</c:v>
                </c:pt>
              </c:strCache>
            </c:strRef>
          </c:tx>
          <c:spPr>
            <a:solidFill>
              <a:srgbClr val="409DAD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WC!$E$27:$H$27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9개월</c:v>
                </c:pt>
              </c:strCache>
            </c:strRef>
          </c:cat>
          <c:val>
            <c:numRef>
              <c:f>WC!$E$28:$H$28</c:f>
              <c:numCache>
                <c:formatCode>#,##0,,;\(#,##0,,\);\-</c:formatCode>
                <c:ptCount val="4"/>
                <c:pt idx="0">
                  <c:v>14086440500</c:v>
                </c:pt>
                <c:pt idx="1">
                  <c:v>17928738000</c:v>
                </c:pt>
                <c:pt idx="2">
                  <c:v>16798310000</c:v>
                </c:pt>
                <c:pt idx="3">
                  <c:v>20753312316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6-4593-90B2-AC8BF3F81659}"/>
            </c:ext>
          </c:extLst>
        </c:ser>
        <c:ser>
          <c:idx val="1"/>
          <c:order val="1"/>
          <c:tx>
            <c:strRef>
              <c:f>WC!$B$29:$D$29</c:f>
              <c:strCache>
                <c:ptCount val="3"/>
                <c:pt idx="0">
                  <c:v>재고자산</c:v>
                </c:pt>
              </c:strCache>
            </c:strRef>
          </c:tx>
          <c:spPr>
            <a:solidFill>
              <a:srgbClr val="BFDEE4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WC!$E$27:$H$27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9개월</c:v>
                </c:pt>
              </c:strCache>
            </c:strRef>
          </c:cat>
          <c:val>
            <c:numRef>
              <c:f>WC!$E$29:$H$29</c:f>
              <c:numCache>
                <c:formatCode>#,##0,,;\(#,##0,,\);\-</c:formatCode>
                <c:ptCount val="4"/>
                <c:pt idx="0">
                  <c:v>37003998500</c:v>
                </c:pt>
                <c:pt idx="1">
                  <c:v>38423282000</c:v>
                </c:pt>
                <c:pt idx="2">
                  <c:v>41464048500</c:v>
                </c:pt>
                <c:pt idx="3">
                  <c:v>50702606725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6-4593-90B2-AC8BF3F81659}"/>
            </c:ext>
          </c:extLst>
        </c:ser>
        <c:ser>
          <c:idx val="2"/>
          <c:order val="2"/>
          <c:tx>
            <c:strRef>
              <c:f>WC!$B$30:$D$30</c:f>
              <c:strCache>
                <c:ptCount val="3"/>
                <c:pt idx="0">
                  <c:v>매입채무</c:v>
                </c:pt>
              </c:strCache>
            </c:strRef>
          </c:tx>
          <c:spPr>
            <a:solidFill>
              <a:srgbClr val="AA5CAA"/>
            </a:solidFill>
            <a:ln w="3175">
              <a:solidFill>
                <a:srgbClr val="FFFFFF"/>
              </a:solidFill>
              <a:prstDash val="solid"/>
            </a:ln>
          </c:spPr>
          <c:invertIfNegative val="0"/>
          <c:cat>
            <c:strRef>
              <c:f>WC!$E$27:$H$27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9개월</c:v>
                </c:pt>
              </c:strCache>
            </c:strRef>
          </c:cat>
          <c:val>
            <c:numRef>
              <c:f>WC!$E$30:$H$30</c:f>
              <c:numCache>
                <c:formatCode>#,##0,,;\(#,##0,,\);\-</c:formatCode>
                <c:ptCount val="4"/>
                <c:pt idx="0">
                  <c:v>-3499827490</c:v>
                </c:pt>
                <c:pt idx="1">
                  <c:v>-5441739075.5</c:v>
                </c:pt>
                <c:pt idx="2">
                  <c:v>-4630156987.5</c:v>
                </c:pt>
                <c:pt idx="3">
                  <c:v>-5509267641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6-4593-90B2-AC8BF3F81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13293032"/>
        <c:axId val="413293424"/>
      </c:barChart>
      <c:lineChart>
        <c:grouping val="standard"/>
        <c:varyColors val="0"/>
        <c:ser>
          <c:idx val="3"/>
          <c:order val="3"/>
          <c:tx>
            <c:strRef>
              <c:f>WC!$B$31:$D$31</c:f>
              <c:strCache>
                <c:ptCount val="3"/>
                <c:pt idx="0">
                  <c:v>순운전자본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dLbls>
            <c:dLbl>
              <c:idx val="3"/>
              <c:layout>
                <c:manualLayout>
                  <c:x val="-5.6593549773845696E-2"/>
                  <c:y val="-4.2016821760916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D6-4593-90B2-AC8BF3F81659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WC!$E$27:$H$27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9개월</c:v>
                </c:pt>
              </c:strCache>
            </c:strRef>
          </c:cat>
          <c:val>
            <c:numRef>
              <c:f>WC!$E$31:$H$31</c:f>
              <c:numCache>
                <c:formatCode>#,##0,,;\(#,##0,,\);\-</c:formatCode>
                <c:ptCount val="4"/>
                <c:pt idx="0">
                  <c:v>47590611510</c:v>
                </c:pt>
                <c:pt idx="1">
                  <c:v>50910280924.5</c:v>
                </c:pt>
                <c:pt idx="2">
                  <c:v>53632201512.5</c:v>
                </c:pt>
                <c:pt idx="3">
                  <c:v>65946651400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D6-4593-90B2-AC8BF3F81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293032"/>
        <c:axId val="413293424"/>
      </c:lineChart>
      <c:lineChart>
        <c:grouping val="standard"/>
        <c:varyColors val="0"/>
        <c:ser>
          <c:idx val="4"/>
          <c:order val="4"/>
          <c:tx>
            <c:strRef>
              <c:f>WC!$B$32:$D$32</c:f>
              <c:strCache>
                <c:ptCount val="3"/>
                <c:pt idx="0">
                  <c:v>매출액 대비 순운전자본%</c:v>
                </c:pt>
              </c:strCache>
            </c:strRef>
          </c:tx>
          <c:spPr>
            <a:ln w="12700">
              <a:solidFill>
                <a:srgbClr val="8E258D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8E258D"/>
              </a:solidFill>
              <a:ln>
                <a:solidFill>
                  <a:srgbClr val="8E258D"/>
                </a:solidFill>
                <a:prstDash val="solid"/>
              </a:ln>
            </c:spPr>
          </c:marker>
          <c:dLbls>
            <c:dLbl>
              <c:idx val="3"/>
              <c:layout>
                <c:manualLayout>
                  <c:x val="-5.3842869467246243E-2"/>
                  <c:y val="-1.6352183249821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D6-4593-90B2-AC8BF3F8165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WC!$E$27:$H$27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 9개월</c:v>
                </c:pt>
              </c:strCache>
            </c:strRef>
          </c:cat>
          <c:val>
            <c:numRef>
              <c:f>WC!$E$32:$H$32</c:f>
              <c:numCache>
                <c:formatCode>0.0%;\(0.0%\);\-</c:formatCode>
                <c:ptCount val="4"/>
                <c:pt idx="0">
                  <c:v>0.57349111207490555</c:v>
                </c:pt>
                <c:pt idx="1">
                  <c:v>0.60423351896081035</c:v>
                </c:pt>
                <c:pt idx="2">
                  <c:v>0.55554366534953104</c:v>
                </c:pt>
                <c:pt idx="3">
                  <c:v>0.52644075518491584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D6-4593-90B2-AC8BF3F81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799664"/>
        <c:axId val="413293816"/>
      </c:lineChart>
      <c:catAx>
        <c:axId val="413293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3293424"/>
        <c:crosses val="autoZero"/>
        <c:auto val="1"/>
        <c:lblAlgn val="ctr"/>
        <c:lblOffset val="100"/>
        <c:noMultiLvlLbl val="0"/>
      </c:catAx>
      <c:valAx>
        <c:axId val="413293424"/>
        <c:scaling>
          <c:orientation val="minMax"/>
          <c:max val="80000000000"/>
          <c:min val="-200000000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ko-KR" altLang="en-US"/>
                  <a:t>백만원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5714285714285714E-2"/>
              <c:y val="0.27785433070866139"/>
            </c:manualLayout>
          </c:layout>
          <c:overlay val="0"/>
        </c:title>
        <c:numFmt formatCode="#,##0,,;\(#,##0,,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3293032"/>
        <c:crosses val="autoZero"/>
        <c:crossBetween val="between"/>
        <c:majorUnit val="20000000000"/>
      </c:valAx>
      <c:valAx>
        <c:axId val="413293816"/>
        <c:scaling>
          <c:orientation val="minMax"/>
          <c:max val="0.8"/>
          <c:min val="-0.2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altLang="ko-KR" b="0">
                    <a:solidFill>
                      <a:srgbClr val="000000"/>
                    </a:solidFill>
                  </a:defRPr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0.0%;\(0.0%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crossAx val="412799664"/>
        <c:crosses val="max"/>
        <c:crossBetween val="between"/>
        <c:majorUnit val="0.2"/>
      </c:valAx>
      <c:catAx>
        <c:axId val="412799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329381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981417322834642"/>
          <c:y val="0.79528740157480315"/>
          <c:w val="0.69751451068616421"/>
          <c:h val="0.1501671438797423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제품 매출총이익</a:t>
            </a:r>
            <a:r>
              <a:rPr lang="en-US" altLang="ko-KR"/>
              <a:t>%</a:t>
            </a:r>
            <a:endParaRPr lang="en-US"/>
          </a:p>
        </c:rich>
      </c:tx>
      <c:layout>
        <c:manualLayout>
          <c:xMode val="edge"/>
          <c:yMode val="edge"/>
          <c:x val="2.2857142857142857E-2"/>
          <c:y val="3.6363636363636362E-2"/>
        </c:manualLayout>
      </c:layout>
      <c:overlay val="0"/>
    </c:title>
    <c:autoTitleDeleted val="0"/>
    <c:plotArea>
      <c:layout>
        <c:manualLayout>
          <c:xMode val="edge"/>
          <c:yMode val="edge"/>
          <c:x val="6.8571428571428575E-2"/>
          <c:y val="0.13181818181818181"/>
          <c:w val="0.60285714285714287"/>
          <c:h val="0.53636363636363638"/>
        </c:manualLayout>
      </c:layout>
      <c:lineChart>
        <c:grouping val="standard"/>
        <c:varyColors val="0"/>
        <c:ser>
          <c:idx val="0"/>
          <c:order val="0"/>
          <c:tx>
            <c:strRef>
              <c:f>제조원가!$F$62</c:f>
              <c:strCache>
                <c:ptCount val="1"/>
                <c:pt idx="0">
                  <c:v>제품 매출총이익%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제조원가!$B$60:$E$60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제조원가!$B$62:$E$62</c:f>
              <c:numCache>
                <c:formatCode>0.0%;\(0.0%\);\-</c:formatCode>
                <c:ptCount val="4"/>
                <c:pt idx="0">
                  <c:v>0.22734223578472934</c:v>
                </c:pt>
                <c:pt idx="1">
                  <c:v>0.25679600522036194</c:v>
                </c:pt>
                <c:pt idx="2">
                  <c:v>0.23088554943497042</c:v>
                </c:pt>
                <c:pt idx="3">
                  <c:v>0.43019200071861352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6-4C87-A6CD-ACD5A72359FC}"/>
            </c:ext>
          </c:extLst>
        </c:ser>
        <c:ser>
          <c:idx val="1"/>
          <c:order val="1"/>
          <c:tx>
            <c:strRef>
              <c:f>제조원가!$F$63</c:f>
              <c:strCache>
                <c:ptCount val="1"/>
                <c:pt idx="0">
                  <c:v>조정후 제품 매출총이익%</c:v>
                </c:pt>
              </c:strCache>
            </c:strRef>
          </c:tx>
          <c:spPr>
            <a:ln w="12700">
              <a:solidFill>
                <a:srgbClr val="8E258D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8E258D"/>
              </a:solidFill>
              <a:ln>
                <a:solidFill>
                  <a:srgbClr val="8E258D"/>
                </a:solidFill>
                <a:prstDash val="solid"/>
              </a:ln>
            </c:spPr>
          </c:marker>
          <c:cat>
            <c:strRef>
              <c:f>제조원가!$B$60:$E$60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제조원가!$B$63:$E$63</c:f>
              <c:numCache>
                <c:formatCode>0.0%;\(0.0%\);\-</c:formatCode>
                <c:ptCount val="4"/>
                <c:pt idx="0">
                  <c:v>0.21546221465597415</c:v>
                </c:pt>
                <c:pt idx="1">
                  <c:v>0.2861059846299735</c:v>
                </c:pt>
                <c:pt idx="2">
                  <c:v>0.19683799056869522</c:v>
                </c:pt>
                <c:pt idx="3">
                  <c:v>0.44987894262453709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6-4C87-A6CD-ACD5A7235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847392"/>
        <c:axId val="412800056"/>
      </c:lineChart>
      <c:catAx>
        <c:axId val="27484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2800056"/>
        <c:crosses val="autoZero"/>
        <c:auto val="1"/>
        <c:lblAlgn val="ctr"/>
        <c:lblOffset val="100"/>
        <c:noMultiLvlLbl val="0"/>
      </c:catAx>
      <c:valAx>
        <c:axId val="41280005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2.5714285714285714E-2"/>
              <c:y val="0.32041088045812455"/>
            </c:manualLayout>
          </c:layout>
          <c:overlay val="0"/>
        </c:title>
        <c:numFmt formatCode="0.0%;\(0.0%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274847392"/>
        <c:crosses val="autoZero"/>
        <c:crossBetween val="midCat"/>
        <c:majorUnit val="0.1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733142857142857"/>
          <c:y val="0.70454545454545459"/>
          <c:w val="0.40670281214848142"/>
          <c:h val="0.126570866141732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제품 매출총이익</a:t>
            </a:r>
            <a:r>
              <a:rPr lang="en-US" altLang="ko-KR"/>
              <a:t>%</a:t>
            </a:r>
            <a:endParaRPr lang="en-US"/>
          </a:p>
        </c:rich>
      </c:tx>
      <c:layout>
        <c:manualLayout>
          <c:xMode val="edge"/>
          <c:yMode val="edge"/>
          <c:x val="2.2222222222222223E-2"/>
          <c:y val="3.70370370370370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297462817147855"/>
          <c:y val="0.1873494459025955"/>
          <c:w val="0.4486894138232721"/>
          <c:h val="0.48785141440653251"/>
        </c:manualLayout>
      </c:layout>
      <c:lineChart>
        <c:grouping val="standard"/>
        <c:varyColors val="0"/>
        <c:ser>
          <c:idx val="0"/>
          <c:order val="0"/>
          <c:tx>
            <c:strRef>
              <c:f>제조원가!$F$62</c:f>
              <c:strCache>
                <c:ptCount val="1"/>
                <c:pt idx="0">
                  <c:v>제품 매출총이익%</c:v>
                </c:pt>
              </c:strCache>
            </c:strRef>
          </c:tx>
          <c:spPr>
            <a:ln w="12700">
              <a:solidFill>
                <a:srgbClr val="007C92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7C92"/>
              </a:solidFill>
              <a:ln>
                <a:solidFill>
                  <a:srgbClr val="007C92"/>
                </a:solidFill>
                <a:prstDash val="solid"/>
              </a:ln>
            </c:spPr>
          </c:marker>
          <c:cat>
            <c:strRef>
              <c:f>제조원가!$B$60:$E$60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제조원가!$B$62:$E$62</c:f>
              <c:numCache>
                <c:formatCode>0.0%;\(0.0%\);\-</c:formatCode>
                <c:ptCount val="4"/>
                <c:pt idx="0">
                  <c:v>0.22734223578472934</c:v>
                </c:pt>
                <c:pt idx="1">
                  <c:v>0.25679600522036194</c:v>
                </c:pt>
                <c:pt idx="2">
                  <c:v>0.23088554943497042</c:v>
                </c:pt>
                <c:pt idx="3">
                  <c:v>0.43019200071861352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0-4FBA-8735-EF5B8AF72434}"/>
            </c:ext>
          </c:extLst>
        </c:ser>
        <c:ser>
          <c:idx val="1"/>
          <c:order val="1"/>
          <c:tx>
            <c:strRef>
              <c:f>제조원가!$F$63</c:f>
              <c:strCache>
                <c:ptCount val="1"/>
                <c:pt idx="0">
                  <c:v>조정후 제품 매출총이익%</c:v>
                </c:pt>
              </c:strCache>
            </c:strRef>
          </c:tx>
          <c:spPr>
            <a:ln w="12700">
              <a:solidFill>
                <a:srgbClr val="8E258D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8E258D"/>
              </a:solidFill>
              <a:ln>
                <a:solidFill>
                  <a:srgbClr val="8E258D"/>
                </a:solidFill>
                <a:prstDash val="solid"/>
              </a:ln>
            </c:spPr>
          </c:marker>
          <c:cat>
            <c:strRef>
              <c:f>제조원가!$B$60:$E$60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제조원가!$B$63:$E$63</c:f>
              <c:numCache>
                <c:formatCode>0.0%;\(0.0%\);\-</c:formatCode>
                <c:ptCount val="4"/>
                <c:pt idx="0">
                  <c:v>0.21546221465597415</c:v>
                </c:pt>
                <c:pt idx="1">
                  <c:v>0.2861059846299735</c:v>
                </c:pt>
                <c:pt idx="2">
                  <c:v>0.19683799056869522</c:v>
                </c:pt>
                <c:pt idx="3">
                  <c:v>0.44987894262453709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0-4FBA-8735-EF5B8AF7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800840"/>
        <c:axId val="412801232"/>
      </c:lineChart>
      <c:catAx>
        <c:axId val="412800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2801232"/>
        <c:crosses val="autoZero"/>
        <c:auto val="1"/>
        <c:lblAlgn val="ctr"/>
        <c:lblOffset val="100"/>
        <c:noMultiLvlLbl val="0"/>
      </c:catAx>
      <c:valAx>
        <c:axId val="412801232"/>
        <c:scaling>
          <c:orientation val="minMax"/>
          <c:max val="0.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altLang="ko-KR">
                    <a:solidFill>
                      <a:srgbClr val="000000"/>
                    </a:solidFill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2634441528142316"/>
            </c:manualLayout>
          </c:layout>
          <c:overlay val="0"/>
        </c:title>
        <c:numFmt formatCode="0.0%;\(0.0%\);\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12800840"/>
        <c:crosses val="autoZero"/>
        <c:crossBetween val="midCat"/>
        <c:majorUnit val="0.1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8052777777777781"/>
          <c:y val="0.80092592592592593"/>
          <c:w val="0.40280555555555553"/>
          <c:h val="0.1381740303295421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900" b="1">
                <a:solidFill>
                  <a:srgbClr val="00338D"/>
                </a:solidFill>
                <a:latin typeface="Arial"/>
                <a:ea typeface="Arial"/>
                <a:cs typeface="Arial"/>
              </a:defRPr>
            </a:pPr>
            <a:r>
              <a:rPr lang="ko-KR" altLang="en-US"/>
              <a:t>제조원가구성비</a:t>
            </a:r>
            <a:endParaRPr lang="en-US"/>
          </a:p>
        </c:rich>
      </c:tx>
      <c:layout>
        <c:manualLayout>
          <c:xMode val="edge"/>
          <c:yMode val="edge"/>
          <c:x val="0.26111111111111113"/>
          <c:y val="3.7037159828705625E-2"/>
        </c:manualLayout>
      </c:layout>
      <c:overlay val="0"/>
    </c:title>
    <c:autoTitleDeleted val="0"/>
    <c:plotArea>
      <c:layout>
        <c:manualLayout>
          <c:xMode val="edge"/>
          <c:yMode val="edge"/>
          <c:x val="2.7777777777777776E-2"/>
          <c:y val="0.13425925925925927"/>
          <c:w val="0.62222222222222223"/>
          <c:h val="0.5462962962962962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제조원가!$A$100</c:f>
              <c:strCache>
                <c:ptCount val="1"/>
              </c:strCache>
            </c:strRef>
          </c:tx>
          <c:invertIfNegative val="0"/>
          <c:cat>
            <c:strRef>
              <c:f>제조원가!$B$89:$E$89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제조원가!$B$100:$E$100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4-4EF2-B423-670C947A233E}"/>
            </c:ext>
          </c:extLst>
        </c:ser>
        <c:ser>
          <c:idx val="1"/>
          <c:order val="1"/>
          <c:tx>
            <c:strRef>
              <c:f>제조원가!$A$101</c:f>
              <c:strCache>
                <c:ptCount val="1"/>
                <c:pt idx="0">
                  <c:v>원재료비</c:v>
                </c:pt>
              </c:strCache>
            </c:strRef>
          </c:tx>
          <c:spPr>
            <a:solidFill>
              <a:srgbClr val="409DAD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제조원가!$B$89:$E$89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제조원가!$B$101:$E$101</c:f>
              <c:numCache>
                <c:formatCode>0.0%</c:formatCode>
                <c:ptCount val="4"/>
                <c:pt idx="0">
                  <c:v>0.62213959416455633</c:v>
                </c:pt>
                <c:pt idx="1">
                  <c:v>0.58721242249947159</c:v>
                </c:pt>
                <c:pt idx="2">
                  <c:v>0.69020896691619538</c:v>
                </c:pt>
                <c:pt idx="3">
                  <c:v>0.59532603619605462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4-4EF2-B423-670C947A233E}"/>
            </c:ext>
          </c:extLst>
        </c:ser>
        <c:ser>
          <c:idx val="2"/>
          <c:order val="2"/>
          <c:tx>
            <c:strRef>
              <c:f>제조원가!$A$102</c:f>
              <c:strCache>
                <c:ptCount val="1"/>
                <c:pt idx="0">
                  <c:v>노무비</c:v>
                </c:pt>
              </c:strCache>
            </c:strRef>
          </c:tx>
          <c:spPr>
            <a:solidFill>
              <a:srgbClr val="BFDEE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제조원가!$B$89:$E$89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제조원가!$B$102:$E$102</c:f>
              <c:numCache>
                <c:formatCode>0.0%</c:formatCode>
                <c:ptCount val="4"/>
                <c:pt idx="0">
                  <c:v>0.13691664775382908</c:v>
                </c:pt>
                <c:pt idx="1">
                  <c:v>0.18299704209801662</c:v>
                </c:pt>
                <c:pt idx="2">
                  <c:v>0.14516837382618814</c:v>
                </c:pt>
                <c:pt idx="3">
                  <c:v>0.16160576685677161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4-4EF2-B423-670C947A233E}"/>
            </c:ext>
          </c:extLst>
        </c:ser>
        <c:ser>
          <c:idx val="3"/>
          <c:order val="3"/>
          <c:tx>
            <c:strRef>
              <c:f>제조원가!$A$103</c:f>
              <c:strCache>
                <c:ptCount val="1"/>
                <c:pt idx="0">
                  <c:v>제조경비</c:v>
                </c:pt>
              </c:strCache>
            </c:strRef>
          </c:tx>
          <c:spPr>
            <a:solidFill>
              <a:srgbClr val="AA5CA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제조원가!$B$89:$E$89</c:f>
              <c:strCache>
                <c:ptCount val="4"/>
                <c:pt idx="0">
                  <c:v>2012년</c:v>
                </c:pt>
                <c:pt idx="1">
                  <c:v>2013년</c:v>
                </c:pt>
                <c:pt idx="2">
                  <c:v>2014년</c:v>
                </c:pt>
                <c:pt idx="3">
                  <c:v>2015년</c:v>
                </c:pt>
              </c:strCache>
            </c:strRef>
          </c:cat>
          <c:val>
            <c:numRef>
              <c:f>제조원가!$B$103:$E$103</c:f>
              <c:numCache>
                <c:formatCode>0.0%</c:formatCode>
                <c:ptCount val="4"/>
                <c:pt idx="0">
                  <c:v>0.24094375808161453</c:v>
                </c:pt>
                <c:pt idx="1">
                  <c:v>0.22979053540251176</c:v>
                </c:pt>
                <c:pt idx="2">
                  <c:v>0.16462265925761652</c:v>
                </c:pt>
                <c:pt idx="3">
                  <c:v>0.24306819694717374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4-4EF2-B423-670C947A2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72436112"/>
        <c:axId val="472444736"/>
      </c:barChart>
      <c:catAx>
        <c:axId val="47243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72444736"/>
        <c:crosses val="autoZero"/>
        <c:auto val="1"/>
        <c:lblAlgn val="ctr"/>
        <c:lblOffset val="100"/>
        <c:noMultiLvlLbl val="0"/>
      </c:catAx>
      <c:valAx>
        <c:axId val="47244473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ko-KR"/>
          </a:p>
        </c:txPr>
        <c:crossAx val="472436112"/>
        <c:crosses val="autoZero"/>
        <c:crossBetween val="between"/>
        <c:majorUnit val="0.2"/>
      </c:valAx>
      <c:spPr>
        <a:noFill/>
        <a:ln w="25400">
          <a:noFill/>
        </a:ln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9444575678040246"/>
          <c:y val="0.73611111111111116"/>
          <c:w val="0.3737482502187226"/>
          <c:h val="6.945305521020399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9.xml"/><Relationship Id="rId4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3.emf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image" Target="../media/image26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image" Target="../media/image3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emf"/><Relationship Id="rId1" Type="http://schemas.openxmlformats.org/officeDocument/2006/relationships/image" Target="../media/image33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emf"/><Relationship Id="rId1" Type="http://schemas.openxmlformats.org/officeDocument/2006/relationships/image" Target="../media/image37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7" Type="http://schemas.openxmlformats.org/officeDocument/2006/relationships/chart" Target="../charts/chart18.xml"/><Relationship Id="rId2" Type="http://schemas.openxmlformats.org/officeDocument/2006/relationships/image" Target="../media/image44.emf"/><Relationship Id="rId1" Type="http://schemas.openxmlformats.org/officeDocument/2006/relationships/image" Target="../media/image43.emf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image" Target="../media/image46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emf"/><Relationship Id="rId1" Type="http://schemas.openxmlformats.org/officeDocument/2006/relationships/image" Target="../media/image55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emf"/><Relationship Id="rId1" Type="http://schemas.openxmlformats.org/officeDocument/2006/relationships/image" Target="../media/image59.emf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4" Type="http://schemas.openxmlformats.org/officeDocument/2006/relationships/image" Target="../media/image66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21.emf"/><Relationship Id="rId1" Type="http://schemas.openxmlformats.org/officeDocument/2006/relationships/image" Target="../media/image20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9.emf"/><Relationship Id="rId2" Type="http://schemas.openxmlformats.org/officeDocument/2006/relationships/image" Target="../media/image28.emf"/><Relationship Id="rId1" Type="http://schemas.openxmlformats.org/officeDocument/2006/relationships/image" Target="../media/image27.emf"/><Relationship Id="rId4" Type="http://schemas.openxmlformats.org/officeDocument/2006/relationships/image" Target="../media/image30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2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6.emf"/><Relationship Id="rId1" Type="http://schemas.openxmlformats.org/officeDocument/2006/relationships/image" Target="../media/image35.emf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0.emf"/><Relationship Id="rId1" Type="http://schemas.openxmlformats.org/officeDocument/2006/relationships/image" Target="../media/image39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9.emf"/><Relationship Id="rId2" Type="http://schemas.openxmlformats.org/officeDocument/2006/relationships/image" Target="../media/image48.emf"/><Relationship Id="rId1" Type="http://schemas.openxmlformats.org/officeDocument/2006/relationships/image" Target="../media/image47.emf"/><Relationship Id="rId4" Type="http://schemas.openxmlformats.org/officeDocument/2006/relationships/image" Target="../media/image50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emf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58.emf"/><Relationship Id="rId1" Type="http://schemas.openxmlformats.org/officeDocument/2006/relationships/image" Target="../media/image57.emf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62.emf"/><Relationship Id="rId1" Type="http://schemas.openxmlformats.org/officeDocument/2006/relationships/image" Target="../media/image61.emf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69.emf"/><Relationship Id="rId2" Type="http://schemas.openxmlformats.org/officeDocument/2006/relationships/image" Target="../media/image68.emf"/><Relationship Id="rId1" Type="http://schemas.openxmlformats.org/officeDocument/2006/relationships/image" Target="../media/image67.emf"/><Relationship Id="rId4" Type="http://schemas.openxmlformats.org/officeDocument/2006/relationships/image" Target="../media/image70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14</xdr:row>
          <xdr:rowOff>28575</xdr:rowOff>
        </xdr:from>
        <xdr:to>
          <xdr:col>3</xdr:col>
          <xdr:colOff>238125</xdr:colOff>
          <xdr:row>25</xdr:row>
          <xdr:rowOff>276225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C$11" spid="_x0000_s205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23925" y="2505075"/>
              <a:ext cx="3600450" cy="19240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466725</xdr:colOff>
          <xdr:row>14</xdr:row>
          <xdr:rowOff>133350</xdr:rowOff>
        </xdr:from>
        <xdr:to>
          <xdr:col>10</xdr:col>
          <xdr:colOff>600075</xdr:colOff>
          <xdr:row>29</xdr:row>
          <xdr:rowOff>76200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F$13:$G$26" spid="_x0000_s2054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642475" y="2609850"/>
              <a:ext cx="3600450" cy="2387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absolute">
    <xdr:from>
      <xdr:col>1</xdr:col>
      <xdr:colOff>0</xdr:colOff>
      <xdr:row>11</xdr:row>
      <xdr:rowOff>38100</xdr:rowOff>
    </xdr:from>
    <xdr:to>
      <xdr:col>2</xdr:col>
      <xdr:colOff>2733225</xdr:colOff>
      <xdr:row>12</xdr:row>
      <xdr:rowOff>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5800" y="1962150"/>
          <a:ext cx="3600000" cy="114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5</xdr:col>
      <xdr:colOff>0</xdr:colOff>
      <xdr:row>10</xdr:row>
      <xdr:rowOff>0</xdr:rowOff>
    </xdr:from>
    <xdr:to>
      <xdr:col>6</xdr:col>
      <xdr:colOff>2895150</xdr:colOff>
      <xdr:row>10</xdr:row>
      <xdr:rowOff>114300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657850" y="1771650"/>
          <a:ext cx="3600000" cy="114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absolute">
    <xdr:from>
      <xdr:col>7</xdr:col>
      <xdr:colOff>676275</xdr:colOff>
      <xdr:row>12</xdr:row>
      <xdr:rowOff>152400</xdr:rowOff>
    </xdr:from>
    <xdr:to>
      <xdr:col>10</xdr:col>
      <xdr:colOff>780600</xdr:colOff>
      <xdr:row>13</xdr:row>
      <xdr:rowOff>19050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34575" y="2228850"/>
          <a:ext cx="3600000" cy="114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70</xdr:row>
      <xdr:rowOff>133349</xdr:rowOff>
    </xdr:from>
    <xdr:to>
      <xdr:col>10</xdr:col>
      <xdr:colOff>607483</xdr:colOff>
      <xdr:row>88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914103</xdr:colOff>
      <xdr:row>74</xdr:row>
      <xdr:rowOff>95250</xdr:rowOff>
    </xdr:from>
    <xdr:to>
      <xdr:col>10</xdr:col>
      <xdr:colOff>417693</xdr:colOff>
      <xdr:row>75</xdr:row>
      <xdr:rowOff>116463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523703" y="10668000"/>
          <a:ext cx="7361715" cy="164088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 Columns: 20.4cm</a:t>
          </a:r>
        </a:p>
      </xdr:txBody>
    </xdr:sp>
    <xdr:clientData/>
  </xdr:twoCellAnchor>
  <xdr:twoCellAnchor editAs="oneCell">
    <xdr:from>
      <xdr:col>3</xdr:col>
      <xdr:colOff>0</xdr:colOff>
      <xdr:row>70</xdr:row>
      <xdr:rowOff>100844</xdr:rowOff>
    </xdr:from>
    <xdr:to>
      <xdr:col>3</xdr:col>
      <xdr:colOff>133672</xdr:colOff>
      <xdr:row>88</xdr:row>
      <xdr:rowOff>30253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 rot="5400000">
          <a:off x="559331" y="11285838"/>
          <a:ext cx="2501159" cy="133672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 Columns: 20.4cm</a:t>
          </a:r>
        </a:p>
      </xdr:txBody>
    </xdr:sp>
    <xdr:clientData/>
  </xdr:twoCellAnchor>
  <xdr:twoCellAnchor editAs="oneCell">
    <xdr:from>
      <xdr:col>8</xdr:col>
      <xdr:colOff>171450</xdr:colOff>
      <xdr:row>21</xdr:row>
      <xdr:rowOff>66675</xdr:rowOff>
    </xdr:from>
    <xdr:to>
      <xdr:col>15</xdr:col>
      <xdr:colOff>447675</xdr:colOff>
      <xdr:row>41</xdr:row>
      <xdr:rowOff>3175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70</xdr:row>
      <xdr:rowOff>133349</xdr:rowOff>
    </xdr:from>
    <xdr:to>
      <xdr:col>10</xdr:col>
      <xdr:colOff>607483</xdr:colOff>
      <xdr:row>88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914103</xdr:colOff>
      <xdr:row>74</xdr:row>
      <xdr:rowOff>85725</xdr:rowOff>
    </xdr:from>
    <xdr:to>
      <xdr:col>10</xdr:col>
      <xdr:colOff>417693</xdr:colOff>
      <xdr:row>75</xdr:row>
      <xdr:rowOff>106938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1523703" y="10668000"/>
          <a:ext cx="7361715" cy="164088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 Columns: 20.4cm</a:t>
          </a:r>
        </a:p>
      </xdr:txBody>
    </xdr:sp>
    <xdr:clientData/>
  </xdr:twoCellAnchor>
  <xdr:twoCellAnchor editAs="oneCell">
    <xdr:from>
      <xdr:col>3</xdr:col>
      <xdr:colOff>0</xdr:colOff>
      <xdr:row>70</xdr:row>
      <xdr:rowOff>100844</xdr:rowOff>
    </xdr:from>
    <xdr:to>
      <xdr:col>3</xdr:col>
      <xdr:colOff>133672</xdr:colOff>
      <xdr:row>88</xdr:row>
      <xdr:rowOff>30253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 rot="5400000">
          <a:off x="559331" y="11295363"/>
          <a:ext cx="2501159" cy="133672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 Columns: 20.4cm</a:t>
          </a:r>
        </a:p>
      </xdr:txBody>
    </xdr:sp>
    <xdr:clientData/>
  </xdr:twoCellAnchor>
  <xdr:twoCellAnchor editAs="oneCell">
    <xdr:from>
      <xdr:col>8</xdr:col>
      <xdr:colOff>171451</xdr:colOff>
      <xdr:row>21</xdr:row>
      <xdr:rowOff>66675</xdr:rowOff>
    </xdr:from>
    <xdr:to>
      <xdr:col>15</xdr:col>
      <xdr:colOff>485776</xdr:colOff>
      <xdr:row>41</xdr:row>
      <xdr:rowOff>3175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70</xdr:row>
      <xdr:rowOff>133349</xdr:rowOff>
    </xdr:from>
    <xdr:to>
      <xdr:col>9</xdr:col>
      <xdr:colOff>1702858</xdr:colOff>
      <xdr:row>88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914103</xdr:colOff>
      <xdr:row>74</xdr:row>
      <xdr:rowOff>85725</xdr:rowOff>
    </xdr:from>
    <xdr:to>
      <xdr:col>9</xdr:col>
      <xdr:colOff>1513068</xdr:colOff>
      <xdr:row>75</xdr:row>
      <xdr:rowOff>106938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1523703" y="10668000"/>
          <a:ext cx="7361715" cy="164088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 Columns: 20.4cm</a:t>
          </a:r>
        </a:p>
      </xdr:txBody>
    </xdr:sp>
    <xdr:clientData/>
  </xdr:twoCellAnchor>
  <xdr:twoCellAnchor editAs="oneCell">
    <xdr:from>
      <xdr:col>3</xdr:col>
      <xdr:colOff>0</xdr:colOff>
      <xdr:row>70</xdr:row>
      <xdr:rowOff>100844</xdr:rowOff>
    </xdr:from>
    <xdr:to>
      <xdr:col>3</xdr:col>
      <xdr:colOff>133672</xdr:colOff>
      <xdr:row>88</xdr:row>
      <xdr:rowOff>30253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 rot="5400000">
          <a:off x="559331" y="11295363"/>
          <a:ext cx="2501159" cy="133672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4 Columns: 20.4cm</a:t>
          </a:r>
        </a:p>
      </xdr:txBody>
    </xdr:sp>
    <xdr:clientData/>
  </xdr:twoCellAnchor>
  <xdr:twoCellAnchor editAs="oneCell">
    <xdr:from>
      <xdr:col>8</xdr:col>
      <xdr:colOff>171450</xdr:colOff>
      <xdr:row>21</xdr:row>
      <xdr:rowOff>66675</xdr:rowOff>
    </xdr:from>
    <xdr:to>
      <xdr:col>14</xdr:col>
      <xdr:colOff>1047750</xdr:colOff>
      <xdr:row>41</xdr:row>
      <xdr:rowOff>3175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571500</xdr:colOff>
      <xdr:row>0</xdr:row>
      <xdr:rowOff>0</xdr:rowOff>
    </xdr:from>
    <xdr:to>
      <xdr:col>20</xdr:col>
      <xdr:colOff>244475</xdr:colOff>
      <xdr:row>17</xdr:row>
      <xdr:rowOff>107950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620486</xdr:colOff>
      <xdr:row>0</xdr:row>
      <xdr:rowOff>0</xdr:rowOff>
    </xdr:from>
    <xdr:to>
      <xdr:col>26</xdr:col>
      <xdr:colOff>391886</xdr:colOff>
      <xdr:row>17</xdr:row>
      <xdr:rowOff>54429</xdr:rowOff>
    </xdr:to>
    <xdr:graphicFrame macro="">
      <xdr:nvGraphicFramePr>
        <xdr:cNvPr id="3" name="차트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21</xdr:row>
          <xdr:rowOff>123825</xdr:rowOff>
        </xdr:from>
        <xdr:to>
          <xdr:col>13</xdr:col>
          <xdr:colOff>371475</xdr:colOff>
          <xdr:row>41</xdr:row>
          <xdr:rowOff>123825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1:$L$20" spid="_x0000_s1747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457825" y="3419475"/>
              <a:ext cx="3590925" cy="3143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514350</xdr:colOff>
          <xdr:row>44</xdr:row>
          <xdr:rowOff>114300</xdr:rowOff>
        </xdr:from>
        <xdr:to>
          <xdr:col>13</xdr:col>
          <xdr:colOff>50800</xdr:colOff>
          <xdr:row>57</xdr:row>
          <xdr:rowOff>57150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F$12" spid="_x0000_s1747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4933950" y="7010400"/>
              <a:ext cx="3765550" cy="19240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0</xdr:col>
      <xdr:colOff>0</xdr:colOff>
      <xdr:row>37</xdr:row>
      <xdr:rowOff>0</xdr:rowOff>
    </xdr:from>
    <xdr:to>
      <xdr:col>7</xdr:col>
      <xdr:colOff>276225</xdr:colOff>
      <xdr:row>55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409575</xdr:colOff>
          <xdr:row>58</xdr:row>
          <xdr:rowOff>85725</xdr:rowOff>
        </xdr:from>
        <xdr:to>
          <xdr:col>14</xdr:col>
          <xdr:colOff>514350</xdr:colOff>
          <xdr:row>66</xdr:row>
          <xdr:rowOff>85725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59:$H$66" spid="_x0000_s143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314950" y="9115425"/>
              <a:ext cx="4219575" cy="13144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685799</xdr:colOff>
      <xdr:row>1</xdr:row>
      <xdr:rowOff>76200</xdr:rowOff>
    </xdr:from>
    <xdr:to>
      <xdr:col>7</xdr:col>
      <xdr:colOff>28575</xdr:colOff>
      <xdr:row>2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85799" y="228600"/>
          <a:ext cx="3590926" cy="142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347665</xdr:colOff>
      <xdr:row>23</xdr:row>
      <xdr:rowOff>133350</xdr:rowOff>
    </xdr:from>
    <xdr:to>
      <xdr:col>12</xdr:col>
      <xdr:colOff>256762</xdr:colOff>
      <xdr:row>41</xdr:row>
      <xdr:rowOff>88900</xdr:rowOff>
    </xdr:to>
    <xdr:graphicFrame macro="">
      <xdr:nvGraphicFramePr>
        <xdr:cNvPr id="4" name="차트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70402</xdr:colOff>
      <xdr:row>24</xdr:row>
      <xdr:rowOff>132522</xdr:rowOff>
    </xdr:from>
    <xdr:to>
      <xdr:col>20</xdr:col>
      <xdr:colOff>140804</xdr:colOff>
      <xdr:row>38</xdr:row>
      <xdr:rowOff>132522</xdr:rowOff>
    </xdr:to>
    <xdr:graphicFrame macro="">
      <xdr:nvGraphicFramePr>
        <xdr:cNvPr id="5" name="차트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57150</xdr:colOff>
          <xdr:row>0</xdr:row>
          <xdr:rowOff>0</xdr:rowOff>
        </xdr:from>
        <xdr:ext cx="4248150" cy="2228850"/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7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I$1:$N$14" spid="_x0000_s61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658350" y="0"/>
              <a:ext cx="4248150" cy="22288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438150</xdr:colOff>
      <xdr:row>13</xdr:row>
      <xdr:rowOff>66676</xdr:rowOff>
    </xdr:from>
    <xdr:to>
      <xdr:col>17</xdr:col>
      <xdr:colOff>247650</xdr:colOff>
      <xdr:row>29</xdr:row>
      <xdr:rowOff>47626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</xdr:row>
          <xdr:rowOff>76200</xdr:rowOff>
        </xdr:from>
        <xdr:to>
          <xdr:col>13</xdr:col>
          <xdr:colOff>19050</xdr:colOff>
          <xdr:row>25</xdr:row>
          <xdr:rowOff>123825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12" spid="_x0000_s1031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57200" y="2276475"/>
              <a:ext cx="5067300" cy="1619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638175</xdr:colOff>
          <xdr:row>3</xdr:row>
          <xdr:rowOff>76200</xdr:rowOff>
        </xdr:from>
        <xdr:to>
          <xdr:col>24</xdr:col>
          <xdr:colOff>219075</xdr:colOff>
          <xdr:row>10</xdr:row>
          <xdr:rowOff>28575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08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:$S$8" spid="_x0000_s1031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829800" y="609600"/>
              <a:ext cx="3009900" cy="1019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681878</xdr:colOff>
      <xdr:row>0</xdr:row>
      <xdr:rowOff>3361</xdr:rowOff>
    </xdr:from>
    <xdr:to>
      <xdr:col>4</xdr:col>
      <xdr:colOff>729053</xdr:colOff>
      <xdr:row>0</xdr:row>
      <xdr:rowOff>137832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81878" y="3361"/>
          <a:ext cx="3600000" cy="13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1</xdr:row>
          <xdr:rowOff>200025</xdr:rowOff>
        </xdr:from>
        <xdr:to>
          <xdr:col>10</xdr:col>
          <xdr:colOff>219075</xdr:colOff>
          <xdr:row>18</xdr:row>
          <xdr:rowOff>114300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9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E$19" spid="_x0000_s113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552950" y="447675"/>
              <a:ext cx="3609975" cy="2695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21</xdr:row>
          <xdr:rowOff>0</xdr:rowOff>
        </xdr:from>
        <xdr:to>
          <xdr:col>10</xdr:col>
          <xdr:colOff>314325</xdr:colOff>
          <xdr:row>28</xdr:row>
          <xdr:rowOff>9525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2:$E$28" spid="_x0000_s113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648200" y="3486150"/>
              <a:ext cx="3609975" cy="1171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30</xdr:row>
          <xdr:rowOff>57150</xdr:rowOff>
        </xdr:from>
        <xdr:to>
          <xdr:col>10</xdr:col>
          <xdr:colOff>342900</xdr:colOff>
          <xdr:row>52</xdr:row>
          <xdr:rowOff>66675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1:$E$52" spid="_x0000_s1137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676775" y="5010150"/>
              <a:ext cx="3609975" cy="3457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0</xdr:row>
          <xdr:rowOff>0</xdr:rowOff>
        </xdr:from>
        <xdr:to>
          <xdr:col>14</xdr:col>
          <xdr:colOff>466725</xdr:colOff>
          <xdr:row>34</xdr:row>
          <xdr:rowOff>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A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E$34" spid="_x0000_s83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10225" y="0"/>
              <a:ext cx="3590925" cy="4057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485775</xdr:colOff>
          <xdr:row>0</xdr:row>
          <xdr:rowOff>0</xdr:rowOff>
        </xdr:from>
        <xdr:to>
          <xdr:col>19</xdr:col>
          <xdr:colOff>647700</xdr:colOff>
          <xdr:row>7</xdr:row>
          <xdr:rowOff>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40:$E$49" spid="_x0000_s833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220200" y="0"/>
              <a:ext cx="3590925" cy="11620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638175</xdr:colOff>
          <xdr:row>42</xdr:row>
          <xdr:rowOff>104775</xdr:rowOff>
        </xdr:from>
        <xdr:to>
          <xdr:col>20</xdr:col>
          <xdr:colOff>114300</xdr:colOff>
          <xdr:row>52</xdr:row>
          <xdr:rowOff>104775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9:$E$65" spid="_x0000_s833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372600" y="4714875"/>
              <a:ext cx="3590925" cy="11620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657225</xdr:colOff>
          <xdr:row>53</xdr:row>
          <xdr:rowOff>19050</xdr:rowOff>
        </xdr:from>
        <xdr:to>
          <xdr:col>20</xdr:col>
          <xdr:colOff>142875</xdr:colOff>
          <xdr:row>59</xdr:row>
          <xdr:rowOff>28575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2:$E$57" spid="_x0000_s833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391650" y="5943600"/>
              <a:ext cx="3600450" cy="1019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7</xdr:col>
      <xdr:colOff>95250</xdr:colOff>
      <xdr:row>47</xdr:row>
      <xdr:rowOff>123825</xdr:rowOff>
    </xdr:from>
    <xdr:to>
      <xdr:col>14</xdr:col>
      <xdr:colOff>254000</xdr:colOff>
      <xdr:row>64</xdr:row>
      <xdr:rowOff>136525</xdr:rowOff>
    </xdr:to>
    <xdr:graphicFrame macro="">
      <xdr:nvGraphicFramePr>
        <xdr:cNvPr id="6" name="차트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361950</xdr:colOff>
      <xdr:row>62</xdr:row>
      <xdr:rowOff>66675</xdr:rowOff>
    </xdr:from>
    <xdr:to>
      <xdr:col>14</xdr:col>
      <xdr:colOff>647700</xdr:colOff>
      <xdr:row>80</xdr:row>
      <xdr:rowOff>66675</xdr:rowOff>
    </xdr:to>
    <xdr:graphicFrame macro="">
      <xdr:nvGraphicFramePr>
        <xdr:cNvPr id="7" name="차트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</xdr:row>
          <xdr:rowOff>19050</xdr:rowOff>
        </xdr:from>
        <xdr:to>
          <xdr:col>16</xdr:col>
          <xdr:colOff>209550</xdr:colOff>
          <xdr:row>15</xdr:row>
          <xdr:rowOff>19050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B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H$15" spid="_x0000_s164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867400" y="171450"/>
              <a:ext cx="4905375" cy="22288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109701</xdr:colOff>
      <xdr:row>32</xdr:row>
      <xdr:rowOff>66675</xdr:rowOff>
    </xdr:from>
    <xdr:to>
      <xdr:col>7</xdr:col>
      <xdr:colOff>109153</xdr:colOff>
      <xdr:row>50</xdr:row>
      <xdr:rowOff>117475</xdr:rowOff>
    </xdr:to>
    <xdr:graphicFrame macro="">
      <xdr:nvGraphicFramePr>
        <xdr:cNvPr id="3" name="차트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36</xdr:row>
      <xdr:rowOff>123825</xdr:rowOff>
    </xdr:from>
    <xdr:to>
      <xdr:col>6</xdr:col>
      <xdr:colOff>28125</xdr:colOff>
      <xdr:row>37</xdr:row>
      <xdr:rowOff>105896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723900" y="5895975"/>
          <a:ext cx="3600000" cy="13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613952</xdr:colOff>
      <xdr:row>0</xdr:row>
      <xdr:rowOff>134471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85800" y="0"/>
          <a:ext cx="3604802" cy="13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12</xdr:col>
          <xdr:colOff>190500</xdr:colOff>
          <xdr:row>16</xdr:row>
          <xdr:rowOff>9525</xdr:rowOff>
        </xdr:to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16" spid="_x0000_s491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05400" y="3638550"/>
              <a:ext cx="3619500" cy="2390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12</xdr:col>
          <xdr:colOff>190500</xdr:colOff>
          <xdr:row>31</xdr:row>
          <xdr:rowOff>9525</xdr:rowOff>
        </xdr:to>
        <xdr:pic>
          <xdr:nvPicPr>
            <xdr:cNvPr id="13" name="그림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8:$F$31" spid="_x0000_s4917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105400" y="6172200"/>
              <a:ext cx="3619500" cy="22383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175802</xdr:colOff>
      <xdr:row>0</xdr:row>
      <xdr:rowOff>134471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5105400" y="0"/>
          <a:ext cx="3604802" cy="13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679175</xdr:colOff>
      <xdr:row>0</xdr:row>
      <xdr:rowOff>8283</xdr:rowOff>
    </xdr:from>
    <xdr:to>
      <xdr:col>6</xdr:col>
      <xdr:colOff>1040</xdr:colOff>
      <xdr:row>0</xdr:row>
      <xdr:rowOff>142754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679175" y="8283"/>
          <a:ext cx="3612256" cy="13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12</xdr:col>
          <xdr:colOff>165652</xdr:colOff>
          <xdr:row>7</xdr:row>
          <xdr:rowOff>0</xdr:rowOff>
        </xdr:to>
        <xdr:pic>
          <xdr:nvPicPr>
            <xdr:cNvPr id="11" name="그림 10">
              <a:extLst>
                <a:ext uri="{FF2B5EF4-FFF2-40B4-BE49-F238E27FC236}">
                  <a16:creationId xmlns:a16="http://schemas.microsoft.com/office/drawing/2014/main" id="{00000000-0008-0000-0D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7" spid="_x0000_s154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05400" y="247650"/>
              <a:ext cx="3594652" cy="1009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768215</xdr:colOff>
          <xdr:row>8</xdr:row>
          <xdr:rowOff>25676</xdr:rowOff>
        </xdr:from>
        <xdr:to>
          <xdr:col>12</xdr:col>
          <xdr:colOff>122171</xdr:colOff>
          <xdr:row>23</xdr:row>
          <xdr:rowOff>25676</xdr:rowOff>
        </xdr:to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00000000-0008-0000-0D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9:$F$23" spid="_x0000_s1542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058606" y="1417154"/>
              <a:ext cx="3602935" cy="233569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142875</xdr:rowOff>
        </xdr:from>
        <xdr:to>
          <xdr:col>7</xdr:col>
          <xdr:colOff>9525</xdr:colOff>
          <xdr:row>20</xdr:row>
          <xdr:rowOff>95250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F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G$8" spid="_x0000_s184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914525"/>
              <a:ext cx="4438650" cy="13239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628650</xdr:colOff>
          <xdr:row>1</xdr:row>
          <xdr:rowOff>133350</xdr:rowOff>
        </xdr:from>
        <xdr:to>
          <xdr:col>20</xdr:col>
          <xdr:colOff>104775</xdr:colOff>
          <xdr:row>36</xdr:row>
          <xdr:rowOff>76200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1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E$34" spid="_x0000_s216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363075" y="381000"/>
              <a:ext cx="3590925" cy="3295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485775</xdr:colOff>
          <xdr:row>0</xdr:row>
          <xdr:rowOff>0</xdr:rowOff>
        </xdr:from>
        <xdr:to>
          <xdr:col>19</xdr:col>
          <xdr:colOff>647700</xdr:colOff>
          <xdr:row>12</xdr:row>
          <xdr:rowOff>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11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40:$E$49" spid="_x0000_s2162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220200" y="0"/>
              <a:ext cx="3590925" cy="11620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638175</xdr:colOff>
          <xdr:row>42</xdr:row>
          <xdr:rowOff>104775</xdr:rowOff>
        </xdr:from>
        <xdr:to>
          <xdr:col>20</xdr:col>
          <xdr:colOff>114300</xdr:colOff>
          <xdr:row>52</xdr:row>
          <xdr:rowOff>104775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11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9:$E$65" spid="_x0000_s2162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372600" y="4714875"/>
              <a:ext cx="3590925" cy="11620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657225</xdr:colOff>
          <xdr:row>53</xdr:row>
          <xdr:rowOff>19050</xdr:rowOff>
        </xdr:from>
        <xdr:to>
          <xdr:col>20</xdr:col>
          <xdr:colOff>142875</xdr:colOff>
          <xdr:row>59</xdr:row>
          <xdr:rowOff>28575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11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52:$E$57" spid="_x0000_s2162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391650" y="5943600"/>
              <a:ext cx="3600450" cy="1019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7</xdr:col>
      <xdr:colOff>95250</xdr:colOff>
      <xdr:row>47</xdr:row>
      <xdr:rowOff>123825</xdr:rowOff>
    </xdr:from>
    <xdr:to>
      <xdr:col>14</xdr:col>
      <xdr:colOff>254000</xdr:colOff>
      <xdr:row>64</xdr:row>
      <xdr:rowOff>136525</xdr:rowOff>
    </xdr:to>
    <xdr:graphicFrame macro="">
      <xdr:nvGraphicFramePr>
        <xdr:cNvPr id="6" name="차트 1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361950</xdr:colOff>
      <xdr:row>62</xdr:row>
      <xdr:rowOff>66675</xdr:rowOff>
    </xdr:from>
    <xdr:to>
      <xdr:col>14</xdr:col>
      <xdr:colOff>647700</xdr:colOff>
      <xdr:row>80</xdr:row>
      <xdr:rowOff>66675</xdr:rowOff>
    </xdr:to>
    <xdr:graphicFrame macro="">
      <xdr:nvGraphicFramePr>
        <xdr:cNvPr id="7" name="차트 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200025</xdr:colOff>
      <xdr:row>83</xdr:row>
      <xdr:rowOff>104774</xdr:rowOff>
    </xdr:from>
    <xdr:to>
      <xdr:col>14</xdr:col>
      <xdr:colOff>57150</xdr:colOff>
      <xdr:row>101</xdr:row>
      <xdr:rowOff>76199</xdr:rowOff>
    </xdr:to>
    <xdr:graphicFrame macro="">
      <xdr:nvGraphicFramePr>
        <xdr:cNvPr id="9" name="차트 1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</xdr:row>
          <xdr:rowOff>19050</xdr:rowOff>
        </xdr:from>
        <xdr:to>
          <xdr:col>12</xdr:col>
          <xdr:colOff>314325</xdr:colOff>
          <xdr:row>12</xdr:row>
          <xdr:rowOff>19050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12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C$12" spid="_x0000_s225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86525" y="295275"/>
              <a:ext cx="6362700" cy="3676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228600</xdr:colOff>
          <xdr:row>1</xdr:row>
          <xdr:rowOff>0</xdr:rowOff>
        </xdr:from>
        <xdr:ext cx="3590925" cy="1924050"/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13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13" spid="_x0000_s72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43400" y="209550"/>
              <a:ext cx="3590925" cy="19240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4520</xdr:colOff>
      <xdr:row>0</xdr:row>
      <xdr:rowOff>134471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85800" y="7086600"/>
          <a:ext cx="3614495" cy="13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803414</xdr:colOff>
          <xdr:row>0</xdr:row>
          <xdr:rowOff>8282</xdr:rowOff>
        </xdr:from>
        <xdr:to>
          <xdr:col>12</xdr:col>
          <xdr:colOff>171012</xdr:colOff>
          <xdr:row>24</xdr:row>
          <xdr:rowOff>8282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15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F$24" spid="_x0000_s266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093805" y="8282"/>
              <a:ext cx="3616577" cy="369404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</xdr:row>
          <xdr:rowOff>0</xdr:rowOff>
        </xdr:from>
        <xdr:to>
          <xdr:col>12</xdr:col>
          <xdr:colOff>179294</xdr:colOff>
          <xdr:row>33</xdr:row>
          <xdr:rowOff>0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15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6:$F$33" spid="_x0000_s2668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105400" y="11249025"/>
              <a:ext cx="3608294" cy="13144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4520</xdr:colOff>
      <xdr:row>1</xdr:row>
      <xdr:rowOff>134471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85800" y="7086600"/>
          <a:ext cx="3614495" cy="1344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8283</xdr:colOff>
      <xdr:row>1</xdr:row>
      <xdr:rowOff>0</xdr:rowOff>
    </xdr:from>
    <xdr:to>
      <xdr:col>6</xdr:col>
      <xdr:colOff>17605</xdr:colOff>
      <xdr:row>1</xdr:row>
      <xdr:rowOff>134471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694083" y="1273866"/>
          <a:ext cx="3619297" cy="1377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12</xdr:col>
          <xdr:colOff>165652</xdr:colOff>
          <xdr:row>10</xdr:row>
          <xdr:rowOff>0</xdr:rowOff>
        </xdr:to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00000000-0008-0000-16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10" spid="_x0000_s277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02087" y="12490174"/>
              <a:ext cx="3602935" cy="144117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12</xdr:col>
          <xdr:colOff>165652</xdr:colOff>
          <xdr:row>23</xdr:row>
          <xdr:rowOff>0</xdr:rowOff>
        </xdr:to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00000000-0008-0000-16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2:$F$23" spid="_x0000_s2772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105400" y="14335125"/>
              <a:ext cx="3594652" cy="19335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680356</xdr:colOff>
      <xdr:row>0</xdr:row>
      <xdr:rowOff>0</xdr:rowOff>
    </xdr:from>
    <xdr:to>
      <xdr:col>18</xdr:col>
      <xdr:colOff>349927</xdr:colOff>
      <xdr:row>0</xdr:row>
      <xdr:rowOff>133350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7538356" y="0"/>
          <a:ext cx="7403871" cy="133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655506</xdr:colOff>
          <xdr:row>2</xdr:row>
          <xdr:rowOff>1359</xdr:rowOff>
        </xdr:from>
        <xdr:to>
          <xdr:col>16</xdr:col>
          <xdr:colOff>476211</xdr:colOff>
          <xdr:row>11</xdr:row>
          <xdr:rowOff>1359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17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G$11" spid="_x0000_s287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502300" y="315124"/>
              <a:ext cx="6163235" cy="180414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112058</xdr:colOff>
          <xdr:row>12</xdr:row>
          <xdr:rowOff>100853</xdr:rowOff>
        </xdr:from>
        <xdr:to>
          <xdr:col>17</xdr:col>
          <xdr:colOff>123264</xdr:colOff>
          <xdr:row>21</xdr:row>
          <xdr:rowOff>100853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0000000-0008-0000-1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3:$G$21" spid="_x0000_s287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832911" y="2375647"/>
              <a:ext cx="6163235" cy="150158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</xdr:row>
          <xdr:rowOff>0</xdr:rowOff>
        </xdr:from>
        <xdr:to>
          <xdr:col>17</xdr:col>
          <xdr:colOff>11206</xdr:colOff>
          <xdr:row>29</xdr:row>
          <xdr:rowOff>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17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4:$G$29" spid="_x0000_s2879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734300" y="4048125"/>
              <a:ext cx="6183406" cy="10668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19</xdr:col>
          <xdr:colOff>200025</xdr:colOff>
          <xdr:row>35</xdr:row>
          <xdr:rowOff>4483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17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1:$H$35" spid="_x0000_s2879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420100" y="5276850"/>
              <a:ext cx="7058025" cy="90935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676275</xdr:colOff>
      <xdr:row>0</xdr:row>
      <xdr:rowOff>19050</xdr:rowOff>
    </xdr:from>
    <xdr:to>
      <xdr:col>6</xdr:col>
      <xdr:colOff>9075</xdr:colOff>
      <xdr:row>0</xdr:row>
      <xdr:rowOff>219076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676275" y="19050"/>
          <a:ext cx="3600000" cy="200026"/>
        </a:xfrm>
        <a:prstGeom prst="rect">
          <a:avLst/>
        </a:prstGeom>
        <a:solidFill>
          <a:srgbClr val="FFCC99"/>
        </a:solidFill>
        <a:ln w="9525" cap="rnd">
          <a:solidFill>
            <a:srgbClr val="000000"/>
          </a:solidFill>
          <a:prstDash val="sysDot"/>
          <a:miter lim="800000"/>
          <a:headEnd/>
          <a:tailEnd/>
        </a:ln>
      </xdr:spPr>
      <xdr:txBody>
        <a:bodyPr wrap="square" lIns="36576" tIns="18288" rIns="0" bIns="0"/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charset="-127"/>
              <a:ea typeface="굴림" charset="-127"/>
              <a:cs typeface="+mn-cs"/>
            </a:defRPr>
          </a:lvl9pPr>
        </a:lstStyle>
        <a:p>
          <a:pPr latinLnBrk="0"/>
          <a:r>
            <a:rPr kumimoji="0" lang="en-US" altLang="ko-KR" sz="1000" b="1" i="1">
              <a:solidFill>
                <a:srgbClr val="000000"/>
              </a:solidFill>
              <a:latin typeface="돋움" pitchFamily="50" charset="-127"/>
              <a:ea typeface="돋움" pitchFamily="50" charset="-127"/>
            </a:rPr>
            <a:t>3 Columns: 10.0 cm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</xdr:row>
          <xdr:rowOff>114300</xdr:rowOff>
        </xdr:from>
        <xdr:to>
          <xdr:col>12</xdr:col>
          <xdr:colOff>171450</xdr:colOff>
          <xdr:row>14</xdr:row>
          <xdr:rowOff>114300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18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F$14" spid="_x0000_s501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972050" y="504825"/>
              <a:ext cx="3581400" cy="20764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\&#44208;&#49328;&#44288;&#47144;\2005&#45380;&#44208;&#49328;\12&#50900;&#44208;&#49328;\My%20Document\&#50696;&#49328;\01&#50696;&#4932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dog\&#51077;&#44256;=&#48152;&#5487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ednet\dog\&#51077;&#44256;=&#48152;&#548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\&#44208;&#49328;&#44288;&#47144;\2005&#45380;&#44208;&#49328;\12&#50900;&#44208;&#49328;\My%20Documents\&#50857;&#49328;\6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208;&#49328;&#44288;&#47144;\2004&#45380;&#44208;&#49328;\2004&#45380;\&#53685;&#54633;\&#49688;&#48520;&#4851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\&#44208;&#49328;&#44288;&#47144;\2005&#45380;&#44208;&#49328;\12&#50900;&#44208;&#49328;\&#51060;&#47336;&#45367;&#44208;&#49328;&#47588;&#45684;&#50620;&#51089;&#49457;&#50504;(20051114&#51089;&#50629;)&#50668;&#54016;&#51109;&#51089;&#49457;&#51088;&#4730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orary%20Internet%20Files\Content.IE5\89AR41MJ\My%20Document\&#50696;&#49328;\01&#50696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c196029\psm\&#50864;&#49440;&#49692;&#50948;Matrix\My%20Documents\project\&#49340;&#50577;&#49324;\template\Templ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gholee/AppData/Local/Microsoft/Windows/Temporary%20Internet%20Files/Content.Outlook/H1KCOW7B/&#50640;&#49828;&#54000;&#54044;_Issulog_20151112_yhe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bang/Desktop/Work/Work/TS/1.%20Project/32.%20&#50640;&#49828;&#54000;&#54044;/&#51116;&#47924;&#51228;&#54364;/Project%20Striker_FS_v0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%20striker/working/&#48372;&#44256;&#49436;&#49688;&#51221;/&#48373;&#49324;&#48376;%20&#50640;&#49828;&#54000;&#54044;_Issuelog%2020151111_&#54889;&#46041;&#54788;_&#49688;&#51221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gholee/AppData/Local/Microsoft/Windows/Temporary%20Internet%20Files/Content.Outlook/H1KCOW7B/STPharm_Working%20File_&#54889;&#46041;&#547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기별손익"/>
      <sheetName val="ESIS"/>
      <sheetName val="FUND"/>
      <sheetName val="손익계산서"/>
      <sheetName val="경영기획팀"/>
      <sheetName val="경영2"/>
      <sheetName val="연구소"/>
      <sheetName val="연구소2"/>
      <sheetName val="지사ELT"/>
      <sheetName val="지사ELT2"/>
      <sheetName val="유치원"/>
      <sheetName val="유치원2"/>
      <sheetName val="INTER"/>
      <sheetName val="SUMMA"/>
      <sheetName val="CONTE"/>
      <sheetName val="TIT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구에드"/>
      <sheetName val="대구엠스쿨"/>
      <sheetName val="대구수금"/>
      <sheetName val="대구동"/>
      <sheetName val="엠스쿨"/>
      <sheetName val="대구동수금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구에드"/>
      <sheetName val="대구엠스쿨"/>
      <sheetName val="대구수금"/>
      <sheetName val="대구동"/>
      <sheetName val="엠스쿨"/>
      <sheetName val="대구동수금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IS (3)"/>
      <sheetName val="LEASE"/>
      <sheetName val="BOWL"/>
      <sheetName val="BOOK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재료(학습지)"/>
      <sheetName val="제품"/>
      <sheetName val="교재상품"/>
      <sheetName val="스와튼교재상품"/>
      <sheetName val="스와튼교재제품"/>
      <sheetName val="비디오"/>
      <sheetName val="어학원제품"/>
      <sheetName val="어학원상품"/>
      <sheetName val="상품"/>
      <sheetName val="제품상품구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및현금등가물명세서"/>
      <sheetName val="단기금융상품명세서"/>
      <sheetName val="유가증권명세서"/>
      <sheetName val="매출채권명세서"/>
      <sheetName val="매출채권충당금명세서"/>
      <sheetName val="미수금명세서"/>
      <sheetName val="미수금충당금명세서"/>
      <sheetName val="선급금명세서"/>
      <sheetName val="선급비용명세서"/>
      <sheetName val="선급비용계산내역(2004년)"/>
      <sheetName val="선급비용내역(2005년)"/>
      <sheetName val="선급법인세명세서"/>
      <sheetName val="단기대여금명세서"/>
      <sheetName val="미수수익명세서"/>
      <sheetName val="미수수익계산 근거"/>
      <sheetName val="재고자산명세서"/>
      <sheetName val="원재료"/>
      <sheetName val="원재료수불부명세서"/>
      <sheetName val="제품"/>
      <sheetName val="제품수불부명세서(학습지등)"/>
      <sheetName val="교재상품"/>
      <sheetName val="상품수불부명세서"/>
      <sheetName val="스와튼교재상품"/>
      <sheetName val="상품수불부명세서 (스와튼)"/>
      <sheetName val="위싱웰스토리북"/>
      <sheetName val="스와튼교재제품"/>
      <sheetName val="제품수불부명세서 (스와튼)"/>
      <sheetName val="비디오"/>
      <sheetName val="제품수불부명세서 (중학비디오등)"/>
      <sheetName val="장기대여금명세서"/>
      <sheetName val="장기투자유가증권명세서"/>
      <sheetName val="보증금명세서"/>
      <sheetName val="임차보증금명세서"/>
      <sheetName val="전신전화권보증금명세서"/>
      <sheetName val="예치보증금명세서"/>
      <sheetName val="회원권보증금명세서"/>
      <sheetName val="유형자산명세서"/>
      <sheetName val="수정분개"/>
      <sheetName val="감가총계"/>
      <sheetName val="건물이루넷"/>
      <sheetName val="건물명세서"/>
      <sheetName val="구축물이루넷"/>
      <sheetName val="구축물명세서"/>
      <sheetName val="시설장치총계"/>
      <sheetName val="시설장치이루넷"/>
      <sheetName val="시설장치SAT"/>
      <sheetName val="시설장치대치"/>
      <sheetName val="시설장치비고"/>
      <sheetName val="시설장치명세서"/>
      <sheetName val="차량운반구총계"/>
      <sheetName val="차량운반구이루넷"/>
      <sheetName val="차량운반구SAT"/>
      <sheetName val="차량운반구명세서"/>
      <sheetName val="비품총계"/>
      <sheetName val="비품이루넷"/>
      <sheetName val="비품SAT"/>
      <sheetName val="비품송파"/>
      <sheetName val="비품대치"/>
      <sheetName val="비품은평"/>
      <sheetName val="비품화정"/>
      <sheetName val="비품압구정"/>
      <sheetName val="비품명세서"/>
      <sheetName val="무형자산명세서"/>
      <sheetName val="무형자산명세서Full"/>
      <sheetName val="상표권상각명세서"/>
      <sheetName val="개발비상각명세서"/>
      <sheetName val="상표권명세서"/>
      <sheetName val="개발비명세서"/>
      <sheetName val="기타무형자산명세서"/>
      <sheetName val="매입채무명세서"/>
      <sheetName val="외상매입금명세서"/>
      <sheetName val="지급어음명세서"/>
      <sheetName val="미지급금명세서"/>
      <sheetName val="미지급비용명세서"/>
      <sheetName val="선수금명세서"/>
      <sheetName val="예수금명세서"/>
      <sheetName val="예수보증금명세서"/>
      <sheetName val="퇴직급여충당금명세서"/>
      <sheetName val="퇴직보험예치금명세서"/>
      <sheetName val="퇴직전환금명세서"/>
      <sheetName val="단기차입금명세서"/>
      <sheetName val="임대보증금명세서"/>
      <sheetName val="자본명세서"/>
      <sheetName val="손익항목명세서"/>
      <sheetName val="원가안분명세서"/>
      <sheetName val="제조원가명세서"/>
      <sheetName val="매출원가명세서"/>
      <sheetName val="대차대조표"/>
      <sheetName val="손익계산서"/>
      <sheetName val="분기별손익계산서"/>
      <sheetName val="합계잔액시산표"/>
      <sheetName val="현금흐름표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기별손익"/>
      <sheetName val="ESIS"/>
      <sheetName val="FUND"/>
      <sheetName val="손익계산서"/>
      <sheetName val="경영기획팀"/>
      <sheetName val="경영2"/>
      <sheetName val="연구소"/>
      <sheetName val="연구소2"/>
      <sheetName val="지사ELT"/>
      <sheetName val="지사ELT2"/>
      <sheetName val="유치원"/>
      <sheetName val="유치원2"/>
      <sheetName val="INTER"/>
      <sheetName val="SUMMA"/>
      <sheetName val="CONTE"/>
      <sheetName val="TIT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ARGET"/>
      <sheetName val="Part별 절감기회"/>
      <sheetName val="Lot별 절감기회"/>
      <sheetName val="제품전략Matrix"/>
      <sheetName val="우선순위Matrix"/>
      <sheetName val="공급업체분석"/>
      <sheetName val="연도별 공급업체"/>
      <sheetName val="SWOT분석"/>
      <sheetName val="Cost Breakdown"/>
      <sheetName val="매출원가 분석"/>
      <sheetName val="Lever별 Target"/>
      <sheetName val="포상System"/>
      <sheetName val="Fact Base"/>
      <sheetName val="Benchmarking"/>
      <sheetName val="원가계산"/>
      <sheetName val="포스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TM_정리"/>
      <sheetName val="overview"/>
      <sheetName val="매출"/>
      <sheetName val="원가"/>
      <sheetName val="WC"/>
      <sheetName val="거래처별매출"/>
      <sheetName val="매출채권"/>
      <sheetName val="재고"/>
      <sheetName val="&gt;"/>
      <sheetName val="제조원가"/>
      <sheetName val="비용"/>
      <sheetName val="AR(명세)"/>
      <sheetName val="AP(명세)"/>
      <sheetName val="선수금"/>
      <sheetName val="_TM_Issue log"/>
      <sheetName val="&gt;&gt;"/>
      <sheetName val="주석별도 정리"/>
      <sheetName val="다트정리(BS)"/>
      <sheetName val="다트정리(PL)"/>
      <sheetName val="14주석"/>
      <sheetName val="13주석"/>
      <sheetName val="12주석"/>
      <sheetName val="현금흐름표정리"/>
    </sheetNames>
    <sheetDataSet>
      <sheetData sheetId="0" refreshError="1"/>
      <sheetData sheetId="1">
        <row r="23">
          <cell r="H23">
            <v>5823186820</v>
          </cell>
          <cell r="I23">
            <v>5060291331</v>
          </cell>
          <cell r="J23">
            <v>4200022644</v>
          </cell>
        </row>
      </sheetData>
      <sheetData sheetId="2">
        <row r="2">
          <cell r="I2" t="str">
            <v>2012년</v>
          </cell>
        </row>
      </sheetData>
      <sheetData sheetId="3" refreshError="1"/>
      <sheetData sheetId="4">
        <row r="27">
          <cell r="E27" t="str">
            <v>2012년</v>
          </cell>
        </row>
      </sheetData>
      <sheetData sheetId="5">
        <row r="4">
          <cell r="C4">
            <v>82984043707</v>
          </cell>
          <cell r="D4">
            <v>84255969467</v>
          </cell>
          <cell r="E4">
            <v>96540028908</v>
          </cell>
          <cell r="F4">
            <v>48218557257</v>
          </cell>
          <cell r="G4">
            <v>93951670844</v>
          </cell>
        </row>
        <row r="8">
          <cell r="C8">
            <v>64357268801</v>
          </cell>
          <cell r="D8">
            <v>62447706236</v>
          </cell>
          <cell r="E8">
            <v>75665215911</v>
          </cell>
          <cell r="F8">
            <v>33096040762</v>
          </cell>
          <cell r="G8">
            <v>57810813933</v>
          </cell>
        </row>
        <row r="16">
          <cell r="C16">
            <v>0.22734223578472929</v>
          </cell>
          <cell r="D16">
            <v>0.25679600522036194</v>
          </cell>
          <cell r="E16">
            <v>0.23088554943497047</v>
          </cell>
          <cell r="G16">
            <v>0.43019200071861358</v>
          </cell>
        </row>
        <row r="17">
          <cell r="C17">
            <v>0.20240879034781134</v>
          </cell>
          <cell r="D17">
            <v>0.22818068032919986</v>
          </cell>
          <cell r="E17">
            <v>0.11083298435417968</v>
          </cell>
          <cell r="G17">
            <v>0.10693506988477799</v>
          </cell>
        </row>
      </sheetData>
      <sheetData sheetId="6">
        <row r="17">
          <cell r="C17">
            <v>7245924000</v>
          </cell>
          <cell r="D17">
            <v>10327405000</v>
          </cell>
          <cell r="E17">
            <v>17845476000</v>
          </cell>
          <cell r="F17">
            <v>18012000000</v>
          </cell>
          <cell r="G17">
            <v>15584620000</v>
          </cell>
          <cell r="H17">
            <v>20113027625</v>
          </cell>
          <cell r="I17">
            <v>25922004632</v>
          </cell>
        </row>
      </sheetData>
      <sheetData sheetId="7">
        <row r="18">
          <cell r="C18">
            <v>34560239000</v>
          </cell>
          <cell r="D18">
            <v>37460510000</v>
          </cell>
          <cell r="E18">
            <v>36547487000</v>
          </cell>
          <cell r="F18">
            <v>40299077000</v>
          </cell>
          <cell r="G18">
            <v>42629020000</v>
          </cell>
          <cell r="H18">
            <v>52939955244</v>
          </cell>
          <cell r="I18">
            <v>58776193450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TM_정리"/>
      <sheetName val="FS"/>
      <sheetName val="FS (2)"/>
      <sheetName val="FCF"/>
      <sheetName val="재무상태표"/>
      <sheetName val="손익계산서"/>
      <sheetName val="15년 6월 9월 판관비"/>
      <sheetName val="현금흐름표정리"/>
    </sheetNames>
    <sheetDataSet>
      <sheetData sheetId="0"/>
      <sheetData sheetId="1"/>
      <sheetData sheetId="2">
        <row r="66">
          <cell r="C66">
            <v>65241045584</v>
          </cell>
          <cell r="D66">
            <v>63262105172</v>
          </cell>
          <cell r="E66">
            <v>81086958711</v>
          </cell>
          <cell r="G66">
            <v>78023354330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TM_정리"/>
      <sheetName val="Assign"/>
      <sheetName val="overview"/>
      <sheetName val="_TM_Issue log"/>
      <sheetName val="인터뷰메모"/>
      <sheetName val="Issue log 및 질문리스트"/>
      <sheetName val="Memo"/>
      <sheetName val="Proforma"/>
      <sheetName val="_TM_Proforma3"/>
      <sheetName val="Proforma3"/>
      <sheetName val="Proforma2"/>
      <sheetName val="연도별 제조원명세"/>
      <sheetName val="주석별도 정리"/>
      <sheetName val="다트정리(BS)"/>
      <sheetName val="다트정리(PL)"/>
      <sheetName val="2012주석정리"/>
      <sheetName val="2013주석정리"/>
      <sheetName val="2014주석정리"/>
      <sheetName val="현금흐름표정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5">
          <cell r="C35">
            <v>231</v>
          </cell>
        </row>
        <row r="64">
          <cell r="C64">
            <v>2552072300</v>
          </cell>
          <cell r="D64">
            <v>3366805203</v>
          </cell>
          <cell r="E64">
            <v>3516949648</v>
          </cell>
          <cell r="F64">
            <v>1835669680</v>
          </cell>
        </row>
        <row r="65">
          <cell r="C65">
            <v>414004937</v>
          </cell>
          <cell r="D65">
            <v>713944992</v>
          </cell>
          <cell r="E65">
            <v>525792892</v>
          </cell>
          <cell r="F65">
            <v>929954309</v>
          </cell>
        </row>
        <row r="66">
          <cell r="C66">
            <v>622657870</v>
          </cell>
          <cell r="D66">
            <v>586572150</v>
          </cell>
          <cell r="E66">
            <v>521391007</v>
          </cell>
          <cell r="F66">
            <v>233751376</v>
          </cell>
        </row>
        <row r="67">
          <cell r="C67">
            <v>310402201</v>
          </cell>
          <cell r="D67">
            <v>318137339</v>
          </cell>
          <cell r="E67">
            <v>538829322</v>
          </cell>
          <cell r="F67">
            <v>341007201</v>
          </cell>
        </row>
        <row r="68">
          <cell r="C68">
            <v>375815547</v>
          </cell>
          <cell r="D68">
            <v>420036665</v>
          </cell>
          <cell r="E68">
            <v>397292119</v>
          </cell>
          <cell r="F68">
            <v>258922174</v>
          </cell>
        </row>
        <row r="69">
          <cell r="C69">
            <v>36346000</v>
          </cell>
          <cell r="D69">
            <v>305408200</v>
          </cell>
          <cell r="E69">
            <v>207246519</v>
          </cell>
          <cell r="F69">
            <v>818521518</v>
          </cell>
        </row>
        <row r="70">
          <cell r="C70">
            <v>310730177</v>
          </cell>
          <cell r="D70">
            <v>287331150</v>
          </cell>
          <cell r="E70">
            <v>336320268</v>
          </cell>
          <cell r="F70">
            <v>183136116</v>
          </cell>
        </row>
        <row r="75">
          <cell r="C75">
            <v>5082642503</v>
          </cell>
          <cell r="D75">
            <v>6663435159</v>
          </cell>
          <cell r="E75">
            <v>6782147700</v>
          </cell>
          <cell r="F75">
            <v>5134487133</v>
          </cell>
        </row>
        <row r="128">
          <cell r="D128">
            <v>17200</v>
          </cell>
          <cell r="E128">
            <v>267195</v>
          </cell>
          <cell r="G128">
            <v>3608630</v>
          </cell>
          <cell r="H128">
            <v>528799</v>
          </cell>
          <cell r="J128">
            <v>24342825</v>
          </cell>
          <cell r="K128">
            <v>801000</v>
          </cell>
        </row>
        <row r="129">
          <cell r="D129">
            <v>10100742</v>
          </cell>
          <cell r="G129">
            <v>9266668</v>
          </cell>
        </row>
        <row r="130">
          <cell r="D130">
            <v>668250</v>
          </cell>
          <cell r="G130">
            <v>519750</v>
          </cell>
        </row>
        <row r="131">
          <cell r="E131">
            <v>324362</v>
          </cell>
          <cell r="H131">
            <v>275301</v>
          </cell>
          <cell r="L131">
            <v>669723</v>
          </cell>
        </row>
        <row r="132">
          <cell r="D132">
            <v>845100</v>
          </cell>
          <cell r="E132">
            <v>2700</v>
          </cell>
          <cell r="H132">
            <v>1386</v>
          </cell>
          <cell r="L132">
            <v>2870</v>
          </cell>
        </row>
        <row r="133">
          <cell r="E133">
            <v>117492</v>
          </cell>
          <cell r="F133">
            <v>188175</v>
          </cell>
          <cell r="H133">
            <v>99747</v>
          </cell>
          <cell r="L133">
            <v>94197</v>
          </cell>
        </row>
        <row r="134">
          <cell r="F134">
            <v>19845500</v>
          </cell>
          <cell r="L134">
            <v>27632</v>
          </cell>
        </row>
        <row r="135">
          <cell r="I135">
            <v>56534</v>
          </cell>
          <cell r="M135">
            <v>63962</v>
          </cell>
        </row>
        <row r="150">
          <cell r="D150">
            <v>9460</v>
          </cell>
          <cell r="G150">
            <v>261000</v>
          </cell>
          <cell r="H150">
            <v>2029897</v>
          </cell>
        </row>
        <row r="151">
          <cell r="D151">
            <v>2557482</v>
          </cell>
          <cell r="E151">
            <v>3024766</v>
          </cell>
          <cell r="H151">
            <v>9705418</v>
          </cell>
        </row>
        <row r="152">
          <cell r="D152">
            <v>130680</v>
          </cell>
        </row>
        <row r="153">
          <cell r="F153">
            <v>41757</v>
          </cell>
        </row>
        <row r="154">
          <cell r="D154">
            <v>210870</v>
          </cell>
        </row>
        <row r="155">
          <cell r="F155">
            <v>12460</v>
          </cell>
        </row>
        <row r="156">
          <cell r="F156">
            <v>1495890</v>
          </cell>
        </row>
        <row r="162">
          <cell r="D162">
            <v>4730</v>
          </cell>
          <cell r="G162">
            <v>389831</v>
          </cell>
          <cell r="H162">
            <v>1884189</v>
          </cell>
        </row>
        <row r="163">
          <cell r="D163">
            <v>1335695</v>
          </cell>
          <cell r="E163">
            <v>6600</v>
          </cell>
          <cell r="H163">
            <v>9008750</v>
          </cell>
        </row>
        <row r="164">
          <cell r="D164">
            <v>81675</v>
          </cell>
        </row>
        <row r="165">
          <cell r="F165">
            <v>13509</v>
          </cell>
        </row>
        <row r="167">
          <cell r="F167">
            <v>9144</v>
          </cell>
        </row>
        <row r="173">
          <cell r="D173">
            <v>1499836</v>
          </cell>
          <cell r="F173">
            <v>68530</v>
          </cell>
          <cell r="H173">
            <v>13834</v>
          </cell>
          <cell r="I173">
            <v>1712000</v>
          </cell>
        </row>
        <row r="174">
          <cell r="G174">
            <v>104711</v>
          </cell>
        </row>
        <row r="176">
          <cell r="G176">
            <v>8240</v>
          </cell>
        </row>
        <row r="201">
          <cell r="C201">
            <v>8091352253</v>
          </cell>
          <cell r="D201">
            <v>3103034059</v>
          </cell>
          <cell r="E201">
            <v>22907165786</v>
          </cell>
        </row>
        <row r="205">
          <cell r="C205">
            <v>5282945380</v>
          </cell>
          <cell r="D205">
            <v>3000375576</v>
          </cell>
          <cell r="E205">
            <v>72314960000</v>
          </cell>
        </row>
        <row r="206">
          <cell r="C206">
            <v>195000000</v>
          </cell>
        </row>
        <row r="210">
          <cell r="C210">
            <v>0</v>
          </cell>
          <cell r="D210">
            <v>0</v>
          </cell>
          <cell r="E210">
            <v>48098280956</v>
          </cell>
        </row>
        <row r="211">
          <cell r="C211">
            <v>6000000000</v>
          </cell>
          <cell r="D211">
            <v>10000000000</v>
          </cell>
          <cell r="E211">
            <v>4000000000</v>
          </cell>
        </row>
        <row r="217">
          <cell r="C217">
            <v>26700458142</v>
          </cell>
        </row>
        <row r="225">
          <cell r="C225">
            <v>15758544882</v>
          </cell>
        </row>
        <row r="270">
          <cell r="C270">
            <v>17750666300</v>
          </cell>
          <cell r="D270">
            <v>17857182480</v>
          </cell>
          <cell r="E270">
            <v>17969285680</v>
          </cell>
          <cell r="F270">
            <v>18257800370</v>
          </cell>
        </row>
        <row r="271">
          <cell r="C271">
            <v>16987209496</v>
          </cell>
          <cell r="D271">
            <v>17383056511</v>
          </cell>
          <cell r="E271">
            <v>17639829235</v>
          </cell>
          <cell r="F271">
            <v>34449607577</v>
          </cell>
        </row>
        <row r="272">
          <cell r="C272">
            <v>-4552425362</v>
          </cell>
          <cell r="D272">
            <v>-5143300403</v>
          </cell>
          <cell r="E272">
            <v>-5742707145</v>
          </cell>
          <cell r="F272">
            <v>-6127036738</v>
          </cell>
        </row>
        <row r="273">
          <cell r="C273">
            <v>3580011804</v>
          </cell>
          <cell r="D273">
            <v>3725011804</v>
          </cell>
          <cell r="E273">
            <v>3772133104</v>
          </cell>
          <cell r="F273">
            <v>5907623716</v>
          </cell>
        </row>
        <row r="274">
          <cell r="C274">
            <v>-2407343065</v>
          </cell>
          <cell r="D274">
            <v>-2653192062</v>
          </cell>
          <cell r="E274">
            <v>-2902150998</v>
          </cell>
          <cell r="F274">
            <v>-3034445201</v>
          </cell>
        </row>
        <row r="275">
          <cell r="C275">
            <v>37182714908</v>
          </cell>
          <cell r="D275">
            <v>38360363650</v>
          </cell>
          <cell r="E275">
            <v>38205662281</v>
          </cell>
          <cell r="F275">
            <v>51531199771</v>
          </cell>
        </row>
        <row r="276">
          <cell r="C276">
            <v>-25181100376</v>
          </cell>
          <cell r="D276">
            <v>-27677890992</v>
          </cell>
          <cell r="E276">
            <v>-29633776493</v>
          </cell>
          <cell r="F276">
            <v>-30632148411</v>
          </cell>
        </row>
        <row r="277">
          <cell r="C277">
            <v>-21250575</v>
          </cell>
          <cell r="D277">
            <v>-16250675</v>
          </cell>
          <cell r="E277">
            <v>-11250775</v>
          </cell>
          <cell r="F277">
            <v>-8750827</v>
          </cell>
        </row>
        <row r="278">
          <cell r="C278">
            <v>215056557</v>
          </cell>
          <cell r="D278">
            <v>215056557</v>
          </cell>
          <cell r="E278">
            <v>215056557</v>
          </cell>
          <cell r="F278">
            <v>317154357</v>
          </cell>
        </row>
        <row r="279">
          <cell r="C279">
            <v>-61504277</v>
          </cell>
          <cell r="D279">
            <v>-77959576</v>
          </cell>
          <cell r="E279">
            <v>-94414875</v>
          </cell>
          <cell r="F279">
            <v>-106317911</v>
          </cell>
        </row>
        <row r="280">
          <cell r="C280">
            <v>6018934815</v>
          </cell>
          <cell r="D280">
            <v>6673803698</v>
          </cell>
          <cell r="E280">
            <v>7055191581</v>
          </cell>
          <cell r="F280">
            <v>9915315164</v>
          </cell>
        </row>
        <row r="281">
          <cell r="C281">
            <v>-3202564844</v>
          </cell>
          <cell r="D281">
            <v>-3459195246</v>
          </cell>
          <cell r="E281">
            <v>-4122056998</v>
          </cell>
          <cell r="F281">
            <v>-4386767317</v>
          </cell>
        </row>
        <row r="282">
          <cell r="C282">
            <v>-209947810</v>
          </cell>
          <cell r="D282">
            <v>-537196293</v>
          </cell>
          <cell r="E282">
            <v>-551639143</v>
          </cell>
          <cell r="F282">
            <v>-543004065</v>
          </cell>
        </row>
        <row r="283">
          <cell r="C283">
            <v>452300000</v>
          </cell>
          <cell r="D283">
            <v>388165000</v>
          </cell>
          <cell r="E283">
            <v>21959953884</v>
          </cell>
          <cell r="F283">
            <v>934132289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259879630</v>
          </cell>
        </row>
        <row r="288">
          <cell r="C288">
            <v>143918606</v>
          </cell>
          <cell r="D288">
            <v>206670437</v>
          </cell>
          <cell r="E288">
            <v>203258410</v>
          </cell>
          <cell r="F288">
            <v>208590540</v>
          </cell>
        </row>
        <row r="289">
          <cell r="C289">
            <v>-71995014</v>
          </cell>
          <cell r="D289">
            <v>-95534325</v>
          </cell>
          <cell r="E289">
            <v>-90937057</v>
          </cell>
          <cell r="F289">
            <v>-87700977</v>
          </cell>
        </row>
        <row r="290">
          <cell r="C290">
            <v>906000000</v>
          </cell>
          <cell r="D290">
            <v>828000000</v>
          </cell>
          <cell r="E290">
            <v>716900000</v>
          </cell>
          <cell r="F290">
            <v>937500000</v>
          </cell>
        </row>
        <row r="294">
          <cell r="C294">
            <v>5282945380</v>
          </cell>
          <cell r="D294">
            <v>8283320956</v>
          </cell>
          <cell r="E294">
            <v>32500000000</v>
          </cell>
          <cell r="F294">
            <v>49200458142</v>
          </cell>
        </row>
        <row r="295">
          <cell r="C295">
            <v>10000000000</v>
          </cell>
          <cell r="D295">
            <v>4000000000</v>
          </cell>
          <cell r="E295">
            <v>19500000</v>
          </cell>
          <cell r="F295">
            <v>19500000</v>
          </cell>
        </row>
        <row r="296">
          <cell r="C296">
            <v>4195000000</v>
          </cell>
          <cell r="D296">
            <v>195000000</v>
          </cell>
          <cell r="E296">
            <v>175500000</v>
          </cell>
          <cell r="F296">
            <v>10175500000</v>
          </cell>
        </row>
        <row r="297">
          <cell r="C297">
            <v>32819126898</v>
          </cell>
          <cell r="D297">
            <v>35849306515</v>
          </cell>
          <cell r="E297">
            <v>38648032409</v>
          </cell>
          <cell r="F297">
            <v>39918475201</v>
          </cell>
        </row>
        <row r="298">
          <cell r="C298">
            <v>3964617429</v>
          </cell>
          <cell r="D298">
            <v>3983334355</v>
          </cell>
          <cell r="E298">
            <v>3907781080</v>
          </cell>
          <cell r="F298">
            <v>1756753279</v>
          </cell>
        </row>
        <row r="328">
          <cell r="D328">
            <v>10052900000</v>
          </cell>
          <cell r="E328">
            <v>203500</v>
          </cell>
          <cell r="F328">
            <v>4777809771</v>
          </cell>
        </row>
        <row r="331">
          <cell r="D331">
            <v>7200022500</v>
          </cell>
          <cell r="E331">
            <v>148500</v>
          </cell>
          <cell r="F331">
            <v>7378544269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TM_정리"/>
      <sheetName val="Assign"/>
      <sheetName val="overview"/>
      <sheetName val="_TM_Issue log"/>
      <sheetName val="인터뷰메모"/>
      <sheetName val="Issue log 및 질문리스트"/>
      <sheetName val="Memo"/>
      <sheetName val="Proforma"/>
      <sheetName val="Proforma2"/>
      <sheetName val="Proforma3"/>
      <sheetName val="연도별 제조원명세"/>
      <sheetName val="주석별도 정리"/>
      <sheetName val="다트정리(BS)"/>
      <sheetName val="다트정리(PL)"/>
      <sheetName val="2012주석정리"/>
      <sheetName val="2013주석정리"/>
      <sheetName val="2014주석정리"/>
      <sheetName val="현금흐름표정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34">
          <cell r="C234">
            <v>831715870</v>
          </cell>
          <cell r="D234">
            <v>6451296250</v>
          </cell>
          <cell r="E234">
            <v>902689830</v>
          </cell>
          <cell r="F234">
            <v>8164830637</v>
          </cell>
          <cell r="G234">
            <v>861549340</v>
          </cell>
          <cell r="H234">
            <v>8404223938</v>
          </cell>
          <cell r="I234">
            <v>446613360</v>
          </cell>
          <cell r="J234">
            <v>5048330550</v>
          </cell>
        </row>
        <row r="235">
          <cell r="C235">
            <v>407077130</v>
          </cell>
          <cell r="D235">
            <v>2778982310</v>
          </cell>
          <cell r="E235">
            <v>461241900</v>
          </cell>
          <cell r="F235">
            <v>3309651370</v>
          </cell>
          <cell r="G235">
            <v>571981200</v>
          </cell>
          <cell r="H235">
            <v>3936528210</v>
          </cell>
          <cell r="I235">
            <v>289811670</v>
          </cell>
          <cell r="J235">
            <v>2350585160</v>
          </cell>
        </row>
        <row r="242">
          <cell r="D242">
            <v>0.22631827124505777</v>
          </cell>
          <cell r="E242">
            <v>7.2895995577930917E-2</v>
          </cell>
          <cell r="F242">
            <v>0.18123621015668823</v>
          </cell>
        </row>
        <row r="244">
          <cell r="D244">
            <v>10</v>
          </cell>
          <cell r="E244">
            <v>10</v>
          </cell>
          <cell r="F244">
            <v>10</v>
          </cell>
          <cell r="G244">
            <v>10</v>
          </cell>
        </row>
        <row r="245">
          <cell r="D245">
            <v>167</v>
          </cell>
          <cell r="E245">
            <v>181</v>
          </cell>
          <cell r="F245">
            <v>211</v>
          </cell>
          <cell r="G245">
            <v>284</v>
          </cell>
        </row>
        <row r="246">
          <cell r="D246">
            <v>54</v>
          </cell>
          <cell r="E246">
            <v>59</v>
          </cell>
          <cell r="F246">
            <v>63</v>
          </cell>
          <cell r="G246">
            <v>78</v>
          </cell>
        </row>
        <row r="248">
          <cell r="D248">
            <v>123879300</v>
          </cell>
          <cell r="E248">
            <v>136393173</v>
          </cell>
          <cell r="F248">
            <v>143353054</v>
          </cell>
          <cell r="G248">
            <v>73642503</v>
          </cell>
        </row>
        <row r="249">
          <cell r="D249">
            <v>41765966.334841631</v>
          </cell>
          <cell r="E249">
            <v>47810341.695833333</v>
          </cell>
          <cell r="F249">
            <v>45039241.416058391</v>
          </cell>
          <cell r="G249">
            <v>20438993.67403315</v>
          </cell>
        </row>
        <row r="250">
          <cell r="D250">
            <v>45320656.103896104</v>
          </cell>
          <cell r="E250">
            <v>51353654.947999999</v>
          </cell>
          <cell r="F250">
            <v>48500995.380281687</v>
          </cell>
          <cell r="G250">
            <v>21869195.53763441</v>
          </cell>
        </row>
        <row r="263">
          <cell r="C263">
            <v>1278263180</v>
          </cell>
          <cell r="D263">
            <v>1466788504</v>
          </cell>
          <cell r="E263">
            <v>1608082090</v>
          </cell>
          <cell r="F263">
            <v>792641300</v>
          </cell>
        </row>
        <row r="264">
          <cell r="C264">
            <v>148027135</v>
          </cell>
          <cell r="D264">
            <v>134918133</v>
          </cell>
          <cell r="E264">
            <v>158426986</v>
          </cell>
          <cell r="F264">
            <v>78713934</v>
          </cell>
        </row>
        <row r="265">
          <cell r="C265">
            <v>97478005</v>
          </cell>
          <cell r="D265">
            <v>115495167</v>
          </cell>
          <cell r="E265">
            <v>146026930</v>
          </cell>
          <cell r="F265">
            <v>87518847</v>
          </cell>
        </row>
        <row r="268">
          <cell r="C268">
            <v>2552072300</v>
          </cell>
          <cell r="D268">
            <v>3366805203</v>
          </cell>
          <cell r="E268">
            <v>3516949648</v>
          </cell>
          <cell r="F268">
            <v>1835669680</v>
          </cell>
        </row>
        <row r="269">
          <cell r="C269">
            <v>310730177</v>
          </cell>
          <cell r="D269">
            <v>287331150</v>
          </cell>
          <cell r="E269">
            <v>336320268</v>
          </cell>
          <cell r="F269">
            <v>183136116</v>
          </cell>
        </row>
        <row r="270">
          <cell r="C270">
            <v>128959792</v>
          </cell>
          <cell r="D270">
            <v>154807556</v>
          </cell>
          <cell r="E270">
            <v>174010338</v>
          </cell>
          <cell r="F270">
            <v>107503001</v>
          </cell>
        </row>
        <row r="273">
          <cell r="C273">
            <v>6638736080</v>
          </cell>
          <cell r="D273">
            <v>8004819530</v>
          </cell>
          <cell r="E273">
            <v>8649250950</v>
          </cell>
          <cell r="F273">
            <v>5217218090</v>
          </cell>
        </row>
        <row r="274">
          <cell r="C274">
            <v>809656627</v>
          </cell>
          <cell r="D274">
            <v>742109466</v>
          </cell>
          <cell r="E274">
            <v>934995710</v>
          </cell>
          <cell r="F274">
            <v>583293348</v>
          </cell>
        </row>
        <row r="275">
          <cell r="C275">
            <v>568275257</v>
          </cell>
          <cell r="D275">
            <v>665346185</v>
          </cell>
          <cell r="E275">
            <v>730175724</v>
          </cell>
          <cell r="F275">
            <v>502049151</v>
          </cell>
        </row>
        <row r="279">
          <cell r="C279">
            <v>53900769.966101699</v>
          </cell>
          <cell r="D279">
            <v>58269513.010471202</v>
          </cell>
          <cell r="E279">
            <v>55325603.574660636</v>
          </cell>
          <cell r="F279">
            <v>24698757.380952381</v>
          </cell>
        </row>
        <row r="280">
          <cell r="C280">
            <v>55403004.981481485</v>
          </cell>
          <cell r="D280">
            <v>64558371.338983051</v>
          </cell>
          <cell r="E280">
            <v>63925083.396825396</v>
          </cell>
          <cell r="F280">
            <v>27260369.192307692</v>
          </cell>
        </row>
        <row r="281">
          <cell r="C281">
            <v>54251941.787878789</v>
          </cell>
          <cell r="D281">
            <v>59753683.575999998</v>
          </cell>
          <cell r="E281">
            <v>57233234.66197183</v>
          </cell>
          <cell r="F281">
            <v>25235869.534946237</v>
          </cell>
        </row>
        <row r="283">
          <cell r="C283">
            <v>0.10141096533710492</v>
          </cell>
          <cell r="D283">
            <v>-4.2180644994420091E-2</v>
          </cell>
          <cell r="E283">
            <v>-0.1181393229303529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"/>
  <sheetViews>
    <sheetView topLeftCell="A4" workbookViewId="0">
      <selection activeCell="G9" sqref="G9"/>
    </sheetView>
  </sheetViews>
  <sheetFormatPr defaultColWidth="9" defaultRowHeight="17"/>
  <cols>
    <col min="1" max="16384" width="9" style="444"/>
  </cols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9"/>
  <sheetViews>
    <sheetView workbookViewId="0">
      <selection activeCell="F40" sqref="F40"/>
    </sheetView>
  </sheetViews>
  <sheetFormatPr defaultRowHeight="17"/>
  <cols>
    <col min="2" max="2" width="11.33203125" customWidth="1"/>
    <col min="3" max="3" width="35.83203125" customWidth="1"/>
    <col min="6" max="6" width="9.25" customWidth="1"/>
    <col min="7" max="7" width="38" customWidth="1"/>
    <col min="9" max="9" width="26.58203125" customWidth="1"/>
    <col min="10" max="11" width="10.25" customWidth="1"/>
  </cols>
  <sheetData>
    <row r="1" spans="2:11" ht="19.5" customHeight="1">
      <c r="B1" s="779" t="s">
        <v>0</v>
      </c>
      <c r="C1" s="780"/>
      <c r="I1" s="386" t="s">
        <v>1</v>
      </c>
      <c r="J1" s="353"/>
      <c r="K1" s="387"/>
    </row>
    <row r="2" spans="2:11" ht="12" customHeight="1">
      <c r="B2" s="785" t="s">
        <v>2</v>
      </c>
      <c r="C2" s="781">
        <v>39678</v>
      </c>
      <c r="I2" s="449"/>
      <c r="J2" s="482" t="s">
        <v>3</v>
      </c>
      <c r="K2" s="483" t="s">
        <v>4</v>
      </c>
    </row>
    <row r="3" spans="2:11" ht="24" customHeight="1">
      <c r="B3" s="786" t="s">
        <v>5</v>
      </c>
      <c r="C3" s="782" t="s">
        <v>6</v>
      </c>
      <c r="I3" s="367" t="s">
        <v>7</v>
      </c>
      <c r="J3" s="484">
        <f>SUM(J4:J5)</f>
        <v>8382000</v>
      </c>
      <c r="K3" s="485">
        <f>SUM(K4:K5)</f>
        <v>0.59905660377358483</v>
      </c>
    </row>
    <row r="4" spans="2:11" ht="12" customHeight="1">
      <c r="B4" s="785" t="s">
        <v>8</v>
      </c>
      <c r="C4" s="783" t="s">
        <v>9</v>
      </c>
      <c r="I4" s="397" t="s">
        <v>10</v>
      </c>
      <c r="J4" s="486">
        <v>280500</v>
      </c>
      <c r="K4" s="487">
        <f>J4/$J$11</f>
        <v>2.0047169811320754E-2</v>
      </c>
    </row>
    <row r="5" spans="2:11" ht="12" customHeight="1">
      <c r="B5" s="785" t="s">
        <v>11</v>
      </c>
      <c r="C5" s="783" t="s">
        <v>12</v>
      </c>
      <c r="I5" s="488" t="s">
        <v>13</v>
      </c>
      <c r="J5" s="489">
        <v>8101500</v>
      </c>
      <c r="K5" s="490">
        <f>J5/$J$11</f>
        <v>0.57900943396226412</v>
      </c>
    </row>
    <row r="6" spans="2:11" ht="12" customHeight="1">
      <c r="B6" s="785"/>
      <c r="C6" s="783" t="s">
        <v>14</v>
      </c>
      <c r="I6" s="367" t="s">
        <v>15</v>
      </c>
      <c r="J6" s="484">
        <f>SUM(J7:J10)</f>
        <v>5610000</v>
      </c>
      <c r="K6" s="485">
        <f>SUM(K7:K10)</f>
        <v>0.40094339622641512</v>
      </c>
    </row>
    <row r="7" spans="2:11" ht="12" customHeight="1">
      <c r="B7" s="785"/>
      <c r="C7" s="783" t="s">
        <v>16</v>
      </c>
      <c r="I7" s="397" t="s">
        <v>17</v>
      </c>
      <c r="J7" s="486">
        <v>3746556</v>
      </c>
      <c r="K7" s="487">
        <f>J7/$J$11</f>
        <v>0.26776415094339623</v>
      </c>
    </row>
    <row r="8" spans="2:11" ht="12" customHeight="1">
      <c r="B8" s="785" t="s">
        <v>18</v>
      </c>
      <c r="C8" s="783" t="s">
        <v>19</v>
      </c>
      <c r="I8" s="397" t="s">
        <v>20</v>
      </c>
      <c r="J8" s="486">
        <v>292644</v>
      </c>
      <c r="K8" s="487">
        <f>J8/$J$11</f>
        <v>2.0915094339622641E-2</v>
      </c>
    </row>
    <row r="9" spans="2:11" ht="12" customHeight="1">
      <c r="B9" s="785" t="s">
        <v>21</v>
      </c>
      <c r="C9" s="783" t="s">
        <v>22</v>
      </c>
      <c r="I9" s="397" t="s">
        <v>23</v>
      </c>
      <c r="J9" s="486">
        <v>1399200</v>
      </c>
      <c r="K9" s="487">
        <f>J9/$J$11</f>
        <v>0.1</v>
      </c>
    </row>
    <row r="10" spans="2:11" ht="12" customHeight="1">
      <c r="B10" s="785" t="s">
        <v>24</v>
      </c>
      <c r="C10" s="782" t="s">
        <v>25</v>
      </c>
      <c r="I10" s="488" t="s">
        <v>26</v>
      </c>
      <c r="J10" s="489">
        <v>171600</v>
      </c>
      <c r="K10" s="490">
        <f>J10/$J$11</f>
        <v>1.2264150943396227E-2</v>
      </c>
    </row>
    <row r="11" spans="2:11" ht="12" customHeight="1" thickBot="1">
      <c r="B11" s="787" t="s">
        <v>27</v>
      </c>
      <c r="C11" s="784" t="s">
        <v>28</v>
      </c>
      <c r="I11" s="466" t="s">
        <v>29</v>
      </c>
      <c r="J11" s="491">
        <f>J3+J6</f>
        <v>13992000</v>
      </c>
      <c r="K11" s="492">
        <f>K3+K6</f>
        <v>1</v>
      </c>
    </row>
    <row r="12" spans="2:11" ht="12" customHeight="1"/>
    <row r="13" spans="2:11" ht="19.5" customHeight="1">
      <c r="F13" s="763" t="s">
        <v>30</v>
      </c>
      <c r="G13" s="764"/>
    </row>
    <row r="14" spans="2:11" ht="12" customHeight="1">
      <c r="F14" s="765" t="s">
        <v>31</v>
      </c>
      <c r="G14" s="766" t="s">
        <v>32</v>
      </c>
    </row>
    <row r="15" spans="2:11" ht="12" customHeight="1">
      <c r="F15" s="765" t="s">
        <v>33</v>
      </c>
      <c r="G15" s="767" t="s">
        <v>34</v>
      </c>
    </row>
    <row r="16" spans="2:11" ht="12" customHeight="1">
      <c r="C16" s="626"/>
      <c r="F16" s="765" t="s">
        <v>35</v>
      </c>
      <c r="G16" s="767" t="s">
        <v>36</v>
      </c>
    </row>
    <row r="17" spans="6:7" ht="12" customHeight="1">
      <c r="F17" s="765" t="s">
        <v>37</v>
      </c>
      <c r="G17" s="767" t="s">
        <v>38</v>
      </c>
    </row>
    <row r="18" spans="6:7" ht="12" customHeight="1">
      <c r="F18" s="765" t="s">
        <v>39</v>
      </c>
      <c r="G18" s="767" t="s">
        <v>40</v>
      </c>
    </row>
    <row r="19" spans="6:7" ht="12" customHeight="1">
      <c r="F19" s="765" t="s">
        <v>41</v>
      </c>
      <c r="G19" s="767" t="s">
        <v>42</v>
      </c>
    </row>
    <row r="20" spans="6:7" ht="12" customHeight="1">
      <c r="F20" s="765" t="s">
        <v>43</v>
      </c>
      <c r="G20" s="767" t="s">
        <v>44</v>
      </c>
    </row>
    <row r="21" spans="6:7" ht="12" customHeight="1">
      <c r="F21" s="765" t="s">
        <v>45</v>
      </c>
      <c r="G21" s="767" t="s">
        <v>46</v>
      </c>
    </row>
    <row r="22" spans="6:7" ht="12" customHeight="1">
      <c r="F22" s="765" t="s">
        <v>47</v>
      </c>
      <c r="G22" s="767" t="s">
        <v>48</v>
      </c>
    </row>
    <row r="23" spans="6:7" ht="12" customHeight="1">
      <c r="F23" s="765" t="s">
        <v>49</v>
      </c>
      <c r="G23" s="767" t="s">
        <v>50</v>
      </c>
    </row>
    <row r="24" spans="6:7" ht="12" customHeight="1">
      <c r="F24" s="765" t="s">
        <v>51</v>
      </c>
      <c r="G24" s="767" t="s">
        <v>52</v>
      </c>
    </row>
    <row r="25" spans="6:7" ht="12" customHeight="1">
      <c r="F25" s="765" t="s">
        <v>53</v>
      </c>
      <c r="G25" s="767" t="s">
        <v>54</v>
      </c>
    </row>
    <row r="26" spans="6:7" ht="24.75" customHeight="1" thickBot="1">
      <c r="F26" s="768" t="s">
        <v>55</v>
      </c>
      <c r="G26" s="769" t="s">
        <v>56</v>
      </c>
    </row>
    <row r="27" spans="6:7" ht="12" customHeight="1"/>
    <row r="28" spans="6:7" ht="12" customHeight="1"/>
    <row r="29" spans="6:7" ht="12" customHeight="1"/>
  </sheetData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2:T63"/>
  <sheetViews>
    <sheetView showGridLines="0" topLeftCell="D1" zoomScaleNormal="100" workbookViewId="0">
      <selection activeCell="I46" sqref="I46"/>
    </sheetView>
  </sheetViews>
  <sheetFormatPr defaultColWidth="9" defaultRowHeight="10"/>
  <cols>
    <col min="1" max="2" width="4" style="636" customWidth="1"/>
    <col min="3" max="3" width="14.83203125" style="636" customWidth="1"/>
    <col min="4" max="8" width="11.75" style="636" customWidth="1"/>
    <col min="9" max="9" width="9" style="636"/>
    <col min="10" max="10" width="22.5" style="636" customWidth="1"/>
    <col min="11" max="14" width="12.33203125" style="636" customWidth="1"/>
    <col min="15" max="15" width="14.58203125" style="636" customWidth="1"/>
    <col min="16" max="20" width="13.25" style="636" customWidth="1"/>
    <col min="21" max="16384" width="9" style="636"/>
  </cols>
  <sheetData>
    <row r="2" spans="3:15">
      <c r="D2" s="637"/>
      <c r="E2" s="637"/>
      <c r="F2" s="637"/>
    </row>
    <row r="3" spans="3:15">
      <c r="D3" s="637"/>
      <c r="E3" s="637"/>
      <c r="F3" s="637"/>
    </row>
    <row r="4" spans="3:15" ht="11.5">
      <c r="C4" s="638" t="s">
        <v>57</v>
      </c>
      <c r="D4" s="639" t="s">
        <v>58</v>
      </c>
      <c r="E4" s="639" t="s">
        <v>59</v>
      </c>
      <c r="F4" s="639" t="s">
        <v>60</v>
      </c>
      <c r="G4" s="639" t="s">
        <v>61</v>
      </c>
      <c r="H4" s="639" t="s">
        <v>62</v>
      </c>
      <c r="J4" s="638" t="s">
        <v>63</v>
      </c>
      <c r="K4" s="640">
        <f>D7</f>
        <v>82729037197</v>
      </c>
      <c r="L4" s="641"/>
      <c r="M4" s="640">
        <f>K4</f>
        <v>82729037197</v>
      </c>
      <c r="N4" s="640">
        <f>K4</f>
        <v>82729037197</v>
      </c>
      <c r="O4" s="641"/>
    </row>
    <row r="5" spans="3:15">
      <c r="C5" s="642" t="s">
        <v>64</v>
      </c>
      <c r="D5" s="643">
        <f>C43</f>
        <v>65241045584</v>
      </c>
      <c r="E5" s="643">
        <f t="shared" ref="E5:F5" si="0">D43</f>
        <v>63262105172</v>
      </c>
      <c r="F5" s="643">
        <f t="shared" si="0"/>
        <v>81086958711</v>
      </c>
      <c r="G5" s="643">
        <f>H5/9*12</f>
        <v>104031139106.66666</v>
      </c>
      <c r="H5" s="643">
        <f>G43</f>
        <v>78023354330</v>
      </c>
      <c r="J5" s="642" t="s">
        <v>65</v>
      </c>
      <c r="K5" s="644">
        <f>O5</f>
        <v>80750096785</v>
      </c>
      <c r="L5" s="645">
        <f t="shared" ref="L5:L6" si="1">ABS(M5)</f>
        <v>1978940412</v>
      </c>
      <c r="M5" s="645">
        <f>D14</f>
        <v>-1978940412</v>
      </c>
      <c r="N5" s="644">
        <f>N4+M5</f>
        <v>80750096785</v>
      </c>
      <c r="O5" s="645">
        <f>IF(N5&gt;N4,N4,N5)</f>
        <v>80750096785</v>
      </c>
    </row>
    <row r="6" spans="3:15">
      <c r="C6" s="642" t="s">
        <v>66</v>
      </c>
      <c r="D6" s="643">
        <f t="shared" ref="D6:F6" si="2">C44</f>
        <v>17487991613</v>
      </c>
      <c r="E6" s="643">
        <f t="shared" si="2"/>
        <v>19993094965</v>
      </c>
      <c r="F6" s="643">
        <f t="shared" si="2"/>
        <v>14957892027</v>
      </c>
      <c r="G6" s="643">
        <f>H6/9*12</f>
        <v>19935067884</v>
      </c>
      <c r="H6" s="643">
        <f t="shared" ref="H6" si="3">G44</f>
        <v>14951300913</v>
      </c>
      <c r="J6" s="642" t="s">
        <v>67</v>
      </c>
      <c r="K6" s="644">
        <f t="shared" ref="K6" si="4">O6</f>
        <v>80750096785</v>
      </c>
      <c r="L6" s="645">
        <f t="shared" si="1"/>
        <v>2505103352</v>
      </c>
      <c r="M6" s="645">
        <f>D15</f>
        <v>2505103352</v>
      </c>
      <c r="N6" s="644">
        <f t="shared" ref="N6:N7" si="5">N5+M6</f>
        <v>83255200137</v>
      </c>
      <c r="O6" s="645">
        <f t="shared" ref="O6:O7" si="6">IF(N6&gt;N5,N5,N6)</f>
        <v>80750096785</v>
      </c>
    </row>
    <row r="7" spans="3:15" ht="11.5">
      <c r="C7" s="642" t="s">
        <v>68</v>
      </c>
      <c r="D7" s="643">
        <f>SUM(D5:D6)</f>
        <v>82729037197</v>
      </c>
      <c r="E7" s="643">
        <f t="shared" ref="E7:H7" si="7">SUM(E5:E6)</f>
        <v>83255200137</v>
      </c>
      <c r="F7" s="643">
        <f t="shared" si="7"/>
        <v>96044850738</v>
      </c>
      <c r="G7" s="643">
        <f t="shared" si="7"/>
        <v>123966206990.66666</v>
      </c>
      <c r="H7" s="643">
        <f t="shared" si="7"/>
        <v>92974655243</v>
      </c>
      <c r="J7" s="638" t="s">
        <v>69</v>
      </c>
      <c r="K7" s="640">
        <f>O7</f>
        <v>83255200137</v>
      </c>
      <c r="L7" s="641"/>
      <c r="M7" s="640"/>
      <c r="N7" s="640">
        <f t="shared" si="5"/>
        <v>83255200137</v>
      </c>
      <c r="O7" s="641">
        <f t="shared" si="6"/>
        <v>83255200137</v>
      </c>
    </row>
    <row r="8" spans="3:15">
      <c r="C8" s="636" t="s">
        <v>70</v>
      </c>
      <c r="J8" s="642" t="s">
        <v>65</v>
      </c>
      <c r="K8" s="644">
        <f>O8</f>
        <v>83255200137</v>
      </c>
      <c r="L8" s="645">
        <f t="shared" ref="L8:L9" si="8">ABS(M8)</f>
        <v>17824853539</v>
      </c>
      <c r="M8" s="645">
        <f>E14</f>
        <v>17824853539</v>
      </c>
      <c r="N8" s="644">
        <f>N7+M8</f>
        <v>101080053676</v>
      </c>
      <c r="O8" s="645">
        <f>IF(N8&gt;N7,N7,N8)</f>
        <v>83255200137</v>
      </c>
    </row>
    <row r="9" spans="3:15">
      <c r="J9" s="642" t="s">
        <v>67</v>
      </c>
      <c r="K9" s="644">
        <f t="shared" ref="K9" si="9">O9</f>
        <v>96044850738</v>
      </c>
      <c r="L9" s="645">
        <f t="shared" si="8"/>
        <v>5035202938</v>
      </c>
      <c r="M9" s="645">
        <f>E15</f>
        <v>-5035202938</v>
      </c>
      <c r="N9" s="644">
        <f t="shared" ref="N9:N10" si="10">N8+M9</f>
        <v>96044850738</v>
      </c>
      <c r="O9" s="645">
        <f t="shared" ref="O9:O10" si="11">IF(N9&gt;N8,N8,N9)</f>
        <v>96044850738</v>
      </c>
    </row>
    <row r="10" spans="3:15" ht="10.5">
      <c r="J10" s="638" t="s">
        <v>71</v>
      </c>
      <c r="K10" s="640">
        <f>O10</f>
        <v>96044850738</v>
      </c>
      <c r="L10" s="641"/>
      <c r="M10" s="640"/>
      <c r="N10" s="640">
        <f t="shared" si="10"/>
        <v>96044850738</v>
      </c>
      <c r="O10" s="641">
        <f t="shared" si="11"/>
        <v>96044850738</v>
      </c>
    </row>
    <row r="11" spans="3:15">
      <c r="J11" s="642" t="s">
        <v>65</v>
      </c>
      <c r="K11" s="644">
        <f>O11</f>
        <v>96044850738</v>
      </c>
      <c r="L11" s="645">
        <f t="shared" ref="L11:L12" si="12">ABS(M11)</f>
        <v>22944180395.666656</v>
      </c>
      <c r="M11" s="645">
        <f>F14</f>
        <v>22944180395.666656</v>
      </c>
      <c r="N11" s="644">
        <f>N10+M11</f>
        <v>118989031133.66666</v>
      </c>
      <c r="O11" s="645">
        <f>IF(N11&gt;N10,N10,N11)</f>
        <v>96044850738</v>
      </c>
    </row>
    <row r="12" spans="3:15">
      <c r="J12" s="642" t="s">
        <v>67</v>
      </c>
      <c r="K12" s="644">
        <f t="shared" ref="K12" si="13">O12</f>
        <v>118989031133.66666</v>
      </c>
      <c r="L12" s="645">
        <f t="shared" si="12"/>
        <v>4977175857</v>
      </c>
      <c r="M12" s="645">
        <f>F15</f>
        <v>4977175857</v>
      </c>
      <c r="N12" s="644">
        <f t="shared" ref="N12:N13" si="14">N11+M12</f>
        <v>123966206990.66666</v>
      </c>
      <c r="O12" s="645">
        <f t="shared" ref="O12:O13" si="15">IF(N12&gt;N11,N11,N12)</f>
        <v>118989031133.66666</v>
      </c>
    </row>
    <row r="13" spans="3:15" ht="11.5">
      <c r="C13" s="643" t="s">
        <v>72</v>
      </c>
      <c r="D13" s="639" t="s">
        <v>59</v>
      </c>
      <c r="E13" s="639" t="s">
        <v>73</v>
      </c>
      <c r="F13" s="639" t="s">
        <v>74</v>
      </c>
      <c r="J13" s="638" t="s">
        <v>75</v>
      </c>
      <c r="K13" s="640">
        <f>O13</f>
        <v>123966206990.66666</v>
      </c>
      <c r="L13" s="641"/>
      <c r="M13" s="640"/>
      <c r="N13" s="640">
        <f t="shared" si="14"/>
        <v>123966206990.66666</v>
      </c>
      <c r="O13" s="641">
        <f t="shared" si="15"/>
        <v>123966206990.66666</v>
      </c>
    </row>
    <row r="14" spans="3:15">
      <c r="C14" s="642" t="s">
        <v>65</v>
      </c>
      <c r="D14" s="646">
        <f>E5-D5</f>
        <v>-1978940412</v>
      </c>
      <c r="E14" s="646">
        <f t="shared" ref="E14:F15" si="16">F5-E5</f>
        <v>17824853539</v>
      </c>
      <c r="F14" s="646">
        <f t="shared" si="16"/>
        <v>22944180395.666656</v>
      </c>
    </row>
    <row r="15" spans="3:15">
      <c r="C15" s="642" t="s">
        <v>67</v>
      </c>
      <c r="D15" s="646">
        <f t="shared" ref="D15" si="17">E6-D6</f>
        <v>2505103352</v>
      </c>
      <c r="E15" s="646">
        <f t="shared" si="16"/>
        <v>-5035202938</v>
      </c>
      <c r="F15" s="646">
        <f t="shared" si="16"/>
        <v>4977175857</v>
      </c>
    </row>
    <row r="16" spans="3:15" ht="11.5">
      <c r="C16" s="647" t="s">
        <v>76</v>
      </c>
      <c r="D16" s="646">
        <f>SUM(D14:D15)</f>
        <v>526162940</v>
      </c>
      <c r="E16" s="646">
        <f t="shared" ref="E16:F16" si="18">SUM(E14:E15)</f>
        <v>12789650601</v>
      </c>
      <c r="F16" s="646">
        <f t="shared" si="18"/>
        <v>27921356252.666656</v>
      </c>
    </row>
    <row r="17" spans="1:7">
      <c r="C17" s="648"/>
      <c r="D17" s="648" t="b">
        <f>E7-D7=D16</f>
        <v>1</v>
      </c>
      <c r="E17" s="648" t="b">
        <f>F7-E7=E16</f>
        <v>1</v>
      </c>
      <c r="F17" s="648" t="b">
        <f>G7-F7=F16</f>
        <v>1</v>
      </c>
    </row>
    <row r="18" spans="1:7">
      <c r="C18" s="648"/>
      <c r="D18" s="648"/>
      <c r="E18" s="648"/>
      <c r="F18" s="648"/>
    </row>
    <row r="19" spans="1:7">
      <c r="C19" s="648"/>
    </row>
    <row r="20" spans="1:7">
      <c r="C20" s="648"/>
      <c r="D20" s="648"/>
      <c r="E20" s="648"/>
      <c r="F20" s="648"/>
    </row>
    <row r="21" spans="1:7">
      <c r="C21" s="648"/>
      <c r="D21" s="648"/>
      <c r="E21" s="648"/>
      <c r="F21" s="648"/>
    </row>
    <row r="22" spans="1:7">
      <c r="C22" s="648"/>
      <c r="D22" s="648"/>
      <c r="E22" s="648"/>
      <c r="F22" s="648"/>
      <c r="G22" s="649"/>
    </row>
    <row r="24" spans="1:7">
      <c r="A24" s="648"/>
      <c r="B24" s="648"/>
    </row>
    <row r="25" spans="1:7">
      <c r="A25" s="648"/>
      <c r="B25" s="648"/>
      <c r="C25" s="648"/>
      <c r="D25" s="648"/>
      <c r="E25" s="648"/>
      <c r="F25" s="648"/>
    </row>
    <row r="26" spans="1:7">
      <c r="A26" s="648"/>
      <c r="B26" s="648"/>
    </row>
    <row r="27" spans="1:7">
      <c r="A27" s="648"/>
      <c r="B27" s="648"/>
    </row>
    <row r="28" spans="1:7">
      <c r="A28" s="648"/>
      <c r="B28" s="648"/>
    </row>
    <row r="29" spans="1:7">
      <c r="A29" s="648"/>
      <c r="B29" s="648"/>
    </row>
    <row r="30" spans="1:7">
      <c r="A30" s="648"/>
      <c r="B30" s="648"/>
    </row>
    <row r="31" spans="1:7">
      <c r="A31" s="648"/>
      <c r="B31" s="648"/>
    </row>
    <row r="32" spans="1:7">
      <c r="A32" s="648"/>
      <c r="B32" s="648"/>
    </row>
    <row r="33" spans="1:7">
      <c r="A33" s="648"/>
      <c r="B33" s="648"/>
    </row>
    <row r="34" spans="1:7">
      <c r="A34" s="648"/>
      <c r="B34" s="648"/>
    </row>
    <row r="35" spans="1:7">
      <c r="A35" s="648"/>
      <c r="B35" s="648"/>
    </row>
    <row r="36" spans="1:7">
      <c r="A36" s="648"/>
      <c r="B36" s="648"/>
    </row>
    <row r="37" spans="1:7">
      <c r="A37" s="648"/>
      <c r="B37" s="648"/>
      <c r="C37" s="648"/>
      <c r="D37" s="648"/>
      <c r="E37" s="648"/>
      <c r="F37" s="648"/>
    </row>
    <row r="38" spans="1:7">
      <c r="A38" s="648"/>
      <c r="B38" s="648"/>
      <c r="C38" s="648"/>
      <c r="D38" s="648"/>
      <c r="E38" s="648"/>
      <c r="F38" s="648"/>
    </row>
    <row r="39" spans="1:7" ht="11.5">
      <c r="A39" s="648"/>
      <c r="B39" s="650" t="s">
        <v>77</v>
      </c>
      <c r="C39" s="651"/>
      <c r="D39" s="651"/>
      <c r="E39" s="652"/>
      <c r="F39" s="652"/>
      <c r="G39" s="653"/>
    </row>
    <row r="40" spans="1:7" ht="11.5">
      <c r="A40" s="648"/>
      <c r="B40" s="654"/>
      <c r="C40" s="655" t="s">
        <v>78</v>
      </c>
      <c r="D40" s="655" t="s">
        <v>79</v>
      </c>
      <c r="E40" s="656" t="s">
        <v>80</v>
      </c>
      <c r="F40" s="657" t="s">
        <v>81</v>
      </c>
      <c r="G40" s="658" t="s">
        <v>81</v>
      </c>
    </row>
    <row r="41" spans="1:7" ht="11.5">
      <c r="A41" s="648"/>
      <c r="B41" s="659" t="s">
        <v>82</v>
      </c>
      <c r="C41" s="660" t="s">
        <v>83</v>
      </c>
      <c r="D41" s="660" t="s">
        <v>83</v>
      </c>
      <c r="E41" s="661" t="s">
        <v>83</v>
      </c>
      <c r="F41" s="662" t="s">
        <v>84</v>
      </c>
      <c r="G41" s="663" t="s">
        <v>85</v>
      </c>
    </row>
    <row r="42" spans="1:7" ht="11.5">
      <c r="A42" s="648"/>
      <c r="B42" s="664" t="s">
        <v>86</v>
      </c>
      <c r="C42" s="665">
        <f>R40</f>
        <v>0</v>
      </c>
      <c r="D42" s="665">
        <f>S40</f>
        <v>0</v>
      </c>
      <c r="E42" s="665">
        <f>T40</f>
        <v>0</v>
      </c>
      <c r="F42" s="665">
        <f>U40</f>
        <v>0</v>
      </c>
      <c r="G42" s="666">
        <f>V40</f>
        <v>0</v>
      </c>
    </row>
    <row r="43" spans="1:7" ht="11.5">
      <c r="A43" s="648"/>
      <c r="B43" s="667" t="s">
        <v>87</v>
      </c>
      <c r="C43" s="668">
        <v>65241045584</v>
      </c>
      <c r="D43" s="668">
        <v>63262105172</v>
      </c>
      <c r="E43" s="668">
        <v>81086958711</v>
      </c>
      <c r="F43" s="668">
        <v>38080592041</v>
      </c>
      <c r="G43" s="669">
        <v>78023354330</v>
      </c>
    </row>
    <row r="44" spans="1:7" ht="11.5">
      <c r="A44" s="648"/>
      <c r="B44" s="667" t="s">
        <v>88</v>
      </c>
      <c r="C44" s="668">
        <v>17487991613</v>
      </c>
      <c r="D44" s="668">
        <v>19993094965</v>
      </c>
      <c r="E44" s="668">
        <v>14957892027</v>
      </c>
      <c r="F44" s="668">
        <v>9866583016</v>
      </c>
      <c r="G44" s="669">
        <v>14951300913</v>
      </c>
    </row>
    <row r="45" spans="1:7" ht="11.5">
      <c r="A45" s="648"/>
      <c r="B45" s="670" t="s">
        <v>89</v>
      </c>
      <c r="C45" s="671">
        <v>255006510</v>
      </c>
      <c r="D45" s="671">
        <v>1000769330</v>
      </c>
      <c r="E45" s="671">
        <v>495178170</v>
      </c>
      <c r="F45" s="671">
        <v>271382200</v>
      </c>
      <c r="G45" s="672">
        <v>977015601</v>
      </c>
    </row>
    <row r="46" spans="1:7">
      <c r="A46" s="648"/>
    </row>
    <row r="47" spans="1:7">
      <c r="A47" s="648"/>
    </row>
    <row r="48" spans="1:7">
      <c r="A48" s="648"/>
    </row>
    <row r="62" spans="16:20">
      <c r="P62" s="673"/>
      <c r="Q62" s="674"/>
      <c r="S62" s="673"/>
      <c r="T62" s="674"/>
    </row>
    <row r="63" spans="16:20">
      <c r="P63" s="673"/>
      <c r="Q63" s="674"/>
      <c r="S63" s="673"/>
      <c r="T63" s="674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2:T63"/>
  <sheetViews>
    <sheetView showGridLines="0" topLeftCell="B129" zoomScaleNormal="100" workbookViewId="0">
      <selection activeCell="N155" sqref="N154:N155"/>
    </sheetView>
  </sheetViews>
  <sheetFormatPr defaultColWidth="9" defaultRowHeight="10"/>
  <cols>
    <col min="1" max="2" width="4" style="636" customWidth="1"/>
    <col min="3" max="3" width="14.83203125" style="636" customWidth="1"/>
    <col min="4" max="8" width="11.75" style="636" customWidth="1"/>
    <col min="9" max="9" width="9" style="636"/>
    <col min="10" max="10" width="22.5" style="636" customWidth="1"/>
    <col min="11" max="14" width="12.33203125" style="636" customWidth="1"/>
    <col min="15" max="15" width="14.58203125" style="636" customWidth="1"/>
    <col min="16" max="20" width="13.25" style="636" customWidth="1"/>
    <col min="21" max="16384" width="9" style="636"/>
  </cols>
  <sheetData>
    <row r="2" spans="3:15">
      <c r="D2" s="637"/>
      <c r="E2" s="637"/>
      <c r="F2" s="637"/>
    </row>
    <row r="3" spans="3:15">
      <c r="D3" s="637"/>
      <c r="E3" s="637"/>
      <c r="F3" s="637"/>
    </row>
    <row r="4" spans="3:15" ht="11.5">
      <c r="C4" s="638" t="s">
        <v>57</v>
      </c>
      <c r="D4" s="639" t="s">
        <v>58</v>
      </c>
      <c r="E4" s="639" t="s">
        <v>59</v>
      </c>
      <c r="F4" s="639" t="s">
        <v>60</v>
      </c>
      <c r="G4" s="639" t="s">
        <v>61</v>
      </c>
      <c r="H4" s="639" t="s">
        <v>62</v>
      </c>
      <c r="J4" s="638" t="s">
        <v>63</v>
      </c>
      <c r="K4" s="640">
        <f>D9</f>
        <v>65496000000</v>
      </c>
      <c r="L4" s="641"/>
      <c r="M4" s="640">
        <f>K4</f>
        <v>65496000000</v>
      </c>
      <c r="N4" s="640">
        <f>K4</f>
        <v>65496000000</v>
      </c>
      <c r="O4" s="641"/>
    </row>
    <row r="5" spans="3:15">
      <c r="C5" s="642" t="s">
        <v>90</v>
      </c>
      <c r="D5" s="643">
        <v>16330000000</v>
      </c>
      <c r="E5" s="643">
        <v>43185000000</v>
      </c>
      <c r="F5" s="643">
        <v>53845000000</v>
      </c>
      <c r="G5" s="643">
        <f>H5/9*12</f>
        <v>74801333333.333344</v>
      </c>
      <c r="H5" s="643">
        <v>56101000000</v>
      </c>
      <c r="I5" s="675">
        <f>(G5/D5)^(1/3)-1</f>
        <v>0.66076321987808972</v>
      </c>
      <c r="J5" s="642" t="s">
        <v>90</v>
      </c>
      <c r="K5" s="644">
        <f>O5</f>
        <v>65496000000</v>
      </c>
      <c r="L5" s="645">
        <f t="shared" ref="L5:L8" si="0">ABS(M5)</f>
        <v>26855000000</v>
      </c>
      <c r="M5" s="645">
        <f>D14</f>
        <v>26855000000</v>
      </c>
      <c r="N5" s="644">
        <f>N4+M5</f>
        <v>92351000000</v>
      </c>
      <c r="O5" s="645">
        <f>IF(N5&gt;N4,N4,N5)</f>
        <v>65496000000</v>
      </c>
    </row>
    <row r="6" spans="3:15">
      <c r="C6" s="642" t="s">
        <v>91</v>
      </c>
      <c r="D6" s="643">
        <v>33388000000</v>
      </c>
      <c r="E6" s="643">
        <v>7242000000</v>
      </c>
      <c r="F6" s="643">
        <v>10784000000</v>
      </c>
      <c r="G6" s="643">
        <f t="shared" ref="G6:G8" si="1">H6/9*12</f>
        <v>11809333333.333334</v>
      </c>
      <c r="H6" s="643">
        <v>8857000000</v>
      </c>
      <c r="J6" s="642" t="s">
        <v>91</v>
      </c>
      <c r="K6" s="644">
        <f t="shared" ref="K6:K8" si="2">O6</f>
        <v>66205000000</v>
      </c>
      <c r="L6" s="645">
        <f t="shared" si="0"/>
        <v>26146000000</v>
      </c>
      <c r="M6" s="645">
        <f>D15</f>
        <v>-26146000000</v>
      </c>
      <c r="N6" s="644">
        <f t="shared" ref="N6:N9" si="3">N5+M6</f>
        <v>66205000000</v>
      </c>
      <c r="O6" s="645">
        <f t="shared" ref="O6:O9" si="4">IF(N6&gt;N5,N5,N6)</f>
        <v>66205000000</v>
      </c>
    </row>
    <row r="7" spans="3:15">
      <c r="C7" s="642" t="s">
        <v>92</v>
      </c>
      <c r="D7" s="643">
        <v>10176000000</v>
      </c>
      <c r="E7" s="643">
        <v>9445000000</v>
      </c>
      <c r="F7" s="643">
        <v>11504000000</v>
      </c>
      <c r="G7" s="643">
        <f t="shared" si="1"/>
        <v>11372000000</v>
      </c>
      <c r="H7" s="643">
        <v>8529000000</v>
      </c>
      <c r="J7" s="642" t="s">
        <v>92</v>
      </c>
      <c r="K7" s="644">
        <f t="shared" si="2"/>
        <v>65474000000</v>
      </c>
      <c r="L7" s="645">
        <f t="shared" si="0"/>
        <v>731000000</v>
      </c>
      <c r="M7" s="645">
        <f>D16</f>
        <v>-731000000</v>
      </c>
      <c r="N7" s="644">
        <f t="shared" si="3"/>
        <v>65474000000</v>
      </c>
      <c r="O7" s="645">
        <f t="shared" si="4"/>
        <v>65474000000</v>
      </c>
    </row>
    <row r="8" spans="3:15">
      <c r="C8" s="642" t="s">
        <v>93</v>
      </c>
      <c r="D8" s="643">
        <v>5602000000</v>
      </c>
      <c r="E8" s="643">
        <v>4400000000</v>
      </c>
      <c r="F8" s="643">
        <v>5449000000</v>
      </c>
      <c r="G8" s="643">
        <f t="shared" si="1"/>
        <v>8225333333.333333</v>
      </c>
      <c r="H8" s="643">
        <v>6169000000</v>
      </c>
      <c r="J8" s="642" t="s">
        <v>93</v>
      </c>
      <c r="K8" s="644">
        <f t="shared" si="2"/>
        <v>64272000000</v>
      </c>
      <c r="L8" s="645">
        <f t="shared" si="0"/>
        <v>1202000000</v>
      </c>
      <c r="M8" s="645">
        <f>D17</f>
        <v>-1202000000</v>
      </c>
      <c r="N8" s="644">
        <f t="shared" si="3"/>
        <v>64272000000</v>
      </c>
      <c r="O8" s="645">
        <f t="shared" si="4"/>
        <v>64272000000</v>
      </c>
    </row>
    <row r="9" spans="3:15" ht="11.5">
      <c r="C9" s="642" t="s">
        <v>68</v>
      </c>
      <c r="D9" s="643">
        <f>SUM(D5:D8)</f>
        <v>65496000000</v>
      </c>
      <c r="E9" s="643">
        <f t="shared" ref="E9:G9" si="5">SUM(E5:E8)</f>
        <v>64272000000</v>
      </c>
      <c r="F9" s="643">
        <f t="shared" si="5"/>
        <v>81582000000</v>
      </c>
      <c r="G9" s="643">
        <f t="shared" si="5"/>
        <v>106208000000</v>
      </c>
      <c r="H9" s="643"/>
      <c r="J9" s="638" t="s">
        <v>69</v>
      </c>
      <c r="K9" s="640">
        <f>O9</f>
        <v>64272000000</v>
      </c>
      <c r="L9" s="641"/>
      <c r="M9" s="640"/>
      <c r="N9" s="640">
        <f t="shared" si="3"/>
        <v>64272000000</v>
      </c>
      <c r="O9" s="641">
        <f t="shared" si="4"/>
        <v>64272000000</v>
      </c>
    </row>
    <row r="10" spans="3:15">
      <c r="C10" s="636" t="s">
        <v>70</v>
      </c>
      <c r="J10" s="642" t="s">
        <v>90</v>
      </c>
      <c r="K10" s="644">
        <f>O10</f>
        <v>64272000000</v>
      </c>
      <c r="L10" s="645">
        <f t="shared" ref="L10:L13" si="6">ABS(M10)</f>
        <v>10660000000</v>
      </c>
      <c r="M10" s="645">
        <f>E14</f>
        <v>10660000000</v>
      </c>
      <c r="N10" s="644">
        <f>N9+M10</f>
        <v>74932000000</v>
      </c>
      <c r="O10" s="645">
        <f>IF(N10&gt;N9,N9,N10)</f>
        <v>64272000000</v>
      </c>
    </row>
    <row r="11" spans="3:15">
      <c r="J11" s="642" t="s">
        <v>91</v>
      </c>
      <c r="K11" s="644">
        <f t="shared" ref="K11:K13" si="7">O11</f>
        <v>74932000000</v>
      </c>
      <c r="L11" s="645">
        <f t="shared" si="6"/>
        <v>3542000000</v>
      </c>
      <c r="M11" s="645">
        <f t="shared" ref="M11:M13" si="8">E15</f>
        <v>3542000000</v>
      </c>
      <c r="N11" s="644">
        <f t="shared" ref="N11:N14" si="9">N10+M11</f>
        <v>78474000000</v>
      </c>
      <c r="O11" s="645">
        <f t="shared" ref="O11:O14" si="10">IF(N11&gt;N10,N10,N11)</f>
        <v>74932000000</v>
      </c>
    </row>
    <row r="12" spans="3:15">
      <c r="J12" s="642" t="s">
        <v>92</v>
      </c>
      <c r="K12" s="644">
        <f t="shared" si="7"/>
        <v>78474000000</v>
      </c>
      <c r="L12" s="645">
        <f t="shared" si="6"/>
        <v>2059000000</v>
      </c>
      <c r="M12" s="645">
        <f t="shared" si="8"/>
        <v>2059000000</v>
      </c>
      <c r="N12" s="644">
        <f t="shared" si="9"/>
        <v>80533000000</v>
      </c>
      <c r="O12" s="645">
        <f t="shared" si="10"/>
        <v>78474000000</v>
      </c>
    </row>
    <row r="13" spans="3:15" ht="11.5">
      <c r="C13" s="643" t="s">
        <v>72</v>
      </c>
      <c r="D13" s="639" t="s">
        <v>59</v>
      </c>
      <c r="E13" s="639" t="s">
        <v>73</v>
      </c>
      <c r="F13" s="639" t="s">
        <v>74</v>
      </c>
      <c r="J13" s="642" t="s">
        <v>93</v>
      </c>
      <c r="K13" s="644">
        <f t="shared" si="7"/>
        <v>80533000000</v>
      </c>
      <c r="L13" s="645">
        <f t="shared" si="6"/>
        <v>1049000000</v>
      </c>
      <c r="M13" s="645">
        <f t="shared" si="8"/>
        <v>1049000000</v>
      </c>
      <c r="N13" s="644">
        <f t="shared" si="9"/>
        <v>81582000000</v>
      </c>
      <c r="O13" s="645">
        <f t="shared" si="10"/>
        <v>80533000000</v>
      </c>
    </row>
    <row r="14" spans="3:15" ht="10.5">
      <c r="C14" s="642" t="s">
        <v>90</v>
      </c>
      <c r="D14" s="646">
        <f>E5-D5</f>
        <v>26855000000</v>
      </c>
      <c r="E14" s="646">
        <f t="shared" ref="E14:F14" si="11">F5-E5</f>
        <v>10660000000</v>
      </c>
      <c r="F14" s="646">
        <f t="shared" si="11"/>
        <v>20956333333.333344</v>
      </c>
      <c r="J14" s="638" t="s">
        <v>71</v>
      </c>
      <c r="K14" s="640">
        <f>O14</f>
        <v>81582000000</v>
      </c>
      <c r="L14" s="641"/>
      <c r="M14" s="640"/>
      <c r="N14" s="640">
        <f t="shared" si="9"/>
        <v>81582000000</v>
      </c>
      <c r="O14" s="641">
        <f t="shared" si="10"/>
        <v>81582000000</v>
      </c>
    </row>
    <row r="15" spans="3:15">
      <c r="C15" s="642" t="s">
        <v>91</v>
      </c>
      <c r="D15" s="646">
        <f t="shared" ref="D15:F17" si="12">E6-D6</f>
        <v>-26146000000</v>
      </c>
      <c r="E15" s="646">
        <f t="shared" si="12"/>
        <v>3542000000</v>
      </c>
      <c r="F15" s="646">
        <f t="shared" si="12"/>
        <v>1025333333.333334</v>
      </c>
      <c r="J15" s="642" t="s">
        <v>90</v>
      </c>
      <c r="K15" s="644">
        <f>O15</f>
        <v>81582000000</v>
      </c>
      <c r="L15" s="645">
        <f t="shared" ref="L15:L18" si="13">ABS(M15)</f>
        <v>20956333333.333344</v>
      </c>
      <c r="M15" s="645">
        <f>F14</f>
        <v>20956333333.333344</v>
      </c>
      <c r="N15" s="644">
        <f>N14+M15</f>
        <v>102538333333.33334</v>
      </c>
      <c r="O15" s="645">
        <f>IF(N15&gt;N14,N14,N15)</f>
        <v>81582000000</v>
      </c>
    </row>
    <row r="16" spans="3:15">
      <c r="C16" s="642" t="s">
        <v>92</v>
      </c>
      <c r="D16" s="646">
        <f t="shared" si="12"/>
        <v>-731000000</v>
      </c>
      <c r="E16" s="646">
        <f t="shared" si="12"/>
        <v>2059000000</v>
      </c>
      <c r="F16" s="646">
        <f t="shared" si="12"/>
        <v>-132000000</v>
      </c>
      <c r="J16" s="642" t="s">
        <v>91</v>
      </c>
      <c r="K16" s="644">
        <f t="shared" ref="K16:K18" si="14">O16</f>
        <v>102538333333.33334</v>
      </c>
      <c r="L16" s="645">
        <f t="shared" si="13"/>
        <v>1025333333.333334</v>
      </c>
      <c r="M16" s="645">
        <f t="shared" ref="M16:M18" si="15">F15</f>
        <v>1025333333.333334</v>
      </c>
      <c r="N16" s="644">
        <f t="shared" ref="N16:N19" si="16">N15+M16</f>
        <v>103563666666.66667</v>
      </c>
      <c r="O16" s="645">
        <f t="shared" ref="O16:O19" si="17">IF(N16&gt;N15,N15,N16)</f>
        <v>102538333333.33334</v>
      </c>
    </row>
    <row r="17" spans="1:15">
      <c r="C17" s="642" t="s">
        <v>93</v>
      </c>
      <c r="D17" s="646">
        <f t="shared" si="12"/>
        <v>-1202000000</v>
      </c>
      <c r="E17" s="646">
        <f t="shared" si="12"/>
        <v>1049000000</v>
      </c>
      <c r="F17" s="646">
        <f t="shared" si="12"/>
        <v>2776333333.333333</v>
      </c>
      <c r="J17" s="642" t="s">
        <v>92</v>
      </c>
      <c r="K17" s="644">
        <f t="shared" si="14"/>
        <v>103431666666.66667</v>
      </c>
      <c r="L17" s="645">
        <f t="shared" si="13"/>
        <v>132000000</v>
      </c>
      <c r="M17" s="645">
        <f t="shared" si="15"/>
        <v>-132000000</v>
      </c>
      <c r="N17" s="644">
        <f t="shared" si="16"/>
        <v>103431666666.66667</v>
      </c>
      <c r="O17" s="645">
        <f t="shared" si="17"/>
        <v>103431666666.66667</v>
      </c>
    </row>
    <row r="18" spans="1:15" ht="11.5">
      <c r="C18" s="647" t="s">
        <v>76</v>
      </c>
      <c r="D18" s="646">
        <f>SUM(D14:D17)</f>
        <v>-1224000000</v>
      </c>
      <c r="E18" s="646">
        <f t="shared" ref="E18:F18" si="18">SUM(E14:E17)</f>
        <v>17310000000</v>
      </c>
      <c r="F18" s="646">
        <f t="shared" si="18"/>
        <v>24626000000.000011</v>
      </c>
      <c r="J18" s="642" t="s">
        <v>93</v>
      </c>
      <c r="K18" s="644">
        <f t="shared" si="14"/>
        <v>103431666666.66667</v>
      </c>
      <c r="L18" s="645">
        <f t="shared" si="13"/>
        <v>2776333333.333333</v>
      </c>
      <c r="M18" s="645">
        <f t="shared" si="15"/>
        <v>2776333333.333333</v>
      </c>
      <c r="N18" s="644">
        <f t="shared" si="16"/>
        <v>106208000000</v>
      </c>
      <c r="O18" s="645">
        <f t="shared" si="17"/>
        <v>103431666666.66667</v>
      </c>
    </row>
    <row r="19" spans="1:15" ht="10.5">
      <c r="C19" s="648"/>
      <c r="D19" s="648" t="b">
        <f>E9-D9=D18</f>
        <v>1</v>
      </c>
      <c r="E19" s="648" t="b">
        <f t="shared" ref="E19:F19" si="19">F9-E9=E18</f>
        <v>1</v>
      </c>
      <c r="F19" s="648" t="b">
        <f t="shared" si="19"/>
        <v>1</v>
      </c>
      <c r="J19" s="638" t="s">
        <v>75</v>
      </c>
      <c r="K19" s="640">
        <f>O19</f>
        <v>106208000000</v>
      </c>
      <c r="L19" s="641"/>
      <c r="M19" s="640"/>
      <c r="N19" s="640">
        <f t="shared" si="16"/>
        <v>106208000000</v>
      </c>
      <c r="O19" s="641">
        <f t="shared" si="17"/>
        <v>106208000000</v>
      </c>
    </row>
    <row r="20" spans="1:15">
      <c r="C20" s="648"/>
      <c r="D20" s="648"/>
      <c r="E20" s="648"/>
      <c r="F20" s="648"/>
    </row>
    <row r="21" spans="1:15">
      <c r="C21" s="648"/>
      <c r="D21" s="648"/>
      <c r="E21" s="648"/>
      <c r="F21" s="648"/>
    </row>
    <row r="22" spans="1:15">
      <c r="C22" s="648"/>
      <c r="D22" s="648"/>
      <c r="E22" s="648"/>
      <c r="F22" s="648"/>
      <c r="G22" s="649"/>
    </row>
    <row r="24" spans="1:15">
      <c r="A24" s="648"/>
      <c r="B24" s="648"/>
    </row>
    <row r="25" spans="1:15">
      <c r="A25" s="648"/>
      <c r="B25" s="648"/>
      <c r="C25" s="648"/>
      <c r="D25" s="648"/>
      <c r="E25" s="648"/>
      <c r="F25" s="648"/>
    </row>
    <row r="26" spans="1:15">
      <c r="A26" s="648"/>
      <c r="B26" s="648"/>
    </row>
    <row r="27" spans="1:15">
      <c r="A27" s="648"/>
      <c r="B27" s="648"/>
    </row>
    <row r="28" spans="1:15">
      <c r="A28" s="648"/>
      <c r="B28" s="648"/>
    </row>
    <row r="29" spans="1:15">
      <c r="A29" s="648"/>
      <c r="B29" s="648"/>
    </row>
    <row r="30" spans="1:15">
      <c r="A30" s="648"/>
      <c r="B30" s="648"/>
    </row>
    <row r="31" spans="1:15">
      <c r="A31" s="648"/>
      <c r="B31" s="648"/>
    </row>
    <row r="32" spans="1:15">
      <c r="A32" s="648"/>
      <c r="B32" s="648"/>
    </row>
    <row r="33" spans="1:7">
      <c r="A33" s="648"/>
      <c r="B33" s="648"/>
    </row>
    <row r="34" spans="1:7">
      <c r="A34" s="648"/>
      <c r="B34" s="648"/>
    </row>
    <row r="35" spans="1:7">
      <c r="A35" s="648"/>
      <c r="B35" s="648"/>
    </row>
    <row r="36" spans="1:7">
      <c r="A36" s="648"/>
      <c r="B36" s="648"/>
    </row>
    <row r="37" spans="1:7">
      <c r="A37" s="648"/>
      <c r="B37" s="648"/>
      <c r="C37" s="648"/>
      <c r="D37" s="648"/>
      <c r="E37" s="648"/>
      <c r="F37" s="648"/>
    </row>
    <row r="38" spans="1:7">
      <c r="A38" s="648"/>
      <c r="B38" s="648"/>
      <c r="C38" s="648"/>
      <c r="D38" s="648"/>
      <c r="E38" s="648"/>
      <c r="F38" s="648"/>
    </row>
    <row r="39" spans="1:7" ht="10.5">
      <c r="A39" s="648"/>
      <c r="B39" s="676" t="s">
        <v>94</v>
      </c>
      <c r="C39" s="677"/>
      <c r="D39" s="677"/>
      <c r="E39" s="677"/>
      <c r="F39" s="677"/>
      <c r="G39" s="678"/>
    </row>
    <row r="40" spans="1:7" ht="10.5">
      <c r="A40" s="648"/>
      <c r="B40" s="679" t="s">
        <v>95</v>
      </c>
      <c r="C40" s="680"/>
      <c r="D40" s="681" t="s">
        <v>96</v>
      </c>
      <c r="E40" s="681" t="s">
        <v>97</v>
      </c>
      <c r="F40" s="681" t="s">
        <v>98</v>
      </c>
      <c r="G40" s="682" t="s">
        <v>99</v>
      </c>
    </row>
    <row r="41" spans="1:7" ht="10.5">
      <c r="A41" s="648"/>
      <c r="B41" s="683"/>
      <c r="C41" s="684"/>
      <c r="D41" s="685" t="s">
        <v>100</v>
      </c>
      <c r="E41" s="685" t="s">
        <v>100</v>
      </c>
      <c r="F41" s="685" t="s">
        <v>100</v>
      </c>
      <c r="G41" s="686" t="s">
        <v>101</v>
      </c>
    </row>
    <row r="42" spans="1:7">
      <c r="A42" s="648"/>
      <c r="B42" s="687" t="s">
        <v>65</v>
      </c>
      <c r="C42" s="688" t="s">
        <v>90</v>
      </c>
      <c r="D42" s="689">
        <v>16330000000</v>
      </c>
      <c r="E42" s="689">
        <v>43185000000</v>
      </c>
      <c r="F42" s="689">
        <v>53845000000</v>
      </c>
      <c r="G42" s="690">
        <v>56101000000</v>
      </c>
    </row>
    <row r="43" spans="1:7">
      <c r="A43" s="648"/>
      <c r="B43" s="691"/>
      <c r="C43" s="636" t="s">
        <v>91</v>
      </c>
      <c r="D43" s="692">
        <v>33388000000</v>
      </c>
      <c r="E43" s="692">
        <v>7242000000</v>
      </c>
      <c r="F43" s="692">
        <v>10784000000</v>
      </c>
      <c r="G43" s="693">
        <v>8857000000</v>
      </c>
    </row>
    <row r="44" spans="1:7">
      <c r="A44" s="648"/>
      <c r="B44" s="691"/>
      <c r="C44" s="636" t="s">
        <v>92</v>
      </c>
      <c r="D44" s="692">
        <v>10176000000</v>
      </c>
      <c r="E44" s="692">
        <v>9445000000</v>
      </c>
      <c r="F44" s="692">
        <v>11504000000</v>
      </c>
      <c r="G44" s="693">
        <v>8529000000</v>
      </c>
    </row>
    <row r="45" spans="1:7">
      <c r="A45" s="648"/>
      <c r="B45" s="691"/>
      <c r="C45" s="636" t="s">
        <v>93</v>
      </c>
      <c r="D45" s="692">
        <v>5602000000</v>
      </c>
      <c r="E45" s="692">
        <v>4400000000</v>
      </c>
      <c r="F45" s="692">
        <v>5449000000</v>
      </c>
      <c r="G45" s="693">
        <v>6169000000</v>
      </c>
    </row>
    <row r="46" spans="1:7" ht="10.5">
      <c r="A46" s="648"/>
      <c r="B46" s="691"/>
      <c r="C46" s="694" t="s">
        <v>102</v>
      </c>
      <c r="D46" s="695">
        <v>65496000000</v>
      </c>
      <c r="E46" s="695">
        <v>64272000000</v>
      </c>
      <c r="F46" s="695">
        <v>81582000000</v>
      </c>
      <c r="G46" s="696">
        <v>79656000000</v>
      </c>
    </row>
    <row r="47" spans="1:7">
      <c r="A47" s="648"/>
      <c r="B47" s="687" t="s">
        <v>67</v>
      </c>
      <c r="C47" s="636" t="s">
        <v>91</v>
      </c>
      <c r="D47" s="692">
        <v>7702000000</v>
      </c>
      <c r="E47" s="692">
        <v>7831000000</v>
      </c>
      <c r="F47" s="692">
        <v>13445000000</v>
      </c>
      <c r="G47" s="693">
        <v>12727000000</v>
      </c>
    </row>
    <row r="48" spans="1:7">
      <c r="A48" s="648"/>
      <c r="B48" s="691"/>
      <c r="C48" s="636" t="s">
        <v>92</v>
      </c>
      <c r="D48" s="692">
        <v>9786000000</v>
      </c>
      <c r="E48" s="692">
        <v>12153000000</v>
      </c>
      <c r="F48" s="692">
        <v>1513000000</v>
      </c>
      <c r="G48" s="693">
        <v>1569000000</v>
      </c>
    </row>
    <row r="49" spans="2:20" ht="10.5">
      <c r="B49" s="691"/>
      <c r="C49" s="694" t="s">
        <v>102</v>
      </c>
      <c r="D49" s="695">
        <v>17488000000</v>
      </c>
      <c r="E49" s="695">
        <v>19984000000</v>
      </c>
      <c r="F49" s="695">
        <v>14958000000</v>
      </c>
      <c r="G49" s="696">
        <v>14296000000</v>
      </c>
    </row>
    <row r="50" spans="2:20" ht="11" thickBot="1">
      <c r="B50" s="697"/>
      <c r="C50" s="698" t="s">
        <v>103</v>
      </c>
      <c r="D50" s="699">
        <v>82984000000</v>
      </c>
      <c r="E50" s="699">
        <v>84256000000</v>
      </c>
      <c r="F50" s="699">
        <v>96540000000</v>
      </c>
      <c r="G50" s="700">
        <v>93952000000</v>
      </c>
    </row>
    <row r="62" spans="2:20">
      <c r="P62" s="673"/>
      <c r="Q62" s="674"/>
      <c r="S62" s="673"/>
      <c r="T62" s="674"/>
    </row>
    <row r="63" spans="2:20">
      <c r="P63" s="673"/>
      <c r="Q63" s="674"/>
      <c r="S63" s="673"/>
      <c r="T63" s="674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2:T63"/>
  <sheetViews>
    <sheetView showGridLines="0" topLeftCell="A24" zoomScaleNormal="100" workbookViewId="0">
      <selection activeCell="L53" sqref="L53"/>
    </sheetView>
  </sheetViews>
  <sheetFormatPr defaultColWidth="9" defaultRowHeight="10"/>
  <cols>
    <col min="1" max="2" width="4" style="636" customWidth="1"/>
    <col min="3" max="3" width="14.83203125" style="636" customWidth="1"/>
    <col min="4" max="6" width="11.75" style="636" customWidth="1"/>
    <col min="7" max="7" width="13.08203125" style="636" customWidth="1"/>
    <col min="8" max="8" width="11.75" style="636" customWidth="1"/>
    <col min="9" max="9" width="13.75" style="636" bestFit="1" customWidth="1"/>
    <col min="10" max="10" width="22.5" style="636" customWidth="1"/>
    <col min="11" max="14" width="12.33203125" style="636" customWidth="1"/>
    <col min="15" max="15" width="14.58203125" style="636" customWidth="1"/>
    <col min="16" max="20" width="13.25" style="636" customWidth="1"/>
    <col min="21" max="16384" width="9" style="636"/>
  </cols>
  <sheetData>
    <row r="2" spans="3:15">
      <c r="D2" s="637"/>
      <c r="E2" s="637"/>
      <c r="F2" s="637"/>
    </row>
    <row r="3" spans="3:15">
      <c r="D3" s="637"/>
      <c r="E3" s="637"/>
      <c r="F3" s="637"/>
    </row>
    <row r="4" spans="3:15" ht="11.5">
      <c r="C4" s="638" t="s">
        <v>57</v>
      </c>
      <c r="D4" s="639" t="s">
        <v>58</v>
      </c>
      <c r="E4" s="639" t="s">
        <v>59</v>
      </c>
      <c r="F4" s="639" t="s">
        <v>60</v>
      </c>
      <c r="G4" s="639" t="s">
        <v>61</v>
      </c>
      <c r="H4" s="639" t="s">
        <v>62</v>
      </c>
      <c r="J4" s="638" t="s">
        <v>63</v>
      </c>
      <c r="K4" s="640">
        <f>D7</f>
        <v>17488000000</v>
      </c>
      <c r="L4" s="641"/>
      <c r="M4" s="640">
        <f>K4</f>
        <v>17488000000</v>
      </c>
      <c r="N4" s="640">
        <f>K4</f>
        <v>17488000000</v>
      </c>
      <c r="O4" s="641"/>
    </row>
    <row r="5" spans="3:15">
      <c r="C5" s="642" t="s">
        <v>91</v>
      </c>
      <c r="D5" s="643">
        <v>7702000000</v>
      </c>
      <c r="E5" s="643">
        <v>7831000000</v>
      </c>
      <c r="F5" s="643">
        <v>13445000000</v>
      </c>
      <c r="G5" s="701">
        <f>H5/9*12</f>
        <v>16969333333.333334</v>
      </c>
      <c r="H5" s="643">
        <v>12727000000</v>
      </c>
      <c r="I5" s="637">
        <f>G5-F5</f>
        <v>3524333333.333334</v>
      </c>
      <c r="J5" s="642" t="s">
        <v>91</v>
      </c>
      <c r="K5" s="644">
        <f>O5</f>
        <v>17488000000</v>
      </c>
      <c r="L5" s="645">
        <f t="shared" ref="L5:L6" si="0">ABS(M5)</f>
        <v>129000000</v>
      </c>
      <c r="M5" s="645">
        <f>D14</f>
        <v>129000000</v>
      </c>
      <c r="N5" s="644">
        <f>N4+M5</f>
        <v>17617000000</v>
      </c>
      <c r="O5" s="645">
        <f>IF(N5&gt;N4,N4,N5)</f>
        <v>17488000000</v>
      </c>
    </row>
    <row r="6" spans="3:15">
      <c r="C6" s="642" t="s">
        <v>92</v>
      </c>
      <c r="D6" s="643">
        <v>9786000000</v>
      </c>
      <c r="E6" s="643">
        <v>12153000000</v>
      </c>
      <c r="F6" s="643">
        <v>1513000000</v>
      </c>
      <c r="G6" s="643">
        <f t="shared" ref="G6" si="1">H6/9*12</f>
        <v>2092000000</v>
      </c>
      <c r="H6" s="643">
        <v>1569000000</v>
      </c>
      <c r="I6" s="637">
        <f>G6-F6</f>
        <v>579000000</v>
      </c>
      <c r="J6" s="642" t="s">
        <v>92</v>
      </c>
      <c r="K6" s="644">
        <f t="shared" ref="K6" si="2">O6</f>
        <v>17617000000</v>
      </c>
      <c r="L6" s="645">
        <f t="shared" si="0"/>
        <v>2367000000</v>
      </c>
      <c r="M6" s="645">
        <f>D15</f>
        <v>2367000000</v>
      </c>
      <c r="N6" s="644">
        <f t="shared" ref="N6:N7" si="3">N5+M6</f>
        <v>19984000000</v>
      </c>
      <c r="O6" s="645">
        <f t="shared" ref="O6:O7" si="4">IF(N6&gt;N5,N5,N6)</f>
        <v>17617000000</v>
      </c>
    </row>
    <row r="7" spans="3:15" ht="11.5">
      <c r="C7" s="642" t="s">
        <v>68</v>
      </c>
      <c r="D7" s="643">
        <f>SUM(D5:D6)</f>
        <v>17488000000</v>
      </c>
      <c r="E7" s="643">
        <f t="shared" ref="E7:H7" si="5">SUM(E5:E6)</f>
        <v>19984000000</v>
      </c>
      <c r="F7" s="643">
        <f t="shared" si="5"/>
        <v>14958000000</v>
      </c>
      <c r="G7" s="643">
        <f t="shared" si="5"/>
        <v>19061333333.333336</v>
      </c>
      <c r="H7" s="643">
        <f t="shared" si="5"/>
        <v>14296000000</v>
      </c>
      <c r="I7" s="637">
        <f>G7-F7</f>
        <v>4103333333.3333359</v>
      </c>
      <c r="J7" s="638" t="s">
        <v>69</v>
      </c>
      <c r="K7" s="640">
        <f>O7</f>
        <v>19984000000</v>
      </c>
      <c r="L7" s="641"/>
      <c r="M7" s="640"/>
      <c r="N7" s="640">
        <f t="shared" si="3"/>
        <v>19984000000</v>
      </c>
      <c r="O7" s="641">
        <f t="shared" si="4"/>
        <v>19984000000</v>
      </c>
    </row>
    <row r="8" spans="3:15">
      <c r="C8" s="636" t="s">
        <v>70</v>
      </c>
      <c r="J8" s="642" t="s">
        <v>91</v>
      </c>
      <c r="K8" s="644">
        <f>O8</f>
        <v>19984000000</v>
      </c>
      <c r="L8" s="645">
        <f t="shared" ref="L8:L9" si="6">ABS(M8)</f>
        <v>5614000000</v>
      </c>
      <c r="M8" s="645">
        <f>E14</f>
        <v>5614000000</v>
      </c>
      <c r="N8" s="644">
        <f>N7+M8</f>
        <v>25598000000</v>
      </c>
      <c r="O8" s="645">
        <f>IF(N8&gt;N7,N7,N8)</f>
        <v>19984000000</v>
      </c>
    </row>
    <row r="9" spans="3:15">
      <c r="J9" s="642" t="s">
        <v>92</v>
      </c>
      <c r="K9" s="644">
        <f t="shared" ref="K9" si="7">O9</f>
        <v>14958000000</v>
      </c>
      <c r="L9" s="645">
        <f t="shared" si="6"/>
        <v>10640000000</v>
      </c>
      <c r="M9" s="645">
        <f>E15</f>
        <v>-10640000000</v>
      </c>
      <c r="N9" s="644">
        <f t="shared" ref="N9:N10" si="8">N8+M9</f>
        <v>14958000000</v>
      </c>
      <c r="O9" s="645">
        <f t="shared" ref="O9:O10" si="9">IF(N9&gt;N8,N8,N9)</f>
        <v>14958000000</v>
      </c>
    </row>
    <row r="10" spans="3:15" ht="10.5">
      <c r="J10" s="638" t="s">
        <v>71</v>
      </c>
      <c r="K10" s="640">
        <f>O10</f>
        <v>14958000000</v>
      </c>
      <c r="L10" s="641"/>
      <c r="M10" s="640"/>
      <c r="N10" s="640">
        <f t="shared" si="8"/>
        <v>14958000000</v>
      </c>
      <c r="O10" s="641">
        <f t="shared" si="9"/>
        <v>14958000000</v>
      </c>
    </row>
    <row r="11" spans="3:15">
      <c r="J11" s="642" t="s">
        <v>91</v>
      </c>
      <c r="K11" s="644">
        <f>O11</f>
        <v>14958000000</v>
      </c>
      <c r="L11" s="645">
        <f t="shared" ref="L11:L12" si="10">ABS(M11)</f>
        <v>3524333333.333334</v>
      </c>
      <c r="M11" s="645">
        <f>F14</f>
        <v>3524333333.333334</v>
      </c>
      <c r="N11" s="644">
        <f>N10+M11</f>
        <v>18482333333.333336</v>
      </c>
      <c r="O11" s="645">
        <f>IF(N11&gt;N10,N10,N11)</f>
        <v>14958000000</v>
      </c>
    </row>
    <row r="12" spans="3:15">
      <c r="J12" s="642" t="s">
        <v>92</v>
      </c>
      <c r="K12" s="644">
        <f t="shared" ref="K12" si="11">O12</f>
        <v>18482333333.333336</v>
      </c>
      <c r="L12" s="645">
        <f t="shared" si="10"/>
        <v>579000000</v>
      </c>
      <c r="M12" s="645">
        <f>F15</f>
        <v>579000000</v>
      </c>
      <c r="N12" s="644">
        <f t="shared" ref="N12:N13" si="12">N11+M12</f>
        <v>19061333333.333336</v>
      </c>
      <c r="O12" s="645">
        <f t="shared" ref="O12:O13" si="13">IF(N12&gt;N11,N11,N12)</f>
        <v>18482333333.333336</v>
      </c>
    </row>
    <row r="13" spans="3:15" ht="11.5">
      <c r="C13" s="643" t="s">
        <v>72</v>
      </c>
      <c r="D13" s="639" t="s">
        <v>59</v>
      </c>
      <c r="E13" s="639" t="s">
        <v>73</v>
      </c>
      <c r="F13" s="639" t="s">
        <v>74</v>
      </c>
      <c r="J13" s="638" t="s">
        <v>75</v>
      </c>
      <c r="K13" s="640">
        <f>O13</f>
        <v>19061333333.333336</v>
      </c>
      <c r="L13" s="641"/>
      <c r="M13" s="640"/>
      <c r="N13" s="640">
        <f t="shared" si="12"/>
        <v>19061333333.333336</v>
      </c>
      <c r="O13" s="641">
        <f t="shared" si="13"/>
        <v>19061333333.333336</v>
      </c>
    </row>
    <row r="14" spans="3:15">
      <c r="C14" s="642" t="s">
        <v>91</v>
      </c>
      <c r="D14" s="646">
        <f>E5-D5</f>
        <v>129000000</v>
      </c>
      <c r="E14" s="646">
        <f t="shared" ref="E14:F15" si="14">F5-E5</f>
        <v>5614000000</v>
      </c>
      <c r="F14" s="646">
        <f t="shared" si="14"/>
        <v>3524333333.333334</v>
      </c>
    </row>
    <row r="15" spans="3:15">
      <c r="C15" s="642" t="s">
        <v>92</v>
      </c>
      <c r="D15" s="646">
        <f t="shared" ref="D15" si="15">E6-D6</f>
        <v>2367000000</v>
      </c>
      <c r="E15" s="646">
        <f t="shared" si="14"/>
        <v>-10640000000</v>
      </c>
      <c r="F15" s="646">
        <f t="shared" si="14"/>
        <v>579000000</v>
      </c>
    </row>
    <row r="16" spans="3:15" ht="11.5">
      <c r="C16" s="647" t="s">
        <v>76</v>
      </c>
      <c r="D16" s="646">
        <f>SUM(D14:D15)</f>
        <v>2496000000</v>
      </c>
      <c r="E16" s="646">
        <f t="shared" ref="E16:F16" si="16">SUM(E14:E15)</f>
        <v>-5026000000</v>
      </c>
      <c r="F16" s="646">
        <f t="shared" si="16"/>
        <v>4103333333.333334</v>
      </c>
    </row>
    <row r="17" spans="1:7">
      <c r="C17" s="648"/>
      <c r="D17" s="648" t="b">
        <f>E7-D7=D16</f>
        <v>1</v>
      </c>
      <c r="E17" s="648" t="b">
        <f>F7-E7=E16</f>
        <v>1</v>
      </c>
      <c r="F17" s="648" t="b">
        <f>G7-F7=F16</f>
        <v>0</v>
      </c>
    </row>
    <row r="18" spans="1:7">
      <c r="C18" s="648"/>
      <c r="D18" s="648"/>
      <c r="E18" s="648"/>
      <c r="F18" s="648"/>
    </row>
    <row r="19" spans="1:7">
      <c r="C19" s="648"/>
    </row>
    <row r="20" spans="1:7">
      <c r="C20" s="648"/>
      <c r="D20" s="648"/>
      <c r="E20" s="648"/>
      <c r="F20" s="648"/>
    </row>
    <row r="21" spans="1:7">
      <c r="C21" s="648"/>
      <c r="D21" s="648"/>
      <c r="E21" s="648"/>
      <c r="F21" s="648"/>
    </row>
    <row r="22" spans="1:7">
      <c r="C22" s="648"/>
      <c r="D22" s="648"/>
      <c r="E22" s="648"/>
      <c r="F22" s="648"/>
      <c r="G22" s="649"/>
    </row>
    <row r="24" spans="1:7">
      <c r="A24" s="648"/>
      <c r="B24" s="648"/>
    </row>
    <row r="25" spans="1:7">
      <c r="A25" s="648"/>
      <c r="B25" s="648"/>
      <c r="C25" s="648"/>
      <c r="D25" s="648"/>
      <c r="E25" s="648"/>
      <c r="F25" s="648"/>
    </row>
    <row r="26" spans="1:7">
      <c r="A26" s="648"/>
      <c r="B26" s="648"/>
    </row>
    <row r="27" spans="1:7">
      <c r="A27" s="648"/>
      <c r="B27" s="648"/>
    </row>
    <row r="28" spans="1:7">
      <c r="A28" s="648"/>
      <c r="B28" s="648"/>
    </row>
    <row r="29" spans="1:7">
      <c r="A29" s="648"/>
      <c r="B29" s="648"/>
    </row>
    <row r="30" spans="1:7">
      <c r="A30" s="648"/>
      <c r="B30" s="648"/>
    </row>
    <row r="31" spans="1:7">
      <c r="A31" s="648"/>
      <c r="B31" s="648"/>
    </row>
    <row r="32" spans="1:7">
      <c r="A32" s="648"/>
      <c r="B32" s="648"/>
    </row>
    <row r="33" spans="1:7">
      <c r="A33" s="648"/>
      <c r="B33" s="648"/>
    </row>
    <row r="34" spans="1:7">
      <c r="A34" s="648"/>
      <c r="B34" s="648"/>
    </row>
    <row r="35" spans="1:7">
      <c r="A35" s="648"/>
      <c r="B35" s="648"/>
    </row>
    <row r="36" spans="1:7">
      <c r="A36" s="648"/>
      <c r="B36" s="648"/>
    </row>
    <row r="37" spans="1:7">
      <c r="A37" s="648"/>
      <c r="B37" s="648"/>
      <c r="C37" s="648"/>
      <c r="D37" s="648"/>
      <c r="E37" s="648"/>
      <c r="F37" s="648"/>
    </row>
    <row r="38" spans="1:7">
      <c r="A38" s="648"/>
      <c r="B38" s="648"/>
      <c r="C38" s="648"/>
      <c r="D38" s="648"/>
      <c r="E38" s="648"/>
      <c r="F38" s="648"/>
    </row>
    <row r="39" spans="1:7" ht="11.5">
      <c r="A39" s="648"/>
      <c r="B39" s="676" t="s">
        <v>104</v>
      </c>
      <c r="C39" s="677"/>
      <c r="D39" s="677"/>
      <c r="E39" s="677"/>
      <c r="F39" s="677"/>
      <c r="G39" s="678"/>
    </row>
    <row r="40" spans="1:7" ht="11.5">
      <c r="A40" s="648"/>
      <c r="B40" s="679" t="s">
        <v>105</v>
      </c>
      <c r="C40" s="680"/>
      <c r="D40" s="681" t="s">
        <v>106</v>
      </c>
      <c r="E40" s="681" t="s">
        <v>59</v>
      </c>
      <c r="F40" s="681" t="s">
        <v>60</v>
      </c>
      <c r="G40" s="682" t="s">
        <v>107</v>
      </c>
    </row>
    <row r="41" spans="1:7" ht="11.5">
      <c r="A41" s="648"/>
      <c r="B41" s="683"/>
      <c r="C41" s="684"/>
      <c r="D41" s="685" t="s">
        <v>108</v>
      </c>
      <c r="E41" s="685" t="s">
        <v>109</v>
      </c>
      <c r="F41" s="685" t="s">
        <v>109</v>
      </c>
      <c r="G41" s="686" t="s">
        <v>110</v>
      </c>
    </row>
    <row r="42" spans="1:7" ht="11.5">
      <c r="A42" s="648"/>
      <c r="B42" s="687" t="s">
        <v>111</v>
      </c>
      <c r="C42" s="636" t="s">
        <v>112</v>
      </c>
      <c r="D42" s="692">
        <v>7702000000</v>
      </c>
      <c r="E42" s="692">
        <v>7831000000</v>
      </c>
      <c r="F42" s="692">
        <v>13445000000</v>
      </c>
      <c r="G42" s="693">
        <v>12727000000</v>
      </c>
    </row>
    <row r="43" spans="1:7" ht="11.5">
      <c r="A43" s="648"/>
      <c r="B43" s="691"/>
      <c r="C43" s="636" t="s">
        <v>113</v>
      </c>
      <c r="D43" s="692">
        <v>9786000000</v>
      </c>
      <c r="E43" s="692">
        <v>12153000000</v>
      </c>
      <c r="F43" s="692">
        <v>1513000000</v>
      </c>
      <c r="G43" s="693">
        <v>1569000000</v>
      </c>
    </row>
    <row r="44" spans="1:7" ht="11.5">
      <c r="A44" s="648"/>
      <c r="B44" s="691"/>
      <c r="C44" s="694" t="s">
        <v>114</v>
      </c>
      <c r="D44" s="695">
        <v>17488000000</v>
      </c>
      <c r="E44" s="695">
        <v>19984000000</v>
      </c>
      <c r="F44" s="695">
        <v>14958000000</v>
      </c>
      <c r="G44" s="696">
        <v>14296000000</v>
      </c>
    </row>
    <row r="45" spans="1:7" ht="12" thickBot="1">
      <c r="A45" s="648"/>
      <c r="B45" s="697"/>
      <c r="C45" s="698" t="s">
        <v>115</v>
      </c>
      <c r="D45" s="699">
        <v>82984000000</v>
      </c>
      <c r="E45" s="699">
        <v>84256000000</v>
      </c>
      <c r="F45" s="699">
        <v>96540000000</v>
      </c>
      <c r="G45" s="700">
        <v>93952000000</v>
      </c>
    </row>
    <row r="46" spans="1:7">
      <c r="A46" s="648"/>
    </row>
    <row r="47" spans="1:7">
      <c r="A47" s="648"/>
    </row>
    <row r="48" spans="1:7">
      <c r="A48" s="648"/>
    </row>
    <row r="62" spans="16:20">
      <c r="P62" s="673"/>
      <c r="Q62" s="674"/>
      <c r="S62" s="673"/>
      <c r="T62" s="674"/>
    </row>
    <row r="63" spans="16:20">
      <c r="P63" s="673"/>
      <c r="Q63" s="674"/>
      <c r="S63" s="673"/>
      <c r="T63" s="674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99"/>
  </sheetPr>
  <dimension ref="A1:N37"/>
  <sheetViews>
    <sheetView showGridLines="0" zoomScaleNormal="100" workbookViewId="0">
      <selection activeCell="C37" sqref="C37"/>
    </sheetView>
  </sheetViews>
  <sheetFormatPr defaultColWidth="9" defaultRowHeight="12" customHeight="1" outlineLevelRow="1"/>
  <cols>
    <col min="1" max="1" width="8.58203125" style="5" customWidth="1"/>
    <col min="2" max="2" width="5.83203125" style="5" bestFit="1" customWidth="1"/>
    <col min="3" max="6" width="8.75" style="5" customWidth="1"/>
    <col min="7" max="7" width="8.58203125" style="5" customWidth="1"/>
    <col min="8" max="8" width="12.58203125" style="5" customWidth="1"/>
    <col min="9" max="14" width="8.58203125" style="5" customWidth="1"/>
    <col min="15" max="16384" width="9" style="5"/>
  </cols>
  <sheetData>
    <row r="1" spans="1:14" ht="19.5" customHeight="1">
      <c r="A1" s="1" t="s">
        <v>116</v>
      </c>
      <c r="B1" s="2"/>
      <c r="C1" s="3"/>
      <c r="D1" s="3"/>
      <c r="E1" s="3"/>
      <c r="F1" s="4"/>
      <c r="H1" s="1" t="s">
        <v>116</v>
      </c>
      <c r="I1" s="3"/>
      <c r="J1" s="3"/>
      <c r="K1" s="3"/>
      <c r="L1" s="4"/>
    </row>
    <row r="2" spans="1:14" ht="12" customHeight="1">
      <c r="A2" s="557"/>
      <c r="B2" s="558"/>
      <c r="C2" s="559" t="s">
        <v>96</v>
      </c>
      <c r="D2" s="559" t="s">
        <v>97</v>
      </c>
      <c r="E2" s="559" t="s">
        <v>98</v>
      </c>
      <c r="F2" s="560" t="s">
        <v>117</v>
      </c>
      <c r="G2" s="5" t="s">
        <v>118</v>
      </c>
      <c r="H2" s="6"/>
      <c r="I2" s="7" t="s">
        <v>96</v>
      </c>
      <c r="J2" s="7" t="s">
        <v>97</v>
      </c>
      <c r="K2" s="7" t="s">
        <v>98</v>
      </c>
      <c r="L2" s="8" t="s">
        <v>117</v>
      </c>
    </row>
    <row r="3" spans="1:14" ht="12" customHeight="1">
      <c r="A3" s="561" t="s">
        <v>119</v>
      </c>
      <c r="B3" s="562"/>
      <c r="C3" s="563" t="s">
        <v>120</v>
      </c>
      <c r="D3" s="563" t="s">
        <v>120</v>
      </c>
      <c r="E3" s="563" t="s">
        <v>120</v>
      </c>
      <c r="F3" s="564" t="s">
        <v>121</v>
      </c>
      <c r="H3" s="9" t="s">
        <v>119</v>
      </c>
      <c r="I3" s="10" t="s">
        <v>120</v>
      </c>
      <c r="J3" s="10" t="s">
        <v>120</v>
      </c>
      <c r="K3" s="10" t="s">
        <v>120</v>
      </c>
      <c r="L3" s="11" t="s">
        <v>121</v>
      </c>
    </row>
    <row r="4" spans="1:14" ht="12" customHeight="1">
      <c r="A4" s="12" t="s">
        <v>122</v>
      </c>
      <c r="B4" s="565" t="s">
        <v>123</v>
      </c>
      <c r="C4" s="566">
        <v>16330000000</v>
      </c>
      <c r="D4" s="566">
        <v>43185000000</v>
      </c>
      <c r="E4" s="566">
        <v>53845000000</v>
      </c>
      <c r="F4" s="567">
        <v>56101000000</v>
      </c>
      <c r="G4" s="5" t="s">
        <v>124</v>
      </c>
      <c r="H4" s="12" t="s">
        <v>123</v>
      </c>
      <c r="I4" s="14"/>
      <c r="J4" s="14"/>
      <c r="K4" s="14"/>
      <c r="L4" s="15"/>
    </row>
    <row r="5" spans="1:14" ht="12" customHeight="1">
      <c r="A5" s="568" t="s">
        <v>91</v>
      </c>
      <c r="B5" s="569" t="s">
        <v>123</v>
      </c>
      <c r="C5" s="570">
        <v>33388000000</v>
      </c>
      <c r="D5" s="570">
        <v>7242000000</v>
      </c>
      <c r="E5" s="570">
        <v>10784000000</v>
      </c>
      <c r="F5" s="571">
        <v>8857000000</v>
      </c>
      <c r="G5" s="5" t="s">
        <v>125</v>
      </c>
      <c r="H5" s="16" t="s">
        <v>90</v>
      </c>
      <c r="I5" s="17">
        <v>16330000000</v>
      </c>
      <c r="J5" s="17">
        <v>43185000000</v>
      </c>
      <c r="K5" s="17">
        <v>53845000000</v>
      </c>
      <c r="L5" s="18">
        <v>56101000000</v>
      </c>
      <c r="N5" s="17"/>
    </row>
    <row r="6" spans="1:14" ht="12" customHeight="1">
      <c r="A6" s="572"/>
      <c r="B6" s="573" t="s">
        <v>126</v>
      </c>
      <c r="C6" s="574">
        <v>7702000000</v>
      </c>
      <c r="D6" s="574">
        <v>7831000000</v>
      </c>
      <c r="E6" s="574">
        <v>13445000000</v>
      </c>
      <c r="F6" s="575">
        <v>12727000000</v>
      </c>
      <c r="G6" s="5" t="s">
        <v>127</v>
      </c>
      <c r="H6" s="16" t="s">
        <v>91</v>
      </c>
      <c r="I6" s="17">
        <v>33388000000</v>
      </c>
      <c r="J6" s="17">
        <v>7242000000</v>
      </c>
      <c r="K6" s="17">
        <v>10784000000</v>
      </c>
      <c r="L6" s="18">
        <v>8857000000</v>
      </c>
      <c r="N6" s="17"/>
    </row>
    <row r="7" spans="1:14" ht="12" customHeight="1">
      <c r="A7" s="576"/>
      <c r="B7" s="577" t="s">
        <v>128</v>
      </c>
      <c r="C7" s="578">
        <f>SUM(C5:C6)</f>
        <v>41090000000</v>
      </c>
      <c r="D7" s="578">
        <f>SUM(D5:D6)</f>
        <v>15073000000</v>
      </c>
      <c r="E7" s="578">
        <f>SUM(E5:E6)</f>
        <v>24229000000</v>
      </c>
      <c r="F7" s="579">
        <f>SUM(F5:F6)</f>
        <v>21584000000</v>
      </c>
      <c r="G7" s="5" t="s">
        <v>129</v>
      </c>
      <c r="H7" s="16" t="s">
        <v>92</v>
      </c>
      <c r="I7" s="17">
        <v>10176000000</v>
      </c>
      <c r="J7" s="17">
        <v>9445000000</v>
      </c>
      <c r="K7" s="17">
        <v>11504000000</v>
      </c>
      <c r="L7" s="18">
        <v>8529000000</v>
      </c>
      <c r="N7" s="17"/>
    </row>
    <row r="8" spans="1:14" ht="12" customHeight="1">
      <c r="A8" s="568" t="s">
        <v>92</v>
      </c>
      <c r="B8" s="569" t="s">
        <v>123</v>
      </c>
      <c r="C8" s="570">
        <v>10176000000</v>
      </c>
      <c r="D8" s="570">
        <v>9445000000</v>
      </c>
      <c r="E8" s="570">
        <v>11504000000</v>
      </c>
      <c r="F8" s="571">
        <v>8529000000</v>
      </c>
      <c r="G8" s="5" t="s">
        <v>130</v>
      </c>
      <c r="H8" s="20" t="s">
        <v>93</v>
      </c>
      <c r="I8" s="21">
        <v>5602000000</v>
      </c>
      <c r="J8" s="21">
        <v>4400000000</v>
      </c>
      <c r="K8" s="21">
        <v>5449000000</v>
      </c>
      <c r="L8" s="22">
        <v>6169000000</v>
      </c>
      <c r="N8" s="17"/>
    </row>
    <row r="9" spans="1:14" ht="12" customHeight="1" outlineLevel="1">
      <c r="A9" s="572"/>
      <c r="B9" s="573" t="s">
        <v>126</v>
      </c>
      <c r="C9" s="574">
        <v>9786000000</v>
      </c>
      <c r="D9" s="574">
        <v>12153000000</v>
      </c>
      <c r="E9" s="574">
        <v>1513000000</v>
      </c>
      <c r="F9" s="575">
        <v>1569000000</v>
      </c>
      <c r="H9" s="23" t="s">
        <v>131</v>
      </c>
      <c r="I9" s="24">
        <f>[9]거래처별매출!C16</f>
        <v>0.22734223578472929</v>
      </c>
      <c r="J9" s="24">
        <f>[9]거래처별매출!D16</f>
        <v>0.25679600522036194</v>
      </c>
      <c r="K9" s="24">
        <f>[9]거래처별매출!E16</f>
        <v>0.23088554943497047</v>
      </c>
      <c r="L9" s="25">
        <f>[9]거래처별매출!G16</f>
        <v>0.43019200071861358</v>
      </c>
    </row>
    <row r="10" spans="1:14" ht="12" customHeight="1">
      <c r="A10" s="576"/>
      <c r="B10" s="577" t="s">
        <v>128</v>
      </c>
      <c r="C10" s="578">
        <f>SUM(C8:C9)</f>
        <v>19962000000</v>
      </c>
      <c r="D10" s="578">
        <f>SUM(D8:D9)</f>
        <v>21598000000</v>
      </c>
      <c r="E10" s="578">
        <f>SUM(E8:E9)</f>
        <v>13017000000</v>
      </c>
      <c r="F10" s="579">
        <f>SUM(F8:F9)</f>
        <v>10098000000</v>
      </c>
      <c r="H10" s="26" t="s">
        <v>132</v>
      </c>
      <c r="I10" s="27">
        <f>SUM(I5:I8)</f>
        <v>65496000000</v>
      </c>
      <c r="J10" s="27">
        <f>SUM(J5:J8)</f>
        <v>64272000000</v>
      </c>
      <c r="K10" s="27">
        <f>SUM(K5:K8)</f>
        <v>81582000000</v>
      </c>
      <c r="L10" s="28">
        <f>SUM(L5:L8)</f>
        <v>79656000000</v>
      </c>
      <c r="N10" s="19"/>
    </row>
    <row r="11" spans="1:14" ht="12" customHeight="1">
      <c r="A11" s="580" t="s">
        <v>93</v>
      </c>
      <c r="B11" s="581" t="s">
        <v>123</v>
      </c>
      <c r="C11" s="582">
        <v>5602000000</v>
      </c>
      <c r="D11" s="582">
        <v>4400000000</v>
      </c>
      <c r="E11" s="582">
        <v>5449000000</v>
      </c>
      <c r="F11" s="583">
        <v>6169000000</v>
      </c>
      <c r="G11" s="5" t="s">
        <v>133</v>
      </c>
      <c r="H11" s="12" t="s">
        <v>126</v>
      </c>
      <c r="I11" s="14"/>
      <c r="J11" s="14"/>
      <c r="K11" s="14"/>
      <c r="L11" s="15"/>
    </row>
    <row r="12" spans="1:14" ht="12" customHeight="1" thickBot="1">
      <c r="A12" s="584" t="s">
        <v>134</v>
      </c>
      <c r="B12" s="585"/>
      <c r="C12" s="586">
        <f>SUM(C15,C16)</f>
        <v>82984000000</v>
      </c>
      <c r="D12" s="586">
        <f>SUM(D15,D16)</f>
        <v>84256000000</v>
      </c>
      <c r="E12" s="586">
        <f>SUM(E15,E16)</f>
        <v>96540000000</v>
      </c>
      <c r="F12" s="587">
        <f>SUM(F15,F16)</f>
        <v>93952000000</v>
      </c>
      <c r="G12" s="5" t="s">
        <v>135</v>
      </c>
      <c r="H12" s="16" t="s">
        <v>91</v>
      </c>
      <c r="I12" s="17">
        <v>7702000000</v>
      </c>
      <c r="J12" s="17">
        <v>7831000000</v>
      </c>
      <c r="K12" s="17">
        <v>13445000000</v>
      </c>
      <c r="L12" s="18">
        <v>12727000000</v>
      </c>
      <c r="N12" s="17"/>
    </row>
    <row r="13" spans="1:14" ht="12" customHeight="1">
      <c r="A13" s="588"/>
      <c r="B13" s="588"/>
      <c r="C13" s="588"/>
      <c r="D13" s="588"/>
      <c r="E13" s="588"/>
      <c r="F13" s="588"/>
      <c r="H13" s="20" t="s">
        <v>92</v>
      </c>
      <c r="I13" s="21">
        <v>9786000000</v>
      </c>
      <c r="J13" s="21">
        <v>12153000000</v>
      </c>
      <c r="K13" s="21">
        <v>1513000000</v>
      </c>
      <c r="L13" s="22">
        <v>1569000000</v>
      </c>
      <c r="N13" s="17"/>
    </row>
    <row r="14" spans="1:14" ht="12" customHeight="1" outlineLevel="1">
      <c r="A14" s="151"/>
      <c r="B14" s="99"/>
      <c r="C14" s="166" t="s">
        <v>96</v>
      </c>
      <c r="D14" s="166" t="s">
        <v>97</v>
      </c>
      <c r="E14" s="166" t="s">
        <v>98</v>
      </c>
      <c r="F14" s="302" t="s">
        <v>118</v>
      </c>
      <c r="H14" s="23" t="s">
        <v>136</v>
      </c>
      <c r="I14" s="24">
        <f>[9]거래처별매출!C17</f>
        <v>0.20240879034781134</v>
      </c>
      <c r="J14" s="24">
        <f>[9]거래처별매출!D17</f>
        <v>0.22818068032919986</v>
      </c>
      <c r="K14" s="24">
        <f>[9]거래처별매출!E17</f>
        <v>0.11083298435417968</v>
      </c>
      <c r="L14" s="25">
        <f>[9]거래처별매출!G17</f>
        <v>0.10693506988477799</v>
      </c>
    </row>
    <row r="15" spans="1:14" ht="12" customHeight="1">
      <c r="A15" s="151"/>
      <c r="B15" s="99" t="s">
        <v>123</v>
      </c>
      <c r="C15" s="195">
        <f>SUM(C4,C5,C8,C11)</f>
        <v>65496000000</v>
      </c>
      <c r="D15" s="195">
        <f>SUM(D4,D5,D8,D11)</f>
        <v>64272000000</v>
      </c>
      <c r="E15" s="195">
        <f>SUM(E4,E5,E8,E11)</f>
        <v>81582000000</v>
      </c>
      <c r="F15" s="194">
        <f>SUM(F4,F5,F8,F11)</f>
        <v>79656000000</v>
      </c>
      <c r="H15" s="26" t="s">
        <v>137</v>
      </c>
      <c r="I15" s="27">
        <f>SUM(I12:I13)</f>
        <v>17488000000</v>
      </c>
      <c r="J15" s="27">
        <f>SUM(J12:J13)</f>
        <v>19984000000</v>
      </c>
      <c r="K15" s="27">
        <f>SUM(K12:K13)</f>
        <v>14958000000</v>
      </c>
      <c r="L15" s="28">
        <f>SUM(L12:L13)</f>
        <v>14296000000</v>
      </c>
      <c r="N15" s="19"/>
    </row>
    <row r="16" spans="1:14" ht="12" customHeight="1">
      <c r="B16" s="298" t="s">
        <v>126</v>
      </c>
      <c r="C16" s="589">
        <f>SUM(C6,C9)</f>
        <v>17488000000</v>
      </c>
      <c r="D16" s="589">
        <f>SUM(D6,D9)</f>
        <v>19984000000</v>
      </c>
      <c r="E16" s="589">
        <f>SUM(E6,E9)</f>
        <v>14958000000</v>
      </c>
      <c r="F16" s="590">
        <f>SUM(F6,F9)</f>
        <v>14296000000</v>
      </c>
      <c r="G16" s="5" t="s">
        <v>138</v>
      </c>
      <c r="H16" s="31" t="s">
        <v>122</v>
      </c>
      <c r="I16" s="32">
        <f>SUM(I5)</f>
        <v>16330000000</v>
      </c>
      <c r="J16" s="32">
        <f>SUM(J5)</f>
        <v>43185000000</v>
      </c>
      <c r="K16" s="32">
        <f>SUM(K5)</f>
        <v>53845000000</v>
      </c>
      <c r="L16" s="33">
        <f>SUM(L5)</f>
        <v>56101000000</v>
      </c>
    </row>
    <row r="17" spans="1:13" ht="12" customHeight="1">
      <c r="A17" s="34" t="s">
        <v>139</v>
      </c>
      <c r="H17" s="36" t="s">
        <v>91</v>
      </c>
      <c r="I17" s="37">
        <f t="shared" ref="I17:L18" si="0">SUM(I6,I12)</f>
        <v>41090000000</v>
      </c>
      <c r="J17" s="37">
        <f t="shared" si="0"/>
        <v>15073000000</v>
      </c>
      <c r="K17" s="37">
        <f t="shared" si="0"/>
        <v>24229000000</v>
      </c>
      <c r="L17" s="38">
        <f t="shared" si="0"/>
        <v>21584000000</v>
      </c>
    </row>
    <row r="18" spans="1:13" ht="12" customHeight="1">
      <c r="B18" s="34" t="s">
        <v>123</v>
      </c>
      <c r="C18" s="35">
        <f t="shared" ref="C18:F19" si="1">C15/C$12</f>
        <v>0.78926058035283908</v>
      </c>
      <c r="D18" s="35">
        <f t="shared" si="1"/>
        <v>0.76281807823775161</v>
      </c>
      <c r="E18" s="35">
        <f t="shared" si="1"/>
        <v>0.84505904288377875</v>
      </c>
      <c r="F18" s="35">
        <f t="shared" si="1"/>
        <v>0.84783719346049047</v>
      </c>
      <c r="H18" s="36" t="s">
        <v>92</v>
      </c>
      <c r="I18" s="37">
        <f t="shared" si="0"/>
        <v>19962000000</v>
      </c>
      <c r="J18" s="37">
        <f t="shared" si="0"/>
        <v>21598000000</v>
      </c>
      <c r="K18" s="37">
        <f t="shared" si="0"/>
        <v>13017000000</v>
      </c>
      <c r="L18" s="38">
        <f t="shared" si="0"/>
        <v>10098000000</v>
      </c>
      <c r="M18" s="29"/>
    </row>
    <row r="19" spans="1:13" ht="12" customHeight="1">
      <c r="B19" s="5" t="s">
        <v>126</v>
      </c>
      <c r="C19" s="58">
        <f t="shared" si="1"/>
        <v>0.21073941964716089</v>
      </c>
      <c r="D19" s="58">
        <f t="shared" si="1"/>
        <v>0.23718192176224839</v>
      </c>
      <c r="E19" s="58">
        <f t="shared" si="1"/>
        <v>0.15494095711622125</v>
      </c>
      <c r="F19" s="58">
        <f t="shared" si="1"/>
        <v>0.15216280653950953</v>
      </c>
      <c r="H19" s="39" t="s">
        <v>93</v>
      </c>
      <c r="I19" s="40">
        <f>SUM(I8)</f>
        <v>5602000000</v>
      </c>
      <c r="J19" s="40">
        <f>SUM(J8)</f>
        <v>4400000000</v>
      </c>
      <c r="K19" s="40">
        <f>SUM(K8)</f>
        <v>5449000000</v>
      </c>
      <c r="L19" s="41">
        <f>SUM(L8)</f>
        <v>6169000000</v>
      </c>
      <c r="M19" s="29"/>
    </row>
    <row r="20" spans="1:13" ht="12" customHeight="1" thickBot="1">
      <c r="H20" s="42" t="s">
        <v>134</v>
      </c>
      <c r="I20" s="43">
        <f>SUM(I16:I19)</f>
        <v>82984000000</v>
      </c>
      <c r="J20" s="43">
        <f>SUM(J16:J19)</f>
        <v>84256000000</v>
      </c>
      <c r="K20" s="43">
        <f>SUM(K16:K19)</f>
        <v>96540000000</v>
      </c>
      <c r="L20" s="44">
        <f>SUM(L16:L19)</f>
        <v>93952000000</v>
      </c>
      <c r="M20" s="29"/>
    </row>
    <row r="21" spans="1:13" ht="12" customHeight="1">
      <c r="I21" s="5" t="b">
        <f>I20=I10+I15</f>
        <v>1</v>
      </c>
      <c r="J21" s="5" t="b">
        <f t="shared" ref="J21:L21" si="2">J20=J10+J15</f>
        <v>1</v>
      </c>
      <c r="K21" s="5" t="b">
        <f t="shared" si="2"/>
        <v>1</v>
      </c>
      <c r="L21" s="5" t="b">
        <f t="shared" si="2"/>
        <v>1</v>
      </c>
      <c r="M21" s="29"/>
    </row>
    <row r="22" spans="1:13" ht="12" customHeight="1">
      <c r="M22" s="29"/>
    </row>
    <row r="23" spans="1:13" ht="12" customHeight="1">
      <c r="M23" s="29"/>
    </row>
    <row r="25" spans="1:13" ht="19.5" customHeight="1">
      <c r="A25" s="1" t="s">
        <v>140</v>
      </c>
      <c r="B25" s="2"/>
      <c r="C25" s="2"/>
      <c r="D25" s="2"/>
      <c r="E25" s="2"/>
      <c r="F25" s="2"/>
      <c r="G25" s="45"/>
    </row>
    <row r="26" spans="1:13" ht="12" customHeight="1">
      <c r="A26" s="30"/>
      <c r="B26" s="13" t="s">
        <v>141</v>
      </c>
      <c r="C26" s="13"/>
      <c r="D26" s="13"/>
      <c r="E26" s="46" t="s">
        <v>117</v>
      </c>
      <c r="F26" s="47"/>
      <c r="G26" s="48"/>
    </row>
    <row r="27" spans="1:13" ht="12" customHeight="1">
      <c r="A27" s="9" t="s">
        <v>119</v>
      </c>
      <c r="B27" s="10" t="s">
        <v>142</v>
      </c>
      <c r="C27" s="10" t="s">
        <v>143</v>
      </c>
      <c r="D27" s="10" t="s">
        <v>144</v>
      </c>
      <c r="E27" s="49" t="s">
        <v>145</v>
      </c>
      <c r="F27" s="10" t="s">
        <v>146</v>
      </c>
      <c r="G27" s="11" t="s">
        <v>147</v>
      </c>
    </row>
    <row r="28" spans="1:13" ht="12" customHeight="1">
      <c r="A28" s="50" t="s">
        <v>122</v>
      </c>
      <c r="B28" s="52">
        <v>29845000000</v>
      </c>
      <c r="C28" s="52">
        <v>53846000000</v>
      </c>
      <c r="D28" s="53">
        <f>C28/B28</f>
        <v>1.804188306248953</v>
      </c>
      <c r="E28" s="54">
        <v>66951000000</v>
      </c>
      <c r="F28" s="52">
        <v>56101000000</v>
      </c>
      <c r="G28" s="55">
        <f>F28/E28</f>
        <v>0.83794118086361669</v>
      </c>
    </row>
    <row r="29" spans="1:13" ht="12" customHeight="1">
      <c r="A29" s="56" t="s">
        <v>148</v>
      </c>
      <c r="B29" s="57">
        <v>29148000000</v>
      </c>
      <c r="C29" s="57">
        <v>24229000000</v>
      </c>
      <c r="D29" s="58">
        <f t="shared" ref="D29:D32" si="3">C29/B29</f>
        <v>0.83124056539042135</v>
      </c>
      <c r="E29" s="59">
        <v>27807000000</v>
      </c>
      <c r="F29" s="57">
        <v>21584000000</v>
      </c>
      <c r="G29" s="60">
        <f>F29/E29</f>
        <v>0.77620742978386736</v>
      </c>
    </row>
    <row r="30" spans="1:13" ht="12" customHeight="1">
      <c r="A30" s="56" t="s">
        <v>149</v>
      </c>
      <c r="B30" s="57">
        <v>25049000000</v>
      </c>
      <c r="C30" s="57">
        <v>13017000000</v>
      </c>
      <c r="D30" s="58">
        <f t="shared" si="3"/>
        <v>0.51966146353147835</v>
      </c>
      <c r="E30" s="59">
        <v>11970000000</v>
      </c>
      <c r="F30" s="57">
        <v>10098000000</v>
      </c>
      <c r="G30" s="60">
        <f>F30/E30</f>
        <v>0.84360902255639103</v>
      </c>
    </row>
    <row r="31" spans="1:13" ht="12" customHeight="1">
      <c r="A31" s="56" t="s">
        <v>150</v>
      </c>
      <c r="B31" s="57">
        <v>9996000000</v>
      </c>
      <c r="C31" s="57">
        <v>5448000000</v>
      </c>
      <c r="D31" s="58">
        <f t="shared" si="3"/>
        <v>0.54501800720288118</v>
      </c>
      <c r="E31" s="59">
        <v>8800000000</v>
      </c>
      <c r="F31" s="57">
        <v>6169000000</v>
      </c>
      <c r="G31" s="60">
        <f>F31/E31</f>
        <v>0.7010227272727273</v>
      </c>
    </row>
    <row r="32" spans="1:13" ht="12" customHeight="1" thickBot="1">
      <c r="A32" s="42" t="s">
        <v>151</v>
      </c>
      <c r="B32" s="61">
        <f t="shared" ref="B32:C32" si="4">SUM(B28:B31)</f>
        <v>94038000000</v>
      </c>
      <c r="C32" s="61">
        <f t="shared" si="4"/>
        <v>96540000000</v>
      </c>
      <c r="D32" s="62">
        <f t="shared" si="3"/>
        <v>1.0266062655522237</v>
      </c>
      <c r="E32" s="63">
        <f>SUM(E28:E31)</f>
        <v>115528000000</v>
      </c>
      <c r="F32" s="61">
        <f>SUM(F28:F31)</f>
        <v>93952000000</v>
      </c>
      <c r="G32" s="64">
        <f>F32/E32</f>
        <v>0.81324008032684714</v>
      </c>
    </row>
    <row r="34" spans="1:6" ht="12" customHeight="1">
      <c r="A34" s="50" t="s">
        <v>122</v>
      </c>
      <c r="B34" s="51"/>
      <c r="C34" s="53">
        <f t="shared" ref="C34:F35" si="5">C4/C$15</f>
        <v>0.24932820324905339</v>
      </c>
      <c r="D34" s="53">
        <f t="shared" si="5"/>
        <v>0.67191000746825991</v>
      </c>
      <c r="E34" s="53">
        <f t="shared" si="5"/>
        <v>0.66001078669314306</v>
      </c>
      <c r="F34" s="65">
        <f t="shared" si="5"/>
        <v>0.70429095108968565</v>
      </c>
    </row>
    <row r="35" spans="1:6" ht="12" customHeight="1">
      <c r="A35" s="56" t="s">
        <v>148</v>
      </c>
      <c r="C35" s="58">
        <f t="shared" si="5"/>
        <v>0.50977158910467812</v>
      </c>
      <c r="D35" s="58">
        <f>D5/D$15</f>
        <v>0.1126773711725168</v>
      </c>
      <c r="E35" s="58">
        <f t="shared" si="5"/>
        <v>0.13218602142629501</v>
      </c>
      <c r="F35" s="66">
        <f t="shared" si="5"/>
        <v>0.11119061966455759</v>
      </c>
    </row>
    <row r="36" spans="1:6" ht="12" customHeight="1">
      <c r="A36" s="56" t="s">
        <v>149</v>
      </c>
      <c r="C36" s="58">
        <f>C8/C$15</f>
        <v>0.15536826676438256</v>
      </c>
      <c r="D36" s="58">
        <f>D8/D$15</f>
        <v>0.14695357231764999</v>
      </c>
      <c r="E36" s="58">
        <f>E8/E$15</f>
        <v>0.14101149763428208</v>
      </c>
      <c r="F36" s="66">
        <f>F8/F$15</f>
        <v>0.10707291352817114</v>
      </c>
    </row>
    <row r="37" spans="1:6" ht="12" customHeight="1">
      <c r="A37" s="67" t="s">
        <v>150</v>
      </c>
      <c r="B37" s="68"/>
      <c r="C37" s="69">
        <f>C11/C$15</f>
        <v>8.5531940881885912E-2</v>
      </c>
      <c r="D37" s="69">
        <f>D11/D$15</f>
        <v>6.8459049041573308E-2</v>
      </c>
      <c r="E37" s="69">
        <f>E11/E$15</f>
        <v>6.6791694246279815E-2</v>
      </c>
      <c r="F37" s="70">
        <f>F11/F$15</f>
        <v>7.7445515717585622E-2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5:H66"/>
  <sheetViews>
    <sheetView showGridLines="0" zoomScale="115" zoomScaleNormal="115" workbookViewId="0">
      <selection activeCell="E15" sqref="E15"/>
    </sheetView>
  </sheetViews>
  <sheetFormatPr defaultColWidth="9" defaultRowHeight="12" customHeight="1"/>
  <cols>
    <col min="1" max="1" width="9" style="29"/>
    <col min="2" max="2" width="8.58203125" style="29" customWidth="1"/>
    <col min="3" max="3" width="9.58203125" style="29" customWidth="1"/>
    <col min="4" max="7" width="7.08203125" style="29" customWidth="1"/>
    <col min="8" max="8" width="8.58203125" style="29" customWidth="1"/>
    <col min="9" max="16384" width="9" style="29"/>
  </cols>
  <sheetData>
    <row r="5" spans="2:8" ht="19.5" customHeight="1">
      <c r="B5" s="493" t="s">
        <v>152</v>
      </c>
      <c r="C5" s="494"/>
      <c r="D5" s="494"/>
      <c r="E5" s="494"/>
      <c r="F5" s="494"/>
      <c r="G5" s="495"/>
    </row>
    <row r="6" spans="2:8" ht="12" customHeight="1">
      <c r="B6" s="496" t="s">
        <v>105</v>
      </c>
      <c r="C6" s="497"/>
      <c r="D6" s="498" t="s">
        <v>106</v>
      </c>
      <c r="E6" s="498" t="s">
        <v>59</v>
      </c>
      <c r="F6" s="498" t="s">
        <v>60</v>
      </c>
      <c r="G6" s="499" t="s">
        <v>107</v>
      </c>
      <c r="H6" s="500">
        <f>G13/9*12</f>
        <v>11372000000</v>
      </c>
    </row>
    <row r="7" spans="2:8" ht="12" customHeight="1">
      <c r="B7" s="501"/>
      <c r="C7" s="502"/>
      <c r="D7" s="503" t="s">
        <v>108</v>
      </c>
      <c r="E7" s="503" t="s">
        <v>109</v>
      </c>
      <c r="F7" s="503" t="s">
        <v>109</v>
      </c>
      <c r="G7" s="504" t="s">
        <v>110</v>
      </c>
    </row>
    <row r="8" spans="2:8" ht="12" customHeight="1">
      <c r="B8" s="505" t="s">
        <v>153</v>
      </c>
      <c r="C8" s="14" t="s">
        <v>154</v>
      </c>
      <c r="D8" s="506">
        <v>16330000000</v>
      </c>
      <c r="E8" s="506">
        <v>43185000000</v>
      </c>
      <c r="F8" s="506">
        <v>53845000000</v>
      </c>
      <c r="G8" s="500">
        <v>56101000000</v>
      </c>
      <c r="H8" s="29" t="s">
        <v>155</v>
      </c>
    </row>
    <row r="9" spans="2:8" ht="12" customHeight="1">
      <c r="B9" s="507"/>
      <c r="C9" s="502" t="s">
        <v>114</v>
      </c>
      <c r="D9" s="508">
        <f>SUM(D8:D8)</f>
        <v>16330000000</v>
      </c>
      <c r="E9" s="508">
        <f>SUM(E8:E8)</f>
        <v>43185000000</v>
      </c>
      <c r="F9" s="508">
        <f>SUM(F8:F8)</f>
        <v>53845000000</v>
      </c>
      <c r="G9" s="509">
        <f>SUM(G8:G8)</f>
        <v>56101000000</v>
      </c>
    </row>
    <row r="10" spans="2:8" ht="12" customHeight="1">
      <c r="B10" s="505" t="s">
        <v>112</v>
      </c>
      <c r="C10" s="14" t="s">
        <v>154</v>
      </c>
      <c r="D10" s="506">
        <v>33388000000</v>
      </c>
      <c r="E10" s="506">
        <v>7242000000</v>
      </c>
      <c r="F10" s="506">
        <v>10784000000</v>
      </c>
      <c r="G10" s="500">
        <v>8857000000</v>
      </c>
      <c r="H10" s="29" t="s">
        <v>156</v>
      </c>
    </row>
    <row r="11" spans="2:8" ht="12" customHeight="1">
      <c r="B11" s="510"/>
      <c r="C11" s="29" t="s">
        <v>111</v>
      </c>
      <c r="D11" s="17">
        <v>7702000000</v>
      </c>
      <c r="E11" s="17">
        <v>7831000000</v>
      </c>
      <c r="F11" s="17">
        <v>13445000000</v>
      </c>
      <c r="G11" s="18">
        <v>12727000000</v>
      </c>
      <c r="H11" s="29" t="s">
        <v>157</v>
      </c>
    </row>
    <row r="12" spans="2:8" ht="12" customHeight="1">
      <c r="B12" s="507"/>
      <c r="C12" s="502" t="s">
        <v>114</v>
      </c>
      <c r="D12" s="508">
        <f t="shared" ref="D12:G12" si="0">SUM(D10:D11)</f>
        <v>41090000000</v>
      </c>
      <c r="E12" s="508">
        <f t="shared" si="0"/>
        <v>15073000000</v>
      </c>
      <c r="F12" s="508">
        <f>SUM(F10:F11)</f>
        <v>24229000000</v>
      </c>
      <c r="G12" s="509">
        <f t="shared" si="0"/>
        <v>21584000000</v>
      </c>
      <c r="H12" s="29" t="s">
        <v>158</v>
      </c>
    </row>
    <row r="13" spans="2:8" ht="12" customHeight="1">
      <c r="B13" s="505" t="s">
        <v>113</v>
      </c>
      <c r="C13" s="14" t="s">
        <v>154</v>
      </c>
      <c r="D13" s="506">
        <v>10176000000</v>
      </c>
      <c r="E13" s="506">
        <v>9445000000</v>
      </c>
      <c r="F13" s="506">
        <v>11504000000</v>
      </c>
      <c r="G13" s="500">
        <v>8529000000</v>
      </c>
    </row>
    <row r="14" spans="2:8" ht="12" customHeight="1">
      <c r="B14" s="510"/>
      <c r="C14" s="29" t="s">
        <v>111</v>
      </c>
      <c r="D14" s="17">
        <v>9786000000</v>
      </c>
      <c r="E14" s="17">
        <v>12153000000</v>
      </c>
      <c r="F14" s="17">
        <v>1513000000</v>
      </c>
      <c r="G14" s="18">
        <v>1569000000</v>
      </c>
      <c r="H14" s="29" t="s">
        <v>159</v>
      </c>
    </row>
    <row r="15" spans="2:8" ht="12" customHeight="1">
      <c r="B15" s="507"/>
      <c r="C15" s="502" t="s">
        <v>114</v>
      </c>
      <c r="D15" s="508">
        <f>SUM(D13:D14)</f>
        <v>19962000000</v>
      </c>
      <c r="E15" s="508">
        <f t="shared" ref="E15:G15" si="1">SUM(E13:E14)</f>
        <v>21598000000</v>
      </c>
      <c r="F15" s="508">
        <f t="shared" si="1"/>
        <v>13017000000</v>
      </c>
      <c r="G15" s="509">
        <f t="shared" si="1"/>
        <v>10098000000</v>
      </c>
    </row>
    <row r="16" spans="2:8" ht="12" customHeight="1">
      <c r="B16" s="505" t="s">
        <v>160</v>
      </c>
      <c r="C16" s="14" t="s">
        <v>154</v>
      </c>
      <c r="D16" s="506">
        <v>5602000000</v>
      </c>
      <c r="E16" s="506">
        <v>4400000000</v>
      </c>
      <c r="F16" s="506">
        <v>5449000000</v>
      </c>
      <c r="G16" s="500">
        <v>6169000000</v>
      </c>
      <c r="H16" s="29" t="s">
        <v>161</v>
      </c>
    </row>
    <row r="17" spans="2:8" ht="12" customHeight="1">
      <c r="B17" s="507"/>
      <c r="C17" s="502" t="s">
        <v>114</v>
      </c>
      <c r="D17" s="508">
        <f>SUM(D16:D16)</f>
        <v>5602000000</v>
      </c>
      <c r="E17" s="508">
        <f>SUM(E16:E16)</f>
        <v>4400000000</v>
      </c>
      <c r="F17" s="508">
        <f>SUM(F16:F16)</f>
        <v>5449000000</v>
      </c>
      <c r="G17" s="509">
        <f>SUM(G16:G16)</f>
        <v>6169000000</v>
      </c>
    </row>
    <row r="18" spans="2:8" ht="12" customHeight="1">
      <c r="B18" s="505" t="s">
        <v>162</v>
      </c>
      <c r="C18" s="14" t="s">
        <v>154</v>
      </c>
      <c r="D18" s="506">
        <f>SUM(D8,D10,D13,D16)</f>
        <v>65496000000</v>
      </c>
      <c r="E18" s="506">
        <f>SUM(E8,E10,E13,E16)</f>
        <v>64272000000</v>
      </c>
      <c r="F18" s="506">
        <f>SUM(F8,F10,F13,F16)</f>
        <v>81582000000</v>
      </c>
      <c r="G18" s="500">
        <f>SUM(G8,G10,G13,G16)</f>
        <v>79656000000</v>
      </c>
    </row>
    <row r="19" spans="2:8" ht="12" customHeight="1">
      <c r="B19" s="510"/>
      <c r="C19" s="29" t="s">
        <v>111</v>
      </c>
      <c r="D19" s="17">
        <f>D11+D14</f>
        <v>17488000000</v>
      </c>
      <c r="E19" s="17">
        <f t="shared" ref="E19:G19" si="2">E11+E14</f>
        <v>19984000000</v>
      </c>
      <c r="F19" s="17">
        <f t="shared" si="2"/>
        <v>14958000000</v>
      </c>
      <c r="G19" s="18">
        <f t="shared" si="2"/>
        <v>14296000000</v>
      </c>
    </row>
    <row r="20" spans="2:8" ht="12" customHeight="1" thickBot="1">
      <c r="B20" s="511"/>
      <c r="C20" s="512" t="s">
        <v>163</v>
      </c>
      <c r="D20" s="513">
        <f>SUM(D9,D12,D15,D17)</f>
        <v>82984000000</v>
      </c>
      <c r="E20" s="513">
        <f>SUM(E9,E12,E15,E17)</f>
        <v>84256000000</v>
      </c>
      <c r="F20" s="513">
        <f>SUM(F9,F12,F15,F17)</f>
        <v>96540000000</v>
      </c>
      <c r="G20" s="514">
        <f>SUM(G9,G12,G15,G17)</f>
        <v>93952000000</v>
      </c>
      <c r="H20" s="29" t="s">
        <v>164</v>
      </c>
    </row>
    <row r="21" spans="2:8" ht="12" customHeight="1">
      <c r="B21" s="515" t="s">
        <v>165</v>
      </c>
    </row>
    <row r="22" spans="2:8" ht="12" customHeight="1">
      <c r="D22" s="37">
        <f>D18-'[10]FS (2)'!C66</f>
        <v>254954416</v>
      </c>
      <c r="E22" s="37">
        <f>E18-'[10]FS (2)'!D66</f>
        <v>1009894828</v>
      </c>
      <c r="F22" s="37">
        <f>F18-'[10]FS (2)'!E66</f>
        <v>495041289</v>
      </c>
      <c r="G22" s="37">
        <f>G18-'[10]FS (2)'!$G$66</f>
        <v>1632645670</v>
      </c>
    </row>
    <row r="25" spans="2:8" ht="19.5" customHeight="1">
      <c r="B25" s="493" t="s">
        <v>104</v>
      </c>
      <c r="C25" s="494"/>
      <c r="D25" s="494"/>
      <c r="E25" s="494"/>
      <c r="F25" s="494"/>
      <c r="G25" s="495"/>
    </row>
    <row r="26" spans="2:8" ht="12" customHeight="1">
      <c r="B26" s="496" t="s">
        <v>105</v>
      </c>
      <c r="C26" s="497"/>
      <c r="D26" s="498" t="s">
        <v>106</v>
      </c>
      <c r="E26" s="498" t="s">
        <v>59</v>
      </c>
      <c r="F26" s="498" t="s">
        <v>60</v>
      </c>
      <c r="G26" s="499" t="s">
        <v>107</v>
      </c>
    </row>
    <row r="27" spans="2:8" ht="12" customHeight="1">
      <c r="B27" s="501"/>
      <c r="C27" s="502"/>
      <c r="D27" s="503" t="s">
        <v>108</v>
      </c>
      <c r="E27" s="503" t="s">
        <v>109</v>
      </c>
      <c r="F27" s="503" t="s">
        <v>109</v>
      </c>
      <c r="G27" s="504" t="s">
        <v>110</v>
      </c>
    </row>
    <row r="28" spans="2:8" ht="12" customHeight="1">
      <c r="B28" s="505" t="s">
        <v>154</v>
      </c>
      <c r="C28" s="14" t="s">
        <v>153</v>
      </c>
      <c r="D28" s="506">
        <f>D8</f>
        <v>16330000000</v>
      </c>
      <c r="E28" s="506">
        <f>E8</f>
        <v>43185000000</v>
      </c>
      <c r="F28" s="506">
        <f>F8</f>
        <v>53845000000</v>
      </c>
      <c r="G28" s="500">
        <f>G8</f>
        <v>56101000000</v>
      </c>
    </row>
    <row r="29" spans="2:8" ht="12" customHeight="1">
      <c r="B29" s="510"/>
      <c r="C29" s="29" t="s">
        <v>112</v>
      </c>
      <c r="D29" s="17">
        <f>D10</f>
        <v>33388000000</v>
      </c>
      <c r="E29" s="17">
        <f t="shared" ref="E29:G29" si="3">E10</f>
        <v>7242000000</v>
      </c>
      <c r="F29" s="17">
        <f t="shared" si="3"/>
        <v>10784000000</v>
      </c>
      <c r="G29" s="18">
        <f t="shared" si="3"/>
        <v>8857000000</v>
      </c>
    </row>
    <row r="30" spans="2:8" ht="12" customHeight="1">
      <c r="B30" s="510"/>
      <c r="C30" s="29" t="s">
        <v>113</v>
      </c>
      <c r="D30" s="17">
        <f>D13</f>
        <v>10176000000</v>
      </c>
      <c r="E30" s="17">
        <f t="shared" ref="E30:G30" si="4">E13</f>
        <v>9445000000</v>
      </c>
      <c r="F30" s="17">
        <f t="shared" si="4"/>
        <v>11504000000</v>
      </c>
      <c r="G30" s="18">
        <f t="shared" si="4"/>
        <v>8529000000</v>
      </c>
    </row>
    <row r="31" spans="2:8" ht="12" customHeight="1">
      <c r="B31" s="510"/>
      <c r="C31" s="29" t="s">
        <v>160</v>
      </c>
      <c r="D31" s="17">
        <f>D16</f>
        <v>5602000000</v>
      </c>
      <c r="E31" s="17">
        <f t="shared" ref="E31:G31" si="5">E16</f>
        <v>4400000000</v>
      </c>
      <c r="F31" s="17">
        <f t="shared" si="5"/>
        <v>5449000000</v>
      </c>
      <c r="G31" s="18">
        <f t="shared" si="5"/>
        <v>6169000000</v>
      </c>
    </row>
    <row r="32" spans="2:8" ht="12" customHeight="1">
      <c r="B32" s="510"/>
      <c r="C32" s="516" t="s">
        <v>114</v>
      </c>
      <c r="D32" s="27">
        <f>SUM(D28:D31)</f>
        <v>65496000000</v>
      </c>
      <c r="E32" s="27">
        <f>SUM(E28:E31)</f>
        <v>64272000000</v>
      </c>
      <c r="F32" s="27">
        <f>SUM(F28:F31)</f>
        <v>81582000000</v>
      </c>
      <c r="G32" s="28">
        <f>SUM(G28:G31)</f>
        <v>79656000000</v>
      </c>
    </row>
    <row r="33" spans="2:7" ht="12" customHeight="1">
      <c r="B33" s="505" t="s">
        <v>111</v>
      </c>
      <c r="C33" s="29" t="s">
        <v>112</v>
      </c>
      <c r="D33" s="17">
        <f>D11</f>
        <v>7702000000</v>
      </c>
      <c r="E33" s="17">
        <f t="shared" ref="E33:G33" si="6">E11</f>
        <v>7831000000</v>
      </c>
      <c r="F33" s="17">
        <f t="shared" si="6"/>
        <v>13445000000</v>
      </c>
      <c r="G33" s="18">
        <f t="shared" si="6"/>
        <v>12727000000</v>
      </c>
    </row>
    <row r="34" spans="2:7" ht="12" customHeight="1">
      <c r="B34" s="510"/>
      <c r="C34" s="29" t="s">
        <v>113</v>
      </c>
      <c r="D34" s="17">
        <f>D14</f>
        <v>9786000000</v>
      </c>
      <c r="E34" s="17">
        <f t="shared" ref="E34:G34" si="7">E14</f>
        <v>12153000000</v>
      </c>
      <c r="F34" s="17">
        <f t="shared" si="7"/>
        <v>1513000000</v>
      </c>
      <c r="G34" s="18">
        <f t="shared" si="7"/>
        <v>1569000000</v>
      </c>
    </row>
    <row r="35" spans="2:7" ht="12" customHeight="1">
      <c r="B35" s="510"/>
      <c r="C35" s="516" t="s">
        <v>114</v>
      </c>
      <c r="D35" s="27">
        <f>SUM(D33:D34)</f>
        <v>17488000000</v>
      </c>
      <c r="E35" s="27">
        <f t="shared" ref="E35:G35" si="8">SUM(E33:E34)</f>
        <v>19984000000</v>
      </c>
      <c r="F35" s="27">
        <f t="shared" si="8"/>
        <v>14958000000</v>
      </c>
      <c r="G35" s="28">
        <f t="shared" si="8"/>
        <v>14296000000</v>
      </c>
    </row>
    <row r="36" spans="2:7" ht="12" customHeight="1" thickBot="1">
      <c r="B36" s="517"/>
      <c r="C36" s="512" t="s">
        <v>115</v>
      </c>
      <c r="D36" s="513">
        <f>D32+D35</f>
        <v>82984000000</v>
      </c>
      <c r="E36" s="513">
        <f>E32+E35</f>
        <v>84256000000</v>
      </c>
      <c r="F36" s="513">
        <f>F32+F35</f>
        <v>96540000000</v>
      </c>
      <c r="G36" s="514">
        <f>G32+G35</f>
        <v>93952000000</v>
      </c>
    </row>
    <row r="37" spans="2:7" ht="12" customHeight="1">
      <c r="D37" s="29" t="b">
        <f>D20=D36</f>
        <v>1</v>
      </c>
      <c r="E37" s="29" t="b">
        <f>E20=E36</f>
        <v>1</v>
      </c>
      <c r="F37" s="29" t="b">
        <f>F20=F36</f>
        <v>1</v>
      </c>
      <c r="G37" s="29" t="b">
        <f>G20=G36</f>
        <v>1</v>
      </c>
    </row>
    <row r="38" spans="2:7" ht="12" customHeight="1">
      <c r="C38" s="518" t="s">
        <v>166</v>
      </c>
      <c r="D38" s="519">
        <v>0.22734223578472929</v>
      </c>
      <c r="E38" s="519">
        <v>0.25679600522036194</v>
      </c>
      <c r="F38" s="519">
        <v>0.23088554943497047</v>
      </c>
      <c r="G38" s="520">
        <v>0.43019200071861358</v>
      </c>
    </row>
    <row r="39" spans="2:7" ht="12" customHeight="1">
      <c r="C39" s="521" t="s">
        <v>167</v>
      </c>
      <c r="D39" s="406">
        <v>0.20240879034781134</v>
      </c>
      <c r="E39" s="406">
        <v>0.22818068032919986</v>
      </c>
      <c r="F39" s="406">
        <v>0.11083298435417968</v>
      </c>
      <c r="G39" s="407">
        <v>0.10693506988477799</v>
      </c>
    </row>
    <row r="59" spans="2:8" ht="19.5" customHeight="1">
      <c r="B59" s="522" t="s">
        <v>168</v>
      </c>
      <c r="C59" s="523"/>
      <c r="D59" s="523"/>
      <c r="E59" s="523"/>
      <c r="F59" s="523"/>
      <c r="G59" s="523"/>
      <c r="H59" s="524"/>
    </row>
    <row r="60" spans="2:8" ht="12" customHeight="1">
      <c r="B60" s="496"/>
      <c r="C60" s="839" t="s">
        <v>169</v>
      </c>
      <c r="D60" s="839"/>
      <c r="E60" s="839"/>
      <c r="F60" s="840" t="s">
        <v>107</v>
      </c>
      <c r="G60" s="839"/>
      <c r="H60" s="841"/>
    </row>
    <row r="61" spans="2:8" ht="12" customHeight="1">
      <c r="B61" s="501" t="s">
        <v>105</v>
      </c>
      <c r="C61" s="503" t="s">
        <v>170</v>
      </c>
      <c r="D61" s="503" t="s">
        <v>171</v>
      </c>
      <c r="E61" s="503" t="s">
        <v>172</v>
      </c>
      <c r="F61" s="525" t="s">
        <v>173</v>
      </c>
      <c r="G61" s="503" t="s">
        <v>174</v>
      </c>
      <c r="H61" s="504" t="s">
        <v>175</v>
      </c>
    </row>
    <row r="62" spans="2:8" ht="12" customHeight="1">
      <c r="B62" s="505" t="s">
        <v>153</v>
      </c>
      <c r="C62" s="506">
        <v>29845000000</v>
      </c>
      <c r="D62" s="506">
        <v>53846000000</v>
      </c>
      <c r="E62" s="526">
        <f>D62/C62</f>
        <v>1.804188306248953</v>
      </c>
      <c r="F62" s="527">
        <v>66951000000</v>
      </c>
      <c r="G62" s="506">
        <v>56101000000</v>
      </c>
      <c r="H62" s="528">
        <f>G62/F62</f>
        <v>0.83794118086361669</v>
      </c>
    </row>
    <row r="63" spans="2:8" ht="12" customHeight="1">
      <c r="B63" s="510" t="s">
        <v>112</v>
      </c>
      <c r="C63" s="17">
        <v>29148000000</v>
      </c>
      <c r="D63" s="17">
        <v>24229000000</v>
      </c>
      <c r="E63" s="529">
        <f t="shared" ref="E63:E66" si="9">D63/C63</f>
        <v>0.83124056539042135</v>
      </c>
      <c r="F63" s="530">
        <v>27807000000</v>
      </c>
      <c r="G63" s="17">
        <v>21584000000</v>
      </c>
      <c r="H63" s="531">
        <f t="shared" ref="H63:H66" si="10">G63/F63</f>
        <v>0.77620742978386736</v>
      </c>
    </row>
    <row r="64" spans="2:8" ht="12" customHeight="1">
      <c r="B64" s="510" t="s">
        <v>113</v>
      </c>
      <c r="C64" s="17">
        <v>25049000000</v>
      </c>
      <c r="D64" s="17">
        <v>13017000000</v>
      </c>
      <c r="E64" s="529">
        <f t="shared" si="9"/>
        <v>0.51966146353147835</v>
      </c>
      <c r="F64" s="530">
        <v>11970000000</v>
      </c>
      <c r="G64" s="17">
        <v>10098000000</v>
      </c>
      <c r="H64" s="531">
        <f t="shared" si="10"/>
        <v>0.84360902255639103</v>
      </c>
    </row>
    <row r="65" spans="2:8" ht="12" customHeight="1">
      <c r="B65" s="510" t="s">
        <v>160</v>
      </c>
      <c r="C65" s="17">
        <v>9996000000</v>
      </c>
      <c r="D65" s="17">
        <v>5448000000</v>
      </c>
      <c r="E65" s="529">
        <f t="shared" si="9"/>
        <v>0.54501800720288118</v>
      </c>
      <c r="F65" s="530">
        <v>8800000000</v>
      </c>
      <c r="G65" s="17">
        <v>6169000000</v>
      </c>
      <c r="H65" s="531">
        <f t="shared" si="10"/>
        <v>0.7010227272727273</v>
      </c>
    </row>
    <row r="66" spans="2:8" ht="12" customHeight="1" thickBot="1">
      <c r="B66" s="532" t="s">
        <v>163</v>
      </c>
      <c r="C66" s="43">
        <f t="shared" ref="C66:D66" si="11">SUM(C62:C65)</f>
        <v>94038000000</v>
      </c>
      <c r="D66" s="43">
        <f t="shared" si="11"/>
        <v>96540000000</v>
      </c>
      <c r="E66" s="533">
        <f t="shared" si="9"/>
        <v>1.0266062655522237</v>
      </c>
      <c r="F66" s="534">
        <f>SUM(F62:F65)</f>
        <v>115528000000</v>
      </c>
      <c r="G66" s="43">
        <f>SUM(G62:G65)</f>
        <v>93952000000</v>
      </c>
      <c r="H66" s="535">
        <f t="shared" si="10"/>
        <v>0.81324008032684714</v>
      </c>
    </row>
  </sheetData>
  <mergeCells count="2">
    <mergeCell ref="C60:E60"/>
    <mergeCell ref="F60:H60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99"/>
  </sheetPr>
  <dimension ref="B1:N38"/>
  <sheetViews>
    <sheetView showGridLines="0" topLeftCell="A19" zoomScaleNormal="100" workbookViewId="0">
      <selection activeCell="J30" sqref="J30"/>
    </sheetView>
  </sheetViews>
  <sheetFormatPr defaultColWidth="9" defaultRowHeight="12" customHeight="1" outlineLevelCol="1"/>
  <cols>
    <col min="1" max="1" width="2.58203125" style="5" customWidth="1"/>
    <col min="2" max="2" width="12.58203125" style="5" customWidth="1"/>
    <col min="3" max="5" width="8.58203125" style="5" customWidth="1"/>
    <col min="6" max="6" width="8.58203125" style="5" customWidth="1" outlineLevel="1"/>
    <col min="7" max="8" width="8.58203125" style="5" customWidth="1"/>
    <col min="9" max="9" width="12.58203125" style="5" customWidth="1"/>
    <col min="10" max="16" width="8.58203125" style="5" customWidth="1"/>
    <col min="17" max="16384" width="9" style="5"/>
  </cols>
  <sheetData>
    <row r="1" spans="2:14" ht="19.5" customHeight="1">
      <c r="B1" s="170" t="s">
        <v>176</v>
      </c>
      <c r="C1" s="169"/>
      <c r="D1" s="169"/>
      <c r="E1" s="169"/>
      <c r="F1" s="169"/>
      <c r="G1" s="168"/>
      <c r="I1" s="170" t="s">
        <v>177</v>
      </c>
      <c r="J1" s="169"/>
      <c r="K1" s="169"/>
      <c r="L1" s="169"/>
      <c r="M1" s="168"/>
    </row>
    <row r="2" spans="2:14" ht="12" customHeight="1">
      <c r="B2" s="150"/>
      <c r="C2" s="166" t="s">
        <v>96</v>
      </c>
      <c r="D2" s="166" t="s">
        <v>97</v>
      </c>
      <c r="E2" s="166" t="s">
        <v>98</v>
      </c>
      <c r="F2" s="167" t="s">
        <v>117</v>
      </c>
      <c r="G2" s="165" t="s">
        <v>117</v>
      </c>
      <c r="I2" s="150"/>
      <c r="J2" s="166" t="s">
        <v>96</v>
      </c>
      <c r="K2" s="166" t="s">
        <v>97</v>
      </c>
      <c r="L2" s="166" t="s">
        <v>98</v>
      </c>
      <c r="M2" s="165" t="s">
        <v>117</v>
      </c>
    </row>
    <row r="3" spans="2:14" ht="12" customHeight="1">
      <c r="B3" s="105" t="s">
        <v>119</v>
      </c>
      <c r="C3" s="163" t="s">
        <v>120</v>
      </c>
      <c r="D3" s="163" t="s">
        <v>120</v>
      </c>
      <c r="E3" s="163" t="s">
        <v>120</v>
      </c>
      <c r="F3" s="164" t="s">
        <v>178</v>
      </c>
      <c r="G3" s="162" t="s">
        <v>121</v>
      </c>
      <c r="I3" s="105" t="s">
        <v>119</v>
      </c>
      <c r="J3" s="163" t="s">
        <v>120</v>
      </c>
      <c r="K3" s="163" t="s">
        <v>120</v>
      </c>
      <c r="L3" s="163" t="s">
        <v>120</v>
      </c>
      <c r="M3" s="162" t="s">
        <v>121</v>
      </c>
    </row>
    <row r="4" spans="2:14" ht="12" customHeight="1">
      <c r="B4" s="157" t="s">
        <v>179</v>
      </c>
      <c r="C4" s="156">
        <v>82984043707</v>
      </c>
      <c r="D4" s="156">
        <v>84255969467</v>
      </c>
      <c r="E4" s="156">
        <v>96540028908</v>
      </c>
      <c r="F4" s="155">
        <v>48218557257</v>
      </c>
      <c r="G4" s="154">
        <v>93951670844</v>
      </c>
      <c r="I4" s="161" t="s">
        <v>180</v>
      </c>
      <c r="J4" s="160">
        <v>16751913767</v>
      </c>
      <c r="K4" s="160">
        <v>42471974602</v>
      </c>
      <c r="L4" s="160">
        <v>52583599705</v>
      </c>
      <c r="M4" s="159">
        <v>55608043985</v>
      </c>
      <c r="N4" s="151" t="s">
        <v>181</v>
      </c>
    </row>
    <row r="5" spans="2:14" ht="12" customHeight="1">
      <c r="B5" s="84" t="s">
        <v>123</v>
      </c>
      <c r="C5" s="37">
        <v>65241045584</v>
      </c>
      <c r="D5" s="37">
        <v>63262105172</v>
      </c>
      <c r="E5" s="37">
        <v>81086958711</v>
      </c>
      <c r="F5" s="141">
        <v>38080592041</v>
      </c>
      <c r="G5" s="140">
        <v>78023354330</v>
      </c>
      <c r="I5" s="84" t="s">
        <v>182</v>
      </c>
      <c r="J5" s="37">
        <v>0</v>
      </c>
      <c r="K5" s="126">
        <v>3367084800</v>
      </c>
      <c r="L5" s="126">
        <v>10083391970</v>
      </c>
      <c r="M5" s="153">
        <v>7823384695</v>
      </c>
      <c r="N5" s="158" t="s">
        <v>183</v>
      </c>
    </row>
    <row r="6" spans="2:14" ht="12" customHeight="1">
      <c r="B6" s="84" t="s">
        <v>126</v>
      </c>
      <c r="C6" s="37">
        <v>17487991613</v>
      </c>
      <c r="D6" s="37">
        <v>19993094965</v>
      </c>
      <c r="E6" s="37">
        <v>14957892027</v>
      </c>
      <c r="F6" s="141">
        <v>9866583016</v>
      </c>
      <c r="G6" s="140">
        <v>14951300913</v>
      </c>
      <c r="I6" s="84" t="s">
        <v>184</v>
      </c>
      <c r="J6" s="37">
        <v>0</v>
      </c>
      <c r="K6" s="126">
        <v>9614270318</v>
      </c>
      <c r="L6" s="126">
        <v>11330592868</v>
      </c>
      <c r="M6" s="153">
        <v>7662972256</v>
      </c>
      <c r="N6" s="158" t="s">
        <v>185</v>
      </c>
    </row>
    <row r="7" spans="2:14" ht="12" customHeight="1">
      <c r="B7" s="84" t="s">
        <v>186</v>
      </c>
      <c r="C7" s="37">
        <v>255006510</v>
      </c>
      <c r="D7" s="37">
        <v>1000769330</v>
      </c>
      <c r="E7" s="37">
        <v>495178170</v>
      </c>
      <c r="F7" s="141">
        <v>271382200</v>
      </c>
      <c r="G7" s="140">
        <v>977015601</v>
      </c>
      <c r="I7" s="152" t="s">
        <v>187</v>
      </c>
      <c r="J7" s="126">
        <v>13548314530</v>
      </c>
      <c r="K7" s="37">
        <v>0</v>
      </c>
      <c r="L7" s="126">
        <v>3596672500</v>
      </c>
      <c r="M7" s="153">
        <v>6662330026</v>
      </c>
      <c r="N7" s="151" t="s">
        <v>188</v>
      </c>
    </row>
    <row r="8" spans="2:14" ht="12" customHeight="1">
      <c r="B8" s="157" t="s">
        <v>189</v>
      </c>
      <c r="C8" s="156">
        <v>64357268801</v>
      </c>
      <c r="D8" s="156">
        <v>62447706236</v>
      </c>
      <c r="E8" s="156">
        <v>75665215911</v>
      </c>
      <c r="F8" s="155">
        <v>33096040762</v>
      </c>
      <c r="G8" s="154">
        <v>57810813933</v>
      </c>
      <c r="I8" s="152" t="s">
        <v>190</v>
      </c>
      <c r="J8" s="126">
        <v>4736407655</v>
      </c>
      <c r="K8" s="126">
        <v>4582642662</v>
      </c>
      <c r="L8" s="126">
        <v>4288449781</v>
      </c>
      <c r="M8" s="153">
        <v>4095519926</v>
      </c>
      <c r="N8" s="151" t="s">
        <v>191</v>
      </c>
    </row>
    <row r="9" spans="2:14" ht="12" customHeight="1">
      <c r="B9" s="84" t="s">
        <v>123</v>
      </c>
      <c r="C9" s="37">
        <v>50409000416</v>
      </c>
      <c r="D9" s="37">
        <v>47016649282</v>
      </c>
      <c r="E9" s="37">
        <v>62365151697</v>
      </c>
      <c r="F9" s="141">
        <v>24649270019</v>
      </c>
      <c r="G9" s="140">
        <v>44458331428</v>
      </c>
      <c r="I9" s="152" t="s">
        <v>192</v>
      </c>
      <c r="J9" s="126">
        <v>24342824967</v>
      </c>
      <c r="K9" s="126">
        <v>10017663535</v>
      </c>
      <c r="L9" s="37">
        <v>0</v>
      </c>
      <c r="M9" s="140">
        <v>0</v>
      </c>
      <c r="N9" s="151" t="s">
        <v>193</v>
      </c>
    </row>
    <row r="10" spans="2:14" ht="12" customHeight="1">
      <c r="B10" s="84" t="s">
        <v>126</v>
      </c>
      <c r="C10" s="37">
        <v>13948268385</v>
      </c>
      <c r="D10" s="37">
        <v>15431056954</v>
      </c>
      <c r="E10" s="37">
        <v>13300064214</v>
      </c>
      <c r="F10" s="141">
        <v>8446770743</v>
      </c>
      <c r="G10" s="140">
        <v>13352482505</v>
      </c>
      <c r="I10" s="152" t="s">
        <v>194</v>
      </c>
      <c r="J10" s="126">
        <v>9726102910</v>
      </c>
      <c r="K10" s="37">
        <v>0</v>
      </c>
      <c r="L10" s="37">
        <v>0</v>
      </c>
      <c r="M10" s="140">
        <v>0</v>
      </c>
      <c r="N10" s="151" t="s">
        <v>195</v>
      </c>
    </row>
    <row r="11" spans="2:14" ht="12" customHeight="1">
      <c r="B11" s="150" t="s">
        <v>196</v>
      </c>
      <c r="C11" s="149">
        <v>18626774906</v>
      </c>
      <c r="D11" s="149">
        <v>21808263231</v>
      </c>
      <c r="E11" s="149">
        <v>20874812997</v>
      </c>
      <c r="F11" s="148">
        <v>15122516495</v>
      </c>
      <c r="G11" s="147">
        <v>36140856911</v>
      </c>
      <c r="I11" s="79" t="s">
        <v>197</v>
      </c>
      <c r="J11" s="146">
        <v>13878479878</v>
      </c>
      <c r="K11" s="146">
        <v>14202333550</v>
      </c>
      <c r="L11" s="146">
        <v>14657322084</v>
      </c>
      <c r="M11" s="145">
        <v>12099419956</v>
      </c>
    </row>
    <row r="12" spans="2:14" ht="12" customHeight="1">
      <c r="B12" s="84" t="s">
        <v>123</v>
      </c>
      <c r="C12" s="37">
        <f t="shared" ref="C12:G13" si="0">C5-C9</f>
        <v>14832045168</v>
      </c>
      <c r="D12" s="37">
        <f t="shared" si="0"/>
        <v>16245455890</v>
      </c>
      <c r="E12" s="37">
        <f t="shared" si="0"/>
        <v>18721807014</v>
      </c>
      <c r="F12" s="141">
        <f t="shared" si="0"/>
        <v>13431322022</v>
      </c>
      <c r="G12" s="140">
        <f t="shared" si="0"/>
        <v>33565022902</v>
      </c>
      <c r="I12" s="144" t="s">
        <v>134</v>
      </c>
      <c r="J12" s="143">
        <f>SUM(J4:J11)</f>
        <v>82984043707</v>
      </c>
      <c r="K12" s="143">
        <f>SUM(K4:K11)</f>
        <v>84255969467</v>
      </c>
      <c r="L12" s="143">
        <f>SUM(L4:L11)</f>
        <v>96540028908</v>
      </c>
      <c r="M12" s="142">
        <f>SUM(M4:M11)</f>
        <v>93951670844</v>
      </c>
    </row>
    <row r="13" spans="2:14" ht="12" customHeight="1">
      <c r="B13" s="84" t="s">
        <v>126</v>
      </c>
      <c r="C13" s="37">
        <f t="shared" si="0"/>
        <v>3539723228</v>
      </c>
      <c r="D13" s="37">
        <f t="shared" si="0"/>
        <v>4562038011</v>
      </c>
      <c r="E13" s="37">
        <f t="shared" si="0"/>
        <v>1657827813</v>
      </c>
      <c r="F13" s="141">
        <f t="shared" si="0"/>
        <v>1419812273</v>
      </c>
      <c r="G13" s="140">
        <f t="shared" si="0"/>
        <v>1598818408</v>
      </c>
      <c r="I13" s="139" t="s">
        <v>198</v>
      </c>
      <c r="J13" s="138">
        <f>SUM(J4:J10)/J12</f>
        <v>0.83275724756192737</v>
      </c>
      <c r="K13" s="138">
        <f>SUM(K4:K10)/K12</f>
        <v>0.83143825132102311</v>
      </c>
      <c r="L13" s="138">
        <f>SUM(L4:L10)/L12</f>
        <v>0.84817363067119</v>
      </c>
      <c r="M13" s="137">
        <f>SUM(M4:M10)/M12</f>
        <v>0.87121655370993645</v>
      </c>
    </row>
    <row r="14" spans="2:14" ht="12" customHeight="1" thickBot="1">
      <c r="B14" s="79" t="s">
        <v>186</v>
      </c>
      <c r="C14" s="136">
        <f>C7</f>
        <v>255006510</v>
      </c>
      <c r="D14" s="136">
        <f>D7</f>
        <v>1000769330</v>
      </c>
      <c r="E14" s="136">
        <f>E7</f>
        <v>495178170</v>
      </c>
      <c r="F14" s="135">
        <f>F7</f>
        <v>271382200</v>
      </c>
      <c r="G14" s="134">
        <f>G7</f>
        <v>977015601</v>
      </c>
      <c r="I14" s="133" t="s">
        <v>199</v>
      </c>
      <c r="J14" s="132">
        <v>115</v>
      </c>
      <c r="K14" s="132">
        <v>125</v>
      </c>
      <c r="L14" s="132">
        <v>129</v>
      </c>
      <c r="M14" s="131">
        <v>93</v>
      </c>
    </row>
    <row r="15" spans="2:14" ht="12" customHeight="1">
      <c r="B15" s="130" t="s">
        <v>200</v>
      </c>
      <c r="C15" s="129">
        <f t="shared" ref="C15:G17" si="1">C11/C4</f>
        <v>0.22446212637898683</v>
      </c>
      <c r="D15" s="129">
        <f t="shared" si="1"/>
        <v>0.25883344965298277</v>
      </c>
      <c r="E15" s="129">
        <f t="shared" si="1"/>
        <v>0.21622961203888932</v>
      </c>
      <c r="F15" s="128">
        <f t="shared" si="1"/>
        <v>0.31362440842845063</v>
      </c>
      <c r="G15" s="127">
        <f t="shared" si="1"/>
        <v>0.38467497795764904</v>
      </c>
      <c r="J15" s="126">
        <f>J11/(J14-7)</f>
        <v>128504443.31481482</v>
      </c>
      <c r="K15" s="126">
        <f>K11/(K14-7)</f>
        <v>120358758.89830509</v>
      </c>
      <c r="L15" s="126">
        <f>L11/(L14-7)</f>
        <v>120141984.29508197</v>
      </c>
      <c r="M15" s="126">
        <f>M11/(M14-7)</f>
        <v>140690929.72093022</v>
      </c>
    </row>
    <row r="16" spans="2:14" ht="12" customHeight="1">
      <c r="B16" s="125" t="s">
        <v>201</v>
      </c>
      <c r="C16" s="124">
        <f t="shared" si="1"/>
        <v>0.22734223578472929</v>
      </c>
      <c r="D16" s="124">
        <f t="shared" si="1"/>
        <v>0.25679600522036194</v>
      </c>
      <c r="E16" s="124">
        <f t="shared" si="1"/>
        <v>0.23088554943497047</v>
      </c>
      <c r="F16" s="123">
        <f t="shared" si="1"/>
        <v>0.35270780474050878</v>
      </c>
      <c r="G16" s="122">
        <f t="shared" si="1"/>
        <v>0.43019200071861358</v>
      </c>
    </row>
    <row r="17" spans="2:10" ht="12" customHeight="1" thickBot="1">
      <c r="B17" s="121" t="s">
        <v>202</v>
      </c>
      <c r="C17" s="120">
        <f t="shared" si="1"/>
        <v>0.20240879034781134</v>
      </c>
      <c r="D17" s="120">
        <f t="shared" si="1"/>
        <v>0.22818068032919986</v>
      </c>
      <c r="E17" s="120">
        <f t="shared" si="1"/>
        <v>0.11083298435417968</v>
      </c>
      <c r="F17" s="119">
        <f t="shared" si="1"/>
        <v>0.1439011125429728</v>
      </c>
      <c r="G17" s="118">
        <f t="shared" si="1"/>
        <v>0.10693506988477799</v>
      </c>
    </row>
    <row r="19" spans="2:10" ht="12" customHeight="1">
      <c r="C19" s="5" t="b">
        <f>SUM(C5:C7)=C4</f>
        <v>1</v>
      </c>
      <c r="D19" s="5" t="b">
        <f>SUM(D5:D7)=D4</f>
        <v>1</v>
      </c>
      <c r="E19" s="5" t="b">
        <f>SUM(E5:E7)=E4</f>
        <v>1</v>
      </c>
      <c r="F19" s="5" t="b">
        <f>SUM(F5:F7)=F4</f>
        <v>1</v>
      </c>
      <c r="G19" s="5" t="b">
        <f>SUM(G5:G7)=G4</f>
        <v>1</v>
      </c>
    </row>
    <row r="20" spans="2:10" ht="12" customHeight="1">
      <c r="C20" s="5" t="b">
        <f>SUM(C9:C10)=C8</f>
        <v>1</v>
      </c>
      <c r="D20" s="5" t="b">
        <f>SUM(D9:D10)=D8</f>
        <v>1</v>
      </c>
      <c r="E20" s="5" t="b">
        <f>SUM(E9:E10)=E8</f>
        <v>1</v>
      </c>
      <c r="F20" s="5" t="b">
        <f>SUM(F9:F10)=F8</f>
        <v>1</v>
      </c>
      <c r="G20" s="5" t="b">
        <f>SUM(G9:G10)=G8</f>
        <v>1</v>
      </c>
    </row>
    <row r="21" spans="2:10" ht="12" customHeight="1">
      <c r="C21" s="5" t="b">
        <f>SUM(C12:C14)=C11</f>
        <v>1</v>
      </c>
      <c r="D21" s="5" t="b">
        <f>SUM(D12:D14)=D11</f>
        <v>1</v>
      </c>
      <c r="E21" s="5" t="b">
        <f>SUM(E12:E14)=E11</f>
        <v>1</v>
      </c>
      <c r="F21" s="5" t="b">
        <f>SUM(F12:F14)=F11</f>
        <v>1</v>
      </c>
      <c r="G21" s="5" t="b">
        <f>SUM(G12:G14)=G11</f>
        <v>1</v>
      </c>
    </row>
    <row r="22" spans="2:10" ht="12" customHeight="1">
      <c r="C22" s="5" t="b">
        <f>C11=C4-C8</f>
        <v>1</v>
      </c>
      <c r="D22" s="5" t="b">
        <f>D11=D4-D8</f>
        <v>1</v>
      </c>
      <c r="E22" s="5" t="b">
        <f>E11=E4-E8</f>
        <v>1</v>
      </c>
      <c r="F22" s="5" t="b">
        <f>F11=F4-F8</f>
        <v>1</v>
      </c>
      <c r="G22" s="5" t="b">
        <f>G11=G4-G8</f>
        <v>1</v>
      </c>
    </row>
    <row r="24" spans="2:10" ht="12" customHeight="1">
      <c r="B24" s="117" t="s">
        <v>123</v>
      </c>
      <c r="C24" s="116">
        <f>SUM(C29:C30)</f>
        <v>65241045584</v>
      </c>
      <c r="D24" s="116">
        <f>SUM(D29:D30)</f>
        <v>63262105172</v>
      </c>
      <c r="E24" s="116">
        <f>SUM(E29:E30)</f>
        <v>81086958711</v>
      </c>
      <c r="F24" s="115">
        <f>SUM(F29:F30)</f>
        <v>38080592041</v>
      </c>
      <c r="G24" s="114">
        <f t="shared" ref="G24:J27" si="2">C24/C$27</f>
        <v>0.78618783406546244</v>
      </c>
      <c r="H24" s="113">
        <f t="shared" si="2"/>
        <v>0.75083232170009584</v>
      </c>
      <c r="I24" s="113">
        <f t="shared" si="2"/>
        <v>0.83993095535815143</v>
      </c>
      <c r="J24" s="112">
        <f t="shared" si="2"/>
        <v>0.78974971893153756</v>
      </c>
    </row>
    <row r="25" spans="2:10" ht="12" customHeight="1">
      <c r="B25" s="111" t="s">
        <v>126</v>
      </c>
      <c r="C25" s="110">
        <f>SUM(C31,C33)</f>
        <v>17487991613</v>
      </c>
      <c r="D25" s="110">
        <f>SUM(D31,D33)</f>
        <v>19993094965</v>
      </c>
      <c r="E25" s="110">
        <f>SUM(E31,E33)</f>
        <v>14957892027</v>
      </c>
      <c r="F25" s="109">
        <f>SUM(F31,F33)</f>
        <v>9866583016</v>
      </c>
      <c r="G25" s="108">
        <f t="shared" si="2"/>
        <v>0.21073920758485315</v>
      </c>
      <c r="H25" s="107">
        <f t="shared" si="2"/>
        <v>0.23728995217164486</v>
      </c>
      <c r="I25" s="107">
        <f t="shared" si="2"/>
        <v>0.15493979229335492</v>
      </c>
      <c r="J25" s="106">
        <f t="shared" si="2"/>
        <v>0.20462211184403792</v>
      </c>
    </row>
    <row r="26" spans="2:10" ht="12" customHeight="1">
      <c r="B26" s="111" t="s">
        <v>186</v>
      </c>
      <c r="C26" s="110">
        <f>SUM(C34:C35)</f>
        <v>255006510</v>
      </c>
      <c r="D26" s="110">
        <f>SUM(D34:D35)</f>
        <v>1000769330</v>
      </c>
      <c r="E26" s="110">
        <f>SUM(E34:E35)</f>
        <v>495178170</v>
      </c>
      <c r="F26" s="109">
        <f>SUM(F34:F35)</f>
        <v>271382200</v>
      </c>
      <c r="G26" s="108">
        <f t="shared" si="2"/>
        <v>3.0729583496843897E-3</v>
      </c>
      <c r="H26" s="107">
        <f t="shared" si="2"/>
        <v>1.1877726128259256E-2</v>
      </c>
      <c r="I26" s="107">
        <f t="shared" si="2"/>
        <v>5.1292523484936098E-3</v>
      </c>
      <c r="J26" s="106">
        <f t="shared" si="2"/>
        <v>5.6281692244245412E-3</v>
      </c>
    </row>
    <row r="27" spans="2:10" ht="12" customHeight="1">
      <c r="B27" s="105" t="s">
        <v>203</v>
      </c>
      <c r="C27" s="104">
        <f>SUM(C24,C25,C26)</f>
        <v>82984043707</v>
      </c>
      <c r="D27" s="104">
        <f>SUM(D24,D25,D26)</f>
        <v>84255969467</v>
      </c>
      <c r="E27" s="104">
        <f>SUM(E24,E25,E26)</f>
        <v>96540028908</v>
      </c>
      <c r="F27" s="103">
        <f>SUM(F24,F25,F26)</f>
        <v>48218557257</v>
      </c>
      <c r="G27" s="102">
        <f t="shared" si="2"/>
        <v>1</v>
      </c>
      <c r="H27" s="101">
        <f t="shared" si="2"/>
        <v>1</v>
      </c>
      <c r="I27" s="101">
        <f t="shared" si="2"/>
        <v>1</v>
      </c>
      <c r="J27" s="100">
        <f t="shared" si="2"/>
        <v>1</v>
      </c>
    </row>
    <row r="28" spans="2:10" ht="12" customHeight="1">
      <c r="B28" s="99"/>
      <c r="C28" s="98"/>
      <c r="D28" s="98"/>
      <c r="E28" s="98"/>
      <c r="F28" s="98"/>
      <c r="G28" s="97" t="s">
        <v>96</v>
      </c>
      <c r="H28" s="96" t="s">
        <v>97</v>
      </c>
      <c r="I28" s="96" t="s">
        <v>98</v>
      </c>
      <c r="J28" s="95" t="s">
        <v>204</v>
      </c>
    </row>
    <row r="29" spans="2:10" ht="12" customHeight="1">
      <c r="B29" s="94" t="s">
        <v>205</v>
      </c>
      <c r="C29" s="93">
        <v>14901071103</v>
      </c>
      <c r="D29" s="93">
        <v>10140178471</v>
      </c>
      <c r="E29" s="93">
        <v>16901872652</v>
      </c>
      <c r="F29" s="93">
        <v>6693735313</v>
      </c>
      <c r="G29" s="92">
        <f t="shared" ref="G29:J35" si="3">C29/C$27</f>
        <v>0.17956549762280435</v>
      </c>
      <c r="H29" s="91">
        <f t="shared" si="3"/>
        <v>0.12034967415539073</v>
      </c>
      <c r="I29" s="91">
        <f t="shared" si="3"/>
        <v>0.17507631645839905</v>
      </c>
      <c r="J29" s="90">
        <f t="shared" si="3"/>
        <v>0.13882072989706168</v>
      </c>
    </row>
    <row r="30" spans="2:10" ht="12" customHeight="1">
      <c r="B30" s="84" t="s">
        <v>206</v>
      </c>
      <c r="C30" s="73">
        <v>50339974481</v>
      </c>
      <c r="D30" s="73">
        <v>53121926701</v>
      </c>
      <c r="E30" s="73">
        <v>64185086059</v>
      </c>
      <c r="F30" s="73">
        <v>31386856728</v>
      </c>
      <c r="G30" s="82">
        <f t="shared" si="3"/>
        <v>0.60662233644265806</v>
      </c>
      <c r="H30" s="81">
        <f t="shared" si="3"/>
        <v>0.63048264754470518</v>
      </c>
      <c r="I30" s="81">
        <f t="shared" si="3"/>
        <v>0.66485463889975238</v>
      </c>
      <c r="J30" s="80">
        <f t="shared" si="3"/>
        <v>0.65092898903447582</v>
      </c>
    </row>
    <row r="31" spans="2:10" ht="12" customHeight="1">
      <c r="B31" s="84" t="s">
        <v>207</v>
      </c>
      <c r="C31" s="73">
        <v>17389816908</v>
      </c>
      <c r="D31" s="73">
        <v>19746070600</v>
      </c>
      <c r="E31" s="73">
        <v>14431466993</v>
      </c>
      <c r="F31" s="73">
        <v>9718470033</v>
      </c>
      <c r="G31" s="82">
        <f t="shared" si="3"/>
        <v>0.20955615237791922</v>
      </c>
      <c r="H31" s="81">
        <f t="shared" si="3"/>
        <v>0.23435811996364031</v>
      </c>
      <c r="I31" s="81">
        <f t="shared" si="3"/>
        <v>0.14948687250500817</v>
      </c>
      <c r="J31" s="80">
        <f t="shared" si="3"/>
        <v>0.20155041100051055</v>
      </c>
    </row>
    <row r="32" spans="2:10" ht="12" customHeight="1" thickBot="1">
      <c r="B32" s="89" t="s">
        <v>208</v>
      </c>
      <c r="C32" s="88">
        <f>C33+C34+C35</f>
        <v>353181215</v>
      </c>
      <c r="D32" s="88">
        <f>D33+D34+D35</f>
        <v>1247793695</v>
      </c>
      <c r="E32" s="88">
        <f>E33+E34+E35</f>
        <v>1021603204</v>
      </c>
      <c r="F32" s="88">
        <f>F33+F34+F35</f>
        <v>419495183</v>
      </c>
      <c r="G32" s="87">
        <f t="shared" si="3"/>
        <v>4.2560135566183299E-3</v>
      </c>
      <c r="H32" s="86">
        <f t="shared" si="3"/>
        <v>1.4809558336263823E-2</v>
      </c>
      <c r="I32" s="86">
        <f t="shared" si="3"/>
        <v>1.0582172136840356E-2</v>
      </c>
      <c r="J32" s="85">
        <f t="shared" si="3"/>
        <v>8.6998700679519168E-3</v>
      </c>
    </row>
    <row r="33" spans="2:10" ht="12" customHeight="1">
      <c r="B33" s="84" t="s">
        <v>209</v>
      </c>
      <c r="C33" s="73">
        <v>98174705</v>
      </c>
      <c r="D33" s="73">
        <v>247024365</v>
      </c>
      <c r="E33" s="73">
        <v>526425034</v>
      </c>
      <c r="F33" s="83">
        <v>148112983</v>
      </c>
      <c r="G33" s="82">
        <f t="shared" si="3"/>
        <v>1.1830552069339399E-3</v>
      </c>
      <c r="H33" s="81">
        <f t="shared" si="3"/>
        <v>2.9318322080045672E-3</v>
      </c>
      <c r="I33" s="81">
        <f t="shared" si="3"/>
        <v>5.4529197883467452E-3</v>
      </c>
      <c r="J33" s="80">
        <f t="shared" si="3"/>
        <v>3.0717008435273765E-3</v>
      </c>
    </row>
    <row r="34" spans="2:10" ht="12" customHeight="1">
      <c r="B34" s="84" t="s">
        <v>210</v>
      </c>
      <c r="C34" s="73">
        <v>124169200</v>
      </c>
      <c r="D34" s="73">
        <v>722658330</v>
      </c>
      <c r="E34" s="73">
        <v>356710100</v>
      </c>
      <c r="F34" s="83">
        <v>38000000</v>
      </c>
      <c r="G34" s="82">
        <f t="shared" si="3"/>
        <v>1.4963021136740037E-3</v>
      </c>
      <c r="H34" s="81">
        <f t="shared" si="3"/>
        <v>8.5769392313863168E-3</v>
      </c>
      <c r="I34" s="81">
        <f t="shared" si="3"/>
        <v>3.6949450298998246E-3</v>
      </c>
      <c r="J34" s="80">
        <f t="shared" si="3"/>
        <v>7.8807832838016843E-4</v>
      </c>
    </row>
    <row r="35" spans="2:10" ht="12" customHeight="1">
      <c r="B35" s="79" t="s">
        <v>211</v>
      </c>
      <c r="C35" s="78">
        <v>130837310</v>
      </c>
      <c r="D35" s="78">
        <v>278111000</v>
      </c>
      <c r="E35" s="78">
        <v>138468070</v>
      </c>
      <c r="F35" s="77">
        <v>233382200</v>
      </c>
      <c r="G35" s="76">
        <f t="shared" si="3"/>
        <v>1.5766562360103862E-3</v>
      </c>
      <c r="H35" s="75">
        <f t="shared" si="3"/>
        <v>3.3007868968729388E-3</v>
      </c>
      <c r="I35" s="75">
        <f t="shared" si="3"/>
        <v>1.4343073185937854E-3</v>
      </c>
      <c r="J35" s="74">
        <f t="shared" si="3"/>
        <v>4.8400908960443724E-3</v>
      </c>
    </row>
    <row r="36" spans="2:10" ht="12" customHeight="1">
      <c r="C36" s="5" t="b">
        <f>C27=C4</f>
        <v>1</v>
      </c>
      <c r="D36" s="5" t="b">
        <f>D27=D4</f>
        <v>1</v>
      </c>
      <c r="E36" s="5" t="b">
        <f>E27=E4</f>
        <v>1</v>
      </c>
      <c r="F36" s="5" t="b">
        <f>F27=F4</f>
        <v>1</v>
      </c>
    </row>
    <row r="37" spans="2:10" ht="12" customHeight="1">
      <c r="B37" s="5" t="s">
        <v>212</v>
      </c>
      <c r="C37" s="73">
        <f>SUM(C29,C31,C34)</f>
        <v>32415057211</v>
      </c>
      <c r="D37" s="73">
        <f>SUM(D29,D31,D34)</f>
        <v>30608907401</v>
      </c>
      <c r="E37" s="73">
        <f>SUM(E29,E31,E34)</f>
        <v>31690049745</v>
      </c>
      <c r="F37" s="73">
        <f>SUM(F29,F31,F34)</f>
        <v>16450205346</v>
      </c>
      <c r="G37" s="72">
        <f t="shared" ref="G37:J38" si="4">C37/C$27</f>
        <v>0.39061795211439754</v>
      </c>
      <c r="H37" s="71">
        <f t="shared" si="4"/>
        <v>0.36328473335041733</v>
      </c>
      <c r="I37" s="71">
        <f t="shared" si="4"/>
        <v>0.32825813399330706</v>
      </c>
      <c r="J37" s="71">
        <f t="shared" si="4"/>
        <v>0.34115921922595238</v>
      </c>
    </row>
    <row r="38" spans="2:10" ht="12" customHeight="1">
      <c r="B38" s="5" t="s">
        <v>213</v>
      </c>
      <c r="C38" s="73">
        <f>SUM(C30,C33,C35)</f>
        <v>50568986496</v>
      </c>
      <c r="D38" s="73">
        <f>SUM(D30,D33,D35)</f>
        <v>53647062066</v>
      </c>
      <c r="E38" s="73">
        <f>SUM(E30,E33,E35)</f>
        <v>64849979163</v>
      </c>
      <c r="F38" s="73">
        <f>SUM(F30,F33,F35)</f>
        <v>31768351911</v>
      </c>
      <c r="G38" s="72">
        <f t="shared" si="4"/>
        <v>0.60938204788560246</v>
      </c>
      <c r="H38" s="71">
        <f t="shared" si="4"/>
        <v>0.63671526664958267</v>
      </c>
      <c r="I38" s="71">
        <f t="shared" si="4"/>
        <v>0.67174186600669294</v>
      </c>
      <c r="J38" s="71">
        <f t="shared" si="4"/>
        <v>0.65884078077404762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S13"/>
  <sheetViews>
    <sheetView showGridLines="0" topLeftCell="H1" zoomScaleNormal="100" workbookViewId="0">
      <selection activeCell="AA8" sqref="AA8"/>
    </sheetView>
  </sheetViews>
  <sheetFormatPr defaultColWidth="9" defaultRowHeight="11.5"/>
  <cols>
    <col min="1" max="1" width="5.75" style="251" customWidth="1"/>
    <col min="2" max="2" width="5.08203125" style="251" customWidth="1"/>
    <col min="3" max="3" width="7.08203125" style="251" customWidth="1"/>
    <col min="4" max="4" width="4.33203125" style="385" customWidth="1"/>
    <col min="5" max="5" width="5.08203125" style="251" customWidth="1"/>
    <col min="6" max="6" width="7.08203125" style="251" customWidth="1"/>
    <col min="7" max="7" width="4.33203125" style="385" customWidth="1"/>
    <col min="8" max="8" width="5.08203125" style="251" customWidth="1"/>
    <col min="9" max="9" width="7.08203125" style="251" customWidth="1"/>
    <col min="10" max="10" width="4.33203125" style="385" customWidth="1"/>
    <col min="11" max="11" width="5.08203125" style="251" customWidth="1"/>
    <col min="12" max="12" width="7.08203125" style="251" customWidth="1"/>
    <col min="13" max="13" width="4.33203125" style="385" customWidth="1"/>
    <col min="14" max="14" width="9" style="251"/>
    <col min="15" max="15" width="14.83203125" style="251" customWidth="1"/>
    <col min="16" max="19" width="6.08203125" style="251" customWidth="1"/>
    <col min="20" max="16384" width="9" style="251"/>
  </cols>
  <sheetData>
    <row r="3" spans="2:19" ht="19.5" customHeight="1">
      <c r="B3" s="349" t="s">
        <v>214</v>
      </c>
      <c r="C3" s="350"/>
      <c r="D3" s="351"/>
      <c r="E3" s="350"/>
      <c r="F3" s="350"/>
      <c r="G3" s="351"/>
      <c r="H3" s="350"/>
      <c r="I3" s="350"/>
      <c r="J3" s="351"/>
      <c r="K3" s="350"/>
      <c r="L3" s="350"/>
      <c r="M3" s="352" t="s">
        <v>215</v>
      </c>
      <c r="O3" s="349" t="s">
        <v>216</v>
      </c>
      <c r="P3" s="350"/>
      <c r="Q3" s="350"/>
      <c r="R3" s="350"/>
      <c r="S3" s="353"/>
    </row>
    <row r="4" spans="2:19" ht="12" customHeight="1">
      <c r="B4" s="354"/>
      <c r="C4" s="355" t="s">
        <v>217</v>
      </c>
      <c r="D4" s="356"/>
      <c r="E4" s="354"/>
      <c r="F4" s="355" t="s">
        <v>97</v>
      </c>
      <c r="G4" s="356"/>
      <c r="H4" s="354"/>
      <c r="I4" s="355" t="s">
        <v>98</v>
      </c>
      <c r="J4" s="356"/>
      <c r="K4" s="354"/>
      <c r="L4" s="355" t="s">
        <v>99</v>
      </c>
      <c r="M4" s="356"/>
      <c r="O4" s="357"/>
      <c r="P4" s="355" t="s">
        <v>217</v>
      </c>
      <c r="Q4" s="355" t="s">
        <v>97</v>
      </c>
      <c r="R4" s="355" t="s">
        <v>98</v>
      </c>
      <c r="S4" s="358" t="s">
        <v>99</v>
      </c>
    </row>
    <row r="5" spans="2:19" ht="12" customHeight="1">
      <c r="B5" s="359"/>
      <c r="C5" s="360" t="s">
        <v>100</v>
      </c>
      <c r="D5" s="361" t="s">
        <v>218</v>
      </c>
      <c r="E5" s="359"/>
      <c r="F5" s="360" t="s">
        <v>100</v>
      </c>
      <c r="G5" s="361" t="s">
        <v>218</v>
      </c>
      <c r="H5" s="359"/>
      <c r="I5" s="360" t="s">
        <v>100</v>
      </c>
      <c r="J5" s="361" t="s">
        <v>218</v>
      </c>
      <c r="K5" s="359"/>
      <c r="L5" s="360" t="s">
        <v>121</v>
      </c>
      <c r="M5" s="361" t="s">
        <v>218</v>
      </c>
      <c r="O5" s="362" t="s">
        <v>119</v>
      </c>
      <c r="P5" s="360" t="s">
        <v>100</v>
      </c>
      <c r="Q5" s="360" t="s">
        <v>100</v>
      </c>
      <c r="R5" s="360" t="s">
        <v>100</v>
      </c>
      <c r="S5" s="363" t="s">
        <v>121</v>
      </c>
    </row>
    <row r="6" spans="2:19" ht="12" customHeight="1">
      <c r="B6" s="364" t="s">
        <v>219</v>
      </c>
      <c r="C6" s="365">
        <v>24342824967</v>
      </c>
      <c r="D6" s="366">
        <f>C6/C$12</f>
        <v>0.2933434414566447</v>
      </c>
      <c r="E6" s="367" t="s">
        <v>180</v>
      </c>
      <c r="F6" s="365">
        <v>42471974602</v>
      </c>
      <c r="G6" s="366">
        <f>F6/F$12</f>
        <v>0.50408267652340921</v>
      </c>
      <c r="H6" s="367" t="s">
        <v>180</v>
      </c>
      <c r="I6" s="365">
        <v>52583599705</v>
      </c>
      <c r="J6" s="366">
        <f>I6/I$12</f>
        <v>0.5446818309440401</v>
      </c>
      <c r="K6" s="367" t="s">
        <v>180</v>
      </c>
      <c r="L6" s="365">
        <v>55608043985</v>
      </c>
      <c r="M6" s="366">
        <f>L6/L$12</f>
        <v>0.59187924478036336</v>
      </c>
      <c r="O6" s="368" t="s">
        <v>220</v>
      </c>
      <c r="P6" s="369">
        <f>D13</f>
        <v>0.83275724756192737</v>
      </c>
      <c r="Q6" s="370">
        <f>G13</f>
        <v>0.83143825132102323</v>
      </c>
      <c r="R6" s="370">
        <f>J13</f>
        <v>0.84817363067118989</v>
      </c>
      <c r="S6" s="371">
        <f>M13</f>
        <v>0.87121655370993656</v>
      </c>
    </row>
    <row r="7" spans="2:19" ht="12" customHeight="1">
      <c r="B7" s="367" t="s">
        <v>221</v>
      </c>
      <c r="C7" s="365">
        <v>16751913767</v>
      </c>
      <c r="D7" s="366">
        <f t="shared" ref="D7:D12" si="0">C7/C$12</f>
        <v>0.20186909457133284</v>
      </c>
      <c r="E7" s="364" t="s">
        <v>192</v>
      </c>
      <c r="F7" s="365">
        <v>10017663535</v>
      </c>
      <c r="G7" s="366">
        <f t="shared" ref="G7:G12" si="1">F7/F$12</f>
        <v>0.11889559396647326</v>
      </c>
      <c r="H7" s="364" t="s">
        <v>184</v>
      </c>
      <c r="I7" s="365">
        <v>11330592868</v>
      </c>
      <c r="J7" s="366">
        <f t="shared" ref="J7:J12" si="2">I7/I$12</f>
        <v>0.11736678553098161</v>
      </c>
      <c r="K7" s="364" t="s">
        <v>182</v>
      </c>
      <c r="L7" s="365">
        <v>7823384695</v>
      </c>
      <c r="M7" s="366">
        <f t="shared" ref="M7:M12" si="3">L7/L$12</f>
        <v>8.3270309348624227E-2</v>
      </c>
      <c r="O7" s="372" t="s">
        <v>222</v>
      </c>
      <c r="P7" s="373">
        <v>115</v>
      </c>
      <c r="Q7" s="374">
        <v>125</v>
      </c>
      <c r="R7" s="374">
        <v>129</v>
      </c>
      <c r="S7" s="375">
        <v>93</v>
      </c>
    </row>
    <row r="8" spans="2:19" ht="12" customHeight="1" thickBot="1">
      <c r="B8" s="364" t="s">
        <v>223</v>
      </c>
      <c r="C8" s="365">
        <v>13548314530</v>
      </c>
      <c r="D8" s="366">
        <f t="shared" si="0"/>
        <v>0.16326409180343607</v>
      </c>
      <c r="E8" s="364" t="s">
        <v>184</v>
      </c>
      <c r="F8" s="365">
        <v>9614270318</v>
      </c>
      <c r="G8" s="366">
        <f t="shared" si="1"/>
        <v>0.11410788314251799</v>
      </c>
      <c r="H8" s="364" t="s">
        <v>182</v>
      </c>
      <c r="I8" s="365">
        <v>10083391970</v>
      </c>
      <c r="J8" s="366">
        <f t="shared" si="2"/>
        <v>0.10444778279079651</v>
      </c>
      <c r="K8" s="364" t="s">
        <v>184</v>
      </c>
      <c r="L8" s="365">
        <v>7662972256</v>
      </c>
      <c r="M8" s="366">
        <f t="shared" si="3"/>
        <v>8.1562916201073365E-2</v>
      </c>
      <c r="O8" s="376" t="s">
        <v>224</v>
      </c>
      <c r="P8" s="377">
        <f>C11/P10</f>
        <v>126167998.89090909</v>
      </c>
      <c r="Q8" s="377">
        <f>F11/Q10</f>
        <v>118352779.58333333</v>
      </c>
      <c r="R8" s="377">
        <f>I11/R10</f>
        <v>118204210.35483871</v>
      </c>
      <c r="S8" s="378">
        <f>L11/S10</f>
        <v>137493408.59090909</v>
      </c>
    </row>
    <row r="9" spans="2:19" ht="12" customHeight="1">
      <c r="B9" s="364" t="s">
        <v>225</v>
      </c>
      <c r="C9" s="365">
        <v>9726102910</v>
      </c>
      <c r="D9" s="366">
        <f t="shared" si="0"/>
        <v>0.11720449468985769</v>
      </c>
      <c r="E9" s="364" t="s">
        <v>190</v>
      </c>
      <c r="F9" s="365">
        <v>4582642662</v>
      </c>
      <c r="G9" s="366">
        <f t="shared" si="1"/>
        <v>5.4389530985040228E-2</v>
      </c>
      <c r="H9" s="364" t="s">
        <v>190</v>
      </c>
      <c r="I9" s="365">
        <v>4288449781</v>
      </c>
      <c r="J9" s="366">
        <f t="shared" si="2"/>
        <v>4.4421467752892171E-2</v>
      </c>
      <c r="K9" s="364" t="s">
        <v>187</v>
      </c>
      <c r="L9" s="365">
        <v>6662330026</v>
      </c>
      <c r="M9" s="366">
        <f t="shared" si="3"/>
        <v>7.0912310192570396E-2</v>
      </c>
    </row>
    <row r="10" spans="2:19" ht="12" customHeight="1">
      <c r="B10" s="364" t="s">
        <v>226</v>
      </c>
      <c r="C10" s="365">
        <v>4736407655</v>
      </c>
      <c r="D10" s="366">
        <f t="shared" si="0"/>
        <v>5.7076125040656067E-2</v>
      </c>
      <c r="E10" s="364" t="s">
        <v>182</v>
      </c>
      <c r="F10" s="365">
        <v>3367084800</v>
      </c>
      <c r="G10" s="366">
        <f t="shared" si="1"/>
        <v>3.9962566703582524E-2</v>
      </c>
      <c r="H10" s="364" t="s">
        <v>187</v>
      </c>
      <c r="I10" s="365">
        <v>3596672500</v>
      </c>
      <c r="J10" s="366">
        <f t="shared" si="2"/>
        <v>3.7255763652479637E-2</v>
      </c>
      <c r="K10" s="364" t="s">
        <v>190</v>
      </c>
      <c r="L10" s="365">
        <v>4095519926</v>
      </c>
      <c r="M10" s="366">
        <f t="shared" si="3"/>
        <v>4.3591773187305172E-2</v>
      </c>
      <c r="P10" s="251">
        <f>P7-5</f>
        <v>110</v>
      </c>
      <c r="Q10" s="251">
        <f t="shared" ref="Q10:S10" si="4">Q7-5</f>
        <v>120</v>
      </c>
      <c r="R10" s="251">
        <f t="shared" si="4"/>
        <v>124</v>
      </c>
      <c r="S10" s="251">
        <f t="shared" si="4"/>
        <v>88</v>
      </c>
    </row>
    <row r="11" spans="2:19" ht="12" customHeight="1">
      <c r="B11" s="364" t="s">
        <v>227</v>
      </c>
      <c r="C11" s="365">
        <v>13878479878</v>
      </c>
      <c r="D11" s="366">
        <f t="shared" si="0"/>
        <v>0.16724275243807263</v>
      </c>
      <c r="E11" s="364" t="s">
        <v>197</v>
      </c>
      <c r="F11" s="365">
        <v>14202333550</v>
      </c>
      <c r="G11" s="366">
        <f t="shared" si="1"/>
        <v>0.16856174867897683</v>
      </c>
      <c r="H11" s="364" t="s">
        <v>197</v>
      </c>
      <c r="I11" s="365">
        <v>14657322084</v>
      </c>
      <c r="J11" s="366">
        <f t="shared" si="2"/>
        <v>0.15182636932880997</v>
      </c>
      <c r="K11" s="364" t="s">
        <v>197</v>
      </c>
      <c r="L11" s="365">
        <v>12099419956</v>
      </c>
      <c r="M11" s="366">
        <f t="shared" si="3"/>
        <v>0.12878344629006352</v>
      </c>
    </row>
    <row r="12" spans="2:19" ht="12" customHeight="1">
      <c r="B12" s="379" t="s">
        <v>151</v>
      </c>
      <c r="C12" s="380">
        <f>SUM(C6:C11)</f>
        <v>82984043707</v>
      </c>
      <c r="D12" s="381">
        <f t="shared" si="0"/>
        <v>1</v>
      </c>
      <c r="E12" s="379" t="s">
        <v>151</v>
      </c>
      <c r="F12" s="380">
        <f>SUM(F6:F11)</f>
        <v>84255969467</v>
      </c>
      <c r="G12" s="381">
        <f t="shared" si="1"/>
        <v>1</v>
      </c>
      <c r="H12" s="379" t="s">
        <v>151</v>
      </c>
      <c r="I12" s="380">
        <f>SUM(I6:I11)</f>
        <v>96540028908</v>
      </c>
      <c r="J12" s="381">
        <f t="shared" si="2"/>
        <v>1</v>
      </c>
      <c r="K12" s="379" t="s">
        <v>151</v>
      </c>
      <c r="L12" s="380">
        <f>SUM(L6:L11)</f>
        <v>93951670844</v>
      </c>
      <c r="M12" s="381">
        <f t="shared" si="3"/>
        <v>1</v>
      </c>
    </row>
    <row r="13" spans="2:19" ht="12" thickBot="1">
      <c r="B13" s="382" t="s">
        <v>228</v>
      </c>
      <c r="C13" s="383">
        <f>SUM(C6:C10)</f>
        <v>69105563829</v>
      </c>
      <c r="D13" s="384">
        <f t="shared" ref="D13:M13" si="5">SUM(D6:D10)</f>
        <v>0.83275724756192737</v>
      </c>
      <c r="E13" s="382" t="s">
        <v>229</v>
      </c>
      <c r="F13" s="383">
        <f t="shared" si="5"/>
        <v>70053635917</v>
      </c>
      <c r="G13" s="384">
        <f t="shared" si="5"/>
        <v>0.83143825132102323</v>
      </c>
      <c r="H13" s="382" t="s">
        <v>229</v>
      </c>
      <c r="I13" s="383">
        <f t="shared" si="5"/>
        <v>81882706824</v>
      </c>
      <c r="J13" s="384">
        <f t="shared" si="5"/>
        <v>0.84817363067118989</v>
      </c>
      <c r="K13" s="382" t="s">
        <v>229</v>
      </c>
      <c r="L13" s="383">
        <f t="shared" si="5"/>
        <v>81852250888</v>
      </c>
      <c r="M13" s="384">
        <f t="shared" si="5"/>
        <v>0.87121655370993656</v>
      </c>
      <c r="N13" s="251">
        <f>SUM(N6:N10)</f>
        <v>0</v>
      </c>
    </row>
  </sheetData>
  <phoneticPr fontId="3" type="noConversion"/>
  <pageMargins left="0.7" right="0.7" top="0.75" bottom="0.75" header="0.3" footer="0.3"/>
  <ignoredErrors>
    <ignoredError sqref="C13:L13" formulaRange="1"/>
  </ignoredErrors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3:E52"/>
  <sheetViews>
    <sheetView showGridLines="0" topLeftCell="A30" zoomScaleNormal="100" workbookViewId="0">
      <selection activeCell="L42" sqref="L42"/>
    </sheetView>
  </sheetViews>
  <sheetFormatPr defaultColWidth="9" defaultRowHeight="19.5" customHeight="1"/>
  <cols>
    <col min="1" max="1" width="9" style="388"/>
    <col min="2" max="2" width="18.33203125" style="388" customWidth="1"/>
    <col min="3" max="5" width="9.58203125" style="388" customWidth="1"/>
    <col min="6" max="7" width="10.5" style="388" customWidth="1"/>
    <col min="8" max="16384" width="9" style="388"/>
  </cols>
  <sheetData>
    <row r="3" spans="2:5" ht="19.5" customHeight="1">
      <c r="B3" s="386" t="s">
        <v>230</v>
      </c>
      <c r="C3" s="353"/>
      <c r="D3" s="353"/>
      <c r="E3" s="387"/>
    </row>
    <row r="4" spans="2:5" ht="12" customHeight="1">
      <c r="B4" s="389"/>
      <c r="C4" s="390" t="s">
        <v>217</v>
      </c>
      <c r="D4" s="390" t="s">
        <v>231</v>
      </c>
      <c r="E4" s="391" t="s">
        <v>141</v>
      </c>
    </row>
    <row r="5" spans="2:5" ht="12" customHeight="1">
      <c r="B5" s="392" t="s">
        <v>119</v>
      </c>
      <c r="C5" s="393" t="s">
        <v>120</v>
      </c>
      <c r="D5" s="393" t="s">
        <v>100</v>
      </c>
      <c r="E5" s="394" t="s">
        <v>100</v>
      </c>
    </row>
    <row r="6" spans="2:5" ht="12" customHeight="1">
      <c r="B6" s="367" t="s">
        <v>232</v>
      </c>
      <c r="C6" s="395"/>
      <c r="D6" s="395"/>
      <c r="E6" s="396"/>
    </row>
    <row r="7" spans="2:5" ht="12" customHeight="1">
      <c r="B7" s="397" t="s">
        <v>233</v>
      </c>
      <c r="C7" s="398">
        <f>[11]Memo!J128*1000</f>
        <v>24342825000</v>
      </c>
      <c r="D7" s="398">
        <f>[11]Memo!G128*1000</f>
        <v>3608630000</v>
      </c>
      <c r="E7" s="399">
        <f>[11]Memo!D128*1000</f>
        <v>17200000</v>
      </c>
    </row>
    <row r="8" spans="2:5" ht="12" customHeight="1">
      <c r="B8" s="397" t="s">
        <v>234</v>
      </c>
      <c r="C8" s="398">
        <v>0</v>
      </c>
      <c r="D8" s="398">
        <f>[11]Memo!G129*1000</f>
        <v>9266668000</v>
      </c>
      <c r="E8" s="399">
        <f>[11]Memo!D129*1000</f>
        <v>10100742000</v>
      </c>
    </row>
    <row r="9" spans="2:5" ht="12" customHeight="1">
      <c r="B9" s="397" t="s">
        <v>193</v>
      </c>
      <c r="C9" s="398">
        <v>0</v>
      </c>
      <c r="D9" s="398">
        <f>[11]Memo!G130*1000</f>
        <v>519750000</v>
      </c>
      <c r="E9" s="399">
        <f>[11]Memo!D130*1000</f>
        <v>668250000</v>
      </c>
    </row>
    <row r="10" spans="2:5" ht="12" customHeight="1">
      <c r="B10" s="397" t="s">
        <v>235</v>
      </c>
      <c r="C10" s="398">
        <v>0</v>
      </c>
      <c r="D10" s="398">
        <v>0</v>
      </c>
      <c r="E10" s="399">
        <f>[11]Memo!D132*1000</f>
        <v>845100000</v>
      </c>
    </row>
    <row r="11" spans="2:5" ht="12" customHeight="1">
      <c r="B11" s="400" t="s">
        <v>236</v>
      </c>
      <c r="C11" s="401">
        <f>SUM(C7:C10)</f>
        <v>24342825000</v>
      </c>
      <c r="D11" s="401">
        <f>SUM(D7:D10)</f>
        <v>13395048000</v>
      </c>
      <c r="E11" s="402">
        <f>SUM(E7:E10)</f>
        <v>11631292000</v>
      </c>
    </row>
    <row r="12" spans="2:5" ht="12" customHeight="1">
      <c r="B12" s="367" t="s">
        <v>237</v>
      </c>
      <c r="C12" s="403">
        <v>82984043707</v>
      </c>
      <c r="D12" s="403">
        <v>84255969467</v>
      </c>
      <c r="E12" s="404">
        <v>96540028908</v>
      </c>
    </row>
    <row r="13" spans="2:5" ht="12" customHeight="1">
      <c r="B13" s="405" t="s">
        <v>238</v>
      </c>
      <c r="C13" s="406">
        <f>C11/C12</f>
        <v>0.29334344185431149</v>
      </c>
      <c r="D13" s="406">
        <f t="shared" ref="D13:E13" si="0">D11/D12</f>
        <v>0.1589804032252736</v>
      </c>
      <c r="E13" s="407">
        <f t="shared" si="0"/>
        <v>0.12048154668654908</v>
      </c>
    </row>
    <row r="14" spans="2:5" ht="12" customHeight="1">
      <c r="B14" s="379" t="s">
        <v>239</v>
      </c>
      <c r="C14" s="408"/>
      <c r="D14" s="408"/>
      <c r="E14" s="409"/>
    </row>
    <row r="15" spans="2:5" ht="12" customHeight="1">
      <c r="B15" s="397" t="s">
        <v>233</v>
      </c>
      <c r="C15" s="398">
        <f>[11]Memo!K128*1000</f>
        <v>801000000</v>
      </c>
      <c r="D15" s="398">
        <f>[11]Memo!H128*1000</f>
        <v>528799000</v>
      </c>
      <c r="E15" s="399">
        <f>[11]Memo!E128*1000</f>
        <v>267195000</v>
      </c>
    </row>
    <row r="16" spans="2:5" ht="12" customHeight="1">
      <c r="B16" s="397" t="s">
        <v>240</v>
      </c>
      <c r="C16" s="398">
        <f>[11]Memo!L131*1000</f>
        <v>669723000</v>
      </c>
      <c r="D16" s="398">
        <f>[11]Memo!H131*1000</f>
        <v>275301000</v>
      </c>
      <c r="E16" s="399">
        <f>[11]Memo!E131*1000</f>
        <v>324362000</v>
      </c>
    </row>
    <row r="17" spans="2:5" ht="12" customHeight="1">
      <c r="B17" s="397" t="s">
        <v>241</v>
      </c>
      <c r="C17" s="398">
        <f>[11]Memo!L133*1000</f>
        <v>94197000</v>
      </c>
      <c r="D17" s="398">
        <f>[11]Memo!H133*1000</f>
        <v>99747000</v>
      </c>
      <c r="E17" s="399">
        <f>[11]Memo!E133*1000</f>
        <v>117492000</v>
      </c>
    </row>
    <row r="18" spans="2:5" ht="12" customHeight="1">
      <c r="B18" s="397" t="s">
        <v>227</v>
      </c>
      <c r="C18" s="398">
        <f>[11]Memo!L132*1000+[11]Memo!L134*1000</f>
        <v>30502000</v>
      </c>
      <c r="D18" s="398">
        <f>[11]Memo!H132*1000</f>
        <v>1386000</v>
      </c>
      <c r="E18" s="399">
        <f>[11]Memo!E132*1000</f>
        <v>2700000</v>
      </c>
    </row>
    <row r="19" spans="2:5" ht="12" customHeight="1" thickBot="1">
      <c r="B19" s="410" t="s">
        <v>236</v>
      </c>
      <c r="C19" s="411">
        <f>SUM(C15:C18)</f>
        <v>1595422000</v>
      </c>
      <c r="D19" s="411">
        <f>SUM(D15:D18)</f>
        <v>905233000</v>
      </c>
      <c r="E19" s="412">
        <f>SUM(E15:E18)</f>
        <v>711749000</v>
      </c>
    </row>
    <row r="20" spans="2:5" ht="12" customHeight="1"/>
    <row r="21" spans="2:5" ht="12" customHeight="1">
      <c r="B21" s="413"/>
      <c r="C21" s="414"/>
      <c r="D21" s="414"/>
      <c r="E21" s="414"/>
    </row>
    <row r="22" spans="2:5" ht="19.5" customHeight="1">
      <c r="B22" s="415" t="s">
        <v>242</v>
      </c>
      <c r="C22" s="416"/>
      <c r="D22" s="416"/>
      <c r="E22" s="417"/>
    </row>
    <row r="23" spans="2:5" ht="12" customHeight="1">
      <c r="B23" s="418"/>
      <c r="C23" s="419" t="s">
        <v>243</v>
      </c>
      <c r="D23" s="419" t="s">
        <v>244</v>
      </c>
      <c r="E23" s="420" t="s">
        <v>245</v>
      </c>
    </row>
    <row r="24" spans="2:5" ht="12" customHeight="1">
      <c r="B24" s="421" t="s">
        <v>246</v>
      </c>
      <c r="C24" s="422" t="s">
        <v>247</v>
      </c>
      <c r="D24" s="422" t="s">
        <v>248</v>
      </c>
      <c r="E24" s="423" t="s">
        <v>248</v>
      </c>
    </row>
    <row r="25" spans="2:5" ht="12" customHeight="1">
      <c r="B25" s="424" t="s">
        <v>249</v>
      </c>
      <c r="E25" s="425"/>
    </row>
    <row r="26" spans="2:5" ht="12" customHeight="1">
      <c r="B26" s="426" t="s">
        <v>250</v>
      </c>
      <c r="C26" s="398">
        <v>0</v>
      </c>
      <c r="D26" s="398">
        <v>0</v>
      </c>
      <c r="E26" s="399">
        <f>[11]Memo!F134*1000</f>
        <v>19845500000</v>
      </c>
    </row>
    <row r="27" spans="2:5" ht="12" customHeight="1">
      <c r="B27" s="426" t="s">
        <v>251</v>
      </c>
      <c r="C27" s="398">
        <f>[11]Memo!M135*1000</f>
        <v>63962000</v>
      </c>
      <c r="D27" s="398">
        <f>[11]Memo!I135*1000</f>
        <v>56534000</v>
      </c>
      <c r="E27" s="399">
        <f>[11]Memo!F133*1000</f>
        <v>188175000</v>
      </c>
    </row>
    <row r="28" spans="2:5" ht="12" customHeight="1" thickBot="1">
      <c r="B28" s="427" t="s">
        <v>236</v>
      </c>
      <c r="C28" s="411">
        <f>SUM(C26:C27)</f>
        <v>63962000</v>
      </c>
      <c r="D28" s="411">
        <f>SUM(D26:D27)</f>
        <v>56534000</v>
      </c>
      <c r="E28" s="412">
        <f>SUM(E26:E27)</f>
        <v>20033675000</v>
      </c>
    </row>
    <row r="29" spans="2:5" ht="12" customHeight="1">
      <c r="B29" s="413"/>
      <c r="C29" s="414"/>
      <c r="D29" s="414"/>
      <c r="E29" s="414"/>
    </row>
    <row r="30" spans="2:5" ht="12" customHeight="1">
      <c r="B30" s="413"/>
      <c r="C30" s="414"/>
      <c r="D30" s="414"/>
      <c r="E30" s="414"/>
    </row>
    <row r="31" spans="2:5" ht="19.5" customHeight="1">
      <c r="B31" s="415" t="s">
        <v>252</v>
      </c>
      <c r="C31" s="416"/>
      <c r="D31" s="416"/>
      <c r="E31" s="417"/>
    </row>
    <row r="32" spans="2:5" ht="12" customHeight="1">
      <c r="B32" s="418"/>
      <c r="C32" s="419" t="s">
        <v>243</v>
      </c>
      <c r="D32" s="419" t="s">
        <v>244</v>
      </c>
      <c r="E32" s="420" t="s">
        <v>245</v>
      </c>
    </row>
    <row r="33" spans="2:5" ht="12" customHeight="1">
      <c r="B33" s="421" t="s">
        <v>246</v>
      </c>
      <c r="C33" s="422" t="s">
        <v>253</v>
      </c>
      <c r="D33" s="422" t="s">
        <v>253</v>
      </c>
      <c r="E33" s="794" t="s">
        <v>253</v>
      </c>
    </row>
    <row r="34" spans="2:5" ht="12" customHeight="1">
      <c r="B34" s="367" t="s">
        <v>254</v>
      </c>
      <c r="E34" s="428"/>
    </row>
    <row r="35" spans="2:5" ht="12" customHeight="1">
      <c r="B35" s="397" t="s">
        <v>233</v>
      </c>
      <c r="C35" s="414">
        <f>[11]Memo!D173*1000</f>
        <v>1499836000</v>
      </c>
      <c r="D35" s="414">
        <f>[11]Memo!D162*1000</f>
        <v>4730000</v>
      </c>
      <c r="E35" s="429">
        <f>[11]Memo!D150*1000</f>
        <v>9460000</v>
      </c>
    </row>
    <row r="36" spans="2:5" ht="12" customHeight="1">
      <c r="B36" s="397" t="s">
        <v>234</v>
      </c>
      <c r="C36" s="414">
        <v>0</v>
      </c>
      <c r="D36" s="414">
        <f>[11]Memo!D163*1000+[11]Memo!E163*1000</f>
        <v>1342295000</v>
      </c>
      <c r="E36" s="429">
        <f>[11]Memo!D151*1000</f>
        <v>2557482000</v>
      </c>
    </row>
    <row r="37" spans="2:5" ht="12" customHeight="1">
      <c r="B37" s="397" t="s">
        <v>193</v>
      </c>
      <c r="C37" s="414">
        <v>0</v>
      </c>
      <c r="D37" s="414">
        <f>[11]Memo!D164*1000</f>
        <v>81675000</v>
      </c>
      <c r="E37" s="429">
        <f>[11]Memo!D152*1000</f>
        <v>130680000</v>
      </c>
    </row>
    <row r="38" spans="2:5" ht="12" customHeight="1">
      <c r="B38" s="397" t="s">
        <v>235</v>
      </c>
      <c r="C38" s="430">
        <v>0</v>
      </c>
      <c r="D38" s="430">
        <v>0</v>
      </c>
      <c r="E38" s="431">
        <f>[11]Memo!D154*1000</f>
        <v>210870000</v>
      </c>
    </row>
    <row r="39" spans="2:5" ht="12" customHeight="1">
      <c r="B39" s="432" t="s">
        <v>151</v>
      </c>
      <c r="C39" s="433">
        <f>SUM(C35:C38)</f>
        <v>1499836000</v>
      </c>
      <c r="D39" s="433">
        <f>SUM(D35:D38)</f>
        <v>1428700000</v>
      </c>
      <c r="E39" s="434">
        <f>SUM(E35:E38)</f>
        <v>2908492000</v>
      </c>
    </row>
    <row r="40" spans="2:5" ht="12" customHeight="1">
      <c r="B40" s="379" t="s">
        <v>255</v>
      </c>
      <c r="C40" s="435"/>
      <c r="D40" s="435"/>
      <c r="E40" s="436"/>
    </row>
    <row r="41" spans="2:5" ht="12" customHeight="1">
      <c r="B41" s="397" t="s">
        <v>20</v>
      </c>
      <c r="C41" s="414">
        <f>[11]Memo!F173*1999+[11]Memo!H173*1000</f>
        <v>150825470</v>
      </c>
      <c r="D41" s="414">
        <f>[11]Memo!G162*1000</f>
        <v>389831000</v>
      </c>
      <c r="E41" s="429">
        <f>[11]Memo!G150*1000</f>
        <v>261000000</v>
      </c>
    </row>
    <row r="42" spans="2:5" ht="12" customHeight="1">
      <c r="B42" s="397" t="s">
        <v>256</v>
      </c>
      <c r="C42" s="414">
        <f>[11]Memo!G174*1000</f>
        <v>104711000</v>
      </c>
      <c r="D42" s="414">
        <f>[11]Memo!F165*1000</f>
        <v>13509000</v>
      </c>
      <c r="E42" s="429">
        <f>[11]Memo!F153*1000</f>
        <v>41757000</v>
      </c>
    </row>
    <row r="43" spans="2:5" ht="12" customHeight="1">
      <c r="B43" s="397" t="s">
        <v>257</v>
      </c>
      <c r="C43" s="414">
        <v>0</v>
      </c>
      <c r="D43" s="414">
        <v>0</v>
      </c>
      <c r="E43" s="429">
        <v>0</v>
      </c>
    </row>
    <row r="44" spans="2:5" ht="12" customHeight="1">
      <c r="B44" s="397" t="s">
        <v>258</v>
      </c>
      <c r="C44" s="414">
        <f>[11]Memo!G176*1000</f>
        <v>8240000</v>
      </c>
      <c r="D44" s="414">
        <f>[11]Memo!F167*1000</f>
        <v>9144000</v>
      </c>
      <c r="E44" s="429">
        <f>[11]Memo!F155*1000</f>
        <v>12460000</v>
      </c>
    </row>
    <row r="45" spans="2:5" ht="12" customHeight="1">
      <c r="B45" s="397" t="s">
        <v>259</v>
      </c>
      <c r="C45" s="430">
        <v>0</v>
      </c>
      <c r="D45" s="430">
        <v>0</v>
      </c>
      <c r="E45" s="431">
        <f>[11]Memo!F156*1000</f>
        <v>1495890000</v>
      </c>
    </row>
    <row r="46" spans="2:5" ht="12" customHeight="1">
      <c r="B46" s="437" t="s">
        <v>151</v>
      </c>
      <c r="C46" s="438">
        <f>SUM(C41:C45)</f>
        <v>263776470</v>
      </c>
      <c r="D46" s="438">
        <f>SUM(D41:D45)</f>
        <v>412484000</v>
      </c>
      <c r="E46" s="439">
        <f>SUM(E41:E45)</f>
        <v>1811107000</v>
      </c>
    </row>
    <row r="47" spans="2:5" ht="12" customHeight="1">
      <c r="B47" s="379" t="s">
        <v>260</v>
      </c>
      <c r="C47" s="438">
        <f>C48</f>
        <v>0</v>
      </c>
      <c r="D47" s="438">
        <f t="shared" ref="D47:E47" si="1">D48</f>
        <v>0</v>
      </c>
      <c r="E47" s="439">
        <f t="shared" si="1"/>
        <v>3024766000</v>
      </c>
    </row>
    <row r="48" spans="2:5" ht="12" customHeight="1">
      <c r="B48" s="440" t="s">
        <v>234</v>
      </c>
      <c r="C48" s="430">
        <v>0</v>
      </c>
      <c r="D48" s="430">
        <v>0</v>
      </c>
      <c r="E48" s="431">
        <f>[11]Memo!E151*1000</f>
        <v>3024766000</v>
      </c>
    </row>
    <row r="49" spans="2:5" ht="12" customHeight="1">
      <c r="B49" s="367" t="s">
        <v>261</v>
      </c>
      <c r="E49" s="436"/>
    </row>
    <row r="50" spans="2:5" ht="12" customHeight="1">
      <c r="B50" s="397" t="s">
        <v>233</v>
      </c>
      <c r="C50" s="414">
        <f>[11]Memo!I173*1000</f>
        <v>1712000000</v>
      </c>
      <c r="D50" s="414">
        <f>[11]Memo!H162*1000</f>
        <v>1884189000</v>
      </c>
      <c r="E50" s="429">
        <f>[11]Memo!H150*1000</f>
        <v>2029897000</v>
      </c>
    </row>
    <row r="51" spans="2:5" ht="12" customHeight="1">
      <c r="B51" s="397" t="s">
        <v>234</v>
      </c>
      <c r="C51" s="414">
        <v>0</v>
      </c>
      <c r="D51" s="414">
        <f>[11]Memo!H163*1000</f>
        <v>9008750000</v>
      </c>
      <c r="E51" s="429">
        <f>[11]Memo!H151*1000</f>
        <v>9705418000</v>
      </c>
    </row>
    <row r="52" spans="2:5" ht="12" customHeight="1" thickBot="1">
      <c r="B52" s="441" t="s">
        <v>151</v>
      </c>
      <c r="C52" s="442">
        <f>SUM(C50:C51)</f>
        <v>1712000000</v>
      </c>
      <c r="D52" s="442">
        <f>SUM(D50:D51)</f>
        <v>10892939000</v>
      </c>
      <c r="E52" s="443">
        <f>SUM(E50:E51)</f>
        <v>11735315000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99"/>
  </sheetPr>
  <dimension ref="A1:J65"/>
  <sheetViews>
    <sheetView showGridLines="0" workbookViewId="0">
      <selection activeCell="L39" sqref="L39"/>
    </sheetView>
  </sheetViews>
  <sheetFormatPr defaultColWidth="9" defaultRowHeight="12" customHeight="1" outlineLevelRow="1"/>
  <cols>
    <col min="1" max="1" width="16.58203125" style="5" customWidth="1"/>
    <col min="2" max="5" width="7.58203125" style="5" customWidth="1"/>
    <col min="6" max="9" width="5.58203125" style="236" customWidth="1"/>
    <col min="10" max="16384" width="9" style="5"/>
  </cols>
  <sheetData>
    <row r="1" spans="1:9" ht="19.5" customHeight="1">
      <c r="A1" s="170" t="s">
        <v>262</v>
      </c>
      <c r="B1" s="169"/>
      <c r="C1" s="169"/>
      <c r="D1" s="169"/>
      <c r="E1" s="168"/>
      <c r="F1" s="199"/>
      <c r="G1" s="199"/>
      <c r="H1" s="199"/>
      <c r="I1" s="199"/>
    </row>
    <row r="2" spans="1:9" ht="12" customHeight="1">
      <c r="A2" s="150"/>
      <c r="B2" s="166" t="s">
        <v>96</v>
      </c>
      <c r="C2" s="166" t="s">
        <v>97</v>
      </c>
      <c r="D2" s="166" t="s">
        <v>98</v>
      </c>
      <c r="E2" s="165" t="s">
        <v>117</v>
      </c>
      <c r="F2" s="200" t="s">
        <v>96</v>
      </c>
      <c r="G2" s="200" t="s">
        <v>97</v>
      </c>
      <c r="H2" s="200" t="s">
        <v>98</v>
      </c>
      <c r="I2" s="200" t="s">
        <v>117</v>
      </c>
    </row>
    <row r="3" spans="1:9" ht="12" customHeight="1">
      <c r="A3" s="105" t="s">
        <v>119</v>
      </c>
      <c r="B3" s="163" t="s">
        <v>120</v>
      </c>
      <c r="C3" s="163" t="s">
        <v>120</v>
      </c>
      <c r="D3" s="163" t="s">
        <v>120</v>
      </c>
      <c r="E3" s="162" t="s">
        <v>121</v>
      </c>
      <c r="F3" s="201" t="s">
        <v>218</v>
      </c>
      <c r="G3" s="201" t="s">
        <v>218</v>
      </c>
      <c r="H3" s="201" t="s">
        <v>218</v>
      </c>
      <c r="I3" s="201" t="s">
        <v>218</v>
      </c>
    </row>
    <row r="4" spans="1:9" ht="12" customHeight="1">
      <c r="A4" s="202" t="s">
        <v>263</v>
      </c>
      <c r="B4" s="203">
        <f>SUM(B5:B9)</f>
        <v>33844971316</v>
      </c>
      <c r="C4" s="203">
        <f>SUM(C5:C9)</f>
        <v>28067696102</v>
      </c>
      <c r="D4" s="204">
        <f>SUM(D5:D9)</f>
        <v>45568692488</v>
      </c>
      <c r="E4" s="205">
        <f>SUM(E5:E9)</f>
        <v>34616135308</v>
      </c>
      <c r="F4" s="206">
        <f>B4/B$38</f>
        <v>0.5187680702085542</v>
      </c>
      <c r="G4" s="206">
        <f>C4/C$38</f>
        <v>0.44367312826040523</v>
      </c>
      <c r="H4" s="206">
        <f>D4/D$38</f>
        <v>0.56197313615386957</v>
      </c>
      <c r="I4" s="206">
        <f>E4/E$38</f>
        <v>0.44366376715349815</v>
      </c>
    </row>
    <row r="5" spans="1:9" ht="12" customHeight="1" outlineLevel="1">
      <c r="A5" s="207" t="s">
        <v>264</v>
      </c>
      <c r="B5" s="208">
        <v>33524692603</v>
      </c>
      <c r="C5" s="208">
        <v>28732875811</v>
      </c>
      <c r="D5" s="208">
        <v>47818223916</v>
      </c>
      <c r="E5" s="209">
        <v>39752554912</v>
      </c>
      <c r="F5" s="5"/>
      <c r="G5" s="5"/>
      <c r="H5" s="5"/>
      <c r="I5" s="206"/>
    </row>
    <row r="6" spans="1:9" ht="12" customHeight="1" outlineLevel="1">
      <c r="A6" s="207" t="s">
        <v>265</v>
      </c>
      <c r="B6" s="208">
        <v>14296584</v>
      </c>
      <c r="C6" s="208">
        <v>97284955</v>
      </c>
      <c r="D6" s="208">
        <v>198934783</v>
      </c>
      <c r="E6" s="209">
        <v>103424415</v>
      </c>
      <c r="F6" s="5"/>
      <c r="G6" s="5"/>
      <c r="H6" s="5"/>
      <c r="I6" s="206"/>
    </row>
    <row r="7" spans="1:9" ht="12" customHeight="1" outlineLevel="1">
      <c r="A7" s="207" t="s">
        <v>266</v>
      </c>
      <c r="B7" s="208">
        <v>-2334022461</v>
      </c>
      <c r="C7" s="208">
        <v>-623329560</v>
      </c>
      <c r="D7" s="208">
        <v>-1443725101</v>
      </c>
      <c r="E7" s="209">
        <v>-1613291399</v>
      </c>
      <c r="F7" s="5"/>
      <c r="G7" s="5"/>
      <c r="H7" s="5"/>
      <c r="I7" s="5"/>
    </row>
    <row r="8" spans="1:9" ht="12" customHeight="1" outlineLevel="1">
      <c r="A8" s="207" t="s">
        <v>267</v>
      </c>
      <c r="B8" s="208">
        <v>9049664732</v>
      </c>
      <c r="C8" s="208">
        <v>6409660142</v>
      </c>
      <c r="D8" s="208">
        <v>6548795246</v>
      </c>
      <c r="E8" s="209">
        <v>7553536356</v>
      </c>
      <c r="F8" s="5"/>
      <c r="G8" s="5"/>
      <c r="H8" s="5"/>
      <c r="I8" s="206"/>
    </row>
    <row r="9" spans="1:9" ht="12" customHeight="1" outlineLevel="1">
      <c r="A9" s="207" t="s">
        <v>268</v>
      </c>
      <c r="B9" s="208">
        <v>-6409660142</v>
      </c>
      <c r="C9" s="208">
        <v>-6548795246</v>
      </c>
      <c r="D9" s="208">
        <v>-7553536356</v>
      </c>
      <c r="E9" s="209">
        <v>-11180088976</v>
      </c>
      <c r="F9" s="5"/>
      <c r="G9" s="5"/>
      <c r="H9" s="5"/>
      <c r="I9" s="5"/>
    </row>
    <row r="10" spans="1:9" ht="12" customHeight="1">
      <c r="A10" s="210" t="s">
        <v>269</v>
      </c>
      <c r="B10" s="208">
        <v>7448392707</v>
      </c>
      <c r="C10" s="208">
        <v>8746928996</v>
      </c>
      <c r="D10" s="208">
        <v>9584246660</v>
      </c>
      <c r="E10" s="209">
        <v>9396812422</v>
      </c>
      <c r="F10" s="206">
        <f t="shared" ref="F10:I11" si="0">B10/B$38</f>
        <v>0.1141672798209518</v>
      </c>
      <c r="G10" s="206">
        <f t="shared" si="0"/>
        <v>0.13826490554208457</v>
      </c>
      <c r="H10" s="206">
        <f t="shared" si="0"/>
        <v>0.1181971406050506</v>
      </c>
      <c r="I10" s="206">
        <f t="shared" si="0"/>
        <v>0.12043589387680201</v>
      </c>
    </row>
    <row r="11" spans="1:9" ht="12" customHeight="1">
      <c r="A11" s="210" t="s">
        <v>270</v>
      </c>
      <c r="B11" s="208">
        <v>13107564054</v>
      </c>
      <c r="C11" s="208">
        <v>10983573691</v>
      </c>
      <c r="D11" s="208">
        <v>10868649490</v>
      </c>
      <c r="E11" s="209">
        <v>14133568974</v>
      </c>
      <c r="F11" s="206">
        <f t="shared" si="0"/>
        <v>0.2009097790611522</v>
      </c>
      <c r="G11" s="206">
        <f t="shared" si="0"/>
        <v>0.17362011050908505</v>
      </c>
      <c r="H11" s="206">
        <f t="shared" si="0"/>
        <v>0.13403696060098494</v>
      </c>
      <c r="I11" s="206">
        <f t="shared" si="0"/>
        <v>0.18114536468429734</v>
      </c>
    </row>
    <row r="12" spans="1:9" ht="12" customHeight="1">
      <c r="A12" s="207" t="s">
        <v>271</v>
      </c>
      <c r="B12" s="208">
        <v>3162616157</v>
      </c>
      <c r="C12" s="208">
        <v>3564085816</v>
      </c>
      <c r="D12" s="208">
        <v>3743001643</v>
      </c>
      <c r="E12" s="209">
        <v>4097589679</v>
      </c>
      <c r="F12" s="211"/>
      <c r="G12" s="211"/>
      <c r="H12" s="211"/>
      <c r="I12" s="211"/>
    </row>
    <row r="13" spans="1:9" ht="12" customHeight="1">
      <c r="A13" s="207" t="s">
        <v>272</v>
      </c>
      <c r="B13" s="208">
        <v>1449306666</v>
      </c>
      <c r="C13" s="208">
        <v>1565168046</v>
      </c>
      <c r="D13" s="208">
        <v>1638121434</v>
      </c>
      <c r="E13" s="209">
        <v>3603915206</v>
      </c>
      <c r="F13" s="206"/>
      <c r="G13" s="206"/>
      <c r="H13" s="206"/>
      <c r="I13" s="206"/>
    </row>
    <row r="14" spans="1:9" ht="12" customHeight="1">
      <c r="A14" s="207" t="s">
        <v>273</v>
      </c>
      <c r="B14" s="208">
        <v>1065651671</v>
      </c>
      <c r="C14" s="208">
        <v>1160014159</v>
      </c>
      <c r="D14" s="208">
        <v>1235024388</v>
      </c>
      <c r="E14" s="209">
        <v>1488668459</v>
      </c>
      <c r="F14" s="211"/>
      <c r="G14" s="211"/>
      <c r="H14" s="211"/>
      <c r="I14" s="211"/>
    </row>
    <row r="15" spans="1:9" ht="12" customHeight="1">
      <c r="A15" s="207" t="s">
        <v>274</v>
      </c>
      <c r="B15" s="208">
        <v>586522986</v>
      </c>
      <c r="C15" s="208">
        <v>479639429</v>
      </c>
      <c r="D15" s="208">
        <v>595641842</v>
      </c>
      <c r="E15" s="209">
        <v>1002589193</v>
      </c>
      <c r="F15" s="206"/>
      <c r="G15" s="206"/>
      <c r="H15" s="206"/>
      <c r="I15" s="206"/>
    </row>
    <row r="16" spans="1:9" ht="12" customHeight="1">
      <c r="A16" s="84" t="s">
        <v>275</v>
      </c>
      <c r="B16" s="37">
        <v>6843466574</v>
      </c>
      <c r="C16" s="37">
        <v>4214666241</v>
      </c>
      <c r="D16" s="37">
        <v>3656860183</v>
      </c>
      <c r="E16" s="140">
        <v>3940806437</v>
      </c>
      <c r="F16" s="212"/>
      <c r="G16" s="212"/>
      <c r="H16" s="212"/>
      <c r="I16" s="212"/>
    </row>
    <row r="17" spans="1:9" ht="12" customHeight="1">
      <c r="A17" s="213" t="s">
        <v>276</v>
      </c>
      <c r="B17" s="214">
        <f>B4+B10+B11</f>
        <v>54400928077</v>
      </c>
      <c r="C17" s="214">
        <f>C4+C10+C11</f>
        <v>47798198789</v>
      </c>
      <c r="D17" s="214">
        <f>D4+D10+D11</f>
        <v>66021588638</v>
      </c>
      <c r="E17" s="215">
        <f>E4+E10+E11</f>
        <v>58146516704</v>
      </c>
      <c r="F17" s="216">
        <f t="shared" ref="F17:I20" si="1">B17/B$38</f>
        <v>0.83384512909065822</v>
      </c>
      <c r="G17" s="216">
        <f t="shared" si="1"/>
        <v>0.75555814431157486</v>
      </c>
      <c r="H17" s="216">
        <f t="shared" si="1"/>
        <v>0.81420723735990508</v>
      </c>
      <c r="I17" s="216">
        <f t="shared" si="1"/>
        <v>0.7452450257145975</v>
      </c>
    </row>
    <row r="18" spans="1:9" ht="12" customHeight="1">
      <c r="A18" s="217" t="s">
        <v>277</v>
      </c>
      <c r="B18" s="218">
        <v>-21959235397</v>
      </c>
      <c r="C18" s="218">
        <v>-41732621383</v>
      </c>
      <c r="D18" s="218">
        <v>-34199276690</v>
      </c>
      <c r="E18" s="219">
        <v>-60709048341</v>
      </c>
      <c r="F18" s="206">
        <f t="shared" si="1"/>
        <v>-0.33658619662566197</v>
      </c>
      <c r="G18" s="206">
        <f t="shared" si="1"/>
        <v>-0.65967803742122366</v>
      </c>
      <c r="H18" s="206">
        <f t="shared" si="1"/>
        <v>-0.42176050543329396</v>
      </c>
      <c r="I18" s="206">
        <f t="shared" si="1"/>
        <v>-0.77808816170900452</v>
      </c>
    </row>
    <row r="19" spans="1:9" ht="12" customHeight="1">
      <c r="A19" s="207" t="s">
        <v>278</v>
      </c>
      <c r="B19" s="37">
        <f>B20+B21+B22</f>
        <v>37005346021</v>
      </c>
      <c r="C19" s="37">
        <f t="shared" ref="C19:E19" si="2">C20+C21+C22</f>
        <v>65230442633</v>
      </c>
      <c r="D19" s="37">
        <f t="shared" si="2"/>
        <v>66658812839</v>
      </c>
      <c r="E19" s="140">
        <f t="shared" si="2"/>
        <v>101472770474</v>
      </c>
      <c r="F19" s="206">
        <f t="shared" si="1"/>
        <v>0.56720957933383198</v>
      </c>
      <c r="G19" s="206">
        <f t="shared" si="1"/>
        <v>1.0311140050690439</v>
      </c>
      <c r="H19" s="206">
        <f t="shared" si="1"/>
        <v>0.82206576616810856</v>
      </c>
      <c r="I19" s="206">
        <f t="shared" si="1"/>
        <v>1.3005435532138316</v>
      </c>
    </row>
    <row r="20" spans="1:9" ht="12" hidden="1" customHeight="1" outlineLevel="1">
      <c r="A20" s="220" t="s">
        <v>279</v>
      </c>
      <c r="B20" s="37">
        <v>36568268181</v>
      </c>
      <c r="C20" s="37">
        <v>59705530172</v>
      </c>
      <c r="D20" s="37">
        <v>60096233197</v>
      </c>
      <c r="E20" s="140">
        <v>100850686725</v>
      </c>
      <c r="F20" s="206">
        <f t="shared" si="1"/>
        <v>0.56051014899687879</v>
      </c>
      <c r="G20" s="206">
        <f t="shared" si="1"/>
        <v>0.94378032488279961</v>
      </c>
      <c r="H20" s="206">
        <f t="shared" si="1"/>
        <v>0.74113315078430153</v>
      </c>
      <c r="I20" s="206">
        <f t="shared" si="1"/>
        <v>1.2925705077796545</v>
      </c>
    </row>
    <row r="21" spans="1:9" ht="12" hidden="1" customHeight="1" outlineLevel="1">
      <c r="A21" s="220" t="s">
        <v>280</v>
      </c>
      <c r="B21" s="37">
        <v>3189643360</v>
      </c>
      <c r="C21" s="37">
        <v>5619028311</v>
      </c>
      <c r="D21" s="37">
        <v>6316501594</v>
      </c>
      <c r="E21" s="140">
        <v>885529860</v>
      </c>
      <c r="F21" s="211"/>
      <c r="G21" s="211"/>
      <c r="H21" s="211"/>
      <c r="I21" s="211"/>
    </row>
    <row r="22" spans="1:9" ht="12" hidden="1" customHeight="1" outlineLevel="1">
      <c r="A22" s="220" t="s">
        <v>281</v>
      </c>
      <c r="B22" s="37">
        <v>-2752565520</v>
      </c>
      <c r="C22" s="37">
        <v>-94115850</v>
      </c>
      <c r="D22" s="37">
        <v>246078048</v>
      </c>
      <c r="E22" s="140">
        <v>-263446111</v>
      </c>
      <c r="F22" s="211"/>
      <c r="G22" s="211"/>
      <c r="H22" s="211"/>
      <c r="I22" s="211"/>
    </row>
    <row r="23" spans="1:9" ht="12" customHeight="1" collapsed="1">
      <c r="A23" s="207" t="s">
        <v>282</v>
      </c>
      <c r="B23" s="37">
        <v>-139714140</v>
      </c>
      <c r="C23" s="37">
        <v>0</v>
      </c>
      <c r="D23" s="37">
        <v>-167418987</v>
      </c>
      <c r="E23" s="140">
        <v>-11665234</v>
      </c>
      <c r="F23" s="211"/>
      <c r="G23" s="211"/>
      <c r="H23" s="211"/>
      <c r="I23" s="211"/>
    </row>
    <row r="24" spans="1:9" ht="12" customHeight="1">
      <c r="A24" s="207" t="s">
        <v>283</v>
      </c>
      <c r="B24" s="37">
        <f>B25+B26</f>
        <v>555986188</v>
      </c>
      <c r="C24" s="37">
        <f>C25+C26</f>
        <v>-62012933</v>
      </c>
      <c r="D24" s="37">
        <f>D25+D26</f>
        <v>-2285065830</v>
      </c>
      <c r="E24" s="140">
        <f>E25+E26</f>
        <v>1377388872</v>
      </c>
      <c r="F24" s="211"/>
      <c r="G24" s="211"/>
      <c r="H24" s="211"/>
      <c r="I24" s="211"/>
    </row>
    <row r="25" spans="1:9" ht="12" hidden="1" customHeight="1" outlineLevel="1">
      <c r="A25" s="220" t="s">
        <v>284</v>
      </c>
      <c r="B25" s="37">
        <v>779466978</v>
      </c>
      <c r="C25" s="37">
        <v>223480790</v>
      </c>
      <c r="D25" s="37">
        <v>285493723</v>
      </c>
      <c r="E25" s="140">
        <v>2570559553</v>
      </c>
      <c r="F25" s="211"/>
      <c r="G25" s="211"/>
      <c r="H25" s="211"/>
      <c r="I25" s="211"/>
    </row>
    <row r="26" spans="1:9" ht="12" hidden="1" customHeight="1" outlineLevel="1">
      <c r="A26" s="220" t="s">
        <v>285</v>
      </c>
      <c r="B26" s="37">
        <v>-223480790</v>
      </c>
      <c r="C26" s="37">
        <v>-285493723</v>
      </c>
      <c r="D26" s="37">
        <v>-2570559553</v>
      </c>
      <c r="E26" s="140">
        <v>-1193170681</v>
      </c>
      <c r="F26" s="211"/>
      <c r="G26" s="211"/>
      <c r="H26" s="211"/>
      <c r="I26" s="211"/>
    </row>
    <row r="27" spans="1:9" ht="12" customHeight="1" collapsed="1">
      <c r="A27" s="213" t="s">
        <v>286</v>
      </c>
      <c r="B27" s="214">
        <f>SUM(B17,B18,B19,B23,B24)</f>
        <v>69863310749</v>
      </c>
      <c r="C27" s="214">
        <f t="shared" ref="C27:E27" si="3">SUM(C17,C18,C19,C23,C24)</f>
        <v>71234007106</v>
      </c>
      <c r="D27" s="214">
        <f t="shared" si="3"/>
        <v>96028639970</v>
      </c>
      <c r="E27" s="215">
        <f t="shared" si="3"/>
        <v>100275962475</v>
      </c>
      <c r="F27" s="216">
        <f t="shared" ref="F27:I28" si="4">B27/B$38</f>
        <v>1.0708490356588274</v>
      </c>
      <c r="G27" s="216">
        <f t="shared" si="4"/>
        <v>1.1260138579379491</v>
      </c>
      <c r="H27" s="216">
        <f t="shared" si="4"/>
        <v>1.1842673778437451</v>
      </c>
      <c r="I27" s="216">
        <f t="shared" si="4"/>
        <v>1.2852044536675844</v>
      </c>
    </row>
    <row r="28" spans="1:9" ht="12" customHeight="1">
      <c r="A28" s="221" t="s">
        <v>287</v>
      </c>
      <c r="B28" s="222">
        <v>-16336561683</v>
      </c>
      <c r="C28" s="222">
        <v>-28178553410</v>
      </c>
      <c r="D28" s="222">
        <v>-25556239247</v>
      </c>
      <c r="E28" s="223">
        <v>-45600319574</v>
      </c>
      <c r="F28" s="206">
        <f t="shared" si="4"/>
        <v>-0.25040312485437005</v>
      </c>
      <c r="G28" s="206">
        <f t="shared" si="4"/>
        <v>-0.44542547759652984</v>
      </c>
      <c r="H28" s="206">
        <f t="shared" si="4"/>
        <v>-0.31517077040815344</v>
      </c>
      <c r="I28" s="206">
        <f t="shared" si="4"/>
        <v>-0.58444449057051961</v>
      </c>
    </row>
    <row r="29" spans="1:9" ht="12" customHeight="1">
      <c r="A29" s="224" t="s">
        <v>288</v>
      </c>
      <c r="B29" s="225">
        <f>B30+B31+B32</f>
        <v>-3117748650</v>
      </c>
      <c r="C29" s="225">
        <f t="shared" ref="C29:E29" si="5">C30+C31+C32</f>
        <v>3961195586</v>
      </c>
      <c r="D29" s="225">
        <f t="shared" si="5"/>
        <v>-8107249026</v>
      </c>
      <c r="E29" s="226">
        <f t="shared" si="5"/>
        <v>-10217311473</v>
      </c>
      <c r="F29" s="206"/>
      <c r="G29" s="206"/>
      <c r="H29" s="206"/>
      <c r="I29" s="206"/>
    </row>
    <row r="30" spans="1:9" ht="12" hidden="1" customHeight="1" outlineLevel="1">
      <c r="A30" s="227" t="s">
        <v>289</v>
      </c>
      <c r="B30" s="225">
        <v>15130089007</v>
      </c>
      <c r="C30" s="225">
        <v>17062841238</v>
      </c>
      <c r="D30" s="225">
        <v>12312261561</v>
      </c>
      <c r="E30" s="226">
        <v>18677804682</v>
      </c>
      <c r="F30" s="206">
        <f t="shared" ref="F30:I33" si="6">B30/B$38</f>
        <v>0.23191058438080228</v>
      </c>
      <c r="G30" s="206">
        <f t="shared" si="6"/>
        <v>0.2697166208998063</v>
      </c>
      <c r="H30" s="206">
        <f t="shared" si="6"/>
        <v>0.15184021890476646</v>
      </c>
      <c r="I30" s="206">
        <f t="shared" si="6"/>
        <v>0.23938735834148031</v>
      </c>
    </row>
    <row r="31" spans="1:9" ht="12" hidden="1" customHeight="1" outlineLevel="1">
      <c r="A31" s="227" t="s">
        <v>290</v>
      </c>
      <c r="B31" s="225">
        <v>-17062841238</v>
      </c>
      <c r="C31" s="225">
        <v>-12312261561</v>
      </c>
      <c r="D31" s="225">
        <v>-18677804682</v>
      </c>
      <c r="E31" s="226">
        <v>-27028610081</v>
      </c>
      <c r="F31" s="206">
        <f t="shared" si="6"/>
        <v>-0.26153537370934726</v>
      </c>
      <c r="G31" s="206">
        <f t="shared" si="6"/>
        <v>-0.19462301369081603</v>
      </c>
      <c r="H31" s="206">
        <f t="shared" si="6"/>
        <v>-0.23034289334452776</v>
      </c>
      <c r="I31" s="206">
        <f t="shared" si="6"/>
        <v>-0.34641691981970446</v>
      </c>
    </row>
    <row r="32" spans="1:9" ht="12" hidden="1" customHeight="1" outlineLevel="1">
      <c r="A32" s="227" t="s">
        <v>291</v>
      </c>
      <c r="B32" s="225">
        <v>-1184996419</v>
      </c>
      <c r="C32" s="225">
        <v>-789384091</v>
      </c>
      <c r="D32" s="225">
        <v>-1741705905</v>
      </c>
      <c r="E32" s="226">
        <v>-1866506074</v>
      </c>
      <c r="F32" s="206">
        <f t="shared" si="6"/>
        <v>-1.8163357260641663E-2</v>
      </c>
      <c r="G32" s="206">
        <f t="shared" si="6"/>
        <v>-1.2477992770771463E-2</v>
      </c>
      <c r="H32" s="206">
        <f t="shared" si="6"/>
        <v>-2.1479482430800868E-2</v>
      </c>
      <c r="I32" s="206">
        <f t="shared" si="6"/>
        <v>-2.3922402337454081E-2</v>
      </c>
    </row>
    <row r="33" spans="1:10" ht="12" customHeight="1" collapsed="1">
      <c r="A33" s="213" t="s">
        <v>292</v>
      </c>
      <c r="B33" s="214">
        <f>SUM(B27,B28,B29)</f>
        <v>50409000416</v>
      </c>
      <c r="C33" s="214">
        <f t="shared" ref="C33:E33" si="7">SUM(C27,C28,C29)</f>
        <v>47016649282</v>
      </c>
      <c r="D33" s="214">
        <f t="shared" si="7"/>
        <v>62365151697</v>
      </c>
      <c r="E33" s="215">
        <f t="shared" si="7"/>
        <v>44458331428</v>
      </c>
      <c r="F33" s="216">
        <f t="shared" si="6"/>
        <v>0.77265776421527066</v>
      </c>
      <c r="G33" s="216">
        <f t="shared" si="6"/>
        <v>0.74320399477963806</v>
      </c>
      <c r="H33" s="216">
        <f t="shared" si="6"/>
        <v>0.76911445056502958</v>
      </c>
      <c r="I33" s="216">
        <f t="shared" si="6"/>
        <v>0.56980799928138648</v>
      </c>
    </row>
    <row r="34" spans="1:10" ht="12" customHeight="1" thickBot="1">
      <c r="A34" s="228" t="s">
        <v>293</v>
      </c>
      <c r="B34" s="229">
        <f>B33/B$38</f>
        <v>0.77265776421527066</v>
      </c>
      <c r="C34" s="229">
        <f>C33/C$38</f>
        <v>0.74320399477963806</v>
      </c>
      <c r="D34" s="229">
        <f>D33/D$38</f>
        <v>0.76911445056502958</v>
      </c>
      <c r="E34" s="230">
        <f>E33/E$38</f>
        <v>0.56980799928138648</v>
      </c>
      <c r="F34" s="216"/>
      <c r="G34" s="216"/>
      <c r="H34" s="216"/>
      <c r="I34" s="216"/>
    </row>
    <row r="35" spans="1:10" ht="12" customHeight="1">
      <c r="A35" s="231" t="s">
        <v>294</v>
      </c>
      <c r="B35" s="232">
        <f>B37/B38</f>
        <v>0.78453778534402585</v>
      </c>
      <c r="C35" s="232">
        <f>C37/C38</f>
        <v>0.7138940153700265</v>
      </c>
      <c r="D35" s="232">
        <f>D37/D38</f>
        <v>0.80316200943130478</v>
      </c>
      <c r="E35" s="233">
        <f>E37/E38</f>
        <v>0.55012105737546291</v>
      </c>
      <c r="F35" s="234"/>
      <c r="G35" s="234"/>
      <c r="H35" s="234"/>
      <c r="I35" s="234"/>
    </row>
    <row r="36" spans="1:10" ht="12" customHeight="1">
      <c r="A36" s="235" t="s">
        <v>295</v>
      </c>
      <c r="B36" s="208">
        <f>-재고!E27</f>
        <v>775065000</v>
      </c>
      <c r="C36" s="208">
        <f>-재고!F27</f>
        <v>-1854211000</v>
      </c>
      <c r="D36" s="208">
        <f>-재고!G27</f>
        <v>2760813000</v>
      </c>
      <c r="E36" s="208">
        <f>-재고!I27</f>
        <v>-1536041244</v>
      </c>
      <c r="G36" s="234"/>
      <c r="H36" s="234"/>
      <c r="I36" s="234"/>
    </row>
    <row r="37" spans="1:10" ht="12" customHeight="1">
      <c r="A37" s="235" t="s">
        <v>296</v>
      </c>
      <c r="B37" s="208">
        <f>B33+B36</f>
        <v>51184065416</v>
      </c>
      <c r="C37" s="208">
        <f>C33+C36</f>
        <v>45162438282</v>
      </c>
      <c r="D37" s="208">
        <f>D33+D36</f>
        <v>65125964697</v>
      </c>
      <c r="E37" s="208">
        <f>E33+E36</f>
        <v>42922290184</v>
      </c>
      <c r="F37" s="234"/>
      <c r="G37" s="234"/>
      <c r="H37" s="234"/>
      <c r="I37" s="234"/>
    </row>
    <row r="38" spans="1:10" ht="12" customHeight="1">
      <c r="A38" s="237" t="s">
        <v>297</v>
      </c>
      <c r="B38" s="238">
        <v>65241045584</v>
      </c>
      <c r="C38" s="238">
        <v>63262105172</v>
      </c>
      <c r="D38" s="238">
        <v>81086958711</v>
      </c>
      <c r="E38" s="239">
        <v>78023354330</v>
      </c>
      <c r="F38" s="211"/>
      <c r="G38" s="211"/>
      <c r="H38" s="211"/>
      <c r="I38" s="211"/>
    </row>
    <row r="39" spans="1:10" ht="12" customHeight="1">
      <c r="A39" s="235"/>
      <c r="B39" s="240">
        <f>B36/B33</f>
        <v>1.5375528052605295E-2</v>
      </c>
      <c r="C39" s="240">
        <f t="shared" ref="C39:E39" si="8">C36/C33</f>
        <v>-3.9437327591736147E-2</v>
      </c>
      <c r="D39" s="240">
        <f t="shared" si="8"/>
        <v>4.4268520557977024E-2</v>
      </c>
      <c r="E39" s="240">
        <f t="shared" si="8"/>
        <v>-3.4550132554740827E-2</v>
      </c>
      <c r="F39" s="234"/>
      <c r="G39" s="234"/>
      <c r="H39" s="234"/>
      <c r="I39" s="234"/>
    </row>
    <row r="40" spans="1:10" ht="19.5" customHeight="1">
      <c r="A40" s="170" t="s">
        <v>298</v>
      </c>
      <c r="B40" s="169"/>
      <c r="C40" s="169"/>
      <c r="D40" s="169"/>
      <c r="E40" s="168"/>
      <c r="F40" s="234"/>
      <c r="G40" s="234"/>
      <c r="H40" s="234"/>
      <c r="I40" s="234"/>
    </row>
    <row r="41" spans="1:10" ht="12" customHeight="1">
      <c r="A41" s="150"/>
      <c r="B41" s="166" t="s">
        <v>96</v>
      </c>
      <c r="C41" s="166" t="s">
        <v>97</v>
      </c>
      <c r="D41" s="166" t="s">
        <v>98</v>
      </c>
      <c r="E41" s="165" t="s">
        <v>117</v>
      </c>
      <c r="F41" s="234"/>
      <c r="G41" s="234"/>
      <c r="H41" s="234"/>
      <c r="I41" s="234"/>
    </row>
    <row r="42" spans="1:10" ht="12" customHeight="1">
      <c r="A42" s="105" t="s">
        <v>119</v>
      </c>
      <c r="B42" s="163" t="s">
        <v>120</v>
      </c>
      <c r="C42" s="163" t="s">
        <v>120</v>
      </c>
      <c r="D42" s="163" t="s">
        <v>120</v>
      </c>
      <c r="E42" s="162" t="s">
        <v>121</v>
      </c>
      <c r="F42" s="234"/>
      <c r="G42" s="234"/>
      <c r="H42" s="234"/>
      <c r="I42" s="234"/>
    </row>
    <row r="43" spans="1:10" ht="12" customHeight="1">
      <c r="A43" s="241" t="s">
        <v>299</v>
      </c>
      <c r="B43" s="222">
        <v>13953871142</v>
      </c>
      <c r="C43" s="222">
        <v>16034193423</v>
      </c>
      <c r="D43" s="222">
        <v>13023212925</v>
      </c>
      <c r="E43" s="223">
        <v>13363727257</v>
      </c>
      <c r="F43" s="242">
        <f>B43/B$50</f>
        <v>0.79791158703593779</v>
      </c>
      <c r="G43" s="242">
        <f>C43/C$50</f>
        <v>0.80198655841276845</v>
      </c>
      <c r="H43" s="242">
        <f>D43/D$50</f>
        <v>0.87065830542781197</v>
      </c>
      <c r="I43" s="242">
        <f>E43/E$50</f>
        <v>0.89381702199441249</v>
      </c>
      <c r="J43" s="5" t="s">
        <v>300</v>
      </c>
    </row>
    <row r="44" spans="1:10" ht="12" customHeight="1">
      <c r="A44" s="243" t="s">
        <v>301</v>
      </c>
      <c r="B44" s="225">
        <f>B45+B46+B47</f>
        <v>-5602757</v>
      </c>
      <c r="C44" s="225">
        <f t="shared" ref="C44:E44" si="9">C45+C46+C47</f>
        <v>-603136469</v>
      </c>
      <c r="D44" s="225">
        <f t="shared" si="9"/>
        <v>276851289</v>
      </c>
      <c r="E44" s="226">
        <f t="shared" si="9"/>
        <v>-11244752</v>
      </c>
      <c r="F44" s="234"/>
      <c r="G44" s="234"/>
      <c r="H44" s="234"/>
      <c r="I44" s="234"/>
    </row>
    <row r="45" spans="1:10" ht="12" hidden="1" customHeight="1" outlineLevel="1">
      <c r="A45" s="224" t="s">
        <v>302</v>
      </c>
      <c r="B45" s="225">
        <v>-14697925</v>
      </c>
      <c r="C45" s="225">
        <v>-115114406</v>
      </c>
      <c r="D45" s="225">
        <v>-118072069</v>
      </c>
      <c r="E45" s="226">
        <v>-110975845</v>
      </c>
      <c r="F45" s="234"/>
      <c r="G45" s="234"/>
      <c r="H45" s="234"/>
      <c r="I45" s="234"/>
    </row>
    <row r="46" spans="1:10" ht="12" hidden="1" customHeight="1" outlineLevel="1">
      <c r="A46" s="224" t="s">
        <v>303</v>
      </c>
      <c r="B46" s="225">
        <v>212796471</v>
      </c>
      <c r="C46" s="225">
        <v>203701303</v>
      </c>
      <c r="D46" s="225">
        <v>691723366</v>
      </c>
      <c r="E46" s="226">
        <v>296800008</v>
      </c>
      <c r="F46" s="234"/>
      <c r="G46" s="234"/>
      <c r="H46" s="234"/>
      <c r="I46" s="234"/>
    </row>
    <row r="47" spans="1:10" ht="12" hidden="1" customHeight="1" outlineLevel="1">
      <c r="A47" s="244" t="s">
        <v>304</v>
      </c>
      <c r="B47" s="245">
        <v>-203701303</v>
      </c>
      <c r="C47" s="245">
        <v>-691723366</v>
      </c>
      <c r="D47" s="245">
        <v>-296800008</v>
      </c>
      <c r="E47" s="246">
        <v>-197068915</v>
      </c>
      <c r="F47" s="234"/>
      <c r="G47" s="234"/>
      <c r="H47" s="234"/>
      <c r="I47" s="234"/>
    </row>
    <row r="48" spans="1:10" ht="12" customHeight="1" collapsed="1">
      <c r="A48" s="213" t="s">
        <v>305</v>
      </c>
      <c r="B48" s="214">
        <f>SUM(B43,B45,B44)</f>
        <v>13933570460</v>
      </c>
      <c r="C48" s="214">
        <f>SUM(C43,C45,C44)</f>
        <v>15315942548</v>
      </c>
      <c r="D48" s="214">
        <f>SUM(D43,D45,D44)</f>
        <v>13181992145</v>
      </c>
      <c r="E48" s="215">
        <f>SUM(E43,E45,E44)</f>
        <v>13241506660</v>
      </c>
      <c r="F48" s="5"/>
      <c r="G48" s="5"/>
      <c r="H48" s="5"/>
      <c r="I48" s="5"/>
    </row>
    <row r="49" spans="1:9" ht="12" customHeight="1" thickBot="1">
      <c r="A49" s="228" t="s">
        <v>306</v>
      </c>
      <c r="B49" s="229">
        <f>B48/B$50</f>
        <v>0.79675075150666474</v>
      </c>
      <c r="C49" s="229">
        <f>C48/C$50</f>
        <v>0.76606161151198238</v>
      </c>
      <c r="D49" s="229">
        <f>D48/D$50</f>
        <v>0.88127338539452071</v>
      </c>
      <c r="E49" s="230">
        <f>E48/E$50</f>
        <v>0.88564244255739966</v>
      </c>
      <c r="F49" s="247"/>
      <c r="G49" s="247"/>
      <c r="H49" s="247"/>
      <c r="I49" s="247"/>
    </row>
    <row r="50" spans="1:9" ht="12" customHeight="1">
      <c r="A50" s="248" t="s">
        <v>307</v>
      </c>
      <c r="B50" s="249">
        <v>17487991613</v>
      </c>
      <c r="C50" s="249">
        <v>19993094965</v>
      </c>
      <c r="D50" s="249">
        <v>14957892027</v>
      </c>
      <c r="E50" s="250">
        <v>14951300913</v>
      </c>
      <c r="F50" s="234"/>
      <c r="G50" s="234"/>
      <c r="H50" s="234"/>
      <c r="I50" s="234"/>
    </row>
    <row r="52" spans="1:9" ht="19.5" customHeight="1">
      <c r="A52" s="170" t="s">
        <v>308</v>
      </c>
      <c r="B52" s="169"/>
      <c r="C52" s="169"/>
      <c r="D52" s="169"/>
      <c r="E52" s="168"/>
    </row>
    <row r="53" spans="1:9" ht="12" customHeight="1">
      <c r="A53" s="150"/>
      <c r="B53" s="166" t="s">
        <v>96</v>
      </c>
      <c r="C53" s="166" t="s">
        <v>97</v>
      </c>
      <c r="D53" s="166" t="s">
        <v>98</v>
      </c>
      <c r="E53" s="165" t="s">
        <v>117</v>
      </c>
      <c r="F53" s="251"/>
    </row>
    <row r="54" spans="1:9" ht="12" customHeight="1">
      <c r="A54" s="105" t="s">
        <v>119</v>
      </c>
      <c r="B54" s="163" t="s">
        <v>120</v>
      </c>
      <c r="C54" s="163" t="s">
        <v>120</v>
      </c>
      <c r="D54" s="163" t="s">
        <v>120</v>
      </c>
      <c r="E54" s="162" t="s">
        <v>121</v>
      </c>
      <c r="F54" s="251"/>
    </row>
    <row r="55" spans="1:9" ht="12" customHeight="1">
      <c r="A55" s="252" t="s">
        <v>309</v>
      </c>
      <c r="B55" s="187">
        <v>2873141000</v>
      </c>
      <c r="C55" s="187">
        <v>3854100000</v>
      </c>
      <c r="D55" s="187">
        <v>2321574000</v>
      </c>
      <c r="E55" s="186">
        <v>1824443927</v>
      </c>
    </row>
    <row r="56" spans="1:9" ht="12" customHeight="1">
      <c r="A56" s="253" t="s">
        <v>310</v>
      </c>
      <c r="B56" s="174">
        <v>-3648206000</v>
      </c>
      <c r="C56" s="174">
        <v>-1999889000</v>
      </c>
      <c r="D56" s="174">
        <v>-5082387000</v>
      </c>
      <c r="E56" s="254">
        <v>-288402683</v>
      </c>
    </row>
    <row r="57" spans="1:9" ht="12" customHeight="1" thickBot="1">
      <c r="A57" s="255" t="s">
        <v>311</v>
      </c>
      <c r="B57" s="256">
        <f>SUM(B55:B56)</f>
        <v>-775065000</v>
      </c>
      <c r="C57" s="256">
        <f t="shared" ref="C57:D57" si="10">SUM(C55:C56)</f>
        <v>1854211000</v>
      </c>
      <c r="D57" s="256">
        <f t="shared" si="10"/>
        <v>-2760813000</v>
      </c>
      <c r="E57" s="257">
        <v>1536040866</v>
      </c>
    </row>
    <row r="59" spans="1:9" ht="19.5" customHeight="1">
      <c r="A59" s="170" t="s">
        <v>312</v>
      </c>
      <c r="B59" s="169"/>
      <c r="C59" s="169"/>
      <c r="D59" s="169"/>
      <c r="E59" s="168"/>
    </row>
    <row r="60" spans="1:9" ht="12" customHeight="1">
      <c r="A60" s="150"/>
      <c r="B60" s="166" t="s">
        <v>96</v>
      </c>
      <c r="C60" s="166" t="s">
        <v>97</v>
      </c>
      <c r="D60" s="166" t="s">
        <v>98</v>
      </c>
      <c r="E60" s="165" t="s">
        <v>117</v>
      </c>
      <c r="F60" s="251"/>
    </row>
    <row r="61" spans="1:9" ht="12" customHeight="1">
      <c r="A61" s="105" t="s">
        <v>218</v>
      </c>
      <c r="B61" s="163" t="s">
        <v>120</v>
      </c>
      <c r="C61" s="163" t="s">
        <v>120</v>
      </c>
      <c r="D61" s="163" t="s">
        <v>120</v>
      </c>
      <c r="E61" s="162" t="s">
        <v>121</v>
      </c>
      <c r="F61" s="251"/>
    </row>
    <row r="62" spans="1:9" ht="12" customHeight="1">
      <c r="A62" s="258" t="s">
        <v>313</v>
      </c>
      <c r="B62" s="259">
        <f>1-B34</f>
        <v>0.22734223578472934</v>
      </c>
      <c r="C62" s="259">
        <f t="shared" ref="C62:E63" si="11">1-C34</f>
        <v>0.25679600522036194</v>
      </c>
      <c r="D62" s="259">
        <f t="shared" si="11"/>
        <v>0.23088554943497042</v>
      </c>
      <c r="E62" s="260">
        <f t="shared" si="11"/>
        <v>0.43019200071861352</v>
      </c>
      <c r="F62" s="236" t="s">
        <v>131</v>
      </c>
    </row>
    <row r="63" spans="1:9" ht="12" customHeight="1">
      <c r="A63" s="261" t="s">
        <v>314</v>
      </c>
      <c r="B63" s="262">
        <f>1-B35</f>
        <v>0.21546221465597415</v>
      </c>
      <c r="C63" s="262">
        <f t="shared" si="11"/>
        <v>0.2861059846299735</v>
      </c>
      <c r="D63" s="262">
        <f t="shared" si="11"/>
        <v>0.19683799056869522</v>
      </c>
      <c r="E63" s="263">
        <f t="shared" si="11"/>
        <v>0.44987894262453709</v>
      </c>
      <c r="F63" s="236" t="s">
        <v>315</v>
      </c>
    </row>
    <row r="64" spans="1:9" ht="12" customHeight="1" outlineLevel="1">
      <c r="A64" s="258" t="s">
        <v>316</v>
      </c>
      <c r="B64" s="259">
        <f>1-((B33-B56)/B38)</f>
        <v>0.17142335883627802</v>
      </c>
      <c r="C64" s="259">
        <f>1-((C33-C56)/C38)</f>
        <v>0.22518325704256092</v>
      </c>
      <c r="D64" s="259">
        <f>1-((D33-D56)/D38)</f>
        <v>0.16820732002801975</v>
      </c>
      <c r="E64" s="260">
        <f>1-((E33-E56)/E38)</f>
        <v>0.42649563716853855</v>
      </c>
      <c r="F64" s="236" t="s">
        <v>317</v>
      </c>
    </row>
    <row r="65" spans="1:5" ht="12" customHeight="1" thickBot="1">
      <c r="A65" s="264" t="s">
        <v>317</v>
      </c>
      <c r="B65" s="265">
        <f>B62-B63</f>
        <v>1.1880021128755192E-2</v>
      </c>
      <c r="C65" s="265">
        <f t="shared" ref="C65:E65" si="12">C62-C63</f>
        <v>-2.9309979409611553E-2</v>
      </c>
      <c r="D65" s="265">
        <f t="shared" si="12"/>
        <v>3.4047558866275196E-2</v>
      </c>
      <c r="E65" s="266">
        <f t="shared" si="12"/>
        <v>-1.9686941905923572E-2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99"/>
  </sheetPr>
  <dimension ref="B2:I32"/>
  <sheetViews>
    <sheetView showGridLines="0" topLeftCell="A7" zoomScaleNormal="100" workbookViewId="0">
      <selection activeCell="F31" sqref="F31"/>
    </sheetView>
  </sheetViews>
  <sheetFormatPr defaultColWidth="9" defaultRowHeight="12" customHeight="1" outlineLevelCol="1"/>
  <cols>
    <col min="1" max="1" width="2.58203125" style="5" customWidth="1"/>
    <col min="2" max="2" width="12.58203125" style="5" customWidth="1"/>
    <col min="3" max="4" width="8.58203125" style="5" customWidth="1" outlineLevel="1"/>
    <col min="5" max="8" width="8.58203125" style="5" customWidth="1"/>
    <col min="9" max="9" width="8.58203125" style="5" customWidth="1" outlineLevel="1"/>
    <col min="10" max="16384" width="9" style="5"/>
  </cols>
  <sheetData>
    <row r="2" spans="2:9" ht="19.5" customHeight="1">
      <c r="B2" s="267" t="s">
        <v>318</v>
      </c>
      <c r="C2" s="268"/>
      <c r="D2" s="268"/>
      <c r="E2" s="268"/>
      <c r="F2" s="268"/>
      <c r="G2" s="268"/>
      <c r="H2" s="269"/>
      <c r="I2" s="268"/>
    </row>
    <row r="3" spans="2:9" ht="12" customHeight="1">
      <c r="B3" s="99"/>
      <c r="C3" s="536" t="s">
        <v>319</v>
      </c>
      <c r="D3" s="536" t="s">
        <v>320</v>
      </c>
      <c r="E3" s="166" t="s">
        <v>96</v>
      </c>
      <c r="F3" s="166" t="s">
        <v>231</v>
      </c>
      <c r="G3" s="166" t="s">
        <v>141</v>
      </c>
      <c r="H3" s="165" t="s">
        <v>117</v>
      </c>
      <c r="I3" s="270" t="s">
        <v>117</v>
      </c>
    </row>
    <row r="4" spans="2:9" ht="12" customHeight="1">
      <c r="B4" s="105" t="s">
        <v>321</v>
      </c>
      <c r="C4" s="537" t="s">
        <v>120</v>
      </c>
      <c r="D4" s="537" t="s">
        <v>120</v>
      </c>
      <c r="E4" s="163" t="s">
        <v>120</v>
      </c>
      <c r="F4" s="163" t="s">
        <v>120</v>
      </c>
      <c r="G4" s="163" t="s">
        <v>120</v>
      </c>
      <c r="H4" s="162" t="s">
        <v>121</v>
      </c>
      <c r="I4" s="271" t="s">
        <v>178</v>
      </c>
    </row>
    <row r="5" spans="2:9" ht="12" customHeight="1">
      <c r="B5" s="272" t="s">
        <v>322</v>
      </c>
      <c r="C5" s="538"/>
      <c r="D5" s="539"/>
      <c r="E5" s="540"/>
      <c r="F5" s="540"/>
      <c r="G5" s="540"/>
      <c r="H5" s="541"/>
      <c r="I5" s="542"/>
    </row>
    <row r="6" spans="2:9" ht="12" customHeight="1">
      <c r="B6" s="84" t="s">
        <v>323</v>
      </c>
      <c r="C6" s="543"/>
      <c r="D6" s="544">
        <f t="shared" ref="D6:H8" si="0">(D20+C20)/2</f>
        <v>8786664500</v>
      </c>
      <c r="E6" s="37">
        <f t="shared" si="0"/>
        <v>14086440500</v>
      </c>
      <c r="F6" s="37">
        <f t="shared" si="0"/>
        <v>17928738000</v>
      </c>
      <c r="G6" s="37">
        <f t="shared" si="0"/>
        <v>16798310000</v>
      </c>
      <c r="H6" s="140">
        <f t="shared" si="0"/>
        <v>20753312316</v>
      </c>
      <c r="I6" s="273">
        <f>(H20+G20)/2</f>
        <v>20753312316</v>
      </c>
    </row>
    <row r="7" spans="2:9" ht="12" customHeight="1">
      <c r="B7" s="84" t="s">
        <v>324</v>
      </c>
      <c r="C7" s="543"/>
      <c r="D7" s="544">
        <f t="shared" si="0"/>
        <v>36010374500</v>
      </c>
      <c r="E7" s="37">
        <f t="shared" si="0"/>
        <v>37003998500</v>
      </c>
      <c r="F7" s="37">
        <f t="shared" si="0"/>
        <v>38423282000</v>
      </c>
      <c r="G7" s="37">
        <f t="shared" si="0"/>
        <v>41464048500</v>
      </c>
      <c r="H7" s="140">
        <f t="shared" si="0"/>
        <v>50702606725</v>
      </c>
      <c r="I7" s="273">
        <f>(H21+G21)/2</f>
        <v>50702606725</v>
      </c>
    </row>
    <row r="8" spans="2:9" ht="12" customHeight="1">
      <c r="B8" s="79" t="s">
        <v>325</v>
      </c>
      <c r="C8" s="545"/>
      <c r="D8" s="546">
        <f t="shared" si="0"/>
        <v>1227268160</v>
      </c>
      <c r="E8" s="136">
        <f t="shared" si="0"/>
        <v>3499827490</v>
      </c>
      <c r="F8" s="136">
        <f t="shared" si="0"/>
        <v>5441739075.5</v>
      </c>
      <c r="G8" s="136">
        <f t="shared" si="0"/>
        <v>4630156987.5</v>
      </c>
      <c r="H8" s="134">
        <f>(H22+G22)/2</f>
        <v>5509267641</v>
      </c>
      <c r="I8" s="274">
        <f>(I22+G22)/2</f>
        <v>4681043673.5</v>
      </c>
    </row>
    <row r="9" spans="2:9" ht="12" customHeight="1">
      <c r="B9" s="275" t="s">
        <v>326</v>
      </c>
      <c r="C9" s="547"/>
      <c r="D9" s="548">
        <f>D6+D7-D8</f>
        <v>43569770840</v>
      </c>
      <c r="E9" s="149">
        <f>E6+E7-E8</f>
        <v>47590611510</v>
      </c>
      <c r="F9" s="149">
        <f t="shared" ref="F9:G9" si="1">F6+F7-F8</f>
        <v>50910280924.5</v>
      </c>
      <c r="G9" s="149">
        <f t="shared" si="1"/>
        <v>53632201512.5</v>
      </c>
      <c r="H9" s="147">
        <f>H6+H7-H8</f>
        <v>65946651400</v>
      </c>
      <c r="I9" s="276">
        <f>I6+I7-I8</f>
        <v>66774875367.5</v>
      </c>
    </row>
    <row r="10" spans="2:9" ht="12" customHeight="1">
      <c r="B10" s="277" t="s">
        <v>327</v>
      </c>
      <c r="C10" s="549"/>
      <c r="D10" s="550"/>
      <c r="E10" s="278">
        <f>E9-D9</f>
        <v>4020840670</v>
      </c>
      <c r="F10" s="278">
        <f t="shared" ref="F10:H10" si="2">F9-E9</f>
        <v>3319669414.5</v>
      </c>
      <c r="G10" s="278">
        <f t="shared" si="2"/>
        <v>2721920588</v>
      </c>
      <c r="H10" s="279">
        <f t="shared" si="2"/>
        <v>12314449887.5</v>
      </c>
      <c r="I10" s="280">
        <f>I9-G9</f>
        <v>13142673855</v>
      </c>
    </row>
    <row r="11" spans="2:9" ht="12" customHeight="1">
      <c r="B11" s="281" t="s">
        <v>328</v>
      </c>
      <c r="C11" s="551"/>
      <c r="D11" s="552">
        <f>D9/D24</f>
        <v>0.59541916525760541</v>
      </c>
      <c r="E11" s="282">
        <f>E9/E24</f>
        <v>0.57349111207490555</v>
      </c>
      <c r="F11" s="282">
        <f>F9/F24</f>
        <v>0.60423351896081035</v>
      </c>
      <c r="G11" s="282">
        <f>G9/G24</f>
        <v>0.55554366534953104</v>
      </c>
      <c r="H11" s="283">
        <f>H9/(H24/0.75)</f>
        <v>0.52644075518491584</v>
      </c>
      <c r="I11" s="284">
        <f>I9/(I24/0.5)</f>
        <v>0.69241884417649324</v>
      </c>
    </row>
    <row r="12" spans="2:9" ht="12" customHeight="1">
      <c r="B12" s="285" t="s">
        <v>329</v>
      </c>
      <c r="C12" s="553"/>
      <c r="D12" s="554"/>
      <c r="E12" s="37"/>
      <c r="F12" s="37"/>
      <c r="G12" s="37"/>
      <c r="H12" s="286"/>
      <c r="I12" s="273"/>
    </row>
    <row r="13" spans="2:9" ht="12" customHeight="1">
      <c r="B13" s="84" t="s">
        <v>323</v>
      </c>
      <c r="C13" s="543"/>
      <c r="D13" s="554"/>
      <c r="E13" s="287">
        <f t="shared" ref="E13:G14" si="3">E6/E24*365</f>
        <v>61.958306113085825</v>
      </c>
      <c r="F13" s="287">
        <f t="shared" si="3"/>
        <v>77.667961230486384</v>
      </c>
      <c r="G13" s="287">
        <f t="shared" si="3"/>
        <v>63.511304267818687</v>
      </c>
      <c r="H13" s="288">
        <f>H6/(H24/0.75)*365</f>
        <v>60.469592456085813</v>
      </c>
      <c r="I13" s="289">
        <f>I6/(I24/0.5)*365</f>
        <v>78.548171349945619</v>
      </c>
    </row>
    <row r="14" spans="2:9" ht="12" customHeight="1">
      <c r="B14" s="84" t="s">
        <v>324</v>
      </c>
      <c r="C14" s="543"/>
      <c r="D14" s="554"/>
      <c r="E14" s="287">
        <f t="shared" si="3"/>
        <v>209.86688378998042</v>
      </c>
      <c r="F14" s="287">
        <f t="shared" si="3"/>
        <v>224.57987290996965</v>
      </c>
      <c r="G14" s="287">
        <f t="shared" si="3"/>
        <v>200.01763717031577</v>
      </c>
      <c r="H14" s="288">
        <f>H7/(H25/0.75)*365</f>
        <v>240.09069664811892</v>
      </c>
      <c r="I14" s="289">
        <f>I7/(I25/0.5)*365</f>
        <v>279.58709000433697</v>
      </c>
    </row>
    <row r="15" spans="2:9" ht="12" customHeight="1" thickBot="1">
      <c r="B15" s="89" t="s">
        <v>325</v>
      </c>
      <c r="C15" s="555"/>
      <c r="D15" s="556"/>
      <c r="E15" s="290">
        <f>E8/E25*365</f>
        <v>19.849149251500723</v>
      </c>
      <c r="F15" s="290">
        <f>F8/F25*365</f>
        <v>31.806368596649442</v>
      </c>
      <c r="G15" s="290">
        <f>G8/G25*365</f>
        <v>22.335326478488398</v>
      </c>
      <c r="H15" s="291">
        <f>H8/(H25/0.75)*365</f>
        <v>26.087887613408082</v>
      </c>
      <c r="I15" s="292">
        <f>I8/(I25/0.5)*365</f>
        <v>25.812467314659095</v>
      </c>
    </row>
    <row r="16" spans="2:9" ht="12" customHeight="1">
      <c r="B16" s="5" t="s">
        <v>330</v>
      </c>
      <c r="E16" s="293">
        <f>E6/E24</f>
        <v>0.16974878387146802</v>
      </c>
      <c r="F16" s="293">
        <f t="shared" ref="F16:G16" si="4">F6/F24</f>
        <v>0.21278893487804487</v>
      </c>
      <c r="G16" s="293">
        <f t="shared" si="4"/>
        <v>0.17400357333648955</v>
      </c>
      <c r="H16" s="293">
        <f>H6/(H24/0.75)</f>
        <v>0.16567011631804332</v>
      </c>
    </row>
    <row r="17" spans="2:9" ht="12" customHeight="1">
      <c r="B17" s="5" t="s">
        <v>331</v>
      </c>
      <c r="E17" s="293">
        <f t="shared" ref="E17:G17" si="5">E7/E25</f>
        <v>0.57497776380816557</v>
      </c>
      <c r="F17" s="293">
        <f t="shared" si="5"/>
        <v>0.61528732304101275</v>
      </c>
      <c r="G17" s="293">
        <f t="shared" si="5"/>
        <v>0.54799352649401578</v>
      </c>
      <c r="H17" s="293">
        <f>H7/(H25/0.75)</f>
        <v>0.65778273054279157</v>
      </c>
    </row>
    <row r="18" spans="2:9" ht="12" customHeight="1">
      <c r="B18" s="5" t="s">
        <v>332</v>
      </c>
      <c r="E18" s="293">
        <f>E7/E24</f>
        <v>0.44591703232314989</v>
      </c>
      <c r="F18" s="293">
        <f t="shared" ref="F18:H18" si="6">F7/F24</f>
        <v>0.45603038269055823</v>
      </c>
      <c r="G18" s="293">
        <f t="shared" si="6"/>
        <v>0.42950109886039189</v>
      </c>
      <c r="H18" s="293">
        <f t="shared" si="6"/>
        <v>0.53966689756042807</v>
      </c>
    </row>
    <row r="19" spans="2:9" ht="12" customHeight="1">
      <c r="B19" s="272" t="s">
        <v>333</v>
      </c>
      <c r="C19" s="166" t="s">
        <v>319</v>
      </c>
      <c r="D19" s="166" t="s">
        <v>320</v>
      </c>
      <c r="E19" s="166" t="s">
        <v>96</v>
      </c>
      <c r="F19" s="166" t="s">
        <v>231</v>
      </c>
      <c r="G19" s="166" t="s">
        <v>141</v>
      </c>
      <c r="H19" s="166" t="s">
        <v>334</v>
      </c>
      <c r="I19" s="294" t="s">
        <v>335</v>
      </c>
    </row>
    <row r="20" spans="2:9" ht="12" customHeight="1">
      <c r="B20" s="84" t="s">
        <v>323</v>
      </c>
      <c r="C20" s="73">
        <f>[9]매출채권!C17</f>
        <v>7245924000</v>
      </c>
      <c r="D20" s="73">
        <f>[9]매출채권!D17</f>
        <v>10327405000</v>
      </c>
      <c r="E20" s="73">
        <f>[9]매출채권!E17</f>
        <v>17845476000</v>
      </c>
      <c r="F20" s="73">
        <f>[9]매출채권!F17</f>
        <v>18012000000</v>
      </c>
      <c r="G20" s="73">
        <f>[9]매출채권!G17</f>
        <v>15584620000</v>
      </c>
      <c r="H20" s="73">
        <f>[9]매출채권!I17</f>
        <v>25922004632</v>
      </c>
      <c r="I20" s="295">
        <f>[9]매출채권!H17</f>
        <v>20113027625</v>
      </c>
    </row>
    <row r="21" spans="2:9" ht="12" customHeight="1">
      <c r="B21" s="84" t="s">
        <v>324</v>
      </c>
      <c r="C21" s="73">
        <f>[9]재고!C18</f>
        <v>34560239000</v>
      </c>
      <c r="D21" s="73">
        <f>[9]재고!D18</f>
        <v>37460510000</v>
      </c>
      <c r="E21" s="73">
        <f>[9]재고!E18</f>
        <v>36547487000</v>
      </c>
      <c r="F21" s="73">
        <f>[9]재고!F18</f>
        <v>40299077000</v>
      </c>
      <c r="G21" s="73">
        <f>[9]재고!G18</f>
        <v>42629020000</v>
      </c>
      <c r="H21" s="73">
        <f>[9]재고!I18</f>
        <v>58776193450</v>
      </c>
      <c r="I21" s="295">
        <f>[9]재고!H18</f>
        <v>52939955244</v>
      </c>
    </row>
    <row r="22" spans="2:9" ht="12" customHeight="1">
      <c r="B22" s="84" t="s">
        <v>325</v>
      </c>
      <c r="C22" s="73">
        <v>1278068160</v>
      </c>
      <c r="D22" s="73">
        <v>1176468160</v>
      </c>
      <c r="E22" s="73">
        <f>[9]overview!H23</f>
        <v>5823186820</v>
      </c>
      <c r="F22" s="73">
        <f>[9]overview!I23</f>
        <v>5060291331</v>
      </c>
      <c r="G22" s="73">
        <f>[9]overview!J23</f>
        <v>4200022644</v>
      </c>
      <c r="H22" s="73">
        <v>6818512638</v>
      </c>
      <c r="I22" s="295">
        <v>5162064703</v>
      </c>
    </row>
    <row r="23" spans="2:9" ht="12" customHeight="1">
      <c r="B23" s="277" t="s">
        <v>151</v>
      </c>
      <c r="C23" s="104">
        <f t="shared" ref="C23:D23" si="7">C20+C21-C22</f>
        <v>40528094840</v>
      </c>
      <c r="D23" s="104">
        <f t="shared" si="7"/>
        <v>46611446840</v>
      </c>
      <c r="E23" s="104">
        <f>E20+E21-E22</f>
        <v>48569776180</v>
      </c>
      <c r="F23" s="104">
        <f t="shared" ref="F23:G23" si="8">F20+F21-F22</f>
        <v>53250785669</v>
      </c>
      <c r="G23" s="104">
        <f t="shared" si="8"/>
        <v>54013617356</v>
      </c>
      <c r="H23" s="104">
        <f>I20+I21-H22</f>
        <v>66234470231</v>
      </c>
      <c r="I23" s="296">
        <f>H20+H21-I22</f>
        <v>79536133379</v>
      </c>
    </row>
    <row r="24" spans="2:9" ht="12" customHeight="1">
      <c r="B24" s="99" t="s">
        <v>179</v>
      </c>
      <c r="C24" s="93">
        <v>28920008506</v>
      </c>
      <c r="D24" s="93">
        <v>73174955363</v>
      </c>
      <c r="E24" s="93">
        <f>[9]거래처별매출!C4</f>
        <v>82984043707</v>
      </c>
      <c r="F24" s="93">
        <f>[9]거래처별매출!D4</f>
        <v>84255969467</v>
      </c>
      <c r="G24" s="93">
        <f>[9]거래처별매출!E4</f>
        <v>96540028908</v>
      </c>
      <c r="H24" s="93">
        <f>[9]거래처별매출!G4</f>
        <v>93951670844</v>
      </c>
      <c r="I24" s="297">
        <f>[9]거래처별매출!F4</f>
        <v>48218557257</v>
      </c>
    </row>
    <row r="25" spans="2:9" ht="12" customHeight="1">
      <c r="B25" s="298" t="s">
        <v>189</v>
      </c>
      <c r="C25" s="78">
        <v>22284341534</v>
      </c>
      <c r="D25" s="78">
        <v>57235955038</v>
      </c>
      <c r="E25" s="78">
        <f>[9]거래처별매출!C8</f>
        <v>64357268801</v>
      </c>
      <c r="F25" s="78">
        <f>[9]거래처별매출!D8</f>
        <v>62447706236</v>
      </c>
      <c r="G25" s="78">
        <f>[9]거래처별매출!E8</f>
        <v>75665215911</v>
      </c>
      <c r="H25" s="78">
        <f>[9]거래처별매출!G8</f>
        <v>57810813933</v>
      </c>
      <c r="I25" s="299">
        <f>[9]거래처별매출!F8</f>
        <v>33096040762</v>
      </c>
    </row>
    <row r="27" spans="2:9" ht="12" customHeight="1">
      <c r="B27" s="300" t="s">
        <v>336</v>
      </c>
      <c r="C27" s="98"/>
      <c r="D27" s="98"/>
      <c r="E27" s="301" t="s">
        <v>217</v>
      </c>
      <c r="F27" s="301" t="s">
        <v>97</v>
      </c>
      <c r="G27" s="301" t="s">
        <v>98</v>
      </c>
      <c r="H27" s="302" t="s">
        <v>118</v>
      </c>
    </row>
    <row r="28" spans="2:9" ht="12" customHeight="1">
      <c r="B28" s="303" t="s">
        <v>323</v>
      </c>
      <c r="E28" s="73">
        <f t="shared" ref="E28:G29" si="9">E6</f>
        <v>14086440500</v>
      </c>
      <c r="F28" s="73">
        <f t="shared" si="9"/>
        <v>17928738000</v>
      </c>
      <c r="G28" s="73">
        <f t="shared" si="9"/>
        <v>16798310000</v>
      </c>
      <c r="H28" s="83">
        <f>H6</f>
        <v>20753312316</v>
      </c>
    </row>
    <row r="29" spans="2:9" ht="12" customHeight="1">
      <c r="B29" s="303" t="s">
        <v>324</v>
      </c>
      <c r="E29" s="73">
        <f t="shared" si="9"/>
        <v>37003998500</v>
      </c>
      <c r="F29" s="73">
        <f t="shared" si="9"/>
        <v>38423282000</v>
      </c>
      <c r="G29" s="73">
        <f t="shared" si="9"/>
        <v>41464048500</v>
      </c>
      <c r="H29" s="83">
        <f>H7</f>
        <v>50702606725</v>
      </c>
    </row>
    <row r="30" spans="2:9" ht="12" customHeight="1">
      <c r="B30" s="303" t="s">
        <v>325</v>
      </c>
      <c r="E30" s="73">
        <f>-E8</f>
        <v>-3499827490</v>
      </c>
      <c r="F30" s="73">
        <f>-F8</f>
        <v>-5441739075.5</v>
      </c>
      <c r="G30" s="73">
        <f>-G8</f>
        <v>-4630156987.5</v>
      </c>
      <c r="H30" s="83">
        <f>-H8</f>
        <v>-5509267641</v>
      </c>
    </row>
    <row r="31" spans="2:9" ht="12" customHeight="1">
      <c r="B31" s="304" t="s">
        <v>322</v>
      </c>
      <c r="C31" s="305"/>
      <c r="D31" s="305"/>
      <c r="E31" s="306">
        <f>E9</f>
        <v>47590611510</v>
      </c>
      <c r="F31" s="306">
        <f>F9</f>
        <v>50910280924.5</v>
      </c>
      <c r="G31" s="306">
        <f>G9</f>
        <v>53632201512.5</v>
      </c>
      <c r="H31" s="307">
        <f>H9</f>
        <v>65946651400</v>
      </c>
    </row>
    <row r="32" spans="2:9" ht="12" customHeight="1">
      <c r="B32" s="308" t="s">
        <v>337</v>
      </c>
      <c r="C32" s="309"/>
      <c r="D32" s="309"/>
      <c r="E32" s="310">
        <f>E11</f>
        <v>0.57349111207490555</v>
      </c>
      <c r="F32" s="310">
        <f>F11</f>
        <v>0.60423351896081035</v>
      </c>
      <c r="G32" s="310">
        <f>G11</f>
        <v>0.55554366534953104</v>
      </c>
      <c r="H32" s="311">
        <f>H11</f>
        <v>0.52644075518491584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B1:F31"/>
  <sheetViews>
    <sheetView showGridLines="0" topLeftCell="A13" zoomScaleNormal="100" workbookViewId="0">
      <selection activeCell="B18" sqref="B18"/>
    </sheetView>
  </sheetViews>
  <sheetFormatPr defaultColWidth="9" defaultRowHeight="12" customHeight="1"/>
  <cols>
    <col min="1" max="1" width="9" style="388"/>
    <col min="2" max="2" width="14.83203125" style="388" customWidth="1"/>
    <col min="3" max="6" width="8.08203125" style="388" customWidth="1"/>
    <col min="7" max="7" width="10.58203125" style="388" customWidth="1"/>
    <col min="8" max="16384" width="9" style="388"/>
  </cols>
  <sheetData>
    <row r="1" spans="2:6" ht="19.5" customHeight="1"/>
    <row r="2" spans="2:6" ht="19.5" customHeight="1">
      <c r="B2" s="386" t="s">
        <v>338</v>
      </c>
      <c r="C2" s="353"/>
      <c r="D2" s="353"/>
      <c r="E2" s="353"/>
      <c r="F2" s="387"/>
    </row>
    <row r="3" spans="2:6" ht="12" customHeight="1">
      <c r="B3" s="446"/>
      <c r="C3" s="447" t="s">
        <v>217</v>
      </c>
      <c r="D3" s="447" t="s">
        <v>231</v>
      </c>
      <c r="E3" s="447" t="s">
        <v>141</v>
      </c>
      <c r="F3" s="448" t="s">
        <v>117</v>
      </c>
    </row>
    <row r="4" spans="2:6" ht="12" customHeight="1">
      <c r="B4" s="449" t="s">
        <v>119</v>
      </c>
      <c r="C4" s="450" t="s">
        <v>120</v>
      </c>
      <c r="D4" s="450" t="s">
        <v>100</v>
      </c>
      <c r="E4" s="450" t="s">
        <v>100</v>
      </c>
      <c r="F4" s="451" t="s">
        <v>178</v>
      </c>
    </row>
    <row r="5" spans="2:6" ht="12" customHeight="1">
      <c r="B5" s="367" t="s">
        <v>339</v>
      </c>
      <c r="C5" s="403">
        <f>C6+C9</f>
        <v>10469071560</v>
      </c>
      <c r="D5" s="403">
        <f t="shared" ref="D5:F5" si="0">D6+D9</f>
        <v>12838413737</v>
      </c>
      <c r="E5" s="403">
        <f t="shared" si="0"/>
        <v>13774282688</v>
      </c>
      <c r="F5" s="404">
        <f t="shared" si="0"/>
        <v>8135340740</v>
      </c>
    </row>
    <row r="6" spans="2:6" ht="12" customHeight="1">
      <c r="B6" s="364" t="s">
        <v>340</v>
      </c>
      <c r="C6" s="398">
        <f>SUM(C7:C8)</f>
        <v>1238793000</v>
      </c>
      <c r="D6" s="398">
        <f t="shared" ref="D6:F6" si="1">SUM(D7:D8)</f>
        <v>1363931730</v>
      </c>
      <c r="E6" s="398">
        <f t="shared" si="1"/>
        <v>1433530540</v>
      </c>
      <c r="F6" s="399">
        <f t="shared" si="1"/>
        <v>736425030</v>
      </c>
    </row>
    <row r="7" spans="2:6" ht="12" customHeight="1">
      <c r="B7" s="397" t="s">
        <v>341</v>
      </c>
      <c r="C7" s="398">
        <f>[12]Memo!C234</f>
        <v>831715870</v>
      </c>
      <c r="D7" s="398">
        <f>[12]Memo!E234</f>
        <v>902689830</v>
      </c>
      <c r="E7" s="398">
        <f>[12]Memo!G234</f>
        <v>861549340</v>
      </c>
      <c r="F7" s="399">
        <f>[12]Memo!I234</f>
        <v>446613360</v>
      </c>
    </row>
    <row r="8" spans="2:6" ht="12" customHeight="1">
      <c r="B8" s="397" t="s">
        <v>342</v>
      </c>
      <c r="C8" s="398">
        <f>[12]Memo!C235</f>
        <v>407077130</v>
      </c>
      <c r="D8" s="398">
        <f>[12]Memo!E235</f>
        <v>461241900</v>
      </c>
      <c r="E8" s="398">
        <f>[12]Memo!G235</f>
        <v>571981200</v>
      </c>
      <c r="F8" s="399">
        <f>[12]Memo!I235</f>
        <v>289811670</v>
      </c>
    </row>
    <row r="9" spans="2:6" ht="12" customHeight="1">
      <c r="B9" s="364" t="s">
        <v>343</v>
      </c>
      <c r="C9" s="398">
        <f>SUM(C10:C11)</f>
        <v>9230278560</v>
      </c>
      <c r="D9" s="398">
        <f t="shared" ref="D9:F9" si="2">SUM(D10:D11)</f>
        <v>11474482007</v>
      </c>
      <c r="E9" s="398">
        <f t="shared" si="2"/>
        <v>12340752148</v>
      </c>
      <c r="F9" s="399">
        <f t="shared" si="2"/>
        <v>7398915710</v>
      </c>
    </row>
    <row r="10" spans="2:6" ht="12" customHeight="1">
      <c r="B10" s="397" t="s">
        <v>341</v>
      </c>
      <c r="C10" s="398">
        <f>[12]Memo!D234</f>
        <v>6451296250</v>
      </c>
      <c r="D10" s="398">
        <f>[12]Memo!F234</f>
        <v>8164830637</v>
      </c>
      <c r="E10" s="398">
        <f>[12]Memo!H234</f>
        <v>8404223938</v>
      </c>
      <c r="F10" s="399">
        <f>[12]Memo!J234</f>
        <v>5048330550</v>
      </c>
    </row>
    <row r="11" spans="2:6" ht="12" customHeight="1">
      <c r="B11" s="440" t="s">
        <v>342</v>
      </c>
      <c r="C11" s="796">
        <f>[12]Memo!D235</f>
        <v>2778982310</v>
      </c>
      <c r="D11" s="796">
        <f>[12]Memo!F235</f>
        <v>3309651370</v>
      </c>
      <c r="E11" s="796">
        <f>[12]Memo!H235</f>
        <v>3936528210</v>
      </c>
      <c r="F11" s="797">
        <f>[12]Memo!J235</f>
        <v>2350585160</v>
      </c>
    </row>
    <row r="12" spans="2:6" ht="12" customHeight="1">
      <c r="B12" s="367" t="s">
        <v>344</v>
      </c>
      <c r="C12" s="403">
        <f>SUM(C14:C16)</f>
        <v>12532198553</v>
      </c>
      <c r="D12" s="403">
        <f t="shared" ref="D12:F12" si="3">SUM(D14:D16)</f>
        <v>14938420894</v>
      </c>
      <c r="E12" s="403">
        <f t="shared" si="3"/>
        <v>16254238644</v>
      </c>
      <c r="F12" s="404">
        <f t="shared" si="3"/>
        <v>9387743467</v>
      </c>
    </row>
    <row r="13" spans="2:6" ht="12" customHeight="1">
      <c r="B13" s="795" t="s">
        <v>345</v>
      </c>
      <c r="C13" s="798" t="s">
        <v>346</v>
      </c>
      <c r="D13" s="790">
        <f>[12]Memo!D242</f>
        <v>0.22631827124505777</v>
      </c>
      <c r="E13" s="790">
        <f>[12]Memo!E242</f>
        <v>7.2895995577930917E-2</v>
      </c>
      <c r="F13" s="791">
        <f>[12]Memo!F242</f>
        <v>0.18123621015668823</v>
      </c>
    </row>
    <row r="14" spans="2:6" ht="12" customHeight="1">
      <c r="B14" s="364" t="s">
        <v>347</v>
      </c>
      <c r="C14" s="398">
        <f>SUM([12]Memo!C273:C275)</f>
        <v>8016667964</v>
      </c>
      <c r="D14" s="398">
        <f>SUM([12]Memo!D273:D275)</f>
        <v>9412275181</v>
      </c>
      <c r="E14" s="398">
        <f>SUM([12]Memo!E273:E275)</f>
        <v>10314422384</v>
      </c>
      <c r="F14" s="399">
        <f>SUM([12]Memo!F273:F275)</f>
        <v>6302560589</v>
      </c>
    </row>
    <row r="15" spans="2:6" ht="12" customHeight="1">
      <c r="B15" s="364" t="s">
        <v>348</v>
      </c>
      <c r="C15" s="398">
        <f>SUM([12]Memo!C263:C265)</f>
        <v>1523768320</v>
      </c>
      <c r="D15" s="398">
        <f>SUM([12]Memo!D263:D265)</f>
        <v>1717201804</v>
      </c>
      <c r="E15" s="398">
        <f>SUM([12]Memo!E263:E265)</f>
        <v>1912536006</v>
      </c>
      <c r="F15" s="399">
        <f>SUM([12]Memo!F263:F265)</f>
        <v>958874081</v>
      </c>
    </row>
    <row r="16" spans="2:6" ht="12" customHeight="1">
      <c r="B16" s="458" t="s">
        <v>349</v>
      </c>
      <c r="C16" s="796">
        <f>SUM([12]Memo!C268:C270)</f>
        <v>2991762269</v>
      </c>
      <c r="D16" s="796">
        <f>SUM([12]Memo!D268:D270)</f>
        <v>3808943909</v>
      </c>
      <c r="E16" s="796">
        <f>SUM([12]Memo!E268:E270)</f>
        <v>4027280254</v>
      </c>
      <c r="F16" s="797">
        <f>SUM([12]Memo!F268:F270)</f>
        <v>2126308797</v>
      </c>
    </row>
    <row r="17" spans="2:6" ht="12" customHeight="1">
      <c r="B17" s="799"/>
      <c r="C17" s="398"/>
      <c r="D17" s="398"/>
      <c r="E17" s="398"/>
      <c r="F17" s="398"/>
    </row>
    <row r="18" spans="2:6" ht="19.5" customHeight="1">
      <c r="B18" s="386" t="s">
        <v>350</v>
      </c>
      <c r="C18" s="353"/>
      <c r="D18" s="353"/>
      <c r="E18" s="353"/>
      <c r="F18" s="387"/>
    </row>
    <row r="19" spans="2:6" ht="12" customHeight="1">
      <c r="B19" s="446"/>
      <c r="C19" s="447" t="s">
        <v>217</v>
      </c>
      <c r="D19" s="447" t="s">
        <v>231</v>
      </c>
      <c r="E19" s="447" t="s">
        <v>141</v>
      </c>
      <c r="F19" s="448" t="s">
        <v>117</v>
      </c>
    </row>
    <row r="20" spans="2:6" ht="12" customHeight="1">
      <c r="B20" s="449" t="s">
        <v>119</v>
      </c>
      <c r="C20" s="450" t="s">
        <v>120</v>
      </c>
      <c r="D20" s="450" t="s">
        <v>100</v>
      </c>
      <c r="E20" s="450" t="s">
        <v>100</v>
      </c>
      <c r="F20" s="451" t="s">
        <v>178</v>
      </c>
    </row>
    <row r="21" spans="2:6" ht="12" customHeight="1">
      <c r="B21" s="367" t="s">
        <v>351</v>
      </c>
      <c r="C21" s="800">
        <f t="shared" ref="C21:E21" si="4">SUM(C22:C24)</f>
        <v>231</v>
      </c>
      <c r="D21" s="800">
        <f t="shared" si="4"/>
        <v>250</v>
      </c>
      <c r="E21" s="800">
        <f t="shared" si="4"/>
        <v>284</v>
      </c>
      <c r="F21" s="801">
        <f>SUM(F22:F24)</f>
        <v>372</v>
      </c>
    </row>
    <row r="22" spans="2:6" ht="12" customHeight="1">
      <c r="B22" s="364" t="s">
        <v>340</v>
      </c>
      <c r="C22" s="802">
        <f>[12]Memo!D244</f>
        <v>10</v>
      </c>
      <c r="D22" s="802">
        <f>[12]Memo!E244</f>
        <v>10</v>
      </c>
      <c r="E22" s="802">
        <f>[12]Memo!F244</f>
        <v>10</v>
      </c>
      <c r="F22" s="803">
        <f>[12]Memo!G244</f>
        <v>10</v>
      </c>
    </row>
    <row r="23" spans="2:6" ht="12" customHeight="1">
      <c r="B23" s="364" t="s">
        <v>352</v>
      </c>
      <c r="C23" s="802">
        <f>[12]Memo!D245</f>
        <v>167</v>
      </c>
      <c r="D23" s="802">
        <f>[12]Memo!E245</f>
        <v>181</v>
      </c>
      <c r="E23" s="802">
        <f>[12]Memo!F245</f>
        <v>211</v>
      </c>
      <c r="F23" s="803">
        <f>[12]Memo!G245</f>
        <v>284</v>
      </c>
    </row>
    <row r="24" spans="2:6" ht="12" customHeight="1">
      <c r="B24" s="458" t="s">
        <v>353</v>
      </c>
      <c r="C24" s="804">
        <f>[12]Memo!D246</f>
        <v>54</v>
      </c>
      <c r="D24" s="804">
        <f>[12]Memo!E246</f>
        <v>59</v>
      </c>
      <c r="E24" s="804">
        <f>[12]Memo!F246</f>
        <v>63</v>
      </c>
      <c r="F24" s="805">
        <f>[12]Memo!G246</f>
        <v>78</v>
      </c>
    </row>
    <row r="25" spans="2:6" ht="12" customHeight="1">
      <c r="B25" s="367" t="s">
        <v>354</v>
      </c>
      <c r="C25" s="403">
        <f>[12]Memo!D250</f>
        <v>45320656.103896104</v>
      </c>
      <c r="D25" s="403">
        <f>[12]Memo!E250</f>
        <v>51353654.947999999</v>
      </c>
      <c r="E25" s="403">
        <f>[12]Memo!F250</f>
        <v>48500995.380281687</v>
      </c>
      <c r="F25" s="404">
        <f>[12]Memo!G250</f>
        <v>21869195.53763441</v>
      </c>
    </row>
    <row r="26" spans="2:6" ht="12" customHeight="1">
      <c r="B26" s="795" t="s">
        <v>345</v>
      </c>
      <c r="C26" s="810" t="s">
        <v>346</v>
      </c>
      <c r="D26" s="808">
        <f>[12]Memo!C283</f>
        <v>0.10141096533710492</v>
      </c>
      <c r="E26" s="808">
        <f>[12]Memo!D283</f>
        <v>-4.2180644994420091E-2</v>
      </c>
      <c r="F26" s="809">
        <f>[12]Memo!E283</f>
        <v>-0.1181393229303529</v>
      </c>
    </row>
    <row r="27" spans="2:6" ht="12" customHeight="1">
      <c r="B27" s="364" t="s">
        <v>340</v>
      </c>
      <c r="C27" s="398">
        <f>[12]Memo!D248</f>
        <v>123879300</v>
      </c>
      <c r="D27" s="398">
        <f>[12]Memo!E248</f>
        <v>136393173</v>
      </c>
      <c r="E27" s="398">
        <f>[12]Memo!F248</f>
        <v>143353054</v>
      </c>
      <c r="F27" s="399">
        <f>[12]Memo!G248</f>
        <v>73642503</v>
      </c>
    </row>
    <row r="28" spans="2:6" ht="12" customHeight="1" thickBot="1">
      <c r="B28" s="376" t="s">
        <v>355</v>
      </c>
      <c r="C28" s="806">
        <f>[12]Memo!D249</f>
        <v>41765966.334841631</v>
      </c>
      <c r="D28" s="806">
        <f>[12]Memo!E249</f>
        <v>47810341.695833333</v>
      </c>
      <c r="E28" s="806">
        <f>[12]Memo!F249</f>
        <v>45039241.416058391</v>
      </c>
      <c r="F28" s="807">
        <f>[12]Memo!G249</f>
        <v>20438993.67403315</v>
      </c>
    </row>
    <row r="29" spans="2:6" ht="12" customHeight="1">
      <c r="B29" s="367" t="s">
        <v>350</v>
      </c>
      <c r="C29" s="403">
        <f>[12]Memo!C281</f>
        <v>54251941.787878789</v>
      </c>
      <c r="D29" s="403">
        <f>[12]Memo!D281</f>
        <v>59753683.575999998</v>
      </c>
      <c r="E29" s="403">
        <f>[12]Memo!E281</f>
        <v>57233234.66197183</v>
      </c>
      <c r="F29" s="404">
        <f>[12]Memo!F281</f>
        <v>25235869.534946237</v>
      </c>
    </row>
    <row r="30" spans="2:6" ht="12" customHeight="1">
      <c r="B30" s="364" t="s">
        <v>356</v>
      </c>
      <c r="C30" s="398">
        <f>[12]Memo!C279</f>
        <v>53900769.966101699</v>
      </c>
      <c r="D30" s="398">
        <f>[12]Memo!D279</f>
        <v>58269513.010471202</v>
      </c>
      <c r="E30" s="398">
        <f>[12]Memo!E279</f>
        <v>55325603.574660636</v>
      </c>
      <c r="F30" s="399">
        <f>[12]Memo!F279</f>
        <v>24698757.380952381</v>
      </c>
    </row>
    <row r="31" spans="2:6" ht="12" customHeight="1" thickBot="1">
      <c r="B31" s="376" t="s">
        <v>357</v>
      </c>
      <c r="C31" s="806">
        <f>[12]Memo!C280</f>
        <v>55403004.981481485</v>
      </c>
      <c r="D31" s="806">
        <f>[12]Memo!D280</f>
        <v>64558371.338983051</v>
      </c>
      <c r="E31" s="806">
        <f>[12]Memo!E280</f>
        <v>63925083.396825396</v>
      </c>
      <c r="F31" s="807">
        <f>[12]Memo!F280</f>
        <v>27260369.192307692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B1:G23"/>
  <sheetViews>
    <sheetView showGridLines="0" zoomScale="115" zoomScaleNormal="115" workbookViewId="0">
      <selection activeCell="G24" sqref="G24"/>
    </sheetView>
  </sheetViews>
  <sheetFormatPr defaultColWidth="9" defaultRowHeight="12" customHeight="1"/>
  <cols>
    <col min="1" max="1" width="9" style="388"/>
    <col min="2" max="2" width="16.83203125" style="388" customWidth="1"/>
    <col min="3" max="6" width="7.58203125" style="388" customWidth="1"/>
    <col min="7" max="7" width="10.58203125" style="388" customWidth="1"/>
    <col min="8" max="16384" width="9" style="388"/>
  </cols>
  <sheetData>
    <row r="1" spans="2:7" ht="19.5" customHeight="1"/>
    <row r="2" spans="2:7" ht="19.5" customHeight="1">
      <c r="B2" s="386" t="s">
        <v>358</v>
      </c>
      <c r="C2" s="353"/>
      <c r="D2" s="353"/>
      <c r="E2" s="353"/>
      <c r="F2" s="387"/>
      <c r="G2" s="445"/>
    </row>
    <row r="3" spans="2:7" ht="12" customHeight="1">
      <c r="B3" s="446"/>
      <c r="C3" s="447" t="s">
        <v>217</v>
      </c>
      <c r="D3" s="447" t="s">
        <v>231</v>
      </c>
      <c r="E3" s="447" t="s">
        <v>141</v>
      </c>
      <c r="F3" s="448" t="s">
        <v>117</v>
      </c>
      <c r="G3" s="345"/>
    </row>
    <row r="4" spans="2:7" ht="12" customHeight="1">
      <c r="B4" s="449" t="s">
        <v>119</v>
      </c>
      <c r="C4" s="450" t="s">
        <v>120</v>
      </c>
      <c r="D4" s="450" t="s">
        <v>100</v>
      </c>
      <c r="E4" s="450" t="s">
        <v>100</v>
      </c>
      <c r="F4" s="451" t="s">
        <v>178</v>
      </c>
      <c r="G4" s="345"/>
    </row>
    <row r="5" spans="2:7" ht="12" customHeight="1">
      <c r="B5" s="367" t="s">
        <v>359</v>
      </c>
      <c r="C5" s="433"/>
      <c r="D5" s="433"/>
      <c r="E5" s="433"/>
      <c r="F5" s="434"/>
      <c r="G5" s="452"/>
    </row>
    <row r="6" spans="2:7" ht="12" customHeight="1">
      <c r="B6" s="364" t="s">
        <v>360</v>
      </c>
      <c r="C6" s="414">
        <f>[11]Memo!C201</f>
        <v>8091352253</v>
      </c>
      <c r="D6" s="414">
        <f>[11]Memo!D201</f>
        <v>3103034059</v>
      </c>
      <c r="E6" s="414">
        <f>[11]Memo!E201</f>
        <v>22907165786</v>
      </c>
      <c r="F6" s="429">
        <f>[11]Memo!C225</f>
        <v>15758544882</v>
      </c>
      <c r="G6" s="453"/>
    </row>
    <row r="7" spans="2:7" ht="12" customHeight="1" thickBot="1">
      <c r="B7" s="376" t="s">
        <v>361</v>
      </c>
      <c r="C7" s="454">
        <f>[11]Memo!C205-[11]Memo!C210-[11]Memo!C211++[11]Memo!C206</f>
        <v>-522054620</v>
      </c>
      <c r="D7" s="454">
        <f>[11]Memo!D205+[11]Memo!D206-[11]Memo!D210-[11]Memo!D211</f>
        <v>-6999624424</v>
      </c>
      <c r="E7" s="454">
        <f>[11]Memo!E205+[11]Memo!E206-[11]Memo!E210-[11]Memo!E211</f>
        <v>20216679044</v>
      </c>
      <c r="F7" s="455">
        <f>[11]Memo!C217</f>
        <v>26700458142</v>
      </c>
      <c r="G7" s="453"/>
    </row>
    <row r="9" spans="2:7" ht="19.5" customHeight="1">
      <c r="B9" s="386" t="s">
        <v>362</v>
      </c>
      <c r="C9" s="353"/>
      <c r="D9" s="353"/>
      <c r="E9" s="353"/>
      <c r="F9" s="387"/>
    </row>
    <row r="10" spans="2:7" ht="12" customHeight="1">
      <c r="B10" s="446"/>
      <c r="C10" s="447" t="s">
        <v>217</v>
      </c>
      <c r="D10" s="447" t="s">
        <v>231</v>
      </c>
      <c r="E10" s="447" t="s">
        <v>141</v>
      </c>
      <c r="F10" s="448" t="s">
        <v>117</v>
      </c>
    </row>
    <row r="11" spans="2:7" ht="12" customHeight="1">
      <c r="B11" s="449" t="s">
        <v>119</v>
      </c>
      <c r="C11" s="450" t="s">
        <v>120</v>
      </c>
      <c r="D11" s="450" t="s">
        <v>100</v>
      </c>
      <c r="E11" s="450" t="s">
        <v>100</v>
      </c>
      <c r="F11" s="451" t="s">
        <v>178</v>
      </c>
    </row>
    <row r="12" spans="2:7" ht="12" customHeight="1">
      <c r="B12" s="367" t="s">
        <v>363</v>
      </c>
      <c r="C12" s="403">
        <f>[11]Memo!C75</f>
        <v>5082642503</v>
      </c>
      <c r="D12" s="403">
        <f>[11]Memo!D75</f>
        <v>6663435159</v>
      </c>
      <c r="E12" s="403">
        <f>[11]Memo!E75</f>
        <v>6782147700</v>
      </c>
      <c r="F12" s="404">
        <f>[11]Memo!F75</f>
        <v>5134487133</v>
      </c>
    </row>
    <row r="13" spans="2:7" ht="12" customHeight="1">
      <c r="B13" s="397" t="s">
        <v>338</v>
      </c>
      <c r="C13" s="398">
        <f>[11]Memo!$C$64+[11]Memo!$C$70</f>
        <v>2862802477</v>
      </c>
      <c r="D13" s="398">
        <f>[11]Memo!$D$64+[11]Memo!$D$70</f>
        <v>3654136353</v>
      </c>
      <c r="E13" s="398">
        <f>[11]Memo!$E$64+[11]Memo!$E$70</f>
        <v>3853269916</v>
      </c>
      <c r="F13" s="399">
        <f>[11]Memo!$F$64+[11]Memo!$F$70</f>
        <v>2018805796</v>
      </c>
    </row>
    <row r="14" spans="2:7" ht="12" customHeight="1">
      <c r="B14" s="397" t="s">
        <v>364</v>
      </c>
      <c r="C14" s="398">
        <f>[11]Memo!$C$65+[11]Memo!$C$67+[11]Memo!$C$68</f>
        <v>1100222685</v>
      </c>
      <c r="D14" s="398">
        <f>[11]Memo!$D$65+[11]Memo!$D$67+[11]Memo!$D$68</f>
        <v>1452118996</v>
      </c>
      <c r="E14" s="398">
        <f>[11]Memo!$E$65+[11]Memo!$E$67+[11]Memo!$E$68</f>
        <v>1461914333</v>
      </c>
      <c r="F14" s="399">
        <f>[11]Memo!F65+[11]Memo!F67+[11]Memo!F68</f>
        <v>1529883684</v>
      </c>
    </row>
    <row r="15" spans="2:7" ht="12" customHeight="1">
      <c r="B15" s="397" t="s">
        <v>365</v>
      </c>
      <c r="C15" s="398">
        <f>[11]Memo!$C$66</f>
        <v>622657870</v>
      </c>
      <c r="D15" s="398">
        <f>[11]Memo!$D$66</f>
        <v>586572150</v>
      </c>
      <c r="E15" s="398">
        <f>[11]Memo!$E$66</f>
        <v>521391007</v>
      </c>
      <c r="F15" s="399">
        <f>[11]Memo!F66</f>
        <v>233751376</v>
      </c>
    </row>
    <row r="16" spans="2:7" ht="12" customHeight="1">
      <c r="B16" s="397" t="s">
        <v>366</v>
      </c>
      <c r="C16" s="398">
        <f>[11]Memo!$C$69</f>
        <v>36346000</v>
      </c>
      <c r="D16" s="398">
        <f>[11]Memo!$D$69</f>
        <v>305408200</v>
      </c>
      <c r="E16" s="398">
        <f>[11]Memo!$E$69</f>
        <v>207246519</v>
      </c>
      <c r="F16" s="399">
        <f>[11]Memo!F69</f>
        <v>818521518</v>
      </c>
    </row>
    <row r="17" spans="2:6" ht="12" customHeight="1">
      <c r="B17" s="397" t="s">
        <v>197</v>
      </c>
      <c r="C17" s="398">
        <f>C12-C13-C14-C15-C16</f>
        <v>460613471</v>
      </c>
      <c r="D17" s="398">
        <f>D12-D13-D14-D15-D16</f>
        <v>665199460</v>
      </c>
      <c r="E17" s="398">
        <f>E12-E13-E14-E15-E16</f>
        <v>738325925</v>
      </c>
      <c r="F17" s="399">
        <f>F12-F13-F14-F15-F16</f>
        <v>533524759</v>
      </c>
    </row>
    <row r="18" spans="2:6" ht="12" customHeight="1">
      <c r="B18" s="367" t="s">
        <v>367</v>
      </c>
      <c r="C18" s="398"/>
      <c r="D18" s="398"/>
      <c r="E18" s="398"/>
      <c r="F18" s="399"/>
    </row>
    <row r="19" spans="2:6" ht="12" customHeight="1">
      <c r="B19" s="456" t="s">
        <v>368</v>
      </c>
      <c r="C19" s="790">
        <f>C13/C12</f>
        <v>0.56325080414572692</v>
      </c>
      <c r="D19" s="790">
        <f>D13/D12</f>
        <v>0.54838627011542596</v>
      </c>
      <c r="E19" s="790">
        <f>E13/E12</f>
        <v>0.56814892368091596</v>
      </c>
      <c r="F19" s="791">
        <f>F13/F12</f>
        <v>0.393185481569304</v>
      </c>
    </row>
    <row r="20" spans="2:6" ht="12" customHeight="1">
      <c r="B20" s="456" t="s">
        <v>369</v>
      </c>
      <c r="C20" s="790">
        <f>C14/C12</f>
        <v>0.21646666755543006</v>
      </c>
      <c r="D20" s="790">
        <f>D14/D12</f>
        <v>0.21792348261072048</v>
      </c>
      <c r="E20" s="790">
        <f>E14/E12</f>
        <v>0.2155533022378737</v>
      </c>
      <c r="F20" s="791">
        <f>F14/F12</f>
        <v>0.29796231724240646</v>
      </c>
    </row>
    <row r="21" spans="2:6" ht="12" customHeight="1">
      <c r="B21" s="456" t="s">
        <v>370</v>
      </c>
      <c r="C21" s="790">
        <f>C15/C12</f>
        <v>0.12250672157887946</v>
      </c>
      <c r="D21" s="790">
        <f>D15/D12</f>
        <v>8.802849221212028E-2</v>
      </c>
      <c r="E21" s="790">
        <f>E15/E12</f>
        <v>7.6876976153143942E-2</v>
      </c>
      <c r="F21" s="791">
        <f>F15/F12</f>
        <v>4.55257496893215E-2</v>
      </c>
    </row>
    <row r="22" spans="2:6" ht="12" customHeight="1">
      <c r="B22" s="456" t="s">
        <v>371</v>
      </c>
      <c r="C22" s="790">
        <f>C16/C12</f>
        <v>7.1510046159152423E-3</v>
      </c>
      <c r="D22" s="790">
        <f>D16/D12</f>
        <v>4.5833446670145647E-2</v>
      </c>
      <c r="E22" s="790">
        <f>E16/E12</f>
        <v>3.0557653440664526E-2</v>
      </c>
      <c r="F22" s="791">
        <f>F16/F12</f>
        <v>0.15941641234998105</v>
      </c>
    </row>
    <row r="23" spans="2:6" ht="12" customHeight="1" thickBot="1">
      <c r="B23" s="457" t="s">
        <v>372</v>
      </c>
      <c r="C23" s="792">
        <f>C17/C12</f>
        <v>9.0624802104048358E-2</v>
      </c>
      <c r="D23" s="792">
        <f t="shared" ref="D23:F23" si="0">D17/D12</f>
        <v>9.982830839158767E-2</v>
      </c>
      <c r="E23" s="792">
        <f t="shared" si="0"/>
        <v>0.10886314448740184</v>
      </c>
      <c r="F23" s="793">
        <f t="shared" si="0"/>
        <v>0.103910039148987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/>
  </sheetPr>
  <dimension ref="A1"/>
  <sheetViews>
    <sheetView workbookViewId="0">
      <selection activeCell="L14" sqref="L14"/>
    </sheetView>
  </sheetViews>
  <sheetFormatPr defaultRowHeight="17"/>
  <sheetData/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99"/>
  </sheetPr>
  <dimension ref="A1:G8"/>
  <sheetViews>
    <sheetView showGridLines="0" zoomScaleNormal="100" workbookViewId="0">
      <selection activeCell="D6" sqref="D6"/>
    </sheetView>
  </sheetViews>
  <sheetFormatPr defaultColWidth="9" defaultRowHeight="12" customHeight="1"/>
  <cols>
    <col min="1" max="1" width="8.58203125" style="5" customWidth="1"/>
    <col min="2" max="2" width="5.83203125" style="5" bestFit="1" customWidth="1"/>
    <col min="3" max="6" width="8.75" style="5" customWidth="1"/>
    <col min="7" max="7" width="8.58203125" style="5" customWidth="1"/>
    <col min="8" max="8" width="12.58203125" style="5" customWidth="1"/>
    <col min="9" max="14" width="8.58203125" style="5" customWidth="1"/>
    <col min="15" max="16384" width="9" style="5"/>
  </cols>
  <sheetData>
    <row r="1" spans="1:7" ht="19.5" customHeight="1">
      <c r="A1" s="1" t="s">
        <v>168</v>
      </c>
      <c r="B1" s="2"/>
      <c r="C1" s="2"/>
      <c r="D1" s="2"/>
      <c r="E1" s="2"/>
      <c r="F1" s="2"/>
      <c r="G1" s="45"/>
    </row>
    <row r="2" spans="1:7" ht="12" customHeight="1">
      <c r="A2" s="775"/>
      <c r="B2" s="842" t="s">
        <v>141</v>
      </c>
      <c r="C2" s="842"/>
      <c r="D2" s="843"/>
      <c r="E2" s="842" t="s">
        <v>117</v>
      </c>
      <c r="F2" s="842"/>
      <c r="G2" s="844"/>
    </row>
    <row r="3" spans="1:7" ht="12" customHeight="1">
      <c r="A3" s="9" t="s">
        <v>119</v>
      </c>
      <c r="B3" s="10" t="s">
        <v>142</v>
      </c>
      <c r="C3" s="10" t="s">
        <v>143</v>
      </c>
      <c r="D3" s="10" t="s">
        <v>144</v>
      </c>
      <c r="E3" s="49" t="s">
        <v>145</v>
      </c>
      <c r="F3" s="10" t="s">
        <v>146</v>
      </c>
      <c r="G3" s="11" t="s">
        <v>147</v>
      </c>
    </row>
    <row r="4" spans="1:7" ht="12" customHeight="1">
      <c r="A4" s="50" t="s">
        <v>122</v>
      </c>
      <c r="B4" s="52">
        <v>29845000000</v>
      </c>
      <c r="C4" s="52">
        <v>53846000000</v>
      </c>
      <c r="D4" s="53">
        <f>C4/B4</f>
        <v>1.804188306248953</v>
      </c>
      <c r="E4" s="54">
        <v>66951000000</v>
      </c>
      <c r="F4" s="52">
        <v>56101000000</v>
      </c>
      <c r="G4" s="55">
        <f>F4/E4</f>
        <v>0.83794118086361669</v>
      </c>
    </row>
    <row r="5" spans="1:7" ht="12" customHeight="1">
      <c r="A5" s="56" t="s">
        <v>148</v>
      </c>
      <c r="B5" s="57">
        <v>29148000000</v>
      </c>
      <c r="C5" s="57">
        <v>24229000000</v>
      </c>
      <c r="D5" s="58">
        <f>C5/B5</f>
        <v>0.83124056539042135</v>
      </c>
      <c r="E5" s="59">
        <v>27807000000</v>
      </c>
      <c r="F5" s="57">
        <v>21584000000</v>
      </c>
      <c r="G5" s="60">
        <f>F5/E5</f>
        <v>0.77620742978386736</v>
      </c>
    </row>
    <row r="6" spans="1:7" ht="12" customHeight="1">
      <c r="A6" s="56" t="s">
        <v>149</v>
      </c>
      <c r="B6" s="57">
        <v>25049000000</v>
      </c>
      <c r="C6" s="57">
        <v>13017000000</v>
      </c>
      <c r="D6" s="58">
        <f t="shared" ref="D6:D8" si="0">C6/B6</f>
        <v>0.51966146353147835</v>
      </c>
      <c r="E6" s="59">
        <v>11970000000</v>
      </c>
      <c r="F6" s="57">
        <v>10098000000</v>
      </c>
      <c r="G6" s="60">
        <f>F6/E6</f>
        <v>0.84360902255639103</v>
      </c>
    </row>
    <row r="7" spans="1:7" ht="12" customHeight="1">
      <c r="A7" s="56" t="s">
        <v>150</v>
      </c>
      <c r="B7" s="57">
        <v>9996000000</v>
      </c>
      <c r="C7" s="57">
        <v>5448000000</v>
      </c>
      <c r="D7" s="58">
        <f t="shared" si="0"/>
        <v>0.54501800720288118</v>
      </c>
      <c r="E7" s="59">
        <v>8800000000</v>
      </c>
      <c r="F7" s="57">
        <v>6169000000</v>
      </c>
      <c r="G7" s="60">
        <f>F7/E7</f>
        <v>0.7010227272727273</v>
      </c>
    </row>
    <row r="8" spans="1:7" ht="12" customHeight="1" thickBot="1">
      <c r="A8" s="42" t="s">
        <v>151</v>
      </c>
      <c r="B8" s="61">
        <f t="shared" ref="B8:C8" si="1">SUM(B4:B7)</f>
        <v>94038000000</v>
      </c>
      <c r="C8" s="61">
        <f t="shared" si="1"/>
        <v>96540000000</v>
      </c>
      <c r="D8" s="62">
        <f t="shared" si="0"/>
        <v>1.0266062655522237</v>
      </c>
      <c r="E8" s="63">
        <f>SUM(E4:E7)</f>
        <v>115528000000</v>
      </c>
      <c r="F8" s="61">
        <f>SUM(F4:F7)</f>
        <v>93952000000</v>
      </c>
      <c r="G8" s="64">
        <f>F8/E8</f>
        <v>0.81324008032684714</v>
      </c>
    </row>
  </sheetData>
  <mergeCells count="2">
    <mergeCell ref="B2:D2"/>
    <mergeCell ref="E2:G2"/>
  </mergeCells>
  <phoneticPr fontId="3" type="noConversion"/>
  <pageMargins left="0.7" right="0.7" top="0.75" bottom="0.75" header="0.3" footer="0.3"/>
  <ignoredErrors>
    <ignoredError sqref="D8" formula="1"/>
  </ignoredErrors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21"/>
  <sheetViews>
    <sheetView workbookViewId="0">
      <selection activeCell="G3" sqref="G3"/>
    </sheetView>
  </sheetViews>
  <sheetFormatPr defaultColWidth="9" defaultRowHeight="14.5"/>
  <cols>
    <col min="1" max="1" width="9" style="591"/>
    <col min="2" max="2" width="13.33203125" style="591" customWidth="1"/>
    <col min="3" max="6" width="8.25" style="591" customWidth="1"/>
    <col min="7" max="16384" width="9" style="591"/>
  </cols>
  <sheetData>
    <row r="1" spans="2:6" ht="19.5" customHeight="1">
      <c r="B1" s="1" t="s">
        <v>116</v>
      </c>
      <c r="C1" s="3"/>
      <c r="D1" s="3"/>
      <c r="E1" s="3"/>
      <c r="F1" s="4"/>
    </row>
    <row r="2" spans="2:6">
      <c r="B2" s="592"/>
      <c r="C2" s="593" t="s">
        <v>96</v>
      </c>
      <c r="D2" s="593" t="s">
        <v>97</v>
      </c>
      <c r="E2" s="593" t="s">
        <v>98</v>
      </c>
      <c r="F2" s="594" t="s">
        <v>117</v>
      </c>
    </row>
    <row r="3" spans="2:6">
      <c r="B3" s="595" t="s">
        <v>119</v>
      </c>
      <c r="C3" s="596" t="s">
        <v>120</v>
      </c>
      <c r="D3" s="596" t="s">
        <v>120</v>
      </c>
      <c r="E3" s="596" t="s">
        <v>120</v>
      </c>
      <c r="F3" s="597" t="s">
        <v>121</v>
      </c>
    </row>
    <row r="4" spans="2:6">
      <c r="B4" s="598" t="s">
        <v>123</v>
      </c>
      <c r="C4" s="599"/>
      <c r="D4" s="599"/>
      <c r="E4" s="599"/>
      <c r="F4" s="600"/>
    </row>
    <row r="5" spans="2:6">
      <c r="B5" s="601" t="s">
        <v>90</v>
      </c>
      <c r="C5" s="602">
        <v>16330000000</v>
      </c>
      <c r="D5" s="602">
        <v>43185000000</v>
      </c>
      <c r="E5" s="602">
        <v>53845000000</v>
      </c>
      <c r="F5" s="603">
        <v>56101000000</v>
      </c>
    </row>
    <row r="6" spans="2:6">
      <c r="B6" s="601" t="s">
        <v>91</v>
      </c>
      <c r="C6" s="602">
        <v>33388000000</v>
      </c>
      <c r="D6" s="602">
        <v>7242000000</v>
      </c>
      <c r="E6" s="602">
        <v>10784000000</v>
      </c>
      <c r="F6" s="603">
        <v>8857000000</v>
      </c>
    </row>
    <row r="7" spans="2:6">
      <c r="B7" s="601" t="s">
        <v>92</v>
      </c>
      <c r="C7" s="602">
        <v>10176000000</v>
      </c>
      <c r="D7" s="602">
        <v>9445000000</v>
      </c>
      <c r="E7" s="602">
        <v>11504000000</v>
      </c>
      <c r="F7" s="603">
        <v>8529000000</v>
      </c>
    </row>
    <row r="8" spans="2:6">
      <c r="B8" s="604" t="s">
        <v>93</v>
      </c>
      <c r="C8" s="605">
        <v>5602000000</v>
      </c>
      <c r="D8" s="605">
        <v>4400000000</v>
      </c>
      <c r="E8" s="605">
        <v>5449000000</v>
      </c>
      <c r="F8" s="606">
        <v>6169000000</v>
      </c>
    </row>
    <row r="9" spans="2:6">
      <c r="B9" s="607" t="s">
        <v>131</v>
      </c>
      <c r="C9" s="608">
        <v>0.22734223578472929</v>
      </c>
      <c r="D9" s="608">
        <v>0.25679600522036194</v>
      </c>
      <c r="E9" s="608">
        <v>0.23088554943497047</v>
      </c>
      <c r="F9" s="609">
        <v>0.43019200071861358</v>
      </c>
    </row>
    <row r="10" spans="2:6">
      <c r="B10" s="610" t="s">
        <v>132</v>
      </c>
      <c r="C10" s="611">
        <v>65496000000</v>
      </c>
      <c r="D10" s="611">
        <v>64272000000</v>
      </c>
      <c r="E10" s="611">
        <v>81582000000</v>
      </c>
      <c r="F10" s="612">
        <v>79656000000</v>
      </c>
    </row>
    <row r="11" spans="2:6">
      <c r="B11" s="598" t="s">
        <v>126</v>
      </c>
      <c r="C11" s="599"/>
      <c r="D11" s="599"/>
      <c r="E11" s="599"/>
      <c r="F11" s="600"/>
    </row>
    <row r="12" spans="2:6">
      <c r="B12" s="601" t="s">
        <v>91</v>
      </c>
      <c r="C12" s="602">
        <v>7702000000</v>
      </c>
      <c r="D12" s="602">
        <v>7831000000</v>
      </c>
      <c r="E12" s="602">
        <v>13445000000</v>
      </c>
      <c r="F12" s="603">
        <v>12727000000</v>
      </c>
    </row>
    <row r="13" spans="2:6">
      <c r="B13" s="604" t="s">
        <v>92</v>
      </c>
      <c r="C13" s="605">
        <v>9786000000</v>
      </c>
      <c r="D13" s="605">
        <v>12153000000</v>
      </c>
      <c r="E13" s="605">
        <v>1513000000</v>
      </c>
      <c r="F13" s="606">
        <v>1569000000</v>
      </c>
    </row>
    <row r="14" spans="2:6">
      <c r="B14" s="607" t="s">
        <v>136</v>
      </c>
      <c r="C14" s="608">
        <v>0.20240879034781134</v>
      </c>
      <c r="D14" s="608">
        <v>0.22818068032919986</v>
      </c>
      <c r="E14" s="608">
        <v>0.11083298435417968</v>
      </c>
      <c r="F14" s="609">
        <v>0.10693506988477799</v>
      </c>
    </row>
    <row r="15" spans="2:6">
      <c r="B15" s="610" t="s">
        <v>137</v>
      </c>
      <c r="C15" s="611">
        <v>17488000000</v>
      </c>
      <c r="D15" s="611">
        <v>19984000000</v>
      </c>
      <c r="E15" s="611">
        <v>14958000000</v>
      </c>
      <c r="F15" s="612">
        <v>14296000000</v>
      </c>
    </row>
    <row r="16" spans="2:6">
      <c r="B16" s="613" t="s">
        <v>122</v>
      </c>
      <c r="C16" s="614">
        <v>16330000000</v>
      </c>
      <c r="D16" s="614">
        <v>43185000000</v>
      </c>
      <c r="E16" s="614">
        <v>53845000000</v>
      </c>
      <c r="F16" s="615">
        <v>56101000000</v>
      </c>
    </row>
    <row r="17" spans="2:6">
      <c r="B17" s="616" t="s">
        <v>91</v>
      </c>
      <c r="C17" s="617">
        <v>41090000000</v>
      </c>
      <c r="D17" s="617">
        <v>15073000000</v>
      </c>
      <c r="E17" s="617">
        <v>24229000000</v>
      </c>
      <c r="F17" s="618">
        <v>21584000000</v>
      </c>
    </row>
    <row r="18" spans="2:6">
      <c r="B18" s="616" t="s">
        <v>92</v>
      </c>
      <c r="C18" s="617">
        <v>19962000000</v>
      </c>
      <c r="D18" s="617">
        <v>21598000000</v>
      </c>
      <c r="E18" s="617">
        <v>13017000000</v>
      </c>
      <c r="F18" s="618">
        <v>10098000000</v>
      </c>
    </row>
    <row r="19" spans="2:6">
      <c r="B19" s="619" t="s">
        <v>93</v>
      </c>
      <c r="C19" s="620">
        <v>5602000000</v>
      </c>
      <c r="D19" s="620">
        <v>4400000000</v>
      </c>
      <c r="E19" s="620">
        <v>5449000000</v>
      </c>
      <c r="F19" s="621">
        <v>6169000000</v>
      </c>
    </row>
    <row r="20" spans="2:6" ht="15" thickBot="1">
      <c r="B20" s="622" t="s">
        <v>134</v>
      </c>
      <c r="C20" s="623">
        <v>82984000000</v>
      </c>
      <c r="D20" s="623">
        <v>84256000000</v>
      </c>
      <c r="E20" s="623">
        <v>96540000000</v>
      </c>
      <c r="F20" s="624">
        <v>93952000000</v>
      </c>
    </row>
    <row r="21" spans="2:6">
      <c r="B21" s="625"/>
      <c r="C21" s="625"/>
      <c r="D21" s="625"/>
      <c r="E21" s="625"/>
      <c r="F21" s="625"/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99"/>
  </sheetPr>
  <dimension ref="A1:J103"/>
  <sheetViews>
    <sheetView showGridLines="0" workbookViewId="0">
      <selection activeCell="C112" sqref="C112"/>
    </sheetView>
  </sheetViews>
  <sheetFormatPr defaultColWidth="9" defaultRowHeight="12" customHeight="1" outlineLevelRow="1"/>
  <cols>
    <col min="1" max="1" width="16.58203125" style="5" customWidth="1"/>
    <col min="2" max="5" width="7.58203125" style="5" customWidth="1"/>
    <col min="6" max="9" width="5.58203125" style="236" customWidth="1"/>
    <col min="10" max="16384" width="9" style="5"/>
  </cols>
  <sheetData>
    <row r="1" spans="1:9" ht="19.5" customHeight="1">
      <c r="A1" s="170" t="s">
        <v>373</v>
      </c>
      <c r="B1" s="169"/>
      <c r="C1" s="169"/>
      <c r="D1" s="169"/>
      <c r="E1" s="168"/>
      <c r="F1" s="199"/>
      <c r="G1" s="199"/>
      <c r="H1" s="199"/>
      <c r="I1" s="199"/>
    </row>
    <row r="2" spans="1:9" ht="12" customHeight="1">
      <c r="A2" s="150"/>
      <c r="B2" s="166" t="s">
        <v>96</v>
      </c>
      <c r="C2" s="166" t="s">
        <v>97</v>
      </c>
      <c r="D2" s="166" t="s">
        <v>98</v>
      </c>
      <c r="E2" s="165" t="s">
        <v>117</v>
      </c>
      <c r="F2" s="200" t="s">
        <v>96</v>
      </c>
      <c r="G2" s="200" t="s">
        <v>97</v>
      </c>
      <c r="H2" s="200" t="s">
        <v>98</v>
      </c>
      <c r="I2" s="200" t="s">
        <v>117</v>
      </c>
    </row>
    <row r="3" spans="1:9" ht="12" customHeight="1">
      <c r="A3" s="105" t="s">
        <v>119</v>
      </c>
      <c r="B3" s="163" t="s">
        <v>120</v>
      </c>
      <c r="C3" s="163" t="s">
        <v>120</v>
      </c>
      <c r="D3" s="163" t="s">
        <v>120</v>
      </c>
      <c r="E3" s="162" t="s">
        <v>121</v>
      </c>
      <c r="F3" s="201" t="s">
        <v>218</v>
      </c>
      <c r="G3" s="201" t="s">
        <v>218</v>
      </c>
      <c r="H3" s="201" t="s">
        <v>218</v>
      </c>
      <c r="I3" s="201" t="s">
        <v>218</v>
      </c>
    </row>
    <row r="4" spans="1:9" ht="12" customHeight="1">
      <c r="A4" s="202" t="s">
        <v>263</v>
      </c>
      <c r="B4" s="203">
        <f>SUM(B5:B9)</f>
        <v>33844971316</v>
      </c>
      <c r="C4" s="203">
        <f>SUM(C5:C9)</f>
        <v>28067696102</v>
      </c>
      <c r="D4" s="788">
        <f>SUM(D5:D9)</f>
        <v>45568692488</v>
      </c>
      <c r="E4" s="205">
        <f>SUM(E5:E9)</f>
        <v>34616135308</v>
      </c>
      <c r="F4" s="206">
        <f>B4/B$38</f>
        <v>0.5187680702085542</v>
      </c>
      <c r="G4" s="206">
        <f>C4/C$38</f>
        <v>0.44367312826040523</v>
      </c>
      <c r="H4" s="206">
        <f>D4/D$38</f>
        <v>0.56197313615386957</v>
      </c>
      <c r="I4" s="206">
        <f>E4/E$38</f>
        <v>0.44366376715349815</v>
      </c>
    </row>
    <row r="5" spans="1:9" ht="12" hidden="1" customHeight="1" outlineLevel="1">
      <c r="A5" s="207" t="s">
        <v>264</v>
      </c>
      <c r="B5" s="208">
        <v>33524692603</v>
      </c>
      <c r="C5" s="208">
        <v>28732875811</v>
      </c>
      <c r="D5" s="208">
        <v>47818223916</v>
      </c>
      <c r="E5" s="209">
        <v>39752554912</v>
      </c>
      <c r="F5" s="5"/>
      <c r="G5" s="5"/>
      <c r="H5" s="5"/>
      <c r="I5" s="206"/>
    </row>
    <row r="6" spans="1:9" ht="12" hidden="1" customHeight="1" outlineLevel="1">
      <c r="A6" s="207" t="s">
        <v>265</v>
      </c>
      <c r="B6" s="208">
        <v>14296584</v>
      </c>
      <c r="C6" s="208">
        <v>97284955</v>
      </c>
      <c r="D6" s="208">
        <v>198934783</v>
      </c>
      <c r="E6" s="209">
        <v>103424415</v>
      </c>
      <c r="F6" s="5"/>
      <c r="G6" s="5"/>
      <c r="H6" s="5"/>
      <c r="I6" s="206"/>
    </row>
    <row r="7" spans="1:9" ht="12" hidden="1" customHeight="1" outlineLevel="1">
      <c r="A7" s="207" t="s">
        <v>266</v>
      </c>
      <c r="B7" s="208">
        <v>-2334022461</v>
      </c>
      <c r="C7" s="208">
        <v>-623329560</v>
      </c>
      <c r="D7" s="208">
        <v>-1443725101</v>
      </c>
      <c r="E7" s="209">
        <v>-1613291399</v>
      </c>
      <c r="F7" s="5"/>
      <c r="G7" s="5"/>
      <c r="H7" s="5"/>
      <c r="I7" s="5"/>
    </row>
    <row r="8" spans="1:9" ht="12" hidden="1" customHeight="1" outlineLevel="1">
      <c r="A8" s="207" t="s">
        <v>267</v>
      </c>
      <c r="B8" s="208">
        <v>9049664732</v>
      </c>
      <c r="C8" s="208">
        <v>6409660142</v>
      </c>
      <c r="D8" s="208">
        <v>6548795246</v>
      </c>
      <c r="E8" s="209">
        <v>7553536356</v>
      </c>
      <c r="F8" s="5"/>
      <c r="G8" s="5"/>
      <c r="H8" s="5"/>
      <c r="I8" s="206"/>
    </row>
    <row r="9" spans="1:9" ht="12" hidden="1" customHeight="1" outlineLevel="1">
      <c r="A9" s="207" t="s">
        <v>268</v>
      </c>
      <c r="B9" s="208">
        <v>-6409660142</v>
      </c>
      <c r="C9" s="208">
        <v>-6548795246</v>
      </c>
      <c r="D9" s="208">
        <v>-7553536356</v>
      </c>
      <c r="E9" s="209">
        <v>-11180088976</v>
      </c>
      <c r="F9" s="5"/>
      <c r="G9" s="5"/>
      <c r="H9" s="5"/>
      <c r="I9" s="5"/>
    </row>
    <row r="10" spans="1:9" ht="12" customHeight="1" collapsed="1">
      <c r="A10" s="210" t="s">
        <v>269</v>
      </c>
      <c r="B10" s="208">
        <v>7448392707</v>
      </c>
      <c r="C10" s="208">
        <v>8746928996</v>
      </c>
      <c r="D10" s="208">
        <v>9584246660</v>
      </c>
      <c r="E10" s="209">
        <v>9396812422</v>
      </c>
      <c r="F10" s="206">
        <f t="shared" ref="F10:I11" si="0">B10/B$38</f>
        <v>0.1141672798209518</v>
      </c>
      <c r="G10" s="206">
        <f t="shared" si="0"/>
        <v>0.13826490554208457</v>
      </c>
      <c r="H10" s="206">
        <f t="shared" si="0"/>
        <v>0.1181971406050506</v>
      </c>
      <c r="I10" s="206">
        <f t="shared" si="0"/>
        <v>0.12043589387680201</v>
      </c>
    </row>
    <row r="11" spans="1:9" ht="12" customHeight="1">
      <c r="A11" s="210" t="s">
        <v>270</v>
      </c>
      <c r="B11" s="208">
        <v>13107564054</v>
      </c>
      <c r="C11" s="208">
        <v>10983573691</v>
      </c>
      <c r="D11" s="208">
        <v>10868649490</v>
      </c>
      <c r="E11" s="209">
        <v>14133568974</v>
      </c>
      <c r="F11" s="206">
        <f t="shared" si="0"/>
        <v>0.2009097790611522</v>
      </c>
      <c r="G11" s="206">
        <f t="shared" si="0"/>
        <v>0.17362011050908505</v>
      </c>
      <c r="H11" s="206">
        <f t="shared" si="0"/>
        <v>0.13403696060098494</v>
      </c>
      <c r="I11" s="206">
        <f t="shared" si="0"/>
        <v>0.18114536468429734</v>
      </c>
    </row>
    <row r="12" spans="1:9" ht="12" customHeight="1">
      <c r="A12" s="207" t="s">
        <v>271</v>
      </c>
      <c r="B12" s="208">
        <v>3162616157</v>
      </c>
      <c r="C12" s="208">
        <v>3564085816</v>
      </c>
      <c r="D12" s="208">
        <v>3743001643</v>
      </c>
      <c r="E12" s="209">
        <v>4097589679</v>
      </c>
      <c r="F12" s="211"/>
      <c r="G12" s="211"/>
      <c r="H12" s="211"/>
      <c r="I12" s="211"/>
    </row>
    <row r="13" spans="1:9" ht="12" customHeight="1">
      <c r="A13" s="207" t="s">
        <v>272</v>
      </c>
      <c r="B13" s="208">
        <v>1449306666</v>
      </c>
      <c r="C13" s="208">
        <v>1565168046</v>
      </c>
      <c r="D13" s="208">
        <v>1638121434</v>
      </c>
      <c r="E13" s="209">
        <v>3603915206</v>
      </c>
      <c r="F13" s="206"/>
      <c r="G13" s="206"/>
      <c r="H13" s="206"/>
      <c r="I13" s="206"/>
    </row>
    <row r="14" spans="1:9" ht="12" customHeight="1">
      <c r="A14" s="207" t="s">
        <v>273</v>
      </c>
      <c r="B14" s="208">
        <v>1065651671</v>
      </c>
      <c r="C14" s="208">
        <v>1160014159</v>
      </c>
      <c r="D14" s="208">
        <v>1235024388</v>
      </c>
      <c r="E14" s="209">
        <v>1488668459</v>
      </c>
      <c r="F14" s="211"/>
      <c r="G14" s="211"/>
      <c r="H14" s="211"/>
      <c r="I14" s="211"/>
    </row>
    <row r="15" spans="1:9" ht="12" customHeight="1">
      <c r="A15" s="207" t="s">
        <v>274</v>
      </c>
      <c r="B15" s="208">
        <v>586522986</v>
      </c>
      <c r="C15" s="208">
        <v>479639429</v>
      </c>
      <c r="D15" s="208">
        <v>595641842</v>
      </c>
      <c r="E15" s="209">
        <v>1002589193</v>
      </c>
      <c r="F15" s="206"/>
      <c r="G15" s="206"/>
      <c r="H15" s="206"/>
      <c r="I15" s="206"/>
    </row>
    <row r="16" spans="1:9" ht="12" customHeight="1">
      <c r="A16" s="84" t="s">
        <v>275</v>
      </c>
      <c r="B16" s="37">
        <v>6843466574</v>
      </c>
      <c r="C16" s="37">
        <v>4214666241</v>
      </c>
      <c r="D16" s="37">
        <v>3656860183</v>
      </c>
      <c r="E16" s="140">
        <v>3940806437</v>
      </c>
      <c r="F16" s="212"/>
      <c r="G16" s="212"/>
      <c r="H16" s="212"/>
      <c r="I16" s="212"/>
    </row>
    <row r="17" spans="1:9" ht="12" customHeight="1">
      <c r="A17" s="213" t="s">
        <v>276</v>
      </c>
      <c r="B17" s="214">
        <f>B4+B10+B11</f>
        <v>54400928077</v>
      </c>
      <c r="C17" s="214">
        <f>C4+C10+C11</f>
        <v>47798198789</v>
      </c>
      <c r="D17" s="214">
        <f>D4+D10+D11</f>
        <v>66021588638</v>
      </c>
      <c r="E17" s="215">
        <f>E4+E10+E11</f>
        <v>58146516704</v>
      </c>
      <c r="F17" s="216">
        <f t="shared" ref="F17:I20" si="1">B17/B$38</f>
        <v>0.83384512909065822</v>
      </c>
      <c r="G17" s="216">
        <f t="shared" si="1"/>
        <v>0.75555814431157486</v>
      </c>
      <c r="H17" s="216">
        <f t="shared" si="1"/>
        <v>0.81420723735990508</v>
      </c>
      <c r="I17" s="216">
        <f t="shared" si="1"/>
        <v>0.7452450257145975</v>
      </c>
    </row>
    <row r="18" spans="1:9" ht="12" customHeight="1">
      <c r="A18" s="217" t="s">
        <v>277</v>
      </c>
      <c r="B18" s="218">
        <v>-21959235397</v>
      </c>
      <c r="C18" s="218">
        <v>-41732621383</v>
      </c>
      <c r="D18" s="218">
        <v>-34199276690</v>
      </c>
      <c r="E18" s="219">
        <v>-60709048341</v>
      </c>
      <c r="F18" s="206">
        <f t="shared" si="1"/>
        <v>-0.33658619662566197</v>
      </c>
      <c r="G18" s="206">
        <f t="shared" si="1"/>
        <v>-0.65967803742122366</v>
      </c>
      <c r="H18" s="206">
        <f t="shared" si="1"/>
        <v>-0.42176050543329396</v>
      </c>
      <c r="I18" s="206">
        <f t="shared" si="1"/>
        <v>-0.77808816170900452</v>
      </c>
    </row>
    <row r="19" spans="1:9" ht="12" customHeight="1">
      <c r="A19" s="207" t="s">
        <v>278</v>
      </c>
      <c r="B19" s="37">
        <f>B20+B21+B22</f>
        <v>37005346021</v>
      </c>
      <c r="C19" s="37">
        <f t="shared" ref="C19:E19" si="2">C20+C21+C22</f>
        <v>65230442633</v>
      </c>
      <c r="D19" s="37">
        <f t="shared" si="2"/>
        <v>66658812839</v>
      </c>
      <c r="E19" s="140">
        <f t="shared" si="2"/>
        <v>101472770474</v>
      </c>
      <c r="F19" s="206">
        <f t="shared" si="1"/>
        <v>0.56720957933383198</v>
      </c>
      <c r="G19" s="206">
        <f t="shared" si="1"/>
        <v>1.0311140050690439</v>
      </c>
      <c r="H19" s="206">
        <f t="shared" si="1"/>
        <v>0.82206576616810856</v>
      </c>
      <c r="I19" s="206">
        <f t="shared" si="1"/>
        <v>1.3005435532138316</v>
      </c>
    </row>
    <row r="20" spans="1:9" ht="12" hidden="1" customHeight="1" outlineLevel="1">
      <c r="A20" s="220" t="s">
        <v>279</v>
      </c>
      <c r="B20" s="37">
        <v>36568268181</v>
      </c>
      <c r="C20" s="37">
        <v>59705530172</v>
      </c>
      <c r="D20" s="37">
        <v>60096233197</v>
      </c>
      <c r="E20" s="140">
        <v>100850686725</v>
      </c>
      <c r="F20" s="206">
        <f t="shared" si="1"/>
        <v>0.56051014899687879</v>
      </c>
      <c r="G20" s="206">
        <f t="shared" si="1"/>
        <v>0.94378032488279961</v>
      </c>
      <c r="H20" s="206">
        <f t="shared" si="1"/>
        <v>0.74113315078430153</v>
      </c>
      <c r="I20" s="206">
        <f t="shared" si="1"/>
        <v>1.2925705077796545</v>
      </c>
    </row>
    <row r="21" spans="1:9" ht="12" hidden="1" customHeight="1" outlineLevel="1">
      <c r="A21" s="220" t="s">
        <v>280</v>
      </c>
      <c r="B21" s="37">
        <v>3189643360</v>
      </c>
      <c r="C21" s="37">
        <v>5619028311</v>
      </c>
      <c r="D21" s="37">
        <v>6316501594</v>
      </c>
      <c r="E21" s="140">
        <v>885529860</v>
      </c>
      <c r="F21" s="211"/>
      <c r="G21" s="211"/>
      <c r="H21" s="211"/>
      <c r="I21" s="211"/>
    </row>
    <row r="22" spans="1:9" ht="12" hidden="1" customHeight="1" outlineLevel="1">
      <c r="A22" s="220" t="s">
        <v>281</v>
      </c>
      <c r="B22" s="37">
        <v>-2752565520</v>
      </c>
      <c r="C22" s="37">
        <v>-94115850</v>
      </c>
      <c r="D22" s="37">
        <v>246078048</v>
      </c>
      <c r="E22" s="140">
        <v>-263446111</v>
      </c>
      <c r="F22" s="211"/>
      <c r="G22" s="211"/>
      <c r="H22" s="211"/>
      <c r="I22" s="211"/>
    </row>
    <row r="23" spans="1:9" ht="12" customHeight="1" collapsed="1">
      <c r="A23" s="207" t="s">
        <v>282</v>
      </c>
      <c r="B23" s="37">
        <v>-139714140</v>
      </c>
      <c r="C23" s="37">
        <v>0</v>
      </c>
      <c r="D23" s="37">
        <v>-167418987</v>
      </c>
      <c r="E23" s="140">
        <v>-11665234</v>
      </c>
      <c r="F23" s="211"/>
      <c r="G23" s="211"/>
      <c r="H23" s="211"/>
      <c r="I23" s="211"/>
    </row>
    <row r="24" spans="1:9" ht="12" customHeight="1">
      <c r="A24" s="207" t="s">
        <v>283</v>
      </c>
      <c r="B24" s="37">
        <f>B25+B26</f>
        <v>555986188</v>
      </c>
      <c r="C24" s="37">
        <f>C25+C26</f>
        <v>-62012933</v>
      </c>
      <c r="D24" s="37">
        <f>D25+D26</f>
        <v>-2285065830</v>
      </c>
      <c r="E24" s="140">
        <f>E25+E26</f>
        <v>1377388872</v>
      </c>
      <c r="F24" s="211"/>
      <c r="G24" s="211"/>
      <c r="H24" s="211"/>
      <c r="I24" s="211"/>
    </row>
    <row r="25" spans="1:9" ht="12" hidden="1" customHeight="1" outlineLevel="1">
      <c r="A25" s="220" t="s">
        <v>284</v>
      </c>
      <c r="B25" s="37">
        <v>779466978</v>
      </c>
      <c r="C25" s="37">
        <v>223480790</v>
      </c>
      <c r="D25" s="37">
        <v>285493723</v>
      </c>
      <c r="E25" s="140">
        <v>2570559553</v>
      </c>
      <c r="F25" s="211"/>
      <c r="G25" s="211"/>
      <c r="H25" s="211"/>
      <c r="I25" s="211"/>
    </row>
    <row r="26" spans="1:9" ht="12" hidden="1" customHeight="1" outlineLevel="1">
      <c r="A26" s="220" t="s">
        <v>285</v>
      </c>
      <c r="B26" s="37">
        <v>-223480790</v>
      </c>
      <c r="C26" s="37">
        <v>-285493723</v>
      </c>
      <c r="D26" s="37">
        <v>-2570559553</v>
      </c>
      <c r="E26" s="140">
        <v>-1193170681</v>
      </c>
      <c r="F26" s="211"/>
      <c r="G26" s="211"/>
      <c r="H26" s="211"/>
      <c r="I26" s="211"/>
    </row>
    <row r="27" spans="1:9" ht="12" customHeight="1" collapsed="1">
      <c r="A27" s="213" t="s">
        <v>286</v>
      </c>
      <c r="B27" s="214">
        <f>SUM(B17,B18,B19,B23,B24)</f>
        <v>69863310749</v>
      </c>
      <c r="C27" s="214">
        <f t="shared" ref="C27:E27" si="3">SUM(C17,C18,C19,C23,C24)</f>
        <v>71234007106</v>
      </c>
      <c r="D27" s="214">
        <f t="shared" si="3"/>
        <v>96028639970</v>
      </c>
      <c r="E27" s="215">
        <f t="shared" si="3"/>
        <v>100275962475</v>
      </c>
      <c r="F27" s="216">
        <f t="shared" ref="F27:I28" si="4">B27/B$38</f>
        <v>1.0708490356588274</v>
      </c>
      <c r="G27" s="216">
        <f t="shared" si="4"/>
        <v>1.1260138579379491</v>
      </c>
      <c r="H27" s="216">
        <f t="shared" si="4"/>
        <v>1.1842673778437451</v>
      </c>
      <c r="I27" s="216">
        <f t="shared" si="4"/>
        <v>1.2852044536675844</v>
      </c>
    </row>
    <row r="28" spans="1:9" ht="12" customHeight="1">
      <c r="A28" s="221" t="s">
        <v>287</v>
      </c>
      <c r="B28" s="222">
        <v>-16336561683</v>
      </c>
      <c r="C28" s="222">
        <v>-28178553410</v>
      </c>
      <c r="D28" s="222">
        <v>-25556239247</v>
      </c>
      <c r="E28" s="223">
        <v>-45600319574</v>
      </c>
      <c r="F28" s="206">
        <f t="shared" si="4"/>
        <v>-0.25040312485437005</v>
      </c>
      <c r="G28" s="206">
        <f t="shared" si="4"/>
        <v>-0.44542547759652984</v>
      </c>
      <c r="H28" s="206">
        <f t="shared" si="4"/>
        <v>-0.31517077040815344</v>
      </c>
      <c r="I28" s="206">
        <f t="shared" si="4"/>
        <v>-0.58444449057051961</v>
      </c>
    </row>
    <row r="29" spans="1:9" ht="12" customHeight="1">
      <c r="A29" s="224" t="s">
        <v>288</v>
      </c>
      <c r="B29" s="225">
        <f>B30+B31+B32</f>
        <v>-3117748650</v>
      </c>
      <c r="C29" s="225">
        <f t="shared" ref="C29:E29" si="5">C30+C31+C32</f>
        <v>3961195586</v>
      </c>
      <c r="D29" s="225">
        <f t="shared" si="5"/>
        <v>-8107249026</v>
      </c>
      <c r="E29" s="226">
        <f t="shared" si="5"/>
        <v>-10217311473</v>
      </c>
      <c r="F29" s="206"/>
      <c r="G29" s="206"/>
      <c r="H29" s="206"/>
      <c r="I29" s="206"/>
    </row>
    <row r="30" spans="1:9" ht="12" hidden="1" customHeight="1" outlineLevel="1">
      <c r="A30" s="227" t="s">
        <v>289</v>
      </c>
      <c r="B30" s="225">
        <v>15130089007</v>
      </c>
      <c r="C30" s="225">
        <v>17062841238</v>
      </c>
      <c r="D30" s="225">
        <v>12312261561</v>
      </c>
      <c r="E30" s="226">
        <v>18677804682</v>
      </c>
      <c r="F30" s="206">
        <f t="shared" ref="F30:I33" si="6">B30/B$38</f>
        <v>0.23191058438080228</v>
      </c>
      <c r="G30" s="206">
        <f t="shared" si="6"/>
        <v>0.2697166208998063</v>
      </c>
      <c r="H30" s="206">
        <f t="shared" si="6"/>
        <v>0.15184021890476646</v>
      </c>
      <c r="I30" s="206">
        <f t="shared" si="6"/>
        <v>0.23938735834148031</v>
      </c>
    </row>
    <row r="31" spans="1:9" ht="12" hidden="1" customHeight="1" outlineLevel="1">
      <c r="A31" s="227" t="s">
        <v>290</v>
      </c>
      <c r="B31" s="225">
        <v>-17062841238</v>
      </c>
      <c r="C31" s="225">
        <v>-12312261561</v>
      </c>
      <c r="D31" s="225">
        <v>-18677804682</v>
      </c>
      <c r="E31" s="226">
        <v>-27028610081</v>
      </c>
      <c r="F31" s="206">
        <f t="shared" si="6"/>
        <v>-0.26153537370934726</v>
      </c>
      <c r="G31" s="206">
        <f t="shared" si="6"/>
        <v>-0.19462301369081603</v>
      </c>
      <c r="H31" s="206">
        <f t="shared" si="6"/>
        <v>-0.23034289334452776</v>
      </c>
      <c r="I31" s="206">
        <f t="shared" si="6"/>
        <v>-0.34641691981970446</v>
      </c>
    </row>
    <row r="32" spans="1:9" ht="12" hidden="1" customHeight="1" outlineLevel="1">
      <c r="A32" s="227" t="s">
        <v>291</v>
      </c>
      <c r="B32" s="225">
        <v>-1184996419</v>
      </c>
      <c r="C32" s="225">
        <v>-789384091</v>
      </c>
      <c r="D32" s="225">
        <v>-1741705905</v>
      </c>
      <c r="E32" s="226">
        <v>-1866506074</v>
      </c>
      <c r="F32" s="206">
        <f t="shared" si="6"/>
        <v>-1.8163357260641663E-2</v>
      </c>
      <c r="G32" s="206">
        <f t="shared" si="6"/>
        <v>-1.2477992770771463E-2</v>
      </c>
      <c r="H32" s="206">
        <f t="shared" si="6"/>
        <v>-2.1479482430800868E-2</v>
      </c>
      <c r="I32" s="206">
        <f t="shared" si="6"/>
        <v>-2.3922402337454081E-2</v>
      </c>
    </row>
    <row r="33" spans="1:10" ht="12" customHeight="1" collapsed="1">
      <c r="A33" s="213" t="s">
        <v>292</v>
      </c>
      <c r="B33" s="214">
        <f>SUM(B27,B28,B29)</f>
        <v>50409000416</v>
      </c>
      <c r="C33" s="214">
        <f t="shared" ref="C33:E33" si="7">SUM(C27,C28,C29)</f>
        <v>47016649282</v>
      </c>
      <c r="D33" s="214">
        <f t="shared" si="7"/>
        <v>62365151697</v>
      </c>
      <c r="E33" s="215">
        <f t="shared" si="7"/>
        <v>44458331428</v>
      </c>
      <c r="F33" s="216">
        <f t="shared" si="6"/>
        <v>0.77265776421527066</v>
      </c>
      <c r="G33" s="216">
        <f t="shared" si="6"/>
        <v>0.74320399477963806</v>
      </c>
      <c r="H33" s="216">
        <f t="shared" si="6"/>
        <v>0.76911445056502958</v>
      </c>
      <c r="I33" s="216">
        <f t="shared" si="6"/>
        <v>0.56980799928138648</v>
      </c>
    </row>
    <row r="34" spans="1:10" ht="12" customHeight="1" thickBot="1">
      <c r="A34" s="228" t="s">
        <v>293</v>
      </c>
      <c r="B34" s="229">
        <f>B33/B$38</f>
        <v>0.77265776421527066</v>
      </c>
      <c r="C34" s="229">
        <f>C33/C$38</f>
        <v>0.74320399477963806</v>
      </c>
      <c r="D34" s="229">
        <f>D33/D$38</f>
        <v>0.76911445056502958</v>
      </c>
      <c r="E34" s="230">
        <f>E33/E$38</f>
        <v>0.56980799928138648</v>
      </c>
      <c r="F34" s="216"/>
      <c r="G34" s="216"/>
      <c r="H34" s="216"/>
      <c r="I34" s="216"/>
    </row>
    <row r="35" spans="1:10" ht="12" customHeight="1">
      <c r="A35" s="231" t="s">
        <v>294</v>
      </c>
      <c r="B35" s="232">
        <f>B37/B38</f>
        <v>0.78453778534402585</v>
      </c>
      <c r="C35" s="232">
        <f>C37/C38</f>
        <v>0.7138940153700265</v>
      </c>
      <c r="D35" s="232">
        <f>D37/D38</f>
        <v>0.80316200943130478</v>
      </c>
      <c r="E35" s="233">
        <f>E37/E38</f>
        <v>0.55012105737546291</v>
      </c>
      <c r="F35" s="234"/>
      <c r="G35" s="234"/>
      <c r="H35" s="234"/>
      <c r="I35" s="234"/>
    </row>
    <row r="36" spans="1:10" ht="12" customHeight="1">
      <c r="A36" s="235" t="s">
        <v>295</v>
      </c>
      <c r="B36" s="208">
        <f>-재고!E27</f>
        <v>775065000</v>
      </c>
      <c r="C36" s="208">
        <f>-재고!F27</f>
        <v>-1854211000</v>
      </c>
      <c r="D36" s="208">
        <f>-재고!G27</f>
        <v>2760813000</v>
      </c>
      <c r="E36" s="208">
        <f>-재고!I27</f>
        <v>-1536041244</v>
      </c>
      <c r="G36" s="234"/>
      <c r="H36" s="234"/>
      <c r="I36" s="234"/>
    </row>
    <row r="37" spans="1:10" ht="12" customHeight="1">
      <c r="A37" s="235" t="s">
        <v>296</v>
      </c>
      <c r="B37" s="208">
        <f>B33+B36</f>
        <v>51184065416</v>
      </c>
      <c r="C37" s="208">
        <f>C33+C36</f>
        <v>45162438282</v>
      </c>
      <c r="D37" s="208">
        <f>D33+D36</f>
        <v>65125964697</v>
      </c>
      <c r="E37" s="208">
        <f>E33+E36</f>
        <v>42922290184</v>
      </c>
      <c r="F37" s="234"/>
      <c r="G37" s="234"/>
      <c r="H37" s="234"/>
      <c r="I37" s="234"/>
    </row>
    <row r="38" spans="1:10" ht="12" customHeight="1">
      <c r="A38" s="237" t="s">
        <v>297</v>
      </c>
      <c r="B38" s="238">
        <v>65241045584</v>
      </c>
      <c r="C38" s="238">
        <v>63262105172</v>
      </c>
      <c r="D38" s="238">
        <v>81086958711</v>
      </c>
      <c r="E38" s="239">
        <v>78023354330</v>
      </c>
      <c r="F38" s="211"/>
      <c r="G38" s="211"/>
      <c r="H38" s="211"/>
      <c r="I38" s="211"/>
    </row>
    <row r="39" spans="1:10" ht="12" customHeight="1">
      <c r="A39" s="235"/>
      <c r="B39" s="240">
        <f>B36/B33</f>
        <v>1.5375528052605295E-2</v>
      </c>
      <c r="C39" s="240">
        <f t="shared" ref="C39:E39" si="8">C36/C33</f>
        <v>-3.9437327591736147E-2</v>
      </c>
      <c r="D39" s="240">
        <f t="shared" si="8"/>
        <v>4.4268520557977024E-2</v>
      </c>
      <c r="E39" s="240">
        <f t="shared" si="8"/>
        <v>-3.4550132554740827E-2</v>
      </c>
      <c r="F39" s="234"/>
      <c r="G39" s="234"/>
      <c r="H39" s="234"/>
      <c r="I39" s="234"/>
    </row>
    <row r="40" spans="1:10" ht="19.5" customHeight="1">
      <c r="A40" s="170" t="s">
        <v>298</v>
      </c>
      <c r="B40" s="169"/>
      <c r="C40" s="169"/>
      <c r="D40" s="169"/>
      <c r="E40" s="168"/>
      <c r="F40" s="234"/>
      <c r="G40" s="234"/>
      <c r="H40" s="234"/>
      <c r="I40" s="234"/>
    </row>
    <row r="41" spans="1:10" ht="12" customHeight="1">
      <c r="A41" s="150"/>
      <c r="B41" s="166" t="s">
        <v>96</v>
      </c>
      <c r="C41" s="166" t="s">
        <v>97</v>
      </c>
      <c r="D41" s="166" t="s">
        <v>98</v>
      </c>
      <c r="E41" s="165" t="s">
        <v>117</v>
      </c>
      <c r="F41" s="234"/>
      <c r="G41" s="234"/>
      <c r="H41" s="234"/>
      <c r="I41" s="234"/>
    </row>
    <row r="42" spans="1:10" ht="12" customHeight="1">
      <c r="A42" s="105" t="s">
        <v>119</v>
      </c>
      <c r="B42" s="163" t="s">
        <v>120</v>
      </c>
      <c r="C42" s="163" t="s">
        <v>120</v>
      </c>
      <c r="D42" s="163" t="s">
        <v>120</v>
      </c>
      <c r="E42" s="162" t="s">
        <v>121</v>
      </c>
      <c r="F42" s="234"/>
      <c r="G42" s="234"/>
      <c r="H42" s="234"/>
      <c r="I42" s="234"/>
    </row>
    <row r="43" spans="1:10" ht="12" customHeight="1">
      <c r="A43" s="241" t="s">
        <v>299</v>
      </c>
      <c r="B43" s="222">
        <v>13953871142</v>
      </c>
      <c r="C43" s="222">
        <v>16034193423</v>
      </c>
      <c r="D43" s="222">
        <v>13023212925</v>
      </c>
      <c r="E43" s="223">
        <v>13363727257</v>
      </c>
      <c r="F43" s="242">
        <f>B43/B$50</f>
        <v>0.79791158703593779</v>
      </c>
      <c r="G43" s="242">
        <f>C43/C$50</f>
        <v>0.80198655841276845</v>
      </c>
      <c r="H43" s="242">
        <f>D43/D$50</f>
        <v>0.87065830542781197</v>
      </c>
      <c r="I43" s="242">
        <f>E43/E$50</f>
        <v>0.89381702199441249</v>
      </c>
      <c r="J43" s="5" t="s">
        <v>300</v>
      </c>
    </row>
    <row r="44" spans="1:10" ht="12" customHeight="1">
      <c r="A44" s="243" t="s">
        <v>301</v>
      </c>
      <c r="B44" s="225">
        <f>B45+B46+B47</f>
        <v>-5602757</v>
      </c>
      <c r="C44" s="225">
        <f t="shared" ref="C44:E44" si="9">C45+C46+C47</f>
        <v>-603136469</v>
      </c>
      <c r="D44" s="225">
        <f t="shared" si="9"/>
        <v>276851289</v>
      </c>
      <c r="E44" s="226">
        <f t="shared" si="9"/>
        <v>-11244752</v>
      </c>
      <c r="F44" s="234"/>
      <c r="G44" s="234"/>
      <c r="H44" s="234"/>
      <c r="I44" s="234"/>
    </row>
    <row r="45" spans="1:10" ht="12" hidden="1" customHeight="1" outlineLevel="1">
      <c r="A45" s="224" t="s">
        <v>302</v>
      </c>
      <c r="B45" s="225">
        <v>-14697925</v>
      </c>
      <c r="C45" s="225">
        <v>-115114406</v>
      </c>
      <c r="D45" s="225">
        <v>-118072069</v>
      </c>
      <c r="E45" s="226">
        <v>-110975845</v>
      </c>
      <c r="F45" s="234"/>
      <c r="G45" s="234"/>
      <c r="H45" s="234"/>
      <c r="I45" s="234"/>
    </row>
    <row r="46" spans="1:10" ht="12" hidden="1" customHeight="1" outlineLevel="1">
      <c r="A46" s="224" t="s">
        <v>303</v>
      </c>
      <c r="B46" s="225">
        <v>212796471</v>
      </c>
      <c r="C46" s="225">
        <v>203701303</v>
      </c>
      <c r="D46" s="225">
        <v>691723366</v>
      </c>
      <c r="E46" s="226">
        <v>296800008</v>
      </c>
      <c r="F46" s="234"/>
      <c r="G46" s="234"/>
      <c r="H46" s="234"/>
      <c r="I46" s="234"/>
    </row>
    <row r="47" spans="1:10" ht="12" hidden="1" customHeight="1" outlineLevel="1">
      <c r="A47" s="244" t="s">
        <v>304</v>
      </c>
      <c r="B47" s="245">
        <v>-203701303</v>
      </c>
      <c r="C47" s="245">
        <v>-691723366</v>
      </c>
      <c r="D47" s="245">
        <v>-296800008</v>
      </c>
      <c r="E47" s="246">
        <v>-197068915</v>
      </c>
      <c r="F47" s="234"/>
      <c r="G47" s="234"/>
      <c r="H47" s="234"/>
      <c r="I47" s="234"/>
    </row>
    <row r="48" spans="1:10" ht="12" customHeight="1" collapsed="1">
      <c r="A48" s="213" t="s">
        <v>305</v>
      </c>
      <c r="B48" s="214">
        <f>SUM(B43,B45,B44)</f>
        <v>13933570460</v>
      </c>
      <c r="C48" s="214">
        <f>SUM(C43,C45,C44)</f>
        <v>15315942548</v>
      </c>
      <c r="D48" s="214">
        <f>SUM(D43,D45,D44)</f>
        <v>13181992145</v>
      </c>
      <c r="E48" s="215">
        <f>SUM(E43,E45,E44)</f>
        <v>13241506660</v>
      </c>
      <c r="F48" s="5"/>
      <c r="G48" s="5"/>
      <c r="H48" s="5"/>
      <c r="I48" s="5"/>
    </row>
    <row r="49" spans="1:9" ht="12" customHeight="1" thickBot="1">
      <c r="A49" s="228" t="s">
        <v>306</v>
      </c>
      <c r="B49" s="229">
        <f>B48/B$50</f>
        <v>0.79675075150666474</v>
      </c>
      <c r="C49" s="229">
        <f>C48/C$50</f>
        <v>0.76606161151198238</v>
      </c>
      <c r="D49" s="229">
        <f>D48/D$50</f>
        <v>0.88127338539452071</v>
      </c>
      <c r="E49" s="230">
        <f>E48/E$50</f>
        <v>0.88564244255739966</v>
      </c>
      <c r="F49" s="247"/>
      <c r="G49" s="247"/>
      <c r="H49" s="247"/>
      <c r="I49" s="247"/>
    </row>
    <row r="50" spans="1:9" ht="12" customHeight="1">
      <c r="A50" s="248" t="s">
        <v>307</v>
      </c>
      <c r="B50" s="249">
        <v>17487991613</v>
      </c>
      <c r="C50" s="249">
        <v>19993094965</v>
      </c>
      <c r="D50" s="249">
        <v>14957892027</v>
      </c>
      <c r="E50" s="250">
        <v>14951300913</v>
      </c>
      <c r="F50" s="234"/>
      <c r="G50" s="234"/>
      <c r="H50" s="234"/>
      <c r="I50" s="234"/>
    </row>
    <row r="52" spans="1:9" ht="19.5" customHeight="1">
      <c r="A52" s="170" t="s">
        <v>308</v>
      </c>
      <c r="B52" s="169"/>
      <c r="C52" s="169"/>
      <c r="D52" s="169"/>
      <c r="E52" s="168"/>
    </row>
    <row r="53" spans="1:9" ht="12" customHeight="1">
      <c r="A53" s="150"/>
      <c r="B53" s="166" t="s">
        <v>96</v>
      </c>
      <c r="C53" s="166" t="s">
        <v>97</v>
      </c>
      <c r="D53" s="166" t="s">
        <v>98</v>
      </c>
      <c r="E53" s="165" t="s">
        <v>117</v>
      </c>
      <c r="F53" s="251"/>
    </row>
    <row r="54" spans="1:9" ht="12" customHeight="1">
      <c r="A54" s="105" t="s">
        <v>119</v>
      </c>
      <c r="B54" s="163" t="s">
        <v>120</v>
      </c>
      <c r="C54" s="163" t="s">
        <v>120</v>
      </c>
      <c r="D54" s="163" t="s">
        <v>120</v>
      </c>
      <c r="E54" s="162" t="s">
        <v>121</v>
      </c>
      <c r="F54" s="251"/>
    </row>
    <row r="55" spans="1:9" ht="12" customHeight="1">
      <c r="A55" s="252" t="s">
        <v>309</v>
      </c>
      <c r="B55" s="187">
        <v>2873141000</v>
      </c>
      <c r="C55" s="187">
        <v>3854100000</v>
      </c>
      <c r="D55" s="187">
        <v>2321574000</v>
      </c>
      <c r="E55" s="186">
        <v>1824443927</v>
      </c>
    </row>
    <row r="56" spans="1:9" ht="12" customHeight="1">
      <c r="A56" s="253" t="s">
        <v>310</v>
      </c>
      <c r="B56" s="174">
        <v>-3648206000</v>
      </c>
      <c r="C56" s="174">
        <v>-1999889000</v>
      </c>
      <c r="D56" s="174">
        <v>-5082387000</v>
      </c>
      <c r="E56" s="254">
        <v>-288402683</v>
      </c>
    </row>
    <row r="57" spans="1:9" ht="12" customHeight="1" thickBot="1">
      <c r="A57" s="255" t="s">
        <v>311</v>
      </c>
      <c r="B57" s="256">
        <f>SUM(B55:B56)</f>
        <v>-775065000</v>
      </c>
      <c r="C57" s="256">
        <f t="shared" ref="C57:D57" si="10">SUM(C55:C56)</f>
        <v>1854211000</v>
      </c>
      <c r="D57" s="256">
        <f t="shared" si="10"/>
        <v>-2760813000</v>
      </c>
      <c r="E57" s="257">
        <v>1536040866</v>
      </c>
    </row>
    <row r="59" spans="1:9" ht="19.5" customHeight="1">
      <c r="A59" s="170" t="s">
        <v>312</v>
      </c>
      <c r="B59" s="169"/>
      <c r="C59" s="169"/>
      <c r="D59" s="169"/>
      <c r="E59" s="168"/>
    </row>
    <row r="60" spans="1:9" ht="12" customHeight="1">
      <c r="A60" s="150"/>
      <c r="B60" s="166" t="s">
        <v>96</v>
      </c>
      <c r="C60" s="166" t="s">
        <v>97</v>
      </c>
      <c r="D60" s="166" t="s">
        <v>98</v>
      </c>
      <c r="E60" s="165" t="s">
        <v>117</v>
      </c>
      <c r="F60" s="251"/>
    </row>
    <row r="61" spans="1:9" ht="12" customHeight="1">
      <c r="A61" s="105" t="s">
        <v>218</v>
      </c>
      <c r="B61" s="163" t="s">
        <v>120</v>
      </c>
      <c r="C61" s="163" t="s">
        <v>120</v>
      </c>
      <c r="D61" s="163" t="s">
        <v>120</v>
      </c>
      <c r="E61" s="162" t="s">
        <v>121</v>
      </c>
      <c r="F61" s="251"/>
    </row>
    <row r="62" spans="1:9" ht="12" customHeight="1">
      <c r="A62" s="258" t="s">
        <v>313</v>
      </c>
      <c r="B62" s="259">
        <f>1-B34</f>
        <v>0.22734223578472934</v>
      </c>
      <c r="C62" s="259">
        <f t="shared" ref="C62:E63" si="11">1-C34</f>
        <v>0.25679600522036194</v>
      </c>
      <c r="D62" s="259">
        <f t="shared" si="11"/>
        <v>0.23088554943497042</v>
      </c>
      <c r="E62" s="260">
        <f t="shared" si="11"/>
        <v>0.43019200071861352</v>
      </c>
      <c r="F62" s="236" t="s">
        <v>131</v>
      </c>
    </row>
    <row r="63" spans="1:9" ht="12" customHeight="1">
      <c r="A63" s="261" t="s">
        <v>314</v>
      </c>
      <c r="B63" s="262">
        <f>1-B35</f>
        <v>0.21546221465597415</v>
      </c>
      <c r="C63" s="262">
        <f t="shared" si="11"/>
        <v>0.2861059846299735</v>
      </c>
      <c r="D63" s="262">
        <f t="shared" si="11"/>
        <v>0.19683799056869522</v>
      </c>
      <c r="E63" s="263">
        <f t="shared" si="11"/>
        <v>0.44987894262453709</v>
      </c>
      <c r="F63" s="236" t="s">
        <v>315</v>
      </c>
    </row>
    <row r="64" spans="1:9" ht="12" customHeight="1" outlineLevel="1">
      <c r="A64" s="258" t="s">
        <v>316</v>
      </c>
      <c r="B64" s="259">
        <f>1-((B33-B56)/B38)</f>
        <v>0.17142335883627802</v>
      </c>
      <c r="C64" s="259">
        <f>1-((C33-C56)/C38)</f>
        <v>0.22518325704256092</v>
      </c>
      <c r="D64" s="259">
        <f>1-((D33-D56)/D38)</f>
        <v>0.16820732002801975</v>
      </c>
      <c r="E64" s="260">
        <f>1-((E33-E56)/E38)</f>
        <v>0.42649563716853855</v>
      </c>
      <c r="F64" s="236" t="s">
        <v>317</v>
      </c>
    </row>
    <row r="65" spans="1:5" ht="12" customHeight="1" thickBot="1">
      <c r="A65" s="264" t="s">
        <v>317</v>
      </c>
      <c r="B65" s="265">
        <f>B62-B63</f>
        <v>1.1880021128755192E-2</v>
      </c>
      <c r="C65" s="265">
        <f t="shared" ref="C65:E65" si="12">C62-C63</f>
        <v>-2.9309979409611553E-2</v>
      </c>
      <c r="D65" s="265">
        <f t="shared" si="12"/>
        <v>3.4047558866275196E-2</v>
      </c>
      <c r="E65" s="266">
        <f t="shared" si="12"/>
        <v>-1.9686941905923572E-2</v>
      </c>
    </row>
    <row r="89" spans="1:5" ht="12" customHeight="1">
      <c r="A89" s="150"/>
      <c r="B89" s="166" t="s">
        <v>96</v>
      </c>
      <c r="C89" s="166" t="s">
        <v>97</v>
      </c>
      <c r="D89" s="166" t="s">
        <v>98</v>
      </c>
      <c r="E89" s="165" t="s">
        <v>117</v>
      </c>
    </row>
    <row r="90" spans="1:5" ht="12" customHeight="1">
      <c r="A90" s="105"/>
      <c r="B90" s="163" t="s">
        <v>120</v>
      </c>
      <c r="C90" s="163" t="s">
        <v>120</v>
      </c>
      <c r="D90" s="163" t="s">
        <v>120</v>
      </c>
      <c r="E90" s="162" t="s">
        <v>121</v>
      </c>
    </row>
    <row r="91" spans="1:5" ht="12" customHeight="1">
      <c r="A91" s="202" t="s">
        <v>263</v>
      </c>
      <c r="B91" s="203">
        <v>33844971316</v>
      </c>
      <c r="C91" s="203">
        <v>28067696102</v>
      </c>
      <c r="D91" s="788">
        <v>45568692488</v>
      </c>
      <c r="E91" s="205">
        <v>34616135308</v>
      </c>
    </row>
    <row r="92" spans="1:5" ht="12" customHeight="1">
      <c r="A92" s="210" t="s">
        <v>269</v>
      </c>
      <c r="B92" s="208">
        <v>7448392707</v>
      </c>
      <c r="C92" s="208">
        <v>8746928996</v>
      </c>
      <c r="D92" s="208">
        <v>9584246660</v>
      </c>
      <c r="E92" s="209">
        <v>9396812422</v>
      </c>
    </row>
    <row r="93" spans="1:5" ht="12" customHeight="1">
      <c r="A93" s="210" t="s">
        <v>270</v>
      </c>
      <c r="B93" s="208">
        <v>13107564054</v>
      </c>
      <c r="C93" s="208">
        <v>10983573691</v>
      </c>
      <c r="D93" s="208">
        <v>10868649490</v>
      </c>
      <c r="E93" s="209">
        <v>14133568974</v>
      </c>
    </row>
    <row r="94" spans="1:5" ht="12" customHeight="1">
      <c r="A94" s="5" t="s">
        <v>374</v>
      </c>
      <c r="B94" s="208">
        <v>54400928077</v>
      </c>
      <c r="C94" s="208">
        <v>47798198789</v>
      </c>
      <c r="D94" s="208">
        <v>66021588638</v>
      </c>
      <c r="E94" s="208">
        <v>58146516704</v>
      </c>
    </row>
    <row r="95" spans="1:5" ht="12" customHeight="1">
      <c r="A95" s="202" t="s">
        <v>263</v>
      </c>
      <c r="B95" s="789">
        <f>B91/B94</f>
        <v>0.62213959416455633</v>
      </c>
      <c r="C95" s="789">
        <f t="shared" ref="C95:E95" si="13">C91/C94</f>
        <v>0.58721242249947159</v>
      </c>
      <c r="D95" s="789">
        <f t="shared" si="13"/>
        <v>0.69020896691619538</v>
      </c>
      <c r="E95" s="789">
        <f t="shared" si="13"/>
        <v>0.59532603619605462</v>
      </c>
    </row>
    <row r="96" spans="1:5" ht="12" customHeight="1">
      <c r="A96" s="210" t="s">
        <v>269</v>
      </c>
      <c r="B96" s="789">
        <f>B92/B94</f>
        <v>0.13691664775382908</v>
      </c>
      <c r="C96" s="789">
        <f t="shared" ref="C96:E96" si="14">C92/C94</f>
        <v>0.18299704209801662</v>
      </c>
      <c r="D96" s="789">
        <f t="shared" si="14"/>
        <v>0.14516837382618814</v>
      </c>
      <c r="E96" s="789">
        <f t="shared" si="14"/>
        <v>0.16160576685677161</v>
      </c>
    </row>
    <row r="97" spans="1:5" ht="12" customHeight="1">
      <c r="A97" s="210" t="s">
        <v>270</v>
      </c>
      <c r="B97" s="789">
        <f>B93/B94</f>
        <v>0.24094375808161453</v>
      </c>
      <c r="C97" s="789">
        <f t="shared" ref="C97:E97" si="15">C93/C94</f>
        <v>0.22979053540251176</v>
      </c>
      <c r="D97" s="789">
        <f t="shared" si="15"/>
        <v>0.16462265925761652</v>
      </c>
      <c r="E97" s="789">
        <f t="shared" si="15"/>
        <v>0.24306819694717374</v>
      </c>
    </row>
    <row r="99" spans="1:5" ht="12" customHeight="1">
      <c r="A99" s="150"/>
      <c r="B99" s="166" t="s">
        <v>96</v>
      </c>
      <c r="C99" s="166" t="s">
        <v>97</v>
      </c>
      <c r="D99" s="166" t="s">
        <v>98</v>
      </c>
      <c r="E99" s="165" t="s">
        <v>117</v>
      </c>
    </row>
    <row r="100" spans="1:5" ht="12" customHeight="1">
      <c r="A100" s="105"/>
      <c r="B100" s="163" t="s">
        <v>120</v>
      </c>
      <c r="C100" s="163" t="s">
        <v>120</v>
      </c>
      <c r="D100" s="163" t="s">
        <v>120</v>
      </c>
      <c r="E100" s="162" t="s">
        <v>121</v>
      </c>
    </row>
    <row r="101" spans="1:5" ht="12" customHeight="1">
      <c r="A101" s="5" t="s">
        <v>375</v>
      </c>
      <c r="B101" s="789">
        <v>0.62213959416455633</v>
      </c>
      <c r="C101" s="789">
        <v>0.58721242249947159</v>
      </c>
      <c r="D101" s="789">
        <v>0.69020896691619538</v>
      </c>
      <c r="E101" s="789">
        <v>0.59532603619605462</v>
      </c>
    </row>
    <row r="102" spans="1:5" ht="12" customHeight="1">
      <c r="A102" s="5" t="s">
        <v>376</v>
      </c>
      <c r="B102" s="789">
        <v>0.13691664775382908</v>
      </c>
      <c r="C102" s="789">
        <v>0.18299704209801662</v>
      </c>
      <c r="D102" s="789">
        <v>0.14516837382618814</v>
      </c>
      <c r="E102" s="789">
        <v>0.16160576685677161</v>
      </c>
    </row>
    <row r="103" spans="1:5" ht="12" customHeight="1">
      <c r="A103" s="5" t="s">
        <v>377</v>
      </c>
      <c r="B103" s="789">
        <v>0.24094375808161453</v>
      </c>
      <c r="C103" s="789">
        <v>0.22979053540251176</v>
      </c>
      <c r="D103" s="789">
        <v>0.16462265925761652</v>
      </c>
      <c r="E103" s="789">
        <v>0.24306819694717374</v>
      </c>
    </row>
  </sheetData>
  <phoneticPr fontId="3" type="noConversion"/>
  <pageMargins left="0.7" right="0.7" top="0.75" bottom="0.75" header="0.3" footer="0.3"/>
  <ignoredErrors>
    <ignoredError sqref="B4:E4" formulaRange="1"/>
  </ignoredErrors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C54"/>
  <sheetViews>
    <sheetView tabSelected="1" zoomScaleNormal="100" workbookViewId="0">
      <selection activeCell="C14" sqref="C14"/>
    </sheetView>
  </sheetViews>
  <sheetFormatPr defaultColWidth="9" defaultRowHeight="21.75" customHeight="1"/>
  <cols>
    <col min="1" max="1" width="17.75" style="632" bestFit="1" customWidth="1"/>
    <col min="2" max="2" width="17.33203125" style="633" customWidth="1"/>
    <col min="3" max="3" width="48.33203125" style="633" customWidth="1"/>
    <col min="4" max="16384" width="9" style="628"/>
  </cols>
  <sheetData>
    <row r="1" spans="1:3" ht="21.75" customHeight="1">
      <c r="A1" s="627"/>
      <c r="B1" s="627"/>
      <c r="C1" s="627"/>
    </row>
    <row r="2" spans="1:3" ht="19.5" customHeight="1">
      <c r="A2" s="629" t="s">
        <v>378</v>
      </c>
      <c r="B2" s="630"/>
      <c r="C2" s="631"/>
    </row>
    <row r="3" spans="1:3" ht="23">
      <c r="A3" s="751" t="s">
        <v>379</v>
      </c>
      <c r="B3" s="752" t="s">
        <v>380</v>
      </c>
      <c r="C3" s="753" t="s">
        <v>381</v>
      </c>
    </row>
    <row r="4" spans="1:3" ht="23">
      <c r="A4" s="754" t="s">
        <v>382</v>
      </c>
      <c r="B4" s="755" t="s">
        <v>383</v>
      </c>
      <c r="C4" s="756" t="s">
        <v>384</v>
      </c>
    </row>
    <row r="5" spans="1:3" ht="23">
      <c r="A5" s="757" t="s">
        <v>382</v>
      </c>
      <c r="B5" s="758" t="s">
        <v>385</v>
      </c>
      <c r="C5" s="759" t="s">
        <v>386</v>
      </c>
    </row>
    <row r="6" spans="1:3" ht="23">
      <c r="A6" s="757" t="s">
        <v>387</v>
      </c>
      <c r="B6" s="758" t="s">
        <v>388</v>
      </c>
      <c r="C6" s="759" t="s">
        <v>389</v>
      </c>
    </row>
    <row r="7" spans="1:3" ht="23">
      <c r="A7" s="757" t="s">
        <v>387</v>
      </c>
      <c r="B7" s="758" t="s">
        <v>390</v>
      </c>
      <c r="C7" s="759" t="s">
        <v>391</v>
      </c>
    </row>
    <row r="8" spans="1:3" ht="23">
      <c r="A8" s="757" t="s">
        <v>387</v>
      </c>
      <c r="B8" s="758" t="s">
        <v>392</v>
      </c>
      <c r="C8" s="759" t="s">
        <v>393</v>
      </c>
    </row>
    <row r="9" spans="1:3" ht="34.5">
      <c r="A9" s="757" t="s">
        <v>394</v>
      </c>
      <c r="B9" s="758" t="s">
        <v>395</v>
      </c>
      <c r="C9" s="759" t="s">
        <v>396</v>
      </c>
    </row>
    <row r="10" spans="1:3" ht="34.5">
      <c r="A10" s="757" t="s">
        <v>397</v>
      </c>
      <c r="B10" s="758" t="s">
        <v>398</v>
      </c>
      <c r="C10" s="759" t="s">
        <v>399</v>
      </c>
    </row>
    <row r="11" spans="1:3" ht="34.5">
      <c r="A11" s="757" t="s">
        <v>397</v>
      </c>
      <c r="B11" s="758" t="s">
        <v>400</v>
      </c>
      <c r="C11" s="759" t="s">
        <v>401</v>
      </c>
    </row>
    <row r="12" spans="1:3" ht="34.5">
      <c r="A12" s="760" t="s">
        <v>397</v>
      </c>
      <c r="B12" s="761" t="s">
        <v>402</v>
      </c>
      <c r="C12" s="762" t="s">
        <v>403</v>
      </c>
    </row>
    <row r="13" spans="1:3" ht="11.5">
      <c r="C13" s="634"/>
    </row>
    <row r="14" spans="1:3" ht="11.5">
      <c r="C14" s="634"/>
    </row>
    <row r="15" spans="1:3" ht="11.5">
      <c r="C15" s="634"/>
    </row>
    <row r="16" spans="1:3" ht="11.5">
      <c r="C16" s="634"/>
    </row>
    <row r="17" spans="3:3" ht="11.5">
      <c r="C17" s="634"/>
    </row>
    <row r="18" spans="3:3" ht="21.75" customHeight="1">
      <c r="C18" s="634"/>
    </row>
    <row r="19" spans="3:3" ht="21.75" customHeight="1">
      <c r="C19" s="634"/>
    </row>
    <row r="20" spans="3:3" ht="21.75" customHeight="1">
      <c r="C20" s="634"/>
    </row>
    <row r="21" spans="3:3" ht="21.75" customHeight="1">
      <c r="C21" s="634"/>
    </row>
    <row r="22" spans="3:3" s="632" customFormat="1" ht="21.75" customHeight="1">
      <c r="C22" s="634"/>
    </row>
    <row r="23" spans="3:3" s="632" customFormat="1" ht="21.75" customHeight="1">
      <c r="C23" s="634"/>
    </row>
    <row r="51" s="635" customFormat="1" ht="21.75" customHeight="1"/>
    <row r="53" s="635" customFormat="1" ht="21.75" customHeight="1"/>
    <row r="54" s="632" customFormat="1" ht="21.75" customHeight="1"/>
  </sheetData>
  <phoneticPr fontId="3" type="noConversion"/>
  <pageMargins left="0.31" right="0.27" top="0.28999999999999998" bottom="0.27" header="0.28000000000000003" footer="0.3"/>
  <pageSetup paperSize="9" scale="58" orientation="landscape" r:id="rId1"/>
  <headerFooter alignWithMargins="0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9999"/>
  </sheetPr>
  <dimension ref="B2:K40"/>
  <sheetViews>
    <sheetView showGridLines="0" workbookViewId="0">
      <selection activeCell="L20" sqref="L20"/>
    </sheetView>
  </sheetViews>
  <sheetFormatPr defaultColWidth="9" defaultRowHeight="12" customHeight="1"/>
  <cols>
    <col min="1" max="1" width="2.58203125" style="29" customWidth="1"/>
    <col min="2" max="2" width="14.58203125" style="29" customWidth="1"/>
    <col min="3" max="6" width="8.08203125" style="29" customWidth="1"/>
    <col min="7" max="9" width="8.58203125" style="29" customWidth="1"/>
    <col min="10" max="16384" width="9" style="29"/>
  </cols>
  <sheetData>
    <row r="2" spans="2:11" s="5" customFormat="1" ht="19.5" customHeight="1">
      <c r="B2" s="170" t="s">
        <v>323</v>
      </c>
      <c r="C2" s="169"/>
      <c r="D2" s="169"/>
      <c r="E2" s="169"/>
      <c r="F2" s="168"/>
    </row>
    <row r="3" spans="2:11" s="5" customFormat="1" ht="12" customHeight="1">
      <c r="B3" s="198"/>
      <c r="C3" s="166" t="s">
        <v>217</v>
      </c>
      <c r="D3" s="166" t="s">
        <v>231</v>
      </c>
      <c r="E3" s="166" t="s">
        <v>98</v>
      </c>
      <c r="F3" s="165" t="s">
        <v>99</v>
      </c>
    </row>
    <row r="4" spans="2:11" s="5" customFormat="1" ht="12" customHeight="1">
      <c r="B4" s="185" t="s">
        <v>119</v>
      </c>
      <c r="C4" s="197" t="s">
        <v>404</v>
      </c>
      <c r="D4" s="197" t="s">
        <v>404</v>
      </c>
      <c r="E4" s="197" t="s">
        <v>404</v>
      </c>
      <c r="F4" s="196" t="s">
        <v>405</v>
      </c>
    </row>
    <row r="5" spans="2:11" ht="12" customHeight="1">
      <c r="B5" s="99" t="s">
        <v>406</v>
      </c>
      <c r="C5" s="195">
        <f>C10-SUM(C6:C9)</f>
        <v>17737789000</v>
      </c>
      <c r="D5" s="195">
        <f>D10-SUM(D6:D9)</f>
        <v>17219314000</v>
      </c>
      <c r="E5" s="195">
        <f>E10-SUM(E6:E9)</f>
        <v>13777600000</v>
      </c>
      <c r="F5" s="194">
        <f>F10-SUM(F6:F9)</f>
        <v>25922004632</v>
      </c>
    </row>
    <row r="6" spans="2:11" ht="12" customHeight="1">
      <c r="B6" s="193" t="s">
        <v>407</v>
      </c>
      <c r="C6" s="174">
        <v>24273000</v>
      </c>
      <c r="D6" s="174">
        <v>515818000</v>
      </c>
      <c r="E6" s="174">
        <v>198687000</v>
      </c>
      <c r="F6" s="192" t="s">
        <v>408</v>
      </c>
    </row>
    <row r="7" spans="2:11" ht="12" customHeight="1">
      <c r="B7" s="193" t="s">
        <v>409</v>
      </c>
      <c r="C7" s="174">
        <v>33402000</v>
      </c>
      <c r="D7" s="174">
        <v>155787000</v>
      </c>
      <c r="E7" s="174">
        <v>1041229000</v>
      </c>
      <c r="F7" s="192" t="s">
        <v>408</v>
      </c>
    </row>
    <row r="8" spans="2:11" ht="12" customHeight="1">
      <c r="B8" s="193" t="s">
        <v>410</v>
      </c>
      <c r="C8" s="174">
        <v>6167000</v>
      </c>
      <c r="D8" s="174">
        <v>18237000</v>
      </c>
      <c r="E8" s="174">
        <v>221322000</v>
      </c>
      <c r="F8" s="192" t="s">
        <v>408</v>
      </c>
    </row>
    <row r="9" spans="2:11" ht="12" customHeight="1">
      <c r="B9" s="193" t="s">
        <v>411</v>
      </c>
      <c r="C9" s="174">
        <v>43845000</v>
      </c>
      <c r="D9" s="174">
        <v>102844000</v>
      </c>
      <c r="E9" s="174">
        <v>345782000</v>
      </c>
      <c r="F9" s="192" t="s">
        <v>408</v>
      </c>
    </row>
    <row r="10" spans="2:11" ht="12" customHeight="1">
      <c r="B10" s="191" t="s">
        <v>412</v>
      </c>
      <c r="C10" s="190">
        <v>17845476000</v>
      </c>
      <c r="D10" s="190">
        <v>18012000000</v>
      </c>
      <c r="E10" s="190">
        <v>15584620000</v>
      </c>
      <c r="F10" s="189">
        <v>25922004632</v>
      </c>
    </row>
    <row r="11" spans="2:11" ht="12" customHeight="1">
      <c r="B11" s="188" t="s">
        <v>413</v>
      </c>
      <c r="C11" s="187">
        <v>-43845000</v>
      </c>
      <c r="D11" s="187">
        <v>-152232000</v>
      </c>
      <c r="E11" s="187">
        <v>-345782000</v>
      </c>
      <c r="F11" s="186">
        <v>-784656325</v>
      </c>
    </row>
    <row r="12" spans="2:11" ht="12" customHeight="1">
      <c r="B12" s="185" t="s">
        <v>414</v>
      </c>
      <c r="C12" s="184">
        <v>17801631000</v>
      </c>
      <c r="D12" s="184">
        <v>17859768000</v>
      </c>
      <c r="E12" s="184">
        <v>15238838000</v>
      </c>
      <c r="F12" s="183">
        <v>25137348307</v>
      </c>
    </row>
    <row r="13" spans="2:11" ht="12" customHeight="1" thickBot="1">
      <c r="B13" s="182" t="s">
        <v>415</v>
      </c>
      <c r="C13" s="181">
        <f>-C11/C10</f>
        <v>2.4569252173492037E-3</v>
      </c>
      <c r="D13" s="181">
        <f>-D11/D10</f>
        <v>8.4516988674217183E-3</v>
      </c>
      <c r="E13" s="181">
        <f>-E11/E10</f>
        <v>2.2187387308769801E-2</v>
      </c>
      <c r="F13" s="180">
        <f>-F11/F10</f>
        <v>3.0269893711513476E-2</v>
      </c>
    </row>
    <row r="15" spans="2:11" ht="12" customHeight="1">
      <c r="B15" s="29" t="s">
        <v>416</v>
      </c>
      <c r="K15" s="29" t="s">
        <v>417</v>
      </c>
    </row>
    <row r="16" spans="2:11" ht="12" customHeight="1">
      <c r="B16" s="172" t="s">
        <v>418</v>
      </c>
      <c r="C16" s="176" t="s">
        <v>419</v>
      </c>
      <c r="D16" s="176" t="s">
        <v>420</v>
      </c>
      <c r="E16" s="176" t="s">
        <v>78</v>
      </c>
      <c r="F16" s="176" t="s">
        <v>79</v>
      </c>
      <c r="G16" s="176" t="s">
        <v>80</v>
      </c>
      <c r="H16" s="176" t="s">
        <v>421</v>
      </c>
      <c r="I16" s="176" t="s">
        <v>422</v>
      </c>
      <c r="K16" s="29" t="s">
        <v>423</v>
      </c>
    </row>
    <row r="17" spans="2:11" ht="12" customHeight="1">
      <c r="B17" s="175" t="s">
        <v>424</v>
      </c>
      <c r="C17" s="174">
        <v>7245924000</v>
      </c>
      <c r="D17" s="174">
        <v>10327405000</v>
      </c>
      <c r="E17" s="174">
        <v>17845476000</v>
      </c>
      <c r="F17" s="174">
        <v>18012000000</v>
      </c>
      <c r="G17" s="174">
        <v>15584620000</v>
      </c>
      <c r="H17" s="174">
        <v>20113027625</v>
      </c>
      <c r="I17" s="174">
        <v>25922004632</v>
      </c>
      <c r="K17" s="29" t="s">
        <v>425</v>
      </c>
    </row>
    <row r="18" spans="2:11" ht="12" customHeight="1">
      <c r="B18" s="175" t="s">
        <v>426</v>
      </c>
      <c r="C18" s="174">
        <v>-45709000</v>
      </c>
      <c r="D18" s="174">
        <v>-74229000</v>
      </c>
      <c r="E18" s="174">
        <v>-43845000</v>
      </c>
      <c r="F18" s="174">
        <v>-152232000</v>
      </c>
      <c r="G18" s="174">
        <v>-345782000</v>
      </c>
      <c r="H18" s="174">
        <v>-774507965</v>
      </c>
      <c r="I18" s="174">
        <v>-784656325</v>
      </c>
      <c r="K18" s="29" t="s">
        <v>427</v>
      </c>
    </row>
    <row r="19" spans="2:11" ht="12" customHeight="1">
      <c r="B19" s="172" t="s">
        <v>428</v>
      </c>
      <c r="C19" s="171">
        <f>SUM(C17:C18)</f>
        <v>7200215000</v>
      </c>
      <c r="D19" s="171">
        <v>10253176000</v>
      </c>
      <c r="E19" s="171">
        <v>17801631000</v>
      </c>
      <c r="F19" s="171">
        <v>17859768000</v>
      </c>
      <c r="G19" s="171">
        <v>15238838000</v>
      </c>
      <c r="H19" s="171">
        <v>19338519660</v>
      </c>
      <c r="I19" s="171">
        <v>25137348307</v>
      </c>
      <c r="K19" s="29" t="s">
        <v>429</v>
      </c>
    </row>
    <row r="20" spans="2:11" ht="12" customHeight="1">
      <c r="B20" s="179" t="s">
        <v>430</v>
      </c>
      <c r="C20" s="178">
        <f t="shared" ref="C20:I20" si="0">-C18/C17</f>
        <v>6.3082361890629823E-3</v>
      </c>
      <c r="D20" s="178">
        <f t="shared" si="0"/>
        <v>7.1875751943494036E-3</v>
      </c>
      <c r="E20" s="178">
        <f t="shared" si="0"/>
        <v>2.4569252173492037E-3</v>
      </c>
      <c r="F20" s="178">
        <f t="shared" si="0"/>
        <v>8.4516988674217183E-3</v>
      </c>
      <c r="G20" s="178">
        <f t="shared" si="0"/>
        <v>2.2187387308769801E-2</v>
      </c>
      <c r="H20" s="178">
        <f t="shared" si="0"/>
        <v>3.85077761260222E-2</v>
      </c>
      <c r="I20" s="178">
        <f t="shared" si="0"/>
        <v>3.0269893711513476E-2</v>
      </c>
      <c r="K20" s="29" t="s">
        <v>431</v>
      </c>
    </row>
    <row r="21" spans="2:11" ht="12" customHeight="1">
      <c r="B21" s="179"/>
      <c r="C21" s="178"/>
      <c r="D21" s="178"/>
      <c r="E21" s="178"/>
      <c r="F21" s="178"/>
      <c r="G21" s="178"/>
      <c r="H21" s="178"/>
      <c r="I21" s="178"/>
      <c r="K21" s="29" t="s">
        <v>432</v>
      </c>
    </row>
    <row r="22" spans="2:11" ht="12" customHeight="1">
      <c r="B22" s="29" t="s">
        <v>433</v>
      </c>
    </row>
    <row r="23" spans="2:11" ht="12" customHeight="1">
      <c r="B23" s="172" t="s">
        <v>418</v>
      </c>
      <c r="D23" s="176" t="s">
        <v>420</v>
      </c>
      <c r="E23" s="176" t="s">
        <v>78</v>
      </c>
      <c r="F23" s="176" t="s">
        <v>79</v>
      </c>
      <c r="G23" s="176" t="s">
        <v>80</v>
      </c>
    </row>
    <row r="24" spans="2:11" ht="12" customHeight="1">
      <c r="B24" s="175" t="s">
        <v>434</v>
      </c>
      <c r="D24" s="174">
        <v>45709000</v>
      </c>
      <c r="E24" s="174">
        <v>74229000</v>
      </c>
      <c r="F24" s="174">
        <v>43845000</v>
      </c>
      <c r="G24" s="174">
        <v>152232000</v>
      </c>
    </row>
    <row r="25" spans="2:11" ht="12" customHeight="1">
      <c r="B25" s="175" t="s">
        <v>435</v>
      </c>
      <c r="D25" s="174">
        <v>28520000</v>
      </c>
      <c r="E25" s="174">
        <v>-30384000</v>
      </c>
      <c r="F25" s="174">
        <v>108387000</v>
      </c>
      <c r="G25" s="174">
        <v>193550000</v>
      </c>
    </row>
    <row r="26" spans="2:11" ht="12" customHeight="1">
      <c r="B26" s="172" t="s">
        <v>436</v>
      </c>
      <c r="D26" s="171">
        <v>74229000</v>
      </c>
      <c r="E26" s="171">
        <v>43845000</v>
      </c>
      <c r="F26" s="171">
        <v>152232000</v>
      </c>
      <c r="G26" s="171">
        <v>345782000</v>
      </c>
    </row>
    <row r="28" spans="2:11" ht="12" customHeight="1">
      <c r="B28" s="175"/>
      <c r="E28" s="177"/>
      <c r="F28" s="177"/>
      <c r="G28" s="177"/>
    </row>
    <row r="29" spans="2:11" ht="12" customHeight="1">
      <c r="B29" s="29" t="s">
        <v>437</v>
      </c>
    </row>
    <row r="30" spans="2:11" ht="12" customHeight="1">
      <c r="B30" s="172" t="s">
        <v>418</v>
      </c>
      <c r="D30" s="176" t="s">
        <v>420</v>
      </c>
      <c r="E30" s="176" t="s">
        <v>78</v>
      </c>
      <c r="F30" s="176" t="s">
        <v>79</v>
      </c>
      <c r="G30" s="176" t="s">
        <v>80</v>
      </c>
    </row>
    <row r="31" spans="2:11" ht="12" customHeight="1">
      <c r="B31" s="175" t="s">
        <v>438</v>
      </c>
      <c r="D31" s="174">
        <v>118054000</v>
      </c>
      <c r="E31" s="174">
        <v>24273000</v>
      </c>
      <c r="F31" s="174">
        <v>515818000</v>
      </c>
      <c r="G31" s="174">
        <v>198687000</v>
      </c>
    </row>
    <row r="32" spans="2:11" ht="12" customHeight="1">
      <c r="B32" s="175" t="s">
        <v>439</v>
      </c>
      <c r="D32" s="174">
        <v>6127000</v>
      </c>
      <c r="E32" s="174">
        <v>33402000</v>
      </c>
      <c r="F32" s="174">
        <v>155787000</v>
      </c>
      <c r="G32" s="173">
        <v>1041229000</v>
      </c>
    </row>
    <row r="33" spans="2:7" ht="12" customHeight="1">
      <c r="B33" s="175" t="s">
        <v>440</v>
      </c>
      <c r="D33" s="174">
        <v>2063000</v>
      </c>
      <c r="E33" s="174">
        <v>6167000</v>
      </c>
      <c r="F33" s="174">
        <v>18237000</v>
      </c>
      <c r="G33" s="173">
        <v>221322000</v>
      </c>
    </row>
    <row r="34" spans="2:7" ht="12" customHeight="1">
      <c r="B34" s="172" t="s">
        <v>441</v>
      </c>
      <c r="D34" s="171">
        <v>126244000</v>
      </c>
      <c r="E34" s="171">
        <v>63842000</v>
      </c>
      <c r="F34" s="171">
        <v>689842000</v>
      </c>
      <c r="G34" s="171">
        <v>1461238000</v>
      </c>
    </row>
    <row r="35" spans="2:7" ht="12" customHeight="1">
      <c r="B35" s="175"/>
      <c r="E35" s="177"/>
      <c r="F35" s="177"/>
      <c r="G35" s="177"/>
    </row>
    <row r="36" spans="2:7" ht="12" customHeight="1">
      <c r="B36" s="29" t="s">
        <v>442</v>
      </c>
    </row>
    <row r="37" spans="2:7" ht="12" customHeight="1">
      <c r="B37" s="172" t="s">
        <v>418</v>
      </c>
      <c r="D37" s="176" t="s">
        <v>420</v>
      </c>
      <c r="E37" s="176" t="s">
        <v>78</v>
      </c>
      <c r="F37" s="176" t="s">
        <v>79</v>
      </c>
      <c r="G37" s="176" t="s">
        <v>80</v>
      </c>
    </row>
    <row r="38" spans="2:7" ht="12" customHeight="1">
      <c r="B38" s="175" t="s">
        <v>443</v>
      </c>
      <c r="D38" s="17">
        <v>0</v>
      </c>
      <c r="E38" s="174">
        <v>0</v>
      </c>
      <c r="F38" s="174">
        <v>49388000</v>
      </c>
      <c r="G38" s="174">
        <v>0</v>
      </c>
    </row>
    <row r="39" spans="2:7" ht="12" customHeight="1">
      <c r="B39" s="175" t="s">
        <v>444</v>
      </c>
      <c r="D39" s="174">
        <v>74229000</v>
      </c>
      <c r="E39" s="174">
        <v>43845000</v>
      </c>
      <c r="F39" s="174">
        <v>102844000</v>
      </c>
      <c r="G39" s="173">
        <v>345782000</v>
      </c>
    </row>
    <row r="40" spans="2:7" ht="12" customHeight="1">
      <c r="B40" s="172" t="s">
        <v>441</v>
      </c>
      <c r="D40" s="171">
        <v>74229000</v>
      </c>
      <c r="E40" s="171">
        <v>43845000</v>
      </c>
      <c r="F40" s="171">
        <v>152232000</v>
      </c>
      <c r="G40" s="171">
        <v>345782000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9999"/>
  </sheetPr>
  <dimension ref="B1:K34"/>
  <sheetViews>
    <sheetView showGridLines="0" zoomScaleNormal="100" workbookViewId="0">
      <selection activeCell="D29" sqref="D29"/>
    </sheetView>
  </sheetViews>
  <sheetFormatPr defaultColWidth="9" defaultRowHeight="12" customHeight="1" outlineLevelCol="1"/>
  <cols>
    <col min="1" max="1" width="2.58203125" style="251" customWidth="1"/>
    <col min="2" max="2" width="12.58203125" style="251" customWidth="1"/>
    <col min="3" max="3" width="9.25" style="251" customWidth="1" outlineLevel="1"/>
    <col min="4" max="4" width="9.33203125" style="251" customWidth="1" outlineLevel="1"/>
    <col min="5" max="7" width="8.58203125" style="251" customWidth="1"/>
    <col min="8" max="8" width="8.58203125" style="251" customWidth="1" outlineLevel="1"/>
    <col min="9" max="9" width="8.58203125" style="251" customWidth="1"/>
    <col min="10" max="16384" width="9" style="251"/>
  </cols>
  <sheetData>
    <row r="1" spans="2:11" ht="12" customHeight="1">
      <c r="D1" s="312" t="s">
        <v>445</v>
      </c>
      <c r="E1" s="313">
        <f>E6+E12</f>
        <v>28747630000</v>
      </c>
      <c r="F1" s="313">
        <f t="shared" ref="F1:I1" si="0">F6+F12</f>
        <v>30228012000</v>
      </c>
      <c r="G1" s="313">
        <f t="shared" si="0"/>
        <v>28188462000</v>
      </c>
      <c r="H1" s="313">
        <f t="shared" si="0"/>
        <v>35416503386</v>
      </c>
      <c r="I1" s="313">
        <f t="shared" si="0"/>
        <v>43660656065</v>
      </c>
    </row>
    <row r="2" spans="2:11" ht="12" customHeight="1">
      <c r="D2" s="312" t="s">
        <v>446</v>
      </c>
      <c r="E2" s="313">
        <f>E6+E7+E12+E13</f>
        <v>20984367000</v>
      </c>
      <c r="F2" s="313">
        <f t="shared" ref="F2:I2" si="1">F6+F7+F12+F13</f>
        <v>21584565000</v>
      </c>
      <c r="G2" s="313">
        <f t="shared" si="1"/>
        <v>21782658000</v>
      </c>
      <c r="H2" s="313">
        <f t="shared" si="1"/>
        <v>28370139387</v>
      </c>
      <c r="I2" s="313">
        <f t="shared" si="1"/>
        <v>36044301857</v>
      </c>
    </row>
    <row r="3" spans="2:11" ht="19.5" customHeight="1">
      <c r="B3" s="314" t="s">
        <v>324</v>
      </c>
      <c r="C3" s="315"/>
      <c r="D3" s="315"/>
      <c r="E3" s="315"/>
      <c r="F3" s="315"/>
      <c r="G3" s="315"/>
      <c r="H3" s="315"/>
      <c r="I3" s="316"/>
      <c r="K3" s="251" t="s">
        <v>447</v>
      </c>
    </row>
    <row r="4" spans="2:11" ht="12" customHeight="1">
      <c r="B4" s="317"/>
      <c r="C4" s="318" t="s">
        <v>319</v>
      </c>
      <c r="D4" s="318" t="s">
        <v>320</v>
      </c>
      <c r="E4" s="318" t="s">
        <v>217</v>
      </c>
      <c r="F4" s="318" t="s">
        <v>231</v>
      </c>
      <c r="G4" s="318" t="s">
        <v>141</v>
      </c>
      <c r="H4" s="318" t="s">
        <v>117</v>
      </c>
      <c r="I4" s="319" t="s">
        <v>117</v>
      </c>
      <c r="K4" s="251" t="s">
        <v>448</v>
      </c>
    </row>
    <row r="5" spans="2:11" ht="12" customHeight="1">
      <c r="B5" s="320" t="s">
        <v>119</v>
      </c>
      <c r="C5" s="321" t="s">
        <v>404</v>
      </c>
      <c r="D5" s="321" t="s">
        <v>404</v>
      </c>
      <c r="E5" s="321" t="s">
        <v>404</v>
      </c>
      <c r="F5" s="321" t="s">
        <v>404</v>
      </c>
      <c r="G5" s="321" t="s">
        <v>404</v>
      </c>
      <c r="H5" s="321" t="s">
        <v>449</v>
      </c>
      <c r="I5" s="322" t="s">
        <v>405</v>
      </c>
      <c r="K5" s="251" t="s">
        <v>450</v>
      </c>
    </row>
    <row r="6" spans="2:11" ht="12" customHeight="1">
      <c r="B6" s="252" t="s">
        <v>65</v>
      </c>
      <c r="C6" s="323">
        <v>19093652000</v>
      </c>
      <c r="D6" s="323">
        <v>21038146000</v>
      </c>
      <c r="E6" s="187">
        <v>24150673000</v>
      </c>
      <c r="F6" s="187">
        <v>20374394000</v>
      </c>
      <c r="G6" s="187">
        <v>24256215000</v>
      </c>
      <c r="H6" s="187">
        <v>27313622423</v>
      </c>
      <c r="I6" s="186">
        <v>34081017341</v>
      </c>
      <c r="J6" s="251" t="s">
        <v>451</v>
      </c>
      <c r="K6" s="251" t="s">
        <v>452</v>
      </c>
    </row>
    <row r="7" spans="2:11" ht="12" customHeight="1">
      <c r="B7" s="253" t="s">
        <v>453</v>
      </c>
      <c r="C7" s="324">
        <v>-5898467000</v>
      </c>
      <c r="D7" s="324">
        <v>-5908057000</v>
      </c>
      <c r="E7" s="174">
        <v>-7087832000</v>
      </c>
      <c r="F7" s="174">
        <v>-8062132000</v>
      </c>
      <c r="G7" s="174">
        <v>-5578411000</v>
      </c>
      <c r="H7" s="174">
        <v>-6224340866</v>
      </c>
      <c r="I7" s="254">
        <v>-7052407260</v>
      </c>
      <c r="K7" s="251" t="s">
        <v>454</v>
      </c>
    </row>
    <row r="8" spans="2:11" ht="12" customHeight="1">
      <c r="B8" s="253" t="s">
        <v>67</v>
      </c>
      <c r="C8" s="324">
        <v>146665000</v>
      </c>
      <c r="D8" s="324">
        <v>212796000</v>
      </c>
      <c r="E8" s="174">
        <v>203701000</v>
      </c>
      <c r="F8" s="174">
        <v>691723000</v>
      </c>
      <c r="G8" s="174">
        <v>296800000</v>
      </c>
      <c r="H8" s="174">
        <v>749708288</v>
      </c>
      <c r="I8" s="254">
        <v>197068915</v>
      </c>
      <c r="K8" s="251" t="s">
        <v>455</v>
      </c>
    </row>
    <row r="9" spans="2:11" ht="12" customHeight="1">
      <c r="B9" s="253" t="s">
        <v>456</v>
      </c>
      <c r="C9" s="324">
        <v>2224476000</v>
      </c>
      <c r="D9" s="324">
        <v>779467000</v>
      </c>
      <c r="E9" s="174">
        <v>223481000</v>
      </c>
      <c r="F9" s="174">
        <v>285494000</v>
      </c>
      <c r="G9" s="174">
        <v>2570560000</v>
      </c>
      <c r="H9" s="174">
        <v>6330803818</v>
      </c>
      <c r="I9" s="254">
        <v>1193170681</v>
      </c>
      <c r="K9" s="251" t="s">
        <v>457</v>
      </c>
    </row>
    <row r="10" spans="2:11" ht="12" customHeight="1">
      <c r="B10" s="253" t="s">
        <v>458</v>
      </c>
      <c r="C10" s="324">
        <v>3217275000</v>
      </c>
      <c r="D10" s="324">
        <v>9063070000</v>
      </c>
      <c r="E10" s="174">
        <v>7220791000</v>
      </c>
      <c r="F10" s="174">
        <v>8333953000</v>
      </c>
      <c r="G10" s="174">
        <v>8815524000</v>
      </c>
      <c r="H10" s="174">
        <v>9158635847</v>
      </c>
      <c r="I10" s="254">
        <v>12767567634</v>
      </c>
      <c r="J10" s="251" t="s">
        <v>459</v>
      </c>
      <c r="K10" s="251" t="s">
        <v>460</v>
      </c>
    </row>
    <row r="11" spans="2:11" ht="12" customHeight="1">
      <c r="B11" s="253" t="s">
        <v>453</v>
      </c>
      <c r="C11" s="324">
        <v>-260325000</v>
      </c>
      <c r="D11" s="324">
        <v>-13405000</v>
      </c>
      <c r="E11" s="174">
        <v>-811131000</v>
      </c>
      <c r="F11" s="174">
        <v>-1785158000</v>
      </c>
      <c r="G11" s="174">
        <v>-1261988000</v>
      </c>
      <c r="H11" s="174">
        <v>-1353672000</v>
      </c>
      <c r="I11" s="254">
        <v>-1587478658</v>
      </c>
      <c r="K11" s="251" t="s">
        <v>461</v>
      </c>
    </row>
    <row r="12" spans="2:11" ht="12" customHeight="1">
      <c r="B12" s="253" t="s">
        <v>462</v>
      </c>
      <c r="C12" s="324">
        <v>9830661000</v>
      </c>
      <c r="D12" s="324">
        <v>6331344000</v>
      </c>
      <c r="E12" s="174">
        <v>4596957000</v>
      </c>
      <c r="F12" s="174">
        <v>9853618000</v>
      </c>
      <c r="G12" s="174">
        <v>3932247000</v>
      </c>
      <c r="H12" s="174">
        <v>8102880963</v>
      </c>
      <c r="I12" s="254">
        <v>9579638724</v>
      </c>
      <c r="J12" s="251" t="s">
        <v>459</v>
      </c>
    </row>
    <row r="13" spans="2:11" ht="12" customHeight="1">
      <c r="B13" s="253" t="s">
        <v>453</v>
      </c>
      <c r="C13" s="324">
        <v>-2563115000</v>
      </c>
      <c r="D13" s="324">
        <v>-3427996000</v>
      </c>
      <c r="E13" s="174">
        <v>-675431000</v>
      </c>
      <c r="F13" s="174">
        <v>-581315000</v>
      </c>
      <c r="G13" s="174">
        <v>-827393000</v>
      </c>
      <c r="H13" s="174">
        <v>-822023133</v>
      </c>
      <c r="I13" s="254">
        <v>-563946948</v>
      </c>
      <c r="K13" s="251" t="s">
        <v>463</v>
      </c>
    </row>
    <row r="14" spans="2:11" ht="12" customHeight="1">
      <c r="B14" s="253" t="s">
        <v>464</v>
      </c>
      <c r="C14" s="324">
        <v>47510000</v>
      </c>
      <c r="D14" s="324">
        <v>35687000</v>
      </c>
      <c r="E14" s="174">
        <v>151884000</v>
      </c>
      <c r="F14" s="174">
        <v>759895000</v>
      </c>
      <c r="G14" s="174">
        <v>2757674000</v>
      </c>
      <c r="H14" s="174">
        <v>1284303905</v>
      </c>
      <c r="I14" s="254">
        <v>957730155</v>
      </c>
      <c r="K14" s="251" t="s">
        <v>465</v>
      </c>
    </row>
    <row r="15" spans="2:11" ht="12" customHeight="1">
      <c r="B15" s="325" t="s">
        <v>466</v>
      </c>
      <c r="C15" s="326">
        <v>25838332000</v>
      </c>
      <c r="D15" s="326">
        <v>28111052000</v>
      </c>
      <c r="E15" s="190">
        <v>27973093000</v>
      </c>
      <c r="F15" s="190">
        <v>29870472000</v>
      </c>
      <c r="G15" s="190">
        <v>34961228000</v>
      </c>
      <c r="H15" s="190">
        <v>44539919245</v>
      </c>
      <c r="I15" s="189">
        <v>49572360584</v>
      </c>
      <c r="K15" s="327">
        <f>I6/I$15</f>
        <v>0.687500392143924</v>
      </c>
    </row>
    <row r="16" spans="2:11" ht="12" customHeight="1" thickBot="1">
      <c r="B16" s="328" t="s">
        <v>467</v>
      </c>
      <c r="C16" s="329"/>
      <c r="D16" s="329"/>
      <c r="E16" s="330">
        <f>-E19/E15</f>
        <v>0.30652291471665288</v>
      </c>
      <c r="F16" s="330">
        <f t="shared" ref="F16:I16" si="2">-F19/F15</f>
        <v>0.34912755981894095</v>
      </c>
      <c r="G16" s="330">
        <f t="shared" si="2"/>
        <v>0.21932273088348042</v>
      </c>
      <c r="H16" s="330">
        <f t="shared" si="2"/>
        <v>0.18859567195876714</v>
      </c>
      <c r="I16" s="331">
        <f t="shared" si="2"/>
        <v>0.18566460740565649</v>
      </c>
      <c r="K16" s="327">
        <f t="shared" ref="K16:K23" si="3">I7/I$15</f>
        <v>-0.14226490683351153</v>
      </c>
    </row>
    <row r="17" spans="2:11" ht="12" customHeight="1">
      <c r="C17" s="251" t="b">
        <f>C15=SUM(C6:C14)</f>
        <v>1</v>
      </c>
      <c r="D17" s="251" t="b">
        <f>D15=SUM(D6:D14)</f>
        <v>1</v>
      </c>
      <c r="E17" s="251" t="b">
        <f t="shared" ref="E17:I17" si="4">E15=SUM(E6:E14)</f>
        <v>1</v>
      </c>
      <c r="F17" s="251" t="b">
        <f t="shared" si="4"/>
        <v>1</v>
      </c>
      <c r="G17" s="251" t="b">
        <f t="shared" si="4"/>
        <v>1</v>
      </c>
      <c r="H17" s="251" t="b">
        <f t="shared" si="4"/>
        <v>1</v>
      </c>
      <c r="I17" s="251" t="b">
        <f t="shared" si="4"/>
        <v>1</v>
      </c>
      <c r="K17" s="332">
        <f t="shared" si="3"/>
        <v>3.9753788740011318E-3</v>
      </c>
    </row>
    <row r="18" spans="2:11" ht="12" customHeight="1">
      <c r="B18" s="333" t="s">
        <v>468</v>
      </c>
      <c r="C18" s="334">
        <f>SUM(C6,C8,C9,C10,C12,C14)</f>
        <v>34560239000</v>
      </c>
      <c r="D18" s="334">
        <f>SUM(D6,D8,D9,D10,D12,D14)</f>
        <v>37460510000</v>
      </c>
      <c r="E18" s="334">
        <f>SUM(E6,E8,E9,E10,E12,E14)</f>
        <v>36547487000</v>
      </c>
      <c r="F18" s="334">
        <f>SUM(F6,F8,F9,F10,F12,F14)</f>
        <v>40299077000</v>
      </c>
      <c r="G18" s="334">
        <f>SUM(G6,G8,G9,G10,G12,G14)</f>
        <v>42629020000</v>
      </c>
      <c r="H18" s="334">
        <f t="shared" ref="H18:I18" si="5">SUM(H6,H8,H9,H10,H12,H14)</f>
        <v>52939955244</v>
      </c>
      <c r="I18" s="335">
        <f t="shared" si="5"/>
        <v>58776193450</v>
      </c>
      <c r="K18" s="332">
        <f t="shared" si="3"/>
        <v>2.4069273017131815E-2</v>
      </c>
    </row>
    <row r="19" spans="2:11" ht="12" customHeight="1">
      <c r="B19" s="336" t="s">
        <v>469</v>
      </c>
      <c r="C19" s="313">
        <f>C7+C11+C13</f>
        <v>-8721907000</v>
      </c>
      <c r="D19" s="313">
        <f>D7+D11+D13</f>
        <v>-9349458000</v>
      </c>
      <c r="E19" s="313">
        <f>E7+E11+E13</f>
        <v>-8574394000</v>
      </c>
      <c r="F19" s="313">
        <f>F7+F11+F13</f>
        <v>-10428605000</v>
      </c>
      <c r="G19" s="313">
        <f>G7+G11+G13</f>
        <v>-7667792000</v>
      </c>
      <c r="H19" s="313">
        <f t="shared" ref="H19:I19" si="6">H7+H11+H13</f>
        <v>-8400035999</v>
      </c>
      <c r="I19" s="337">
        <f t="shared" si="6"/>
        <v>-9203832866</v>
      </c>
      <c r="K19" s="327">
        <f t="shared" si="3"/>
        <v>0.25755415888185212</v>
      </c>
    </row>
    <row r="20" spans="2:11" ht="12" customHeight="1">
      <c r="B20" s="338" t="s">
        <v>470</v>
      </c>
      <c r="C20" s="339"/>
      <c r="D20" s="340">
        <f>-(D19-C19)</f>
        <v>627551000</v>
      </c>
      <c r="E20" s="340">
        <f>-(E19-D19)</f>
        <v>-775064000</v>
      </c>
      <c r="F20" s="340">
        <f>-(F19-E19)</f>
        <v>1854211000</v>
      </c>
      <c r="G20" s="340">
        <f>-(G19-F19)</f>
        <v>-2760813000</v>
      </c>
      <c r="H20" s="340">
        <f>-(H19-G19)</f>
        <v>732243999</v>
      </c>
      <c r="I20" s="341">
        <f>-(I19-G19)</f>
        <v>1536040866</v>
      </c>
      <c r="K20" s="327">
        <f t="shared" si="3"/>
        <v>-3.202346306083264E-2</v>
      </c>
    </row>
    <row r="21" spans="2:11" ht="12" customHeight="1">
      <c r="B21" s="251" t="s">
        <v>471</v>
      </c>
      <c r="D21" s="342">
        <f>D15-C15</f>
        <v>2272720000</v>
      </c>
      <c r="E21" s="342">
        <f>E15-D15</f>
        <v>-137959000</v>
      </c>
      <c r="F21" s="342">
        <f t="shared" ref="F21:G21" si="7">F15-E15</f>
        <v>1897379000</v>
      </c>
      <c r="G21" s="342">
        <f t="shared" si="7"/>
        <v>5090756000</v>
      </c>
      <c r="K21" s="327">
        <f t="shared" si="3"/>
        <v>0.19324556287303229</v>
      </c>
    </row>
    <row r="22" spans="2:11" ht="12" customHeight="1">
      <c r="B22" s="251" t="s">
        <v>123</v>
      </c>
      <c r="C22" s="343">
        <f>-C7/C6</f>
        <v>0.30892293417728572</v>
      </c>
      <c r="D22" s="343">
        <f>-D7/D6</f>
        <v>0.28082593399627515</v>
      </c>
      <c r="E22" s="343">
        <f t="shared" ref="E22:I22" si="8">-E7/E6</f>
        <v>0.29348382962247055</v>
      </c>
      <c r="F22" s="343">
        <f t="shared" si="8"/>
        <v>0.39569922914026301</v>
      </c>
      <c r="G22" s="343">
        <f t="shared" si="8"/>
        <v>0.22997862609644579</v>
      </c>
      <c r="H22" s="343">
        <f t="shared" si="8"/>
        <v>0.22788412205473943</v>
      </c>
      <c r="I22" s="343">
        <f t="shared" si="8"/>
        <v>0.20693065554459969</v>
      </c>
      <c r="K22" s="327">
        <f t="shared" si="3"/>
        <v>-1.1376237511312297E-2</v>
      </c>
    </row>
    <row r="23" spans="2:11" ht="12" customHeight="1">
      <c r="B23" s="251" t="s">
        <v>472</v>
      </c>
      <c r="C23" s="343">
        <f>-C11/C10</f>
        <v>8.0914749283166651E-2</v>
      </c>
      <c r="D23" s="343">
        <f>-D11/D10</f>
        <v>1.4790793848000732E-3</v>
      </c>
      <c r="E23" s="343">
        <f t="shared" ref="E23:I23" si="9">-E11/E10</f>
        <v>0.1123327070399905</v>
      </c>
      <c r="F23" s="343">
        <f t="shared" si="9"/>
        <v>0.21420303186255071</v>
      </c>
      <c r="G23" s="343">
        <f t="shared" si="9"/>
        <v>0.14315518850609449</v>
      </c>
      <c r="H23" s="343">
        <f t="shared" si="9"/>
        <v>0.14780279755782716</v>
      </c>
      <c r="I23" s="343">
        <f t="shared" si="9"/>
        <v>0.12433681210918737</v>
      </c>
      <c r="K23" s="332">
        <f t="shared" si="3"/>
        <v>1.9319841615715139E-2</v>
      </c>
    </row>
    <row r="24" spans="2:11" ht="12" customHeight="1">
      <c r="B24" s="251" t="s">
        <v>473</v>
      </c>
      <c r="C24" s="343">
        <f>-C13/C12</f>
        <v>0.26072661848475909</v>
      </c>
      <c r="D24" s="343">
        <f>-D13/D12</f>
        <v>0.5414325931429409</v>
      </c>
      <c r="E24" s="343">
        <f t="shared" ref="E24:I24" si="10">-E13/E12</f>
        <v>0.14693002349162718</v>
      </c>
      <c r="F24" s="343">
        <f t="shared" si="10"/>
        <v>5.8995081806499906E-2</v>
      </c>
      <c r="G24" s="343">
        <f t="shared" si="10"/>
        <v>0.21041226555707207</v>
      </c>
      <c r="H24" s="343">
        <f t="shared" si="10"/>
        <v>0.10144825485572175</v>
      </c>
      <c r="I24" s="343">
        <f t="shared" si="10"/>
        <v>5.8869333619767518E-2</v>
      </c>
    </row>
    <row r="26" spans="2:11" ht="13.5" customHeight="1">
      <c r="B26" s="344" t="s">
        <v>474</v>
      </c>
      <c r="C26" s="345" t="s">
        <v>319</v>
      </c>
      <c r="D26" s="345" t="s">
        <v>320</v>
      </c>
      <c r="E26" s="345" t="s">
        <v>217</v>
      </c>
      <c r="F26" s="345" t="s">
        <v>231</v>
      </c>
      <c r="G26" s="345" t="s">
        <v>141</v>
      </c>
      <c r="H26" s="345" t="s">
        <v>99</v>
      </c>
      <c r="I26" s="345" t="s">
        <v>99</v>
      </c>
    </row>
    <row r="27" spans="2:11" ht="12" customHeight="1">
      <c r="B27" s="344" t="s">
        <v>475</v>
      </c>
      <c r="C27" s="346">
        <f t="shared" ref="C27:I27" si="11">C28+C29</f>
        <v>-387618000</v>
      </c>
      <c r="D27" s="346">
        <f t="shared" si="11"/>
        <v>627551000</v>
      </c>
      <c r="E27" s="346">
        <f t="shared" si="11"/>
        <v>-775065000</v>
      </c>
      <c r="F27" s="346">
        <f t="shared" si="11"/>
        <v>1854211000</v>
      </c>
      <c r="G27" s="346">
        <f t="shared" si="11"/>
        <v>-2760813000</v>
      </c>
      <c r="H27" s="346">
        <f t="shared" si="11"/>
        <v>732244377</v>
      </c>
      <c r="I27" s="346">
        <f t="shared" si="11"/>
        <v>1536041244</v>
      </c>
    </row>
    <row r="28" spans="2:11" ht="12" customHeight="1">
      <c r="B28" s="347" t="s">
        <v>476</v>
      </c>
      <c r="C28" s="324">
        <v>357105000</v>
      </c>
      <c r="D28" s="324">
        <v>874471000</v>
      </c>
      <c r="E28" s="324">
        <v>2873141000</v>
      </c>
      <c r="F28" s="324">
        <v>3854100000</v>
      </c>
      <c r="G28" s="324">
        <v>2321574000</v>
      </c>
      <c r="H28" s="324">
        <v>762570875</v>
      </c>
      <c r="I28" s="324">
        <v>1824443927</v>
      </c>
    </row>
    <row r="29" spans="2:11" ht="12" customHeight="1">
      <c r="B29" s="347" t="s">
        <v>477</v>
      </c>
      <c r="C29" s="324">
        <v>-744723000</v>
      </c>
      <c r="D29" s="324">
        <v>-246920000</v>
      </c>
      <c r="E29" s="324">
        <v>-3648206000</v>
      </c>
      <c r="F29" s="324">
        <v>-1999889000</v>
      </c>
      <c r="G29" s="324">
        <v>-5082387000</v>
      </c>
      <c r="H29" s="324">
        <v>-30326498</v>
      </c>
      <c r="I29" s="324">
        <v>-288402683</v>
      </c>
      <c r="K29" s="251" t="s">
        <v>478</v>
      </c>
    </row>
    <row r="30" spans="2:11" ht="12" customHeight="1">
      <c r="D30" s="348">
        <f>SUM(D7,D11,D13)-SUM(C7,C11,C13)</f>
        <v>-627551000</v>
      </c>
      <c r="E30" s="348">
        <f>SUM(E7,E11,E13)-SUM(D7,D11,D13)</f>
        <v>775064000</v>
      </c>
      <c r="F30" s="348">
        <f>SUM(F7,F11,F13)-SUM(E7,E11,E13)</f>
        <v>-1854211000</v>
      </c>
      <c r="G30" s="348">
        <f>SUM(G7,G11,G13)-SUM(F7,F11,F13)</f>
        <v>2760813000</v>
      </c>
    </row>
    <row r="33" spans="2:2" ht="12" customHeight="1">
      <c r="B33" s="251" t="s">
        <v>479</v>
      </c>
    </row>
    <row r="34" spans="2:2" ht="12" customHeight="1">
      <c r="B34" s="251" t="s">
        <v>480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2060"/>
  </sheetPr>
  <dimension ref="B1:F33"/>
  <sheetViews>
    <sheetView showGridLines="0" topLeftCell="A22" zoomScale="115" zoomScaleNormal="115" workbookViewId="0">
      <selection activeCell="H40" sqref="H40"/>
    </sheetView>
  </sheetViews>
  <sheetFormatPr defaultColWidth="9" defaultRowHeight="12" customHeight="1"/>
  <cols>
    <col min="1" max="1" width="9" style="388"/>
    <col min="2" max="2" width="16.83203125" style="388" customWidth="1"/>
    <col min="3" max="6" width="7.58203125" style="388" customWidth="1"/>
    <col min="7" max="7" width="10.58203125" style="388" customWidth="1"/>
    <col min="8" max="16384" width="9" style="388"/>
  </cols>
  <sheetData>
    <row r="1" spans="2:6" ht="19.5" customHeight="1">
      <c r="B1" s="386" t="s">
        <v>481</v>
      </c>
      <c r="C1" s="353"/>
      <c r="D1" s="353"/>
      <c r="E1" s="353"/>
      <c r="F1" s="387"/>
    </row>
    <row r="2" spans="2:6" ht="12" customHeight="1">
      <c r="B2" s="446"/>
      <c r="C2" s="447" t="s">
        <v>217</v>
      </c>
      <c r="D2" s="447" t="s">
        <v>231</v>
      </c>
      <c r="E2" s="447" t="s">
        <v>141</v>
      </c>
      <c r="F2" s="448" t="s">
        <v>117</v>
      </c>
    </row>
    <row r="3" spans="2:6" ht="12" customHeight="1">
      <c r="B3" s="449" t="s">
        <v>119</v>
      </c>
      <c r="C3" s="450" t="s">
        <v>482</v>
      </c>
      <c r="D3" s="450" t="s">
        <v>482</v>
      </c>
      <c r="E3" s="450" t="s">
        <v>482</v>
      </c>
      <c r="F3" s="451" t="s">
        <v>483</v>
      </c>
    </row>
    <row r="4" spans="2:6" ht="12" customHeight="1">
      <c r="B4" s="459" t="s">
        <v>484</v>
      </c>
      <c r="C4" s="460">
        <f>[11]Memo!C270</f>
        <v>17750666300</v>
      </c>
      <c r="D4" s="460">
        <f>[11]Memo!D270</f>
        <v>17857182480</v>
      </c>
      <c r="E4" s="460">
        <f>[11]Memo!E270</f>
        <v>17969285680</v>
      </c>
      <c r="F4" s="461">
        <f>[11]Memo!F270</f>
        <v>18257800370</v>
      </c>
    </row>
    <row r="5" spans="2:6" ht="12" customHeight="1">
      <c r="B5" s="364" t="s">
        <v>485</v>
      </c>
      <c r="C5" s="414">
        <f>SUM(C6:C7)</f>
        <v>12434784134</v>
      </c>
      <c r="D5" s="414">
        <f t="shared" ref="D5:F5" si="0">SUM(D6:D7)</f>
        <v>12239756108</v>
      </c>
      <c r="E5" s="414">
        <f t="shared" si="0"/>
        <v>11897122090</v>
      </c>
      <c r="F5" s="429">
        <f t="shared" si="0"/>
        <v>28322570839</v>
      </c>
    </row>
    <row r="6" spans="2:6" ht="12" customHeight="1">
      <c r="B6" s="397" t="s">
        <v>486</v>
      </c>
      <c r="C6" s="414">
        <f>[11]Memo!C271</f>
        <v>16987209496</v>
      </c>
      <c r="D6" s="414">
        <f>[11]Memo!D271</f>
        <v>17383056511</v>
      </c>
      <c r="E6" s="414">
        <f>[11]Memo!E271</f>
        <v>17639829235</v>
      </c>
      <c r="F6" s="429">
        <f>[11]Memo!F271</f>
        <v>34449607577</v>
      </c>
    </row>
    <row r="7" spans="2:6" ht="12" customHeight="1">
      <c r="B7" s="440" t="s">
        <v>487</v>
      </c>
      <c r="C7" s="462">
        <f>[11]Memo!C272</f>
        <v>-4552425362</v>
      </c>
      <c r="D7" s="430">
        <f>[11]Memo!D272</f>
        <v>-5143300403</v>
      </c>
      <c r="E7" s="430">
        <f>[11]Memo!E272</f>
        <v>-5742707145</v>
      </c>
      <c r="F7" s="431">
        <f>[11]Memo!F272</f>
        <v>-6127036738</v>
      </c>
    </row>
    <row r="8" spans="2:6" ht="12" customHeight="1">
      <c r="B8" s="364" t="s">
        <v>488</v>
      </c>
      <c r="C8" s="414">
        <f>SUM(C9:C10)</f>
        <v>1172668739</v>
      </c>
      <c r="D8" s="414">
        <f t="shared" ref="D8:F8" si="1">SUM(D9:D10)</f>
        <v>1071819742</v>
      </c>
      <c r="E8" s="414">
        <f t="shared" si="1"/>
        <v>869982106</v>
      </c>
      <c r="F8" s="429">
        <f t="shared" si="1"/>
        <v>2873178515</v>
      </c>
    </row>
    <row r="9" spans="2:6" ht="12" customHeight="1">
      <c r="B9" s="397" t="s">
        <v>486</v>
      </c>
      <c r="C9" s="414">
        <f>[11]Memo!C273</f>
        <v>3580011804</v>
      </c>
      <c r="D9" s="414">
        <f>[11]Memo!D273</f>
        <v>3725011804</v>
      </c>
      <c r="E9" s="414">
        <f>[11]Memo!E273</f>
        <v>3772133104</v>
      </c>
      <c r="F9" s="429">
        <f>[11]Memo!F273</f>
        <v>5907623716</v>
      </c>
    </row>
    <row r="10" spans="2:6" ht="12" customHeight="1">
      <c r="B10" s="440" t="s">
        <v>487</v>
      </c>
      <c r="C10" s="430">
        <f>[11]Memo!C274</f>
        <v>-2407343065</v>
      </c>
      <c r="D10" s="430">
        <f>[11]Memo!D274</f>
        <v>-2653192062</v>
      </c>
      <c r="E10" s="430">
        <f>[11]Memo!E274</f>
        <v>-2902150998</v>
      </c>
      <c r="F10" s="431">
        <f>[11]Memo!F274</f>
        <v>-3034445201</v>
      </c>
    </row>
    <row r="11" spans="2:6" ht="12" customHeight="1">
      <c r="B11" s="364" t="s">
        <v>489</v>
      </c>
      <c r="C11" s="414">
        <f>SUM(C12:C14)</f>
        <v>11980363957</v>
      </c>
      <c r="D11" s="414">
        <f t="shared" ref="D11:F11" si="2">SUM(D12:D14)</f>
        <v>10666221983</v>
      </c>
      <c r="E11" s="414">
        <f t="shared" si="2"/>
        <v>8560635013</v>
      </c>
      <c r="F11" s="429">
        <f t="shared" si="2"/>
        <v>20890300533</v>
      </c>
    </row>
    <row r="12" spans="2:6" ht="12" customHeight="1">
      <c r="B12" s="397" t="s">
        <v>486</v>
      </c>
      <c r="C12" s="463">
        <f>[11]Memo!C275</f>
        <v>37182714908</v>
      </c>
      <c r="D12" s="463">
        <f>[11]Memo!D275</f>
        <v>38360363650</v>
      </c>
      <c r="E12" s="463">
        <f>[11]Memo!E275</f>
        <v>38205662281</v>
      </c>
      <c r="F12" s="464">
        <f>[11]Memo!F275</f>
        <v>51531199771</v>
      </c>
    </row>
    <row r="13" spans="2:6" ht="12" customHeight="1">
      <c r="B13" s="397" t="s">
        <v>487</v>
      </c>
      <c r="C13" s="463">
        <f>[11]Memo!C276</f>
        <v>-25181100376</v>
      </c>
      <c r="D13" s="463">
        <f>[11]Memo!D276</f>
        <v>-27677890992</v>
      </c>
      <c r="E13" s="463">
        <f>[11]Memo!E276</f>
        <v>-29633776493</v>
      </c>
      <c r="F13" s="464">
        <f>[11]Memo!F276</f>
        <v>-30632148411</v>
      </c>
    </row>
    <row r="14" spans="2:6" ht="12" customHeight="1">
      <c r="B14" s="440" t="s">
        <v>490</v>
      </c>
      <c r="C14" s="462">
        <f>[11]Memo!C277</f>
        <v>-21250575</v>
      </c>
      <c r="D14" s="462">
        <f>[11]Memo!D277</f>
        <v>-16250675</v>
      </c>
      <c r="E14" s="462">
        <f>[11]Memo!E277</f>
        <v>-11250775</v>
      </c>
      <c r="F14" s="465">
        <f>[11]Memo!F277</f>
        <v>-8750827</v>
      </c>
    </row>
    <row r="15" spans="2:6" ht="12" customHeight="1">
      <c r="B15" s="364" t="s">
        <v>491</v>
      </c>
      <c r="C15" s="414">
        <f>SUM(C16:C17)</f>
        <v>153552280</v>
      </c>
      <c r="D15" s="414">
        <f t="shared" ref="D15:F15" si="3">SUM(D16:D17)</f>
        <v>137096981</v>
      </c>
      <c r="E15" s="414">
        <f t="shared" si="3"/>
        <v>120641682</v>
      </c>
      <c r="F15" s="429">
        <f t="shared" si="3"/>
        <v>210836446</v>
      </c>
    </row>
    <row r="16" spans="2:6" ht="12" customHeight="1">
      <c r="B16" s="397" t="s">
        <v>486</v>
      </c>
      <c r="C16" s="414">
        <f>[11]Memo!C278</f>
        <v>215056557</v>
      </c>
      <c r="D16" s="414">
        <f>[11]Memo!D278</f>
        <v>215056557</v>
      </c>
      <c r="E16" s="414">
        <f>[11]Memo!E278</f>
        <v>215056557</v>
      </c>
      <c r="F16" s="429">
        <f>[11]Memo!F278</f>
        <v>317154357</v>
      </c>
    </row>
    <row r="17" spans="2:6" ht="12.75" customHeight="1">
      <c r="B17" s="440" t="s">
        <v>487</v>
      </c>
      <c r="C17" s="430">
        <f>[11]Memo!C279</f>
        <v>-61504277</v>
      </c>
      <c r="D17" s="430">
        <f>[11]Memo!D279</f>
        <v>-77959576</v>
      </c>
      <c r="E17" s="430">
        <f>[11]Memo!E279</f>
        <v>-94414875</v>
      </c>
      <c r="F17" s="431">
        <f>[11]Memo!F279</f>
        <v>-106317911</v>
      </c>
    </row>
    <row r="18" spans="2:6" ht="12" customHeight="1">
      <c r="B18" s="364" t="s">
        <v>492</v>
      </c>
      <c r="C18" s="414">
        <f>SUM(C19:C21)</f>
        <v>2606422161</v>
      </c>
      <c r="D18" s="414">
        <f t="shared" ref="D18:F18" si="4">SUM(D19:D21)</f>
        <v>2677412159</v>
      </c>
      <c r="E18" s="414">
        <f t="shared" si="4"/>
        <v>2381495440</v>
      </c>
      <c r="F18" s="429">
        <f t="shared" si="4"/>
        <v>4985543782</v>
      </c>
    </row>
    <row r="19" spans="2:6" ht="12" customHeight="1">
      <c r="B19" s="397" t="s">
        <v>486</v>
      </c>
      <c r="C19" s="463">
        <f>[11]Memo!C280</f>
        <v>6018934815</v>
      </c>
      <c r="D19" s="463">
        <f>[11]Memo!D280</f>
        <v>6673803698</v>
      </c>
      <c r="E19" s="463">
        <f>[11]Memo!E280</f>
        <v>7055191581</v>
      </c>
      <c r="F19" s="464">
        <f>[11]Memo!F280</f>
        <v>9915315164</v>
      </c>
    </row>
    <row r="20" spans="2:6" ht="12" customHeight="1">
      <c r="B20" s="397" t="s">
        <v>487</v>
      </c>
      <c r="C20" s="463">
        <f>[11]Memo!C281</f>
        <v>-3202564844</v>
      </c>
      <c r="D20" s="463">
        <f>[11]Memo!D281</f>
        <v>-3459195246</v>
      </c>
      <c r="E20" s="463">
        <f>[11]Memo!E281</f>
        <v>-4122056998</v>
      </c>
      <c r="F20" s="464">
        <f>[11]Memo!F281</f>
        <v>-4386767317</v>
      </c>
    </row>
    <row r="21" spans="2:6" ht="12" customHeight="1">
      <c r="B21" s="440" t="s">
        <v>490</v>
      </c>
      <c r="C21" s="462">
        <f>[11]Memo!C282</f>
        <v>-209947810</v>
      </c>
      <c r="D21" s="462">
        <f>[11]Memo!D282</f>
        <v>-537196293</v>
      </c>
      <c r="E21" s="462">
        <f>[11]Memo!E282</f>
        <v>-551639143</v>
      </c>
      <c r="F21" s="465">
        <f>[11]Memo!F282</f>
        <v>-543004065</v>
      </c>
    </row>
    <row r="22" spans="2:6" ht="12" customHeight="1">
      <c r="B22" s="459" t="s">
        <v>493</v>
      </c>
      <c r="C22" s="460">
        <f>[11]Memo!C283</f>
        <v>452300000</v>
      </c>
      <c r="D22" s="460">
        <f>[11]Memo!D283</f>
        <v>388165000</v>
      </c>
      <c r="E22" s="460">
        <f>[11]Memo!E283</f>
        <v>21959953884</v>
      </c>
      <c r="F22" s="461">
        <f>[11]Memo!F283</f>
        <v>934132289</v>
      </c>
    </row>
    <row r="23" spans="2:6" ht="12" customHeight="1">
      <c r="B23" s="459" t="s">
        <v>494</v>
      </c>
      <c r="C23" s="460">
        <f>[11]Memo!C284</f>
        <v>0</v>
      </c>
      <c r="D23" s="460">
        <f>[11]Memo!D284</f>
        <v>0</v>
      </c>
      <c r="E23" s="460">
        <f>[11]Memo!E284</f>
        <v>0</v>
      </c>
      <c r="F23" s="461">
        <f>[11]Memo!F284</f>
        <v>259879630</v>
      </c>
    </row>
    <row r="24" spans="2:6" ht="12" customHeight="1" thickBot="1">
      <c r="B24" s="466" t="s">
        <v>29</v>
      </c>
      <c r="C24" s="467">
        <f>SUM(C4,C5,C8,C11,C15,C18,C22,C23)</f>
        <v>46550757571</v>
      </c>
      <c r="D24" s="467">
        <f t="shared" ref="D24:F24" si="5">SUM(D4,D5,D8,D11,D15,D18,D22,D23)</f>
        <v>45037654453</v>
      </c>
      <c r="E24" s="467">
        <f t="shared" si="5"/>
        <v>63759115895</v>
      </c>
      <c r="F24" s="468">
        <f t="shared" si="5"/>
        <v>76734242404</v>
      </c>
    </row>
    <row r="26" spans="2:6" ht="19.5" customHeight="1">
      <c r="B26" s="386" t="s">
        <v>495</v>
      </c>
      <c r="C26" s="353"/>
      <c r="D26" s="353"/>
      <c r="E26" s="353"/>
      <c r="F26" s="387"/>
    </row>
    <row r="27" spans="2:6" ht="12" customHeight="1">
      <c r="B27" s="446"/>
      <c r="C27" s="447" t="s">
        <v>217</v>
      </c>
      <c r="D27" s="447" t="s">
        <v>231</v>
      </c>
      <c r="E27" s="447" t="s">
        <v>141</v>
      </c>
      <c r="F27" s="448" t="s">
        <v>117</v>
      </c>
    </row>
    <row r="28" spans="2:6" ht="12" customHeight="1">
      <c r="B28" s="449" t="s">
        <v>119</v>
      </c>
      <c r="C28" s="450" t="s">
        <v>482</v>
      </c>
      <c r="D28" s="450" t="s">
        <v>482</v>
      </c>
      <c r="E28" s="450" t="s">
        <v>482</v>
      </c>
      <c r="F28" s="451" t="s">
        <v>483</v>
      </c>
    </row>
    <row r="29" spans="2:6" ht="12" customHeight="1">
      <c r="B29" s="364" t="s">
        <v>496</v>
      </c>
      <c r="C29" s="414">
        <f>SUM(C30:C31)</f>
        <v>71923592</v>
      </c>
      <c r="D29" s="414">
        <f t="shared" ref="D29:F29" si="6">SUM(D30:D31)</f>
        <v>111136112</v>
      </c>
      <c r="E29" s="414">
        <f t="shared" si="6"/>
        <v>112321353</v>
      </c>
      <c r="F29" s="429">
        <f t="shared" si="6"/>
        <v>120889563</v>
      </c>
    </row>
    <row r="30" spans="2:6" ht="12" customHeight="1">
      <c r="B30" s="397" t="s">
        <v>486</v>
      </c>
      <c r="C30" s="414">
        <f>[11]Memo!C288</f>
        <v>143918606</v>
      </c>
      <c r="D30" s="414">
        <f>[11]Memo!D288</f>
        <v>206670437</v>
      </c>
      <c r="E30" s="414">
        <f>[11]Memo!E288</f>
        <v>203258410</v>
      </c>
      <c r="F30" s="429">
        <f>[11]Memo!F288</f>
        <v>208590540</v>
      </c>
    </row>
    <row r="31" spans="2:6" ht="12" customHeight="1">
      <c r="B31" s="440" t="s">
        <v>487</v>
      </c>
      <c r="C31" s="462">
        <f>[11]Memo!C289</f>
        <v>-71995014</v>
      </c>
      <c r="D31" s="430">
        <f>[11]Memo!D289</f>
        <v>-95534325</v>
      </c>
      <c r="E31" s="430">
        <f>[11]Memo!E289</f>
        <v>-90937057</v>
      </c>
      <c r="F31" s="431">
        <f>[11]Memo!F289</f>
        <v>-87700977</v>
      </c>
    </row>
    <row r="32" spans="2:6" ht="12" customHeight="1">
      <c r="B32" s="459" t="s">
        <v>497</v>
      </c>
      <c r="C32" s="460">
        <f>[11]Memo!C290</f>
        <v>906000000</v>
      </c>
      <c r="D32" s="460">
        <f>[11]Memo!D290</f>
        <v>828000000</v>
      </c>
      <c r="E32" s="460">
        <f>[11]Memo!E290</f>
        <v>716900000</v>
      </c>
      <c r="F32" s="461">
        <f>[11]Memo!F290</f>
        <v>937500000</v>
      </c>
    </row>
    <row r="33" spans="2:6" ht="12" customHeight="1" thickBot="1">
      <c r="B33" s="466" t="s">
        <v>29</v>
      </c>
      <c r="C33" s="467">
        <f>C29+C32</f>
        <v>977923592</v>
      </c>
      <c r="D33" s="467">
        <f t="shared" ref="D33:F33" si="7">D29+D32</f>
        <v>939136112</v>
      </c>
      <c r="E33" s="467">
        <f t="shared" si="7"/>
        <v>829221353</v>
      </c>
      <c r="F33" s="468">
        <f t="shared" si="7"/>
        <v>1058389563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2060"/>
  </sheetPr>
  <dimension ref="B2:F25"/>
  <sheetViews>
    <sheetView showGridLines="0" zoomScale="115" zoomScaleNormal="115" workbookViewId="0">
      <selection activeCell="G10" sqref="G10"/>
    </sheetView>
  </sheetViews>
  <sheetFormatPr defaultColWidth="9" defaultRowHeight="12" customHeight="1"/>
  <cols>
    <col min="1" max="1" width="9" style="388"/>
    <col min="2" max="2" width="16.83203125" style="388" customWidth="1"/>
    <col min="3" max="6" width="7.58203125" style="388" customWidth="1"/>
    <col min="7" max="7" width="10.58203125" style="388" customWidth="1"/>
    <col min="8" max="16384" width="9" style="388"/>
  </cols>
  <sheetData>
    <row r="2" spans="2:6" ht="19.5" customHeight="1">
      <c r="B2" s="386" t="s">
        <v>498</v>
      </c>
      <c r="C2" s="353"/>
      <c r="D2" s="353"/>
      <c r="E2" s="353"/>
      <c r="F2" s="387"/>
    </row>
    <row r="3" spans="2:6" ht="12" customHeight="1">
      <c r="B3" s="446"/>
      <c r="C3" s="447" t="s">
        <v>217</v>
      </c>
      <c r="D3" s="447" t="s">
        <v>231</v>
      </c>
      <c r="E3" s="447" t="s">
        <v>141</v>
      </c>
      <c r="F3" s="448" t="s">
        <v>117</v>
      </c>
    </row>
    <row r="4" spans="2:6" ht="12" customHeight="1">
      <c r="B4" s="449" t="s">
        <v>119</v>
      </c>
      <c r="C4" s="450" t="s">
        <v>499</v>
      </c>
      <c r="D4" s="450" t="s">
        <v>499</v>
      </c>
      <c r="E4" s="450" t="s">
        <v>499</v>
      </c>
      <c r="F4" s="451" t="s">
        <v>500</v>
      </c>
    </row>
    <row r="5" spans="2:6" ht="12" customHeight="1">
      <c r="B5" s="367" t="s">
        <v>501</v>
      </c>
      <c r="C5" s="433">
        <f>SUM(C6:C9)</f>
        <v>52297072278</v>
      </c>
      <c r="D5" s="433">
        <f t="shared" ref="D5:F5" si="0">SUM(D6:D9)</f>
        <v>48327627471</v>
      </c>
      <c r="E5" s="433">
        <f t="shared" si="0"/>
        <v>71343032409</v>
      </c>
      <c r="F5" s="434">
        <f t="shared" si="0"/>
        <v>99313933343</v>
      </c>
    </row>
    <row r="6" spans="2:6" ht="12" customHeight="1">
      <c r="B6" s="397" t="s">
        <v>502</v>
      </c>
      <c r="C6" s="414">
        <f>[11]Memo!C294</f>
        <v>5282945380</v>
      </c>
      <c r="D6" s="414">
        <f>[11]Memo!D294</f>
        <v>8283320956</v>
      </c>
      <c r="E6" s="414">
        <f>[11]Memo!E294</f>
        <v>32500000000</v>
      </c>
      <c r="F6" s="429">
        <f>[11]Memo!F294</f>
        <v>49200458142</v>
      </c>
    </row>
    <row r="7" spans="2:6" ht="12" customHeight="1">
      <c r="B7" s="397" t="s">
        <v>503</v>
      </c>
      <c r="C7" s="414">
        <f>[11]Memo!C295</f>
        <v>10000000000</v>
      </c>
      <c r="D7" s="414">
        <f>[11]Memo!D295</f>
        <v>4000000000</v>
      </c>
      <c r="E7" s="414">
        <f>[11]Memo!E295</f>
        <v>19500000</v>
      </c>
      <c r="F7" s="429">
        <f>[11]Memo!F295</f>
        <v>19500000</v>
      </c>
    </row>
    <row r="8" spans="2:6" ht="12" customHeight="1">
      <c r="B8" s="397" t="s">
        <v>504</v>
      </c>
      <c r="C8" s="414">
        <f>[11]Memo!C296</f>
        <v>4195000000</v>
      </c>
      <c r="D8" s="414">
        <f>[11]Memo!D296</f>
        <v>195000000</v>
      </c>
      <c r="E8" s="414">
        <f>[11]Memo!E296</f>
        <v>175500000</v>
      </c>
      <c r="F8" s="429">
        <f>[11]Memo!F296</f>
        <v>10175500000</v>
      </c>
    </row>
    <row r="9" spans="2:6" ht="12" customHeight="1">
      <c r="B9" s="397" t="s">
        <v>505</v>
      </c>
      <c r="C9" s="414">
        <f>[11]Memo!C297</f>
        <v>32819126898</v>
      </c>
      <c r="D9" s="414">
        <f>[11]Memo!D297</f>
        <v>35849306515</v>
      </c>
      <c r="E9" s="414">
        <f>[11]Memo!E297</f>
        <v>38648032409</v>
      </c>
      <c r="F9" s="429">
        <f>[11]Memo!F297</f>
        <v>39918475201</v>
      </c>
    </row>
    <row r="10" spans="2:6" ht="12" customHeight="1" thickBot="1">
      <c r="B10" s="466" t="s">
        <v>506</v>
      </c>
      <c r="C10" s="467">
        <f>[11]Memo!C298</f>
        <v>3964617429</v>
      </c>
      <c r="D10" s="467">
        <f>[11]Memo!D298</f>
        <v>3983334355</v>
      </c>
      <c r="E10" s="467">
        <f>[11]Memo!E298</f>
        <v>3907781080</v>
      </c>
      <c r="F10" s="468">
        <f>[11]Memo!F298</f>
        <v>1756753279</v>
      </c>
    </row>
    <row r="12" spans="2:6" ht="20.25" customHeight="1">
      <c r="B12" s="386" t="s">
        <v>507</v>
      </c>
      <c r="C12" s="353"/>
      <c r="D12" s="353"/>
      <c r="E12" s="353"/>
      <c r="F12" s="387"/>
    </row>
    <row r="13" spans="2:6" ht="12" customHeight="1">
      <c r="B13" s="469" t="s">
        <v>508</v>
      </c>
      <c r="C13" s="470" t="s">
        <v>509</v>
      </c>
      <c r="D13" s="450"/>
      <c r="E13" s="450"/>
      <c r="F13" s="451"/>
    </row>
    <row r="14" spans="2:6" ht="12" customHeight="1">
      <c r="B14" s="471" t="s">
        <v>510</v>
      </c>
      <c r="C14" s="472" t="s">
        <v>511</v>
      </c>
      <c r="D14" s="473"/>
      <c r="E14" s="473"/>
      <c r="F14" s="474"/>
    </row>
    <row r="15" spans="2:6" ht="12" customHeight="1">
      <c r="B15" s="471" t="s">
        <v>512</v>
      </c>
      <c r="C15" s="472" t="s">
        <v>513</v>
      </c>
      <c r="D15" s="473"/>
      <c r="E15" s="473"/>
      <c r="F15" s="474"/>
    </row>
    <row r="16" spans="2:6" ht="12" customHeight="1">
      <c r="B16" s="475" t="s">
        <v>514</v>
      </c>
      <c r="C16" s="476"/>
      <c r="D16" s="414"/>
      <c r="E16" s="414"/>
      <c r="F16" s="429"/>
    </row>
    <row r="17" spans="2:6" ht="12" customHeight="1">
      <c r="B17" s="477" t="s">
        <v>515</v>
      </c>
      <c r="C17" s="476" t="s">
        <v>516</v>
      </c>
      <c r="D17" s="414"/>
      <c r="E17" s="414"/>
      <c r="F17" s="429"/>
    </row>
    <row r="18" spans="2:6" ht="12" customHeight="1">
      <c r="B18" s="477" t="s">
        <v>517</v>
      </c>
      <c r="C18" s="476" t="s">
        <v>518</v>
      </c>
      <c r="D18" s="414"/>
      <c r="E18" s="414"/>
      <c r="F18" s="429"/>
    </row>
    <row r="19" spans="2:6" ht="12" customHeight="1">
      <c r="B19" s="477"/>
      <c r="C19" s="476" t="s">
        <v>519</v>
      </c>
      <c r="D19" s="414"/>
      <c r="E19" s="414"/>
      <c r="F19" s="429"/>
    </row>
    <row r="20" spans="2:6" ht="12" customHeight="1">
      <c r="B20" s="478" t="s">
        <v>520</v>
      </c>
      <c r="C20" s="472" t="s">
        <v>521</v>
      </c>
      <c r="D20" s="473"/>
      <c r="E20" s="473"/>
      <c r="F20" s="474"/>
    </row>
    <row r="21" spans="2:6" ht="12" customHeight="1">
      <c r="B21" s="479" t="s">
        <v>522</v>
      </c>
      <c r="C21" s="476"/>
      <c r="D21" s="414"/>
      <c r="E21" s="414"/>
      <c r="F21" s="429"/>
    </row>
    <row r="22" spans="2:6" ht="12" customHeight="1">
      <c r="B22" s="477" t="s">
        <v>515</v>
      </c>
      <c r="C22" s="476" t="s">
        <v>523</v>
      </c>
      <c r="D22" s="414"/>
      <c r="E22" s="414"/>
      <c r="F22" s="429"/>
    </row>
    <row r="23" spans="2:6" ht="12" customHeight="1" thickBot="1">
      <c r="B23" s="480" t="s">
        <v>524</v>
      </c>
      <c r="C23" s="481" t="s">
        <v>525</v>
      </c>
      <c r="D23" s="454"/>
      <c r="E23" s="454"/>
      <c r="F23" s="455"/>
    </row>
    <row r="25" spans="2:6" ht="19.5" customHeight="1"/>
  </sheetData>
  <phoneticPr fontId="3" type="noConversion"/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2060"/>
  </sheetPr>
  <dimension ref="B3:H35"/>
  <sheetViews>
    <sheetView showGridLines="0" zoomScale="85" zoomScaleNormal="85" workbookViewId="0">
      <selection activeCell="H22" sqref="H22"/>
    </sheetView>
  </sheetViews>
  <sheetFormatPr defaultColWidth="9" defaultRowHeight="12.5"/>
  <cols>
    <col min="1" max="1" width="9" style="705"/>
    <col min="2" max="2" width="14.58203125" style="705" customWidth="1"/>
    <col min="3" max="3" width="15.83203125" style="705" bestFit="1" customWidth="1"/>
    <col min="4" max="4" width="16" style="705" bestFit="1" customWidth="1"/>
    <col min="5" max="8" width="11.5" style="705" customWidth="1"/>
    <col min="9" max="10" width="9" style="705"/>
    <col min="11" max="11" width="9" style="705" customWidth="1"/>
    <col min="12" max="16384" width="9" style="705"/>
  </cols>
  <sheetData>
    <row r="3" spans="2:7" ht="19.5" customHeight="1">
      <c r="B3" s="702" t="s">
        <v>526</v>
      </c>
      <c r="C3" s="703"/>
      <c r="D3" s="703"/>
      <c r="E3" s="703"/>
      <c r="F3" s="703"/>
      <c r="G3" s="704"/>
    </row>
    <row r="4" spans="2:7" ht="12" customHeight="1">
      <c r="B4" s="706" t="s">
        <v>527</v>
      </c>
      <c r="C4" s="707" t="s">
        <v>528</v>
      </c>
      <c r="D4" s="707" t="s">
        <v>529</v>
      </c>
      <c r="E4" s="707" t="s">
        <v>530</v>
      </c>
      <c r="F4" s="707" t="s">
        <v>531</v>
      </c>
      <c r="G4" s="708" t="s">
        <v>532</v>
      </c>
    </row>
    <row r="5" spans="2:7" ht="12" customHeight="1">
      <c r="B5" s="709" t="s">
        <v>533</v>
      </c>
      <c r="C5" s="710"/>
      <c r="D5" s="710"/>
      <c r="E5" s="711"/>
      <c r="F5" s="712"/>
      <c r="G5" s="713"/>
    </row>
    <row r="6" spans="2:7" ht="12" customHeight="1">
      <c r="B6" s="714" t="s">
        <v>534</v>
      </c>
      <c r="C6" s="715" t="s">
        <v>535</v>
      </c>
      <c r="D6" s="715" t="s">
        <v>536</v>
      </c>
      <c r="E6" s="716" t="s">
        <v>537</v>
      </c>
      <c r="F6" s="837">
        <v>10</v>
      </c>
      <c r="G6" s="717" t="s">
        <v>538</v>
      </c>
    </row>
    <row r="7" spans="2:7" ht="12" customHeight="1">
      <c r="B7" s="714" t="s">
        <v>539</v>
      </c>
      <c r="C7" s="715" t="s">
        <v>540</v>
      </c>
      <c r="D7" s="715" t="s">
        <v>536</v>
      </c>
      <c r="E7" s="718" t="s">
        <v>541</v>
      </c>
      <c r="F7" s="837">
        <v>6</v>
      </c>
      <c r="G7" s="717" t="s">
        <v>542</v>
      </c>
    </row>
    <row r="8" spans="2:7" ht="12" customHeight="1">
      <c r="B8" s="714" t="s">
        <v>543</v>
      </c>
      <c r="C8" s="715" t="s">
        <v>544</v>
      </c>
      <c r="D8" s="715" t="s">
        <v>545</v>
      </c>
      <c r="E8" s="718" t="s">
        <v>541</v>
      </c>
      <c r="F8" s="837">
        <v>18</v>
      </c>
      <c r="G8" s="717" t="s">
        <v>538</v>
      </c>
    </row>
    <row r="9" spans="2:7" ht="12" customHeight="1">
      <c r="B9" s="714" t="s">
        <v>546</v>
      </c>
      <c r="C9" s="715" t="s">
        <v>547</v>
      </c>
      <c r="D9" s="715" t="s">
        <v>548</v>
      </c>
      <c r="E9" s="718" t="s">
        <v>541</v>
      </c>
      <c r="F9" s="837">
        <v>6</v>
      </c>
      <c r="G9" s="717" t="s">
        <v>549</v>
      </c>
    </row>
    <row r="10" spans="2:7" ht="12" customHeight="1">
      <c r="B10" s="714" t="s">
        <v>550</v>
      </c>
      <c r="C10" s="715" t="s">
        <v>551</v>
      </c>
      <c r="D10" s="715" t="s">
        <v>552</v>
      </c>
      <c r="E10" s="719" t="s">
        <v>541</v>
      </c>
      <c r="F10" s="837">
        <v>20</v>
      </c>
      <c r="G10" s="717" t="s">
        <v>538</v>
      </c>
    </row>
    <row r="11" spans="2:7" ht="36" customHeight="1" thickBot="1">
      <c r="B11" s="720" t="s">
        <v>553</v>
      </c>
      <c r="C11" s="721" t="s">
        <v>554</v>
      </c>
      <c r="D11" s="721" t="s">
        <v>555</v>
      </c>
      <c r="E11" s="722" t="s">
        <v>541</v>
      </c>
      <c r="F11" s="723">
        <v>28</v>
      </c>
      <c r="G11" s="724" t="s">
        <v>556</v>
      </c>
    </row>
    <row r="13" spans="2:7" ht="19.5" customHeight="1">
      <c r="B13" s="725" t="s">
        <v>557</v>
      </c>
      <c r="C13" s="703"/>
      <c r="D13" s="703"/>
      <c r="E13" s="703"/>
      <c r="F13" s="703"/>
      <c r="G13" s="704"/>
    </row>
    <row r="14" spans="2:7" ht="12" customHeight="1">
      <c r="B14" s="726" t="s">
        <v>558</v>
      </c>
      <c r="C14" s="727" t="s">
        <v>559</v>
      </c>
      <c r="D14" s="727" t="s">
        <v>560</v>
      </c>
      <c r="E14" s="727" t="s">
        <v>561</v>
      </c>
      <c r="F14" s="727" t="s">
        <v>562</v>
      </c>
      <c r="G14" s="728" t="s">
        <v>563</v>
      </c>
    </row>
    <row r="15" spans="2:7" ht="12" customHeight="1">
      <c r="B15" s="714" t="s">
        <v>564</v>
      </c>
      <c r="C15" s="715" t="s">
        <v>565</v>
      </c>
      <c r="D15" s="715" t="s">
        <v>566</v>
      </c>
      <c r="E15" s="837" t="s">
        <v>567</v>
      </c>
      <c r="F15" s="837" t="s">
        <v>99</v>
      </c>
      <c r="G15" s="729">
        <v>4000000</v>
      </c>
    </row>
    <row r="16" spans="2:7" ht="12" customHeight="1">
      <c r="B16" s="714" t="s">
        <v>564</v>
      </c>
      <c r="C16" s="715" t="s">
        <v>568</v>
      </c>
      <c r="D16" s="715" t="s">
        <v>569</v>
      </c>
      <c r="E16" s="837">
        <v>3.202</v>
      </c>
      <c r="F16" s="837" t="s">
        <v>99</v>
      </c>
      <c r="G16" s="729">
        <v>5000000</v>
      </c>
    </row>
    <row r="17" spans="2:8" ht="12" customHeight="1">
      <c r="B17" s="714" t="s">
        <v>564</v>
      </c>
      <c r="C17" s="715" t="s">
        <v>570</v>
      </c>
      <c r="D17" s="715" t="s">
        <v>569</v>
      </c>
      <c r="E17" s="837">
        <v>2.5</v>
      </c>
      <c r="F17" s="837" t="s">
        <v>99</v>
      </c>
      <c r="G17" s="729">
        <v>3500000</v>
      </c>
    </row>
    <row r="18" spans="2:8" ht="12" customHeight="1">
      <c r="B18" s="730" t="s">
        <v>564</v>
      </c>
      <c r="C18" s="731" t="s">
        <v>571</v>
      </c>
      <c r="D18" s="731" t="s">
        <v>569</v>
      </c>
      <c r="E18" s="732">
        <v>3.05</v>
      </c>
      <c r="F18" s="732" t="s">
        <v>99</v>
      </c>
      <c r="G18" s="733">
        <v>20000000</v>
      </c>
    </row>
    <row r="19" spans="2:8" ht="12" customHeight="1">
      <c r="B19" s="734" t="s">
        <v>572</v>
      </c>
      <c r="C19" s="735" t="s">
        <v>573</v>
      </c>
      <c r="D19" s="735" t="s">
        <v>574</v>
      </c>
      <c r="E19" s="736" t="s">
        <v>575</v>
      </c>
      <c r="F19" s="736" t="s">
        <v>99</v>
      </c>
      <c r="G19" s="737">
        <v>19500</v>
      </c>
    </row>
    <row r="20" spans="2:8" ht="12" customHeight="1">
      <c r="B20" s="714" t="s">
        <v>504</v>
      </c>
      <c r="C20" s="715" t="s">
        <v>573</v>
      </c>
      <c r="D20" s="715" t="s">
        <v>574</v>
      </c>
      <c r="E20" s="838" t="s">
        <v>575</v>
      </c>
      <c r="F20" s="837" t="s">
        <v>576</v>
      </c>
      <c r="G20" s="729">
        <v>195000</v>
      </c>
    </row>
    <row r="21" spans="2:8" ht="12" customHeight="1" thickBot="1">
      <c r="B21" s="770" t="s">
        <v>151</v>
      </c>
      <c r="C21" s="771"/>
      <c r="D21" s="771"/>
      <c r="E21" s="772"/>
      <c r="F21" s="773"/>
      <c r="G21" s="774">
        <f>SUM(G15:G20)</f>
        <v>32714500</v>
      </c>
    </row>
    <row r="24" spans="2:8" ht="19.5" customHeight="1">
      <c r="B24" s="738" t="s">
        <v>577</v>
      </c>
      <c r="C24" s="703"/>
      <c r="D24" s="703"/>
      <c r="E24" s="703"/>
      <c r="F24" s="703"/>
      <c r="G24" s="704"/>
    </row>
    <row r="25" spans="2:8">
      <c r="B25" s="726" t="s">
        <v>578</v>
      </c>
      <c r="C25" s="727" t="s">
        <v>579</v>
      </c>
      <c r="D25" s="727" t="s">
        <v>580</v>
      </c>
      <c r="E25" s="727" t="s">
        <v>560</v>
      </c>
      <c r="F25" s="727" t="s">
        <v>581</v>
      </c>
      <c r="G25" s="728" t="s">
        <v>582</v>
      </c>
    </row>
    <row r="26" spans="2:8">
      <c r="B26" s="714" t="s">
        <v>583</v>
      </c>
      <c r="C26" s="836">
        <v>16988202000</v>
      </c>
      <c r="D26" s="845">
        <v>26000000000</v>
      </c>
      <c r="E26" s="848" t="s">
        <v>584</v>
      </c>
      <c r="F26" s="845">
        <v>5000000000</v>
      </c>
      <c r="G26" s="851" t="s">
        <v>585</v>
      </c>
    </row>
    <row r="27" spans="2:8">
      <c r="B27" s="714" t="s">
        <v>586</v>
      </c>
      <c r="C27" s="836">
        <v>11451778000</v>
      </c>
      <c r="D27" s="846"/>
      <c r="E27" s="849"/>
      <c r="F27" s="846"/>
      <c r="G27" s="852"/>
    </row>
    <row r="28" spans="2:8">
      <c r="B28" s="714" t="s">
        <v>587</v>
      </c>
      <c r="C28" s="836">
        <v>3670644000</v>
      </c>
      <c r="D28" s="847"/>
      <c r="E28" s="850"/>
      <c r="F28" s="847"/>
      <c r="G28" s="853"/>
    </row>
    <row r="29" spans="2:8" ht="13" thickBot="1">
      <c r="B29" s="770" t="s">
        <v>151</v>
      </c>
      <c r="C29" s="776">
        <f>SUM(C26:C28)</f>
        <v>32110624000</v>
      </c>
      <c r="D29" s="777"/>
      <c r="E29" s="772"/>
      <c r="F29" s="778"/>
      <c r="G29" s="774"/>
    </row>
    <row r="31" spans="2:8" ht="19.5" customHeight="1">
      <c r="B31" s="738" t="s">
        <v>588</v>
      </c>
      <c r="C31" s="703"/>
      <c r="D31" s="703"/>
      <c r="E31" s="703"/>
      <c r="F31" s="703"/>
      <c r="G31" s="703"/>
      <c r="H31" s="704"/>
    </row>
    <row r="32" spans="2:8">
      <c r="B32" s="726" t="s">
        <v>589</v>
      </c>
      <c r="C32" s="727" t="s">
        <v>590</v>
      </c>
      <c r="D32" s="727" t="s">
        <v>591</v>
      </c>
      <c r="E32" s="727" t="s">
        <v>592</v>
      </c>
      <c r="F32" s="727" t="s">
        <v>579</v>
      </c>
      <c r="G32" s="727" t="s">
        <v>593</v>
      </c>
      <c r="H32" s="728" t="s">
        <v>594</v>
      </c>
    </row>
    <row r="33" spans="2:8">
      <c r="B33" s="714" t="s">
        <v>233</v>
      </c>
      <c r="C33" s="741">
        <f>[11]Memo!E328</f>
        <v>203500</v>
      </c>
      <c r="D33" s="742">
        <v>1.0200000000000001E-2</v>
      </c>
      <c r="E33" s="743">
        <f>[11]Memo!F328</f>
        <v>4777809771</v>
      </c>
      <c r="F33" s="743">
        <f>[11]Memo!D328</f>
        <v>10052900000</v>
      </c>
      <c r="G33" s="743">
        <f>F33-E33</f>
        <v>5275090229</v>
      </c>
      <c r="H33" s="744">
        <f>G33*0.78</f>
        <v>4114570378.6200004</v>
      </c>
    </row>
    <row r="34" spans="2:8">
      <c r="B34" s="714" t="s">
        <v>234</v>
      </c>
      <c r="C34" s="741">
        <f>[11]Memo!E331</f>
        <v>148500</v>
      </c>
      <c r="D34" s="745">
        <v>6.1000000000000004E-3</v>
      </c>
      <c r="E34" s="746">
        <f>[11]Memo!F331</f>
        <v>7378544269</v>
      </c>
      <c r="F34" s="746">
        <f>[11]Memo!D331</f>
        <v>7200022500</v>
      </c>
      <c r="G34" s="746">
        <f>F34-E34</f>
        <v>-178521769</v>
      </c>
      <c r="H34" s="747">
        <f>G34*0.78</f>
        <v>-139246979.81999999</v>
      </c>
    </row>
    <row r="35" spans="2:8" ht="13" thickBot="1">
      <c r="B35" s="720" t="s">
        <v>151</v>
      </c>
      <c r="C35" s="748"/>
      <c r="D35" s="740"/>
      <c r="E35" s="749">
        <f>SUM(E33:E34)</f>
        <v>12156354040</v>
      </c>
      <c r="F35" s="739">
        <f>SUM(F33:F34)</f>
        <v>17252922500</v>
      </c>
      <c r="G35" s="739">
        <f>SUM(G33:G34)</f>
        <v>5096568460</v>
      </c>
      <c r="H35" s="750">
        <f>SUM(H33:H34)</f>
        <v>3975323398.8000002</v>
      </c>
    </row>
  </sheetData>
  <mergeCells count="4">
    <mergeCell ref="D26:D28"/>
    <mergeCell ref="E26:E28"/>
    <mergeCell ref="F26:F28"/>
    <mergeCell ref="G26:G28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F14"/>
  <sheetViews>
    <sheetView workbookViewId="0">
      <selection activeCell="C26" sqref="C26"/>
    </sheetView>
  </sheetViews>
  <sheetFormatPr defaultColWidth="9" defaultRowHeight="11.5"/>
  <cols>
    <col min="1" max="1" width="9" style="811"/>
    <col min="2" max="2" width="17.5" style="811" customWidth="1"/>
    <col min="3" max="6" width="7.33203125" style="811" customWidth="1"/>
    <col min="7" max="16384" width="9" style="811"/>
  </cols>
  <sheetData>
    <row r="1" spans="2:6" ht="30.75" customHeight="1"/>
    <row r="2" spans="2:6" ht="19.5" customHeight="1">
      <c r="B2" s="386" t="s">
        <v>595</v>
      </c>
      <c r="C2" s="353"/>
      <c r="D2" s="353"/>
      <c r="E2" s="353"/>
      <c r="F2" s="387"/>
    </row>
    <row r="3" spans="2:6" ht="12" customHeight="1">
      <c r="B3" s="812"/>
      <c r="C3" s="390" t="s">
        <v>217</v>
      </c>
      <c r="D3" s="390" t="s">
        <v>231</v>
      </c>
      <c r="E3" s="390" t="s">
        <v>141</v>
      </c>
      <c r="F3" s="813" t="s">
        <v>117</v>
      </c>
    </row>
    <row r="4" spans="2:6" ht="12" customHeight="1">
      <c r="B4" s="814" t="s">
        <v>596</v>
      </c>
      <c r="C4" s="393" t="s">
        <v>404</v>
      </c>
      <c r="D4" s="393" t="s">
        <v>404</v>
      </c>
      <c r="E4" s="393" t="s">
        <v>404</v>
      </c>
      <c r="F4" s="815" t="s">
        <v>449</v>
      </c>
    </row>
    <row r="5" spans="2:6" ht="12" customHeight="1">
      <c r="B5" s="816" t="s">
        <v>597</v>
      </c>
      <c r="C5" s="817"/>
      <c r="D5" s="817"/>
      <c r="E5" s="817"/>
      <c r="F5" s="813"/>
    </row>
    <row r="6" spans="2:6" ht="12" customHeight="1">
      <c r="B6" s="818" t="s">
        <v>598</v>
      </c>
      <c r="C6" s="819">
        <v>236434.52</v>
      </c>
      <c r="D6" s="819">
        <v>2636619.59</v>
      </c>
      <c r="E6" s="819">
        <v>522511</v>
      </c>
      <c r="F6" s="820">
        <v>5000781.45</v>
      </c>
    </row>
    <row r="7" spans="2:6" ht="12" customHeight="1">
      <c r="B7" s="818" t="s">
        <v>599</v>
      </c>
      <c r="C7" s="819">
        <v>8918380.8000000007</v>
      </c>
      <c r="D7" s="819">
        <v>11384969</v>
      </c>
      <c r="E7" s="819">
        <v>7852889</v>
      </c>
      <c r="F7" s="820">
        <v>11026444</v>
      </c>
    </row>
    <row r="8" spans="2:6" ht="12" customHeight="1">
      <c r="B8" s="818" t="s">
        <v>600</v>
      </c>
      <c r="C8" s="819">
        <v>4646074.5</v>
      </c>
      <c r="D8" s="819">
        <v>3803384.81</v>
      </c>
      <c r="E8" s="819">
        <v>3038381</v>
      </c>
      <c r="F8" s="820">
        <v>3782272.31</v>
      </c>
    </row>
    <row r="9" spans="2:6" ht="12" customHeight="1">
      <c r="B9" s="818" t="s">
        <v>502</v>
      </c>
      <c r="C9" s="819">
        <v>0</v>
      </c>
      <c r="D9" s="819">
        <v>0</v>
      </c>
      <c r="E9" s="819">
        <v>0</v>
      </c>
      <c r="F9" s="820">
        <v>9711955.4000000004</v>
      </c>
    </row>
    <row r="10" spans="2:6" ht="12" customHeight="1">
      <c r="B10" s="821" t="s">
        <v>601</v>
      </c>
      <c r="C10" s="822">
        <v>1071.0999999999999</v>
      </c>
      <c r="D10" s="822">
        <v>1055.3</v>
      </c>
      <c r="E10" s="822">
        <v>1099.2</v>
      </c>
      <c r="F10" s="823">
        <v>1124.0999999999999</v>
      </c>
    </row>
    <row r="11" spans="2:6" ht="12" customHeight="1">
      <c r="B11" s="824" t="s">
        <v>602</v>
      </c>
      <c r="C11" s="825">
        <f>C10*1.1</f>
        <v>1178.21</v>
      </c>
      <c r="D11" s="825">
        <f>D10*1.1</f>
        <v>1160.8300000000002</v>
      </c>
      <c r="E11" s="825">
        <f>E10*1.1</f>
        <v>1209.1200000000001</v>
      </c>
      <c r="F11" s="826">
        <f>F10*1.1</f>
        <v>1236.51</v>
      </c>
    </row>
    <row r="12" spans="2:6" ht="12" customHeight="1">
      <c r="B12" s="827" t="s">
        <v>603</v>
      </c>
      <c r="C12" s="828">
        <f>C10*1.2</f>
        <v>1285.32</v>
      </c>
      <c r="D12" s="828">
        <f t="shared" ref="D12:F12" si="0">D10*1.2</f>
        <v>1266.3599999999999</v>
      </c>
      <c r="E12" s="828">
        <f t="shared" si="0"/>
        <v>1319.04</v>
      </c>
      <c r="F12" s="829">
        <f t="shared" si="0"/>
        <v>1348.9199999999998</v>
      </c>
    </row>
    <row r="13" spans="2:6" ht="12" customHeight="1">
      <c r="B13" s="830" t="s">
        <v>604</v>
      </c>
      <c r="C13" s="831">
        <f>(C$6+C$7-C$8)*(C11-C10)</f>
        <v>482931229.23020059</v>
      </c>
      <c r="D13" s="831">
        <f t="shared" ref="D13:E13" si="1">(D$6+D$7-D$8)*(D11-D10)</f>
        <v>1078327044.9034021</v>
      </c>
      <c r="E13" s="831">
        <f t="shared" si="1"/>
        <v>586645128.48000038</v>
      </c>
      <c r="F13" s="832">
        <f>(F$6+F$7-F$8-F$9)*(F11-F10)</f>
        <v>284734275.95340002</v>
      </c>
    </row>
    <row r="14" spans="2:6" ht="12" customHeight="1" thickBot="1">
      <c r="B14" s="833" t="s">
        <v>605</v>
      </c>
      <c r="C14" s="834">
        <f>(C$6+C$7-C$8)*(C12-C10)</f>
        <v>965862458.46040022</v>
      </c>
      <c r="D14" s="834">
        <f t="shared" ref="D14:E14" si="2">(D$6+D$7-D$8)*(D12-D10)</f>
        <v>2156654089.8067994</v>
      </c>
      <c r="E14" s="834">
        <f t="shared" si="2"/>
        <v>1173290256.9599996</v>
      </c>
      <c r="F14" s="835">
        <f>(F$6+F$7-F$8-F9)*(F12-F10)</f>
        <v>569468551.90679944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ES &gt;&gt;&gt;&gt;&gt;&gt;&gt;&gt;</vt:lpstr>
      <vt:lpstr>TO</vt:lpstr>
      <vt:lpstr>매출유형별 bridge</vt:lpstr>
      <vt:lpstr>사업부별 제품별 bridge </vt:lpstr>
      <vt:lpstr>사업부별 상품별 bridge </vt:lpstr>
      <vt:lpstr>매출</vt:lpstr>
      <vt:lpstr>매출 (2)</vt:lpstr>
      <vt:lpstr>거래처별매출</vt:lpstr>
      <vt:lpstr>거래처별 매출액</vt:lpstr>
      <vt:lpstr>특수관계자</vt:lpstr>
      <vt:lpstr>원가</vt:lpstr>
      <vt:lpstr>WC</vt:lpstr>
      <vt:lpstr>인건비</vt:lpstr>
      <vt:lpstr>경상개발비,capex</vt:lpstr>
      <vt:lpstr>Appendices &gt;&gt;&gt;&gt;&gt;&gt;</vt:lpstr>
      <vt:lpstr>사업계획대비매출실적</vt:lpstr>
      <vt:lpstr>사업부문별매출</vt:lpstr>
      <vt:lpstr>제조원가</vt:lpstr>
      <vt:lpstr>연구과제현황</vt:lpstr>
      <vt:lpstr>매출채권</vt:lpstr>
      <vt:lpstr>재고</vt:lpstr>
      <vt:lpstr>유 무형자산</vt:lpstr>
      <vt:lpstr>차입금, 전환상환우선주</vt:lpstr>
      <vt:lpstr>차입금계약조건,담보</vt:lpstr>
      <vt:lpstr>환율효과</vt:lpstr>
    </vt:vector>
  </TitlesOfParts>
  <Manager/>
  <Company>KPMG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Sang Ho [KR]</dc:creator>
  <cp:keywords/>
  <dc:description/>
  <cp:lastModifiedBy>AMIC</cp:lastModifiedBy>
  <cp:revision/>
  <dcterms:created xsi:type="dcterms:W3CDTF">2015-11-13T14:21:27Z</dcterms:created>
  <dcterms:modified xsi:type="dcterms:W3CDTF">2026-02-26T04:05:09Z</dcterms:modified>
  <cp:category/>
  <cp:contentStatus/>
</cp:coreProperties>
</file>