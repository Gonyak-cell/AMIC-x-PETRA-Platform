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Input" sheetId="2" state="visible" r:id="rId4"/>
    <sheet name="Calculation" sheetId="3" state="visible" r:id="rId5"/>
    <sheet name="DCF" sheetId="4" state="visible" r:id="rId6"/>
    <sheet name="WACC" sheetId="5" state="visible" r:id="rId7"/>
    <sheet name="GPCM" sheetId="6" state="visible" r:id="rId8"/>
    <sheet name="GTM" sheetId="7" state="visible" r:id="rId9"/>
  </sheets>
  <definedNames>
    <definedName function="false" hidden="false" name="CPI" vbProcedure="false">Input!$E$22</definedName>
    <definedName function="false" hidden="false" name="mn" vbProcedure="false">Input!$E$17</definedName>
    <definedName function="false" hidden="false" name="PPI" vbProcedure="false">input!#ref!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gyeongwookim</author>
  </authors>
  <commentList>
    <comment ref="E17" authorId="0">
      <text>
        <r>
          <rPr>
            <sz val="10"/>
            <rFont val="Arial"/>
            <family val="2"/>
          </rPr>
          <t xml:space="preserve">gyeongwookim:
</t>
        </r>
        <r>
          <rPr>
            <sz val="10"/>
            <rFont val="DejaVu Sans"/>
            <family val="2"/>
          </rPr>
          <t xml:space="preserve">특별한 언급이 없는한 </t>
        </r>
        <r>
          <rPr>
            <sz val="10"/>
            <rFont val="Arial"/>
            <family val="2"/>
          </rPr>
          <t xml:space="preserve">Financial model</t>
        </r>
        <r>
          <rPr>
            <sz val="10"/>
            <rFont val="DejaVu Sans"/>
            <family val="2"/>
          </rPr>
          <t xml:space="preserve">은 백만원 단위</t>
        </r>
      </text>
    </comment>
  </commentList>
</comments>
</file>

<file path=xl/sharedStrings.xml><?xml version="1.0" encoding="utf-8"?>
<sst xmlns="http://schemas.openxmlformats.org/spreadsheetml/2006/main" count="827" uniqueCount="341">
  <si>
    <t xml:space="preserve">Title</t>
  </si>
  <si>
    <t xml:space="preserve">Project dummy Financial Model</t>
  </si>
  <si>
    <t xml:space="preserve">Version</t>
  </si>
  <si>
    <t xml:space="preserve">Draft</t>
  </si>
  <si>
    <t xml:space="preserve">Date</t>
  </si>
  <si>
    <t xml:space="preserve">Currency</t>
  </si>
  <si>
    <r>
      <rPr>
        <sz val="10"/>
        <color rgb="FF0F3A32"/>
        <rFont val="DejaVu Sans"/>
        <family val="2"/>
      </rPr>
      <t xml:space="preserve">별도표시가 없는 한 모든통화는 원</t>
    </r>
    <r>
      <rPr>
        <sz val="10"/>
        <color rgb="FF0F3A32"/>
        <rFont val="DejaVu Sans"/>
        <family val="0"/>
        <charset val="1"/>
      </rPr>
      <t xml:space="preserve">(KRW)</t>
    </r>
    <r>
      <rPr>
        <sz val="10"/>
        <color rgb="FF0F3A32"/>
        <rFont val="DejaVu Sans"/>
        <family val="2"/>
      </rPr>
      <t xml:space="preserve">임</t>
    </r>
  </si>
  <si>
    <t xml:space="preserve">Legend</t>
  </si>
  <si>
    <t xml:space="preserve">구분</t>
  </si>
  <si>
    <t xml:space="preserve">설 명</t>
  </si>
  <si>
    <t xml:space="preserve">Value</t>
  </si>
  <si>
    <t xml:space="preserve">상수</t>
  </si>
  <si>
    <r>
      <rPr>
        <sz val="9"/>
        <color rgb="FF0F3A32"/>
        <rFont val="맑은 고딕"/>
        <family val="0"/>
        <charset val="1"/>
      </rPr>
      <t xml:space="preserve">Control </t>
    </r>
    <r>
      <rPr>
        <sz val="9"/>
        <color rgb="FF0F3A32"/>
        <rFont val="DejaVu Sans"/>
        <family val="2"/>
      </rPr>
      <t xml:space="preserve">변수</t>
    </r>
  </si>
  <si>
    <t xml:space="preserve">참조값</t>
  </si>
  <si>
    <t xml:space="preserve">수식결과값</t>
  </si>
  <si>
    <t xml:space="preserve">총 합계</t>
  </si>
  <si>
    <t xml:space="preserve">운영기간 합계</t>
  </si>
  <si>
    <t xml:space="preserve">VBA</t>
  </si>
  <si>
    <r>
      <rPr>
        <sz val="9"/>
        <color rgb="FF0F3A32"/>
        <rFont val="맑은 고딕"/>
        <family val="0"/>
        <charset val="1"/>
      </rPr>
      <t xml:space="preserve">VBA</t>
    </r>
    <r>
      <rPr>
        <sz val="9"/>
        <color rgb="FF0F3A32"/>
        <rFont val="DejaVu Sans"/>
        <family val="2"/>
      </rPr>
      <t xml:space="preserve">참조셀 </t>
    </r>
    <r>
      <rPr>
        <sz val="9"/>
        <color rgb="FF0F3A32"/>
        <rFont val="맑은 고딕"/>
        <family val="0"/>
        <charset val="1"/>
      </rPr>
      <t xml:space="preserve">[</t>
    </r>
    <r>
      <rPr>
        <sz val="9"/>
        <color rgb="FF0F3A32"/>
        <rFont val="DejaVu Sans"/>
        <family val="2"/>
      </rPr>
      <t xml:space="preserve">삭제금지</t>
    </r>
    <r>
      <rPr>
        <sz val="9"/>
        <color rgb="FF0F3A32"/>
        <rFont val="맑은 고딕"/>
        <family val="0"/>
        <charset val="1"/>
      </rPr>
      <t xml:space="preserve">]</t>
    </r>
  </si>
  <si>
    <t xml:space="preserve">Text</t>
  </si>
  <si>
    <r>
      <rPr>
        <sz val="9"/>
        <color rgb="FF0F3A32"/>
        <rFont val="DejaVu Sans"/>
        <family val="2"/>
      </rPr>
      <t xml:space="preserve">출처</t>
    </r>
    <r>
      <rPr>
        <sz val="9"/>
        <color rgb="FF0F3A32"/>
        <rFont val="DejaVu Sans"/>
        <family val="2"/>
        <charset val="1"/>
      </rPr>
      <t xml:space="preserve">/</t>
    </r>
    <r>
      <rPr>
        <sz val="9"/>
        <color rgb="FF0F3A32"/>
        <rFont val="DejaVu Sans"/>
        <family val="2"/>
      </rPr>
      <t xml:space="preserve">설명</t>
    </r>
  </si>
  <si>
    <t xml:space="preserve">Flag</t>
  </si>
  <si>
    <r>
      <rPr>
        <sz val="9"/>
        <color rgb="FF0F3A32"/>
        <rFont val="맑은 고딕"/>
        <family val="0"/>
        <charset val="1"/>
      </rPr>
      <t xml:space="preserve">FALSE(</t>
    </r>
    <r>
      <rPr>
        <sz val="9"/>
        <color rgb="FF0F3A32"/>
        <rFont val="DejaVu Sans"/>
        <family val="2"/>
      </rPr>
      <t xml:space="preserve">논리값</t>
    </r>
    <r>
      <rPr>
        <sz val="9"/>
        <color rgb="FF0F3A32"/>
        <rFont val="맑은 고딕"/>
        <family val="0"/>
        <charset val="1"/>
      </rPr>
      <t xml:space="preserve">) </t>
    </r>
  </si>
  <si>
    <r>
      <rPr>
        <sz val="9"/>
        <color rgb="FF0F3A32"/>
        <rFont val="맑은 고딕"/>
        <family val="0"/>
        <charset val="1"/>
      </rPr>
      <t xml:space="preserve">TRUE(</t>
    </r>
    <r>
      <rPr>
        <sz val="9"/>
        <color rgb="FF0F3A32"/>
        <rFont val="DejaVu Sans"/>
        <family val="2"/>
      </rPr>
      <t xml:space="preserve">논리값</t>
    </r>
    <r>
      <rPr>
        <sz val="9"/>
        <color rgb="FF0F3A32"/>
        <rFont val="맑은 고딕"/>
        <family val="0"/>
        <charset val="1"/>
      </rPr>
      <t xml:space="preserve">)</t>
    </r>
  </si>
  <si>
    <t xml:space="preserve">Blank</t>
  </si>
  <si>
    <t xml:space="preserve">DRAFT - For Discussion Purposes Only</t>
  </si>
  <si>
    <t xml:space="preserve">Assumptions</t>
  </si>
  <si>
    <t xml:space="preserve">Time Period</t>
  </si>
  <si>
    <t xml:space="preserve">Actual/Forecast</t>
  </si>
  <si>
    <t xml:space="preserve">Actual</t>
  </si>
  <si>
    <t xml:space="preserve">Forecast</t>
  </si>
  <si>
    <t xml:space="preserve">Period Start</t>
  </si>
  <si>
    <t xml:space="preserve">TV</t>
  </si>
  <si>
    <t xml:space="preserve">Period End</t>
  </si>
  <si>
    <t xml:space="preserve">Month</t>
  </si>
  <si>
    <t xml:space="preserve">Year</t>
  </si>
  <si>
    <t xml:space="preserve">Days</t>
  </si>
  <si>
    <t xml:space="preserve">1. General Assumptions</t>
  </si>
  <si>
    <t xml:space="preserve">Model Date</t>
  </si>
  <si>
    <t xml:space="preserve">Model Year</t>
  </si>
  <si>
    <t xml:space="preserve">Unit</t>
  </si>
  <si>
    <t xml:space="preserve">KRW</t>
  </si>
  <si>
    <t xml:space="preserve">WACC</t>
  </si>
  <si>
    <t xml:space="preserve">%</t>
  </si>
  <si>
    <t xml:space="preserve">Perpetual Growth</t>
  </si>
  <si>
    <t xml:space="preserve">Industry Growth</t>
  </si>
  <si>
    <t xml:space="preserve">Nominal Wage Growth</t>
  </si>
  <si>
    <t xml:space="preserve">CPI</t>
  </si>
  <si>
    <t xml:space="preserve">PPI</t>
  </si>
  <si>
    <t xml:space="preserve">2. Historical Financials</t>
  </si>
  <si>
    <t xml:space="preserve">[Profit &amp; Loss]</t>
  </si>
  <si>
    <t xml:space="preserve">매출</t>
  </si>
  <si>
    <t xml:space="preserve">원가</t>
  </si>
  <si>
    <t xml:space="preserve">재료비</t>
  </si>
  <si>
    <t xml:space="preserve">인건비</t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</si>
  <si>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family val="0"/>
        <charset val="1"/>
      </rPr>
      <t xml:space="preserve">-</t>
    </r>
    <r>
      <rPr>
        <sz val="10"/>
        <color rgb="FF0F3A32"/>
        <rFont val="DejaVu Sans"/>
        <family val="2"/>
      </rPr>
      <t xml:space="preserve">변동비</t>
    </r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</si>
  <si>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family val="2"/>
        <charset val="1"/>
      </rPr>
      <t xml:space="preserve">-</t>
    </r>
    <r>
      <rPr>
        <sz val="10"/>
        <color rgb="FF0F3A32"/>
        <rFont val="DejaVu Sans"/>
        <family val="2"/>
      </rPr>
      <t xml:space="preserve">고정비</t>
    </r>
  </si>
  <si>
    <t xml:space="preserve">매출총이익</t>
  </si>
  <si>
    <t xml:space="preserve">판관비</t>
  </si>
  <si>
    <r>
      <rPr>
        <sz val="10"/>
        <color rgb="FF0F3A32"/>
        <rFont val="DejaVu Sans"/>
        <family val="2"/>
      </rPr>
      <t xml:space="preserve">변동비</t>
    </r>
    <r>
      <rPr>
        <sz val="10"/>
        <color rgb="FF0F3A32"/>
        <rFont val="DejaVu Sans"/>
        <family val="0"/>
        <charset val="1"/>
      </rPr>
      <t xml:space="preserve">-#1</t>
    </r>
  </si>
  <si>
    <r>
      <rPr>
        <sz val="10"/>
        <color rgb="FF0F3A32"/>
        <rFont val="DejaVu Sans"/>
        <family val="2"/>
      </rPr>
      <t xml:space="preserve">변동비</t>
    </r>
    <r>
      <rPr>
        <sz val="10"/>
        <color rgb="FF0F3A32"/>
        <rFont val="DejaVu Sans"/>
        <family val="2"/>
        <charset val="1"/>
      </rPr>
      <t xml:space="preserve">-#2</t>
    </r>
  </si>
  <si>
    <r>
      <rPr>
        <sz val="10"/>
        <color rgb="FF0F3A32"/>
        <rFont val="DejaVu Sans"/>
        <family val="2"/>
      </rPr>
      <t xml:space="preserve">변동비</t>
    </r>
    <r>
      <rPr>
        <sz val="10"/>
        <color rgb="FF0F3A32"/>
        <rFont val="DejaVu Sans"/>
        <family val="0"/>
        <charset val="1"/>
      </rPr>
      <t xml:space="preserve">-#3</t>
    </r>
  </si>
  <si>
    <t xml:space="preserve">고정비</t>
  </si>
  <si>
    <t xml:space="preserve">영업이익</t>
  </si>
  <si>
    <t xml:space="preserve">감가상각비</t>
  </si>
  <si>
    <t xml:space="preserve">EBITDA</t>
  </si>
  <si>
    <t xml:space="preserve">영업외손익</t>
  </si>
  <si>
    <t xml:space="preserve">영업외수익</t>
  </si>
  <si>
    <t xml:space="preserve">이자손익</t>
  </si>
  <si>
    <t xml:space="preserve">기타</t>
  </si>
  <si>
    <t xml:space="preserve">영업외비용</t>
  </si>
  <si>
    <t xml:space="preserve">이자비용</t>
  </si>
  <si>
    <t xml:space="preserve">세전이익</t>
  </si>
  <si>
    <t xml:space="preserve">법인세</t>
  </si>
  <si>
    <t xml:space="preserve">당기순이익</t>
  </si>
  <si>
    <t xml:space="preserve">[Balance Sheet]</t>
  </si>
  <si>
    <t xml:space="preserve">유동자산</t>
  </si>
  <si>
    <t xml:space="preserve">현금및현금성자산</t>
  </si>
  <si>
    <t xml:space="preserve">매출채권</t>
  </si>
  <si>
    <t xml:space="preserve">재고자산</t>
  </si>
  <si>
    <t xml:space="preserve">기타유동자산</t>
  </si>
  <si>
    <t xml:space="preserve">비유동자산</t>
  </si>
  <si>
    <t xml:space="preserve">유형자산</t>
  </si>
  <si>
    <t xml:space="preserve">무형자산</t>
  </si>
  <si>
    <t xml:space="preserve">투자자산</t>
  </si>
  <si>
    <t xml:space="preserve">지분법투자주식</t>
  </si>
  <si>
    <t xml:space="preserve">기타비유동자산</t>
  </si>
  <si>
    <t xml:space="preserve">총자산</t>
  </si>
  <si>
    <t xml:space="preserve">유동부채</t>
  </si>
  <si>
    <t xml:space="preserve">매입채무</t>
  </si>
  <si>
    <t xml:space="preserve">미지급금</t>
  </si>
  <si>
    <t xml:space="preserve">단기차입금</t>
  </si>
  <si>
    <t xml:space="preserve">기타유동부채</t>
  </si>
  <si>
    <t xml:space="preserve">비유동부채</t>
  </si>
  <si>
    <t xml:space="preserve">장기차입금</t>
  </si>
  <si>
    <t xml:space="preserve">사채</t>
  </si>
  <si>
    <t xml:space="preserve">퇴직급여충당부채</t>
  </si>
  <si>
    <t xml:space="preserve">기타비유동부채</t>
  </si>
  <si>
    <t xml:space="preserve">총부채</t>
  </si>
  <si>
    <t xml:space="preserve">순자산</t>
  </si>
  <si>
    <t xml:space="preserve">3. Revenue Assumptions</t>
  </si>
  <si>
    <t xml:space="preserve">[Revenue breakdown] - #1</t>
  </si>
  <si>
    <t xml:space="preserve">Price</t>
  </si>
  <si>
    <t xml:space="preserve">KRW/kg</t>
  </si>
  <si>
    <t xml:space="preserve">Quantity</t>
  </si>
  <si>
    <t xml:space="preserve">kg</t>
  </si>
  <si>
    <t xml:space="preserve">[Revenue breakdown] - #2</t>
  </si>
  <si>
    <t xml:space="preserve">[Revenue breakdown] - #3</t>
  </si>
  <si>
    <t xml:space="preserve">[Revenue breakdown] - #4</t>
  </si>
  <si>
    <t xml:space="preserve">[Revenue breakdown] - #5</t>
  </si>
  <si>
    <t xml:space="preserve">4. COGS Assumptions</t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</si>
  <si>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재료비 </t>
    </r>
    <r>
      <rPr>
        <b val="true"/>
        <sz val="10"/>
        <color rgb="FFFFFFFF"/>
        <rFont val="Arial"/>
        <family val="0"/>
        <charset val="1"/>
      </rPr>
      <t xml:space="preserve">(P*Q)</t>
    </r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</si>
  <si>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기타경비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변동비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</si>
  <si>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기타경비</t>
  </si>
  <si>
    <t xml:space="preserve">KRW mn</t>
  </si>
  <si>
    <t xml:space="preserve">% of revenue</t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</si>
  <si>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기타경비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고정비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</si>
  <si>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별도 추정</t>
    </r>
    <r>
      <rPr>
        <b val="true"/>
        <sz val="10"/>
        <color rgb="FFFFFFFF"/>
        <rFont val="Arial"/>
        <family val="0"/>
        <charset val="1"/>
      </rPr>
      <t xml:space="preserve">- #1</t>
    </r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</si>
  <si>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별도 추정</t>
    </r>
    <r>
      <rPr>
        <b val="true"/>
        <sz val="10"/>
        <color rgb="FFFFFFFF"/>
        <rFont val="Arial"/>
        <family val="0"/>
        <charset val="1"/>
      </rPr>
      <t xml:space="preserve">- #2</t>
    </r>
  </si>
  <si>
    <t xml:space="preserve">5. SG&amp;A  Assumptions</t>
  </si>
  <si>
    <t xml:space="preserve">[SG&amp;A breakdown] - Variable cost #1</t>
  </si>
  <si>
    <t xml:space="preserve">판관 변동비</t>
  </si>
  <si>
    <t xml:space="preserve">[SG&amp;A breakdown] - Variable cost #2</t>
  </si>
  <si>
    <t xml:space="preserve">[SG&amp;A breakdown] - Variable cost #3</t>
  </si>
  <si>
    <t xml:space="preserve">[SG&amp;A breakdown] - Fixed cost</t>
  </si>
  <si>
    <t xml:space="preserve">판관 고정비</t>
  </si>
  <si>
    <r>
      <rPr>
        <b val="true"/>
        <sz val="10"/>
        <color rgb="FFFFFFFF"/>
        <rFont val="Arial"/>
        <family val="0"/>
        <charset val="1"/>
      </rPr>
      <t xml:space="preserve">[SG&amp;A breakdown] - </t>
    </r>
    <r>
      <rPr>
        <b val="true"/>
        <sz val="10"/>
        <color rgb="FFFFFFFF"/>
        <rFont val="DejaVu Sans"/>
        <family val="2"/>
      </rPr>
      <t xml:space="preserve">별도 추정</t>
    </r>
  </si>
  <si>
    <t xml:space="preserve">6. Labor cost  Assumptions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</si>
  <si>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인건비</t>
    </r>
    <r>
      <rPr>
        <sz val="10"/>
        <color rgb="FFFFFFFF"/>
        <rFont val="Arial"/>
        <family val="0"/>
        <charset val="1"/>
      </rPr>
      <t xml:space="preserve">]</t>
    </r>
  </si>
  <si>
    <t xml:space="preserve">COGS</t>
  </si>
  <si>
    <t xml:space="preserve">KRW m </t>
  </si>
  <si>
    <t xml:space="preserve">SG&amp;A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</si>
  <si>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인원수</t>
    </r>
    <r>
      <rPr>
        <sz val="10"/>
        <color rgb="FFFFFFFF"/>
        <rFont val="Arial"/>
        <family val="0"/>
        <charset val="1"/>
      </rPr>
      <t xml:space="preserve">]</t>
    </r>
  </si>
  <si>
    <t xml:space="preserve">COGS </t>
  </si>
  <si>
    <t xml:space="preserve">명</t>
  </si>
  <si>
    <t xml:space="preserve">SG&amp;A 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</si>
  <si>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인당인건비</t>
    </r>
    <r>
      <rPr>
        <sz val="10"/>
        <color rgb="FFFFFFFF"/>
        <rFont val="Arial"/>
        <family val="0"/>
        <charset val="1"/>
      </rPr>
      <t xml:space="preserve">]</t>
    </r>
  </si>
  <si>
    <t xml:space="preserve">7. Working Capital  Assumptions</t>
  </si>
  <si>
    <t xml:space="preserve">[NWC] </t>
  </si>
  <si>
    <t xml:space="preserve">매출액</t>
  </si>
  <si>
    <t xml:space="preserve">Current assets</t>
  </si>
  <si>
    <t xml:space="preserve">Current liabilities</t>
  </si>
  <si>
    <t xml:space="preserve">Net working capital</t>
  </si>
  <si>
    <t xml:space="preserve">△Net working capital
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</si>
  <si>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회전기일</t>
    </r>
    <r>
      <rPr>
        <sz val="10"/>
        <color rgb="FFFFFFFF"/>
        <rFont val="Arial"/>
        <family val="0"/>
        <charset val="1"/>
      </rPr>
      <t xml:space="preserve">] </t>
    </r>
  </si>
  <si>
    <t xml:space="preserve">DSO, Year-end</t>
  </si>
  <si>
    <t xml:space="preserve">DIO, Year-end</t>
  </si>
  <si>
    <t xml:space="preserve">DPO, Year-end</t>
  </si>
  <si>
    <r>
      <rPr>
        <b val="true"/>
        <sz val="10"/>
        <color rgb="FFFFFFFF"/>
        <rFont val="Arial"/>
        <family val="0"/>
        <charset val="1"/>
      </rPr>
      <t xml:space="preserve">8. </t>
    </r>
    <r>
      <rPr>
        <b val="true"/>
        <sz val="10"/>
        <color rgb="FFFFFFFF"/>
        <rFont val="DejaVu Sans"/>
        <family val="2"/>
      </rPr>
      <t xml:space="preserve">영업외손익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차입금</t>
    </r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</si>
  <si>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영업외이익</t>
    </r>
    <r>
      <rPr>
        <sz val="10"/>
        <color rgb="FFFFFFFF"/>
        <rFont val="Arial"/>
        <family val="0"/>
        <charset val="1"/>
      </rPr>
      <t xml:space="preserve">] </t>
    </r>
  </si>
  <si>
    <t xml:space="preserve">이자율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</si>
  <si>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영업외비용</t>
    </r>
    <r>
      <rPr>
        <sz val="10"/>
        <color rgb="FFFFFFFF"/>
        <rFont val="Arial"/>
        <family val="0"/>
        <charset val="1"/>
      </rPr>
      <t xml:space="preserve">] </t>
    </r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</si>
  <si>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0"/>
        <charset val="1"/>
      </rPr>
      <t xml:space="preserve">-</t>
    </r>
    <r>
      <rPr>
        <sz val="10"/>
        <color rgb="FFFFFFFF"/>
        <rFont val="DejaVu Sans"/>
        <family val="2"/>
      </rPr>
      <t xml:space="preserve">단기차입금</t>
    </r>
    <r>
      <rPr>
        <sz val="10"/>
        <color rgb="FFFFFFFF"/>
        <rFont val="맑은 고딕"/>
        <family val="0"/>
        <charset val="1"/>
      </rPr>
      <t xml:space="preserve">]</t>
    </r>
  </si>
  <si>
    <t xml:space="preserve">기초</t>
  </si>
  <si>
    <r>
      <rPr>
        <sz val="10"/>
        <color rgb="FF0F3A32"/>
        <rFont val="맑은 고딕"/>
        <family val="0"/>
        <charset val="1"/>
      </rPr>
      <t xml:space="preserve">(+)</t>
    </r>
    <r>
      <rPr>
        <sz val="10"/>
        <color rgb="FF0F3A32"/>
        <rFont val="DejaVu Sans"/>
        <family val="2"/>
      </rPr>
      <t xml:space="preserve">차입</t>
    </r>
  </si>
  <si>
    <r>
      <rPr>
        <sz val="10"/>
        <color rgb="FF0F3A32"/>
        <rFont val="맑은 고딕"/>
        <family val="0"/>
        <charset val="1"/>
      </rPr>
      <t xml:space="preserve">(-)</t>
    </r>
    <r>
      <rPr>
        <sz val="10"/>
        <color rgb="FF0F3A32"/>
        <rFont val="DejaVu Sans"/>
        <family val="2"/>
      </rPr>
      <t xml:space="preserve">상환</t>
    </r>
  </si>
  <si>
    <t xml:space="preserve">기말</t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</si>
  <si>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0"/>
        <charset val="1"/>
      </rPr>
      <t xml:space="preserve">-</t>
    </r>
    <r>
      <rPr>
        <sz val="10"/>
        <color rgb="FFFFFFFF"/>
        <rFont val="DejaVu Sans"/>
        <family val="2"/>
      </rPr>
      <t xml:space="preserve">장기차입금</t>
    </r>
    <r>
      <rPr>
        <sz val="10"/>
        <color rgb="FFFFFFFF"/>
        <rFont val="맑은 고딕"/>
        <family val="0"/>
        <charset val="1"/>
      </rPr>
      <t xml:space="preserve">]</t>
    </r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</si>
  <si>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0"/>
        <charset val="1"/>
      </rPr>
      <t xml:space="preserve">-</t>
    </r>
    <r>
      <rPr>
        <sz val="10"/>
        <color rgb="FFFFFFFF"/>
        <rFont val="DejaVu Sans"/>
        <family val="2"/>
      </rPr>
      <t xml:space="preserve">사채</t>
    </r>
    <r>
      <rPr>
        <sz val="10"/>
        <color rgb="FFFFFFFF"/>
        <rFont val="맑은 고딕"/>
        <family val="0"/>
        <charset val="1"/>
      </rPr>
      <t xml:space="preserve">]</t>
    </r>
  </si>
  <si>
    <t xml:space="preserve">9. Net debt &amp; NOA</t>
  </si>
  <si>
    <t xml:space="preserve">[Net debt]</t>
  </si>
  <si>
    <t xml:space="preserve">On-BS</t>
  </si>
  <si>
    <t xml:space="preserve">Off-BS</t>
  </si>
  <si>
    <t xml:space="preserve">Cash-like items</t>
  </si>
  <si>
    <t xml:space="preserve">Debt-like items</t>
  </si>
  <si>
    <t xml:space="preserve">장단기차입금</t>
  </si>
  <si>
    <t xml:space="preserve">리스부채</t>
  </si>
  <si>
    <t xml:space="preserve">Net debt (Cash)</t>
  </si>
  <si>
    <t xml:space="preserve">[NOA]</t>
  </si>
  <si>
    <t xml:space="preserve">매도가능증권 </t>
  </si>
  <si>
    <t xml:space="preserve">Total NOA</t>
  </si>
  <si>
    <t xml:space="preserve">Calculations</t>
  </si>
  <si>
    <t xml:space="preserve">Revenue</t>
  </si>
  <si>
    <t xml:space="preserve">[Total revenue]</t>
  </si>
  <si>
    <t xml:space="preserve">Revenue #1</t>
  </si>
  <si>
    <t xml:space="preserve">Revenue #2</t>
  </si>
  <si>
    <t xml:space="preserve">Revenue #3</t>
  </si>
  <si>
    <t xml:space="preserve">Revenue #4</t>
  </si>
  <si>
    <t xml:space="preserve">Revenue #5</t>
  </si>
  <si>
    <t xml:space="preserve">Total Revenue</t>
  </si>
  <si>
    <t xml:space="preserve">check</t>
  </si>
  <si>
    <t xml:space="preserve">Price_real</t>
  </si>
  <si>
    <t xml:space="preserve">KRW/Kg</t>
  </si>
  <si>
    <t xml:space="preserve">Price_Nominal</t>
  </si>
  <si>
    <t xml:space="preserve">Kg</t>
  </si>
  <si>
    <t xml:space="preserve">[Total COGS]</t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</si>
  <si>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재료비 </t>
    </r>
    <r>
      <rPr>
        <sz val="10"/>
        <color rgb="FFFFFFFF"/>
        <rFont val="Arial"/>
        <family val="0"/>
        <charset val="1"/>
      </rPr>
      <t xml:space="preserve">(P*Q)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</si>
  <si>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인건비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</si>
  <si>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기타경비</t>
    </r>
    <r>
      <rPr>
        <sz val="10"/>
        <color rgb="FFFFFFFF"/>
        <rFont val="Arial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변동비</t>
    </r>
    <r>
      <rPr>
        <sz val="10"/>
        <color rgb="FFFFFFFF"/>
        <rFont val="Arial"/>
        <family val="0"/>
        <charset val="1"/>
      </rPr>
      <t xml:space="preserve">)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</si>
  <si>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기타경비</t>
    </r>
    <r>
      <rPr>
        <sz val="10"/>
        <color rgb="FFFFFFFF"/>
        <rFont val="Arial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고정비</t>
    </r>
    <r>
      <rPr>
        <sz val="10"/>
        <color rgb="FFFFFFFF"/>
        <rFont val="Arial"/>
        <family val="0"/>
        <charset val="1"/>
      </rPr>
      <t xml:space="preserve">)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</si>
  <si>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별도 추정</t>
    </r>
    <r>
      <rPr>
        <sz val="10"/>
        <color rgb="FFFFFFFF"/>
        <rFont val="Arial"/>
        <family val="0"/>
        <charset val="1"/>
      </rPr>
      <t xml:space="preserve">- #1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</si>
  <si>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별도 추정</t>
    </r>
    <r>
      <rPr>
        <sz val="10"/>
        <color rgb="FFFFFFFF"/>
        <rFont val="Arial"/>
        <family val="0"/>
        <charset val="1"/>
      </rPr>
      <t xml:space="preserve">- #2</t>
    </r>
  </si>
  <si>
    <t xml:space="preserve">Total COGS</t>
  </si>
  <si>
    <t xml:space="preserve">별도 추정</t>
  </si>
  <si>
    <r>
      <rPr>
        <sz val="10"/>
        <color rgb="FFFFFFFF"/>
        <rFont val="Arial"/>
        <family val="0"/>
        <charset val="1"/>
      </rPr>
      <t xml:space="preserve">[SG&amp;A breakdown] - </t>
    </r>
    <r>
      <rPr>
        <sz val="10"/>
        <color rgb="FFFFFFFF"/>
        <rFont val="DejaVu Sans"/>
        <family val="2"/>
      </rPr>
      <t xml:space="preserve">인건비</t>
    </r>
  </si>
  <si>
    <r>
      <rPr>
        <sz val="10"/>
        <color rgb="FFFFFFFF"/>
        <rFont val="Arial"/>
        <family val="0"/>
        <charset val="1"/>
      </rPr>
      <t xml:space="preserve">[SG&amp;A breakdown] - </t>
    </r>
    <r>
      <rPr>
        <sz val="10"/>
        <color rgb="FFFFFFFF"/>
        <rFont val="DejaVu Sans"/>
        <family val="2"/>
      </rPr>
      <t xml:space="preserve">별도 추정</t>
    </r>
  </si>
  <si>
    <t xml:space="preserve">판관 변동비 </t>
  </si>
  <si>
    <t xml:space="preserve">Labor cost</t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</si>
  <si>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인당인건비</t>
    </r>
    <r>
      <rPr>
        <sz val="10"/>
        <color rgb="FFFFFFFF"/>
        <rFont val="맑은 고딕"/>
        <family val="0"/>
        <charset val="1"/>
      </rPr>
      <t xml:space="preserve">]</t>
    </r>
  </si>
  <si>
    <t xml:space="preserve">Total</t>
  </si>
  <si>
    <t xml:space="preserve">NWC</t>
  </si>
  <si>
    <t xml:space="preserve">OOI/OOE &amp; Borrowings</t>
  </si>
  <si>
    <t xml:space="preserve">현금잔액</t>
  </si>
  <si>
    <t xml:space="preserve">기타 영업외이익</t>
  </si>
  <si>
    <t xml:space="preserve">기타 영업외 비용</t>
  </si>
  <si>
    <t xml:space="preserve">DCF</t>
  </si>
  <si>
    <t xml:space="preserve">Perptual Growth</t>
  </si>
  <si>
    <t xml:space="preserve">Currency: KRW mn</t>
  </si>
  <si>
    <t xml:space="preserve">Growth%</t>
  </si>
  <si>
    <t xml:space="preserve">Gross profit</t>
  </si>
  <si>
    <t xml:space="preserve">Gross margin</t>
  </si>
  <si>
    <t xml:space="preserve">SG&amp;A%</t>
  </si>
  <si>
    <t xml:space="preserve">EBIT</t>
  </si>
  <si>
    <t xml:space="preserve">EBIT%</t>
  </si>
  <si>
    <t xml:space="preserve">Dep&amp;Amor.</t>
  </si>
  <si>
    <t xml:space="preserve">EBITDA %</t>
  </si>
  <si>
    <t xml:space="preserve">CIT</t>
  </si>
  <si>
    <t xml:space="preserve">NOPLAT</t>
  </si>
  <si>
    <t xml:space="preserve">△Net working capital</t>
  </si>
  <si>
    <t xml:space="preserve">CAPEX</t>
  </si>
  <si>
    <t xml:space="preserve">Free cash flow</t>
  </si>
  <si>
    <t xml:space="preserve">Discount period</t>
  </si>
  <si>
    <t xml:space="preserve">PV factor</t>
  </si>
  <si>
    <t xml:space="preserve">PV of FCF</t>
  </si>
  <si>
    <t xml:space="preserve">Operating value</t>
  </si>
  <si>
    <t xml:space="preserve">Non-operating assets</t>
  </si>
  <si>
    <t xml:space="preserve">Enterprise value</t>
  </si>
  <si>
    <t xml:space="preserve">Net debt</t>
  </si>
  <si>
    <t xml:space="preserve">Equity value (100%)</t>
  </si>
  <si>
    <t xml:space="preserve">지분율</t>
  </si>
  <si>
    <t xml:space="preserve">Equity value </t>
  </si>
  <si>
    <t xml:space="preserve">Sensitivity</t>
  </si>
  <si>
    <r>
      <rPr>
        <b val="true"/>
        <sz val="10"/>
        <color rgb="FFFFFFFF"/>
        <rFont val="Arial"/>
        <family val="0"/>
        <charset val="1"/>
      </rPr>
      <t xml:space="preserve"> Perpetual growth rate </t>
    </r>
    <r>
      <rPr>
        <b val="true"/>
        <sz val="10"/>
        <color rgb="FFFFFFFF"/>
        <rFont val="DejaVu Sans"/>
        <family val="2"/>
      </rPr>
      <t xml:space="preserve">　</t>
    </r>
  </si>
  <si>
    <t xml:space="preserve"> WACC </t>
  </si>
  <si>
    <t xml:space="preserve">Profit &amp; Loss</t>
  </si>
  <si>
    <t xml:space="preserve">OOI/OOE</t>
  </si>
  <si>
    <t xml:space="preserve">PBT</t>
  </si>
  <si>
    <t xml:space="preserve">Net income</t>
  </si>
  <si>
    <t xml:space="preserve">Balance Sheet</t>
  </si>
  <si>
    <t xml:space="preserve">CashFlow </t>
  </si>
  <si>
    <t xml:space="preserve">영업현금흐름</t>
  </si>
  <si>
    <r>
      <rPr>
        <sz val="10"/>
        <color rgb="FF0F3A32"/>
        <rFont val="맑은 고딕"/>
        <family val="0"/>
        <charset val="1"/>
      </rPr>
      <t xml:space="preserve">(+) </t>
    </r>
    <r>
      <rPr>
        <sz val="10"/>
        <color rgb="FF0F3A32"/>
        <rFont val="DejaVu Sans"/>
        <family val="2"/>
      </rPr>
      <t xml:space="preserve">감가상각비</t>
    </r>
  </si>
  <si>
    <r>
      <rPr>
        <sz val="10"/>
        <color rgb="FF0F3A32"/>
        <rFont val="Arial"/>
        <family val="0"/>
        <charset val="1"/>
      </rPr>
      <t xml:space="preserve">(+/-) </t>
    </r>
    <r>
      <rPr>
        <sz val="10"/>
        <color rgb="FF0F3A32"/>
        <rFont val="DejaVu Sans"/>
        <family val="2"/>
      </rPr>
      <t xml:space="preserve">운전자본 증감</t>
    </r>
  </si>
  <si>
    <t xml:space="preserve">투자현금흐름</t>
  </si>
  <si>
    <t xml:space="preserve">(-) Capex</t>
  </si>
  <si>
    <t xml:space="preserve">재무현금흐름</t>
  </si>
  <si>
    <r>
      <rPr>
        <sz val="10"/>
        <color rgb="FF0F3A32"/>
        <rFont val="Arial"/>
        <family val="0"/>
        <charset val="1"/>
      </rPr>
      <t xml:space="preserve">(-) </t>
    </r>
    <r>
      <rPr>
        <sz val="10"/>
        <color rgb="FF0F3A32"/>
        <rFont val="DejaVu Sans"/>
        <family val="2"/>
      </rPr>
      <t xml:space="preserve">차입금 상환</t>
    </r>
  </si>
  <si>
    <r>
      <rPr>
        <sz val="10"/>
        <color rgb="FF0F3A32"/>
        <rFont val="Arial"/>
        <family val="0"/>
        <charset val="1"/>
      </rPr>
      <t xml:space="preserve">(+) </t>
    </r>
    <r>
      <rPr>
        <sz val="10"/>
        <color rgb="FF0F3A32"/>
        <rFont val="DejaVu Sans"/>
        <family val="2"/>
      </rPr>
      <t xml:space="preserve">차입금 추가차입</t>
    </r>
  </si>
  <si>
    <r>
      <rPr>
        <sz val="10"/>
        <color rgb="FF0F3A32"/>
        <rFont val="Arial"/>
        <family val="0"/>
        <charset val="1"/>
      </rPr>
      <t xml:space="preserve">(+) </t>
    </r>
    <r>
      <rPr>
        <sz val="10"/>
        <color rgb="FF0F3A32"/>
        <rFont val="DejaVu Sans"/>
        <family val="2"/>
      </rPr>
      <t xml:space="preserve">현금 </t>
    </r>
    <r>
      <rPr>
        <sz val="10"/>
        <color rgb="FF0F3A32"/>
        <rFont val="Arial"/>
        <family val="0"/>
        <charset val="1"/>
      </rPr>
      <t xml:space="preserve">injection</t>
    </r>
  </si>
  <si>
    <r>
      <rPr>
        <sz val="10"/>
        <color rgb="FF0F3A32"/>
        <rFont val="Arial"/>
        <family val="0"/>
        <charset val="1"/>
      </rPr>
      <t xml:space="preserve">(-) </t>
    </r>
    <r>
      <rPr>
        <sz val="10"/>
        <color rgb="FF0F3A32"/>
        <rFont val="DejaVu Sans"/>
        <family val="2"/>
      </rPr>
      <t xml:space="preserve">현금 배당</t>
    </r>
  </si>
  <si>
    <t xml:space="preserve">기초현금</t>
  </si>
  <si>
    <r>
      <rPr>
        <b val="true"/>
        <sz val="10"/>
        <color rgb="FF0F3A32"/>
        <rFont val="Arial"/>
        <family val="0"/>
        <charset val="1"/>
      </rPr>
      <t xml:space="preserve">(+)</t>
    </r>
    <r>
      <rPr>
        <b val="true"/>
        <sz val="10"/>
        <color rgb="FF0F3A32"/>
        <rFont val="DejaVu Sans"/>
        <family val="2"/>
      </rPr>
      <t xml:space="preserve">현금증가</t>
    </r>
  </si>
  <si>
    <t xml:space="preserve">기말현금</t>
  </si>
  <si>
    <t xml:space="preserve">WACC Analysis</t>
  </si>
  <si>
    <t xml:space="preserve">Weighted Average Cost of Capital (WACC)</t>
  </si>
  <si>
    <t xml:space="preserve">[Cost of Equity - CAPM]</t>
  </si>
  <si>
    <t xml:space="preserve">Risk-free Rate (Rf)</t>
  </si>
  <si>
    <t xml:space="preserve">Equity Risk Premium (ERP)</t>
  </si>
  <si>
    <t xml:space="preserve">Beta (β)</t>
  </si>
  <si>
    <t xml:space="preserve">x</t>
  </si>
  <si>
    <t xml:space="preserve">Size Premium</t>
  </si>
  <si>
    <t xml:space="preserve">Country Risk Premium</t>
  </si>
  <si>
    <t xml:space="preserve">Cost of Equity (Ke)</t>
  </si>
  <si>
    <t xml:space="preserve">[Cost of Debt]</t>
  </si>
  <si>
    <t xml:space="preserve">Pre-tax Cost of Debt</t>
  </si>
  <si>
    <t xml:space="preserve">Effective Tax Rate</t>
  </si>
  <si>
    <t xml:space="preserve">After-tax Cost of Debt (Kd)</t>
  </si>
  <si>
    <t xml:space="preserve">[Capital Structure]</t>
  </si>
  <si>
    <t xml:space="preserve">Equity Value (Market Cap)</t>
  </si>
  <si>
    <t xml:space="preserve">Debt Value (Book Value)</t>
  </si>
  <si>
    <t xml:space="preserve">Total Capital</t>
  </si>
  <si>
    <t xml:space="preserve">Equity Weight (We)</t>
  </si>
  <si>
    <t xml:space="preserve">Debt Weight (Wd)</t>
  </si>
  <si>
    <t xml:space="preserve">WACC Calculation</t>
  </si>
  <si>
    <t xml:space="preserve">vs Input WACC</t>
  </si>
  <si>
    <t xml:space="preserve">WACC Sensitivity Analysis</t>
  </si>
  <si>
    <t xml:space="preserve">ERP →</t>
  </si>
  <si>
    <t xml:space="preserve">β ↓</t>
  </si>
  <si>
    <t xml:space="preserve">Guideline Public Company Method (GPCM)</t>
  </si>
  <si>
    <t xml:space="preserve">Comparable Company Analysis</t>
  </si>
  <si>
    <t xml:space="preserve">[Comparable Companies]</t>
  </si>
  <si>
    <t xml:space="preserve">Company</t>
  </si>
  <si>
    <t xml:space="preserve">Ticker</t>
  </si>
  <si>
    <t xml:space="preserve">Market Cap
(KRW mn)</t>
  </si>
  <si>
    <t xml:space="preserve">EV
(KRW mn)</t>
  </si>
  <si>
    <t xml:space="preserve">Revenue
(KRW mn)</t>
  </si>
  <si>
    <t xml:space="preserve">EBITDA
(KRW mn)</t>
  </si>
  <si>
    <t xml:space="preserve">EBIT
(KRW mn)</t>
  </si>
  <si>
    <t xml:space="preserve">Net Income
(KRW mn)</t>
  </si>
  <si>
    <t xml:space="preserve">EV/Revenue</t>
  </si>
  <si>
    <t xml:space="preserve">EV/EBITDA</t>
  </si>
  <si>
    <t xml:space="preserve">EV/EBIT</t>
  </si>
  <si>
    <t xml:space="preserve">P/E</t>
  </si>
  <si>
    <t xml:space="preserve">Comp #1</t>
  </si>
  <si>
    <t xml:space="preserve">Comp #2</t>
  </si>
  <si>
    <t xml:space="preserve">Comp #3</t>
  </si>
  <si>
    <t xml:space="preserve">Comp #4</t>
  </si>
  <si>
    <t xml:space="preserve">Comp #5</t>
  </si>
  <si>
    <t xml:space="preserve">[Multiple Summary Statistics]</t>
  </si>
  <si>
    <t xml:space="preserve">Mean</t>
  </si>
  <si>
    <t xml:space="preserve">Median</t>
  </si>
  <si>
    <t xml:space="preserve">Max</t>
  </si>
  <si>
    <t xml:space="preserve">Min</t>
  </si>
  <si>
    <t xml:space="preserve">[Selected Multiples &amp; Valuation]</t>
  </si>
  <si>
    <t xml:space="preserve">Selected Multiple</t>
  </si>
  <si>
    <t xml:space="preserve">Target Company Financials</t>
  </si>
  <si>
    <t xml:space="preserve">Net Income</t>
  </si>
  <si>
    <t xml:space="preserve">Implied Enterprise Value</t>
  </si>
  <si>
    <t xml:space="preserve">EV (Revenue multiple)</t>
  </si>
  <si>
    <t xml:space="preserve">EV (EBITDA multiple)</t>
  </si>
  <si>
    <t xml:space="preserve">EV (EBIT multiple)</t>
  </si>
  <si>
    <t xml:space="preserve">Implied Equity Value</t>
  </si>
  <si>
    <t xml:space="preserve">Equity (P/E multiple)</t>
  </si>
  <si>
    <t xml:space="preserve">Equity (EV-based, EBITDA)</t>
  </si>
  <si>
    <t xml:space="preserve">Guideline Transaction Method (GTM)</t>
  </si>
  <si>
    <t xml:space="preserve">Comparable Transaction Analysis</t>
  </si>
  <si>
    <t xml:space="preserve">[Comparable Transactions]</t>
  </si>
  <si>
    <t xml:space="preserve">Target</t>
  </si>
  <si>
    <t xml:space="preserve">Acquirer</t>
  </si>
  <si>
    <t xml:space="preserve">Deal Value
(KRW mn)</t>
  </si>
  <si>
    <t xml:space="preserve">Control
Premium</t>
  </si>
  <si>
    <t xml:space="preserve">Target #1</t>
  </si>
  <si>
    <t xml:space="preserve">Acquirer #1</t>
  </si>
  <si>
    <t xml:space="preserve">Target #2</t>
  </si>
  <si>
    <t xml:space="preserve">Acquirer #2</t>
  </si>
  <si>
    <t xml:space="preserve">Target #3</t>
  </si>
  <si>
    <t xml:space="preserve">Acquirer #3</t>
  </si>
  <si>
    <t xml:space="preserve">Target #4</t>
  </si>
  <si>
    <t xml:space="preserve">Acquirer #4</t>
  </si>
  <si>
    <t xml:space="preserve">Target #5</t>
  </si>
  <si>
    <t xml:space="preserve">Acquirer #5</t>
  </si>
  <si>
    <t xml:space="preserve">[Transaction Multiple Summary]</t>
  </si>
  <si>
    <t xml:space="preserve">[Selected Transaction Multiples &amp; Valuation]</t>
  </si>
  <si>
    <t xml:space="preserve">Control Premium Applied</t>
  </si>
  <si>
    <t xml:space="preserve">Equity (EV/EBITDA-based)</t>
  </si>
  <si>
    <t xml:space="preserve">Equity (EV/EBIT-based)</t>
  </si>
  <si>
    <t xml:space="preserve">Valuation Summary (Cross-Method)</t>
  </si>
  <si>
    <t xml:space="preserve">DCF Equity Value</t>
  </si>
  <si>
    <t xml:space="preserve">GPCM Equity Value (EV/EBITDA)</t>
  </si>
  <si>
    <t xml:space="preserve">GTM Equity Value (EV/EBITDA)</t>
  </si>
  <si>
    <t xml:space="preserve">Average Equity Value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</si>
</sst>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(* #,##0_);_(* \(#,##0\);_(* \-_);_(@_)"/>
    <numFmt numFmtId="166" formatCode="@"/>
    <numFmt numFmtId="167" formatCode="_(\ #,##0.0%_);_(&quot; (&quot;#,##0.0%\);_(&quot;  - %&quot;_);_(@_)"/>
    <numFmt numFmtId="168" formatCode="#,##0_);\(#,##0\);&quot; - &quot;_);@_)"/>
    <numFmt numFmtId="169" formatCode="\ #,##0.0_);\(#,##0.0\);&quot; - &quot;_);@_)"/>
    <numFmt numFmtId="170" formatCode="\ #,##0.00_);\(#,##0.00\);&quot; - &quot;_);@_)"/>
    <numFmt numFmtId="171" formatCode="#,##0;\(#,##0\);\-"/>
    <numFmt numFmtId="172" formatCode="0%"/>
    <numFmt numFmtId="173" formatCode="m/d/yyyy"/>
    <numFmt numFmtId="174" formatCode="#,##0"/>
    <numFmt numFmtId="175" formatCode="_-* #,##0_-;\-* #,##0_-;_-* \-_-;_-@_-"/>
    <numFmt numFmtId="176" formatCode="[$-409]dd/mmm/yy;@"/>
    <numFmt numFmtId="177" formatCode="0.0%"/>
    <numFmt numFmtId="178" formatCode="_-* #,##0_-;\-* #,##0_-;_-* \-??_-;_-@_-"/>
    <numFmt numFmtId="179" formatCode="_-* #,##0.00_-;\-* #,##0.00_-;_-* \-_-;_-@_-"/>
    <numFmt numFmtId="180" formatCode="_-* #,##0.00_-;\-* #,##0.00_-;_-* \-??_-;_-@_-"/>
    <numFmt numFmtId="181" formatCode="#,##0_);[RED]\(#,##0\)"/>
    <numFmt numFmtId="182" formatCode="0.00%"/>
    <numFmt numFmtId="183" formatCode="0.0\x"/>
    <numFmt numFmtId="184" formatCode="yyyy\-mm\-dd"/>
  </numFmts>
  <fonts count="70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 Narrow"/>
      <family val="2"/>
      <charset val="1"/>
    </font>
    <font>
      <b val="true"/>
      <sz val="10"/>
      <color rgb="FF7F7E82"/>
      <name val="Arial Narrow"/>
      <family val="2"/>
      <charset val="1"/>
    </font>
    <font>
      <b val="true"/>
      <sz val="10"/>
      <color rgb="FF333333"/>
      <name val="Arial Narrow"/>
      <family val="2"/>
      <charset val="1"/>
    </font>
    <font>
      <b val="true"/>
      <sz val="10"/>
      <color rgb="FF000080"/>
      <name val="Arial Narrow"/>
      <family val="2"/>
      <charset val="1"/>
    </font>
    <font>
      <b val="true"/>
      <sz val="10"/>
      <color rgb="FF993366"/>
      <name val="Arial Narrow"/>
      <family val="2"/>
      <charset val="1"/>
    </font>
    <font>
      <b val="true"/>
      <u val="single"/>
      <sz val="10"/>
      <name val="Times New Roman"/>
      <family val="1"/>
      <charset val="1"/>
    </font>
    <font>
      <i val="true"/>
      <sz val="10"/>
      <color rgb="FF993366"/>
      <name val="Arial Narrow"/>
      <family val="2"/>
      <charset val="1"/>
    </font>
    <font>
      <i val="true"/>
      <sz val="10"/>
      <color rgb="FF000080"/>
      <name val="Arial Narrow"/>
      <family val="2"/>
      <charset val="1"/>
    </font>
    <font>
      <sz val="10"/>
      <color rgb="FF993366"/>
      <name val="Arial Narrow"/>
      <family val="2"/>
      <charset val="1"/>
    </font>
    <font>
      <sz val="10"/>
      <color rgb="FF000080"/>
      <name val="Arial Narrow"/>
      <family val="2"/>
      <charset val="1"/>
    </font>
    <font>
      <sz val="12"/>
      <name val="Arial"/>
      <family val="2"/>
      <charset val="1"/>
    </font>
    <font>
      <b val="true"/>
      <sz val="14"/>
      <color rgb="FF993366"/>
      <name val="Arial"/>
      <family val="2"/>
      <charset val="1"/>
    </font>
    <font>
      <b val="true"/>
      <sz val="14"/>
      <color rgb="FF000080"/>
      <name val="Arial"/>
      <family val="2"/>
      <charset val="1"/>
    </font>
    <font>
      <sz val="8"/>
      <color rgb="FF993366"/>
      <name val="Arial Narrow"/>
      <family val="2"/>
      <charset val="1"/>
    </font>
    <font>
      <sz val="8"/>
      <color rgb="FF000080"/>
      <name val="Arial Narrow"/>
      <family val="2"/>
      <charset val="1"/>
    </font>
    <font>
      <b val="true"/>
      <sz val="10"/>
      <name val="Arial Narrow"/>
      <family val="2"/>
      <charset val="1"/>
    </font>
    <font>
      <sz val="10"/>
      <name val="Tahoma"/>
      <family val="2"/>
      <charset val="1"/>
    </font>
    <font>
      <sz val="6"/>
      <name val="Arial"/>
      <family val="2"/>
      <charset val="1"/>
    </font>
    <font>
      <sz val="11"/>
      <color theme="1"/>
      <name val="맑은 고딕"/>
      <family val="2"/>
      <charset val="1"/>
    </font>
    <font>
      <sz val="10"/>
      <name val="Times New Roman"/>
      <family val="1"/>
      <charset val="1"/>
    </font>
    <font>
      <sz val="10"/>
      <name val="맑은 고딕"/>
      <family val="3"/>
      <charset val="129"/>
    </font>
    <font>
      <sz val="11"/>
      <color rgb="FF0F3A32"/>
      <name val="맑은 고딕"/>
      <family val="3"/>
      <charset val="129"/>
    </font>
    <font>
      <sz val="10"/>
      <color rgb="FFFFFF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1"/>
      <color rgb="FFFFFFFF"/>
      <name val="맑은 고딕"/>
      <family val="0"/>
      <charset val="1"/>
    </font>
    <font>
      <b val="true"/>
      <sz val="10"/>
      <color rgb="FF0F3A32"/>
      <name val="맑은 고딕"/>
      <family val="3"/>
      <charset val="129"/>
    </font>
    <font>
      <sz val="10"/>
      <color rgb="FF0F3A32"/>
      <name val="맑은 고딕"/>
      <family val="0"/>
      <charset val="1"/>
    </font>
    <font>
      <sz val="11"/>
      <color rgb="FF0F3A32"/>
      <name val="맑은 고딕"/>
      <family val="0"/>
      <charset val="1"/>
    </font>
    <font>
      <sz val="10"/>
      <color rgb="FF0F3A32"/>
      <name val="DejaVu Sans"/>
      <family val="2"/>
    </font>
    <font>
      <sz val="10"/>
      <color rgb="FF0F3A32"/>
      <name val="DejaVu Sans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3A32"/>
      <name val="맑은 고딕"/>
      <family val="3"/>
      <charset val="129"/>
    </font>
    <font>
      <b val="true"/>
      <sz val="10"/>
      <color rgb="FFFFFFFF"/>
      <name val="DejaVu Sans"/>
      <family val="2"/>
    </font>
    <font>
      <sz val="9"/>
      <name val="맑은 고딕"/>
      <family val="3"/>
      <charset val="129"/>
    </font>
    <font>
      <sz val="9"/>
      <color rgb="FF0F3A32"/>
      <name val="맑은 고딕"/>
      <family val="0"/>
      <charset val="1"/>
    </font>
    <font>
      <sz val="9"/>
      <color rgb="FF0F3A32"/>
      <name val="DejaVu Sans"/>
      <family val="2"/>
    </font>
    <font>
      <i val="true"/>
      <sz val="8"/>
      <color rgb="FF0F3A32"/>
      <name val="맑은 고딕"/>
      <family val="0"/>
      <charset val="1"/>
    </font>
    <font>
      <sz val="9"/>
      <color rgb="FF0F3A32"/>
      <name val="DejaVu Sans"/>
      <family val="2"/>
      <charset val="1"/>
    </font>
    <font>
      <i val="true"/>
      <sz val="8"/>
      <color rgb="FFFFFFFF"/>
      <name val="맑은 고딕"/>
      <family val="0"/>
      <charset val="1"/>
    </font>
    <font>
      <sz val="9"/>
      <color rgb="FF0F3A32"/>
      <name val="맑은 고딕"/>
      <family val="3"/>
      <charset val="129"/>
    </font>
    <font>
      <sz val="10"/>
      <color theme="1"/>
      <name val="Arial"/>
      <family val="2"/>
      <charset val="1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i val="true"/>
      <u val="single"/>
      <sz val="1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sz val="10"/>
      <color rgb="FF0F3A32"/>
      <name val="Arial"/>
      <family val="2"/>
      <charset val="1"/>
    </font>
    <font>
      <sz val="10"/>
      <color rgb="FF0F3A32"/>
      <name val="Arial"/>
      <family val="0"/>
      <charset val="1"/>
    </font>
    <font>
      <b val="true"/>
      <sz val="10"/>
      <color rgb="FF0F3A32"/>
      <name val="Arial"/>
      <family val="0"/>
      <charset val="1"/>
    </font>
    <font>
      <b val="true"/>
      <sz val="10"/>
      <color rgb="FF0F3A32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F3A32"/>
      <name val="DejaVu Sans"/>
      <family val="2"/>
      <charset val="1"/>
    </font>
    <font>
      <b val="true"/>
      <sz val="10"/>
      <color rgb="FF0F3A32"/>
      <name val="DejaVu Sans"/>
      <family val="2"/>
    </font>
    <font>
      <b val="true"/>
      <sz val="10"/>
      <color rgb="FF0F3A32"/>
      <name val="맑은 고딕"/>
      <family val="0"/>
      <charset val="1"/>
    </font>
    <font>
      <sz val="10"/>
      <color rgb="FF0F3A32"/>
      <name val="돋움"/>
      <family val="3"/>
      <charset val="129"/>
    </font>
    <font>
      <sz val="10"/>
      <color rgb="FFFFFFFF"/>
      <name val="DejaVu Sans"/>
      <family val="2"/>
    </font>
    <font>
      <sz val="9"/>
      <color rgb="FFFFFFFF"/>
      <name val="맑은 고딕"/>
      <family val="0"/>
      <charset val="1"/>
    </font>
    <font>
      <sz val="10"/>
      <color rgb="FFFFFFFF"/>
      <name val="Arial"/>
      <family val="2"/>
      <charset val="1"/>
    </font>
    <font>
      <sz val="10"/>
      <color rgb="FF0F3A32"/>
      <name val="Arial "/>
      <family val="0"/>
      <charset val="1"/>
    </font>
    <font>
      <sz val="10"/>
      <color rgb="FFFFFFFF"/>
      <name val="Arial "/>
      <family val="0"/>
      <charset val="1"/>
    </font>
    <font>
      <sz val="10"/>
      <name val="Arial"/>
      <family val="2"/>
    </font>
    <font>
      <sz val="10"/>
      <name val="DejaVu Sans"/>
      <family val="2"/>
    </font>
    <font>
      <b val="true"/>
      <sz val="9"/>
      <color rgb="FF0F3A32"/>
      <name val="Arial"/>
      <family val="0"/>
      <charset val="1"/>
    </font>
    <font>
      <b val="true"/>
      <sz val="9"/>
      <color rgb="FF0F3A32"/>
      <name val="맑은 고딕"/>
      <family val="0"/>
      <charset val="1"/>
    </font>
    <font>
      <i val="true"/>
      <sz val="10"/>
      <color rgb="FF0F3A32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0F3A32"/>
        <bgColor rgb="FF003366"/>
      </patternFill>
    </fill>
    <fill>
      <patternFill patternType="solid">
        <fgColor theme="2" tint="-0.1"/>
        <bgColor rgb="FFCCCCFF"/>
      </patternFill>
    </fill>
    <fill>
      <patternFill patternType="solid">
        <fgColor theme="0"/>
        <bgColor rgb="FFF2F2F2"/>
      </patternFill>
    </fill>
    <fill>
      <patternFill patternType="solid">
        <fgColor rgb="FF1C8F57"/>
        <bgColor rgb="FF008080"/>
      </patternFill>
    </fill>
    <fill>
      <patternFill patternType="solid">
        <fgColor rgb="FF26C260"/>
        <bgColor rgb="FF1C8F57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 style="thin">
        <color rgb="FF993366"/>
      </top>
      <bottom style="thin">
        <color rgb="FF993366"/>
      </bottom>
      <diagonal/>
    </border>
    <border diagonalUp="false" diagonalDown="false">
      <left/>
      <right/>
      <top style="thin">
        <color rgb="FF000080"/>
      </top>
      <bottom style="thin">
        <color rgb="FF000080"/>
      </bottom>
      <diagonal/>
    </border>
    <border diagonalUp="false" diagonalDown="false">
      <left style="thin">
        <color rgb="FF26C260"/>
      </left>
      <right/>
      <top style="thin">
        <color rgb="FF26C260"/>
      </top>
      <bottom style="thin">
        <color rgb="FF26C26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26C260"/>
      </left>
      <right style="thin"/>
      <top style="thin">
        <color rgb="FF26C260"/>
      </top>
      <bottom style="thin">
        <color rgb="FF26C260"/>
      </bottom>
      <diagonal/>
    </border>
    <border diagonalUp="false" diagonalDown="false">
      <left/>
      <right/>
      <top/>
      <bottom style="thin">
        <color rgb="FF26C260"/>
      </bottom>
      <diagonal/>
    </border>
    <border diagonalUp="false" diagonalDown="false">
      <left style="thin">
        <color rgb="FF26C260"/>
      </left>
      <right style="thin">
        <color rgb="FF26C260"/>
      </right>
      <top style="thin">
        <color rgb="FF26C260"/>
      </top>
      <bottom style="thin">
        <color rgb="FF26C260"/>
      </bottom>
      <diagonal/>
    </border>
    <border diagonalUp="false" diagonalDown="false">
      <left style="thin">
        <color rgb="FF26C260"/>
      </left>
      <right/>
      <top style="thin">
        <color rgb="FF26C260"/>
      </top>
      <bottom style="hair">
        <color rgb="FF26C260"/>
      </bottom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>
        <color rgb="FF26C260"/>
      </left>
      <right style="thin">
        <color rgb="FF26C260"/>
      </right>
      <top style="thin">
        <color rgb="FF26C260"/>
      </top>
      <bottom/>
      <diagonal/>
    </border>
    <border diagonalUp="false" diagonalDown="false">
      <left style="thin">
        <color rgb="FF26C260"/>
      </left>
      <right/>
      <top style="hair">
        <color rgb="FF26C260"/>
      </top>
      <bottom style="hair">
        <color rgb="FF26C260"/>
      </bottom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dotted">
        <color rgb="FF26C260"/>
      </left>
      <right style="dotted">
        <color rgb="FF26C260"/>
      </right>
      <top style="dotted">
        <color rgb="FF26C260"/>
      </top>
      <bottom style="dotted">
        <color rgb="FF26C260"/>
      </bottom>
      <diagonal/>
    </border>
    <border diagonalUp="false" diagonalDown="false">
      <left style="thin">
        <color rgb="FF26C260"/>
      </left>
      <right style="thin">
        <color rgb="FF26C260"/>
      </right>
      <top/>
      <bottom style="thin">
        <color rgb="FF26C26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6C260"/>
      </left>
      <right/>
      <top style="hair">
        <color rgb="FF26C260"/>
      </top>
      <bottom style="thin">
        <color rgb="FF26C260"/>
      </bottom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/>
      <right/>
      <top style="thin">
        <color rgb="FF26C260"/>
      </top>
      <bottom style="double">
        <color rgb="FF0F3A32"/>
      </bottom>
      <diagonal/>
    </border>
    <border diagonalUp="false" diagonalDown="false">
      <left/>
      <right/>
      <top style="thin">
        <color rgb="FF26C260"/>
      </top>
      <bottom style="thin">
        <color rgb="FF26C26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26C260"/>
      </left>
      <right style="thin">
        <color rgb="FF26C260"/>
      </right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dotted">
        <color rgb="FF26C260"/>
      </left>
      <right style="dotted">
        <color rgb="FF26C260"/>
      </right>
      <top/>
      <bottom style="dotted">
        <color rgb="FF26C260"/>
      </bottom>
      <diagonal/>
    </border>
    <border diagonalUp="false" diagonalDown="false">
      <left style="dotted">
        <color rgb="FF26C260"/>
      </left>
      <right style="dotted">
        <color rgb="FF26C260"/>
      </right>
      <top style="dotted">
        <color rgb="FF26C260"/>
      </top>
      <bottom style="thin">
        <color rgb="FF26C260"/>
      </bottom>
      <diagonal/>
    </border>
    <border diagonalUp="false" diagonalDown="false">
      <left/>
      <right/>
      <top style="thin">
        <color rgb="FF26C260"/>
      </top>
      <bottom/>
      <diagonal/>
    </border>
    <border diagonalUp="false" diagonalDown="false">
      <left/>
      <right style="thin">
        <color rgb="FF26C260"/>
      </right>
      <top style="thin">
        <color rgb="FF26C260"/>
      </top>
      <bottom style="thin">
        <color rgb="FF26C260"/>
      </bottom>
      <diagonal/>
    </border>
    <border diagonalUp="false" diagonalDown="false">
      <left style="dotted">
        <color rgb="FF26C260"/>
      </left>
      <right style="dotted">
        <color rgb="FF26C260"/>
      </right>
      <top/>
      <bottom style="thin">
        <color rgb="FF26C260"/>
      </bottom>
      <diagonal/>
    </border>
    <border diagonalUp="false" diagonalDown="false">
      <left style="thin">
        <color rgb="FF26C260"/>
      </left>
      <right/>
      <top/>
      <bottom style="thin">
        <color rgb="FF26C260"/>
      </bottom>
      <diagonal/>
    </border>
    <border diagonalUp="false" diagonalDown="false">
      <left/>
      <right style="thin">
        <color rgb="FF26C260"/>
      </right>
      <top/>
      <bottom style="thin">
        <color rgb="FF26C260"/>
      </bottom>
      <diagonal/>
    </border>
    <border diagonalUp="false" diagonalDown="false">
      <left style="thin">
        <color rgb="FF26C260"/>
      </left>
      <right/>
      <top style="thin">
        <color rgb="FF26C260"/>
      </top>
      <bottom/>
      <diagonal/>
    </border>
    <border diagonalUp="false" diagonalDown="false">
      <left/>
      <right style="thin">
        <color rgb="FF26C260"/>
      </right>
      <top style="thin">
        <color rgb="FF26C260"/>
      </top>
      <bottom/>
      <diagonal/>
    </border>
    <border diagonalUp="false" diagonalDown="false">
      <left style="thin">
        <color rgb="FF26C260"/>
      </left>
      <right/>
      <top/>
      <bottom/>
      <diagonal/>
    </border>
    <border diagonalUp="false" diagonalDown="false">
      <left/>
      <right style="thin">
        <color rgb="FF26C260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>
        <color rgb="FF26C260"/>
      </top>
      <bottom style="thin">
        <color rgb="FF26C260"/>
      </bottom>
      <diagonal/>
    </border>
    <border diagonalUp="false" diagonalDown="false">
      <left style="thin">
        <color rgb="FF26C260"/>
      </left>
      <right style="thin">
        <color rgb="FF26C260"/>
      </right>
      <top/>
      <bottom style="thin"/>
      <diagonal/>
    </border>
    <border diagonalUp="false" diagonalDown="false">
      <left/>
      <right/>
      <top style="thin">
        <color rgb="FF26C260"/>
      </top>
      <bottom style="double">
        <color rgb="FF26C260"/>
      </bottom>
      <diagonal/>
    </border>
  </borders>
  <cellStyleXfs count="5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11" fillId="0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2" fillId="0" borderId="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4" fillId="0" borderId="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19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4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5" fontId="3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3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37" fillId="7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8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1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7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8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4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7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9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0" fillId="3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0" fillId="3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2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3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0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1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7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67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6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6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7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5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51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60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0" fillId="3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7" fillId="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1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51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5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51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51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7" fillId="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6" borderId="3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35" fillId="6" borderId="8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35" fillId="6" borderId="45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35" fillId="6" borderId="8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81" fontId="54" fillId="0" borderId="8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82" fontId="53" fillId="0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35" fillId="6" borderId="4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82" fontId="35" fillId="6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74" fontId="50" fillId="0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74" fontId="35" fillId="0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75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3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3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6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7" borderId="2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5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35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0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60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3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2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5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=C:\WINNT35\SYSTEM32\COMMAND.COM" xfId="20"/>
    <cellStyle name="Comma [0] 2" xfId="21"/>
    <cellStyle name="EY Narrative text" xfId="22"/>
    <cellStyle name="EY%input" xfId="23"/>
    <cellStyle name="EY0dp" xfId="24"/>
    <cellStyle name="EY1dp" xfId="25"/>
    <cellStyle name="EY2dp" xfId="26"/>
    <cellStyle name="EYChartTitle" xfId="27"/>
    <cellStyle name="EYColumnHeading" xfId="28"/>
    <cellStyle name="EYColumnHeading 2" xfId="29"/>
    <cellStyle name="EYColumnHeading 4 3" xfId="30"/>
    <cellStyle name="EYColumnHeading_EBITDA Bridge Template2" xfId="31"/>
    <cellStyle name="EYCurrency" xfId="32"/>
    <cellStyle name="EYCurrency 2" xfId="33"/>
    <cellStyle name="EYNotes" xfId="34"/>
    <cellStyle name="EYNotesHeading" xfId="35"/>
    <cellStyle name="EYNotesHeading 2" xfId="36"/>
    <cellStyle name="EYnumber" xfId="37"/>
    <cellStyle name="EYSectionHeading" xfId="38"/>
    <cellStyle name="EYSheetHeading" xfId="39"/>
    <cellStyle name="EYSheetHeading 2" xfId="40"/>
    <cellStyle name="EYsmallheading" xfId="41"/>
    <cellStyle name="EYSource" xfId="42"/>
    <cellStyle name="EYSource 2" xfId="43"/>
    <cellStyle name="EYtext" xfId="44"/>
    <cellStyle name="EYtextbold" xfId="45"/>
    <cellStyle name="Normal 2" xfId="46"/>
    <cellStyle name="Normal 2 2" xfId="47"/>
    <cellStyle name="Normal 2 3" xfId="48"/>
    <cellStyle name="Normal 3" xfId="49"/>
    <cellStyle name="Normal 4 2" xfId="50"/>
    <cellStyle name="Normal_Beta" xfId="51"/>
    <cellStyle name="Percent 2" xfId="52"/>
    <cellStyle name="쉼표 [0] 2" xfId="53"/>
    <cellStyle name="표준 2" xfId="5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E82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6C260"/>
      <rgbColor rgb="FF99CC00"/>
      <rgbColor rgb="FFFFCC00"/>
      <rgbColor rgb="FFFF9900"/>
      <rgbColor rgb="FFFF6600"/>
      <rgbColor rgb="FF666699"/>
      <rgbColor rgb="FF969696"/>
      <rgbColor rgb="FF003366"/>
      <rgbColor rgb="FF1C8F57"/>
      <rgbColor rgb="FF0F3A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6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" defaultRowHeight="15" customHeight="true" zeroHeight="true" outlineLevelRow="0" outlineLevelCol="0"/>
  <cols>
    <col collapsed="false" customWidth="true" hidden="false" outlineLevel="0" max="1" min="1" style="1" width="1.63"/>
    <col collapsed="false" customWidth="true" hidden="false" outlineLevel="0" max="2" min="2" style="1" width="10.63"/>
    <col collapsed="false" customWidth="true" hidden="false" outlineLevel="0" max="3" min="3" style="1" width="1.63"/>
    <col collapsed="false" customWidth="true" hidden="false" outlineLevel="0" max="4" min="4" style="1" width="9.88"/>
    <col collapsed="false" customWidth="false" hidden="false" outlineLevel="0" max="11" min="5" style="1" width="8"/>
    <col collapsed="false" customWidth="true" hidden="false" outlineLevel="0" max="13" min="12" style="2" width="1.63"/>
    <col collapsed="false" customWidth="true" hidden="false" outlineLevel="0" max="17" min="14" style="1" width="3.63"/>
    <col collapsed="false" customWidth="true" hidden="false" outlineLevel="0" max="18" min="18" style="1" width="1.63"/>
    <col collapsed="false" customWidth="false" hidden="false" outlineLevel="0" max="25" min="19" style="1" width="8"/>
    <col collapsed="false" customWidth="true" hidden="false" outlineLevel="0" max="26" min="26" style="2" width="1.63"/>
    <col collapsed="false" customWidth="false" hidden="true" outlineLevel="0" max="16384" min="27" style="1" width="8"/>
  </cols>
  <sheetData>
    <row r="1" s="2" customFormat="true" ht="1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/>
      <c r="B2" s="4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7"/>
      <c r="L2" s="8"/>
      <c r="M2" s="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/>
      <c r="AA2" s="8"/>
    </row>
    <row r="3" s="2" customFormat="true" ht="2.25" hidden="false" customHeight="true" outlineLevel="0" collapsed="false">
      <c r="A3" s="3"/>
      <c r="B3" s="9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"/>
      <c r="B4" s="4" t="s">
        <v>2</v>
      </c>
      <c r="C4" s="4"/>
      <c r="D4" s="10" t="s">
        <v>3</v>
      </c>
      <c r="E4" s="6"/>
      <c r="F4" s="6"/>
      <c r="G4" s="6"/>
      <c r="H4" s="6"/>
      <c r="I4" s="6"/>
      <c r="J4" s="6"/>
      <c r="K4" s="7"/>
      <c r="L4" s="8"/>
      <c r="M4" s="8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8"/>
      <c r="AA4" s="8"/>
    </row>
    <row r="5" s="2" customFormat="true" ht="2.25" hidden="false" customHeight="true" outlineLevel="0" collapsed="false">
      <c r="A5" s="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11"/>
      <c r="B6" s="11" t="s">
        <v>4</v>
      </c>
      <c r="C6" s="11"/>
      <c r="D6" s="12" t="n">
        <v>46022</v>
      </c>
      <c r="E6" s="13"/>
      <c r="F6" s="13"/>
      <c r="G6" s="13"/>
      <c r="H6" s="13"/>
      <c r="I6" s="13"/>
      <c r="J6" s="13"/>
      <c r="K6" s="14"/>
      <c r="L6" s="15"/>
      <c r="M6" s="15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5"/>
      <c r="AA6" s="15"/>
    </row>
    <row r="7" s="2" customFormat="true" ht="2.25" hidden="false" customHeight="true" outlineLevel="0" collapsed="false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11"/>
      <c r="B8" s="11" t="s">
        <v>5</v>
      </c>
      <c r="C8" s="11"/>
      <c r="D8" s="16" t="s">
        <v>6</v>
      </c>
      <c r="E8" s="13"/>
      <c r="F8" s="13"/>
      <c r="G8" s="13"/>
      <c r="H8" s="13"/>
      <c r="I8" s="13"/>
      <c r="J8" s="13"/>
      <c r="K8" s="14"/>
      <c r="L8" s="15"/>
      <c r="M8" s="1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5"/>
      <c r="AA8" s="15"/>
    </row>
    <row r="9" s="2" customFormat="tru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4"/>
      <c r="B10" s="17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8"/>
      <c r="M10" s="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8"/>
      <c r="AA10" s="8"/>
    </row>
    <row r="11" s="19" customFormat="true" ht="2.25" hidden="false" customHeight="true" outlineLevel="0" collapsed="false">
      <c r="A11" s="18"/>
      <c r="B11" s="3"/>
      <c r="C11" s="3"/>
      <c r="D11" s="3"/>
      <c r="E11" s="3"/>
      <c r="F11" s="3"/>
      <c r="G11" s="3"/>
      <c r="H11" s="3"/>
      <c r="I11" s="3"/>
      <c r="J11" s="3"/>
      <c r="K11" s="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="21" customFormat="true" ht="15" hidden="false" customHeight="true" outlineLevel="0" collapsed="false">
      <c r="A12" s="8"/>
      <c r="B12" s="20" t="s">
        <v>8</v>
      </c>
      <c r="C12" s="8"/>
      <c r="D12" s="20" t="s">
        <v>9</v>
      </c>
      <c r="E12" s="20"/>
      <c r="F12" s="20"/>
      <c r="G12" s="20"/>
      <c r="H12" s="20"/>
      <c r="I12" s="20"/>
      <c r="J12" s="20"/>
      <c r="K12" s="20"/>
      <c r="L12" s="8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8"/>
      <c r="AA12" s="8"/>
    </row>
    <row r="13" s="27" customFormat="true" ht="15" hidden="false" customHeight="true" outlineLevel="0" collapsed="false">
      <c r="A13" s="22"/>
      <c r="B13" s="23" t="s">
        <v>10</v>
      </c>
      <c r="C13" s="22"/>
      <c r="D13" s="24" t="s">
        <v>11</v>
      </c>
      <c r="E13" s="25"/>
      <c r="F13" s="25"/>
      <c r="G13" s="25"/>
      <c r="H13" s="25"/>
      <c r="I13" s="25"/>
      <c r="J13" s="25"/>
      <c r="K13" s="26"/>
      <c r="L13" s="22"/>
      <c r="M13" s="2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22"/>
      <c r="AA13" s="15"/>
    </row>
    <row r="14" s="27" customFormat="true" ht="12.75" hidden="false" customHeight="true" outlineLevel="0" collapsed="false">
      <c r="A14" s="22"/>
      <c r="B14" s="28" t="s">
        <v>10</v>
      </c>
      <c r="C14" s="22"/>
      <c r="D14" s="29" t="s">
        <v>12</v>
      </c>
      <c r="E14" s="30"/>
      <c r="F14" s="30"/>
      <c r="G14" s="30"/>
      <c r="H14" s="30"/>
      <c r="I14" s="30"/>
      <c r="J14" s="30"/>
      <c r="K14" s="3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15"/>
    </row>
    <row r="15" s="27" customFormat="true" ht="12.75" hidden="false" customHeight="true" outlineLevel="0" collapsed="false">
      <c r="A15" s="22"/>
      <c r="B15" s="32" t="s">
        <v>10</v>
      </c>
      <c r="C15" s="22"/>
      <c r="D15" s="33" t="s">
        <v>13</v>
      </c>
      <c r="E15" s="30"/>
      <c r="F15" s="30"/>
      <c r="G15" s="30"/>
      <c r="H15" s="30"/>
      <c r="I15" s="30"/>
      <c r="J15" s="30"/>
      <c r="K15" s="3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15"/>
    </row>
    <row r="16" s="27" customFormat="true" ht="12.75" hidden="false" customHeight="true" outlineLevel="0" collapsed="false">
      <c r="A16" s="22"/>
      <c r="B16" s="34" t="s">
        <v>10</v>
      </c>
      <c r="C16" s="22"/>
      <c r="D16" s="33" t="s">
        <v>14</v>
      </c>
      <c r="E16" s="30"/>
      <c r="F16" s="30"/>
      <c r="G16" s="30"/>
      <c r="H16" s="30"/>
      <c r="I16" s="30"/>
      <c r="J16" s="30"/>
      <c r="K16" s="3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15"/>
    </row>
    <row r="17" s="27" customFormat="true" ht="12.75" hidden="false" customHeight="true" outlineLevel="0" collapsed="false">
      <c r="A17" s="22"/>
      <c r="B17" s="23" t="s">
        <v>10</v>
      </c>
      <c r="C17" s="22"/>
      <c r="D17" s="33" t="s">
        <v>15</v>
      </c>
      <c r="E17" s="30"/>
      <c r="F17" s="30"/>
      <c r="G17" s="30"/>
      <c r="H17" s="30"/>
      <c r="I17" s="30"/>
      <c r="J17" s="30"/>
      <c r="K17" s="3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15"/>
    </row>
    <row r="18" s="27" customFormat="true" ht="12.75" hidden="false" customHeight="true" outlineLevel="0" collapsed="false">
      <c r="A18" s="22"/>
      <c r="B18" s="23" t="s">
        <v>10</v>
      </c>
      <c r="C18" s="22"/>
      <c r="D18" s="33" t="s">
        <v>16</v>
      </c>
      <c r="E18" s="30"/>
      <c r="F18" s="30"/>
      <c r="G18" s="30"/>
      <c r="H18" s="30"/>
      <c r="I18" s="30"/>
      <c r="J18" s="30"/>
      <c r="K18" s="3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15"/>
    </row>
    <row r="19" s="27" customFormat="true" ht="12.75" hidden="false" customHeight="true" outlineLevel="0" collapsed="false">
      <c r="A19" s="22"/>
      <c r="B19" s="23" t="s">
        <v>17</v>
      </c>
      <c r="C19" s="22"/>
      <c r="D19" s="29" t="s">
        <v>18</v>
      </c>
      <c r="E19" s="30"/>
      <c r="F19" s="30"/>
      <c r="G19" s="30"/>
      <c r="H19" s="30"/>
      <c r="I19" s="30"/>
      <c r="J19" s="30"/>
      <c r="K19" s="3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15"/>
    </row>
    <row r="20" s="27" customFormat="true" ht="12.75" hidden="false" customHeight="true" outlineLevel="0" collapsed="false">
      <c r="A20" s="22"/>
      <c r="B20" s="35" t="s">
        <v>19</v>
      </c>
      <c r="C20" s="22"/>
      <c r="D20" s="33" t="s">
        <v>20</v>
      </c>
      <c r="E20" s="30"/>
      <c r="F20" s="30"/>
      <c r="G20" s="30"/>
      <c r="H20" s="30"/>
      <c r="I20" s="30"/>
      <c r="J20" s="30"/>
      <c r="K20" s="3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15"/>
    </row>
    <row r="21" s="37" customFormat="true" ht="12.75" hidden="false" customHeight="true" outlineLevel="0" collapsed="false">
      <c r="A21" s="22"/>
      <c r="B21" s="35" t="s">
        <v>21</v>
      </c>
      <c r="C21" s="22"/>
      <c r="D21" s="36" t="s">
        <v>22</v>
      </c>
      <c r="E21" s="30"/>
      <c r="F21" s="30"/>
      <c r="G21" s="30"/>
      <c r="H21" s="30"/>
      <c r="I21" s="30"/>
      <c r="J21" s="30"/>
      <c r="K21" s="3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15"/>
    </row>
    <row r="22" s="37" customFormat="true" ht="12.75" hidden="false" customHeight="true" outlineLevel="0" collapsed="false">
      <c r="A22" s="22"/>
      <c r="B22" s="35" t="s">
        <v>21</v>
      </c>
      <c r="C22" s="22"/>
      <c r="D22" s="36" t="s">
        <v>23</v>
      </c>
      <c r="E22" s="30"/>
      <c r="F22" s="30"/>
      <c r="G22" s="30"/>
      <c r="H22" s="30"/>
      <c r="I22" s="30"/>
      <c r="J22" s="30"/>
      <c r="K22" s="31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15"/>
    </row>
    <row r="23" s="19" customFormat="true" ht="15" hidden="false" customHeight="true" outlineLevel="0" collapsed="false">
      <c r="A23" s="18"/>
      <c r="B23" s="38"/>
      <c r="C23" s="18"/>
      <c r="D23" s="39" t="s">
        <v>24</v>
      </c>
      <c r="E23" s="40"/>
      <c r="F23" s="40"/>
      <c r="G23" s="40"/>
      <c r="H23" s="40"/>
      <c r="I23" s="40"/>
      <c r="J23" s="40"/>
      <c r="K23" s="41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="2" customFormat="true" ht="2.25" hidden="false" customHeight="true" outlineLevel="0" collapsed="false"/>
    <row r="25" s="2" customFormat="true" ht="15" hidden="false" customHeight="true" outlineLevel="0" collapsed="false"/>
    <row r="26" s="2" customFormat="true" ht="15" hidden="false" customHeight="true" outlineLevel="0" collapsed="false"/>
    <row r="27" s="2" customFormat="true" ht="15" hidden="false" customHeight="true" outlineLevel="0" collapsed="false"/>
    <row r="28" s="2" customFormat="true" ht="15" hidden="false" customHeight="true" outlineLevel="0" collapsed="false"/>
    <row r="29" s="2" customFormat="true" ht="15" hidden="false" customHeight="true" outlineLevel="0" collapsed="false"/>
    <row r="30" s="2" customFormat="true" ht="15" hidden="false" customHeight="true" outlineLevel="0" collapsed="false"/>
    <row r="31" s="2" customFormat="true" ht="15" hidden="false" customHeight="true" outlineLevel="0" collapsed="false"/>
    <row r="32" s="2" customFormat="true" ht="15" hidden="false" customHeight="true" outlineLevel="0" collapsed="false"/>
    <row r="33" s="2" customFormat="true" ht="15" hidden="false" customHeight="true" outlineLevel="0" collapsed="false"/>
    <row r="34" s="2" customFormat="true" ht="15" hidden="false" customHeight="true" outlineLevel="0" collapsed="false"/>
    <row r="35" s="2" customFormat="true" ht="15" hidden="false" customHeight="true" outlineLevel="0" collapsed="false"/>
    <row r="36" s="2" customFormat="true" ht="15" hidden="false" customHeight="true" outlineLevel="0" collapsed="false"/>
    <row r="37" s="2" customFormat="true" ht="15" hidden="false" customHeight="true" outlineLevel="0" collapsed="false"/>
    <row r="38" s="2" customFormat="true" ht="15" hidden="false" customHeight="true" outlineLevel="0" collapsed="false"/>
    <row r="39" s="2" customFormat="true" ht="15" hidden="false" customHeight="true" outlineLevel="0" collapsed="false"/>
    <row r="40" s="2" customFormat="true" ht="15" hidden="false" customHeight="true" outlineLevel="0" collapsed="false"/>
    <row r="41" s="2" customFormat="true" ht="15" hidden="false" customHeight="true" outlineLevel="0" collapsed="false"/>
    <row r="42" s="1" customFormat="true" ht="15" hidden="true" customHeight="true" outlineLevel="0" collapsed="false"/>
    <row r="43" s="1" customFormat="true" ht="15" hidden="true" customHeight="true" outlineLevel="0" collapsed="false"/>
    <row r="44" s="1" customFormat="true" ht="15" hidden="true" customHeight="true" outlineLevel="0" collapsed="false"/>
    <row r="45" s="1" customFormat="true" ht="15" hidden="true" customHeight="true" outlineLevel="0" collapsed="false"/>
    <row r="46" s="1" customFormat="true" ht="15" hidden="true" customHeight="true" outlineLevel="0" collapsed="false"/>
  </sheetData>
  <mergeCells count="2">
    <mergeCell ref="B10:K10"/>
    <mergeCell ref="D12:K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3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953125" defaultRowHeight="12.75" customHeight="true" zeroHeight="true" outlineLevelRow="1" outlineLevelCol="0"/>
  <cols>
    <col collapsed="false" customWidth="true" hidden="false" outlineLevel="0" max="1" min="1" style="42" width="1.68"/>
    <col collapsed="false" customWidth="true" hidden="false" outlineLevel="0" max="2" min="2" style="42" width="28.69"/>
    <col collapsed="false" customWidth="true" hidden="false" outlineLevel="0" max="4" min="3" style="42" width="1.68"/>
    <col collapsed="false" customWidth="true" hidden="false" outlineLevel="0" max="5" min="5" style="42" width="10.38"/>
    <col collapsed="false" customWidth="false" hidden="false" outlineLevel="0" max="6" min="6" style="42" width="8.69"/>
    <col collapsed="false" customWidth="true" hidden="false" outlineLevel="0" max="15" min="7" style="42" width="10"/>
    <col collapsed="false" customWidth="true" hidden="false" outlineLevel="0" max="16" min="16" style="42" width="1.68"/>
    <col collapsed="false" customWidth="true" hidden="true" outlineLevel="0" max="88" min="17" style="42" width="9.13"/>
    <col collapsed="false" customWidth="false" hidden="true" outlineLevel="0" max="16384" min="89" style="42" width="8.69"/>
  </cols>
  <sheetData>
    <row r="1" customFormat="false" ht="24" hidden="false" customHeight="true" outlineLevel="0" collapsed="false">
      <c r="A1" s="8"/>
      <c r="B1" s="43" t="str">
        <f aca="false">Legend!D2</f>
        <v>Project dummy Financial Model</v>
      </c>
      <c r="C1" s="44"/>
      <c r="D1" s="44"/>
      <c r="E1" s="44"/>
      <c r="F1" s="44"/>
      <c r="G1" s="44"/>
      <c r="H1" s="44"/>
      <c r="I1" s="44"/>
      <c r="J1" s="44"/>
      <c r="K1" s="44"/>
      <c r="L1" s="45"/>
      <c r="M1" s="45"/>
      <c r="N1" s="46" t="s">
        <v>25</v>
      </c>
      <c r="O1" s="46"/>
      <c r="P1" s="8"/>
    </row>
    <row r="2" customFormat="false" ht="12.75" hidden="false" customHeight="true" outlineLevel="0" collapsed="false">
      <c r="A2" s="8"/>
      <c r="B2" s="44" t="s">
        <v>26</v>
      </c>
      <c r="C2" s="47"/>
      <c r="D2" s="47"/>
      <c r="E2" s="47"/>
      <c r="F2" s="47"/>
      <c r="G2" s="47"/>
      <c r="H2" s="47"/>
      <c r="I2" s="47"/>
      <c r="J2" s="48"/>
      <c r="K2" s="49"/>
      <c r="L2" s="46"/>
      <c r="M2" s="46"/>
      <c r="N2" s="46"/>
      <c r="O2" s="46"/>
      <c r="P2" s="8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2.75" hidden="false" customHeight="true" outlineLevel="0" collapsed="false">
      <c r="A4" s="8"/>
      <c r="B4" s="44" t="s">
        <v>27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8"/>
    </row>
    <row r="5" customFormat="false" ht="12.75" hidden="false" customHeight="true" outlineLevel="0" collapsed="false">
      <c r="A5" s="3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customFormat="false" ht="12.75" hidden="false" customHeight="true" outlineLevel="0" collapsed="false">
      <c r="A6" s="51"/>
      <c r="B6" s="52" t="s">
        <v>28</v>
      </c>
      <c r="C6" s="52"/>
      <c r="D6" s="52"/>
      <c r="E6" s="52"/>
      <c r="F6" s="52"/>
      <c r="G6" s="52" t="s">
        <v>29</v>
      </c>
      <c r="H6" s="52" t="s">
        <v>29</v>
      </c>
      <c r="I6" s="52" t="s">
        <v>29</v>
      </c>
      <c r="J6" s="52" t="s">
        <v>30</v>
      </c>
      <c r="K6" s="52" t="s">
        <v>30</v>
      </c>
      <c r="L6" s="52" t="s">
        <v>30</v>
      </c>
      <c r="M6" s="52" t="s">
        <v>30</v>
      </c>
      <c r="N6" s="52" t="s">
        <v>30</v>
      </c>
      <c r="O6" s="52" t="s">
        <v>30</v>
      </c>
      <c r="P6" s="51"/>
      <c r="Q6" s="51"/>
    </row>
    <row r="7" customFormat="false" ht="12.75" hidden="false" customHeight="true" outlineLevel="0" collapsed="false">
      <c r="A7" s="15"/>
      <c r="B7" s="53" t="s">
        <v>31</v>
      </c>
      <c r="C7" s="54"/>
      <c r="D7" s="54"/>
      <c r="E7" s="54"/>
      <c r="F7" s="54"/>
      <c r="G7" s="55" t="n">
        <f aca="false">DATE(G10,1,1)</f>
        <v>44927</v>
      </c>
      <c r="H7" s="55" t="n">
        <f aca="false">DATE(H10,1,1)</f>
        <v>45292</v>
      </c>
      <c r="I7" s="55" t="n">
        <f aca="false">DATE(I10,1,1)</f>
        <v>45658</v>
      </c>
      <c r="J7" s="55" t="n">
        <f aca="false">DATE(J10,1,1)</f>
        <v>46023</v>
      </c>
      <c r="K7" s="55" t="n">
        <f aca="false">DATE(K10,1,1)</f>
        <v>46388</v>
      </c>
      <c r="L7" s="55" t="n">
        <f aca="false">DATE(L10,1,1)</f>
        <v>46753</v>
      </c>
      <c r="M7" s="55" t="n">
        <f aca="false">DATE(M10,1,1)</f>
        <v>47119</v>
      </c>
      <c r="N7" s="55" t="n">
        <f aca="false">DATE(N10,1,1)</f>
        <v>47484</v>
      </c>
      <c r="O7" s="55" t="s">
        <v>32</v>
      </c>
      <c r="P7" s="15"/>
    </row>
    <row r="8" customFormat="false" ht="12.75" hidden="false" customHeight="true" outlineLevel="0" collapsed="false">
      <c r="A8" s="15"/>
      <c r="B8" s="56" t="s">
        <v>33</v>
      </c>
      <c r="C8" s="56"/>
      <c r="D8" s="57"/>
      <c r="E8" s="57"/>
      <c r="F8" s="57"/>
      <c r="G8" s="55" t="n">
        <f aca="false">DATE(G10,12,31)</f>
        <v>45291</v>
      </c>
      <c r="H8" s="55" t="n">
        <f aca="false">DATE(H10,12,31)</f>
        <v>45657</v>
      </c>
      <c r="I8" s="55" t="n">
        <f aca="false">DATE(I10,12,31)</f>
        <v>46022</v>
      </c>
      <c r="J8" s="55" t="n">
        <f aca="false">DATE(J10,12,31)</f>
        <v>46387</v>
      </c>
      <c r="K8" s="55" t="n">
        <f aca="false">DATE(K10,12,31)</f>
        <v>46752</v>
      </c>
      <c r="L8" s="55" t="n">
        <f aca="false">DATE(L10,12,31)</f>
        <v>47118</v>
      </c>
      <c r="M8" s="55" t="n">
        <f aca="false">DATE(M10,12,31)</f>
        <v>47483</v>
      </c>
      <c r="N8" s="55" t="n">
        <f aca="false">DATE(N10,12,31)</f>
        <v>47848</v>
      </c>
      <c r="O8" s="55"/>
      <c r="P8" s="15"/>
    </row>
    <row r="9" customFormat="false" ht="12.75" hidden="false" customHeight="true" outlineLevel="0" collapsed="false">
      <c r="A9" s="15"/>
      <c r="B9" s="56" t="s">
        <v>34</v>
      </c>
      <c r="C9" s="56"/>
      <c r="D9" s="57"/>
      <c r="E9" s="57"/>
      <c r="F9" s="57"/>
      <c r="G9" s="58" t="n">
        <f aca="false">DATEDIF(G7,G8,"m")+1</f>
        <v>12</v>
      </c>
      <c r="H9" s="59" t="n">
        <f aca="false">DATEDIF(H7,H8,"m")+1</f>
        <v>12</v>
      </c>
      <c r="I9" s="59" t="n">
        <f aca="false">DATEDIF(I7,I8,"m")+1</f>
        <v>12</v>
      </c>
      <c r="J9" s="59" t="n">
        <f aca="false">DATEDIF(J7,J8,"m")+1</f>
        <v>12</v>
      </c>
      <c r="K9" s="59" t="n">
        <f aca="false">DATEDIF(K7,K8,"m")+1</f>
        <v>12</v>
      </c>
      <c r="L9" s="59" t="n">
        <f aca="false">DATEDIF(L7,L8,"m")+1</f>
        <v>12</v>
      </c>
      <c r="M9" s="59" t="n">
        <f aca="false">DATEDIF(M7,M8,"m")+1</f>
        <v>12</v>
      </c>
      <c r="N9" s="59" t="n">
        <f aca="false">DATEDIF(N7,N8,"m")+1</f>
        <v>12</v>
      </c>
      <c r="O9" s="59"/>
      <c r="P9" s="15"/>
    </row>
    <row r="10" customFormat="false" ht="12.75" hidden="false" customHeight="true" outlineLevel="0" collapsed="false">
      <c r="A10" s="15"/>
      <c r="B10" s="56" t="s">
        <v>35</v>
      </c>
      <c r="C10" s="57"/>
      <c r="D10" s="59"/>
      <c r="E10" s="59"/>
      <c r="F10" s="59"/>
      <c r="G10" s="58" t="n">
        <f aca="false">H10-1</f>
        <v>2023</v>
      </c>
      <c r="H10" s="58" t="n">
        <f aca="false">I10-1</f>
        <v>2024</v>
      </c>
      <c r="I10" s="58" t="n">
        <f aca="false">E16</f>
        <v>2025</v>
      </c>
      <c r="J10" s="59" t="n">
        <f aca="false">I10+1</f>
        <v>2026</v>
      </c>
      <c r="K10" s="59" t="n">
        <f aca="false">J10+1</f>
        <v>2027</v>
      </c>
      <c r="L10" s="59" t="n">
        <f aca="false">K10+1</f>
        <v>2028</v>
      </c>
      <c r="M10" s="59" t="n">
        <f aca="false">L10+1</f>
        <v>2029</v>
      </c>
      <c r="N10" s="59" t="n">
        <f aca="false">M10+1</f>
        <v>2030</v>
      </c>
      <c r="O10" s="59"/>
      <c r="P10" s="15"/>
    </row>
    <row r="11" customFormat="false" ht="12.75" hidden="false" customHeight="true" outlineLevel="0" collapsed="false">
      <c r="A11" s="15"/>
      <c r="B11" s="53" t="s">
        <v>36</v>
      </c>
      <c r="C11" s="15"/>
      <c r="D11" s="15"/>
      <c r="E11" s="15"/>
      <c r="F11" s="15"/>
      <c r="G11" s="59" t="n">
        <f aca="false">_xlfn.DAYS(G8,G7)</f>
        <v>364</v>
      </c>
      <c r="H11" s="59" t="n">
        <f aca="false">_xlfn.DAYS(H8,H7)</f>
        <v>365</v>
      </c>
      <c r="I11" s="59" t="n">
        <f aca="false">_xlfn.DAYS(I8,I7)</f>
        <v>364</v>
      </c>
      <c r="J11" s="59" t="n">
        <f aca="false">_xlfn.DAYS(J8,J7)</f>
        <v>364</v>
      </c>
      <c r="K11" s="59" t="n">
        <f aca="false">_xlfn.DAYS(K8,K7)</f>
        <v>364</v>
      </c>
      <c r="L11" s="59" t="n">
        <f aca="false">_xlfn.DAYS(L8,L7)</f>
        <v>365</v>
      </c>
      <c r="M11" s="59" t="n">
        <f aca="false">_xlfn.DAYS(M8,M7)</f>
        <v>364</v>
      </c>
      <c r="N11" s="59" t="n">
        <f aca="false">_xlfn.DAYS(N8,N7)</f>
        <v>364</v>
      </c>
      <c r="O11" s="59"/>
      <c r="P11" s="15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2.75" hidden="false" customHeight="true" outlineLevel="0" collapsed="false">
      <c r="A13" s="8"/>
      <c r="B13" s="44" t="s">
        <v>37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8"/>
    </row>
    <row r="14" customFormat="false" ht="12.75" hidden="false" customHeight="true" outlineLevel="0" collapsed="false">
      <c r="A14" s="3"/>
      <c r="B14" s="60"/>
      <c r="C14" s="60"/>
      <c r="D14" s="61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</row>
    <row r="15" customFormat="false" ht="15" hidden="false" customHeight="true" outlineLevel="0" collapsed="false">
      <c r="A15" s="15"/>
      <c r="B15" s="56" t="s">
        <v>38</v>
      </c>
      <c r="C15" s="15"/>
      <c r="D15" s="15"/>
      <c r="E15" s="62" t="n">
        <f aca="false">Legend!D6</f>
        <v>46022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customFormat="false" ht="15" hidden="false" customHeight="true" outlineLevel="0" collapsed="false">
      <c r="A16" s="15"/>
      <c r="B16" s="56" t="s">
        <v>39</v>
      </c>
      <c r="C16" s="15"/>
      <c r="D16" s="15"/>
      <c r="E16" s="63" t="n">
        <f aca="false">YEAR(E15)</f>
        <v>2025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5" hidden="false" customHeight="true" outlineLevel="0" collapsed="false">
      <c r="A17" s="15"/>
      <c r="B17" s="56" t="s">
        <v>40</v>
      </c>
      <c r="C17" s="15"/>
      <c r="D17" s="15"/>
      <c r="E17" s="64" t="n">
        <v>1000000</v>
      </c>
      <c r="F17" s="57" t="s">
        <v>41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customFormat="false" ht="15" hidden="false" customHeight="true" outlineLevel="0" collapsed="false">
      <c r="A18" s="65"/>
      <c r="B18" s="66" t="s">
        <v>42</v>
      </c>
      <c r="C18" s="65"/>
      <c r="D18" s="65"/>
      <c r="E18" s="67" t="n">
        <v>0.1</v>
      </c>
      <c r="F18" s="68" t="s">
        <v>43</v>
      </c>
      <c r="G18" s="65"/>
      <c r="H18" s="65"/>
      <c r="I18" s="65"/>
      <c r="J18" s="65"/>
      <c r="K18" s="65"/>
      <c r="L18" s="65"/>
      <c r="M18" s="65"/>
      <c r="N18" s="65"/>
      <c r="O18" s="65"/>
      <c r="P18" s="65"/>
    </row>
    <row r="19" customFormat="false" ht="15" hidden="false" customHeight="true" outlineLevel="0" collapsed="false">
      <c r="A19" s="15"/>
      <c r="B19" s="56" t="s">
        <v>44</v>
      </c>
      <c r="C19" s="15"/>
      <c r="D19" s="15"/>
      <c r="E19" s="69" t="n">
        <v>0.01</v>
      </c>
      <c r="F19" s="57" t="s">
        <v>43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customFormat="false" ht="15" hidden="false" customHeight="true" outlineLevel="0" collapsed="false">
      <c r="A20" s="15"/>
      <c r="B20" s="56" t="s">
        <v>45</v>
      </c>
      <c r="C20" s="15"/>
      <c r="D20" s="15"/>
      <c r="E20" s="15"/>
      <c r="F20" s="57"/>
      <c r="G20" s="15"/>
      <c r="H20" s="15"/>
      <c r="I20" s="15"/>
      <c r="J20" s="69" t="n">
        <v>1.03</v>
      </c>
      <c r="K20" s="69" t="n">
        <v>1.03</v>
      </c>
      <c r="L20" s="69" t="n">
        <v>1.03</v>
      </c>
      <c r="M20" s="69" t="n">
        <v>1.03</v>
      </c>
      <c r="N20" s="69" t="n">
        <v>1.03</v>
      </c>
      <c r="O20" s="70"/>
      <c r="P20" s="15"/>
    </row>
    <row r="21" customFormat="false" ht="15" hidden="false" customHeight="true" outlineLevel="0" collapsed="false">
      <c r="A21" s="15"/>
      <c r="B21" s="56" t="s">
        <v>46</v>
      </c>
      <c r="C21" s="15"/>
      <c r="D21" s="15"/>
      <c r="E21" s="15"/>
      <c r="F21" s="57"/>
      <c r="G21" s="15"/>
      <c r="H21" s="15"/>
      <c r="I21" s="15"/>
      <c r="J21" s="69" t="n">
        <v>1.02</v>
      </c>
      <c r="K21" s="69" t="n">
        <v>1.02</v>
      </c>
      <c r="L21" s="69" t="n">
        <v>1.02</v>
      </c>
      <c r="M21" s="69" t="n">
        <v>1.02</v>
      </c>
      <c r="N21" s="69" t="n">
        <v>1.02</v>
      </c>
      <c r="O21" s="70"/>
      <c r="P21" s="15"/>
    </row>
    <row r="22" customFormat="false" ht="15" hidden="false" customHeight="true" outlineLevel="0" collapsed="false">
      <c r="A22" s="15"/>
      <c r="B22" s="53" t="s">
        <v>47</v>
      </c>
      <c r="C22" s="15"/>
      <c r="D22" s="15"/>
      <c r="E22" s="15"/>
      <c r="F22" s="57"/>
      <c r="G22" s="15"/>
      <c r="H22" s="15"/>
      <c r="I22" s="15"/>
      <c r="J22" s="69" t="n">
        <v>1.02</v>
      </c>
      <c r="K22" s="69" t="n">
        <v>1.02</v>
      </c>
      <c r="L22" s="69" t="n">
        <v>1.02</v>
      </c>
      <c r="M22" s="69" t="n">
        <v>1.02</v>
      </c>
      <c r="N22" s="69" t="n">
        <v>1.02</v>
      </c>
      <c r="O22" s="70"/>
      <c r="P22" s="15"/>
    </row>
    <row r="23" customFormat="false" ht="15" hidden="false" customHeight="true" outlineLevel="0" collapsed="false">
      <c r="A23" s="15"/>
      <c r="B23" s="53" t="s">
        <v>48</v>
      </c>
      <c r="C23" s="15"/>
      <c r="D23" s="15"/>
      <c r="E23" s="15"/>
      <c r="F23" s="57"/>
      <c r="G23" s="15"/>
      <c r="H23" s="15"/>
      <c r="I23" s="15"/>
      <c r="J23" s="69" t="n">
        <v>1.02</v>
      </c>
      <c r="K23" s="69" t="n">
        <v>1.02</v>
      </c>
      <c r="L23" s="69" t="n">
        <v>1.02</v>
      </c>
      <c r="M23" s="69" t="n">
        <v>1.02</v>
      </c>
      <c r="N23" s="69" t="n">
        <v>1.02</v>
      </c>
      <c r="O23" s="70"/>
      <c r="P23" s="15"/>
    </row>
    <row r="24" customFormat="false" ht="12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2.75" hidden="false" customHeight="true" outlineLevel="0" collapsed="false">
      <c r="A25" s="8"/>
      <c r="B25" s="44" t="s">
        <v>49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8"/>
    </row>
    <row r="26" customFormat="false" ht="12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2.75" hidden="false" customHeight="true" outlineLevel="0" collapsed="false">
      <c r="A27" s="51"/>
      <c r="B27" s="71" t="s">
        <v>50</v>
      </c>
      <c r="C27" s="51"/>
      <c r="D27" s="51"/>
      <c r="E27" s="51"/>
      <c r="F27" s="51"/>
      <c r="G27" s="72" t="str">
        <f aca="false">"FY"&amp;G10</f>
        <v>FY2023</v>
      </c>
      <c r="H27" s="72" t="str">
        <f aca="false">"FY"&amp;H10</f>
        <v>FY2024</v>
      </c>
      <c r="I27" s="72" t="str">
        <f aca="false">"FY"&amp;I10</f>
        <v>FY2025</v>
      </c>
      <c r="J27" s="51"/>
      <c r="K27" s="51"/>
      <c r="L27" s="51"/>
      <c r="M27" s="51"/>
      <c r="N27" s="51"/>
      <c r="O27" s="51"/>
      <c r="P27" s="51"/>
    </row>
    <row r="28" customFormat="false" ht="15" hidden="false" customHeight="true" outlineLevel="0" collapsed="false">
      <c r="A28" s="15"/>
      <c r="B28" s="73" t="s">
        <v>51</v>
      </c>
      <c r="C28" s="74"/>
      <c r="D28" s="74"/>
      <c r="E28" s="74"/>
      <c r="F28" s="74"/>
      <c r="G28" s="64" t="n">
        <v>1000</v>
      </c>
      <c r="H28" s="64" t="n">
        <v>1200</v>
      </c>
      <c r="I28" s="64" t="n">
        <v>1400</v>
      </c>
      <c r="J28" s="15"/>
      <c r="K28" s="15"/>
      <c r="L28" s="15"/>
      <c r="M28" s="15"/>
      <c r="N28" s="15"/>
      <c r="O28" s="15"/>
      <c r="P28" s="15"/>
    </row>
    <row r="29" customFormat="false" ht="15" hidden="false" customHeight="true" outlineLevel="0" collapsed="false">
      <c r="A29" s="15"/>
      <c r="B29" s="73" t="s">
        <v>52</v>
      </c>
      <c r="C29" s="75"/>
      <c r="D29" s="75"/>
      <c r="E29" s="75"/>
      <c r="F29" s="75"/>
      <c r="G29" s="76" t="n">
        <f aca="false">SUM(G30:G33)</f>
        <v>600</v>
      </c>
      <c r="H29" s="76" t="n">
        <f aca="false">SUM(H30:H33)</f>
        <v>600</v>
      </c>
      <c r="I29" s="76" t="n">
        <f aca="false">SUM(I30:I33)</f>
        <v>600</v>
      </c>
      <c r="J29" s="15"/>
      <c r="K29" s="15"/>
      <c r="L29" s="15"/>
      <c r="M29" s="15"/>
      <c r="N29" s="15"/>
      <c r="O29" s="15"/>
      <c r="P29" s="15"/>
    </row>
    <row r="30" customFormat="false" ht="15" hidden="false" customHeight="true" outlineLevel="0" collapsed="false">
      <c r="A30" s="15"/>
      <c r="B30" s="77" t="s">
        <v>53</v>
      </c>
      <c r="C30" s="15"/>
      <c r="D30" s="15"/>
      <c r="E30" s="15"/>
      <c r="F30" s="15"/>
      <c r="G30" s="76" t="n">
        <v>200</v>
      </c>
      <c r="H30" s="76" t="n">
        <v>200</v>
      </c>
      <c r="I30" s="76" t="n">
        <v>200</v>
      </c>
      <c r="J30" s="15"/>
      <c r="K30" s="15"/>
      <c r="L30" s="15"/>
      <c r="M30" s="15"/>
      <c r="N30" s="15"/>
      <c r="O30" s="15"/>
      <c r="P30" s="15"/>
    </row>
    <row r="31" customFormat="false" ht="15" hidden="false" customHeight="true" outlineLevel="0" collapsed="false">
      <c r="A31" s="15"/>
      <c r="B31" s="77" t="s">
        <v>54</v>
      </c>
      <c r="C31" s="15"/>
      <c r="D31" s="15"/>
      <c r="E31" s="15"/>
      <c r="F31" s="15"/>
      <c r="G31" s="64" t="n">
        <v>100</v>
      </c>
      <c r="H31" s="64" t="n">
        <v>100</v>
      </c>
      <c r="I31" s="64" t="n">
        <v>100</v>
      </c>
      <c r="J31" s="15"/>
      <c r="K31" s="15"/>
      <c r="L31" s="15"/>
      <c r="M31" s="15"/>
      <c r="N31" s="15"/>
      <c r="O31" s="15"/>
      <c r="P31" s="15"/>
    </row>
    <row r="32" customFormat="false" ht="15" hidden="false" customHeight="true" outlineLevel="0" collapsed="false">
      <c r="A32" s="15"/>
      <c r="B32" s="77" t="s">
        <v>55</v>
      </c>
      <c r="C32" s="15"/>
      <c r="D32" s="15"/>
      <c r="E32" s="15"/>
      <c r="F32" s="15"/>
      <c r="G32" s="64" t="n">
        <v>100</v>
      </c>
      <c r="H32" s="64" t="n">
        <v>100</v>
      </c>
      <c r="I32" s="64" t="n">
        <v>100</v>
      </c>
      <c r="J32" s="15"/>
      <c r="K32" s="15"/>
      <c r="L32" s="15"/>
      <c r="M32" s="15"/>
      <c r="N32" s="15"/>
      <c r="O32" s="15"/>
      <c r="P32" s="15"/>
    </row>
    <row r="33" customFormat="false" ht="15" hidden="false" customHeight="true" outlineLevel="0" collapsed="false">
      <c r="A33" s="15"/>
      <c r="B33" s="77" t="s">
        <v>56</v>
      </c>
      <c r="C33" s="15"/>
      <c r="D33" s="15"/>
      <c r="E33" s="15"/>
      <c r="F33" s="15"/>
      <c r="G33" s="78" t="n">
        <v>200</v>
      </c>
      <c r="H33" s="78" t="n">
        <v>200</v>
      </c>
      <c r="I33" s="78" t="n">
        <v>200</v>
      </c>
      <c r="J33" s="15"/>
      <c r="K33" s="15"/>
      <c r="L33" s="15"/>
      <c r="M33" s="15"/>
      <c r="N33" s="15"/>
      <c r="O33" s="15"/>
      <c r="P33" s="15"/>
    </row>
    <row r="34" customFormat="false" ht="15" hidden="false" customHeight="true" outlineLevel="0" collapsed="false">
      <c r="A34" s="15"/>
      <c r="B34" s="79" t="s">
        <v>57</v>
      </c>
      <c r="C34" s="74"/>
      <c r="D34" s="74"/>
      <c r="E34" s="74"/>
      <c r="F34" s="74"/>
      <c r="G34" s="64" t="n">
        <f aca="false">G28-G29</f>
        <v>400</v>
      </c>
      <c r="H34" s="64" t="n">
        <f aca="false">H28-H29</f>
        <v>600</v>
      </c>
      <c r="I34" s="64" t="n">
        <f aca="false">I28-I29</f>
        <v>800</v>
      </c>
      <c r="J34" s="15"/>
      <c r="K34" s="15"/>
      <c r="L34" s="15"/>
      <c r="M34" s="15"/>
      <c r="N34" s="15"/>
      <c r="O34" s="15"/>
      <c r="P34" s="15"/>
    </row>
    <row r="35" customFormat="false" ht="15" hidden="false" customHeight="true" outlineLevel="0" collapsed="false">
      <c r="A35" s="15"/>
      <c r="B35" s="80" t="s">
        <v>58</v>
      </c>
      <c r="C35" s="74"/>
      <c r="D35" s="74"/>
      <c r="E35" s="74"/>
      <c r="F35" s="81"/>
      <c r="G35" s="76" t="n">
        <f aca="false">SUM(G36:G40)</f>
        <v>330</v>
      </c>
      <c r="H35" s="76" t="n">
        <f aca="false">SUM(H36:H40)</f>
        <v>330</v>
      </c>
      <c r="I35" s="76" t="n">
        <f aca="false">SUM(I36:I40)</f>
        <v>330</v>
      </c>
      <c r="J35" s="15"/>
      <c r="K35" s="15"/>
      <c r="L35" s="15"/>
      <c r="M35" s="15"/>
      <c r="N35" s="15"/>
      <c r="O35" s="15"/>
      <c r="P35" s="15"/>
    </row>
    <row r="36" customFormat="false" ht="15" hidden="false" customHeight="true" outlineLevel="0" collapsed="false">
      <c r="A36" s="15"/>
      <c r="B36" s="77" t="s">
        <v>54</v>
      </c>
      <c r="C36" s="15"/>
      <c r="D36" s="15"/>
      <c r="E36" s="15"/>
      <c r="F36" s="15"/>
      <c r="G36" s="64" t="n">
        <v>100</v>
      </c>
      <c r="H36" s="64" t="n">
        <v>100</v>
      </c>
      <c r="I36" s="64" t="n">
        <v>100</v>
      </c>
      <c r="J36" s="15"/>
      <c r="K36" s="15"/>
      <c r="L36" s="15"/>
      <c r="M36" s="15"/>
      <c r="N36" s="15"/>
      <c r="O36" s="15"/>
      <c r="P36" s="15"/>
    </row>
    <row r="37" customFormat="false" ht="15" hidden="false" customHeight="true" outlineLevel="0" collapsed="false">
      <c r="A37" s="15"/>
      <c r="B37" s="77" t="s">
        <v>59</v>
      </c>
      <c r="C37" s="15"/>
      <c r="D37" s="15"/>
      <c r="E37" s="15"/>
      <c r="F37" s="15"/>
      <c r="G37" s="64" t="n">
        <v>50</v>
      </c>
      <c r="H37" s="64" t="n">
        <v>50</v>
      </c>
      <c r="I37" s="64" t="n">
        <v>50</v>
      </c>
      <c r="J37" s="15"/>
      <c r="K37" s="15"/>
      <c r="L37" s="15"/>
      <c r="M37" s="15"/>
      <c r="N37" s="15"/>
      <c r="O37" s="15"/>
      <c r="P37" s="15"/>
    </row>
    <row r="38" customFormat="false" ht="15" hidden="false" customHeight="true" outlineLevel="0" collapsed="false">
      <c r="A38" s="15"/>
      <c r="B38" s="77" t="s">
        <v>60</v>
      </c>
      <c r="C38" s="15"/>
      <c r="D38" s="15"/>
      <c r="E38" s="15"/>
      <c r="F38" s="15"/>
      <c r="G38" s="64" t="n">
        <v>60</v>
      </c>
      <c r="H38" s="64" t="n">
        <v>60</v>
      </c>
      <c r="I38" s="64" t="n">
        <v>60</v>
      </c>
      <c r="J38" s="15"/>
      <c r="K38" s="15"/>
      <c r="L38" s="15"/>
      <c r="M38" s="15"/>
      <c r="N38" s="15"/>
      <c r="O38" s="15"/>
      <c r="P38" s="15"/>
    </row>
    <row r="39" customFormat="false" ht="15" hidden="false" customHeight="true" outlineLevel="0" collapsed="false">
      <c r="A39" s="15"/>
      <c r="B39" s="77" t="s">
        <v>61</v>
      </c>
      <c r="C39" s="15"/>
      <c r="D39" s="15"/>
      <c r="E39" s="15"/>
      <c r="F39" s="15"/>
      <c r="G39" s="64" t="n">
        <v>70</v>
      </c>
      <c r="H39" s="64" t="n">
        <v>70</v>
      </c>
      <c r="I39" s="64" t="n">
        <v>70</v>
      </c>
      <c r="J39" s="15"/>
      <c r="K39" s="15"/>
      <c r="L39" s="15"/>
      <c r="M39" s="15"/>
      <c r="N39" s="15"/>
      <c r="O39" s="15"/>
      <c r="P39" s="15"/>
    </row>
    <row r="40" customFormat="false" ht="15" hidden="false" customHeight="true" outlineLevel="0" collapsed="false">
      <c r="A40" s="15"/>
      <c r="B40" s="77" t="s">
        <v>62</v>
      </c>
      <c r="C40" s="15"/>
      <c r="D40" s="15"/>
      <c r="E40" s="15"/>
      <c r="F40" s="15"/>
      <c r="G40" s="78" t="n">
        <v>50</v>
      </c>
      <c r="H40" s="78" t="n">
        <v>50</v>
      </c>
      <c r="I40" s="78" t="n">
        <v>50</v>
      </c>
      <c r="J40" s="15"/>
      <c r="K40" s="15"/>
      <c r="L40" s="15"/>
      <c r="M40" s="15"/>
      <c r="N40" s="15"/>
      <c r="O40" s="15"/>
      <c r="P40" s="15"/>
    </row>
    <row r="41" customFormat="false" ht="15" hidden="false" customHeight="true" outlineLevel="0" collapsed="false">
      <c r="A41" s="15"/>
      <c r="B41" s="79" t="s">
        <v>63</v>
      </c>
      <c r="C41" s="74"/>
      <c r="D41" s="74"/>
      <c r="E41" s="74"/>
      <c r="F41" s="74"/>
      <c r="G41" s="64" t="n">
        <f aca="false">G34-G35</f>
        <v>70</v>
      </c>
      <c r="H41" s="64" t="n">
        <f aca="false">H34-H35</f>
        <v>270</v>
      </c>
      <c r="I41" s="64" t="n">
        <f aca="false">I34-I35</f>
        <v>470</v>
      </c>
      <c r="J41" s="15"/>
      <c r="K41" s="15"/>
      <c r="L41" s="15"/>
      <c r="M41" s="15"/>
      <c r="N41" s="15"/>
      <c r="O41" s="15"/>
      <c r="P41" s="15"/>
    </row>
    <row r="42" customFormat="false" ht="15" hidden="false" customHeight="true" outlineLevel="0" collapsed="false">
      <c r="A42" s="15"/>
      <c r="B42" s="82" t="s">
        <v>64</v>
      </c>
      <c r="C42" s="15"/>
      <c r="D42" s="15"/>
      <c r="E42" s="15"/>
      <c r="F42" s="15"/>
      <c r="G42" s="83" t="n">
        <v>10</v>
      </c>
      <c r="H42" s="83" t="n">
        <v>10</v>
      </c>
      <c r="I42" s="83" t="n">
        <v>10</v>
      </c>
      <c r="J42" s="15"/>
      <c r="K42" s="15"/>
      <c r="L42" s="15"/>
      <c r="M42" s="15"/>
      <c r="N42" s="15"/>
      <c r="O42" s="15"/>
      <c r="P42" s="15"/>
    </row>
    <row r="43" customFormat="false" ht="15" hidden="false" customHeight="true" outlineLevel="0" collapsed="false">
      <c r="A43" s="15"/>
      <c r="B43" s="84" t="s">
        <v>65</v>
      </c>
      <c r="C43" s="74"/>
      <c r="D43" s="74"/>
      <c r="E43" s="74"/>
      <c r="F43" s="81"/>
      <c r="G43" s="64" t="n">
        <f aca="false">G41+G42</f>
        <v>80</v>
      </c>
      <c r="H43" s="64" t="n">
        <f aca="false">H41+H42</f>
        <v>280</v>
      </c>
      <c r="I43" s="64" t="n">
        <f aca="false">I41+I42</f>
        <v>480</v>
      </c>
      <c r="J43" s="15"/>
      <c r="K43" s="15"/>
      <c r="L43" s="15"/>
      <c r="M43" s="15"/>
      <c r="N43" s="15"/>
      <c r="O43" s="15"/>
      <c r="P43" s="15"/>
    </row>
    <row r="44" customFormat="false" ht="15" hidden="false" customHeight="true" outlineLevel="0" collapsed="false">
      <c r="A44" s="15"/>
      <c r="B44" s="85" t="s">
        <v>66</v>
      </c>
      <c r="C44" s="75"/>
      <c r="D44" s="75"/>
      <c r="E44" s="75"/>
      <c r="F44" s="75"/>
      <c r="G44" s="64" t="n">
        <f aca="false">G45-G48</f>
        <v>0</v>
      </c>
      <c r="H44" s="64" t="n">
        <f aca="false">H45-H48</f>
        <v>0</v>
      </c>
      <c r="I44" s="64" t="n">
        <f aca="false">I45-I48</f>
        <v>0</v>
      </c>
      <c r="J44" s="15"/>
      <c r="K44" s="15"/>
      <c r="L44" s="15"/>
      <c r="M44" s="15"/>
      <c r="N44" s="15"/>
      <c r="O44" s="15"/>
      <c r="P44" s="15"/>
    </row>
    <row r="45" customFormat="false" ht="15" hidden="false" customHeight="true" outlineLevel="0" collapsed="false">
      <c r="A45" s="15"/>
      <c r="B45" s="77" t="s">
        <v>67</v>
      </c>
      <c r="C45" s="15"/>
      <c r="D45" s="15"/>
      <c r="E45" s="15"/>
      <c r="F45" s="15"/>
      <c r="G45" s="64" t="n">
        <f aca="false">SUM(G46:G47)</f>
        <v>20</v>
      </c>
      <c r="H45" s="64" t="n">
        <f aca="false">SUM(H46:H47)</f>
        <v>20</v>
      </c>
      <c r="I45" s="64" t="n">
        <f aca="false">SUM(I46:I47)</f>
        <v>20</v>
      </c>
      <c r="J45" s="15"/>
      <c r="K45" s="15"/>
      <c r="L45" s="15"/>
      <c r="M45" s="15"/>
      <c r="N45" s="15"/>
      <c r="O45" s="15"/>
      <c r="P45" s="15"/>
    </row>
    <row r="46" customFormat="false" ht="15" hidden="false" customHeight="true" outlineLevel="0" collapsed="false">
      <c r="A46" s="15"/>
      <c r="B46" s="86" t="s">
        <v>68</v>
      </c>
      <c r="C46" s="15"/>
      <c r="D46" s="15"/>
      <c r="E46" s="15"/>
      <c r="F46" s="15"/>
      <c r="G46" s="64" t="n">
        <v>10</v>
      </c>
      <c r="H46" s="64" t="n">
        <v>10</v>
      </c>
      <c r="I46" s="64" t="n">
        <v>10</v>
      </c>
      <c r="J46" s="15"/>
      <c r="K46" s="15"/>
      <c r="L46" s="15"/>
      <c r="M46" s="15"/>
      <c r="N46" s="15"/>
      <c r="O46" s="15"/>
      <c r="P46" s="15"/>
    </row>
    <row r="47" customFormat="false" ht="15" hidden="false" customHeight="true" outlineLevel="0" collapsed="false">
      <c r="A47" s="15"/>
      <c r="B47" s="86" t="s">
        <v>69</v>
      </c>
      <c r="C47" s="15"/>
      <c r="D47" s="15"/>
      <c r="E47" s="15"/>
      <c r="F47" s="15"/>
      <c r="G47" s="64" t="n">
        <v>10</v>
      </c>
      <c r="H47" s="64" t="n">
        <v>10</v>
      </c>
      <c r="I47" s="64" t="n">
        <v>10</v>
      </c>
      <c r="J47" s="15"/>
      <c r="K47" s="15"/>
      <c r="L47" s="15"/>
      <c r="M47" s="15"/>
      <c r="N47" s="15"/>
      <c r="O47" s="15"/>
      <c r="P47" s="15"/>
    </row>
    <row r="48" customFormat="false" ht="15" hidden="false" customHeight="true" outlineLevel="0" collapsed="false">
      <c r="A48" s="15"/>
      <c r="B48" s="77" t="s">
        <v>70</v>
      </c>
      <c r="C48" s="15"/>
      <c r="D48" s="15"/>
      <c r="E48" s="15"/>
      <c r="F48" s="15"/>
      <c r="G48" s="64" t="n">
        <f aca="false">SUM(G49:G50)</f>
        <v>20</v>
      </c>
      <c r="H48" s="64" t="n">
        <f aca="false">SUM(H49:H50)</f>
        <v>20</v>
      </c>
      <c r="I48" s="64" t="n">
        <f aca="false">SUM(I49:I50)</f>
        <v>20</v>
      </c>
      <c r="J48" s="15"/>
      <c r="K48" s="15"/>
      <c r="L48" s="15"/>
      <c r="M48" s="15"/>
      <c r="N48" s="15"/>
      <c r="O48" s="15"/>
      <c r="P48" s="15"/>
    </row>
    <row r="49" customFormat="false" ht="15" hidden="false" customHeight="true" outlineLevel="0" collapsed="false">
      <c r="A49" s="15"/>
      <c r="B49" s="86" t="s">
        <v>71</v>
      </c>
      <c r="C49" s="15"/>
      <c r="D49" s="15"/>
      <c r="E49" s="15"/>
      <c r="F49" s="15"/>
      <c r="G49" s="64" t="n">
        <v>10</v>
      </c>
      <c r="H49" s="64" t="n">
        <v>10</v>
      </c>
      <c r="I49" s="64" t="n">
        <v>10</v>
      </c>
      <c r="J49" s="15"/>
      <c r="K49" s="15"/>
      <c r="L49" s="15"/>
      <c r="M49" s="15"/>
      <c r="N49" s="15"/>
      <c r="O49" s="15"/>
      <c r="P49" s="15"/>
    </row>
    <row r="50" customFormat="false" ht="15" hidden="false" customHeight="true" outlineLevel="0" collapsed="false">
      <c r="A50" s="15"/>
      <c r="B50" s="86" t="s">
        <v>69</v>
      </c>
      <c r="C50" s="15"/>
      <c r="D50" s="15"/>
      <c r="E50" s="15"/>
      <c r="F50" s="15"/>
      <c r="G50" s="64" t="n">
        <v>10</v>
      </c>
      <c r="H50" s="64" t="n">
        <v>10</v>
      </c>
      <c r="I50" s="64" t="n">
        <v>10</v>
      </c>
      <c r="J50" s="15"/>
      <c r="K50" s="15"/>
      <c r="L50" s="15"/>
      <c r="M50" s="15"/>
      <c r="N50" s="15"/>
      <c r="O50" s="15"/>
      <c r="P50" s="15"/>
    </row>
    <row r="51" customFormat="false" ht="15" hidden="false" customHeight="true" outlineLevel="0" collapsed="false">
      <c r="A51" s="15"/>
      <c r="B51" s="79" t="s">
        <v>72</v>
      </c>
      <c r="C51" s="74"/>
      <c r="D51" s="74"/>
      <c r="E51" s="74"/>
      <c r="F51" s="74"/>
      <c r="G51" s="64" t="n">
        <f aca="false">G41+G44</f>
        <v>70</v>
      </c>
      <c r="H51" s="64" t="n">
        <f aca="false">H41+H44</f>
        <v>270</v>
      </c>
      <c r="I51" s="64" t="n">
        <f aca="false">I41+I44</f>
        <v>470</v>
      </c>
      <c r="J51" s="15"/>
      <c r="K51" s="15"/>
      <c r="L51" s="15"/>
      <c r="M51" s="15"/>
      <c r="N51" s="15"/>
      <c r="O51" s="15"/>
      <c r="P51" s="15"/>
    </row>
    <row r="52" customFormat="false" ht="15" hidden="false" customHeight="true" outlineLevel="0" collapsed="false">
      <c r="A52" s="15"/>
      <c r="B52" s="82" t="s">
        <v>73</v>
      </c>
      <c r="C52" s="15"/>
      <c r="D52" s="15"/>
      <c r="E52" s="15"/>
      <c r="F52" s="15"/>
      <c r="G52" s="83" t="n">
        <v>20</v>
      </c>
      <c r="H52" s="83" t="n">
        <v>30</v>
      </c>
      <c r="I52" s="83" t="n">
        <v>40</v>
      </c>
      <c r="J52" s="15"/>
      <c r="K52" s="15"/>
      <c r="L52" s="15"/>
      <c r="M52" s="15"/>
      <c r="N52" s="15"/>
      <c r="O52" s="15"/>
      <c r="P52" s="15"/>
    </row>
    <row r="53" customFormat="false" ht="15" hidden="false" customHeight="true" outlineLevel="0" collapsed="false">
      <c r="A53" s="65"/>
      <c r="B53" s="87" t="s">
        <v>74</v>
      </c>
      <c r="C53" s="88"/>
      <c r="D53" s="88"/>
      <c r="E53" s="88"/>
      <c r="F53" s="88"/>
      <c r="G53" s="89" t="n">
        <f aca="false">G51-G52</f>
        <v>50</v>
      </c>
      <c r="H53" s="89" t="n">
        <f aca="false">H51-H52</f>
        <v>240</v>
      </c>
      <c r="I53" s="89" t="n">
        <f aca="false">I51-I52</f>
        <v>430</v>
      </c>
      <c r="J53" s="65"/>
      <c r="K53" s="65"/>
      <c r="L53" s="65"/>
      <c r="M53" s="65"/>
      <c r="N53" s="65"/>
      <c r="O53" s="65"/>
      <c r="P53" s="65"/>
    </row>
    <row r="54" customFormat="false" ht="15" hidden="false" customHeight="true" outlineLevel="0" collapsed="false">
      <c r="A54" s="3"/>
      <c r="B54" s="9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true" outlineLevel="0" collapsed="false">
      <c r="A55" s="51"/>
      <c r="B55" s="91" t="s">
        <v>75</v>
      </c>
      <c r="C55" s="51"/>
      <c r="D55" s="51"/>
      <c r="E55" s="51"/>
      <c r="F55" s="51"/>
      <c r="G55" s="72" t="str">
        <f aca="false">"Dec"&amp;G10</f>
        <v>Dec2023</v>
      </c>
      <c r="H55" s="72" t="str">
        <f aca="false">"Dec"&amp;H10</f>
        <v>Dec2024</v>
      </c>
      <c r="I55" s="72" t="str">
        <f aca="false">"Dec"&amp;I10</f>
        <v>Dec2025</v>
      </c>
      <c r="J55" s="51"/>
      <c r="K55" s="51"/>
      <c r="L55" s="51"/>
      <c r="M55" s="51"/>
      <c r="N55" s="51"/>
      <c r="O55" s="51"/>
      <c r="P55" s="51"/>
    </row>
    <row r="56" customFormat="false" ht="15" hidden="false" customHeight="true" outlineLevel="0" collapsed="false">
      <c r="A56" s="15"/>
      <c r="B56" s="92" t="s">
        <v>76</v>
      </c>
      <c r="C56" s="74"/>
      <c r="D56" s="74"/>
      <c r="E56" s="74"/>
      <c r="F56" s="74"/>
      <c r="G56" s="64" t="n">
        <f aca="false">SUM(G57:G60)</f>
        <v>250</v>
      </c>
      <c r="H56" s="64" t="n">
        <f aca="false">SUM(H57:H60)</f>
        <v>250</v>
      </c>
      <c r="I56" s="64" t="n">
        <f aca="false">SUM(I57:I60)</f>
        <v>250</v>
      </c>
      <c r="J56" s="15"/>
      <c r="K56" s="15"/>
      <c r="L56" s="15"/>
      <c r="M56" s="15"/>
      <c r="N56" s="15"/>
      <c r="O56" s="15"/>
      <c r="P56" s="15"/>
    </row>
    <row r="57" customFormat="false" ht="15" hidden="false" customHeight="true" outlineLevel="0" collapsed="false">
      <c r="A57" s="15"/>
      <c r="B57" s="93" t="s">
        <v>77</v>
      </c>
      <c r="C57" s="15"/>
      <c r="D57" s="15"/>
      <c r="E57" s="15"/>
      <c r="F57" s="15"/>
      <c r="G57" s="76" t="n">
        <v>50</v>
      </c>
      <c r="H57" s="76" t="n">
        <v>50</v>
      </c>
      <c r="I57" s="76" t="n">
        <v>50</v>
      </c>
      <c r="J57" s="15"/>
      <c r="K57" s="15"/>
      <c r="L57" s="15"/>
      <c r="M57" s="15"/>
      <c r="N57" s="15"/>
      <c r="O57" s="15"/>
      <c r="P57" s="15"/>
    </row>
    <row r="58" customFormat="false" ht="15" hidden="false" customHeight="true" outlineLevel="0" collapsed="false">
      <c r="A58" s="15"/>
      <c r="B58" s="93" t="s">
        <v>78</v>
      </c>
      <c r="C58" s="15"/>
      <c r="D58" s="15"/>
      <c r="E58" s="15"/>
      <c r="F58" s="15"/>
      <c r="G58" s="64" t="n">
        <v>100</v>
      </c>
      <c r="H58" s="64" t="n">
        <v>100</v>
      </c>
      <c r="I58" s="64" t="n">
        <v>100</v>
      </c>
      <c r="J58" s="15"/>
      <c r="K58" s="15"/>
      <c r="L58" s="15"/>
      <c r="M58" s="15"/>
      <c r="N58" s="15"/>
      <c r="O58" s="15"/>
      <c r="P58" s="15"/>
    </row>
    <row r="59" customFormat="false" ht="15" hidden="false" customHeight="true" outlineLevel="0" collapsed="false">
      <c r="A59" s="15"/>
      <c r="B59" s="93" t="s">
        <v>79</v>
      </c>
      <c r="C59" s="15"/>
      <c r="D59" s="15"/>
      <c r="E59" s="15"/>
      <c r="F59" s="15"/>
      <c r="G59" s="64" t="n">
        <v>100</v>
      </c>
      <c r="H59" s="64" t="n">
        <v>100</v>
      </c>
      <c r="I59" s="64" t="n">
        <v>100</v>
      </c>
      <c r="J59" s="15"/>
      <c r="K59" s="15"/>
      <c r="L59" s="15"/>
      <c r="M59" s="15"/>
      <c r="N59" s="15"/>
      <c r="O59" s="15"/>
      <c r="P59" s="15"/>
    </row>
    <row r="60" customFormat="false" ht="15" hidden="false" customHeight="true" outlineLevel="0" collapsed="false">
      <c r="A60" s="15"/>
      <c r="B60" s="93" t="s">
        <v>80</v>
      </c>
      <c r="C60" s="15"/>
      <c r="D60" s="15"/>
      <c r="E60" s="15"/>
      <c r="F60" s="15"/>
      <c r="G60" s="94"/>
      <c r="H60" s="94"/>
      <c r="I60" s="94"/>
      <c r="J60" s="15"/>
      <c r="K60" s="15"/>
      <c r="L60" s="15"/>
      <c r="M60" s="15"/>
      <c r="N60" s="15"/>
      <c r="O60" s="15"/>
      <c r="P60" s="15"/>
    </row>
    <row r="61" customFormat="false" ht="15" hidden="false" customHeight="true" outlineLevel="0" collapsed="false">
      <c r="A61" s="15"/>
      <c r="B61" s="92" t="s">
        <v>81</v>
      </c>
      <c r="C61" s="74"/>
      <c r="D61" s="74"/>
      <c r="E61" s="74"/>
      <c r="F61" s="74"/>
      <c r="G61" s="64" t="n">
        <f aca="false">SUM(G62:G65)</f>
        <v>0</v>
      </c>
      <c r="H61" s="64" t="n">
        <f aca="false">SUM(H62:H65)</f>
        <v>0</v>
      </c>
      <c r="I61" s="64" t="n">
        <f aca="false">SUM(I62:I65)</f>
        <v>0</v>
      </c>
      <c r="J61" s="15"/>
      <c r="K61" s="15"/>
      <c r="L61" s="15"/>
      <c r="M61" s="15"/>
      <c r="N61" s="15"/>
      <c r="O61" s="15"/>
      <c r="P61" s="15"/>
    </row>
    <row r="62" customFormat="false" ht="15" hidden="false" customHeight="true" outlineLevel="0" collapsed="false">
      <c r="A62" s="15"/>
      <c r="B62" s="93" t="s">
        <v>82</v>
      </c>
      <c r="C62" s="15"/>
      <c r="D62" s="15"/>
      <c r="E62" s="15"/>
      <c r="F62" s="15"/>
      <c r="G62" s="95"/>
      <c r="H62" s="95"/>
      <c r="I62" s="95"/>
      <c r="J62" s="15"/>
      <c r="K62" s="15"/>
      <c r="L62" s="15"/>
      <c r="M62" s="15"/>
      <c r="N62" s="15"/>
      <c r="O62" s="15"/>
      <c r="P62" s="15"/>
    </row>
    <row r="63" customFormat="false" ht="15" hidden="false" customHeight="true" outlineLevel="0" collapsed="false">
      <c r="A63" s="15"/>
      <c r="B63" s="93" t="s">
        <v>83</v>
      </c>
      <c r="C63" s="15"/>
      <c r="D63" s="15"/>
      <c r="E63" s="15"/>
      <c r="F63" s="15"/>
      <c r="G63" s="96"/>
      <c r="H63" s="96"/>
      <c r="I63" s="96"/>
      <c r="J63" s="15"/>
      <c r="K63" s="15"/>
      <c r="L63" s="15"/>
      <c r="M63" s="15"/>
      <c r="N63" s="15"/>
      <c r="O63" s="15"/>
      <c r="P63" s="15"/>
    </row>
    <row r="64" customFormat="false" ht="15" hidden="false" customHeight="true" outlineLevel="0" collapsed="false">
      <c r="A64" s="15"/>
      <c r="B64" s="93" t="s">
        <v>84</v>
      </c>
      <c r="C64" s="15"/>
      <c r="D64" s="15"/>
      <c r="E64" s="15"/>
      <c r="F64" s="15"/>
      <c r="G64" s="96"/>
      <c r="H64" s="96"/>
      <c r="I64" s="96"/>
      <c r="J64" s="15"/>
      <c r="K64" s="15"/>
      <c r="L64" s="15"/>
      <c r="M64" s="15"/>
      <c r="N64" s="15"/>
      <c r="O64" s="15"/>
      <c r="P64" s="15"/>
    </row>
    <row r="65" customFormat="false" ht="15" hidden="false" customHeight="true" outlineLevel="0" collapsed="false">
      <c r="A65" s="15"/>
      <c r="B65" s="93" t="s">
        <v>85</v>
      </c>
      <c r="C65" s="15"/>
      <c r="D65" s="15"/>
      <c r="E65" s="15"/>
      <c r="F65" s="15"/>
      <c r="G65" s="94"/>
      <c r="H65" s="94"/>
      <c r="I65" s="94"/>
      <c r="J65" s="15"/>
      <c r="K65" s="15"/>
      <c r="L65" s="15"/>
      <c r="M65" s="15"/>
      <c r="N65" s="15"/>
      <c r="O65" s="15"/>
      <c r="P65" s="15"/>
    </row>
    <row r="66" customFormat="false" ht="15" hidden="false" customHeight="true" outlineLevel="0" collapsed="false">
      <c r="A66" s="15"/>
      <c r="B66" s="93" t="s">
        <v>86</v>
      </c>
      <c r="C66" s="15"/>
      <c r="D66" s="15"/>
      <c r="E66" s="15"/>
      <c r="F66" s="15"/>
      <c r="G66" s="94"/>
      <c r="H66" s="94"/>
      <c r="I66" s="94"/>
      <c r="J66" s="15"/>
      <c r="K66" s="15"/>
      <c r="L66" s="15"/>
      <c r="M66" s="15"/>
      <c r="N66" s="15"/>
      <c r="O66" s="15"/>
      <c r="P66" s="15"/>
    </row>
    <row r="67" customFormat="false" ht="15" hidden="false" customHeight="true" outlineLevel="0" collapsed="false">
      <c r="A67" s="15"/>
      <c r="B67" s="92" t="s">
        <v>87</v>
      </c>
      <c r="C67" s="74"/>
      <c r="D67" s="74"/>
      <c r="E67" s="74"/>
      <c r="F67" s="81"/>
      <c r="G67" s="97" t="n">
        <f aca="false">+G56+G61</f>
        <v>250</v>
      </c>
      <c r="H67" s="97" t="n">
        <f aca="false">+H56+H61</f>
        <v>250</v>
      </c>
      <c r="I67" s="97" t="n">
        <f aca="false">+I56+I61</f>
        <v>250</v>
      </c>
      <c r="J67" s="15"/>
      <c r="K67" s="15"/>
      <c r="L67" s="15"/>
      <c r="M67" s="15"/>
      <c r="N67" s="15"/>
      <c r="O67" s="15"/>
      <c r="P67" s="15"/>
    </row>
    <row r="68" customFormat="false" ht="15" hidden="false" customHeight="true" outlineLevel="0" collapsed="false">
      <c r="A68" s="15"/>
      <c r="B68" s="98" t="s">
        <v>88</v>
      </c>
      <c r="C68" s="75"/>
      <c r="D68" s="75"/>
      <c r="E68" s="75"/>
      <c r="F68" s="75"/>
      <c r="G68" s="64" t="n">
        <f aca="false">SUM(G69:G72)</f>
        <v>300</v>
      </c>
      <c r="H68" s="64" t="n">
        <f aca="false">SUM(H69:H72)</f>
        <v>300</v>
      </c>
      <c r="I68" s="64" t="n">
        <f aca="false">SUM(I69:I72)</f>
        <v>300</v>
      </c>
      <c r="J68" s="15"/>
      <c r="K68" s="15"/>
      <c r="L68" s="15"/>
      <c r="M68" s="15"/>
      <c r="N68" s="15"/>
      <c r="O68" s="15"/>
      <c r="P68" s="15"/>
    </row>
    <row r="69" customFormat="false" ht="15" hidden="false" customHeight="true" outlineLevel="0" collapsed="false">
      <c r="A69" s="15"/>
      <c r="B69" s="93" t="s">
        <v>89</v>
      </c>
      <c r="C69" s="15"/>
      <c r="D69" s="15"/>
      <c r="E69" s="15"/>
      <c r="F69" s="15"/>
      <c r="G69" s="76" t="n">
        <v>200</v>
      </c>
      <c r="H69" s="76" t="n">
        <v>200</v>
      </c>
      <c r="I69" s="76" t="n">
        <v>200</v>
      </c>
      <c r="J69" s="15"/>
      <c r="K69" s="15"/>
      <c r="L69" s="15"/>
      <c r="M69" s="15"/>
      <c r="N69" s="15"/>
      <c r="O69" s="15"/>
      <c r="P69" s="15"/>
    </row>
    <row r="70" customFormat="false" ht="15" hidden="false" customHeight="true" outlineLevel="0" collapsed="false">
      <c r="A70" s="15"/>
      <c r="B70" s="93" t="s">
        <v>90</v>
      </c>
      <c r="C70" s="15"/>
      <c r="D70" s="15"/>
      <c r="E70" s="15"/>
      <c r="F70" s="15"/>
      <c r="G70" s="96"/>
      <c r="H70" s="96"/>
      <c r="I70" s="96"/>
      <c r="J70" s="15"/>
      <c r="K70" s="15"/>
      <c r="L70" s="15"/>
      <c r="M70" s="15"/>
      <c r="N70" s="15"/>
      <c r="O70" s="15"/>
      <c r="P70" s="15"/>
    </row>
    <row r="71" customFormat="false" ht="15" hidden="false" customHeight="true" outlineLevel="0" collapsed="false">
      <c r="A71" s="15"/>
      <c r="B71" s="93" t="s">
        <v>91</v>
      </c>
      <c r="C71" s="15"/>
      <c r="D71" s="15"/>
      <c r="E71" s="15"/>
      <c r="F71" s="15"/>
      <c r="G71" s="64" t="n">
        <v>100</v>
      </c>
      <c r="H71" s="64" t="n">
        <v>100</v>
      </c>
      <c r="I71" s="64" t="n">
        <v>100</v>
      </c>
      <c r="J71" s="15"/>
      <c r="K71" s="15"/>
      <c r="L71" s="15"/>
      <c r="M71" s="15"/>
      <c r="N71" s="15"/>
      <c r="O71" s="15"/>
      <c r="P71" s="15"/>
    </row>
    <row r="72" customFormat="false" ht="15" hidden="false" customHeight="true" outlineLevel="0" collapsed="false">
      <c r="A72" s="15"/>
      <c r="B72" s="93" t="s">
        <v>92</v>
      </c>
      <c r="C72" s="15"/>
      <c r="D72" s="15"/>
      <c r="E72" s="15"/>
      <c r="F72" s="15"/>
      <c r="G72" s="94"/>
      <c r="H72" s="94"/>
      <c r="I72" s="94"/>
      <c r="J72" s="15"/>
      <c r="K72" s="15"/>
      <c r="L72" s="15"/>
      <c r="M72" s="15"/>
      <c r="N72" s="15"/>
      <c r="O72" s="15"/>
      <c r="P72" s="15"/>
    </row>
    <row r="73" customFormat="false" ht="15" hidden="false" customHeight="true" outlineLevel="0" collapsed="false">
      <c r="A73" s="15"/>
      <c r="B73" s="92" t="s">
        <v>93</v>
      </c>
      <c r="C73" s="74"/>
      <c r="D73" s="74"/>
      <c r="E73" s="74"/>
      <c r="F73" s="74"/>
      <c r="G73" s="64" t="n">
        <f aca="false">SUM(G74:G77)</f>
        <v>200</v>
      </c>
      <c r="H73" s="64" t="n">
        <f aca="false">SUM(H74:H77)</f>
        <v>200</v>
      </c>
      <c r="I73" s="64" t="n">
        <f aca="false">SUM(I74:I77)</f>
        <v>200</v>
      </c>
      <c r="J73" s="15"/>
      <c r="K73" s="15"/>
      <c r="L73" s="15"/>
      <c r="M73" s="15"/>
      <c r="N73" s="15"/>
      <c r="O73" s="15"/>
      <c r="P73" s="15"/>
    </row>
    <row r="74" customFormat="false" ht="15" hidden="false" customHeight="true" outlineLevel="0" collapsed="false">
      <c r="A74" s="15"/>
      <c r="B74" s="93" t="s">
        <v>94</v>
      </c>
      <c r="C74" s="15"/>
      <c r="D74" s="15"/>
      <c r="E74" s="15"/>
      <c r="F74" s="15"/>
      <c r="G74" s="76" t="n">
        <v>200</v>
      </c>
      <c r="H74" s="76" t="n">
        <v>200</v>
      </c>
      <c r="I74" s="76" t="n">
        <v>200</v>
      </c>
      <c r="J74" s="15"/>
      <c r="K74" s="15"/>
      <c r="L74" s="15"/>
      <c r="M74" s="15"/>
      <c r="N74" s="15"/>
      <c r="O74" s="15"/>
      <c r="P74" s="15"/>
    </row>
    <row r="75" customFormat="false" ht="15" hidden="false" customHeight="true" outlineLevel="0" collapsed="false">
      <c r="A75" s="15"/>
      <c r="B75" s="93" t="s">
        <v>95</v>
      </c>
      <c r="C75" s="15"/>
      <c r="D75" s="15"/>
      <c r="E75" s="15"/>
      <c r="F75" s="15"/>
      <c r="G75" s="95"/>
      <c r="H75" s="95"/>
      <c r="I75" s="95"/>
      <c r="J75" s="15"/>
      <c r="K75" s="15"/>
      <c r="L75" s="15"/>
      <c r="M75" s="15"/>
      <c r="N75" s="15"/>
      <c r="O75" s="15"/>
      <c r="P75" s="15"/>
    </row>
    <row r="76" customFormat="false" ht="15" hidden="false" customHeight="true" outlineLevel="0" collapsed="false">
      <c r="A76" s="15"/>
      <c r="B76" s="93" t="s">
        <v>96</v>
      </c>
      <c r="C76" s="15"/>
      <c r="D76" s="15"/>
      <c r="E76" s="15"/>
      <c r="F76" s="15"/>
      <c r="G76" s="96"/>
      <c r="H76" s="96"/>
      <c r="I76" s="96"/>
      <c r="J76" s="15"/>
      <c r="K76" s="15"/>
      <c r="L76" s="15"/>
      <c r="M76" s="15"/>
      <c r="N76" s="15"/>
      <c r="O76" s="15"/>
      <c r="P76" s="15"/>
    </row>
    <row r="77" customFormat="false" ht="15" hidden="false" customHeight="true" outlineLevel="0" collapsed="false">
      <c r="A77" s="15"/>
      <c r="B77" s="93" t="s">
        <v>97</v>
      </c>
      <c r="C77" s="15"/>
      <c r="D77" s="15"/>
      <c r="E77" s="15"/>
      <c r="F77" s="15"/>
      <c r="G77" s="94"/>
      <c r="H77" s="94"/>
      <c r="I77" s="94"/>
      <c r="J77" s="15"/>
      <c r="K77" s="15"/>
      <c r="L77" s="15"/>
      <c r="M77" s="15"/>
      <c r="N77" s="15"/>
      <c r="O77" s="15"/>
      <c r="P77" s="15"/>
    </row>
    <row r="78" customFormat="false" ht="15" hidden="false" customHeight="true" outlineLevel="0" collapsed="false">
      <c r="A78" s="15"/>
      <c r="B78" s="92" t="s">
        <v>98</v>
      </c>
      <c r="C78" s="74"/>
      <c r="D78" s="74"/>
      <c r="E78" s="74"/>
      <c r="F78" s="74"/>
      <c r="G78" s="97" t="n">
        <f aca="false">+G68+G73</f>
        <v>500</v>
      </c>
      <c r="H78" s="97" t="n">
        <f aca="false">+H68+H73</f>
        <v>500</v>
      </c>
      <c r="I78" s="97" t="n">
        <f aca="false">+I68+I73</f>
        <v>500</v>
      </c>
      <c r="J78" s="15"/>
      <c r="K78" s="15"/>
      <c r="L78" s="15"/>
      <c r="M78" s="15"/>
      <c r="N78" s="15"/>
      <c r="O78" s="15"/>
      <c r="P78" s="15"/>
    </row>
    <row r="79" customFormat="false" ht="15" hidden="false" customHeight="true" outlineLevel="0" collapsed="false">
      <c r="A79" s="65"/>
      <c r="B79" s="99" t="s">
        <v>99</v>
      </c>
      <c r="C79" s="88"/>
      <c r="D79" s="88"/>
      <c r="E79" s="88"/>
      <c r="F79" s="88"/>
      <c r="G79" s="100" t="n">
        <f aca="false">G67-G78</f>
        <v>-250</v>
      </c>
      <c r="H79" s="100" t="n">
        <f aca="false">H67-H78</f>
        <v>-250</v>
      </c>
      <c r="I79" s="100" t="n">
        <f aca="false">I67-I78</f>
        <v>-250</v>
      </c>
      <c r="J79" s="65"/>
      <c r="K79" s="65"/>
      <c r="L79" s="65"/>
      <c r="M79" s="65"/>
      <c r="N79" s="65"/>
      <c r="O79" s="65"/>
      <c r="P79" s="65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2.75" hidden="false" customHeight="true" outlineLevel="1" collapsed="false">
      <c r="A81" s="8"/>
      <c r="B81" s="44" t="s">
        <v>100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8"/>
    </row>
    <row r="82" customFormat="false" ht="12.75" hidden="false" customHeight="true" outlineLevel="1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2.75" hidden="false" customHeight="true" outlineLevel="1" collapsed="false">
      <c r="A83" s="3"/>
      <c r="B83" s="101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3"/>
    </row>
    <row r="84" customFormat="false" ht="12.75" hidden="false" customHeight="true" outlineLevel="1" collapsed="false">
      <c r="A84" s="51"/>
      <c r="B84" s="103" t="s">
        <v>101</v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</row>
    <row r="85" customFormat="false" ht="15" hidden="false" customHeight="true" outlineLevel="1" collapsed="false">
      <c r="A85" s="15"/>
      <c r="B85" s="56" t="s">
        <v>102</v>
      </c>
      <c r="C85" s="15"/>
      <c r="D85" s="15"/>
      <c r="E85" s="104" t="n">
        <v>30000</v>
      </c>
      <c r="F85" s="57" t="s">
        <v>103</v>
      </c>
      <c r="G85" s="15"/>
      <c r="H85" s="15"/>
      <c r="I85" s="15"/>
      <c r="J85" s="64" t="n">
        <f aca="false">$E85</f>
        <v>30000</v>
      </c>
      <c r="K85" s="64" t="n">
        <f aca="false">$E85</f>
        <v>30000</v>
      </c>
      <c r="L85" s="64" t="n">
        <f aca="false">$E85</f>
        <v>30000</v>
      </c>
      <c r="M85" s="64" t="n">
        <f aca="false">$E85</f>
        <v>30000</v>
      </c>
      <c r="N85" s="64" t="n">
        <f aca="false">$E85</f>
        <v>30000</v>
      </c>
      <c r="O85" s="105"/>
      <c r="P85" s="15"/>
    </row>
    <row r="86" customFormat="false" ht="15" hidden="false" customHeight="true" outlineLevel="1" collapsed="false">
      <c r="A86" s="15"/>
      <c r="B86" s="53" t="s">
        <v>104</v>
      </c>
      <c r="C86" s="15"/>
      <c r="D86" s="15"/>
      <c r="E86" s="104" t="n">
        <v>30000</v>
      </c>
      <c r="F86" s="57" t="s">
        <v>105</v>
      </c>
      <c r="G86" s="15"/>
      <c r="H86" s="15"/>
      <c r="I86" s="15"/>
      <c r="J86" s="64" t="n">
        <f aca="false">$E$86</f>
        <v>30000</v>
      </c>
      <c r="K86" s="64" t="n">
        <f aca="false">J86</f>
        <v>30000</v>
      </c>
      <c r="L86" s="64" t="n">
        <f aca="false">K86</f>
        <v>30000</v>
      </c>
      <c r="M86" s="64" t="n">
        <f aca="false">L86</f>
        <v>30000</v>
      </c>
      <c r="N86" s="64" t="n">
        <f aca="false">M86</f>
        <v>30000</v>
      </c>
      <c r="O86" s="105"/>
      <c r="P86" s="15"/>
    </row>
    <row r="87" customFormat="false" ht="12.75" hidden="false" customHeight="true" outlineLevel="1" collapsed="false">
      <c r="A87" s="3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3"/>
    </row>
    <row r="88" customFormat="false" ht="12.75" hidden="false" customHeight="true" outlineLevel="1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2.75" hidden="false" customHeight="true" outlineLevel="1" collapsed="false">
      <c r="A89" s="3"/>
      <c r="B89" s="101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3"/>
    </row>
    <row r="90" customFormat="false" ht="12.75" hidden="false" customHeight="true" outlineLevel="1" collapsed="false">
      <c r="A90" s="51"/>
      <c r="B90" s="103" t="s">
        <v>106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</row>
    <row r="91" customFormat="false" ht="15" hidden="false" customHeight="true" outlineLevel="1" collapsed="false">
      <c r="A91" s="15"/>
      <c r="B91" s="56" t="s">
        <v>102</v>
      </c>
      <c r="C91" s="15"/>
      <c r="D91" s="15"/>
      <c r="E91" s="104" t="n">
        <v>20000</v>
      </c>
      <c r="F91" s="57" t="s">
        <v>103</v>
      </c>
      <c r="G91" s="15"/>
      <c r="H91" s="15"/>
      <c r="I91" s="15"/>
      <c r="J91" s="64" t="n">
        <f aca="false">$E91</f>
        <v>20000</v>
      </c>
      <c r="K91" s="64" t="n">
        <f aca="false">$E91</f>
        <v>20000</v>
      </c>
      <c r="L91" s="64" t="n">
        <f aca="false">$E91</f>
        <v>20000</v>
      </c>
      <c r="M91" s="64" t="n">
        <f aca="false">$E91</f>
        <v>20000</v>
      </c>
      <c r="N91" s="64" t="n">
        <f aca="false">$E91</f>
        <v>20000</v>
      </c>
      <c r="O91" s="105"/>
      <c r="P91" s="15"/>
    </row>
    <row r="92" customFormat="false" ht="15" hidden="false" customHeight="true" outlineLevel="1" collapsed="false">
      <c r="A92" s="15"/>
      <c r="B92" s="53" t="s">
        <v>104</v>
      </c>
      <c r="C92" s="15"/>
      <c r="D92" s="15"/>
      <c r="E92" s="104" t="n">
        <v>20000</v>
      </c>
      <c r="F92" s="57" t="s">
        <v>105</v>
      </c>
      <c r="G92" s="15"/>
      <c r="H92" s="15"/>
      <c r="I92" s="15"/>
      <c r="J92" s="64" t="n">
        <f aca="false">$E$92</f>
        <v>20000</v>
      </c>
      <c r="K92" s="64" t="n">
        <f aca="false">J92</f>
        <v>20000</v>
      </c>
      <c r="L92" s="64" t="n">
        <f aca="false">K92</f>
        <v>20000</v>
      </c>
      <c r="M92" s="64" t="n">
        <f aca="false">L92</f>
        <v>20000</v>
      </c>
      <c r="N92" s="64" t="n">
        <f aca="false">M92</f>
        <v>20000</v>
      </c>
      <c r="O92" s="105"/>
      <c r="P92" s="15"/>
    </row>
    <row r="93" customFormat="false" ht="12.75" hidden="false" customHeight="true" outlineLevel="1" collapsed="false">
      <c r="A93" s="3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3"/>
    </row>
    <row r="94" customFormat="false" ht="12.75" hidden="false" customHeight="true" outlineLevel="1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customFormat="false" ht="12.75" hidden="false" customHeight="true" outlineLevel="1" collapsed="false">
      <c r="A95" s="3"/>
      <c r="B95" s="101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3"/>
    </row>
    <row r="96" customFormat="false" ht="12.75" hidden="false" customHeight="true" outlineLevel="1" collapsed="false">
      <c r="A96" s="51"/>
      <c r="B96" s="103" t="s">
        <v>107</v>
      </c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</row>
    <row r="97" customFormat="false" ht="15" hidden="false" customHeight="true" outlineLevel="1" collapsed="false">
      <c r="A97" s="15"/>
      <c r="B97" s="56" t="s">
        <v>102</v>
      </c>
      <c r="C97" s="15"/>
      <c r="D97" s="15"/>
      <c r="E97" s="104" t="n">
        <v>30000</v>
      </c>
      <c r="F97" s="57" t="s">
        <v>103</v>
      </c>
      <c r="G97" s="15"/>
      <c r="H97" s="15"/>
      <c r="I97" s="15"/>
      <c r="J97" s="64" t="n">
        <f aca="false">$E97</f>
        <v>30000</v>
      </c>
      <c r="K97" s="64" t="n">
        <f aca="false">$E97</f>
        <v>30000</v>
      </c>
      <c r="L97" s="64" t="n">
        <f aca="false">$E97</f>
        <v>30000</v>
      </c>
      <c r="M97" s="64" t="n">
        <f aca="false">$E97</f>
        <v>30000</v>
      </c>
      <c r="N97" s="64" t="n">
        <f aca="false">$E97</f>
        <v>30000</v>
      </c>
      <c r="O97" s="105"/>
      <c r="P97" s="15"/>
    </row>
    <row r="98" customFormat="false" ht="15" hidden="false" customHeight="true" outlineLevel="1" collapsed="false">
      <c r="A98" s="15"/>
      <c r="B98" s="53" t="s">
        <v>104</v>
      </c>
      <c r="C98" s="15"/>
      <c r="D98" s="15"/>
      <c r="E98" s="104" t="n">
        <v>0</v>
      </c>
      <c r="F98" s="57" t="s">
        <v>105</v>
      </c>
      <c r="G98" s="15"/>
      <c r="H98" s="15"/>
      <c r="I98" s="15"/>
      <c r="J98" s="64" t="n">
        <f aca="false">$E$98</f>
        <v>0</v>
      </c>
      <c r="K98" s="64" t="n">
        <f aca="false">J98</f>
        <v>0</v>
      </c>
      <c r="L98" s="64" t="n">
        <f aca="false">K98</f>
        <v>0</v>
      </c>
      <c r="M98" s="64" t="n">
        <f aca="false">L98</f>
        <v>0</v>
      </c>
      <c r="N98" s="64" t="n">
        <f aca="false">M98</f>
        <v>0</v>
      </c>
      <c r="O98" s="105"/>
      <c r="P98" s="15"/>
    </row>
    <row r="99" customFormat="false" ht="12.75" hidden="false" customHeight="true" outlineLevel="1" collapsed="false">
      <c r="A99" s="3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3"/>
    </row>
    <row r="100" customFormat="false" ht="12.75" hidden="false" customHeight="true" outlineLevel="1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customFormat="false" ht="12.75" hidden="false" customHeight="true" outlineLevel="1" collapsed="false">
      <c r="A101" s="3"/>
      <c r="B101" s="101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3"/>
    </row>
    <row r="102" customFormat="false" ht="12.75" hidden="false" customHeight="true" outlineLevel="1" collapsed="false">
      <c r="A102" s="51"/>
      <c r="B102" s="103" t="s">
        <v>108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</row>
    <row r="103" customFormat="false" ht="15" hidden="false" customHeight="true" outlineLevel="1" collapsed="false">
      <c r="A103" s="15"/>
      <c r="B103" s="56" t="s">
        <v>102</v>
      </c>
      <c r="C103" s="15"/>
      <c r="D103" s="15"/>
      <c r="E103" s="104" t="n">
        <v>40000</v>
      </c>
      <c r="F103" s="57" t="s">
        <v>103</v>
      </c>
      <c r="G103" s="15"/>
      <c r="H103" s="15"/>
      <c r="I103" s="15"/>
      <c r="J103" s="64" t="n">
        <f aca="false">$E103</f>
        <v>40000</v>
      </c>
      <c r="K103" s="64" t="n">
        <f aca="false">$E103</f>
        <v>40000</v>
      </c>
      <c r="L103" s="64" t="n">
        <f aca="false">$E103</f>
        <v>40000</v>
      </c>
      <c r="M103" s="64" t="n">
        <f aca="false">$E103</f>
        <v>40000</v>
      </c>
      <c r="N103" s="64" t="n">
        <f aca="false">$E103</f>
        <v>40000</v>
      </c>
      <c r="O103" s="105"/>
      <c r="P103" s="15"/>
    </row>
    <row r="104" customFormat="false" ht="15" hidden="false" customHeight="true" outlineLevel="1" collapsed="false">
      <c r="A104" s="15"/>
      <c r="B104" s="53" t="s">
        <v>104</v>
      </c>
      <c r="C104" s="15"/>
      <c r="D104" s="15"/>
      <c r="E104" s="104" t="n">
        <v>20000</v>
      </c>
      <c r="F104" s="57" t="s">
        <v>105</v>
      </c>
      <c r="G104" s="15"/>
      <c r="H104" s="15"/>
      <c r="I104" s="15"/>
      <c r="J104" s="64" t="n">
        <f aca="false">$E$104</f>
        <v>20000</v>
      </c>
      <c r="K104" s="64" t="n">
        <f aca="false">J104</f>
        <v>20000</v>
      </c>
      <c r="L104" s="64" t="n">
        <f aca="false">K104</f>
        <v>20000</v>
      </c>
      <c r="M104" s="64" t="n">
        <f aca="false">L104</f>
        <v>20000</v>
      </c>
      <c r="N104" s="64" t="n">
        <f aca="false">M104</f>
        <v>20000</v>
      </c>
      <c r="O104" s="105"/>
      <c r="P104" s="15"/>
    </row>
    <row r="105" customFormat="false" ht="12.75" hidden="false" customHeight="true" outlineLevel="1" collapsed="false">
      <c r="A105" s="3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3"/>
    </row>
    <row r="106" customFormat="false" ht="12.75" hidden="false" customHeight="true" outlineLevel="1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customFormat="false" ht="12.75" hidden="false" customHeight="true" outlineLevel="1" collapsed="false">
      <c r="A107" s="3"/>
      <c r="B107" s="101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3"/>
    </row>
    <row r="108" customFormat="false" ht="12.75" hidden="false" customHeight="true" outlineLevel="1" collapsed="false">
      <c r="A108" s="51"/>
      <c r="B108" s="103" t="s">
        <v>109</v>
      </c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</row>
    <row r="109" customFormat="false" ht="15" hidden="false" customHeight="true" outlineLevel="1" collapsed="false">
      <c r="A109" s="15"/>
      <c r="B109" s="56" t="s">
        <v>102</v>
      </c>
      <c r="C109" s="15"/>
      <c r="D109" s="15"/>
      <c r="E109" s="104" t="n">
        <v>50000</v>
      </c>
      <c r="F109" s="57" t="s">
        <v>103</v>
      </c>
      <c r="G109" s="15"/>
      <c r="H109" s="15"/>
      <c r="I109" s="15"/>
      <c r="J109" s="64" t="n">
        <f aca="false">$E109</f>
        <v>50000</v>
      </c>
      <c r="K109" s="64" t="n">
        <f aca="false">$E109</f>
        <v>50000</v>
      </c>
      <c r="L109" s="64" t="n">
        <f aca="false">$E109</f>
        <v>50000</v>
      </c>
      <c r="M109" s="64" t="n">
        <f aca="false">$E109</f>
        <v>50000</v>
      </c>
      <c r="N109" s="64" t="n">
        <f aca="false">$E109</f>
        <v>50000</v>
      </c>
      <c r="O109" s="105"/>
      <c r="P109" s="15"/>
    </row>
    <row r="110" customFormat="false" ht="15" hidden="false" customHeight="true" outlineLevel="1" collapsed="false">
      <c r="A110" s="15"/>
      <c r="B110" s="53" t="s">
        <v>104</v>
      </c>
      <c r="C110" s="15"/>
      <c r="D110" s="15"/>
      <c r="E110" s="104" t="n">
        <v>0</v>
      </c>
      <c r="F110" s="57" t="s">
        <v>105</v>
      </c>
      <c r="G110" s="15"/>
      <c r="H110" s="15"/>
      <c r="I110" s="15"/>
      <c r="J110" s="64" t="n">
        <f aca="false">$E$110</f>
        <v>0</v>
      </c>
      <c r="K110" s="64" t="n">
        <f aca="false">J110</f>
        <v>0</v>
      </c>
      <c r="L110" s="64" t="n">
        <f aca="false">K110</f>
        <v>0</v>
      </c>
      <c r="M110" s="64" t="n">
        <f aca="false">L110</f>
        <v>0</v>
      </c>
      <c r="N110" s="64" t="n">
        <f aca="false">M110</f>
        <v>0</v>
      </c>
      <c r="O110" s="105"/>
      <c r="P110" s="15"/>
    </row>
    <row r="111" customFormat="false" ht="12.75" hidden="false" customHeight="true" outlineLevel="1" collapsed="false">
      <c r="A111" s="3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3"/>
    </row>
    <row r="112" customFormat="false" ht="12.75" hidden="false" customHeight="true" outlineLevel="1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customFormat="false" ht="12.75" hidden="false" customHeight="true" outlineLevel="1" collapsed="false">
      <c r="A113" s="3"/>
      <c r="B113" s="101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3"/>
    </row>
    <row r="114" customFormat="false" ht="12.75" hidden="false" customHeight="true" outlineLevel="1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customFormat="false" ht="12.75" hidden="false" customHeight="true" outlineLevel="1" collapsed="false">
      <c r="A115" s="8"/>
      <c r="B115" s="44" t="s">
        <v>110</v>
      </c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8"/>
    </row>
    <row r="116" customFormat="false" ht="12.75" hidden="false" customHeight="true" outlineLevel="1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customFormat="false" ht="12.75" hidden="false" customHeight="true" outlineLevel="1" collapsed="false">
      <c r="A117" s="3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8"/>
    </row>
    <row r="118" customFormat="false" ht="12.75" hidden="false" customHeight="true" outlineLevel="1" collapsed="false">
      <c r="A118" s="51"/>
      <c r="B118" s="103" t="s">
        <v>111</v>
      </c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51"/>
    </row>
    <row r="119" customFormat="false" ht="15" hidden="false" customHeight="true" outlineLevel="1" collapsed="false">
      <c r="A119" s="15"/>
      <c r="B119" s="53" t="s">
        <v>102</v>
      </c>
      <c r="C119" s="15"/>
      <c r="D119" s="15"/>
      <c r="E119" s="104" t="n">
        <v>20000</v>
      </c>
      <c r="F119" s="57" t="s">
        <v>103</v>
      </c>
      <c r="G119" s="15"/>
      <c r="H119" s="15"/>
      <c r="I119" s="15"/>
      <c r="J119" s="64" t="n">
        <f aca="false">E119</f>
        <v>20000</v>
      </c>
      <c r="K119" s="64" t="n">
        <f aca="false">J119</f>
        <v>20000</v>
      </c>
      <c r="L119" s="64" t="n">
        <f aca="false">K119</f>
        <v>20000</v>
      </c>
      <c r="M119" s="64" t="n">
        <f aca="false">L119</f>
        <v>20000</v>
      </c>
      <c r="N119" s="64" t="n">
        <f aca="false">M119</f>
        <v>20000</v>
      </c>
      <c r="O119" s="105"/>
      <c r="P119" s="15"/>
    </row>
    <row r="120" customFormat="false" ht="15" hidden="false" customHeight="true" outlineLevel="1" collapsed="false">
      <c r="A120" s="15"/>
      <c r="B120" s="53" t="s">
        <v>104</v>
      </c>
      <c r="C120" s="15"/>
      <c r="D120" s="15"/>
      <c r="E120" s="104" t="n">
        <v>20000</v>
      </c>
      <c r="F120" s="57" t="s">
        <v>105</v>
      </c>
      <c r="G120" s="15"/>
      <c r="H120" s="15"/>
      <c r="I120" s="15"/>
      <c r="J120" s="64" t="n">
        <f aca="false">E120</f>
        <v>20000</v>
      </c>
      <c r="K120" s="64" t="n">
        <f aca="false">J120</f>
        <v>20000</v>
      </c>
      <c r="L120" s="64" t="n">
        <f aca="false">K120</f>
        <v>20000</v>
      </c>
      <c r="M120" s="64" t="n">
        <f aca="false">L120</f>
        <v>20000</v>
      </c>
      <c r="N120" s="64" t="n">
        <f aca="false">M120</f>
        <v>20000</v>
      </c>
      <c r="O120" s="105"/>
      <c r="P120" s="15"/>
    </row>
    <row r="121" customFormat="false" ht="12.75" hidden="false" customHeight="true" outlineLevel="1" collapsed="false">
      <c r="A121" s="3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3"/>
    </row>
    <row r="122" customFormat="false" ht="12.75" hidden="false" customHeight="true" outlineLevel="1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customFormat="false" ht="12.75" hidden="false" customHeight="true" outlineLevel="1" collapsed="false">
      <c r="A123" s="3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8"/>
    </row>
    <row r="124" customFormat="false" ht="15" hidden="false" customHeight="true" outlineLevel="1" collapsed="false">
      <c r="A124" s="51"/>
      <c r="B124" s="103" t="s">
        <v>112</v>
      </c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51"/>
    </row>
    <row r="125" customFormat="false" ht="15" hidden="false" customHeight="true" outlineLevel="1" collapsed="false">
      <c r="A125" s="15"/>
      <c r="B125" s="110" t="s">
        <v>113</v>
      </c>
      <c r="C125" s="15"/>
      <c r="D125" s="15"/>
      <c r="E125" s="111"/>
      <c r="F125" s="57" t="s">
        <v>114</v>
      </c>
      <c r="G125" s="112" t="n">
        <f aca="false">G32</f>
        <v>100</v>
      </c>
      <c r="H125" s="112" t="n">
        <f aca="false">H32</f>
        <v>100</v>
      </c>
      <c r="I125" s="112" t="n">
        <f aca="false">I32</f>
        <v>100</v>
      </c>
      <c r="J125" s="113" t="n">
        <f aca="false">E125</f>
        <v>0</v>
      </c>
      <c r="K125" s="113" t="n">
        <f aca="false">J125</f>
        <v>0</v>
      </c>
      <c r="L125" s="113" t="n">
        <f aca="false">K125</f>
        <v>0</v>
      </c>
      <c r="M125" s="113" t="n">
        <f aca="false">L125</f>
        <v>0</v>
      </c>
      <c r="N125" s="113" t="n">
        <f aca="false">M125</f>
        <v>0</v>
      </c>
      <c r="O125" s="114"/>
      <c r="P125" s="15"/>
    </row>
    <row r="126" customFormat="false" ht="15" hidden="false" customHeight="true" outlineLevel="1" collapsed="false">
      <c r="A126" s="15"/>
      <c r="B126" s="53" t="s">
        <v>115</v>
      </c>
      <c r="C126" s="15"/>
      <c r="D126" s="15"/>
      <c r="E126" s="115" t="n">
        <f aca="false">AVERAGE(G126:I126)</f>
        <v>0.0849206349206349</v>
      </c>
      <c r="F126" s="57" t="s">
        <v>43</v>
      </c>
      <c r="G126" s="116" t="n">
        <f aca="false">G125/G$28</f>
        <v>0.1</v>
      </c>
      <c r="H126" s="116" t="n">
        <f aca="false">H125/H$28</f>
        <v>0.0833333333333333</v>
      </c>
      <c r="I126" s="116" t="n">
        <f aca="false">I125/I$28</f>
        <v>0.0714285714285714</v>
      </c>
      <c r="J126" s="117" t="n">
        <f aca="false">E126</f>
        <v>0.0849206349206349</v>
      </c>
      <c r="K126" s="117" t="n">
        <f aca="false">J126</f>
        <v>0.0849206349206349</v>
      </c>
      <c r="L126" s="117" t="n">
        <f aca="false">K126</f>
        <v>0.0849206349206349</v>
      </c>
      <c r="M126" s="117" t="n">
        <f aca="false">L126</f>
        <v>0.0849206349206349</v>
      </c>
      <c r="N126" s="117" t="n">
        <f aca="false">M126</f>
        <v>0.0849206349206349</v>
      </c>
      <c r="O126" s="118"/>
      <c r="P126" s="15"/>
    </row>
    <row r="127" customFormat="false" ht="12.75" hidden="false" customHeight="true" outlineLevel="1" collapsed="false">
      <c r="A127" s="3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3"/>
    </row>
    <row r="128" customFormat="false" ht="12.75" hidden="false" customHeight="true" outlineLevel="1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customFormat="false" ht="12.75" hidden="false" customHeight="true" outlineLevel="1" collapsed="false">
      <c r="A129" s="3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8"/>
    </row>
    <row r="130" customFormat="false" ht="15" hidden="false" customHeight="true" outlineLevel="1" collapsed="false">
      <c r="A130" s="51"/>
      <c r="B130" s="103" t="s">
        <v>116</v>
      </c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51"/>
    </row>
    <row r="131" customFormat="false" ht="15" hidden="false" customHeight="true" outlineLevel="1" collapsed="false">
      <c r="A131" s="15"/>
      <c r="B131" s="110" t="s">
        <v>113</v>
      </c>
      <c r="C131" s="15"/>
      <c r="D131" s="15"/>
      <c r="E131" s="104" t="n">
        <f aca="false">I131</f>
        <v>200</v>
      </c>
      <c r="F131" s="57" t="s">
        <v>114</v>
      </c>
      <c r="G131" s="112" t="n">
        <f aca="false">G33</f>
        <v>200</v>
      </c>
      <c r="H131" s="112" t="n">
        <f aca="false">H33</f>
        <v>200</v>
      </c>
      <c r="I131" s="112" t="n">
        <f aca="false">I33</f>
        <v>200</v>
      </c>
      <c r="J131" s="64" t="n">
        <f aca="false">E131</f>
        <v>200</v>
      </c>
      <c r="K131" s="64" t="n">
        <f aca="false">J131</f>
        <v>200</v>
      </c>
      <c r="L131" s="64" t="n">
        <f aca="false">K131</f>
        <v>200</v>
      </c>
      <c r="M131" s="64" t="n">
        <f aca="false">L131</f>
        <v>200</v>
      </c>
      <c r="N131" s="64" t="n">
        <f aca="false">M131</f>
        <v>200</v>
      </c>
      <c r="O131" s="105"/>
      <c r="P131" s="15"/>
    </row>
    <row r="132" customFormat="false" ht="12.75" hidden="false" customHeight="true" outlineLevel="1" collapsed="false">
      <c r="A132" s="3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3"/>
    </row>
    <row r="133" customFormat="false" ht="12.75" hidden="false" customHeight="true" outlineLevel="1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customFormat="false" ht="12.75" hidden="false" customHeight="true" outlineLevel="1" collapsed="false">
      <c r="A134" s="3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8"/>
    </row>
    <row r="135" customFormat="false" ht="12.75" hidden="false" customHeight="true" outlineLevel="1" collapsed="false">
      <c r="A135" s="51"/>
      <c r="B135" s="103" t="s">
        <v>117</v>
      </c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51"/>
    </row>
    <row r="136" customFormat="false" ht="15" hidden="false" customHeight="true" outlineLevel="1" collapsed="false">
      <c r="A136" s="15"/>
      <c r="B136" s="53" t="s">
        <v>102</v>
      </c>
      <c r="C136" s="15"/>
      <c r="D136" s="15"/>
      <c r="E136" s="104" t="n">
        <v>0</v>
      </c>
      <c r="F136" s="57" t="s">
        <v>103</v>
      </c>
      <c r="G136" s="15"/>
      <c r="H136" s="15"/>
      <c r="I136" s="15"/>
      <c r="J136" s="113" t="n">
        <f aca="false">E136</f>
        <v>0</v>
      </c>
      <c r="K136" s="113" t="n">
        <f aca="false">J136</f>
        <v>0</v>
      </c>
      <c r="L136" s="113" t="n">
        <f aca="false">K136</f>
        <v>0</v>
      </c>
      <c r="M136" s="113" t="n">
        <f aca="false">L136</f>
        <v>0</v>
      </c>
      <c r="N136" s="113" t="n">
        <f aca="false">M136</f>
        <v>0</v>
      </c>
      <c r="O136" s="114"/>
      <c r="P136" s="15"/>
    </row>
    <row r="137" customFormat="false" ht="15" hidden="false" customHeight="true" outlineLevel="1" collapsed="false">
      <c r="A137" s="15"/>
      <c r="B137" s="53" t="s">
        <v>104</v>
      </c>
      <c r="C137" s="15"/>
      <c r="D137" s="15"/>
      <c r="E137" s="104" t="n">
        <v>0</v>
      </c>
      <c r="F137" s="57" t="s">
        <v>105</v>
      </c>
      <c r="G137" s="15"/>
      <c r="H137" s="15"/>
      <c r="I137" s="15"/>
      <c r="J137" s="113" t="n">
        <f aca="false">E137</f>
        <v>0</v>
      </c>
      <c r="K137" s="113" t="n">
        <f aca="false">J137</f>
        <v>0</v>
      </c>
      <c r="L137" s="113" t="n">
        <f aca="false">K137</f>
        <v>0</v>
      </c>
      <c r="M137" s="113" t="n">
        <f aca="false">L137</f>
        <v>0</v>
      </c>
      <c r="N137" s="113" t="n">
        <f aca="false">M137</f>
        <v>0</v>
      </c>
      <c r="O137" s="114"/>
      <c r="P137" s="15"/>
    </row>
    <row r="138" customFormat="false" ht="12.75" hidden="false" customHeight="true" outlineLevel="1" collapsed="false">
      <c r="A138" s="3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3"/>
    </row>
    <row r="139" customFormat="false" ht="12.75" hidden="false" customHeight="true" outlineLevel="1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customFormat="false" ht="12.75" hidden="false" customHeight="true" outlineLevel="1" collapsed="false">
      <c r="A140" s="3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8"/>
    </row>
    <row r="141" customFormat="false" ht="12.75" hidden="false" customHeight="true" outlineLevel="1" collapsed="false">
      <c r="A141" s="51"/>
      <c r="B141" s="103" t="s">
        <v>118</v>
      </c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51"/>
    </row>
    <row r="142" customFormat="false" ht="15" hidden="false" customHeight="true" outlineLevel="1" collapsed="false">
      <c r="A142" s="15"/>
      <c r="B142" s="53" t="s">
        <v>102</v>
      </c>
      <c r="C142" s="15"/>
      <c r="D142" s="15"/>
      <c r="E142" s="104" t="n">
        <v>0</v>
      </c>
      <c r="F142" s="57" t="s">
        <v>103</v>
      </c>
      <c r="G142" s="15"/>
      <c r="H142" s="15"/>
      <c r="I142" s="15"/>
      <c r="J142" s="113" t="n">
        <f aca="false">E142</f>
        <v>0</v>
      </c>
      <c r="K142" s="113" t="n">
        <f aca="false">J142</f>
        <v>0</v>
      </c>
      <c r="L142" s="113" t="n">
        <f aca="false">K142</f>
        <v>0</v>
      </c>
      <c r="M142" s="113" t="n">
        <f aca="false">L142</f>
        <v>0</v>
      </c>
      <c r="N142" s="113" t="n">
        <f aca="false">M142</f>
        <v>0</v>
      </c>
      <c r="O142" s="114"/>
      <c r="P142" s="15"/>
    </row>
    <row r="143" customFormat="false" ht="15" hidden="false" customHeight="true" outlineLevel="1" collapsed="false">
      <c r="A143" s="15"/>
      <c r="B143" s="53" t="s">
        <v>104</v>
      </c>
      <c r="C143" s="15"/>
      <c r="D143" s="15"/>
      <c r="E143" s="104" t="n">
        <v>0</v>
      </c>
      <c r="F143" s="57" t="s">
        <v>105</v>
      </c>
      <c r="G143" s="15"/>
      <c r="H143" s="15"/>
      <c r="I143" s="15"/>
      <c r="J143" s="113" t="n">
        <f aca="false">E143</f>
        <v>0</v>
      </c>
      <c r="K143" s="113" t="n">
        <f aca="false">J143</f>
        <v>0</v>
      </c>
      <c r="L143" s="113" t="n">
        <f aca="false">K143</f>
        <v>0</v>
      </c>
      <c r="M143" s="113" t="n">
        <f aca="false">L143</f>
        <v>0</v>
      </c>
      <c r="N143" s="113" t="n">
        <f aca="false">M143</f>
        <v>0</v>
      </c>
      <c r="O143" s="114"/>
      <c r="P143" s="15"/>
    </row>
    <row r="144" customFormat="false" ht="12.75" hidden="false" customHeight="true" outlineLevel="1" collapsed="false">
      <c r="A144" s="3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3"/>
    </row>
    <row r="145" customFormat="false" ht="12.75" hidden="false" customHeight="true" outlineLevel="1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customFormat="false" ht="12.75" hidden="false" customHeight="true" outlineLevel="1" collapsed="false">
      <c r="A146" s="3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8"/>
    </row>
    <row r="147" customFormat="false" ht="12.75" hidden="false" customHeight="true" outlineLevel="1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customFormat="false" ht="12.75" hidden="false" customHeight="true" outlineLevel="1" collapsed="false">
      <c r="A148" s="8"/>
      <c r="B148" s="44" t="s">
        <v>119</v>
      </c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8"/>
    </row>
    <row r="149" customFormat="false" ht="12.75" hidden="false" customHeight="true" outlineLevel="1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customFormat="false" ht="12.75" hidden="false" customHeight="true" outlineLevel="1" collapsed="false">
      <c r="A150" s="3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8"/>
    </row>
    <row r="151" customFormat="false" ht="12.75" hidden="false" customHeight="true" outlineLevel="1" collapsed="false">
      <c r="A151" s="51"/>
      <c r="B151" s="103" t="s">
        <v>120</v>
      </c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51"/>
    </row>
    <row r="152" customFormat="false" ht="15" hidden="false" customHeight="true" outlineLevel="1" collapsed="false">
      <c r="A152" s="15"/>
      <c r="B152" s="110" t="s">
        <v>121</v>
      </c>
      <c r="C152" s="15"/>
      <c r="D152" s="15"/>
      <c r="E152" s="111"/>
      <c r="F152" s="57" t="s">
        <v>114</v>
      </c>
      <c r="G152" s="112" t="n">
        <f aca="false">G37</f>
        <v>50</v>
      </c>
      <c r="H152" s="112" t="n">
        <f aca="false">H37</f>
        <v>50</v>
      </c>
      <c r="I152" s="112" t="n">
        <f aca="false">I37</f>
        <v>50</v>
      </c>
      <c r="J152" s="113" t="n">
        <f aca="false">E152</f>
        <v>0</v>
      </c>
      <c r="K152" s="113" t="n">
        <f aca="false">J152</f>
        <v>0</v>
      </c>
      <c r="L152" s="113" t="n">
        <f aca="false">K152</f>
        <v>0</v>
      </c>
      <c r="M152" s="113" t="n">
        <f aca="false">L152</f>
        <v>0</v>
      </c>
      <c r="N152" s="113" t="n">
        <f aca="false">M152</f>
        <v>0</v>
      </c>
      <c r="O152" s="114"/>
      <c r="P152" s="15"/>
    </row>
    <row r="153" customFormat="false" ht="15" hidden="false" customHeight="true" outlineLevel="1" collapsed="false">
      <c r="A153" s="15"/>
      <c r="B153" s="53" t="s">
        <v>115</v>
      </c>
      <c r="C153" s="15"/>
      <c r="D153" s="15"/>
      <c r="E153" s="115" t="n">
        <f aca="false">AVERAGE(G153:I153)</f>
        <v>0.0424603174603175</v>
      </c>
      <c r="F153" s="57" t="s">
        <v>43</v>
      </c>
      <c r="G153" s="116" t="n">
        <f aca="false">G152/G$28</f>
        <v>0.05</v>
      </c>
      <c r="H153" s="116" t="n">
        <f aca="false">H152/H$28</f>
        <v>0.0416666666666667</v>
      </c>
      <c r="I153" s="116" t="n">
        <f aca="false">I152/I$28</f>
        <v>0.0357142857142857</v>
      </c>
      <c r="J153" s="119" t="n">
        <f aca="false">E153</f>
        <v>0.0424603174603175</v>
      </c>
      <c r="K153" s="119" t="n">
        <f aca="false">J153</f>
        <v>0.0424603174603175</v>
      </c>
      <c r="L153" s="119" t="n">
        <f aca="false">K153</f>
        <v>0.0424603174603175</v>
      </c>
      <c r="M153" s="119" t="n">
        <f aca="false">L153</f>
        <v>0.0424603174603175</v>
      </c>
      <c r="N153" s="119" t="n">
        <f aca="false">M153</f>
        <v>0.0424603174603175</v>
      </c>
      <c r="O153" s="120"/>
      <c r="P153" s="15"/>
    </row>
    <row r="154" customFormat="false" ht="12.75" hidden="false" customHeight="true" outlineLevel="1" collapsed="false">
      <c r="A154" s="3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3"/>
    </row>
    <row r="155" customFormat="false" ht="12.75" hidden="false" customHeight="true" outlineLevel="1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customFormat="false" ht="12.75" hidden="false" customHeight="true" outlineLevel="1" collapsed="false">
      <c r="A156" s="51"/>
      <c r="B156" s="103" t="s">
        <v>122</v>
      </c>
      <c r="C156" s="109"/>
      <c r="D156" s="109"/>
      <c r="E156" s="109"/>
      <c r="F156" s="109"/>
      <c r="G156" s="51"/>
      <c r="H156" s="109"/>
      <c r="I156" s="109"/>
      <c r="J156" s="109"/>
      <c r="K156" s="109"/>
      <c r="L156" s="109"/>
      <c r="M156" s="109"/>
      <c r="N156" s="109"/>
      <c r="O156" s="109"/>
      <c r="P156" s="51"/>
    </row>
    <row r="157" customFormat="false" ht="15" hidden="false" customHeight="true" outlineLevel="1" collapsed="false">
      <c r="A157" s="15"/>
      <c r="B157" s="110" t="s">
        <v>121</v>
      </c>
      <c r="C157" s="15"/>
      <c r="D157" s="15"/>
      <c r="E157" s="111"/>
      <c r="F157" s="57" t="s">
        <v>114</v>
      </c>
      <c r="G157" s="112" t="n">
        <f aca="false">G38</f>
        <v>60</v>
      </c>
      <c r="H157" s="112" t="n">
        <f aca="false">H38</f>
        <v>60</v>
      </c>
      <c r="I157" s="112" t="n">
        <f aca="false">I38</f>
        <v>60</v>
      </c>
      <c r="J157" s="113" t="n">
        <f aca="false">E157</f>
        <v>0</v>
      </c>
      <c r="K157" s="113" t="n">
        <f aca="false">J157</f>
        <v>0</v>
      </c>
      <c r="L157" s="113" t="n">
        <f aca="false">K157</f>
        <v>0</v>
      </c>
      <c r="M157" s="113" t="n">
        <f aca="false">L157</f>
        <v>0</v>
      </c>
      <c r="N157" s="113" t="n">
        <f aca="false">M157</f>
        <v>0</v>
      </c>
      <c r="O157" s="114"/>
      <c r="P157" s="15"/>
    </row>
    <row r="158" customFormat="false" ht="15" hidden="false" customHeight="true" outlineLevel="1" collapsed="false">
      <c r="A158" s="15"/>
      <c r="B158" s="53" t="s">
        <v>115</v>
      </c>
      <c r="C158" s="15"/>
      <c r="D158" s="15"/>
      <c r="E158" s="115" t="n">
        <f aca="false">AVERAGE(G158:I158)</f>
        <v>0.050952380952381</v>
      </c>
      <c r="F158" s="57" t="s">
        <v>43</v>
      </c>
      <c r="G158" s="116" t="n">
        <f aca="false">G157/G$28</f>
        <v>0.06</v>
      </c>
      <c r="H158" s="116" t="n">
        <f aca="false">H157/H$28</f>
        <v>0.05</v>
      </c>
      <c r="I158" s="116" t="n">
        <f aca="false">I157/I$28</f>
        <v>0.0428571428571429</v>
      </c>
      <c r="J158" s="119" t="n">
        <f aca="false">E158</f>
        <v>0.050952380952381</v>
      </c>
      <c r="K158" s="119" t="n">
        <f aca="false">J158</f>
        <v>0.050952380952381</v>
      </c>
      <c r="L158" s="119" t="n">
        <f aca="false">K158</f>
        <v>0.050952380952381</v>
      </c>
      <c r="M158" s="119" t="n">
        <f aca="false">L158</f>
        <v>0.050952380952381</v>
      </c>
      <c r="N158" s="119" t="n">
        <f aca="false">M158</f>
        <v>0.050952380952381</v>
      </c>
      <c r="O158" s="120"/>
      <c r="P158" s="15"/>
    </row>
    <row r="159" customFormat="false" ht="12.75" hidden="false" customHeight="true" outlineLevel="1" collapsed="false">
      <c r="A159" s="3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3"/>
    </row>
    <row r="160" customFormat="false" ht="12.75" hidden="false" customHeight="true" outlineLevel="1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customFormat="false" ht="12.75" hidden="false" customHeight="true" outlineLevel="1" collapsed="false">
      <c r="A161" s="51"/>
      <c r="B161" s="103" t="s">
        <v>123</v>
      </c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51"/>
    </row>
    <row r="162" customFormat="false" ht="15" hidden="false" customHeight="true" outlineLevel="1" collapsed="false">
      <c r="A162" s="15"/>
      <c r="B162" s="110" t="s">
        <v>121</v>
      </c>
      <c r="C162" s="15"/>
      <c r="D162" s="15"/>
      <c r="E162" s="111"/>
      <c r="F162" s="57" t="s">
        <v>114</v>
      </c>
      <c r="G162" s="112" t="n">
        <f aca="false">G39</f>
        <v>70</v>
      </c>
      <c r="H162" s="112" t="n">
        <f aca="false">H39</f>
        <v>70</v>
      </c>
      <c r="I162" s="112" t="n">
        <f aca="false">I39</f>
        <v>70</v>
      </c>
      <c r="J162" s="113" t="n">
        <f aca="false">E162</f>
        <v>0</v>
      </c>
      <c r="K162" s="113" t="n">
        <f aca="false">J162</f>
        <v>0</v>
      </c>
      <c r="L162" s="113" t="n">
        <f aca="false">K162</f>
        <v>0</v>
      </c>
      <c r="M162" s="113" t="n">
        <f aca="false">L162</f>
        <v>0</v>
      </c>
      <c r="N162" s="113" t="n">
        <f aca="false">M162</f>
        <v>0</v>
      </c>
      <c r="O162" s="114"/>
      <c r="P162" s="15"/>
    </row>
    <row r="163" customFormat="false" ht="15" hidden="false" customHeight="true" outlineLevel="1" collapsed="false">
      <c r="A163" s="15"/>
      <c r="B163" s="53" t="s">
        <v>115</v>
      </c>
      <c r="C163" s="15"/>
      <c r="D163" s="15"/>
      <c r="E163" s="115" t="n">
        <f aca="false">AVERAGE(G163:I163)</f>
        <v>0.0594444444444444</v>
      </c>
      <c r="F163" s="57" t="s">
        <v>43</v>
      </c>
      <c r="G163" s="116" t="n">
        <f aca="false">G162/G$28</f>
        <v>0.07</v>
      </c>
      <c r="H163" s="116" t="n">
        <f aca="false">H162/H$28</f>
        <v>0.0583333333333333</v>
      </c>
      <c r="I163" s="116" t="n">
        <f aca="false">I162/I$28</f>
        <v>0.05</v>
      </c>
      <c r="J163" s="119" t="n">
        <f aca="false">E163</f>
        <v>0.0594444444444444</v>
      </c>
      <c r="K163" s="119" t="n">
        <f aca="false">J163</f>
        <v>0.0594444444444444</v>
      </c>
      <c r="L163" s="119" t="n">
        <f aca="false">K163</f>
        <v>0.0594444444444444</v>
      </c>
      <c r="M163" s="119" t="n">
        <f aca="false">L163</f>
        <v>0.0594444444444444</v>
      </c>
      <c r="N163" s="119" t="n">
        <f aca="false">M163</f>
        <v>0.0594444444444444</v>
      </c>
      <c r="O163" s="120"/>
      <c r="P163" s="15"/>
    </row>
    <row r="164" customFormat="false" ht="12.75" hidden="false" customHeight="true" outlineLevel="1" collapsed="false">
      <c r="A164" s="3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3"/>
    </row>
    <row r="165" customFormat="false" ht="12.75" hidden="false" customHeight="true" outlineLevel="1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customFormat="false" ht="12.75" hidden="false" customHeight="true" outlineLevel="1" collapsed="false">
      <c r="A166" s="3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8"/>
    </row>
    <row r="167" customFormat="false" ht="12.75" hidden="false" customHeight="true" outlineLevel="1" collapsed="false">
      <c r="A167" s="51"/>
      <c r="B167" s="103" t="s">
        <v>124</v>
      </c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51"/>
    </row>
    <row r="168" customFormat="false" ht="15" hidden="false" customHeight="true" outlineLevel="1" collapsed="false">
      <c r="A168" s="15"/>
      <c r="B168" s="110" t="s">
        <v>125</v>
      </c>
      <c r="C168" s="15"/>
      <c r="D168" s="15"/>
      <c r="E168" s="104" t="n">
        <f aca="false">I168</f>
        <v>50</v>
      </c>
      <c r="F168" s="57" t="s">
        <v>114</v>
      </c>
      <c r="G168" s="112" t="n">
        <f aca="false">G40</f>
        <v>50</v>
      </c>
      <c r="H168" s="112" t="n">
        <f aca="false">H40</f>
        <v>50</v>
      </c>
      <c r="I168" s="112" t="n">
        <f aca="false">I40</f>
        <v>50</v>
      </c>
      <c r="J168" s="64" t="n">
        <f aca="false">E168</f>
        <v>50</v>
      </c>
      <c r="K168" s="64" t="n">
        <f aca="false">J168</f>
        <v>50</v>
      </c>
      <c r="L168" s="64" t="n">
        <f aca="false">K168</f>
        <v>50</v>
      </c>
      <c r="M168" s="64" t="n">
        <f aca="false">L168</f>
        <v>50</v>
      </c>
      <c r="N168" s="64" t="n">
        <f aca="false">M168</f>
        <v>50</v>
      </c>
      <c r="O168" s="105"/>
      <c r="P168" s="15"/>
    </row>
    <row r="169" customFormat="false" ht="12.75" hidden="false" customHeight="true" outlineLevel="1" collapsed="false">
      <c r="A169" s="3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3"/>
    </row>
    <row r="170" customFormat="false" ht="12.75" hidden="false" customHeight="true" outlineLevel="1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customFormat="false" ht="12.75" hidden="false" customHeight="true" outlineLevel="1" collapsed="false">
      <c r="A171" s="3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8"/>
    </row>
    <row r="172" customFormat="false" ht="12.75" hidden="false" customHeight="true" outlineLevel="1" collapsed="false">
      <c r="A172" s="51"/>
      <c r="B172" s="103" t="s">
        <v>126</v>
      </c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51"/>
    </row>
    <row r="173" customFormat="false" ht="15" hidden="false" customHeight="true" outlineLevel="1" collapsed="false">
      <c r="A173" s="15"/>
      <c r="B173" s="53" t="s">
        <v>102</v>
      </c>
      <c r="C173" s="15"/>
      <c r="D173" s="15"/>
      <c r="E173" s="104"/>
      <c r="F173" s="57" t="s">
        <v>103</v>
      </c>
      <c r="G173" s="15"/>
      <c r="H173" s="15"/>
      <c r="I173" s="15"/>
      <c r="J173" s="64" t="n">
        <f aca="false">E173</f>
        <v>0</v>
      </c>
      <c r="K173" s="64" t="n">
        <f aca="false">J173</f>
        <v>0</v>
      </c>
      <c r="L173" s="64" t="n">
        <f aca="false">K173</f>
        <v>0</v>
      </c>
      <c r="M173" s="64" t="n">
        <f aca="false">L173</f>
        <v>0</v>
      </c>
      <c r="N173" s="64" t="n">
        <f aca="false">M173</f>
        <v>0</v>
      </c>
      <c r="O173" s="105"/>
      <c r="P173" s="15"/>
    </row>
    <row r="174" customFormat="false" ht="15" hidden="false" customHeight="true" outlineLevel="1" collapsed="false">
      <c r="A174" s="15"/>
      <c r="B174" s="53" t="s">
        <v>104</v>
      </c>
      <c r="C174" s="15"/>
      <c r="D174" s="15"/>
      <c r="E174" s="104"/>
      <c r="F174" s="57" t="s">
        <v>105</v>
      </c>
      <c r="G174" s="15"/>
      <c r="H174" s="15"/>
      <c r="I174" s="15"/>
      <c r="J174" s="64" t="n">
        <f aca="false">E174</f>
        <v>0</v>
      </c>
      <c r="K174" s="64" t="n">
        <f aca="false">J174</f>
        <v>0</v>
      </c>
      <c r="L174" s="64" t="n">
        <f aca="false">K174</f>
        <v>0</v>
      </c>
      <c r="M174" s="64" t="n">
        <f aca="false">L174</f>
        <v>0</v>
      </c>
      <c r="N174" s="64" t="n">
        <f aca="false">M174</f>
        <v>0</v>
      </c>
      <c r="O174" s="105"/>
      <c r="P174" s="15"/>
    </row>
    <row r="175" customFormat="false" ht="12.75" hidden="false" customHeight="true" outlineLevel="1" collapsed="false">
      <c r="A175" s="3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3"/>
    </row>
    <row r="176" customFormat="false" ht="12.75" hidden="false" customHeight="true" outlineLevel="1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customFormat="false" ht="12.75" hidden="false" customHeight="true" outlineLevel="1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customFormat="false" ht="12.75" hidden="false" customHeight="true" outlineLevel="1" collapsed="false">
      <c r="A178" s="8"/>
      <c r="B178" s="44" t="s">
        <v>127</v>
      </c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8"/>
    </row>
    <row r="179" customFormat="false" ht="12.75" hidden="false" customHeight="true" outlineLevel="1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customFormat="false" ht="15" hidden="false" customHeight="true" outlineLevel="1" collapsed="false">
      <c r="A180" s="51"/>
      <c r="B180" s="121" t="s">
        <v>128</v>
      </c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51"/>
      <c r="P180" s="51"/>
    </row>
    <row r="181" customFormat="false" ht="12.75" hidden="false" customHeight="true" outlineLevel="1" collapsed="false">
      <c r="A181" s="8"/>
      <c r="B181" s="45" t="s">
        <v>129</v>
      </c>
      <c r="C181" s="8"/>
      <c r="D181" s="8"/>
      <c r="E181" s="8"/>
      <c r="F181" s="122" t="s">
        <v>130</v>
      </c>
      <c r="G181" s="123" t="n">
        <f aca="false">G31</f>
        <v>100</v>
      </c>
      <c r="H181" s="123" t="n">
        <f aca="false">H31</f>
        <v>100</v>
      </c>
      <c r="I181" s="123" t="n">
        <f aca="false">I31</f>
        <v>100</v>
      </c>
      <c r="J181" s="8"/>
      <c r="K181" s="8"/>
      <c r="L181" s="8"/>
      <c r="M181" s="8"/>
      <c r="N181" s="8"/>
      <c r="O181" s="8"/>
      <c r="P181" s="8"/>
    </row>
    <row r="182" customFormat="false" ht="12.75" hidden="false" customHeight="true" outlineLevel="1" collapsed="false">
      <c r="A182" s="8"/>
      <c r="B182" s="124" t="s">
        <v>131</v>
      </c>
      <c r="C182" s="125"/>
      <c r="D182" s="125"/>
      <c r="E182" s="125"/>
      <c r="F182" s="126" t="s">
        <v>130</v>
      </c>
      <c r="G182" s="127" t="n">
        <f aca="false">G36</f>
        <v>100</v>
      </c>
      <c r="H182" s="127" t="n">
        <f aca="false">H36</f>
        <v>100</v>
      </c>
      <c r="I182" s="127" t="n">
        <f aca="false">I36</f>
        <v>100</v>
      </c>
      <c r="J182" s="125"/>
      <c r="K182" s="125"/>
      <c r="L182" s="125"/>
      <c r="M182" s="125"/>
      <c r="N182" s="125"/>
      <c r="O182" s="8"/>
      <c r="P182" s="8"/>
    </row>
    <row r="183" customFormat="false" ht="12.75" hidden="false" customHeight="true" outlineLevel="1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customFormat="false" ht="15" hidden="false" customHeight="true" outlineLevel="1" collapsed="false">
      <c r="A184" s="51"/>
      <c r="B184" s="121" t="s">
        <v>132</v>
      </c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51"/>
      <c r="P184" s="51"/>
    </row>
    <row r="185" customFormat="false" ht="15" hidden="false" customHeight="true" outlineLevel="1" collapsed="false">
      <c r="A185" s="8"/>
      <c r="B185" s="45" t="s">
        <v>133</v>
      </c>
      <c r="C185" s="8"/>
      <c r="D185" s="8"/>
      <c r="E185" s="8"/>
      <c r="F185" s="128" t="s">
        <v>134</v>
      </c>
      <c r="G185" s="45" t="n">
        <v>2</v>
      </c>
      <c r="H185" s="45" t="n">
        <v>2</v>
      </c>
      <c r="I185" s="45" t="n">
        <v>2</v>
      </c>
      <c r="J185" s="129" t="n">
        <v>3</v>
      </c>
      <c r="K185" s="129" t="n">
        <v>3</v>
      </c>
      <c r="L185" s="129" t="n">
        <v>3</v>
      </c>
      <c r="M185" s="129" t="n">
        <v>3</v>
      </c>
      <c r="N185" s="129" t="n">
        <v>3</v>
      </c>
      <c r="O185" s="130"/>
      <c r="P185" s="8"/>
    </row>
    <row r="186" customFormat="false" ht="15" hidden="false" customHeight="true" outlineLevel="1" collapsed="false">
      <c r="A186" s="8"/>
      <c r="B186" s="124" t="s">
        <v>135</v>
      </c>
      <c r="C186" s="125"/>
      <c r="D186" s="125"/>
      <c r="E186" s="125"/>
      <c r="F186" s="131" t="s">
        <v>134</v>
      </c>
      <c r="G186" s="124" t="n">
        <v>1</v>
      </c>
      <c r="H186" s="124" t="n">
        <v>1</v>
      </c>
      <c r="I186" s="124" t="n">
        <v>1</v>
      </c>
      <c r="J186" s="132" t="n">
        <v>2</v>
      </c>
      <c r="K186" s="132" t="n">
        <v>2</v>
      </c>
      <c r="L186" s="132" t="n">
        <v>2</v>
      </c>
      <c r="M186" s="132" t="n">
        <v>2</v>
      </c>
      <c r="N186" s="132" t="n">
        <v>2</v>
      </c>
      <c r="O186" s="130"/>
      <c r="P186" s="8"/>
    </row>
    <row r="187" customFormat="false" ht="12.75" hidden="false" customHeight="true" outlineLevel="1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customFormat="false" ht="15" hidden="false" customHeight="true" outlineLevel="1" collapsed="false">
      <c r="A188" s="51"/>
      <c r="B188" s="121" t="s">
        <v>136</v>
      </c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51"/>
      <c r="P188" s="51"/>
    </row>
    <row r="189" customFormat="false" ht="13.5" hidden="false" customHeight="true" outlineLevel="1" collapsed="false">
      <c r="A189" s="8"/>
      <c r="B189" s="45" t="s">
        <v>133</v>
      </c>
      <c r="C189" s="8"/>
      <c r="D189" s="8"/>
      <c r="E189" s="133" t="n">
        <f aca="false">I189</f>
        <v>50</v>
      </c>
      <c r="F189" s="122" t="s">
        <v>114</v>
      </c>
      <c r="G189" s="123" t="n">
        <f aca="false">IFERROR(G181/G185,)</f>
        <v>50</v>
      </c>
      <c r="H189" s="123" t="n">
        <f aca="false">IFERROR(H181/H185,)</f>
        <v>50</v>
      </c>
      <c r="I189" s="123" t="n">
        <f aca="false">IFERROR(I181/I185,)</f>
        <v>50</v>
      </c>
      <c r="J189" s="8"/>
      <c r="K189" s="8"/>
      <c r="L189" s="8"/>
      <c r="M189" s="8"/>
      <c r="N189" s="8"/>
      <c r="O189" s="8"/>
      <c r="P189" s="8"/>
    </row>
    <row r="190" customFormat="false" ht="13.5" hidden="false" customHeight="true" outlineLevel="1" collapsed="false">
      <c r="A190" s="8"/>
      <c r="B190" s="124" t="s">
        <v>135</v>
      </c>
      <c r="C190" s="125"/>
      <c r="D190" s="125"/>
      <c r="E190" s="134" t="n">
        <f aca="false">I190</f>
        <v>100</v>
      </c>
      <c r="F190" s="126" t="s">
        <v>114</v>
      </c>
      <c r="G190" s="127" t="n">
        <f aca="false">IFERROR(G182/G186,)</f>
        <v>100</v>
      </c>
      <c r="H190" s="127" t="n">
        <f aca="false">IFERROR(H182/H186,)</f>
        <v>100</v>
      </c>
      <c r="I190" s="127" t="n">
        <f aca="false">IFERROR(I182/I186,)</f>
        <v>100</v>
      </c>
      <c r="J190" s="125"/>
      <c r="K190" s="125"/>
      <c r="L190" s="125"/>
      <c r="M190" s="125"/>
      <c r="N190" s="125"/>
      <c r="O190" s="8"/>
      <c r="P190" s="8"/>
    </row>
    <row r="191" customFormat="false" ht="12.75" hidden="false" customHeight="true" outlineLevel="1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customFormat="false" ht="12.75" hidden="false" customHeight="true" outlineLevel="1" collapsed="false">
      <c r="A192" s="8"/>
      <c r="B192" s="44" t="s">
        <v>137</v>
      </c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8"/>
    </row>
    <row r="193" customFormat="false" ht="12.75" hidden="false" customHeight="true" outlineLevel="1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customFormat="false" ht="12.75" hidden="false" customHeight="true" outlineLevel="1" collapsed="false">
      <c r="A194" s="51"/>
      <c r="B194" s="121" t="s">
        <v>138</v>
      </c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51"/>
      <c r="P194" s="51"/>
    </row>
    <row r="195" customFormat="false" ht="15" hidden="false" customHeight="true" outlineLevel="1" collapsed="false">
      <c r="A195" s="15"/>
      <c r="B195" s="135" t="s">
        <v>139</v>
      </c>
      <c r="C195" s="15"/>
      <c r="D195" s="15"/>
      <c r="E195" s="15"/>
      <c r="F195" s="15"/>
      <c r="G195" s="112" t="n">
        <f aca="false">G28</f>
        <v>1000</v>
      </c>
      <c r="H195" s="112" t="n">
        <f aca="false">H28</f>
        <v>1200</v>
      </c>
      <c r="I195" s="112" t="n">
        <f aca="false">I28</f>
        <v>1400</v>
      </c>
      <c r="J195" s="15"/>
      <c r="K195" s="15"/>
      <c r="L195" s="15"/>
      <c r="M195" s="15"/>
      <c r="N195" s="15"/>
      <c r="O195" s="15"/>
      <c r="P195" s="15"/>
    </row>
    <row r="196" customFormat="false" ht="15" hidden="false" customHeight="true" outlineLevel="1" collapsed="false">
      <c r="A196" s="15"/>
      <c r="B196" s="135" t="s">
        <v>52</v>
      </c>
      <c r="C196" s="15"/>
      <c r="D196" s="15"/>
      <c r="E196" s="15"/>
      <c r="F196" s="15"/>
      <c r="G196" s="112" t="n">
        <f aca="false">G29</f>
        <v>600</v>
      </c>
      <c r="H196" s="112" t="n">
        <f aca="false">H29</f>
        <v>600</v>
      </c>
      <c r="I196" s="112" t="n">
        <f aca="false">I29</f>
        <v>600</v>
      </c>
      <c r="J196" s="15"/>
      <c r="K196" s="15"/>
      <c r="L196" s="15"/>
      <c r="M196" s="15"/>
      <c r="N196" s="15"/>
      <c r="O196" s="15"/>
      <c r="P196" s="15"/>
    </row>
    <row r="197" customFormat="false" ht="15" hidden="false" customHeight="true" outlineLevel="1" collapsed="false">
      <c r="A197" s="15"/>
      <c r="B197" s="53" t="s">
        <v>140</v>
      </c>
      <c r="C197" s="15"/>
      <c r="D197" s="15"/>
      <c r="E197" s="15"/>
      <c r="F197" s="15"/>
      <c r="G197" s="64" t="n">
        <f aca="false">SUM(G198:G199)</f>
        <v>200</v>
      </c>
      <c r="H197" s="64" t="n">
        <f aca="false">SUM(H198:H199)</f>
        <v>200</v>
      </c>
      <c r="I197" s="64" t="n">
        <f aca="false">SUM(I198:I199)</f>
        <v>200</v>
      </c>
      <c r="J197" s="15"/>
      <c r="K197" s="15"/>
      <c r="L197" s="15"/>
      <c r="M197" s="15"/>
      <c r="N197" s="15"/>
      <c r="O197" s="15"/>
      <c r="P197" s="15"/>
    </row>
    <row r="198" customFormat="false" ht="15" hidden="false" customHeight="true" outlineLevel="1" collapsed="false">
      <c r="A198" s="15"/>
      <c r="B198" s="77" t="s">
        <v>78</v>
      </c>
      <c r="C198" s="15"/>
      <c r="D198" s="15"/>
      <c r="E198" s="15"/>
      <c r="F198" s="15"/>
      <c r="G198" s="112" t="n">
        <f aca="false">G58</f>
        <v>100</v>
      </c>
      <c r="H198" s="112" t="n">
        <f aca="false">H58</f>
        <v>100</v>
      </c>
      <c r="I198" s="112" t="n">
        <f aca="false">I58</f>
        <v>100</v>
      </c>
      <c r="J198" s="15"/>
      <c r="K198" s="15"/>
      <c r="L198" s="15"/>
      <c r="M198" s="15"/>
      <c r="N198" s="15"/>
      <c r="O198" s="15"/>
      <c r="P198" s="15"/>
    </row>
    <row r="199" customFormat="false" ht="15" hidden="false" customHeight="true" outlineLevel="1" collapsed="false">
      <c r="A199" s="15"/>
      <c r="B199" s="77" t="s">
        <v>79</v>
      </c>
      <c r="C199" s="15"/>
      <c r="D199" s="15"/>
      <c r="E199" s="15"/>
      <c r="F199" s="15"/>
      <c r="G199" s="112" t="n">
        <f aca="false">G59</f>
        <v>100</v>
      </c>
      <c r="H199" s="112" t="n">
        <f aca="false">H59</f>
        <v>100</v>
      </c>
      <c r="I199" s="112" t="n">
        <f aca="false">I59</f>
        <v>100</v>
      </c>
      <c r="J199" s="15"/>
      <c r="K199" s="15"/>
      <c r="L199" s="15"/>
      <c r="M199" s="15"/>
      <c r="N199" s="15"/>
      <c r="O199" s="15"/>
      <c r="P199" s="15"/>
    </row>
    <row r="200" customFormat="false" ht="15" hidden="false" customHeight="true" outlineLevel="1" collapsed="false">
      <c r="A200" s="15"/>
      <c r="B200" s="53" t="s">
        <v>141</v>
      </c>
      <c r="C200" s="15"/>
      <c r="D200" s="15"/>
      <c r="E200" s="15"/>
      <c r="F200" s="15"/>
      <c r="G200" s="64" t="n">
        <f aca="false">SUM(G201)</f>
        <v>200</v>
      </c>
      <c r="H200" s="64" t="n">
        <f aca="false">SUM(H201)</f>
        <v>200</v>
      </c>
      <c r="I200" s="64" t="n">
        <f aca="false">SUM(I201)</f>
        <v>200</v>
      </c>
      <c r="J200" s="15"/>
      <c r="K200" s="15"/>
      <c r="L200" s="15"/>
      <c r="M200" s="15"/>
      <c r="N200" s="15"/>
      <c r="O200" s="15"/>
      <c r="P200" s="15"/>
    </row>
    <row r="201" customFormat="false" ht="15" hidden="false" customHeight="true" outlineLevel="1" collapsed="false">
      <c r="A201" s="15"/>
      <c r="B201" s="77" t="s">
        <v>89</v>
      </c>
      <c r="C201" s="15"/>
      <c r="D201" s="15"/>
      <c r="E201" s="15"/>
      <c r="F201" s="15"/>
      <c r="G201" s="112" t="n">
        <f aca="false">G69</f>
        <v>200</v>
      </c>
      <c r="H201" s="112" t="n">
        <f aca="false">H69</f>
        <v>200</v>
      </c>
      <c r="I201" s="112" t="n">
        <f aca="false">I69</f>
        <v>200</v>
      </c>
      <c r="J201" s="15"/>
      <c r="K201" s="15"/>
      <c r="L201" s="15"/>
      <c r="M201" s="15"/>
      <c r="N201" s="15"/>
      <c r="O201" s="15"/>
      <c r="P201" s="15"/>
    </row>
    <row r="202" customFormat="false" ht="15" hidden="false" customHeight="true" outlineLevel="1" collapsed="false">
      <c r="A202" s="15"/>
      <c r="B202" s="53" t="s">
        <v>142</v>
      </c>
      <c r="C202" s="15"/>
      <c r="D202" s="15"/>
      <c r="E202" s="15"/>
      <c r="F202" s="15"/>
      <c r="G202" s="64" t="n">
        <f aca="false">G197-G200</f>
        <v>0</v>
      </c>
      <c r="H202" s="64" t="n">
        <f aca="false">H197-H200</f>
        <v>0</v>
      </c>
      <c r="I202" s="64" t="n">
        <f aca="false">I197-I200</f>
        <v>0</v>
      </c>
      <c r="J202" s="15"/>
      <c r="K202" s="15"/>
      <c r="L202" s="15"/>
      <c r="M202" s="15"/>
      <c r="N202" s="15"/>
      <c r="O202" s="15"/>
      <c r="P202" s="15"/>
    </row>
    <row r="203" customFormat="false" ht="12.75" hidden="false" customHeight="true" outlineLevel="1" collapsed="false">
      <c r="A203" s="15"/>
      <c r="B203" s="136" t="s">
        <v>143</v>
      </c>
      <c r="C203" s="75"/>
      <c r="D203" s="75"/>
      <c r="E203" s="75"/>
      <c r="F203" s="75"/>
      <c r="G203" s="75"/>
      <c r="H203" s="137" t="n">
        <f aca="false">-(H202-G202)</f>
        <v>-0</v>
      </c>
      <c r="I203" s="137" t="n">
        <f aca="false">-(I202-H202)</f>
        <v>-0</v>
      </c>
      <c r="J203" s="75"/>
      <c r="K203" s="75"/>
      <c r="L203" s="75"/>
      <c r="M203" s="75"/>
      <c r="N203" s="75"/>
      <c r="O203" s="15"/>
      <c r="P203" s="15"/>
    </row>
    <row r="204" customFormat="false" ht="12.75" hidden="false" customHeight="true" outlineLevel="1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customFormat="false" ht="15" hidden="false" customHeight="true" outlineLevel="1" collapsed="false">
      <c r="A205" s="51"/>
      <c r="B205" s="121" t="s">
        <v>144</v>
      </c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51"/>
    </row>
    <row r="206" customFormat="false" ht="13.5" hidden="false" customHeight="true" outlineLevel="1" collapsed="false">
      <c r="A206" s="15"/>
      <c r="B206" s="53" t="s">
        <v>145</v>
      </c>
      <c r="C206" s="15"/>
      <c r="D206" s="15"/>
      <c r="E206" s="138" t="n">
        <f aca="false">I206</f>
        <v>26</v>
      </c>
      <c r="F206" s="57" t="s">
        <v>36</v>
      </c>
      <c r="G206" s="112" t="n">
        <f aca="false">G198/G195*G11</f>
        <v>36.4</v>
      </c>
      <c r="H206" s="112" t="n">
        <f aca="false">H198/H195*H11</f>
        <v>30.4166666666667</v>
      </c>
      <c r="I206" s="112" t="n">
        <f aca="false">I198/I195*I11</f>
        <v>26</v>
      </c>
      <c r="J206" s="112" t="n">
        <f aca="false">$E206</f>
        <v>26</v>
      </c>
      <c r="K206" s="112" t="n">
        <f aca="false">$E206</f>
        <v>26</v>
      </c>
      <c r="L206" s="112" t="n">
        <f aca="false">$E206</f>
        <v>26</v>
      </c>
      <c r="M206" s="112" t="n">
        <f aca="false">$E206</f>
        <v>26</v>
      </c>
      <c r="N206" s="112" t="n">
        <f aca="false">$E206</f>
        <v>26</v>
      </c>
      <c r="O206" s="112" t="n">
        <f aca="false">$E206</f>
        <v>26</v>
      </c>
      <c r="P206" s="15"/>
    </row>
    <row r="207" customFormat="false" ht="13.5" hidden="false" customHeight="true" outlineLevel="1" collapsed="false">
      <c r="A207" s="15"/>
      <c r="B207" s="53" t="s">
        <v>146</v>
      </c>
      <c r="C207" s="15"/>
      <c r="D207" s="15"/>
      <c r="E207" s="104" t="n">
        <f aca="false">I207</f>
        <v>60.6666666666667</v>
      </c>
      <c r="F207" s="57" t="s">
        <v>36</v>
      </c>
      <c r="G207" s="112" t="n">
        <f aca="false">G199/G196*G11</f>
        <v>60.6666666666667</v>
      </c>
      <c r="H207" s="112" t="n">
        <f aca="false">H199/H196*H11</f>
        <v>60.8333333333333</v>
      </c>
      <c r="I207" s="112" t="n">
        <f aca="false">I199/I196*I11</f>
        <v>60.6666666666667</v>
      </c>
      <c r="J207" s="112" t="n">
        <f aca="false">$E207</f>
        <v>60.6666666666667</v>
      </c>
      <c r="K207" s="112" t="n">
        <f aca="false">$E207</f>
        <v>60.6666666666667</v>
      </c>
      <c r="L207" s="112" t="n">
        <f aca="false">$E207</f>
        <v>60.6666666666667</v>
      </c>
      <c r="M207" s="112" t="n">
        <f aca="false">$E207</f>
        <v>60.6666666666667</v>
      </c>
      <c r="N207" s="112" t="n">
        <f aca="false">$E207</f>
        <v>60.6666666666667</v>
      </c>
      <c r="O207" s="112" t="n">
        <f aca="false">$E207</f>
        <v>60.6666666666667</v>
      </c>
      <c r="P207" s="15"/>
    </row>
    <row r="208" customFormat="false" ht="13.5" hidden="false" customHeight="true" outlineLevel="1" collapsed="false">
      <c r="A208" s="15"/>
      <c r="B208" s="136" t="s">
        <v>147</v>
      </c>
      <c r="C208" s="75"/>
      <c r="D208" s="75"/>
      <c r="E208" s="139" t="n">
        <f aca="false">I208</f>
        <v>121.333333333333</v>
      </c>
      <c r="F208" s="140" t="s">
        <v>36</v>
      </c>
      <c r="G208" s="137" t="n">
        <f aca="false">G201/G196*G11</f>
        <v>121.333333333333</v>
      </c>
      <c r="H208" s="137" t="n">
        <f aca="false">H201/H196*H11</f>
        <v>121.666666666667</v>
      </c>
      <c r="I208" s="137" t="n">
        <f aca="false">I201/I196*I11</f>
        <v>121.333333333333</v>
      </c>
      <c r="J208" s="137" t="n">
        <f aca="false">$E208</f>
        <v>121.333333333333</v>
      </c>
      <c r="K208" s="137" t="n">
        <f aca="false">$E208</f>
        <v>121.333333333333</v>
      </c>
      <c r="L208" s="137" t="n">
        <f aca="false">$E208</f>
        <v>121.333333333333</v>
      </c>
      <c r="M208" s="137" t="n">
        <f aca="false">$E208</f>
        <v>121.333333333333</v>
      </c>
      <c r="N208" s="137" t="n">
        <f aca="false">$E208</f>
        <v>121.333333333333</v>
      </c>
      <c r="O208" s="137" t="n">
        <f aca="false">$E208</f>
        <v>121.333333333333</v>
      </c>
      <c r="P208" s="15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customFormat="false" ht="15" hidden="false" customHeight="true" outlineLevel="0" collapsed="false">
      <c r="A210" s="8"/>
      <c r="B210" s="44" t="s">
        <v>148</v>
      </c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8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customFormat="false" ht="15" hidden="false" customHeight="true" outlineLevel="0" collapsed="false">
      <c r="A212" s="51"/>
      <c r="B212" s="121" t="s">
        <v>149</v>
      </c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51"/>
      <c r="P212" s="51"/>
    </row>
    <row r="213" customFormat="false" ht="15" hidden="false" customHeight="true" outlineLevel="0" collapsed="false">
      <c r="A213" s="15"/>
      <c r="B213" s="110" t="s">
        <v>150</v>
      </c>
      <c r="C213" s="15"/>
      <c r="D213" s="15"/>
      <c r="E213" s="115" t="n">
        <v>0.02</v>
      </c>
      <c r="F213" s="57" t="s">
        <v>43</v>
      </c>
      <c r="G213" s="15"/>
      <c r="H213" s="15"/>
      <c r="I213" s="15"/>
      <c r="J213" s="141" t="n">
        <f aca="false">$E213</f>
        <v>0.02</v>
      </c>
      <c r="K213" s="141" t="n">
        <f aca="false">$E213</f>
        <v>0.02</v>
      </c>
      <c r="L213" s="141" t="n">
        <f aca="false">$E213</f>
        <v>0.02</v>
      </c>
      <c r="M213" s="141" t="n">
        <f aca="false">$E213</f>
        <v>0.02</v>
      </c>
      <c r="N213" s="141" t="n">
        <f aca="false">$E213</f>
        <v>0.02</v>
      </c>
      <c r="O213" s="116"/>
      <c r="P213" s="15"/>
    </row>
    <row r="214" customFormat="false" ht="13.5" hidden="false" customHeight="true" outlineLevel="0" collapsed="false">
      <c r="A214" s="15"/>
      <c r="B214" s="142" t="s">
        <v>69</v>
      </c>
      <c r="C214" s="75"/>
      <c r="D214" s="75"/>
      <c r="E214" s="139" t="n">
        <f aca="false">I214</f>
        <v>10</v>
      </c>
      <c r="F214" s="140" t="s">
        <v>114</v>
      </c>
      <c r="G214" s="137" t="n">
        <f aca="false">G47</f>
        <v>10</v>
      </c>
      <c r="H214" s="137" t="n">
        <f aca="false">H47</f>
        <v>10</v>
      </c>
      <c r="I214" s="137" t="n">
        <f aca="false">I47</f>
        <v>10</v>
      </c>
      <c r="J214" s="143" t="n">
        <f aca="false">$E214</f>
        <v>10</v>
      </c>
      <c r="K214" s="143" t="n">
        <f aca="false">$E214</f>
        <v>10</v>
      </c>
      <c r="L214" s="143" t="n">
        <f aca="false">$E214</f>
        <v>10</v>
      </c>
      <c r="M214" s="143" t="n">
        <f aca="false">$E214</f>
        <v>10</v>
      </c>
      <c r="N214" s="143" t="n">
        <f aca="false">$E214</f>
        <v>10</v>
      </c>
      <c r="O214" s="112"/>
      <c r="P214" s="15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customFormat="false" ht="15" hidden="false" customHeight="true" outlineLevel="0" collapsed="false">
      <c r="A216" s="51"/>
      <c r="B216" s="121" t="s">
        <v>151</v>
      </c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51"/>
      <c r="P216" s="51"/>
    </row>
    <row r="217" customFormat="false" ht="15" hidden="false" customHeight="true" outlineLevel="0" collapsed="false">
      <c r="A217" s="15"/>
      <c r="B217" s="110" t="s">
        <v>71</v>
      </c>
      <c r="C217" s="15"/>
      <c r="D217" s="15"/>
      <c r="E217" s="115" t="n">
        <f aca="false">I217/AVERAGE(I221,I224)</f>
        <v>0.1</v>
      </c>
      <c r="F217" s="57" t="s">
        <v>114</v>
      </c>
      <c r="G217" s="112" t="n">
        <f aca="false">G49</f>
        <v>10</v>
      </c>
      <c r="H217" s="112" t="n">
        <f aca="false">H49</f>
        <v>10</v>
      </c>
      <c r="I217" s="112" t="n">
        <f aca="false">I49</f>
        <v>10</v>
      </c>
      <c r="J217" s="143" t="n">
        <f aca="false">$E$217*AVERAGE(J221,J224)</f>
        <v>7.5</v>
      </c>
      <c r="K217" s="143" t="n">
        <f aca="false">$E$217*AVERAGE(K221,K224)</f>
        <v>5</v>
      </c>
      <c r="L217" s="143" t="n">
        <f aca="false">$E$217*AVERAGE(L221,L224)</f>
        <v>5</v>
      </c>
      <c r="M217" s="143" t="n">
        <f aca="false">$E$217*AVERAGE(M221,M224)</f>
        <v>5</v>
      </c>
      <c r="N217" s="143" t="n">
        <f aca="false">$E$217*AVERAGE(N221,N224)</f>
        <v>5</v>
      </c>
      <c r="O217" s="112"/>
      <c r="P217" s="15"/>
    </row>
    <row r="218" customFormat="false" ht="15" hidden="false" customHeight="true" outlineLevel="0" collapsed="false">
      <c r="A218" s="15"/>
      <c r="B218" s="142" t="s">
        <v>69</v>
      </c>
      <c r="C218" s="75"/>
      <c r="D218" s="75"/>
      <c r="E218" s="139" t="n">
        <f aca="false">I218</f>
        <v>10</v>
      </c>
      <c r="F218" s="140" t="s">
        <v>114</v>
      </c>
      <c r="G218" s="137" t="n">
        <f aca="false">G50</f>
        <v>10</v>
      </c>
      <c r="H218" s="137" t="n">
        <f aca="false">H50</f>
        <v>10</v>
      </c>
      <c r="I218" s="137" t="n">
        <f aca="false">I50</f>
        <v>10</v>
      </c>
      <c r="J218" s="143" t="n">
        <f aca="false">$E218</f>
        <v>10</v>
      </c>
      <c r="K218" s="143" t="n">
        <f aca="false">$E218</f>
        <v>10</v>
      </c>
      <c r="L218" s="143" t="n">
        <f aca="false">$E218</f>
        <v>10</v>
      </c>
      <c r="M218" s="143" t="n">
        <f aca="false">$E218</f>
        <v>10</v>
      </c>
      <c r="N218" s="143" t="n">
        <f aca="false">$E218</f>
        <v>10</v>
      </c>
      <c r="O218" s="112"/>
      <c r="P218" s="15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customFormat="false" ht="15" hidden="false" customHeight="true" outlineLevel="0" collapsed="false">
      <c r="A220" s="51"/>
      <c r="B220" s="144" t="s">
        <v>152</v>
      </c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51"/>
      <c r="P220" s="51"/>
    </row>
    <row r="221" customFormat="false" ht="15" hidden="false" customHeight="true" outlineLevel="0" collapsed="false">
      <c r="A221" s="15"/>
      <c r="B221" s="110" t="s">
        <v>153</v>
      </c>
      <c r="C221" s="15"/>
      <c r="D221" s="15"/>
      <c r="E221" s="15"/>
      <c r="F221" s="57" t="s">
        <v>114</v>
      </c>
      <c r="G221" s="15"/>
      <c r="H221" s="112" t="n">
        <f aca="false">G224</f>
        <v>100</v>
      </c>
      <c r="I221" s="112" t="n">
        <f aca="false">H224</f>
        <v>100</v>
      </c>
      <c r="J221" s="112" t="n">
        <f aca="false">I224</f>
        <v>100</v>
      </c>
      <c r="K221" s="112" t="n">
        <f aca="false">J224</f>
        <v>50</v>
      </c>
      <c r="L221" s="112" t="n">
        <f aca="false">K224</f>
        <v>50</v>
      </c>
      <c r="M221" s="112" t="n">
        <f aca="false">L224</f>
        <v>50</v>
      </c>
      <c r="N221" s="112" t="n">
        <f aca="false">M224</f>
        <v>50</v>
      </c>
      <c r="O221" s="112"/>
      <c r="P221" s="15"/>
    </row>
    <row r="222" customFormat="false" ht="15" hidden="false" customHeight="true" outlineLevel="0" collapsed="false">
      <c r="A222" s="15"/>
      <c r="B222" s="145" t="s">
        <v>154</v>
      </c>
      <c r="C222" s="15"/>
      <c r="D222" s="15"/>
      <c r="E222" s="15"/>
      <c r="F222" s="57" t="s">
        <v>114</v>
      </c>
      <c r="G222" s="15"/>
      <c r="H222" s="15"/>
      <c r="I222" s="15"/>
      <c r="J222" s="96"/>
      <c r="K222" s="96"/>
      <c r="L222" s="96"/>
      <c r="M222" s="96"/>
      <c r="N222" s="96"/>
      <c r="O222" s="105"/>
      <c r="P222" s="15"/>
    </row>
    <row r="223" customFormat="false" ht="15" hidden="false" customHeight="true" outlineLevel="0" collapsed="false">
      <c r="A223" s="15"/>
      <c r="B223" s="145" t="s">
        <v>155</v>
      </c>
      <c r="C223" s="15"/>
      <c r="D223" s="15"/>
      <c r="E223" s="15"/>
      <c r="F223" s="57" t="s">
        <v>114</v>
      </c>
      <c r="G223" s="15"/>
      <c r="H223" s="15"/>
      <c r="I223" s="15"/>
      <c r="J223" s="64" t="n">
        <v>50</v>
      </c>
      <c r="K223" s="96"/>
      <c r="L223" s="96"/>
      <c r="M223" s="96"/>
      <c r="N223" s="96"/>
      <c r="O223" s="105"/>
      <c r="P223" s="15"/>
    </row>
    <row r="224" customFormat="false" ht="15" hidden="false" customHeight="true" outlineLevel="0" collapsed="false">
      <c r="A224" s="15"/>
      <c r="B224" s="142" t="s">
        <v>156</v>
      </c>
      <c r="C224" s="75"/>
      <c r="D224" s="75"/>
      <c r="E224" s="75"/>
      <c r="F224" s="140" t="s">
        <v>114</v>
      </c>
      <c r="G224" s="137" t="n">
        <f aca="false">SUM(G71)</f>
        <v>100</v>
      </c>
      <c r="H224" s="137" t="n">
        <f aca="false">SUM(H71)</f>
        <v>100</v>
      </c>
      <c r="I224" s="137" t="n">
        <f aca="false">SUM(I71)</f>
        <v>100</v>
      </c>
      <c r="J224" s="137" t="n">
        <f aca="false">J221+J222-J223</f>
        <v>50</v>
      </c>
      <c r="K224" s="137" t="n">
        <f aca="false">K221+K222-K223</f>
        <v>50</v>
      </c>
      <c r="L224" s="137" t="n">
        <f aca="false">L221+L222-L223</f>
        <v>50</v>
      </c>
      <c r="M224" s="137" t="n">
        <f aca="false">M221+M222-M223</f>
        <v>50</v>
      </c>
      <c r="N224" s="137" t="n">
        <f aca="false">N221+N222-N223</f>
        <v>50</v>
      </c>
      <c r="O224" s="112"/>
      <c r="P224" s="15"/>
    </row>
    <row r="225" customFormat="false" ht="15" hidden="false" customHeight="true" outlineLevel="0" collapsed="false">
      <c r="A225" s="3"/>
      <c r="B225" s="146"/>
      <c r="C225" s="3"/>
      <c r="D225" s="3"/>
      <c r="E225" s="3"/>
      <c r="F225" s="147"/>
      <c r="G225" s="148"/>
      <c r="H225" s="148"/>
      <c r="I225" s="148"/>
      <c r="J225" s="148"/>
      <c r="K225" s="148"/>
      <c r="L225" s="148"/>
      <c r="M225" s="148"/>
      <c r="N225" s="148"/>
      <c r="O225" s="148"/>
    </row>
    <row r="226" customFormat="false" ht="15" hidden="false" customHeight="true" outlineLevel="0" collapsed="false">
      <c r="A226" s="51"/>
      <c r="B226" s="144" t="s">
        <v>157</v>
      </c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51"/>
      <c r="P226" s="51"/>
    </row>
    <row r="227" customFormat="false" ht="15" hidden="false" customHeight="true" outlineLevel="0" collapsed="false">
      <c r="A227" s="15"/>
      <c r="B227" s="110" t="s">
        <v>153</v>
      </c>
      <c r="C227" s="15"/>
      <c r="D227" s="15"/>
      <c r="E227" s="15"/>
      <c r="F227" s="57" t="s">
        <v>114</v>
      </c>
      <c r="G227" s="15"/>
      <c r="H227" s="112" t="n">
        <f aca="false">G230</f>
        <v>200</v>
      </c>
      <c r="I227" s="112" t="n">
        <f aca="false">H230</f>
        <v>200</v>
      </c>
      <c r="J227" s="112" t="n">
        <f aca="false">I230</f>
        <v>200</v>
      </c>
      <c r="K227" s="112" t="n">
        <f aca="false">J230</f>
        <v>200</v>
      </c>
      <c r="L227" s="112" t="n">
        <f aca="false">K230</f>
        <v>200</v>
      </c>
      <c r="M227" s="112" t="n">
        <f aca="false">L230</f>
        <v>200</v>
      </c>
      <c r="N227" s="112" t="n">
        <f aca="false">M230</f>
        <v>200</v>
      </c>
      <c r="O227" s="112"/>
      <c r="P227" s="15"/>
    </row>
    <row r="228" customFormat="false" ht="15" hidden="false" customHeight="true" outlineLevel="0" collapsed="false">
      <c r="A228" s="15"/>
      <c r="B228" s="145" t="s">
        <v>154</v>
      </c>
      <c r="C228" s="15"/>
      <c r="D228" s="15"/>
      <c r="E228" s="15"/>
      <c r="F228" s="57" t="s">
        <v>114</v>
      </c>
      <c r="G228" s="15"/>
      <c r="H228" s="15"/>
      <c r="I228" s="15"/>
      <c r="J228" s="96"/>
      <c r="K228" s="149"/>
      <c r="L228" s="149"/>
      <c r="M228" s="149"/>
      <c r="N228" s="149"/>
      <c r="O228" s="15"/>
      <c r="P228" s="15"/>
    </row>
    <row r="229" customFormat="false" ht="15" hidden="false" customHeight="true" outlineLevel="0" collapsed="false">
      <c r="A229" s="15"/>
      <c r="B229" s="145" t="s">
        <v>155</v>
      </c>
      <c r="C229" s="15"/>
      <c r="D229" s="15"/>
      <c r="E229" s="15"/>
      <c r="F229" s="57" t="s">
        <v>114</v>
      </c>
      <c r="G229" s="15"/>
      <c r="H229" s="15"/>
      <c r="I229" s="15"/>
      <c r="J229" s="149"/>
      <c r="K229" s="149"/>
      <c r="L229" s="149"/>
      <c r="M229" s="149"/>
      <c r="N229" s="149"/>
      <c r="O229" s="15"/>
      <c r="P229" s="15"/>
    </row>
    <row r="230" customFormat="false" ht="15" hidden="false" customHeight="true" outlineLevel="0" collapsed="false">
      <c r="A230" s="15"/>
      <c r="B230" s="142" t="s">
        <v>156</v>
      </c>
      <c r="C230" s="75"/>
      <c r="D230" s="75"/>
      <c r="E230" s="75"/>
      <c r="F230" s="140" t="s">
        <v>114</v>
      </c>
      <c r="G230" s="137" t="n">
        <f aca="false">SUM(G74)</f>
        <v>200</v>
      </c>
      <c r="H230" s="137" t="n">
        <f aca="false">SUM(H74)</f>
        <v>200</v>
      </c>
      <c r="I230" s="137" t="n">
        <f aca="false">SUM(I74)</f>
        <v>200</v>
      </c>
      <c r="J230" s="137" t="n">
        <f aca="false">J227+J228-J229</f>
        <v>200</v>
      </c>
      <c r="K230" s="137" t="n">
        <f aca="false">K227+K228-K229</f>
        <v>200</v>
      </c>
      <c r="L230" s="137" t="n">
        <f aca="false">L227+L228-L229</f>
        <v>200</v>
      </c>
      <c r="M230" s="137" t="n">
        <f aca="false">M227+M228-M229</f>
        <v>200</v>
      </c>
      <c r="N230" s="137" t="n">
        <f aca="false">N227+N228-N229</f>
        <v>200</v>
      </c>
      <c r="O230" s="112"/>
      <c r="P230" s="15"/>
    </row>
    <row r="231" customFormat="false" ht="15" hidden="false" customHeight="true" outlineLevel="0" collapsed="false">
      <c r="A231" s="3"/>
      <c r="B231" s="146"/>
      <c r="C231" s="3"/>
      <c r="D231" s="3"/>
      <c r="E231" s="3"/>
      <c r="F231" s="147"/>
      <c r="G231" s="148"/>
      <c r="H231" s="148"/>
      <c r="I231" s="148"/>
      <c r="J231" s="148"/>
      <c r="K231" s="148"/>
      <c r="L231" s="148"/>
      <c r="M231" s="148"/>
      <c r="N231" s="148"/>
      <c r="O231" s="148"/>
    </row>
    <row r="232" customFormat="false" ht="15" hidden="false" customHeight="true" outlineLevel="0" collapsed="false">
      <c r="A232" s="51"/>
      <c r="B232" s="144" t="s">
        <v>158</v>
      </c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51"/>
      <c r="P232" s="51"/>
    </row>
    <row r="233" customFormat="false" ht="15" hidden="false" customHeight="true" outlineLevel="0" collapsed="false">
      <c r="A233" s="15"/>
      <c r="B233" s="110" t="s">
        <v>153</v>
      </c>
      <c r="C233" s="15"/>
      <c r="D233" s="15"/>
      <c r="E233" s="15"/>
      <c r="F233" s="57" t="s">
        <v>114</v>
      </c>
      <c r="G233" s="15"/>
      <c r="H233" s="112" t="n">
        <f aca="false">G236</f>
        <v>0</v>
      </c>
      <c r="I233" s="112" t="n">
        <f aca="false">H236</f>
        <v>0</v>
      </c>
      <c r="J233" s="112" t="n">
        <f aca="false">I236</f>
        <v>0</v>
      </c>
      <c r="K233" s="112" t="n">
        <f aca="false">J236</f>
        <v>0</v>
      </c>
      <c r="L233" s="112" t="n">
        <f aca="false">K236</f>
        <v>0</v>
      </c>
      <c r="M233" s="112" t="n">
        <f aca="false">L236</f>
        <v>0</v>
      </c>
      <c r="N233" s="112" t="n">
        <f aca="false">M236</f>
        <v>0</v>
      </c>
      <c r="O233" s="112"/>
      <c r="P233" s="15"/>
    </row>
    <row r="234" customFormat="false" ht="15" hidden="false" customHeight="true" outlineLevel="0" collapsed="false">
      <c r="A234" s="15"/>
      <c r="B234" s="145" t="s">
        <v>154</v>
      </c>
      <c r="C234" s="15"/>
      <c r="D234" s="15"/>
      <c r="E234" s="15"/>
      <c r="F234" s="57" t="s">
        <v>114</v>
      </c>
      <c r="G234" s="15"/>
      <c r="H234" s="15"/>
      <c r="I234" s="15"/>
      <c r="J234" s="96"/>
      <c r="K234" s="149"/>
      <c r="L234" s="149"/>
      <c r="M234" s="149"/>
      <c r="N234" s="149"/>
      <c r="O234" s="15"/>
      <c r="P234" s="15"/>
    </row>
    <row r="235" customFormat="false" ht="15" hidden="false" customHeight="true" outlineLevel="0" collapsed="false">
      <c r="A235" s="15"/>
      <c r="B235" s="145" t="s">
        <v>155</v>
      </c>
      <c r="C235" s="15"/>
      <c r="D235" s="15"/>
      <c r="E235" s="15"/>
      <c r="F235" s="57" t="s">
        <v>114</v>
      </c>
      <c r="G235" s="15"/>
      <c r="H235" s="15"/>
      <c r="I235" s="15"/>
      <c r="J235" s="149"/>
      <c r="K235" s="149"/>
      <c r="L235" s="149"/>
      <c r="M235" s="149"/>
      <c r="N235" s="149"/>
      <c r="O235" s="15"/>
      <c r="P235" s="15"/>
    </row>
    <row r="236" customFormat="false" ht="15" hidden="false" customHeight="true" outlineLevel="0" collapsed="false">
      <c r="A236" s="15"/>
      <c r="B236" s="142" t="s">
        <v>156</v>
      </c>
      <c r="C236" s="75"/>
      <c r="D236" s="75"/>
      <c r="E236" s="75"/>
      <c r="F236" s="140" t="s">
        <v>114</v>
      </c>
      <c r="G236" s="137" t="n">
        <f aca="false">SUM(G75)</f>
        <v>0</v>
      </c>
      <c r="H236" s="137" t="n">
        <f aca="false">SUM(H75)</f>
        <v>0</v>
      </c>
      <c r="I236" s="137" t="n">
        <f aca="false">SUM(I75)</f>
        <v>0</v>
      </c>
      <c r="J236" s="137" t="n">
        <f aca="false">J233+J234-J235</f>
        <v>0</v>
      </c>
      <c r="K236" s="137" t="n">
        <f aca="false">K233+K234-K235</f>
        <v>0</v>
      </c>
      <c r="L236" s="137" t="n">
        <f aca="false">L233+L234-L235</f>
        <v>0</v>
      </c>
      <c r="M236" s="137" t="n">
        <f aca="false">M233+M234-M235</f>
        <v>0</v>
      </c>
      <c r="N236" s="137" t="n">
        <f aca="false">N233+N234-N235</f>
        <v>0</v>
      </c>
      <c r="O236" s="112"/>
      <c r="P236" s="15"/>
    </row>
    <row r="237" customFormat="false" ht="15" hidden="false" customHeight="true" outlineLevel="0" collapsed="false">
      <c r="A237" s="3"/>
      <c r="B237" s="146"/>
      <c r="C237" s="3"/>
      <c r="D237" s="3"/>
      <c r="E237" s="3"/>
      <c r="F237" s="147"/>
      <c r="G237" s="148"/>
      <c r="H237" s="148"/>
      <c r="I237" s="148"/>
      <c r="J237" s="148"/>
      <c r="K237" s="148"/>
      <c r="L237" s="148"/>
      <c r="M237" s="148"/>
      <c r="N237" s="148"/>
      <c r="O237" s="148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customFormat="false" ht="12.75" hidden="false" customHeight="true" outlineLevel="0" collapsed="false">
      <c r="A239" s="8"/>
      <c r="B239" s="44" t="s">
        <v>159</v>
      </c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8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customFormat="false" ht="12.75" hidden="false" customHeight="true" outlineLevel="0" collapsed="false">
      <c r="A241" s="51"/>
      <c r="B241" s="121" t="s">
        <v>160</v>
      </c>
      <c r="C241" s="121"/>
      <c r="D241" s="121"/>
      <c r="E241" s="121"/>
      <c r="F241" s="121"/>
      <c r="G241" s="121" t="s">
        <v>161</v>
      </c>
      <c r="H241" s="121" t="s">
        <v>162</v>
      </c>
      <c r="I241" s="121" t="str">
        <f aca="false">I55</f>
        <v>Dec2025</v>
      </c>
      <c r="J241" s="121"/>
      <c r="K241" s="121"/>
      <c r="L241" s="121"/>
      <c r="M241" s="121"/>
      <c r="N241" s="121"/>
      <c r="O241" s="51"/>
      <c r="P241" s="51"/>
    </row>
    <row r="242" customFormat="false" ht="12.75" hidden="false" customHeight="true" outlineLevel="0" collapsed="false">
      <c r="A242" s="15"/>
      <c r="B242" s="53" t="s">
        <v>163</v>
      </c>
      <c r="C242" s="15"/>
      <c r="D242" s="15"/>
      <c r="E242" s="15"/>
      <c r="F242" s="15"/>
      <c r="G242" s="150" t="n">
        <f aca="false">SUM(G243)</f>
        <v>-50</v>
      </c>
      <c r="H242" s="150" t="n">
        <f aca="false">SUM(H243)</f>
        <v>0</v>
      </c>
      <c r="I242" s="150" t="n">
        <f aca="false">G242+H242</f>
        <v>-50</v>
      </c>
      <c r="J242" s="15"/>
      <c r="K242" s="15"/>
      <c r="L242" s="15"/>
      <c r="M242" s="15"/>
      <c r="N242" s="15"/>
      <c r="O242" s="15"/>
      <c r="P242" s="15"/>
    </row>
    <row r="243" customFormat="false" ht="12.75" hidden="false" customHeight="true" outlineLevel="0" collapsed="false">
      <c r="A243" s="15"/>
      <c r="B243" s="77" t="s">
        <v>77</v>
      </c>
      <c r="C243" s="15"/>
      <c r="D243" s="15"/>
      <c r="E243" s="15"/>
      <c r="F243" s="15"/>
      <c r="G243" s="151" t="n">
        <f aca="false">-I57</f>
        <v>-50</v>
      </c>
      <c r="H243" s="152"/>
      <c r="I243" s="151" t="n">
        <f aca="false">G243+H243</f>
        <v>-50</v>
      </c>
      <c r="J243" s="15"/>
      <c r="K243" s="15"/>
      <c r="L243" s="15"/>
      <c r="M243" s="15"/>
      <c r="N243" s="15"/>
      <c r="O243" s="15"/>
      <c r="P243" s="15"/>
    </row>
    <row r="244" customFormat="false" ht="12.75" hidden="false" customHeight="true" outlineLevel="0" collapsed="false">
      <c r="A244" s="15"/>
      <c r="B244" s="53" t="s">
        <v>164</v>
      </c>
      <c r="C244" s="15"/>
      <c r="D244" s="15"/>
      <c r="E244" s="15"/>
      <c r="F244" s="15"/>
      <c r="G244" s="153" t="n">
        <f aca="false">SUM(G245:G247)</f>
        <v>300</v>
      </c>
      <c r="H244" s="153" t="n">
        <f aca="false">SUM(H245:H247)</f>
        <v>0</v>
      </c>
      <c r="I244" s="153" t="n">
        <f aca="false">G244+H244</f>
        <v>300</v>
      </c>
      <c r="J244" s="15"/>
      <c r="K244" s="15"/>
      <c r="L244" s="15"/>
      <c r="M244" s="15"/>
      <c r="N244" s="15"/>
      <c r="O244" s="15"/>
      <c r="P244" s="15"/>
    </row>
    <row r="245" customFormat="false" ht="12.75" hidden="false" customHeight="true" outlineLevel="0" collapsed="false">
      <c r="A245" s="15"/>
      <c r="B245" s="77" t="s">
        <v>165</v>
      </c>
      <c r="C245" s="15"/>
      <c r="D245" s="15"/>
      <c r="E245" s="15"/>
      <c r="F245" s="15"/>
      <c r="G245" s="151" t="n">
        <f aca="false">I71+I74</f>
        <v>300</v>
      </c>
      <c r="H245" s="152"/>
      <c r="I245" s="151" t="n">
        <f aca="false">G245+H245</f>
        <v>300</v>
      </c>
      <c r="J245" s="15"/>
      <c r="K245" s="15"/>
      <c r="L245" s="15"/>
      <c r="M245" s="15"/>
      <c r="N245" s="15"/>
      <c r="O245" s="15"/>
      <c r="P245" s="15"/>
    </row>
    <row r="246" customFormat="false" ht="15" hidden="false" customHeight="true" outlineLevel="0" collapsed="false">
      <c r="A246" s="15"/>
      <c r="B246" s="77" t="s">
        <v>95</v>
      </c>
      <c r="C246" s="15"/>
      <c r="D246" s="15"/>
      <c r="E246" s="15"/>
      <c r="F246" s="15"/>
      <c r="G246" s="152"/>
      <c r="H246" s="152"/>
      <c r="I246" s="151" t="n">
        <f aca="false">G246+H246</f>
        <v>0</v>
      </c>
      <c r="J246" s="15"/>
      <c r="K246" s="15"/>
      <c r="L246" s="15"/>
      <c r="M246" s="15"/>
      <c r="N246" s="15"/>
      <c r="O246" s="15"/>
      <c r="P246" s="15"/>
    </row>
    <row r="247" customFormat="false" ht="15" hidden="false" customHeight="true" outlineLevel="0" collapsed="false">
      <c r="A247" s="15"/>
      <c r="B247" s="77" t="s">
        <v>166</v>
      </c>
      <c r="C247" s="15"/>
      <c r="D247" s="15"/>
      <c r="E247" s="15"/>
      <c r="F247" s="15"/>
      <c r="G247" s="152"/>
      <c r="H247" s="152"/>
      <c r="I247" s="151" t="n">
        <f aca="false">G247+H247</f>
        <v>0</v>
      </c>
      <c r="J247" s="15"/>
      <c r="K247" s="15"/>
      <c r="L247" s="15"/>
      <c r="M247" s="15"/>
      <c r="N247" s="15"/>
      <c r="O247" s="15"/>
      <c r="P247" s="15"/>
    </row>
    <row r="248" customFormat="false" ht="12.75" hidden="false" customHeight="true" outlineLevel="0" collapsed="false">
      <c r="A248" s="65"/>
      <c r="B248" s="88" t="s">
        <v>167</v>
      </c>
      <c r="C248" s="88"/>
      <c r="D248" s="88"/>
      <c r="E248" s="88"/>
      <c r="F248" s="88"/>
      <c r="G248" s="154" t="n">
        <f aca="false">G242+G244</f>
        <v>250</v>
      </c>
      <c r="H248" s="154" t="n">
        <f aca="false">H242+H244</f>
        <v>0</v>
      </c>
      <c r="I248" s="154" t="n">
        <f aca="false">G248+H248</f>
        <v>250</v>
      </c>
      <c r="J248" s="88"/>
      <c r="K248" s="88"/>
      <c r="L248" s="88"/>
      <c r="M248" s="88"/>
      <c r="N248" s="88"/>
      <c r="O248" s="65"/>
      <c r="P248" s="65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customFormat="false" ht="12.75" hidden="false" customHeight="true" outlineLevel="0" collapsed="false">
      <c r="A250" s="51"/>
      <c r="B250" s="121" t="s">
        <v>168</v>
      </c>
      <c r="C250" s="121"/>
      <c r="D250" s="121"/>
      <c r="E250" s="121"/>
      <c r="F250" s="121"/>
      <c r="G250" s="121"/>
      <c r="H250" s="121"/>
      <c r="I250" s="121" t="str">
        <f aca="false">I55</f>
        <v>Dec2025</v>
      </c>
      <c r="J250" s="121"/>
      <c r="K250" s="121"/>
      <c r="L250" s="121"/>
      <c r="M250" s="121"/>
      <c r="N250" s="121"/>
      <c r="O250" s="51"/>
      <c r="P250" s="51"/>
    </row>
    <row r="251" customFormat="false" ht="15" hidden="false" customHeight="true" outlineLevel="0" collapsed="false">
      <c r="A251" s="15"/>
      <c r="B251" s="110" t="s">
        <v>169</v>
      </c>
      <c r="C251" s="15"/>
      <c r="D251" s="15"/>
      <c r="E251" s="15"/>
      <c r="F251" s="15"/>
      <c r="G251" s="15"/>
      <c r="H251" s="15"/>
      <c r="I251" s="155"/>
      <c r="J251" s="15"/>
      <c r="K251" s="15"/>
      <c r="L251" s="15"/>
      <c r="M251" s="15"/>
      <c r="N251" s="15"/>
      <c r="O251" s="15"/>
      <c r="P251" s="15"/>
    </row>
    <row r="252" customFormat="false" ht="15" hidden="false" customHeight="true" outlineLevel="0" collapsed="false">
      <c r="A252" s="15"/>
      <c r="B252" s="110" t="s">
        <v>85</v>
      </c>
      <c r="C252" s="15"/>
      <c r="D252" s="15"/>
      <c r="E252" s="15"/>
      <c r="F252" s="15"/>
      <c r="G252" s="15"/>
      <c r="H252" s="15"/>
      <c r="I252" s="155"/>
      <c r="J252" s="15"/>
      <c r="K252" s="15"/>
      <c r="L252" s="15"/>
      <c r="M252" s="15"/>
      <c r="N252" s="15"/>
      <c r="O252" s="15"/>
      <c r="P252" s="15"/>
    </row>
    <row r="253" customFormat="false" ht="12.75" hidden="false" customHeight="true" outlineLevel="0" collapsed="false">
      <c r="A253" s="65"/>
      <c r="B253" s="88" t="s">
        <v>170</v>
      </c>
      <c r="C253" s="88"/>
      <c r="D253" s="88"/>
      <c r="E253" s="88"/>
      <c r="F253" s="88"/>
      <c r="G253" s="88"/>
      <c r="H253" s="88"/>
      <c r="I253" s="156" t="n">
        <f aca="false">SUM(I251)</f>
        <v>0</v>
      </c>
      <c r="J253" s="88"/>
      <c r="K253" s="88"/>
      <c r="L253" s="88"/>
      <c r="M253" s="88"/>
      <c r="N253" s="88"/>
      <c r="O253" s="65"/>
      <c r="P253" s="6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953125" defaultRowHeight="12.75" customHeight="true" zeroHeight="true" outlineLevelRow="0" outlineLevelCol="0"/>
  <cols>
    <col collapsed="false" customWidth="true" hidden="false" outlineLevel="0" max="1" min="1" style="42" width="1.68"/>
    <col collapsed="false" customWidth="true" hidden="false" outlineLevel="0" max="2" min="2" style="42" width="28.69"/>
    <col collapsed="false" customWidth="true" hidden="false" outlineLevel="0" max="4" min="3" style="42" width="1.68"/>
    <col collapsed="false" customWidth="true" hidden="false" outlineLevel="0" max="5" min="5" style="42" width="10.38"/>
    <col collapsed="false" customWidth="false" hidden="false" outlineLevel="0" max="6" min="6" style="42" width="8.69"/>
    <col collapsed="false" customWidth="true" hidden="false" outlineLevel="0" max="15" min="7" style="42" width="10"/>
    <col collapsed="false" customWidth="true" hidden="false" outlineLevel="0" max="16" min="16" style="42" width="1.68"/>
    <col collapsed="false" customWidth="true" hidden="true" outlineLevel="0" max="323" min="17" style="42" width="9.13"/>
    <col collapsed="false" customWidth="false" hidden="true" outlineLevel="0" max="16384" min="324" style="42" width="8.69"/>
  </cols>
  <sheetData>
    <row r="1" customFormat="false" ht="24" hidden="false" customHeight="true" outlineLevel="0" collapsed="false">
      <c r="A1" s="8"/>
      <c r="B1" s="43" t="str">
        <f aca="false">Legend!D2</f>
        <v>Project dummy Financial Model</v>
      </c>
      <c r="C1" s="44"/>
      <c r="D1" s="44"/>
      <c r="E1" s="44"/>
      <c r="F1" s="44"/>
      <c r="G1" s="44"/>
      <c r="H1" s="44"/>
      <c r="I1" s="45"/>
      <c r="J1" s="45"/>
      <c r="K1" s="45"/>
      <c r="L1" s="45"/>
      <c r="M1" s="45"/>
      <c r="N1" s="46"/>
      <c r="O1" s="46"/>
      <c r="P1" s="8"/>
    </row>
    <row r="2" customFormat="false" ht="12.75" hidden="false" customHeight="true" outlineLevel="0" collapsed="false">
      <c r="A2" s="8"/>
      <c r="B2" s="44" t="s">
        <v>171</v>
      </c>
      <c r="C2" s="47"/>
      <c r="D2" s="47"/>
      <c r="E2" s="47"/>
      <c r="F2" s="47"/>
      <c r="G2" s="48"/>
      <c r="H2" s="49"/>
      <c r="I2" s="46"/>
      <c r="J2" s="46"/>
      <c r="K2" s="46"/>
      <c r="L2" s="46"/>
      <c r="M2" s="46"/>
      <c r="N2" s="46"/>
      <c r="O2" s="46"/>
      <c r="P2" s="8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2.75" hidden="false" customHeight="true" outlineLevel="0" collapsed="false">
      <c r="A4" s="8"/>
      <c r="B4" s="44" t="s">
        <v>27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8"/>
    </row>
    <row r="5" customFormat="false" ht="12.75" hidden="false" customHeight="true" outlineLevel="0" collapsed="false">
      <c r="A5" s="3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customFormat="false" ht="12.75" hidden="false" customHeight="true" outlineLevel="0" collapsed="false">
      <c r="A6" s="51"/>
      <c r="B6" s="121" t="s">
        <v>28</v>
      </c>
      <c r="C6" s="103"/>
      <c r="D6" s="103"/>
      <c r="E6" s="103"/>
      <c r="F6" s="103"/>
      <c r="G6" s="52" t="str">
        <f aca="false">Input!G6</f>
        <v>Actual</v>
      </c>
      <c r="H6" s="52" t="str">
        <f aca="false">Input!H6</f>
        <v>Actual</v>
      </c>
      <c r="I6" s="52" t="str">
        <f aca="false">Input!I6</f>
        <v>Actual</v>
      </c>
      <c r="J6" s="52" t="str">
        <f aca="false">Input!J6</f>
        <v>Forecast</v>
      </c>
      <c r="K6" s="52" t="str">
        <f aca="false">Input!K6</f>
        <v>Forecast</v>
      </c>
      <c r="L6" s="52" t="str">
        <f aca="false">Input!L6</f>
        <v>Forecast</v>
      </c>
      <c r="M6" s="52" t="str">
        <f aca="false">Input!M6</f>
        <v>Forecast</v>
      </c>
      <c r="N6" s="52" t="str">
        <f aca="false">Input!N6</f>
        <v>Forecast</v>
      </c>
      <c r="O6" s="52" t="str">
        <f aca="false">Input!O6</f>
        <v>Forecast</v>
      </c>
      <c r="P6" s="51"/>
    </row>
    <row r="7" customFormat="false" ht="12.75" hidden="false" customHeight="true" outlineLevel="0" collapsed="false">
      <c r="A7" s="15"/>
      <c r="B7" s="56" t="s">
        <v>31</v>
      </c>
      <c r="C7" s="56"/>
      <c r="D7" s="57"/>
      <c r="E7" s="57"/>
      <c r="F7" s="57"/>
      <c r="G7" s="55" t="n">
        <f aca="false">Input!G7</f>
        <v>44927</v>
      </c>
      <c r="H7" s="55" t="n">
        <f aca="false">Input!H7</f>
        <v>45292</v>
      </c>
      <c r="I7" s="55" t="n">
        <f aca="false">Input!I7</f>
        <v>45658</v>
      </c>
      <c r="J7" s="55" t="n">
        <f aca="false">Input!J7</f>
        <v>46023</v>
      </c>
      <c r="K7" s="55" t="n">
        <f aca="false">Input!K7</f>
        <v>46388</v>
      </c>
      <c r="L7" s="55" t="n">
        <f aca="false">Input!L7</f>
        <v>46753</v>
      </c>
      <c r="M7" s="55" t="n">
        <f aca="false">Input!M7</f>
        <v>47119</v>
      </c>
      <c r="N7" s="55" t="n">
        <f aca="false">Input!N7</f>
        <v>47484</v>
      </c>
      <c r="O7" s="55" t="s">
        <v>32</v>
      </c>
      <c r="P7" s="15"/>
    </row>
    <row r="8" customFormat="false" ht="12.75" hidden="false" customHeight="true" outlineLevel="0" collapsed="false">
      <c r="A8" s="15"/>
      <c r="B8" s="56" t="s">
        <v>33</v>
      </c>
      <c r="C8" s="56"/>
      <c r="D8" s="57"/>
      <c r="E8" s="57"/>
      <c r="F8" s="57"/>
      <c r="G8" s="55" t="n">
        <f aca="false">Input!G8</f>
        <v>45291</v>
      </c>
      <c r="H8" s="55" t="n">
        <f aca="false">Input!H8</f>
        <v>45657</v>
      </c>
      <c r="I8" s="55" t="n">
        <f aca="false">Input!I8</f>
        <v>46022</v>
      </c>
      <c r="J8" s="55" t="n">
        <f aca="false">Input!J8</f>
        <v>46387</v>
      </c>
      <c r="K8" s="55" t="n">
        <f aca="false">Input!K8</f>
        <v>46752</v>
      </c>
      <c r="L8" s="55" t="n">
        <f aca="false">Input!L8</f>
        <v>47118</v>
      </c>
      <c r="M8" s="55" t="n">
        <f aca="false">Input!M8</f>
        <v>47483</v>
      </c>
      <c r="N8" s="55" t="n">
        <f aca="false">Input!N8</f>
        <v>47848</v>
      </c>
      <c r="O8" s="55"/>
      <c r="P8" s="15"/>
    </row>
    <row r="9" customFormat="false" ht="12.75" hidden="false" customHeight="true" outlineLevel="0" collapsed="false">
      <c r="A9" s="15"/>
      <c r="B9" s="56" t="s">
        <v>34</v>
      </c>
      <c r="C9" s="56"/>
      <c r="D9" s="57"/>
      <c r="E9" s="57"/>
      <c r="F9" s="57"/>
      <c r="G9" s="58" t="n">
        <f aca="false">Input!G9</f>
        <v>12</v>
      </c>
      <c r="H9" s="59" t="n">
        <f aca="false">Input!H9</f>
        <v>12</v>
      </c>
      <c r="I9" s="59" t="n">
        <f aca="false">Input!I9</f>
        <v>12</v>
      </c>
      <c r="J9" s="59" t="n">
        <f aca="false">Input!J9</f>
        <v>12</v>
      </c>
      <c r="K9" s="59" t="n">
        <f aca="false">Input!K9</f>
        <v>12</v>
      </c>
      <c r="L9" s="59" t="n">
        <f aca="false">Input!L9</f>
        <v>12</v>
      </c>
      <c r="M9" s="59" t="n">
        <f aca="false">Input!M9</f>
        <v>12</v>
      </c>
      <c r="N9" s="59" t="n">
        <f aca="false">Input!N9</f>
        <v>12</v>
      </c>
      <c r="O9" s="59"/>
      <c r="P9" s="15"/>
    </row>
    <row r="10" customFormat="false" ht="12.75" hidden="false" customHeight="true" outlineLevel="0" collapsed="false">
      <c r="A10" s="15"/>
      <c r="B10" s="56" t="s">
        <v>35</v>
      </c>
      <c r="C10" s="56"/>
      <c r="D10" s="57"/>
      <c r="E10" s="57"/>
      <c r="F10" s="57"/>
      <c r="G10" s="58" t="n">
        <f aca="false">Input!G10</f>
        <v>2023</v>
      </c>
      <c r="H10" s="58" t="n">
        <f aca="false">Input!H10</f>
        <v>2024</v>
      </c>
      <c r="I10" s="59" t="n">
        <f aca="false">Input!I10</f>
        <v>2025</v>
      </c>
      <c r="J10" s="59" t="n">
        <f aca="false">Input!J10</f>
        <v>2026</v>
      </c>
      <c r="K10" s="59" t="n">
        <f aca="false">Input!K10</f>
        <v>2027</v>
      </c>
      <c r="L10" s="59" t="n">
        <f aca="false">Input!L10</f>
        <v>2028</v>
      </c>
      <c r="M10" s="59" t="n">
        <f aca="false">Input!M10</f>
        <v>2029</v>
      </c>
      <c r="N10" s="59" t="n">
        <f aca="false">Input!N10</f>
        <v>2030</v>
      </c>
      <c r="O10" s="59"/>
      <c r="P10" s="15"/>
    </row>
    <row r="11" customFormat="false" ht="12.75" hidden="false" customHeight="true" outlineLevel="0" collapsed="false">
      <c r="A11" s="15"/>
      <c r="B11" s="56" t="s">
        <v>36</v>
      </c>
      <c r="C11" s="57"/>
      <c r="D11" s="59"/>
      <c r="E11" s="59"/>
      <c r="F11" s="59"/>
      <c r="G11" s="59" t="n">
        <f aca="false">Input!G11</f>
        <v>364</v>
      </c>
      <c r="H11" s="59" t="n">
        <f aca="false">Input!H11</f>
        <v>365</v>
      </c>
      <c r="I11" s="59" t="n">
        <f aca="false">Input!I11</f>
        <v>364</v>
      </c>
      <c r="J11" s="59" t="n">
        <f aca="false">Input!J11</f>
        <v>364</v>
      </c>
      <c r="K11" s="59" t="n">
        <f aca="false">Input!K11</f>
        <v>364</v>
      </c>
      <c r="L11" s="59" t="n">
        <f aca="false">Input!L11</f>
        <v>365</v>
      </c>
      <c r="M11" s="59" t="n">
        <f aca="false">Input!M11</f>
        <v>364</v>
      </c>
      <c r="N11" s="59" t="n">
        <f aca="false">Input!N11</f>
        <v>364</v>
      </c>
      <c r="O11" s="59"/>
      <c r="P11" s="15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2.75" hidden="false" customHeight="true" outlineLevel="0" collapsed="false">
      <c r="A13" s="8"/>
      <c r="B13" s="44" t="s">
        <v>172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8"/>
    </row>
    <row r="14" customFormat="false" ht="12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2.75" hidden="false" customHeight="true" outlineLevel="0" collapsed="false">
      <c r="A15" s="51"/>
      <c r="B15" s="103" t="s">
        <v>173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customFormat="false" ht="12.75" hidden="false" customHeight="true" outlineLevel="0" collapsed="false">
      <c r="A16" s="15"/>
      <c r="B16" s="157" t="s">
        <v>174</v>
      </c>
      <c r="C16" s="158"/>
      <c r="D16" s="158"/>
      <c r="E16" s="158"/>
      <c r="F16" s="159" t="s">
        <v>114</v>
      </c>
      <c r="G16" s="160" t="n">
        <f aca="false">G29</f>
        <v>0</v>
      </c>
      <c r="H16" s="160" t="n">
        <f aca="false">H29</f>
        <v>0</v>
      </c>
      <c r="I16" s="160" t="n">
        <f aca="false">I29</f>
        <v>0</v>
      </c>
      <c r="J16" s="160" t="n">
        <f aca="false">J29</f>
        <v>927</v>
      </c>
      <c r="K16" s="160" t="n">
        <f aca="false">K29</f>
        <v>954.81</v>
      </c>
      <c r="L16" s="160" t="n">
        <f aca="false">L29</f>
        <v>983.4543</v>
      </c>
      <c r="M16" s="160" t="n">
        <f aca="false">M29</f>
        <v>1012.957929</v>
      </c>
      <c r="N16" s="160" t="n">
        <f aca="false">N29</f>
        <v>1043.34666687</v>
      </c>
      <c r="O16" s="112"/>
      <c r="P16" s="15"/>
    </row>
    <row r="17" customFormat="false" ht="12.75" hidden="false" customHeight="true" outlineLevel="0" collapsed="false">
      <c r="A17" s="15"/>
      <c r="B17" s="56" t="s">
        <v>175</v>
      </c>
      <c r="C17" s="15"/>
      <c r="D17" s="15"/>
      <c r="E17" s="15"/>
      <c r="F17" s="57" t="s">
        <v>114</v>
      </c>
      <c r="G17" s="112" t="n">
        <f aca="false">G36</f>
        <v>0</v>
      </c>
      <c r="H17" s="112" t="n">
        <f aca="false">H36</f>
        <v>0</v>
      </c>
      <c r="I17" s="112" t="n">
        <f aca="false">I36</f>
        <v>0</v>
      </c>
      <c r="J17" s="112" t="n">
        <f aca="false">J36</f>
        <v>412</v>
      </c>
      <c r="K17" s="112" t="n">
        <f aca="false">K36</f>
        <v>424.36</v>
      </c>
      <c r="L17" s="112" t="n">
        <f aca="false">L36</f>
        <v>437.0908</v>
      </c>
      <c r="M17" s="112" t="n">
        <f aca="false">M36</f>
        <v>450.203524</v>
      </c>
      <c r="N17" s="112" t="n">
        <f aca="false">N36</f>
        <v>463.70962972</v>
      </c>
      <c r="O17" s="112"/>
      <c r="P17" s="15"/>
    </row>
    <row r="18" customFormat="false" ht="12.75" hidden="false" customHeight="true" outlineLevel="0" collapsed="false">
      <c r="A18" s="15"/>
      <c r="B18" s="56" t="s">
        <v>176</v>
      </c>
      <c r="C18" s="15"/>
      <c r="D18" s="15"/>
      <c r="E18" s="15"/>
      <c r="F18" s="57" t="s">
        <v>114</v>
      </c>
      <c r="G18" s="112" t="n">
        <f aca="false">G43</f>
        <v>0</v>
      </c>
      <c r="H18" s="112" t="n">
        <f aca="false">H43</f>
        <v>0</v>
      </c>
      <c r="I18" s="112" t="n">
        <f aca="false">I43</f>
        <v>0</v>
      </c>
      <c r="J18" s="112" t="n">
        <f aca="false">J43</f>
        <v>0</v>
      </c>
      <c r="K18" s="112" t="n">
        <f aca="false">K43</f>
        <v>0</v>
      </c>
      <c r="L18" s="112" t="n">
        <f aca="false">L43</f>
        <v>0</v>
      </c>
      <c r="M18" s="112" t="n">
        <f aca="false">M43</f>
        <v>0</v>
      </c>
      <c r="N18" s="112" t="n">
        <f aca="false">N43</f>
        <v>0</v>
      </c>
      <c r="O18" s="112"/>
      <c r="P18" s="15"/>
    </row>
    <row r="19" customFormat="false" ht="12.75" hidden="false" customHeight="true" outlineLevel="0" collapsed="false">
      <c r="A19" s="15"/>
      <c r="B19" s="56" t="s">
        <v>177</v>
      </c>
      <c r="C19" s="15"/>
      <c r="D19" s="15"/>
      <c r="E19" s="15"/>
      <c r="F19" s="57" t="s">
        <v>114</v>
      </c>
      <c r="G19" s="112" t="n">
        <f aca="false">G50</f>
        <v>0</v>
      </c>
      <c r="H19" s="112" t="n">
        <f aca="false">H50</f>
        <v>0</v>
      </c>
      <c r="I19" s="112" t="n">
        <f aca="false">I50</f>
        <v>0</v>
      </c>
      <c r="J19" s="112" t="n">
        <f aca="false">J50</f>
        <v>824</v>
      </c>
      <c r="K19" s="112" t="n">
        <f aca="false">K50</f>
        <v>848.72</v>
      </c>
      <c r="L19" s="112" t="n">
        <f aca="false">L50</f>
        <v>874.1816</v>
      </c>
      <c r="M19" s="112" t="n">
        <f aca="false">M50</f>
        <v>900.407048</v>
      </c>
      <c r="N19" s="112" t="n">
        <f aca="false">N50</f>
        <v>927.41925944</v>
      </c>
      <c r="O19" s="112"/>
      <c r="P19" s="15"/>
    </row>
    <row r="20" customFormat="false" ht="12.75" hidden="false" customHeight="true" outlineLevel="0" collapsed="false">
      <c r="A20" s="15"/>
      <c r="B20" s="56" t="s">
        <v>178</v>
      </c>
      <c r="C20" s="15"/>
      <c r="D20" s="15"/>
      <c r="E20" s="15"/>
      <c r="F20" s="57" t="s">
        <v>114</v>
      </c>
      <c r="G20" s="112" t="n">
        <f aca="false">G57</f>
        <v>0</v>
      </c>
      <c r="H20" s="112" t="n">
        <f aca="false">H57</f>
        <v>0</v>
      </c>
      <c r="I20" s="112" t="n">
        <f aca="false">I57</f>
        <v>0</v>
      </c>
      <c r="J20" s="112" t="n">
        <f aca="false">J57</f>
        <v>0</v>
      </c>
      <c r="K20" s="112" t="n">
        <f aca="false">K57</f>
        <v>0</v>
      </c>
      <c r="L20" s="112" t="n">
        <f aca="false">L57</f>
        <v>0</v>
      </c>
      <c r="M20" s="112" t="n">
        <f aca="false">M57</f>
        <v>0</v>
      </c>
      <c r="N20" s="112" t="n">
        <f aca="false">N57</f>
        <v>0</v>
      </c>
      <c r="O20" s="112"/>
      <c r="P20" s="15"/>
    </row>
    <row r="21" customFormat="false" ht="13.5" hidden="false" customHeight="true" outlineLevel="0" collapsed="false">
      <c r="A21" s="15"/>
      <c r="B21" s="161" t="s">
        <v>179</v>
      </c>
      <c r="C21" s="162"/>
      <c r="D21" s="162"/>
      <c r="E21" s="162"/>
      <c r="F21" s="163" t="s">
        <v>114</v>
      </c>
      <c r="G21" s="164" t="n">
        <f aca="false">SUM(G16:G20)</f>
        <v>0</v>
      </c>
      <c r="H21" s="164" t="n">
        <f aca="false">SUM(H16:H20)</f>
        <v>0</v>
      </c>
      <c r="I21" s="164" t="n">
        <f aca="false">SUM(I16:I20)</f>
        <v>0</v>
      </c>
      <c r="J21" s="164" t="n">
        <f aca="false">SUM(J16:J20)</f>
        <v>2163</v>
      </c>
      <c r="K21" s="164" t="n">
        <f aca="false">SUM(K16:K20)</f>
        <v>2227.89</v>
      </c>
      <c r="L21" s="164" t="n">
        <f aca="false">SUM(L16:L20)</f>
        <v>2294.7267</v>
      </c>
      <c r="M21" s="164" t="n">
        <f aca="false">SUM(M16:M20)</f>
        <v>2363.568501</v>
      </c>
      <c r="N21" s="165" t="n">
        <f aca="false">SUM(N16:N20)</f>
        <v>2434.47555603</v>
      </c>
      <c r="O21" s="166"/>
      <c r="P21" s="15"/>
    </row>
    <row r="22" customFormat="false" ht="12.75" hidden="false" customHeight="true" outlineLevel="0" collapsed="false">
      <c r="A22" s="15"/>
      <c r="B22" s="167" t="s">
        <v>180</v>
      </c>
      <c r="C22" s="15"/>
      <c r="D22" s="15"/>
      <c r="E22" s="15"/>
      <c r="F22" s="15"/>
      <c r="G22" s="168" t="n">
        <f aca="false">G21=Input!G28</f>
        <v>0</v>
      </c>
      <c r="H22" s="168" t="n">
        <f aca="false">H21=Input!H28</f>
        <v>0</v>
      </c>
      <c r="I22" s="168" t="n">
        <f aca="false">I21=Input!I28</f>
        <v>0</v>
      </c>
      <c r="J22" s="15"/>
      <c r="K22" s="15"/>
      <c r="L22" s="15"/>
      <c r="M22" s="15"/>
      <c r="N22" s="15"/>
      <c r="O22" s="15"/>
      <c r="P22" s="15"/>
    </row>
    <row r="23" customFormat="false" ht="12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2.75" hidden="false" customHeight="true" outlineLevel="0" collapsed="false">
      <c r="A24" s="51"/>
      <c r="B24" s="103" t="s">
        <v>101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</row>
    <row r="25" customFormat="false" ht="12.75" hidden="false" customHeight="true" outlineLevel="0" collapsed="false">
      <c r="A25" s="15"/>
      <c r="B25" s="157" t="s">
        <v>181</v>
      </c>
      <c r="C25" s="158"/>
      <c r="D25" s="158"/>
      <c r="E25" s="158"/>
      <c r="F25" s="159" t="s">
        <v>182</v>
      </c>
      <c r="G25" s="160" t="n">
        <f aca="false">SUMIFS(Input!$G$85:$N$85,Input!$G$7:$N$7,Calculation!G$7)</f>
        <v>0</v>
      </c>
      <c r="H25" s="160" t="n">
        <f aca="false">SUMIFS(Input!$G$85:$N$85,Input!$G$7:$N$7,Calculation!H$7)</f>
        <v>0</v>
      </c>
      <c r="I25" s="160" t="n">
        <f aca="false">SUMIFS(Input!$G$85:$N$85,Input!$G$7:$N$7,Calculation!I$7)</f>
        <v>0</v>
      </c>
      <c r="J25" s="160" t="n">
        <f aca="false">SUMIFS(Input!$G$85:$N$85,Input!$G$7:$N$7,Calculation!J$7)</f>
        <v>30000</v>
      </c>
      <c r="K25" s="160" t="n">
        <f aca="false">SUMIFS(Input!$G$85:$N$85,Input!$G$7:$N$7,Calculation!K$7)</f>
        <v>30000</v>
      </c>
      <c r="L25" s="160" t="n">
        <f aca="false">SUMIFS(Input!$G$85:$N$85,Input!$G$7:$N$7,Calculation!L$7)</f>
        <v>30000</v>
      </c>
      <c r="M25" s="160" t="n">
        <f aca="false">SUMIFS(Input!$G$85:$N$85,Input!$G$7:$N$7,Calculation!M$7)</f>
        <v>30000</v>
      </c>
      <c r="N25" s="160" t="n">
        <f aca="false">SUMIFS(Input!$G$85:$N$85,Input!$G$7:$N$7,Calculation!N$7)</f>
        <v>30000</v>
      </c>
      <c r="O25" s="112"/>
      <c r="P25" s="15"/>
    </row>
    <row r="26" customFormat="false" ht="12.75" hidden="false" customHeight="true" outlineLevel="0" collapsed="false">
      <c r="A26" s="15"/>
      <c r="B26" s="56" t="s">
        <v>45</v>
      </c>
      <c r="C26" s="15"/>
      <c r="D26" s="15"/>
      <c r="E26" s="15"/>
      <c r="F26" s="57" t="s">
        <v>43</v>
      </c>
      <c r="G26" s="116" t="n">
        <f aca="false">SUMIFS(Input!$G$20:$N$20,Input!$G$7:$N$7,Calculation!G$7)</f>
        <v>0</v>
      </c>
      <c r="H26" s="116" t="n">
        <f aca="false">SUMIFS(Input!$G$20:$N$20,Input!$G$7:$N$7,Calculation!H$7)</f>
        <v>0</v>
      </c>
      <c r="I26" s="116" t="n">
        <f aca="false">SUMIFS(Input!$G$20:$N$20,Input!$G$7:$N$7,Calculation!I$7)</f>
        <v>0</v>
      </c>
      <c r="J26" s="116" t="n">
        <f aca="false">SUMIFS(Input!$G$20:$N$20,Input!$G$7:$N$7,Calculation!J$7)</f>
        <v>1.03</v>
      </c>
      <c r="K26" s="116" t="n">
        <f aca="false">SUMIFS(Input!$G$20:$N$20,Input!$G$7:$N$7,Calculation!K$7)</f>
        <v>1.03</v>
      </c>
      <c r="L26" s="116" t="n">
        <f aca="false">SUMIFS(Input!$G$20:$N$20,Input!$G$7:$N$7,Calculation!L$7)</f>
        <v>1.03</v>
      </c>
      <c r="M26" s="116" t="n">
        <f aca="false">SUMIFS(Input!$G$20:$N$20,Input!$G$7:$N$7,Calculation!M$7)</f>
        <v>1.03</v>
      </c>
      <c r="N26" s="116" t="n">
        <f aca="false">SUMIFS(Input!$G$20:$N$20,Input!$G$7:$N$7,Calculation!N$7)</f>
        <v>1.03</v>
      </c>
      <c r="O26" s="116"/>
      <c r="P26" s="15"/>
    </row>
    <row r="27" customFormat="false" ht="12.75" hidden="false" customHeight="true" outlineLevel="0" collapsed="false">
      <c r="A27" s="15"/>
      <c r="B27" s="53" t="s">
        <v>183</v>
      </c>
      <c r="C27" s="15"/>
      <c r="D27" s="15"/>
      <c r="E27" s="15"/>
      <c r="F27" s="57" t="s">
        <v>182</v>
      </c>
      <c r="G27" s="112" t="n">
        <f aca="false">IFERROR(G25*G26,"")</f>
        <v>0</v>
      </c>
      <c r="H27" s="112" t="n">
        <f aca="false">IFERROR(H25*H26,"")</f>
        <v>0</v>
      </c>
      <c r="I27" s="112" t="n">
        <f aca="false">IFERROR(I25*I26,"")</f>
        <v>0</v>
      </c>
      <c r="J27" s="112" t="n">
        <f aca="false">IFERROR(J25*J26,"")</f>
        <v>30900</v>
      </c>
      <c r="K27" s="112" t="n">
        <f aca="false">IFERROR(J27*K26,"")</f>
        <v>31827</v>
      </c>
      <c r="L27" s="112" t="n">
        <f aca="false">IFERROR(K27*L26,"")</f>
        <v>32781.81</v>
      </c>
      <c r="M27" s="112" t="n">
        <f aca="false">IFERROR(L27*M26,"")</f>
        <v>33765.2643</v>
      </c>
      <c r="N27" s="112" t="n">
        <f aca="false">IFERROR(M27*N26,"")</f>
        <v>34778.222229</v>
      </c>
      <c r="O27" s="112"/>
      <c r="P27" s="15"/>
    </row>
    <row r="28" customFormat="false" ht="12.75" hidden="false" customHeight="true" outlineLevel="0" collapsed="false">
      <c r="A28" s="15"/>
      <c r="B28" s="53" t="s">
        <v>104</v>
      </c>
      <c r="C28" s="15"/>
      <c r="D28" s="15"/>
      <c r="E28" s="15"/>
      <c r="F28" s="57" t="s">
        <v>184</v>
      </c>
      <c r="G28" s="112" t="n">
        <f aca="false">SUMIFS(Input!$G$86:$N$86,Input!$G$7:$N$7,Calculation!G$7)</f>
        <v>0</v>
      </c>
      <c r="H28" s="112" t="n">
        <f aca="false">SUMIFS(Input!$G$86:$N$86,Input!$G$7:$N$7,Calculation!H$7)</f>
        <v>0</v>
      </c>
      <c r="I28" s="112" t="n">
        <f aca="false">SUMIFS(Input!$G$86:$N$86,Input!$G$7:$N$7,Calculation!I$7)</f>
        <v>0</v>
      </c>
      <c r="J28" s="112" t="n">
        <f aca="false">SUMIFS(Input!$G$86:$N$86,Input!$G$7:$N$7,Calculation!J$7)</f>
        <v>30000</v>
      </c>
      <c r="K28" s="112" t="n">
        <f aca="false">SUMIFS(Input!$G$86:$N$86,Input!$G$7:$N$7,Calculation!K$7)</f>
        <v>30000</v>
      </c>
      <c r="L28" s="112" t="n">
        <f aca="false">SUMIFS(Input!$G$86:$N$86,Input!$G$7:$N$7,Calculation!L$7)</f>
        <v>30000</v>
      </c>
      <c r="M28" s="112" t="n">
        <f aca="false">SUMIFS(Input!$G$86:$N$86,Input!$G$7:$N$7,Calculation!M$7)</f>
        <v>30000</v>
      </c>
      <c r="N28" s="112" t="n">
        <f aca="false">SUMIFS(Input!$G$86:$N$86,Input!$G$7:$N$7,Calculation!N$7)</f>
        <v>30000</v>
      </c>
      <c r="O28" s="112"/>
      <c r="P28" s="15"/>
    </row>
    <row r="29" customFormat="false" ht="12.75" hidden="false" customHeight="true" outlineLevel="0" collapsed="false">
      <c r="A29" s="8"/>
      <c r="B29" s="124" t="s">
        <v>172</v>
      </c>
      <c r="C29" s="125"/>
      <c r="D29" s="125"/>
      <c r="E29" s="125"/>
      <c r="F29" s="126" t="s">
        <v>114</v>
      </c>
      <c r="G29" s="127" t="n">
        <f aca="false">G27*G28/mn</f>
        <v>0</v>
      </c>
      <c r="H29" s="127" t="n">
        <f aca="false">H27*H28/mn</f>
        <v>0</v>
      </c>
      <c r="I29" s="127" t="n">
        <f aca="false">I27*I28/mn</f>
        <v>0</v>
      </c>
      <c r="J29" s="127" t="n">
        <f aca="false">J27*J28/mn</f>
        <v>927</v>
      </c>
      <c r="K29" s="127" t="n">
        <f aca="false">K27*K28/mn</f>
        <v>954.81</v>
      </c>
      <c r="L29" s="127" t="n">
        <f aca="false">L27*L28/mn</f>
        <v>983.4543</v>
      </c>
      <c r="M29" s="127" t="n">
        <f aca="false">M27*M28/mn</f>
        <v>1012.957929</v>
      </c>
      <c r="N29" s="127" t="n">
        <f aca="false">N27*N28/mn</f>
        <v>1043.34666687</v>
      </c>
      <c r="O29" s="123"/>
      <c r="P29" s="8"/>
    </row>
    <row r="30" customFormat="false" ht="12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2.75" hidden="false" customHeight="true" outlineLevel="0" collapsed="false">
      <c r="A31" s="51"/>
      <c r="B31" s="103" t="s">
        <v>106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</row>
    <row r="32" customFormat="false" ht="12.75" hidden="false" customHeight="true" outlineLevel="0" collapsed="false">
      <c r="A32" s="15"/>
      <c r="B32" s="157" t="s">
        <v>181</v>
      </c>
      <c r="C32" s="158"/>
      <c r="D32" s="158"/>
      <c r="E32" s="158"/>
      <c r="F32" s="159" t="s">
        <v>182</v>
      </c>
      <c r="G32" s="160" t="n">
        <f aca="false">SUMIFS(Input!$G$91:$N$91,Input!$G$7:$N$7,Calculation!G$7)</f>
        <v>0</v>
      </c>
      <c r="H32" s="160" t="n">
        <f aca="false">SUMIFS(Input!$G$91:$N$91,Input!$G$7:$N$7,Calculation!H$7)</f>
        <v>0</v>
      </c>
      <c r="I32" s="160" t="n">
        <f aca="false">SUMIFS(Input!$G$91:$N$91,Input!$G$7:$N$7,Calculation!I$7)</f>
        <v>0</v>
      </c>
      <c r="J32" s="160" t="n">
        <f aca="false">SUMIFS(Input!$G$91:$N$91,Input!$G$7:$N$7,Calculation!J$7)</f>
        <v>20000</v>
      </c>
      <c r="K32" s="160" t="n">
        <f aca="false">SUMIFS(Input!$G$91:$N$91,Input!$G$7:$N$7,Calculation!K$7)</f>
        <v>20000</v>
      </c>
      <c r="L32" s="160" t="n">
        <f aca="false">SUMIFS(Input!$G$91:$N$91,Input!$G$7:$N$7,Calculation!L$7)</f>
        <v>20000</v>
      </c>
      <c r="M32" s="160" t="n">
        <f aca="false">SUMIFS(Input!$G$91:$N$91,Input!$G$7:$N$7,Calculation!M$7)</f>
        <v>20000</v>
      </c>
      <c r="N32" s="160" t="n">
        <f aca="false">SUMIFS(Input!$G$91:$N$91,Input!$G$7:$N$7,Calculation!N$7)</f>
        <v>20000</v>
      </c>
      <c r="O32" s="112"/>
      <c r="P32" s="15"/>
    </row>
    <row r="33" customFormat="false" ht="12.75" hidden="false" customHeight="true" outlineLevel="0" collapsed="false">
      <c r="A33" s="15"/>
      <c r="B33" s="56" t="s">
        <v>45</v>
      </c>
      <c r="C33" s="15"/>
      <c r="D33" s="15"/>
      <c r="E33" s="15"/>
      <c r="F33" s="57" t="s">
        <v>43</v>
      </c>
      <c r="G33" s="116" t="n">
        <f aca="false">SUMIFS(Input!$G$20:$N$20,Input!$G$7:$N$7,Calculation!G$7)</f>
        <v>0</v>
      </c>
      <c r="H33" s="116" t="n">
        <f aca="false">SUMIFS(Input!$G$20:$N$20,Input!$G$7:$N$7,Calculation!H$7)</f>
        <v>0</v>
      </c>
      <c r="I33" s="116" t="n">
        <f aca="false">SUMIFS(Input!$G$20:$N$20,Input!$G$7:$N$7,Calculation!I$7)</f>
        <v>0</v>
      </c>
      <c r="J33" s="116" t="n">
        <f aca="false">SUMIFS(Input!$G$20:$N$20,Input!$G$7:$N$7,Calculation!J$7)</f>
        <v>1.03</v>
      </c>
      <c r="K33" s="116" t="n">
        <f aca="false">SUMIFS(Input!$G$20:$N$20,Input!$G$7:$N$7,Calculation!K$7)</f>
        <v>1.03</v>
      </c>
      <c r="L33" s="116" t="n">
        <f aca="false">SUMIFS(Input!$G$20:$N$20,Input!$G$7:$N$7,Calculation!L$7)</f>
        <v>1.03</v>
      </c>
      <c r="M33" s="116" t="n">
        <f aca="false">SUMIFS(Input!$G$20:$N$20,Input!$G$7:$N$7,Calculation!M$7)</f>
        <v>1.03</v>
      </c>
      <c r="N33" s="116" t="n">
        <f aca="false">SUMIFS(Input!$G$20:$N$20,Input!$G$7:$N$7,Calculation!N$7)</f>
        <v>1.03</v>
      </c>
      <c r="O33" s="116"/>
      <c r="P33" s="15"/>
    </row>
    <row r="34" customFormat="false" ht="12.75" hidden="false" customHeight="true" outlineLevel="0" collapsed="false">
      <c r="A34" s="15"/>
      <c r="B34" s="53" t="s">
        <v>183</v>
      </c>
      <c r="C34" s="15"/>
      <c r="D34" s="15"/>
      <c r="E34" s="15"/>
      <c r="F34" s="57" t="s">
        <v>182</v>
      </c>
      <c r="G34" s="112" t="n">
        <f aca="false">IFERROR(G32*G33,"")</f>
        <v>0</v>
      </c>
      <c r="H34" s="112" t="n">
        <f aca="false">IFERROR(H32*H33,"")</f>
        <v>0</v>
      </c>
      <c r="I34" s="112" t="n">
        <f aca="false">IFERROR(I32*I33,"")</f>
        <v>0</v>
      </c>
      <c r="J34" s="112" t="n">
        <f aca="false">IFERROR(J32*J33,"")</f>
        <v>20600</v>
      </c>
      <c r="K34" s="112" t="n">
        <f aca="false">IFERROR(J34*K33,"")</f>
        <v>21218</v>
      </c>
      <c r="L34" s="112" t="n">
        <f aca="false">IFERROR(K34*L33,"")</f>
        <v>21854.54</v>
      </c>
      <c r="M34" s="112" t="n">
        <f aca="false">IFERROR(L34*M33,"")</f>
        <v>22510.1762</v>
      </c>
      <c r="N34" s="112" t="n">
        <f aca="false">IFERROR(M34*N33,"")</f>
        <v>23185.481486</v>
      </c>
      <c r="O34" s="112"/>
      <c r="P34" s="15"/>
    </row>
    <row r="35" customFormat="false" ht="12.75" hidden="false" customHeight="true" outlineLevel="0" collapsed="false">
      <c r="A35" s="15"/>
      <c r="B35" s="53" t="s">
        <v>104</v>
      </c>
      <c r="C35" s="15"/>
      <c r="D35" s="15"/>
      <c r="E35" s="15"/>
      <c r="F35" s="57" t="s">
        <v>184</v>
      </c>
      <c r="G35" s="112" t="n">
        <f aca="false">SUMIFS(Input!$G$92:$N$92,Input!$G$7:$N$7,Calculation!G$7)</f>
        <v>0</v>
      </c>
      <c r="H35" s="112" t="n">
        <f aca="false">SUMIFS(Input!$G$92:$N$92,Input!$G$7:$N$7,Calculation!H$7)</f>
        <v>0</v>
      </c>
      <c r="I35" s="112" t="n">
        <f aca="false">SUMIFS(Input!$G$92:$N$92,Input!$G$7:$N$7,Calculation!I$7)</f>
        <v>0</v>
      </c>
      <c r="J35" s="112" t="n">
        <f aca="false">SUMIFS(Input!$G$92:$N$92,Input!$G$7:$N$7,Calculation!J$7)</f>
        <v>20000</v>
      </c>
      <c r="K35" s="112" t="n">
        <f aca="false">SUMIFS(Input!$G$92:$N$92,Input!$G$7:$N$7,Calculation!K$7)</f>
        <v>20000</v>
      </c>
      <c r="L35" s="112" t="n">
        <f aca="false">SUMIFS(Input!$G$92:$N$92,Input!$G$7:$N$7,Calculation!L$7)</f>
        <v>20000</v>
      </c>
      <c r="M35" s="112" t="n">
        <f aca="false">SUMIFS(Input!$G$92:$N$92,Input!$G$7:$N$7,Calculation!M$7)</f>
        <v>20000</v>
      </c>
      <c r="N35" s="112" t="n">
        <f aca="false">SUMIFS(Input!$G$92:$N$92,Input!$G$7:$N$7,Calculation!N$7)</f>
        <v>20000</v>
      </c>
      <c r="O35" s="112"/>
      <c r="P35" s="15"/>
    </row>
    <row r="36" customFormat="false" ht="12.75" hidden="false" customHeight="true" outlineLevel="0" collapsed="false">
      <c r="A36" s="8"/>
      <c r="B36" s="124" t="s">
        <v>172</v>
      </c>
      <c r="C36" s="125"/>
      <c r="D36" s="125"/>
      <c r="E36" s="125"/>
      <c r="F36" s="126" t="s">
        <v>114</v>
      </c>
      <c r="G36" s="127" t="n">
        <f aca="false">G34*G35/mn</f>
        <v>0</v>
      </c>
      <c r="H36" s="127" t="n">
        <f aca="false">H34*H35/mn</f>
        <v>0</v>
      </c>
      <c r="I36" s="127" t="n">
        <f aca="false">I34*I35/mn</f>
        <v>0</v>
      </c>
      <c r="J36" s="127" t="n">
        <f aca="false">J34*J35/mn</f>
        <v>412</v>
      </c>
      <c r="K36" s="127" t="n">
        <f aca="false">K34*K35/mn</f>
        <v>424.36</v>
      </c>
      <c r="L36" s="127" t="n">
        <f aca="false">L34*L35/mn</f>
        <v>437.0908</v>
      </c>
      <c r="M36" s="127" t="n">
        <f aca="false">M34*M35/mn</f>
        <v>450.203524</v>
      </c>
      <c r="N36" s="127" t="n">
        <f aca="false">N34*N35/mn</f>
        <v>463.70962972</v>
      </c>
      <c r="O36" s="123"/>
      <c r="P36" s="8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2.75" hidden="false" customHeight="true" outlineLevel="0" collapsed="false">
      <c r="A38" s="51"/>
      <c r="B38" s="103" t="s">
        <v>107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</row>
    <row r="39" customFormat="false" ht="12.75" hidden="false" customHeight="true" outlineLevel="0" collapsed="false">
      <c r="A39" s="15"/>
      <c r="B39" s="157" t="s">
        <v>181</v>
      </c>
      <c r="C39" s="158"/>
      <c r="D39" s="158"/>
      <c r="E39" s="158"/>
      <c r="F39" s="159" t="s">
        <v>182</v>
      </c>
      <c r="G39" s="160" t="n">
        <f aca="false">SUMIFS(Input!$G$97:$N$97,Input!$G$7:$N$7,Calculation!G$7)</f>
        <v>0</v>
      </c>
      <c r="H39" s="160" t="n">
        <f aca="false">SUMIFS(Input!$G$97:$N$97,Input!$G$7:$N$7,Calculation!H$7)</f>
        <v>0</v>
      </c>
      <c r="I39" s="160" t="n">
        <f aca="false">SUMIFS(Input!$G$97:$N$97,Input!$G$7:$N$7,Calculation!I$7)</f>
        <v>0</v>
      </c>
      <c r="J39" s="160" t="n">
        <f aca="false">SUMIFS(Input!$G$97:$N$97,Input!$G$7:$N$7,Calculation!J$7)</f>
        <v>30000</v>
      </c>
      <c r="K39" s="160" t="n">
        <f aca="false">SUMIFS(Input!$G$97:$N$97,Input!$G$7:$N$7,Calculation!K$7)</f>
        <v>30000</v>
      </c>
      <c r="L39" s="160" t="n">
        <f aca="false">SUMIFS(Input!$G$97:$N$97,Input!$G$7:$N$7,Calculation!L$7)</f>
        <v>30000</v>
      </c>
      <c r="M39" s="160" t="n">
        <f aca="false">SUMIFS(Input!$G$97:$N$97,Input!$G$7:$N$7,Calculation!M$7)</f>
        <v>30000</v>
      </c>
      <c r="N39" s="160" t="n">
        <f aca="false">SUMIFS(Input!$G$97:$N$97,Input!$G$7:$N$7,Calculation!N$7)</f>
        <v>30000</v>
      </c>
      <c r="O39" s="112"/>
      <c r="P39" s="15"/>
    </row>
    <row r="40" customFormat="false" ht="12.75" hidden="false" customHeight="true" outlineLevel="0" collapsed="false">
      <c r="A40" s="15"/>
      <c r="B40" s="56" t="s">
        <v>45</v>
      </c>
      <c r="C40" s="15"/>
      <c r="D40" s="15"/>
      <c r="E40" s="15"/>
      <c r="F40" s="57" t="s">
        <v>43</v>
      </c>
      <c r="G40" s="116" t="n">
        <f aca="false">SUMIFS(Input!$G$20:$N$20,Input!$G$7:$N$7,Calculation!G$7)</f>
        <v>0</v>
      </c>
      <c r="H40" s="116" t="n">
        <f aca="false">SUMIFS(Input!$G$20:$N$20,Input!$G$7:$N$7,Calculation!H$7)</f>
        <v>0</v>
      </c>
      <c r="I40" s="116" t="n">
        <f aca="false">SUMIFS(Input!$G$20:$N$20,Input!$G$7:$N$7,Calculation!I$7)</f>
        <v>0</v>
      </c>
      <c r="J40" s="116" t="n">
        <f aca="false">SUMIFS(Input!$G$20:$N$20,Input!$G$7:$N$7,Calculation!J$7)</f>
        <v>1.03</v>
      </c>
      <c r="K40" s="116" t="n">
        <f aca="false">SUMIFS(Input!$G$20:$N$20,Input!$G$7:$N$7,Calculation!K$7)</f>
        <v>1.03</v>
      </c>
      <c r="L40" s="116" t="n">
        <f aca="false">SUMIFS(Input!$G$20:$N$20,Input!$G$7:$N$7,Calculation!L$7)</f>
        <v>1.03</v>
      </c>
      <c r="M40" s="116" t="n">
        <f aca="false">SUMIFS(Input!$G$20:$N$20,Input!$G$7:$N$7,Calculation!M$7)</f>
        <v>1.03</v>
      </c>
      <c r="N40" s="116" t="n">
        <f aca="false">SUMIFS(Input!$G$20:$N$20,Input!$G$7:$N$7,Calculation!N$7)</f>
        <v>1.03</v>
      </c>
      <c r="O40" s="116"/>
      <c r="P40" s="15"/>
    </row>
    <row r="41" customFormat="false" ht="12.75" hidden="false" customHeight="true" outlineLevel="0" collapsed="false">
      <c r="A41" s="15"/>
      <c r="B41" s="53" t="s">
        <v>183</v>
      </c>
      <c r="C41" s="15"/>
      <c r="D41" s="15"/>
      <c r="E41" s="15"/>
      <c r="F41" s="57" t="s">
        <v>182</v>
      </c>
      <c r="G41" s="112" t="n">
        <f aca="false">IFERROR(G39*G40,"")</f>
        <v>0</v>
      </c>
      <c r="H41" s="112" t="n">
        <f aca="false">IFERROR(H39*H40,"")</f>
        <v>0</v>
      </c>
      <c r="I41" s="112" t="n">
        <f aca="false">IFERROR(I39*I40,"")</f>
        <v>0</v>
      </c>
      <c r="J41" s="112" t="n">
        <f aca="false">IFERROR(J39*J40,"")</f>
        <v>30900</v>
      </c>
      <c r="K41" s="112" t="n">
        <f aca="false">IFERROR(J41*K40,"")</f>
        <v>31827</v>
      </c>
      <c r="L41" s="112" t="n">
        <f aca="false">IFERROR(K41*L40,"")</f>
        <v>32781.81</v>
      </c>
      <c r="M41" s="112" t="n">
        <f aca="false">IFERROR(L41*M40,"")</f>
        <v>33765.2643</v>
      </c>
      <c r="N41" s="112" t="n">
        <f aca="false">IFERROR(M41*N40,"")</f>
        <v>34778.222229</v>
      </c>
      <c r="O41" s="112"/>
      <c r="P41" s="15"/>
    </row>
    <row r="42" customFormat="false" ht="12.75" hidden="false" customHeight="true" outlineLevel="0" collapsed="false">
      <c r="A42" s="15"/>
      <c r="B42" s="53" t="s">
        <v>104</v>
      </c>
      <c r="C42" s="15"/>
      <c r="D42" s="15"/>
      <c r="E42" s="15"/>
      <c r="F42" s="57" t="s">
        <v>184</v>
      </c>
      <c r="G42" s="112" t="n">
        <f aca="false">SUMIFS(Input!$G$98:$N$98,Input!$G$7:$N$7,Calculation!G$7)</f>
        <v>0</v>
      </c>
      <c r="H42" s="112" t="n">
        <f aca="false">SUMIFS(Input!$G$98:$N$98,Input!$G$7:$N$7,Calculation!H$7)</f>
        <v>0</v>
      </c>
      <c r="I42" s="112" t="n">
        <f aca="false">SUMIFS(Input!$G$98:$N$98,Input!$G$7:$N$7,Calculation!I$7)</f>
        <v>0</v>
      </c>
      <c r="J42" s="112" t="n">
        <f aca="false">SUMIFS(Input!$G$98:$N$98,Input!$G$7:$N$7,Calculation!J$7)</f>
        <v>0</v>
      </c>
      <c r="K42" s="112" t="n">
        <f aca="false">SUMIFS(Input!$G$98:$N$98,Input!$G$7:$N$7,Calculation!K$7)</f>
        <v>0</v>
      </c>
      <c r="L42" s="112" t="n">
        <f aca="false">SUMIFS(Input!$G$98:$N$98,Input!$G$7:$N$7,Calculation!L$7)</f>
        <v>0</v>
      </c>
      <c r="M42" s="112" t="n">
        <f aca="false">SUMIFS(Input!$G$98:$N$98,Input!$G$7:$N$7,Calculation!M$7)</f>
        <v>0</v>
      </c>
      <c r="N42" s="112" t="n">
        <f aca="false">SUMIFS(Input!$G$98:$N$98,Input!$G$7:$N$7,Calculation!N$7)</f>
        <v>0</v>
      </c>
      <c r="O42" s="112"/>
      <c r="P42" s="15"/>
    </row>
    <row r="43" customFormat="false" ht="12.75" hidden="false" customHeight="true" outlineLevel="0" collapsed="false">
      <c r="A43" s="8"/>
      <c r="B43" s="124" t="s">
        <v>172</v>
      </c>
      <c r="C43" s="125"/>
      <c r="D43" s="125"/>
      <c r="E43" s="125"/>
      <c r="F43" s="126" t="s">
        <v>114</v>
      </c>
      <c r="G43" s="127" t="n">
        <f aca="false">G41*G42/mn</f>
        <v>0</v>
      </c>
      <c r="H43" s="127" t="n">
        <f aca="false">H41*H42/mn</f>
        <v>0</v>
      </c>
      <c r="I43" s="127" t="n">
        <f aca="false">I41*I42/mn</f>
        <v>0</v>
      </c>
      <c r="J43" s="127" t="n">
        <f aca="false">J41*J42/mn</f>
        <v>0</v>
      </c>
      <c r="K43" s="127" t="n">
        <f aca="false">K41*K42/mn</f>
        <v>0</v>
      </c>
      <c r="L43" s="127" t="n">
        <f aca="false">L41*L42/mn</f>
        <v>0</v>
      </c>
      <c r="M43" s="127" t="n">
        <f aca="false">M41*M42/mn</f>
        <v>0</v>
      </c>
      <c r="N43" s="127" t="n">
        <f aca="false">N41*N42/mn</f>
        <v>0</v>
      </c>
      <c r="O43" s="123"/>
      <c r="P43" s="8"/>
    </row>
    <row r="44" customFormat="false" ht="12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2.75" hidden="false" customHeight="true" outlineLevel="0" collapsed="false">
      <c r="A45" s="51"/>
      <c r="B45" s="103" t="s">
        <v>108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</row>
    <row r="46" customFormat="false" ht="12.75" hidden="false" customHeight="true" outlineLevel="0" collapsed="false">
      <c r="A46" s="15"/>
      <c r="B46" s="157" t="s">
        <v>181</v>
      </c>
      <c r="C46" s="158"/>
      <c r="D46" s="158"/>
      <c r="E46" s="158"/>
      <c r="F46" s="159" t="s">
        <v>182</v>
      </c>
      <c r="G46" s="160" t="n">
        <f aca="false">SUMIFS(Input!$G$103:$N$103,Input!$G$7:$N$7,Calculation!G$7)</f>
        <v>0</v>
      </c>
      <c r="H46" s="160" t="n">
        <f aca="false">SUMIFS(Input!$G$103:$N$103,Input!$G$7:$N$7,Calculation!H$7)</f>
        <v>0</v>
      </c>
      <c r="I46" s="160" t="n">
        <f aca="false">SUMIFS(Input!$G$103:$N$103,Input!$G$7:$N$7,Calculation!I$7)</f>
        <v>0</v>
      </c>
      <c r="J46" s="160" t="n">
        <f aca="false">SUMIFS(Input!$G$103:$N$103,Input!$G$7:$N$7,Calculation!J$7)</f>
        <v>40000</v>
      </c>
      <c r="K46" s="160" t="n">
        <f aca="false">SUMIFS(Input!$G$103:$N$103,Input!$G$7:$N$7,Calculation!K$7)</f>
        <v>40000</v>
      </c>
      <c r="L46" s="160" t="n">
        <f aca="false">SUMIFS(Input!$G$103:$N$103,Input!$G$7:$N$7,Calculation!L$7)</f>
        <v>40000</v>
      </c>
      <c r="M46" s="160" t="n">
        <f aca="false">SUMIFS(Input!$G$103:$N$103,Input!$G$7:$N$7,Calculation!M$7)</f>
        <v>40000</v>
      </c>
      <c r="N46" s="160" t="n">
        <f aca="false">SUMIFS(Input!$G$103:$N$103,Input!$G$7:$N$7,Calculation!N$7)</f>
        <v>40000</v>
      </c>
      <c r="O46" s="112"/>
      <c r="P46" s="15"/>
    </row>
    <row r="47" customFormat="false" ht="12.75" hidden="false" customHeight="true" outlineLevel="0" collapsed="false">
      <c r="A47" s="15"/>
      <c r="B47" s="56" t="s">
        <v>45</v>
      </c>
      <c r="C47" s="15"/>
      <c r="D47" s="15"/>
      <c r="E47" s="15"/>
      <c r="F47" s="57" t="s">
        <v>43</v>
      </c>
      <c r="G47" s="116" t="n">
        <f aca="false">SUMIFS(Input!$G$20:$N$20,Input!$G$7:$N$7,Calculation!G$7)</f>
        <v>0</v>
      </c>
      <c r="H47" s="116" t="n">
        <f aca="false">SUMIFS(Input!$G$20:$N$20,Input!$G$7:$N$7,Calculation!H$7)</f>
        <v>0</v>
      </c>
      <c r="I47" s="116" t="n">
        <f aca="false">SUMIFS(Input!$G$20:$N$20,Input!$G$7:$N$7,Calculation!I$7)</f>
        <v>0</v>
      </c>
      <c r="J47" s="116" t="n">
        <f aca="false">SUMIFS(Input!$G$20:$N$20,Input!$G$7:$N$7,Calculation!J$7)</f>
        <v>1.03</v>
      </c>
      <c r="K47" s="116" t="n">
        <f aca="false">SUMIFS(Input!$G$20:$N$20,Input!$G$7:$N$7,Calculation!K$7)</f>
        <v>1.03</v>
      </c>
      <c r="L47" s="116" t="n">
        <f aca="false">SUMIFS(Input!$G$20:$N$20,Input!$G$7:$N$7,Calculation!L$7)</f>
        <v>1.03</v>
      </c>
      <c r="M47" s="116" t="n">
        <f aca="false">SUMIFS(Input!$G$20:$N$20,Input!$G$7:$N$7,Calculation!M$7)</f>
        <v>1.03</v>
      </c>
      <c r="N47" s="116" t="n">
        <f aca="false">SUMIFS(Input!$G$20:$N$20,Input!$G$7:$N$7,Calculation!N$7)</f>
        <v>1.03</v>
      </c>
      <c r="O47" s="116"/>
      <c r="P47" s="15"/>
    </row>
    <row r="48" customFormat="false" ht="12.75" hidden="false" customHeight="true" outlineLevel="0" collapsed="false">
      <c r="A48" s="15"/>
      <c r="B48" s="53" t="s">
        <v>183</v>
      </c>
      <c r="C48" s="15"/>
      <c r="D48" s="15"/>
      <c r="E48" s="15"/>
      <c r="F48" s="57" t="s">
        <v>182</v>
      </c>
      <c r="G48" s="112" t="n">
        <f aca="false">IFERROR(G46*G47,"")</f>
        <v>0</v>
      </c>
      <c r="H48" s="112" t="n">
        <f aca="false">IFERROR(H46*H47,"")</f>
        <v>0</v>
      </c>
      <c r="I48" s="112" t="n">
        <f aca="false">IFERROR(I46*I47,"")</f>
        <v>0</v>
      </c>
      <c r="J48" s="112" t="n">
        <f aca="false">IFERROR(J46*J47,"")</f>
        <v>41200</v>
      </c>
      <c r="K48" s="112" t="n">
        <f aca="false">IFERROR(J48*K47,"")</f>
        <v>42436</v>
      </c>
      <c r="L48" s="112" t="n">
        <f aca="false">IFERROR(K48*L47,"")</f>
        <v>43709.08</v>
      </c>
      <c r="M48" s="112" t="n">
        <f aca="false">IFERROR(L48*M47,"")</f>
        <v>45020.3524</v>
      </c>
      <c r="N48" s="112" t="n">
        <f aca="false">IFERROR(M48*N47,"")</f>
        <v>46370.962972</v>
      </c>
      <c r="O48" s="112"/>
      <c r="P48" s="15"/>
    </row>
    <row r="49" customFormat="false" ht="12.75" hidden="false" customHeight="true" outlineLevel="0" collapsed="false">
      <c r="A49" s="15"/>
      <c r="B49" s="53" t="s">
        <v>104</v>
      </c>
      <c r="C49" s="15"/>
      <c r="D49" s="15"/>
      <c r="E49" s="15"/>
      <c r="F49" s="57" t="s">
        <v>184</v>
      </c>
      <c r="G49" s="112" t="n">
        <f aca="false">SUMIFS(Input!$G$104:$N$104,Input!$G$7:$N$7,Calculation!G$7)</f>
        <v>0</v>
      </c>
      <c r="H49" s="112" t="n">
        <f aca="false">SUMIFS(Input!$G$104:$N$104,Input!$G$7:$N$7,Calculation!H$7)</f>
        <v>0</v>
      </c>
      <c r="I49" s="112" t="n">
        <f aca="false">SUMIFS(Input!$G$104:$N$104,Input!$G$7:$N$7,Calculation!I$7)</f>
        <v>0</v>
      </c>
      <c r="J49" s="112" t="n">
        <f aca="false">SUMIFS(Input!$G$104:$N$104,Input!$G$7:$N$7,Calculation!J$7)</f>
        <v>20000</v>
      </c>
      <c r="K49" s="112" t="n">
        <f aca="false">SUMIFS(Input!$G$104:$N$104,Input!$G$7:$N$7,Calculation!K$7)</f>
        <v>20000</v>
      </c>
      <c r="L49" s="112" t="n">
        <f aca="false">SUMIFS(Input!$G$104:$N$104,Input!$G$7:$N$7,Calculation!L$7)</f>
        <v>20000</v>
      </c>
      <c r="M49" s="112" t="n">
        <f aca="false">SUMIFS(Input!$G$104:$N$104,Input!$G$7:$N$7,Calculation!M$7)</f>
        <v>20000</v>
      </c>
      <c r="N49" s="112" t="n">
        <f aca="false">SUMIFS(Input!$G$104:$N$104,Input!$G$7:$N$7,Calculation!N$7)</f>
        <v>20000</v>
      </c>
      <c r="O49" s="112"/>
      <c r="P49" s="15"/>
    </row>
    <row r="50" customFormat="false" ht="12.75" hidden="false" customHeight="true" outlineLevel="0" collapsed="false">
      <c r="A50" s="8"/>
      <c r="B50" s="124" t="s">
        <v>172</v>
      </c>
      <c r="C50" s="125"/>
      <c r="D50" s="125"/>
      <c r="E50" s="125"/>
      <c r="F50" s="126" t="s">
        <v>114</v>
      </c>
      <c r="G50" s="127" t="n">
        <f aca="false">G48*G49/mn</f>
        <v>0</v>
      </c>
      <c r="H50" s="127" t="n">
        <f aca="false">H48*H49/mn</f>
        <v>0</v>
      </c>
      <c r="I50" s="127" t="n">
        <f aca="false">I48*I49/mn</f>
        <v>0</v>
      </c>
      <c r="J50" s="127" t="n">
        <f aca="false">J48*J49/mn</f>
        <v>824</v>
      </c>
      <c r="K50" s="127" t="n">
        <f aca="false">K48*K49/mn</f>
        <v>848.72</v>
      </c>
      <c r="L50" s="127" t="n">
        <f aca="false">L48*L49/mn</f>
        <v>874.1816</v>
      </c>
      <c r="M50" s="127" t="n">
        <f aca="false">M48*M49/mn</f>
        <v>900.407048</v>
      </c>
      <c r="N50" s="127" t="n">
        <f aca="false">N48*N49/mn</f>
        <v>927.41925944</v>
      </c>
      <c r="O50" s="123"/>
      <c r="P50" s="8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2.75" hidden="false" customHeight="true" outlineLevel="0" collapsed="false">
      <c r="A52" s="51"/>
      <c r="B52" s="103" t="s">
        <v>109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</row>
    <row r="53" customFormat="false" ht="12.75" hidden="false" customHeight="true" outlineLevel="0" collapsed="false">
      <c r="A53" s="15"/>
      <c r="B53" s="157" t="s">
        <v>181</v>
      </c>
      <c r="C53" s="158"/>
      <c r="D53" s="158"/>
      <c r="E53" s="158"/>
      <c r="F53" s="159" t="s">
        <v>182</v>
      </c>
      <c r="G53" s="160" t="n">
        <f aca="false">SUMIFS(Input!$G$109:$N$109,Input!$G$7:$N$7,Calculation!G$7)</f>
        <v>0</v>
      </c>
      <c r="H53" s="160" t="n">
        <f aca="false">SUMIFS(Input!$G$109:$N$109,Input!$G$7:$N$7,Calculation!H$7)</f>
        <v>0</v>
      </c>
      <c r="I53" s="160" t="n">
        <f aca="false">SUMIFS(Input!$G$109:$N$109,Input!$G$7:$N$7,Calculation!I$7)</f>
        <v>0</v>
      </c>
      <c r="J53" s="160" t="n">
        <f aca="false">SUMIFS(Input!$G$109:$N$109,Input!$G$7:$N$7,Calculation!J$7)</f>
        <v>50000</v>
      </c>
      <c r="K53" s="160" t="n">
        <f aca="false">SUMIFS(Input!$G$109:$N$109,Input!$G$7:$N$7,Calculation!K$7)</f>
        <v>50000</v>
      </c>
      <c r="L53" s="160" t="n">
        <f aca="false">SUMIFS(Input!$G$109:$N$109,Input!$G$7:$N$7,Calculation!L$7)</f>
        <v>50000</v>
      </c>
      <c r="M53" s="160" t="n">
        <f aca="false">SUMIFS(Input!$G$109:$N$109,Input!$G$7:$N$7,Calculation!M$7)</f>
        <v>50000</v>
      </c>
      <c r="N53" s="160" t="n">
        <f aca="false">SUMIFS(Input!$G$109:$N$109,Input!$G$7:$N$7,Calculation!N$7)</f>
        <v>50000</v>
      </c>
      <c r="O53" s="112"/>
      <c r="P53" s="15"/>
    </row>
    <row r="54" customFormat="false" ht="12.75" hidden="false" customHeight="true" outlineLevel="0" collapsed="false">
      <c r="A54" s="15"/>
      <c r="B54" s="56" t="s">
        <v>45</v>
      </c>
      <c r="C54" s="15"/>
      <c r="D54" s="15"/>
      <c r="E54" s="15"/>
      <c r="F54" s="57" t="s">
        <v>43</v>
      </c>
      <c r="G54" s="116" t="n">
        <f aca="false">SUMIFS(Input!$G$20:$N$20,Input!$G$7:$N$7,Calculation!G$7)</f>
        <v>0</v>
      </c>
      <c r="H54" s="116" t="n">
        <f aca="false">SUMIFS(Input!$G$20:$N$20,Input!$G$7:$N$7,Calculation!H$7)</f>
        <v>0</v>
      </c>
      <c r="I54" s="116" t="n">
        <f aca="false">SUMIFS(Input!$G$20:$N$20,Input!$G$7:$N$7,Calculation!I$7)</f>
        <v>0</v>
      </c>
      <c r="J54" s="116" t="n">
        <f aca="false">SUMIFS(Input!$G$20:$N$20,Input!$G$7:$N$7,Calculation!J$7)</f>
        <v>1.03</v>
      </c>
      <c r="K54" s="116" t="n">
        <f aca="false">SUMIFS(Input!$G$20:$N$20,Input!$G$7:$N$7,Calculation!K$7)</f>
        <v>1.03</v>
      </c>
      <c r="L54" s="116" t="n">
        <f aca="false">SUMIFS(Input!$G$20:$N$20,Input!$G$7:$N$7,Calculation!L$7)</f>
        <v>1.03</v>
      </c>
      <c r="M54" s="116" t="n">
        <f aca="false">SUMIFS(Input!$G$20:$N$20,Input!$G$7:$N$7,Calculation!M$7)</f>
        <v>1.03</v>
      </c>
      <c r="N54" s="116" t="n">
        <f aca="false">SUMIFS(Input!$G$20:$N$20,Input!$G$7:$N$7,Calculation!N$7)</f>
        <v>1.03</v>
      </c>
      <c r="O54" s="116"/>
      <c r="P54" s="15"/>
    </row>
    <row r="55" customFormat="false" ht="12.75" hidden="false" customHeight="true" outlineLevel="0" collapsed="false">
      <c r="A55" s="15"/>
      <c r="B55" s="53" t="s">
        <v>183</v>
      </c>
      <c r="C55" s="15"/>
      <c r="D55" s="15"/>
      <c r="E55" s="15"/>
      <c r="F55" s="57" t="s">
        <v>182</v>
      </c>
      <c r="G55" s="112" t="n">
        <f aca="false">IFERROR(G53*G54,"")</f>
        <v>0</v>
      </c>
      <c r="H55" s="112" t="n">
        <f aca="false">IFERROR(H53*H54,"")</f>
        <v>0</v>
      </c>
      <c r="I55" s="112" t="n">
        <f aca="false">IFERROR(I53*I54,"")</f>
        <v>0</v>
      </c>
      <c r="J55" s="112" t="n">
        <f aca="false">IFERROR(J53*J54,"")</f>
        <v>51500</v>
      </c>
      <c r="K55" s="112" t="n">
        <f aca="false">IFERROR(J55*K54,"")</f>
        <v>53045</v>
      </c>
      <c r="L55" s="112" t="n">
        <f aca="false">IFERROR(K55*L54,"")</f>
        <v>54636.35</v>
      </c>
      <c r="M55" s="112" t="n">
        <f aca="false">IFERROR(L55*M54,"")</f>
        <v>56275.4405</v>
      </c>
      <c r="N55" s="112" t="n">
        <f aca="false">IFERROR(M55*N54,"")</f>
        <v>57963.703715</v>
      </c>
      <c r="O55" s="112"/>
      <c r="P55" s="15"/>
    </row>
    <row r="56" customFormat="false" ht="12.75" hidden="false" customHeight="true" outlineLevel="0" collapsed="false">
      <c r="A56" s="15"/>
      <c r="B56" s="53" t="s">
        <v>104</v>
      </c>
      <c r="C56" s="15"/>
      <c r="D56" s="15"/>
      <c r="E56" s="15"/>
      <c r="F56" s="57" t="s">
        <v>184</v>
      </c>
      <c r="G56" s="112" t="n">
        <f aca="false">SUMIFS(Input!$G$110:$N$110,Input!$G$7:$N$7,Calculation!G$7)</f>
        <v>0</v>
      </c>
      <c r="H56" s="112" t="n">
        <f aca="false">SUMIFS(Input!$G$110:$N$110,Input!$G$7:$N$7,Calculation!H$7)</f>
        <v>0</v>
      </c>
      <c r="I56" s="112" t="n">
        <f aca="false">SUMIFS(Input!$G$110:$N$110,Input!$G$7:$N$7,Calculation!I$7)</f>
        <v>0</v>
      </c>
      <c r="J56" s="112" t="n">
        <f aca="false">SUMIFS(Input!$G$110:$N$110,Input!$G$7:$N$7,Calculation!J$7)</f>
        <v>0</v>
      </c>
      <c r="K56" s="112" t="n">
        <f aca="false">SUMIFS(Input!$G$110:$N$110,Input!$G$7:$N$7,Calculation!K$7)</f>
        <v>0</v>
      </c>
      <c r="L56" s="112" t="n">
        <f aca="false">SUMIFS(Input!$G$110:$N$110,Input!$G$7:$N$7,Calculation!L$7)</f>
        <v>0</v>
      </c>
      <c r="M56" s="112" t="n">
        <f aca="false">SUMIFS(Input!$G$110:$N$110,Input!$G$7:$N$7,Calculation!M$7)</f>
        <v>0</v>
      </c>
      <c r="N56" s="112" t="n">
        <f aca="false">SUMIFS(Input!$G$110:$N$110,Input!$G$7:$N$7,Calculation!N$7)</f>
        <v>0</v>
      </c>
      <c r="O56" s="112"/>
      <c r="P56" s="15"/>
    </row>
    <row r="57" customFormat="false" ht="12.75" hidden="false" customHeight="true" outlineLevel="0" collapsed="false">
      <c r="A57" s="8"/>
      <c r="B57" s="124" t="s">
        <v>172</v>
      </c>
      <c r="C57" s="125"/>
      <c r="D57" s="125"/>
      <c r="E57" s="125"/>
      <c r="F57" s="126" t="s">
        <v>114</v>
      </c>
      <c r="G57" s="127" t="n">
        <f aca="false">G55*G56/mn</f>
        <v>0</v>
      </c>
      <c r="H57" s="127" t="n">
        <f aca="false">H55*H56/mn</f>
        <v>0</v>
      </c>
      <c r="I57" s="127" t="n">
        <f aca="false">I55*I56/mn</f>
        <v>0</v>
      </c>
      <c r="J57" s="127" t="n">
        <f aca="false">J55*J56/mn</f>
        <v>0</v>
      </c>
      <c r="K57" s="127" t="n">
        <f aca="false">K55*K56/mn</f>
        <v>0</v>
      </c>
      <c r="L57" s="127" t="n">
        <f aca="false">L55*L56/mn</f>
        <v>0</v>
      </c>
      <c r="M57" s="127" t="n">
        <f aca="false">M55*M56/mn</f>
        <v>0</v>
      </c>
      <c r="N57" s="127" t="n">
        <f aca="false">N55*N56/mn</f>
        <v>0</v>
      </c>
      <c r="O57" s="123"/>
      <c r="P57" s="8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2.75" hidden="false" customHeight="true" outlineLevel="0" collapsed="false">
      <c r="A61" s="8"/>
      <c r="B61" s="44" t="s">
        <v>129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8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2.75" hidden="false" customHeight="true" outlineLevel="0" collapsed="false">
      <c r="A63" s="51"/>
      <c r="B63" s="103" t="s">
        <v>185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</row>
    <row r="64" customFormat="false" ht="12.75" hidden="false" customHeight="true" outlineLevel="0" collapsed="false">
      <c r="A64" s="51"/>
      <c r="B64" s="121" t="s">
        <v>186</v>
      </c>
      <c r="C64" s="121"/>
      <c r="D64" s="121"/>
      <c r="E64" s="121"/>
      <c r="F64" s="169" t="s">
        <v>114</v>
      </c>
      <c r="G64" s="170" t="n">
        <f aca="false">G77</f>
        <v>0</v>
      </c>
      <c r="H64" s="170" t="n">
        <f aca="false">H77</f>
        <v>0</v>
      </c>
      <c r="I64" s="170" t="n">
        <f aca="false">I77</f>
        <v>0</v>
      </c>
      <c r="J64" s="170" t="n">
        <f aca="false">J77</f>
        <v>408</v>
      </c>
      <c r="K64" s="170" t="n">
        <f aca="false">K77</f>
        <v>416.16</v>
      </c>
      <c r="L64" s="170" t="n">
        <f aca="false">L77</f>
        <v>424.4832</v>
      </c>
      <c r="M64" s="170" t="n">
        <f aca="false">M77</f>
        <v>432.972864</v>
      </c>
      <c r="N64" s="170" t="n">
        <f aca="false">N77</f>
        <v>441.63232128</v>
      </c>
      <c r="O64" s="170"/>
      <c r="P64" s="51"/>
    </row>
    <row r="65" customFormat="false" ht="15" hidden="false" customHeight="true" outlineLevel="0" collapsed="false">
      <c r="A65" s="51"/>
      <c r="B65" s="121" t="s">
        <v>187</v>
      </c>
      <c r="C65" s="51"/>
      <c r="D65" s="51"/>
      <c r="E65" s="51"/>
      <c r="F65" s="169" t="s">
        <v>114</v>
      </c>
      <c r="G65" s="170" t="n">
        <f aca="false">G150</f>
        <v>100</v>
      </c>
      <c r="H65" s="170" t="n">
        <f aca="false">H150</f>
        <v>100</v>
      </c>
      <c r="I65" s="170" t="n">
        <f aca="false">I150</f>
        <v>100</v>
      </c>
      <c r="J65" s="170" t="n">
        <f aca="false">J150</f>
        <v>153</v>
      </c>
      <c r="K65" s="170" t="n">
        <f aca="false">K150</f>
        <v>156.06</v>
      </c>
      <c r="L65" s="170" t="n">
        <f aca="false">L150</f>
        <v>159.1812</v>
      </c>
      <c r="M65" s="170" t="n">
        <f aca="false">M150</f>
        <v>162.364824</v>
      </c>
      <c r="N65" s="170" t="n">
        <f aca="false">N150</f>
        <v>165.61212048</v>
      </c>
      <c r="O65" s="170"/>
      <c r="P65" s="51"/>
    </row>
    <row r="66" customFormat="false" ht="12.75" hidden="false" customHeight="true" outlineLevel="0" collapsed="false">
      <c r="A66" s="51"/>
      <c r="B66" s="52" t="s">
        <v>188</v>
      </c>
      <c r="C66" s="51"/>
      <c r="D66" s="51"/>
      <c r="E66" s="51"/>
      <c r="F66" s="169" t="s">
        <v>114</v>
      </c>
      <c r="G66" s="170" t="n">
        <f aca="false">G81</f>
        <v>0</v>
      </c>
      <c r="H66" s="170" t="n">
        <f aca="false">H81</f>
        <v>0</v>
      </c>
      <c r="I66" s="170" t="n">
        <f aca="false">I81</f>
        <v>0</v>
      </c>
      <c r="J66" s="170" t="n">
        <f aca="false">J81</f>
        <v>183.683333333333</v>
      </c>
      <c r="K66" s="170" t="n">
        <f aca="false">K81</f>
        <v>189.193833333333</v>
      </c>
      <c r="L66" s="170" t="n">
        <f aca="false">L81</f>
        <v>194.869648333333</v>
      </c>
      <c r="M66" s="170" t="n">
        <f aca="false">M81</f>
        <v>200.715737783333</v>
      </c>
      <c r="N66" s="170" t="n">
        <f aca="false">N81</f>
        <v>206.737209916833</v>
      </c>
      <c r="O66" s="170"/>
      <c r="P66" s="51"/>
    </row>
    <row r="67" customFormat="false" ht="12.75" hidden="false" customHeight="true" outlineLevel="0" collapsed="false">
      <c r="A67" s="51"/>
      <c r="B67" s="52" t="s">
        <v>189</v>
      </c>
      <c r="C67" s="51"/>
      <c r="D67" s="51"/>
      <c r="E67" s="51"/>
      <c r="F67" s="169" t="s">
        <v>114</v>
      </c>
      <c r="G67" s="170" t="n">
        <f aca="false">G85</f>
        <v>0</v>
      </c>
      <c r="H67" s="170" t="n">
        <f aca="false">H85</f>
        <v>0</v>
      </c>
      <c r="I67" s="170" t="n">
        <f aca="false">I85</f>
        <v>0</v>
      </c>
      <c r="J67" s="170" t="n">
        <f aca="false">J85</f>
        <v>204</v>
      </c>
      <c r="K67" s="170" t="n">
        <f aca="false">K85</f>
        <v>208.08</v>
      </c>
      <c r="L67" s="170" t="n">
        <f aca="false">L85</f>
        <v>212.2416</v>
      </c>
      <c r="M67" s="170" t="n">
        <f aca="false">M85</f>
        <v>216.486432</v>
      </c>
      <c r="N67" s="170" t="n">
        <f aca="false">N85</f>
        <v>220.81616064</v>
      </c>
      <c r="O67" s="170"/>
      <c r="P67" s="51"/>
    </row>
    <row r="68" customFormat="false" ht="12.75" hidden="false" customHeight="true" outlineLevel="0" collapsed="false">
      <c r="A68" s="51"/>
      <c r="B68" s="52" t="s">
        <v>190</v>
      </c>
      <c r="C68" s="51"/>
      <c r="D68" s="51"/>
      <c r="E68" s="51"/>
      <c r="F68" s="169" t="s">
        <v>114</v>
      </c>
      <c r="G68" s="170" t="n">
        <f aca="false">G92</f>
        <v>0</v>
      </c>
      <c r="H68" s="170" t="n">
        <f aca="false">H92</f>
        <v>0</v>
      </c>
      <c r="I68" s="170" t="n">
        <f aca="false">I92</f>
        <v>0</v>
      </c>
      <c r="J68" s="170" t="n">
        <f aca="false">J92</f>
        <v>0</v>
      </c>
      <c r="K68" s="170" t="n">
        <f aca="false">K92</f>
        <v>0</v>
      </c>
      <c r="L68" s="170" t="n">
        <f aca="false">L92</f>
        <v>0</v>
      </c>
      <c r="M68" s="170" t="n">
        <f aca="false">M92</f>
        <v>0</v>
      </c>
      <c r="N68" s="170" t="n">
        <f aca="false">N92</f>
        <v>0</v>
      </c>
      <c r="O68" s="170"/>
      <c r="P68" s="51"/>
    </row>
    <row r="69" customFormat="false" ht="12.75" hidden="false" customHeight="true" outlineLevel="0" collapsed="false">
      <c r="A69" s="51"/>
      <c r="B69" s="52" t="s">
        <v>191</v>
      </c>
      <c r="C69" s="51"/>
      <c r="D69" s="51"/>
      <c r="E69" s="51"/>
      <c r="F69" s="169" t="s">
        <v>114</v>
      </c>
      <c r="G69" s="170" t="n">
        <f aca="false">G99</f>
        <v>0</v>
      </c>
      <c r="H69" s="170" t="n">
        <f aca="false">H99</f>
        <v>0</v>
      </c>
      <c r="I69" s="170" t="n">
        <f aca="false">I99</f>
        <v>0</v>
      </c>
      <c r="J69" s="170" t="n">
        <f aca="false">J99</f>
        <v>0</v>
      </c>
      <c r="K69" s="170" t="n">
        <f aca="false">K99</f>
        <v>0</v>
      </c>
      <c r="L69" s="170" t="n">
        <f aca="false">L99</f>
        <v>0</v>
      </c>
      <c r="M69" s="170" t="n">
        <f aca="false">M99</f>
        <v>0</v>
      </c>
      <c r="N69" s="170" t="n">
        <f aca="false">N99</f>
        <v>0</v>
      </c>
      <c r="O69" s="170"/>
      <c r="P69" s="51"/>
    </row>
    <row r="70" customFormat="false" ht="13.5" hidden="false" customHeight="true" outlineLevel="0" collapsed="false">
      <c r="A70" s="15"/>
      <c r="B70" s="161" t="s">
        <v>192</v>
      </c>
      <c r="C70" s="162"/>
      <c r="D70" s="162"/>
      <c r="E70" s="162"/>
      <c r="F70" s="163" t="s">
        <v>114</v>
      </c>
      <c r="G70" s="164" t="n">
        <f aca="false">SUM(G64:G69)</f>
        <v>100</v>
      </c>
      <c r="H70" s="164" t="n">
        <f aca="false">SUM(H64:H69)</f>
        <v>100</v>
      </c>
      <c r="I70" s="164" t="n">
        <f aca="false">SUM(I64:I69)</f>
        <v>100</v>
      </c>
      <c r="J70" s="164" t="n">
        <f aca="false">SUM(J64:J69)</f>
        <v>948.683333333333</v>
      </c>
      <c r="K70" s="164" t="n">
        <f aca="false">SUM(K64:K69)</f>
        <v>969.493833333333</v>
      </c>
      <c r="L70" s="164" t="n">
        <f aca="false">SUM(L64:L69)</f>
        <v>990.775648333333</v>
      </c>
      <c r="M70" s="164" t="n">
        <f aca="false">SUM(M64:M69)</f>
        <v>1012.53985778333</v>
      </c>
      <c r="N70" s="165" t="n">
        <f aca="false">SUM(N64:N69)</f>
        <v>1034.79781231683</v>
      </c>
      <c r="O70" s="166"/>
      <c r="P70" s="15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2.75" hidden="false" customHeight="true" outlineLevel="0" collapsed="false">
      <c r="A72" s="51"/>
      <c r="B72" s="103" t="s">
        <v>111</v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</row>
    <row r="73" customFormat="false" ht="12.75" hidden="false" customHeight="true" outlineLevel="0" collapsed="false">
      <c r="A73" s="15"/>
      <c r="B73" s="157" t="s">
        <v>181</v>
      </c>
      <c r="C73" s="158"/>
      <c r="D73" s="158"/>
      <c r="E73" s="158"/>
      <c r="F73" s="159" t="s">
        <v>182</v>
      </c>
      <c r="G73" s="160" t="n">
        <f aca="false">SUMIFS(Input!$G$119:$N$119,Input!$G$7:$N$7,Calculation!G$7)</f>
        <v>0</v>
      </c>
      <c r="H73" s="160" t="n">
        <f aca="false">SUMIFS(Input!$G$119:$N$119,Input!$G$7:$N$7,Calculation!H$7)</f>
        <v>0</v>
      </c>
      <c r="I73" s="160" t="n">
        <f aca="false">SUMIFS(Input!$G$119:$N$119,Input!$G$7:$N$7,Calculation!I$7)</f>
        <v>0</v>
      </c>
      <c r="J73" s="160" t="n">
        <f aca="false">SUMIFS(Input!$G$119:$N$119,Input!$G$7:$N$7,Calculation!J$7)</f>
        <v>20000</v>
      </c>
      <c r="K73" s="160" t="n">
        <f aca="false">SUMIFS(Input!$G$119:$N$119,Input!$G$7:$N$7,Calculation!K$7)</f>
        <v>20000</v>
      </c>
      <c r="L73" s="160" t="n">
        <f aca="false">SUMIFS(Input!$G$119:$N$119,Input!$G$7:$N$7,Calculation!L$7)</f>
        <v>20000</v>
      </c>
      <c r="M73" s="160" t="n">
        <f aca="false">SUMIFS(Input!$G$119:$N$119,Input!$G$7:$N$7,Calculation!M$7)</f>
        <v>20000</v>
      </c>
      <c r="N73" s="160" t="n">
        <f aca="false">SUMIFS(Input!$G$119:$N$119,Input!$G$7:$N$7,Calculation!N$7)</f>
        <v>20000</v>
      </c>
      <c r="O73" s="112"/>
      <c r="P73" s="15"/>
    </row>
    <row r="74" customFormat="false" ht="12.75" hidden="false" customHeight="true" outlineLevel="0" collapsed="false">
      <c r="A74" s="15"/>
      <c r="B74" s="56" t="s">
        <v>48</v>
      </c>
      <c r="C74" s="15"/>
      <c r="D74" s="15"/>
      <c r="E74" s="15"/>
      <c r="F74" s="57" t="s">
        <v>43</v>
      </c>
      <c r="G74" s="116" t="n">
        <f aca="false">SUMIFS(Input!$G$23:$N$23,Input!$G$7:$N$7,Calculation!G$7)</f>
        <v>0</v>
      </c>
      <c r="H74" s="116" t="n">
        <f aca="false">SUMIFS(Input!$G$23:$N$23,Input!$G$7:$N$7,Calculation!H$7)</f>
        <v>0</v>
      </c>
      <c r="I74" s="116" t="n">
        <f aca="false">SUMIFS(Input!$G$23:$N$23,Input!$G$7:$N$7,Calculation!I$7)</f>
        <v>0</v>
      </c>
      <c r="J74" s="116" t="n">
        <f aca="false">SUMIFS(Input!$G$23:$N$23,Input!$G$7:$N$7,Calculation!J$7)</f>
        <v>1.02</v>
      </c>
      <c r="K74" s="116" t="n">
        <f aca="false">SUMIFS(Input!$G$23:$N$23,Input!$G$7:$N$7,Calculation!K$7)</f>
        <v>1.02</v>
      </c>
      <c r="L74" s="116" t="n">
        <f aca="false">SUMIFS(Input!$G$23:$N$23,Input!$G$7:$N$7,Calculation!L$7)</f>
        <v>1.02</v>
      </c>
      <c r="M74" s="116" t="n">
        <f aca="false">SUMIFS(Input!$G$23:$N$23,Input!$G$7:$N$7,Calculation!M$7)</f>
        <v>1.02</v>
      </c>
      <c r="N74" s="116" t="n">
        <f aca="false">SUMIFS(Input!$G$23:$N$23,Input!$G$7:$N$7,Calculation!N$7)</f>
        <v>1.02</v>
      </c>
      <c r="O74" s="116"/>
      <c r="P74" s="15"/>
    </row>
    <row r="75" customFormat="false" ht="12.75" hidden="false" customHeight="true" outlineLevel="0" collapsed="false">
      <c r="A75" s="15"/>
      <c r="B75" s="53" t="s">
        <v>183</v>
      </c>
      <c r="C75" s="15"/>
      <c r="D75" s="15"/>
      <c r="E75" s="15"/>
      <c r="F75" s="57" t="s">
        <v>182</v>
      </c>
      <c r="G75" s="112" t="n">
        <f aca="false">IFERROR(G73*G74,"")</f>
        <v>0</v>
      </c>
      <c r="H75" s="112" t="n">
        <f aca="false">IFERROR(H73*H74,"")</f>
        <v>0</v>
      </c>
      <c r="I75" s="112" t="n">
        <f aca="false">IFERROR(I73*I74,"")</f>
        <v>0</v>
      </c>
      <c r="J75" s="112" t="n">
        <f aca="false">IFERROR(J73*J74,"")</f>
        <v>20400</v>
      </c>
      <c r="K75" s="112" t="n">
        <f aca="false">IFERROR(J75*K74,"")</f>
        <v>20808</v>
      </c>
      <c r="L75" s="112" t="n">
        <f aca="false">IFERROR(K75*L74,"")</f>
        <v>21224.16</v>
      </c>
      <c r="M75" s="112" t="n">
        <f aca="false">IFERROR(L75*M74,"")</f>
        <v>21648.6432</v>
      </c>
      <c r="N75" s="112" t="n">
        <f aca="false">IFERROR(M75*N74,"")</f>
        <v>22081.616064</v>
      </c>
      <c r="O75" s="112"/>
      <c r="P75" s="15"/>
    </row>
    <row r="76" customFormat="false" ht="12.75" hidden="false" customHeight="true" outlineLevel="0" collapsed="false">
      <c r="A76" s="15"/>
      <c r="B76" s="53" t="s">
        <v>104</v>
      </c>
      <c r="C76" s="15"/>
      <c r="D76" s="15"/>
      <c r="E76" s="15"/>
      <c r="F76" s="57" t="s">
        <v>184</v>
      </c>
      <c r="G76" s="112" t="n">
        <f aca="false">SUMIFS(Input!$G$120:$N$120,Input!$G$7:$N$7,Calculation!G$7)</f>
        <v>0</v>
      </c>
      <c r="H76" s="112" t="n">
        <f aca="false">SUMIFS(Input!$G$120:$N$120,Input!$G$7:$N$7,Calculation!H$7)</f>
        <v>0</v>
      </c>
      <c r="I76" s="112" t="n">
        <f aca="false">SUMIFS(Input!$G$120:$N$120,Input!$G$7:$N$7,Calculation!I$7)</f>
        <v>0</v>
      </c>
      <c r="J76" s="112" t="n">
        <f aca="false">SUMIFS(Input!$G$120:$N$120,Input!$G$7:$N$7,Calculation!J$7)</f>
        <v>20000</v>
      </c>
      <c r="K76" s="112" t="n">
        <f aca="false">SUMIFS(Input!$G$120:$N$120,Input!$G$7:$N$7,Calculation!K$7)</f>
        <v>20000</v>
      </c>
      <c r="L76" s="112" t="n">
        <f aca="false">SUMIFS(Input!$G$120:$N$120,Input!$G$7:$N$7,Calculation!L$7)</f>
        <v>20000</v>
      </c>
      <c r="M76" s="112" t="n">
        <f aca="false">SUMIFS(Input!$G$120:$N$120,Input!$G$7:$N$7,Calculation!M$7)</f>
        <v>20000</v>
      </c>
      <c r="N76" s="112" t="n">
        <f aca="false">SUMIFS(Input!$G$120:$N$120,Input!$G$7:$N$7,Calculation!N$7)</f>
        <v>20000</v>
      </c>
      <c r="O76" s="112"/>
      <c r="P76" s="15"/>
    </row>
    <row r="77" customFormat="false" ht="12.75" hidden="false" customHeight="true" outlineLevel="0" collapsed="false">
      <c r="A77" s="15"/>
      <c r="B77" s="142" t="s">
        <v>53</v>
      </c>
      <c r="C77" s="75"/>
      <c r="D77" s="75"/>
      <c r="E77" s="75"/>
      <c r="F77" s="140" t="s">
        <v>114</v>
      </c>
      <c r="G77" s="137" t="n">
        <f aca="false">G75*G76/mn</f>
        <v>0</v>
      </c>
      <c r="H77" s="137" t="n">
        <f aca="false">H75*H76/mn</f>
        <v>0</v>
      </c>
      <c r="I77" s="137" t="n">
        <f aca="false">I75*I76/mn</f>
        <v>0</v>
      </c>
      <c r="J77" s="137" t="n">
        <f aca="false">J75*J76/mn</f>
        <v>408</v>
      </c>
      <c r="K77" s="137" t="n">
        <f aca="false">K75*K76/mn</f>
        <v>416.16</v>
      </c>
      <c r="L77" s="137" t="n">
        <f aca="false">L75*L76/mn</f>
        <v>424.4832</v>
      </c>
      <c r="M77" s="137" t="n">
        <f aca="false">M75*M76/mn</f>
        <v>432.972864</v>
      </c>
      <c r="N77" s="137" t="n">
        <f aca="false">N75*N76/mn</f>
        <v>441.63232128</v>
      </c>
      <c r="O77" s="112"/>
      <c r="P77" s="15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true" outlineLevel="0" collapsed="false">
      <c r="A79" s="51"/>
      <c r="B79" s="103" t="s">
        <v>112</v>
      </c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51"/>
      <c r="P79" s="51"/>
    </row>
    <row r="80" customFormat="false" ht="13.5" hidden="false" customHeight="true" outlineLevel="0" collapsed="false">
      <c r="A80" s="15"/>
      <c r="B80" s="53" t="s">
        <v>115</v>
      </c>
      <c r="C80" s="15"/>
      <c r="D80" s="15"/>
      <c r="E80" s="115" t="n">
        <f aca="false">Input!E126</f>
        <v>0.0849206349206349</v>
      </c>
      <c r="F80" s="57" t="s">
        <v>43</v>
      </c>
      <c r="G80" s="15"/>
      <c r="H80" s="15"/>
      <c r="I80" s="15"/>
      <c r="J80" s="116" t="n">
        <f aca="false">$E80</f>
        <v>0.0849206349206349</v>
      </c>
      <c r="K80" s="116" t="n">
        <f aca="false">$E80</f>
        <v>0.0849206349206349</v>
      </c>
      <c r="L80" s="116" t="n">
        <f aca="false">$E80</f>
        <v>0.0849206349206349</v>
      </c>
      <c r="M80" s="116" t="n">
        <f aca="false">$E80</f>
        <v>0.0849206349206349</v>
      </c>
      <c r="N80" s="116" t="n">
        <f aca="false">$E80</f>
        <v>0.0849206349206349</v>
      </c>
      <c r="O80" s="116"/>
      <c r="P80" s="15"/>
    </row>
    <row r="81" customFormat="false" ht="15" hidden="false" customHeight="true" outlineLevel="0" collapsed="false">
      <c r="A81" s="15"/>
      <c r="B81" s="142" t="s">
        <v>113</v>
      </c>
      <c r="C81" s="75"/>
      <c r="D81" s="75"/>
      <c r="E81" s="75"/>
      <c r="F81" s="140" t="s">
        <v>114</v>
      </c>
      <c r="G81" s="75"/>
      <c r="H81" s="75"/>
      <c r="I81" s="75"/>
      <c r="J81" s="171" t="n">
        <f aca="false">J$21*J80</f>
        <v>183.683333333333</v>
      </c>
      <c r="K81" s="171" t="n">
        <f aca="false">K$21*K80</f>
        <v>189.193833333333</v>
      </c>
      <c r="L81" s="171" t="n">
        <f aca="false">L$21*L80</f>
        <v>194.869648333333</v>
      </c>
      <c r="M81" s="171" t="n">
        <f aca="false">M$21*M80</f>
        <v>200.715737783333</v>
      </c>
      <c r="N81" s="171" t="n">
        <f aca="false">N$21*N80</f>
        <v>206.737209916833</v>
      </c>
      <c r="O81" s="172"/>
      <c r="P81" s="15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2.75" hidden="false" customHeight="true" outlineLevel="0" collapsed="false">
      <c r="A83" s="51"/>
      <c r="B83" s="103" t="s">
        <v>116</v>
      </c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51"/>
      <c r="P83" s="51"/>
    </row>
    <row r="84" customFormat="false" ht="12.75" hidden="false" customHeight="true" outlineLevel="0" collapsed="false">
      <c r="A84" s="15"/>
      <c r="B84" s="173" t="s">
        <v>48</v>
      </c>
      <c r="C84" s="158"/>
      <c r="D84" s="158"/>
      <c r="E84" s="158"/>
      <c r="F84" s="159" t="s">
        <v>43</v>
      </c>
      <c r="G84" s="174" t="n">
        <f aca="false">SUMIFS(Input!$G$23:$N$23,Input!$G$7:$N$7,Calculation!G$7)</f>
        <v>0</v>
      </c>
      <c r="H84" s="174" t="n">
        <f aca="false">SUMIFS(Input!$G$23:$N$23,Input!$G$7:$N$7,Calculation!H$7)</f>
        <v>0</v>
      </c>
      <c r="I84" s="174" t="n">
        <f aca="false">SUMIFS(Input!$G$23:$N$23,Input!$G$7:$N$7,Calculation!I$7)</f>
        <v>0</v>
      </c>
      <c r="J84" s="174" t="n">
        <f aca="false">SUMIFS(Input!$G$23:$N$23,Input!$G$7:$N$7,Calculation!J$7)</f>
        <v>1.02</v>
      </c>
      <c r="K84" s="174" t="n">
        <f aca="false">SUMIFS(Input!$G$23:$N$23,Input!$G$7:$N$7,Calculation!K$7)</f>
        <v>1.02</v>
      </c>
      <c r="L84" s="174" t="n">
        <f aca="false">SUMIFS(Input!$G$23:$N$23,Input!$G$7:$N$7,Calculation!L$7)</f>
        <v>1.02</v>
      </c>
      <c r="M84" s="174" t="n">
        <f aca="false">SUMIFS(Input!$G$23:$N$23,Input!$G$7:$N$7,Calculation!M$7)</f>
        <v>1.02</v>
      </c>
      <c r="N84" s="174" t="n">
        <f aca="false">SUMIFS(Input!$G$23:$N$23,Input!$G$7:$N$7,Calculation!N$7)</f>
        <v>1.02</v>
      </c>
      <c r="O84" s="116"/>
      <c r="P84" s="15"/>
    </row>
    <row r="85" customFormat="false" ht="15" hidden="false" customHeight="true" outlineLevel="0" collapsed="false">
      <c r="A85" s="15"/>
      <c r="B85" s="142" t="s">
        <v>113</v>
      </c>
      <c r="C85" s="75"/>
      <c r="D85" s="75"/>
      <c r="E85" s="139" t="n">
        <f aca="false">Input!E131</f>
        <v>200</v>
      </c>
      <c r="F85" s="140" t="s">
        <v>114</v>
      </c>
      <c r="G85" s="175"/>
      <c r="H85" s="175"/>
      <c r="I85" s="175"/>
      <c r="J85" s="137" t="n">
        <f aca="false">E$85*J84</f>
        <v>204</v>
      </c>
      <c r="K85" s="137" t="n">
        <f aca="false">J$85*K84</f>
        <v>208.08</v>
      </c>
      <c r="L85" s="137" t="n">
        <f aca="false">K$85*L84</f>
        <v>212.2416</v>
      </c>
      <c r="M85" s="137" t="n">
        <f aca="false">L$85*M84</f>
        <v>216.486432</v>
      </c>
      <c r="N85" s="137" t="n">
        <f aca="false">M$85*N84</f>
        <v>220.81616064</v>
      </c>
      <c r="O85" s="112"/>
      <c r="P85" s="15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2.75" hidden="false" customHeight="true" outlineLevel="0" collapsed="false">
      <c r="A87" s="51"/>
      <c r="B87" s="103" t="s">
        <v>117</v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</row>
    <row r="88" customFormat="false" ht="12.75" hidden="false" customHeight="true" outlineLevel="0" collapsed="false">
      <c r="A88" s="15"/>
      <c r="B88" s="157" t="s">
        <v>181</v>
      </c>
      <c r="C88" s="158"/>
      <c r="D88" s="158"/>
      <c r="E88" s="158"/>
      <c r="F88" s="159" t="s">
        <v>182</v>
      </c>
      <c r="G88" s="160" t="n">
        <f aca="false">SUMIFS(Input!$G$136:$N$136,Input!$G$7:$N$7,Calculation!G$7)</f>
        <v>0</v>
      </c>
      <c r="H88" s="160" t="n">
        <f aca="false">SUMIFS(Input!$G$136:$N$136,Input!$G$7:$N$7,Calculation!H$7)</f>
        <v>0</v>
      </c>
      <c r="I88" s="160" t="n">
        <f aca="false">SUMIFS(Input!$G$136:$N$136,Input!$G$7:$N$7,Calculation!I$7)</f>
        <v>0</v>
      </c>
      <c r="J88" s="160" t="n">
        <f aca="false">SUMIFS(Input!$G$136:$N$136,Input!$G$7:$N$7,Calculation!J$7)</f>
        <v>0</v>
      </c>
      <c r="K88" s="160" t="n">
        <f aca="false">SUMIFS(Input!$G$136:$N$136,Input!$G$7:$N$7,Calculation!K$7)</f>
        <v>0</v>
      </c>
      <c r="L88" s="160" t="n">
        <f aca="false">SUMIFS(Input!$G$136:$N$136,Input!$G$7:$N$7,Calculation!L$7)</f>
        <v>0</v>
      </c>
      <c r="M88" s="160" t="n">
        <f aca="false">SUMIFS(Input!$G$136:$N$136,Input!$G$7:$N$7,Calculation!M$7)</f>
        <v>0</v>
      </c>
      <c r="N88" s="160" t="n">
        <f aca="false">SUMIFS(Input!$G$136:$N$136,Input!$G$7:$N$7,Calculation!N$7)</f>
        <v>0</v>
      </c>
      <c r="O88" s="112"/>
      <c r="P88" s="15"/>
    </row>
    <row r="89" customFormat="false" ht="12.75" hidden="false" customHeight="true" outlineLevel="0" collapsed="false">
      <c r="A89" s="15"/>
      <c r="B89" s="56" t="s">
        <v>48</v>
      </c>
      <c r="C89" s="15"/>
      <c r="D89" s="15"/>
      <c r="E89" s="15"/>
      <c r="F89" s="57" t="s">
        <v>43</v>
      </c>
      <c r="G89" s="116" t="n">
        <f aca="false">SUMIFS(Input!$G$23:$N$23,Input!$G$7:$N$7,Calculation!G$7)</f>
        <v>0</v>
      </c>
      <c r="H89" s="116" t="n">
        <f aca="false">SUMIFS(Input!$G$23:$N$23,Input!$G$7:$N$7,Calculation!H$7)</f>
        <v>0</v>
      </c>
      <c r="I89" s="116" t="n">
        <f aca="false">SUMIFS(Input!$G$23:$N$23,Input!$G$7:$N$7,Calculation!I$7)</f>
        <v>0</v>
      </c>
      <c r="J89" s="116" t="n">
        <f aca="false">SUMIFS(Input!$G$23:$N$23,Input!$G$7:$N$7,Calculation!J$7)</f>
        <v>1.02</v>
      </c>
      <c r="K89" s="116" t="n">
        <f aca="false">SUMIFS(Input!$G$23:$N$23,Input!$G$7:$N$7,Calculation!K$7)</f>
        <v>1.02</v>
      </c>
      <c r="L89" s="116" t="n">
        <f aca="false">SUMIFS(Input!$G$23:$N$23,Input!$G$7:$N$7,Calculation!L$7)</f>
        <v>1.02</v>
      </c>
      <c r="M89" s="116" t="n">
        <f aca="false">SUMIFS(Input!$G$23:$N$23,Input!$G$7:$N$7,Calculation!M$7)</f>
        <v>1.02</v>
      </c>
      <c r="N89" s="116" t="n">
        <f aca="false">SUMIFS(Input!$G$23:$N$23,Input!$G$7:$N$7,Calculation!N$7)</f>
        <v>1.02</v>
      </c>
      <c r="O89" s="116"/>
      <c r="P89" s="15"/>
    </row>
    <row r="90" customFormat="false" ht="12.75" hidden="false" customHeight="true" outlineLevel="0" collapsed="false">
      <c r="A90" s="15"/>
      <c r="B90" s="53" t="s">
        <v>183</v>
      </c>
      <c r="C90" s="15"/>
      <c r="D90" s="15"/>
      <c r="E90" s="15"/>
      <c r="F90" s="57" t="s">
        <v>182</v>
      </c>
      <c r="G90" s="112" t="n">
        <f aca="false">IFERROR(G88*G89,"")</f>
        <v>0</v>
      </c>
      <c r="H90" s="112" t="n">
        <f aca="false">IFERROR(H88*H89,"")</f>
        <v>0</v>
      </c>
      <c r="I90" s="112" t="n">
        <f aca="false">IFERROR(I88*I89,"")</f>
        <v>0</v>
      </c>
      <c r="J90" s="112" t="n">
        <f aca="false">IFERROR(J88*J89,"")</f>
        <v>0</v>
      </c>
      <c r="K90" s="112" t="n">
        <f aca="false">IFERROR(J90*K89,"")</f>
        <v>0</v>
      </c>
      <c r="L90" s="112" t="n">
        <f aca="false">IFERROR(K90*L89,"")</f>
        <v>0</v>
      </c>
      <c r="M90" s="112" t="n">
        <f aca="false">IFERROR(L90*M89,"")</f>
        <v>0</v>
      </c>
      <c r="N90" s="112" t="n">
        <f aca="false">IFERROR(M90*N89,"")</f>
        <v>0</v>
      </c>
      <c r="O90" s="112"/>
      <c r="P90" s="15"/>
    </row>
    <row r="91" customFormat="false" ht="12.75" hidden="false" customHeight="true" outlineLevel="0" collapsed="false">
      <c r="A91" s="15"/>
      <c r="B91" s="53" t="s">
        <v>104</v>
      </c>
      <c r="C91" s="15"/>
      <c r="D91" s="15"/>
      <c r="E91" s="15"/>
      <c r="F91" s="57" t="s">
        <v>184</v>
      </c>
      <c r="G91" s="112" t="n">
        <f aca="false">SUMIFS(Input!$G$137:$N$137,Input!$G$7:$N$7,Calculation!G$7)</f>
        <v>0</v>
      </c>
      <c r="H91" s="112" t="n">
        <f aca="false">SUMIFS(Input!$G$137:$N$137,Input!$G$7:$N$7,Calculation!H$7)</f>
        <v>0</v>
      </c>
      <c r="I91" s="112" t="n">
        <f aca="false">SUMIFS(Input!$G$137:$N$137,Input!$G$7:$N$7,Calculation!I$7)</f>
        <v>0</v>
      </c>
      <c r="J91" s="112" t="n">
        <f aca="false">SUMIFS(Input!$G$137:$N$137,Input!$G$7:$N$7,Calculation!J$7)</f>
        <v>0</v>
      </c>
      <c r="K91" s="112" t="n">
        <f aca="false">SUMIFS(Input!$G$137:$N$137,Input!$G$7:$N$7,Calculation!K$7)</f>
        <v>0</v>
      </c>
      <c r="L91" s="112" t="n">
        <f aca="false">SUMIFS(Input!$G$137:$N$137,Input!$G$7:$N$7,Calculation!L$7)</f>
        <v>0</v>
      </c>
      <c r="M91" s="112" t="n">
        <f aca="false">SUMIFS(Input!$G$137:$N$137,Input!$G$7:$N$7,Calculation!M$7)</f>
        <v>0</v>
      </c>
      <c r="N91" s="112" t="n">
        <f aca="false">SUMIFS(Input!$G$137:$N$137,Input!$G$7:$N$7,Calculation!N$7)</f>
        <v>0</v>
      </c>
      <c r="O91" s="112"/>
      <c r="P91" s="15"/>
    </row>
    <row r="92" customFormat="false" ht="12.75" hidden="false" customHeight="true" outlineLevel="0" collapsed="false">
      <c r="A92" s="15"/>
      <c r="B92" s="142" t="s">
        <v>193</v>
      </c>
      <c r="C92" s="75"/>
      <c r="D92" s="75"/>
      <c r="E92" s="75"/>
      <c r="F92" s="140" t="s">
        <v>114</v>
      </c>
      <c r="G92" s="137" t="n">
        <f aca="false">G90*G91/mn</f>
        <v>0</v>
      </c>
      <c r="H92" s="137" t="n">
        <f aca="false">H90*H91/mn</f>
        <v>0</v>
      </c>
      <c r="I92" s="137" t="n">
        <f aca="false">I90*I91/mn</f>
        <v>0</v>
      </c>
      <c r="J92" s="137" t="n">
        <f aca="false">J90*J91/mn</f>
        <v>0</v>
      </c>
      <c r="K92" s="137" t="n">
        <f aca="false">K90*K91/mn</f>
        <v>0</v>
      </c>
      <c r="L92" s="137" t="n">
        <f aca="false">L90*L91/mn</f>
        <v>0</v>
      </c>
      <c r="M92" s="137" t="n">
        <f aca="false">M90*M91/mn</f>
        <v>0</v>
      </c>
      <c r="N92" s="137" t="n">
        <f aca="false">N90*N91/mn</f>
        <v>0</v>
      </c>
      <c r="O92" s="112"/>
      <c r="P92" s="15"/>
    </row>
    <row r="93" customFormat="false" ht="12.75" hidden="false" customHeight="true" outlineLevel="0" collapsed="false">
      <c r="A93" s="3"/>
      <c r="B93" s="176"/>
      <c r="C93" s="3"/>
      <c r="D93" s="3"/>
      <c r="E93" s="3"/>
      <c r="F93" s="147"/>
      <c r="G93" s="148"/>
      <c r="H93" s="148"/>
      <c r="I93" s="148"/>
      <c r="J93" s="148"/>
      <c r="K93" s="148"/>
      <c r="L93" s="148"/>
      <c r="M93" s="148"/>
      <c r="N93" s="148"/>
      <c r="O93" s="148"/>
    </row>
    <row r="94" customFormat="false" ht="12.75" hidden="false" customHeight="true" outlineLevel="0" collapsed="false">
      <c r="A94" s="51"/>
      <c r="B94" s="103" t="s">
        <v>118</v>
      </c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</row>
    <row r="95" customFormat="false" ht="12.75" hidden="false" customHeight="true" outlineLevel="0" collapsed="false">
      <c r="A95" s="15"/>
      <c r="B95" s="157" t="s">
        <v>181</v>
      </c>
      <c r="C95" s="158"/>
      <c r="D95" s="158"/>
      <c r="E95" s="158"/>
      <c r="F95" s="159" t="s">
        <v>182</v>
      </c>
      <c r="G95" s="160" t="n">
        <f aca="false">SUMIFS(Input!$G$142:$N$142,Input!$G$7:$N$7,Calculation!G$7)</f>
        <v>0</v>
      </c>
      <c r="H95" s="160" t="n">
        <f aca="false">SUMIFS(Input!$G$142:$N$142,Input!$G$7:$N$7,Calculation!H$7)</f>
        <v>0</v>
      </c>
      <c r="I95" s="160" t="n">
        <f aca="false">SUMIFS(Input!$G$142:$N$142,Input!$G$7:$N$7,Calculation!I$7)</f>
        <v>0</v>
      </c>
      <c r="J95" s="160" t="n">
        <f aca="false">SUMIFS(Input!$G$142:$N$142,Input!$G$7:$N$7,Calculation!J$7)</f>
        <v>0</v>
      </c>
      <c r="K95" s="160" t="n">
        <f aca="false">SUMIFS(Input!$G$142:$N$142,Input!$G$7:$N$7,Calculation!K$7)</f>
        <v>0</v>
      </c>
      <c r="L95" s="160" t="n">
        <f aca="false">SUMIFS(Input!$G$142:$N$142,Input!$G$7:$N$7,Calculation!L$7)</f>
        <v>0</v>
      </c>
      <c r="M95" s="160" t="n">
        <f aca="false">SUMIFS(Input!$G$142:$N$142,Input!$G$7:$N$7,Calculation!M$7)</f>
        <v>0</v>
      </c>
      <c r="N95" s="160" t="n">
        <f aca="false">SUMIFS(Input!$G$142:$N$142,Input!$G$7:$N$7,Calculation!N$7)</f>
        <v>0</v>
      </c>
      <c r="O95" s="112"/>
      <c r="P95" s="15"/>
    </row>
    <row r="96" customFormat="false" ht="12.75" hidden="false" customHeight="true" outlineLevel="0" collapsed="false">
      <c r="A96" s="15"/>
      <c r="B96" s="56" t="s">
        <v>48</v>
      </c>
      <c r="C96" s="15"/>
      <c r="D96" s="15"/>
      <c r="E96" s="15"/>
      <c r="F96" s="57" t="s">
        <v>43</v>
      </c>
      <c r="G96" s="116" t="n">
        <f aca="false">SUMIFS(Input!$G$23:$N$23,Input!$G$7:$N$7,Calculation!G$7)</f>
        <v>0</v>
      </c>
      <c r="H96" s="116" t="n">
        <f aca="false">SUMIFS(Input!$G$23:$N$23,Input!$G$7:$N$7,Calculation!H$7)</f>
        <v>0</v>
      </c>
      <c r="I96" s="116" t="n">
        <f aca="false">SUMIFS(Input!$G$23:$N$23,Input!$G$7:$N$7,Calculation!I$7)</f>
        <v>0</v>
      </c>
      <c r="J96" s="116" t="n">
        <f aca="false">SUMIFS(Input!$G$23:$N$23,Input!$G$7:$N$7,Calculation!J$7)</f>
        <v>1.02</v>
      </c>
      <c r="K96" s="116" t="n">
        <f aca="false">SUMIFS(Input!$G$23:$N$23,Input!$G$7:$N$7,Calculation!K$7)</f>
        <v>1.02</v>
      </c>
      <c r="L96" s="116" t="n">
        <f aca="false">SUMIFS(Input!$G$23:$N$23,Input!$G$7:$N$7,Calculation!L$7)</f>
        <v>1.02</v>
      </c>
      <c r="M96" s="116" t="n">
        <f aca="false">SUMIFS(Input!$G$23:$N$23,Input!$G$7:$N$7,Calculation!M$7)</f>
        <v>1.02</v>
      </c>
      <c r="N96" s="116" t="n">
        <f aca="false">SUMIFS(Input!$G$23:$N$23,Input!$G$7:$N$7,Calculation!N$7)</f>
        <v>1.02</v>
      </c>
      <c r="O96" s="116"/>
      <c r="P96" s="15"/>
    </row>
    <row r="97" customFormat="false" ht="12.75" hidden="false" customHeight="true" outlineLevel="0" collapsed="false">
      <c r="A97" s="15"/>
      <c r="B97" s="53" t="s">
        <v>183</v>
      </c>
      <c r="C97" s="15"/>
      <c r="D97" s="15"/>
      <c r="E97" s="15"/>
      <c r="F97" s="57" t="s">
        <v>182</v>
      </c>
      <c r="G97" s="112" t="n">
        <f aca="false">IFERROR(G95*G96,"")</f>
        <v>0</v>
      </c>
      <c r="H97" s="112" t="n">
        <f aca="false">IFERROR(H95*H96,"")</f>
        <v>0</v>
      </c>
      <c r="I97" s="112" t="n">
        <f aca="false">IFERROR(I95*I96,"")</f>
        <v>0</v>
      </c>
      <c r="J97" s="112" t="n">
        <f aca="false">IFERROR(J95*J96,"")</f>
        <v>0</v>
      </c>
      <c r="K97" s="112" t="n">
        <f aca="false">IFERROR(J97*K96,"")</f>
        <v>0</v>
      </c>
      <c r="L97" s="112" t="n">
        <f aca="false">IFERROR(K97*L96,"")</f>
        <v>0</v>
      </c>
      <c r="M97" s="112" t="n">
        <f aca="false">IFERROR(L97*M96,"")</f>
        <v>0</v>
      </c>
      <c r="N97" s="112" t="n">
        <f aca="false">IFERROR(M97*N96,"")</f>
        <v>0</v>
      </c>
      <c r="O97" s="112"/>
      <c r="P97" s="15"/>
    </row>
    <row r="98" customFormat="false" ht="12.75" hidden="false" customHeight="true" outlineLevel="0" collapsed="false">
      <c r="A98" s="15"/>
      <c r="B98" s="53" t="s">
        <v>104</v>
      </c>
      <c r="C98" s="15"/>
      <c r="D98" s="15"/>
      <c r="E98" s="15"/>
      <c r="F98" s="57" t="s">
        <v>184</v>
      </c>
      <c r="G98" s="112" t="n">
        <f aca="false">SUMIFS(Input!$G$143:$N$143,Input!$G$7:$N$7,Calculation!G$7)</f>
        <v>0</v>
      </c>
      <c r="H98" s="112" t="n">
        <f aca="false">SUMIFS(Input!$G$143:$N$143,Input!$G$7:$N$7,Calculation!H$7)</f>
        <v>0</v>
      </c>
      <c r="I98" s="112" t="n">
        <f aca="false">SUMIFS(Input!$G$143:$N$143,Input!$G$7:$N$7,Calculation!I$7)</f>
        <v>0</v>
      </c>
      <c r="J98" s="112" t="n">
        <f aca="false">SUMIFS(Input!$G$143:$N$143,Input!$G$7:$N$7,Calculation!J$7)</f>
        <v>0</v>
      </c>
      <c r="K98" s="112" t="n">
        <f aca="false">SUMIFS(Input!$G$143:$N$143,Input!$G$7:$N$7,Calculation!K$7)</f>
        <v>0</v>
      </c>
      <c r="L98" s="112" t="n">
        <f aca="false">SUMIFS(Input!$G$143:$N$143,Input!$G$7:$N$7,Calculation!L$7)</f>
        <v>0</v>
      </c>
      <c r="M98" s="112" t="n">
        <f aca="false">SUMIFS(Input!$G$143:$N$143,Input!$G$7:$N$7,Calculation!M$7)</f>
        <v>0</v>
      </c>
      <c r="N98" s="112" t="n">
        <f aca="false">SUMIFS(Input!$G$143:$N$143,Input!$G$7:$N$7,Calculation!N$7)</f>
        <v>0</v>
      </c>
      <c r="O98" s="112"/>
      <c r="P98" s="15"/>
    </row>
    <row r="99" customFormat="false" ht="12.75" hidden="false" customHeight="true" outlineLevel="0" collapsed="false">
      <c r="A99" s="15"/>
      <c r="B99" s="142" t="s">
        <v>193</v>
      </c>
      <c r="C99" s="75"/>
      <c r="D99" s="75"/>
      <c r="E99" s="75"/>
      <c r="F99" s="140" t="s">
        <v>114</v>
      </c>
      <c r="G99" s="137" t="n">
        <f aca="false">G97*G98/mn</f>
        <v>0</v>
      </c>
      <c r="H99" s="137" t="n">
        <f aca="false">H97*H98/mn</f>
        <v>0</v>
      </c>
      <c r="I99" s="137" t="n">
        <f aca="false">I97*I98/mn</f>
        <v>0</v>
      </c>
      <c r="J99" s="137" t="n">
        <f aca="false">J97*J98/mn</f>
        <v>0</v>
      </c>
      <c r="K99" s="137" t="n">
        <f aca="false">K97*K98/mn</f>
        <v>0</v>
      </c>
      <c r="L99" s="137" t="n">
        <f aca="false">L97*L98/mn</f>
        <v>0</v>
      </c>
      <c r="M99" s="137" t="n">
        <f aca="false">M97*M98/mn</f>
        <v>0</v>
      </c>
      <c r="N99" s="137" t="n">
        <f aca="false">N97*N98/mn</f>
        <v>0</v>
      </c>
      <c r="O99" s="112"/>
      <c r="P99" s="15"/>
    </row>
    <row r="100" customFormat="false" ht="12.75" hidden="false" customHeight="true" outlineLevel="0" collapsed="false">
      <c r="A100" s="3"/>
      <c r="B100" s="176"/>
      <c r="C100" s="3"/>
      <c r="D100" s="3"/>
      <c r="E100" s="3"/>
      <c r="F100" s="147"/>
      <c r="G100" s="148"/>
      <c r="H100" s="148"/>
      <c r="I100" s="148"/>
      <c r="J100" s="148"/>
      <c r="K100" s="148"/>
      <c r="L100" s="148"/>
      <c r="M100" s="148"/>
      <c r="N100" s="148"/>
      <c r="O100" s="148"/>
    </row>
    <row r="101" customFormat="false" ht="12.75" hidden="false" customHeight="true" outlineLevel="0" collapsed="false">
      <c r="A101" s="3"/>
      <c r="B101" s="176"/>
      <c r="C101" s="3"/>
      <c r="D101" s="3"/>
      <c r="E101" s="3"/>
      <c r="F101" s="147"/>
      <c r="G101" s="148"/>
      <c r="H101" s="148"/>
      <c r="I101" s="148"/>
      <c r="J101" s="148"/>
      <c r="K101" s="148"/>
      <c r="L101" s="148"/>
      <c r="M101" s="148"/>
      <c r="N101" s="148"/>
      <c r="O101" s="148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customFormat="false" ht="12.75" hidden="false" customHeight="true" outlineLevel="0" collapsed="false">
      <c r="A104" s="8"/>
      <c r="B104" s="44" t="s">
        <v>131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8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customFormat="false" ht="12.75" hidden="false" customHeight="true" outlineLevel="0" collapsed="false">
      <c r="A106" s="51"/>
      <c r="B106" s="103" t="s">
        <v>185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</row>
    <row r="107" customFormat="false" ht="15" hidden="false" customHeight="true" outlineLevel="0" collapsed="false">
      <c r="A107" s="51"/>
      <c r="B107" s="121" t="s">
        <v>194</v>
      </c>
      <c r="C107" s="121"/>
      <c r="D107" s="121"/>
      <c r="E107" s="121"/>
      <c r="F107" s="169" t="s">
        <v>114</v>
      </c>
      <c r="G107" s="170" t="n">
        <f aca="false">G151</f>
        <v>100</v>
      </c>
      <c r="H107" s="170" t="n">
        <f aca="false">H151</f>
        <v>100</v>
      </c>
      <c r="I107" s="170" t="n">
        <f aca="false">I151</f>
        <v>100</v>
      </c>
      <c r="J107" s="170" t="n">
        <f aca="false">J151</f>
        <v>204</v>
      </c>
      <c r="K107" s="170" t="n">
        <f aca="false">K151</f>
        <v>208.08</v>
      </c>
      <c r="L107" s="170" t="n">
        <f aca="false">L151</f>
        <v>212.2416</v>
      </c>
      <c r="M107" s="170" t="n">
        <f aca="false">M151</f>
        <v>216.486432</v>
      </c>
      <c r="N107" s="170" t="n">
        <f aca="false">N151</f>
        <v>220.81616064</v>
      </c>
      <c r="O107" s="170"/>
      <c r="P107" s="51"/>
    </row>
    <row r="108" customFormat="false" ht="12.75" hidden="false" customHeight="true" outlineLevel="0" collapsed="false">
      <c r="A108" s="51"/>
      <c r="B108" s="121" t="s">
        <v>120</v>
      </c>
      <c r="C108" s="51"/>
      <c r="D108" s="51"/>
      <c r="E108" s="51"/>
      <c r="F108" s="169" t="s">
        <v>114</v>
      </c>
      <c r="G108" s="170" t="n">
        <f aca="false">G117</f>
        <v>0</v>
      </c>
      <c r="H108" s="170" t="n">
        <f aca="false">H117</f>
        <v>0</v>
      </c>
      <c r="I108" s="170" t="n">
        <f aca="false">I117</f>
        <v>0</v>
      </c>
      <c r="J108" s="170" t="n">
        <f aca="false">J117</f>
        <v>91.8416666666667</v>
      </c>
      <c r="K108" s="170" t="n">
        <f aca="false">K117</f>
        <v>94.5969166666667</v>
      </c>
      <c r="L108" s="170" t="n">
        <f aca="false">L117</f>
        <v>97.4348241666666</v>
      </c>
      <c r="M108" s="170" t="n">
        <f aca="false">M117</f>
        <v>100.357868891667</v>
      </c>
      <c r="N108" s="170" t="n">
        <f aca="false">N117</f>
        <v>103.368604958417</v>
      </c>
      <c r="O108" s="170"/>
      <c r="P108" s="51"/>
    </row>
    <row r="109" customFormat="false" ht="12.75" hidden="false" customHeight="true" outlineLevel="0" collapsed="false">
      <c r="A109" s="51"/>
      <c r="B109" s="52" t="s">
        <v>122</v>
      </c>
      <c r="C109" s="51"/>
      <c r="D109" s="51"/>
      <c r="E109" s="51"/>
      <c r="F109" s="169" t="s">
        <v>114</v>
      </c>
      <c r="G109" s="170" t="n">
        <f aca="false">G121</f>
        <v>0</v>
      </c>
      <c r="H109" s="170" t="n">
        <f aca="false">H121</f>
        <v>0</v>
      </c>
      <c r="I109" s="170" t="n">
        <f aca="false">I121</f>
        <v>0</v>
      </c>
      <c r="J109" s="170" t="n">
        <f aca="false">J121</f>
        <v>110.21</v>
      </c>
      <c r="K109" s="170" t="n">
        <f aca="false">K121</f>
        <v>113.5163</v>
      </c>
      <c r="L109" s="170" t="n">
        <f aca="false">L121</f>
        <v>116.921789</v>
      </c>
      <c r="M109" s="170" t="n">
        <f aca="false">M121</f>
        <v>120.42944267</v>
      </c>
      <c r="N109" s="170" t="n">
        <f aca="false">N121</f>
        <v>124.0423259501</v>
      </c>
      <c r="O109" s="170"/>
      <c r="P109" s="51"/>
    </row>
    <row r="110" customFormat="false" ht="12.75" hidden="false" customHeight="true" outlineLevel="0" collapsed="false">
      <c r="A110" s="51"/>
      <c r="B110" s="52" t="s">
        <v>123</v>
      </c>
      <c r="C110" s="51"/>
      <c r="D110" s="51"/>
      <c r="E110" s="51"/>
      <c r="F110" s="169" t="s">
        <v>114</v>
      </c>
      <c r="G110" s="170" t="n">
        <f aca="false">G125</f>
        <v>0</v>
      </c>
      <c r="H110" s="170" t="n">
        <f aca="false">H125</f>
        <v>0</v>
      </c>
      <c r="I110" s="170" t="n">
        <f aca="false">I125</f>
        <v>0</v>
      </c>
      <c r="J110" s="170" t="n">
        <f aca="false">J125</f>
        <v>128.578333333333</v>
      </c>
      <c r="K110" s="170" t="n">
        <f aca="false">K125</f>
        <v>132.435683333333</v>
      </c>
      <c r="L110" s="170" t="n">
        <f aca="false">L125</f>
        <v>136.408753833333</v>
      </c>
      <c r="M110" s="170" t="n">
        <f aca="false">M125</f>
        <v>140.501016448333</v>
      </c>
      <c r="N110" s="170" t="n">
        <f aca="false">N125</f>
        <v>144.716046941783</v>
      </c>
      <c r="O110" s="170"/>
      <c r="P110" s="51"/>
    </row>
    <row r="111" customFormat="false" ht="12.75" hidden="false" customHeight="true" outlineLevel="0" collapsed="false">
      <c r="A111" s="51"/>
      <c r="B111" s="52" t="s">
        <v>124</v>
      </c>
      <c r="C111" s="51"/>
      <c r="D111" s="51"/>
      <c r="E111" s="51"/>
      <c r="F111" s="169" t="s">
        <v>114</v>
      </c>
      <c r="G111" s="170" t="n">
        <f aca="false">G129</f>
        <v>0</v>
      </c>
      <c r="H111" s="170" t="n">
        <f aca="false">H129</f>
        <v>0</v>
      </c>
      <c r="I111" s="170" t="n">
        <f aca="false">I129</f>
        <v>0</v>
      </c>
      <c r="J111" s="170" t="n">
        <f aca="false">J129</f>
        <v>51</v>
      </c>
      <c r="K111" s="170" t="n">
        <f aca="false">K129</f>
        <v>52.02</v>
      </c>
      <c r="L111" s="170" t="n">
        <f aca="false">L129</f>
        <v>53.0604</v>
      </c>
      <c r="M111" s="170" t="n">
        <f aca="false">M129</f>
        <v>54.121608</v>
      </c>
      <c r="N111" s="170" t="n">
        <f aca="false">N129</f>
        <v>55.20404016</v>
      </c>
      <c r="O111" s="170"/>
      <c r="P111" s="51"/>
    </row>
    <row r="112" customFormat="false" ht="12.75" hidden="false" customHeight="true" outlineLevel="0" collapsed="false">
      <c r="A112" s="51"/>
      <c r="B112" s="52" t="s">
        <v>195</v>
      </c>
      <c r="C112" s="51"/>
      <c r="D112" s="51"/>
      <c r="E112" s="51"/>
      <c r="F112" s="169" t="s">
        <v>114</v>
      </c>
      <c r="G112" s="170" t="n">
        <f aca="false">G136</f>
        <v>0</v>
      </c>
      <c r="H112" s="170" t="n">
        <f aca="false">H136</f>
        <v>0</v>
      </c>
      <c r="I112" s="170" t="n">
        <f aca="false">I136</f>
        <v>0</v>
      </c>
      <c r="J112" s="170" t="n">
        <f aca="false">J136</f>
        <v>0</v>
      </c>
      <c r="K112" s="170" t="n">
        <f aca="false">K136</f>
        <v>0</v>
      </c>
      <c r="L112" s="170" t="n">
        <f aca="false">L136</f>
        <v>0</v>
      </c>
      <c r="M112" s="170" t="n">
        <f aca="false">M136</f>
        <v>0</v>
      </c>
      <c r="N112" s="170" t="n">
        <f aca="false">N136</f>
        <v>0</v>
      </c>
      <c r="O112" s="170"/>
      <c r="P112" s="51"/>
    </row>
    <row r="113" customFormat="false" ht="13.5" hidden="false" customHeight="true" outlineLevel="0" collapsed="false">
      <c r="A113" s="15"/>
      <c r="B113" s="161" t="s">
        <v>192</v>
      </c>
      <c r="C113" s="162"/>
      <c r="D113" s="162"/>
      <c r="E113" s="162"/>
      <c r="F113" s="163" t="s">
        <v>114</v>
      </c>
      <c r="G113" s="164" t="n">
        <f aca="false">SUM(G107:G112)</f>
        <v>100</v>
      </c>
      <c r="H113" s="164" t="n">
        <f aca="false">SUM(H107:H112)</f>
        <v>100</v>
      </c>
      <c r="I113" s="164" t="n">
        <f aca="false">SUM(I107:I112)</f>
        <v>100</v>
      </c>
      <c r="J113" s="164" t="n">
        <f aca="false">SUM(J107:J112)</f>
        <v>585.63</v>
      </c>
      <c r="K113" s="164" t="n">
        <f aca="false">SUM(K107:K112)</f>
        <v>600.6489</v>
      </c>
      <c r="L113" s="164" t="n">
        <f aca="false">SUM(L107:L112)</f>
        <v>616.067367</v>
      </c>
      <c r="M113" s="164" t="n">
        <f aca="false">SUM(M107:M112)</f>
        <v>631.89636801</v>
      </c>
      <c r="N113" s="165" t="n">
        <f aca="false">SUM(N107:N112)</f>
        <v>648.1471786503</v>
      </c>
      <c r="O113" s="166"/>
      <c r="P113" s="15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customFormat="false" ht="12.75" hidden="false" customHeight="true" outlineLevel="0" collapsed="false">
      <c r="A115" s="51"/>
      <c r="B115" s="103" t="s">
        <v>120</v>
      </c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51"/>
      <c r="P115" s="51"/>
    </row>
    <row r="116" customFormat="false" ht="13.5" hidden="false" customHeight="true" outlineLevel="0" collapsed="false">
      <c r="A116" s="15"/>
      <c r="B116" s="53" t="s">
        <v>115</v>
      </c>
      <c r="C116" s="15"/>
      <c r="D116" s="15"/>
      <c r="E116" s="115" t="n">
        <f aca="false">Input!E153</f>
        <v>0.0424603174603175</v>
      </c>
      <c r="F116" s="57" t="s">
        <v>43</v>
      </c>
      <c r="G116" s="15"/>
      <c r="H116" s="15"/>
      <c r="I116" s="15"/>
      <c r="J116" s="116" t="n">
        <f aca="false">$E116</f>
        <v>0.0424603174603175</v>
      </c>
      <c r="K116" s="116" t="n">
        <f aca="false">$E116</f>
        <v>0.0424603174603175</v>
      </c>
      <c r="L116" s="116" t="n">
        <f aca="false">$E116</f>
        <v>0.0424603174603175</v>
      </c>
      <c r="M116" s="116" t="n">
        <f aca="false">$E116</f>
        <v>0.0424603174603175</v>
      </c>
      <c r="N116" s="116" t="n">
        <f aca="false">$E116</f>
        <v>0.0424603174603175</v>
      </c>
      <c r="O116" s="116"/>
      <c r="P116" s="15"/>
    </row>
    <row r="117" customFormat="false" ht="15" hidden="false" customHeight="true" outlineLevel="0" collapsed="false">
      <c r="A117" s="15"/>
      <c r="B117" s="142" t="s">
        <v>196</v>
      </c>
      <c r="C117" s="75"/>
      <c r="D117" s="75"/>
      <c r="E117" s="75"/>
      <c r="F117" s="140" t="s">
        <v>114</v>
      </c>
      <c r="G117" s="75"/>
      <c r="H117" s="75"/>
      <c r="I117" s="75"/>
      <c r="J117" s="171" t="n">
        <f aca="false">J$21*J116</f>
        <v>91.8416666666667</v>
      </c>
      <c r="K117" s="171" t="n">
        <f aca="false">K$21*K116</f>
        <v>94.5969166666667</v>
      </c>
      <c r="L117" s="171" t="n">
        <f aca="false">L$21*L116</f>
        <v>97.4348241666666</v>
      </c>
      <c r="M117" s="171" t="n">
        <f aca="false">M$21*M116</f>
        <v>100.357868891667</v>
      </c>
      <c r="N117" s="171" t="n">
        <f aca="false">N$21*N116</f>
        <v>103.368604958417</v>
      </c>
      <c r="O117" s="172"/>
      <c r="P117" s="15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customFormat="false" ht="12.75" hidden="false" customHeight="true" outlineLevel="0" collapsed="false">
      <c r="A119" s="51"/>
      <c r="B119" s="103" t="s">
        <v>122</v>
      </c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51"/>
      <c r="P119" s="51"/>
    </row>
    <row r="120" customFormat="false" ht="13.5" hidden="false" customHeight="true" outlineLevel="0" collapsed="false">
      <c r="A120" s="15"/>
      <c r="B120" s="53" t="s">
        <v>115</v>
      </c>
      <c r="C120" s="15"/>
      <c r="D120" s="15"/>
      <c r="E120" s="115" t="n">
        <f aca="false">Input!E158</f>
        <v>0.050952380952381</v>
      </c>
      <c r="F120" s="57" t="s">
        <v>43</v>
      </c>
      <c r="G120" s="15"/>
      <c r="H120" s="15"/>
      <c r="I120" s="15"/>
      <c r="J120" s="116" t="n">
        <f aca="false">$E120</f>
        <v>0.050952380952381</v>
      </c>
      <c r="K120" s="116" t="n">
        <f aca="false">$E120</f>
        <v>0.050952380952381</v>
      </c>
      <c r="L120" s="116" t="n">
        <f aca="false">$E120</f>
        <v>0.050952380952381</v>
      </c>
      <c r="M120" s="116" t="n">
        <f aca="false">$E120</f>
        <v>0.050952380952381</v>
      </c>
      <c r="N120" s="116" t="n">
        <f aca="false">$E120</f>
        <v>0.050952380952381</v>
      </c>
      <c r="O120" s="116"/>
      <c r="P120" s="15"/>
    </row>
    <row r="121" customFormat="false" ht="15" hidden="false" customHeight="true" outlineLevel="0" collapsed="false">
      <c r="A121" s="15"/>
      <c r="B121" s="142" t="s">
        <v>196</v>
      </c>
      <c r="C121" s="75"/>
      <c r="D121" s="75"/>
      <c r="E121" s="75"/>
      <c r="F121" s="140" t="s">
        <v>114</v>
      </c>
      <c r="G121" s="75"/>
      <c r="H121" s="75"/>
      <c r="I121" s="75"/>
      <c r="J121" s="171" t="n">
        <f aca="false">J$21*J120</f>
        <v>110.21</v>
      </c>
      <c r="K121" s="171" t="n">
        <f aca="false">K$21*K120</f>
        <v>113.5163</v>
      </c>
      <c r="L121" s="171" t="n">
        <f aca="false">L$21*L120</f>
        <v>116.921789</v>
      </c>
      <c r="M121" s="171" t="n">
        <f aca="false">M$21*M120</f>
        <v>120.42944267</v>
      </c>
      <c r="N121" s="171" t="n">
        <f aca="false">N$21*N120</f>
        <v>124.0423259501</v>
      </c>
      <c r="O121" s="172"/>
      <c r="P121" s="15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customFormat="false" ht="12.75" hidden="false" customHeight="true" outlineLevel="0" collapsed="false">
      <c r="A123" s="51"/>
      <c r="B123" s="103" t="s">
        <v>123</v>
      </c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51"/>
      <c r="P123" s="51"/>
    </row>
    <row r="124" customFormat="false" ht="13.5" hidden="false" customHeight="true" outlineLevel="0" collapsed="false">
      <c r="A124" s="15"/>
      <c r="B124" s="53" t="s">
        <v>115</v>
      </c>
      <c r="C124" s="15"/>
      <c r="D124" s="15"/>
      <c r="E124" s="115" t="n">
        <f aca="false">Input!E163</f>
        <v>0.0594444444444444</v>
      </c>
      <c r="F124" s="57" t="s">
        <v>43</v>
      </c>
      <c r="G124" s="15"/>
      <c r="H124" s="15"/>
      <c r="I124" s="15"/>
      <c r="J124" s="116" t="n">
        <f aca="false">$E124</f>
        <v>0.0594444444444444</v>
      </c>
      <c r="K124" s="116" t="n">
        <f aca="false">$E124</f>
        <v>0.0594444444444444</v>
      </c>
      <c r="L124" s="116" t="n">
        <f aca="false">$E124</f>
        <v>0.0594444444444444</v>
      </c>
      <c r="M124" s="116" t="n">
        <f aca="false">$E124</f>
        <v>0.0594444444444444</v>
      </c>
      <c r="N124" s="116" t="n">
        <f aca="false">$E124</f>
        <v>0.0594444444444444</v>
      </c>
      <c r="O124" s="116"/>
      <c r="P124" s="15"/>
    </row>
    <row r="125" customFormat="false" ht="15" hidden="false" customHeight="true" outlineLevel="0" collapsed="false">
      <c r="A125" s="15"/>
      <c r="B125" s="142" t="s">
        <v>196</v>
      </c>
      <c r="C125" s="75"/>
      <c r="D125" s="75"/>
      <c r="E125" s="75"/>
      <c r="F125" s="140" t="s">
        <v>114</v>
      </c>
      <c r="G125" s="75"/>
      <c r="H125" s="75"/>
      <c r="I125" s="75"/>
      <c r="J125" s="171" t="n">
        <f aca="false">J$21*J124</f>
        <v>128.578333333333</v>
      </c>
      <c r="K125" s="171" t="n">
        <f aca="false">K$21*K124</f>
        <v>132.435683333333</v>
      </c>
      <c r="L125" s="171" t="n">
        <f aca="false">L$21*L124</f>
        <v>136.408753833333</v>
      </c>
      <c r="M125" s="171" t="n">
        <f aca="false">M$21*M124</f>
        <v>140.501016448333</v>
      </c>
      <c r="N125" s="171" t="n">
        <f aca="false">N$21*N124</f>
        <v>144.716046941783</v>
      </c>
      <c r="O125" s="172"/>
      <c r="P125" s="15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customFormat="false" ht="12.75" hidden="false" customHeight="true" outlineLevel="0" collapsed="false">
      <c r="A127" s="51"/>
      <c r="B127" s="103" t="s">
        <v>124</v>
      </c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51"/>
      <c r="P127" s="51"/>
    </row>
    <row r="128" customFormat="false" ht="12.75" hidden="false" customHeight="true" outlineLevel="0" collapsed="false">
      <c r="A128" s="15"/>
      <c r="B128" s="173" t="s">
        <v>48</v>
      </c>
      <c r="C128" s="158"/>
      <c r="D128" s="158"/>
      <c r="E128" s="158"/>
      <c r="F128" s="159" t="s">
        <v>43</v>
      </c>
      <c r="G128" s="174" t="n">
        <f aca="false">SUMIFS(Input!$G$23:$N$23,Input!$G$7:$N$7,Calculation!G$7)</f>
        <v>0</v>
      </c>
      <c r="H128" s="174" t="n">
        <f aca="false">SUMIFS(Input!$G$23:$N$23,Input!$G$7:$N$7,Calculation!H$7)</f>
        <v>0</v>
      </c>
      <c r="I128" s="174" t="n">
        <f aca="false">SUMIFS(Input!$G$23:$N$23,Input!$G$7:$N$7,Calculation!I$7)</f>
        <v>0</v>
      </c>
      <c r="J128" s="174" t="n">
        <f aca="false">SUMIFS(Input!$G$23:$N$23,Input!$G$7:$N$7,Calculation!J$7)</f>
        <v>1.02</v>
      </c>
      <c r="K128" s="174" t="n">
        <f aca="false">SUMIFS(Input!$G$23:$N$23,Input!$G$7:$N$7,Calculation!K$7)</f>
        <v>1.02</v>
      </c>
      <c r="L128" s="174" t="n">
        <f aca="false">SUMIFS(Input!$G$23:$N$23,Input!$G$7:$N$7,Calculation!L$7)</f>
        <v>1.02</v>
      </c>
      <c r="M128" s="174" t="n">
        <f aca="false">SUMIFS(Input!$G$23:$N$23,Input!$G$7:$N$7,Calculation!M$7)</f>
        <v>1.02</v>
      </c>
      <c r="N128" s="174" t="n">
        <f aca="false">SUMIFS(Input!$G$23:$N$23,Input!$G$7:$N$7,Calculation!N$7)</f>
        <v>1.02</v>
      </c>
      <c r="O128" s="116"/>
      <c r="P128" s="15"/>
    </row>
    <row r="129" customFormat="false" ht="15" hidden="false" customHeight="true" outlineLevel="0" collapsed="false">
      <c r="A129" s="15"/>
      <c r="B129" s="142" t="s">
        <v>125</v>
      </c>
      <c r="C129" s="75"/>
      <c r="D129" s="75"/>
      <c r="E129" s="139" t="n">
        <f aca="false">Input!E168</f>
        <v>50</v>
      </c>
      <c r="F129" s="140" t="s">
        <v>114</v>
      </c>
      <c r="G129" s="175"/>
      <c r="H129" s="175"/>
      <c r="I129" s="175"/>
      <c r="J129" s="137" t="n">
        <f aca="false">E$129*J128</f>
        <v>51</v>
      </c>
      <c r="K129" s="137" t="n">
        <f aca="false">J$129*K128</f>
        <v>52.02</v>
      </c>
      <c r="L129" s="137" t="n">
        <f aca="false">K$129*L128</f>
        <v>53.0604</v>
      </c>
      <c r="M129" s="137" t="n">
        <f aca="false">L$129*M128</f>
        <v>54.121608</v>
      </c>
      <c r="N129" s="137" t="n">
        <f aca="false">M$129*N128</f>
        <v>55.20404016</v>
      </c>
      <c r="O129" s="112"/>
      <c r="P129" s="15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customFormat="false" ht="15" hidden="false" customHeight="true" outlineLevel="0" collapsed="false">
      <c r="A131" s="51"/>
      <c r="B131" s="103" t="s">
        <v>126</v>
      </c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</row>
    <row r="132" customFormat="false" ht="12.75" hidden="false" customHeight="true" outlineLevel="0" collapsed="false">
      <c r="A132" s="15"/>
      <c r="B132" s="157" t="s">
        <v>181</v>
      </c>
      <c r="C132" s="158"/>
      <c r="D132" s="158"/>
      <c r="E132" s="158"/>
      <c r="F132" s="159" t="s">
        <v>182</v>
      </c>
      <c r="G132" s="160" t="n">
        <f aca="false">SUMIFS(Input!$G$173:$N$173,Input!$G$7:$N$7,Calculation!G$7)</f>
        <v>0</v>
      </c>
      <c r="H132" s="160" t="n">
        <f aca="false">SUMIFS(Input!$G$173:$N$173,Input!$G$7:$N$7,Calculation!H$7)</f>
        <v>0</v>
      </c>
      <c r="I132" s="160" t="n">
        <f aca="false">SUMIFS(Input!$G$173:$N$173,Input!$G$7:$N$7,Calculation!I$7)</f>
        <v>0</v>
      </c>
      <c r="J132" s="160" t="n">
        <f aca="false">SUMIFS(Input!$G$173:$N$173,Input!$G$7:$N$7,Calculation!J$7)</f>
        <v>0</v>
      </c>
      <c r="K132" s="160" t="n">
        <f aca="false">SUMIFS(Input!$G$173:$N$173,Input!$G$7:$N$7,Calculation!K$7)</f>
        <v>0</v>
      </c>
      <c r="L132" s="160" t="n">
        <f aca="false">SUMIFS(Input!$G$173:$N$173,Input!$G$7:$N$7,Calculation!L$7)</f>
        <v>0</v>
      </c>
      <c r="M132" s="160" t="n">
        <f aca="false">SUMIFS(Input!$G$173:$N$173,Input!$G$7:$N$7,Calculation!M$7)</f>
        <v>0</v>
      </c>
      <c r="N132" s="160" t="n">
        <f aca="false">SUMIFS(Input!$G$173:$N$173,Input!$G$7:$N$7,Calculation!N$7)</f>
        <v>0</v>
      </c>
      <c r="O132" s="112"/>
      <c r="P132" s="15"/>
    </row>
    <row r="133" customFormat="false" ht="12.75" hidden="false" customHeight="true" outlineLevel="0" collapsed="false">
      <c r="A133" s="15"/>
      <c r="B133" s="56" t="s">
        <v>48</v>
      </c>
      <c r="C133" s="15"/>
      <c r="D133" s="15"/>
      <c r="E133" s="15"/>
      <c r="F133" s="57" t="s">
        <v>43</v>
      </c>
      <c r="G133" s="116" t="n">
        <f aca="false">SUMIFS(Input!$G$23:$N$23,Input!$G$7:$N$7,Calculation!G$7)</f>
        <v>0</v>
      </c>
      <c r="H133" s="116" t="n">
        <f aca="false">SUMIFS(Input!$G$23:$N$23,Input!$G$7:$N$7,Calculation!H$7)</f>
        <v>0</v>
      </c>
      <c r="I133" s="116" t="n">
        <f aca="false">SUMIFS(Input!$G$23:$N$23,Input!$G$7:$N$7,Calculation!I$7)</f>
        <v>0</v>
      </c>
      <c r="J133" s="116" t="n">
        <f aca="false">SUMIFS(Input!$G$23:$N$23,Input!$G$7:$N$7,Calculation!J$7)</f>
        <v>1.02</v>
      </c>
      <c r="K133" s="116" t="n">
        <f aca="false">SUMIFS(Input!$G$23:$N$23,Input!$G$7:$N$7,Calculation!K$7)</f>
        <v>1.02</v>
      </c>
      <c r="L133" s="116" t="n">
        <f aca="false">SUMIFS(Input!$G$23:$N$23,Input!$G$7:$N$7,Calculation!L$7)</f>
        <v>1.02</v>
      </c>
      <c r="M133" s="116" t="n">
        <f aca="false">SUMIFS(Input!$G$23:$N$23,Input!$G$7:$N$7,Calculation!M$7)</f>
        <v>1.02</v>
      </c>
      <c r="N133" s="116" t="n">
        <f aca="false">SUMIFS(Input!$G$23:$N$23,Input!$G$7:$N$7,Calculation!N$7)</f>
        <v>1.02</v>
      </c>
      <c r="O133" s="116"/>
      <c r="P133" s="15"/>
    </row>
    <row r="134" customFormat="false" ht="12.75" hidden="false" customHeight="true" outlineLevel="0" collapsed="false">
      <c r="A134" s="15"/>
      <c r="B134" s="53" t="s">
        <v>183</v>
      </c>
      <c r="C134" s="15"/>
      <c r="D134" s="15"/>
      <c r="E134" s="15"/>
      <c r="F134" s="57" t="s">
        <v>182</v>
      </c>
      <c r="G134" s="112" t="n">
        <f aca="false">IFERROR(G132*G133,"")</f>
        <v>0</v>
      </c>
      <c r="H134" s="112" t="n">
        <f aca="false">IFERROR(H132*H133,"")</f>
        <v>0</v>
      </c>
      <c r="I134" s="112" t="n">
        <f aca="false">IFERROR(I132*I133,"")</f>
        <v>0</v>
      </c>
      <c r="J134" s="112" t="n">
        <f aca="false">IFERROR(J132*J133,"")</f>
        <v>0</v>
      </c>
      <c r="K134" s="112" t="n">
        <f aca="false">IFERROR(J134*K133,"")</f>
        <v>0</v>
      </c>
      <c r="L134" s="112" t="n">
        <f aca="false">IFERROR(K134*L133,"")</f>
        <v>0</v>
      </c>
      <c r="M134" s="112" t="n">
        <f aca="false">IFERROR(L134*M133,"")</f>
        <v>0</v>
      </c>
      <c r="N134" s="112" t="n">
        <f aca="false">IFERROR(M134*N133,"")</f>
        <v>0</v>
      </c>
      <c r="O134" s="112"/>
      <c r="P134" s="15"/>
    </row>
    <row r="135" customFormat="false" ht="12.75" hidden="false" customHeight="true" outlineLevel="0" collapsed="false">
      <c r="A135" s="15"/>
      <c r="B135" s="53" t="s">
        <v>104</v>
      </c>
      <c r="C135" s="15"/>
      <c r="D135" s="15"/>
      <c r="E135" s="15"/>
      <c r="F135" s="57" t="s">
        <v>184</v>
      </c>
      <c r="G135" s="112" t="n">
        <f aca="false">SUMIFS(Input!$G$174:$N$174,Input!$G$7:$N$7,Calculation!G$7)</f>
        <v>0</v>
      </c>
      <c r="H135" s="112" t="n">
        <f aca="false">SUMIFS(Input!$G$174:$N$174,Input!$G$7:$N$7,Calculation!H$7)</f>
        <v>0</v>
      </c>
      <c r="I135" s="112" t="n">
        <f aca="false">SUMIFS(Input!$G$174:$N$174,Input!$G$7:$N$7,Calculation!I$7)</f>
        <v>0</v>
      </c>
      <c r="J135" s="112" t="n">
        <f aca="false">SUMIFS(Input!$G$174:$N$174,Input!$G$7:$N$7,Calculation!J$7)</f>
        <v>0</v>
      </c>
      <c r="K135" s="112" t="n">
        <f aca="false">SUMIFS(Input!$G$174:$N$174,Input!$G$7:$N$7,Calculation!K$7)</f>
        <v>0</v>
      </c>
      <c r="L135" s="112" t="n">
        <f aca="false">SUMIFS(Input!$G$174:$N$174,Input!$G$7:$N$7,Calculation!L$7)</f>
        <v>0</v>
      </c>
      <c r="M135" s="112" t="n">
        <f aca="false">SUMIFS(Input!$G$174:$N$174,Input!$G$7:$N$7,Calculation!M$7)</f>
        <v>0</v>
      </c>
      <c r="N135" s="112" t="n">
        <f aca="false">SUMIFS(Input!$G$174:$N$174,Input!$G$7:$N$7,Calculation!N$7)</f>
        <v>0</v>
      </c>
      <c r="O135" s="112"/>
      <c r="P135" s="15"/>
    </row>
    <row r="136" customFormat="false" ht="12.75" hidden="false" customHeight="true" outlineLevel="0" collapsed="false">
      <c r="A136" s="15"/>
      <c r="B136" s="142" t="s">
        <v>193</v>
      </c>
      <c r="C136" s="75"/>
      <c r="D136" s="75"/>
      <c r="E136" s="75"/>
      <c r="F136" s="140" t="s">
        <v>114</v>
      </c>
      <c r="G136" s="137" t="n">
        <f aca="false">G134*G135/mn</f>
        <v>0</v>
      </c>
      <c r="H136" s="137" t="n">
        <f aca="false">H134*H135/mn</f>
        <v>0</v>
      </c>
      <c r="I136" s="137" t="n">
        <f aca="false">I134*I135/mn</f>
        <v>0</v>
      </c>
      <c r="J136" s="137" t="n">
        <f aca="false">J134*J135/mn</f>
        <v>0</v>
      </c>
      <c r="K136" s="137" t="n">
        <f aca="false">K134*K135/mn</f>
        <v>0</v>
      </c>
      <c r="L136" s="137" t="n">
        <f aca="false">L134*L135/mn</f>
        <v>0</v>
      </c>
      <c r="M136" s="137" t="n">
        <f aca="false">M134*M135/mn</f>
        <v>0</v>
      </c>
      <c r="N136" s="137" t="n">
        <f aca="false">N134*N135/mn</f>
        <v>0</v>
      </c>
      <c r="O136" s="112"/>
      <c r="P136" s="15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customFormat="false" ht="12.75" hidden="false" customHeight="true" outlineLevel="0" collapsed="false">
      <c r="A138" s="8"/>
      <c r="B138" s="44" t="s">
        <v>197</v>
      </c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8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customFormat="false" ht="15" hidden="false" customHeight="true" outlineLevel="0" collapsed="false">
      <c r="A140" s="51"/>
      <c r="B140" s="144" t="s">
        <v>198</v>
      </c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51"/>
      <c r="P140" s="51"/>
    </row>
    <row r="141" customFormat="false" ht="12.75" hidden="false" customHeight="true" outlineLevel="0" collapsed="false">
      <c r="A141" s="15"/>
      <c r="B141" s="56" t="s">
        <v>46</v>
      </c>
      <c r="C141" s="15"/>
      <c r="D141" s="15"/>
      <c r="E141" s="15"/>
      <c r="F141" s="57" t="s">
        <v>43</v>
      </c>
      <c r="G141" s="116" t="n">
        <f aca="false">SUMIFS(Input!$G$21:$N$21,Input!$G$7:$N$7,Calculation!G$7)</f>
        <v>0</v>
      </c>
      <c r="H141" s="116" t="n">
        <f aca="false">SUMIFS(Input!$G$21:$N$21,Input!$G$7:$N$7,Calculation!H$7)</f>
        <v>0</v>
      </c>
      <c r="I141" s="116" t="n">
        <f aca="false">SUMIFS(Input!$G$21:$N$21,Input!$G$7:$N$7,Calculation!I$7)</f>
        <v>0</v>
      </c>
      <c r="J141" s="116" t="n">
        <f aca="false">SUMIFS(Input!$G$21:$N$21,Input!$G$7:$N$7,Calculation!J$7)</f>
        <v>1.02</v>
      </c>
      <c r="K141" s="116" t="n">
        <f aca="false">SUMIFS(Input!$G$21:$N$21,Input!$G$7:$N$7,Calculation!K$7)</f>
        <v>1.02</v>
      </c>
      <c r="L141" s="116" t="n">
        <f aca="false">SUMIFS(Input!$G$21:$N$21,Input!$G$7:$N$7,Calculation!L$7)</f>
        <v>1.02</v>
      </c>
      <c r="M141" s="116" t="n">
        <f aca="false">SUMIFS(Input!$G$21:$N$21,Input!$G$7:$N$7,Calculation!M$7)</f>
        <v>1.02</v>
      </c>
      <c r="N141" s="116" t="n">
        <f aca="false">SUMIFS(Input!$G$21:$N$21,Input!$G$7:$N$7,Calculation!N$7)</f>
        <v>1.02</v>
      </c>
      <c r="O141" s="116"/>
      <c r="P141" s="15"/>
    </row>
    <row r="142" customFormat="false" ht="13.5" hidden="false" customHeight="true" outlineLevel="0" collapsed="false">
      <c r="A142" s="8"/>
      <c r="B142" s="45" t="s">
        <v>129</v>
      </c>
      <c r="C142" s="8"/>
      <c r="D142" s="8"/>
      <c r="E142" s="177" t="n">
        <f aca="false">Input!E189</f>
        <v>50</v>
      </c>
      <c r="F142" s="122" t="s">
        <v>114</v>
      </c>
      <c r="G142" s="8"/>
      <c r="H142" s="8"/>
      <c r="I142" s="8"/>
      <c r="J142" s="123" t="n">
        <f aca="false">E$142*J$141</f>
        <v>51</v>
      </c>
      <c r="K142" s="123" t="n">
        <f aca="false">J$142*K$141</f>
        <v>52.02</v>
      </c>
      <c r="L142" s="123" t="n">
        <f aca="false">K$142*L$141</f>
        <v>53.0604</v>
      </c>
      <c r="M142" s="123" t="n">
        <f aca="false">L$142*M$141</f>
        <v>54.121608</v>
      </c>
      <c r="N142" s="123" t="n">
        <f aca="false">M$142*N$141</f>
        <v>55.20404016</v>
      </c>
      <c r="O142" s="123"/>
      <c r="P142" s="8"/>
    </row>
    <row r="143" customFormat="false" ht="13.5" hidden="false" customHeight="true" outlineLevel="0" collapsed="false">
      <c r="A143" s="8"/>
      <c r="B143" s="124" t="s">
        <v>135</v>
      </c>
      <c r="C143" s="125"/>
      <c r="D143" s="125"/>
      <c r="E143" s="178" t="n">
        <f aca="false">Input!E190</f>
        <v>100</v>
      </c>
      <c r="F143" s="126" t="s">
        <v>114</v>
      </c>
      <c r="G143" s="125"/>
      <c r="H143" s="125"/>
      <c r="I143" s="125"/>
      <c r="J143" s="127" t="n">
        <f aca="false">E$143*J$141</f>
        <v>102</v>
      </c>
      <c r="K143" s="127" t="n">
        <f aca="false">J$143*K$141</f>
        <v>104.04</v>
      </c>
      <c r="L143" s="127" t="n">
        <f aca="false">K$143*L$141</f>
        <v>106.1208</v>
      </c>
      <c r="M143" s="127" t="n">
        <f aca="false">L$143*M$141</f>
        <v>108.243216</v>
      </c>
      <c r="N143" s="127" t="n">
        <f aca="false">M$143*N$141</f>
        <v>110.40808032</v>
      </c>
      <c r="O143" s="123"/>
      <c r="P143" s="8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customFormat="false" ht="12.75" hidden="false" customHeight="true" outlineLevel="0" collapsed="false">
      <c r="A145" s="51"/>
      <c r="B145" s="121" t="s">
        <v>132</v>
      </c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51"/>
      <c r="P145" s="51"/>
    </row>
    <row r="146" customFormat="false" ht="15" hidden="false" customHeight="true" outlineLevel="0" collapsed="false">
      <c r="A146" s="8"/>
      <c r="B146" s="45" t="s">
        <v>129</v>
      </c>
      <c r="C146" s="8"/>
      <c r="D146" s="8"/>
      <c r="E146" s="8"/>
      <c r="F146" s="128" t="s">
        <v>134</v>
      </c>
      <c r="G146" s="45" t="n">
        <f aca="false">SUMIFS(Input!$G$185:$N$185,Input!$G$7:$N$7,Calculation!G$7)</f>
        <v>2</v>
      </c>
      <c r="H146" s="45" t="n">
        <f aca="false">SUMIFS(Input!$G$185:$N$185,Input!$G$7:$N$7,Calculation!H$7)</f>
        <v>2</v>
      </c>
      <c r="I146" s="45" t="n">
        <f aca="false">SUMIFS(Input!$G$185:$N$185,Input!$G$7:$N$7,Calculation!I$7)</f>
        <v>2</v>
      </c>
      <c r="J146" s="45" t="n">
        <f aca="false">SUMIFS(Input!$G$185:$N$185,Input!$G$7:$N$7,Calculation!J$7)</f>
        <v>3</v>
      </c>
      <c r="K146" s="45" t="n">
        <f aca="false">SUMIFS(Input!$G$185:$N$185,Input!$G$7:$N$7,Calculation!K$7)</f>
        <v>3</v>
      </c>
      <c r="L146" s="45" t="n">
        <f aca="false">SUMIFS(Input!$G$185:$N$185,Input!$G$7:$N$7,Calculation!L$7)</f>
        <v>3</v>
      </c>
      <c r="M146" s="45" t="n">
        <f aca="false">SUMIFS(Input!$G$185:$N$185,Input!$G$7:$N$7,Calculation!M$7)</f>
        <v>3</v>
      </c>
      <c r="N146" s="45" t="n">
        <f aca="false">SUMIFS(Input!$G$185:$N$185,Input!$G$7:$N$7,Calculation!N$7)</f>
        <v>3</v>
      </c>
      <c r="O146" s="8"/>
      <c r="P146" s="8"/>
    </row>
    <row r="147" customFormat="false" ht="15" hidden="false" customHeight="true" outlineLevel="0" collapsed="false">
      <c r="A147" s="8"/>
      <c r="B147" s="124" t="s">
        <v>135</v>
      </c>
      <c r="C147" s="125"/>
      <c r="D147" s="125"/>
      <c r="E147" s="125"/>
      <c r="F147" s="131" t="s">
        <v>134</v>
      </c>
      <c r="G147" s="124" t="n">
        <f aca="false">SUMIFS(Input!$G$186:$N$186,Input!$G$7:$N$7,Calculation!G$7)</f>
        <v>1</v>
      </c>
      <c r="H147" s="124" t="n">
        <f aca="false">SUMIFS(Input!$G$186:$N$186,Input!$G$7:$N$7,Calculation!H$7)</f>
        <v>1</v>
      </c>
      <c r="I147" s="124" t="n">
        <f aca="false">SUMIFS(Input!$G$186:$N$186,Input!$G$7:$N$7,Calculation!I$7)</f>
        <v>1</v>
      </c>
      <c r="J147" s="124" t="n">
        <f aca="false">SUMIFS(Input!$G$186:$N$186,Input!$G$7:$N$7,Calculation!J$7)</f>
        <v>2</v>
      </c>
      <c r="K147" s="124" t="n">
        <f aca="false">SUMIFS(Input!$G$186:$N$186,Input!$G$7:$N$7,Calculation!K$7)</f>
        <v>2</v>
      </c>
      <c r="L147" s="124" t="n">
        <f aca="false">SUMIFS(Input!$G$186:$N$186,Input!$G$7:$N$7,Calculation!L$7)</f>
        <v>2</v>
      </c>
      <c r="M147" s="124" t="n">
        <f aca="false">SUMIFS(Input!$G$186:$N$186,Input!$G$7:$N$7,Calculation!M$7)</f>
        <v>2</v>
      </c>
      <c r="N147" s="124" t="n">
        <f aca="false">SUMIFS(Input!$G$186:$N$186,Input!$G$7:$N$7,Calculation!N$7)</f>
        <v>2</v>
      </c>
      <c r="O147" s="8"/>
      <c r="P147" s="8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customFormat="false" ht="15" hidden="false" customHeight="true" outlineLevel="0" collapsed="false">
      <c r="A149" s="51"/>
      <c r="B149" s="121" t="s">
        <v>128</v>
      </c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51"/>
      <c r="P149" s="51"/>
    </row>
    <row r="150" customFormat="false" ht="12.75" hidden="false" customHeight="true" outlineLevel="0" collapsed="false">
      <c r="A150" s="8"/>
      <c r="B150" s="179" t="s">
        <v>129</v>
      </c>
      <c r="C150" s="8"/>
      <c r="D150" s="8"/>
      <c r="E150" s="8"/>
      <c r="F150" s="122" t="s">
        <v>43</v>
      </c>
      <c r="G150" s="123" t="n">
        <f aca="false">Input!G181</f>
        <v>100</v>
      </c>
      <c r="H150" s="123" t="n">
        <f aca="false">Input!H181</f>
        <v>100</v>
      </c>
      <c r="I150" s="123" t="n">
        <f aca="false">Input!I181</f>
        <v>100</v>
      </c>
      <c r="J150" s="123" t="n">
        <f aca="false">J142*J146</f>
        <v>153</v>
      </c>
      <c r="K150" s="123" t="n">
        <f aca="false">K142*K146</f>
        <v>156.06</v>
      </c>
      <c r="L150" s="123" t="n">
        <f aca="false">L142*L146</f>
        <v>159.1812</v>
      </c>
      <c r="M150" s="123" t="n">
        <f aca="false">M142*M146</f>
        <v>162.364824</v>
      </c>
      <c r="N150" s="123" t="n">
        <f aca="false">N142*N146</f>
        <v>165.61212048</v>
      </c>
      <c r="O150" s="123"/>
      <c r="P150" s="8"/>
    </row>
    <row r="151" customFormat="false" ht="12.75" hidden="false" customHeight="true" outlineLevel="0" collapsed="false">
      <c r="A151" s="8"/>
      <c r="B151" s="45" t="s">
        <v>135</v>
      </c>
      <c r="C151" s="8"/>
      <c r="D151" s="8"/>
      <c r="E151" s="8"/>
      <c r="F151" s="122" t="s">
        <v>114</v>
      </c>
      <c r="G151" s="123" t="n">
        <f aca="false">Input!G182</f>
        <v>100</v>
      </c>
      <c r="H151" s="123" t="n">
        <f aca="false">Input!H182</f>
        <v>100</v>
      </c>
      <c r="I151" s="123" t="n">
        <f aca="false">Input!I182</f>
        <v>100</v>
      </c>
      <c r="J151" s="123" t="n">
        <f aca="false">J143*J147</f>
        <v>204</v>
      </c>
      <c r="K151" s="123" t="n">
        <f aca="false">K143*K147</f>
        <v>208.08</v>
      </c>
      <c r="L151" s="123" t="n">
        <f aca="false">L143*L147</f>
        <v>212.2416</v>
      </c>
      <c r="M151" s="123" t="n">
        <f aca="false">M143*M147</f>
        <v>216.486432</v>
      </c>
      <c r="N151" s="123" t="n">
        <f aca="false">N143*N147</f>
        <v>220.81616064</v>
      </c>
      <c r="O151" s="123"/>
      <c r="P151" s="8"/>
    </row>
    <row r="152" customFormat="false" ht="12.75" hidden="false" customHeight="true" outlineLevel="0" collapsed="false">
      <c r="A152" s="15"/>
      <c r="B152" s="136" t="s">
        <v>199</v>
      </c>
      <c r="C152" s="75"/>
      <c r="D152" s="75"/>
      <c r="E152" s="75"/>
      <c r="F152" s="140" t="s">
        <v>114</v>
      </c>
      <c r="G152" s="137" t="n">
        <f aca="false">SUM(G150:G151)</f>
        <v>200</v>
      </c>
      <c r="H152" s="137" t="n">
        <f aca="false">SUM(H150:H151)</f>
        <v>200</v>
      </c>
      <c r="I152" s="137" t="n">
        <f aca="false">SUM(I150:I151)</f>
        <v>200</v>
      </c>
      <c r="J152" s="137" t="n">
        <f aca="false">SUM(J150:J151)</f>
        <v>357</v>
      </c>
      <c r="K152" s="137" t="n">
        <f aca="false">SUM(K150:K151)</f>
        <v>364.14</v>
      </c>
      <c r="L152" s="137" t="n">
        <f aca="false">SUM(L150:L151)</f>
        <v>371.4228</v>
      </c>
      <c r="M152" s="137" t="n">
        <f aca="false">SUM(M150:M151)</f>
        <v>378.851256</v>
      </c>
      <c r="N152" s="137" t="n">
        <f aca="false">SUM(N150:N151)</f>
        <v>386.42828112</v>
      </c>
      <c r="O152" s="112"/>
      <c r="P152" s="15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customFormat="false" ht="12.75" hidden="false" customHeight="true" outlineLevel="0" collapsed="false">
      <c r="A154" s="8"/>
      <c r="B154" s="44" t="s">
        <v>200</v>
      </c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8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customFormat="false" ht="15" hidden="false" customHeight="true" outlineLevel="0" collapsed="false">
      <c r="A156" s="51"/>
      <c r="B156" s="121" t="s">
        <v>144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51"/>
    </row>
    <row r="157" customFormat="false" ht="13.5" hidden="false" customHeight="true" outlineLevel="0" collapsed="false">
      <c r="A157" s="15"/>
      <c r="B157" s="53" t="s">
        <v>145</v>
      </c>
      <c r="C157" s="15"/>
      <c r="D157" s="15"/>
      <c r="E157" s="138" t="n">
        <f aca="false">Input!E206</f>
        <v>26</v>
      </c>
      <c r="F157" s="57" t="s">
        <v>36</v>
      </c>
      <c r="G157" s="112" t="n">
        <f aca="false">SUMIFS(Input!$G$206:$N$206,Input!$G$7:$N$7,Calculation!G$7)</f>
        <v>36.4</v>
      </c>
      <c r="H157" s="112" t="n">
        <f aca="false">SUMIFS(Input!$G$206:$N$206,Input!$G$7:$N$7,Calculation!H$7)</f>
        <v>30.4166666666667</v>
      </c>
      <c r="I157" s="112" t="n">
        <f aca="false">SUMIFS(Input!$G$206:$N$206,Input!$G$7:$N$7,Calculation!I$7)</f>
        <v>26</v>
      </c>
      <c r="J157" s="112" t="n">
        <f aca="false">SUMIFS(Input!$G$206:$N$206,Input!$G$7:$N$7,Calculation!J$7)</f>
        <v>26</v>
      </c>
      <c r="K157" s="112" t="n">
        <f aca="false">SUMIFS(Input!$G$206:$N$206,Input!$G$7:$N$7,Calculation!K$7)</f>
        <v>26</v>
      </c>
      <c r="L157" s="112" t="n">
        <f aca="false">SUMIFS(Input!$G$206:$N$206,Input!$G$7:$N$7,Calculation!L$7)</f>
        <v>26</v>
      </c>
      <c r="M157" s="112" t="n">
        <f aca="false">SUMIFS(Input!$G$206:$N$206,Input!$G$7:$N$7,Calculation!M$7)</f>
        <v>26</v>
      </c>
      <c r="N157" s="112" t="n">
        <f aca="false">SUMIFS(Input!$G$206:$N$206,Input!$G$7:$N$7,Calculation!N$7)</f>
        <v>26</v>
      </c>
      <c r="O157" s="112" t="n">
        <f aca="false">Input!O206</f>
        <v>26</v>
      </c>
      <c r="P157" s="15"/>
    </row>
    <row r="158" customFormat="false" ht="13.5" hidden="false" customHeight="true" outlineLevel="0" collapsed="false">
      <c r="A158" s="15"/>
      <c r="B158" s="53" t="s">
        <v>146</v>
      </c>
      <c r="C158" s="15"/>
      <c r="D158" s="15"/>
      <c r="E158" s="104" t="n">
        <f aca="false">Input!E207</f>
        <v>60.6666666666667</v>
      </c>
      <c r="F158" s="57" t="s">
        <v>36</v>
      </c>
      <c r="G158" s="112" t="n">
        <f aca="false">SUMIFS(Input!$G$207:$N$207,Input!$G$7:$N$7,Calculation!G$7)</f>
        <v>60.6666666666667</v>
      </c>
      <c r="H158" s="112" t="n">
        <f aca="false">SUMIFS(Input!$G$207:$N$207,Input!$G$7:$N$7,Calculation!H$7)</f>
        <v>60.8333333333333</v>
      </c>
      <c r="I158" s="112" t="n">
        <f aca="false">SUMIFS(Input!$G$207:$N$207,Input!$G$7:$N$7,Calculation!I$7)</f>
        <v>60.6666666666667</v>
      </c>
      <c r="J158" s="112" t="n">
        <f aca="false">SUMIFS(Input!$G$207:$N$207,Input!$G$7:$N$7,Calculation!J$7)</f>
        <v>60.6666666666667</v>
      </c>
      <c r="K158" s="112" t="n">
        <f aca="false">SUMIFS(Input!$G$207:$N$207,Input!$G$7:$N$7,Calculation!K$7)</f>
        <v>60.6666666666667</v>
      </c>
      <c r="L158" s="112" t="n">
        <f aca="false">SUMIFS(Input!$G$207:$N$207,Input!$G$7:$N$7,Calculation!L$7)</f>
        <v>60.6666666666667</v>
      </c>
      <c r="M158" s="112" t="n">
        <f aca="false">SUMIFS(Input!$G$207:$N$207,Input!$G$7:$N$7,Calculation!M$7)</f>
        <v>60.6666666666667</v>
      </c>
      <c r="N158" s="112" t="n">
        <f aca="false">SUMIFS(Input!$G$207:$N$207,Input!$G$7:$N$7,Calculation!N$7)</f>
        <v>60.6666666666667</v>
      </c>
      <c r="O158" s="112" t="n">
        <f aca="false">Input!O207</f>
        <v>60.6666666666667</v>
      </c>
      <c r="P158" s="15"/>
    </row>
    <row r="159" customFormat="false" ht="13.5" hidden="false" customHeight="true" outlineLevel="0" collapsed="false">
      <c r="A159" s="15"/>
      <c r="B159" s="136" t="s">
        <v>147</v>
      </c>
      <c r="C159" s="75"/>
      <c r="D159" s="75"/>
      <c r="E159" s="139" t="n">
        <f aca="false">Input!E208</f>
        <v>121.333333333333</v>
      </c>
      <c r="F159" s="140" t="s">
        <v>36</v>
      </c>
      <c r="G159" s="137" t="n">
        <f aca="false">SUMIFS(Input!$G$208:$N$208,Input!$G$7:$N$7,Calculation!G$7)</f>
        <v>121.333333333333</v>
      </c>
      <c r="H159" s="137" t="n">
        <f aca="false">SUMIFS(Input!$G$208:$N$208,Input!$G$7:$N$7,Calculation!H$7)</f>
        <v>121.666666666667</v>
      </c>
      <c r="I159" s="137" t="n">
        <f aca="false">SUMIFS(Input!$G$208:$N$208,Input!$G$7:$N$7,Calculation!I$7)</f>
        <v>121.333333333333</v>
      </c>
      <c r="J159" s="137" t="n">
        <f aca="false">SUMIFS(Input!$G$208:$N$208,Input!$G$7:$N$7,Calculation!J$7)</f>
        <v>121.333333333333</v>
      </c>
      <c r="K159" s="137" t="n">
        <f aca="false">SUMIFS(Input!$G$208:$N$208,Input!$G$7:$N$7,Calculation!K$7)</f>
        <v>121.333333333333</v>
      </c>
      <c r="L159" s="137" t="n">
        <f aca="false">SUMIFS(Input!$G$208:$N$208,Input!$G$7:$N$7,Calculation!L$7)</f>
        <v>121.333333333333</v>
      </c>
      <c r="M159" s="137" t="n">
        <f aca="false">SUMIFS(Input!$G$208:$N$208,Input!$G$7:$N$7,Calculation!M$7)</f>
        <v>121.333333333333</v>
      </c>
      <c r="N159" s="137" t="n">
        <f aca="false">SUMIFS(Input!$G$208:$N$208,Input!$G$7:$N$7,Calculation!N$7)</f>
        <v>121.333333333333</v>
      </c>
      <c r="O159" s="137" t="n">
        <f aca="false">Input!O208</f>
        <v>121.333333333333</v>
      </c>
      <c r="P159" s="15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customFormat="false" ht="12.75" hidden="false" customHeight="true" outlineLevel="0" collapsed="false">
      <c r="A161" s="51"/>
      <c r="B161" s="121" t="s">
        <v>138</v>
      </c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 t="s">
        <v>32</v>
      </c>
      <c r="P161" s="51"/>
    </row>
    <row r="162" customFormat="false" ht="15" hidden="false" customHeight="true" outlineLevel="0" collapsed="false">
      <c r="A162" s="15"/>
      <c r="B162" s="135" t="s">
        <v>139</v>
      </c>
      <c r="C162" s="15"/>
      <c r="D162" s="15"/>
      <c r="E162" s="15"/>
      <c r="F162" s="15"/>
      <c r="G162" s="112" t="n">
        <f aca="false">SUMIFS(Input!$G$195:$N$195,Input!$G$7:$N$7,Calculation!G$7)</f>
        <v>1000</v>
      </c>
      <c r="H162" s="112" t="n">
        <f aca="false">SUMIFS(Input!$G$195:$N$195,Input!$G$7:$N$7,Calculation!H$7)</f>
        <v>1200</v>
      </c>
      <c r="I162" s="112" t="n">
        <f aca="false">SUMIFS(Input!$G$195:$N$195,Input!$G$7:$N$7,Calculation!I$7)</f>
        <v>1400</v>
      </c>
      <c r="J162" s="112" t="n">
        <f aca="false">DCF!J20</f>
        <v>2163</v>
      </c>
      <c r="K162" s="112" t="n">
        <f aca="false">DCF!K20</f>
        <v>2227.89</v>
      </c>
      <c r="L162" s="112" t="n">
        <f aca="false">DCF!L20</f>
        <v>2294.7267</v>
      </c>
      <c r="M162" s="112" t="n">
        <f aca="false">DCF!M20</f>
        <v>2363.568501</v>
      </c>
      <c r="N162" s="112" t="n">
        <f aca="false">DCF!N20</f>
        <v>2434.47555603</v>
      </c>
      <c r="O162" s="112" t="n">
        <f aca="false">DCF!O20</f>
        <v>2458.8203115903</v>
      </c>
      <c r="P162" s="15"/>
    </row>
    <row r="163" customFormat="false" ht="15" hidden="false" customHeight="true" outlineLevel="0" collapsed="false">
      <c r="A163" s="15"/>
      <c r="B163" s="135" t="s">
        <v>52</v>
      </c>
      <c r="C163" s="15"/>
      <c r="D163" s="15"/>
      <c r="E163" s="15"/>
      <c r="F163" s="15"/>
      <c r="G163" s="112" t="n">
        <f aca="false">SUMIFS(Input!$G$196:$N$196,Input!$G$7:$N$7,Calculation!G$7)</f>
        <v>600</v>
      </c>
      <c r="H163" s="112" t="n">
        <f aca="false">SUMIFS(Input!$G$196:$N$196,Input!$G$7:$N$7,Calculation!H$7)</f>
        <v>600</v>
      </c>
      <c r="I163" s="112" t="n">
        <f aca="false">SUMIFS(Input!$G$196:$N$196,Input!$G$7:$N$7,Calculation!I$7)</f>
        <v>600</v>
      </c>
      <c r="J163" s="112" t="n">
        <f aca="false">DCF!J22</f>
        <v>948.683333333333</v>
      </c>
      <c r="K163" s="112" t="n">
        <f aca="false">DCF!K22</f>
        <v>969.493833333333</v>
      </c>
      <c r="L163" s="112" t="n">
        <f aca="false">DCF!L22</f>
        <v>990.775648333333</v>
      </c>
      <c r="M163" s="112" t="n">
        <f aca="false">DCF!M22</f>
        <v>1012.53985778333</v>
      </c>
      <c r="N163" s="112" t="n">
        <f aca="false">DCF!N22</f>
        <v>1034.79781231683</v>
      </c>
      <c r="O163" s="112" t="n">
        <f aca="false">DCF!O22</f>
        <v>1045.14579044</v>
      </c>
      <c r="P163" s="15"/>
    </row>
    <row r="164" customFormat="false" ht="15" hidden="false" customHeight="true" outlineLevel="0" collapsed="false">
      <c r="A164" s="15"/>
      <c r="B164" s="53" t="s">
        <v>140</v>
      </c>
      <c r="C164" s="15"/>
      <c r="D164" s="15"/>
      <c r="E164" s="15"/>
      <c r="F164" s="15"/>
      <c r="G164" s="64" t="n">
        <f aca="false">SUM(G165:G166)</f>
        <v>200</v>
      </c>
      <c r="H164" s="64" t="n">
        <f aca="false">SUM(H165:H166)</f>
        <v>200</v>
      </c>
      <c r="I164" s="64" t="n">
        <f aca="false">SUM(I165:I166)</f>
        <v>200</v>
      </c>
      <c r="J164" s="64" t="n">
        <f aca="false">SUM(J165:J166)</f>
        <v>312.613888888889</v>
      </c>
      <c r="K164" s="64" t="n">
        <f aca="false">SUM(K165:K166)</f>
        <v>320.717305555556</v>
      </c>
      <c r="L164" s="64" t="n">
        <f aca="false">SUM(L165:L166)</f>
        <v>328.13684985997</v>
      </c>
      <c r="M164" s="64" t="n">
        <f aca="false">SUM(M165:M166)</f>
        <v>337.582964463889</v>
      </c>
      <c r="N164" s="64" t="n">
        <f aca="false">SUM(N165:N166)</f>
        <v>346.357413197806</v>
      </c>
      <c r="O164" s="64" t="n">
        <f aca="false">SUM(O165:O166)</f>
        <v>348.862573665866</v>
      </c>
      <c r="P164" s="15"/>
    </row>
    <row r="165" customFormat="false" ht="15" hidden="false" customHeight="true" outlineLevel="0" collapsed="false">
      <c r="A165" s="15"/>
      <c r="B165" s="77" t="s">
        <v>78</v>
      </c>
      <c r="C165" s="15"/>
      <c r="D165" s="15"/>
      <c r="E165" s="15"/>
      <c r="F165" s="15"/>
      <c r="G165" s="112" t="n">
        <f aca="false">SUMIFS(Input!$G$198:$N$198,Input!$G$7:$N$7,Calculation!G$7)</f>
        <v>100</v>
      </c>
      <c r="H165" s="112" t="n">
        <f aca="false">SUMIFS(Input!$G$198:$N$198,Input!$G$7:$N$7,Calculation!H$7)</f>
        <v>100</v>
      </c>
      <c r="I165" s="112" t="n">
        <f aca="false">SUMIFS(Input!$G$198:$N$198,Input!$G$7:$N$7,Calculation!I$7)</f>
        <v>100</v>
      </c>
      <c r="J165" s="112" t="n">
        <f aca="false">J162/J$11*$E157</f>
        <v>154.5</v>
      </c>
      <c r="K165" s="112" t="n">
        <f aca="false">K162/K$11*$E157</f>
        <v>159.135</v>
      </c>
      <c r="L165" s="112" t="n">
        <f aca="false">L162/L$11*$E157</f>
        <v>163.459984109589</v>
      </c>
      <c r="M165" s="112" t="n">
        <f aca="false">M162/M$11*$E157</f>
        <v>168.8263215</v>
      </c>
      <c r="N165" s="112" t="n">
        <f aca="false">N162/N$11*$E157</f>
        <v>173.891111145</v>
      </c>
      <c r="O165" s="112" t="n">
        <f aca="false">O162/365*$E157</f>
        <v>175.148844113282</v>
      </c>
      <c r="P165" s="15"/>
    </row>
    <row r="166" customFormat="false" ht="15" hidden="false" customHeight="true" outlineLevel="0" collapsed="false">
      <c r="A166" s="15"/>
      <c r="B166" s="77" t="s">
        <v>79</v>
      </c>
      <c r="C166" s="15"/>
      <c r="D166" s="15"/>
      <c r="E166" s="15"/>
      <c r="F166" s="15"/>
      <c r="G166" s="112" t="n">
        <f aca="false">SUMIFS(Input!$G$199:$N$199,Input!$G$7:$N$7,Calculation!G$7)</f>
        <v>100</v>
      </c>
      <c r="H166" s="112" t="n">
        <f aca="false">SUMIFS(Input!$G$199:$N$199,Input!$G$7:$N$7,Calculation!H$7)</f>
        <v>100</v>
      </c>
      <c r="I166" s="112" t="n">
        <f aca="false">SUMIFS(Input!$G$199:$N$199,Input!$G$7:$N$7,Calculation!I$7)</f>
        <v>100</v>
      </c>
      <c r="J166" s="112" t="n">
        <f aca="false">J163/J$11*$E158</f>
        <v>158.113888888889</v>
      </c>
      <c r="K166" s="112" t="n">
        <f aca="false">K163/K$11*$E158</f>
        <v>161.582305555556</v>
      </c>
      <c r="L166" s="112" t="n">
        <f aca="false">L163/L$11*$E158</f>
        <v>164.676865750381</v>
      </c>
      <c r="M166" s="112" t="n">
        <f aca="false">M163/M$11*$E158</f>
        <v>168.756642963889</v>
      </c>
      <c r="N166" s="112" t="n">
        <f aca="false">N163/N$11*$E158</f>
        <v>172.466302052806</v>
      </c>
      <c r="O166" s="112" t="n">
        <f aca="false">O163/365*$E158</f>
        <v>173.713729552585</v>
      </c>
      <c r="P166" s="15"/>
    </row>
    <row r="167" customFormat="false" ht="15" hidden="false" customHeight="true" outlineLevel="0" collapsed="false">
      <c r="A167" s="15"/>
      <c r="B167" s="53" t="s">
        <v>141</v>
      </c>
      <c r="C167" s="15"/>
      <c r="D167" s="15"/>
      <c r="E167" s="15"/>
      <c r="F167" s="15"/>
      <c r="G167" s="64" t="n">
        <f aca="false">SUM(G168)</f>
        <v>200</v>
      </c>
      <c r="H167" s="64" t="n">
        <f aca="false">SUM(H168)</f>
        <v>200</v>
      </c>
      <c r="I167" s="64" t="n">
        <f aca="false">SUM(I168)</f>
        <v>200</v>
      </c>
      <c r="J167" s="64" t="n">
        <f aca="false">SUM(J168)</f>
        <v>316.227777777778</v>
      </c>
      <c r="K167" s="64" t="n">
        <f aca="false">SUM(K168)</f>
        <v>323.164611111111</v>
      </c>
      <c r="L167" s="64" t="n">
        <f aca="false">SUM(L168)</f>
        <v>329.353731500761</v>
      </c>
      <c r="M167" s="64" t="n">
        <f aca="false">SUM(M168)</f>
        <v>337.513285927778</v>
      </c>
      <c r="N167" s="64" t="n">
        <f aca="false">SUM(N168)</f>
        <v>344.932604105611</v>
      </c>
      <c r="O167" s="64" t="n">
        <f aca="false">SUM(O168)</f>
        <v>347.427459105169</v>
      </c>
      <c r="P167" s="15"/>
    </row>
    <row r="168" customFormat="false" ht="15" hidden="false" customHeight="true" outlineLevel="0" collapsed="false">
      <c r="A168" s="15"/>
      <c r="B168" s="77" t="s">
        <v>89</v>
      </c>
      <c r="C168" s="15"/>
      <c r="D168" s="15"/>
      <c r="E168" s="15"/>
      <c r="F168" s="15"/>
      <c r="G168" s="112" t="n">
        <f aca="false">SUMIFS(Input!$G$201:$N$201,Input!$G$7:$N$7,Calculation!G$7)</f>
        <v>200</v>
      </c>
      <c r="H168" s="112" t="n">
        <f aca="false">SUMIFS(Input!$G$201:$N$201,Input!$G$7:$N$7,Calculation!H$7)</f>
        <v>200</v>
      </c>
      <c r="I168" s="112" t="n">
        <f aca="false">SUMIFS(Input!$G$201:$N$201,Input!$G$7:$N$7,Calculation!I$7)</f>
        <v>200</v>
      </c>
      <c r="J168" s="112" t="n">
        <f aca="false">J163/J$11*$E159</f>
        <v>316.227777777778</v>
      </c>
      <c r="K168" s="112" t="n">
        <f aca="false">K163/K$11*$E159</f>
        <v>323.164611111111</v>
      </c>
      <c r="L168" s="112" t="n">
        <f aca="false">L163/L$11*$E159</f>
        <v>329.353731500761</v>
      </c>
      <c r="M168" s="112" t="n">
        <f aca="false">M163/M$11*$E159</f>
        <v>337.513285927778</v>
      </c>
      <c r="N168" s="112" t="n">
        <f aca="false">N163/N$11*$E159</f>
        <v>344.932604105611</v>
      </c>
      <c r="O168" s="112" t="n">
        <f aca="false">O163/365*$E159</f>
        <v>347.427459105169</v>
      </c>
      <c r="P168" s="15"/>
    </row>
    <row r="169" customFormat="false" ht="15" hidden="false" customHeight="true" outlineLevel="0" collapsed="false">
      <c r="A169" s="15"/>
      <c r="B169" s="53" t="s">
        <v>142</v>
      </c>
      <c r="C169" s="15"/>
      <c r="D169" s="15"/>
      <c r="E169" s="15"/>
      <c r="F169" s="15"/>
      <c r="G169" s="64" t="n">
        <f aca="false">G164-G167</f>
        <v>0</v>
      </c>
      <c r="H169" s="64" t="n">
        <f aca="false">H164-H167</f>
        <v>0</v>
      </c>
      <c r="I169" s="64" t="n">
        <f aca="false">I164-I167</f>
        <v>0</v>
      </c>
      <c r="J169" s="64" t="n">
        <f aca="false">J164-J167</f>
        <v>-3.61388888888888</v>
      </c>
      <c r="K169" s="64" t="n">
        <f aca="false">K164-K167</f>
        <v>-2.44730555555554</v>
      </c>
      <c r="L169" s="64" t="n">
        <f aca="false">L164-L167</f>
        <v>-1.21688164079148</v>
      </c>
      <c r="M169" s="64" t="n">
        <f aca="false">M164-M167</f>
        <v>0.0696785361110983</v>
      </c>
      <c r="N169" s="64" t="n">
        <f aca="false">N164-N167</f>
        <v>1.42480909219444</v>
      </c>
      <c r="O169" s="64" t="n">
        <f aca="false">O164-O167</f>
        <v>1.43511456069695</v>
      </c>
      <c r="P169" s="15"/>
    </row>
    <row r="170" customFormat="false" ht="12.75" hidden="false" customHeight="true" outlineLevel="0" collapsed="false">
      <c r="A170" s="15"/>
      <c r="B170" s="136" t="s">
        <v>143</v>
      </c>
      <c r="C170" s="75"/>
      <c r="D170" s="75"/>
      <c r="E170" s="75"/>
      <c r="F170" s="75"/>
      <c r="G170" s="75"/>
      <c r="H170" s="137" t="n">
        <f aca="false">-H169-G169</f>
        <v>-0</v>
      </c>
      <c r="I170" s="137" t="n">
        <f aca="false">-I169-H169</f>
        <v>-0</v>
      </c>
      <c r="J170" s="137" t="n">
        <f aca="false">-J169-I169</f>
        <v>3.61388888888888</v>
      </c>
      <c r="K170" s="137" t="n">
        <f aca="false">-K169-J169</f>
        <v>6.06119444444443</v>
      </c>
      <c r="L170" s="137" t="n">
        <f aca="false">-L169-K169</f>
        <v>3.66418719634703</v>
      </c>
      <c r="M170" s="137" t="n">
        <f aca="false">-M169-L169</f>
        <v>1.14720310468039</v>
      </c>
      <c r="N170" s="137" t="n">
        <f aca="false">-N169-M169</f>
        <v>-1.49448762830554</v>
      </c>
      <c r="O170" s="137" t="n">
        <f aca="false">-O169-N169</f>
        <v>-2.85992365289138</v>
      </c>
      <c r="P170" s="15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customFormat="false" ht="12.75" hidden="false" customHeight="true" outlineLevel="0" collapsed="false">
      <c r="A172" s="8"/>
      <c r="B172" s="44" t="s">
        <v>201</v>
      </c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8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customFormat="false" ht="15" hidden="false" customHeight="true" outlineLevel="0" collapsed="false">
      <c r="A174" s="51"/>
      <c r="B174" s="121" t="s">
        <v>149</v>
      </c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51"/>
      <c r="P174" s="51"/>
    </row>
    <row r="175" customFormat="false" ht="15" hidden="false" customHeight="true" outlineLevel="0" collapsed="false">
      <c r="A175" s="15"/>
      <c r="B175" s="110" t="s">
        <v>202</v>
      </c>
      <c r="C175" s="15"/>
      <c r="D175" s="15"/>
      <c r="E175" s="15"/>
      <c r="F175" s="15"/>
      <c r="G175" s="15"/>
      <c r="H175" s="15"/>
      <c r="I175" s="112" t="n">
        <f aca="false">Input!I57</f>
        <v>50</v>
      </c>
      <c r="J175" s="143" t="n">
        <f aca="false">DCF!J87</f>
        <v>542.489488888889</v>
      </c>
      <c r="K175" s="143" t="n">
        <f aca="false">DCF!K87</f>
        <v>1097.74376155556</v>
      </c>
      <c r="L175" s="143" t="n">
        <f aca="false">DCF!L87</f>
        <v>1663.00234756079</v>
      </c>
      <c r="M175" s="143" t="n">
        <f aca="false">DCF!M87</f>
        <v>2238.81267837546</v>
      </c>
      <c r="N175" s="143" t="n">
        <f aca="false">DCF!N87</f>
        <v>2825.73577792868</v>
      </c>
      <c r="O175" s="112"/>
      <c r="P175" s="15"/>
    </row>
    <row r="176" customFormat="false" ht="15" hidden="false" customHeight="true" outlineLevel="0" collapsed="false">
      <c r="A176" s="15"/>
      <c r="B176" s="110" t="s">
        <v>150</v>
      </c>
      <c r="C176" s="15"/>
      <c r="D176" s="15"/>
      <c r="E176" s="180" t="n">
        <f aca="false">Input!E213</f>
        <v>0.02</v>
      </c>
      <c r="F176" s="57" t="s">
        <v>43</v>
      </c>
      <c r="G176" s="15"/>
      <c r="H176" s="15"/>
      <c r="I176" s="15"/>
      <c r="J176" s="181" t="n">
        <f aca="false">$E176</f>
        <v>0.02</v>
      </c>
      <c r="K176" s="181" t="n">
        <f aca="false">J176</f>
        <v>0.02</v>
      </c>
      <c r="L176" s="181" t="n">
        <f aca="false">K176</f>
        <v>0.02</v>
      </c>
      <c r="M176" s="181" t="n">
        <f aca="false">L176</f>
        <v>0.02</v>
      </c>
      <c r="N176" s="181" t="n">
        <f aca="false">M176</f>
        <v>0.02</v>
      </c>
      <c r="O176" s="111"/>
      <c r="P176" s="15"/>
    </row>
    <row r="177" customFormat="false" ht="15" hidden="false" customHeight="true" outlineLevel="0" collapsed="false">
      <c r="A177" s="15"/>
      <c r="B177" s="110" t="s">
        <v>68</v>
      </c>
      <c r="C177" s="15"/>
      <c r="D177" s="15"/>
      <c r="E177" s="15"/>
      <c r="F177" s="15"/>
      <c r="G177" s="15"/>
      <c r="H177" s="15"/>
      <c r="I177" s="15"/>
      <c r="J177" s="53" t="n">
        <f aca="false">I175*J176</f>
        <v>1</v>
      </c>
      <c r="K177" s="112" t="n">
        <f aca="false">J175*K176</f>
        <v>10.8497897777778</v>
      </c>
      <c r="L177" s="112" t="n">
        <f aca="false">K175*L176</f>
        <v>21.9548752311111</v>
      </c>
      <c r="M177" s="112" t="n">
        <f aca="false">L175*M176</f>
        <v>33.2600469512158</v>
      </c>
      <c r="N177" s="112" t="n">
        <f aca="false">M175*N176</f>
        <v>44.7762535675091</v>
      </c>
      <c r="O177" s="112"/>
      <c r="P177" s="15"/>
    </row>
    <row r="178" customFormat="false" ht="15" hidden="false" customHeight="true" outlineLevel="0" collapsed="false">
      <c r="A178" s="15"/>
      <c r="B178" s="142" t="s">
        <v>203</v>
      </c>
      <c r="C178" s="75"/>
      <c r="D178" s="75"/>
      <c r="E178" s="139" t="n">
        <f aca="false">Input!E214</f>
        <v>10</v>
      </c>
      <c r="F178" s="140" t="s">
        <v>114</v>
      </c>
      <c r="G178" s="75"/>
      <c r="H178" s="75"/>
      <c r="I178" s="75"/>
      <c r="J178" s="137" t="n">
        <f aca="false">E178</f>
        <v>10</v>
      </c>
      <c r="K178" s="137" t="n">
        <f aca="false">J178</f>
        <v>10</v>
      </c>
      <c r="L178" s="137" t="n">
        <f aca="false">K178</f>
        <v>10</v>
      </c>
      <c r="M178" s="137" t="n">
        <f aca="false">L178</f>
        <v>10</v>
      </c>
      <c r="N178" s="137" t="n">
        <f aca="false">M178</f>
        <v>10</v>
      </c>
      <c r="O178" s="15"/>
      <c r="P178" s="15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customFormat="false" ht="15" hidden="false" customHeight="true" outlineLevel="0" collapsed="false">
      <c r="A180" s="51"/>
      <c r="B180" s="121" t="s">
        <v>151</v>
      </c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51"/>
      <c r="P180" s="51"/>
    </row>
    <row r="181" customFormat="false" ht="15" hidden="false" customHeight="true" outlineLevel="0" collapsed="false">
      <c r="A181" s="15"/>
      <c r="B181" s="110" t="s">
        <v>71</v>
      </c>
      <c r="C181" s="15"/>
      <c r="D181" s="15"/>
      <c r="E181" s="180" t="n">
        <f aca="false">Input!E217</f>
        <v>0.1</v>
      </c>
      <c r="F181" s="57" t="s">
        <v>43</v>
      </c>
      <c r="G181" s="15"/>
      <c r="H181" s="15"/>
      <c r="I181" s="15"/>
      <c r="J181" s="143" t="n">
        <f aca="false">$E$181*AVERAGE(J185,J188)+$E$181*AVERAGE(J191,J194)+$E$181*AVERAGE(J197,J200)</f>
        <v>27.5</v>
      </c>
      <c r="K181" s="182" t="n">
        <f aca="false">$E$181*AVERAGE(K185,K188)+$E$181*AVERAGE(K191,K194)+$E$181*AVERAGE(K197,K200)</f>
        <v>25</v>
      </c>
      <c r="L181" s="182" t="n">
        <f aca="false">$E$181*AVERAGE(L185,L188)+$E$181*AVERAGE(L191,L194)+$E$181*AVERAGE(L197,L200)</f>
        <v>25</v>
      </c>
      <c r="M181" s="182" t="n">
        <f aca="false">$E$181*AVERAGE(M185,M188)+$E$181*AVERAGE(M191,M194)+$E$181*AVERAGE(M197,M200)</f>
        <v>25</v>
      </c>
      <c r="N181" s="182" t="n">
        <f aca="false">$E$181*AVERAGE(N185,N188)+$E$181*AVERAGE(N191,N194)+$E$181*AVERAGE(N197,N200)</f>
        <v>25</v>
      </c>
      <c r="O181" s="15"/>
      <c r="P181" s="15"/>
    </row>
    <row r="182" customFormat="false" ht="15" hidden="false" customHeight="true" outlineLevel="0" collapsed="false">
      <c r="A182" s="15"/>
      <c r="B182" s="142" t="s">
        <v>204</v>
      </c>
      <c r="C182" s="75"/>
      <c r="D182" s="75"/>
      <c r="E182" s="139" t="n">
        <f aca="false">Input!E218</f>
        <v>10</v>
      </c>
      <c r="F182" s="140" t="s">
        <v>114</v>
      </c>
      <c r="G182" s="75"/>
      <c r="H182" s="75"/>
      <c r="I182" s="75"/>
      <c r="J182" s="143" t="n">
        <f aca="false">E182</f>
        <v>10</v>
      </c>
      <c r="K182" s="143" t="n">
        <f aca="false">J182</f>
        <v>10</v>
      </c>
      <c r="L182" s="143" t="n">
        <f aca="false">K182</f>
        <v>10</v>
      </c>
      <c r="M182" s="143" t="n">
        <f aca="false">L182</f>
        <v>10</v>
      </c>
      <c r="N182" s="143" t="n">
        <f aca="false">M182</f>
        <v>10</v>
      </c>
      <c r="O182" s="15"/>
      <c r="P182" s="15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customFormat="false" ht="15" hidden="false" customHeight="true" outlineLevel="0" collapsed="false">
      <c r="A184" s="51"/>
      <c r="B184" s="144" t="s">
        <v>152</v>
      </c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51"/>
      <c r="P184" s="51"/>
    </row>
    <row r="185" customFormat="false" ht="15" hidden="false" customHeight="true" outlineLevel="0" collapsed="false">
      <c r="A185" s="15"/>
      <c r="B185" s="110" t="s">
        <v>153</v>
      </c>
      <c r="C185" s="15"/>
      <c r="D185" s="15"/>
      <c r="E185" s="15"/>
      <c r="F185" s="15"/>
      <c r="G185" s="112" t="n">
        <f aca="false">SUMIFS(Input!$G$221:$N$221,Input!$G$7:$N$7,Calculation!G$7)</f>
        <v>0</v>
      </c>
      <c r="H185" s="112" t="n">
        <f aca="false">SUMIFS(Input!$G$221:$N$221,Input!$G$7:$N$7,Calculation!H$7)</f>
        <v>100</v>
      </c>
      <c r="I185" s="112" t="n">
        <f aca="false">SUMIFS(Input!$G$221:$N$221,Input!$G$7:$N$7,Calculation!I$7)</f>
        <v>100</v>
      </c>
      <c r="J185" s="112" t="n">
        <f aca="false">SUMIFS(Input!$G$221:$N$221,Input!$G$7:$N$7,Calculation!J$7)</f>
        <v>100</v>
      </c>
      <c r="K185" s="112" t="n">
        <f aca="false">SUMIFS(Input!$G$221:$N$221,Input!$G$7:$N$7,Calculation!K$7)</f>
        <v>50</v>
      </c>
      <c r="L185" s="112" t="n">
        <f aca="false">SUMIFS(Input!$G$221:$N$221,Input!$G$7:$N$7,Calculation!L$7)</f>
        <v>50</v>
      </c>
      <c r="M185" s="112" t="n">
        <f aca="false">SUMIFS(Input!$G$221:$N$221,Input!$G$7:$N$7,Calculation!M$7)</f>
        <v>50</v>
      </c>
      <c r="N185" s="112" t="n">
        <f aca="false">SUMIFS(Input!$G$221:$N$221,Input!$G$7:$N$7,Calculation!N$7)</f>
        <v>50</v>
      </c>
      <c r="O185" s="112"/>
      <c r="P185" s="15"/>
    </row>
    <row r="186" customFormat="false" ht="15" hidden="false" customHeight="true" outlineLevel="0" collapsed="false">
      <c r="A186" s="15"/>
      <c r="B186" s="145" t="s">
        <v>154</v>
      </c>
      <c r="C186" s="15"/>
      <c r="D186" s="15"/>
      <c r="E186" s="15"/>
      <c r="F186" s="15"/>
      <c r="G186" s="112" t="n">
        <f aca="false">SUMIFS(Input!$G$222:$N$222,Input!$G$7:$N$7,Calculation!G$7)</f>
        <v>0</v>
      </c>
      <c r="H186" s="112" t="n">
        <f aca="false">SUMIFS(Input!$G$222:$N$222,Input!$G$7:$N$7,Calculation!H$7)</f>
        <v>0</v>
      </c>
      <c r="I186" s="112" t="n">
        <f aca="false">SUMIFS(Input!$G$222:$N$222,Input!$G$7:$N$7,Calculation!I$7)</f>
        <v>0</v>
      </c>
      <c r="J186" s="112" t="n">
        <f aca="false">SUMIFS(Input!$G$222:$N$222,Input!$G$7:$N$7,Calculation!J$7)</f>
        <v>0</v>
      </c>
      <c r="K186" s="112" t="n">
        <f aca="false">SUMIFS(Input!$G$222:$N$222,Input!$G$7:$N$7,Calculation!K$7)</f>
        <v>0</v>
      </c>
      <c r="L186" s="112" t="n">
        <f aca="false">SUMIFS(Input!$G$222:$N$222,Input!$G$7:$N$7,Calculation!L$7)</f>
        <v>0</v>
      </c>
      <c r="M186" s="112" t="n">
        <f aca="false">SUMIFS(Input!$G$222:$N$222,Input!$G$7:$N$7,Calculation!M$7)</f>
        <v>0</v>
      </c>
      <c r="N186" s="112" t="n">
        <f aca="false">SUMIFS(Input!$G$222:$N$222,Input!$G$7:$N$7,Calculation!N$7)</f>
        <v>0</v>
      </c>
      <c r="O186" s="112"/>
      <c r="P186" s="15"/>
    </row>
    <row r="187" customFormat="false" ht="15" hidden="false" customHeight="true" outlineLevel="0" collapsed="false">
      <c r="A187" s="15"/>
      <c r="B187" s="145" t="s">
        <v>155</v>
      </c>
      <c r="C187" s="15"/>
      <c r="D187" s="15"/>
      <c r="E187" s="15"/>
      <c r="F187" s="15"/>
      <c r="G187" s="112" t="n">
        <f aca="false">SUMIFS(Input!$G$223:$N$223,Input!$G$7:$N$7,Calculation!G$7)</f>
        <v>0</v>
      </c>
      <c r="H187" s="112" t="n">
        <f aca="false">SUMIFS(Input!$G$223:$N$223,Input!$G$7:$N$7,Calculation!H$7)</f>
        <v>0</v>
      </c>
      <c r="I187" s="112" t="n">
        <f aca="false">SUMIFS(Input!$G$223:$N$223,Input!$G$7:$N$7,Calculation!I$7)</f>
        <v>0</v>
      </c>
      <c r="J187" s="112" t="n">
        <f aca="false">SUMIFS(Input!$G$223:$N$223,Input!$G$7:$N$7,Calculation!J$7)</f>
        <v>50</v>
      </c>
      <c r="K187" s="112" t="n">
        <f aca="false">SUMIFS(Input!$G$223:$N$223,Input!$G$7:$N$7,Calculation!K$7)</f>
        <v>0</v>
      </c>
      <c r="L187" s="112" t="n">
        <f aca="false">SUMIFS(Input!$G$223:$N$223,Input!$G$7:$N$7,Calculation!L$7)</f>
        <v>0</v>
      </c>
      <c r="M187" s="112" t="n">
        <f aca="false">SUMIFS(Input!$G$223:$N$223,Input!$G$7:$N$7,Calculation!M$7)</f>
        <v>0</v>
      </c>
      <c r="N187" s="112" t="n">
        <f aca="false">SUMIFS(Input!$G$223:$N$223,Input!$G$7:$N$7,Calculation!N$7)</f>
        <v>0</v>
      </c>
      <c r="O187" s="112"/>
      <c r="P187" s="15"/>
    </row>
    <row r="188" customFormat="false" ht="15" hidden="false" customHeight="true" outlineLevel="0" collapsed="false">
      <c r="A188" s="15"/>
      <c r="B188" s="142" t="s">
        <v>156</v>
      </c>
      <c r="C188" s="75"/>
      <c r="D188" s="75"/>
      <c r="E188" s="75"/>
      <c r="F188" s="75"/>
      <c r="G188" s="137" t="n">
        <f aca="false">SUMIFS(Input!$G$224:$N$224,Input!$G$7:$N$7,Calculation!G$7)</f>
        <v>100</v>
      </c>
      <c r="H188" s="137" t="n">
        <f aca="false">SUMIFS(Input!$G$224:$N$224,Input!$G$7:$N$7,Calculation!H$7)</f>
        <v>100</v>
      </c>
      <c r="I188" s="137" t="n">
        <f aca="false">SUMIFS(Input!$G$224:$N$224,Input!$G$7:$N$7,Calculation!I$7)</f>
        <v>100</v>
      </c>
      <c r="J188" s="137" t="n">
        <f aca="false">SUMIFS(Input!$G$224:$N$224,Input!$G$7:$N$7,Calculation!J$7)</f>
        <v>50</v>
      </c>
      <c r="K188" s="137" t="n">
        <f aca="false">SUMIFS(Input!$G$224:$N$224,Input!$G$7:$N$7,Calculation!K$7)</f>
        <v>50</v>
      </c>
      <c r="L188" s="137" t="n">
        <f aca="false">SUMIFS(Input!$G$224:$N$224,Input!$G$7:$N$7,Calculation!L$7)</f>
        <v>50</v>
      </c>
      <c r="M188" s="137" t="n">
        <f aca="false">SUMIFS(Input!$G$224:$N$224,Input!$G$7:$N$7,Calculation!M$7)</f>
        <v>50</v>
      </c>
      <c r="N188" s="137" t="n">
        <f aca="false">SUMIFS(Input!$G$224:$N$224,Input!$G$7:$N$7,Calculation!N$7)</f>
        <v>50</v>
      </c>
      <c r="O188" s="112"/>
      <c r="P188" s="15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customFormat="false" ht="15" hidden="false" customHeight="true" outlineLevel="0" collapsed="false">
      <c r="A190" s="51"/>
      <c r="B190" s="144" t="s">
        <v>157</v>
      </c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51"/>
      <c r="P190" s="51"/>
    </row>
    <row r="191" customFormat="false" ht="15" hidden="false" customHeight="true" outlineLevel="0" collapsed="false">
      <c r="A191" s="15"/>
      <c r="B191" s="110" t="s">
        <v>153</v>
      </c>
      <c r="C191" s="15"/>
      <c r="D191" s="15"/>
      <c r="E191" s="15"/>
      <c r="F191" s="15"/>
      <c r="G191" s="112" t="n">
        <f aca="false">SUMIFS(Input!$G$227:$N$227,Input!$G$7:$N$7,Calculation!G$7)</f>
        <v>0</v>
      </c>
      <c r="H191" s="112" t="n">
        <f aca="false">SUMIFS(Input!$G$227:$N$227,Input!$G$7:$N$7,Calculation!H$7)</f>
        <v>200</v>
      </c>
      <c r="I191" s="112" t="n">
        <f aca="false">SUMIFS(Input!$G$227:$N$227,Input!$G$7:$N$7,Calculation!I$7)</f>
        <v>200</v>
      </c>
      <c r="J191" s="112" t="n">
        <f aca="false">SUMIFS(Input!$G$227:$N$227,Input!$G$7:$N$7,Calculation!J$7)</f>
        <v>200</v>
      </c>
      <c r="K191" s="112" t="n">
        <f aca="false">SUMIFS(Input!$G$227:$N$227,Input!$G$7:$N$7,Calculation!K$7)</f>
        <v>200</v>
      </c>
      <c r="L191" s="112" t="n">
        <f aca="false">SUMIFS(Input!$G$227:$N$227,Input!$G$7:$N$7,Calculation!L$7)</f>
        <v>200</v>
      </c>
      <c r="M191" s="112" t="n">
        <f aca="false">SUMIFS(Input!$G$227:$N$227,Input!$G$7:$N$7,Calculation!M$7)</f>
        <v>200</v>
      </c>
      <c r="N191" s="112" t="n">
        <f aca="false">SUMIFS(Input!$G$227:$N$227,Input!$G$7:$N$7,Calculation!N$7)</f>
        <v>200</v>
      </c>
      <c r="O191" s="112"/>
      <c r="P191" s="15"/>
    </row>
    <row r="192" customFormat="false" ht="15" hidden="false" customHeight="true" outlineLevel="0" collapsed="false">
      <c r="A192" s="15"/>
      <c r="B192" s="145" t="s">
        <v>154</v>
      </c>
      <c r="C192" s="15"/>
      <c r="D192" s="15"/>
      <c r="E192" s="15"/>
      <c r="F192" s="15"/>
      <c r="G192" s="112" t="n">
        <f aca="false">SUMIFS(Input!$G$228:$N$228,Input!$G$7:$N$7,Calculation!G$7)</f>
        <v>0</v>
      </c>
      <c r="H192" s="112" t="n">
        <f aca="false">SUMIFS(Input!$G$228:$N$228,Input!$G$7:$N$7,Calculation!H$7)</f>
        <v>0</v>
      </c>
      <c r="I192" s="112" t="n">
        <f aca="false">SUMIFS(Input!$G$228:$N$228,Input!$G$7:$N$7,Calculation!I$7)</f>
        <v>0</v>
      </c>
      <c r="J192" s="112" t="n">
        <f aca="false">SUMIFS(Input!$G$228:$N$228,Input!$G$7:$N$7,Calculation!J$7)</f>
        <v>0</v>
      </c>
      <c r="K192" s="112" t="n">
        <f aca="false">SUMIFS(Input!$G$228:$N$228,Input!$G$7:$N$7,Calculation!K$7)</f>
        <v>0</v>
      </c>
      <c r="L192" s="112" t="n">
        <f aca="false">SUMIFS(Input!$G$228:$N$228,Input!$G$7:$N$7,Calculation!L$7)</f>
        <v>0</v>
      </c>
      <c r="M192" s="112" t="n">
        <f aca="false">SUMIFS(Input!$G$228:$N$228,Input!$G$7:$N$7,Calculation!M$7)</f>
        <v>0</v>
      </c>
      <c r="N192" s="112" t="n">
        <f aca="false">SUMIFS(Input!$G$228:$N$228,Input!$G$7:$N$7,Calculation!N$7)</f>
        <v>0</v>
      </c>
      <c r="O192" s="112"/>
      <c r="P192" s="15"/>
    </row>
    <row r="193" customFormat="false" ht="15" hidden="false" customHeight="true" outlineLevel="0" collapsed="false">
      <c r="A193" s="15"/>
      <c r="B193" s="145" t="s">
        <v>155</v>
      </c>
      <c r="C193" s="15"/>
      <c r="D193" s="15"/>
      <c r="E193" s="15"/>
      <c r="F193" s="15"/>
      <c r="G193" s="112" t="n">
        <f aca="false">SUMIFS(Input!$G$229:$N$229,Input!$G$7:$N$7,Calculation!G$7)</f>
        <v>0</v>
      </c>
      <c r="H193" s="112" t="n">
        <f aca="false">SUMIFS(Input!$G$229:$N$229,Input!$G$7:$N$7,Calculation!H$7)</f>
        <v>0</v>
      </c>
      <c r="I193" s="112" t="n">
        <f aca="false">SUMIFS(Input!$G$229:$N$229,Input!$G$7:$N$7,Calculation!I$7)</f>
        <v>0</v>
      </c>
      <c r="J193" s="112" t="n">
        <f aca="false">SUMIFS(Input!$G$229:$N$229,Input!$G$7:$N$7,Calculation!J$7)</f>
        <v>0</v>
      </c>
      <c r="K193" s="112" t="n">
        <f aca="false">SUMIFS(Input!$G$229:$N$229,Input!$G$7:$N$7,Calculation!K$7)</f>
        <v>0</v>
      </c>
      <c r="L193" s="112" t="n">
        <f aca="false">SUMIFS(Input!$G$229:$N$229,Input!$G$7:$N$7,Calculation!L$7)</f>
        <v>0</v>
      </c>
      <c r="M193" s="112" t="n">
        <f aca="false">SUMIFS(Input!$G$229:$N$229,Input!$G$7:$N$7,Calculation!M$7)</f>
        <v>0</v>
      </c>
      <c r="N193" s="112" t="n">
        <f aca="false">SUMIFS(Input!$G$229:$N$229,Input!$G$7:$N$7,Calculation!N$7)</f>
        <v>0</v>
      </c>
      <c r="O193" s="112"/>
      <c r="P193" s="15"/>
    </row>
    <row r="194" customFormat="false" ht="15" hidden="false" customHeight="true" outlineLevel="0" collapsed="false">
      <c r="A194" s="15"/>
      <c r="B194" s="142" t="s">
        <v>156</v>
      </c>
      <c r="C194" s="75"/>
      <c r="D194" s="75"/>
      <c r="E194" s="75"/>
      <c r="F194" s="75"/>
      <c r="G194" s="137" t="n">
        <f aca="false">SUMIFS(Input!$G$230:$N$230,Input!$G$7:$N$7,Calculation!G$7)</f>
        <v>200</v>
      </c>
      <c r="H194" s="137" t="n">
        <f aca="false">SUMIFS(Input!$G$230:$N$230,Input!$G$7:$N$7,Calculation!H$7)</f>
        <v>200</v>
      </c>
      <c r="I194" s="137" t="n">
        <f aca="false">SUMIFS(Input!$G$230:$N$230,Input!$G$7:$N$7,Calculation!I$7)</f>
        <v>200</v>
      </c>
      <c r="J194" s="137" t="n">
        <f aca="false">SUMIFS(Input!$G$230:$N$230,Input!$G$7:$N$7,Calculation!J$7)</f>
        <v>200</v>
      </c>
      <c r="K194" s="137" t="n">
        <f aca="false">SUMIFS(Input!$G$230:$N$230,Input!$G$7:$N$7,Calculation!K$7)</f>
        <v>200</v>
      </c>
      <c r="L194" s="137" t="n">
        <f aca="false">SUMIFS(Input!$G$230:$N$230,Input!$G$7:$N$7,Calculation!L$7)</f>
        <v>200</v>
      </c>
      <c r="M194" s="137" t="n">
        <f aca="false">SUMIFS(Input!$G$230:$N$230,Input!$G$7:$N$7,Calculation!M$7)</f>
        <v>200</v>
      </c>
      <c r="N194" s="137" t="n">
        <f aca="false">SUMIFS(Input!$G$230:$N$230,Input!$G$7:$N$7,Calculation!N$7)</f>
        <v>200</v>
      </c>
      <c r="O194" s="112"/>
      <c r="P194" s="15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customFormat="false" ht="15" hidden="false" customHeight="true" outlineLevel="0" collapsed="false">
      <c r="A196" s="51"/>
      <c r="B196" s="144" t="s">
        <v>158</v>
      </c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51"/>
      <c r="P196" s="51"/>
    </row>
    <row r="197" customFormat="false" ht="15" hidden="false" customHeight="true" outlineLevel="0" collapsed="false">
      <c r="A197" s="15"/>
      <c r="B197" s="110" t="s">
        <v>153</v>
      </c>
      <c r="C197" s="15"/>
      <c r="D197" s="15"/>
      <c r="E197" s="15"/>
      <c r="F197" s="15"/>
      <c r="G197" s="112" t="n">
        <f aca="false">SUMIFS(Input!$G$232:$N$232,Input!$G$7:$N$7,Calculation!G$7)</f>
        <v>0</v>
      </c>
      <c r="H197" s="112" t="n">
        <f aca="false">SUMIFS(Input!$G$232:$N$232,Input!$G$7:$N$7,Calculation!H$7)</f>
        <v>0</v>
      </c>
      <c r="I197" s="112" t="n">
        <f aca="false">SUMIFS(Input!$G$232:$N$232,Input!$G$7:$N$7,Calculation!I$7)</f>
        <v>0</v>
      </c>
      <c r="J197" s="112" t="n">
        <f aca="false">SUMIFS(Input!$G$232:$N$232,Input!$G$7:$N$7,Calculation!J$7)</f>
        <v>0</v>
      </c>
      <c r="K197" s="112" t="n">
        <f aca="false">SUMIFS(Input!$G$232:$N$232,Input!$G$7:$N$7,Calculation!K$7)</f>
        <v>0</v>
      </c>
      <c r="L197" s="112" t="n">
        <f aca="false">SUMIFS(Input!$G$232:$N$232,Input!$G$7:$N$7,Calculation!L$7)</f>
        <v>0</v>
      </c>
      <c r="M197" s="112" t="n">
        <f aca="false">SUMIFS(Input!$G$232:$N$232,Input!$G$7:$N$7,Calculation!M$7)</f>
        <v>0</v>
      </c>
      <c r="N197" s="112" t="n">
        <f aca="false">SUMIFS(Input!$G$232:$N$232,Input!$G$7:$N$7,Calculation!N$7)</f>
        <v>0</v>
      </c>
      <c r="O197" s="112"/>
      <c r="P197" s="15"/>
    </row>
    <row r="198" customFormat="false" ht="15" hidden="false" customHeight="true" outlineLevel="0" collapsed="false">
      <c r="A198" s="15"/>
      <c r="B198" s="145" t="s">
        <v>154</v>
      </c>
      <c r="C198" s="15"/>
      <c r="D198" s="15"/>
      <c r="E198" s="15"/>
      <c r="F198" s="15"/>
      <c r="G198" s="112" t="n">
        <f aca="false">SUMIFS(Input!$G$233:$N$233,Input!$G$7:$N$7,Calculation!G$7)</f>
        <v>0</v>
      </c>
      <c r="H198" s="112" t="n">
        <f aca="false">SUMIFS(Input!$G$233:$N$233,Input!$G$7:$N$7,Calculation!H$7)</f>
        <v>0</v>
      </c>
      <c r="I198" s="112" t="n">
        <f aca="false">SUMIFS(Input!$G$233:$N$233,Input!$G$7:$N$7,Calculation!I$7)</f>
        <v>0</v>
      </c>
      <c r="J198" s="112" t="n">
        <f aca="false">SUMIFS(Input!$G$233:$N$233,Input!$G$7:$N$7,Calculation!J$7)</f>
        <v>0</v>
      </c>
      <c r="K198" s="112" t="n">
        <f aca="false">SUMIFS(Input!$G$233:$N$233,Input!$G$7:$N$7,Calculation!K$7)</f>
        <v>0</v>
      </c>
      <c r="L198" s="112" t="n">
        <f aca="false">SUMIFS(Input!$G$233:$N$233,Input!$G$7:$N$7,Calculation!L$7)</f>
        <v>0</v>
      </c>
      <c r="M198" s="112" t="n">
        <f aca="false">SUMIFS(Input!$G$233:$N$233,Input!$G$7:$N$7,Calculation!M$7)</f>
        <v>0</v>
      </c>
      <c r="N198" s="112" t="n">
        <f aca="false">SUMIFS(Input!$G$233:$N$233,Input!$G$7:$N$7,Calculation!N$7)</f>
        <v>0</v>
      </c>
      <c r="O198" s="112"/>
      <c r="P198" s="15"/>
    </row>
    <row r="199" customFormat="false" ht="15" hidden="false" customHeight="true" outlineLevel="0" collapsed="false">
      <c r="A199" s="15"/>
      <c r="B199" s="145" t="s">
        <v>155</v>
      </c>
      <c r="C199" s="15"/>
      <c r="D199" s="15"/>
      <c r="E199" s="15"/>
      <c r="F199" s="15"/>
      <c r="G199" s="112" t="n">
        <f aca="false">SUMIFS(Input!$G$234:$N$234,Input!$G$7:$N$7,Calculation!G$7)</f>
        <v>0</v>
      </c>
      <c r="H199" s="112" t="n">
        <f aca="false">SUMIFS(Input!$G$234:$N$234,Input!$G$7:$N$7,Calculation!H$7)</f>
        <v>0</v>
      </c>
      <c r="I199" s="112" t="n">
        <f aca="false">SUMIFS(Input!$G$234:$N$234,Input!$G$7:$N$7,Calculation!I$7)</f>
        <v>0</v>
      </c>
      <c r="J199" s="112" t="n">
        <f aca="false">SUMIFS(Input!$G$234:$N$234,Input!$G$7:$N$7,Calculation!J$7)</f>
        <v>0</v>
      </c>
      <c r="K199" s="112" t="n">
        <f aca="false">SUMIFS(Input!$G$234:$N$234,Input!$G$7:$N$7,Calculation!K$7)</f>
        <v>0</v>
      </c>
      <c r="L199" s="112" t="n">
        <f aca="false">SUMIFS(Input!$G$234:$N$234,Input!$G$7:$N$7,Calculation!L$7)</f>
        <v>0</v>
      </c>
      <c r="M199" s="112" t="n">
        <f aca="false">SUMIFS(Input!$G$234:$N$234,Input!$G$7:$N$7,Calculation!M$7)</f>
        <v>0</v>
      </c>
      <c r="N199" s="112" t="n">
        <f aca="false">SUMIFS(Input!$G$234:$N$234,Input!$G$7:$N$7,Calculation!N$7)</f>
        <v>0</v>
      </c>
      <c r="O199" s="112"/>
      <c r="P199" s="15"/>
    </row>
    <row r="200" customFormat="false" ht="15" hidden="false" customHeight="true" outlineLevel="0" collapsed="false">
      <c r="A200" s="15"/>
      <c r="B200" s="142" t="s">
        <v>156</v>
      </c>
      <c r="C200" s="75"/>
      <c r="D200" s="75"/>
      <c r="E200" s="75"/>
      <c r="F200" s="75"/>
      <c r="G200" s="137" t="n">
        <f aca="false">SUMIFS(Input!$G$235:$N$235,Input!$G$7:$N$7,Calculation!G$7)</f>
        <v>0</v>
      </c>
      <c r="H200" s="137" t="n">
        <f aca="false">SUMIFS(Input!$G$235:$N$235,Input!$G$7:$N$7,Calculation!H$7)</f>
        <v>0</v>
      </c>
      <c r="I200" s="137" t="n">
        <f aca="false">SUMIFS(Input!$G$235:$N$235,Input!$G$7:$N$7,Calculation!I$7)</f>
        <v>0</v>
      </c>
      <c r="J200" s="137" t="n">
        <f aca="false">SUMIFS(Input!$G$235:$N$235,Input!$G$7:$N$7,Calculation!J$7)</f>
        <v>0</v>
      </c>
      <c r="K200" s="137" t="n">
        <f aca="false">SUMIFS(Input!$G$235:$N$235,Input!$G$7:$N$7,Calculation!K$7)</f>
        <v>0</v>
      </c>
      <c r="L200" s="137" t="n">
        <f aca="false">SUMIFS(Input!$G$235:$N$235,Input!$G$7:$N$7,Calculation!L$7)</f>
        <v>0</v>
      </c>
      <c r="M200" s="137" t="n">
        <f aca="false">SUMIFS(Input!$G$235:$N$235,Input!$G$7:$N$7,Calculation!M$7)</f>
        <v>0</v>
      </c>
      <c r="N200" s="137" t="n">
        <f aca="false">SUMIFS(Input!$G$235:$N$235,Input!$G$7:$N$7,Calculation!N$7)</f>
        <v>0</v>
      </c>
      <c r="O200" s="112"/>
      <c r="P200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9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6640625" defaultRowHeight="17.25" customHeight="true" zeroHeight="true" outlineLevelRow="0" outlineLevelCol="0"/>
  <cols>
    <col collapsed="false" customWidth="true" hidden="false" outlineLevel="0" max="1" min="1" style="42" width="1.68"/>
    <col collapsed="false" customWidth="true" hidden="false" outlineLevel="0" max="2" min="2" style="42" width="28.69"/>
    <col collapsed="false" customWidth="true" hidden="false" outlineLevel="0" max="4" min="3" style="42" width="1.68"/>
    <col collapsed="false" customWidth="true" hidden="false" outlineLevel="0" max="5" min="5" style="42" width="10.38"/>
    <col collapsed="false" customWidth="true" hidden="false" outlineLevel="0" max="6" min="6" style="42" width="8.69"/>
    <col collapsed="false" customWidth="true" hidden="false" outlineLevel="0" max="9" min="7" style="42" width="10"/>
    <col collapsed="false" customWidth="true" hidden="false" outlineLevel="0" max="10" min="10" style="42" width="12.5"/>
    <col collapsed="false" customWidth="true" hidden="false" outlineLevel="0" max="15" min="11" style="42" width="10"/>
    <col collapsed="false" customWidth="true" hidden="false" outlineLevel="0" max="16" min="16" style="42" width="1.68"/>
  </cols>
  <sheetData>
    <row r="1" customFormat="false" ht="24" hidden="false" customHeight="true" outlineLevel="0" collapsed="false">
      <c r="A1" s="8"/>
      <c r="B1" s="43" t="str">
        <f aca="false">Legend!D2</f>
        <v>Project dummy Financial Model</v>
      </c>
      <c r="C1" s="44"/>
      <c r="D1" s="44"/>
      <c r="E1" s="44"/>
      <c r="F1" s="44"/>
      <c r="G1" s="44"/>
      <c r="H1" s="44"/>
      <c r="I1" s="45"/>
      <c r="J1" s="45"/>
      <c r="K1" s="45"/>
      <c r="L1" s="45"/>
      <c r="M1" s="45"/>
      <c r="N1" s="46"/>
      <c r="O1" s="46"/>
      <c r="P1" s="8"/>
    </row>
    <row r="2" customFormat="false" ht="17.25" hidden="false" customHeight="true" outlineLevel="0" collapsed="false">
      <c r="A2" s="8"/>
      <c r="B2" s="44" t="s">
        <v>205</v>
      </c>
      <c r="C2" s="47"/>
      <c r="D2" s="47"/>
      <c r="E2" s="47"/>
      <c r="F2" s="47"/>
      <c r="G2" s="48"/>
      <c r="H2" s="49"/>
      <c r="I2" s="46"/>
      <c r="J2" s="46"/>
      <c r="K2" s="46"/>
      <c r="L2" s="46"/>
      <c r="M2" s="46"/>
      <c r="N2" s="46"/>
      <c r="O2" s="46"/>
      <c r="P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44" t="s">
        <v>27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8"/>
    </row>
    <row r="5" customFormat="false" ht="17.25" hidden="false" customHeight="true" outlineLevel="0" collapsed="false">
      <c r="A5" s="3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customFormat="false" ht="17.25" hidden="false" customHeight="true" outlineLevel="0" collapsed="false">
      <c r="A6" s="51"/>
      <c r="B6" s="121" t="s">
        <v>28</v>
      </c>
      <c r="C6" s="103"/>
      <c r="D6" s="103"/>
      <c r="E6" s="103"/>
      <c r="F6" s="103"/>
      <c r="G6" s="52" t="str">
        <f aca="false">Input!G6</f>
        <v>Actual</v>
      </c>
      <c r="H6" s="52" t="str">
        <f aca="false">Input!H6</f>
        <v>Actual</v>
      </c>
      <c r="I6" s="52" t="str">
        <f aca="false">Input!I6</f>
        <v>Actual</v>
      </c>
      <c r="J6" s="52" t="str">
        <f aca="false">Input!J6</f>
        <v>Forecast</v>
      </c>
      <c r="K6" s="52" t="str">
        <f aca="false">Input!K6</f>
        <v>Forecast</v>
      </c>
      <c r="L6" s="52" t="str">
        <f aca="false">Input!L6</f>
        <v>Forecast</v>
      </c>
      <c r="M6" s="52" t="str">
        <f aca="false">Input!M6</f>
        <v>Forecast</v>
      </c>
      <c r="N6" s="52" t="str">
        <f aca="false">Input!N6</f>
        <v>Forecast</v>
      </c>
      <c r="O6" s="52" t="str">
        <f aca="false">Input!O6</f>
        <v>Forecast</v>
      </c>
      <c r="P6" s="51"/>
    </row>
    <row r="7" customFormat="false" ht="17.25" hidden="false" customHeight="true" outlineLevel="0" collapsed="false">
      <c r="A7" s="15"/>
      <c r="B7" s="56" t="s">
        <v>31</v>
      </c>
      <c r="C7" s="56"/>
      <c r="D7" s="57"/>
      <c r="E7" s="57"/>
      <c r="F7" s="57"/>
      <c r="G7" s="55" t="n">
        <f aca="false">Input!G7</f>
        <v>44927</v>
      </c>
      <c r="H7" s="55" t="n">
        <f aca="false">Input!H7</f>
        <v>45292</v>
      </c>
      <c r="I7" s="55" t="n">
        <f aca="false">Input!I7</f>
        <v>45658</v>
      </c>
      <c r="J7" s="55" t="n">
        <f aca="false">Input!J7</f>
        <v>46023</v>
      </c>
      <c r="K7" s="55" t="n">
        <f aca="false">Input!K7</f>
        <v>46388</v>
      </c>
      <c r="L7" s="55" t="n">
        <f aca="false">Input!L7</f>
        <v>46753</v>
      </c>
      <c r="M7" s="55" t="n">
        <f aca="false">Input!M7</f>
        <v>47119</v>
      </c>
      <c r="N7" s="55" t="n">
        <f aca="false">Input!N7</f>
        <v>47484</v>
      </c>
      <c r="O7" s="55" t="s">
        <v>32</v>
      </c>
      <c r="P7" s="15"/>
    </row>
    <row r="8" customFormat="false" ht="17.25" hidden="false" customHeight="true" outlineLevel="0" collapsed="false">
      <c r="A8" s="15"/>
      <c r="B8" s="56" t="s">
        <v>33</v>
      </c>
      <c r="C8" s="56"/>
      <c r="D8" s="57"/>
      <c r="E8" s="57"/>
      <c r="F8" s="57"/>
      <c r="G8" s="55" t="n">
        <f aca="false">Input!G8</f>
        <v>45291</v>
      </c>
      <c r="H8" s="55" t="n">
        <f aca="false">Input!H8</f>
        <v>45657</v>
      </c>
      <c r="I8" s="55" t="n">
        <f aca="false">Input!I8</f>
        <v>46022</v>
      </c>
      <c r="J8" s="55" t="n">
        <f aca="false">Input!J8</f>
        <v>46387</v>
      </c>
      <c r="K8" s="55" t="n">
        <f aca="false">Input!K8</f>
        <v>46752</v>
      </c>
      <c r="L8" s="55" t="n">
        <f aca="false">Input!L8</f>
        <v>47118</v>
      </c>
      <c r="M8" s="55" t="n">
        <f aca="false">Input!M8</f>
        <v>47483</v>
      </c>
      <c r="N8" s="55" t="n">
        <f aca="false">Input!N8</f>
        <v>47848</v>
      </c>
      <c r="O8" s="55"/>
      <c r="P8" s="15"/>
    </row>
    <row r="9" customFormat="false" ht="17.25" hidden="false" customHeight="true" outlineLevel="0" collapsed="false">
      <c r="A9" s="15"/>
      <c r="B9" s="56" t="s">
        <v>34</v>
      </c>
      <c r="C9" s="56"/>
      <c r="D9" s="57"/>
      <c r="E9" s="57"/>
      <c r="F9" s="57"/>
      <c r="G9" s="58" t="n">
        <f aca="false">Input!G9</f>
        <v>12</v>
      </c>
      <c r="H9" s="59" t="n">
        <f aca="false">Input!H9</f>
        <v>12</v>
      </c>
      <c r="I9" s="59" t="n">
        <f aca="false">Input!I9</f>
        <v>12</v>
      </c>
      <c r="J9" s="59" t="n">
        <f aca="false">Input!J9</f>
        <v>12</v>
      </c>
      <c r="K9" s="59" t="n">
        <f aca="false">Input!K9</f>
        <v>12</v>
      </c>
      <c r="L9" s="59" t="n">
        <f aca="false">Input!L9</f>
        <v>12</v>
      </c>
      <c r="M9" s="59" t="n">
        <f aca="false">Input!M9</f>
        <v>12</v>
      </c>
      <c r="N9" s="59" t="n">
        <f aca="false">Input!N9</f>
        <v>12</v>
      </c>
      <c r="O9" s="59"/>
      <c r="P9" s="15"/>
    </row>
    <row r="10" customFormat="false" ht="17.25" hidden="false" customHeight="true" outlineLevel="0" collapsed="false">
      <c r="A10" s="15"/>
      <c r="B10" s="56" t="s">
        <v>35</v>
      </c>
      <c r="C10" s="56"/>
      <c r="D10" s="57"/>
      <c r="E10" s="57"/>
      <c r="F10" s="57"/>
      <c r="G10" s="58" t="n">
        <f aca="false">Input!G10</f>
        <v>2023</v>
      </c>
      <c r="H10" s="58" t="n">
        <f aca="false">Input!H10</f>
        <v>2024</v>
      </c>
      <c r="I10" s="59" t="n">
        <f aca="false">Input!I10</f>
        <v>2025</v>
      </c>
      <c r="J10" s="59" t="n">
        <f aca="false">Input!J10</f>
        <v>2026</v>
      </c>
      <c r="K10" s="59" t="n">
        <f aca="false">Input!K10</f>
        <v>2027</v>
      </c>
      <c r="L10" s="59" t="n">
        <f aca="false">Input!L10</f>
        <v>2028</v>
      </c>
      <c r="M10" s="59" t="n">
        <f aca="false">Input!M10</f>
        <v>2029</v>
      </c>
      <c r="N10" s="59" t="n">
        <f aca="false">Input!N10</f>
        <v>2030</v>
      </c>
      <c r="O10" s="59"/>
      <c r="P10" s="15"/>
    </row>
    <row r="11" customFormat="false" ht="17.25" hidden="false" customHeight="true" outlineLevel="0" collapsed="false">
      <c r="A11" s="15"/>
      <c r="B11" s="56" t="s">
        <v>36</v>
      </c>
      <c r="C11" s="57"/>
      <c r="D11" s="59"/>
      <c r="E11" s="59"/>
      <c r="F11" s="59"/>
      <c r="G11" s="59" t="n">
        <f aca="false">Input!G11</f>
        <v>364</v>
      </c>
      <c r="H11" s="59" t="n">
        <f aca="false">Input!H11</f>
        <v>365</v>
      </c>
      <c r="I11" s="59" t="n">
        <f aca="false">Input!I11</f>
        <v>364</v>
      </c>
      <c r="J11" s="59" t="n">
        <f aca="false">Input!J11</f>
        <v>364</v>
      </c>
      <c r="K11" s="59" t="n">
        <f aca="false">Input!K11</f>
        <v>364</v>
      </c>
      <c r="L11" s="59" t="n">
        <f aca="false">Input!L11</f>
        <v>365</v>
      </c>
      <c r="M11" s="59" t="n">
        <f aca="false">Input!M11</f>
        <v>364</v>
      </c>
      <c r="N11" s="59" t="n">
        <f aca="false">Input!N11</f>
        <v>364</v>
      </c>
      <c r="O11" s="59"/>
      <c r="P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44" t="s">
        <v>205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65"/>
      <c r="B15" s="88" t="s">
        <v>42</v>
      </c>
      <c r="C15" s="88"/>
      <c r="D15" s="88"/>
      <c r="E15" s="183" t="n">
        <f aca="false">Input!E18</f>
        <v>0.1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</row>
    <row r="16" customFormat="false" ht="17.25" hidden="false" customHeight="true" outlineLevel="0" collapsed="false">
      <c r="A16" s="15"/>
      <c r="B16" s="184" t="s">
        <v>206</v>
      </c>
      <c r="C16" s="75"/>
      <c r="D16" s="75"/>
      <c r="E16" s="185" t="n">
        <f aca="false">Input!E19</f>
        <v>0.01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7.25" hidden="false" customHeight="true" outlineLevel="0" collapsed="false">
      <c r="A17" s="3"/>
      <c r="B17" s="3"/>
      <c r="C17" s="3"/>
      <c r="D17" s="3"/>
      <c r="E17" s="108"/>
      <c r="F17" s="3"/>
      <c r="G17" s="106"/>
      <c r="H17" s="106"/>
      <c r="I17" s="106"/>
      <c r="J17" s="106"/>
      <c r="K17" s="106"/>
      <c r="L17" s="106"/>
      <c r="M17" s="106"/>
      <c r="N17" s="106"/>
      <c r="O17" s="106"/>
    </row>
    <row r="18" customFormat="false" ht="17.25" hidden="false" customHeight="true" outlineLevel="0" collapsed="false">
      <c r="A18" s="51"/>
      <c r="B18" s="121"/>
      <c r="C18" s="121"/>
      <c r="D18" s="121"/>
      <c r="E18" s="121"/>
      <c r="F18" s="121"/>
      <c r="G18" s="186" t="s">
        <v>29</v>
      </c>
      <c r="H18" s="186"/>
      <c r="I18" s="186"/>
      <c r="J18" s="186" t="s">
        <v>30</v>
      </c>
      <c r="K18" s="186"/>
      <c r="L18" s="186"/>
      <c r="M18" s="186"/>
      <c r="N18" s="186"/>
      <c r="O18" s="186"/>
      <c r="P18" s="51"/>
      <c r="Q18" s="51"/>
      <c r="R18" s="51"/>
    </row>
    <row r="19" customFormat="false" ht="17.25" hidden="false" customHeight="true" outlineLevel="0" collapsed="false">
      <c r="A19" s="51"/>
      <c r="B19" s="121" t="s">
        <v>207</v>
      </c>
      <c r="C19" s="121"/>
      <c r="D19" s="121"/>
      <c r="E19" s="121"/>
      <c r="F19" s="121"/>
      <c r="G19" s="72" t="str">
        <f aca="false">"FY"&amp;G10</f>
        <v>FY2023</v>
      </c>
      <c r="H19" s="72" t="str">
        <f aca="false">"FY"&amp;H10</f>
        <v>FY2024</v>
      </c>
      <c r="I19" s="72" t="str">
        <f aca="false">"FY"&amp;I10</f>
        <v>FY2025</v>
      </c>
      <c r="J19" s="72" t="str">
        <f aca="false">"FY"&amp;J10</f>
        <v>FY2026</v>
      </c>
      <c r="K19" s="72" t="str">
        <f aca="false">"FY"&amp;K10</f>
        <v>FY2027</v>
      </c>
      <c r="L19" s="72" t="str">
        <f aca="false">"FY"&amp;L10</f>
        <v>FY2028</v>
      </c>
      <c r="M19" s="72" t="str">
        <f aca="false">"FY"&amp;M10</f>
        <v>FY2029</v>
      </c>
      <c r="N19" s="72" t="str">
        <f aca="false">"FY"&amp;N10</f>
        <v>FY2030</v>
      </c>
      <c r="O19" s="72" t="s">
        <v>32</v>
      </c>
      <c r="P19" s="51"/>
    </row>
    <row r="20" customFormat="false" ht="17.25" hidden="false" customHeight="true" outlineLevel="0" collapsed="false">
      <c r="A20" s="8"/>
      <c r="B20" s="187" t="s">
        <v>172</v>
      </c>
      <c r="C20" s="188"/>
      <c r="D20" s="188"/>
      <c r="E20" s="188"/>
      <c r="F20" s="188"/>
      <c r="G20" s="189" t="n">
        <f aca="false">Input!G28</f>
        <v>1000</v>
      </c>
      <c r="H20" s="189" t="n">
        <f aca="false">Input!H28</f>
        <v>1200</v>
      </c>
      <c r="I20" s="189" t="n">
        <f aca="false">Input!I28</f>
        <v>1400</v>
      </c>
      <c r="J20" s="190" t="n">
        <f aca="false">Calculation!J21</f>
        <v>2163</v>
      </c>
      <c r="K20" s="189" t="n">
        <f aca="false">Calculation!K21</f>
        <v>2227.89</v>
      </c>
      <c r="L20" s="189" t="n">
        <f aca="false">Calculation!L21</f>
        <v>2294.7267</v>
      </c>
      <c r="M20" s="189" t="n">
        <f aca="false">Calculation!M21</f>
        <v>2363.568501</v>
      </c>
      <c r="N20" s="189" t="n">
        <f aca="false">Calculation!N21</f>
        <v>2434.47555603</v>
      </c>
      <c r="O20" s="191" t="n">
        <f aca="false">N20*(1+$E$16)</f>
        <v>2458.8203115903</v>
      </c>
      <c r="P20" s="8"/>
    </row>
    <row r="21" customFormat="false" ht="17.25" hidden="false" customHeight="true" outlineLevel="0" collapsed="false">
      <c r="A21" s="15"/>
      <c r="B21" s="192" t="s">
        <v>208</v>
      </c>
      <c r="C21" s="15"/>
      <c r="D21" s="15"/>
      <c r="E21" s="15"/>
      <c r="F21" s="15"/>
      <c r="G21" s="112"/>
      <c r="H21" s="116" t="n">
        <f aca="false">H20/G20-1</f>
        <v>0.2</v>
      </c>
      <c r="I21" s="116" t="n">
        <f aca="false">I20/H20-1</f>
        <v>0.166666666666667</v>
      </c>
      <c r="J21" s="193" t="n">
        <f aca="false">J20/I20-1</f>
        <v>0.545</v>
      </c>
      <c r="K21" s="116" t="n">
        <f aca="false">K20/J20-1</f>
        <v>0.0300000000000003</v>
      </c>
      <c r="L21" s="116" t="n">
        <f aca="false">L20/K20-1</f>
        <v>0.0299999999999998</v>
      </c>
      <c r="M21" s="116" t="n">
        <f aca="false">M20/L20-1</f>
        <v>0.0300000000000003</v>
      </c>
      <c r="N21" s="116" t="n">
        <f aca="false">N20/M20-1</f>
        <v>0.03</v>
      </c>
      <c r="O21" s="194" t="n">
        <f aca="false">O20/N20-1</f>
        <v>0.01</v>
      </c>
      <c r="P21" s="15"/>
    </row>
    <row r="22" customFormat="false" ht="17.25" hidden="false" customHeight="true" outlineLevel="0" collapsed="false">
      <c r="A22" s="8"/>
      <c r="B22" s="195" t="s">
        <v>129</v>
      </c>
      <c r="C22" s="196"/>
      <c r="D22" s="196"/>
      <c r="E22" s="196"/>
      <c r="F22" s="196"/>
      <c r="G22" s="197" t="n">
        <f aca="false">Input!G29</f>
        <v>600</v>
      </c>
      <c r="H22" s="197" t="n">
        <f aca="false">Input!H29</f>
        <v>600</v>
      </c>
      <c r="I22" s="197" t="n">
        <f aca="false">Input!I29</f>
        <v>600</v>
      </c>
      <c r="J22" s="198" t="n">
        <f aca="false">Calculation!J70</f>
        <v>948.683333333333</v>
      </c>
      <c r="K22" s="197" t="n">
        <f aca="false">Calculation!K70</f>
        <v>969.493833333333</v>
      </c>
      <c r="L22" s="197" t="n">
        <f aca="false">Calculation!L70</f>
        <v>990.775648333333</v>
      </c>
      <c r="M22" s="197" t="n">
        <f aca="false">Calculation!M70</f>
        <v>1012.53985778333</v>
      </c>
      <c r="N22" s="197" t="n">
        <f aca="false">Calculation!N70</f>
        <v>1034.79781231683</v>
      </c>
      <c r="O22" s="199" t="n">
        <f aca="false">N22*(1+$E$16)</f>
        <v>1045.14579044</v>
      </c>
      <c r="P22" s="8"/>
    </row>
    <row r="23" customFormat="false" ht="17.25" hidden="false" customHeight="true" outlineLevel="0" collapsed="false">
      <c r="A23" s="15"/>
      <c r="B23" s="200" t="s">
        <v>209</v>
      </c>
      <c r="C23" s="201"/>
      <c r="D23" s="201"/>
      <c r="E23" s="201"/>
      <c r="F23" s="201"/>
      <c r="G23" s="202" t="n">
        <f aca="false">G20-G22</f>
        <v>400</v>
      </c>
      <c r="H23" s="202" t="n">
        <f aca="false">H20-H22</f>
        <v>600</v>
      </c>
      <c r="I23" s="202" t="n">
        <f aca="false">I20-I22</f>
        <v>800</v>
      </c>
      <c r="J23" s="203" t="n">
        <f aca="false">J20-J22</f>
        <v>1214.31666666667</v>
      </c>
      <c r="K23" s="202" t="n">
        <f aca="false">K20-K22</f>
        <v>1258.39616666667</v>
      </c>
      <c r="L23" s="202" t="n">
        <f aca="false">L20-L22</f>
        <v>1303.95105166667</v>
      </c>
      <c r="M23" s="202" t="n">
        <f aca="false">M20-M22</f>
        <v>1351.02864321667</v>
      </c>
      <c r="N23" s="202" t="n">
        <f aca="false">N20-N22</f>
        <v>1399.67774371317</v>
      </c>
      <c r="O23" s="204" t="n">
        <f aca="false">O20-O22</f>
        <v>1413.6745211503</v>
      </c>
      <c r="P23" s="15"/>
    </row>
    <row r="24" customFormat="false" ht="17.25" hidden="false" customHeight="true" outlineLevel="0" collapsed="false">
      <c r="A24" s="15"/>
      <c r="B24" s="205" t="s">
        <v>210</v>
      </c>
      <c r="C24" s="75"/>
      <c r="D24" s="75"/>
      <c r="E24" s="75"/>
      <c r="F24" s="75"/>
      <c r="G24" s="206" t="n">
        <f aca="false">G23/G20</f>
        <v>0.4</v>
      </c>
      <c r="H24" s="206" t="n">
        <f aca="false">H23/H20</f>
        <v>0.5</v>
      </c>
      <c r="I24" s="206" t="n">
        <f aca="false">I23/I20</f>
        <v>0.571428571428571</v>
      </c>
      <c r="J24" s="207" t="n">
        <f aca="false">J23/J20</f>
        <v>0.561403914316536</v>
      </c>
      <c r="K24" s="206" t="n">
        <f aca="false">K23/K20</f>
        <v>0.564837656556952</v>
      </c>
      <c r="L24" s="206" t="n">
        <f aca="false">L23/L20</f>
        <v>0.568238061494062</v>
      </c>
      <c r="M24" s="206" t="n">
        <f aca="false">M23/M20</f>
        <v>0.571605452791007</v>
      </c>
      <c r="N24" s="206" t="n">
        <f aca="false">N23/N20</f>
        <v>0.574940150968564</v>
      </c>
      <c r="O24" s="208" t="n">
        <f aca="false">O23/O20</f>
        <v>0.574940150968564</v>
      </c>
      <c r="P24" s="15"/>
    </row>
    <row r="25" customFormat="false" ht="17.25" hidden="false" customHeight="true" outlineLevel="0" collapsed="false">
      <c r="A25" s="8"/>
      <c r="B25" s="187" t="s">
        <v>131</v>
      </c>
      <c r="C25" s="188"/>
      <c r="D25" s="188"/>
      <c r="E25" s="188"/>
      <c r="F25" s="188"/>
      <c r="G25" s="189" t="n">
        <f aca="false">Input!G35</f>
        <v>330</v>
      </c>
      <c r="H25" s="189" t="n">
        <f aca="false">Input!H35</f>
        <v>330</v>
      </c>
      <c r="I25" s="189" t="n">
        <f aca="false">Input!I35</f>
        <v>330</v>
      </c>
      <c r="J25" s="190" t="n">
        <f aca="false">Calculation!J113</f>
        <v>585.63</v>
      </c>
      <c r="K25" s="189" t="n">
        <f aca="false">Calculation!K113</f>
        <v>600.6489</v>
      </c>
      <c r="L25" s="189" t="n">
        <f aca="false">Calculation!L113</f>
        <v>616.067367</v>
      </c>
      <c r="M25" s="189" t="n">
        <f aca="false">Calculation!M113</f>
        <v>631.89636801</v>
      </c>
      <c r="N25" s="189" t="n">
        <f aca="false">Calculation!N113</f>
        <v>648.1471786503</v>
      </c>
      <c r="O25" s="191" t="n">
        <f aca="false">N25*(1+$E$16)</f>
        <v>654.628650436803</v>
      </c>
      <c r="P25" s="8"/>
    </row>
    <row r="26" customFormat="false" ht="17.25" hidden="false" customHeight="true" outlineLevel="0" collapsed="false">
      <c r="A26" s="15"/>
      <c r="B26" s="205" t="s">
        <v>211</v>
      </c>
      <c r="C26" s="75"/>
      <c r="D26" s="75"/>
      <c r="E26" s="75"/>
      <c r="F26" s="75"/>
      <c r="G26" s="206" t="n">
        <f aca="false">G25/G20</f>
        <v>0.33</v>
      </c>
      <c r="H26" s="206" t="n">
        <f aca="false">H25/H20</f>
        <v>0.275</v>
      </c>
      <c r="I26" s="206" t="n">
        <f aca="false">I25/I20</f>
        <v>0.235714285714286</v>
      </c>
      <c r="J26" s="207" t="n">
        <f aca="false">J25/J20</f>
        <v>0.270748959778086</v>
      </c>
      <c r="K26" s="206" t="n">
        <f aca="false">K25/K20</f>
        <v>0.269604379031281</v>
      </c>
      <c r="L26" s="206" t="n">
        <f aca="false">L25/L20</f>
        <v>0.26847091071891</v>
      </c>
      <c r="M26" s="206" t="n">
        <f aca="false">M25/M20</f>
        <v>0.267348446953262</v>
      </c>
      <c r="N26" s="206" t="n">
        <f aca="false">N25/N20</f>
        <v>0.266236880894077</v>
      </c>
      <c r="O26" s="208" t="n">
        <f aca="false">O25/O20</f>
        <v>0.266236880894077</v>
      </c>
      <c r="P26" s="15"/>
    </row>
    <row r="27" customFormat="false" ht="17.25" hidden="false" customHeight="true" outlineLevel="0" collapsed="false">
      <c r="A27" s="15"/>
      <c r="B27" s="200" t="s">
        <v>212</v>
      </c>
      <c r="C27" s="201"/>
      <c r="D27" s="201"/>
      <c r="E27" s="201"/>
      <c r="F27" s="201"/>
      <c r="G27" s="202" t="n">
        <f aca="false">G23-G25</f>
        <v>70</v>
      </c>
      <c r="H27" s="202" t="n">
        <f aca="false">H23-H25</f>
        <v>270</v>
      </c>
      <c r="I27" s="202" t="n">
        <f aca="false">I23-I25</f>
        <v>470</v>
      </c>
      <c r="J27" s="203" t="n">
        <f aca="false">J23-J25</f>
        <v>628.686666666667</v>
      </c>
      <c r="K27" s="202" t="n">
        <f aca="false">K23-K25</f>
        <v>657.747266666667</v>
      </c>
      <c r="L27" s="202" t="n">
        <f aca="false">L23-L25</f>
        <v>687.883684666667</v>
      </c>
      <c r="M27" s="202" t="n">
        <f aca="false">M23-M25</f>
        <v>719.132275206667</v>
      </c>
      <c r="N27" s="202" t="n">
        <f aca="false">N23-N25</f>
        <v>751.530565062867</v>
      </c>
      <c r="O27" s="204" t="n">
        <f aca="false">O23-O25</f>
        <v>759.045870713496</v>
      </c>
      <c r="P27" s="15"/>
    </row>
    <row r="28" customFormat="false" ht="17.25" hidden="false" customHeight="true" outlineLevel="0" collapsed="false">
      <c r="A28" s="15"/>
      <c r="B28" s="205" t="s">
        <v>213</v>
      </c>
      <c r="C28" s="75"/>
      <c r="D28" s="75"/>
      <c r="E28" s="75"/>
      <c r="F28" s="75"/>
      <c r="G28" s="206" t="n">
        <f aca="false">G27/G20</f>
        <v>0.07</v>
      </c>
      <c r="H28" s="206" t="n">
        <f aca="false">H27/H20</f>
        <v>0.225</v>
      </c>
      <c r="I28" s="206" t="n">
        <f aca="false">I27/I20</f>
        <v>0.335714285714286</v>
      </c>
      <c r="J28" s="207" t="n">
        <f aca="false">J27/J20</f>
        <v>0.29065495453845</v>
      </c>
      <c r="K28" s="206" t="n">
        <f aca="false">K27/K20</f>
        <v>0.295233277525671</v>
      </c>
      <c r="L28" s="206" t="n">
        <f aca="false">L27/L20</f>
        <v>0.299767150775152</v>
      </c>
      <c r="M28" s="206" t="n">
        <f aca="false">M27/M20</f>
        <v>0.304257005837745</v>
      </c>
      <c r="N28" s="206" t="n">
        <f aca="false">N27/N20</f>
        <v>0.308703270074487</v>
      </c>
      <c r="O28" s="208" t="n">
        <f aca="false">O27/O20</f>
        <v>0.308703270074487</v>
      </c>
      <c r="P28" s="15"/>
    </row>
    <row r="29" customFormat="false" ht="17.25" hidden="false" customHeight="true" outlineLevel="0" collapsed="false">
      <c r="A29" s="15"/>
      <c r="B29" s="209" t="s">
        <v>214</v>
      </c>
      <c r="C29" s="74"/>
      <c r="D29" s="74"/>
      <c r="E29" s="74"/>
      <c r="F29" s="74"/>
      <c r="G29" s="210" t="n">
        <f aca="false">Input!G42</f>
        <v>10</v>
      </c>
      <c r="H29" s="210" t="n">
        <f aca="false">Input!H42</f>
        <v>10</v>
      </c>
      <c r="I29" s="210" t="n">
        <f aca="false">Input!I42</f>
        <v>10</v>
      </c>
      <c r="J29" s="211"/>
      <c r="K29" s="212"/>
      <c r="L29" s="212"/>
      <c r="M29" s="212"/>
      <c r="N29" s="212"/>
      <c r="O29" s="213"/>
      <c r="P29" s="15"/>
    </row>
    <row r="30" customFormat="false" ht="17.25" hidden="false" customHeight="true" outlineLevel="0" collapsed="false">
      <c r="A30" s="15"/>
      <c r="B30" s="200" t="s">
        <v>65</v>
      </c>
      <c r="C30" s="201"/>
      <c r="D30" s="201"/>
      <c r="E30" s="201"/>
      <c r="F30" s="201"/>
      <c r="G30" s="202" t="n">
        <f aca="false">G27+G29</f>
        <v>80</v>
      </c>
      <c r="H30" s="202" t="n">
        <f aca="false">H27+H29</f>
        <v>280</v>
      </c>
      <c r="I30" s="202" t="n">
        <f aca="false">I27+I29</f>
        <v>480</v>
      </c>
      <c r="J30" s="203" t="n">
        <f aca="false">J27+J29</f>
        <v>628.686666666667</v>
      </c>
      <c r="K30" s="202" t="n">
        <f aca="false">K27+K29</f>
        <v>657.747266666667</v>
      </c>
      <c r="L30" s="202" t="n">
        <f aca="false">L27+L29</f>
        <v>687.883684666667</v>
      </c>
      <c r="M30" s="202" t="n">
        <f aca="false">M27+M29</f>
        <v>719.132275206667</v>
      </c>
      <c r="N30" s="202" t="n">
        <f aca="false">N27+N29</f>
        <v>751.530565062867</v>
      </c>
      <c r="O30" s="204" t="n">
        <f aca="false">O27+O29</f>
        <v>759.045870713496</v>
      </c>
      <c r="P30" s="15"/>
    </row>
    <row r="31" customFormat="false" ht="17.25" hidden="false" customHeight="true" outlineLevel="0" collapsed="false">
      <c r="A31" s="15"/>
      <c r="B31" s="205" t="s">
        <v>215</v>
      </c>
      <c r="C31" s="75"/>
      <c r="D31" s="75"/>
      <c r="E31" s="75"/>
      <c r="F31" s="75"/>
      <c r="G31" s="206" t="n">
        <f aca="false">G30/G20</f>
        <v>0.08</v>
      </c>
      <c r="H31" s="206" t="n">
        <f aca="false">H30/H23</f>
        <v>0.466666666666667</v>
      </c>
      <c r="I31" s="206" t="n">
        <f aca="false">I30/I23</f>
        <v>0.6</v>
      </c>
      <c r="J31" s="207" t="n">
        <f aca="false">J30/J23</f>
        <v>0.51772876377661</v>
      </c>
      <c r="K31" s="206" t="n">
        <f aca="false">K30/K23</f>
        <v>0.522686959869686</v>
      </c>
      <c r="L31" s="206" t="n">
        <f aca="false">L30/L23</f>
        <v>0.527537965315061</v>
      </c>
      <c r="M31" s="206" t="n">
        <f aca="false">M30/M23</f>
        <v>0.532284995449455</v>
      </c>
      <c r="N31" s="206" t="n">
        <f aca="false">N30/N23</f>
        <v>0.53693113892713</v>
      </c>
      <c r="O31" s="208" t="n">
        <f aca="false">O30/O23</f>
        <v>0.536931138927131</v>
      </c>
      <c r="P31" s="15"/>
    </row>
    <row r="32" customFormat="false" ht="17.25" hidden="false" customHeight="true" outlineLevel="0" collapsed="false">
      <c r="A32" s="15"/>
      <c r="B32" s="209" t="s">
        <v>216</v>
      </c>
      <c r="C32" s="74"/>
      <c r="D32" s="74"/>
      <c r="E32" s="74"/>
      <c r="F32" s="74"/>
      <c r="G32" s="210" t="n">
        <f aca="false">Input!G52</f>
        <v>20</v>
      </c>
      <c r="H32" s="210" t="n">
        <f aca="false">Input!H52</f>
        <v>30</v>
      </c>
      <c r="I32" s="210" t="n">
        <f aca="false">Input!I52</f>
        <v>40</v>
      </c>
      <c r="J32" s="214" t="n">
        <f aca="false">IF(J27&lt;=200,
     J27*0.1*1.1,
 IF(J27&lt;=30000,
     ((J27-200)*0.2 + 200*0.1)*1.1,
 IF(J27&lt;=300000,
     ((J27-30000)*0.22 + (30000-200)*0.2 + 200*0.1)*1.1,
     ((J27-300000)*0.24 + (300000-30000)*0.22 + (30000-200)*0.2 + 200*0.1)*1.1)))</f>
        <v>116.311066666667</v>
      </c>
      <c r="K32" s="210" t="n">
        <f aca="false">IF(K27&lt;=200,
     K27*0.1*1.1,
 IF(K27&lt;=30000,
     ((K27-200)*0.2 + 200*0.1)*1.1,
 IF(K27&lt;=300000,
     ((K27-30000)*0.22 + (30000-200)*0.2 + 200*0.1)*1.1,
     ((K27-300000)*0.24 + (300000-30000)*0.22 + (30000-200)*0.2 + 200*0.1)*1.1)))</f>
        <v>122.704398666667</v>
      </c>
      <c r="L32" s="210" t="n">
        <f aca="false">IF(L27&lt;=200,
L27*0.1*1.1,
IF(L27&lt;=30000,
((L27-200)*0.2 + 200*0.1)*1.1,
IF(L27&lt;=300000,
((L27-30000)*0.22 + (30000-200)*0.2 + 200*0.1)*1.1,
((L27-300000)*0.24 + (300000-30000)*0.22 + (30000-200)*0.2 + 200*0.1)*1.1)))</f>
        <v>129.334410626667</v>
      </c>
      <c r="M32" s="210" t="n">
        <f aca="false">IF(M27&lt;=200,
M27*0.1*1.1,
IF(M27&lt;=30000,
((M27-200)*0.2 + 200*0.1)*1.1,
IF(M27&lt;=300000,
((M27-30000)*0.22 + (30000-200)*0.2 + 200*0.1)*1.1,
((M27-300000)*0.24 + (300000-30000)*0.22 + (30000-200)*0.2 + 200*0.1)*1.1)))</f>
        <v>136.209100545467</v>
      </c>
      <c r="N32" s="210" t="n">
        <f aca="false">IF(N27&lt;=200,
N27*0.1*1.1,
IF(N27&lt;=30000,
((N27-200)*0.2 + 200*0.1)*1.1,
IF(N27&lt;=300000,
((N27-30000)*0.22 + (30000-200)*0.2 + 200*0.1)*1.1,
((N27-300000)*0.24 + (300000-30000)*0.22 + (30000-200)*0.2 + 200*0.1)*1.1)))</f>
        <v>143.336724313831</v>
      </c>
      <c r="O32" s="215" t="n">
        <f aca="false">IF(O27&lt;=200,
O27*0.1*1.1,
IF(O27&lt;=30000,
((O27-200)*0.2 + 200*0.1)*1.1,
IF(O27&lt;=300000,
((O27-30000)*0.22 + (30000-200)*0.2 + 200*0.1)*1.1,
((O27-300000)*0.24 + (300000-30000)*0.22 + (30000-200)*0.2 + 200*0.1)*1.1)))</f>
        <v>144.990091556969</v>
      </c>
      <c r="P32" s="15"/>
    </row>
    <row r="33" customFormat="false" ht="17.25" hidden="false" customHeight="true" outlineLevel="0" collapsed="false">
      <c r="A33" s="15"/>
      <c r="B33" s="200" t="s">
        <v>217</v>
      </c>
      <c r="C33" s="201"/>
      <c r="D33" s="201"/>
      <c r="E33" s="201"/>
      <c r="F33" s="201"/>
      <c r="G33" s="202" t="n">
        <f aca="false">G30-G32</f>
        <v>60</v>
      </c>
      <c r="H33" s="202" t="n">
        <f aca="false">H30-H32</f>
        <v>250</v>
      </c>
      <c r="I33" s="202" t="n">
        <f aca="false">I30-I32</f>
        <v>440</v>
      </c>
      <c r="J33" s="203" t="n">
        <f aca="false">J30-J32</f>
        <v>512.3756</v>
      </c>
      <c r="K33" s="202" t="n">
        <f aca="false">K30-K32</f>
        <v>535.042868</v>
      </c>
      <c r="L33" s="202" t="n">
        <f aca="false">L30-L32</f>
        <v>558.54927404</v>
      </c>
      <c r="M33" s="202" t="n">
        <f aca="false">M30-M32</f>
        <v>582.9231746612</v>
      </c>
      <c r="N33" s="202" t="n">
        <f aca="false">N30-N32</f>
        <v>608.193840749036</v>
      </c>
      <c r="O33" s="204" t="n">
        <f aca="false">O30-O32</f>
        <v>614.055779156527</v>
      </c>
      <c r="P33" s="15"/>
    </row>
    <row r="34" customFormat="false" ht="17.25" hidden="false" customHeight="true" outlineLevel="0" collapsed="false">
      <c r="A34" s="15"/>
      <c r="B34" s="192" t="s">
        <v>214</v>
      </c>
      <c r="C34" s="15"/>
      <c r="D34" s="15"/>
      <c r="E34" s="15"/>
      <c r="F34" s="15"/>
      <c r="G34" s="112" t="n">
        <f aca="false">G29</f>
        <v>10</v>
      </c>
      <c r="H34" s="112" t="n">
        <f aca="false">H29</f>
        <v>10</v>
      </c>
      <c r="I34" s="112" t="n">
        <f aca="false">I29</f>
        <v>10</v>
      </c>
      <c r="J34" s="216"/>
      <c r="K34" s="112"/>
      <c r="L34" s="112"/>
      <c r="M34" s="112"/>
      <c r="N34" s="112"/>
      <c r="O34" s="217"/>
      <c r="P34" s="15"/>
    </row>
    <row r="35" customFormat="false" ht="17.25" hidden="false" customHeight="true" outlineLevel="0" collapsed="false">
      <c r="A35" s="15"/>
      <c r="B35" s="192" t="s">
        <v>218</v>
      </c>
      <c r="C35" s="15"/>
      <c r="D35" s="15"/>
      <c r="E35" s="15"/>
      <c r="F35" s="15"/>
      <c r="G35" s="112" t="n">
        <f aca="false">Input!G203</f>
        <v>0</v>
      </c>
      <c r="H35" s="112" t="n">
        <f aca="false">Input!H203</f>
        <v>-0</v>
      </c>
      <c r="I35" s="112" t="n">
        <f aca="false">Input!I203</f>
        <v>-0</v>
      </c>
      <c r="J35" s="218" t="n">
        <f aca="false">Calculation!J170</f>
        <v>3.61388888888888</v>
      </c>
      <c r="K35" s="112" t="n">
        <f aca="false">Calculation!K170</f>
        <v>6.06119444444443</v>
      </c>
      <c r="L35" s="112" t="n">
        <f aca="false">Calculation!L170</f>
        <v>3.66418719634703</v>
      </c>
      <c r="M35" s="112" t="n">
        <f aca="false">Calculation!M170</f>
        <v>1.14720310468039</v>
      </c>
      <c r="N35" s="112" t="n">
        <f aca="false">Calculation!N170</f>
        <v>-1.49448762830554</v>
      </c>
      <c r="O35" s="219" t="n">
        <f aca="false">Calculation!O170</f>
        <v>-2.85992365289138</v>
      </c>
      <c r="P35" s="15"/>
    </row>
    <row r="36" customFormat="false" ht="17.25" hidden="false" customHeight="true" outlineLevel="0" collapsed="false">
      <c r="A36" s="15"/>
      <c r="B36" s="205" t="s">
        <v>219</v>
      </c>
      <c r="C36" s="75"/>
      <c r="D36" s="75"/>
      <c r="E36" s="75"/>
      <c r="F36" s="75"/>
      <c r="G36" s="175"/>
      <c r="H36" s="175"/>
      <c r="I36" s="175"/>
      <c r="J36" s="220"/>
      <c r="K36" s="175"/>
      <c r="L36" s="175"/>
      <c r="M36" s="175"/>
      <c r="N36" s="175"/>
      <c r="O36" s="221"/>
      <c r="P36" s="15"/>
    </row>
    <row r="37" customFormat="false" ht="17.25" hidden="false" customHeight="true" outlineLevel="0" collapsed="false">
      <c r="A37" s="65"/>
      <c r="B37" s="222" t="s">
        <v>220</v>
      </c>
      <c r="C37" s="222"/>
      <c r="D37" s="222"/>
      <c r="E37" s="222"/>
      <c r="F37" s="222"/>
      <c r="G37" s="223" t="n">
        <f aca="false">SUM(G33:G36)</f>
        <v>70</v>
      </c>
      <c r="H37" s="223" t="n">
        <f aca="false">SUM(H33:H36)</f>
        <v>260</v>
      </c>
      <c r="I37" s="223" t="n">
        <f aca="false">SUM(I33:I36)</f>
        <v>450</v>
      </c>
      <c r="J37" s="223" t="n">
        <f aca="false">SUM(J33:J36)</f>
        <v>515.989488888889</v>
      </c>
      <c r="K37" s="223" t="n">
        <f aca="false">SUM(K33:K36)</f>
        <v>541.104062444445</v>
      </c>
      <c r="L37" s="223" t="n">
        <f aca="false">SUM(L33:L36)</f>
        <v>562.213461236347</v>
      </c>
      <c r="M37" s="223" t="n">
        <f aca="false">SUM(M33:M36)</f>
        <v>584.07037776588</v>
      </c>
      <c r="N37" s="223" t="n">
        <f aca="false">SUM(N33:N36)</f>
        <v>606.699353120731</v>
      </c>
      <c r="O37" s="223" t="n">
        <f aca="false">SUM(O33:O36)</f>
        <v>611.195855503635</v>
      </c>
      <c r="P37" s="65"/>
    </row>
    <row r="38" customFormat="false" ht="17.25" hidden="false" customHeight="true" outlineLevel="0" collapsed="false">
      <c r="A38" s="15"/>
      <c r="B38" s="192" t="s">
        <v>221</v>
      </c>
      <c r="C38" s="15"/>
      <c r="D38" s="15"/>
      <c r="E38" s="15"/>
      <c r="F38" s="15"/>
      <c r="G38" s="15"/>
      <c r="H38" s="15"/>
      <c r="I38" s="15"/>
      <c r="J38" s="224" t="n">
        <f aca="false">(J8-Input!E15)/DCF!J11/2</f>
        <v>0.501373626373626</v>
      </c>
      <c r="K38" s="225" t="n">
        <f aca="false">J38+1</f>
        <v>1.50137362637363</v>
      </c>
      <c r="L38" s="225" t="n">
        <f aca="false">K38+1</f>
        <v>2.50137362637363</v>
      </c>
      <c r="M38" s="225" t="n">
        <f aca="false">L38+1</f>
        <v>3.50137362637363</v>
      </c>
      <c r="N38" s="225" t="n">
        <f aca="false">M38+1</f>
        <v>4.50137362637363</v>
      </c>
      <c r="O38" s="226" t="n">
        <f aca="false">N38</f>
        <v>4.50137362637363</v>
      </c>
      <c r="P38" s="15"/>
    </row>
    <row r="39" customFormat="false" ht="17.25" hidden="false" customHeight="true" outlineLevel="0" collapsed="false">
      <c r="A39" s="15"/>
      <c r="B39" s="192" t="s">
        <v>222</v>
      </c>
      <c r="C39" s="15"/>
      <c r="D39" s="15"/>
      <c r="E39" s="15"/>
      <c r="F39" s="15"/>
      <c r="G39" s="15"/>
      <c r="H39" s="15"/>
      <c r="I39" s="15"/>
      <c r="J39" s="224" t="n">
        <f aca="false">1/(1+$E$15)^DCF!J38</f>
        <v>0.953337769544502</v>
      </c>
      <c r="K39" s="225" t="n">
        <f aca="false">1/(1+$E$15)^DCF!K38</f>
        <v>0.866670699585911</v>
      </c>
      <c r="L39" s="225" t="n">
        <f aca="false">1/(1+$E$15)^DCF!L38</f>
        <v>0.78788245416901</v>
      </c>
      <c r="M39" s="225" t="n">
        <f aca="false">1/(1+$E$15)^DCF!M38</f>
        <v>0.716256776517282</v>
      </c>
      <c r="N39" s="225" t="n">
        <f aca="false">1/(1+$E$15)^DCF!N38</f>
        <v>0.65114252410662</v>
      </c>
      <c r="O39" s="226" t="n">
        <f aca="false">1/(1+$E$15)^DCF!O38</f>
        <v>0.65114252410662</v>
      </c>
      <c r="P39" s="15"/>
    </row>
    <row r="40" customFormat="false" ht="17.25" hidden="false" customHeight="true" outlineLevel="0" collapsed="false">
      <c r="A40" s="15"/>
      <c r="B40" s="205" t="s">
        <v>223</v>
      </c>
      <c r="C40" s="75"/>
      <c r="D40" s="75"/>
      <c r="E40" s="75"/>
      <c r="F40" s="75"/>
      <c r="G40" s="75"/>
      <c r="H40" s="75"/>
      <c r="I40" s="75"/>
      <c r="J40" s="227" t="n">
        <f aca="false">J37*J39</f>
        <v>491.912268445741</v>
      </c>
      <c r="K40" s="137" t="n">
        <f aca="false">K37*K39</f>
        <v>468.959036347505</v>
      </c>
      <c r="L40" s="137" t="n">
        <f aca="false">L37*L39</f>
        <v>442.958121605746</v>
      </c>
      <c r="M40" s="137" t="n">
        <f aca="false">M37*M39</f>
        <v>418.34436603782</v>
      </c>
      <c r="N40" s="137" t="n">
        <f aca="false">N37*N39</f>
        <v>395.047748164886</v>
      </c>
      <c r="O40" s="228" t="n">
        <f aca="false">O37*O39</f>
        <v>397.975612076142</v>
      </c>
      <c r="P40" s="15"/>
    </row>
    <row r="41" customFormat="false" ht="17.25" hidden="false" customHeight="true" outlineLevel="0" collapsed="false">
      <c r="A41" s="65"/>
      <c r="B41" s="222" t="s">
        <v>224</v>
      </c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223" t="n">
        <f aca="false">SUM(J40:O40)</f>
        <v>2615.19715267784</v>
      </c>
      <c r="P41" s="65"/>
    </row>
    <row r="42" customFormat="false" ht="17.25" hidden="false" customHeight="true" outlineLevel="0" collapsed="false">
      <c r="A42" s="15"/>
      <c r="B42" s="205" t="s">
        <v>225</v>
      </c>
      <c r="C42" s="75"/>
      <c r="D42" s="75"/>
      <c r="E42" s="75"/>
      <c r="F42" s="75"/>
      <c r="G42" s="75"/>
      <c r="H42" s="75"/>
      <c r="I42" s="75"/>
      <c r="J42" s="229"/>
      <c r="K42" s="75"/>
      <c r="L42" s="75"/>
      <c r="M42" s="75"/>
      <c r="N42" s="75"/>
      <c r="O42" s="228" t="n">
        <f aca="false">Input!I253</f>
        <v>0</v>
      </c>
      <c r="P42" s="15"/>
    </row>
    <row r="43" customFormat="false" ht="17.25" hidden="false" customHeight="true" outlineLevel="0" collapsed="false">
      <c r="A43" s="65"/>
      <c r="B43" s="88" t="s">
        <v>226</v>
      </c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223" t="n">
        <f aca="false">O41+O42</f>
        <v>2615.19715267784</v>
      </c>
      <c r="P43" s="65"/>
    </row>
    <row r="44" customFormat="false" ht="18" hidden="false" customHeight="true" outlineLevel="0" collapsed="false">
      <c r="A44" s="15"/>
      <c r="B44" s="205" t="s">
        <v>227</v>
      </c>
      <c r="C44" s="75"/>
      <c r="D44" s="75"/>
      <c r="E44" s="75"/>
      <c r="F44" s="75"/>
      <c r="G44" s="75"/>
      <c r="H44" s="75"/>
      <c r="I44" s="75"/>
      <c r="J44" s="229"/>
      <c r="K44" s="75"/>
      <c r="L44" s="75"/>
      <c r="M44" s="75"/>
      <c r="N44" s="75"/>
      <c r="O44" s="219" t="n">
        <f aca="false">Input!I248</f>
        <v>250</v>
      </c>
      <c r="P44" s="15"/>
    </row>
    <row r="45" customFormat="false" ht="18" hidden="false" customHeight="true" outlineLevel="0" collapsed="false">
      <c r="A45" s="65"/>
      <c r="B45" s="88" t="s">
        <v>228</v>
      </c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223" t="n">
        <f aca="false">O43-O44</f>
        <v>2365.19715267784</v>
      </c>
      <c r="P45" s="65"/>
    </row>
    <row r="46" customFormat="false" ht="17.25" hidden="false" customHeight="true" outlineLevel="0" collapsed="false">
      <c r="A46" s="15"/>
      <c r="B46" s="230" t="s">
        <v>229</v>
      </c>
      <c r="C46" s="75"/>
      <c r="D46" s="75"/>
      <c r="E46" s="75"/>
      <c r="F46" s="75"/>
      <c r="G46" s="75"/>
      <c r="H46" s="75"/>
      <c r="I46" s="75"/>
      <c r="J46" s="229"/>
      <c r="K46" s="75"/>
      <c r="L46" s="75"/>
      <c r="M46" s="75"/>
      <c r="N46" s="75"/>
      <c r="O46" s="231"/>
      <c r="P46" s="15"/>
    </row>
    <row r="47" customFormat="false" ht="17.25" hidden="false" customHeight="true" outlineLevel="0" collapsed="false">
      <c r="A47" s="65"/>
      <c r="B47" s="88" t="s">
        <v>230</v>
      </c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232" t="n">
        <f aca="false">O45*O46</f>
        <v>0</v>
      </c>
      <c r="P47" s="65"/>
    </row>
    <row r="48" customFormat="false" ht="17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7.25" hidden="false" customHeight="true" outlineLevel="0" collapsed="false">
      <c r="A49" s="8"/>
      <c r="B49" s="44" t="s">
        <v>231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8"/>
      <c r="Q49" s="8"/>
    </row>
    <row r="50" customFormat="false" ht="17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6.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233"/>
      <c r="K51" s="234"/>
      <c r="L51" s="235" t="s">
        <v>232</v>
      </c>
      <c r="M51" s="235"/>
      <c r="N51" s="235"/>
      <c r="O51" s="3"/>
    </row>
    <row r="52" customFormat="false" ht="17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236" t="s">
        <v>114</v>
      </c>
      <c r="K52" s="237" t="n">
        <f aca="false">O45</f>
        <v>2365.19715267784</v>
      </c>
      <c r="L52" s="238" t="n">
        <v>0.005</v>
      </c>
      <c r="M52" s="238" t="n">
        <v>0.01</v>
      </c>
      <c r="N52" s="238" t="n">
        <v>0.015</v>
      </c>
      <c r="O52" s="3"/>
    </row>
    <row r="53" customFormat="false" ht="17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239" t="s">
        <v>233</v>
      </c>
      <c r="K53" s="240" t="n">
        <v>0.09</v>
      </c>
      <c r="L53" s="241" t="n">
        <v>2429.05330464435</v>
      </c>
      <c r="M53" s="241" t="n">
        <v>2431.03705317351</v>
      </c>
      <c r="N53" s="241" t="n">
        <v>2433.02080170266</v>
      </c>
      <c r="O53" s="3"/>
    </row>
    <row r="54" customFormat="false" ht="17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239"/>
      <c r="K54" s="240" t="n">
        <v>0.1</v>
      </c>
      <c r="L54" s="241" t="n">
        <v>2363.29330005242</v>
      </c>
      <c r="M54" s="242" t="n">
        <v>2365.19715267784</v>
      </c>
      <c r="N54" s="241" t="n">
        <v>2367.10100530326</v>
      </c>
      <c r="O54" s="3"/>
    </row>
    <row r="55" customFormat="false" ht="17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239"/>
      <c r="K55" s="240" t="n">
        <v>0.11</v>
      </c>
      <c r="L55" s="241" t="n">
        <v>2300.19483885584</v>
      </c>
      <c r="M55" s="241" t="n">
        <v>2302.02269329214</v>
      </c>
      <c r="N55" s="241" t="n">
        <v>2303.85054772843</v>
      </c>
      <c r="O55" s="3"/>
    </row>
    <row r="56" customFormat="false" ht="17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7.25" hidden="false" customHeight="true" outlineLevel="0" collapsed="false">
      <c r="A57" s="8"/>
      <c r="B57" s="44" t="s">
        <v>234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8"/>
    </row>
    <row r="58" customFormat="false" ht="17.25" hidden="false" customHeight="true" outlineLevel="0" collapsed="false">
      <c r="A58" s="3"/>
      <c r="B58" s="3"/>
      <c r="C58" s="3"/>
      <c r="D58" s="3"/>
      <c r="E58" s="3"/>
      <c r="F58" s="3"/>
      <c r="G58" s="106"/>
      <c r="H58" s="106"/>
      <c r="I58" s="106"/>
      <c r="J58" s="106"/>
      <c r="K58" s="243"/>
      <c r="L58" s="244"/>
      <c r="M58" s="245"/>
      <c r="N58" s="244"/>
      <c r="O58" s="3"/>
    </row>
    <row r="59" customFormat="false" ht="17.25" hidden="false" customHeight="true" outlineLevel="0" collapsed="false">
      <c r="A59" s="51"/>
      <c r="B59" s="121"/>
      <c r="C59" s="121"/>
      <c r="D59" s="121"/>
      <c r="E59" s="121"/>
      <c r="F59" s="121"/>
      <c r="G59" s="186" t="s">
        <v>29</v>
      </c>
      <c r="H59" s="186"/>
      <c r="I59" s="186"/>
      <c r="J59" s="186" t="s">
        <v>30</v>
      </c>
      <c r="K59" s="186"/>
      <c r="L59" s="186"/>
      <c r="M59" s="186"/>
      <c r="N59" s="186"/>
      <c r="O59" s="51"/>
      <c r="P59" s="51"/>
      <c r="Q59" s="51"/>
      <c r="R59" s="51"/>
      <c r="S59" s="51"/>
    </row>
    <row r="60" customFormat="false" ht="17.25" hidden="false" customHeight="true" outlineLevel="0" collapsed="false">
      <c r="A60" s="51"/>
      <c r="B60" s="121" t="s">
        <v>207</v>
      </c>
      <c r="C60" s="51"/>
      <c r="D60" s="51"/>
      <c r="E60" s="51"/>
      <c r="F60" s="51"/>
      <c r="G60" s="72" t="str">
        <f aca="false">"FY"&amp;G10</f>
        <v>FY2023</v>
      </c>
      <c r="H60" s="72" t="str">
        <f aca="false">"FY"&amp;H10</f>
        <v>FY2024</v>
      </c>
      <c r="I60" s="72" t="str">
        <f aca="false">"FY"&amp;I10</f>
        <v>FY2025</v>
      </c>
      <c r="J60" s="72" t="str">
        <f aca="false">"FY"&amp;J10</f>
        <v>FY2026</v>
      </c>
      <c r="K60" s="72" t="str">
        <f aca="false">"FY"&amp;K10</f>
        <v>FY2027</v>
      </c>
      <c r="L60" s="72" t="str">
        <f aca="false">"FY"&amp;L10</f>
        <v>FY2028</v>
      </c>
      <c r="M60" s="72" t="str">
        <f aca="false">"FY"&amp;M10</f>
        <v>FY2029</v>
      </c>
      <c r="N60" s="72" t="str">
        <f aca="false">"FY"&amp;N10</f>
        <v>FY2030</v>
      </c>
      <c r="O60" s="51"/>
      <c r="P60" s="51"/>
    </row>
    <row r="61" customFormat="false" ht="17.25" hidden="false" customHeight="true" outlineLevel="0" collapsed="false">
      <c r="A61" s="8"/>
      <c r="B61" s="187" t="s">
        <v>172</v>
      </c>
      <c r="C61" s="188"/>
      <c r="D61" s="188"/>
      <c r="E61" s="188"/>
      <c r="F61" s="188"/>
      <c r="G61" s="189" t="n">
        <f aca="false">G20</f>
        <v>1000</v>
      </c>
      <c r="H61" s="189" t="n">
        <f aca="false">H20</f>
        <v>1200</v>
      </c>
      <c r="I61" s="189" t="n">
        <f aca="false">I20</f>
        <v>1400</v>
      </c>
      <c r="J61" s="190" t="n">
        <f aca="false">J20</f>
        <v>2163</v>
      </c>
      <c r="K61" s="189" t="n">
        <f aca="false">K20</f>
        <v>2227.89</v>
      </c>
      <c r="L61" s="189" t="n">
        <f aca="false">L20</f>
        <v>2294.7267</v>
      </c>
      <c r="M61" s="189" t="n">
        <f aca="false">M20</f>
        <v>2363.568501</v>
      </c>
      <c r="N61" s="191" t="n">
        <f aca="false">N20</f>
        <v>2434.47555603</v>
      </c>
      <c r="O61" s="8"/>
      <c r="P61" s="8"/>
    </row>
    <row r="62" customFormat="false" ht="17.25" hidden="false" customHeight="true" outlineLevel="0" collapsed="false">
      <c r="A62" s="15"/>
      <c r="B62" s="192" t="s">
        <v>208</v>
      </c>
      <c r="C62" s="15"/>
      <c r="D62" s="15"/>
      <c r="E62" s="15"/>
      <c r="F62" s="15"/>
      <c r="G62" s="112" t="n">
        <f aca="false">G21</f>
        <v>0</v>
      </c>
      <c r="H62" s="116" t="n">
        <f aca="false">H21</f>
        <v>0.2</v>
      </c>
      <c r="I62" s="116" t="n">
        <f aca="false">I21</f>
        <v>0.166666666666667</v>
      </c>
      <c r="J62" s="193" t="n">
        <f aca="false">J21</f>
        <v>0.545</v>
      </c>
      <c r="K62" s="116" t="n">
        <f aca="false">K21</f>
        <v>0.0300000000000003</v>
      </c>
      <c r="L62" s="116" t="n">
        <f aca="false">L21</f>
        <v>0.0299999999999998</v>
      </c>
      <c r="M62" s="116" t="n">
        <f aca="false">M21</f>
        <v>0.0300000000000003</v>
      </c>
      <c r="N62" s="194" t="n">
        <f aca="false">N21</f>
        <v>0.03</v>
      </c>
      <c r="O62" s="15"/>
      <c r="P62" s="15"/>
    </row>
    <row r="63" customFormat="false" ht="17.25" hidden="false" customHeight="true" outlineLevel="0" collapsed="false">
      <c r="A63" s="8"/>
      <c r="B63" s="195" t="s">
        <v>129</v>
      </c>
      <c r="C63" s="196"/>
      <c r="D63" s="196"/>
      <c r="E63" s="196"/>
      <c r="F63" s="196"/>
      <c r="G63" s="197" t="n">
        <f aca="false">G22</f>
        <v>600</v>
      </c>
      <c r="H63" s="197" t="n">
        <f aca="false">H22</f>
        <v>600</v>
      </c>
      <c r="I63" s="197" t="n">
        <f aca="false">I22</f>
        <v>600</v>
      </c>
      <c r="J63" s="198" t="n">
        <f aca="false">J22</f>
        <v>948.683333333333</v>
      </c>
      <c r="K63" s="197" t="n">
        <f aca="false">K22</f>
        <v>969.493833333333</v>
      </c>
      <c r="L63" s="197" t="n">
        <f aca="false">L22</f>
        <v>990.775648333333</v>
      </c>
      <c r="M63" s="197" t="n">
        <f aca="false">M22</f>
        <v>1012.53985778333</v>
      </c>
      <c r="N63" s="199" t="n">
        <f aca="false">N22</f>
        <v>1034.79781231683</v>
      </c>
      <c r="O63" s="8"/>
      <c r="P63" s="8"/>
    </row>
    <row r="64" customFormat="false" ht="17.25" hidden="false" customHeight="true" outlineLevel="0" collapsed="false">
      <c r="A64" s="15"/>
      <c r="B64" s="200" t="s">
        <v>209</v>
      </c>
      <c r="C64" s="201"/>
      <c r="D64" s="201"/>
      <c r="E64" s="201"/>
      <c r="F64" s="201"/>
      <c r="G64" s="202" t="n">
        <f aca="false">G23</f>
        <v>400</v>
      </c>
      <c r="H64" s="202" t="n">
        <f aca="false">H23</f>
        <v>600</v>
      </c>
      <c r="I64" s="202" t="n">
        <f aca="false">I23</f>
        <v>800</v>
      </c>
      <c r="J64" s="203" t="n">
        <f aca="false">J23</f>
        <v>1214.31666666667</v>
      </c>
      <c r="K64" s="202" t="n">
        <f aca="false">K23</f>
        <v>1258.39616666667</v>
      </c>
      <c r="L64" s="202" t="n">
        <f aca="false">L23</f>
        <v>1303.95105166667</v>
      </c>
      <c r="M64" s="202" t="n">
        <f aca="false">M23</f>
        <v>1351.02864321667</v>
      </c>
      <c r="N64" s="204" t="n">
        <f aca="false">N23</f>
        <v>1399.67774371317</v>
      </c>
      <c r="O64" s="15"/>
      <c r="P64" s="15"/>
    </row>
    <row r="65" customFormat="false" ht="17.25" hidden="false" customHeight="true" outlineLevel="0" collapsed="false">
      <c r="A65" s="15"/>
      <c r="B65" s="205" t="s">
        <v>210</v>
      </c>
      <c r="C65" s="75"/>
      <c r="D65" s="75"/>
      <c r="E65" s="75"/>
      <c r="F65" s="75"/>
      <c r="G65" s="206" t="n">
        <f aca="false">G24</f>
        <v>0.4</v>
      </c>
      <c r="H65" s="206" t="n">
        <f aca="false">H24</f>
        <v>0.5</v>
      </c>
      <c r="I65" s="206" t="n">
        <f aca="false">I24</f>
        <v>0.571428571428571</v>
      </c>
      <c r="J65" s="207" t="n">
        <f aca="false">J24</f>
        <v>0.561403914316536</v>
      </c>
      <c r="K65" s="206" t="n">
        <f aca="false">K24</f>
        <v>0.564837656556952</v>
      </c>
      <c r="L65" s="206" t="n">
        <f aca="false">L24</f>
        <v>0.568238061494062</v>
      </c>
      <c r="M65" s="206" t="n">
        <f aca="false">M24</f>
        <v>0.571605452791007</v>
      </c>
      <c r="N65" s="208" t="n">
        <f aca="false">N24</f>
        <v>0.574940150968564</v>
      </c>
      <c r="O65" s="15"/>
      <c r="P65" s="15"/>
    </row>
    <row r="66" customFormat="false" ht="17.25" hidden="false" customHeight="true" outlineLevel="0" collapsed="false">
      <c r="A66" s="8"/>
      <c r="B66" s="187" t="s">
        <v>131</v>
      </c>
      <c r="C66" s="188"/>
      <c r="D66" s="188"/>
      <c r="E66" s="188"/>
      <c r="F66" s="188"/>
      <c r="G66" s="189" t="n">
        <f aca="false">G25</f>
        <v>330</v>
      </c>
      <c r="H66" s="189" t="n">
        <f aca="false">H25</f>
        <v>330</v>
      </c>
      <c r="I66" s="189" t="n">
        <f aca="false">I25</f>
        <v>330</v>
      </c>
      <c r="J66" s="190" t="n">
        <f aca="false">J25</f>
        <v>585.63</v>
      </c>
      <c r="K66" s="189" t="n">
        <f aca="false">K25</f>
        <v>600.6489</v>
      </c>
      <c r="L66" s="189" t="n">
        <f aca="false">L25</f>
        <v>616.067367</v>
      </c>
      <c r="M66" s="189" t="n">
        <f aca="false">M25</f>
        <v>631.89636801</v>
      </c>
      <c r="N66" s="191" t="n">
        <f aca="false">N25</f>
        <v>648.1471786503</v>
      </c>
      <c r="O66" s="8"/>
      <c r="P66" s="8"/>
    </row>
    <row r="67" customFormat="false" ht="17.25" hidden="false" customHeight="true" outlineLevel="0" collapsed="false">
      <c r="A67" s="15"/>
      <c r="B67" s="205" t="s">
        <v>211</v>
      </c>
      <c r="C67" s="75"/>
      <c r="D67" s="75"/>
      <c r="E67" s="75"/>
      <c r="F67" s="75"/>
      <c r="G67" s="206" t="n">
        <f aca="false">G26</f>
        <v>0.33</v>
      </c>
      <c r="H67" s="206" t="n">
        <f aca="false">H26</f>
        <v>0.275</v>
      </c>
      <c r="I67" s="206" t="n">
        <f aca="false">I26</f>
        <v>0.235714285714286</v>
      </c>
      <c r="J67" s="207" t="n">
        <f aca="false">J26</f>
        <v>0.270748959778086</v>
      </c>
      <c r="K67" s="206" t="n">
        <f aca="false">K26</f>
        <v>0.269604379031281</v>
      </c>
      <c r="L67" s="206" t="n">
        <f aca="false">L26</f>
        <v>0.26847091071891</v>
      </c>
      <c r="M67" s="206" t="n">
        <f aca="false">M26</f>
        <v>0.267348446953262</v>
      </c>
      <c r="N67" s="208" t="n">
        <f aca="false">N26</f>
        <v>0.266236880894077</v>
      </c>
      <c r="O67" s="15"/>
      <c r="P67" s="15"/>
    </row>
    <row r="68" customFormat="false" ht="17.25" hidden="false" customHeight="true" outlineLevel="0" collapsed="false">
      <c r="A68" s="15"/>
      <c r="B68" s="200" t="s">
        <v>212</v>
      </c>
      <c r="C68" s="201"/>
      <c r="D68" s="201"/>
      <c r="E68" s="201"/>
      <c r="F68" s="201"/>
      <c r="G68" s="202" t="n">
        <f aca="false">G27</f>
        <v>70</v>
      </c>
      <c r="H68" s="202" t="n">
        <f aca="false">H27</f>
        <v>270</v>
      </c>
      <c r="I68" s="202" t="n">
        <f aca="false">I27</f>
        <v>470</v>
      </c>
      <c r="J68" s="203" t="n">
        <f aca="false">J27</f>
        <v>628.686666666667</v>
      </c>
      <c r="K68" s="202" t="n">
        <f aca="false">K27</f>
        <v>657.747266666667</v>
      </c>
      <c r="L68" s="202" t="n">
        <f aca="false">L27</f>
        <v>687.883684666667</v>
      </c>
      <c r="M68" s="202" t="n">
        <f aca="false">M27</f>
        <v>719.132275206667</v>
      </c>
      <c r="N68" s="204" t="n">
        <f aca="false">N27</f>
        <v>751.530565062867</v>
      </c>
      <c r="O68" s="15"/>
      <c r="P68" s="15"/>
    </row>
    <row r="69" customFormat="false" ht="17.25" hidden="false" customHeight="true" outlineLevel="0" collapsed="false">
      <c r="A69" s="15"/>
      <c r="B69" s="205" t="s">
        <v>213</v>
      </c>
      <c r="C69" s="75"/>
      <c r="D69" s="75"/>
      <c r="E69" s="75"/>
      <c r="F69" s="75"/>
      <c r="G69" s="206" t="n">
        <f aca="false">G28</f>
        <v>0.07</v>
      </c>
      <c r="H69" s="206" t="n">
        <f aca="false">H28</f>
        <v>0.225</v>
      </c>
      <c r="I69" s="206" t="n">
        <f aca="false">I28</f>
        <v>0.335714285714286</v>
      </c>
      <c r="J69" s="207" t="n">
        <f aca="false">J28</f>
        <v>0.29065495453845</v>
      </c>
      <c r="K69" s="206" t="n">
        <f aca="false">K28</f>
        <v>0.295233277525671</v>
      </c>
      <c r="L69" s="206" t="n">
        <f aca="false">L28</f>
        <v>0.299767150775152</v>
      </c>
      <c r="M69" s="206" t="n">
        <f aca="false">M28</f>
        <v>0.304257005837745</v>
      </c>
      <c r="N69" s="208" t="n">
        <f aca="false">N28</f>
        <v>0.308703270074487</v>
      </c>
      <c r="O69" s="15"/>
      <c r="P69" s="15"/>
    </row>
    <row r="70" customFormat="false" ht="17.25" hidden="false" customHeight="true" outlineLevel="0" collapsed="false">
      <c r="A70" s="15"/>
      <c r="B70" s="209" t="s">
        <v>214</v>
      </c>
      <c r="C70" s="74"/>
      <c r="D70" s="74"/>
      <c r="E70" s="74"/>
      <c r="F70" s="74"/>
      <c r="G70" s="210" t="n">
        <f aca="false">G29</f>
        <v>10</v>
      </c>
      <c r="H70" s="210" t="n">
        <f aca="false">H29</f>
        <v>10</v>
      </c>
      <c r="I70" s="210" t="n">
        <f aca="false">I29</f>
        <v>10</v>
      </c>
      <c r="J70" s="214" t="n">
        <f aca="false">J29</f>
        <v>0</v>
      </c>
      <c r="K70" s="210" t="n">
        <f aca="false">K29</f>
        <v>0</v>
      </c>
      <c r="L70" s="210" t="n">
        <f aca="false">L29</f>
        <v>0</v>
      </c>
      <c r="M70" s="210" t="n">
        <f aca="false">M29</f>
        <v>0</v>
      </c>
      <c r="N70" s="215" t="n">
        <f aca="false">N29</f>
        <v>0</v>
      </c>
      <c r="O70" s="15"/>
      <c r="P70" s="15"/>
    </row>
    <row r="71" customFormat="false" ht="17.25" hidden="false" customHeight="true" outlineLevel="0" collapsed="false">
      <c r="A71" s="15"/>
      <c r="B71" s="200" t="s">
        <v>65</v>
      </c>
      <c r="C71" s="201"/>
      <c r="D71" s="201"/>
      <c r="E71" s="201"/>
      <c r="F71" s="201"/>
      <c r="G71" s="202" t="n">
        <f aca="false">G30</f>
        <v>80</v>
      </c>
      <c r="H71" s="202" t="n">
        <f aca="false">H30</f>
        <v>280</v>
      </c>
      <c r="I71" s="202" t="n">
        <f aca="false">I30</f>
        <v>480</v>
      </c>
      <c r="J71" s="203" t="n">
        <f aca="false">J30</f>
        <v>628.686666666667</v>
      </c>
      <c r="K71" s="202" t="n">
        <f aca="false">K30</f>
        <v>657.747266666667</v>
      </c>
      <c r="L71" s="202" t="n">
        <f aca="false">L30</f>
        <v>687.883684666667</v>
      </c>
      <c r="M71" s="202" t="n">
        <f aca="false">M30</f>
        <v>719.132275206667</v>
      </c>
      <c r="N71" s="204" t="n">
        <f aca="false">N30</f>
        <v>751.530565062867</v>
      </c>
      <c r="O71" s="15"/>
      <c r="P71" s="15"/>
    </row>
    <row r="72" customFormat="false" ht="17.25" hidden="false" customHeight="true" outlineLevel="0" collapsed="false">
      <c r="A72" s="15"/>
      <c r="B72" s="205" t="s">
        <v>215</v>
      </c>
      <c r="C72" s="75"/>
      <c r="D72" s="75"/>
      <c r="E72" s="75"/>
      <c r="F72" s="75"/>
      <c r="G72" s="206" t="n">
        <f aca="false">G31</f>
        <v>0.08</v>
      </c>
      <c r="H72" s="206" t="n">
        <f aca="false">H31</f>
        <v>0.466666666666667</v>
      </c>
      <c r="I72" s="206" t="n">
        <f aca="false">I31</f>
        <v>0.6</v>
      </c>
      <c r="J72" s="207" t="n">
        <f aca="false">J31</f>
        <v>0.51772876377661</v>
      </c>
      <c r="K72" s="206" t="n">
        <f aca="false">K31</f>
        <v>0.522686959869686</v>
      </c>
      <c r="L72" s="206" t="n">
        <f aca="false">L31</f>
        <v>0.527537965315061</v>
      </c>
      <c r="M72" s="206" t="n">
        <f aca="false">M31</f>
        <v>0.532284995449455</v>
      </c>
      <c r="N72" s="208" t="n">
        <f aca="false">N31</f>
        <v>0.53693113892713</v>
      </c>
      <c r="O72" s="15"/>
      <c r="P72" s="15"/>
    </row>
    <row r="73" customFormat="false" ht="17.25" hidden="false" customHeight="true" outlineLevel="0" collapsed="false">
      <c r="A73" s="15"/>
      <c r="B73" s="246" t="s">
        <v>235</v>
      </c>
      <c r="C73" s="74"/>
      <c r="D73" s="74"/>
      <c r="E73" s="74"/>
      <c r="F73" s="74"/>
      <c r="G73" s="210" t="n">
        <f aca="false">G74+G75-G76-G77</f>
        <v>0</v>
      </c>
      <c r="H73" s="210" t="n">
        <f aca="false">H74+H75-H76-H77</f>
        <v>0</v>
      </c>
      <c r="I73" s="210" t="n">
        <f aca="false">I74+I75-I76-I77</f>
        <v>0</v>
      </c>
      <c r="J73" s="214" t="n">
        <f aca="false">J74+J75-J76-J77</f>
        <v>-26.5</v>
      </c>
      <c r="K73" s="210" t="n">
        <f aca="false">K74+K75-K76-K77</f>
        <v>-14.1502102222222</v>
      </c>
      <c r="L73" s="210" t="n">
        <f aca="false">L74+L75-L76-L77</f>
        <v>-3.04512476888889</v>
      </c>
      <c r="M73" s="210" t="n">
        <f aca="false">M74+M75-M76-M77</f>
        <v>8.26004695121583</v>
      </c>
      <c r="N73" s="215" t="n">
        <f aca="false">N74+N75-N76-N77</f>
        <v>19.7762535675091</v>
      </c>
      <c r="O73" s="15"/>
      <c r="P73" s="15"/>
    </row>
    <row r="74" customFormat="false" ht="17.25" hidden="false" customHeight="true" outlineLevel="0" collapsed="false">
      <c r="A74" s="15"/>
      <c r="B74" s="247" t="s">
        <v>68</v>
      </c>
      <c r="C74" s="15"/>
      <c r="D74" s="15"/>
      <c r="E74" s="15"/>
      <c r="F74" s="15"/>
      <c r="G74" s="112" t="n">
        <f aca="false">Input!G46</f>
        <v>10</v>
      </c>
      <c r="H74" s="112" t="n">
        <f aca="false">Input!H46</f>
        <v>10</v>
      </c>
      <c r="I74" s="112" t="n">
        <f aca="false">Input!I46</f>
        <v>10</v>
      </c>
      <c r="J74" s="218" t="n">
        <f aca="false">Calculation!J177</f>
        <v>1</v>
      </c>
      <c r="K74" s="112" t="n">
        <f aca="false">Calculation!K177</f>
        <v>10.8497897777778</v>
      </c>
      <c r="L74" s="112" t="n">
        <f aca="false">Calculation!L177</f>
        <v>21.9548752311111</v>
      </c>
      <c r="M74" s="112" t="n">
        <f aca="false">Calculation!M177</f>
        <v>33.2600469512158</v>
      </c>
      <c r="N74" s="219" t="n">
        <f aca="false">Calculation!N177</f>
        <v>44.7762535675091</v>
      </c>
      <c r="O74" s="15"/>
      <c r="P74" s="15"/>
    </row>
    <row r="75" customFormat="false" ht="17.25" hidden="false" customHeight="true" outlineLevel="0" collapsed="false">
      <c r="A75" s="15"/>
      <c r="B75" s="247" t="s">
        <v>69</v>
      </c>
      <c r="C75" s="15"/>
      <c r="D75" s="15"/>
      <c r="E75" s="15"/>
      <c r="F75" s="15"/>
      <c r="G75" s="112" t="n">
        <f aca="false">Input!G47</f>
        <v>10</v>
      </c>
      <c r="H75" s="112" t="n">
        <f aca="false">Input!H47</f>
        <v>10</v>
      </c>
      <c r="I75" s="112" t="n">
        <f aca="false">Input!I47</f>
        <v>10</v>
      </c>
      <c r="J75" s="218" t="n">
        <f aca="false">Calculation!J178</f>
        <v>10</v>
      </c>
      <c r="K75" s="112" t="n">
        <f aca="false">Calculation!K178</f>
        <v>10</v>
      </c>
      <c r="L75" s="112" t="n">
        <f aca="false">Calculation!L178</f>
        <v>10</v>
      </c>
      <c r="M75" s="112" t="n">
        <f aca="false">Calculation!M178</f>
        <v>10</v>
      </c>
      <c r="N75" s="219" t="n">
        <f aca="false">Calculation!N178</f>
        <v>10</v>
      </c>
      <c r="O75" s="15"/>
      <c r="P75" s="15"/>
    </row>
    <row r="76" customFormat="false" ht="17.25" hidden="false" customHeight="true" outlineLevel="0" collapsed="false">
      <c r="A76" s="15"/>
      <c r="B76" s="247" t="s">
        <v>71</v>
      </c>
      <c r="C76" s="15"/>
      <c r="D76" s="15"/>
      <c r="E76" s="15"/>
      <c r="F76" s="15"/>
      <c r="G76" s="112" t="n">
        <f aca="false">Input!G49</f>
        <v>10</v>
      </c>
      <c r="H76" s="112" t="n">
        <f aca="false">Input!H49</f>
        <v>10</v>
      </c>
      <c r="I76" s="112" t="n">
        <f aca="false">Input!I49</f>
        <v>10</v>
      </c>
      <c r="J76" s="218" t="n">
        <f aca="false">Calculation!J181</f>
        <v>27.5</v>
      </c>
      <c r="K76" s="112" t="n">
        <f aca="false">Calculation!K181</f>
        <v>25</v>
      </c>
      <c r="L76" s="112" t="n">
        <f aca="false">Calculation!L181</f>
        <v>25</v>
      </c>
      <c r="M76" s="112" t="n">
        <f aca="false">Calculation!M181</f>
        <v>25</v>
      </c>
      <c r="N76" s="219" t="n">
        <f aca="false">Calculation!N181</f>
        <v>25</v>
      </c>
      <c r="O76" s="15"/>
      <c r="P76" s="15"/>
    </row>
    <row r="77" customFormat="false" ht="17.25" hidden="false" customHeight="true" outlineLevel="0" collapsed="false">
      <c r="A77" s="15"/>
      <c r="B77" s="230" t="s">
        <v>69</v>
      </c>
      <c r="C77" s="75"/>
      <c r="D77" s="75"/>
      <c r="E77" s="75"/>
      <c r="F77" s="75"/>
      <c r="G77" s="137" t="n">
        <f aca="false">Input!G50</f>
        <v>10</v>
      </c>
      <c r="H77" s="137" t="n">
        <f aca="false">Input!H50</f>
        <v>10</v>
      </c>
      <c r="I77" s="137" t="n">
        <f aca="false">Input!I50</f>
        <v>10</v>
      </c>
      <c r="J77" s="227" t="n">
        <f aca="false">Calculation!J182</f>
        <v>10</v>
      </c>
      <c r="K77" s="137" t="n">
        <f aca="false">Calculation!K182</f>
        <v>10</v>
      </c>
      <c r="L77" s="137" t="n">
        <f aca="false">Calculation!L182</f>
        <v>10</v>
      </c>
      <c r="M77" s="137" t="n">
        <f aca="false">Calculation!M182</f>
        <v>10</v>
      </c>
      <c r="N77" s="228" t="n">
        <f aca="false">Calculation!N182</f>
        <v>10</v>
      </c>
      <c r="O77" s="15"/>
      <c r="P77" s="15"/>
    </row>
    <row r="78" customFormat="false" ht="17.25" hidden="false" customHeight="true" outlineLevel="0" collapsed="false">
      <c r="A78" s="15"/>
      <c r="B78" s="248" t="s">
        <v>236</v>
      </c>
      <c r="C78" s="162"/>
      <c r="D78" s="162"/>
      <c r="E78" s="162"/>
      <c r="F78" s="162"/>
      <c r="G78" s="249" t="n">
        <f aca="false">G68-G73</f>
        <v>70</v>
      </c>
      <c r="H78" s="249" t="n">
        <f aca="false">H68-H73</f>
        <v>270</v>
      </c>
      <c r="I78" s="249" t="n">
        <f aca="false">I68-I73</f>
        <v>470</v>
      </c>
      <c r="J78" s="250" t="n">
        <f aca="false">J68-J73</f>
        <v>655.186666666667</v>
      </c>
      <c r="K78" s="249" t="n">
        <f aca="false">K68-K73</f>
        <v>671.897476888889</v>
      </c>
      <c r="L78" s="249" t="n">
        <f aca="false">L68-L73</f>
        <v>690.928809435555</v>
      </c>
      <c r="M78" s="249" t="n">
        <f aca="false">M68-M73</f>
        <v>710.872228255451</v>
      </c>
      <c r="N78" s="251" t="n">
        <f aca="false">N68-N73</f>
        <v>731.754311495358</v>
      </c>
      <c r="O78" s="15"/>
      <c r="P78" s="15"/>
    </row>
    <row r="79" customFormat="false" ht="17.25" hidden="false" customHeight="true" outlineLevel="0" collapsed="false">
      <c r="A79" s="15"/>
      <c r="B79" s="252" t="s">
        <v>216</v>
      </c>
      <c r="C79" s="74"/>
      <c r="D79" s="74"/>
      <c r="E79" s="74"/>
      <c r="F79" s="74"/>
      <c r="G79" s="210" t="n">
        <f aca="false">Input!G52</f>
        <v>20</v>
      </c>
      <c r="H79" s="210" t="n">
        <f aca="false">Input!H52</f>
        <v>30</v>
      </c>
      <c r="I79" s="210" t="n">
        <f aca="false">Input!I52</f>
        <v>40</v>
      </c>
      <c r="J79" s="214" t="n">
        <f aca="false">J32</f>
        <v>116.311066666667</v>
      </c>
      <c r="K79" s="210" t="n">
        <f aca="false">K32</f>
        <v>122.704398666667</v>
      </c>
      <c r="L79" s="210" t="n">
        <f aca="false">L32</f>
        <v>129.334410626667</v>
      </c>
      <c r="M79" s="210" t="n">
        <f aca="false">M32</f>
        <v>136.209100545467</v>
      </c>
      <c r="N79" s="215" t="n">
        <f aca="false">N32</f>
        <v>143.336724313831</v>
      </c>
      <c r="O79" s="15"/>
      <c r="P79" s="15"/>
    </row>
    <row r="80" customFormat="false" ht="17.25" hidden="false" customHeight="true" outlineLevel="0" collapsed="false">
      <c r="A80" s="65"/>
      <c r="B80" s="222" t="s">
        <v>237</v>
      </c>
      <c r="C80" s="222"/>
      <c r="D80" s="222"/>
      <c r="E80" s="222"/>
      <c r="F80" s="222"/>
      <c r="G80" s="223" t="n">
        <f aca="false">G78-G79</f>
        <v>50</v>
      </c>
      <c r="H80" s="223" t="n">
        <f aca="false">H78-H79</f>
        <v>240</v>
      </c>
      <c r="I80" s="223" t="n">
        <f aca="false">I78-I79</f>
        <v>430</v>
      </c>
      <c r="J80" s="223" t="n">
        <f aca="false">J78-J79</f>
        <v>538.8756</v>
      </c>
      <c r="K80" s="223" t="n">
        <f aca="false">K78-K79</f>
        <v>549.193078222222</v>
      </c>
      <c r="L80" s="223" t="n">
        <f aca="false">L78-L79</f>
        <v>561.594398808889</v>
      </c>
      <c r="M80" s="223" t="n">
        <f aca="false">M78-M79</f>
        <v>574.663127709984</v>
      </c>
      <c r="N80" s="223" t="n">
        <f aca="false">N78-N79</f>
        <v>588.417587181527</v>
      </c>
      <c r="O80" s="65"/>
      <c r="P80" s="65"/>
    </row>
    <row r="81" customFormat="false" ht="17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7.25" hidden="false" customHeight="true" outlineLevel="0" collapsed="false">
      <c r="A82" s="8"/>
      <c r="B82" s="44" t="s">
        <v>238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8"/>
    </row>
    <row r="83" customFormat="false" ht="17.25" hidden="false" customHeight="true" outlineLevel="0" collapsed="false">
      <c r="A83" s="3"/>
      <c r="B83" s="3"/>
      <c r="C83" s="3"/>
      <c r="D83" s="3"/>
      <c r="E83" s="3"/>
      <c r="F83" s="3"/>
      <c r="G83" s="106"/>
      <c r="H83" s="106"/>
      <c r="I83" s="106"/>
      <c r="J83" s="106"/>
      <c r="K83" s="106"/>
      <c r="L83" s="106"/>
      <c r="M83" s="106"/>
      <c r="N83" s="106"/>
      <c r="O83" s="3"/>
    </row>
    <row r="84" customFormat="false" ht="17.25" hidden="false" customHeight="true" outlineLevel="0" collapsed="false">
      <c r="A84" s="51"/>
      <c r="B84" s="121"/>
      <c r="C84" s="121"/>
      <c r="D84" s="121"/>
      <c r="E84" s="121"/>
      <c r="F84" s="121"/>
      <c r="G84" s="186" t="s">
        <v>29</v>
      </c>
      <c r="H84" s="186"/>
      <c r="I84" s="186"/>
      <c r="J84" s="186" t="s">
        <v>30</v>
      </c>
      <c r="K84" s="186"/>
      <c r="L84" s="186"/>
      <c r="M84" s="186"/>
      <c r="N84" s="186"/>
      <c r="O84" s="51"/>
      <c r="P84" s="51"/>
      <c r="Q84" s="51"/>
      <c r="R84" s="51"/>
      <c r="S84" s="51"/>
      <c r="T84" s="51"/>
    </row>
    <row r="85" customFormat="false" ht="17.25" hidden="false" customHeight="true" outlineLevel="0" collapsed="false">
      <c r="A85" s="51"/>
      <c r="B85" s="121" t="s">
        <v>207</v>
      </c>
      <c r="C85" s="121"/>
      <c r="D85" s="121"/>
      <c r="E85" s="121"/>
      <c r="F85" s="121"/>
      <c r="G85" s="72" t="str">
        <f aca="false">"Dec"&amp;G10</f>
        <v>Dec2023</v>
      </c>
      <c r="H85" s="72" t="str">
        <f aca="false">"Dec"&amp;H10</f>
        <v>Dec2024</v>
      </c>
      <c r="I85" s="72" t="str">
        <f aca="false">"Dec"&amp;I10</f>
        <v>Dec2025</v>
      </c>
      <c r="J85" s="72" t="str">
        <f aca="false">"Dec"&amp;J10</f>
        <v>Dec2026</v>
      </c>
      <c r="K85" s="72" t="str">
        <f aca="false">"Dec"&amp;K10</f>
        <v>Dec2027</v>
      </c>
      <c r="L85" s="72" t="str">
        <f aca="false">"Dec"&amp;L10</f>
        <v>Dec2028</v>
      </c>
      <c r="M85" s="72" t="str">
        <f aca="false">"Dec"&amp;M10</f>
        <v>Dec2029</v>
      </c>
      <c r="N85" s="72" t="str">
        <f aca="false">"Dec"&amp;N10</f>
        <v>Dec2030</v>
      </c>
      <c r="O85" s="51"/>
      <c r="P85" s="51"/>
    </row>
    <row r="86" customFormat="false" ht="17.25" hidden="false" customHeight="true" outlineLevel="0" collapsed="false">
      <c r="A86" s="15"/>
      <c r="B86" s="253" t="s">
        <v>76</v>
      </c>
      <c r="C86" s="162"/>
      <c r="D86" s="162"/>
      <c r="E86" s="162"/>
      <c r="F86" s="162"/>
      <c r="G86" s="249" t="n">
        <f aca="false">SUM(G87:G90)</f>
        <v>250</v>
      </c>
      <c r="H86" s="249" t="n">
        <f aca="false">SUM(H87:H90)</f>
        <v>250</v>
      </c>
      <c r="I86" s="249" t="n">
        <f aca="false">SUM(I87:I90)</f>
        <v>250</v>
      </c>
      <c r="J86" s="250" t="n">
        <f aca="false">SUM(J87:J90)</f>
        <v>855.103377777778</v>
      </c>
      <c r="K86" s="249" t="n">
        <f aca="false">SUM(K87:K90)</f>
        <v>1418.46106711111</v>
      </c>
      <c r="L86" s="249" t="n">
        <f aca="false">SUM(L87:L90)</f>
        <v>1991.13919742076</v>
      </c>
      <c r="M86" s="249" t="n">
        <f aca="false">SUM(M87:M90)</f>
        <v>2576.39564283935</v>
      </c>
      <c r="N86" s="251" t="n">
        <f aca="false">SUM(N87:N90)</f>
        <v>3172.09319112648</v>
      </c>
      <c r="O86" s="15"/>
      <c r="P86" s="15"/>
    </row>
    <row r="87" customFormat="false" ht="17.25" hidden="false" customHeight="true" outlineLevel="0" collapsed="false">
      <c r="A87" s="15"/>
      <c r="B87" s="254" t="s">
        <v>77</v>
      </c>
      <c r="C87" s="15"/>
      <c r="D87" s="15"/>
      <c r="E87" s="15"/>
      <c r="F87" s="15"/>
      <c r="G87" s="112" t="n">
        <f aca="false">Input!G57</f>
        <v>50</v>
      </c>
      <c r="H87" s="112" t="n">
        <f aca="false">Input!H57</f>
        <v>50</v>
      </c>
      <c r="I87" s="112" t="n">
        <f aca="false">Input!I57</f>
        <v>50</v>
      </c>
      <c r="J87" s="218" t="n">
        <f aca="false">J129</f>
        <v>542.489488888889</v>
      </c>
      <c r="K87" s="112" t="n">
        <f aca="false">K129</f>
        <v>1097.74376155556</v>
      </c>
      <c r="L87" s="112" t="n">
        <f aca="false">L129</f>
        <v>1663.00234756079</v>
      </c>
      <c r="M87" s="112" t="n">
        <f aca="false">M129</f>
        <v>2238.81267837546</v>
      </c>
      <c r="N87" s="219" t="n">
        <f aca="false">N129</f>
        <v>2825.73577792868</v>
      </c>
      <c r="O87" s="15"/>
      <c r="P87" s="15"/>
    </row>
    <row r="88" customFormat="false" ht="17.25" hidden="false" customHeight="true" outlineLevel="0" collapsed="false">
      <c r="A88" s="15"/>
      <c r="B88" s="254" t="s">
        <v>78</v>
      </c>
      <c r="C88" s="15"/>
      <c r="D88" s="15"/>
      <c r="E88" s="15"/>
      <c r="F88" s="15"/>
      <c r="G88" s="112" t="n">
        <f aca="false">Input!G58</f>
        <v>100</v>
      </c>
      <c r="H88" s="112" t="n">
        <f aca="false">Input!H58</f>
        <v>100</v>
      </c>
      <c r="I88" s="112" t="n">
        <f aca="false">Input!I58</f>
        <v>100</v>
      </c>
      <c r="J88" s="218" t="n">
        <f aca="false">Calculation!J165</f>
        <v>154.5</v>
      </c>
      <c r="K88" s="112" t="n">
        <f aca="false">Calculation!K165</f>
        <v>159.135</v>
      </c>
      <c r="L88" s="112" t="n">
        <f aca="false">Calculation!L165</f>
        <v>163.459984109589</v>
      </c>
      <c r="M88" s="112" t="n">
        <f aca="false">Calculation!M165</f>
        <v>168.8263215</v>
      </c>
      <c r="N88" s="219" t="n">
        <f aca="false">Calculation!N165</f>
        <v>173.891111145</v>
      </c>
      <c r="O88" s="15"/>
      <c r="P88" s="15"/>
    </row>
    <row r="89" customFormat="false" ht="17.25" hidden="false" customHeight="true" outlineLevel="0" collapsed="false">
      <c r="A89" s="15"/>
      <c r="B89" s="254" t="s">
        <v>79</v>
      </c>
      <c r="C89" s="15"/>
      <c r="D89" s="15"/>
      <c r="E89" s="15"/>
      <c r="F89" s="15"/>
      <c r="G89" s="112" t="n">
        <f aca="false">Input!G59</f>
        <v>100</v>
      </c>
      <c r="H89" s="112" t="n">
        <f aca="false">Input!H59</f>
        <v>100</v>
      </c>
      <c r="I89" s="112" t="n">
        <f aca="false">Input!I59</f>
        <v>100</v>
      </c>
      <c r="J89" s="218" t="n">
        <f aca="false">Calculation!J166</f>
        <v>158.113888888889</v>
      </c>
      <c r="K89" s="112" t="n">
        <f aca="false">Calculation!K166</f>
        <v>161.582305555556</v>
      </c>
      <c r="L89" s="112" t="n">
        <f aca="false">Calculation!L166</f>
        <v>164.676865750381</v>
      </c>
      <c r="M89" s="112" t="n">
        <f aca="false">Calculation!M166</f>
        <v>168.756642963889</v>
      </c>
      <c r="N89" s="219" t="n">
        <f aca="false">Calculation!N166</f>
        <v>172.466302052806</v>
      </c>
      <c r="O89" s="15"/>
      <c r="P89" s="15"/>
    </row>
    <row r="90" customFormat="false" ht="17.25" hidden="false" customHeight="true" outlineLevel="0" collapsed="false">
      <c r="A90" s="15"/>
      <c r="B90" s="255" t="s">
        <v>80</v>
      </c>
      <c r="C90" s="75"/>
      <c r="D90" s="75"/>
      <c r="E90" s="75"/>
      <c r="F90" s="75"/>
      <c r="G90" s="137" t="n">
        <f aca="false">Input!G60</f>
        <v>0</v>
      </c>
      <c r="H90" s="137" t="n">
        <f aca="false">Input!H60</f>
        <v>0</v>
      </c>
      <c r="I90" s="137" t="n">
        <f aca="false">Input!I60</f>
        <v>0</v>
      </c>
      <c r="J90" s="227" t="n">
        <f aca="false">I90</f>
        <v>0</v>
      </c>
      <c r="K90" s="137" t="n">
        <f aca="false">J90</f>
        <v>0</v>
      </c>
      <c r="L90" s="137" t="n">
        <f aca="false">K90</f>
        <v>0</v>
      </c>
      <c r="M90" s="137" t="n">
        <f aca="false">L90</f>
        <v>0</v>
      </c>
      <c r="N90" s="228" t="n">
        <f aca="false">M90</f>
        <v>0</v>
      </c>
      <c r="O90" s="15"/>
      <c r="P90" s="15"/>
    </row>
    <row r="91" customFormat="false" ht="17.25" hidden="false" customHeight="true" outlineLevel="0" collapsed="false">
      <c r="A91" s="15"/>
      <c r="B91" s="256" t="s">
        <v>81</v>
      </c>
      <c r="C91" s="257"/>
      <c r="D91" s="257"/>
      <c r="E91" s="257"/>
      <c r="F91" s="257"/>
      <c r="G91" s="258" t="n">
        <f aca="false">SUM(G92:G96)</f>
        <v>0</v>
      </c>
      <c r="H91" s="258" t="n">
        <f aca="false">SUM(H92:H96)</f>
        <v>0</v>
      </c>
      <c r="I91" s="258" t="n">
        <f aca="false">SUM(I92:I96)</f>
        <v>0</v>
      </c>
      <c r="J91" s="259" t="n">
        <f aca="false">SUM(J92:J96)</f>
        <v>0</v>
      </c>
      <c r="K91" s="258" t="n">
        <f aca="false">SUM(K92:K96)</f>
        <v>0</v>
      </c>
      <c r="L91" s="258" t="n">
        <f aca="false">SUM(L92:L96)</f>
        <v>0</v>
      </c>
      <c r="M91" s="258" t="n">
        <f aca="false">SUM(M92:M96)</f>
        <v>0</v>
      </c>
      <c r="N91" s="260" t="n">
        <f aca="false">SUM(N92:N96)</f>
        <v>0</v>
      </c>
      <c r="O91" s="15"/>
      <c r="P91" s="15"/>
    </row>
    <row r="92" customFormat="false" ht="17.25" hidden="false" customHeight="true" outlineLevel="0" collapsed="false">
      <c r="A92" s="15"/>
      <c r="B92" s="254" t="s">
        <v>82</v>
      </c>
      <c r="C92" s="15"/>
      <c r="D92" s="15"/>
      <c r="E92" s="15"/>
      <c r="F92" s="15"/>
      <c r="G92" s="160" t="n">
        <f aca="false">Input!G62</f>
        <v>0</v>
      </c>
      <c r="H92" s="160" t="n">
        <f aca="false">Input!H62</f>
        <v>0</v>
      </c>
      <c r="I92" s="261" t="n">
        <f aca="false">Input!I62</f>
        <v>0</v>
      </c>
      <c r="J92" s="218" t="n">
        <f aca="false">I92</f>
        <v>0</v>
      </c>
      <c r="K92" s="112" t="n">
        <f aca="false">J92</f>
        <v>0</v>
      </c>
      <c r="L92" s="112" t="n">
        <f aca="false">K92</f>
        <v>0</v>
      </c>
      <c r="M92" s="112" t="n">
        <f aca="false">L92</f>
        <v>0</v>
      </c>
      <c r="N92" s="219" t="n">
        <f aca="false">M92</f>
        <v>0</v>
      </c>
      <c r="O92" s="15"/>
      <c r="P92" s="15"/>
    </row>
    <row r="93" customFormat="false" ht="17.25" hidden="false" customHeight="true" outlineLevel="0" collapsed="false">
      <c r="A93" s="15"/>
      <c r="B93" s="254" t="s">
        <v>83</v>
      </c>
      <c r="C93" s="15"/>
      <c r="D93" s="15"/>
      <c r="E93" s="15"/>
      <c r="F93" s="15"/>
      <c r="G93" s="112" t="n">
        <f aca="false">Input!G63</f>
        <v>0</v>
      </c>
      <c r="H93" s="112" t="n">
        <f aca="false">Input!H63</f>
        <v>0</v>
      </c>
      <c r="I93" s="112" t="n">
        <f aca="false">Input!I63</f>
        <v>0</v>
      </c>
      <c r="J93" s="218" t="n">
        <f aca="false">I93</f>
        <v>0</v>
      </c>
      <c r="K93" s="112" t="n">
        <f aca="false">J93</f>
        <v>0</v>
      </c>
      <c r="L93" s="112" t="n">
        <f aca="false">K93</f>
        <v>0</v>
      </c>
      <c r="M93" s="112" t="n">
        <f aca="false">L93</f>
        <v>0</v>
      </c>
      <c r="N93" s="219" t="n">
        <f aca="false">M93</f>
        <v>0</v>
      </c>
      <c r="O93" s="15"/>
      <c r="P93" s="15"/>
    </row>
    <row r="94" customFormat="false" ht="17.25" hidden="false" customHeight="true" outlineLevel="0" collapsed="false">
      <c r="A94" s="15"/>
      <c r="B94" s="254" t="s">
        <v>84</v>
      </c>
      <c r="C94" s="15"/>
      <c r="D94" s="15"/>
      <c r="E94" s="15"/>
      <c r="F94" s="15"/>
      <c r="G94" s="112" t="n">
        <f aca="false">Input!G64</f>
        <v>0</v>
      </c>
      <c r="H94" s="112" t="n">
        <f aca="false">Input!H64</f>
        <v>0</v>
      </c>
      <c r="I94" s="112" t="n">
        <f aca="false">Input!I64</f>
        <v>0</v>
      </c>
      <c r="J94" s="218" t="n">
        <f aca="false">I94</f>
        <v>0</v>
      </c>
      <c r="K94" s="112" t="n">
        <f aca="false">J94</f>
        <v>0</v>
      </c>
      <c r="L94" s="112" t="n">
        <f aca="false">K94</f>
        <v>0</v>
      </c>
      <c r="M94" s="112" t="n">
        <f aca="false">L94</f>
        <v>0</v>
      </c>
      <c r="N94" s="219" t="n">
        <f aca="false">M94</f>
        <v>0</v>
      </c>
      <c r="O94" s="15"/>
      <c r="P94" s="15"/>
    </row>
    <row r="95" customFormat="false" ht="17.25" hidden="false" customHeight="true" outlineLevel="0" collapsed="false">
      <c r="A95" s="15"/>
      <c r="B95" s="254" t="s">
        <v>85</v>
      </c>
      <c r="C95" s="15"/>
      <c r="D95" s="15"/>
      <c r="E95" s="15"/>
      <c r="F95" s="15"/>
      <c r="G95" s="112" t="n">
        <f aca="false">Input!G65</f>
        <v>0</v>
      </c>
      <c r="H95" s="112" t="n">
        <f aca="false">Input!H65</f>
        <v>0</v>
      </c>
      <c r="I95" s="112" t="n">
        <f aca="false">Input!I65</f>
        <v>0</v>
      </c>
      <c r="J95" s="218" t="n">
        <f aca="false">I95</f>
        <v>0</v>
      </c>
      <c r="K95" s="112" t="n">
        <f aca="false">J95</f>
        <v>0</v>
      </c>
      <c r="L95" s="112" t="n">
        <f aca="false">K95</f>
        <v>0</v>
      </c>
      <c r="M95" s="112" t="n">
        <f aca="false">L95</f>
        <v>0</v>
      </c>
      <c r="N95" s="219" t="n">
        <f aca="false">M95</f>
        <v>0</v>
      </c>
      <c r="O95" s="15"/>
      <c r="P95" s="15"/>
    </row>
    <row r="96" customFormat="false" ht="17.25" hidden="false" customHeight="true" outlineLevel="0" collapsed="false">
      <c r="A96" s="15"/>
      <c r="B96" s="255" t="s">
        <v>86</v>
      </c>
      <c r="C96" s="75"/>
      <c r="D96" s="75"/>
      <c r="E96" s="75"/>
      <c r="F96" s="75"/>
      <c r="G96" s="137" t="n">
        <f aca="false">Input!G66</f>
        <v>0</v>
      </c>
      <c r="H96" s="137" t="n">
        <f aca="false">Input!H66</f>
        <v>0</v>
      </c>
      <c r="I96" s="137" t="n">
        <f aca="false">Input!I66</f>
        <v>0</v>
      </c>
      <c r="J96" s="227" t="n">
        <f aca="false">I96</f>
        <v>0</v>
      </c>
      <c r="K96" s="137" t="n">
        <f aca="false">J96</f>
        <v>0</v>
      </c>
      <c r="L96" s="137" t="n">
        <f aca="false">K96</f>
        <v>0</v>
      </c>
      <c r="M96" s="137" t="n">
        <f aca="false">L96</f>
        <v>0</v>
      </c>
      <c r="N96" s="228" t="n">
        <f aca="false">M96</f>
        <v>0</v>
      </c>
      <c r="O96" s="15"/>
      <c r="P96" s="15"/>
    </row>
    <row r="97" customFormat="false" ht="17.25" hidden="false" customHeight="true" outlineLevel="0" collapsed="false">
      <c r="A97" s="15"/>
      <c r="B97" s="256" t="s">
        <v>87</v>
      </c>
      <c r="C97" s="257"/>
      <c r="D97" s="257"/>
      <c r="E97" s="257"/>
      <c r="F97" s="257"/>
      <c r="G97" s="249" t="n">
        <f aca="false">SUM(G91,G86)</f>
        <v>250</v>
      </c>
      <c r="H97" s="258" t="n">
        <f aca="false">SUM(H91,H86)</f>
        <v>250</v>
      </c>
      <c r="I97" s="258" t="n">
        <f aca="false">SUM(I91,I86)</f>
        <v>250</v>
      </c>
      <c r="J97" s="259" t="n">
        <f aca="false">SUM(J91,J86)</f>
        <v>855.103377777778</v>
      </c>
      <c r="K97" s="258" t="n">
        <f aca="false">SUM(K91,K86)</f>
        <v>1418.46106711111</v>
      </c>
      <c r="L97" s="258" t="n">
        <f aca="false">SUM(L91,L86)</f>
        <v>1991.13919742076</v>
      </c>
      <c r="M97" s="258" t="n">
        <f aca="false">SUM(M91,M86)</f>
        <v>2576.39564283935</v>
      </c>
      <c r="N97" s="260" t="n">
        <f aca="false">SUM(N91,N86)</f>
        <v>3172.09319112648</v>
      </c>
      <c r="O97" s="15"/>
      <c r="P97" s="15"/>
    </row>
    <row r="98" customFormat="false" ht="17.25" hidden="false" customHeight="true" outlineLevel="0" collapsed="false">
      <c r="A98" s="15"/>
      <c r="B98" s="253" t="s">
        <v>88</v>
      </c>
      <c r="C98" s="162"/>
      <c r="D98" s="162"/>
      <c r="E98" s="162"/>
      <c r="F98" s="162"/>
      <c r="G98" s="249" t="n">
        <f aca="false">SUM(G99:G102)</f>
        <v>300</v>
      </c>
      <c r="H98" s="249" t="n">
        <f aca="false">SUM(H99:H102)</f>
        <v>300</v>
      </c>
      <c r="I98" s="249" t="n">
        <f aca="false">SUM(I99:I102)</f>
        <v>300</v>
      </c>
      <c r="J98" s="250" t="n">
        <f aca="false">SUM(J99:J102)</f>
        <v>366.227777777778</v>
      </c>
      <c r="K98" s="249" t="n">
        <f aca="false">SUM(K99:K102)</f>
        <v>373.164611111111</v>
      </c>
      <c r="L98" s="249" t="n">
        <f aca="false">SUM(L99:L102)</f>
        <v>379.353731500761</v>
      </c>
      <c r="M98" s="249" t="n">
        <f aca="false">SUM(M99:M102)</f>
        <v>387.513285927778</v>
      </c>
      <c r="N98" s="251" t="n">
        <f aca="false">SUM(N99:N102)</f>
        <v>394.932604105611</v>
      </c>
      <c r="O98" s="15"/>
      <c r="P98" s="15"/>
    </row>
    <row r="99" customFormat="false" ht="17.25" hidden="false" customHeight="true" outlineLevel="0" collapsed="false">
      <c r="A99" s="15"/>
      <c r="B99" s="254" t="s">
        <v>89</v>
      </c>
      <c r="C99" s="15"/>
      <c r="D99" s="15"/>
      <c r="E99" s="15"/>
      <c r="F99" s="15"/>
      <c r="G99" s="112" t="n">
        <f aca="false">Input!G69</f>
        <v>200</v>
      </c>
      <c r="H99" s="112" t="n">
        <f aca="false">Input!H69</f>
        <v>200</v>
      </c>
      <c r="I99" s="112" t="n">
        <f aca="false">Input!I69</f>
        <v>200</v>
      </c>
      <c r="J99" s="218" t="n">
        <f aca="false">Calculation!J168</f>
        <v>316.227777777778</v>
      </c>
      <c r="K99" s="112" t="n">
        <f aca="false">Calculation!K168</f>
        <v>323.164611111111</v>
      </c>
      <c r="L99" s="112" t="n">
        <f aca="false">Calculation!L168</f>
        <v>329.353731500761</v>
      </c>
      <c r="M99" s="112" t="n">
        <f aca="false">Calculation!M168</f>
        <v>337.513285927778</v>
      </c>
      <c r="N99" s="219" t="n">
        <f aca="false">Calculation!N168</f>
        <v>344.932604105611</v>
      </c>
      <c r="O99" s="15"/>
      <c r="P99" s="15"/>
    </row>
    <row r="100" customFormat="false" ht="17.25" hidden="false" customHeight="true" outlineLevel="0" collapsed="false">
      <c r="A100" s="15"/>
      <c r="B100" s="254" t="s">
        <v>90</v>
      </c>
      <c r="C100" s="15"/>
      <c r="D100" s="15"/>
      <c r="E100" s="15"/>
      <c r="F100" s="15"/>
      <c r="G100" s="112" t="n">
        <f aca="false">Input!G70</f>
        <v>0</v>
      </c>
      <c r="H100" s="112" t="n">
        <f aca="false">Input!H70</f>
        <v>0</v>
      </c>
      <c r="I100" s="112" t="n">
        <f aca="false">Input!I70</f>
        <v>0</v>
      </c>
      <c r="J100" s="218" t="n">
        <f aca="false">I100</f>
        <v>0</v>
      </c>
      <c r="K100" s="112" t="n">
        <f aca="false">J100</f>
        <v>0</v>
      </c>
      <c r="L100" s="112" t="n">
        <f aca="false">K100</f>
        <v>0</v>
      </c>
      <c r="M100" s="112" t="n">
        <f aca="false">L100</f>
        <v>0</v>
      </c>
      <c r="N100" s="219" t="n">
        <f aca="false">M100</f>
        <v>0</v>
      </c>
      <c r="O100" s="15"/>
      <c r="P100" s="15"/>
    </row>
    <row r="101" customFormat="false" ht="17.25" hidden="false" customHeight="true" outlineLevel="0" collapsed="false">
      <c r="A101" s="15"/>
      <c r="B101" s="254" t="s">
        <v>91</v>
      </c>
      <c r="C101" s="15"/>
      <c r="D101" s="15"/>
      <c r="E101" s="15"/>
      <c r="F101" s="15"/>
      <c r="G101" s="112" t="n">
        <f aca="false">Input!G71</f>
        <v>100</v>
      </c>
      <c r="H101" s="112" t="n">
        <f aca="false">Input!H71</f>
        <v>100</v>
      </c>
      <c r="I101" s="112" t="n">
        <f aca="false">Input!I71</f>
        <v>100</v>
      </c>
      <c r="J101" s="218" t="n">
        <f aca="false">Calculation!J188</f>
        <v>50</v>
      </c>
      <c r="K101" s="112" t="n">
        <f aca="false">Calculation!K188</f>
        <v>50</v>
      </c>
      <c r="L101" s="112" t="n">
        <f aca="false">Calculation!L188</f>
        <v>50</v>
      </c>
      <c r="M101" s="112" t="n">
        <f aca="false">Calculation!M188</f>
        <v>50</v>
      </c>
      <c r="N101" s="219" t="n">
        <f aca="false">Calculation!N188</f>
        <v>50</v>
      </c>
      <c r="O101" s="15"/>
      <c r="P101" s="15"/>
    </row>
    <row r="102" customFormat="false" ht="17.25" hidden="false" customHeight="true" outlineLevel="0" collapsed="false">
      <c r="A102" s="15"/>
      <c r="B102" s="255" t="s">
        <v>92</v>
      </c>
      <c r="C102" s="75"/>
      <c r="D102" s="75"/>
      <c r="E102" s="75"/>
      <c r="F102" s="75"/>
      <c r="G102" s="137" t="n">
        <f aca="false">Input!G72</f>
        <v>0</v>
      </c>
      <c r="H102" s="137" t="n">
        <f aca="false">Input!H72</f>
        <v>0</v>
      </c>
      <c r="I102" s="137" t="n">
        <f aca="false">Input!I72</f>
        <v>0</v>
      </c>
      <c r="J102" s="227" t="n">
        <f aca="false">I102</f>
        <v>0</v>
      </c>
      <c r="K102" s="137" t="n">
        <f aca="false">J102</f>
        <v>0</v>
      </c>
      <c r="L102" s="137" t="n">
        <f aca="false">K102</f>
        <v>0</v>
      </c>
      <c r="M102" s="137" t="n">
        <f aca="false">L102</f>
        <v>0</v>
      </c>
      <c r="N102" s="228" t="n">
        <f aca="false">M102</f>
        <v>0</v>
      </c>
      <c r="O102" s="15"/>
      <c r="P102" s="15"/>
    </row>
    <row r="103" customFormat="false" ht="17.25" hidden="false" customHeight="true" outlineLevel="0" collapsed="false">
      <c r="A103" s="15"/>
      <c r="B103" s="256" t="s">
        <v>93</v>
      </c>
      <c r="C103" s="257"/>
      <c r="D103" s="257"/>
      <c r="E103" s="257"/>
      <c r="F103" s="257"/>
      <c r="G103" s="258" t="n">
        <f aca="false">SUM(G104:G107)</f>
        <v>200</v>
      </c>
      <c r="H103" s="258" t="n">
        <f aca="false">SUM(H104:H107)</f>
        <v>200</v>
      </c>
      <c r="I103" s="258" t="n">
        <f aca="false">SUM(I104:I107)</f>
        <v>200</v>
      </c>
      <c r="J103" s="259" t="n">
        <f aca="false">SUM(J104:J107)</f>
        <v>200</v>
      </c>
      <c r="K103" s="258" t="n">
        <f aca="false">SUM(K104:K107)</f>
        <v>200</v>
      </c>
      <c r="L103" s="258" t="n">
        <f aca="false">SUM(L104:L107)</f>
        <v>200</v>
      </c>
      <c r="M103" s="258" t="n">
        <f aca="false">SUM(M104:M107)</f>
        <v>200</v>
      </c>
      <c r="N103" s="260" t="n">
        <f aca="false">SUM(N104:N107)</f>
        <v>200</v>
      </c>
      <c r="O103" s="15"/>
      <c r="P103" s="15"/>
    </row>
    <row r="104" customFormat="false" ht="17.25" hidden="false" customHeight="true" outlineLevel="0" collapsed="false">
      <c r="A104" s="15"/>
      <c r="B104" s="254" t="s">
        <v>94</v>
      </c>
      <c r="C104" s="15"/>
      <c r="D104" s="15"/>
      <c r="E104" s="15"/>
      <c r="F104" s="15"/>
      <c r="G104" s="112" t="n">
        <f aca="false">Input!G74</f>
        <v>200</v>
      </c>
      <c r="H104" s="112" t="n">
        <f aca="false">Input!H74</f>
        <v>200</v>
      </c>
      <c r="I104" s="112" t="n">
        <f aca="false">Input!I74</f>
        <v>200</v>
      </c>
      <c r="J104" s="218" t="n">
        <f aca="false">Calculation!J194</f>
        <v>200</v>
      </c>
      <c r="K104" s="112" t="n">
        <f aca="false">Calculation!K194</f>
        <v>200</v>
      </c>
      <c r="L104" s="112" t="n">
        <f aca="false">Calculation!L194</f>
        <v>200</v>
      </c>
      <c r="M104" s="112" t="n">
        <f aca="false">Calculation!M194</f>
        <v>200</v>
      </c>
      <c r="N104" s="219" t="n">
        <f aca="false">Calculation!N194</f>
        <v>200</v>
      </c>
      <c r="O104" s="15"/>
      <c r="P104" s="15"/>
    </row>
    <row r="105" customFormat="false" ht="17.25" hidden="false" customHeight="true" outlineLevel="0" collapsed="false">
      <c r="A105" s="15"/>
      <c r="B105" s="254" t="s">
        <v>95</v>
      </c>
      <c r="C105" s="15"/>
      <c r="D105" s="15"/>
      <c r="E105" s="15"/>
      <c r="F105" s="15"/>
      <c r="G105" s="112" t="n">
        <f aca="false">Input!G75</f>
        <v>0</v>
      </c>
      <c r="H105" s="112" t="n">
        <f aca="false">Input!H75</f>
        <v>0</v>
      </c>
      <c r="I105" s="112" t="n">
        <f aca="false">Input!I75</f>
        <v>0</v>
      </c>
      <c r="J105" s="218" t="n">
        <f aca="false">Calculation!J200</f>
        <v>0</v>
      </c>
      <c r="K105" s="112" t="n">
        <f aca="false">Calculation!K200</f>
        <v>0</v>
      </c>
      <c r="L105" s="112" t="n">
        <f aca="false">Calculation!L200</f>
        <v>0</v>
      </c>
      <c r="M105" s="112" t="n">
        <f aca="false">Calculation!M200</f>
        <v>0</v>
      </c>
      <c r="N105" s="219" t="n">
        <f aca="false">Calculation!N200</f>
        <v>0</v>
      </c>
      <c r="O105" s="15"/>
      <c r="P105" s="15"/>
    </row>
    <row r="106" customFormat="false" ht="17.25" hidden="false" customHeight="true" outlineLevel="0" collapsed="false">
      <c r="A106" s="15"/>
      <c r="B106" s="254" t="s">
        <v>96</v>
      </c>
      <c r="C106" s="15"/>
      <c r="D106" s="15"/>
      <c r="E106" s="15"/>
      <c r="F106" s="15"/>
      <c r="G106" s="112" t="n">
        <f aca="false">Input!G76</f>
        <v>0</v>
      </c>
      <c r="H106" s="112" t="n">
        <f aca="false">Input!H76</f>
        <v>0</v>
      </c>
      <c r="I106" s="112" t="n">
        <f aca="false">Input!I76</f>
        <v>0</v>
      </c>
      <c r="J106" s="218" t="n">
        <f aca="false">I106</f>
        <v>0</v>
      </c>
      <c r="K106" s="112" t="n">
        <f aca="false">J106</f>
        <v>0</v>
      </c>
      <c r="L106" s="112" t="n">
        <f aca="false">K106</f>
        <v>0</v>
      </c>
      <c r="M106" s="112" t="n">
        <f aca="false">L106</f>
        <v>0</v>
      </c>
      <c r="N106" s="219" t="n">
        <f aca="false">M106</f>
        <v>0</v>
      </c>
      <c r="O106" s="15"/>
      <c r="P106" s="15"/>
    </row>
    <row r="107" customFormat="false" ht="17.25" hidden="false" customHeight="true" outlineLevel="0" collapsed="false">
      <c r="A107" s="15"/>
      <c r="B107" s="255" t="s">
        <v>97</v>
      </c>
      <c r="C107" s="75"/>
      <c r="D107" s="75"/>
      <c r="E107" s="75"/>
      <c r="F107" s="75"/>
      <c r="G107" s="137" t="n">
        <f aca="false">Input!G77</f>
        <v>0</v>
      </c>
      <c r="H107" s="137" t="n">
        <f aca="false">Input!H77</f>
        <v>0</v>
      </c>
      <c r="I107" s="137" t="n">
        <f aca="false">Input!I77</f>
        <v>0</v>
      </c>
      <c r="J107" s="227" t="n">
        <f aca="false">I107</f>
        <v>0</v>
      </c>
      <c r="K107" s="137" t="n">
        <f aca="false">J107</f>
        <v>0</v>
      </c>
      <c r="L107" s="137" t="n">
        <f aca="false">K107</f>
        <v>0</v>
      </c>
      <c r="M107" s="137" t="n">
        <f aca="false">L107</f>
        <v>0</v>
      </c>
      <c r="N107" s="228" t="n">
        <f aca="false">M107</f>
        <v>0</v>
      </c>
      <c r="O107" s="15"/>
      <c r="P107" s="15"/>
    </row>
    <row r="108" customFormat="false" ht="17.25" hidden="false" customHeight="true" outlineLevel="0" collapsed="false">
      <c r="A108" s="15"/>
      <c r="B108" s="253" t="s">
        <v>98</v>
      </c>
      <c r="C108" s="162"/>
      <c r="D108" s="162"/>
      <c r="E108" s="162"/>
      <c r="F108" s="162"/>
      <c r="G108" s="249" t="n">
        <f aca="false">SUM(G103,G98)</f>
        <v>500</v>
      </c>
      <c r="H108" s="249" t="n">
        <f aca="false">SUM(H103,H98)</f>
        <v>500</v>
      </c>
      <c r="I108" s="249" t="n">
        <f aca="false">SUM(I103,I98)</f>
        <v>500</v>
      </c>
      <c r="J108" s="250" t="n">
        <f aca="false">SUM(J103,J98)</f>
        <v>566.227777777778</v>
      </c>
      <c r="K108" s="249" t="n">
        <f aca="false">SUM(K103,K98)</f>
        <v>573.164611111111</v>
      </c>
      <c r="L108" s="249" t="n">
        <f aca="false">SUM(L103,L98)</f>
        <v>579.353731500761</v>
      </c>
      <c r="M108" s="249" t="n">
        <f aca="false">SUM(M103,M98)</f>
        <v>587.513285927778</v>
      </c>
      <c r="N108" s="251" t="n">
        <f aca="false">SUM(N103,N98)</f>
        <v>594.932604105611</v>
      </c>
      <c r="O108" s="15"/>
      <c r="P108" s="15"/>
    </row>
    <row r="109" customFormat="false" ht="17.25" hidden="false" customHeight="true" outlineLevel="0" collapsed="false">
      <c r="A109" s="65"/>
      <c r="B109" s="99" t="s">
        <v>99</v>
      </c>
      <c r="C109" s="222"/>
      <c r="D109" s="222"/>
      <c r="E109" s="222"/>
      <c r="F109" s="222"/>
      <c r="G109" s="223" t="n">
        <f aca="false">G97-G108</f>
        <v>-250</v>
      </c>
      <c r="H109" s="223" t="n">
        <f aca="false">H97-H108</f>
        <v>-250</v>
      </c>
      <c r="I109" s="223" t="n">
        <f aca="false">I97-I108</f>
        <v>-250</v>
      </c>
      <c r="J109" s="223" t="n">
        <f aca="false">J97-J108</f>
        <v>288.8756</v>
      </c>
      <c r="K109" s="223" t="n">
        <f aca="false">K97-K108</f>
        <v>845.296456</v>
      </c>
      <c r="L109" s="223" t="n">
        <f aca="false">L97-L108</f>
        <v>1411.78546592</v>
      </c>
      <c r="M109" s="223" t="n">
        <f aca="false">M97-M108</f>
        <v>1988.88235691157</v>
      </c>
      <c r="N109" s="223" t="n">
        <f aca="false">N97-N108</f>
        <v>2577.16058702087</v>
      </c>
      <c r="O109" s="65"/>
      <c r="P109" s="65"/>
    </row>
    <row r="110" customFormat="false" ht="17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customFormat="false" ht="17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customFormat="false" ht="17.25" hidden="false" customHeight="true" outlineLevel="0" collapsed="false">
      <c r="A112" s="15"/>
      <c r="B112" s="54" t="s">
        <v>239</v>
      </c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15"/>
    </row>
    <row r="113" customFormat="false" ht="17.25" hidden="false" customHeight="true" outlineLevel="0" collapsed="false">
      <c r="A113" s="3"/>
      <c r="B113" s="3"/>
      <c r="C113" s="3"/>
      <c r="D113" s="3"/>
      <c r="E113" s="3"/>
      <c r="F113" s="3"/>
      <c r="G113" s="106"/>
      <c r="H113" s="106"/>
      <c r="I113" s="106"/>
      <c r="J113" s="106"/>
      <c r="K113" s="243"/>
      <c r="L113" s="244"/>
      <c r="M113" s="245"/>
      <c r="N113" s="244"/>
      <c r="O113" s="3"/>
    </row>
    <row r="114" customFormat="false" ht="17.25" hidden="false" customHeight="true" outlineLevel="0" collapsed="false">
      <c r="A114" s="51"/>
      <c r="B114" s="121"/>
      <c r="C114" s="121"/>
      <c r="D114" s="121"/>
      <c r="E114" s="121"/>
      <c r="F114" s="121"/>
      <c r="G114" s="186" t="s">
        <v>29</v>
      </c>
      <c r="H114" s="186"/>
      <c r="I114" s="186"/>
      <c r="J114" s="186" t="s">
        <v>30</v>
      </c>
      <c r="K114" s="186"/>
      <c r="L114" s="186"/>
      <c r="M114" s="186"/>
      <c r="N114" s="186"/>
      <c r="O114" s="51"/>
      <c r="P114" s="51"/>
      <c r="Q114" s="51"/>
      <c r="R114" s="51"/>
      <c r="S114" s="51"/>
      <c r="T114" s="51"/>
      <c r="U114" s="51"/>
    </row>
    <row r="115" customFormat="false" ht="17.25" hidden="false" customHeight="true" outlineLevel="0" collapsed="false">
      <c r="A115" s="51"/>
      <c r="B115" s="121" t="s">
        <v>207</v>
      </c>
      <c r="C115" s="121"/>
      <c r="D115" s="121"/>
      <c r="E115" s="121"/>
      <c r="F115" s="121"/>
      <c r="G115" s="72" t="str">
        <f aca="false">"FY"&amp;G10</f>
        <v>FY2023</v>
      </c>
      <c r="H115" s="72" t="str">
        <f aca="false">"FY"&amp;H10</f>
        <v>FY2024</v>
      </c>
      <c r="I115" s="72" t="str">
        <f aca="false">"FY"&amp;I10</f>
        <v>FY2025</v>
      </c>
      <c r="J115" s="72" t="str">
        <f aca="false">"FY"&amp;J10</f>
        <v>FY2026</v>
      </c>
      <c r="K115" s="72" t="str">
        <f aca="false">"FY"&amp;K10</f>
        <v>FY2027</v>
      </c>
      <c r="L115" s="72" t="str">
        <f aca="false">"FY"&amp;L10</f>
        <v>FY2028</v>
      </c>
      <c r="M115" s="72" t="str">
        <f aca="false">"FY"&amp;M10</f>
        <v>FY2029</v>
      </c>
      <c r="N115" s="72" t="str">
        <f aca="false">"FY"&amp;N10</f>
        <v>FY2030</v>
      </c>
      <c r="O115" s="51"/>
      <c r="P115" s="51"/>
    </row>
    <row r="116" customFormat="false" ht="17.25" hidden="false" customHeight="true" outlineLevel="0" collapsed="false">
      <c r="A116" s="15"/>
      <c r="B116" s="262" t="s">
        <v>240</v>
      </c>
      <c r="C116" s="162"/>
      <c r="D116" s="162"/>
      <c r="E116" s="162"/>
      <c r="F116" s="162"/>
      <c r="G116" s="249"/>
      <c r="H116" s="249"/>
      <c r="I116" s="249"/>
      <c r="J116" s="250" t="n">
        <f aca="false">SUM(J117:J119)</f>
        <v>542.489488888889</v>
      </c>
      <c r="K116" s="249" t="n">
        <f aca="false">SUM(K117:K119)</f>
        <v>555.254272666667</v>
      </c>
      <c r="L116" s="249" t="n">
        <f aca="false">SUM(L117:L119)</f>
        <v>565.258586005236</v>
      </c>
      <c r="M116" s="249" t="n">
        <f aca="false">SUM(M117:M119)</f>
        <v>575.810330814664</v>
      </c>
      <c r="N116" s="251" t="n">
        <f aca="false">SUM(N117:N119)</f>
        <v>586.923099553221</v>
      </c>
      <c r="O116" s="15"/>
      <c r="P116" s="15"/>
    </row>
    <row r="117" customFormat="false" ht="17.25" hidden="false" customHeight="true" outlineLevel="0" collapsed="false">
      <c r="A117" s="65"/>
      <c r="B117" s="263" t="s">
        <v>74</v>
      </c>
      <c r="C117" s="65"/>
      <c r="D117" s="65"/>
      <c r="E117" s="65"/>
      <c r="F117" s="65"/>
      <c r="G117" s="232"/>
      <c r="H117" s="232"/>
      <c r="I117" s="232"/>
      <c r="J117" s="232" t="n">
        <f aca="false">J80</f>
        <v>538.8756</v>
      </c>
      <c r="K117" s="232" t="n">
        <f aca="false">K80</f>
        <v>549.193078222222</v>
      </c>
      <c r="L117" s="232" t="n">
        <f aca="false">L80</f>
        <v>561.594398808889</v>
      </c>
      <c r="M117" s="232" t="n">
        <f aca="false">M80</f>
        <v>574.663127709984</v>
      </c>
      <c r="N117" s="232" t="n">
        <f aca="false">N80</f>
        <v>588.417587181527</v>
      </c>
      <c r="O117" s="65"/>
      <c r="P117" s="65"/>
    </row>
    <row r="118" customFormat="false" ht="17.25" hidden="false" customHeight="true" outlineLevel="0" collapsed="false">
      <c r="A118" s="15"/>
      <c r="B118" s="264" t="s">
        <v>241</v>
      </c>
      <c r="C118" s="15"/>
      <c r="D118" s="15"/>
      <c r="E118" s="15"/>
      <c r="F118" s="15"/>
      <c r="G118" s="112"/>
      <c r="H118" s="112"/>
      <c r="I118" s="112"/>
      <c r="J118" s="218" t="n">
        <f aca="false">J70</f>
        <v>0</v>
      </c>
      <c r="K118" s="112" t="n">
        <f aca="false">K70</f>
        <v>0</v>
      </c>
      <c r="L118" s="112" t="n">
        <f aca="false">L70</f>
        <v>0</v>
      </c>
      <c r="M118" s="112" t="n">
        <f aca="false">M70</f>
        <v>0</v>
      </c>
      <c r="N118" s="219" t="n">
        <f aca="false">N70</f>
        <v>0</v>
      </c>
      <c r="O118" s="15"/>
      <c r="P118" s="15"/>
    </row>
    <row r="119" customFormat="false" ht="17.25" hidden="false" customHeight="true" outlineLevel="0" collapsed="false">
      <c r="A119" s="15"/>
      <c r="B119" s="192" t="s">
        <v>242</v>
      </c>
      <c r="C119" s="15"/>
      <c r="D119" s="15"/>
      <c r="E119" s="15"/>
      <c r="F119" s="15"/>
      <c r="G119" s="112"/>
      <c r="H119" s="112"/>
      <c r="I119" s="112"/>
      <c r="J119" s="218" t="n">
        <f aca="false">J35</f>
        <v>3.61388888888888</v>
      </c>
      <c r="K119" s="112" t="n">
        <f aca="false">K35</f>
        <v>6.06119444444443</v>
      </c>
      <c r="L119" s="112" t="n">
        <f aca="false">L35</f>
        <v>3.66418719634703</v>
      </c>
      <c r="M119" s="112" t="n">
        <f aca="false">M35</f>
        <v>1.14720310468039</v>
      </c>
      <c r="N119" s="219" t="n">
        <f aca="false">N35</f>
        <v>-1.49448762830554</v>
      </c>
      <c r="O119" s="15"/>
      <c r="P119" s="15"/>
    </row>
    <row r="120" customFormat="false" ht="17.25" hidden="false" customHeight="true" outlineLevel="0" collapsed="false">
      <c r="A120" s="15"/>
      <c r="B120" s="262" t="s">
        <v>243</v>
      </c>
      <c r="C120" s="162"/>
      <c r="D120" s="162"/>
      <c r="E120" s="162"/>
      <c r="F120" s="162"/>
      <c r="G120" s="249"/>
      <c r="H120" s="249"/>
      <c r="I120" s="249"/>
      <c r="J120" s="250" t="n">
        <f aca="false">SUM(J121)</f>
        <v>0</v>
      </c>
      <c r="K120" s="249" t="n">
        <f aca="false">SUM(K121)</f>
        <v>0</v>
      </c>
      <c r="L120" s="249" t="n">
        <f aca="false">SUM(L121)</f>
        <v>0</v>
      </c>
      <c r="M120" s="249" t="n">
        <f aca="false">SUM(M121)</f>
        <v>0</v>
      </c>
      <c r="N120" s="251" t="n">
        <f aca="false">SUM(N121)</f>
        <v>0</v>
      </c>
      <c r="O120" s="15"/>
      <c r="P120" s="15"/>
    </row>
    <row r="121" customFormat="false" ht="17.25" hidden="false" customHeight="true" outlineLevel="0" collapsed="false">
      <c r="A121" s="15"/>
      <c r="B121" s="192" t="s">
        <v>244</v>
      </c>
      <c r="C121" s="15"/>
      <c r="D121" s="15"/>
      <c r="E121" s="15"/>
      <c r="F121" s="15"/>
      <c r="G121" s="112"/>
      <c r="H121" s="112"/>
      <c r="I121" s="112"/>
      <c r="J121" s="216"/>
      <c r="K121" s="112"/>
      <c r="L121" s="112"/>
      <c r="M121" s="112"/>
      <c r="N121" s="217"/>
      <c r="O121" s="15"/>
      <c r="P121" s="15"/>
    </row>
    <row r="122" customFormat="false" ht="17.25" hidden="false" customHeight="true" outlineLevel="0" collapsed="false">
      <c r="A122" s="15"/>
      <c r="B122" s="262" t="s">
        <v>245</v>
      </c>
      <c r="C122" s="162"/>
      <c r="D122" s="162"/>
      <c r="E122" s="162"/>
      <c r="F122" s="162"/>
      <c r="G122" s="249"/>
      <c r="H122" s="249"/>
      <c r="I122" s="249"/>
      <c r="J122" s="250" t="n">
        <f aca="false">SUM(J123:J126)</f>
        <v>-50</v>
      </c>
      <c r="K122" s="249" t="n">
        <f aca="false">SUM(K123:K126)</f>
        <v>0</v>
      </c>
      <c r="L122" s="249" t="n">
        <f aca="false">SUM(L123:L126)</f>
        <v>0</v>
      </c>
      <c r="M122" s="249" t="n">
        <f aca="false">SUM(M123:M126)</f>
        <v>0</v>
      </c>
      <c r="N122" s="251" t="n">
        <f aca="false">SUM(N123:N126)</f>
        <v>0</v>
      </c>
      <c r="O122" s="15"/>
      <c r="P122" s="15"/>
    </row>
    <row r="123" customFormat="false" ht="17.25" hidden="false" customHeight="true" outlineLevel="0" collapsed="false">
      <c r="A123" s="15"/>
      <c r="B123" s="192" t="s">
        <v>246</v>
      </c>
      <c r="C123" s="15"/>
      <c r="D123" s="15"/>
      <c r="E123" s="15"/>
      <c r="F123" s="15"/>
      <c r="G123" s="112"/>
      <c r="H123" s="112"/>
      <c r="I123" s="112"/>
      <c r="J123" s="218" t="n">
        <f aca="false">-Calculation!J187-Calculation!J193-Calculation!J199</f>
        <v>-50</v>
      </c>
      <c r="K123" s="112" t="n">
        <f aca="false">-Calculation!K187-Calculation!K193-Calculation!K199</f>
        <v>-0</v>
      </c>
      <c r="L123" s="112" t="n">
        <f aca="false">-Calculation!L187-Calculation!L193-Calculation!L199</f>
        <v>-0</v>
      </c>
      <c r="M123" s="112" t="n">
        <f aca="false">-Calculation!M187-Calculation!M193-Calculation!M199</f>
        <v>-0</v>
      </c>
      <c r="N123" s="219" t="n">
        <f aca="false">-Calculation!N187-Calculation!N193-Calculation!N199</f>
        <v>-0</v>
      </c>
      <c r="O123" s="15"/>
      <c r="P123" s="15"/>
    </row>
    <row r="124" customFormat="false" ht="17.25" hidden="false" customHeight="true" outlineLevel="0" collapsed="false">
      <c r="A124" s="15"/>
      <c r="B124" s="192" t="s">
        <v>247</v>
      </c>
      <c r="C124" s="15"/>
      <c r="D124" s="15"/>
      <c r="E124" s="15"/>
      <c r="F124" s="15"/>
      <c r="G124" s="112"/>
      <c r="H124" s="112"/>
      <c r="I124" s="112"/>
      <c r="J124" s="218" t="n">
        <f aca="false">Calculation!J186+Calculation!J192+Calculation!J198</f>
        <v>0</v>
      </c>
      <c r="K124" s="112" t="n">
        <f aca="false">Calculation!K186+Calculation!K192+Calculation!K198</f>
        <v>0</v>
      </c>
      <c r="L124" s="112" t="n">
        <f aca="false">Calculation!L186+Calculation!L192+Calculation!L198</f>
        <v>0</v>
      </c>
      <c r="M124" s="112" t="n">
        <f aca="false">Calculation!M186+Calculation!M192+Calculation!M198</f>
        <v>0</v>
      </c>
      <c r="N124" s="219" t="n">
        <f aca="false">Calculation!N186+Calculation!N192+Calculation!N198</f>
        <v>0</v>
      </c>
      <c r="O124" s="15"/>
      <c r="P124" s="15"/>
    </row>
    <row r="125" customFormat="false" ht="17.25" hidden="false" customHeight="true" outlineLevel="0" collapsed="false">
      <c r="A125" s="15"/>
      <c r="B125" s="192" t="s">
        <v>248</v>
      </c>
      <c r="C125" s="15"/>
      <c r="D125" s="15"/>
      <c r="E125" s="15"/>
      <c r="F125" s="15"/>
      <c r="G125" s="112"/>
      <c r="H125" s="112"/>
      <c r="I125" s="112"/>
      <c r="J125" s="216"/>
      <c r="K125" s="112"/>
      <c r="L125" s="112"/>
      <c r="M125" s="112"/>
      <c r="N125" s="217"/>
      <c r="O125" s="15"/>
      <c r="P125" s="15"/>
    </row>
    <row r="126" customFormat="false" ht="17.25" hidden="false" customHeight="true" outlineLevel="0" collapsed="false">
      <c r="A126" s="15"/>
      <c r="B126" s="192" t="s">
        <v>249</v>
      </c>
      <c r="C126" s="15"/>
      <c r="D126" s="15"/>
      <c r="E126" s="15"/>
      <c r="F126" s="15"/>
      <c r="G126" s="112"/>
      <c r="H126" s="112"/>
      <c r="I126" s="112"/>
      <c r="J126" s="216"/>
      <c r="K126" s="112"/>
      <c r="L126" s="112"/>
      <c r="M126" s="112"/>
      <c r="N126" s="217"/>
      <c r="O126" s="15"/>
      <c r="P126" s="15"/>
    </row>
    <row r="127" customFormat="false" ht="17.25" hidden="false" customHeight="true" outlineLevel="0" collapsed="false">
      <c r="A127" s="15"/>
      <c r="B127" s="262" t="s">
        <v>250</v>
      </c>
      <c r="C127" s="162"/>
      <c r="D127" s="162"/>
      <c r="E127" s="162"/>
      <c r="F127" s="162"/>
      <c r="G127" s="249"/>
      <c r="H127" s="249"/>
      <c r="I127" s="249"/>
      <c r="J127" s="250" t="n">
        <f aca="false">I129</f>
        <v>50</v>
      </c>
      <c r="K127" s="249" t="n">
        <f aca="false">J129</f>
        <v>542.489488888889</v>
      </c>
      <c r="L127" s="249" t="n">
        <f aca="false">K129</f>
        <v>1097.74376155556</v>
      </c>
      <c r="M127" s="249" t="n">
        <f aca="false">L129</f>
        <v>1663.00234756079</v>
      </c>
      <c r="N127" s="251" t="n">
        <f aca="false">M129</f>
        <v>2238.81267837546</v>
      </c>
      <c r="O127" s="15"/>
      <c r="P127" s="15"/>
    </row>
    <row r="128" customFormat="false" ht="17.25" hidden="false" customHeight="true" outlineLevel="0" collapsed="false">
      <c r="A128" s="15"/>
      <c r="B128" s="248" t="s">
        <v>251</v>
      </c>
      <c r="C128" s="162"/>
      <c r="D128" s="162"/>
      <c r="E128" s="162"/>
      <c r="F128" s="162"/>
      <c r="G128" s="249"/>
      <c r="H128" s="249"/>
      <c r="I128" s="249"/>
      <c r="J128" s="250" t="n">
        <f aca="false">J116+J120+J122</f>
        <v>492.489488888889</v>
      </c>
      <c r="K128" s="249" t="n">
        <f aca="false">K116+K120+K122</f>
        <v>555.254272666667</v>
      </c>
      <c r="L128" s="249" t="n">
        <f aca="false">L116+L120+L122</f>
        <v>565.258586005236</v>
      </c>
      <c r="M128" s="249" t="n">
        <f aca="false">M116+M120+M122</f>
        <v>575.810330814664</v>
      </c>
      <c r="N128" s="251" t="n">
        <f aca="false">N116+N120+N122</f>
        <v>586.923099553221</v>
      </c>
      <c r="O128" s="15"/>
      <c r="P128" s="15"/>
    </row>
    <row r="129" customFormat="false" ht="17.25" hidden="false" customHeight="true" outlineLevel="0" collapsed="false">
      <c r="A129" s="65"/>
      <c r="B129" s="265" t="s">
        <v>252</v>
      </c>
      <c r="C129" s="222"/>
      <c r="D129" s="222"/>
      <c r="E129" s="222"/>
      <c r="F129" s="222"/>
      <c r="G129" s="223"/>
      <c r="H129" s="223"/>
      <c r="I129" s="223" t="n">
        <f aca="false">I87</f>
        <v>50</v>
      </c>
      <c r="J129" s="223" t="n">
        <f aca="false">J127+J128</f>
        <v>542.489488888889</v>
      </c>
      <c r="K129" s="223" t="n">
        <f aca="false">K127+K128</f>
        <v>1097.74376155556</v>
      </c>
      <c r="L129" s="223" t="n">
        <f aca="false">L127+L128</f>
        <v>1663.00234756079</v>
      </c>
      <c r="M129" s="223" t="n">
        <f aca="false">M127+M128</f>
        <v>2238.81267837546</v>
      </c>
      <c r="N129" s="223" t="n">
        <f aca="false">N127+N128</f>
        <v>2825.73577792868</v>
      </c>
      <c r="O129" s="65"/>
      <c r="P129" s="65"/>
    </row>
  </sheetData>
  <mergeCells count="10">
    <mergeCell ref="G18:I18"/>
    <mergeCell ref="J18:O18"/>
    <mergeCell ref="L51:N51"/>
    <mergeCell ref="J53:J55"/>
    <mergeCell ref="G59:I59"/>
    <mergeCell ref="J59:N59"/>
    <mergeCell ref="G84:I84"/>
    <mergeCell ref="J84:N84"/>
    <mergeCell ref="G114:I114"/>
    <mergeCell ref="J114:N1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customHeight="true" zeroHeight="false" outlineLevelRow="0" outlineLevelCol="0"/>
  <cols>
    <col collapsed="false" customWidth="true" hidden="false" outlineLevel="0" max="1" min="1" style="266" width="1.68"/>
    <col collapsed="false" customWidth="true" hidden="false" outlineLevel="0" max="2" min="2" style="266" width="28.69"/>
    <col collapsed="false" customWidth="true" hidden="false" outlineLevel="0" max="3" min="3" style="266" width="1.68"/>
    <col collapsed="false" customWidth="true" hidden="false" outlineLevel="0" max="5" min="4" style="266" width="13"/>
    <col collapsed="false" customWidth="true" hidden="false" outlineLevel="0" max="6" min="6" style="266" width="8.69"/>
    <col collapsed="false" customWidth="true" hidden="false" outlineLevel="0" max="15" min="7" style="266" width="10"/>
    <col collapsed="false" customWidth="true" hidden="false" outlineLevel="0" max="16" min="16" style="266" width="1.68"/>
  </cols>
  <sheetData>
    <row r="1" customFormat="false" ht="24" hidden="false" customHeight="true" outlineLevel="0" collapsed="false">
      <c r="A1" s="8"/>
      <c r="B1" s="179" t="str">
        <f aca="false">Legend!D2</f>
        <v>Project dummy Financial Model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17.25" hidden="false" customHeight="true" outlineLevel="0" collapsed="false">
      <c r="A2" s="8"/>
      <c r="B2" s="267" t="s">
        <v>253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268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7.25" hidden="false" customHeight="true" outlineLevel="0" collapsed="false">
      <c r="A6" s="51"/>
      <c r="B6" s="52" t="s">
        <v>28</v>
      </c>
      <c r="C6" s="51"/>
      <c r="D6" s="51"/>
      <c r="E6" s="51"/>
      <c r="F6" s="51"/>
      <c r="G6" s="269" t="str">
        <f aca="false">Input!G6</f>
        <v>Actual</v>
      </c>
      <c r="H6" s="269" t="str">
        <f aca="false">Input!H6</f>
        <v>Actual</v>
      </c>
      <c r="I6" s="269" t="str">
        <f aca="false">Input!I6</f>
        <v>Actual</v>
      </c>
      <c r="J6" s="269" t="str">
        <f aca="false">Input!J6</f>
        <v>Forecast</v>
      </c>
      <c r="K6" s="269" t="str">
        <f aca="false">Input!K6</f>
        <v>Forecast</v>
      </c>
      <c r="L6" s="269" t="str">
        <f aca="false">Input!L6</f>
        <v>Forecast</v>
      </c>
      <c r="M6" s="269" t="str">
        <f aca="false">Input!M6</f>
        <v>Forecast</v>
      </c>
      <c r="N6" s="269" t="str">
        <f aca="false">Input!N6</f>
        <v>Forecast</v>
      </c>
      <c r="O6" s="269" t="str">
        <f aca="false">Input!O6</f>
        <v>Forecast</v>
      </c>
      <c r="P6" s="51"/>
      <c r="Q6" s="51"/>
    </row>
    <row r="7" customFormat="false" ht="17.25" hidden="false" customHeight="true" outlineLevel="0" collapsed="false">
      <c r="A7" s="15"/>
      <c r="B7" s="56" t="s">
        <v>31</v>
      </c>
      <c r="C7" s="15"/>
      <c r="D7" s="15"/>
      <c r="E7" s="15"/>
      <c r="F7" s="15"/>
      <c r="G7" s="270" t="n">
        <f aca="false">Input!G7</f>
        <v>44927</v>
      </c>
      <c r="H7" s="270" t="n">
        <f aca="false">Input!H7</f>
        <v>45292</v>
      </c>
      <c r="I7" s="270" t="n">
        <f aca="false">Input!I7</f>
        <v>45658</v>
      </c>
      <c r="J7" s="270" t="n">
        <f aca="false">Input!J7</f>
        <v>46023</v>
      </c>
      <c r="K7" s="270" t="n">
        <f aca="false">Input!K7</f>
        <v>46388</v>
      </c>
      <c r="L7" s="270" t="n">
        <f aca="false">Input!L7</f>
        <v>46753</v>
      </c>
      <c r="M7" s="270" t="n">
        <f aca="false">Input!M7</f>
        <v>47119</v>
      </c>
      <c r="N7" s="270" t="n">
        <f aca="false">Input!N7</f>
        <v>47484</v>
      </c>
      <c r="O7" s="11" t="s">
        <v>32</v>
      </c>
      <c r="P7" s="15"/>
      <c r="Q7" s="15"/>
    </row>
    <row r="8" customFormat="false" ht="17.25" hidden="false" customHeight="true" outlineLevel="0" collapsed="false">
      <c r="A8" s="15"/>
      <c r="B8" s="56" t="s">
        <v>33</v>
      </c>
      <c r="C8" s="15"/>
      <c r="D8" s="15"/>
      <c r="E8" s="15"/>
      <c r="F8" s="15"/>
      <c r="G8" s="270" t="n">
        <f aca="false">Input!G8</f>
        <v>45291</v>
      </c>
      <c r="H8" s="270" t="n">
        <f aca="false">Input!H8</f>
        <v>45657</v>
      </c>
      <c r="I8" s="270" t="n">
        <f aca="false">Input!I8</f>
        <v>46022</v>
      </c>
      <c r="J8" s="270" t="n">
        <f aca="false">Input!J8</f>
        <v>46387</v>
      </c>
      <c r="K8" s="270" t="n">
        <f aca="false">Input!K8</f>
        <v>46752</v>
      </c>
      <c r="L8" s="270" t="n">
        <f aca="false">Input!L8</f>
        <v>47118</v>
      </c>
      <c r="M8" s="270" t="n">
        <f aca="false">Input!M8</f>
        <v>47483</v>
      </c>
      <c r="N8" s="270" t="n">
        <f aca="false">Input!N8</f>
        <v>47848</v>
      </c>
      <c r="O8" s="11"/>
      <c r="P8" s="15"/>
      <c r="Q8" s="15"/>
    </row>
    <row r="9" customFormat="false" ht="17.25" hidden="false" customHeight="true" outlineLevel="0" collapsed="false">
      <c r="A9" s="15"/>
      <c r="B9" s="56" t="s">
        <v>34</v>
      </c>
      <c r="C9" s="15"/>
      <c r="D9" s="15"/>
      <c r="E9" s="15"/>
      <c r="F9" s="15"/>
      <c r="G9" s="11" t="n">
        <f aca="false">Input!G9</f>
        <v>12</v>
      </c>
      <c r="H9" s="11" t="n">
        <f aca="false">Input!H9</f>
        <v>12</v>
      </c>
      <c r="I9" s="11" t="n">
        <f aca="false">Input!I9</f>
        <v>12</v>
      </c>
      <c r="J9" s="11" t="n">
        <f aca="false">Input!J9</f>
        <v>12</v>
      </c>
      <c r="K9" s="11" t="n">
        <f aca="false">Input!K9</f>
        <v>12</v>
      </c>
      <c r="L9" s="11" t="n">
        <f aca="false">Input!L9</f>
        <v>12</v>
      </c>
      <c r="M9" s="11" t="n">
        <f aca="false">Input!M9</f>
        <v>12</v>
      </c>
      <c r="N9" s="11" t="n">
        <f aca="false">Input!N9</f>
        <v>12</v>
      </c>
      <c r="O9" s="11"/>
      <c r="P9" s="15"/>
      <c r="Q9" s="15"/>
    </row>
    <row r="10" customFormat="false" ht="17.25" hidden="false" customHeight="true" outlineLevel="0" collapsed="false">
      <c r="A10" s="15"/>
      <c r="B10" s="56" t="s">
        <v>35</v>
      </c>
      <c r="C10" s="15"/>
      <c r="D10" s="15"/>
      <c r="E10" s="15"/>
      <c r="F10" s="15"/>
      <c r="G10" s="11" t="n">
        <f aca="false">Input!G10</f>
        <v>2023</v>
      </c>
      <c r="H10" s="11" t="n">
        <f aca="false">Input!H10</f>
        <v>2024</v>
      </c>
      <c r="I10" s="11" t="n">
        <f aca="false">Input!I10</f>
        <v>2025</v>
      </c>
      <c r="J10" s="11" t="n">
        <f aca="false">Input!J10</f>
        <v>2026</v>
      </c>
      <c r="K10" s="11" t="n">
        <f aca="false">Input!K10</f>
        <v>2027</v>
      </c>
      <c r="L10" s="11" t="n">
        <f aca="false">Input!L10</f>
        <v>2028</v>
      </c>
      <c r="M10" s="11" t="n">
        <f aca="false">Input!M10</f>
        <v>2029</v>
      </c>
      <c r="N10" s="11" t="n">
        <f aca="false">Input!N10</f>
        <v>2030</v>
      </c>
      <c r="O10" s="11" t="n">
        <f aca="false">Input!O10</f>
        <v>0</v>
      </c>
      <c r="P10" s="15"/>
      <c r="Q10" s="15"/>
    </row>
    <row r="11" customFormat="false" ht="17.25" hidden="false" customHeight="true" outlineLevel="0" collapsed="false">
      <c r="A11" s="15"/>
      <c r="B11" s="56" t="s">
        <v>36</v>
      </c>
      <c r="C11" s="15"/>
      <c r="D11" s="15"/>
      <c r="E11" s="15"/>
      <c r="F11" s="15"/>
      <c r="G11" s="11" t="n">
        <f aca="false">Input!G11</f>
        <v>364</v>
      </c>
      <c r="H11" s="11" t="n">
        <f aca="false">Input!H11</f>
        <v>365</v>
      </c>
      <c r="I11" s="11" t="n">
        <f aca="false">Input!I11</f>
        <v>364</v>
      </c>
      <c r="J11" s="11" t="n">
        <f aca="false">Input!J11</f>
        <v>364</v>
      </c>
      <c r="K11" s="11" t="n">
        <f aca="false">Input!K11</f>
        <v>364</v>
      </c>
      <c r="L11" s="11" t="n">
        <f aca="false">Input!L11</f>
        <v>365</v>
      </c>
      <c r="M11" s="11" t="n">
        <f aca="false">Input!M11</f>
        <v>364</v>
      </c>
      <c r="N11" s="11" t="n">
        <f aca="false">Input!N11</f>
        <v>364</v>
      </c>
      <c r="O11" s="11"/>
      <c r="P11" s="15"/>
      <c r="Q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268" t="s">
        <v>254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8"/>
      <c r="Q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51"/>
      <c r="B15" s="71" t="s">
        <v>255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customFormat="false" ht="17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7.25" hidden="false" customHeight="true" outlineLevel="0" collapsed="false">
      <c r="A17" s="15"/>
      <c r="B17" s="56" t="s">
        <v>256</v>
      </c>
      <c r="C17" s="15"/>
      <c r="D17" s="15"/>
      <c r="E17" s="271" t="n">
        <v>0.035</v>
      </c>
      <c r="F17" s="22" t="s">
        <v>43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7.25" hidden="false" customHeight="true" outlineLevel="0" collapsed="false">
      <c r="A18" s="15"/>
      <c r="B18" s="56" t="s">
        <v>257</v>
      </c>
      <c r="C18" s="15"/>
      <c r="D18" s="15"/>
      <c r="E18" s="271" t="n">
        <v>0.06</v>
      </c>
      <c r="F18" s="22" t="s">
        <v>43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customFormat="false" ht="17.25" hidden="false" customHeight="true" outlineLevel="0" collapsed="false">
      <c r="A19" s="15"/>
      <c r="B19" s="56" t="s">
        <v>258</v>
      </c>
      <c r="C19" s="15"/>
      <c r="D19" s="15"/>
      <c r="E19" s="272" t="n">
        <v>1</v>
      </c>
      <c r="F19" s="22" t="s">
        <v>259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customFormat="false" ht="17.25" hidden="false" customHeight="true" outlineLevel="0" collapsed="false">
      <c r="A20" s="15"/>
      <c r="B20" s="56" t="s">
        <v>260</v>
      </c>
      <c r="C20" s="15"/>
      <c r="D20" s="15"/>
      <c r="E20" s="271" t="n">
        <v>0.02</v>
      </c>
      <c r="F20" s="22" t="s">
        <v>43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customFormat="false" ht="17.25" hidden="false" customHeight="true" outlineLevel="0" collapsed="false">
      <c r="A21" s="15"/>
      <c r="B21" s="56" t="s">
        <v>261</v>
      </c>
      <c r="C21" s="15"/>
      <c r="D21" s="15"/>
      <c r="E21" s="271" t="n">
        <v>0.01</v>
      </c>
      <c r="F21" s="22" t="s">
        <v>43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customFormat="false" ht="17.25" hidden="false" customHeight="true" outlineLevel="0" collapsed="false">
      <c r="A22" s="65"/>
      <c r="B22" s="273" t="s">
        <v>262</v>
      </c>
      <c r="C22" s="273"/>
      <c r="D22" s="273"/>
      <c r="E22" s="274" t="n">
        <f aca="false">E17+E19*E18+E20+E21</f>
        <v>0.125</v>
      </c>
      <c r="F22" s="273" t="s">
        <v>43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</row>
    <row r="23" customFormat="false" ht="17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7.25" hidden="false" customHeight="true" outlineLevel="0" collapsed="false">
      <c r="A24" s="51"/>
      <c r="B24" s="71" t="s">
        <v>263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customFormat="false" ht="17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7.25" hidden="false" customHeight="true" outlineLevel="0" collapsed="false">
      <c r="A26" s="15"/>
      <c r="B26" s="56" t="s">
        <v>264</v>
      </c>
      <c r="C26" s="15"/>
      <c r="D26" s="15"/>
      <c r="E26" s="271" t="n">
        <f aca="false">Input!E217</f>
        <v>0.1</v>
      </c>
      <c r="F26" s="22" t="s">
        <v>43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customFormat="false" ht="17.25" hidden="false" customHeight="true" outlineLevel="0" collapsed="false">
      <c r="A27" s="15"/>
      <c r="B27" s="56" t="s">
        <v>265</v>
      </c>
      <c r="C27" s="15"/>
      <c r="D27" s="15"/>
      <c r="E27" s="271" t="n">
        <v>0.22</v>
      </c>
      <c r="F27" s="22" t="s">
        <v>43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customFormat="false" ht="17.25" hidden="false" customHeight="true" outlineLevel="0" collapsed="false">
      <c r="A28" s="65"/>
      <c r="B28" s="273" t="s">
        <v>266</v>
      </c>
      <c r="C28" s="273"/>
      <c r="D28" s="273"/>
      <c r="E28" s="274" t="n">
        <f aca="false">E26*(1-E27)</f>
        <v>0.078</v>
      </c>
      <c r="F28" s="273" t="s">
        <v>43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</row>
    <row r="29" customFormat="false" ht="17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7.25" hidden="false" customHeight="true" outlineLevel="0" collapsed="false">
      <c r="A30" s="51"/>
      <c r="B30" s="71" t="s">
        <v>267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</row>
    <row r="31" customFormat="false" ht="17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7.25" hidden="false" customHeight="true" outlineLevel="0" collapsed="false">
      <c r="A32" s="15"/>
      <c r="B32" s="56" t="s">
        <v>268</v>
      </c>
      <c r="C32" s="15"/>
      <c r="D32" s="15"/>
      <c r="E32" s="275" t="n">
        <f aca="false">DCF!O45</f>
        <v>2365.19715267784</v>
      </c>
      <c r="F32" s="22" t="s">
        <v>114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customFormat="false" ht="17.25" hidden="false" customHeight="true" outlineLevel="0" collapsed="false">
      <c r="A33" s="15"/>
      <c r="B33" s="56" t="s">
        <v>269</v>
      </c>
      <c r="C33" s="15"/>
      <c r="D33" s="15"/>
      <c r="E33" s="275" t="n">
        <f aca="false">Input!I248</f>
        <v>250</v>
      </c>
      <c r="F33" s="22" t="s">
        <v>114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customFormat="false" ht="17.25" hidden="false" customHeight="true" outlineLevel="0" collapsed="false">
      <c r="A34" s="15"/>
      <c r="B34" s="56" t="s">
        <v>270</v>
      </c>
      <c r="C34" s="15"/>
      <c r="D34" s="15"/>
      <c r="E34" s="11" t="n">
        <f aca="false">E32+E33</f>
        <v>2615.19715267784</v>
      </c>
      <c r="F34" s="22" t="s">
        <v>114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customFormat="false" ht="17.25" hidden="false" customHeight="true" outlineLevel="0" collapsed="false">
      <c r="A35" s="15"/>
      <c r="B35" s="56" t="s">
        <v>271</v>
      </c>
      <c r="C35" s="15"/>
      <c r="D35" s="15"/>
      <c r="E35" s="271" t="n">
        <f aca="false">IFERROR(E32/E34,0)</f>
        <v>0.904404912744719</v>
      </c>
      <c r="F35" s="22" t="s">
        <v>43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Format="false" ht="17.25" hidden="false" customHeight="true" outlineLevel="0" collapsed="false">
      <c r="A36" s="15"/>
      <c r="B36" s="56" t="s">
        <v>272</v>
      </c>
      <c r="C36" s="15"/>
      <c r="D36" s="15"/>
      <c r="E36" s="271" t="n">
        <f aca="false">IFERROR(E33/E34,0)</f>
        <v>0.0955950872552808</v>
      </c>
      <c r="F36" s="22" t="s">
        <v>43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Format="false" ht="17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7.25" hidden="false" customHeight="true" outlineLevel="0" collapsed="false">
      <c r="A38" s="8"/>
      <c r="B38" s="268" t="s">
        <v>273</v>
      </c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8"/>
      <c r="Q38" s="8"/>
    </row>
    <row r="39" customFormat="false" ht="17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7.25" hidden="false" customHeight="true" outlineLevel="0" collapsed="false">
      <c r="A40" s="65"/>
      <c r="B40" s="273" t="s">
        <v>42</v>
      </c>
      <c r="C40" s="273"/>
      <c r="D40" s="273"/>
      <c r="E40" s="276" t="n">
        <f aca="false">E35*E22+E36*E28</f>
        <v>0.120507030899002</v>
      </c>
      <c r="F40" s="273" t="s">
        <v>43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</row>
    <row r="41" customFormat="false" ht="17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7.25" hidden="false" customHeight="true" outlineLevel="0" collapsed="false">
      <c r="A42" s="65"/>
      <c r="B42" s="277" t="s">
        <v>274</v>
      </c>
      <c r="C42" s="65"/>
      <c r="D42" s="65"/>
      <c r="E42" s="278" t="n">
        <f aca="false">Input!E18</f>
        <v>0.1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</row>
    <row r="43" customFormat="false" ht="17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7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7.25" hidden="false" customHeight="true" outlineLevel="0" collapsed="false">
      <c r="A45" s="8"/>
      <c r="B45" s="268" t="s">
        <v>275</v>
      </c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8"/>
      <c r="Q45" s="8"/>
    </row>
    <row r="46" customFormat="false" ht="17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7.25" hidden="false" customHeight="true" outlineLevel="0" collapsed="false">
      <c r="A47" s="65"/>
      <c r="B47" s="273" t="s">
        <v>262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 customFormat="false" ht="17.25" hidden="false" customHeight="true" outlineLevel="0" collapsed="false">
      <c r="A48" s="3"/>
      <c r="B48" s="3"/>
      <c r="C48" s="3"/>
      <c r="D48" s="279" t="s">
        <v>276</v>
      </c>
      <c r="E48" s="280" t="n">
        <v>0.04</v>
      </c>
      <c r="F48" s="280" t="n">
        <v>0.05</v>
      </c>
      <c r="G48" s="280" t="n">
        <v>0.06</v>
      </c>
      <c r="H48" s="280" t="n">
        <v>0.07</v>
      </c>
      <c r="I48" s="280" t="n">
        <v>0.08</v>
      </c>
      <c r="J48" s="3"/>
      <c r="K48" s="3"/>
      <c r="L48" s="3"/>
      <c r="M48" s="3"/>
      <c r="N48" s="3"/>
      <c r="O48" s="3"/>
    </row>
    <row r="49" customFormat="false" ht="17.25" hidden="false" customHeight="true" outlineLevel="0" collapsed="false">
      <c r="A49" s="3"/>
      <c r="B49" s="3"/>
      <c r="C49" s="279" t="s">
        <v>277</v>
      </c>
      <c r="D49" s="281" t="n">
        <v>0.8</v>
      </c>
      <c r="E49" s="282" t="n">
        <f aca="false">$E$17+$D49*E$48+$E$20+$E$21</f>
        <v>0.097</v>
      </c>
      <c r="F49" s="282" t="n">
        <f aca="false">$E$17+$D49*F$48+$E$20+$E$21</f>
        <v>0.105</v>
      </c>
      <c r="G49" s="282" t="n">
        <f aca="false">$E$17+$D49*G$48+$E$20+$E$21</f>
        <v>0.113</v>
      </c>
      <c r="H49" s="282" t="n">
        <f aca="false">$E$17+$D49*H$48+$E$20+$E$21</f>
        <v>0.121</v>
      </c>
      <c r="I49" s="282" t="n">
        <f aca="false">$E$17+$D49*I$48+$E$20+$E$21</f>
        <v>0.129</v>
      </c>
      <c r="J49" s="3"/>
      <c r="K49" s="3"/>
      <c r="L49" s="3"/>
      <c r="M49" s="3"/>
      <c r="N49" s="3"/>
      <c r="O49" s="3"/>
    </row>
    <row r="50" customFormat="false" ht="17.25" hidden="false" customHeight="true" outlineLevel="0" collapsed="false">
      <c r="A50" s="3"/>
      <c r="B50" s="3"/>
      <c r="C50" s="3"/>
      <c r="D50" s="281" t="n">
        <v>0.9</v>
      </c>
      <c r="E50" s="282" t="n">
        <f aca="false">$E$17+$D50*E$48+$E$20+$E$21</f>
        <v>0.101</v>
      </c>
      <c r="F50" s="282" t="n">
        <f aca="false">$E$17+$D50*F$48+$E$20+$E$21</f>
        <v>0.11</v>
      </c>
      <c r="G50" s="282" t="n">
        <f aca="false">$E$17+$D50*G$48+$E$20+$E$21</f>
        <v>0.119</v>
      </c>
      <c r="H50" s="282" t="n">
        <f aca="false">$E$17+$D50*H$48+$E$20+$E$21</f>
        <v>0.128</v>
      </c>
      <c r="I50" s="282" t="n">
        <f aca="false">$E$17+$D50*I$48+$E$20+$E$21</f>
        <v>0.137</v>
      </c>
      <c r="J50" s="3"/>
      <c r="K50" s="3"/>
      <c r="L50" s="3"/>
      <c r="M50" s="3"/>
      <c r="N50" s="3"/>
      <c r="O50" s="3"/>
    </row>
    <row r="51" customFormat="false" ht="17.25" hidden="false" customHeight="true" outlineLevel="0" collapsed="false">
      <c r="A51" s="3"/>
      <c r="B51" s="3"/>
      <c r="C51" s="3"/>
      <c r="D51" s="281" t="n">
        <v>1</v>
      </c>
      <c r="E51" s="282" t="n">
        <f aca="false">$E$17+$D51*E$48+$E$20+$E$21</f>
        <v>0.105</v>
      </c>
      <c r="F51" s="282" t="n">
        <f aca="false">$E$17+$D51*F$48+$E$20+$E$21</f>
        <v>0.115</v>
      </c>
      <c r="G51" s="283" t="n">
        <f aca="false">$E$17+$D51*G$48+$E$20+$E$21</f>
        <v>0.125</v>
      </c>
      <c r="H51" s="282" t="n">
        <f aca="false">$E$17+$D51*H$48+$E$20+$E$21</f>
        <v>0.135</v>
      </c>
      <c r="I51" s="282" t="n">
        <f aca="false">$E$17+$D51*I$48+$E$20+$E$21</f>
        <v>0.145</v>
      </c>
      <c r="J51" s="3"/>
      <c r="K51" s="3"/>
      <c r="L51" s="3"/>
      <c r="M51" s="3"/>
      <c r="N51" s="3"/>
      <c r="O51" s="3"/>
    </row>
    <row r="52" customFormat="false" ht="17.25" hidden="false" customHeight="true" outlineLevel="0" collapsed="false">
      <c r="A52" s="3"/>
      <c r="B52" s="3"/>
      <c r="C52" s="3"/>
      <c r="D52" s="281" t="n">
        <v>1.1</v>
      </c>
      <c r="E52" s="282" t="n">
        <f aca="false">$E$17+$D52*E$48+$E$20+$E$21</f>
        <v>0.109</v>
      </c>
      <c r="F52" s="282" t="n">
        <f aca="false">$E$17+$D52*F$48+$E$20+$E$21</f>
        <v>0.12</v>
      </c>
      <c r="G52" s="282" t="n">
        <f aca="false">$E$17+$D52*G$48+$E$20+$E$21</f>
        <v>0.131</v>
      </c>
      <c r="H52" s="282" t="n">
        <f aca="false">$E$17+$D52*H$48+$E$20+$E$21</f>
        <v>0.142</v>
      </c>
      <c r="I52" s="282" t="n">
        <f aca="false">$E$17+$D52*I$48+$E$20+$E$21</f>
        <v>0.153</v>
      </c>
      <c r="J52" s="3"/>
      <c r="K52" s="3"/>
      <c r="L52" s="3"/>
      <c r="M52" s="3"/>
      <c r="N52" s="3"/>
      <c r="O52" s="3"/>
    </row>
    <row r="53" customFormat="false" ht="17.25" hidden="false" customHeight="true" outlineLevel="0" collapsed="false">
      <c r="A53" s="3"/>
      <c r="B53" s="3"/>
      <c r="C53" s="3"/>
      <c r="D53" s="281" t="n">
        <v>1.2</v>
      </c>
      <c r="E53" s="282" t="n">
        <f aca="false">$E$17+$D53*E$48+$E$20+$E$21</f>
        <v>0.113</v>
      </c>
      <c r="F53" s="282" t="n">
        <f aca="false">$E$17+$D53*F$48+$E$20+$E$21</f>
        <v>0.125</v>
      </c>
      <c r="G53" s="282" t="n">
        <f aca="false">$E$17+$D53*G$48+$E$20+$E$21</f>
        <v>0.137</v>
      </c>
      <c r="H53" s="282" t="n">
        <f aca="false">$E$17+$D53*H$48+$E$20+$E$21</f>
        <v>0.149</v>
      </c>
      <c r="I53" s="282" t="n">
        <f aca="false">$E$17+$D53*I$48+$E$20+$E$21</f>
        <v>0.161</v>
      </c>
      <c r="J53" s="3"/>
      <c r="K53" s="3"/>
      <c r="L53" s="3"/>
      <c r="M53" s="3"/>
      <c r="N53" s="3"/>
      <c r="O53" s="3"/>
    </row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customHeight="true" zeroHeight="false" outlineLevelRow="0" outlineLevelCol="0"/>
  <cols>
    <col collapsed="false" customWidth="true" hidden="false" outlineLevel="0" max="1" min="1" style="266" width="1.68"/>
    <col collapsed="false" customWidth="true" hidden="false" outlineLevel="0" max="2" min="2" style="266" width="28.69"/>
    <col collapsed="false" customWidth="true" hidden="false" outlineLevel="0" max="16" min="3" style="266" width="1.68"/>
  </cols>
  <sheetData>
    <row r="1" customFormat="false" ht="24" hidden="false" customHeight="true" outlineLevel="0" collapsed="false">
      <c r="A1" s="8"/>
      <c r="B1" s="179" t="str">
        <f aca="false">Legend!D2</f>
        <v>Project dummy Financial Model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17.25" hidden="false" customHeight="true" outlineLevel="0" collapsed="false">
      <c r="A2" s="8"/>
      <c r="B2" s="267" t="s">
        <v>278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268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7.25" hidden="false" customHeight="true" outlineLevel="0" collapsed="false">
      <c r="A6" s="51"/>
      <c r="B6" s="52" t="s">
        <v>28</v>
      </c>
      <c r="C6" s="51"/>
      <c r="D6" s="51"/>
      <c r="E6" s="51"/>
      <c r="F6" s="51"/>
      <c r="G6" s="269" t="str">
        <f aca="false">Input!G6</f>
        <v>Actual</v>
      </c>
      <c r="H6" s="269" t="str">
        <f aca="false">Input!H6</f>
        <v>Actual</v>
      </c>
      <c r="I6" s="269" t="str">
        <f aca="false">Input!I6</f>
        <v>Actual</v>
      </c>
      <c r="J6" s="269" t="str">
        <f aca="false">Input!J6</f>
        <v>Forecast</v>
      </c>
      <c r="K6" s="269" t="str">
        <f aca="false">Input!K6</f>
        <v>Forecast</v>
      </c>
      <c r="L6" s="269" t="str">
        <f aca="false">Input!L6</f>
        <v>Forecast</v>
      </c>
      <c r="M6" s="269" t="str">
        <f aca="false">Input!M6</f>
        <v>Forecast</v>
      </c>
      <c r="N6" s="269" t="str">
        <f aca="false">Input!N6</f>
        <v>Forecast</v>
      </c>
      <c r="O6" s="269" t="str">
        <f aca="false">Input!O6</f>
        <v>Forecast</v>
      </c>
      <c r="P6" s="51"/>
      <c r="Q6" s="51"/>
    </row>
    <row r="7" customFormat="false" ht="17.25" hidden="false" customHeight="true" outlineLevel="0" collapsed="false">
      <c r="A7" s="15"/>
      <c r="B7" s="56" t="s">
        <v>31</v>
      </c>
      <c r="C7" s="15"/>
      <c r="D7" s="15"/>
      <c r="E7" s="15"/>
      <c r="F7" s="15"/>
      <c r="G7" s="270" t="n">
        <f aca="false">Input!G7</f>
        <v>44927</v>
      </c>
      <c r="H7" s="270" t="n">
        <f aca="false">Input!H7</f>
        <v>45292</v>
      </c>
      <c r="I7" s="270" t="n">
        <f aca="false">Input!I7</f>
        <v>45658</v>
      </c>
      <c r="J7" s="270" t="n">
        <f aca="false">Input!J7</f>
        <v>46023</v>
      </c>
      <c r="K7" s="270" t="n">
        <f aca="false">Input!K7</f>
        <v>46388</v>
      </c>
      <c r="L7" s="270" t="n">
        <f aca="false">Input!L7</f>
        <v>46753</v>
      </c>
      <c r="M7" s="270" t="n">
        <f aca="false">Input!M7</f>
        <v>47119</v>
      </c>
      <c r="N7" s="270" t="n">
        <f aca="false">Input!N7</f>
        <v>47484</v>
      </c>
      <c r="O7" s="11" t="s">
        <v>32</v>
      </c>
      <c r="P7" s="15"/>
      <c r="Q7" s="15"/>
    </row>
    <row r="8" customFormat="false" ht="17.25" hidden="false" customHeight="true" outlineLevel="0" collapsed="false">
      <c r="A8" s="15"/>
      <c r="B8" s="56" t="s">
        <v>33</v>
      </c>
      <c r="C8" s="15"/>
      <c r="D8" s="15"/>
      <c r="E8" s="15"/>
      <c r="F8" s="15"/>
      <c r="G8" s="270" t="n">
        <f aca="false">Input!G8</f>
        <v>45291</v>
      </c>
      <c r="H8" s="270" t="n">
        <f aca="false">Input!H8</f>
        <v>45657</v>
      </c>
      <c r="I8" s="270" t="n">
        <f aca="false">Input!I8</f>
        <v>46022</v>
      </c>
      <c r="J8" s="270" t="n">
        <f aca="false">Input!J8</f>
        <v>46387</v>
      </c>
      <c r="K8" s="270" t="n">
        <f aca="false">Input!K8</f>
        <v>46752</v>
      </c>
      <c r="L8" s="270" t="n">
        <f aca="false">Input!L8</f>
        <v>47118</v>
      </c>
      <c r="M8" s="270" t="n">
        <f aca="false">Input!M8</f>
        <v>47483</v>
      </c>
      <c r="N8" s="270" t="n">
        <f aca="false">Input!N8</f>
        <v>47848</v>
      </c>
      <c r="O8" s="11"/>
      <c r="P8" s="15"/>
      <c r="Q8" s="15"/>
    </row>
    <row r="9" customFormat="false" ht="17.25" hidden="false" customHeight="true" outlineLevel="0" collapsed="false">
      <c r="A9" s="15"/>
      <c r="B9" s="56" t="s">
        <v>34</v>
      </c>
      <c r="C9" s="15"/>
      <c r="D9" s="15"/>
      <c r="E9" s="15"/>
      <c r="F9" s="15"/>
      <c r="G9" s="11" t="n">
        <f aca="false">Input!G9</f>
        <v>12</v>
      </c>
      <c r="H9" s="11" t="n">
        <f aca="false">Input!H9</f>
        <v>12</v>
      </c>
      <c r="I9" s="11" t="n">
        <f aca="false">Input!I9</f>
        <v>12</v>
      </c>
      <c r="J9" s="11" t="n">
        <f aca="false">Input!J9</f>
        <v>12</v>
      </c>
      <c r="K9" s="11" t="n">
        <f aca="false">Input!K9</f>
        <v>12</v>
      </c>
      <c r="L9" s="11" t="n">
        <f aca="false">Input!L9</f>
        <v>12</v>
      </c>
      <c r="M9" s="11" t="n">
        <f aca="false">Input!M9</f>
        <v>12</v>
      </c>
      <c r="N9" s="11" t="n">
        <f aca="false">Input!N9</f>
        <v>12</v>
      </c>
      <c r="O9" s="11"/>
      <c r="P9" s="15"/>
      <c r="Q9" s="15"/>
    </row>
    <row r="10" customFormat="false" ht="17.25" hidden="false" customHeight="true" outlineLevel="0" collapsed="false">
      <c r="A10" s="15"/>
      <c r="B10" s="56" t="s">
        <v>35</v>
      </c>
      <c r="C10" s="15"/>
      <c r="D10" s="15"/>
      <c r="E10" s="15"/>
      <c r="F10" s="15"/>
      <c r="G10" s="11" t="n">
        <f aca="false">Input!G10</f>
        <v>2023</v>
      </c>
      <c r="H10" s="11" t="n">
        <f aca="false">Input!H10</f>
        <v>2024</v>
      </c>
      <c r="I10" s="11" t="n">
        <f aca="false">Input!I10</f>
        <v>2025</v>
      </c>
      <c r="J10" s="11" t="n">
        <f aca="false">Input!J10</f>
        <v>2026</v>
      </c>
      <c r="K10" s="11" t="n">
        <f aca="false">Input!K10</f>
        <v>2027</v>
      </c>
      <c r="L10" s="11" t="n">
        <f aca="false">Input!L10</f>
        <v>2028</v>
      </c>
      <c r="M10" s="11" t="n">
        <f aca="false">Input!M10</f>
        <v>2029</v>
      </c>
      <c r="N10" s="11" t="n">
        <f aca="false">Input!N10</f>
        <v>2030</v>
      </c>
      <c r="O10" s="11" t="n">
        <f aca="false">Input!O10</f>
        <v>0</v>
      </c>
      <c r="P10" s="15"/>
      <c r="Q10" s="15"/>
    </row>
    <row r="11" customFormat="false" ht="17.25" hidden="false" customHeight="true" outlineLevel="0" collapsed="false">
      <c r="A11" s="15"/>
      <c r="B11" s="56" t="s">
        <v>36</v>
      </c>
      <c r="C11" s="15"/>
      <c r="D11" s="15"/>
      <c r="E11" s="15"/>
      <c r="F11" s="15"/>
      <c r="G11" s="11" t="n">
        <f aca="false">Input!G11</f>
        <v>364</v>
      </c>
      <c r="H11" s="11" t="n">
        <f aca="false">Input!H11</f>
        <v>365</v>
      </c>
      <c r="I11" s="11" t="n">
        <f aca="false">Input!I11</f>
        <v>364</v>
      </c>
      <c r="J11" s="11" t="n">
        <f aca="false">Input!J11</f>
        <v>364</v>
      </c>
      <c r="K11" s="11" t="n">
        <f aca="false">Input!K11</f>
        <v>364</v>
      </c>
      <c r="L11" s="11" t="n">
        <f aca="false">Input!L11</f>
        <v>365</v>
      </c>
      <c r="M11" s="11" t="n">
        <f aca="false">Input!M11</f>
        <v>364</v>
      </c>
      <c r="N11" s="11" t="n">
        <f aca="false">Input!N11</f>
        <v>364</v>
      </c>
      <c r="O11" s="11"/>
      <c r="P11" s="15"/>
      <c r="Q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268" t="s">
        <v>279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8"/>
      <c r="Q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51"/>
      <c r="B15" s="71" t="s">
        <v>280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customFormat="false" ht="17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7.25" hidden="false" customHeight="true" outlineLevel="0" collapsed="false">
      <c r="A17" s="8"/>
      <c r="B17" s="284" t="s">
        <v>281</v>
      </c>
      <c r="C17" s="284" t="s">
        <v>282</v>
      </c>
      <c r="D17" s="284" t="s">
        <v>283</v>
      </c>
      <c r="E17" s="284" t="s">
        <v>284</v>
      </c>
      <c r="F17" s="284" t="s">
        <v>285</v>
      </c>
      <c r="G17" s="284" t="s">
        <v>286</v>
      </c>
      <c r="H17" s="284" t="s">
        <v>287</v>
      </c>
      <c r="I17" s="284" t="s">
        <v>288</v>
      </c>
      <c r="J17" s="284" t="s">
        <v>289</v>
      </c>
      <c r="K17" s="284" t="s">
        <v>290</v>
      </c>
      <c r="L17" s="284" t="s">
        <v>291</v>
      </c>
      <c r="M17" s="284" t="s">
        <v>292</v>
      </c>
      <c r="N17" s="8"/>
      <c r="O17" s="8"/>
      <c r="P17" s="15"/>
      <c r="Q17" s="15"/>
    </row>
    <row r="18" customFormat="false" ht="17.25" hidden="false" customHeight="true" outlineLevel="0" collapsed="false">
      <c r="A18" s="15"/>
      <c r="B18" s="11" t="s">
        <v>293</v>
      </c>
      <c r="C18" s="11"/>
      <c r="D18" s="285"/>
      <c r="E18" s="285"/>
      <c r="F18" s="285"/>
      <c r="G18" s="285"/>
      <c r="H18" s="285"/>
      <c r="I18" s="285"/>
      <c r="J18" s="15"/>
      <c r="K18" s="272" t="str">
        <f aca="false">IFERROR(E18/G18,"-")</f>
        <v>-</v>
      </c>
      <c r="L18" s="272" t="str">
        <f aca="false">IFERROR(E18/H18,"-")</f>
        <v>-</v>
      </c>
      <c r="M18" s="272" t="str">
        <f aca="false">IFERROR(E18/I18,"-")</f>
        <v>-</v>
      </c>
      <c r="N18" s="272" t="str">
        <f aca="false">IFERROR(D18/J18,"-")</f>
        <v>-</v>
      </c>
      <c r="O18" s="15"/>
      <c r="P18" s="15"/>
      <c r="Q18" s="15"/>
    </row>
    <row r="19" customFormat="false" ht="17.25" hidden="false" customHeight="true" outlineLevel="0" collapsed="false">
      <c r="A19" s="15"/>
      <c r="B19" s="11" t="s">
        <v>294</v>
      </c>
      <c r="C19" s="11"/>
      <c r="D19" s="285"/>
      <c r="E19" s="285"/>
      <c r="F19" s="285"/>
      <c r="G19" s="285"/>
      <c r="H19" s="285"/>
      <c r="I19" s="285"/>
      <c r="J19" s="15"/>
      <c r="K19" s="272" t="str">
        <f aca="false">IFERROR(E19/G19,"-")</f>
        <v>-</v>
      </c>
      <c r="L19" s="272" t="str">
        <f aca="false">IFERROR(E19/H19,"-")</f>
        <v>-</v>
      </c>
      <c r="M19" s="272" t="str">
        <f aca="false">IFERROR(E19/I19,"-")</f>
        <v>-</v>
      </c>
      <c r="N19" s="272" t="str">
        <f aca="false">IFERROR(D19/J19,"-")</f>
        <v>-</v>
      </c>
      <c r="O19" s="15"/>
      <c r="P19" s="15"/>
      <c r="Q19" s="15"/>
    </row>
    <row r="20" customFormat="false" ht="17.25" hidden="false" customHeight="true" outlineLevel="0" collapsed="false">
      <c r="A20" s="15"/>
      <c r="B20" s="11" t="s">
        <v>295</v>
      </c>
      <c r="C20" s="11"/>
      <c r="D20" s="285"/>
      <c r="E20" s="285"/>
      <c r="F20" s="285"/>
      <c r="G20" s="285"/>
      <c r="H20" s="285"/>
      <c r="I20" s="285"/>
      <c r="J20" s="15"/>
      <c r="K20" s="272" t="str">
        <f aca="false">IFERROR(E20/G20,"-")</f>
        <v>-</v>
      </c>
      <c r="L20" s="272" t="str">
        <f aca="false">IFERROR(E20/H20,"-")</f>
        <v>-</v>
      </c>
      <c r="M20" s="272" t="str">
        <f aca="false">IFERROR(E20/I20,"-")</f>
        <v>-</v>
      </c>
      <c r="N20" s="272" t="str">
        <f aca="false">IFERROR(D20/J20,"-")</f>
        <v>-</v>
      </c>
      <c r="O20" s="15"/>
      <c r="P20" s="15"/>
      <c r="Q20" s="15"/>
    </row>
    <row r="21" customFormat="false" ht="17.25" hidden="false" customHeight="true" outlineLevel="0" collapsed="false">
      <c r="A21" s="15"/>
      <c r="B21" s="11" t="s">
        <v>296</v>
      </c>
      <c r="C21" s="11"/>
      <c r="D21" s="285"/>
      <c r="E21" s="285"/>
      <c r="F21" s="285"/>
      <c r="G21" s="285"/>
      <c r="H21" s="285"/>
      <c r="I21" s="285"/>
      <c r="J21" s="15"/>
      <c r="K21" s="272" t="str">
        <f aca="false">IFERROR(E21/G21,"-")</f>
        <v>-</v>
      </c>
      <c r="L21" s="272" t="str">
        <f aca="false">IFERROR(E21/H21,"-")</f>
        <v>-</v>
      </c>
      <c r="M21" s="272" t="str">
        <f aca="false">IFERROR(E21/I21,"-")</f>
        <v>-</v>
      </c>
      <c r="N21" s="272" t="str">
        <f aca="false">IFERROR(D21/J21,"-")</f>
        <v>-</v>
      </c>
      <c r="O21" s="15"/>
      <c r="P21" s="15"/>
      <c r="Q21" s="15"/>
    </row>
    <row r="22" customFormat="false" ht="17.25" hidden="false" customHeight="true" outlineLevel="0" collapsed="false">
      <c r="A22" s="15"/>
      <c r="B22" s="11" t="s">
        <v>297</v>
      </c>
      <c r="C22" s="11"/>
      <c r="D22" s="285"/>
      <c r="E22" s="285"/>
      <c r="F22" s="285"/>
      <c r="G22" s="285"/>
      <c r="H22" s="285"/>
      <c r="I22" s="285"/>
      <c r="J22" s="15"/>
      <c r="K22" s="272" t="str">
        <f aca="false">IFERROR(E22/G22,"-")</f>
        <v>-</v>
      </c>
      <c r="L22" s="272" t="str">
        <f aca="false">IFERROR(E22/H22,"-")</f>
        <v>-</v>
      </c>
      <c r="M22" s="272" t="str">
        <f aca="false">IFERROR(E22/I22,"-")</f>
        <v>-</v>
      </c>
      <c r="N22" s="272" t="str">
        <f aca="false">IFERROR(D22/J22,"-")</f>
        <v>-</v>
      </c>
      <c r="O22" s="15"/>
      <c r="P22" s="15"/>
      <c r="Q22" s="15"/>
    </row>
    <row r="23" customFormat="false" ht="17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7.25" hidden="false" customHeight="true" outlineLevel="0" collapsed="false">
      <c r="A24" s="51"/>
      <c r="B24" s="71" t="s">
        <v>298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customFormat="false" ht="17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7.25" hidden="false" customHeight="true" outlineLevel="0" collapsed="false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286" t="s">
        <v>289</v>
      </c>
      <c r="L26" s="286" t="s">
        <v>290</v>
      </c>
      <c r="M26" s="286" t="s">
        <v>291</v>
      </c>
      <c r="N26" s="286" t="s">
        <v>292</v>
      </c>
      <c r="O26" s="51"/>
    </row>
    <row r="27" customFormat="false" ht="17.25" hidden="false" customHeight="true" outlineLevel="0" collapsed="false">
      <c r="A27" s="15"/>
      <c r="B27" s="56" t="s">
        <v>299</v>
      </c>
      <c r="C27" s="15"/>
      <c r="D27" s="15"/>
      <c r="E27" s="15"/>
      <c r="F27" s="15"/>
      <c r="G27" s="15"/>
      <c r="H27" s="15"/>
      <c r="I27" s="15"/>
      <c r="J27" s="15"/>
      <c r="K27" s="287" t="str">
        <f aca="false">IFERROR(AVERAGE(K18:K22),"-")</f>
        <v>-</v>
      </c>
      <c r="L27" s="287" t="str">
        <f aca="false">IFERROR(AVERAGE(L18:L22),"-")</f>
        <v>-</v>
      </c>
      <c r="M27" s="287" t="str">
        <f aca="false">IFERROR(AVERAGE(M18:M22),"-")</f>
        <v>-</v>
      </c>
      <c r="N27" s="287" t="str">
        <f aca="false">IFERROR(AVERAGE(N18:N22),"-")</f>
        <v>-</v>
      </c>
      <c r="O27" s="15"/>
      <c r="P27" s="15"/>
      <c r="Q27" s="15"/>
    </row>
    <row r="28" customFormat="false" ht="17.25" hidden="false" customHeight="true" outlineLevel="0" collapsed="false">
      <c r="A28" s="15"/>
      <c r="B28" s="56" t="s">
        <v>300</v>
      </c>
      <c r="C28" s="15"/>
      <c r="D28" s="15"/>
      <c r="E28" s="15"/>
      <c r="F28" s="15"/>
      <c r="G28" s="15"/>
      <c r="H28" s="15"/>
      <c r="I28" s="15"/>
      <c r="J28" s="15"/>
      <c r="K28" s="287" t="str">
        <f aca="false">IFERROR(MEDIAN(K18:K22),"-")</f>
        <v>-</v>
      </c>
      <c r="L28" s="287" t="str">
        <f aca="false">IFERROR(MEDIAN(L18:L22),"-")</f>
        <v>-</v>
      </c>
      <c r="M28" s="287" t="str">
        <f aca="false">IFERROR(MEDIAN(M18:M22),"-")</f>
        <v>-</v>
      </c>
      <c r="N28" s="287" t="str">
        <f aca="false">IFERROR(MEDIAN(N18:N22),"-")</f>
        <v>-</v>
      </c>
      <c r="O28" s="15"/>
      <c r="P28" s="15"/>
      <c r="Q28" s="15"/>
    </row>
    <row r="29" customFormat="false" ht="17.25" hidden="false" customHeight="true" outlineLevel="0" collapsed="false">
      <c r="A29" s="15"/>
      <c r="B29" s="56" t="s">
        <v>301</v>
      </c>
      <c r="C29" s="15"/>
      <c r="D29" s="15"/>
      <c r="E29" s="15"/>
      <c r="F29" s="15"/>
      <c r="G29" s="15"/>
      <c r="H29" s="15"/>
      <c r="I29" s="15"/>
      <c r="J29" s="15"/>
      <c r="K29" s="287" t="n">
        <f aca="false">IFERROR(MAX(K18:K22),"-")</f>
        <v>0</v>
      </c>
      <c r="L29" s="287" t="n">
        <f aca="false">IFERROR(MAX(L18:L22),"-")</f>
        <v>0</v>
      </c>
      <c r="M29" s="287" t="n">
        <f aca="false">IFERROR(MAX(M18:M22),"-")</f>
        <v>0</v>
      </c>
      <c r="N29" s="287" t="n">
        <f aca="false">IFERROR(MAX(N18:N22),"-")</f>
        <v>0</v>
      </c>
      <c r="O29" s="15"/>
      <c r="P29" s="15"/>
      <c r="Q29" s="15"/>
    </row>
    <row r="30" customFormat="false" ht="17.25" hidden="false" customHeight="true" outlineLevel="0" collapsed="false">
      <c r="A30" s="15"/>
      <c r="B30" s="56" t="s">
        <v>302</v>
      </c>
      <c r="C30" s="15"/>
      <c r="D30" s="15"/>
      <c r="E30" s="15"/>
      <c r="F30" s="15"/>
      <c r="G30" s="15"/>
      <c r="H30" s="15"/>
      <c r="I30" s="15"/>
      <c r="J30" s="15"/>
      <c r="K30" s="287" t="n">
        <f aca="false">IFERROR(MIN(K18:K22),"-")</f>
        <v>0</v>
      </c>
      <c r="L30" s="287" t="n">
        <f aca="false">IFERROR(MIN(L18:L22),"-")</f>
        <v>0</v>
      </c>
      <c r="M30" s="287" t="n">
        <f aca="false">IFERROR(MIN(M18:M22),"-")</f>
        <v>0</v>
      </c>
      <c r="N30" s="287" t="n">
        <f aca="false">IFERROR(MIN(N18:N22),"-")</f>
        <v>0</v>
      </c>
      <c r="O30" s="15"/>
      <c r="P30" s="15"/>
      <c r="Q30" s="15"/>
    </row>
    <row r="31" customFormat="false" ht="17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7.25" hidden="false" customHeight="true" outlineLevel="0" collapsed="false">
      <c r="A32" s="8"/>
      <c r="B32" s="268" t="s">
        <v>303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customFormat="false" ht="17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7.25" hidden="false" customHeight="true" outlineLevel="0" collapsed="false">
      <c r="A34" s="15"/>
      <c r="B34" s="288" t="s">
        <v>304</v>
      </c>
      <c r="C34" s="15"/>
      <c r="D34" s="15"/>
      <c r="E34" s="15"/>
      <c r="F34" s="15"/>
      <c r="G34" s="15"/>
      <c r="H34" s="15"/>
      <c r="I34" s="15"/>
      <c r="J34" s="15"/>
      <c r="K34" s="272"/>
      <c r="L34" s="272"/>
      <c r="M34" s="272"/>
      <c r="N34" s="272"/>
      <c r="O34" s="15"/>
      <c r="P34" s="15"/>
      <c r="Q34" s="15"/>
    </row>
    <row r="35" customFormat="false" ht="17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7.25" hidden="false" customHeight="true" outlineLevel="0" collapsed="false">
      <c r="A36" s="15"/>
      <c r="B36" s="288" t="s">
        <v>305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Format="false" ht="17.25" hidden="false" customHeight="true" outlineLevel="0" collapsed="false">
      <c r="A37" s="8"/>
      <c r="B37" s="179" t="s">
        <v>172</v>
      </c>
      <c r="C37" s="8"/>
      <c r="D37" s="8"/>
      <c r="E37" s="8"/>
      <c r="F37" s="289" t="s">
        <v>114</v>
      </c>
      <c r="G37" s="290" t="n">
        <f aca="false">DCF!N20</f>
        <v>2434.47555603</v>
      </c>
      <c r="H37" s="8"/>
      <c r="I37" s="8"/>
      <c r="J37" s="8"/>
      <c r="K37" s="8"/>
      <c r="L37" s="8"/>
      <c r="M37" s="8"/>
      <c r="N37" s="8"/>
      <c r="O37" s="8"/>
      <c r="P37" s="8"/>
      <c r="Q37" s="8"/>
    </row>
    <row r="38" customFormat="false" ht="17.25" hidden="false" customHeight="true" outlineLevel="0" collapsed="false">
      <c r="A38" s="15"/>
      <c r="B38" s="56" t="s">
        <v>65</v>
      </c>
      <c r="C38" s="15"/>
      <c r="D38" s="15"/>
      <c r="E38" s="15"/>
      <c r="F38" s="22" t="s">
        <v>114</v>
      </c>
      <c r="G38" s="291" t="n">
        <f aca="false">DCF!N30</f>
        <v>751.530565062867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Format="false" ht="17.25" hidden="false" customHeight="true" outlineLevel="0" collapsed="false">
      <c r="A39" s="15"/>
      <c r="B39" s="56" t="s">
        <v>212</v>
      </c>
      <c r="C39" s="15"/>
      <c r="D39" s="15"/>
      <c r="E39" s="15"/>
      <c r="F39" s="22" t="s">
        <v>114</v>
      </c>
      <c r="G39" s="291" t="n">
        <f aca="false">DCF!N27</f>
        <v>751.530565062867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Format="false" ht="17.25" hidden="false" customHeight="true" outlineLevel="0" collapsed="false">
      <c r="A40" s="15"/>
      <c r="B40" s="56" t="s">
        <v>306</v>
      </c>
      <c r="C40" s="15"/>
      <c r="D40" s="15"/>
      <c r="E40" s="15"/>
      <c r="F40" s="22" t="s">
        <v>114</v>
      </c>
      <c r="G40" s="291" t="n">
        <f aca="false">DCF!N80</f>
        <v>588.417587181527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Format="false" ht="17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7.25" hidden="false" customHeight="true" outlineLevel="0" collapsed="false">
      <c r="A42" s="15"/>
      <c r="B42" s="288" t="s">
        <v>307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Format="false" ht="17.25" hidden="false" customHeight="true" outlineLevel="0" collapsed="false">
      <c r="A43" s="15"/>
      <c r="B43" s="56" t="s">
        <v>308</v>
      </c>
      <c r="C43" s="15"/>
      <c r="D43" s="15"/>
      <c r="E43" s="15"/>
      <c r="F43" s="22" t="s">
        <v>114</v>
      </c>
      <c r="G43" s="285" t="n">
        <f aca="false">K34*G37</f>
        <v>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Format="false" ht="17.25" hidden="false" customHeight="true" outlineLevel="0" collapsed="false">
      <c r="A44" s="15"/>
      <c r="B44" s="56" t="s">
        <v>309</v>
      </c>
      <c r="C44" s="15"/>
      <c r="D44" s="15"/>
      <c r="E44" s="15"/>
      <c r="F44" s="22" t="s">
        <v>114</v>
      </c>
      <c r="G44" s="285" t="n">
        <f aca="false">L34*G38</f>
        <v>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Format="false" ht="17.25" hidden="false" customHeight="true" outlineLevel="0" collapsed="false">
      <c r="A45" s="15"/>
      <c r="B45" s="56" t="s">
        <v>310</v>
      </c>
      <c r="C45" s="15"/>
      <c r="D45" s="15"/>
      <c r="E45" s="15"/>
      <c r="F45" s="22" t="s">
        <v>114</v>
      </c>
      <c r="G45" s="285" t="n">
        <f aca="false">M34*G39</f>
        <v>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Format="false" ht="17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7.25" hidden="false" customHeight="true" outlineLevel="0" collapsed="false">
      <c r="A47" s="65"/>
      <c r="B47" s="273" t="s">
        <v>311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 customFormat="false" ht="17.25" hidden="false" customHeight="true" outlineLevel="0" collapsed="false">
      <c r="A48" s="15"/>
      <c r="B48" s="56" t="s">
        <v>312</v>
      </c>
      <c r="C48" s="15"/>
      <c r="D48" s="15"/>
      <c r="E48" s="15"/>
      <c r="F48" s="22" t="s">
        <v>114</v>
      </c>
      <c r="G48" s="285" t="n">
        <f aca="false">N34*G40</f>
        <v>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Format="false" ht="17.25" hidden="false" customHeight="true" outlineLevel="0" collapsed="false">
      <c r="A49" s="15"/>
      <c r="B49" s="292" t="s">
        <v>313</v>
      </c>
      <c r="C49" s="292"/>
      <c r="D49" s="292"/>
      <c r="E49" s="292"/>
      <c r="F49" s="292" t="s">
        <v>114</v>
      </c>
      <c r="G49" s="293" t="n">
        <f aca="false">G44-Input!I248</f>
        <v>-250</v>
      </c>
      <c r="H49" s="292"/>
      <c r="I49" s="292"/>
      <c r="J49" s="292"/>
      <c r="K49" s="292"/>
      <c r="L49" s="292"/>
      <c r="M49" s="292"/>
      <c r="N49" s="292"/>
      <c r="O49" s="15"/>
      <c r="P49" s="15"/>
      <c r="Q49" s="15"/>
    </row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customHeight="true" zeroHeight="false" outlineLevelRow="0" outlineLevelCol="0"/>
  <cols>
    <col collapsed="false" customWidth="true" hidden="false" outlineLevel="0" max="1" min="1" style="266" width="1.68"/>
    <col collapsed="false" customWidth="true" hidden="false" outlineLevel="0" max="2" min="2" style="266" width="28.69"/>
    <col collapsed="false" customWidth="true" hidden="false" outlineLevel="0" max="4" min="3" style="266" width="1.68"/>
    <col collapsed="false" customWidth="true" hidden="false" outlineLevel="0" max="15" min="5" style="266" width="10.38"/>
    <col collapsed="false" customWidth="true" hidden="false" outlineLevel="0" max="16" min="16" style="266" width="1.68"/>
  </cols>
  <sheetData>
    <row r="1" customFormat="false" ht="24" hidden="false" customHeight="true" outlineLevel="0" collapsed="false">
      <c r="A1" s="8"/>
      <c r="B1" s="179" t="str">
        <f aca="false">Legend!D2</f>
        <v>Project dummy Financial Model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17.25" hidden="false" customHeight="true" outlineLevel="0" collapsed="false">
      <c r="A2" s="8"/>
      <c r="B2" s="267" t="s">
        <v>314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268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7.25" hidden="false" customHeight="true" outlineLevel="0" collapsed="false">
      <c r="A6" s="51"/>
      <c r="B6" s="52" t="s">
        <v>28</v>
      </c>
      <c r="C6" s="51"/>
      <c r="D6" s="51"/>
      <c r="E6" s="51"/>
      <c r="F6" s="51"/>
      <c r="G6" s="269" t="str">
        <f aca="false">Input!G6</f>
        <v>Actual</v>
      </c>
      <c r="H6" s="269" t="str">
        <f aca="false">Input!H6</f>
        <v>Actual</v>
      </c>
      <c r="I6" s="269" t="str">
        <f aca="false">Input!I6</f>
        <v>Actual</v>
      </c>
      <c r="J6" s="269" t="str">
        <f aca="false">Input!J6</f>
        <v>Forecast</v>
      </c>
      <c r="K6" s="269" t="str">
        <f aca="false">Input!K6</f>
        <v>Forecast</v>
      </c>
      <c r="L6" s="269" t="str">
        <f aca="false">Input!L6</f>
        <v>Forecast</v>
      </c>
      <c r="M6" s="269" t="str">
        <f aca="false">Input!M6</f>
        <v>Forecast</v>
      </c>
      <c r="N6" s="269" t="str">
        <f aca="false">Input!N6</f>
        <v>Forecast</v>
      </c>
      <c r="O6" s="269" t="str">
        <f aca="false">Input!O6</f>
        <v>Forecast</v>
      </c>
      <c r="P6" s="51"/>
      <c r="Q6" s="51"/>
    </row>
    <row r="7" customFormat="false" ht="17.25" hidden="false" customHeight="true" outlineLevel="0" collapsed="false">
      <c r="A7" s="15"/>
      <c r="B7" s="56" t="s">
        <v>31</v>
      </c>
      <c r="C7" s="15"/>
      <c r="D7" s="15"/>
      <c r="E7" s="15"/>
      <c r="F7" s="15"/>
      <c r="G7" s="270" t="n">
        <f aca="false">Input!G7</f>
        <v>44927</v>
      </c>
      <c r="H7" s="270" t="n">
        <f aca="false">Input!H7</f>
        <v>45292</v>
      </c>
      <c r="I7" s="270" t="n">
        <f aca="false">Input!I7</f>
        <v>45658</v>
      </c>
      <c r="J7" s="270" t="n">
        <f aca="false">Input!J7</f>
        <v>46023</v>
      </c>
      <c r="K7" s="270" t="n">
        <f aca="false">Input!K7</f>
        <v>46388</v>
      </c>
      <c r="L7" s="270" t="n">
        <f aca="false">Input!L7</f>
        <v>46753</v>
      </c>
      <c r="M7" s="270" t="n">
        <f aca="false">Input!M7</f>
        <v>47119</v>
      </c>
      <c r="N7" s="270" t="n">
        <f aca="false">Input!N7</f>
        <v>47484</v>
      </c>
      <c r="O7" s="11" t="s">
        <v>32</v>
      </c>
      <c r="P7" s="15"/>
      <c r="Q7" s="15"/>
    </row>
    <row r="8" customFormat="false" ht="17.25" hidden="false" customHeight="true" outlineLevel="0" collapsed="false">
      <c r="A8" s="15"/>
      <c r="B8" s="56" t="s">
        <v>33</v>
      </c>
      <c r="C8" s="15"/>
      <c r="D8" s="15"/>
      <c r="E8" s="15"/>
      <c r="F8" s="15"/>
      <c r="G8" s="270" t="n">
        <f aca="false">Input!G8</f>
        <v>45291</v>
      </c>
      <c r="H8" s="270" t="n">
        <f aca="false">Input!H8</f>
        <v>45657</v>
      </c>
      <c r="I8" s="270" t="n">
        <f aca="false">Input!I8</f>
        <v>46022</v>
      </c>
      <c r="J8" s="270" t="n">
        <f aca="false">Input!J8</f>
        <v>46387</v>
      </c>
      <c r="K8" s="270" t="n">
        <f aca="false">Input!K8</f>
        <v>46752</v>
      </c>
      <c r="L8" s="270" t="n">
        <f aca="false">Input!L8</f>
        <v>47118</v>
      </c>
      <c r="M8" s="270" t="n">
        <f aca="false">Input!M8</f>
        <v>47483</v>
      </c>
      <c r="N8" s="270" t="n">
        <f aca="false">Input!N8</f>
        <v>47848</v>
      </c>
      <c r="O8" s="11"/>
      <c r="P8" s="15"/>
      <c r="Q8" s="15"/>
    </row>
    <row r="9" customFormat="false" ht="17.25" hidden="false" customHeight="true" outlineLevel="0" collapsed="false">
      <c r="A9" s="15"/>
      <c r="B9" s="56" t="s">
        <v>34</v>
      </c>
      <c r="C9" s="15"/>
      <c r="D9" s="15"/>
      <c r="E9" s="15"/>
      <c r="F9" s="15"/>
      <c r="G9" s="11" t="n">
        <f aca="false">Input!G9</f>
        <v>12</v>
      </c>
      <c r="H9" s="11" t="n">
        <f aca="false">Input!H9</f>
        <v>12</v>
      </c>
      <c r="I9" s="11" t="n">
        <f aca="false">Input!I9</f>
        <v>12</v>
      </c>
      <c r="J9" s="11" t="n">
        <f aca="false">Input!J9</f>
        <v>12</v>
      </c>
      <c r="K9" s="11" t="n">
        <f aca="false">Input!K9</f>
        <v>12</v>
      </c>
      <c r="L9" s="11" t="n">
        <f aca="false">Input!L9</f>
        <v>12</v>
      </c>
      <c r="M9" s="11" t="n">
        <f aca="false">Input!M9</f>
        <v>12</v>
      </c>
      <c r="N9" s="11" t="n">
        <f aca="false">Input!N9</f>
        <v>12</v>
      </c>
      <c r="O9" s="11"/>
      <c r="P9" s="15"/>
      <c r="Q9" s="15"/>
    </row>
    <row r="10" customFormat="false" ht="17.25" hidden="false" customHeight="true" outlineLevel="0" collapsed="false">
      <c r="A10" s="15"/>
      <c r="B10" s="56" t="s">
        <v>35</v>
      </c>
      <c r="C10" s="15"/>
      <c r="D10" s="15"/>
      <c r="E10" s="15"/>
      <c r="F10" s="15"/>
      <c r="G10" s="11" t="n">
        <f aca="false">Input!G10</f>
        <v>2023</v>
      </c>
      <c r="H10" s="11" t="n">
        <f aca="false">Input!H10</f>
        <v>2024</v>
      </c>
      <c r="I10" s="11" t="n">
        <f aca="false">Input!I10</f>
        <v>2025</v>
      </c>
      <c r="J10" s="11" t="n">
        <f aca="false">Input!J10</f>
        <v>2026</v>
      </c>
      <c r="K10" s="11" t="n">
        <f aca="false">Input!K10</f>
        <v>2027</v>
      </c>
      <c r="L10" s="11" t="n">
        <f aca="false">Input!L10</f>
        <v>2028</v>
      </c>
      <c r="M10" s="11" t="n">
        <f aca="false">Input!M10</f>
        <v>2029</v>
      </c>
      <c r="N10" s="11" t="n">
        <f aca="false">Input!N10</f>
        <v>2030</v>
      </c>
      <c r="O10" s="11" t="n">
        <f aca="false">Input!O10</f>
        <v>0</v>
      </c>
      <c r="P10" s="15"/>
      <c r="Q10" s="15"/>
    </row>
    <row r="11" customFormat="false" ht="17.25" hidden="false" customHeight="true" outlineLevel="0" collapsed="false">
      <c r="A11" s="15"/>
      <c r="B11" s="56" t="s">
        <v>36</v>
      </c>
      <c r="C11" s="15"/>
      <c r="D11" s="15"/>
      <c r="E11" s="15"/>
      <c r="F11" s="15"/>
      <c r="G11" s="11" t="n">
        <f aca="false">Input!G11</f>
        <v>364</v>
      </c>
      <c r="H11" s="11" t="n">
        <f aca="false">Input!H11</f>
        <v>365</v>
      </c>
      <c r="I11" s="11" t="n">
        <f aca="false">Input!I11</f>
        <v>364</v>
      </c>
      <c r="J11" s="11" t="n">
        <f aca="false">Input!J11</f>
        <v>364</v>
      </c>
      <c r="K11" s="11" t="n">
        <f aca="false">Input!K11</f>
        <v>364</v>
      </c>
      <c r="L11" s="11" t="n">
        <f aca="false">Input!L11</f>
        <v>365</v>
      </c>
      <c r="M11" s="11" t="n">
        <f aca="false">Input!M11</f>
        <v>364</v>
      </c>
      <c r="N11" s="11" t="n">
        <f aca="false">Input!N11</f>
        <v>364</v>
      </c>
      <c r="O11" s="11"/>
      <c r="P11" s="15"/>
      <c r="Q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268" t="s">
        <v>315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8"/>
      <c r="Q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51"/>
      <c r="B15" s="71" t="s">
        <v>316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customFormat="false" ht="17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7.25" hidden="false" customHeight="true" outlineLevel="0" collapsed="false">
      <c r="A17" s="8"/>
      <c r="B17" s="284" t="s">
        <v>4</v>
      </c>
      <c r="C17" s="284" t="s">
        <v>317</v>
      </c>
      <c r="D17" s="284" t="s">
        <v>318</v>
      </c>
      <c r="E17" s="284" t="s">
        <v>319</v>
      </c>
      <c r="F17" s="284" t="s">
        <v>285</v>
      </c>
      <c r="G17" s="284" t="s">
        <v>286</v>
      </c>
      <c r="H17" s="284" t="s">
        <v>287</v>
      </c>
      <c r="I17" s="284" t="s">
        <v>289</v>
      </c>
      <c r="J17" s="284" t="s">
        <v>290</v>
      </c>
      <c r="K17" s="284" t="s">
        <v>291</v>
      </c>
      <c r="L17" s="284" t="s">
        <v>320</v>
      </c>
      <c r="M17" s="8"/>
      <c r="N17" s="8"/>
      <c r="O17" s="15"/>
      <c r="P17" s="15"/>
      <c r="Q17" s="15"/>
    </row>
    <row r="18" customFormat="false" ht="17.25" hidden="false" customHeight="true" outlineLevel="0" collapsed="false">
      <c r="A18" s="15"/>
      <c r="B18" s="294"/>
      <c r="C18" s="11" t="s">
        <v>321</v>
      </c>
      <c r="D18" s="11" t="s">
        <v>322</v>
      </c>
      <c r="E18" s="285"/>
      <c r="F18" s="285"/>
      <c r="G18" s="285"/>
      <c r="H18" s="285"/>
      <c r="I18" s="15"/>
      <c r="J18" s="272" t="str">
        <f aca="false">IFERROR(E18/G18,"-")</f>
        <v>-</v>
      </c>
      <c r="K18" s="272" t="str">
        <f aca="false">IFERROR(E18/H18,"-")</f>
        <v>-</v>
      </c>
      <c r="L18" s="272" t="str">
        <f aca="false">IFERROR(E18/I18,"-")</f>
        <v>-</v>
      </c>
      <c r="M18" s="271"/>
      <c r="N18" s="15"/>
      <c r="O18" s="3"/>
    </row>
    <row r="19" customFormat="false" ht="17.25" hidden="false" customHeight="true" outlineLevel="0" collapsed="false">
      <c r="A19" s="15"/>
      <c r="B19" s="294"/>
      <c r="C19" s="11" t="s">
        <v>323</v>
      </c>
      <c r="D19" s="11" t="s">
        <v>324</v>
      </c>
      <c r="E19" s="285"/>
      <c r="F19" s="285"/>
      <c r="G19" s="285"/>
      <c r="H19" s="285"/>
      <c r="I19" s="15"/>
      <c r="J19" s="272" t="str">
        <f aca="false">IFERROR(E19/G19,"-")</f>
        <v>-</v>
      </c>
      <c r="K19" s="272" t="str">
        <f aca="false">IFERROR(E19/H19,"-")</f>
        <v>-</v>
      </c>
      <c r="L19" s="272" t="str">
        <f aca="false">IFERROR(E19/I19,"-")</f>
        <v>-</v>
      </c>
      <c r="M19" s="271"/>
      <c r="N19" s="15"/>
      <c r="O19" s="3"/>
    </row>
    <row r="20" customFormat="false" ht="17.25" hidden="false" customHeight="true" outlineLevel="0" collapsed="false">
      <c r="A20" s="15"/>
      <c r="B20" s="294"/>
      <c r="C20" s="11" t="s">
        <v>325</v>
      </c>
      <c r="D20" s="11" t="s">
        <v>326</v>
      </c>
      <c r="E20" s="285"/>
      <c r="F20" s="285"/>
      <c r="G20" s="285"/>
      <c r="H20" s="285"/>
      <c r="I20" s="15"/>
      <c r="J20" s="272" t="str">
        <f aca="false">IFERROR(E20/G20,"-")</f>
        <v>-</v>
      </c>
      <c r="K20" s="272" t="str">
        <f aca="false">IFERROR(E20/H20,"-")</f>
        <v>-</v>
      </c>
      <c r="L20" s="272" t="str">
        <f aca="false">IFERROR(E20/I20,"-")</f>
        <v>-</v>
      </c>
      <c r="M20" s="271"/>
      <c r="N20" s="15"/>
      <c r="O20" s="3"/>
    </row>
    <row r="21" customFormat="false" ht="17.25" hidden="false" customHeight="true" outlineLevel="0" collapsed="false">
      <c r="A21" s="15"/>
      <c r="B21" s="294"/>
      <c r="C21" s="11" t="s">
        <v>327</v>
      </c>
      <c r="D21" s="11" t="s">
        <v>328</v>
      </c>
      <c r="E21" s="285"/>
      <c r="F21" s="285"/>
      <c r="G21" s="285"/>
      <c r="H21" s="285"/>
      <c r="I21" s="15"/>
      <c r="J21" s="272" t="str">
        <f aca="false">IFERROR(E21/G21,"-")</f>
        <v>-</v>
      </c>
      <c r="K21" s="272" t="str">
        <f aca="false">IFERROR(E21/H21,"-")</f>
        <v>-</v>
      </c>
      <c r="L21" s="272" t="str">
        <f aca="false">IFERROR(E21/I21,"-")</f>
        <v>-</v>
      </c>
      <c r="M21" s="271"/>
      <c r="N21" s="15"/>
      <c r="O21" s="3"/>
    </row>
    <row r="22" customFormat="false" ht="17.25" hidden="false" customHeight="true" outlineLevel="0" collapsed="false">
      <c r="A22" s="15"/>
      <c r="B22" s="294"/>
      <c r="C22" s="11" t="s">
        <v>329</v>
      </c>
      <c r="D22" s="11" t="s">
        <v>330</v>
      </c>
      <c r="E22" s="285"/>
      <c r="F22" s="285"/>
      <c r="G22" s="285"/>
      <c r="H22" s="285"/>
      <c r="I22" s="15"/>
      <c r="J22" s="272" t="str">
        <f aca="false">IFERROR(E22/G22,"-")</f>
        <v>-</v>
      </c>
      <c r="K22" s="272" t="str">
        <f aca="false">IFERROR(E22/H22,"-")</f>
        <v>-</v>
      </c>
      <c r="L22" s="272" t="str">
        <f aca="false">IFERROR(E22/I22,"-")</f>
        <v>-</v>
      </c>
      <c r="M22" s="271"/>
      <c r="N22" s="15"/>
      <c r="O22" s="3"/>
    </row>
    <row r="23" customFormat="false" ht="17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7.25" hidden="false" customHeight="true" outlineLevel="0" collapsed="false">
      <c r="A24" s="51"/>
      <c r="B24" s="71" t="s">
        <v>331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customFormat="false" ht="17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7.25" hidden="false" customHeight="true" outlineLevel="0" collapsed="false">
      <c r="A26" s="51"/>
      <c r="B26" s="51"/>
      <c r="C26" s="51"/>
      <c r="D26" s="51"/>
      <c r="E26" s="51"/>
      <c r="F26" s="51"/>
      <c r="G26" s="51"/>
      <c r="H26" s="51"/>
      <c r="I26" s="51"/>
      <c r="J26" s="286" t="s">
        <v>289</v>
      </c>
      <c r="K26" s="286" t="s">
        <v>290</v>
      </c>
      <c r="L26" s="286" t="s">
        <v>291</v>
      </c>
      <c r="M26" s="51"/>
      <c r="N26" s="51"/>
      <c r="O26" s="3"/>
    </row>
    <row r="27" customFormat="false" ht="17.25" hidden="false" customHeight="true" outlineLevel="0" collapsed="false">
      <c r="A27" s="15"/>
      <c r="B27" s="56" t="s">
        <v>299</v>
      </c>
      <c r="C27" s="15"/>
      <c r="D27" s="15"/>
      <c r="E27" s="15"/>
      <c r="F27" s="15"/>
      <c r="G27" s="15"/>
      <c r="H27" s="15"/>
      <c r="I27" s="15"/>
      <c r="J27" s="287" t="str">
        <f aca="false">IFERROR(AVERAGE(J18:J22),"-")</f>
        <v>-</v>
      </c>
      <c r="K27" s="287" t="str">
        <f aca="false">IFERROR(AVERAGE(K18:K22),"-")</f>
        <v>-</v>
      </c>
      <c r="L27" s="287" t="str">
        <f aca="false">IFERROR(AVERAGE(L18:L22),"-")</f>
        <v>-</v>
      </c>
      <c r="M27" s="271" t="str">
        <f aca="false">IFERROR(AVERAGE(M18:M22),"-")</f>
        <v>-</v>
      </c>
      <c r="N27" s="15"/>
      <c r="O27" s="15"/>
      <c r="P27" s="15"/>
      <c r="Q27" s="15"/>
    </row>
    <row r="28" customFormat="false" ht="17.25" hidden="false" customHeight="true" outlineLevel="0" collapsed="false">
      <c r="A28" s="15"/>
      <c r="B28" s="56" t="s">
        <v>300</v>
      </c>
      <c r="C28" s="15"/>
      <c r="D28" s="15"/>
      <c r="E28" s="15"/>
      <c r="F28" s="15"/>
      <c r="G28" s="15"/>
      <c r="H28" s="15"/>
      <c r="I28" s="15"/>
      <c r="J28" s="287" t="str">
        <f aca="false">IFERROR(MEDIAN(J18:J22),"-")</f>
        <v>-</v>
      </c>
      <c r="K28" s="287" t="str">
        <f aca="false">IFERROR(MEDIAN(K18:K22),"-")</f>
        <v>-</v>
      </c>
      <c r="L28" s="287" t="str">
        <f aca="false">IFERROR(MEDIAN(L18:L22),"-")</f>
        <v>-</v>
      </c>
      <c r="M28" s="15"/>
      <c r="N28" s="15"/>
      <c r="O28" s="15"/>
      <c r="P28" s="15"/>
      <c r="Q28" s="15"/>
    </row>
    <row r="29" customFormat="false" ht="17.25" hidden="false" customHeight="true" outlineLevel="0" collapsed="false">
      <c r="A29" s="15"/>
      <c r="B29" s="56" t="s">
        <v>301</v>
      </c>
      <c r="C29" s="15"/>
      <c r="D29" s="15"/>
      <c r="E29" s="15"/>
      <c r="F29" s="15"/>
      <c r="G29" s="15"/>
      <c r="H29" s="15"/>
      <c r="I29" s="15"/>
      <c r="J29" s="287" t="n">
        <f aca="false">IFERROR(MAX(J18:J22),"-")</f>
        <v>0</v>
      </c>
      <c r="K29" s="287" t="n">
        <f aca="false">IFERROR(MAX(K18:K22),"-")</f>
        <v>0</v>
      </c>
      <c r="L29" s="287" t="n">
        <f aca="false">IFERROR(MAX(L18:L22),"-")</f>
        <v>0</v>
      </c>
      <c r="M29" s="15"/>
      <c r="N29" s="15"/>
      <c r="O29" s="15"/>
      <c r="P29" s="15"/>
      <c r="Q29" s="15"/>
    </row>
    <row r="30" customFormat="false" ht="17.25" hidden="false" customHeight="true" outlineLevel="0" collapsed="false">
      <c r="A30" s="15"/>
      <c r="B30" s="56" t="s">
        <v>302</v>
      </c>
      <c r="C30" s="15"/>
      <c r="D30" s="15"/>
      <c r="E30" s="15"/>
      <c r="F30" s="15"/>
      <c r="G30" s="15"/>
      <c r="H30" s="15"/>
      <c r="I30" s="15"/>
      <c r="J30" s="287" t="n">
        <f aca="false">IFERROR(MIN(J18:J22),"-")</f>
        <v>0</v>
      </c>
      <c r="K30" s="287" t="n">
        <f aca="false">IFERROR(MIN(K18:K22),"-")</f>
        <v>0</v>
      </c>
      <c r="L30" s="287" t="n">
        <f aca="false">IFERROR(MIN(L18:L22),"-")</f>
        <v>0</v>
      </c>
      <c r="M30" s="15"/>
      <c r="N30" s="15"/>
      <c r="O30" s="15"/>
      <c r="P30" s="15"/>
      <c r="Q30" s="15"/>
    </row>
    <row r="31" customFormat="false" ht="17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7.25" hidden="false" customHeight="true" outlineLevel="0" collapsed="false">
      <c r="A32" s="8"/>
      <c r="B32" s="268" t="s">
        <v>332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customFormat="false" ht="17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7.25" hidden="false" customHeight="true" outlineLevel="0" collapsed="false">
      <c r="A34" s="15"/>
      <c r="B34" s="288" t="s">
        <v>304</v>
      </c>
      <c r="C34" s="15"/>
      <c r="D34" s="15"/>
      <c r="E34" s="15"/>
      <c r="F34" s="15"/>
      <c r="G34" s="15"/>
      <c r="H34" s="15"/>
      <c r="I34" s="15"/>
      <c r="J34" s="272"/>
      <c r="K34" s="272"/>
      <c r="L34" s="272"/>
      <c r="M34" s="15"/>
      <c r="N34" s="15"/>
      <c r="O34" s="15"/>
      <c r="P34" s="15"/>
      <c r="Q34" s="15"/>
    </row>
    <row r="35" customFormat="false" ht="17.25" hidden="false" customHeight="true" outlineLevel="0" collapsed="false">
      <c r="A35" s="15"/>
      <c r="B35" s="56" t="s">
        <v>333</v>
      </c>
      <c r="C35" s="15"/>
      <c r="D35" s="15"/>
      <c r="E35" s="271" t="n">
        <v>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Format="false" ht="17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7.25" hidden="false" customHeight="true" outlineLevel="0" collapsed="false">
      <c r="A37" s="15"/>
      <c r="B37" s="288" t="s">
        <v>305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7.25" hidden="false" customHeight="true" outlineLevel="0" collapsed="false">
      <c r="A38" s="8"/>
      <c r="B38" s="179" t="s">
        <v>172</v>
      </c>
      <c r="C38" s="8"/>
      <c r="D38" s="8"/>
      <c r="E38" s="8"/>
      <c r="F38" s="289" t="s">
        <v>114</v>
      </c>
      <c r="G38" s="290" t="n">
        <f aca="false">DCF!N20</f>
        <v>2434.47555603</v>
      </c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17.25" hidden="false" customHeight="true" outlineLevel="0" collapsed="false">
      <c r="A39" s="15"/>
      <c r="B39" s="56" t="s">
        <v>65</v>
      </c>
      <c r="C39" s="15"/>
      <c r="D39" s="15"/>
      <c r="E39" s="15"/>
      <c r="F39" s="22" t="s">
        <v>114</v>
      </c>
      <c r="G39" s="291" t="n">
        <f aca="false">DCF!N30</f>
        <v>751.530565062867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Format="false" ht="17.25" hidden="false" customHeight="true" outlineLevel="0" collapsed="false">
      <c r="A40" s="15"/>
      <c r="B40" s="56" t="s">
        <v>212</v>
      </c>
      <c r="C40" s="15"/>
      <c r="D40" s="15"/>
      <c r="E40" s="15"/>
      <c r="F40" s="22" t="s">
        <v>114</v>
      </c>
      <c r="G40" s="291" t="n">
        <f aca="false">DCF!N27</f>
        <v>751.530565062867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Format="false" ht="17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7.25" hidden="false" customHeight="true" outlineLevel="0" collapsed="false">
      <c r="A42" s="15"/>
      <c r="B42" s="288" t="s">
        <v>307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Format="false" ht="17.25" hidden="false" customHeight="true" outlineLevel="0" collapsed="false">
      <c r="A43" s="15"/>
      <c r="B43" s="56" t="s">
        <v>308</v>
      </c>
      <c r="C43" s="15"/>
      <c r="D43" s="15"/>
      <c r="E43" s="15"/>
      <c r="F43" s="22" t="s">
        <v>114</v>
      </c>
      <c r="G43" s="285" t="n">
        <f aca="false">J34*G38*(1+$E$35)</f>
        <v>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Format="false" ht="17.25" hidden="false" customHeight="true" outlineLevel="0" collapsed="false">
      <c r="A44" s="15"/>
      <c r="B44" s="56" t="s">
        <v>309</v>
      </c>
      <c r="C44" s="15"/>
      <c r="D44" s="15"/>
      <c r="E44" s="15"/>
      <c r="F44" s="22" t="s">
        <v>114</v>
      </c>
      <c r="G44" s="285" t="n">
        <f aca="false">K34*G39*(1+$E$35)</f>
        <v>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Format="false" ht="17.25" hidden="false" customHeight="true" outlineLevel="0" collapsed="false">
      <c r="A45" s="15"/>
      <c r="B45" s="56" t="s">
        <v>310</v>
      </c>
      <c r="C45" s="15"/>
      <c r="D45" s="15"/>
      <c r="E45" s="15"/>
      <c r="F45" s="22" t="s">
        <v>114</v>
      </c>
      <c r="G45" s="285" t="n">
        <f aca="false">L34*G40*(1+$E$35)</f>
        <v>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Format="false" ht="17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7.25" hidden="false" customHeight="true" outlineLevel="0" collapsed="false">
      <c r="A47" s="65"/>
      <c r="B47" s="273" t="s">
        <v>311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 customFormat="false" ht="17.25" hidden="false" customHeight="true" outlineLevel="0" collapsed="false">
      <c r="A48" s="15"/>
      <c r="B48" s="56" t="s">
        <v>334</v>
      </c>
      <c r="C48" s="15"/>
      <c r="D48" s="15"/>
      <c r="E48" s="15"/>
      <c r="F48" s="22" t="s">
        <v>114</v>
      </c>
      <c r="G48" s="285" t="n">
        <f aca="false">G44-Input!I248</f>
        <v>-250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Format="false" ht="17.25" hidden="false" customHeight="true" outlineLevel="0" collapsed="false">
      <c r="A49" s="15"/>
      <c r="B49" s="292" t="s">
        <v>335</v>
      </c>
      <c r="C49" s="292"/>
      <c r="D49" s="292"/>
      <c r="E49" s="292"/>
      <c r="F49" s="292" t="s">
        <v>114</v>
      </c>
      <c r="G49" s="293" t="n">
        <f aca="false">G45-Input!I248</f>
        <v>-250</v>
      </c>
      <c r="H49" s="292"/>
      <c r="I49" s="292"/>
      <c r="J49" s="292"/>
      <c r="K49" s="292"/>
      <c r="L49" s="292"/>
      <c r="M49" s="292"/>
      <c r="N49" s="15"/>
      <c r="O49" s="15"/>
      <c r="P49" s="15"/>
      <c r="Q49" s="15"/>
    </row>
    <row r="50" customFormat="false" ht="17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7.25" hidden="false" customHeight="true" outlineLevel="0" collapsed="false">
      <c r="A51" s="8"/>
      <c r="B51" s="268" t="s">
        <v>336</v>
      </c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8"/>
      <c r="Q51" s="8"/>
    </row>
    <row r="52" customFormat="false" ht="17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7.25" hidden="false" customHeight="true" outlineLevel="0" collapsed="false">
      <c r="A53" s="15"/>
      <c r="B53" s="56" t="s">
        <v>337</v>
      </c>
      <c r="C53" s="15"/>
      <c r="D53" s="15"/>
      <c r="E53" s="15"/>
      <c r="F53" s="22" t="s">
        <v>114</v>
      </c>
      <c r="G53" s="291" t="n">
        <f aca="false">DCF!O45</f>
        <v>2365.19715267784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Format="false" ht="17.25" hidden="false" customHeight="true" outlineLevel="0" collapsed="false">
      <c r="A54" s="15"/>
      <c r="B54" s="56" t="s">
        <v>338</v>
      </c>
      <c r="C54" s="15"/>
      <c r="D54" s="15"/>
      <c r="E54" s="15"/>
      <c r="F54" s="22" t="s">
        <v>114</v>
      </c>
      <c r="G54" s="291" t="n">
        <f aca="false">GPCM!G49</f>
        <v>-250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Format="false" ht="17.25" hidden="false" customHeight="true" outlineLevel="0" collapsed="false">
      <c r="A55" s="15"/>
      <c r="B55" s="56" t="s">
        <v>339</v>
      </c>
      <c r="C55" s="15"/>
      <c r="D55" s="15"/>
      <c r="E55" s="15"/>
      <c r="F55" s="22" t="s">
        <v>114</v>
      </c>
      <c r="G55" s="291" t="n">
        <f aca="false">G48</f>
        <v>-250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Format="false" ht="17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7.25" hidden="false" customHeight="true" outlineLevel="0" collapsed="false">
      <c r="A57" s="65"/>
      <c r="B57" s="273" t="s">
        <v>340</v>
      </c>
      <c r="C57" s="273"/>
      <c r="D57" s="273"/>
      <c r="E57" s="273"/>
      <c r="F57" s="273" t="s">
        <v>114</v>
      </c>
      <c r="G57" s="295" t="n">
        <f aca="false">AVERAGE(G53:G55)</f>
        <v>621.732384225947</v>
      </c>
      <c r="H57" s="273"/>
      <c r="I57" s="273"/>
      <c r="J57" s="273"/>
      <c r="K57" s="273"/>
      <c r="L57" s="273"/>
      <c r="M57" s="273"/>
      <c r="N57" s="65"/>
      <c r="O57" s="65"/>
      <c r="P57" s="65"/>
      <c r="Q57" s="65"/>
    </row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2021-09-06T09:32:22Z</dcterms:created>
  <dc:creator>gyeongwookim</dc:creator>
  <dc:description/>
  <dc:language>en-US</dc:language>
  <cp:lastModifiedBy>양태 김</cp:lastModifiedBy>
  <dcterms:modified xsi:type="dcterms:W3CDTF">2026-02-22T03:24:38Z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