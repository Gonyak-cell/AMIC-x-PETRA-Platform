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kim32\Documents\문서\업무자료 모음\Valuation\LG히타치\"/>
    </mc:Choice>
  </mc:AlternateContent>
  <bookViews>
    <workbookView xWindow="0" yWindow="0" windowWidth="27660" windowHeight="12315"/>
  </bookViews>
  <sheets>
    <sheet name="Report" sheetId="27" r:id="rId1"/>
    <sheet name="Transaction" sheetId="3" r:id="rId2"/>
    <sheet name="Affinity" sheetId="6" r:id="rId3"/>
    <sheet name="휴비스워터-TSK" sheetId="26" r:id="rId4"/>
    <sheet name="유사거래 FS&gt;" sheetId="25" r:id="rId5"/>
    <sheet name="환경관리" sheetId="19" r:id="rId6"/>
    <sheet name="티에스케이코퍼레이션" sheetId="20" r:id="rId7"/>
    <sheet name="WIK그린" sheetId="17" r:id="rId8"/>
    <sheet name="인선이엔티" sheetId="23" r:id="rId9"/>
    <sheet name="창원에너텍" sheetId="18" r:id="rId10"/>
    <sheet name="삼우그린" sheetId="15" r:id="rId11"/>
    <sheet name="코엔텍" sheetId="14" r:id="rId12"/>
    <sheet name="한국종합기술" sheetId="12" r:id="rId13"/>
    <sheet name="휴비스워터_'18" sheetId="7" r:id="rId14"/>
    <sheet name="휴비스워터_'14" sheetId="9" r:id="rId15"/>
    <sheet name="MergerMarket" sheetId="21"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_____f3" hidden="1">{"'분양원가'!$B$1:$F$113"}</definedName>
    <definedName name="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N0961" hidden="1">#REF!</definedName>
    <definedName name="_____f3" hidden="1">{"'분양원가'!$B$1:$F$113"}</definedName>
    <definedName name="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f3" hidden="1">{"'분양원가'!$B$1:$F$113"}</definedName>
    <definedName name="____fa2" hidden="1">{"'Sheet1'!$A$1:$H$36"}</definedName>
    <definedName name="____H922" hidden="1">{"'Sheet1'!$A$1:$H$36"}</definedName>
    <definedName name="____H930" hidden="1">{"'Sheet1'!$A$1:$H$36"}</definedName>
    <definedName name="____N0961" hidden="1">#REF!</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9" hidden="1">{#N/A,#N/A,FALSE,"UNIT";#N/A,#N/A,FALSE,"UNIT";#N/A,#N/A,FALSE,"계정"}</definedName>
    <definedName name="___N0961" hidden="1">#REF!</definedName>
    <definedName name="___tbd10" hidden="1">{#N/A,#N/A,FALSE,"Aging Summary";#N/A,#N/A,FALSE,"Ratio Analysis";#N/A,#N/A,FALSE,"Test 120 Day Accts";#N/A,#N/A,FALSE,"Tickmarks"}</definedName>
    <definedName name="___tbd2" hidden="1">{#N/A,#N/A,FALSE,"Aging Summary";#N/A,#N/A,FALSE,"Ratio Analysis";#N/A,#N/A,FALSE,"Test 120 Day Accts";#N/A,#N/A,FALSE,"Tickmarks"}</definedName>
    <definedName name="___tbd3" hidden="1">{#N/A,#N/A,FALSE,"Aging Summary";#N/A,#N/A,FALSE,"Ratio Analysis";#N/A,#N/A,FALSE,"Test 120 Day Accts";#N/A,#N/A,FALSE,"Tickmarks"}</definedName>
    <definedName name="___tbd4" hidden="1">{#N/A,#N/A,FALSE,"Aging Summary";#N/A,#N/A,FALSE,"Ratio Analysis";#N/A,#N/A,FALSE,"Test 120 Day Accts";#N/A,#N/A,FALSE,"Tickmarks"}</definedName>
    <definedName name="___tbd9" hidden="1">{#N/A,#N/A,FALSE,"Aging Summary";#N/A,#N/A,FALSE,"Ratio Analysis";#N/A,#N/A,FALSE,"Test 120 Day Accts";#N/A,#N/A,FALSE,"Tickmarks"}</definedName>
    <definedName name="___ver3" hidden="1">{#N/A,#N/A,FALSE,"Aging Summary";#N/A,#N/A,FALSE,"Ratio Analysis";#N/A,#N/A,FALSE,"Test 120 Day Accts";#N/A,#N/A,FALSE,"Tickmarks"}</definedName>
    <definedName name="__123" hidden="1">[1]D!#REF!</definedName>
    <definedName name="__123Graph_A" hidden="1">[2]시산표!#REF!</definedName>
    <definedName name="__123Graph_AFIXBAR" hidden="1">[3]O!$B$18:$M$18</definedName>
    <definedName name="__123Graph_AFIXSTKBAR" hidden="1">[3]O!$B$18:$M$18</definedName>
    <definedName name="__123Graph_AVALSIF" hidden="1">[1]D!#REF!</definedName>
    <definedName name="__123Graph_B" hidden="1">[2]시산표!#REF!</definedName>
    <definedName name="__123Graph_BCHANGE" hidden="1">#REF!</definedName>
    <definedName name="__123Graph_BFIXBAR" hidden="1">[3]O!$B$20:$M$20</definedName>
    <definedName name="__123Graph_BFIXSTKBAR" hidden="1">[3]O!$B$20:$M$20</definedName>
    <definedName name="__123Graph_C" hidden="1">[4]임차보증금!$U$10:$U$10</definedName>
    <definedName name="__123Graph_D" hidden="1">[1]act98!#REF!</definedName>
    <definedName name="__123Graph_D93TECHMF" hidden="1">[1]act98!#REF!</definedName>
    <definedName name="__123Graph_DCHANGE" hidden="1">[1]act98!#REF!</definedName>
    <definedName name="__123Graph_E" hidden="1">[1]act98!#REF!</definedName>
    <definedName name="__123Graph_E93TECHMF" hidden="1">[1]act98!#REF!</definedName>
    <definedName name="__123Graph_ECHANGE" hidden="1">[1]act98!#REF!</definedName>
    <definedName name="__123Graph_F" hidden="1">[5]Histo!#REF!</definedName>
    <definedName name="__123Graph_FEFFECT.MF" hidden="1">[6]act!#REF!</definedName>
    <definedName name="__123Graph_FRBE" hidden="1">[5]Histo!#REF!</definedName>
    <definedName name="__123Graph_LBL_A" hidden="1">[2]시산표!#REF!</definedName>
    <definedName name="__123Graph_LBL_AMVTS.CAP" hidden="1">[1]act98!#REF!</definedName>
    <definedName name="__123Graph_LBL_AVALSIF" hidden="1">[1]D!#REF!</definedName>
    <definedName name="__123Graph_LBL_B" hidden="1">[2]시산표!#REF!</definedName>
    <definedName name="__123Graph_LBL_BMVTS.CAP" hidden="1">[1]act98!#REF!</definedName>
    <definedName name="__123Graph_LBL_BVALSIF" hidden="1">[1]D!#REF!</definedName>
    <definedName name="__123Graph_X" hidden="1">[2]시산표!#REF!</definedName>
    <definedName name="__123GRAPH_X1" hidden="1">[7]시산표!#REF!</definedName>
    <definedName name="__123Graph_XCHANGE" hidden="1">[1]act98!#REF!</definedName>
    <definedName name="__123Graph_XEFTECHMF" hidden="1">[1]act98!#REF!</definedName>
    <definedName name="__123Graph_XFIXBAR" hidden="1">[3]O!$B$7:$M$7</definedName>
    <definedName name="__123Graph_XFIXSTKBAR" hidden="1">[3]O!$B$7:$M$7</definedName>
    <definedName name="__a01" hidden="1">{#N/A,#N/A,FALSE,"Aging Summary";#N/A,#N/A,FALSE,"Ratio Analysis";#N/A,#N/A,FALSE,"Test 120 Day Accts";#N/A,#N/A,FALSE,"Tickmarks"}</definedName>
    <definedName name="__f3" hidden="1">{"'분양원가'!$B$1:$F$113"}</definedName>
    <definedName name="__FDS_HYPERLINK_TOGGLE_STATE__" hidden="1">"ON"</definedName>
    <definedName name="__IntlFixup" hidden="1">TRUE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_1__123Graph_ACHART_1" hidden="1">'[8]Steel Comp.'!$X$8:$X$19</definedName>
    <definedName name="_1__123Graph_A차트_1" hidden="1">#REF!</definedName>
    <definedName name="_10__123Graph_BCHART_5" hidden="1">'[8]Steel Comp.'!$Y$8:$Y$19</definedName>
    <definedName name="_10_7_0__123Graph_LB" hidden="1">[9]시산표!#REF!</definedName>
    <definedName name="_11__123Graph_XCHART_2" hidden="1">'[8]Steel Comp.'!$W$8:$W$21</definedName>
    <definedName name="_12__123Graph_XCHART_5" hidden="1">'[8]Steel Comp.'!$W$8:$W$19</definedName>
    <definedName name="_12_7_0__123Grap" hidden="1">[10]시산표!#REF!</definedName>
    <definedName name="_12_9____123Grap" hidden="1">[10]시산표!#REF!</definedName>
    <definedName name="_123GRAPH_LBL_B1" hidden="1">[7]시산표!#REF!</definedName>
    <definedName name="_13__123Graph_XCHART_6" hidden="1">'[8]Steel Comp.'!$W$8:$W$21</definedName>
    <definedName name="_13_9____123Graph_LB" hidden="1">[10]시산표!#REF!</definedName>
    <definedName name="_14_0_0_F" hidden="1">[11]CTEMCOST!#REF!</definedName>
    <definedName name="_14_9_0__123Grap" hidden="1">[9]시산표!#REF!</definedName>
    <definedName name="_15_7_0__123Graph_LB" hidden="1">[10]시산표!#REF!</definedName>
    <definedName name="_15_9_0__123Graph_LB" hidden="1">[9]시산표!#REF!</definedName>
    <definedName name="_16f3_" hidden="1">{"'분양원가'!$B$1:$F$113"}</definedName>
    <definedName name="_17fa2_" hidden="1">{"'Sheet1'!$A$1:$H$36"}</definedName>
    <definedName name="_2__123Graph_ACHART_2" hidden="1">'[8]Steel Comp.'!$Z$8:$Z$19</definedName>
    <definedName name="_2_0_0_F" hidden="1">[11]CTEMCOST!#REF!</definedName>
    <definedName name="_20_9_0__123Grap" hidden="1">[10]시산표!#REF!</definedName>
    <definedName name="_21_5____123Grap" hidden="1">[10]시산표!#REF!</definedName>
    <definedName name="_21H922_" hidden="1">{"'Sheet1'!$A$1:$H$36"}</definedName>
    <definedName name="_22H930_" hidden="1">{"'Sheet1'!$A$1:$H$36"}</definedName>
    <definedName name="_23_9_0__123Graph_LB" hidden="1">[10]시산표!#REF!</definedName>
    <definedName name="_23A1243_" hidden="1">{#N/A,#N/A,FALSE,"Aging Summary";#N/A,#N/A,FALSE,"Ratio Analysis";#N/A,#N/A,FALSE,"Test 120 Day Accts";#N/A,#N/A,FALSE,"Tickmarks"}</definedName>
    <definedName name="_23f3_" hidden="1">{"'분양원가'!$B$1:$F$113"}</definedName>
    <definedName name="_24fa2_" hidden="1">{"'Sheet1'!$A$1:$H$36"}</definedName>
    <definedName name="_28_5_0__123Grap" hidden="1">[9]시산표!#REF!</definedName>
    <definedName name="_28H922_" hidden="1">{"'Sheet1'!$A$1:$H$36"}</definedName>
    <definedName name="_29H930_" hidden="1">{"'Sheet1'!$A$1:$H$36"}</definedName>
    <definedName name="_2F" hidden="1">[11]CTEMCOST!#REF!</definedName>
    <definedName name="_3__123Graph_ACHART_5" hidden="1">'[8]Steel Comp.'!$X$220:$X$231</definedName>
    <definedName name="_3_0_0_F" hidden="1">[11]CTEMCOST!#REF!</definedName>
    <definedName name="_33A2_" hidden="1">{#N/A,#N/A,FALSE,"Tabl. A1";#N/A,#N/A,FALSE,"Tabl. A1 b";#N/A,#N/A,FALSE,"Tabl. A2";#N/A,#N/A,FALSE,"Tabl. A2-1";#N/A,#N/A,FALSE,"Tabl. A2-2"}</definedName>
    <definedName name="_33s1_" hidden="1">{#N/A,#N/A,FALSE,"UNIT";#N/A,#N/A,FALSE,"UNIT";#N/A,#N/A,FALSE,"계정"}</definedName>
    <definedName name="_34f3_" hidden="1">{"'분양원가'!$B$1:$F$113"}</definedName>
    <definedName name="_34s10_" hidden="1">{#N/A,#N/A,FALSE,"UNIT";#N/A,#N/A,FALSE,"UNIT";#N/A,#N/A,FALSE,"계정"}</definedName>
    <definedName name="_35_7____123Grap" hidden="1">[10]시산표!#REF!</definedName>
    <definedName name="_35fa2_" hidden="1">{"'Sheet1'!$A$1:$H$36"}</definedName>
    <definedName name="_35s11_" hidden="1">{#N/A,#N/A,FALSE,"UNIT";#N/A,#N/A,FALSE,"UNIT";#N/A,#N/A,FALSE,"계정"}</definedName>
    <definedName name="_36s12_" hidden="1">{#N/A,#N/A,FALSE,"UNIT";#N/A,#N/A,FALSE,"UNIT";#N/A,#N/A,FALSE,"계정"}</definedName>
    <definedName name="_37s13_" hidden="1">{#N/A,#N/A,FALSE,"UNIT";#N/A,#N/A,FALSE,"UNIT";#N/A,#N/A,FALSE,"계정"}</definedName>
    <definedName name="_38s14_" hidden="1">{#N/A,#N/A,FALSE,"UNIT";#N/A,#N/A,FALSE,"UNIT";#N/A,#N/A,FALSE,"계정"}</definedName>
    <definedName name="_39s16_" hidden="1">{#N/A,#N/A,FALSE,"UNIT";#N/A,#N/A,FALSE,"UNIT";#N/A,#N/A,FALSE,"계정"}</definedName>
    <definedName name="_4__123Graph_ACHART_6" hidden="1">'[8]Steel Comp.'!$Z$220:$Z$231</definedName>
    <definedName name="_4__123Graph_BCHART_2" hidden="1">'[12]Input Shipments'!#REF!</definedName>
    <definedName name="_4_5_0__123Grap" hidden="1">[10]시산표!#REF!</definedName>
    <definedName name="_40s17_" hidden="1">{#N/A,#N/A,FALSE,"UNIT";#N/A,#N/A,FALSE,"UNIT";#N/A,#N/A,FALSE,"계정"}</definedName>
    <definedName name="_41s2_" hidden="1">{#N/A,#N/A,FALSE,"UNIT";#N/A,#N/A,FALSE,"UNIT";#N/A,#N/A,FALSE,"계정"}</definedName>
    <definedName name="_42_7____123Graph_LB" hidden="1">[10]시산표!#REF!</definedName>
    <definedName name="_42s3_" hidden="1">{#N/A,#N/A,FALSE,"UNIT";#N/A,#N/A,FALSE,"UNIT";#N/A,#N/A,FALSE,"계정"}</definedName>
    <definedName name="_43A3_" hidden="1">{#N/A,#N/A,FALSE,"Tabl. A1";#N/A,#N/A,FALSE,"Tabl. A1 b";#N/A,#N/A,FALSE,"Tabl. A2";#N/A,#N/A,FALSE,"Tabl. A2-1";#N/A,#N/A,FALSE,"Tabl. A2-2"}</definedName>
    <definedName name="_43s1_" hidden="1">{#N/A,#N/A,FALSE,"UNIT";#N/A,#N/A,FALSE,"UNIT";#N/A,#N/A,FALSE,"계정"}</definedName>
    <definedName name="_43s4_" hidden="1">{#N/A,#N/A,FALSE,"UNIT";#N/A,#N/A,FALSE,"UNIT";#N/A,#N/A,FALSE,"계정"}</definedName>
    <definedName name="_44H922_" hidden="1">{"'Sheet1'!$A$1:$H$36"}</definedName>
    <definedName name="_44s10_" hidden="1">{#N/A,#N/A,FALSE,"UNIT";#N/A,#N/A,FALSE,"UNIT";#N/A,#N/A,FALSE,"계정"}</definedName>
    <definedName name="_44s5_" hidden="1">{#N/A,#N/A,FALSE,"UNIT";#N/A,#N/A,FALSE,"UNIT";#N/A,#N/A,FALSE,"계정"}</definedName>
    <definedName name="_45H930_" hidden="1">{"'Sheet1'!$A$1:$H$36"}</definedName>
    <definedName name="_45s11_" hidden="1">{#N/A,#N/A,FALSE,"UNIT";#N/A,#N/A,FALSE,"UNIT";#N/A,#N/A,FALSE,"계정"}</definedName>
    <definedName name="_45s6_" hidden="1">{#N/A,#N/A,FALSE,"UNIT";#N/A,#N/A,FALSE,"UNIT";#N/A,#N/A,FALSE,"계정"}</definedName>
    <definedName name="_46s12_" hidden="1">{#N/A,#N/A,FALSE,"UNIT";#N/A,#N/A,FALSE,"UNIT";#N/A,#N/A,FALSE,"계정"}</definedName>
    <definedName name="_46s9_" hidden="1">{#N/A,#N/A,FALSE,"UNIT";#N/A,#N/A,FALSE,"UNIT";#N/A,#N/A,FALSE,"계정"}</definedName>
    <definedName name="_47s13_" hidden="1">{#N/A,#N/A,FALSE,"UNIT";#N/A,#N/A,FALSE,"UNIT";#N/A,#N/A,FALSE,"계정"}</definedName>
    <definedName name="_48s14_" hidden="1">{#N/A,#N/A,FALSE,"UNIT";#N/A,#N/A,FALSE,"UNIT";#N/A,#N/A,FALSE,"계정"}</definedName>
    <definedName name="_49_7_0__123Grap" hidden="1">[9]시산표!#REF!</definedName>
    <definedName name="_49s16_" hidden="1">{#N/A,#N/A,FALSE,"UNIT";#N/A,#N/A,FALSE,"UNIT";#N/A,#N/A,FALSE,"계정"}</definedName>
    <definedName name="_5__123Graph_BCHART_1" hidden="1">'[8]Steel Comp.'!$Y$8:$Y$17</definedName>
    <definedName name="_5_0_0_F" hidden="1">[11]CTEMCOST!#REF!</definedName>
    <definedName name="_5_5____123Grap" hidden="1">[10]시산표!#REF!</definedName>
    <definedName name="_5_7_0__123Grap" hidden="1">[10]시산표!#REF!</definedName>
    <definedName name="_50s17_" hidden="1">{#N/A,#N/A,FALSE,"UNIT";#N/A,#N/A,FALSE,"UNIT";#N/A,#N/A,FALSE,"계정"}</definedName>
    <definedName name="_51s2_" hidden="1">{#N/A,#N/A,FALSE,"UNIT";#N/A,#N/A,FALSE,"UNIT";#N/A,#N/A,FALSE,"계정"}</definedName>
    <definedName name="_52s3_" hidden="1">{#N/A,#N/A,FALSE,"UNIT";#N/A,#N/A,FALSE,"UNIT";#N/A,#N/A,FALSE,"계정"}</definedName>
    <definedName name="_53s4_" hidden="1">{#N/A,#N/A,FALSE,"UNIT";#N/A,#N/A,FALSE,"UNIT";#N/A,#N/A,FALSE,"계정"}</definedName>
    <definedName name="_54s5_" hidden="1">{#N/A,#N/A,FALSE,"UNIT";#N/A,#N/A,FALSE,"UNIT";#N/A,#N/A,FALSE,"계정"}</definedName>
    <definedName name="_55s6_" hidden="1">{#N/A,#N/A,FALSE,"UNIT";#N/A,#N/A,FALSE,"UNIT";#N/A,#N/A,FALSE,"계정"}</definedName>
    <definedName name="_56_7_0__123Graph_LB" hidden="1">[9]시산표!#REF!</definedName>
    <definedName name="_56s9_" hidden="1">{#N/A,#N/A,FALSE,"UNIT";#N/A,#N/A,FALSE,"UNIT";#N/A,#N/A,FALSE,"계정"}</definedName>
    <definedName name="_6_5_0__123Grap" hidden="1">[9]시산표!#REF!</definedName>
    <definedName name="_6_7_0__123Graph_LB" hidden="1">[10]시산표!#REF!</definedName>
    <definedName name="_62s1_" hidden="1">{#N/A,#N/A,FALSE,"UNIT";#N/A,#N/A,FALSE,"UNIT";#N/A,#N/A,FALSE,"계정"}</definedName>
    <definedName name="_63_9____123Grap" hidden="1">[10]시산표!#REF!</definedName>
    <definedName name="_63B2005_" hidden="1">{#N/A,#N/A,FALSE,"Tabl. FB300";#N/A,#N/A,FALSE,"Tabl. FB350";#N/A,#N/A,FALSE,"Tabl. FB400";#N/A,#N/A,FALSE,"Tabl. FB500";#N/A,#N/A,FALSE,"Tabl. FS090"}</definedName>
    <definedName name="_63s10_" hidden="1">{#N/A,#N/A,FALSE,"UNIT";#N/A,#N/A,FALSE,"UNIT";#N/A,#N/A,FALSE,"계정"}</definedName>
    <definedName name="_64s11_" hidden="1">{#N/A,#N/A,FALSE,"UNIT";#N/A,#N/A,FALSE,"UNIT";#N/A,#N/A,FALSE,"계정"}</definedName>
    <definedName name="_65s12_" hidden="1">{#N/A,#N/A,FALSE,"UNIT";#N/A,#N/A,FALSE,"UNIT";#N/A,#N/A,FALSE,"계정"}</definedName>
    <definedName name="_66s13_" hidden="1">{#N/A,#N/A,FALSE,"UNIT";#N/A,#N/A,FALSE,"UNIT";#N/A,#N/A,FALSE,"계정"}</definedName>
    <definedName name="_67s14_" hidden="1">{#N/A,#N/A,FALSE,"UNIT";#N/A,#N/A,FALSE,"UNIT";#N/A,#N/A,FALSE,"계정"}</definedName>
    <definedName name="_68s16_" hidden="1">{#N/A,#N/A,FALSE,"UNIT";#N/A,#N/A,FALSE,"UNIT";#N/A,#N/A,FALSE,"계정"}</definedName>
    <definedName name="_69s17_" hidden="1">{#N/A,#N/A,FALSE,"UNIT";#N/A,#N/A,FALSE,"UNIT";#N/A,#N/A,FALSE,"계정"}</definedName>
    <definedName name="_7_7____123Grap" hidden="1">[10]시산표!#REF!</definedName>
    <definedName name="_70_9____123Graph_LB" hidden="1">[10]시산표!#REF!</definedName>
    <definedName name="_70s2_" hidden="1">{#N/A,#N/A,FALSE,"UNIT";#N/A,#N/A,FALSE,"UNIT";#N/A,#N/A,FALSE,"계정"}</definedName>
    <definedName name="_71s3_" hidden="1">{#N/A,#N/A,FALSE,"UNIT";#N/A,#N/A,FALSE,"UNIT";#N/A,#N/A,FALSE,"계정"}</definedName>
    <definedName name="_72s4_" hidden="1">{#N/A,#N/A,FALSE,"UNIT";#N/A,#N/A,FALSE,"UNIT";#N/A,#N/A,FALSE,"계정"}</definedName>
    <definedName name="_73s5_" hidden="1">{#N/A,#N/A,FALSE,"UNIT";#N/A,#N/A,FALSE,"UNIT";#N/A,#N/A,FALSE,"계정"}</definedName>
    <definedName name="_74s6_" hidden="1">{#N/A,#N/A,FALSE,"UNIT";#N/A,#N/A,FALSE,"UNIT";#N/A,#N/A,FALSE,"계정"}</definedName>
    <definedName name="_75s9_" hidden="1">{#N/A,#N/A,FALSE,"UNIT";#N/A,#N/A,FALSE,"UNIT";#N/A,#N/A,FALSE,"계정"}</definedName>
    <definedName name="_77_9_0__123Grap" hidden="1">[9]시산표!#REF!</definedName>
    <definedName name="_7F" hidden="1">[11]CTEMCOST!#REF!</definedName>
    <definedName name="_8_7____123Graph_LB" hidden="1">[10]시산표!#REF!</definedName>
    <definedName name="_8_9_0__123Grap" hidden="1">[10]시산표!#REF!</definedName>
    <definedName name="_84_9_0__123Graph_LB" hidden="1">[9]시산표!#REF!</definedName>
    <definedName name="_9__123Graph_BCHART_2" hidden="1">#REF!</definedName>
    <definedName name="_9__123Graph_XChart_1" hidden="1">#REF!</definedName>
    <definedName name="_9_5_0__123Grap" hidden="1">[10]시산표!#REF!</definedName>
    <definedName name="_9_7_0__123Grap" hidden="1">[9]시산표!#REF!</definedName>
    <definedName name="_9_9_0__123Graph_LB" hidden="1">[10]시산표!#REF!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at67" hidden="1">{#N/A,#N/A,FALSE,"Tabl. D1";#N/A,#N/A,FALSE,"Tabl. D1 b";#N/A,#N/A,FALSE,"Tabl. D2";#N/A,#N/A,FALSE,"Tabl. D2 b";#N/A,#N/A,FALSE,"Tabl. D3";#N/A,#N/A,FALSE,"Tabl. D4";#N/A,#N/A,FALSE,"Tabl. D5"}</definedName>
    <definedName name="_Dist_Bin" hidden="1">'[13]97년'!#REF!</definedName>
    <definedName name="_Dist_Values" hidden="1">'[13]97년'!#REF!</definedName>
    <definedName name="_f3" hidden="1">{"'분양원가'!$B$1:$F$113"}</definedName>
    <definedName name="_fa2" hidden="1">{"'Sheet1'!$A$1:$H$36"}</definedName>
    <definedName name="_Fill" hidden="1">#REF!</definedName>
    <definedName name="_xlnm._FilterDatabase" hidden="1">#REF!</definedName>
    <definedName name="_H922" hidden="1">{"'Sheet1'!$A$1:$H$36"}</definedName>
    <definedName name="_H930" hidden="1">{"'Sheet1'!$A$1:$H$36"}</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 hidden="1">[14]프랜트면허!#REF!</definedName>
    <definedName name="_Key1" hidden="1">#REF!</definedName>
    <definedName name="_Key2" hidden="1">[15]실행내역!#REF!</definedName>
    <definedName name="_Key3" hidden="1">#REF!</definedName>
    <definedName name="_N0961" hidden="1">#REF!</definedName>
    <definedName name="_New1" hidden="1">{#N/A,#N/A,FALSE,"Aging Summary";#N/A,#N/A,FALSE,"Ratio Analysis";#N/A,#N/A,FALSE,"Test 120 Day Accts";#N/A,#N/A,FALSE,"Tickmarks"}</definedName>
    <definedName name="_New2" hidden="1">{#N/A,#N/A,FALSE,"Aging Summary";#N/A,#N/A,FALSE,"Ratio Analysis";#N/A,#N/A,FALSE,"Test 120 Day Accts";#N/A,#N/A,FALSE,"Tickmarks"}</definedName>
    <definedName name="_New3" hidden="1">{#N/A,#N/A,FALSE,"Aging Summary";#N/A,#N/A,FALSE,"Ratio Analysis";#N/A,#N/A,FALSE,"Test 120 Day Accts";#N/A,#N/A,FALSE,"Tickmarks"}</definedName>
    <definedName name="_New4" hidden="1">{#N/A,#N/A,FALSE,"Aging Summary";#N/A,#N/A,FALSE,"Ratio Analysis";#N/A,#N/A,FALSE,"Test 120 Day Accts";#N/A,#N/A,FALSE,"Tickmarks"}</definedName>
    <definedName name="_NM09" hidden="1">{#N/A,#N/A,FALSE,"Tabl. D1";#N/A,#N/A,FALSE,"Tabl. D1 b";#N/A,#N/A,FALSE,"Tabl. D2";#N/A,#N/A,FALSE,"Tabl. D2 b";#N/A,#N/A,FALSE,"Tabl. D3";#N/A,#N/A,FALSE,"Tabl. D4";#N/A,#N/A,FALSE,"Tabl. D5"}</definedName>
    <definedName name="_Order1" hidden="1">255</definedName>
    <definedName name="_Order2" hidden="1">255</definedName>
    <definedName name="_Parse_In" hidden="1">#REF!</definedName>
    <definedName name="_Parse_Out" hidden="1">'[16]13역무손익'!#REF!</definedName>
    <definedName name="_Regression_Int" hidden="1">1</definedName>
    <definedName name="_s" hidden="1">[14]토목주소!#REF!</definedName>
    <definedName name="_s1" hidden="1">{#N/A,#N/A,FALSE,"UNIT";#N/A,#N/A,FALSE,"UNIT";#N/A,#N/A,FALSE,"계정"}</definedName>
    <definedName name="_s10" hidden="1">{#N/A,#N/A,FALSE,"UNIT";#N/A,#N/A,FALSE,"UNIT";#N/A,#N/A,FALSE,"계정"}</definedName>
    <definedName name="_s11" hidden="1">{#N/A,#N/A,FALSE,"UNIT";#N/A,#N/A,FALSE,"UNIT";#N/A,#N/A,FALSE,"계정"}</definedName>
    <definedName name="_s12" hidden="1">{#N/A,#N/A,FALSE,"UNIT";#N/A,#N/A,FALSE,"UNIT";#N/A,#N/A,FALSE,"계정"}</definedName>
    <definedName name="_s13" hidden="1">{#N/A,#N/A,FALSE,"UNIT";#N/A,#N/A,FALSE,"UNIT";#N/A,#N/A,FALSE,"계정"}</definedName>
    <definedName name="_s14" hidden="1">{#N/A,#N/A,FALSE,"UNIT";#N/A,#N/A,FALSE,"UNIT";#N/A,#N/A,FALSE,"계정"}</definedName>
    <definedName name="_s16" hidden="1">{#N/A,#N/A,FALSE,"UNIT";#N/A,#N/A,FALSE,"UNIT";#N/A,#N/A,FALSE,"계정"}</definedName>
    <definedName name="_s17" hidden="1">{#N/A,#N/A,FALSE,"UNIT";#N/A,#N/A,FALSE,"UNIT";#N/A,#N/A,FALSE,"계정"}</definedName>
    <definedName name="_s2" hidden="1">{#N/A,#N/A,FALSE,"UNIT";#N/A,#N/A,FALSE,"UNIT";#N/A,#N/A,FALSE,"계정"}</definedName>
    <definedName name="_s3" hidden="1">{#N/A,#N/A,FALSE,"UNIT";#N/A,#N/A,FALSE,"UNIT";#N/A,#N/A,FALSE,"계정"}</definedName>
    <definedName name="_s4" hidden="1">{#N/A,#N/A,FALSE,"UNIT";#N/A,#N/A,FALSE,"UNIT";#N/A,#N/A,FALSE,"계정"}</definedName>
    <definedName name="_s5" hidden="1">{#N/A,#N/A,FALSE,"UNIT";#N/A,#N/A,FALSE,"UNIT";#N/A,#N/A,FALSE,"계정"}</definedName>
    <definedName name="_s6" hidden="1">{#N/A,#N/A,FALSE,"UNIT";#N/A,#N/A,FALSE,"UNIT";#N/A,#N/A,FALSE,"계정"}</definedName>
    <definedName name="_s9" hidden="1">{#N/A,#N/A,FALSE,"UNIT";#N/A,#N/A,FALSE,"UNIT";#N/A,#N/A,FALSE,"계정"}</definedName>
    <definedName name="_Sort" hidden="1">#REF!</definedName>
    <definedName name="_taa34" hidden="1">{#N/A,#N/A,FALSE,"Tabl. G1";#N/A,#N/A,FALSE,"Tabl. G2"}</definedName>
    <definedName name="_tab09" hidden="1">{#N/A,#N/A,FALSE,"Tabl. FB300";#N/A,#N/A,FALSE,"Tabl. FB350";#N/A,#N/A,FALSE,"Tabl. FB400";#N/A,#N/A,FALSE,"Tabl. FB500";#N/A,#N/A,FALSE,"Tabl. FS090"}</definedName>
    <definedName name="_TAB120" hidden="1">{#N/A,#N/A,FALSE,"Tabl. FB300";#N/A,#N/A,FALSE,"Tabl. FB350";#N/A,#N/A,FALSE,"Tabl. FB400";#N/A,#N/A,FALSE,"Tabl. FB500";#N/A,#N/A,FALSE,"Tabl. FS090"}</definedName>
    <definedName name="_tab14" hidden="1">{#N/A,#N/A,FALSE,"Tabl. FB300";#N/A,#N/A,FALSE,"Tabl. FB350";#N/A,#N/A,FALSE,"Tabl. FB400";#N/A,#N/A,FALSE,"Tabl. FB500";#N/A,#N/A,FALSE,"Tabl. FS090"}</definedName>
    <definedName name="_tab15" hidden="1">{#N/A,#N/A,FALSE,"Tabl. A1";#N/A,#N/A,FALSE,"Tabl. A1 b";#N/A,#N/A,FALSE,"Tabl. A2";#N/A,#N/A,FALSE,"Tabl. A2-1";#N/A,#N/A,FALSE,"Tabl. A2-2"}</definedName>
    <definedName name="_TAB20" hidden="1">{#N/A,#N/A,FALSE,"Tabl. D1";#N/A,#N/A,FALSE,"Tabl. D1 b";#N/A,#N/A,FALSE,"Tabl. D2";#N/A,#N/A,FALSE,"Tabl. D2 b";#N/A,#N/A,FALSE,"Tabl. D3";#N/A,#N/A,FALSE,"Tabl. D4";#N/A,#N/A,FALSE,"Tabl. D5"}</definedName>
    <definedName name="_tab2341" hidden="1">{#N/A,#N/A,FALSE,"Tabl. FB300";#N/A,#N/A,FALSE,"Tabl. FB350";#N/A,#N/A,FALSE,"Tabl. FB400";#N/A,#N/A,FALSE,"Tabl. FB500";#N/A,#N/A,FALSE,"Tabl. FS090"}</definedName>
    <definedName name="_tab26" hidden="1">{#N/A,#N/A,FALSE,"Tabl. H1";#N/A,#N/A,FALSE,"Tabl. H2"}</definedName>
    <definedName name="_tab27" hidden="1">{#N/A,#N/A,FALSE,"Tabl. D1";#N/A,#N/A,FALSE,"Tabl. D1 b";#N/A,#N/A,FALSE,"Tabl. D2";#N/A,#N/A,FALSE,"Tabl. D2 b";#N/A,#N/A,FALSE,"Tabl. D3";#N/A,#N/A,FALSE,"Tabl. D4";#N/A,#N/A,FALSE,"Tabl. D5"}</definedName>
    <definedName name="_TAB3" hidden="1">{#N/A,#N/A,FALSE,"Tabl. FB300";#N/A,#N/A,FALSE,"Tabl. FB350";#N/A,#N/A,FALSE,"Tabl. FB400";#N/A,#N/A,FALSE,"Tabl. FB500";#N/A,#N/A,FALSE,"Tabl. FS090"}</definedName>
    <definedName name="_tab32" hidden="1">{#N/A,#N/A,FALSE,"Tabl. H1";#N/A,#N/A,FALSE,"Tabl. H2"}</definedName>
    <definedName name="_tab36" hidden="1">{#N/A,#N/A,FALSE,"Tabl. A1";#N/A,#N/A,FALSE,"Tabl. A1 b";#N/A,#N/A,FALSE,"Tabl. A2";#N/A,#N/A,FALSE,"Tabl. A2-1";#N/A,#N/A,FALSE,"Tabl. A2-2"}</definedName>
    <definedName name="_tab37" hidden="1">{#N/A,#N/A,FALSE,"Tabl. G1";#N/A,#N/A,FALSE,"Tabl. G2"}</definedName>
    <definedName name="_tab4" hidden="1">{#N/A,#N/A,FALSE,"Tabl. FB300";#N/A,#N/A,FALSE,"Tabl. FB350";#N/A,#N/A,FALSE,"Tabl. FB400";#N/A,#N/A,FALSE,"Tabl. FB500";#N/A,#N/A,FALSE,"Tabl. FS090"}</definedName>
    <definedName name="_tab40" hidden="1">{#N/A,#N/A,FALSE,"Tabl. FB300";#N/A,#N/A,FALSE,"Tabl. FB350";#N/A,#N/A,FALSE,"Tabl. FB400";#N/A,#N/A,FALSE,"Tabl. FB500";#N/A,#N/A,FALSE,"Tabl. FS090"}</definedName>
    <definedName name="_tab43" hidden="1">{#N/A,#N/A,FALSE,"Tabl. D1";#N/A,#N/A,FALSE,"Tabl. D1 b";#N/A,#N/A,FALSE,"Tabl. D2";#N/A,#N/A,FALSE,"Tabl. D2 b";#N/A,#N/A,FALSE,"Tabl. D3";#N/A,#N/A,FALSE,"Tabl. D4";#N/A,#N/A,FALSE,"Tabl. D5"}</definedName>
    <definedName name="_tab45" hidden="1">{#N/A,#N/A,FALSE,"Tabl. A1";#N/A,#N/A,FALSE,"Tabl. A1 b";#N/A,#N/A,FALSE,"Tabl. A2";#N/A,#N/A,FALSE,"Tabl. A2-1";#N/A,#N/A,FALSE,"Tabl. A2-2"}</definedName>
    <definedName name="_tab5" hidden="1">{#N/A,#N/A,FALSE,"Tabl. FB300";#N/A,#N/A,FALSE,"Tabl. FB350";#N/A,#N/A,FALSE,"Tabl. FB400";#N/A,#N/A,FALSE,"Tabl. FB500";#N/A,#N/A,FALSE,"Tabl. FS090"}</definedName>
    <definedName name="_tab653" hidden="1">{#N/A,#N/A,FALSE,"Tabl. G1";#N/A,#N/A,FALSE,"Tabl. G2"}</definedName>
    <definedName name="_TAB67" hidden="1">{#N/A,#N/A,FALSE,"Tabl. A1";#N/A,#N/A,FALSE,"Tabl. A1 b";#N/A,#N/A,FALSE,"Tabl. A2";#N/A,#N/A,FALSE,"Tabl. A2-1";#N/A,#N/A,FALSE,"Tabl. A2-2"}</definedName>
    <definedName name="_tab678" hidden="1">{#N/A,#N/A,FALSE,"Tabl. FB300";#N/A,#N/A,FALSE,"Tabl. FB350";#N/A,#N/A,FALSE,"Tabl. FB400";#N/A,#N/A,FALSE,"Tabl. FB500";#N/A,#N/A,FALSE,"Tabl. FS090"}</definedName>
    <definedName name="_tab7" hidden="1">{#N/A,#N/A,FALSE,"Tabl. FB300";#N/A,#N/A,FALSE,"Tabl. FB350";#N/A,#N/A,FALSE,"Tabl. FB400";#N/A,#N/A,FALSE,"Tabl. FB500";#N/A,#N/A,FALSE,"Tabl. FS090"}</definedName>
    <definedName name="_tab78" hidden="1">{#N/A,#N/A,FALSE,"Tabl. D1";#N/A,#N/A,FALSE,"Tabl. D1 b";#N/A,#N/A,FALSE,"Tabl. D2";#N/A,#N/A,FALSE,"Tabl. D2 b";#N/A,#N/A,FALSE,"Tabl. D3";#N/A,#N/A,FALSE,"Tabl. D4";#N/A,#N/A,FALSE,"Tabl. D5"}</definedName>
    <definedName name="_TAB8" hidden="1">{#N/A,#N/A,FALSE,"Tabl. FB300";#N/A,#N/A,FALSE,"Tabl. FB350";#N/A,#N/A,FALSE,"Tabl. FB400";#N/A,#N/A,FALSE,"Tabl. FB500";#N/A,#N/A,FALSE,"Tabl. FS090"}</definedName>
    <definedName name="_tab80" hidden="1">{#N/A,#N/A,FALSE,"Tabl. FB300";#N/A,#N/A,FALSE,"Tabl. FB350";#N/A,#N/A,FALSE,"Tabl. FB400";#N/A,#N/A,FALSE,"Tabl. FB500";#N/A,#N/A,FALSE,"Tabl. FS090"}</definedName>
    <definedName name="_TAB90" hidden="1">{#N/A,#N/A,FALSE,"Tabl. H1";#N/A,#N/A,FALSE,"Tabl. H2"}</definedName>
    <definedName name="_tab98" hidden="1">{#N/A,#N/A,FALSE,"Tabl. A1";#N/A,#N/A,FALSE,"Tabl. A1 b";#N/A,#N/A,FALSE,"Tabl. A2";#N/A,#N/A,FALSE,"Tabl. A2-1";#N/A,#N/A,FALSE,"Tabl. A2-2"}</definedName>
    <definedName name="_tab987" hidden="1">{#N/A,#N/A,FALSE,"Tabl. G1";#N/A,#N/A,FALSE,"Tabl. G2"}</definedName>
    <definedName name="_Table2_In1" hidden="1">[17]INVDAYS!#REF!</definedName>
    <definedName name="_Table2_In2" hidden="1">[17]INVDAYS!#REF!</definedName>
    <definedName name="_tbd10" hidden="1">{#N/A,#N/A,FALSE,"Aging Summary";#N/A,#N/A,FALSE,"Ratio Analysis";#N/A,#N/A,FALSE,"Test 120 Day Accts";#N/A,#N/A,FALSE,"Tickmarks"}</definedName>
    <definedName name="_tbd2" hidden="1">{#N/A,#N/A,FALSE,"Aging Summary";#N/A,#N/A,FALSE,"Ratio Analysis";#N/A,#N/A,FALSE,"Test 120 Day Accts";#N/A,#N/A,FALSE,"Tickmarks"}</definedName>
    <definedName name="_tbd3" hidden="1">{#N/A,#N/A,FALSE,"Aging Summary";#N/A,#N/A,FALSE,"Ratio Analysis";#N/A,#N/A,FALSE,"Test 120 Day Accts";#N/A,#N/A,FALSE,"Tickmarks"}</definedName>
    <definedName name="_tbd4" hidden="1">{#N/A,#N/A,FALSE,"Aging Summary";#N/A,#N/A,FALSE,"Ratio Analysis";#N/A,#N/A,FALSE,"Test 120 Day Accts";#N/A,#N/A,FALSE,"Tickmarks"}</definedName>
    <definedName name="_tbd9" hidden="1">{#N/A,#N/A,FALSE,"Aging Summary";#N/A,#N/A,FALSE,"Ratio Analysis";#N/A,#N/A,FALSE,"Test 120 Day Accts";#N/A,#N/A,FALSE,"Tickmarks"}</definedName>
    <definedName name="_ver3" hidden="1">{#N/A,#N/A,FALSE,"Aging Summary";#N/A,#N/A,FALSE,"Ratio Analysis";#N/A,#N/A,FALSE,"Test 120 Day Accts";#N/A,#N/A,FALSE,"Tickmarks"}</definedName>
    <definedName name="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株式" hidden="1">{#N/A,#N/A,FALSE,"Aging Summary";#N/A,#N/A,FALSE,"Ratio Analysis";#N/A,#N/A,FALSE,"Test 120 Day Accts";#N/A,#N/A,FALSE,"Tickmarks"}</definedName>
    <definedName name="★" hidden="1">{#N/A,#N/A,FALSE,"Aging Summary";#N/A,#N/A,FALSE,"Ratio Analysis";#N/A,#N/A,FALSE,"Test 120 Day Accts";#N/A,#N/A,FALSE,"Tickmarks"}</definedName>
    <definedName name="aa" hidden="1">{"'분양원가'!$B$1:$F$113"}</definedName>
    <definedName name="aaaa" hidden="1">[18]송전기본!#REF!</definedName>
    <definedName name="aaaaa"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bcde" hidden="1">{#N/A,#N/A,FALSE,"Title Page";#N/A,#N/A,FALSE,"Conclusions";#N/A,#N/A,FALSE,"Assum.";#N/A,#N/A,FALSE,"Sun  DCF-WC-Dep";#N/A,#N/A,FALSE,"MarketValue";#N/A,#N/A,FALSE,"BalSheet";#N/A,#N/A,FALSE,"WACC";#N/A,#N/A,FALSE,"PC+ Info.";#N/A,#N/A,FALSE,"PC+Info_2"}</definedName>
    <definedName name="Access_Button" hidden="1">"X4월자금_Sheet8_List"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"A:\4월자금.mdb"</definedName>
    <definedName name="af" hidden="1">{#N/A,#N/A,TRUE,"Suprachem Intern";#N/A,#N/A,TRUE,"Suprachem";#N/A,#N/A,TRUE,"Teeraanleg";#N/A,#N/A,TRUE,"B.T.X. Aanleg";#N/A,#N/A,TRUE,"Depot";#N/A,#N/A,TRUE,"Kooks";#N/A,#N/A,TRUE,"Korrelslak";#N/A,#N/A,TRUE,"Lurgi";#N/A,#N/A,TRUE,"Herverkope";#N/A,#N/A,TRUE,"Magneetpoeier Aanleg";#N/A,#N/A,TRUE,"Verdeling van H.K. koste"}</definedName>
    <definedName name="AHCENE" hidden="1">{#N/A,#N/A,FALSE,"Aging Summary";#N/A,#N/A,FALSE,"Ratio Analysis";#N/A,#N/A,FALSE,"Test 120 Day Accts";#N/A,#N/A,FALSE,"Tickmarks"}</definedName>
    <definedName name="Aissa1" hidden="1">{#N/A,#N/A,FALSE,"Aging Summary";#N/A,#N/A,FALSE,"Ratio Analysis";#N/A,#N/A,FALSE,"Test 120 Day Accts";#N/A,#N/A,FALSE,"Tickmarks"}</definedName>
    <definedName name="anscount" hidden="1">1</definedName>
    <definedName name="Ap_input_22R" hidden="1">{#N/A,#N/A,FALSE,"Sheet1"}</definedName>
    <definedName name="AS2DocOpenMode" hidden="1">"AS2DocumentEdit"</definedName>
    <definedName name="AS2HasNoAutoHeaderFooter" hidden="1">" "</definedName>
    <definedName name="AS2NamedRange" hidden="1">120</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hidden="1">{#N/A,#N/A,FALSE,"BS";#N/A,#N/A,FALSE,"PL";#N/A,#N/A,FALSE,"처분";#N/A,#N/A,FALSE,"현금";#N/A,#N/A,FALSE,"매출";#N/A,#N/A,FALSE,"원가";#N/A,#N/A,FALSE,"경영"}</definedName>
    <definedName name="asd" hidden="1">{#N/A,#N/A,FALSE,"Aging Summary";#N/A,#N/A,FALSE,"Ratio Analysis";#N/A,#N/A,FALSE,"Test 120 Day Accts";#N/A,#N/A,FALSE,"Tickmarks"}</definedName>
    <definedName name="asdf" hidden="1">{"by departments",#N/A,TRUE,"FORECAST";"cap_headcount",#N/A,TRUE,"FORECAST";"summary",#N/A,TRUE,"FORECAST"}</definedName>
    <definedName name="asdfas" hidden="1">{#N/A,#N/A,FALSE,"Aging Summary";#N/A,#N/A,FALSE,"Ratio Analysis";#N/A,#N/A,FALSE,"Test 120 Day Accts";#N/A,#N/A,FALSE,"Tickmarks"}</definedName>
    <definedName name="asdfasdfasdf" hidden="1">{"SUMMARY",#N/A,TRUE,"SUMMARY";"compare",#N/A,TRUE,"Vs. Bus Plan";"ratios",#N/A,TRUE,"Ratios";"REVENUE",#N/A,TRUE,"Revenue";"expenses",#N/A,TRUE,"1996 budget";"payroll",#N/A,TRUE,"Payroll"}</definedName>
    <definedName name="asefd21" hidden="1">{#N/A,#N/A,FALSE,"Aging Summary";#N/A,#N/A,FALSE,"Ratio Analysis";#N/A,#N/A,FALSE,"Test 120 Day Accts";#N/A,#N/A,FALSE,"Tickmarks"}</definedName>
    <definedName name="audrey3852" hidden="1">{#N/A,#N/A,FALSE,"BS";#N/A,#N/A,FALSE,"PL";#N/A,#N/A,FALSE,"처분";#N/A,#N/A,FALSE,"현금";#N/A,#N/A,FALSE,"매출";#N/A,#N/A,FALSE,"원가";#N/A,#N/A,FALSE,"경영"}</definedName>
    <definedName name="bat67_evolFev2005" hidden="1">{#N/A,#N/A,FALSE,"Tabl. D1";#N/A,#N/A,FALSE,"Tabl. D1 b";#N/A,#N/A,FALSE,"Tabl. D2";#N/A,#N/A,FALSE,"Tabl. D2 b";#N/A,#N/A,FALSE,"Tabl. D3";#N/A,#N/A,FALSE,"Tabl. D4";#N/A,#N/A,FALSE,"Tabl. D5"}</definedName>
    <definedName name="BATEAU" hidden="1">{#N/A,#N/A,FALSE,"Tabl. G1";#N/A,#N/A,FALSE,"Tabl. G2"}</definedName>
    <definedName name="BATEAU_evolFev2005" hidden="1">{#N/A,#N/A,FALSE,"Tabl. G1";#N/A,#N/A,FALSE,"Tabl. G2"}</definedName>
    <definedName name="bbbb" hidden="1">{#N/A,#N/A,FALSE,"Title Page";#N/A,#N/A,FALSE,"Conclusions";#N/A,#N/A,FALSE,"Assum.";#N/A,#N/A,FALSE,"Sun  DCF-WC-Dep";#N/A,#N/A,FALSE,"MarketValue";#N/A,#N/A,FALSE,"BalSheet";#N/A,#N/A,FALSE,"WACC";#N/A,#N/A,FALSE,"PC+ Info.";#N/A,#N/A,FALSE,"PC+Info_2"}</definedName>
    <definedName name="BEx3O85IKWARA6NCJOLRBRJFMEWW" hidden="1">'[19]Monthly shipment_db'!#REF!</definedName>
    <definedName name="BEx5MLQZM68YQSKARVWTTPINFQ2C" hidden="1">'[19]Monthly shipment_db'!#REF!</definedName>
    <definedName name="BExERWCEBKQRYWRQLYJ4UCMMKTHG" hidden="1">'[19]Monthly shipment_db'!#REF!</definedName>
    <definedName name="BExMBYPQDG9AYDQ5E8IECVFREPO6" hidden="1">'[19]Monthly shipment_db'!#REF!</definedName>
    <definedName name="BExQ9ZLYHWABXAA9NJDW8ZS0UQ9P" hidden="1">'[19]Monthly shipment_db'!#REF!</definedName>
    <definedName name="BExTUY9WNSJ91GV8CP0SKJTEIV82" hidden="1">'[19]Monthly shipment_db'!#REF!</definedName>
    <definedName name="BG_Del" hidden="1">15</definedName>
    <definedName name="BG_Ins" hidden="1">4</definedName>
    <definedName name="BG_Mod" hidden="1">6</definedName>
    <definedName name="book1" hidden="1">{#N/A,#N/A,FALSE,"UNIT";#N/A,#N/A,FALSE,"UNIT";#N/A,#N/A,FALSE,"계정"}</definedName>
    <definedName name="book2" hidden="1">{#N/A,#N/A,FALSE,"Sheet1"}</definedName>
    <definedName name="BS지사" hidden="1">{#N/A,#N/A,TRUE,"Summary";#N/A,#N/A,TRUE,"IS";#N/A,#N/A,TRUE,"Adj";#N/A,#N/A,TRUE,"BS";#N/A,#N/A,TRUE,"CF";#N/A,#N/A,TRUE,"Debt";#N/A,#N/A,TRUE,"IRR"}</definedName>
    <definedName name="canot" hidden="1">{#N/A,#N/A,FALSE,"Tabl. FB300";#N/A,#N/A,FALSE,"Tabl. FB350";#N/A,#N/A,FALSE,"Tabl. FB400";#N/A,#N/A,FALSE,"Tabl. FB500";#N/A,#N/A,FALSE,"Tabl. FS090"}</definedName>
    <definedName name="capitalized" hidden="1">{#N/A,#N/A,FALSE,"Title Page";#N/A,#N/A,FALSE,"Conclusions";#N/A,#N/A,FALSE,"Assum.";#N/A,#N/A,FALSE,"Sun  DCF-WC-Dep";#N/A,#N/A,FALSE,"MarketValue";#N/A,#N/A,FALSE,"BalSheet";#N/A,#N/A,FALSE,"WACC";#N/A,#N/A,FALSE,"PC+ Info.";#N/A,#N/A,FALSE,"PC+Info_2"}</definedName>
    <definedName name="CF" hidden="1">{#N/A,#N/A,TRUE,"Summary";#N/A,#N/A,TRUE,"IS";#N/A,#N/A,TRUE,"Adj";#N/A,#N/A,TRUE,"BS";#N/A,#N/A,TRUE,"CF";#N/A,#N/A,TRUE,"Debt";#N/A,#N/A,TRUE,"IRR"}</definedName>
    <definedName name="CFwp직전3" hidden="1">{#N/A,#N/A,FALSE,"UNIT";#N/A,#N/A,FALSE,"UNIT";#N/A,#N/A,FALSE,"계정"}</definedName>
    <definedName name="champ" hidden="1">{#N/A,#N/A,FALSE,"Tabl. G1";#N/A,#N/A,FALSE,"Tabl. G2"}</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k" hidden="1">{"'분양원가'!$B$1:$F$113"}</definedName>
    <definedName name="CompanyName" hidden="1">#REF!</definedName>
    <definedName name="cumulative_interest" hidden="1">{#N/A,#N/A,FALSE,"Aging Summary";#N/A,#N/A,FALSE,"Ratio Analysis";#N/A,#N/A,FALSE,"Test 120 Day Accts";#N/A,#N/A,FALSE,"Tickmarks"}</definedName>
    <definedName name="ddd" hidden="1">{#N/A,#N/A,FALSE,"UNIT";#N/A,#N/A,FALSE,"UNIT";#N/A,#N/A,FALSE,"계정"}</definedName>
    <definedName name="dddd" hidden="1">{#N/A,#N/A,FALSE,"UNIT";#N/A,#N/A,FALSE,"UNIT";#N/A,#N/A,FALSE,"계정"}</definedName>
    <definedName name="ddddd" hidden="1">{#N/A,#N/A,FALSE,"UNIT";#N/A,#N/A,FALSE,"UNIT";#N/A,#N/A,FALSE,"계정"}</definedName>
    <definedName name="dddddd" hidden="1">{#N/A,#N/A,FALSE,"UNIT";#N/A,#N/A,FALSE,"UNIT";#N/A,#N/A,FALSE,"계정"}</definedName>
    <definedName name="ddddddd" hidden="1">{#N/A,#N/A,FALSE,"UNIT";#N/A,#N/A,FALSE,"UNIT";#N/A,#N/A,FALSE,"계정"}</definedName>
    <definedName name="ddddddddd" hidden="1">{#N/A,#N/A,FALSE,"UNIT";#N/A,#N/A,FALSE,"UNIT";#N/A,#N/A,FALSE,"계정"}</definedName>
    <definedName name="dddddddddd" hidden="1">{#N/A,#N/A,FALSE,"UNIT";#N/A,#N/A,FALSE,"UNIT";#N/A,#N/A,FALSE,"계정"}</definedName>
    <definedName name="dfakdf" hidden="1">#REF!</definedName>
    <definedName name="dfd" hidden="1">{#N/A,#N/A,FALSE,"Aging Summary";#N/A,#N/A,FALSE,"Ratio Analysis";#N/A,#N/A,FALSE,"Test 120 Day Accts";#N/A,#N/A,FALSE,"Tickmarks"}</definedName>
    <definedName name="dfdf" hidden="1">{#N/A,#N/A,FALSE,"UNIT";#N/A,#N/A,FALSE,"UNIT";#N/A,#N/A,FALSE,"계정"}</definedName>
    <definedName name="dfdfg" hidden="1">{#N/A,#N/A,FALSE,"Aging Summary";#N/A,#N/A,FALSE,"Ratio Analysis";#N/A,#N/A,FALSE,"Test 120 Day Accts";#N/A,#N/A,FALSE,"Tickmarks"}</definedName>
    <definedName name="dfdfsfs" hidden="1">#REF!</definedName>
    <definedName name="DFHJ" hidden="1">{#N/A,#N/A,FALSE,"BS";#N/A,#N/A,FALSE,"PL";#N/A,#N/A,FALSE,"처분";#N/A,#N/A,FALSE,"현금";#N/A,#N/A,FALSE,"매출";#N/A,#N/A,FALSE,"원가";#N/A,#N/A,FALSE,"경영"}</definedName>
    <definedName name="dfvgfg" hidden="1">{#N/A,#N/A,FALSE,"BS";#N/A,#N/A,FALSE,"PL";#N/A,#N/A,FALSE,"처분";#N/A,#N/A,FALSE,"현금";#N/A,#N/A,FALSE,"매출";#N/A,#N/A,FALSE,"원가";#N/A,#N/A,FALSE,"경영"}</definedName>
    <definedName name="dkdk" hidden="1">{"'미착금액'!$A$4:$G$14"}</definedName>
    <definedName name="DOCK" hidden="1">#REF!</definedName>
    <definedName name="dqs" hidden="1">'[20]Monthly shipment_db'!#REF!</definedName>
    <definedName name="dsqf" hidden="1">'[20]Monthly shipment_db'!#REF!</definedName>
    <definedName name="ECART" hidden="1">{"Frgen",#N/A,FALSE,"A";"Résu",#N/A,FALSE,"A"}</definedName>
    <definedName name="eeee" hidden="1">{#N/A,#N/A,FALSE,"UNIT";#N/A,#N/A,FALSE,"UNIT";#N/A,#N/A,FALSE,"계정"}</definedName>
    <definedName name="eewewewe" hidden="1">{#N/A,#N/A,FALSE,"UNIT";#N/A,#N/A,FALSE,"UNIT";#N/A,#N/A,FALSE,"계정"}</definedName>
    <definedName name="eo" hidden="1">{#N/A,#N/A,FALSE,"BS";#N/A,#N/A,FALSE,"PL";#N/A,#N/A,FALSE,"처분";#N/A,#N/A,FALSE,"현금";#N/A,#N/A,FALSE,"매출";#N/A,#N/A,FALSE,"원가";#N/A,#N/A,FALSE,"경영"}</definedName>
    <definedName name="erw" hidden="1">#REF!</definedName>
    <definedName name="ERYIU" hidden="1">{#N/A,#N/A,FALSE,"BS";#N/A,#N/A,FALSE,"PL";#N/A,#N/A,FALSE,"처분";#N/A,#N/A,FALSE,"현금";#N/A,#N/A,FALSE,"매출";#N/A,#N/A,FALSE,"원가";#N/A,#N/A,FALSE,"경영"}</definedName>
    <definedName name="ez" hidden="1">'[20]Monthly shipment_db'!#REF!</definedName>
    <definedName name="fddf" hidden="1">{"celkový rozpočet - detail",#N/A,FALSE,"Aktualizace č. 1"}</definedName>
    <definedName name="FDDF1" hidden="1">{"celkový rozpočet - detail",#N/A,FALSE,"Aktualizace č. 1"}</definedName>
    <definedName name="ff" hidden="1">{#N/A,#N/A,FALSE,"BS";#N/A,#N/A,FALSE,"PL";#N/A,#N/A,FALSE,"A";#N/A,#N/A,FALSE,"B";#N/A,#N/A,FALSE,"B1";#N/A,#N/A,FALSE,"C";#N/A,#N/A,FALSE,"C1";#N/A,#N/A,FALSE,"C2";#N/A,#N/A,FALSE,"D";#N/A,#N/A,FALSE,"E";#N/A,#N/A,FALSE,"F";#N/A,#N/A,FALSE,"AA";#N/A,#N/A,FALSE,"BB";#N/A,#N/A,FALSE,"CC";#N/A,#N/A,FALSE,"DD";#N/A,#N/A,FALSE,"EE";#N/A,#N/A,FALSE,"FF";#N/A,#N/A,FALSE,"PL10";#N/A,#N/A,FALSE,"PL20";#N/A,#N/A,FALSE,"PL30"}</definedName>
    <definedName name="ffsgsdgsd" hidden="1">{#N/A,#N/A,FALSE,"Aging Summary";#N/A,#N/A,FALSE,"Ratio Analysis";#N/A,#N/A,FALSE,"Test 120 Day Accts";#N/A,#N/A,FALSE,"Tickmarks"}</definedName>
    <definedName name="fggfdfgf" hidden="1">{#N/A,#N/A,FALSE,"Aging Summary";#N/A,#N/A,FALSE,"Ratio Analysis";#N/A,#N/A,FALSE,"Test 120 Day Accts";#N/A,#N/A,FALSE,"Tickmarks"}</definedName>
    <definedName name="fghk" hidden="1">{#N/A,#N/A,TRUE,"Tar B.U";#N/A,#N/A,TRUE,"Teeraanleg";#N/A,#N/A,TRUE,"TeerHerverkope";#N/A,#N/A,TRUE,"Carbon B.U";#N/A,#N/A,TRUE,"Kooks";#N/A,#N/A,TRUE,"Herverkopekooks";#N/A,#N/A,TRUE,"Ferrite B.U";#N/A,#N/A,TRUE,"Lurgi";#N/A,#N/A,TRUE,"Magpowder";#N/A,#N/A,TRUE,"Trade";#N/A,#N/A,TRUE,"Nurock";#N/A,#N/A,TRUE,"Suprachem"}</definedName>
    <definedName name="ForecastPeriod" hidden="1">[21]Reference!$C$26:$F$40</definedName>
    <definedName name="FS" hidden="1">{#N/A,#N/A,FALSE,"BS";#N/A,#N/A,FALSE,"PL";#N/A,#N/A,FALSE,"처분";#N/A,#N/A,FALSE,"현금";#N/A,#N/A,FALSE,"매출";#N/A,#N/A,FALSE,"원가";#N/A,#N/A,FALSE,"경영"}</definedName>
    <definedName name="fsf" hidden="1">{#N/A,#N/A,FALSE,"BS";#N/A,#N/A,FALSE,"PL";#N/A,#N/A,FALSE,"처분";#N/A,#N/A,FALSE,"현금";#N/A,#N/A,FALSE,"매출";#N/A,#N/A,FALSE,"원가";#N/A,#N/A,FALSE,"경영"}</definedName>
    <definedName name="G" hidden="1">{#N/A,#N/A,TRUE,"RA_LS";#N/A,#N/A,TRUE,"CLES";#N/A,#N/A,TRUE,"Tonnes";#N/A,#N/A,TRUE,"ENTRETIEN";#N/A,#N/A,TRUE,"GROS TRAVAUX";#N/A,#N/A,TRUE,"AUTRES SERVICES";#N/A,#N/A,TRUE,"RETRAITEMENT DECHETS";#N/A,#N/A,TRUE,"CONSOMMABLES";#N/A,#N/A,TRUE,"ENERGIE";#N/A,#N/A,TRUE,"PERSONNEL";#N/A,#N/A,TRUE,"INTERESSEMENT";#N/A,#N/A,TRUE,"TAXE PRO";#N/A,#N/A,TRUE,"TAXE FONCIERE";#N/A,#N/A,TRUE,"TAXE SALAIRE";#N/A,#N/A,TRUE,"TAXES DIVERSES";#N/A,#N/A,TRUE,"AMORTISSEMENT";#N/A,#N/A,TRUE,"FRAIS SIEGE"}</definedName>
    <definedName name="getsuji" hidden="1">{#N/A,#N/A,FALSE,"Aging Summary";#N/A,#N/A,FALSE,"Ratio Analysis";#N/A,#N/A,FALSE,"Test 120 Day Accts";#N/A,#N/A,FALSE,"Tickmarks"}</definedName>
    <definedName name="gfgg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HGHGH" hidden="1">{"'미착금액'!$A$4:$G$14"}</definedName>
    <definedName name="gus" hidden="1">{#N/A,#N/A,TRUE,"Summary";#N/A,#N/A,TRUE,"IS";#N/A,#N/A,TRUE,"Adj";#N/A,#N/A,TRUE,"BS";#N/A,#N/A,TRUE,"CF";#N/A,#N/A,TRUE,"Debt";#N/A,#N/A,TRUE,"IRR"}</definedName>
    <definedName name="gusrmagmfma" hidden="1">{#N/A,#N/A,TRUE,"Summary";#N/A,#N/A,TRUE,"IS";#N/A,#N/A,TRUE,"Adj";#N/A,#N/A,TRUE,"BS";#N/A,#N/A,TRUE,"CF";#N/A,#N/A,TRUE,"Debt";#N/A,#N/A,TRUE,"IRR"}</definedName>
    <definedName name="GYIO" hidden="1">{#N/A,#N/A,FALSE,"BS";#N/A,#N/A,FALSE,"PL";#N/A,#N/A,FALSE,"처분";#N/A,#N/A,FALSE,"현금";#N/A,#N/A,FALSE,"매출";#N/A,#N/A,FALSE,"원가";#N/A,#N/A,FALSE,"경영"}</definedName>
    <definedName name="H" hidden="1">{#N/A,#N/A,FALSE,"Aging Summary";#N/A,#N/A,FALSE,"Ratio Analysis";#N/A,#N/A,FALSE,"Test 120 Day Accts";#N/A,#N/A,FALSE,"Tickmarks"}</definedName>
    <definedName name="hhh" hidden="1">{#N/A,#N/A,FALSE,"BS";#N/A,#N/A,FALSE,"PL";#N/A,#N/A,FALSE,"처분";#N/A,#N/A,FALSE,"현금";#N/A,#N/A,FALSE,"매출";#N/A,#N/A,FALSE,"원가";#N/A,#N/A,FALSE,"경영"}</definedName>
    <definedName name="hhm" hidden="1">{#N/A,#N/A,FALSE,"BS";#N/A,#N/A,FALSE,"PL";#N/A,#N/A,FALSE,"처분";#N/A,#N/A,FALSE,"현금";#N/A,#N/A,FALSE,"매출";#N/A,#N/A,FALSE,"원가";#N/A,#N/A,FALSE,"경영"}</definedName>
    <definedName name="HJ" hidden="1">{#N/A,#N/A,FALSE,"Sheet5"}</definedName>
    <definedName name="Houria" hidden="1">{"celkový rozpočet - detail",#N/A,FALSE,"Aktualizace č. 1"}</definedName>
    <definedName name="HTML_CodePage" hidden="1">1252</definedName>
    <definedName name="HTML_Control" hidden="1">{"'Sheet1'!$A$1:$H$145"}</definedName>
    <definedName name="html_control2" hidden="1">{"'Planning Data'!$A$2:$X$120"}</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"C:\YD1\MyHTML.htm"</definedName>
    <definedName name="HTML_PathFileMac" hidden="1">"Macintosh HD:HomePageStuff:New_Home_Page:datafile:ctryprem.html"</definedName>
    <definedName name="HTML_Title" hidden="1">"Country Risk Premiums"</definedName>
    <definedName name="HTML1_10" hidden="1">""</definedName>
    <definedName name="HTML1_11" hidden="1">1</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0" hidden="1">""</definedName>
    <definedName name="HTML10_11" hidden="1">1</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0" hidden="1">""</definedName>
    <definedName name="HTML11_11" hidden="1">1</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0" hidden="1">""</definedName>
    <definedName name="HTML12_11" hidden="1">1</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0" hidden="1">""</definedName>
    <definedName name="HTML13_11" hidden="1">1</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0" hidden="1">""</definedName>
    <definedName name="HTML14_11" hidden="1">1</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0" hidden="1">""</definedName>
    <definedName name="HTML15_11" hidden="1">1</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0" hidden="1">""</definedName>
    <definedName name="HTML16_11" hidden="1">1</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0" hidden="1">""</definedName>
    <definedName name="HTML17_11" hidden="1">1</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0" hidden="1">""</definedName>
    <definedName name="HTML18_11" hidden="1">1</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0" hidden="1">""</definedName>
    <definedName name="HTML19_11" hidden="1">1</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0" hidden="1">""</definedName>
    <definedName name="HTML2_11" hidden="1">1</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0" hidden="1">""</definedName>
    <definedName name="HTML20_11" hidden="1">1</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0" hidden="1">""</definedName>
    <definedName name="HTML21_11" hidden="1">1</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0" hidden="1">""</definedName>
    <definedName name="HTML22_11" hidden="1">1</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0" hidden="1">""</definedName>
    <definedName name="HTML23_11" hidden="1">1</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0" hidden="1">""</definedName>
    <definedName name="HTML24_11" hidden="1">1</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0" hidden="1">""</definedName>
    <definedName name="HTML25_11" hidden="1">1</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0" hidden="1">""</definedName>
    <definedName name="HTML26_11" hidden="1">1</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0" hidden="1">""</definedName>
    <definedName name="HTML27_11" hidden="1">1</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0" hidden="1">""</definedName>
    <definedName name="HTML28_11" hidden="1">1</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0" hidden="1">""</definedName>
    <definedName name="HTML29_11" hidden="1">1</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0" hidden="1">""</definedName>
    <definedName name="HTML3_11" hidden="1">1</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0" hidden="1">""</definedName>
    <definedName name="HTML30_11" hidden="1">1</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0" hidden="1">""</definedName>
    <definedName name="HTML4_11" hidden="1">1</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0" hidden="1">""</definedName>
    <definedName name="HTML5_11" hidden="1">1</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0" hidden="1">""</definedName>
    <definedName name="HTML6_11" hidden="1">1</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0" hidden="1">""</definedName>
    <definedName name="HTML7_11" hidden="1">1</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0" hidden="1">""</definedName>
    <definedName name="HTML8_11" hidden="1">1</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0" hidden="1">""</definedName>
    <definedName name="HTML9_11" hidden="1">1</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uji" hidden="1">{#N/A,#N/A,FALSE,"Aging Summary";#N/A,#N/A,FALSE,"Ratio Analysis";#N/A,#N/A,FALSE,"Test 120 Day Accts";#N/A,#N/A,FALSE,"Tickmarks"}</definedName>
    <definedName name="iii" hidden="1">{#N/A,#N/A,FALSE,"Aging Summary";#N/A,#N/A,FALSE,"Ratio Analysis";#N/A,#N/A,FALSE,"Test 120 Day Accts";#N/A,#N/A,FALSE,"Tickmarks"}</definedName>
    <definedName name="inabc" hidden="1">{#N/A,#N/A,FALSE,"Aging Summary";#N/A,#N/A,FALSE,"Ratio Analysis";#N/A,#N/A,FALSE,"Test 120 Day Accts";#N/A,#N/A,FALSE,"Tickmarks"}</definedName>
    <definedName name="Income" hidden="1">[1]act98!#REF!</definedName>
    <definedName name="Inter" hidden="1">{#N/A,#N/A,FALSE,"Aging Summary";#N/A,#N/A,FALSE,"Ratio Analysis";#N/A,#N/A,FALSE,"Test 120 Day Accts";#N/A,#N/A,FALSE,"Tickmarks"}</definedName>
    <definedName name="interest" hidden="1">{#N/A,#N/A,FALSE,"Aging Summary";#N/A,#N/A,FALSE,"Ratio Analysis";#N/A,#N/A,FALSE,"Test 120 Day Accts";#N/A,#N/A,FALSE,"Tickmarks"}</definedName>
    <definedName name="ip" hidden="1">{#N/A,#N/A,FALSE,"Aging Summary";#N/A,#N/A,FALSE,"Ratio Analysis";#N/A,#N/A,FALSE,"Test 120 Day Accts";#N/A,#N/A,FALSE,"Tickmarks"}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40073.5593518519</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39688.4225462963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 hidden="1">{#N/A,#N/A,TRUE,"RA_LS";#N/A,#N/A,TRUE,"CLES";#N/A,#N/A,TRUE,"Tonnes";#N/A,#N/A,TRUE,"ENTRETIEN";#N/A,#N/A,TRUE,"GROS TRAVAUX";#N/A,#N/A,TRUE,"AUTRES SERVICES";#N/A,#N/A,TRUE,"RETRAITEMENT DECHETS";#N/A,#N/A,TRUE,"CONSOMMABLES";#N/A,#N/A,TRUE,"ENERGIE";#N/A,#N/A,TRUE,"PERSONNEL";#N/A,#N/A,TRUE,"INTERESSEMENT";#N/A,#N/A,TRUE,"TAXE PRO";#N/A,#N/A,TRUE,"TAXE FONCIERE";#N/A,#N/A,TRUE,"TAXE SALAIRE";#N/A,#N/A,TRUE,"TAXES DIVERSES";#N/A,#N/A,TRUE,"AMORTISSEMENT";#N/A,#N/A,TRUE,"FRAIS SIEGE"}</definedName>
    <definedName name="jeld" hidden="1">{#N/A,#N/A,FALSE,"Sheet5"}</definedName>
    <definedName name="jeld2" hidden="1">{#N/A,#N/A,FALSE,"Sheet5"}</definedName>
    <definedName name="JIM" hidden="1">{#N/A,#N/A,FALSE,"Sheet5"}</definedName>
    <definedName name="ｊｊ" hidden="1">{#N/A,#N/A,FALSE,"Aging Summary";#N/A,#N/A,FALSE,"Ratio Analysis";#N/A,#N/A,FALSE,"Test 120 Day Accts";#N/A,#N/A,FALSE,"Tickmarks"}</definedName>
    <definedName name="ＪＪＪ" hidden="1">{#N/A,#N/A,FALSE,"Aging Summary";#N/A,#N/A,FALSE,"Ratio Analysis";#N/A,#N/A,FALSE,"Test 120 Day Accts";#N/A,#N/A,FALSE,"Tickmarks"}</definedName>
    <definedName name="jjjj" hidden="1">[22]LeadSchedule!#REF!</definedName>
    <definedName name="k" hidden="1">{#N/A,#N/A,TRUE,"RA_LS";#N/A,#N/A,TRUE,"CLES";#N/A,#N/A,TRUE,"Tonnes";#N/A,#N/A,TRUE,"ENTRETIEN";#N/A,#N/A,TRUE,"GROS TRAVAUX";#N/A,#N/A,TRUE,"AUTRES SERVICES";#N/A,#N/A,TRUE,"RETRAITEMENT DECHETS";#N/A,#N/A,TRUE,"CONSOMMABLES";#N/A,#N/A,TRUE,"ENERGIE";#N/A,#N/A,TRUE,"PERSONNEL";#N/A,#N/A,TRUE,"INTERESSEMENT";#N/A,#N/A,TRUE,"TAXE PRO";#N/A,#N/A,TRUE,"TAXE FONCIERE";#N/A,#N/A,TRUE,"TAXE SALAIRE";#N/A,#N/A,TRUE,"TAXES DIVERSES";#N/A,#N/A,TRUE,"AMORTISSEMENT";#N/A,#N/A,TRUE,"FRAIS SIEGE"}</definedName>
    <definedName name="kkjii" hidden="1">{#N/A,#N/A,FALSE,"Aging Summary";#N/A,#N/A,FALSE,"Ratio Analysis";#N/A,#N/A,FALSE,"Test 120 Day Accts";#N/A,#N/A,FALSE,"Tickmarks"}</definedName>
    <definedName name="kkk" hidden="1">{#N/A,#N/A,FALSE,"Aging Summary";#N/A,#N/A,FALSE,"Ratio Analysis";#N/A,#N/A,FALSE,"Test 120 Day Accts";#N/A,#N/A,FALSE,"Tickmarks"}</definedName>
    <definedName name="kkkk" hidden="1">{#N/A,#N/A,FALSE,"BS";#N/A,#N/A,FALSE,"PL";#N/A,#N/A,FALSE,"처분";#N/A,#N/A,FALSE,"현금";#N/A,#N/A,FALSE,"매출";#N/A,#N/A,FALSE,"원가";#N/A,#N/A,FALSE,"경영"}</definedName>
    <definedName name="KL" hidden="1">{#N/A,#N/A,FALSE,"BS";#N/A,#N/A,FALSE,"PL";#N/A,#N/A,FALSE,"처분";#N/A,#N/A,FALSE,"현금";#N/A,#N/A,FALSE,"매출";#N/A,#N/A,FALSE,"원가";#N/A,#N/A,FALSE,"경영"}</definedName>
    <definedName name="l" hidden="1">{#N/A,#N/A,FALSE,"현장 NCR 분석";#N/A,#N/A,FALSE,"현장품질감사";#N/A,#N/A,FALSE,"현장품질감사"}</definedName>
    <definedName name="lee" hidden="1">{#N/A,#N/A,FALSE,"Sheet5"}</definedName>
    <definedName name="ListOffset" hidden="1">1</definedName>
    <definedName name="ljh" hidden="1">{#N/A,#N/A,FALSE,"Sheet5"}</definedName>
    <definedName name="lll" hidden="1">{#N/A,#N/A,FALSE,"Aging Summary";#N/A,#N/A,FALSE,"Ratio Analysis";#N/A,#N/A,FALSE,"Test 120 Day Accts";#N/A,#N/A,FALSE,"Tickmarks"}</definedName>
    <definedName name="m" hidden="1">[23]INMD1198!$B$30</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n" hidden="1">{#N/A,#N/A,FALSE,"UNIT";#N/A,#N/A,FALSE,"UNIT";#N/A,#N/A,FALSE,"계정"}</definedName>
    <definedName name="MP" hidden="1">{#N/A,#N/A,FALSE,"BS";#N/A,#N/A,FALSE,"PL";#N/A,#N/A,FALSE,"처분";#N/A,#N/A,FALSE,"현금";#N/A,#N/A,FALSE,"매출";#N/A,#N/A,FALSE,"원가";#N/A,#N/A,FALSE,"경영"}</definedName>
    <definedName name="mse" hidden="1">{#N/A,#N/A,FALSE,"BS";#N/A,#N/A,FALSE,"PL";#N/A,#N/A,FALSE,"처분";#N/A,#N/A,FALSE,"현금";#N/A,#N/A,FALSE,"매출";#N/A,#N/A,FALSE,"원가";#N/A,#N/A,FALSE,"경영"}</definedName>
    <definedName name="Mseok" hidden="1">{#N/A,#N/A,FALSE,"BS";#N/A,#N/A,FALSE,"PL";#N/A,#N/A,FALSE,"처분";#N/A,#N/A,FALSE,"현금";#N/A,#N/A,FALSE,"매출";#N/A,#N/A,FALSE,"원가";#N/A,#N/A,FALSE,"경영"}</definedName>
    <definedName name="N096자료" hidden="1">#REF!</definedName>
    <definedName name="nn" hidden="1">{#N/A,#N/A,FALSE,"Sheet1"}</definedName>
    <definedName name="NNN" hidden="1">{#N/A,#N/A,FALSE,"Aging Summary";#N/A,#N/A,FALSE,"Ratio Analysis";#N/A,#N/A,FALSE,"Test 120 Day Accts";#N/A,#N/A,FALSE,"Tickmarks"}</definedName>
    <definedName name="Nov_Dec_2003_MRF" hidden="1">{#N/A,#N/A,FALSE,"Sheet1"}</definedName>
    <definedName name="o" hidden="1">{#N/A,#N/A,FALSE,"New Depr Sch-150% DB";#N/A,#N/A,FALSE,"Cash Flows RLP";#N/A,#N/A,FALSE,"IRR";#N/A,#N/A,FALSE,"Proforma IS";#N/A,#N/A,FALSE,"Assumptions"}</definedName>
    <definedName name="oo" hidden="1">{#N/A,#N/A,FALSE,"Aging Summary";#N/A,#N/A,FALSE,"Ratio Analysis";#N/A,#N/A,FALSE,"Test 120 Day Accts";#N/A,#N/A,FALSE,"Tickmarks"}</definedName>
    <definedName name="ownership" hidden="1">{#N/A,#N/A,TRUE,"Summary";#N/A,#N/A,TRUE,"IS";#N/A,#N/A,TRUE,"Adj";#N/A,#N/A,TRUE,"BS";#N/A,#N/A,TRUE,"CF";#N/A,#N/A,TRUE,"Debt";#N/A,#N/A,TRUE,"IRR"}</definedName>
    <definedName name="ownership2" hidden="1">{#N/A,#N/A,TRUE,"Summary";#N/A,#N/A,TRUE,"IS";#N/A,#N/A,TRUE,"Adj";#N/A,#N/A,TRUE,"BS";#N/A,#N/A,TRUE,"CF";#N/A,#N/A,TRUE,"Debt";#N/A,#N/A,TRUE,"IRR"}</definedName>
    <definedName name="p2p" hidden="1">{#N/A,#N/A,FALSE,"Aging Summary";#N/A,#N/A,FALSE,"Ratio Analysis";#N/A,#N/A,FALSE,"Test 120 Day Accts";#N/A,#N/A,FALSE,"Tickmarks"}</definedName>
    <definedName name="Plante" hidden="1">{#N/A,#N/A,FALSE,"Tabl. G1";#N/A,#N/A,FALSE,"Tabl. G2"}</definedName>
    <definedName name="pluie" hidden="1">{#N/A,#N/A,FALSE,"Tabl. H1";#N/A,#N/A,FALSE,"Tabl. H2"}</definedName>
    <definedName name="pod" hidden="1">{#N/A,#N/A,FALSE,"Aging Summary";#N/A,#N/A,FALSE,"Ratio Analysis";#N/A,#N/A,FALSE,"Test 120 Day Accts";#N/A,#N/A,FALSE,"Tickmarks"}</definedName>
    <definedName name="ppp" hidden="1">{#N/A,#N/A,FALSE,"Aging Summary";#N/A,#N/A,FALSE,"Ratio Analysis";#N/A,#N/A,FALSE,"Test 120 Day Accts";#N/A,#N/A,FALSE,"Tickmarks"}</definedName>
    <definedName name="pppp" hidden="1">{#N/A,#N/A,FALSE,"UNIT";#N/A,#N/A,FALSE,"UNIT";#N/A,#N/A,FALSE,"계정"}</definedName>
    <definedName name="_xlnm.Print_Area" localSheetId="1">Transaction!$A$1:$AH$45</definedName>
    <definedName name="pwc" hidden="1">{#N/A,#N/A,FALSE,"Aging Summary";#N/A,#N/A,FALSE,"Ratio Analysis";#N/A,#N/A,FALSE,"Test 120 Day Accts";#N/A,#N/A,FALSE,"Tickmarks"}</definedName>
    <definedName name="qa" hidden="1">{#N/A,#N/A,FALSE,"UNIT";#N/A,#N/A,FALSE,"UNIT";#N/A,#N/A,FALSE,"계정"}</definedName>
    <definedName name="qqq" hidden="1">{#N/A,#N/A,FALSE,"Aging Summary";#N/A,#N/A,FALSE,"Ratio Analysis";#N/A,#N/A,FALSE,"Test 120 Day Accts";#N/A,#N/A,FALSE,"Tickmarks"}</definedName>
    <definedName name="qqqq" hidden="1">{#N/A,#N/A,FALSE,"Aging Summary";#N/A,#N/A,FALSE,"Ratio Analysis";#N/A,#N/A,FALSE,"Test 120 Day Accts";#N/A,#N/A,FALSE,"Tickmarks"}</definedName>
    <definedName name="qw" hidden="1">{#N/A,#N/A,FALSE,"Tabl. D1";#N/A,#N/A,FALSE,"Tabl. D1 b";#N/A,#N/A,FALSE,"Tabl. D2";#N/A,#N/A,FALSE,"Tabl. D2 b";#N/A,#N/A,FALSE,"Tabl. D3";#N/A,#N/A,FALSE,"Tabl. D4";#N/A,#N/A,FALSE,"Tabl. D5"}</definedName>
    <definedName name="qwqwqwww" hidden="1">{#N/A,#N/A,FALSE,"UNIT";#N/A,#N/A,FALSE,"UNIT";#N/A,#N/A,FALSE,"계정"}</definedName>
    <definedName name="qwqwwww" hidden="1">{#N/A,#N/A,FALSE,"UNIT";#N/A,#N/A,FALSE,"UNIT";#N/A,#N/A,FALSE,"계정"}</definedName>
    <definedName name="qwwqwqw" hidden="1">{#N/A,#N/A,FALSE,"UNIT";#N/A,#N/A,FALSE,"UNIT";#N/A,#N/A,FALSE,"계정"}</definedName>
    <definedName name="RACHID" hidden="1">{#N/A,#N/A,FALSE,"Aging Summary";#N/A,#N/A,FALSE,"Ratio Analysis";#N/A,#N/A,FALSE,"Test 120 Day Accts";#N/A,#N/A,FALSE,"Tickmarks"}</definedName>
    <definedName name="Rel" hidden="1">{#N/A,#N/A,FALSE,"Aging Summary";#N/A,#N/A,FALSE,"Ratio Analysis";#N/A,#N/A,FALSE,"Test 120 Day Accts";#N/A,#N/A,FALSE,"Tickmarks"}</definedName>
    <definedName name="RESDEVF" hidden="1">{"Frgen",#N/A,FALSE,"A";"Résu",#N/A,FALSE,"A"}</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KSK" hidden="1">[24]시산표!#REF!</definedName>
    <definedName name="rrr" hidden="1">{#N/A,#N/A,FALSE,"UNIT";#N/A,#N/A,FALSE,"UNIT";#N/A,#N/A,FALSE,"계정"}</definedName>
    <definedName name="RT" hidden="1">{#N/A,#N/A,FALSE,"Sheet5"}</definedName>
    <definedName name="rtty" hidden="1">{#N/A,#N/A,FALSE,"UNIT";#N/A,#N/A,FALSE,"UNIT";#N/A,#N/A,FALSE,"계정"}</definedName>
    <definedName name="SAPBEXdnldView" hidden="1">"CNTE4NCC5UP5VYZI32WLHTTTX"</definedName>
    <definedName name="SAPBEXhrIndnt" hidden="1">"Wide"</definedName>
    <definedName name="SAPBEXrevision" hidden="1">11</definedName>
    <definedName name="SAPBEXsysID" hidden="1">"PB1"</definedName>
    <definedName name="SAPBEXwbID" hidden="1">"3VRCAQLKKEVQ271KM29O91AKZ"</definedName>
    <definedName name="SAPsysID" hidden="1">"708C5W7SBKP804JT78WJ0JNKI"</definedName>
    <definedName name="SAPwbID" hidden="1">"ARS"</definedName>
    <definedName name="sd" hidden="1">[1]D!#REF!</definedName>
    <definedName name="sdf" hidden="1">{#N/A,#N/A,FALSE,"BS";#N/A,#N/A,FALSE,"PL";#N/A,#N/A,FALSE,"처분";#N/A,#N/A,FALSE,"현금";#N/A,#N/A,FALSE,"매출";#N/A,#N/A,FALSE,"원가";#N/A,#N/A,FALSE,"경영"}</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encount" hidden="1">2</definedName>
    <definedName name="sheet" hidden="1">{#N/A,#N/A,FALSE,"UNIT";#N/A,#N/A,FALSE,"UNIT";#N/A,#N/A,FALSE,"계정"}</definedName>
    <definedName name="shit" hidden="1">{#N/A,#N/A,FALSE,"Aging Summary";#N/A,#N/A,FALSE,"Ratio Analysis";#N/A,#N/A,FALSE,"Test 120 Day Accts";#N/A,#N/A,FALSE,"Tickmarks"}</definedName>
    <definedName name="shit1" hidden="1">{#N/A,#N/A,FALSE,"Aging Summary";#N/A,#N/A,FALSE,"Ratio Analysis";#N/A,#N/A,FALSE,"Test 120 Day Accts";#N/A,#N/A,FALSE,"Tickmarks"}</definedName>
    <definedName name="si" hidden="1">{#N/A,#N/A,FALSE,"Aging Summary";#N/A,#N/A,FALSE,"Ratio Analysis";#N/A,#N/A,FALSE,"Test 120 Day Accts";#N/A,#N/A,FALSE,"Tickmarks"}</definedName>
    <definedName name="Smlouvy" hidden="1">{"celkový rozpočet - detail",#N/A,FALSE,"Aktualizace č. 1"}</definedName>
    <definedName name="solver_lin" hidden="1">0</definedName>
    <definedName name="solver_num" hidden="1">0</definedName>
    <definedName name="solver_typ" hidden="1">3</definedName>
    <definedName name="solver_val" hidden="1">0.6</definedName>
    <definedName name="SORT" hidden="1">[25]MAT!$B$9:$L$165</definedName>
    <definedName name="sp" hidden="1">{#N/A,#N/A,FALSE,"Aging Summary";#N/A,#N/A,FALSE,"Ratio Analysis";#N/A,#N/A,FALSE,"Test 120 Day Accts";#N/A,#N/A,FALSE,"Tickmarks"}</definedName>
    <definedName name="srad" hidden="1">{#N/A,#N/A,FALSE,"Aging Summary";#N/A,#N/A,FALSE,"Ratio Analysis";#N/A,#N/A,FALSE,"Test 120 Day Accts";#N/A,#N/A,FALSE,"Tickmarks"}</definedName>
    <definedName name="srf" hidden="1">{#N/A,#N/A,FALSE,"BS";#N/A,#N/A,FALSE,"PL";#N/A,#N/A,FALSE,"처분";#N/A,#N/A,FALSE,"현금";#N/A,#N/A,FALSE,"매출";#N/A,#N/A,FALSE,"원가";#N/A,#N/A,FALSE,"경영"}</definedName>
    <definedName name="ssss" hidden="1">{#N/A,#N/A,FALSE,"BS";#N/A,#N/A,FALSE,"PL";#N/A,#N/A,FALSE,"처분";#N/A,#N/A,FALSE,"현금";#N/A,#N/A,FALSE,"매출";#N/A,#N/A,FALSE,"원가";#N/A,#N/A,FALSE,"경영"}</definedName>
    <definedName name="SUM" hidden="1">[26]Sheet2!#REF!</definedName>
    <definedName name="t.t.t" hidden="1">{"賃貸事例比較法",#N/A,FALSE,"Sheet2";"賃貸条件",#N/A,FALSE,"Sheet2"}</definedName>
    <definedName name="tab" hidden="1">{#N/A,#N/A,FALSE,"Tabl. G1";#N/A,#N/A,FALSE,"Tabl. G2"}</definedName>
    <definedName name="TABL00" hidden="1">{#N/A,#N/A,FALSE,"Tabl. D1";#N/A,#N/A,FALSE,"Tabl. D1 b";#N/A,#N/A,FALSE,"Tabl. D2";#N/A,#N/A,FALSE,"Tabl. D2 b";#N/A,#N/A,FALSE,"Tabl. D3";#N/A,#N/A,FALSE,"Tabl. D4";#N/A,#N/A,FALSE,"Tabl. D5"}</definedName>
    <definedName name="tableé" hidden="1">{#N/A,#N/A,FALSE,"Tabl. G1";#N/A,#N/A,FALSE,"Tabl. G2"}</definedName>
    <definedName name="tbd" hidden="1">{#N/A,#N/A,FALSE,"Aging Summary";#N/A,#N/A,FALSE,"Ratio Analysis";#N/A,#N/A,FALSE,"Test 120 Day Accts";#N/A,#N/A,FALSE,"Tickmarks"}</definedName>
    <definedName name="TemplateVersion" hidden="1">[21]Reference!$C$4</definedName>
    <definedName name="test" hidden="1">{#N/A,#N/A,FALSE,"Aging Summary";#N/A,#N/A,FALSE,"Ratio Analysis";#N/A,#N/A,FALSE,"Test 120 Day Accts";#N/A,#N/A,FALSE,"Tickmarks"}</definedName>
    <definedName name="TextRefCopyRangeCount" hidden="1">11</definedName>
    <definedName name="thsdorlsf" hidden="1">{"'분양원가'!$B$1:$F$113"}</definedName>
    <definedName name="title" hidden="1">{#N/A,#N/A,FALSE,"Sheet5"}</definedName>
    <definedName name="titoi"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TKTKTK" hidden="1">{"'미착금액'!$A$4:$G$14"}</definedName>
    <definedName name="TLF" hidden="1">{"'10_03일자별'!$A$2:$H$31"}</definedName>
    <definedName name="toto"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tr" hidden="1">{"USGV",#N/A,FALSE,"S-USGV"}</definedName>
    <definedName name="ttt" hidden="1">{#N/A,#N/A,FALSE,"Aging Summary";#N/A,#N/A,FALSE,"Ratio Analysis";#N/A,#N/A,FALSE,"Test 120 Day Accts";#N/A,#N/A,FALSE,"Tickmarks"}</definedName>
    <definedName name="ttt_1" hidden="1">{#N/A,#N/A,FALSE,"Aging Summary";#N/A,#N/A,FALSE,"Ratio Analysis";#N/A,#N/A,FALSE,"Test 120 Day Accts";#N/A,#N/A,FALSE,"Tickmarks"}</definedName>
    <definedName name="tttttttttt" hidden="1">{#N/A,#N/A,FALSE,"Tabl. D1";#N/A,#N/A,FALSE,"Tabl. D1 b";#N/A,#N/A,FALSE,"Tabl. D2";#N/A,#N/A,FALSE,"Tabl. D2 b";#N/A,#N/A,FALSE,"Tabl. D3";#N/A,#N/A,FALSE,"Tabl. D4";#N/A,#N/A,FALSE,"Tabl. D5"}</definedName>
    <definedName name="ty" hidden="1">{"MDE",#N/A,FALSE,"S-MDE"}</definedName>
    <definedName name="u" hidden="1">{#N/A,#N/A,FALSE,"현장 NCR 분석";#N/A,#N/A,FALSE,"현장품질감사";#N/A,#N/A,FALSE,"현장품질감사"}</definedName>
    <definedName name="uis" hidden="1">{#N/A,#N/A,FALSE,"Aging Summary";#N/A,#N/A,FALSE,"Ratio Analysis";#N/A,#N/A,FALSE,"Test 120 Day Accts";#N/A,#N/A,FALSE,"Tickmarks"}</definedName>
    <definedName name="ùùùùù" hidden="1">{#N/A,#N/A,FALSE,"Tabl. G1";#N/A,#N/A,FALSE,"Tabl. G2"}</definedName>
    <definedName name="v" hidden="1">{#N/A,#N/A,FALSE,"BS";#N/A,#N/A,FALSE,"PL";#N/A,#N/A,FALSE,"처분";#N/A,#N/A,FALSE,"현금";#N/A,#N/A,FALSE,"매출";#N/A,#N/A,FALSE,"원가";#N/A,#N/A,FALSE,"경영"}</definedName>
    <definedName name="VANES" hidden="1">{#N/A,#N/A,FALSE,"Tabl. A1";#N/A,#N/A,FALSE,"Tabl. A1 b";#N/A,#N/A,FALSE,"Tabl. A2";#N/A,#N/A,FALSE,"Tabl. A2-1";#N/A,#N/A,FALSE,"Tabl. A2-2"}</definedName>
    <definedName name="vannes" hidden="1">{#N/A,#N/A,FALSE,"Tabl. G1";#N/A,#N/A,FALSE,"Tabl. G2"}</definedName>
    <definedName name="ver" hidden="1">{#N/A,#N/A,FALSE,"Aging Summary";#N/A,#N/A,FALSE,"Ratio Analysis";#N/A,#N/A,FALSE,"Test 120 Day Accts";#N/A,#N/A,FALSE,"Tickmarks"}</definedName>
    <definedName name="wewdew" hidden="1">{#N/A,#N/A,FALSE,"UNIT";#N/A,#N/A,FALSE,"UNIT";#N/A,#N/A,FALSE,"계정"}</definedName>
    <definedName name="wewe" hidden="1">[1]D!#REF!</definedName>
    <definedName name="wewewew" hidden="1">{#N/A,#N/A,FALSE,"UNIT";#N/A,#N/A,FALSE,"UNIT";#N/A,#N/A,FALSE,"계정"}</definedName>
    <definedName name="wewewewewwww" hidden="1">{#N/A,#N/A,FALSE,"UNIT";#N/A,#N/A,FALSE,"UNIT";#N/A,#N/A,FALSE,"계정"}</definedName>
    <definedName name="wewewewwwww" hidden="1">{#N/A,#N/A,FALSE,"UNIT";#N/A,#N/A,FALSE,"UNIT";#N/A,#N/A,FALSE,"계정"}</definedName>
    <definedName name="wjd" hidden="1">[27]MAT_N048!#REF!</definedName>
    <definedName name="wkgk" hidden="1">{#N/A,#N/A,FALSE,"BS";#N/A,#N/A,FALSE,"PL";#N/A,#N/A,FALSE,"처분";#N/A,#N/A,FALSE,"현금";#N/A,#N/A,FALSE,"매출";#N/A,#N/A,FALSE,"원가";#N/A,#N/A,FALSE,"경영"}</definedName>
    <definedName name="wnkllwk" hidden="1">{"'Sheet1'!$A$1:$H$36"}</definedName>
    <definedName name="Workcap4" hidden="1">{#N/A,#N/A,FALSE,"Aging Summary";#N/A,#N/A,FALSE,"Ratio Analysis";#N/A,#N/A,FALSE,"Test 120 Day Accts";#N/A,#N/A,FALSE,"Tickmarks"}</definedName>
    <definedName name="working_capital" hidden="1">{#N/A,#N/A,FALSE,"Aging Summary";#N/A,#N/A,FALSE,"Ratio Analysis";#N/A,#N/A,FALSE,"Test 120 Day Accts";#N/A,#N/A,FALSE,"Tickmarks"}</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aa." hidden="1">{#N/A,#N/A,FALSE,"UNIT";#N/A,#N/A,FALSE,"UNIT";#N/A,#N/A,FALSE,"계정"}</definedName>
    <definedName name="wrn.AANBIEDING." hidden="1">{#N/A,#N/A,FALSE,"Besr Frek Graph";#N/A,#N/A,FALSE,"OMV Verslag Graf";#N/A,#N/A,FALSE,"Klagtes Graf";#N/A,#N/A,FALSE,"KV - Kostes Graf"}</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LL._.REPORTS." hidden="1">{#N/A,#N/A,FALSE,"Raw Materials - 1430";#N/A,#N/A,FALSE,"Semi-Finished - 1420";#N/A,#N/A,FALSE,"Finished - 1400";#N/A,#N/A,FALSE,"Home Scrap &amp; Molds";#N/A,#N/A,FALSE,"Aging Reserves";#N/A,#N/A,FALSE,"Variance Summary";#N/A,#N/A,FALSE,"Sales"}</definedName>
    <definedName name="wrn.Basic._.Report." hidden="1">{#N/A,#N/A,FALSE,"New Depr Sch-150% DB";#N/A,#N/A,FALSE,"Cash Flows RLP";#N/A,#N/A,FALSE,"IRR";#N/A,#N/A,FALSE,"Proforma IS";#N/A,#N/A,FALSE,"Assumptions"}</definedName>
    <definedName name="wrn.Bedryf._.Weekverslag." hidden="1">{#N/A,#N/A,FALSE,"Voorblad";#N/A,#N/A,FALSE,"KW Grafieke";#N/A,#N/A,FALSE,"MW Grafieke";#N/A,#N/A,FALSE,"DW Grafieke";#N/A,#N/A,FALSE,"SW Grafieke";#N/A,#N/A,FALSE,"Prod Teg Grafieke"}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OOK1.XLS." hidden="1">{#N/A,#N/A,FALSE,"Sheet1"}</definedName>
    <definedName name="wrn.CASH." hidden="1">{#N/A,#N/A,FALSE,"Sheet5"}</definedName>
    <definedName name="wrn.celkový._.tisk._.detail." hidden="1">{"celkový rozpočet - detail",#N/A,FALSE,"Aktualizace č. 1"}</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wrn.Complete._.Report." hidden="1">{#N/A,#N/A,FALSE,"Assumptions";#N/A,#N/A,FALSE,"Proforma IS";#N/A,#N/A,FALSE,"Cash Flows RLP";#N/A,#N/A,FALSE,"IRR";#N/A,#N/A,FALSE,"New Depr Sch-150% DB";#N/A,#N/A,FALSE,"Comments"}</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osdevl." hidden="1">{"Frgen",#N/A,FALSE,"A";"Résu",#N/A,FALSE,"A"}</definedName>
    <definedName name="wrn.DosPM." hidden="1">{"FrgénEst",#N/A,FALSE,"A";"RésuEst",#N/A,FALSE,"A"}</definedName>
    <definedName name="wrn.Druk._.Totale._.Begroting." hidden="1">{#N/A,#N/A,TRUE,"Suprachem Intern";#N/A,#N/A,TRUE,"Suprachem";#N/A,#N/A,TRUE,"Teeraanleg";#N/A,#N/A,TRUE,"B.T.X. Aanleg";#N/A,#N/A,TRUE,"Depot";#N/A,#N/A,TRUE,"Kooks";#N/A,#N/A,TRUE,"Korrelslak";#N/A,#N/A,TRUE,"Lurgi";#N/A,#N/A,TRUE,"Herverkope";#N/A,#N/A,TRUE,"Magneetpoeier Aanleg";#N/A,#N/A,TRUE,"Verdeling van H.K. koste"}</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VE._.YEAR._.PROJECTION." hidden="1">{"FIVEYEAR",#N/A,TRUE,"SUMMARY";"FIVEYEAR",#N/A,TRUE,"Ratios";"FIVEYEAR",#N/A,TRUE,"Revenue";"FIVEYEAR",#N/A,TRUE,"DETAIL";"FIVEYEAR",#N/A,TRUE,"Payroll"}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ntfinance." hidden="1">{"Rate",#N/A,TRUE,"SUMMARY";"Ratios",#N/A,TRUE,"Ratios";"BUDGETREVENUE",#N/A,TRUE,"Revenue";"TOTALS",#N/A,TRUE,"DETAIL"}</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int." hidden="1">{#N/A,#N/A,FALSE,"Japan 2003";#N/A,#N/A,FALSE,"Sheet2"}</definedName>
    <definedName name="wrn.PrintAll." hidden="1">{#N/A,#N/A,TRUE,"Summary";#N/A,#N/A,TRUE,"IS";#N/A,#N/A,TRUE,"Adj";#N/A,#N/A,TRUE,"BS";#N/A,#N/A,TRUE,"CF";#N/A,#N/A,TRUE,"Debt";#N/A,#N/A,TRUE,"IRR"}</definedName>
    <definedName name="wrn.Reed." hidden="1">{#N/A,#N/A,TRUE,"Fuels";#N/A,#N/A,TRUE,"HPLPstm";#N/A,#N/A,TRUE,"LPstm"}</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s." hidden="1">{#N/A,#N/A,TRUE,"O2_r";#N/A,#N/A,TRUE,"N2_r";#N/A,#N/A,TRUE,"H2_r";#N/A,#N/A,TRUE,"NG_r";#N/A,#N/A,TRUE,"MG_r";#N/A,#N/A,TRUE,"BFG_r";#N/A,#N/A,TRUE,"FO_r";#N/A,#N/A,TRUE,"HPS_r";#N/A,#N/A,TRUE,"LPS_r"}</definedName>
    <definedName name="wrn.Revs." hidden="1">{"Base_rev",#N/A,FALSE,"Proj_IS_Base";"Projrev",#N/A,FALSE,"Proj_IS_wOTLC";"Delta",#N/A,FALSE,"Delta Rev_PV"}</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um." hidden="1">{"Opsys",#N/A,FALSE,"NPV_OPsys";"NT",#N/A,FALSE,"NPV_NT";"DevP",#N/A,FALSE,"NPV_DevPdt";"Office",#N/A,FALSE,"NPV_Office"}</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Weekly." hidden="1">{#N/A,#N/A,FALSE,"BF";#N/A,#N/A,FALSE,"BOP";#N/A,#N/A,FALSE,"SS";#N/A,#N/A,FALSE,"TM";#N/A,#N/A,FALSE,"SM";#N/A,#N/A,FALSE,"BF1";#N/A,#N/A,FALSE,"BOP1"}</definedName>
    <definedName name="wrn.テスト." hidden="1">{"賃貸事例比較法",#N/A,FALSE,"Sheet2";"賃貸条件",#N/A,FALSE,"Sheet2"}</definedName>
    <definedName name="wrn.간단한세무조정계산서." hidden="1">{#N/A,#N/A,TRUE,"일반적사항";#N/A,#N/A,TRUE,"주요재무자료"}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유형자산." hidden="1">{#N/A,#N/A,FALSE,"Sheet1"}</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현장._.NCR._.분석." hidden="1">{#N/A,#N/A,FALSE,"현장 NCR 분석";#N/A,#N/A,FALSE,"현장품질감사";#N/A,#N/A,FALSE,"현장품질감사"}</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w" hidden="1">{#N/A,#N/A,FALSE,"UNIT";#N/A,#N/A,FALSE,"UNIT";#N/A,#N/A,FALSE,"계정"}</definedName>
    <definedName name="ww.Rele" hidden="1">{#N/A,#N/A,FALSE,"Title Page";#N/A,#N/A,FALSE,"Conclusions";#N/A,#N/A,FALSE,"Assum.";#N/A,#N/A,FALSE,"Sun  DCF-WC-Dep";#N/A,#N/A,FALSE,"MarketValue";#N/A,#N/A,FALSE,"BalSheet";#N/A,#N/A,FALSE,"WACC";#N/A,#N/A,FALSE,"PC+ Info.";#N/A,#N/A,FALSE,"PC+Info_2"}</definedName>
    <definedName name="wwew" hidden="1">{#N/A,#N/A,FALSE,"UNIT";#N/A,#N/A,FALSE,"UNIT";#N/A,#N/A,FALSE,"계정"}</definedName>
    <definedName name="wwewewewe" hidden="1">{#N/A,#N/A,TRUE,"Summary";#N/A,#N/A,TRUE,"IS";#N/A,#N/A,TRUE,"Adj";#N/A,#N/A,TRUE,"BS";#N/A,#N/A,TRUE,"CF";#N/A,#N/A,TRUE,"Debt";#N/A,#N/A,TRUE,"IRR"}</definedName>
    <definedName name="wwewww" hidden="1">{#N/A,#N/A,FALSE,"UNIT";#N/A,#N/A,FALSE,"UNIT";#N/A,#N/A,FALSE,"계정"}</definedName>
    <definedName name="www" hidden="1">{#N/A,#N/A,FALSE,"UNIT";#N/A,#N/A,FALSE,"UNIT";#N/A,#N/A,FALSE,"계정"}</definedName>
    <definedName name="wwwww" hidden="1">{#N/A,#N/A,FALSE,"UNIT";#N/A,#N/A,FALSE,"UNIT";#N/A,#N/A,FALSE,"계정"}</definedName>
    <definedName name="wwwwww" hidden="1">{#N/A,#N/A,FALSE,"UNIT";#N/A,#N/A,FALSE,"UNIT";#N/A,#N/A,FALSE,"계정"}</definedName>
    <definedName name="wwwwwww" hidden="1">{#N/A,#N/A,FALSE,"UNIT";#N/A,#N/A,FALSE,"UNIT";#N/A,#N/A,FALSE,"계정"}</definedName>
    <definedName name="wwwwwwww" hidden="1">{#N/A,#N/A,FALSE,"UNIT";#N/A,#N/A,FALSE,"UNIT";#N/A,#N/A,FALSE,"계정"}</definedName>
    <definedName name="wwwwwwwwdw" hidden="1">{#N/A,#N/A,FALSE,"UNIT";#N/A,#N/A,FALSE,"UNIT";#N/A,#N/A,FALSE,"계정"}</definedName>
    <definedName name="wwwwwwwww" hidden="1">{#N/A,#N/A,FALSE,"UNIT";#N/A,#N/A,FALSE,"UNIT";#N/A,#N/A,FALSE,"계정"}</definedName>
    <definedName name="wwwwwwwwwwww" hidden="1">{#N/A,#N/A,FALSE,"UNIT";#N/A,#N/A,FALSE,"UNIT";#N/A,#N/A,FALSE,"계정"}</definedName>
    <definedName name="wwwwwwwwwwwwwww" hidden="1">{#N/A,#N/A,FALSE,"UNIT";#N/A,#N/A,FALSE,"UNIT";#N/A,#N/A,FALSE,"계정"}</definedName>
    <definedName name="XREF_COLUMN_1" hidden="1">#REF!</definedName>
    <definedName name="XREF_COLUMN_10" hidden="1">#REF!</definedName>
    <definedName name="XREF_COLUMN_11" hidden="1">#REF!</definedName>
    <definedName name="XREF_COLUMN_12" hidden="1">#REF!</definedName>
    <definedName name="XREF_COLUMN_13" hidden="1">[28]현금및예치금집계표!#REF!</definedName>
    <definedName name="XREF_COLUMN_14" hidden="1">[29]lead!#REF!</definedName>
    <definedName name="XREF_COLUMN_18" hidden="1">#REF!</definedName>
    <definedName name="XREF_COLUMN_2" hidden="1">#REF!</definedName>
    <definedName name="XREF_COLUMN_20" hidden="1">[30]이자수익OVERALL!#REF!</definedName>
    <definedName name="XREF_COLUMN_3" hidden="1">[31]F3!#REF!</definedName>
    <definedName name="XREF_COLUMN_4" hidden="1">#REF!</definedName>
    <definedName name="XREF_COLUMN_5" hidden="1">#REF!</definedName>
    <definedName name="XREF_COLUMN_6" hidden="1">#REF!</definedName>
    <definedName name="XREF_COLUMN_7" hidden="1">#REF!</definedName>
    <definedName name="XREF_COLUMN_8" hidden="1">'[32]급여 Overall Test'!#REF!</definedName>
    <definedName name="XREF_COLUMN_9" hidden="1">#REF!</definedName>
    <definedName name="XRefActiveRow" hidden="1">#REF!</definedName>
    <definedName name="XRefColumnsCount" hidden="1">7</definedName>
    <definedName name="XRefCopy1" hidden="1">'[33]퇴직급여충당금 Overall Test'!$F$41</definedName>
    <definedName name="XRefCopy10" hidden="1">[34]매출채권!$E$6</definedName>
    <definedName name="XRefCopy10Row" hidden="1">[35]XREF!$A$20:$IV$20</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[36]영업비용LeadSchedule!#REF!</definedName>
    <definedName name="XRefCopy14Row" hidden="1">#REF!</definedName>
    <definedName name="XRefCopy15" hidden="1">#REF!</definedName>
    <definedName name="XRefCopy15Row" hidden="1">#REF!</definedName>
    <definedName name="XRefCopy16" hidden="1">[34]기타당좌자산!$D$37</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[22]현금및예치금집계표!#REF!</definedName>
    <definedName name="XRefCopy19Row" hidden="1">#REF!</definedName>
    <definedName name="XRefCopy1Row" hidden="1">[37]XREF!#REF!</definedName>
    <definedName name="XRefCopy2" hidden="1">[38]당기급여월별분석!#REF!</definedName>
    <definedName name="XRefCopy20" hidden="1">#REF!</definedName>
    <definedName name="XRefCopy20Row"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Row" hidden="1">#REF!</definedName>
    <definedName name="XRefCopy25Row" hidden="1">#REF!</definedName>
    <definedName name="XRefCopy26Row" hidden="1">#REF!</definedName>
    <definedName name="XRefCopy27" hidden="1">#REF!</definedName>
    <definedName name="XRefCopy27Row" hidden="1">#REF!</definedName>
    <definedName name="XRefCopy28" hidden="1">[28]현금및예치금집계표!#REF!</definedName>
    <definedName name="XRefCopy28Row" hidden="1">#REF!</definedName>
    <definedName name="XRefCopy29Row" hidden="1">#REF!</definedName>
    <definedName name="XRefCopy2Row" hidden="1">[33]XREF!$A$4:$IV$4</definedName>
    <definedName name="XRefCopy3" hidden="1">#REF!</definedName>
    <definedName name="XRefCopy30Row"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Row" hidden="1">#REF!</definedName>
    <definedName name="XRefCopy39Row" hidden="1">#REF!</definedName>
    <definedName name="XRefCopy3Row" hidden="1">[33]XREF!$A$6:$IV$6</definedName>
    <definedName name="XRefCopy4" hidden="1">#REF!</definedName>
    <definedName name="XRefCopy40Row" hidden="1">#REF!</definedName>
    <definedName name="XRefCopy41Row" hidden="1">#REF!</definedName>
    <definedName name="XRefCopy42Row" hidden="1">#REF!</definedName>
    <definedName name="XRefCopy43Row" hidden="1">#REF!</definedName>
    <definedName name="XRefCopy44Row" hidden="1">#REF!</definedName>
    <definedName name="XRefCopy45Row" hidden="1">#REF!</definedName>
    <definedName name="XRefCopy46Row" hidden="1">#REF!</definedName>
    <definedName name="XRefCopy47Row" hidden="1">#REF!</definedName>
    <definedName name="XRefCopy48Row" hidden="1">#REF!</definedName>
    <definedName name="XRefCopy49Row" hidden="1">#REF!</definedName>
    <definedName name="XRefCopy4Row" hidden="1">[33]XREF!$A$8:$IV$8</definedName>
    <definedName name="XRefCopy5" hidden="1">#REF!</definedName>
    <definedName name="XRefCopy50Row" hidden="1">#REF!</definedName>
    <definedName name="XRefCopy51Row" hidden="1">#REF!</definedName>
    <definedName name="XRefCopy52Row" hidden="1">#REF!</definedName>
    <definedName name="XRefCopy53Row" hidden="1">#REF!</definedName>
    <definedName name="XRefCopy54Row" hidden="1">#REF!</definedName>
    <definedName name="XRefCopy55Row" hidden="1">#REF!</definedName>
    <definedName name="XRefCopy56Row" hidden="1">#REF!</definedName>
    <definedName name="XRefCopy57Row" hidden="1">#REF!</definedName>
    <definedName name="XRefCopy58Row" hidden="1">#REF!</definedName>
    <definedName name="XRefCopy59Row" hidden="1">#REF!</definedName>
    <definedName name="XRefCopy5Row" hidden="1">[33]XREF!$A$10:$IV$10</definedName>
    <definedName name="XRefCopy6" hidden="1">#REF!</definedName>
    <definedName name="XRefCopy60Row" hidden="1">#REF!</definedName>
    <definedName name="XRefCopy61Row" hidden="1">#REF!</definedName>
    <definedName name="XRefCopy63Row" hidden="1">#REF!</definedName>
    <definedName name="XRefCopy64Row" hidden="1">#REF!</definedName>
    <definedName name="XRefCopy6Row" hidden="1">[39]XREF!#REF!</definedName>
    <definedName name="XRefCopy7" hidden="1">#REF!</definedName>
    <definedName name="XRefCopy7Row" hidden="1">[35]XREF!$A$14:$IV$14</definedName>
    <definedName name="XRefCopy8" hidden="1">#REF!</definedName>
    <definedName name="XRefCopy8Row" hidden="1">[35]XREF!$A$16:$IV$16</definedName>
    <definedName name="XRefCopy9" hidden="1">[35]현금및등가물명세서!$C$73</definedName>
    <definedName name="XRefCopy9Row" hidden="1">[35]XREF!$A$18:$IV$18</definedName>
    <definedName name="XRefCopyRangeCount" hidden="1">19</definedName>
    <definedName name="XRefPaste1" hidden="1">#REF!</definedName>
    <definedName name="XRefPaste10" hidden="1">#REF!</definedName>
    <definedName name="XRefPaste100Row" hidden="1">#REF!</definedName>
    <definedName name="XRefPaste101" hidden="1">'[40]TB(PL)'!#REF!</definedName>
    <definedName name="XRefPaste101Row" hidden="1">#REF!</definedName>
    <definedName name="XRefPaste102" hidden="1">'[40]TB(PL)'!#REF!</definedName>
    <definedName name="XRefPaste102Row" hidden="1">#REF!</definedName>
    <definedName name="XRefPaste104Row" hidden="1">#REF!</definedName>
    <definedName name="XRefPaste105Row" hidden="1">#REF!</definedName>
    <definedName name="XRefPaste106Row" hidden="1">#REF!</definedName>
    <definedName name="XRefPaste107" hidden="1">[40]PAJE!#REF!</definedName>
    <definedName name="XRefPaste107Row" hidden="1">#REF!</definedName>
    <definedName name="XRefPaste108" hidden="1">[40]PAJE!#REF!</definedName>
    <definedName name="XRefPaste108Row" hidden="1">#REF!</definedName>
    <definedName name="XRefPaste10Row" hidden="1">#REF!</definedName>
    <definedName name="XRefPaste11" hidden="1">#REF!</definedName>
    <definedName name="XRefPaste112Row" hidden="1">#REF!</definedName>
    <definedName name="XRefPaste113Row" hidden="1">#REF!</definedName>
    <definedName name="XRefPaste114Row" hidden="1">#REF!</definedName>
    <definedName name="XRefPaste115Row" hidden="1">#REF!</definedName>
    <definedName name="XRefPaste116" hidden="1">'[40]TB(BS)'!#REF!</definedName>
    <definedName name="XRefPaste116Row" hidden="1">#REF!</definedName>
    <definedName name="XRefPaste117" hidden="1">'[40]TB(BS)'!#REF!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 hidden="1">'[40]TB(BS)'!#REF!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 hidden="1">'[40]TB(BS)'!#REF!</definedName>
    <definedName name="XRefPaste136Row" hidden="1">#REF!</definedName>
    <definedName name="XRefPaste137Row" hidden="1">#REF!</definedName>
    <definedName name="XRefPaste138" hidden="1">'[40]TB(BS)'!#REF!</definedName>
    <definedName name="XRefPaste138Row" hidden="1">#REF!</definedName>
    <definedName name="XRefPaste139Row" hidden="1">#REF!</definedName>
    <definedName name="XRefPaste13Row" hidden="1">#REF!</definedName>
    <definedName name="XRefPaste14" hidden="1">#REF!</definedName>
    <definedName name="XRefPaste140" hidden="1">'[40]TB(PL)'!#REF!</definedName>
    <definedName name="XRefPaste140Row" hidden="1">#REF!</definedName>
    <definedName name="XRefPaste141Row" hidden="1">#REF!</definedName>
    <definedName name="XRefPaste142Row" hidden="1">#REF!</definedName>
    <definedName name="XRefPaste143Row" hidden="1">#REF!</definedName>
    <definedName name="XRefPaste144Row" hidden="1">#REF!</definedName>
    <definedName name="XRefPaste145" hidden="1">[40]PRJE!#REF!</definedName>
    <definedName name="XRefPaste145Row" hidden="1">#REF!</definedName>
    <definedName name="XRefPaste146Row" hidden="1">#REF!</definedName>
    <definedName name="XRefPaste147Row" hidden="1">#REF!</definedName>
    <definedName name="XRefPaste148Row" hidden="1">#REF!</definedName>
    <definedName name="XRefPaste149Row" hidden="1">#REF!</definedName>
    <definedName name="XRefPaste14Row" hidden="1">#REF!</definedName>
    <definedName name="XRefPaste15" hidden="1">#REF!</definedName>
    <definedName name="XRefPaste150" hidden="1">[40]PAJE!#REF!</definedName>
    <definedName name="XRefPaste150Row" hidden="1">#REF!</definedName>
    <definedName name="XRefPaste151" hidden="1">[40]PAJE!#REF!</definedName>
    <definedName name="XRefPaste151Row" hidden="1">#REF!</definedName>
    <definedName name="XRefPaste152" hidden="1">[40]PAJE!#REF!</definedName>
    <definedName name="XRefPaste152Row" hidden="1">#REF!</definedName>
    <definedName name="XRefPaste153Row" hidden="1">#REF!</definedName>
    <definedName name="XRefPaste154Row" hidden="1">#REF!</definedName>
    <definedName name="XRefPaste155" hidden="1">[40]PAJE!#REF!</definedName>
    <definedName name="XRefPaste155Row" hidden="1">#REF!</definedName>
    <definedName name="XRefPaste156" hidden="1">[40]PAJE!#REF!</definedName>
    <definedName name="XRefPaste156Row" hidden="1">#REF!</definedName>
    <definedName name="XRefPaste157" hidden="1">[40]PAJE!#REF!</definedName>
    <definedName name="XRefPaste157Row" hidden="1">#REF!</definedName>
    <definedName name="XRefPaste158" hidden="1">[40]PAJE!#REF!</definedName>
    <definedName name="XRefPaste158Row" hidden="1">#REF!</definedName>
    <definedName name="XRefPaste159" hidden="1">[40]PAJE!#REF!</definedName>
    <definedName name="XRefPaste159Row" hidden="1">#REF!</definedName>
    <definedName name="XRefPaste15Row" hidden="1">#REF!</definedName>
    <definedName name="XRefPaste16" hidden="1">#REF!</definedName>
    <definedName name="XRefPaste160" hidden="1">[40]PAJE!#REF!</definedName>
    <definedName name="XRefPaste160Row" hidden="1">#REF!</definedName>
    <definedName name="XRefPaste161Row" hidden="1">#REF!</definedName>
    <definedName name="XRefPaste162Row" hidden="1">#REF!</definedName>
    <definedName name="XRefPaste163Row" hidden="1">#REF!</definedName>
    <definedName name="XRefPaste164" hidden="1">[40]PAJE!#REF!</definedName>
    <definedName name="XRefPaste164Row" hidden="1">#REF!</definedName>
    <definedName name="XRefPaste165Row" hidden="1">#REF!</definedName>
    <definedName name="XRefPaste166" hidden="1">[40]PAJE!#REF!</definedName>
    <definedName name="XRefPaste166Row" hidden="1">#REF!</definedName>
    <definedName name="XRefPaste167" hidden="1">[40]PAJE!#REF!</definedName>
    <definedName name="XRefPaste167Row" hidden="1">#REF!</definedName>
    <definedName name="XRefPaste168" hidden="1">[40]PAJE!#REF!</definedName>
    <definedName name="XRefPaste168Row" hidden="1">#REF!</definedName>
    <definedName name="XRefPaste169" hidden="1">[40]PAJE!#REF!</definedName>
    <definedName name="XRefPaste169Row" hidden="1">#REF!</definedName>
    <definedName name="XRefPaste16Row" hidden="1">#REF!</definedName>
    <definedName name="XRefPaste17" hidden="1">#REF!</definedName>
    <definedName name="XRefPaste170" hidden="1">[40]PAJE!#REF!</definedName>
    <definedName name="XRefPaste170Row" hidden="1">#REF!</definedName>
    <definedName name="XRefPaste171" hidden="1">[40]PAJE!#REF!</definedName>
    <definedName name="XRefPaste171Row" hidden="1">#REF!</definedName>
    <definedName name="XRefPaste172Row" hidden="1">#REF!</definedName>
    <definedName name="XRefPaste173Row" hidden="1">#REF!</definedName>
    <definedName name="XRefPaste174Row" hidden="1">#REF!</definedName>
    <definedName name="XRefPaste175" hidden="1">[40]PAJE!#REF!</definedName>
    <definedName name="XRefPaste175Row" hidden="1">#REF!</definedName>
    <definedName name="XRefPaste176Row" hidden="1">#REF!</definedName>
    <definedName name="XRefPaste177Row" hidden="1">#REF!</definedName>
    <definedName name="XRefPaste179" hidden="1">[40]PAJE!#REF!</definedName>
    <definedName name="XRefPaste179Row" hidden="1">#REF!</definedName>
    <definedName name="XRefPaste17Row" hidden="1">#REF!</definedName>
    <definedName name="XRefPaste18" hidden="1">#REF!</definedName>
    <definedName name="XRefPaste180" hidden="1">[40]PAJE!#REF!</definedName>
    <definedName name="XRefPaste180Row" hidden="1">#REF!</definedName>
    <definedName name="XRefPaste181" hidden="1">[40]PAJE!#REF!</definedName>
    <definedName name="XRefPaste181Row" hidden="1">#REF!</definedName>
    <definedName name="XRefPaste182" hidden="1">[40]PAJE!#REF!</definedName>
    <definedName name="XRefPaste182Row" hidden="1">#REF!</definedName>
    <definedName name="XRefPaste183" hidden="1">[40]PAJE!#REF!</definedName>
    <definedName name="XRefPaste183Row" hidden="1">#REF!</definedName>
    <definedName name="XRefPaste184Row" hidden="1">#REF!</definedName>
    <definedName name="XRefPaste185Row" hidden="1">#REF!</definedName>
    <definedName name="XRefPaste186Row" hidden="1">#REF!</definedName>
    <definedName name="XRefPaste187" hidden="1">[40]PAJE!#REF!</definedName>
    <definedName name="XRefPaste187Row" hidden="1">#REF!</definedName>
    <definedName name="XRefPaste188Row" hidden="1">#REF!</definedName>
    <definedName name="XRefPaste189Row" hidden="1">#REF!</definedName>
    <definedName name="XRefPaste18Row" hidden="1">#REF!</definedName>
    <definedName name="XRefPaste19" hidden="1">#REF!</definedName>
    <definedName name="XRefPaste19Row" hidden="1">#REF!</definedName>
    <definedName name="XRefPaste1Row" hidden="1">[37]XREF!#REF!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[41]XREF!#REF!</definedName>
    <definedName name="XRefPaste24" hidden="1">#REF!</definedName>
    <definedName name="XRefPaste24Row" hidden="1">[41]XREF!#REF!</definedName>
    <definedName name="XRefPaste25" hidden="1">#REF!</definedName>
    <definedName name="XRefPaste25Row" hidden="1">[41]XREF!#REF!</definedName>
    <definedName name="XRefPaste26" hidden="1">#REF!</definedName>
    <definedName name="XRefPaste26Row" hidden="1">[41]XREF!#REF!</definedName>
    <definedName name="XRefPaste27" hidden="1">#REF!</definedName>
    <definedName name="XRefPaste27Row" hidden="1">[41]XREF!#REF!</definedName>
    <definedName name="XRefPaste28" hidden="1">#REF!</definedName>
    <definedName name="XRefPaste28Row" hidden="1">[41]XREF!#REF!</definedName>
    <definedName name="XRefPaste29" hidden="1">#REF!</definedName>
    <definedName name="XRefPaste29Row" hidden="1">[41]XREF!#REF!</definedName>
    <definedName name="XRefPaste2Row" hidden="1">#REF!</definedName>
    <definedName name="XRefPaste3" hidden="1">#REF!</definedName>
    <definedName name="XRefPaste30" hidden="1">#REF!</definedName>
    <definedName name="XRefPaste30Row" hidden="1">[41]XREF!#REF!</definedName>
    <definedName name="XRefPaste31" hidden="1">#REF!</definedName>
    <definedName name="XRefPaste31Row" hidden="1">[41]XREF!#REF!</definedName>
    <definedName name="XRefPaste32" hidden="1">#REF!</definedName>
    <definedName name="XRefPaste32Row" hidden="1">[41]XREF!#REF!</definedName>
    <definedName name="XRefPaste33" hidden="1">#REF!</definedName>
    <definedName name="XRefPaste33Row" hidden="1">[41]XREF!#REF!</definedName>
    <definedName name="XRefPaste34" hidden="1">#REF!</definedName>
    <definedName name="XRefPaste34Row" hidden="1">[41]XREF!#REF!</definedName>
    <definedName name="XRefPaste35" hidden="1">#REF!</definedName>
    <definedName name="XRefPaste35Row" hidden="1">[41]XREF!#REF!</definedName>
    <definedName name="XRefPaste36" hidden="1">#REF!</definedName>
    <definedName name="XRefPaste36Row" hidden="1">[41]XREF!#REF!</definedName>
    <definedName name="XRefPaste37" hidden="1">#REF!</definedName>
    <definedName name="XRefPaste37Row" hidden="1">[41]XREF!#REF!</definedName>
    <definedName name="XRefPaste38" hidden="1">#REF!</definedName>
    <definedName name="XRefPaste38Row" hidden="1">[41]XREF!#REF!</definedName>
    <definedName name="XRefPaste39" hidden="1">#REF!</definedName>
    <definedName name="XRefPaste39Row" hidden="1">[41]XREF!#REF!</definedName>
    <definedName name="XRefPaste3Row" hidden="1">[33]XREF!$A$7:$IV$7</definedName>
    <definedName name="XRefPaste4" hidden="1">#REF!</definedName>
    <definedName name="XRefPaste40" hidden="1">#REF!</definedName>
    <definedName name="XRefPaste40Row" hidden="1">[41]XREF!#REF!</definedName>
    <definedName name="XRefPaste41" hidden="1">#REF!</definedName>
    <definedName name="XRefPaste41Row" hidden="1">[41]XREF!#REF!</definedName>
    <definedName name="XRefPaste42" hidden="1">#REF!</definedName>
    <definedName name="XRefPaste42Row" hidden="1">[41]XREF!#REF!</definedName>
    <definedName name="XRefPaste43" hidden="1">#REF!</definedName>
    <definedName name="XRefPaste43Row" hidden="1">[41]XREF!#REF!</definedName>
    <definedName name="XRefPaste44" hidden="1">#REF!</definedName>
    <definedName name="XRefPaste44Row" hidden="1">[41]XREF!#REF!</definedName>
    <definedName name="XRefPaste45" hidden="1">#REF!</definedName>
    <definedName name="XRefPaste45Row" hidden="1">[41]XREF!#REF!</definedName>
    <definedName name="XRefPaste46" hidden="1">#REF!</definedName>
    <definedName name="XRefPaste46Row" hidden="1">[41]XREF!#REF!</definedName>
    <definedName name="XRefPaste47Row" hidden="1">[41]XREF!#REF!</definedName>
    <definedName name="XRefPaste4Row" hidden="1">[33]XREF!$A$9:$IV$9</definedName>
    <definedName name="XRefPaste5" hidden="1">#REF!</definedName>
    <definedName name="XRefPaste5Row" hidden="1">[33]XREF!$A$11:$IV$11</definedName>
    <definedName name="XRefPaste6" hidden="1">#REF!</definedName>
    <definedName name="XRefPaste6Row" hidden="1">[39]XREF!#REF!</definedName>
    <definedName name="XRefPaste7" hidden="1">#REF!</definedName>
    <definedName name="XRefPaste7Row" hidden="1">[35]XREF!$A$15:$IV$15</definedName>
    <definedName name="XRefPaste8" hidden="1">#REF!</definedName>
    <definedName name="XRefPaste89Row" hidden="1">#REF!</definedName>
    <definedName name="XRefPaste8Row" hidden="1">[35]XREF!$A$17:$IV$17</definedName>
    <definedName name="XRefPaste9" hidden="1">#REF!</definedName>
    <definedName name="XRefPaste90Row" hidden="1">#REF!</definedName>
    <definedName name="XRefPaste91" hidden="1">'[40]TB(BS)'!#REF!</definedName>
    <definedName name="XRefPaste91Row" hidden="1">#REF!</definedName>
    <definedName name="XRefPaste92" hidden="1">'[40]TB(BS)'!#REF!</definedName>
    <definedName name="XRefPaste92Row" hidden="1">#REF!</definedName>
    <definedName name="XRefPaste93" hidden="1">'[40]TB(BS)'!#REF!</definedName>
    <definedName name="XRefPaste93Row" hidden="1">#REF!</definedName>
    <definedName name="XRefPaste94Row" hidden="1">#REF!</definedName>
    <definedName name="XRefPaste95Row" hidden="1">#REF!</definedName>
    <definedName name="XRefPaste96" hidden="1">'[40]TB(BS)'!#REF!</definedName>
    <definedName name="XRefPaste96Row" hidden="1">#REF!</definedName>
    <definedName name="XRefPaste97" hidden="1">'[40]TB(BS)'!#REF!</definedName>
    <definedName name="XRefPaste97Row" hidden="1">#REF!</definedName>
    <definedName name="XRefPaste98" hidden="1">'[40]TB(BS)'!#REF!</definedName>
    <definedName name="XRefPaste98Row" hidden="1">#REF!</definedName>
    <definedName name="XRefPaste99" hidden="1">'[40]TB(BS)'!#REF!</definedName>
    <definedName name="XRefPaste99Row" hidden="1">#REF!</definedName>
    <definedName name="XRefPaste9Row" hidden="1">#REF!</definedName>
    <definedName name="XRefPasteRangeCount" hidden="1">17</definedName>
    <definedName name="xs" hidden="1">{#N/A,#N/A,FALSE,"Tabl. H1";#N/A,#N/A,FALSE,"Tabl. H2"}</definedName>
    <definedName name="xx" hidden="1">'[42]Monthly shipment_db'!#REF!</definedName>
    <definedName name="xxxxx" hidden="1">{#N/A,#N/A,FALSE,"UNIT";#N/A,#N/A,FALSE,"UNIT";#N/A,#N/A,FALSE,"계정"}</definedName>
    <definedName name="xyz" hidden="1">{#N/A,#N/A,TRUE,"Tar B.U";#N/A,#N/A,TRUE,"Teeraanleg";#N/A,#N/A,TRUE,"TeerHerverkope";#N/A,#N/A,TRUE,"Carbon B.U";#N/A,#N/A,TRUE,"Kooks";#N/A,#N/A,TRUE,"Herverkopekooks";#N/A,#N/A,TRUE,"Ferrite B.U";#N/A,#N/A,TRUE,"Lurgi";#N/A,#N/A,TRUE,"Magpowder";#N/A,#N/A,TRUE,"Trade";#N/A,#N/A,TRUE,"Nurock";#N/A,#N/A,TRUE,"Suprachem"}</definedName>
    <definedName name="ysj" hidden="1">{#N/A,#N/A,FALSE,"Sheet5"}</definedName>
    <definedName name="YUIYI" hidden="1">{#N/A,#N/A,FALSE,"BS";#N/A,#N/A,FALSE,"PL";#N/A,#N/A,FALSE,"처분";#N/A,#N/A,FALSE,"현금";#N/A,#N/A,FALSE,"매출";#N/A,#N/A,FALSE,"원가";#N/A,#N/A,FALSE,"경영"}</definedName>
    <definedName name="Z" hidden="1">{#N/A,#N/A,FALSE,"BS";#N/A,#N/A,FALSE,"PL";#N/A,#N/A,FALSE,"처분";#N/A,#N/A,FALSE,"현금";#N/A,#N/A,FALSE,"매출";#N/A,#N/A,FALSE,"원가";#N/A,#N/A,FALSE,"경영"}</definedName>
    <definedName name="zzz.com" hidden="1">{#N/A,#N/A,FALSE,"Title Page";#N/A,#N/A,FALSE,"Conclusions";#N/A,#N/A,FALSE,"Assum.";#N/A,#N/A,FALSE,"Sun  DCF-WC-Dep";#N/A,#N/A,FALSE,"MarketValue";#N/A,#N/A,FALSE,"BalSheet";#N/A,#N/A,FALSE,"WACC";#N/A,#N/A,FALSE,"PC+ Info.";#N/A,#N/A,FALSE,"PC+Info_2"}</definedName>
    <definedName name="あ" hidden="1">#REF!</definedName>
    <definedName name="あひｓｈ" hidden="1">{#N/A,#N/A,FALSE,"Aging Summary";#N/A,#N/A,FALSE,"Ratio Analysis";#N/A,#N/A,FALSE,"Test 120 Day Accts";#N/A,#N/A,FALSE,"Tickmarks"}</definedName>
    <definedName name="ううう" hidden="1">{#N/A,#N/A,FALSE,"Aging Summary";#N/A,#N/A,FALSE,"Ratio Analysis";#N/A,#N/A,FALSE,"Test 120 Day Accts";#N/A,#N/A,FALSE,"Tickmarks"}</definedName>
    <definedName name="ㄱㄱ" hidden="1">{#N/A,#N/A,FALSE,"UNIT";#N/A,#N/A,FALSE,"UNIT";#N/A,#N/A,FALSE,"계정"}</definedName>
    <definedName name="ㄱㄱㄱ" hidden="1">{#N/A,#N/A,FALSE,"UNIT";#N/A,#N/A,FALSE,"UNIT";#N/A,#N/A,FALSE,"계정"}</definedName>
    <definedName name="ㄱㄱㄱㄱㄱ" hidden="1">{#N/A,#N/A,FALSE,"UNIT";#N/A,#N/A,FALSE,"UNIT";#N/A,#N/A,FALSE,"계정"}</definedName>
    <definedName name="가123" hidden="1">{"'분양원가'!$B$1:$F$113"}</definedName>
    <definedName name="가가가" hidden="1">{#N/A,#N/A,FALSE,"BS";#N/A,#N/A,FALSE,"PL";#N/A,#N/A,FALSE,"A";#N/A,#N/A,FALSE,"B";#N/A,#N/A,FALSE,"B1";#N/A,#N/A,FALSE,"C";#N/A,#N/A,FALSE,"C1";#N/A,#N/A,FALSE,"C2";#N/A,#N/A,FALSE,"D";#N/A,#N/A,FALSE,"E";#N/A,#N/A,FALSE,"F";#N/A,#N/A,FALSE,"AA";#N/A,#N/A,FALSE,"BB";#N/A,#N/A,FALSE,"CC";#N/A,#N/A,FALSE,"DD";#N/A,#N/A,FALSE,"EE";#N/A,#N/A,FALSE,"FF";#N/A,#N/A,FALSE,"PL10";#N/A,#N/A,FALSE,"PL20";#N/A,#N/A,FALSE,"PL30"}</definedName>
    <definedName name="가결산" hidden="1">{#N/A,#N/A,TRUE,"Summary";#N/A,#N/A,TRUE,"IS";#N/A,#N/A,TRUE,"Adj";#N/A,#N/A,TRUE,"BS";#N/A,#N/A,TRUE,"CF";#N/A,#N/A,TRUE,"Debt";#N/A,#N/A,TRUE,"IRR"}</definedName>
    <definedName name="가기긱" hidden="1">{"'미착금액'!$A$4:$G$14"}</definedName>
    <definedName name="가락옵션" hidden="1">{#N/A,#N/A,FALSE,"현장 NCR 분석";#N/A,#N/A,FALSE,"현장품질감사";#N/A,#N/A,FALSE,"현장품질감사"}</definedName>
    <definedName name="가지급금"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상각표" hidden="1">{#N/A,#N/A,FALSE,"BS";#N/A,#N/A,FALSE,"PL";#N/A,#N/A,FALSE,"처분";#N/A,#N/A,FALSE,"현금";#N/A,#N/A,FALSE,"매출";#N/A,#N/A,FALSE,"원가";#N/A,#N/A,FALSE,"경영"}</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정평가" hidden="1">{#N/A,#N/A,FALSE,"Sheet5"}</definedName>
    <definedName name="갔" hidden="1">{#N/A,#N/A,FALSE,"Sheet5"}</definedName>
    <definedName name="강" hidden="1">{#N/A,#N/A,FALSE,"Sheet5"}</definedName>
    <definedName name="강동민" hidden="1">[43]LeadSchedule!#REF!</definedName>
    <definedName name="개발비2" hidden="1">{#N/A,#N/A,FALSE,"BS";#N/A,#N/A,FALSE,"PL";#N/A,#N/A,FALSE,"A";#N/A,#N/A,FALSE,"B";#N/A,#N/A,FALSE,"B1";#N/A,#N/A,FALSE,"C";#N/A,#N/A,FALSE,"C1";#N/A,#N/A,FALSE,"C2";#N/A,#N/A,FALSE,"D";#N/A,#N/A,FALSE,"E";#N/A,#N/A,FALSE,"F";#N/A,#N/A,FALSE,"AA";#N/A,#N/A,FALSE,"BB";#N/A,#N/A,FALSE,"CC";#N/A,#N/A,FALSE,"DD";#N/A,#N/A,FALSE,"EE";#N/A,#N/A,FALSE,"FF";#N/A,#N/A,FALSE,"PL10";#N/A,#N/A,FALSE,"PL20";#N/A,#N/A,FALSE,"PL30"}</definedName>
    <definedName name="건설가계정명세서" hidden="1">#REF!</definedName>
    <definedName name="건설중자산" hidden="1">#REF!</definedName>
    <definedName name="결산공고" hidden="1">{#N/A,#N/A,FALSE,"BS";#N/A,#N/A,FALSE,"PL";#N/A,#N/A,FALSE,"처분";#N/A,#N/A,FALSE,"현금";#N/A,#N/A,FALSE,"매출";#N/A,#N/A,FALSE,"원가";#N/A,#N/A,FALSE,"경영"}</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hidden="1">{#N/A,#N/A,FALSE,"BS";#N/A,#N/A,FALSE,"PL";#N/A,#N/A,FALSE,"처분";#N/A,#N/A,FALSE,"현금";#N/A,#N/A,FALSE,"매출";#N/A,#N/A,FALSE,"원가";#N/A,#N/A,FALSE,"경영"}</definedName>
    <definedName name="계정명세서" hidden="1">{#N/A,#N/A,FALSE,"Sheet5"}</definedName>
    <definedName name="계획" hidden="1">{#N/A,#N/A,FALSE,"UNIT";#N/A,#N/A,FALSE,"UNIT";#N/A,#N/A,FALSE,"계정"}</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문" hidden="1">{#N/A,#N/A,FALSE,"현장 NCR 분석";#N/A,#N/A,FALSE,"현장품질감사";#N/A,#N/A,FALSE,"현장품질감사"}</definedName>
    <definedName name="공미" hidden="1">{"'분양원가'!$B$1:$F$113"}</definedName>
    <definedName name="공사원가5" hidden="1">[7]시산표!#REF!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리일" hidden="1">#REF!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김권두" hidden="1">{#N/A,#N/A,FALSE,"Sheet5"}</definedName>
    <definedName name="김권수" hidden="1">{#N/A,#N/A,FALSE,"Sheet5"}</definedName>
    <definedName name="김민주" hidden="1">{#N/A,#N/A,FALSE,"BS";#N/A,#N/A,FALSE,"PL";#N/A,#N/A,FALSE,"처분";#N/A,#N/A,FALSE,"현금";#N/A,#N/A,FALSE,"매출";#N/A,#N/A,FALSE,"원가";#N/A,#N/A,FALSE,"경영"}</definedName>
    <definedName name="김수영" hidden="1">{#N/A,#N/A,FALSE,"BS";#N/A,#N/A,FALSE,"PL";#N/A,#N/A,FALSE,"처분";#N/A,#N/A,FALSE,"현금";#N/A,#N/A,FALSE,"매출";#N/A,#N/A,FALSE,"원가";#N/A,#N/A,FALSE,"경영"}</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깡총" hidden="1">{#N/A,#N/A,FALSE,"현장 NCR 분석";#N/A,#N/A,FALSE,"현장품질감사";#N/A,#N/A,FALSE,"현장품질감사"}</definedName>
    <definedName name="ㄴㄴ" hidden="1">{"'분양원가'!$B$1:$F$113"}</definedName>
    <definedName name="ㄴㄴㄴ" hidden="1">{#N/A,#N/A,FALSE,"UNIT";#N/A,#N/A,FALSE,"UNIT";#N/A,#N/A,FALSE,"계정"}</definedName>
    <definedName name="ㄴㄴㄴㄴ" hidden="1">{#N/A,#N/A,FALSE,"UNIT";#N/A,#N/A,FALSE,"UNIT";#N/A,#N/A,FALSE,"계정"}</definedName>
    <definedName name="ㄴㄴㄴㄴㄴ" hidden="1">{#N/A,#N/A,FALSE,"BS";#N/A,#N/A,FALSE,"PL";#N/A,#N/A,FALSE,"처분";#N/A,#N/A,FALSE,"현금";#N/A,#N/A,FALSE,"매출";#N/A,#N/A,FALSE,"원가";#N/A,#N/A,FALSE,"경영"}</definedName>
    <definedName name="ㄴㄻㄴ" hidden="1">{#N/A,#N/A,FALSE,"BS";#N/A,#N/A,FALSE,"PL";#N/A,#N/A,FALSE,"처분";#N/A,#N/A,FALSE,"현금";#N/A,#N/A,FALSE,"매출";#N/A,#N/A,FALSE,"원가";#N/A,#N/A,FALSE,"경영"}</definedName>
    <definedName name="ㄴㅇ" hidden="1">{#N/A,#N/A,FALSE,"BS";#N/A,#N/A,FALSE,"PL";#N/A,#N/A,FALSE,"A";#N/A,#N/A,FALSE,"B";#N/A,#N/A,FALSE,"B1";#N/A,#N/A,FALSE,"C";#N/A,#N/A,FALSE,"C1";#N/A,#N/A,FALSE,"C2";#N/A,#N/A,FALSE,"D";#N/A,#N/A,FALSE,"E";#N/A,#N/A,FALSE,"F";#N/A,#N/A,FALSE,"AA";#N/A,#N/A,FALSE,"BB";#N/A,#N/A,FALSE,"CC";#N/A,#N/A,FALSE,"DD";#N/A,#N/A,FALSE,"EE";#N/A,#N/A,FALSE,"FF";#N/A,#N/A,FALSE,"PL10";#N/A,#N/A,FALSE,"PL20";#N/A,#N/A,FALSE,"PL30"}</definedName>
    <definedName name="ㄴㅇㅇㄴㄹ" hidden="1">{#N/A,#N/A,FALSE,"BS";#N/A,#N/A,FALSE,"PL";#N/A,#N/A,FALSE,"처분";#N/A,#N/A,FALSE,"현금";#N/A,#N/A,FALSE,"매출";#N/A,#N/A,FALSE,"원가";#N/A,#N/A,FALSE,"경영"}</definedName>
    <definedName name="나" hidden="1">{"'분양원가'!$B$1:$F$113"}</definedName>
    <definedName name="나나나" hidden="1">{"'미착금액'!$A$4:$G$14"}</definedName>
    <definedName name="남" hidden="1">{#N/A,#N/A,FALSE,"Sheet5"}</definedName>
    <definedName name="네" hidden="1">{#N/A,#N/A,FALSE,"Sheet5"}</definedName>
    <definedName name="년도별손익분석" hidden="1">{"'10_03일자별'!$A$2:$H$31"}</definedName>
    <definedName name="누" hidden="1">{#N/A,#N/A,FALSE,"Sheet5"}</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니" hidden="1">{#N/A,#N/A,FALSE,"Sheet5"}</definedName>
    <definedName name="ㄷㄷ"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ㄷㄷㄷ" hidden="1">{#N/A,#N/A,FALSE,"UNIT";#N/A,#N/A,FALSE,"UNIT";#N/A,#N/A,FALSE,"계정"}</definedName>
    <definedName name="ㄷㄷㄷㄷ" hidden="1">{#N/A,#N/A,FALSE,"UNIT";#N/A,#N/A,FALSE,"UNIT";#N/A,#N/A,FALSE,"계정"}</definedName>
    <definedName name="다" hidden="1">{#N/A,#N/A,FALSE,"Sheet5"}</definedName>
    <definedName name="단기예치금5월" hidden="1">{"'분양원가'!$B$1:$F$113"}</definedName>
    <definedName name="대련" hidden="1">{#N/A,#N/A,FALSE,"UNIT";#N/A,#N/A,FALSE,"UNIT";#N/A,#N/A,FALSE,"계정"}</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던" hidden="1">{#N/A,#N/A,FALSE,"Sheet5"}</definedName>
    <definedName name="돌" hidden="1">{#N/A,#N/A,FALSE,"Sheet5"}</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ㄹㄹ"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ㄹㄹㄹ" hidden="1">{#N/A,#N/A,FALSE,"UNIT";#N/A,#N/A,FALSE,"UNIT";#N/A,#N/A,FALSE,"계정"}</definedName>
    <definedName name="라" hidden="1">{#N/A,#N/A,FALSE,"Sheet5"}</definedName>
    <definedName name="리얼손익" hidden="1">{"'10_03일자별'!$A$2:$H$31"}</definedName>
    <definedName name="ㄺㄹ" hidden="1">{#N/A,#N/A,FALSE,"UNIT";#N/A,#N/A,FALSE,"UNIT";#N/A,#N/A,FALSE,"계정"}</definedName>
    <definedName name="ㅀㅎㅎㅎㅎㅎㅎㅎㅎㅎㅎㅎㅎ" hidden="1">{#N/A,#N/A,FALSE,"BS";#N/A,#N/A,FALSE,"PL";#N/A,#N/A,FALSE,"처분";#N/A,#N/A,FALSE,"현금";#N/A,#N/A,FALSE,"매출";#N/A,#N/A,FALSE,"원가";#N/A,#N/A,FALSE,"경영"}</definedName>
    <definedName name="ㅁ" hidden="1">{#N/A,#N/A,FALSE,"BS";#N/A,#N/A,FALSE,"PL";#N/A,#N/A,FALSE,"처분";#N/A,#N/A,FALSE,"현금";#N/A,#N/A,FALSE,"매출";#N/A,#N/A,FALSE,"원가";#N/A,#N/A,FALSE,"경영"}</definedName>
    <definedName name="ㅁㄴ" hidden="1">{"'분양원가'!$B$1:$F$113"}</definedName>
    <definedName name="ㅁㄴㅇㅇㅁ" hidden="1">[1]act98!#REF!</definedName>
    <definedName name="ㅁ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ㅁ" hidden="1">{#N/A,#N/A,FALSE,"UNIT";#N/A,#N/A,FALSE,"UNIT";#N/A,#N/A,FALSE,"계정"}</definedName>
    <definedName name="ㅁㅁㅁㅁ" hidden="1">{#N/A,#N/A,FALSE,"UNIT";#N/A,#N/A,FALSE,"UNIT";#N/A,#N/A,FALSE,"계정"}</definedName>
    <definedName name="ㅁㅁㅁㅁㅁ" hidden="1">{#N/A,#N/A,FALSE,"UNIT";#N/A,#N/A,FALSE,"UNIT";#N/A,#N/A,FALSE,"계정"}</definedName>
    <definedName name="마" hidden="1">{#N/A,#N/A,FALSE,"Sheet5"}</definedName>
    <definedName name="매입" hidden="1">#REF!</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명세2" hidden="1">{#N/A,#N/A,FALSE,"현장 NCR 분석";#N/A,#N/A,FALSE,"현장품질감사";#N/A,#N/A,FALSE,"현장품질감사"}</definedName>
    <definedName name="모야" hidden="1">{#N/A,#N/A,FALSE,"BS";#N/A,#N/A,FALSE,"PL";#N/A,#N/A,FALSE,"처분";#N/A,#N/A,FALSE,"현금";#N/A,#N/A,FALSE,"매출";#N/A,#N/A,FALSE,"원가";#N/A,#N/A,FALSE,"경영"}</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얼까" hidden="1">{"'분양원가'!$B$1:$F$113"}</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물류"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미지" hidden="1">{#N/A,#N/A,FALSE,"UNIT";#N/A,#N/A,FALSE,"UNIT";#N/A,#N/A,FALSE,"계정"}</definedName>
    <definedName name="미지급비용" hidden="1">{#N/A,#N/A,FALSE,"BS";#N/A,#N/A,FALSE,"PL";#N/A,#N/A,FALSE,"처분";#N/A,#N/A,FALSE,"현금";#N/A,#N/A,FALSE,"매출";#N/A,#N/A,FALSE,"원가";#N/A,#N/A,FALSE,"경영"}</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 hidden="1">{#N/A,#N/A,FALSE,"BS";#N/A,#N/A,FALSE,"PL";#N/A,#N/A,FALSE,"처분";#N/A,#N/A,FALSE,"현금";#N/A,#N/A,FALSE,"매출";#N/A,#N/A,FALSE,"원가";#N/A,#N/A,FALSE,"경영"}</definedName>
    <definedName name="ㅂ3ㄱ" hidden="1">{#N/A,#N/A,FALSE,"BS";#N/A,#N/A,FALSE,"PL";#N/A,#N/A,FALSE,"처분";#N/A,#N/A,FALSE,"현금";#N/A,#N/A,FALSE,"매출";#N/A,#N/A,FALSE,"원가";#N/A,#N/A,FALSE,"경영"}</definedName>
    <definedName name="ㅂㅂㅂ" hidden="1">{#N/A,#N/A,FALSE,"UNIT";#N/A,#N/A,FALSE,"UNIT";#N/A,#N/A,FALSE,"계정"}</definedName>
    <definedName name="ㅂㅂㅂㅂㅂ" hidden="1">{#N/A,#N/A,FALSE,"UNIT";#N/A,#N/A,FALSE,"UNIT";#N/A,#N/A,FALSE,"계정"}</definedName>
    <definedName name="ㅂㅈㄷㄷㄱㄱ" hidden="1">{#N/A,#N/A,FALSE,"UNIT";#N/A,#N/A,FALSE,"UNIT";#N/A,#N/A,FALSE,"계정"}</definedName>
    <definedName name="ㅂㅈ됴ㅔ." hidden="1">{#N/A,#N/A,FALSE,"BS";#N/A,#N/A,FALSE,"PL";#N/A,#N/A,FALSE,"처분";#N/A,#N/A,FALSE,"현금";#N/A,#N/A,FALSE,"매출";#N/A,#N/A,FALSE,"원가";#N/A,#N/A,FALSE,"경영"}</definedName>
    <definedName name="바" hidden="1">{#N/A,#N/A,FALSE,"Sheet5"}</definedName>
    <definedName name="바도" hidden="1">{"'분양원가'!$B$1:$F$113"}</definedName>
    <definedName name="바람" hidden="1">[44]시산표!#REF!</definedName>
    <definedName name="바보" hidden="1">{#N/A,#N/A,FALSE,"현장 NCR 분석";#N/A,#N/A,FALSE,"현장품질감사";#N/A,#N/A,FALSE,"현장품질감사"}</definedName>
    <definedName name="박" hidden="1">{"'분양원가'!$B$1:$F$113"}</definedName>
    <definedName name="반기현금흐름표" hidden="1">{#N/A,#N/A,FALSE,"BS";#N/A,#N/A,FALSE,"PL";#N/A,#N/A,FALSE,"처분";#N/A,#N/A,FALSE,"현금";#N/A,#N/A,FALSE,"매출";#N/A,#N/A,FALSE,"원가";#N/A,#N/A,FALSE,"경영"}</definedName>
    <definedName name="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배배배" hidden="1">{"'미착금액'!$A$4:$G$14"}</definedName>
    <definedName name="법인세주석사항정리" hidden="1">{#N/A,#N/A,FALSE,"UNIT";#N/A,#N/A,FALSE,"UNIT";#N/A,#N/A,FALSE,"계정"}</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 hidden="1">{#N/A,#N/A,FALSE,"UNIT";#N/A,#N/A,FALSE,"UNIT";#N/A,#N/A,FALSE,"계정"}</definedName>
    <definedName name="보고기준" hidden="1">{#N/A,#N/A,FALSE,"UNIT";#N/A,#N/A,FALSE,"UNIT";#N/A,#N/A,FALSE,"계정"}</definedName>
    <definedName name="보안" hidden="1">{#N/A,#N/A,FALSE,"현장 NCR 분석";#N/A,#N/A,FALSE,"현장품질감사";#N/A,#N/A,FALSE,"현장품질감사"}</definedName>
    <definedName name="보안1" hidden="1">{#N/A,#N/A,FALSE,"현장 NCR 분석";#N/A,#N/A,FALSE,"현장품질감사";#N/A,#N/A,FALSE,"현장품질감사"}</definedName>
    <definedName name="보안3" hidden="1">{#N/A,#N/A,FALSE,"현장 NCR 분석";#N/A,#N/A,FALSE,"현장품질감사";#N/A,#N/A,FALSE,"현장품질감사"}</definedName>
    <definedName name="보안4" hidden="1">{#N/A,#N/A,FALSE,"현장 NCR 분석";#N/A,#N/A,FALSE,"현장품질감사";#N/A,#N/A,FALSE,"현장품질감사"}</definedName>
    <definedName name="보완공문2" hidden="1">{#N/A,#N/A,FALSE,"현장 NCR 분석";#N/A,#N/A,FALSE,"현장품질감사";#N/A,#N/A,FALSE,"현장품질감사"}</definedName>
    <definedName name="보증금" hidden="1">{#N/A,#N/A,FALSE,"BS";#N/A,#N/A,FALSE,"PL";#N/A,#N/A,FALSE,"처분";#N/A,#N/A,FALSE,"현금";#N/A,#N/A,FALSE,"매출";#N/A,#N/A,FALSE,"원가";#N/A,#N/A,FALSE,"경영"}</definedName>
    <definedName name="보증금2" hidden="1">{#N/A,#N/A,FALSE,"BS";#N/A,#N/A,FALSE,"PL";#N/A,#N/A,FALSE,"처분";#N/A,#N/A,FALSE,"현금";#N/A,#N/A,FALSE,"매출";#N/A,#N/A,FALSE,"원가";#N/A,#N/A,FALSE,"경영"}</definedName>
    <definedName name="보험" hidden="1">{#N/A,#N/A,FALSE,"BS";#N/A,#N/A,FALSE,"PL";#N/A,#N/A,FALSE,"처분";#N/A,#N/A,FALSE,"현금";#N/A,#N/A,FALSE,"매출";#N/A,#N/A,FALSE,"원가";#N/A,#N/A,FALSE,"경영"}</definedName>
    <definedName name="복사본" hidden="1">{#N/A,#N/A,FALSE,"BS";#N/A,#N/A,FALSE,"PL";#N/A,#N/A,FALSE,"처분";#N/A,#N/A,FALSE,"현금";#N/A,#N/A,FALSE,"매출";#N/A,#N/A,FALSE,"원가";#N/A,#N/A,FALSE,"경영"}</definedName>
    <definedName name="複製" hidden="1">{#N/A,#N/A,FALSE,"Aging Summary";#N/A,#N/A,FALSE,"Ratio Analysis";#N/A,#N/A,FALSE,"Test 120 Day Accts";#N/A,#N/A,FALSE,"Tickmarks"}</definedName>
    <definedName name="부손익" hidden="1">{#N/A,#N/A,FALSE,"현장 NCR 분석";#N/A,#N/A,FALSE,"현장품질감사";#N/A,#N/A,FALSE,"현장품질감사"}</definedName>
    <definedName name="ㅅ" hidden="1">{#N/A,#N/A,FALSE,"BS";#N/A,#N/A,FALSE,"PL";#N/A,#N/A,FALSE,"처분";#N/A,#N/A,FALSE,"현금";#N/A,#N/A,FALSE,"매출";#N/A,#N/A,FALSE,"원가";#N/A,#N/A,FALSE,"경영"}</definedName>
    <definedName name="ㅅㅅ" hidden="1">{#N/A,#N/A,FALSE,"UNIT";#N/A,#N/A,FALSE,"UNIT";#N/A,#N/A,FALSE,"계정"}</definedName>
    <definedName name="ㅅㅅㅅㅅ" hidden="1">{#N/A,#N/A,FALSE,"UNIT";#N/A,#N/A,FALSE,"UNIT";#N/A,#N/A,FALSE,"계정"}</definedName>
    <definedName name="ㅅㅅㅅㅅㅅㅅㅅ" hidden="1">{#N/A,#N/A,FALSE,"UNIT";#N/A,#N/A,FALSE,"UNIT";#N/A,#N/A,FALSE,"계정"}</definedName>
    <definedName name="사업활성" hidden="1">{#N/A,#N/A,FALSE,"UNIT";#N/A,#N/A,FALSE,"UNIT";#N/A,#N/A,FALSE,"계정"}</definedName>
    <definedName name="사ㅏ" hidden="1">{#N/A,#N/A,FALSE,"BS";#N/A,#N/A,FALSE,"PL";#N/A,#N/A,FALSE,"처분";#N/A,#N/A,FALSE,"현금";#N/A,#N/A,FALSE,"매출";#N/A,#N/A,FALSE,"원가";#N/A,#N/A,FALSE,"경영"}</definedName>
    <definedName name="산자" hidden="1">{#N/A,#N/A,FALSE,"현장 NCR 분석";#N/A,#N/A,FALSE,"현장품질감사";#N/A,#N/A,FALSE,"현장품질감사"}</definedName>
    <definedName name="상품" hidden="1">{#N/A,#N/A,FALSE,"Sheet5"}</definedName>
    <definedName name="상품원가" hidden="1">{#N/A,#N/A,FALSE,"Sheet5"}</definedName>
    <definedName name="새로운이름" hidden="1">{#N/A,#N/A,FALSE,"UNIT";#N/A,#N/A,FALSE,"UNIT";#N/A,#N/A,FALSE,"계정"}</definedName>
    <definedName name="새새샛" hidden="1">{"'미착금액'!$A$4:$G$14"}</definedName>
    <definedName name="서세명" hidden="1">{#N/A,#N/A,FALSE,"현장 NCR 분석";#N/A,#N/A,FALSE,"현장품질감사";#N/A,#N/A,FALSE,"현장품질감사"}</definedName>
    <definedName name="석분" hidden="1">{#N/A,#N/A,FALSE,"현장 NCR 분석";#N/A,#N/A,FALSE,"현장품질감사";#N/A,#N/A,FALSE,"현장품질감사"}</definedName>
    <definedName name="석붐" hidden="1">{#N/A,#N/A,FALSE,"현장 NCR 분석";#N/A,#N/A,FALSE,"현장품질감사";#N/A,#N/A,FALSE,"현장품질감사"}</definedName>
    <definedName name="선급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선급비용" hidden="1">{#N/A,#N/A,FALSE,"BS";#N/A,#N/A,FALSE,"PL";#N/A,#N/A,FALSE,"처분";#N/A,#N/A,FALSE,"현금";#N/A,#N/A,FALSE,"매출";#N/A,#N/A,FALSE,"원가";#N/A,#N/A,FALSE,"경영"}</definedName>
    <definedName name="선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수금" hidden="1">{#N/A,#N/A,FALSE,"BS";#N/A,#N/A,FALSE,"PL";#N/A,#N/A,FALSE,"처분";#N/A,#N/A,FALSE,"현금";#N/A,#N/A,FALSE,"매출";#N/A,#N/A,FALSE,"원가";#N/A,#N/A,FALSE,"경영"}</definedName>
    <definedName name="선수금2" hidden="1">{#N/A,#N/A,FALSE,"BS";#N/A,#N/A,FALSE,"PL";#N/A,#N/A,FALSE,"처분";#N/A,#N/A,FALSE,"현금";#N/A,#N/A,FALSE,"매출";#N/A,#N/A,FALSE,"원가";#N/A,#N/A,FALSE,"경영"}</definedName>
    <definedName name="설계2팀" hidden="1">{#N/A,#N/A,FALSE,"UNIT";#N/A,#N/A,FALSE,"UNIT";#N/A,#N/A,FALSE,"계정"}</definedName>
    <definedName name="성" hidden="1">{#N/A,#N/A,FALSE,"UNIT";#N/A,#N/A,FALSE,"UNIT";#N/A,#N/A,FALSE,"계정"}</definedName>
    <definedName name="세서" hidden="1">{#N/A,#N/A,FALSE,"현장 NCR 분석";#N/A,#N/A,FALSE,"현장품질감사";#N/A,#N/A,FALSE,"현장품질감사"}</definedName>
    <definedName name="소득금액" hidden="1">{#N/A,#N/A,FALSE,"UNIT";#N/A,#N/A,FALSE,"UNIT";#N/A,#N/A,FALSE,"계정"}</definedName>
    <definedName name="소득금액2000" hidden="1">{#N/A,#N/A,FALSE,"UNIT";#N/A,#N/A,FALSE,"UNIT";#N/A,#N/A,FALSE,"계정"}</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익" hidden="1">{#N/A,#N/A,FALSE,"BS";#N/A,#N/A,FALSE,"PL";#N/A,#N/A,FALSE,"처분";#N/A,#N/A,FALSE,"현금";#N/A,#N/A,FALSE,"매출";#N/A,#N/A,FALSE,"원가";#N/A,#N/A,FALSE,"경영"}</definedName>
    <definedName name="손익3" hidden="1">{#N/A,#N/A,FALSE,"UNIT";#N/A,#N/A,FALSE,"UNIT";#N/A,#N/A,FALSE,"계정"}</definedName>
    <definedName name="손익예상" hidden="1">{#N/A,#N/A,FALSE,"UNIT";#N/A,#N/A,FALSE,"UNIT";#N/A,#N/A,FALSE,"계정"}</definedName>
    <definedName name="수영" hidden="1">{#N/A,#N/A,FALSE,"BS";#N/A,#N/A,FALSE,"PL";#N/A,#N/A,FALSE,"처분";#N/A,#N/A,FALSE,"현금";#N/A,#N/A,FALSE,"매출";#N/A,#N/A,FALSE,"원가";#N/A,#N/A,FALSE,"경영"}</definedName>
    <definedName name="수입보증금" hidden="1">{#N/A,#N/A,FALSE,"BS";#N/A,#N/A,FALSE,"PL";#N/A,#N/A,FALSE,"처분";#N/A,#N/A,FALSE,"현금";#N/A,#N/A,FALSE,"매출";#N/A,#N/A,FALSE,"원가";#N/A,#N/A,FALSE,"경영"}</definedName>
    <definedName name="수입보증금2" hidden="1">{#N/A,#N/A,FALSE,"BS";#N/A,#N/A,FALSE,"PL";#N/A,#N/A,FALSE,"처분";#N/A,#N/A,FALSE,"현금";#N/A,#N/A,FALSE,"매출";#N/A,#N/A,FALSE,"원가";#N/A,#N/A,FALSE,"경영"}</definedName>
    <definedName name="수정" hidden="1">{#N/A,#N/A,FALSE,"현장 NCR 분석";#N/A,#N/A,FALSE,"현장품질감사";#N/A,#N/A,FALSE,"현장품질감사"}</definedName>
    <definedName name="수정1211" hidden="1">{"'10_03일자별'!$A$2:$H$31"}</definedName>
    <definedName name="수정1212" hidden="1">{"'10_03일자별'!$A$2:$H$31"}</definedName>
    <definedName name="수정현금흐름표" hidden="1">{#N/A,#N/A,TRUE,"Summary";#N/A,#N/A,TRUE,"IS";#N/A,#N/A,TRUE,"Adj";#N/A,#N/A,TRUE,"BS";#N/A,#N/A,TRUE,"CF";#N/A,#N/A,TRUE,"Debt";#N/A,#N/A,TRUE,"IRR"}</definedName>
    <definedName name="수정현금흐름표2" hidden="1">{#N/A,#N/A,TRUE,"Summary";#N/A,#N/A,TRUE,"IS";#N/A,#N/A,TRUE,"Adj";#N/A,#N/A,TRUE,"BS";#N/A,#N/A,TRUE,"CF";#N/A,#N/A,TRUE,"Debt";#N/A,#N/A,TRUE,"IRR"}</definedName>
    <definedName name="施策修正" hidden="1">{#N/A,#N/A,FALSE,"Aging Summary";#N/A,#N/A,FALSE,"Ratio Analysis";#N/A,#N/A,FALSE,"Test 120 Day Accts";#N/A,#N/A,FALSE,"Tickmarks"}</definedName>
    <definedName name="신최" hidden="1">{#N/A,#N/A,FALSE,"현장 NCR 분석";#N/A,#N/A,FALSE,"현장품질감사";#N/A,#N/A,FALSE,"현장품질감사"}</definedName>
    <definedName name="실적4월" hidden="1">{#N/A,#N/A,FALSE,"UNIT";#N/A,#N/A,FALSE,"UNIT";#N/A,#N/A,FALSE,"계정"}</definedName>
    <definedName name="실적6월" hidden="1">{#N/A,#N/A,FALSE,"UNIT";#N/A,#N/A,FALSE,"UNIT";#N/A,#N/A,FALSE,"계정"}</definedName>
    <definedName name="実績です" hidden="1">{"賃貸事例比較法",#N/A,FALSE,"Sheet2";"賃貸条件",#N/A,FALSE,"Sheet2"}</definedName>
    <definedName name="심최" hidden="1">{#N/A,#N/A,FALSE,"현장 NCR 분석";#N/A,#N/A,FALSE,"현장품질감사";#N/A,#N/A,FALSE,"현장품질감사"}</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ㅇ" hidden="1">{#N/A,#N/A,FALSE,"BS";#N/A,#N/A,FALSE,"PL";#N/A,#N/A,FALSE,"처분";#N/A,#N/A,FALSE,"현금";#N/A,#N/A,FALSE,"매출";#N/A,#N/A,FALSE,"원가";#N/A,#N/A,FALSE,"경영"}</definedName>
    <definedName name="ㅇㄴㅇㅇ" hidden="1">{#N/A,#N/A,FALSE,"UNIT";#N/A,#N/A,FALSE,"UNIT";#N/A,#N/A,FALSE,"계정"}</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ㅇ"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ㅇ" hidden="1">{#N/A,#N/A,FALSE,"UNIT";#N/A,#N/A,FALSE,"UNIT";#N/A,#N/A,FALSE,"계정"}</definedName>
    <definedName name="ㅇㅇㅇㅇ" hidden="1">{#N/A,#N/A,FALSE,"Sheet5"}</definedName>
    <definedName name="ㅇㅇㅇㅇㅇ" hidden="1">{#N/A,#N/A,FALSE,"UNIT";#N/A,#N/A,FALSE,"UNIT";#N/A,#N/A,FALSE,"계정"}</definedName>
    <definedName name="ㅇㅇㅇㅇㅇㅇ" hidden="1">{#N/A,#N/A,FALSE,"UNIT";#N/A,#N/A,FALSE,"UNIT";#N/A,#N/A,FALSE,"계정"}</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ㅎ" hidden="1">{#N/A,#N/A,FALSE,"BS";#N/A,#N/A,FALSE,"PL";#N/A,#N/A,FALSE,"처분";#N/A,#N/A,FALSE,"현금";#N/A,#N/A,FALSE,"매출";#N/A,#N/A,FALSE,"원가";#N/A,#N/A,FALSE,"경영"}</definedName>
    <definedName name="아" hidden="1">{#N/A,#N/A,FALSE,"BS";#N/A,#N/A,FALSE,"PL";#N/A,#N/A,FALSE,"처분";#N/A,#N/A,FALSE,"현금";#N/A,#N/A,FALSE,"매출";#N/A,#N/A,FALSE,"원가";#N/A,#N/A,FALSE,"경영"}</definedName>
    <definedName name="아거ㅑㅈ겁ㅇ" hidden="1">{#N/A,#N/A,FALSE,"BS";#N/A,#N/A,FALSE,"PL";#N/A,#N/A,FALSE,"처분";#N/A,#N/A,FALSE,"현금";#N/A,#N/A,FALSE,"매출";#N/A,#N/A,FALSE,"원가";#N/A,#N/A,FALSE,"경영"}</definedName>
    <definedName name="아니" hidden="1">[28]LeadSchedule!#REF!</definedName>
    <definedName name="아러" hidden="1">{#N/A,#N/A,FALSE,"BS";#N/A,#N/A,FALSE,"PL";#N/A,#N/A,FALSE,"처분";#N/A,#N/A,FALSE,"현금";#N/A,#N/A,FALSE,"매출";#N/A,#N/A,FALSE,"원가";#N/A,#N/A,FALSE,"경영"}</definedName>
    <definedName name="아아아" hidden="1">{"'미착금액'!$A$4:$G$14"}</definedName>
    <definedName name="아조하아" hidden="1">{#N/A,#N/A,FALSE,"UNIT";#N/A,#N/A,FALSE,"UNIT";#N/A,#N/A,FALSE,"계정"}</definedName>
    <definedName name="아ㅏ아아아아아" hidden="1">{#N/A,#N/A,FALSE,"UNIT";#N/A,#N/A,FALSE,"UNIT";#N/A,#N/A,FALSE,"계정"}</definedName>
    <definedName name="안" hidden="1">{#N/A,#N/A,FALSE,"UNIT";#N/A,#N/A,FALSE,"UNIT";#N/A,#N/A,FALSE,"계정"}</definedName>
    <definedName name="안건" hidden="1">{#N/A,#N/A,FALSE,"BS";#N/A,#N/A,FALSE,"PL";#N/A,#N/A,FALSE,"처분";#N/A,#N/A,FALSE,"현금";#N/A,#N/A,FALSE,"매출";#N/A,#N/A,FALSE,"원가";#N/A,#N/A,FALSE,"경영"}</definedName>
    <definedName name="안보" hidden="1">{#N/A,#N/A,FALSE,"현장 NCR 분석";#N/A,#N/A,FALSE,"현장품질감사";#N/A,#N/A,FALSE,"현장품질감사"}</definedName>
    <definedName name="앙" hidden="1">{#N/A,#N/A,FALSE,"BS";#N/A,#N/A,FALSE,"PL";#N/A,#N/A,FALSE,"처분";#N/A,#N/A,FALSE,"현금";#N/A,#N/A,FALSE,"매출";#N/A,#N/A,FALSE,"원가";#N/A,#N/A,FALSE,"경영"}</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어랑" hidden="1">{#N/A,#N/A,FALSE,"BS";#N/A,#N/A,FALSE,"PL";#N/A,#N/A,FALSE,"처분";#N/A,#N/A,FALSE,"현금";#N/A,#N/A,FALSE,"매출";#N/A,#N/A,FALSE,"원가";#N/A,#N/A,FALSE,"경영"}</definedName>
    <definedName name="어ㅏ리낭러ㅔㄴ" hidden="1">[43]LeadSchedule!#REF!</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연간예상" hidden="1">{#N/A,#N/A,FALSE,"UNIT";#N/A,#N/A,FALSE,"UNIT";#N/A,#N/A,FALSE,"계정"}</definedName>
    <definedName name="연말손익" hidden="1">{#N/A,#N/A,FALSE,"UNIT";#N/A,#N/A,FALSE,"UNIT";#N/A,#N/A,FALSE,"계정"}</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영업"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보증금"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예상" hidden="1">#REF!</definedName>
    <definedName name="예치보증" hidden="1">{"'분양원가'!$B$1:$F$113"}</definedName>
    <definedName name="예치보증금" hidden="1">{"'분양원가'!$B$1:$F$113"}</definedName>
    <definedName name="오" hidden="1">{#N/A,#N/A,FALSE,"UNIT";#N/A,#N/A,FALSE,"UNIT";#N/A,#N/A,FALSE,"계정"}</definedName>
    <definedName name="오." hidden="1">{#N/A,#N/A,FALSE,"UNIT";#N/A,#N/A,FALSE,"UNIT";#N/A,#N/A,FALSE,"계정"}</definedName>
    <definedName name="오.." hidden="1">{#N/A,#N/A,FALSE,"UNIT";#N/A,#N/A,FALSE,"UNIT";#N/A,#N/A,FALSE,"계정"}</definedName>
    <definedName name="오빠" hidden="1">{#N/A,#N/A,FALSE,"현장 NCR 분석";#N/A,#N/A,FALSE,"현장품질감사";#N/A,#N/A,FALSE,"현장품질감사"}</definedName>
    <definedName name="오ㅓㄱ" hidden="1">{#N/A,#N/A,FALSE,"BS";#N/A,#N/A,FALSE,"PL";#N/A,#N/A,FALSE,"처분";#N/A,#N/A,FALSE,"현금";#N/A,#N/A,FALSE,"매출";#N/A,#N/A,FALSE,"원가";#N/A,#N/A,FALSE,"경영"}</definedName>
    <definedName name="왔" hidden="1">{#N/A,#N/A,FALSE,"Sheet5"}</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약" hidden="1">{"'10_03일자별'!$A$2:$H$31"}</definedName>
    <definedName name="요약FS" hidden="1">{#N/A,#N/A,FALSE,"Sheet5"}</definedName>
    <definedName name="용지선급금"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우" hidden="1">{#N/A,#N/A,FALSE,"Sheet5"}</definedName>
    <definedName name="우리는" hidden="1">{#N/A,#N/A,FALSE,"Sheet5"}</definedName>
    <definedName name="운영" hidden="1">{#N/A,#N/A,FALSE,"Sheet5"}</definedName>
    <definedName name="원가명세서" hidden="1">{#N/A,#N/A,FALSE,"BS";#N/A,#N/A,FALSE,"PL";#N/A,#N/A,FALSE,"처분";#N/A,#N/A,FALSE,"현금";#N/A,#N/A,FALSE,"매출";#N/A,#N/A,FALSE,"원가";#N/A,#N/A,FALSE,"경영"}</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별" hidden="1">{"'10_03일자별'!$A$2:$H$31"}</definedName>
    <definedName name="유2" hidden="1">{#N/A,#N/A,FALSE,"BS";#N/A,#N/A,FALSE,"PL";#N/A,#N/A,FALSE,"A";#N/A,#N/A,FALSE,"B";#N/A,#N/A,FALSE,"B1";#N/A,#N/A,FALSE,"C";#N/A,#N/A,FALSE,"C1";#N/A,#N/A,FALSE,"C2";#N/A,#N/A,FALSE,"D";#N/A,#N/A,FALSE,"E";#N/A,#N/A,FALSE,"F";#N/A,#N/A,FALSE,"AA";#N/A,#N/A,FALSE,"BB";#N/A,#N/A,FALSE,"CC";#N/A,#N/A,FALSE,"DD";#N/A,#N/A,FALSE,"EE";#N/A,#N/A,FALSE,"FF";#N/A,#N/A,FALSE,"PL10";#N/A,#N/A,FALSE,"PL20";#N/A,#N/A,FALSE,"PL30"}</definedName>
    <definedName name="유동성" hidden="1">{#N/A,#N/A,FALSE,"BS";#N/A,#N/A,FALSE,"PL";#N/A,#N/A,FALSE,"처분";#N/A,#N/A,FALSE,"현금";#N/A,#N/A,FALSE,"매출";#N/A,#N/A,FALSE,"원가";#N/A,#N/A,FALSE,"경영"}</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형" hidden="1">{#N/A,#N/A,FALSE,"Sheet5"}</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음냐" hidden="1">{#N/A,#N/A,FALSE,"Sheet5"}</definedName>
    <definedName name="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근우" hidden="1">{#N/A,#N/A,FALSE,"BS";#N/A,#N/A,FALSE,"PL";#N/A,#N/A,FALSE,"처분";#N/A,#N/A,FALSE,"현금";#N/A,#N/A,FALSE,"매출";#N/A,#N/A,FALSE,"원가";#N/A,#N/A,FALSE,"경영"}</definedName>
    <definedName name="이름충돌" hidden="1">{#N/A,#N/A,FALSE,"UNIT";#N/A,#N/A,FALSE,"UNIT";#N/A,#N/A,FALSE,"계정"}</definedName>
    <definedName name="이재범" hidden="1">{"'분양원가'!$B$1:$F$113"}</definedName>
    <definedName name="익손" hidden="1">{#N/A,#N/A,FALSE,"현장 NCR 분석";#N/A,#N/A,FALSE,"현장품질감사";#N/A,#N/A,FALSE,"현장품질감사"}</definedName>
    <definedName name="익손부" hidden="1">{#N/A,#N/A,FALSE,"현장 NCR 분석";#N/A,#N/A,FALSE,"현장품질감사";#N/A,#N/A,FALSE,"현장품질감사"}</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임대보증금" hidden="1">{#N/A,#N/A,FALSE,"BS";#N/A,#N/A,FALSE,"PL";#N/A,#N/A,FALSE,"처분";#N/A,#N/A,FALSE,"현금";#N/A,#N/A,FALSE,"매출";#N/A,#N/A,FALSE,"원가";#N/A,#N/A,FALSE,"경영"}</definedName>
    <definedName name="임차" hidden="1">{"'분양원가'!$B$1:$F$113"}</definedName>
    <definedName name="임차2" hidden="1">{"'분양원가'!$B$1:$F$113"}</definedName>
    <definedName name="잉여금" hidden="1">{#N/A,#N/A,FALSE,"BS";#N/A,#N/A,FALSE,"PL";#N/A,#N/A,FALSE,"처분";#N/A,#N/A,FALSE,"현금";#N/A,#N/A,FALSE,"매출";#N/A,#N/A,FALSE,"원가";#N/A,#N/A,FALSE,"경영"}</definedName>
    <definedName name="ㅈㅈ" hidden="1">[45]송전기본!#REF!</definedName>
    <definedName name="ㅈㅈㅈ"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자" hidden="1">{#N/A,#N/A,FALSE,"UNIT";#N/A,#N/A,FALSE,"UNIT";#N/A,#N/A,FALSE,"계정"}</definedName>
    <definedName name="자." hidden="1">{#N/A,#N/A,FALSE,"UNIT";#N/A,#N/A,FALSE,"UNIT";#N/A,#N/A,FALSE,"계정"}</definedName>
    <definedName name="자.." hidden="1">{#N/A,#N/A,FALSE,"UNIT";#N/A,#N/A,FALSE,"UNIT";#N/A,#N/A,FALSE,"계정"}</definedName>
    <definedName name="자본반기" hidden="1">[46]시산표!#REF!</definedName>
    <definedName name="자산" hidden="1">{#N/A,#N/A,FALSE,"현장 NCR 분석";#N/A,#N/A,FALSE,"현장품질감사";#N/A,#N/A,FALSE,"현장품질감사"}</definedName>
    <definedName name="작성조서" hidden="1">{#N/A,#N/A,FALSE,"BS";#N/A,#N/A,FALSE,"PL";#N/A,#N/A,FALSE,"처분";#N/A,#N/A,FALSE,"현금";#N/A,#N/A,FALSE,"매출";#N/A,#N/A,FALSE,"원가";#N/A,#N/A,FALSE,"경영"}</definedName>
    <definedName name="잡손1" hidden="1">{#N/A,#N/A,FALSE,"BS";#N/A,#N/A,FALSE,"PL";#N/A,#N/A,FALSE,"처분";#N/A,#N/A,FALSE,"현금";#N/A,#N/A,FALSE,"매출";#N/A,#N/A,FALSE,"원가";#N/A,#N/A,FALSE,"경영"}</definedName>
    <definedName name="잡손실12" hidden="1">{#N/A,#N/A,FALSE,"BS";#N/A,#N/A,FALSE,"PL";#N/A,#N/A,FALSE,"처분";#N/A,#N/A,FALSE,"현금";#N/A,#N/A,FALSE,"매출";#N/A,#N/A,FALSE,"원가";#N/A,#N/A,FALSE,"경영"}</definedName>
    <definedName name="잡손실2" hidden="1">{#N/A,#N/A,FALSE,"BS";#N/A,#N/A,FALSE,"PL";#N/A,#N/A,FALSE,"처분";#N/A,#N/A,FALSE,"현금";#N/A,#N/A,FALSE,"매출";#N/A,#N/A,FALSE,"원가";#N/A,#N/A,FALSE,"경영"}</definedName>
    <definedName name="장VP" hidden="1">{#N/A,#N/A,FALSE,"UNIT";#N/A,#N/A,FALSE,"UNIT";#N/A,#N/A,FALSE,"계정"}</definedName>
    <definedName name="장기" hidden="1">[47]시산표!#REF!</definedName>
    <definedName name="장기성외화예금"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재" hidden="1">{#N/A,#N/A,FALSE,"UNIT";#N/A,#N/A,FALSE,"UNIT";#N/A,#N/A,FALSE,"계정"}</definedName>
    <definedName name="재고자산" hidden="1">{"'분양원가'!$B$1:$F$113"}</definedName>
    <definedName name="재고자산이자최종" hidden="1">{"'분양원가'!$B$1:$F$113"}</definedName>
    <definedName name="재공포함" hidden="1">{#N/A,#N/A,FALSE,"Sheet5"}</definedName>
    <definedName name="재료" hidden="1">{#N/A,#N/A,FALSE,"Sheet5"}</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재재" hidden="1">{"'미착금액'!$A$4:$G$14"}</definedName>
    <definedName name="저장" hidden="1">{#N/A,#N/A,FALSE,"Sheet5"}</definedName>
    <definedName name="저장1" hidden="1">{#N/A,#N/A,FALSE,"Sheet5"}</definedName>
    <definedName name="저장2" hidden="1">{#N/A,#N/A,FALSE,"Sheet5"}</definedName>
    <definedName name="저장품" hidden="1">{"'분양원가'!$B$1:$F$113"}</definedName>
    <definedName name="저장품수불" hidden="1">{#N/A,#N/A,FALSE,"Sheet5"}</definedName>
    <definedName name="저저" hidden="1">{#N/A,#N/A,FALSE,"UNIT";#N/A,#N/A,FALSE,"UNIT";#N/A,#N/A,FALSE,"계정"}</definedName>
    <definedName name="전기특기조건" hidden="1">{#N/A,#N/A,FALSE,"현장 NCR 분석";#N/A,#N/A,FALSE,"현장품질감사";#N/A,#N/A,FALSE,"현장품질감사"}</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정" hidden="1">{#N/A,#N/A,FALSE,"UNIT";#N/A,#N/A,FALSE,"UNIT";#N/A,#N/A,FALSE,"계정"}</definedName>
    <definedName name="정문" hidden="1">{#N/A,#N/A,FALSE,"UNIT";#N/A,#N/A,FALSE,"UNIT";#N/A,#N/A,FALSE,"계정"}</definedName>
    <definedName name="정문식" hidden="1">{#N/A,#N/A,FALSE,"UNIT";#N/A,#N/A,FALSE,"UNIT";#N/A,#N/A,FALSE,"계정"}</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산표" hidden="1">{#N/A,#N/A,FALSE,"현장 NCR 분석";#N/A,#N/A,FALSE,"현장품질감사";#N/A,#N/A,FALSE,"현장품질감사"}</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제" hidden="1">{#N/A,#N/A,FALSE,"Sheet5"}</definedName>
    <definedName name="제조원가" hidden="1">{#N/A,#N/A,FALSE,"Sheet5"}</definedName>
    <definedName name="제조원가명세서" hidden="1">{#N/A,#N/A,FALSE,"BS";#N/A,#N/A,FALSE,"PL";#N/A,#N/A,FALSE,"처분";#N/A,#N/A,FALSE,"현금";#N/A,#N/A,FALSE,"매출";#N/A,#N/A,FALSE,"원가";#N/A,#N/A,FALSE,"경영"}</definedName>
    <definedName name="제품별사업전략" hidden="1">{#N/A,#N/A,FALSE,"UNIT";#N/A,#N/A,FALSE,"UNIT";#N/A,#N/A,FALSE,"계정"}</definedName>
    <definedName name="조정" hidden="1">#REF!</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주차계획" hidden="1">{#N/A,#N/A,FALSE,"UNIT";#N/A,#N/A,FALSE,"UNIT";#N/A,#N/A,FALSE,"계정"}</definedName>
    <definedName name="중"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hidden="1">{#N/A,#N/A,FALSE,"BS";#N/A,#N/A,FALSE,"PL";#N/A,#N/A,FALSE,"처분";#N/A,#N/A,FALSE,"현금";#N/A,#N/A,FALSE,"매출";#N/A,#N/A,FALSE,"원가";#N/A,#N/A,FALSE,"경영"}</definedName>
    <definedName name="중요성" hidden="1">{#N/A,#N/A,FALSE,"UNIT";#N/A,#N/A,FALSE,"UNIT";#N/A,#N/A,FALSE,"계정"}</definedName>
    <definedName name="지지지" hidden="1">{"'미착금액'!$A$4:$G$14"}</definedName>
    <definedName name="지토" hidden="1">{#N/A,#N/A,FALSE,"현장 NCR 분석";#N/A,#N/A,FALSE,"현장품질감사";#N/A,#N/A,FALSE,"현장품질감사"}</definedName>
    <definedName name="직전3개월현금흐름" hidden="1">{#N/A,#N/A,FALSE,"UNIT";#N/A,#N/A,FALSE,"UNIT";#N/A,#N/A,FALSE,"계정"}</definedName>
    <definedName name="직접재료" hidden="1">{#N/A,#N/A,FALSE,"Sheet5"}</definedName>
    <definedName name="진" hidden="1">{#N/A,#N/A,FALSE,"UNIT";#N/A,#N/A,FALSE,"UNIT";#N/A,#N/A,FALSE,"계정"}</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ㅊ" hidden="1">{#N/A,#N/A,FALSE,"BS";#N/A,#N/A,FALSE,"PL";#N/A,#N/A,FALSE,"처분";#N/A,#N/A,FALSE,"현금";#N/A,#N/A,FALSE,"매출";#N/A,#N/A,FALSE,"원가";#N/A,#N/A,FALSE,"경영"}</definedName>
    <definedName name="ㅊㅊㅊ" hidden="1">{#N/A,#N/A,FALSE,"UNIT";#N/A,#N/A,FALSE,"UNIT";#N/A,#N/A,FALSE,"계정"}</definedName>
    <definedName name="ㅊㅊㅊㅊ" hidden="1">{#N/A,#N/A,FALSE,"UNIT";#N/A,#N/A,FALSE,"UNIT";#N/A,#N/A,FALSE,"계정"}</definedName>
    <definedName name="차." hidden="1">{#N/A,#N/A,FALSE,"UNIT";#N/A,#N/A,FALSE,"UNIT";#N/A,#N/A,FALSE,"계정"}</definedName>
    <definedName name="차량SVC" hidden="1">{#N/A,#N/A,FALSE,"UNIT";#N/A,#N/A,FALSE,"UNIT";#N/A,#N/A,FALSE,"계정"}</definedName>
    <definedName name="차량별손익보고2" hidden="1">{#N/A,#N/A,FALSE,"Sheet5"}</definedName>
    <definedName name="차월및한도약정" hidden="1">{#N/A,#N/A,FALSE,"BS";#N/A,#N/A,FALSE,"PL";#N/A,#N/A,FALSE,"처분";#N/A,#N/A,FALSE,"현금";#N/A,#N/A,FALSE,"매출";#N/A,#N/A,FALSE,"원가";#N/A,#N/A,FALSE,"경영"}</definedName>
    <definedName name="차입명세" hidden="1">{"'분양원가'!$B$1:$F$113"}</definedName>
    <definedName name="참고" hidden="1">{#N/A,#N/A,FALSE,"BS";#N/A,#N/A,FALSE,"PL";#N/A,#N/A,FALSE,"처분";#N/A,#N/A,FALSE,"현금";#N/A,#N/A,FALSE,"매출";#N/A,#N/A,FALSE,"원가";#N/A,#N/A,FALSE,"경영"}</definedName>
    <definedName name="최재호" hidden="1">#REF!</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ㅋ"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ㅋㅋ" hidden="1">{#N/A,#N/A,FALSE,"UNIT";#N/A,#N/A,FALSE,"UNIT";#N/A,#N/A,FALSE,"계정"}</definedName>
    <definedName name="ㅋㅋㅋ"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ㅋㅋㅋㅋㅋ" hidden="1">{#N/A,#N/A,FALSE,"UNIT";#N/A,#N/A,FALSE,"UNIT";#N/A,#N/A,FALSE,"계정"}</definedName>
    <definedName name="ㅋㅋㅋㅋㅋㅋㅋㅋㅋㅋㅋㅋ"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ㅌ" hidden="1">{#N/A,#N/A,FALSE,"BS";#N/A,#N/A,FALSE,"PL";#N/A,#N/A,FALSE,"처분";#N/A,#N/A,FALSE,"현금";#N/A,#N/A,FALSE,"매출";#N/A,#N/A,FALSE,"원가";#N/A,#N/A,FALSE,"경영"}</definedName>
    <definedName name="ㅌㅌ" hidden="1">{#N/A,#N/A,FALSE,"UNIT";#N/A,#N/A,FALSE,"UNIT";#N/A,#N/A,FALSE,"계정"}</definedName>
    <definedName name="ㅌㅌㅌ" hidden="1">{#N/A,#N/A,FALSE,"UNIT";#N/A,#N/A,FALSE,"UNIT";#N/A,#N/A,FALSE,"계정"}</definedName>
    <definedName name="토지" hidden="1">{#N/A,#N/A,FALSE,"현장 NCR 분석";#N/A,#N/A,FALSE,"현장품질감사";#N/A,#N/A,FALSE,"현장품질감사"}</definedName>
    <definedName name="토지명세서" hidden="1">{#N/A,#N/A,FALSE,"현장 NCR 분석";#N/A,#N/A,FALSE,"현장품질감사";#N/A,#N/A,FALSE,"현장품질감사"}</definedName>
    <definedName name="토지최신" hidden="1">{#N/A,#N/A,FALSE,"현장 NCR 분석";#N/A,#N/A,FALSE,"현장품질감사";#N/A,#N/A,FALSE,"현장품질감사"}</definedName>
    <definedName name="통합" hidden="1">{#N/A,#N/A,FALSE,"BS";#N/A,#N/A,FALSE,"PL";#N/A,#N/A,FALSE,"처분";#N/A,#N/A,FALSE,"현금";#N/A,#N/A,FALSE,"매출";#N/A,#N/A,FALSE,"원가";#N/A,#N/A,FALSE,"경영"}</definedName>
    <definedName name="퇴충" hidden="1">16</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 hidden="1">{#N/A,#N/A,FALSE,"BS";#N/A,#N/A,FALSE,"PL";#N/A,#N/A,FALSE,"처분";#N/A,#N/A,FALSE,"현금";#N/A,#N/A,FALSE,"매출";#N/A,#N/A,FALSE,"원가";#N/A,#N/A,FALSE,"경영"}</definedName>
    <definedName name="투자계획1" hidden="1">{#N/A,#N/A,FALSE,"UNIT";#N/A,#N/A,FALSE,"UNIT";#N/A,#N/A,FALSE,"계정"}</definedName>
    <definedName name="투자유가증권" hidden="1">{#N/A,#N/A,FALSE,"BS";#N/A,#N/A,FALSE,"PL";#N/A,#N/A,FALSE,"처분";#N/A,#N/A,FALSE,"현금";#N/A,#N/A,FALSE,"매출";#N/A,#N/A,FALSE,"원가";#N/A,#N/A,FALSE,"경영"}</definedName>
    <definedName name="투자주식" hidden="1">{#N/A,#N/A,FALSE,"BS";#N/A,#N/A,FALSE,"PL";#N/A,#N/A,FALSE,"처분";#N/A,#N/A,FALSE,"현금";#N/A,#N/A,FALSE,"매출";#N/A,#N/A,FALSE,"원가";#N/A,#N/A,FALSE,"경영"}</definedName>
    <definedName name="투자주식명" hidden="1">{#N/A,#N/A,FALSE,"BS";#N/A,#N/A,FALSE,"PL";#N/A,#N/A,FALSE,"처분";#N/A,#N/A,FALSE,"현금";#N/A,#N/A,FALSE,"매출";#N/A,#N/A,FALSE,"원가";#N/A,#N/A,FALSE,"경영"}</definedName>
    <definedName name="투자회사양쓰" hidden="1">{#N/A,#N/A,FALSE,"BS";#N/A,#N/A,FALSE,"PL";#N/A,#N/A,FALSE,"처분";#N/A,#N/A,FALSE,"현금";#N/A,#N/A,FALSE,"매출";#N/A,#N/A,FALSE,"원가";#N/A,#N/A,FALSE,"경영"}</definedName>
    <definedName name="투자회사현황" hidden="1">{#N/A,#N/A,FALSE,"BS";#N/A,#N/A,FALSE,"PL";#N/A,#N/A,FALSE,"처분";#N/A,#N/A,FALSE,"현금";#N/A,#N/A,FALSE,"매출";#N/A,#N/A,FALSE,"원가";#N/A,#N/A,FALSE,"경영"}</definedName>
    <definedName name="틴" hidden="1">{#N/A,#N/A,FALSE,"BS";#N/A,#N/A,FALSE,"PL";#N/A,#N/A,FALSE,"처분";#N/A,#N/A,FALSE,"현금";#N/A,#N/A,FALSE,"매출";#N/A,#N/A,FALSE,"원가";#N/A,#N/A,FALSE,"경영"}</definedName>
    <definedName name="팀별계획" hidden="1">{#N/A,#N/A,FALSE,"UNIT";#N/A,#N/A,FALSE,"UNIT";#N/A,#N/A,FALSE,"계정"}</definedName>
    <definedName name="ㅍㅍㅍㅍ" hidden="1">{#N/A,#N/A,FALSE,"UNIT";#N/A,#N/A,FALSE,"UNIT";#N/A,#N/A,FALSE,"계정"}</definedName>
    <definedName name="ㅍㅍㅍㅍㅍ" hidden="1">{#N/A,#N/A,FALSE,"UNIT";#N/A,#N/A,FALSE,"UNIT";#N/A,#N/A,FALSE,"계정"}</definedName>
    <definedName name="판관비" hidden="1">{#N/A,#N/A,FALSE,"BS";#N/A,#N/A,FALSE,"PL";#N/A,#N/A,FALSE,"처분";#N/A,#N/A,FALSE,"현금";#N/A,#N/A,FALSE,"매출";#N/A,#N/A,FALSE,"원가";#N/A,#N/A,FALSE,"경영"}</definedName>
    <definedName name="판관비2" hidden="1">{"'10_03일자별'!$A$2:$H$31"}</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패션본부손익" hidden="1">{"'10_03일자별'!$A$2:$H$31"}</definedName>
    <definedName name="평균이자" hidden="1">'[48]97년'!#REF!</definedName>
    <definedName name="表紙" hidden="1">{#N/A,#N/A,FALSE,"Aging Summary";#N/A,#N/A,FALSE,"Ratio Analysis";#N/A,#N/A,FALSE,"Test 120 Day Accts";#N/A,#N/A,FALSE,"Tickmarks"}</definedName>
    <definedName name="ㅎㅀㄹㅇㅎ" hidden="1">{#N/A,#N/A,FALSE,"BS";#N/A,#N/A,FALSE,"PL";#N/A,#N/A,FALSE,"처분";#N/A,#N/A,FALSE,"현금";#N/A,#N/A,FALSE,"매출";#N/A,#N/A,FALSE,"원가";#N/A,#N/A,FALSE,"경영"}</definedName>
    <definedName name="ㅎㅎ" hidden="1">{#N/A,#N/A,FALSE,"BS";#N/A,#N/A,FALSE,"PL";#N/A,#N/A,FALSE,"처분";#N/A,#N/A,FALSE,"현금";#N/A,#N/A,FALSE,"매출";#N/A,#N/A,FALSE,"원가";#N/A,#N/A,FALSE,"경영"}</definedName>
    <definedName name="ㅎㅎㅎ"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혀ㅕㅛㅛㅑㅐㄹ" hidden="1">{#N/A,#N/A,FALSE,"BS";#N/A,#N/A,FALSE,"PL";#N/A,#N/A,FALSE,"처분";#N/A,#N/A,FALSE,"현금";#N/A,#N/A,FALSE,"매출";#N/A,#N/A,FALSE,"원가";#N/A,#N/A,FALSE,"경영"}</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하" hidden="1">{#N/A,#N/A,FALSE,"BS";#N/A,#N/A,FALSE,"PL";#N/A,#N/A,FALSE,"처분";#N/A,#N/A,FALSE,"현금";#N/A,#N/A,FALSE,"매출";#N/A,#N/A,FALSE,"원가";#N/A,#N/A,FALSE,"경영"}</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한울" hidden="1">[49]토목주소!#REF!</definedName>
    <definedName name="한울11" hidden="1">[49]프랜트면허!#REF!</definedName>
    <definedName name="해원3" hidden="1">{#N/A,#N/A,FALSE,"Sheet5"}</definedName>
    <definedName name="허" hidden="1">{#N/A,#N/A,FALSE,"BS";#N/A,#N/A,FALSE,"PL";#N/A,#N/A,FALSE,"처분";#N/A,#N/A,FALSE,"현금";#N/A,#N/A,FALSE,"매출";#N/A,#N/A,FALSE,"원가";#N/A,#N/A,FALSE,"경영"}</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흐름3개월" hidden="1">{#N/A,#N/A,FALSE,"UNIT";#N/A,#N/A,FALSE,"UNIT";#N/A,#N/A,FALSE,"계정"}</definedName>
    <definedName name="현금흐름정산표"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황" hidden="1">{#N/A,#N/A,FALSE,"BS";#N/A,#N/A,FALSE,"PL";#N/A,#N/A,FALSE,"처분";#N/A,#N/A,FALSE,"현금";#N/A,#N/A,FALSE,"매출";#N/A,#N/A,FALSE,"원가";#N/A,#N/A,FALSE,"경영"}</definedName>
    <definedName name="호" hidden="1">{#N/A,#N/A,FALSE,"UNIT";#N/A,#N/A,FALSE,"UNIT";#N/A,#N/A,FALSE,"계정"}</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확대3" hidden="1">{#N/A,#N/A,FALSE,"UNIT";#N/A,#N/A,FALSE,"UNIT";#N/A,#N/A,FALSE,"계정"}</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황" hidden="1">{"'분양원가'!$B$1:$F$113"}</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후후후" hidden="1">{"'미착금액'!$A$4:$G$14"}</definedName>
    <definedName name="흐름" hidden="1">{#N/A,#N/A,FALSE,"BS";#N/A,#N/A,FALSE,"PL";#N/A,#N/A,FALSE,"처분";#N/A,#N/A,FALSE,"현금";#N/A,#N/A,FALSE,"매출";#N/A,#N/A,FALSE,"원가";#N/A,#N/A,FALSE,"경영"}</definedName>
    <definedName name="흐름표" hidden="1">{#N/A,#N/A,FALSE,"UNIT";#N/A,#N/A,FALSE,"UNIT";#N/A,#N/A,FALSE,"계정"}</definedName>
    <definedName name="힌울" hidden="1">[49]토목주소!#REF!</definedName>
    <definedName name="ㅏ" hidden="1">{#N/A,#N/A,FALSE,"현장 NCR 분석";#N/A,#N/A,FALSE,"현장품질감사";#N/A,#N/A,FALSE,"현장품질감사"}</definedName>
    <definedName name="ㅏㅏ" hidden="1">{#N/A,#N/A,FALSE,"UNIT";#N/A,#N/A,FALSE,"UNIT";#N/A,#N/A,FALSE,"계정"}</definedName>
    <definedName name="ㅏㅣ" hidden="1">{"'분양원가'!$B$1:$F$113"}</definedName>
    <definedName name="ㅐㅔㅔ" hidden="1">{#N/A,#N/A,FALSE,"BS";#N/A,#N/A,FALSE,"PL";#N/A,#N/A,FALSE,"처분";#N/A,#N/A,FALSE,"현금";#N/A,#N/A,FALSE,"매출";#N/A,#N/A,FALSE,"원가";#N/A,#N/A,FALSE,"경영"}</definedName>
    <definedName name="ㅑ" hidden="1">{#N/A,#N/A,FALSE,"UNIT";#N/A,#N/A,FALSE,"UNIT";#N/A,#N/A,FALSE,"계정"}</definedName>
    <definedName name="ㅑㅑ" hidden="1">{#N/A,#N/A,FALSE,"UNIT";#N/A,#N/A,FALSE,"UNIT";#N/A,#N/A,FALSE,"계정"}</definedName>
    <definedName name="ㅑㅑㅑㅑ" hidden="1">{#N/A,#N/A,FALSE,"UNIT";#N/A,#N/A,FALSE,"UNIT";#N/A,#N/A,FALSE,"계정"}</definedName>
    <definedName name="ㅓ" hidden="1">{#N/A,#N/A,FALSE,"현장 NCR 분석";#N/A,#N/A,FALSE,"현장품질감사";#N/A,#N/A,FALSE,"현장품질감사"}</definedName>
    <definedName name="ㅓㅏ리앙" hidden="1">{#N/A,#N/A,FALSE,"UNIT";#N/A,#N/A,FALSE,"UNIT";#N/A,#N/A,FALSE,"계정"}</definedName>
    <definedName name="ㅓㅏㅣㅐㅐ" hidden="1">{#N/A,#N/A,FALSE,"BS";#N/A,#N/A,FALSE,"PL";#N/A,#N/A,FALSE,"처분";#N/A,#N/A,FALSE,"현금";#N/A,#N/A,FALSE,"매출";#N/A,#N/A,FALSE,"원가";#N/A,#N/A,FALSE,"경영"}</definedName>
    <definedName name="ㅓㅓ" hidden="1">{#N/A,#N/A,FALSE,"UNIT";#N/A,#N/A,FALSE,"UNIT";#N/A,#N/A,FALSE,"계정"}</definedName>
    <definedName name="ㅓㅓㅓㅣㅣㅣㅣ" hidden="1">{#N/A,#N/A,FALSE,"BS";#N/A,#N/A,FALSE,"PL";#N/A,#N/A,FALSE,"처분";#N/A,#N/A,FALSE,"현금";#N/A,#N/A,FALSE,"매출";#N/A,#N/A,FALSE,"원가";#N/A,#N/A,FALSE,"경영"}</definedName>
    <definedName name="ㅓㅗㅎㄹ" hidden="1">{#N/A,#N/A,FALSE,"BS";#N/A,#N/A,FALSE,"PL";#N/A,#N/A,FALSE,"A";#N/A,#N/A,FALSE,"B";#N/A,#N/A,FALSE,"B1";#N/A,#N/A,FALSE,"C";#N/A,#N/A,FALSE,"C1";#N/A,#N/A,FALSE,"C2";#N/A,#N/A,FALSE,"D";#N/A,#N/A,FALSE,"E";#N/A,#N/A,FALSE,"F";#N/A,#N/A,FALSE,"AA";#N/A,#N/A,FALSE,"BB";#N/A,#N/A,FALSE,"CC";#N/A,#N/A,FALSE,"DD";#N/A,#N/A,FALSE,"EE";#N/A,#N/A,FALSE,"FF";#N/A,#N/A,FALSE,"PL10";#N/A,#N/A,FALSE,"PL20";#N/A,#N/A,FALSE,"PL30"}</definedName>
    <definedName name="ㅔ" hidden="1">{#N/A,#N/A,FALSE,"UNIT";#N/A,#N/A,FALSE,"UNIT";#N/A,#N/A,FALSE,"계정"}</definedName>
    <definedName name="ㅔㅐㅑㅓㅎㅎ라" hidden="1">[43]LeadSchedule!#REF!</definedName>
    <definedName name="ㅔㅔ" hidden="1">{#N/A,#N/A,FALSE,"UNIT";#N/A,#N/A,FALSE,"UNIT";#N/A,#N/A,FALSE,"계정"}</definedName>
    <definedName name="ㅔㅔㅔ" hidden="1">{#N/A,#N/A,FALSE,"UNIT";#N/A,#N/A,FALSE,"UNIT";#N/A,#N/A,FALSE,"계정"}</definedName>
    <definedName name="ㅕ" hidden="1">{#N/A,#N/A,FALSE,"BS";#N/A,#N/A,FALSE,"PL";#N/A,#N/A,FALSE,"처분";#N/A,#N/A,FALSE,"현금";#N/A,#N/A,FALSE,"매출";#N/A,#N/A,FALSE,"원가";#N/A,#N/A,FALSE,"경영"}</definedName>
    <definedName name="ㅕㅕㅕ" hidden="1">{#N/A,#N/A,FALSE,"UNIT";#N/A,#N/A,FALSE,"UNIT";#N/A,#N/A,FALSE,"계정"}</definedName>
    <definedName name="ㅗ" hidden="1">{#N/A,#N/A,FALSE,"현장 NCR 분석";#N/A,#N/A,FALSE,"현장품질감사";#N/A,#N/A,FALSE,"현장품질감사"}</definedName>
    <definedName name="ㅗㅗ" hidden="1">{#N/A,#N/A,FALSE,"UNIT";#N/A,#N/A,FALSE,"UNIT";#N/A,#N/A,FALSE,"계정"}</definedName>
    <definedName name="ㅛ" hidden="1">{#N/A,#N/A,FALSE,"BS";#N/A,#N/A,FALSE,"PL";#N/A,#N/A,FALSE,"처분";#N/A,#N/A,FALSE,"현금";#N/A,#N/A,FALSE,"매출";#N/A,#N/A,FALSE,"원가";#N/A,#N/A,FALSE,"경영"}</definedName>
    <definedName name="ㅛㅛㅛ" hidden="1">{#N/A,#N/A,FALSE,"UNIT";#N/A,#N/A,FALSE,"UNIT";#N/A,#N/A,FALSE,"계정"}</definedName>
    <definedName name="ㅜ" hidden="1">{#N/A,#N/A,FALSE,"UNIT";#N/A,#N/A,FALSE,"UNIT";#N/A,#N/A,FALSE,"계정"}</definedName>
    <definedName name="ㅜㅜ" hidden="1">{#N/A,#N/A,FALSE,"UNIT";#N/A,#N/A,FALSE,"UNIT";#N/A,#N/A,FALSE,"계정"}</definedName>
    <definedName name="ㅜㅜㅜㅜ" hidden="1">{#N/A,#N/A,FALSE,"UNIT";#N/A,#N/A,FALSE,"UNIT";#N/A,#N/A,FALSE,"계정"}</definedName>
    <definedName name="ㅜㅜㅜㅜㅜㅜ" hidden="1">{#N/A,#N/A,FALSE,"UNIT";#N/A,#N/A,FALSE,"UNIT";#N/A,#N/A,FALSE,"계정"}</definedName>
    <definedName name="ㅠ" hidden="1">{#N/A,#N/A,FALSE,"UNIT";#N/A,#N/A,FALSE,"UNIT";#N/A,#N/A,FALSE,"계정"}</definedName>
    <definedName name="ㅠㅍ" hidden="1">{#N/A,#N/A,FALSE,"UNIT";#N/A,#N/A,FALSE,"UNIT";#N/A,#N/A,FALSE,"계정"}</definedName>
    <definedName name="ㅠㅠㅠㅠㅠ" hidden="1">{#N/A,#N/A,FALSE,"UNIT";#N/A,#N/A,FALSE,"UNIT";#N/A,#N/A,FALSE,"계정"}</definedName>
    <definedName name="ㅠㅠㅠㅠㅠㅠ" hidden="1">{#N/A,#N/A,FALSE,"UNIT";#N/A,#N/A,FALSE,"UNIT";#N/A,#N/A,FALSE,"계정"}</definedName>
    <definedName name="ㅡ" hidden="1">{#N/A,#N/A,FALSE,"UNIT";#N/A,#N/A,FALSE,"UNIT";#N/A,#N/A,FALSE,"계정"}</definedName>
    <definedName name="ㅡㅡ" hidden="1">{#N/A,#N/A,FALSE,"UNIT";#N/A,#N/A,FALSE,"UNIT";#N/A,#N/A,FALSE,"계정"}</definedName>
    <definedName name="ㅡㅡㅡ" hidden="1">{#N/A,#N/A,FALSE,"UNIT";#N/A,#N/A,FALSE,"UNIT";#N/A,#N/A,FALSE,"계정"}</definedName>
    <definedName name="ㅡㅡㅡㅡㅡ" hidden="1">{#N/A,#N/A,FALSE,"UNIT";#N/A,#N/A,FALSE,"UNIT";#N/A,#N/A,FALSE,"계정"}</definedName>
    <definedName name="ㅡㅡㅡㅡㅡㅡ" hidden="1">{#N/A,#N/A,FALSE,"UNIT";#N/A,#N/A,FALSE,"UNIT";#N/A,#N/A,FALSE,"계정"}</definedName>
    <definedName name="ㅣㅣ" hidden="1">{#N/A,#N/A,TRUE,"Summary";#N/A,#N/A,TRUE,"IS";#N/A,#N/A,TRUE,"Adj";#N/A,#N/A,TRUE,"BS";#N/A,#N/A,TRUE,"CF";#N/A,#N/A,TRUE,"Debt";#N/A,#N/A,TRUE,"IRR"}</definedName>
    <definedName name="ㅣㅣㅣㅣ" hidden="1">{#N/A,#N/A,FALSE,"UNIT";#N/A,#N/A,FALSE,"UNIT";#N/A,#N/A,FALSE,"계정"}</definedName>
  </definedNames>
  <calcPr calcId="152511" iterateCount="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2" i="27" l="1"/>
  <c r="E41" i="27"/>
  <c r="G42" i="27"/>
  <c r="H42" i="27"/>
  <c r="H41" i="27"/>
  <c r="G41" i="27"/>
  <c r="AF13" i="3" l="1"/>
  <c r="L22" i="27" s="1"/>
  <c r="AE13" i="3"/>
  <c r="AF12" i="3"/>
  <c r="AE12" i="3"/>
  <c r="Y13" i="3"/>
  <c r="Y12" i="3"/>
  <c r="X13" i="3"/>
  <c r="X12" i="3"/>
  <c r="H20" i="27"/>
  <c r="H19" i="27"/>
  <c r="G20" i="27"/>
  <c r="G19" i="27"/>
  <c r="AF19" i="3"/>
  <c r="AE19" i="3"/>
  <c r="AF18" i="3"/>
  <c r="AE18" i="3"/>
  <c r="AF17" i="3"/>
  <c r="AE17" i="3"/>
  <c r="AF16" i="3"/>
  <c r="L13" i="27" s="1"/>
  <c r="AE16" i="3"/>
  <c r="AF15" i="3"/>
  <c r="AE15" i="3"/>
  <c r="K12" i="27" s="1"/>
  <c r="Y19" i="3"/>
  <c r="X19" i="3"/>
  <c r="Y18" i="3"/>
  <c r="X18" i="3"/>
  <c r="Y17" i="3"/>
  <c r="X17" i="3"/>
  <c r="Y16" i="3"/>
  <c r="X16" i="3"/>
  <c r="Y15" i="3"/>
  <c r="X15" i="3"/>
  <c r="J42" i="27"/>
  <c r="F42" i="27"/>
  <c r="D42" i="27"/>
  <c r="C42" i="27"/>
  <c r="B42" i="27"/>
  <c r="J41" i="27"/>
  <c r="J43" i="27" s="1"/>
  <c r="F41" i="27"/>
  <c r="D41" i="27"/>
  <c r="C41" i="27"/>
  <c r="B41" i="27"/>
  <c r="L15" i="27"/>
  <c r="K15" i="27"/>
  <c r="J15" i="27"/>
  <c r="F15" i="27"/>
  <c r="D15" i="27"/>
  <c r="C15" i="27"/>
  <c r="B15" i="27"/>
  <c r="L14" i="27"/>
  <c r="J14" i="27"/>
  <c r="F14" i="27"/>
  <c r="D14" i="27"/>
  <c r="C14" i="27"/>
  <c r="B14" i="27"/>
  <c r="K13" i="27"/>
  <c r="J13" i="27"/>
  <c r="F13" i="27"/>
  <c r="D13" i="27"/>
  <c r="C13" i="27"/>
  <c r="B13" i="27"/>
  <c r="L12" i="27"/>
  <c r="J12" i="27"/>
  <c r="F12" i="27"/>
  <c r="D12" i="27"/>
  <c r="C12" i="27"/>
  <c r="B12" i="27"/>
  <c r="L21" i="27"/>
  <c r="K21" i="27"/>
  <c r="J21" i="27"/>
  <c r="F21" i="27"/>
  <c r="D21" i="27"/>
  <c r="C21" i="27"/>
  <c r="B21" i="27"/>
  <c r="J22" i="27"/>
  <c r="F22" i="27"/>
  <c r="D22" i="27"/>
  <c r="C22" i="27"/>
  <c r="B22" i="27"/>
  <c r="L20" i="27"/>
  <c r="K20" i="27"/>
  <c r="J20" i="27"/>
  <c r="F20" i="27"/>
  <c r="D20" i="27"/>
  <c r="C20" i="27"/>
  <c r="B20" i="27"/>
  <c r="L19" i="27"/>
  <c r="K19" i="27"/>
  <c r="J19" i="27"/>
  <c r="F19" i="27"/>
  <c r="D19" i="27"/>
  <c r="C19" i="27"/>
  <c r="B19" i="27"/>
  <c r="J44" i="27" l="1"/>
  <c r="L44" i="27"/>
  <c r="L43" i="27"/>
  <c r="K23" i="27"/>
  <c r="L23" i="27"/>
  <c r="K24" i="27"/>
  <c r="L24" i="27"/>
  <c r="J24" i="27"/>
  <c r="J23" i="27"/>
  <c r="L37" i="27" l="1"/>
  <c r="J37" i="27"/>
  <c r="F37" i="27"/>
  <c r="D37" i="27"/>
  <c r="C37" i="27"/>
  <c r="B37" i="27"/>
  <c r="L36" i="27"/>
  <c r="K36" i="27"/>
  <c r="J36" i="27"/>
  <c r="F36" i="27"/>
  <c r="D36" i="27"/>
  <c r="C36" i="27"/>
  <c r="B36" i="27"/>
  <c r="L11" i="27"/>
  <c r="K11" i="27"/>
  <c r="J11" i="27"/>
  <c r="F11" i="27"/>
  <c r="D11" i="27"/>
  <c r="C11" i="27"/>
  <c r="B11" i="27"/>
  <c r="E2" i="27"/>
  <c r="L10" i="27"/>
  <c r="K10" i="27"/>
  <c r="AF27" i="3"/>
  <c r="AE27" i="3"/>
  <c r="AF26" i="3"/>
  <c r="AE26" i="3"/>
  <c r="Y27" i="3"/>
  <c r="X27" i="3"/>
  <c r="Y26" i="3"/>
  <c r="X26" i="3"/>
  <c r="AF8" i="3"/>
  <c r="AE8" i="3"/>
  <c r="AF7" i="3"/>
  <c r="AE7" i="3"/>
  <c r="Y8" i="3"/>
  <c r="X8" i="3"/>
  <c r="Y7" i="3"/>
  <c r="X7" i="3"/>
  <c r="F10" i="27"/>
  <c r="D10" i="27"/>
  <c r="C10" i="27"/>
  <c r="B10" i="27"/>
  <c r="J47" i="27" l="1"/>
  <c r="J46" i="27"/>
  <c r="K47" i="27"/>
  <c r="K46" i="27"/>
  <c r="L47" i="27"/>
  <c r="L46" i="27"/>
  <c r="K16" i="27"/>
  <c r="K17" i="27"/>
  <c r="K27" i="27"/>
  <c r="K26" i="27"/>
  <c r="L16" i="27"/>
  <c r="L17" i="27"/>
  <c r="L26" i="27"/>
  <c r="L27" i="27"/>
  <c r="E10" i="27"/>
  <c r="H12" i="27"/>
  <c r="E13" i="27"/>
  <c r="G12" i="27"/>
  <c r="E22" i="27"/>
  <c r="G22" i="27"/>
  <c r="H15" i="27"/>
  <c r="H14" i="27"/>
  <c r="H21" i="27"/>
  <c r="G21" i="27"/>
  <c r="E19" i="27"/>
  <c r="H13" i="27"/>
  <c r="H22" i="27"/>
  <c r="E14" i="27"/>
  <c r="E21" i="27"/>
  <c r="G15" i="27"/>
  <c r="E12" i="27"/>
  <c r="E20" i="27"/>
  <c r="E15" i="27"/>
  <c r="G14" i="27"/>
  <c r="G13" i="27"/>
  <c r="J39" i="27"/>
  <c r="E37" i="27"/>
  <c r="G36" i="27"/>
  <c r="L39" i="27"/>
  <c r="J38" i="27"/>
  <c r="L38" i="27"/>
  <c r="H36" i="27"/>
  <c r="G37" i="27"/>
  <c r="H37" i="27"/>
  <c r="E36" i="27"/>
  <c r="E11" i="27"/>
  <c r="G10" i="27"/>
  <c r="G11" i="27"/>
  <c r="H10" i="27"/>
  <c r="H11" i="27"/>
  <c r="J22" i="26" l="1"/>
  <c r="J26" i="26"/>
  <c r="J25" i="26"/>
  <c r="J24" i="26"/>
  <c r="J23" i="26"/>
  <c r="K8" i="26"/>
  <c r="K7" i="26"/>
  <c r="J7" i="26"/>
  <c r="I7" i="26"/>
  <c r="I8" i="26"/>
  <c r="K22" i="26" s="1"/>
  <c r="J17" i="26"/>
  <c r="I20" i="26"/>
  <c r="J20" i="26" s="1"/>
  <c r="I19" i="26"/>
  <c r="J19" i="26" s="1"/>
  <c r="I18" i="26"/>
  <c r="J18" i="26" s="1"/>
  <c r="K6" i="26"/>
  <c r="K17" i="26" s="1"/>
  <c r="D6" i="26" s="1"/>
  <c r="J6" i="26"/>
  <c r="I6" i="26"/>
  <c r="K19" i="26" l="1"/>
  <c r="K18" i="26"/>
  <c r="K20" i="26"/>
  <c r="D8" i="26"/>
  <c r="D10" i="26" s="1"/>
  <c r="D13" i="26" s="1"/>
  <c r="D23" i="26" s="1"/>
  <c r="K23" i="26"/>
  <c r="K24" i="26" s="1"/>
  <c r="K25" i="26" s="1"/>
  <c r="K26" i="26" s="1"/>
  <c r="C20" i="19"/>
  <c r="D20" i="19"/>
  <c r="D9" i="26" l="1"/>
  <c r="D12" i="26" s="1"/>
  <c r="D11" i="26" s="1"/>
  <c r="D14" i="14"/>
  <c r="D14" i="15"/>
  <c r="D13" i="20"/>
  <c r="B5" i="20"/>
  <c r="D14" i="18"/>
  <c r="C14" i="18"/>
  <c r="K29" i="3" l="1"/>
  <c r="U29" i="3"/>
  <c r="T29" i="3"/>
  <c r="S29" i="3"/>
  <c r="U30" i="3"/>
  <c r="T30" i="3"/>
  <c r="S30" i="3"/>
  <c r="K30" i="3"/>
  <c r="V16" i="3" l="1"/>
  <c r="U16" i="3"/>
  <c r="T16" i="3"/>
  <c r="S16" i="3"/>
  <c r="R16" i="3"/>
  <c r="O16" i="3"/>
  <c r="N16" i="3"/>
  <c r="C12" i="23"/>
  <c r="C11" i="23"/>
  <c r="C15" i="23"/>
  <c r="C5" i="23"/>
  <c r="C16" i="23"/>
  <c r="C14" i="23"/>
  <c r="C9" i="23"/>
  <c r="H8" i="23"/>
  <c r="C7" i="23"/>
  <c r="C6" i="23" s="1"/>
  <c r="H6" i="23"/>
  <c r="H5" i="23"/>
  <c r="H4" i="23"/>
  <c r="C4" i="23"/>
  <c r="C10" i="23" l="1"/>
  <c r="C3" i="23"/>
  <c r="H7" i="23"/>
  <c r="M16" i="3" l="1"/>
  <c r="P16" i="3" s="1"/>
  <c r="U10" i="3"/>
  <c r="T10" i="3"/>
  <c r="S10" i="3"/>
  <c r="N10" i="3"/>
  <c r="K10" i="3"/>
  <c r="M10" i="3" s="1"/>
  <c r="U11" i="3"/>
  <c r="T11" i="3"/>
  <c r="S11" i="3"/>
  <c r="N11" i="3"/>
  <c r="K11" i="3"/>
  <c r="M11" i="3" s="1"/>
  <c r="C22" i="19"/>
  <c r="D22" i="19"/>
  <c r="P11" i="3" l="1"/>
  <c r="AC11" i="3" s="1"/>
  <c r="Z16" i="3"/>
  <c r="W16" i="3"/>
  <c r="AC16" i="3"/>
  <c r="AA16" i="3"/>
  <c r="AB16" i="3"/>
  <c r="P10" i="3"/>
  <c r="W10" i="3" s="1"/>
  <c r="Z11" i="3" l="1"/>
  <c r="W11" i="3"/>
  <c r="AB11" i="3"/>
  <c r="AA11" i="3"/>
  <c r="Z10" i="3"/>
  <c r="AC10" i="3"/>
  <c r="AA10" i="3"/>
  <c r="AB10" i="3"/>
  <c r="D36" i="19" l="1"/>
  <c r="C36" i="19"/>
  <c r="V15" i="3" l="1"/>
  <c r="D35" i="20"/>
  <c r="C35" i="20"/>
  <c r="D32" i="20"/>
  <c r="I5" i="20" s="1"/>
  <c r="C32" i="20"/>
  <c r="I4" i="20" s="1"/>
  <c r="U8" i="3" s="1"/>
  <c r="D31" i="20"/>
  <c r="C31" i="20"/>
  <c r="D30" i="20"/>
  <c r="C30" i="20"/>
  <c r="D29" i="20"/>
  <c r="G5" i="20" s="1"/>
  <c r="C29" i="20"/>
  <c r="D21" i="20"/>
  <c r="C21" i="20"/>
  <c r="D20" i="20"/>
  <c r="C20" i="20"/>
  <c r="D19" i="20"/>
  <c r="C19" i="20"/>
  <c r="D17" i="20"/>
  <c r="C17" i="20"/>
  <c r="D12" i="20"/>
  <c r="C12" i="20"/>
  <c r="D11" i="20"/>
  <c r="C11" i="20"/>
  <c r="D10" i="20"/>
  <c r="C10" i="20"/>
  <c r="J5" i="20"/>
  <c r="F5" i="20"/>
  <c r="J4" i="20"/>
  <c r="V8" i="3" s="1"/>
  <c r="G4" i="20"/>
  <c r="S8" i="3" s="1"/>
  <c r="F4" i="20"/>
  <c r="R8" i="3" s="1"/>
  <c r="D33" i="19"/>
  <c r="D34" i="19" s="1"/>
  <c r="H5" i="19" s="1"/>
  <c r="C33" i="19"/>
  <c r="I4" i="19" s="1"/>
  <c r="U7" i="3" s="1"/>
  <c r="D32" i="19"/>
  <c r="C32" i="19"/>
  <c r="D31" i="19"/>
  <c r="C31" i="19"/>
  <c r="D30" i="19"/>
  <c r="G5" i="19" s="1"/>
  <c r="C30" i="19"/>
  <c r="G4" i="19" s="1"/>
  <c r="S7" i="3" s="1"/>
  <c r="D19" i="19"/>
  <c r="C19" i="19"/>
  <c r="D18" i="19"/>
  <c r="D21" i="19" s="1"/>
  <c r="C18" i="19"/>
  <c r="C21" i="19" s="1"/>
  <c r="D13" i="19"/>
  <c r="C13" i="19"/>
  <c r="D12" i="19"/>
  <c r="C12" i="19"/>
  <c r="D11" i="19"/>
  <c r="C11" i="19"/>
  <c r="J5" i="19"/>
  <c r="F5" i="19"/>
  <c r="J4" i="19"/>
  <c r="V7" i="3" s="1"/>
  <c r="F4" i="19"/>
  <c r="R7" i="3" s="1"/>
  <c r="D36" i="18"/>
  <c r="C36" i="18"/>
  <c r="D33" i="18"/>
  <c r="C33" i="18"/>
  <c r="I4" i="18" s="1"/>
  <c r="D30" i="18"/>
  <c r="G5" i="18" s="1"/>
  <c r="S17" i="3" s="1"/>
  <c r="C30" i="18"/>
  <c r="D21" i="18"/>
  <c r="C21" i="18"/>
  <c r="C17" i="18" s="1"/>
  <c r="C4" i="18" s="1"/>
  <c r="D18" i="18"/>
  <c r="C18" i="18"/>
  <c r="D12" i="18"/>
  <c r="C12" i="18"/>
  <c r="D11" i="18"/>
  <c r="C11" i="18"/>
  <c r="J5" i="18"/>
  <c r="V17" i="3" s="1"/>
  <c r="F5" i="18"/>
  <c r="R17" i="3" s="1"/>
  <c r="J4" i="18"/>
  <c r="G4" i="18"/>
  <c r="F4" i="18"/>
  <c r="D36" i="17"/>
  <c r="C36" i="17"/>
  <c r="D33" i="17"/>
  <c r="D34" i="17" s="1"/>
  <c r="H5" i="17" s="1"/>
  <c r="C33" i="17"/>
  <c r="I4" i="17" s="1"/>
  <c r="U15" i="3" s="1"/>
  <c r="D30" i="17"/>
  <c r="C30" i="17"/>
  <c r="D22" i="17"/>
  <c r="D21" i="17"/>
  <c r="D18" i="17"/>
  <c r="C18" i="17"/>
  <c r="C17" i="17"/>
  <c r="C4" i="17" s="1"/>
  <c r="O15" i="3" s="1"/>
  <c r="D13" i="17"/>
  <c r="C13" i="17"/>
  <c r="D12" i="17"/>
  <c r="C12" i="17"/>
  <c r="J5" i="17"/>
  <c r="G5" i="17"/>
  <c r="F5" i="17"/>
  <c r="J4" i="17"/>
  <c r="G4" i="17"/>
  <c r="S15" i="3" s="1"/>
  <c r="F4" i="17"/>
  <c r="R15" i="3" s="1"/>
  <c r="D36" i="15"/>
  <c r="C36" i="15"/>
  <c r="D33" i="15"/>
  <c r="D34" i="15" s="1"/>
  <c r="H5" i="15" s="1"/>
  <c r="T18" i="3" s="1"/>
  <c r="C33" i="15"/>
  <c r="D30" i="15"/>
  <c r="G5" i="15" s="1"/>
  <c r="S18" i="3" s="1"/>
  <c r="C30" i="15"/>
  <c r="G4" i="15" s="1"/>
  <c r="D22" i="15"/>
  <c r="C22" i="15"/>
  <c r="D21" i="15"/>
  <c r="C21" i="15"/>
  <c r="C17" i="15" s="1"/>
  <c r="C4" i="15" s="1"/>
  <c r="D18" i="15"/>
  <c r="D17" i="15" s="1"/>
  <c r="C5" i="15" s="1"/>
  <c r="O18" i="3" s="1"/>
  <c r="C18" i="15"/>
  <c r="D13" i="15"/>
  <c r="C13" i="15"/>
  <c r="D12" i="15"/>
  <c r="C12" i="15"/>
  <c r="D11" i="15"/>
  <c r="C11" i="15"/>
  <c r="J5" i="15"/>
  <c r="V18" i="3" s="1"/>
  <c r="F5" i="15"/>
  <c r="R18" i="3" s="1"/>
  <c r="J4" i="15"/>
  <c r="I4" i="15"/>
  <c r="F4" i="15"/>
  <c r="T118" i="14"/>
  <c r="D36" i="14" s="1"/>
  <c r="S118" i="14"/>
  <c r="C36" i="14" s="1"/>
  <c r="D33" i="14"/>
  <c r="C33" i="14"/>
  <c r="D30" i="14"/>
  <c r="C30" i="14"/>
  <c r="C22" i="14"/>
  <c r="D21" i="14"/>
  <c r="D17" i="14" s="1"/>
  <c r="C5" i="14" s="1"/>
  <c r="C21" i="14"/>
  <c r="D18" i="14"/>
  <c r="C18" i="14"/>
  <c r="C17" i="14" s="1"/>
  <c r="C4" i="14" s="1"/>
  <c r="O19" i="3" s="1"/>
  <c r="D13" i="14"/>
  <c r="C13" i="14"/>
  <c r="D12" i="14"/>
  <c r="C12" i="14"/>
  <c r="C14" i="14" s="1"/>
  <c r="B4" i="14" s="1"/>
  <c r="N19" i="3" s="1"/>
  <c r="D11" i="14"/>
  <c r="B5" i="14" s="1"/>
  <c r="C11" i="14"/>
  <c r="J5" i="14"/>
  <c r="I5" i="14"/>
  <c r="G5" i="14"/>
  <c r="F5" i="14"/>
  <c r="J4" i="14"/>
  <c r="V19" i="3" s="1"/>
  <c r="G4" i="14"/>
  <c r="S19" i="3" s="1"/>
  <c r="F4" i="14"/>
  <c r="R19" i="3" s="1"/>
  <c r="C5" i="20" l="1"/>
  <c r="C33" i="20"/>
  <c r="H4" i="20" s="1"/>
  <c r="T8" i="3" s="1"/>
  <c r="D33" i="20"/>
  <c r="H5" i="20" s="1"/>
  <c r="C14" i="19"/>
  <c r="B4" i="19" s="1"/>
  <c r="N7" i="3" s="1"/>
  <c r="D14" i="19"/>
  <c r="B5" i="19" s="1"/>
  <c r="C34" i="14"/>
  <c r="H4" i="14" s="1"/>
  <c r="T19" i="3" s="1"/>
  <c r="D34" i="14"/>
  <c r="H5" i="14" s="1"/>
  <c r="I5" i="15"/>
  <c r="U18" i="3" s="1"/>
  <c r="B5" i="15"/>
  <c r="N18" i="3" s="1"/>
  <c r="C14" i="15"/>
  <c r="B4" i="15" s="1"/>
  <c r="C34" i="15"/>
  <c r="H4" i="15" s="1"/>
  <c r="B5" i="18"/>
  <c r="N17" i="3" s="1"/>
  <c r="B4" i="18"/>
  <c r="D17" i="18"/>
  <c r="C5" i="18" s="1"/>
  <c r="O17" i="3" s="1"/>
  <c r="D34" i="18"/>
  <c r="H5" i="18" s="1"/>
  <c r="T17" i="3" s="1"/>
  <c r="C14" i="17"/>
  <c r="B4" i="17" s="1"/>
  <c r="N15" i="3" s="1"/>
  <c r="D14" i="17"/>
  <c r="B5" i="17" s="1"/>
  <c r="D17" i="17"/>
  <c r="C5" i="17" s="1"/>
  <c r="C4" i="20"/>
  <c r="O8" i="3" s="1"/>
  <c r="I4" i="14"/>
  <c r="U19" i="3" s="1"/>
  <c r="I5" i="17"/>
  <c r="C34" i="17"/>
  <c r="H4" i="17" s="1"/>
  <c r="T15" i="3" s="1"/>
  <c r="I5" i="18"/>
  <c r="U17" i="3" s="1"/>
  <c r="C34" i="18"/>
  <c r="H4" i="18" s="1"/>
  <c r="I5" i="19"/>
  <c r="C17" i="19"/>
  <c r="C4" i="19" s="1"/>
  <c r="O7" i="3" s="1"/>
  <c r="C34" i="19"/>
  <c r="H4" i="19" s="1"/>
  <c r="T7" i="3" s="1"/>
  <c r="D17" i="19"/>
  <c r="C5" i="19" s="1"/>
  <c r="V26" i="3" l="1"/>
  <c r="U26" i="3"/>
  <c r="T26" i="3"/>
  <c r="S26" i="3"/>
  <c r="R26" i="3"/>
  <c r="O26" i="3"/>
  <c r="N26" i="3"/>
  <c r="D16" i="12"/>
  <c r="C16" i="12"/>
  <c r="D15" i="12"/>
  <c r="C15" i="12"/>
  <c r="D14" i="12"/>
  <c r="C14" i="12"/>
  <c r="D13" i="12"/>
  <c r="C13" i="12"/>
  <c r="D17" i="12"/>
  <c r="C17" i="12"/>
  <c r="D12" i="12"/>
  <c r="C12" i="12"/>
  <c r="D11" i="12"/>
  <c r="C11" i="12"/>
  <c r="D9" i="12"/>
  <c r="C9" i="12"/>
  <c r="D8" i="12"/>
  <c r="C8" i="12"/>
  <c r="D7" i="12"/>
  <c r="C7" i="12"/>
  <c r="D5" i="12"/>
  <c r="C5" i="12"/>
  <c r="D4" i="12"/>
  <c r="C4" i="12"/>
  <c r="J3" i="12"/>
  <c r="I3" i="12"/>
  <c r="H3" i="12"/>
  <c r="G3" i="12"/>
  <c r="J4" i="12"/>
  <c r="I4" i="12"/>
  <c r="H4" i="12"/>
  <c r="G4" i="12"/>
  <c r="H41" i="12"/>
  <c r="G41" i="12"/>
  <c r="H39" i="12"/>
  <c r="G39" i="12"/>
  <c r="M26" i="3"/>
  <c r="P26" i="3" l="1"/>
  <c r="AA26" i="3" s="1"/>
  <c r="C10" i="12"/>
  <c r="K4" i="12"/>
  <c r="D10" i="12"/>
  <c r="C3" i="12"/>
  <c r="C6" i="12"/>
  <c r="D6" i="12"/>
  <c r="K3" i="12"/>
  <c r="D3" i="12"/>
  <c r="Z26" i="3" l="1"/>
  <c r="AB26" i="3"/>
  <c r="W26" i="3"/>
  <c r="AC26" i="3"/>
  <c r="J4" i="9"/>
  <c r="V27" i="3" s="1"/>
  <c r="I4" i="9"/>
  <c r="U27" i="3" s="1"/>
  <c r="G4" i="9"/>
  <c r="S27" i="3" s="1"/>
  <c r="J3" i="9"/>
  <c r="I3" i="9"/>
  <c r="G3" i="9"/>
  <c r="D15" i="9"/>
  <c r="C15" i="9"/>
  <c r="D14" i="9"/>
  <c r="C14" i="9"/>
  <c r="D13" i="9"/>
  <c r="C13" i="9"/>
  <c r="D12" i="9"/>
  <c r="C12" i="9"/>
  <c r="D11" i="9"/>
  <c r="C11" i="9"/>
  <c r="D9" i="9"/>
  <c r="C9" i="9"/>
  <c r="D8" i="9"/>
  <c r="D6" i="9" s="1"/>
  <c r="C8" i="9"/>
  <c r="C6" i="9" s="1"/>
  <c r="D7" i="9"/>
  <c r="C7" i="9"/>
  <c r="D5" i="9"/>
  <c r="C5" i="9"/>
  <c r="D4" i="9"/>
  <c r="C4" i="9"/>
  <c r="D16" i="9"/>
  <c r="C16" i="9"/>
  <c r="R27" i="3" s="1"/>
  <c r="K5" i="7"/>
  <c r="K4" i="7"/>
  <c r="D10" i="9"/>
  <c r="D3" i="9"/>
  <c r="H43" i="9"/>
  <c r="H45" i="9" s="1"/>
  <c r="H4" i="9" s="1"/>
  <c r="T27" i="3" s="1"/>
  <c r="G43" i="9"/>
  <c r="G45" i="9" s="1"/>
  <c r="H3" i="9" s="1"/>
  <c r="I5" i="7"/>
  <c r="D8" i="7"/>
  <c r="D17" i="7"/>
  <c r="C17" i="7"/>
  <c r="D15" i="7"/>
  <c r="C15" i="7"/>
  <c r="D14" i="7"/>
  <c r="C14" i="7"/>
  <c r="D13" i="7"/>
  <c r="C13" i="7"/>
  <c r="D12" i="7"/>
  <c r="C12" i="7"/>
  <c r="C8" i="7"/>
  <c r="C7" i="7" s="1"/>
  <c r="D4" i="7"/>
  <c r="C4" i="7"/>
  <c r="C6" i="7"/>
  <c r="C5" i="7"/>
  <c r="D6" i="7"/>
  <c r="D5" i="7"/>
  <c r="J5" i="7"/>
  <c r="H5" i="7"/>
  <c r="G5" i="7"/>
  <c r="J4" i="7"/>
  <c r="I4" i="7"/>
  <c r="H4" i="7"/>
  <c r="G4" i="7"/>
  <c r="H44" i="7"/>
  <c r="G44" i="7"/>
  <c r="D7" i="7"/>
  <c r="H42" i="7"/>
  <c r="G42" i="7"/>
  <c r="R13" i="3"/>
  <c r="R12" i="3"/>
  <c r="O13" i="3"/>
  <c r="O12" i="3"/>
  <c r="N13" i="3"/>
  <c r="N12" i="3"/>
  <c r="V13" i="3"/>
  <c r="U13" i="3"/>
  <c r="T13" i="3"/>
  <c r="S13" i="3"/>
  <c r="V12" i="3"/>
  <c r="U12" i="3"/>
  <c r="T12" i="3"/>
  <c r="S12" i="3"/>
  <c r="G4" i="6"/>
  <c r="F4" i="6"/>
  <c r="E4" i="6"/>
  <c r="D4" i="6"/>
  <c r="C4" i="6"/>
  <c r="C3" i="6"/>
  <c r="M10" i="6"/>
  <c r="L10" i="6"/>
  <c r="M6" i="6"/>
  <c r="L6" i="6"/>
  <c r="M3" i="6"/>
  <c r="L3" i="6"/>
  <c r="L4" i="6"/>
  <c r="L7" i="6"/>
  <c r="L8" i="6"/>
  <c r="L11" i="6"/>
  <c r="L16" i="6"/>
  <c r="M16" i="6"/>
  <c r="M11" i="6"/>
  <c r="M8" i="6"/>
  <c r="M4" i="6"/>
  <c r="G3" i="6"/>
  <c r="F3" i="6"/>
  <c r="E3" i="6"/>
  <c r="D3" i="6"/>
  <c r="C10" i="9" l="1"/>
  <c r="O27" i="3" s="1"/>
  <c r="C3" i="9"/>
  <c r="N27" i="3" s="1"/>
  <c r="D11" i="7"/>
  <c r="C11" i="7"/>
  <c r="M19" i="3" l="1"/>
  <c r="P19" i="3" s="1"/>
  <c r="M18" i="3"/>
  <c r="P18" i="3" s="1"/>
  <c r="M15" i="3"/>
  <c r="P15" i="3" s="1"/>
  <c r="M17" i="3"/>
  <c r="P17" i="3" s="1"/>
  <c r="M13" i="3"/>
  <c r="P13" i="3" s="1"/>
  <c r="M12" i="3"/>
  <c r="M30" i="3"/>
  <c r="P30" i="3" s="1"/>
  <c r="M29" i="3"/>
  <c r="P29" i="3" s="1"/>
  <c r="Z15" i="3" l="1"/>
  <c r="AB15" i="3"/>
  <c r="AA15" i="3"/>
  <c r="W15" i="3"/>
  <c r="AC15" i="3"/>
  <c r="AA13" i="3"/>
  <c r="AB13" i="3"/>
  <c r="Z13" i="3"/>
  <c r="AC13" i="3"/>
  <c r="W13" i="3"/>
  <c r="Z18" i="3"/>
  <c r="AA18" i="3"/>
  <c r="AC18" i="3"/>
  <c r="W18" i="3"/>
  <c r="AB18" i="3"/>
  <c r="AB17" i="3"/>
  <c r="AA17" i="3"/>
  <c r="Z17" i="3"/>
  <c r="W17" i="3"/>
  <c r="AC17" i="3"/>
  <c r="AC19" i="3"/>
  <c r="W19" i="3"/>
  <c r="Z19" i="3"/>
  <c r="AB19" i="3"/>
  <c r="AA19" i="3"/>
  <c r="P12" i="3"/>
  <c r="AC29" i="3"/>
  <c r="AB30" i="3"/>
  <c r="M27" i="3"/>
  <c r="P27" i="3" s="1"/>
  <c r="M7" i="3"/>
  <c r="P7" i="3" s="1"/>
  <c r="M8" i="3"/>
  <c r="AA7" i="3" l="1"/>
  <c r="J10" i="27" s="1"/>
  <c r="AA29" i="3"/>
  <c r="AB29" i="3"/>
  <c r="AB43" i="3" s="1"/>
  <c r="AB12" i="3"/>
  <c r="AB35" i="3" s="1"/>
  <c r="AC12" i="3"/>
  <c r="W12" i="3"/>
  <c r="AA12" i="3"/>
  <c r="AA35" i="3" s="1"/>
  <c r="Z12" i="3"/>
  <c r="Z35" i="3" s="1"/>
  <c r="W29" i="3"/>
  <c r="Z29" i="3"/>
  <c r="AC7" i="3"/>
  <c r="W7" i="3"/>
  <c r="Z7" i="3"/>
  <c r="AB7" i="3"/>
  <c r="AA30" i="3"/>
  <c r="AC30" i="3"/>
  <c r="Z30" i="3"/>
  <c r="W30" i="3"/>
  <c r="AC27" i="3"/>
  <c r="AA27" i="3"/>
  <c r="Z27" i="3"/>
  <c r="W27" i="3"/>
  <c r="AB27" i="3"/>
  <c r="K3" i="9"/>
  <c r="K4" i="9"/>
  <c r="J27" i="27" l="1"/>
  <c r="J26" i="27"/>
  <c r="J17" i="27"/>
  <c r="J16" i="27"/>
  <c r="Z43" i="3"/>
  <c r="AA43" i="3"/>
  <c r="AB44" i="3"/>
  <c r="AB42" i="3"/>
  <c r="AA42" i="3"/>
  <c r="AA44" i="3"/>
  <c r="Z42" i="3"/>
  <c r="Z44" i="3"/>
  <c r="C13" i="20" l="1"/>
  <c r="B4" i="20" s="1"/>
  <c r="N8" i="3" s="1"/>
  <c r="P8" i="3" s="1"/>
  <c r="AC8" i="3" l="1"/>
  <c r="AB8" i="3"/>
  <c r="W8" i="3"/>
  <c r="Z8" i="3"/>
  <c r="AA8" i="3"/>
  <c r="AB37" i="3" l="1"/>
  <c r="AB36" i="3"/>
  <c r="AB38" i="3"/>
  <c r="AB34" i="3"/>
  <c r="Z34" i="3"/>
  <c r="Z37" i="3"/>
  <c r="Z36" i="3"/>
  <c r="Z38" i="3"/>
  <c r="AA37" i="3"/>
  <c r="AA36" i="3"/>
  <c r="AA34" i="3"/>
  <c r="AA38" i="3"/>
</calcChain>
</file>

<file path=xl/sharedStrings.xml><?xml version="1.0" encoding="utf-8"?>
<sst xmlns="http://schemas.openxmlformats.org/spreadsheetml/2006/main" count="3324" uniqueCount="1799">
  <si>
    <t>Net</t>
  </si>
  <si>
    <t>SC PE</t>
  </si>
  <si>
    <t>폐기물 처리업</t>
  </si>
  <si>
    <t>Multiple</t>
  </si>
  <si>
    <t>취득</t>
  </si>
  <si>
    <t>EV/</t>
  </si>
  <si>
    <t>국가</t>
  </si>
  <si>
    <t>지분율</t>
  </si>
  <si>
    <t>Debt</t>
  </si>
  <si>
    <t>Sales</t>
  </si>
  <si>
    <t>EBIT</t>
  </si>
  <si>
    <t>EBITDA</t>
  </si>
  <si>
    <t>PER</t>
  </si>
  <si>
    <t>TSK워터</t>
  </si>
  <si>
    <t>한국</t>
  </si>
  <si>
    <t>태영건설</t>
  </si>
  <si>
    <t>코오롱워터앤에너지</t>
  </si>
  <si>
    <t>Affinity Water</t>
  </si>
  <si>
    <t>영국</t>
  </si>
  <si>
    <t>SK증권 PE</t>
  </si>
  <si>
    <t>맥쿼리</t>
  </si>
  <si>
    <t>앵커 PE</t>
  </si>
  <si>
    <t>-</t>
  </si>
  <si>
    <t>산업</t>
  </si>
  <si>
    <t>PBR</t>
  </si>
  <si>
    <t xml:space="preserve"> </t>
  </si>
  <si>
    <t>Target</t>
    <phoneticPr fontId="3" type="noConversion"/>
  </si>
  <si>
    <t>KRW m</t>
  </si>
  <si>
    <t>단위</t>
  </si>
  <si>
    <t>NA</t>
  </si>
  <si>
    <t>재무정보</t>
  </si>
  <si>
    <t>Announce</t>
  </si>
  <si>
    <t>거래</t>
  </si>
  <si>
    <t>Equity</t>
  </si>
  <si>
    <t>Enterprise</t>
  </si>
  <si>
    <t>Fiscal</t>
  </si>
  <si>
    <t>Date</t>
  </si>
  <si>
    <t>가격</t>
  </si>
  <si>
    <t>Value</t>
  </si>
  <si>
    <t>Vaule</t>
  </si>
  <si>
    <t>Year</t>
  </si>
  <si>
    <t>BV</t>
  </si>
  <si>
    <t>Salse</t>
  </si>
  <si>
    <t>NI</t>
  </si>
  <si>
    <t>Source</t>
  </si>
  <si>
    <t>Major Bidder</t>
  </si>
  <si>
    <t>거래정보</t>
    <phoneticPr fontId="3" type="noConversion"/>
  </si>
  <si>
    <t>Transaction Multiple_하이엔텍</t>
    <phoneticPr fontId="3" type="noConversion"/>
  </si>
  <si>
    <t>영국</t>
    <phoneticPr fontId="3" type="noConversion"/>
  </si>
  <si>
    <t>NOA</t>
    <phoneticPr fontId="3" type="noConversion"/>
  </si>
  <si>
    <t>2016.05</t>
    <phoneticPr fontId="3" type="noConversion"/>
  </si>
  <si>
    <t>2017.05</t>
    <phoneticPr fontId="3" type="noConversion"/>
  </si>
  <si>
    <t>2018.06</t>
    <phoneticPr fontId="3" type="noConversion"/>
  </si>
  <si>
    <t>2019.04</t>
    <phoneticPr fontId="3" type="noConversion"/>
  </si>
  <si>
    <t>2018.12</t>
    <phoneticPr fontId="3" type="noConversion"/>
  </si>
  <si>
    <t>2017.11</t>
    <phoneticPr fontId="3" type="noConversion"/>
  </si>
  <si>
    <t>2017.04</t>
    <phoneticPr fontId="3" type="noConversion"/>
  </si>
  <si>
    <t>한국</t>
    <phoneticPr fontId="3" type="noConversion"/>
  </si>
  <si>
    <t>창원에너텍</t>
    <phoneticPr fontId="3" type="noConversion"/>
  </si>
  <si>
    <t>WIK그린</t>
    <phoneticPr fontId="3" type="noConversion"/>
  </si>
  <si>
    <t>삼우그린</t>
    <phoneticPr fontId="3" type="noConversion"/>
  </si>
  <si>
    <t>코엔텍</t>
    <phoneticPr fontId="3" type="noConversion"/>
  </si>
  <si>
    <t>맥쿼리</t>
    <phoneticPr fontId="3" type="noConversion"/>
  </si>
  <si>
    <t>Transaction Multiple_엘지히타치워터솔루션</t>
    <phoneticPr fontId="3" type="noConversion"/>
  </si>
  <si>
    <t>휴비스워터</t>
    <phoneticPr fontId="3" type="noConversion"/>
  </si>
  <si>
    <t>2014.10</t>
    <phoneticPr fontId="3" type="noConversion"/>
  </si>
  <si>
    <t>Seller</t>
    <phoneticPr fontId="3" type="noConversion"/>
  </si>
  <si>
    <t>SK디스커버리, SK건설</t>
    <phoneticPr fontId="3" type="noConversion"/>
  </si>
  <si>
    <t>코오롱 인더스트리</t>
    <phoneticPr fontId="3" type="noConversion"/>
  </si>
  <si>
    <t>KC환경서비스</t>
    <phoneticPr fontId="3" type="noConversion"/>
  </si>
  <si>
    <t>-</t>
    <phoneticPr fontId="3" type="noConversion"/>
  </si>
  <si>
    <t>후성HDS 외</t>
    <phoneticPr fontId="3" type="noConversion"/>
  </si>
  <si>
    <t>휴비스</t>
  </si>
  <si>
    <t>JKL, KDB캐피탈</t>
  </si>
  <si>
    <t>Suez Water Technologies &amp; Solutions</t>
  </si>
  <si>
    <t>Suez Water Technologies &amp; Solutions</t>
    <phoneticPr fontId="3" type="noConversion"/>
  </si>
  <si>
    <t>General Electric</t>
  </si>
  <si>
    <t>Suez</t>
  </si>
  <si>
    <t>https://www.suez.com/en/news/press-releases/suez-finalizes-the-acquisition-of-ge-water-and-process-technologies</t>
    <phoneticPr fontId="3" type="noConversion"/>
  </si>
  <si>
    <t xml:space="preserve">Trility </t>
    <phoneticPr fontId="3" type="noConversion"/>
  </si>
  <si>
    <t>2017.09</t>
    <phoneticPr fontId="3" type="noConversion"/>
  </si>
  <si>
    <t>호주</t>
    <phoneticPr fontId="3" type="noConversion"/>
  </si>
  <si>
    <t>미국</t>
    <phoneticPr fontId="3" type="noConversion"/>
  </si>
  <si>
    <t>2017.03</t>
    <phoneticPr fontId="3" type="noConversion"/>
  </si>
  <si>
    <t>Mitsubishi, JGC</t>
    <phoneticPr fontId="3" type="noConversion"/>
  </si>
  <si>
    <t>USD m</t>
  </si>
  <si>
    <t>USD m</t>
    <phoneticPr fontId="3" type="noConversion"/>
  </si>
  <si>
    <t>USD m</t>
    <phoneticPr fontId="3" type="noConversion"/>
  </si>
  <si>
    <t>Deal Description</t>
  </si>
  <si>
    <t>09/13/2017</t>
  </si>
  <si>
    <t>04/24/2018</t>
  </si>
  <si>
    <t>TRILITY Pty Ltd</t>
  </si>
  <si>
    <t>Beijing Enterprises Water Group Limited</t>
  </si>
  <si>
    <t>Mitsubishi Corporation; JGC Corporation; INCJ, Ltd.</t>
  </si>
  <si>
    <t>03/31/2017</t>
  </si>
  <si>
    <t>03/08/2017</t>
  </si>
  <si>
    <t>10/02/2017</t>
  </si>
  <si>
    <t xml:space="preserve">Caisse de Depot et Placement du Quebec; Suez </t>
  </si>
  <si>
    <t>General Electric Company</t>
  </si>
  <si>
    <t>12/31/2016</t>
  </si>
  <si>
    <t>Suez and Caisse de Depot et Placement du Quebec have entered into a binding agreement to acquire GE Water &amp; Process Technologies, from General Electric Company.
Suez is a listed France-based company engaged in the drinking water distribution, waste water treatment and waste management activities through its subsidiaries, headquartered in Paris.
Caisse de Depot et Placement du Quebec (CDPQ) is a Canada-based privately owned investment manager, headquartered in Quebec.
GE Water &amp; Process Technologies is the US-based supplier of water and provider of waste water and process systems solutions, headquartered in Trevose, Pennsylvania.
General Electric Company is the listed US-based diversified technology and financial services company, headquartered in Fairfield, Connecticut.
Terms: The enterprise value of the transaction is EUR 3.2bn which will be paid in cash. The transaction is structured as a 70/30 joint venturebetween Suez and CDPQ, wherein CDPQ will invest EUR 0.7bn for its 30% stake , and Suez will invest the remaining EUR 2.5bn. The consideration represents 10.0x 2016 EBITDA of GE Water including cost synergies, and 12.8x 2016 operating cash flow, including synergies.
Financing: Suez plans to finance the transaction with a fully underwritten bridge financing , which will later be refinanced via: A capital increase of approximately EUR 0.75bn. Suez main shareholders Engie, CriteriaCaixa and Caltagirone Group already confirmed their intent to participate in the capital increase for their pro rata share. ENGIE, a major shareholder of Suez who owns 32.6% stake has announced that it will invest around EUR 240 min the capital increase. A long-term senior bond of approximately EUR 1.1bn. Hybrid bonds for approximately EUR 0.6bn.
Rationale: The transaction will combine the systems and service offerings of Suez and GE, covering the entire value chain making Suez, a leader in waterresource management. It enhances Suez’s long term profitable growth, and offers strong value to its shareholders and also broadens access of Suez to the industrial clients The deal strengthens the global footprint of Suez in key geographies, especially in the US and the emerging markets. It will increases the innovation capabilities of Suez to deliver performing solutions, with an worldwide network of R&amp;D centres, a huge portfolio of patents and a cutting-edge digital platform, InSight. The acquisition is expected to generate significant cost and revenue synergies for Suez alongwith positive free cash flow from year one. The deal is fully aligned with the Suez’sfinancial discipline, to maintain strong investment grade rating profile. It is in line with CDPQ’s longterm vision and strategy of increasing its emphasis on stable assets, anchored in the real economy. The deal enables CDPQ to increase its exposure in the water segment and is expected to generate long-term value. It will provide Suez with cross selling opportunities as they have complementary customer base, industry verticals and value chain and geographies. The contribution of GE Water to the Industrial Solutions business of Suez will enable the company to further optimize its operations in manufacturing supply chain, engineering and services deliveries. It also creates business opportunities for Suez and its other businesses, especially in the recycling and resources, and the energy recovery sector. Below are benefits of cost and revenue synergies from the transaction, which are expected to be realized by the end of year 5: EUR 65m impact on EBITDA from identified annual run]rate cost synergies, of which 80% are expected to be achieved in year 3 Implementation costs, spread over 2017]19, are expected to be equal to one year of cost synergies Revenue synergies of EUR 200mare expected per year.
Post Deal Details: Pursuant to the acquisition, SUEZ will contribute its existing industrial water activities to the newly dedicated Industrial Water business unit. The employees of GE Water will join the team of Suez to form an unparalleled industrial water platform.
Expected Completion Date: The transaction is expected to complete by mid-2017.
Conditions: Receipt of required regulatory approvals from merger control authorities, in the European Union and the US Other customary closing conditions.
Background: GE Water operates across 130 countries, generated annual revenue of approximately USD 2.1bn in 2016 and has a workforce of 7,500 employees. The transaction has been approved by the Board of Suez. It was previously submitted to the opinion of the European WorksCouncil. Earlier in October 2016, GE planned to sell GE Water. The transaction was conducted via an auction in which GE Water has received a bid from Suez and CDPQ. Blackstone Group, Warburg Pincus, CD&amp;R and Bain Capital were the competitors against the bid.
UPDATE 02 October 2017: Suez has completed the acquisition of GE Water &amp; Process Technologies.
Source Links:
Suez press release, 08 March 2017
Suez press release, 08 March 2017 (French)
Caisse de Depot et Placement du Quebec press release, 08 March 2017
Caisse de Depot et Placement du Quebec press release, 08 March 2017 (French)
Engie SA press release, 08 March 2017
Engie SA press release, 08 March 2017 (French)
Davis Polk &amp; Wardwell LLP press release, 08 March 2017
Suez press release, 02 October 2017 (French)
Suez press release, 02 October 2017</t>
  </si>
  <si>
    <t>2012.06</t>
    <phoneticPr fontId="3" type="noConversion"/>
  </si>
  <si>
    <t>Allianz Capital Partners</t>
    <phoneticPr fontId="3" type="noConversion"/>
  </si>
  <si>
    <t>Veolia Water, Morgan Stanley</t>
    <phoneticPr fontId="3" type="noConversion"/>
  </si>
  <si>
    <t>Veolia Environnement</t>
    <phoneticPr fontId="3" type="noConversion"/>
  </si>
  <si>
    <t>Veolia Water Central</t>
    <phoneticPr fontId="3" type="noConversion"/>
  </si>
  <si>
    <t>FY2016</t>
    <phoneticPr fontId="3" type="noConversion"/>
  </si>
  <si>
    <t>Income Statement</t>
  </si>
  <si>
    <t xml:space="preserve">For the Fiscal Period Ending
</t>
  </si>
  <si>
    <t>12 months
Mar-31-2014</t>
  </si>
  <si>
    <t>Restated
12 months
Mar-31-2015</t>
  </si>
  <si>
    <t>12 months
Mar-31-2016</t>
  </si>
  <si>
    <t>12 months
Mar-31-2017</t>
  </si>
  <si>
    <t>Currency</t>
  </si>
  <si>
    <t>KRW</t>
  </si>
  <si>
    <t>Revenue</t>
  </si>
  <si>
    <t>Other Revenue</t>
  </si>
  <si>
    <t xml:space="preserve">  Total Revenue</t>
  </si>
  <si>
    <t>Fuel &amp; Purchased Power</t>
  </si>
  <si>
    <t>Ops. and Maintenance</t>
  </si>
  <si>
    <t>Selling General &amp; Admin Exp.</t>
  </si>
  <si>
    <t>Depreciation &amp; Amort.</t>
  </si>
  <si>
    <t>Other Operating Exp.</t>
  </si>
  <si>
    <t xml:space="preserve">  Total Operating Exp.</t>
  </si>
  <si>
    <t xml:space="preserve">  Operating Income</t>
  </si>
  <si>
    <t>Interest Expense, Total</t>
  </si>
  <si>
    <t>Interest and Invest. Income</t>
  </si>
  <si>
    <t xml:space="preserve">  Net Interest Exp.</t>
  </si>
  <si>
    <t>Other Non-Operating Inc. (Exp.)</t>
  </si>
  <si>
    <t xml:space="preserve">  EBT Excl. Unusual Items</t>
  </si>
  <si>
    <t>Impairment of Goodwill</t>
  </si>
  <si>
    <t>Gain (Loss) On Sale Of Assets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</si>
  <si>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</si>
  <si>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</si>
  <si>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</si>
  <si>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</si>
  <si>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</si>
  <si>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</si>
  <si>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</si>
  <si>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</si>
  <si>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</si>
  <si>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</si>
  <si>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</si>
  <si>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</si>
  <si>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</si>
  <si>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</si>
  <si>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</si>
  <si>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</si>
  <si>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</si>
  <si>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</si>
  <si>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</si>
  <si>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</si>
  <si>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</si>
  <si>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</si>
  <si>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</si>
  <si>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Supplemental Items</t>
  </si>
  <si>
    <t>Utility Revenue</t>
  </si>
  <si>
    <t>Non-Utility Revenue</t>
  </si>
  <si>
    <t>EBITA</t>
  </si>
  <si>
    <t>EBITDAR</t>
  </si>
  <si>
    <t>Effective Tax Rate %</t>
  </si>
  <si>
    <t>NM</t>
  </si>
  <si>
    <t>Current Domestic Taxes</t>
  </si>
  <si>
    <t>Total Current Taxes</t>
  </si>
  <si>
    <t>Deferred Domestic Taxes</t>
  </si>
  <si>
    <t>Total Deferred Taxes</t>
  </si>
  <si>
    <t>Normalized Net Income</t>
  </si>
  <si>
    <t>Interest on Long Term Debt</t>
  </si>
  <si>
    <t>Non-Cash Pension Expense</t>
  </si>
  <si>
    <t>Filing Date</t>
  </si>
  <si>
    <t>Restatement Type</t>
  </si>
  <si>
    <t>NC</t>
  </si>
  <si>
    <t>RS</t>
  </si>
  <si>
    <t>Calculation Type</t>
  </si>
  <si>
    <t>REP</t>
  </si>
  <si>
    <t>Supplemental Operating Expense Items</t>
  </si>
  <si>
    <t>General and Administrative Exp.</t>
  </si>
  <si>
    <t>R&amp;D Exp.</t>
  </si>
  <si>
    <t>Net Rental Exp.</t>
  </si>
  <si>
    <t>Imputed Oper. Lease Interest Exp.</t>
  </si>
  <si>
    <t>Imputed Oper. Lease Depreciation</t>
  </si>
  <si>
    <t>Exchange Rate</t>
  </si>
  <si>
    <t>Conversion Method</t>
  </si>
  <si>
    <t>Balance Sheet</t>
  </si>
  <si>
    <t xml:space="preserve">Balance Sheet as of:
</t>
  </si>
  <si>
    <t>Restated
Mar-31-2014</t>
  </si>
  <si>
    <t>Restated
Mar-31-2015</t>
  </si>
  <si>
    <t>ASSETS</t>
  </si>
  <si>
    <t>Cash And Equivalents</t>
  </si>
  <si>
    <t>Accounts Receivable</t>
  </si>
  <si>
    <t>Other Receivables</t>
  </si>
  <si>
    <t xml:space="preserve">  Accounts Receivable, Total</t>
  </si>
  <si>
    <t>Inventory</t>
  </si>
  <si>
    <t>Prepaid Exp.</t>
  </si>
  <si>
    <t>Other Current Assets</t>
  </si>
  <si>
    <t xml:space="preserve">  Total Current Assets</t>
  </si>
  <si>
    <t>Gross Property, Plant &amp; Equipment</t>
  </si>
  <si>
    <t>Accumulated Depreciation</t>
  </si>
  <si>
    <t xml:space="preserve">  Net Property, Plant &amp; Equipment</t>
  </si>
  <si>
    <t>Goodwill</t>
  </si>
  <si>
    <t>Other Intangibles</t>
  </si>
  <si>
    <t>Long-term Investments</t>
  </si>
  <si>
    <t>Other Long-Term Assets</t>
  </si>
  <si>
    <t>Total Assets</t>
  </si>
  <si>
    <t>LIABILITIES</t>
  </si>
  <si>
    <t>Accounts Payable</t>
  </si>
  <si>
    <t>Accrued Exp.</t>
  </si>
  <si>
    <t>Short-term Borrowings</t>
  </si>
  <si>
    <t>Curr. Port. of LT Debt</t>
  </si>
  <si>
    <t>Curr. Income Taxes Payable</t>
  </si>
  <si>
    <t>Unearned Revenue, Current</t>
  </si>
  <si>
    <t>Other Current Liabilities</t>
  </si>
  <si>
    <t xml:space="preserve">  Total Current Liabilities</t>
  </si>
  <si>
    <t>Long-Term Debt</t>
  </si>
  <si>
    <t>Unearned Revenue, Non-Current</t>
  </si>
  <si>
    <t>Pension &amp; Other Post-Retire. Benefits</t>
  </si>
  <si>
    <t>Def. Tax Liability, Non-Curr.</t>
  </si>
  <si>
    <t>Other Non-Current Liab., Total</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</si>
  <si>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</si>
  <si>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</si>
  <si>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</si>
  <si>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</si>
  <si>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</si>
  <si>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</si>
  <si>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</si>
  <si>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</si>
  <si>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</si>
  <si>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</si>
  <si>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</si>
  <si>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</si>
  <si>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</si>
  <si>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</si>
  <si>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</si>
  <si>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</si>
  <si>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 of Unfunded Proj. Benefit Obligation</t>
  </si>
  <si>
    <t>Debt Equivalent Oper. Leases</t>
  </si>
  <si>
    <t>Inventory Method</t>
  </si>
  <si>
    <t>Raw Materials Inventory</t>
  </si>
  <si>
    <t>Land</t>
  </si>
  <si>
    <t>Machinery</t>
  </si>
  <si>
    <t>Construction in Progress</t>
  </si>
  <si>
    <t>Full Time Employees</t>
  </si>
  <si>
    <t>Assets under Cap. Lease, Gross</t>
  </si>
  <si>
    <t>Assets under Cap. Lease, Accum. Depr.</t>
  </si>
  <si>
    <t>Accum. Allowance for Doubtful Accts</t>
  </si>
  <si>
    <t>Source : Capital IQ</t>
    <phoneticPr fontId="3" type="noConversion"/>
  </si>
  <si>
    <t>FY2017</t>
    <phoneticPr fontId="3" type="noConversion"/>
  </si>
  <si>
    <t>12 months
Mar-31-2011</t>
  </si>
  <si>
    <t>12 months
Mar-31-2012</t>
  </si>
  <si>
    <t>12 months
Mar-31-2013</t>
  </si>
  <si>
    <t>H</t>
  </si>
  <si>
    <t>Curr. Port. of Cap. Leases</t>
  </si>
  <si>
    <t>Capital Leases</t>
  </si>
  <si>
    <t>BS</t>
    <phoneticPr fontId="25" type="noConversion"/>
  </si>
  <si>
    <t>Cash</t>
    <phoneticPr fontId="25" type="noConversion"/>
  </si>
  <si>
    <t>현금및현금성자산</t>
    <phoneticPr fontId="25" type="noConversion"/>
  </si>
  <si>
    <t>단기금융상품</t>
    <phoneticPr fontId="25" type="noConversion"/>
  </si>
  <si>
    <t>Debt</t>
    <phoneticPr fontId="25" type="noConversion"/>
  </si>
  <si>
    <t>단기차입금</t>
    <phoneticPr fontId="25" type="noConversion"/>
  </si>
  <si>
    <t>장기차입금</t>
    <phoneticPr fontId="25" type="noConversion"/>
  </si>
  <si>
    <t>사채</t>
    <phoneticPr fontId="25" type="noConversion"/>
  </si>
  <si>
    <t>NOA</t>
    <phoneticPr fontId="25" type="noConversion"/>
  </si>
  <si>
    <t>장기금융상품</t>
    <phoneticPr fontId="3" type="noConversion"/>
  </si>
  <si>
    <t>투자부동산</t>
    <phoneticPr fontId="3" type="noConversion"/>
  </si>
  <si>
    <t>관계기업투자</t>
    <phoneticPr fontId="3" type="noConversion"/>
  </si>
  <si>
    <t>매도가능증권</t>
    <phoneticPr fontId="3" type="noConversion"/>
  </si>
  <si>
    <t>장단기대여금</t>
    <phoneticPr fontId="3" type="noConversion"/>
  </si>
  <si>
    <t>BV</t>
    <phoneticPr fontId="25" type="noConversion"/>
  </si>
  <si>
    <t>PL</t>
    <phoneticPr fontId="25" type="noConversion"/>
  </si>
  <si>
    <t>Sales</t>
    <phoneticPr fontId="3" type="noConversion"/>
  </si>
  <si>
    <t>EBITDA</t>
    <phoneticPr fontId="3" type="noConversion"/>
  </si>
  <si>
    <t>EBIT</t>
    <phoneticPr fontId="3" type="noConversion"/>
  </si>
  <si>
    <t>NI</t>
    <phoneticPr fontId="3" type="noConversion"/>
  </si>
  <si>
    <t>D&amp;A</t>
    <phoneticPr fontId="3" type="noConversion"/>
  </si>
  <si>
    <t>FY2011</t>
    <phoneticPr fontId="3" type="noConversion"/>
  </si>
  <si>
    <t>FY2016</t>
    <phoneticPr fontId="3" type="noConversion"/>
  </si>
  <si>
    <t>FY2016</t>
    <phoneticPr fontId="3" type="noConversion"/>
  </si>
  <si>
    <t>FY2013</t>
    <phoneticPr fontId="3" type="noConversion"/>
  </si>
  <si>
    <t>재 무 상 태 표</t>
  </si>
  <si>
    <t>(단위 : 원)</t>
  </si>
  <si>
    <t>과 목</t>
  </si>
  <si>
    <t>주석</t>
  </si>
  <si>
    <t>자              산</t>
  </si>
  <si>
    <t>Ⅰ. 유동자산</t>
  </si>
  <si>
    <t>   1. 현금및현금성자산</t>
  </si>
  <si>
    <t>   2. 매출채권및기타채권</t>
  </si>
  <si>
    <t>   3. 재고자산</t>
  </si>
  <si>
    <t>   4. 유동금융자산</t>
  </si>
  <si>
    <t>   6. 파생상품금융자산</t>
  </si>
  <si>
    <t>   7. 기타유동자산</t>
  </si>
  <si>
    <t>Ⅱ. 비유동자산</t>
  </si>
  <si>
    <t>   1. 유형자산</t>
  </si>
  <si>
    <t>   2. 무형자산</t>
  </si>
  <si>
    <t>   3. 투자부동산</t>
  </si>
  <si>
    <t>   6. 비유동금융자산</t>
  </si>
  <si>
    <t>   7. 종속기업투자주식</t>
  </si>
  <si>
    <t>   8. 기타비유동자산</t>
  </si>
  <si>
    <t>자  산  총  계</t>
  </si>
  <si>
    <t>부             채</t>
  </si>
  <si>
    <t>Ⅰ. 유동부채</t>
  </si>
  <si>
    <t>   1. 매입채무및기타채무</t>
  </si>
  <si>
    <t>   2. 단기차입금</t>
  </si>
  <si>
    <t>   3. 당기법인세부채</t>
  </si>
  <si>
    <t>   4. 유동충당부채</t>
  </si>
  <si>
    <t>Ⅱ. 비유동부채</t>
  </si>
  <si>
    <t>   1. 장기매입채무및기타채무</t>
  </si>
  <si>
    <t>   2. 비유동충당부채</t>
  </si>
  <si>
    <t>   3. 이연법인세부채</t>
  </si>
  <si>
    <t>   4. 기타비유동부채</t>
  </si>
  <si>
    <t>부  채  총  계</t>
  </si>
  <si>
    <t>자             본</t>
  </si>
  <si>
    <t>   1. 자본금</t>
  </si>
  <si>
    <t>   2. 기타자본</t>
  </si>
  <si>
    <t>   3. 이익잉여금</t>
  </si>
  <si>
    <t>자  본  총  계</t>
  </si>
  <si>
    <t>부채와 자본총계</t>
  </si>
  <si>
    <t>Ⅰ. 매출액</t>
  </si>
  <si>
    <t>Ⅱ. 매출원가</t>
  </si>
  <si>
    <t>Ⅲ. 매출총이익</t>
  </si>
  <si>
    <t>Ⅳ. 판매비와관리비</t>
  </si>
  <si>
    <t>Ⅴ. 영업이익</t>
  </si>
  <si>
    <t>Ⅵ. 기타수익</t>
  </si>
  <si>
    <t>Ⅶ. 기타비용</t>
  </si>
  <si>
    <t>Ⅷ. 금융수익</t>
  </si>
  <si>
    <t>Ⅸ. 금융원가</t>
  </si>
  <si>
    <t>Ⅹ. 법인세비용차감전순이익</t>
  </si>
  <si>
    <t>ⅩI. 법인세비용</t>
  </si>
  <si>
    <t>ⅩII. 당기순이익</t>
  </si>
  <si>
    <t>ⅩIII. 기타포괄손익</t>
  </si>
  <si>
    <t>  1. 후속적으로 당기손익으로 재분류되지않는 항목</t>
  </si>
  <si>
    <t>     (1) 해외사업환산손익</t>
  </si>
  <si>
    <t>ⅩⅣ. 당기총포괄이익</t>
  </si>
  <si>
    <t>ⅩⅤ. 주당순이익</t>
  </si>
  <si>
    <t>  1. 기본주당순이익</t>
  </si>
  <si>
    <t>   5. 기타유동부채</t>
  </si>
  <si>
    <t>FY2017</t>
    <phoneticPr fontId="3" type="noConversion"/>
  </si>
  <si>
    <t>FY2018</t>
    <phoneticPr fontId="3" type="noConversion"/>
  </si>
  <si>
    <t>감가상각비</t>
  </si>
  <si>
    <t>감가상각비</t>
    <phoneticPr fontId="3" type="noConversion"/>
  </si>
  <si>
    <t>무형자산상각비</t>
  </si>
  <si>
    <t>무형자산상각비</t>
    <phoneticPr fontId="3" type="noConversion"/>
  </si>
  <si>
    <t>D&amp;A</t>
    <phoneticPr fontId="3" type="noConversion"/>
  </si>
  <si>
    <t>구분</t>
    <phoneticPr fontId="3" type="noConversion"/>
  </si>
  <si>
    <t>구분</t>
    <phoneticPr fontId="3" type="noConversion"/>
  </si>
  <si>
    <t>FY2017</t>
    <phoneticPr fontId="3" type="noConversion"/>
  </si>
  <si>
    <t>(단위: 천원)</t>
  </si>
  <si>
    <t>구  분</t>
  </si>
  <si>
    <t>전기말</t>
  </si>
  <si>
    <t>장부금액</t>
  </si>
  <si>
    <t>공정가치</t>
  </si>
  <si>
    <t>금융자산</t>
  </si>
  <si>
    <t> 현금및현금성자산</t>
  </si>
  <si>
    <t> 단기금융상품</t>
  </si>
  <si>
    <t> 당기손익-공정가치  </t>
  </si>
  <si>
    <t> 금융자산</t>
  </si>
  <si>
    <t> 매출채권(*1)</t>
  </si>
  <si>
    <t> 파생금융자산</t>
  </si>
  <si>
    <t> 기타채권</t>
  </si>
  <si>
    <t> 기타포괄손익-공정가치  금융자산</t>
  </si>
  <si>
    <t> 매도가능금융자산</t>
  </si>
  <si>
    <t> 기타금융자산</t>
  </si>
  <si>
    <t>합  계</t>
  </si>
  <si>
    <t>금융부채</t>
  </si>
  <si>
    <t> 매입채무</t>
  </si>
  <si>
    <t> 기타채무</t>
  </si>
  <si>
    <t> 차입금</t>
  </si>
  <si>
    <t> 기타금융부채</t>
  </si>
  <si>
    <t>FY2017</t>
    <phoneticPr fontId="3" type="noConversion"/>
  </si>
  <si>
    <t>당기말</t>
  </si>
  <si>
    <t>장기금융상품</t>
  </si>
  <si>
    <t>매도가능증권</t>
  </si>
  <si>
    <t>보증금</t>
  </si>
  <si>
    <t>기타포괄손익-공정가치 </t>
  </si>
  <si>
    <t>FY2018</t>
    <phoneticPr fontId="3" type="noConversion"/>
  </si>
  <si>
    <t>토  지</t>
  </si>
  <si>
    <t>건  물</t>
  </si>
  <si>
    <t>   4. 단기금융자산</t>
  </si>
  <si>
    <t>   5. 기타유동자산</t>
  </si>
  <si>
    <t>   4. 장기금융자산</t>
  </si>
  <si>
    <t>   5. 기타비유동자산</t>
  </si>
  <si>
    <t>   2. 단기금융부채</t>
  </si>
  <si>
    <t>   3. 법인세부채</t>
  </si>
  <si>
    <t>   4. 기타유동부채</t>
  </si>
  <si>
    <t>   2. 순확정급여부채</t>
  </si>
  <si>
    <t>   3. 비유동충당부채</t>
  </si>
  <si>
    <t>   4. 이연법인세부채</t>
  </si>
  <si>
    <t>   5. 기타비유동부채</t>
  </si>
  <si>
    <t>  1. 공사매출</t>
  </si>
  <si>
    <t>  2. 상품매출</t>
  </si>
  <si>
    <t>  1. 공사매출원가</t>
  </si>
  <si>
    <t>  2. 상품매출원가</t>
  </si>
  <si>
    <t>Ⅹ. 법인세비용차감전 순이익</t>
  </si>
  <si>
    <t>ⅩIII. 당기총포괄이익</t>
  </si>
  <si>
    <t>ⅩⅣ. 주당순이익</t>
  </si>
  <si>
    <t>FY2014</t>
    <phoneticPr fontId="3" type="noConversion"/>
  </si>
  <si>
    <t>FY2014</t>
    <phoneticPr fontId="3" type="noConversion"/>
  </si>
  <si>
    <t>현금및현금성자산</t>
  </si>
  <si>
    <t>현금및현금성자산</t>
    <phoneticPr fontId="3" type="noConversion"/>
  </si>
  <si>
    <t>매출채권및기타채권</t>
  </si>
  <si>
    <t>재고자산</t>
  </si>
  <si>
    <t>기타유동자산</t>
  </si>
  <si>
    <t>유형자산</t>
  </si>
  <si>
    <t>무형자산</t>
  </si>
  <si>
    <t>기타비유동자산</t>
  </si>
  <si>
    <t>계</t>
  </si>
  <si>
    <t>유동부채</t>
  </si>
  <si>
    <t>매입채무및기타채무</t>
  </si>
  <si>
    <t>기타유동부채</t>
  </si>
  <si>
    <t>비유동부채</t>
  </si>
  <si>
    <t>단기금융상품</t>
  </si>
  <si>
    <t>단기금융상품</t>
    <phoneticPr fontId="3" type="noConversion"/>
  </si>
  <si>
    <t>Sales</t>
    <phoneticPr fontId="3" type="noConversion"/>
  </si>
  <si>
    <t>ni</t>
    <phoneticPr fontId="3" type="noConversion"/>
  </si>
  <si>
    <t>과                        목</t>
  </si>
  <si>
    <t>손 익 계 산 서</t>
  </si>
  <si>
    <t>단기차입금</t>
  </si>
  <si>
    <t>단기차입금</t>
    <phoneticPr fontId="3" type="noConversion"/>
  </si>
  <si>
    <t>현재가치할인차금</t>
  </si>
  <si>
    <t>장기차입금</t>
  </si>
  <si>
    <t>퇴직급여충당부채</t>
  </si>
  <si>
    <t>임대보증금</t>
  </si>
  <si>
    <t>장기차입금</t>
    <phoneticPr fontId="3" type="noConversion"/>
  </si>
  <si>
    <t>자본금</t>
  </si>
  <si>
    <t>사채</t>
    <phoneticPr fontId="3" type="noConversion"/>
  </si>
  <si>
    <t>합계</t>
  </si>
  <si>
    <t>대손충당금</t>
  </si>
  <si>
    <t>단기금융상품</t>
    <phoneticPr fontId="3" type="noConversion"/>
  </si>
  <si>
    <t>내역</t>
  </si>
  <si>
    <t>연 결 재 무 상 태 표</t>
  </si>
  <si>
    <t>Ⅰ.유동자산</t>
  </si>
  <si>
    <t>(2)재고자산</t>
  </si>
  <si>
    <t>Ⅱ.비유동자산</t>
  </si>
  <si>
    <t>(1)투자자산</t>
  </si>
  <si>
    <t>1.장기금융상품</t>
  </si>
  <si>
    <t>1.토지</t>
  </si>
  <si>
    <t>2.건물</t>
  </si>
  <si>
    <t>3.구축물</t>
  </si>
  <si>
    <t>4.기계장치</t>
  </si>
  <si>
    <t>5.차량운반구</t>
  </si>
  <si>
    <t>(3)무형자산</t>
  </si>
  <si>
    <t>(4)기타비유동자산</t>
  </si>
  <si>
    <t>자산총계</t>
  </si>
  <si>
    <t>1.매입채무</t>
  </si>
  <si>
    <t>부채총계</t>
  </si>
  <si>
    <t>자본총계</t>
  </si>
  <si>
    <t>Ⅰ.매출액</t>
  </si>
  <si>
    <t>Ⅱ.매출원가</t>
  </si>
  <si>
    <t>Ⅲ.매출총이익</t>
  </si>
  <si>
    <t>Ⅳ.판매비와관리비</t>
  </si>
  <si>
    <t>Ⅴ.영업이익</t>
  </si>
  <si>
    <t>Ⅵ.영업외수익</t>
  </si>
  <si>
    <t>Ⅶ.영업외비용</t>
  </si>
  <si>
    <t>연 결 현 금 흐 름 표</t>
  </si>
  <si>
    <t>(1)퇴직급여</t>
  </si>
  <si>
    <t>ebitda</t>
    <phoneticPr fontId="3" type="noConversion"/>
  </si>
  <si>
    <t>ebit</t>
    <phoneticPr fontId="3" type="noConversion"/>
  </si>
  <si>
    <t>한국종합기술</t>
    <phoneticPr fontId="3" type="noConversion"/>
  </si>
  <si>
    <t>2017.09</t>
    <phoneticPr fontId="3" type="noConversion"/>
  </si>
  <si>
    <t>한진중공업 홀딩스</t>
    <phoneticPr fontId="3" type="noConversion"/>
  </si>
  <si>
    <t>한국종합기술홀딩스</t>
    <phoneticPr fontId="3" type="noConversion"/>
  </si>
  <si>
    <t>자산</t>
  </si>
  <si>
    <t>　유동자산</t>
  </si>
  <si>
    <t>　　현금및현금성자산</t>
  </si>
  <si>
    <t>　　단기금융상품</t>
  </si>
  <si>
    <t>　　유동매도가능금융자산</t>
  </si>
  <si>
    <t>　　유동만기보유금융자산</t>
  </si>
  <si>
    <t>　　매출채권</t>
  </si>
  <si>
    <t>　　미청구공사</t>
  </si>
  <si>
    <t>　　미수금</t>
  </si>
  <si>
    <t>　　미수수익</t>
  </si>
  <si>
    <t>　　기타유동자산</t>
  </si>
  <si>
    <t>　비유동자산</t>
  </si>
  <si>
    <t>　　장기금융상품</t>
  </si>
  <si>
    <t>　　매도가능금융자산</t>
  </si>
  <si>
    <t>　　만기보유금융자산</t>
  </si>
  <si>
    <t>　　투자부동산</t>
  </si>
  <si>
    <t>　　유형자산</t>
  </si>
  <si>
    <t>　　무형자산</t>
  </si>
  <si>
    <t>　　보증금</t>
  </si>
  <si>
    <t>　자산총계</t>
  </si>
  <si>
    <t>부채</t>
  </si>
  <si>
    <t>　유동부채</t>
  </si>
  <si>
    <t>　　단기차입금</t>
  </si>
  <si>
    <t>　　유동성장기차입금</t>
  </si>
  <si>
    <t>　　매입채무</t>
  </si>
  <si>
    <t>　　초과청구공사</t>
  </si>
  <si>
    <t>　　미지급금</t>
  </si>
  <si>
    <t>　　미지급비용</t>
  </si>
  <si>
    <t>　　예수금</t>
  </si>
  <si>
    <t>　　미지급법인세</t>
  </si>
  <si>
    <t>　　선수수익</t>
  </si>
  <si>
    <t>　　공사손실충당부채</t>
  </si>
  <si>
    <t>　　소송충당부채</t>
  </si>
  <si>
    <t>　비유동부채</t>
  </si>
  <si>
    <t>　　장기차입금</t>
  </si>
  <si>
    <t>　　임대보증금</t>
  </si>
  <si>
    <t>　　퇴직급여부채</t>
  </si>
  <si>
    <t>　　이연법인세부채</t>
  </si>
  <si>
    <t>　부채총계</t>
  </si>
  <si>
    <t>자본</t>
  </si>
  <si>
    <t>　자본금</t>
  </si>
  <si>
    <t>　주식발행초과금</t>
  </si>
  <si>
    <t>　이익잉여금</t>
  </si>
  <si>
    <t>　기타자본항목</t>
  </si>
  <si>
    <t>　자본총계</t>
  </si>
  <si>
    <t>자본과부채총계</t>
  </si>
  <si>
    <t>수익(매출액)</t>
  </si>
  <si>
    <t>매출원가</t>
  </si>
  <si>
    <t>매출총이익</t>
  </si>
  <si>
    <t>판매비와관리비</t>
  </si>
  <si>
    <t>영업이익</t>
  </si>
  <si>
    <t>기타수익</t>
  </si>
  <si>
    <t>기타비용</t>
  </si>
  <si>
    <t>금융수익</t>
  </si>
  <si>
    <t>금융원가</t>
  </si>
  <si>
    <t>법인세비용차감전순이익</t>
  </si>
  <si>
    <t>법인세비용</t>
  </si>
  <si>
    <t>당기순이익</t>
  </si>
  <si>
    <t>주당이익</t>
  </si>
  <si>
    <t>　기본주당이익(손실) (단위 : 원)</t>
  </si>
  <si>
    <t>　희석주당이익(손실) (단위 : 원)</t>
  </si>
  <si>
    <t>D&amp;a</t>
    <phoneticPr fontId="3" type="noConversion"/>
  </si>
  <si>
    <t>http://dart.fss.or.kr/dsaf001/main.do?rcpNo=20171212800646</t>
    <phoneticPr fontId="3" type="noConversion"/>
  </si>
  <si>
    <t>FY2017</t>
    <phoneticPr fontId="3" type="noConversion"/>
  </si>
  <si>
    <t>연결 재무상태표</t>
  </si>
  <si>
    <t>　　매출채권 및 기타유동채권</t>
  </si>
  <si>
    <t>　　기타유동금융자산</t>
  </si>
  <si>
    <t>　　당기법인세자산</t>
  </si>
  <si>
    <t>　　재고자산</t>
  </si>
  <si>
    <t>　　기타비유동금융자산</t>
  </si>
  <si>
    <t>　　기타비유동자산</t>
  </si>
  <si>
    <t>　　매입채무 및 기타유동채무</t>
  </si>
  <si>
    <t>　　당기법인세부채</t>
  </si>
  <si>
    <t>　　기타유동부채</t>
  </si>
  <si>
    <t>　　전환사채</t>
  </si>
  <si>
    <t>　　기타비유동부채</t>
  </si>
  <si>
    <t>　지배기업의 소유주에게 귀속되는 자본</t>
  </si>
  <si>
    <t>　　자본금</t>
  </si>
  <si>
    <t>　　자본잉여금</t>
  </si>
  <si>
    <t>　　기타포괄손익누계액</t>
  </si>
  <si>
    <t>　　이익잉여금(결손금)</t>
  </si>
  <si>
    <t>　비지배지분</t>
  </si>
  <si>
    <t>매출액</t>
  </si>
  <si>
    <t>금융비용</t>
  </si>
  <si>
    <t>기타영업외비용</t>
  </si>
  <si>
    <t>법인세비용차감전순이익(손실)</t>
  </si>
  <si>
    <t>계속영업이익(손실)</t>
  </si>
  <si>
    <t>당기순이익(손실)</t>
  </si>
  <si>
    <t>당기순이익(손실)의 귀속</t>
  </si>
  <si>
    <t>　지배기업의 소유주에게 귀속되는 당기순이익(손실)</t>
  </si>
  <si>
    <t>　비지배지분에 귀속되는 당기순이익(손실)</t>
  </si>
  <si>
    <t>연결 포괄손익계산서</t>
  </si>
  <si>
    <t>매출채권</t>
  </si>
  <si>
    <t>미청구공사</t>
  </si>
  <si>
    <t>미수금</t>
  </si>
  <si>
    <t>미수수익</t>
  </si>
  <si>
    <t>매도가능금융자산</t>
  </si>
  <si>
    <t>만기보유금융자산</t>
  </si>
  <si>
    <t>유동성장기차입금</t>
  </si>
  <si>
    <t>매입채무</t>
  </si>
  <si>
    <t>초과청구공사</t>
  </si>
  <si>
    <t>보 유 목 적</t>
  </si>
  <si>
    <t>구    분</t>
  </si>
  <si>
    <t>단  기</t>
  </si>
  <si>
    <t>시장성 있는 투자주식</t>
  </si>
  <si>
    <t>채무증권</t>
  </si>
  <si>
    <t>소    계</t>
  </si>
  <si>
    <t>장  기</t>
  </si>
  <si>
    <t>시장성 없는 투자주식</t>
  </si>
  <si>
    <t>출자금</t>
  </si>
  <si>
    <t>합    계</t>
  </si>
  <si>
    <t>이익잉여금</t>
  </si>
  <si>
    <t>BV</t>
    <phoneticPr fontId="3" type="noConversion"/>
  </si>
  <si>
    <t>만기보유금융자산</t>
    <phoneticPr fontId="3" type="noConversion"/>
  </si>
  <si>
    <t>단기대여금</t>
  </si>
  <si>
    <t>계정과목</t>
  </si>
  <si>
    <t>장기대여금</t>
  </si>
  <si>
    <t>관계기업투자</t>
  </si>
  <si>
    <t>백만원</t>
    <phoneticPr fontId="3" type="noConversion"/>
  </si>
  <si>
    <t>당기법인세부채</t>
  </si>
  <si>
    <t>기타유동금융자산</t>
  </si>
  <si>
    <t>당기법인세자산</t>
  </si>
  <si>
    <t>기타비유동금융자산</t>
  </si>
  <si>
    <t>(단위:천원)</t>
  </si>
  <si>
    <t>6. 범주별 금융상품</t>
  </si>
  <si>
    <t>제 25 기          2017.12.31 현재</t>
  </si>
  <si>
    <t>제 24 기          2016.12.31 현재</t>
  </si>
  <si>
    <t>6.1 금융상품 범주별 장부금액</t>
  </si>
  <si>
    <t>제 23 기          2015.12.31 현재</t>
  </si>
  <si>
    <t>(1) 당기말</t>
  </si>
  <si>
    <t>2016년</t>
    <phoneticPr fontId="3" type="noConversion"/>
  </si>
  <si>
    <t>2017년</t>
    <phoneticPr fontId="3" type="noConversion"/>
  </si>
  <si>
    <t>대여금및수취채권</t>
  </si>
  <si>
    <t>상각후원가로 측정하는 금융부채</t>
  </si>
  <si>
    <t>백만원</t>
    <phoneticPr fontId="3" type="noConversion"/>
  </si>
  <si>
    <t>12월31일</t>
    <phoneticPr fontId="3" type="noConversion"/>
  </si>
  <si>
    <t>차입금</t>
    <phoneticPr fontId="3" type="noConversion"/>
  </si>
  <si>
    <t>현금및현금성자산</t>
    <phoneticPr fontId="3" type="noConversion"/>
  </si>
  <si>
    <t>단기금융상품</t>
    <phoneticPr fontId="3" type="noConversion"/>
  </si>
  <si>
    <t>Net Debt</t>
    <phoneticPr fontId="3" type="noConversion"/>
  </si>
  <si>
    <t>NOA</t>
    <phoneticPr fontId="3" type="noConversion"/>
  </si>
  <si>
    <t>장기금융상품</t>
    <phoneticPr fontId="3" type="noConversion"/>
  </si>
  <si>
    <t>투자부동산</t>
    <phoneticPr fontId="3" type="noConversion"/>
  </si>
  <si>
    <t>기타유동금융부채</t>
  </si>
  <si>
    <t>관계기업투자</t>
    <phoneticPr fontId="3" type="noConversion"/>
  </si>
  <si>
    <t>장단기대여금</t>
    <phoneticPr fontId="3" type="noConversion"/>
  </si>
  <si>
    <t>&gt;&gt;특수관계자 대여금 포함</t>
    <phoneticPr fontId="3" type="noConversion"/>
  </si>
  <si>
    <t>(2) 전기말</t>
  </si>
  <si>
    <t>2016년</t>
    <phoneticPr fontId="3" type="noConversion"/>
  </si>
  <si>
    <t>2017년</t>
    <phoneticPr fontId="3" type="noConversion"/>
  </si>
  <si>
    <t>　　이연법인세자산</t>
  </si>
  <si>
    <t>백만원</t>
    <phoneticPr fontId="3" type="noConversion"/>
  </si>
  <si>
    <t>12개월</t>
    <phoneticPr fontId="3" type="noConversion"/>
  </si>
  <si>
    <t>12개월</t>
    <phoneticPr fontId="3" type="noConversion"/>
  </si>
  <si>
    <t>매출액</t>
    <phoneticPr fontId="3" type="noConversion"/>
  </si>
  <si>
    <t>매출총이익</t>
    <phoneticPr fontId="3" type="noConversion"/>
  </si>
  <si>
    <t>판관비</t>
    <phoneticPr fontId="3" type="noConversion"/>
  </si>
  <si>
    <t>영업이익</t>
    <phoneticPr fontId="3" type="noConversion"/>
  </si>
  <si>
    <t>　　기타유동금융부채</t>
  </si>
  <si>
    <t>D&amp;A</t>
    <phoneticPr fontId="3" type="noConversion"/>
  </si>
  <si>
    <t>　　충당부채</t>
  </si>
  <si>
    <t>　　순확정급여부채</t>
  </si>
  <si>
    <t>7. 사용제한예금</t>
  </si>
  <si>
    <t>구     분</t>
  </si>
  <si>
    <t>당좌개설보증금</t>
  </si>
  <si>
    <t>　　주식발행초과금</t>
  </si>
  <si>
    <t>9. 기타금융자산</t>
  </si>
  <si>
    <t>　　기타자본구성요소</t>
  </si>
  <si>
    <t>유동</t>
  </si>
  <si>
    <t>비유동</t>
  </si>
  <si>
    <t>대여금</t>
  </si>
  <si>
    <t>제 25 기 2017.01.01 부터 2017.12.31 까지</t>
  </si>
  <si>
    <t>제 24 기 2016.01.01 부터 2016.12.31 까지</t>
  </si>
  <si>
    <t>제 23 기 2015.01.01 부터 2015.12.31 까지</t>
  </si>
  <si>
    <t>11. 매도가능금융자산 </t>
  </si>
  <si>
    <t>(1) 매도가능금융자산의 내역</t>
  </si>
  <si>
    <t>구 분</t>
  </si>
  <si>
    <t>장부가액</t>
  </si>
  <si>
    <t>영업이익(손실)</t>
  </si>
  <si>
    <t>국채 및 공채</t>
  </si>
  <si>
    <t>금융이익</t>
  </si>
  <si>
    <t>1년 이내 만기 도래분</t>
  </si>
  <si>
    <t>1년 초과 5년 내 만기 도래분</t>
  </si>
  <si>
    <t>기타영업외이익</t>
  </si>
  <si>
    <t>시장성 없는 지분증권</t>
  </si>
  <si>
    <t>(주)한텍</t>
  </si>
  <si>
    <t>한국엔지니어링공제조합</t>
  </si>
  <si>
    <t>전문건설공제조합</t>
  </si>
  <si>
    <t>한국건설자원공제조합</t>
  </si>
  <si>
    <t>기타포괄손익</t>
  </si>
  <si>
    <t>합     계</t>
  </si>
  <si>
    <t>　당기손익으로 재분류되지 않는항목(세후기타포괄손익)</t>
  </si>
  <si>
    <t>　　확정급여제도의 재측정손익(세후기타포괄손익)</t>
  </si>
  <si>
    <t>　당기손익으로 재분류될 수 있는 항목(세후기타포괄손익)</t>
  </si>
  <si>
    <t>12. 만기보유금융자산</t>
  </si>
  <si>
    <t>　　매도가능금융자산평가손익(세후기타포괄손익)</t>
  </si>
  <si>
    <t>총포괄손익</t>
  </si>
  <si>
    <t> 1년 이내 만기 도래분</t>
  </si>
  <si>
    <t>총 포괄손익의 귀속</t>
  </si>
  <si>
    <t> 1년 초과 5년 내 만기 도래분</t>
  </si>
  <si>
    <t>　총 포괄손익, 지배기업의 소유주에게 귀속되는 지분</t>
  </si>
  <si>
    <t>　총 포괄손익, 비지배지분</t>
  </si>
  <si>
    <t>(3) 감가상각비가 포함되어 있는 계정과목별 금액</t>
  </si>
  <si>
    <t>연결 현금흐름표</t>
  </si>
  <si>
    <t>당기</t>
  </si>
  <si>
    <t>전기</t>
  </si>
  <si>
    <t>영업활동현금흐름</t>
  </si>
  <si>
    <t>(2) 무형자산의 변동 내역</t>
  </si>
  <si>
    <t>　당기순이익(손실)</t>
  </si>
  <si>
    <t>　당기순이익조정을 위한 가감</t>
  </si>
  <si>
    <t>1) 당기</t>
  </si>
  <si>
    <t>　배당금수취(영업)</t>
  </si>
  <si>
    <t>　이자지급(영업)</t>
  </si>
  <si>
    <t>기초 순장부금액</t>
  </si>
  <si>
    <t>처분</t>
  </si>
  <si>
    <t>상각비</t>
  </si>
  <si>
    <t>기말 순장부금액</t>
  </si>
  <si>
    <t>　이자수취(영업)</t>
  </si>
  <si>
    <t>영업권</t>
  </si>
  <si>
    <t>　법인세납부(환급)</t>
  </si>
  <si>
    <t>회원권</t>
  </si>
  <si>
    <t>투자활동현금흐름</t>
  </si>
  <si>
    <t>온실가스배출권</t>
  </si>
  <si>
    <t>　단기금융상품의 취득</t>
  </si>
  <si>
    <t>기타의무형자산</t>
  </si>
  <si>
    <t>　단기금융상품의 처분</t>
  </si>
  <si>
    <t>　장기금융상품의 취득</t>
  </si>
  <si>
    <t>　장기금융상품의 처분</t>
  </si>
  <si>
    <t>2) 전기</t>
  </si>
  <si>
    <t>　매도가능금융자산의 취득</t>
  </si>
  <si>
    <t>　매도가능금융자산의 처분</t>
  </si>
  <si>
    <t>　만기보유금융자산의 취득</t>
  </si>
  <si>
    <t>　만기보유금융자산의 처분</t>
  </si>
  <si>
    <t>　기타유동금융자산의 증가</t>
  </si>
  <si>
    <t>　기타유동금융자산의 감소</t>
  </si>
  <si>
    <t>　유형자산의 취득</t>
  </si>
  <si>
    <t>　유형자산의 처분</t>
  </si>
  <si>
    <t>　무형자산의 취득</t>
  </si>
  <si>
    <t>D&amp;A</t>
    <phoneticPr fontId="3" type="noConversion"/>
  </si>
  <si>
    <t>　무형자산의 처분</t>
  </si>
  <si>
    <t>　보증금의 증가</t>
  </si>
  <si>
    <t>　보증금의 감소</t>
  </si>
  <si>
    <t>　선급금의 증가</t>
  </si>
  <si>
    <t>재무활동현금흐름</t>
  </si>
  <si>
    <t>　장기차입금의 증가</t>
  </si>
  <si>
    <t>　배당금지급</t>
  </si>
  <si>
    <t>현금및현금성자산의순증가(감소)</t>
  </si>
  <si>
    <t>기초현금및현금성자산</t>
  </si>
  <si>
    <t>기말현금및현금성자산</t>
  </si>
  <si>
    <t>제 24 기 2017년 12월 31일 현재</t>
  </si>
  <si>
    <t>제 23 기 2016년 12월 31일 현재</t>
  </si>
  <si>
    <t>회사명 : (주)삼우그린</t>
  </si>
  <si>
    <t>2016년</t>
    <phoneticPr fontId="3" type="noConversion"/>
  </si>
  <si>
    <t>2017년</t>
    <phoneticPr fontId="3" type="noConversion"/>
  </si>
  <si>
    <t>  자                                        산</t>
  </si>
  <si>
    <t>백만원</t>
    <phoneticPr fontId="3" type="noConversion"/>
  </si>
  <si>
    <t>12월31일</t>
    <phoneticPr fontId="3" type="noConversion"/>
  </si>
  <si>
    <t>I. 유           동           자           산</t>
  </si>
  <si>
    <t>(1) 당       좌           자         산  </t>
  </si>
  <si>
    <t>현금및현금성자산</t>
    <phoneticPr fontId="3" type="noConversion"/>
  </si>
  <si>
    <t> 1.현  금  및  현  금  등  가  물</t>
  </si>
  <si>
    <t> 2.단   기   금   융  상  품(주3)</t>
  </si>
  <si>
    <t>Net Debt</t>
    <phoneticPr fontId="3" type="noConversion"/>
  </si>
  <si>
    <t> 3.매      출      채      권 (주2)</t>
  </si>
  <si>
    <t>   대      손      충      당     금</t>
  </si>
  <si>
    <t> 4.단      기      대      여     금</t>
  </si>
  <si>
    <t>NOA</t>
    <phoneticPr fontId="3" type="noConversion"/>
  </si>
  <si>
    <t> 5.미      수      수      익(주13)</t>
  </si>
  <si>
    <t> 6.관  계 회  사  대 여 금(주13)</t>
  </si>
  <si>
    <t>관계기업투자</t>
    <phoneticPr fontId="3" type="noConversion"/>
  </si>
  <si>
    <t> 7.선    납    법    인   세(주10)</t>
  </si>
  <si>
    <t> 8.선         급         비        용</t>
  </si>
  <si>
    <t>&gt;&gt;특수관계자 대여금 포함</t>
    <phoneticPr fontId="3" type="noConversion"/>
  </si>
  <si>
    <t> 9.주 주.임 원 단기채 권(주13)</t>
  </si>
  <si>
    <t>II.비        유        동       자       산  </t>
  </si>
  <si>
    <t>(1) 투         자         자         산</t>
  </si>
  <si>
    <t>1.장  기   금   융  상  품(주3)</t>
  </si>
  <si>
    <t>2.매  도   가   능  증  권(주8)</t>
  </si>
  <si>
    <t>(2) 유     형    자    산(주2,4,5,7)</t>
  </si>
  <si>
    <t>2016년</t>
    <phoneticPr fontId="3" type="noConversion"/>
  </si>
  <si>
    <t>1.토                             지  </t>
  </si>
  <si>
    <t>2.건                             물  </t>
  </si>
  <si>
    <t>매출액</t>
    <phoneticPr fontId="3" type="noConversion"/>
  </si>
  <si>
    <t>   감  가   상  각   누  계  액  </t>
  </si>
  <si>
    <t>매출총이익</t>
    <phoneticPr fontId="3" type="noConversion"/>
  </si>
  <si>
    <t>3.구             축             물  </t>
  </si>
  <si>
    <t>영업이익</t>
    <phoneticPr fontId="3" type="noConversion"/>
  </si>
  <si>
    <t>4.기       계        장        치  </t>
  </si>
  <si>
    <t>   감  가   상  각   누  계  액</t>
  </si>
  <si>
    <t>5.차     량     운     반     구  </t>
  </si>
  <si>
    <t>6.공     구     와      기     구</t>
  </si>
  <si>
    <t>   감   가   상  각   누  계  액</t>
  </si>
  <si>
    <t>7.비                              품</t>
  </si>
  <si>
    <t>8.시              설              비</t>
  </si>
  <si>
    <t>   감   가   상   각   누  계  액</t>
  </si>
  <si>
    <t>(3)무         형         자         산</t>
  </si>
  <si>
    <t>1.소      프      트      웨     어</t>
  </si>
  <si>
    <t>(4)기   타   비   유   동   자   산</t>
  </si>
  <si>
    <t>1.기     타     보     증     금</t>
  </si>
  <si>
    <t>2.전  신  전  화  가   입   권</t>
  </si>
  <si>
    <t> 자           산           총           계</t>
  </si>
  <si>
    <t> 부                                       채</t>
  </si>
  <si>
    <t>I. 유          동           부          채</t>
  </si>
  <si>
    <t>1.미        지        급        금  </t>
  </si>
  <si>
    <t>2.예              수             금  </t>
  </si>
  <si>
    <t>3.미  지  급  법  인  세 (주10)</t>
  </si>
  <si>
    <t>4.미     지     급     비     용</t>
  </si>
  <si>
    <t>5.유  동  성  장  기 부 채(주9)</t>
  </si>
  <si>
    <t>II. 비       유       동       부       채  </t>
  </si>
  <si>
    <t>1.장    기    차    입    금(주9)</t>
  </si>
  <si>
    <t>2.퇴 직 급 여 충 당 부 채(주2)</t>
  </si>
  <si>
    <t>3.장  기  계  약  보  증  금</t>
  </si>
  <si>
    <t>부           채           총            계  </t>
  </si>
  <si>
    <t>자                                        본</t>
  </si>
  <si>
    <t>I. 자                본                  금  </t>
  </si>
  <si>
    <t>1.보  통   주  자   본  금(주11)</t>
  </si>
  <si>
    <t>Ⅱ. 이       익       잉       여       금</t>
  </si>
  <si>
    <t>1.이      익      준      비     금</t>
  </si>
  <si>
    <t>2.기  업  합  리  화  적  립  금</t>
  </si>
  <si>
    <t>3.미   처   분  이  익 잉  여  금</t>
  </si>
  <si>
    <t>자            본          총            계  </t>
  </si>
  <si>
    <t>부     채     및     자    본   총   계  </t>
  </si>
  <si>
    <t>                                     별첨 주석은 본 재무제표의 일부입니다.</t>
  </si>
  <si>
    <t>제 24 기 2017년 01월 01일부터   2017년 12월 31일까지</t>
  </si>
  <si>
    <t>제 23 기 2016년 01월 01일부터   2016년 12월 31일까지</t>
  </si>
  <si>
    <t>Ⅰ.매             출             액(주2)</t>
  </si>
  <si>
    <t> 1.폐   기   물  처   분   수   입</t>
  </si>
  <si>
    <t>Ⅱ.매           출          원           가  </t>
  </si>
  <si>
    <t> 1.폐   기   물  처   분   원   가</t>
  </si>
  <si>
    <t>Ⅲ.매       출        총        이       익</t>
  </si>
  <si>
    <t>Ⅳ.판    매    비    와    관    리    비</t>
  </si>
  <si>
    <t> 1.급                                 여</t>
  </si>
  <si>
    <t> 2.퇴         직         급         여</t>
  </si>
  <si>
    <t> 3.복     리      후      생       비</t>
  </si>
  <si>
    <t> 4.여     비      교      통       비</t>
  </si>
  <si>
    <t> 5.접              대                비</t>
  </si>
  <si>
    <t> 6.통              신                비</t>
  </si>
  <si>
    <t> 7.수      도     광       열      비</t>
  </si>
  <si>
    <t> 8.전              력                비</t>
  </si>
  <si>
    <t> 9.세    금    과    공    과    금</t>
  </si>
  <si>
    <t>10.감      가      상      각      비</t>
  </si>
  <si>
    <t>11.수               선               비</t>
  </si>
  <si>
    <t>12.보               험               료</t>
  </si>
  <si>
    <t>13.차      량      유      지      비</t>
  </si>
  <si>
    <t>14.운               반               비</t>
  </si>
  <si>
    <t>15.교      육      훈      련      비</t>
  </si>
  <si>
    <t>16.도      서      인      쇄      비</t>
  </si>
  <si>
    <t>17.사      무      용      품      비</t>
  </si>
  <si>
    <t>18.소         모         품         비</t>
  </si>
  <si>
    <t>19.지      급      수      수      료</t>
  </si>
  <si>
    <t>20.광      고      선      전      비</t>
  </si>
  <si>
    <t>21.대      손      상      각      비</t>
  </si>
  <si>
    <t>22.무   형   자   산   상   각   비</t>
  </si>
  <si>
    <t>22.잡                                  비</t>
  </si>
  <si>
    <t>23.협               회                비</t>
  </si>
  <si>
    <t>Ⅴ.영           업          이           익</t>
  </si>
  <si>
    <t>Ⅵ.영      업       외        수       익  </t>
  </si>
  <si>
    <t> 1.이       자       수       익(주13)</t>
  </si>
  <si>
    <t> 2.대   손   충   당   금   환   입</t>
  </si>
  <si>
    <t> 3.유  형  자  산  처  분  이   익</t>
  </si>
  <si>
    <t> 4.잡               이               익</t>
  </si>
  <si>
    <t>Ⅶ.영       업      외       비        용  </t>
  </si>
  <si>
    <t> 1.이         자         비         용</t>
  </si>
  <si>
    <t> 2.기               부               금</t>
  </si>
  <si>
    <t> 3.전   기   오   류  수  정  손  실</t>
  </si>
  <si>
    <t> 4.잡               손               실  </t>
  </si>
  <si>
    <t> 5.기   타   대   손   상   각   비</t>
  </si>
  <si>
    <t>Ⅷ.법   인   세   차  감  전  순  이  익</t>
  </si>
  <si>
    <t>Ⅸ.법         인         세       등(주10)</t>
  </si>
  <si>
    <t>Ⅹ.당      기       순        이       익  </t>
  </si>
  <si>
    <t>                                      별첨 주석은 본 재무제표의 일부입니다.</t>
  </si>
  <si>
    <t>현 금 흐 름 표</t>
  </si>
  <si>
    <t>제 24기 2017년 01월 01일부터   2017년 12월 31일까지</t>
  </si>
  <si>
    <t>제 23기 2016년 01월 01일부터   2016년 12월 31일까지</t>
  </si>
  <si>
    <t>I. 영 업 활 동 으 로 인 한 현 금 흐 름</t>
  </si>
  <si>
    <t>1. 당       기        순       이        익</t>
  </si>
  <si>
    <t>2. 현금의 유출이없는 비용 등의 가산</t>
  </si>
  <si>
    <t> 가.유  형  자  산  감  가  상  각  비  </t>
  </si>
  <si>
    <t> 나.대          손          상          각  </t>
  </si>
  <si>
    <t> 다.무    형    자    산    상   각   비</t>
  </si>
  <si>
    <t> 라.지       분       법       손       실</t>
  </si>
  <si>
    <t>3. 현금의 유입이없는 수익등의 차감</t>
  </si>
  <si>
    <t>가.유   형  자  산  처  분  이  익</t>
  </si>
  <si>
    <t>나.대   손   충   당    금   환   입</t>
  </si>
  <si>
    <t>4. 영 업 활 동으로인한자산부채의변동</t>
  </si>
  <si>
    <t> 가.매  출  채  권  의  감  소(증 가)</t>
  </si>
  <si>
    <t> 나.미  수  수  익  의  감  소(증 가)</t>
  </si>
  <si>
    <t> 다.선   급   금   의   감   소(증 가)</t>
  </si>
  <si>
    <t> 라.선  급  비  용  의  감  소(증 가)</t>
  </si>
  <si>
    <t> 마.선  납  법  인  세 의 감 소(증 가)</t>
  </si>
  <si>
    <t> 바.예    수    금   의   증   가(감 소)</t>
  </si>
  <si>
    <t> 사.미  지   급   금  의  증  가(감 소)</t>
  </si>
  <si>
    <t> 아.미 지 급 법 인 세 의 증 가(감 소)</t>
  </si>
  <si>
    <t> 자.미  지  급  비  용  의 증 가(감소)</t>
  </si>
  <si>
    <t> 차.퇴     직     금     의     지     급</t>
  </si>
  <si>
    <t>II.투 자 활 동 으 로 인 한 현 금 흐 름</t>
  </si>
  <si>
    <t>1.투 자 활 동 으 로 인 한 현 금 유 입 액</t>
  </si>
  <si>
    <t> 가.단 기 금 융 상 품 의 감 소</t>
  </si>
  <si>
    <t> 나.차     량     의    처      분</t>
  </si>
  <si>
    <t> 다.건 설 중 인 자 산 의 감 소</t>
  </si>
  <si>
    <t>2.투 자 활 동 으 로 인 한 현 금 유 출 액</t>
  </si>
  <si>
    <t> 가.보      증      금     의     증    가</t>
  </si>
  <si>
    <t> 나.소   프   트   웨   어   의   취  득</t>
  </si>
  <si>
    <t> 다.토       지      의       취        득</t>
  </si>
  <si>
    <t> 라.건       물      의       증        가</t>
  </si>
  <si>
    <t> 마.건  설  중  인  자  산  의  증  가</t>
  </si>
  <si>
    <t> 바.기    계    장    치    의    취    득</t>
  </si>
  <si>
    <t> 사.비       품       의       취       득</t>
  </si>
  <si>
    <t>Ⅲ.재 무 활 동 으 로 인 한 현 금 흐 름</t>
  </si>
  <si>
    <t>1.재 무 활 동 으 로 인 한 현 금 유 입 액</t>
  </si>
  <si>
    <t> 가.단   기   대   여   금   의  감  소</t>
  </si>
  <si>
    <t> 나.주 주 임 원 단 기 채 권 의 감 소</t>
  </si>
  <si>
    <t> 다.장  기  금  융  상  품  의 감  소</t>
  </si>
  <si>
    <t> 라.유  동  성  장  기  부  채 의 증 가</t>
  </si>
  <si>
    <t> 마.장   기   차   입   금   의   증  가</t>
  </si>
  <si>
    <t>2.재 무 활 동 으 로 인 한 현 금 유 출 액</t>
  </si>
  <si>
    <t> 가.관  계 회 사 대  여  금 의 증 가</t>
  </si>
  <si>
    <t> 나.주 주 임 원 단 기 채 권 의 증 가</t>
  </si>
  <si>
    <t> 다.장  기 금  융  상  품  의  증  가</t>
  </si>
  <si>
    <t> 라.장  기  계  약  보  증  금 의 감 소</t>
  </si>
  <si>
    <t>Ⅳ.현      금      의       증       가  (감 소)</t>
  </si>
  <si>
    <t>Ⅴ.기        초        의         현         금</t>
  </si>
  <si>
    <t>Ⅵ.기        말        의         현         금</t>
  </si>
  <si>
    <t>                                         별첨 주석은 본 재무제표의 일부입니다.</t>
  </si>
  <si>
    <t>(단위 : 천원)</t>
  </si>
  <si>
    <t>거래처</t>
  </si>
  <si>
    <t>자                        산</t>
  </si>
  <si>
    <t>합 계</t>
  </si>
  <si>
    <t>백만원</t>
    <phoneticPr fontId="3" type="noConversion"/>
  </si>
  <si>
    <t>12월31일</t>
    <phoneticPr fontId="3" type="noConversion"/>
  </si>
  <si>
    <t>우리은행</t>
  </si>
  <si>
    <t>국공채</t>
  </si>
  <si>
    <t>감가상각누계액</t>
  </si>
  <si>
    <t>엔지니어링공제조합</t>
  </si>
  <si>
    <t>부                        채</t>
  </si>
  <si>
    <t>　-</t>
  </si>
  <si>
    <t>퇴직급여</t>
  </si>
  <si>
    <t>유형자산처분손실</t>
  </si>
  <si>
    <t>지분법이익</t>
  </si>
  <si>
    <t>미수금의 감소(증가)</t>
  </si>
  <si>
    <t>선급비용의 감소(증가)</t>
  </si>
  <si>
    <t>예수금의 증가(감소)</t>
  </si>
  <si>
    <t>퇴직금의 지급</t>
  </si>
  <si>
    <t>단기대여금의 감소</t>
  </si>
  <si>
    <t>보증금의 감소</t>
  </si>
  <si>
    <t>유형자산의 처분</t>
  </si>
  <si>
    <t>보증금의 증가</t>
  </si>
  <si>
    <t>유형자산의 취득</t>
  </si>
  <si>
    <t>배당금의 지급</t>
  </si>
  <si>
    <t>재무상태표</t>
    <phoneticPr fontId="3" type="noConversion"/>
  </si>
  <si>
    <t>(3) 당기말 및 전기말 현재 금융자산과 금융부채의 범주별 장부금액은 다음과 같습니다.</t>
  </si>
  <si>
    <t>더블유아이케이그린 주식회사</t>
  </si>
  <si>
    <t>(단위: 원)</t>
  </si>
  <si>
    <t>구      분</t>
  </si>
  <si>
    <t>과                목</t>
  </si>
  <si>
    <t>상각후원가</t>
  </si>
  <si>
    <t>상각후원</t>
  </si>
  <si>
    <t>측정 금융자산</t>
  </si>
  <si>
    <t>측정 금융부채</t>
  </si>
  <si>
    <t>I. 유  동  자  산</t>
  </si>
  <si>
    <t>(금융자산)</t>
  </si>
  <si>
    <t>2017년</t>
    <phoneticPr fontId="3" type="noConversion"/>
  </si>
  <si>
    <t>2018년</t>
    <phoneticPr fontId="3" type="noConversion"/>
  </si>
  <si>
    <t>  현금및현금성자산</t>
  </si>
  <si>
    <t>백만원</t>
    <phoneticPr fontId="3" type="noConversion"/>
  </si>
  <si>
    <t>12월31일</t>
    <phoneticPr fontId="3" type="noConversion"/>
  </si>
  <si>
    <t>  단기금융상품</t>
  </si>
  <si>
    <t> 매출채권</t>
  </si>
  <si>
    <t>차입금</t>
    <phoneticPr fontId="3" type="noConversion"/>
  </si>
  <si>
    <t>  매출채권</t>
  </si>
  <si>
    <t>5,26</t>
  </si>
  <si>
    <t>현금및현금성자산</t>
    <phoneticPr fontId="3" type="noConversion"/>
  </si>
  <si>
    <t>  기타유동금융자산</t>
  </si>
  <si>
    <t>6, 26</t>
  </si>
  <si>
    <t> 기타유동금융자산</t>
  </si>
  <si>
    <t>단기금융상품</t>
    <phoneticPr fontId="3" type="noConversion"/>
  </si>
  <si>
    <t>  기타유동자산</t>
  </si>
  <si>
    <t> 기타비유동금융자산</t>
  </si>
  <si>
    <t>Net Debt</t>
    <phoneticPr fontId="3" type="noConversion"/>
  </si>
  <si>
    <t>  당기법인세자산</t>
  </si>
  <si>
    <t>II. 비  유  동  자  산</t>
  </si>
  <si>
    <t>(금융부채)</t>
  </si>
  <si>
    <t>  유형자산</t>
  </si>
  <si>
    <t> 매입채무및기타채무</t>
  </si>
  <si>
    <t>NOA</t>
    <phoneticPr fontId="3" type="noConversion"/>
  </si>
  <si>
    <t>  무형자산</t>
  </si>
  <si>
    <t>8,9</t>
  </si>
  <si>
    <t>장기금융상품</t>
    <phoneticPr fontId="3" type="noConversion"/>
  </si>
  <si>
    <t>  기타비유동금융자산</t>
  </si>
  <si>
    <t>투자부동산</t>
    <phoneticPr fontId="3" type="noConversion"/>
  </si>
  <si>
    <t>  이연법인세자산</t>
  </si>
  <si>
    <t>관계기업투자</t>
    <phoneticPr fontId="3" type="noConversion"/>
  </si>
  <si>
    <t>자      산      총      계</t>
  </si>
  <si>
    <t>매도가능증권</t>
    <phoneticPr fontId="3" type="noConversion"/>
  </si>
  <si>
    <t>(1) 당기 및 전기의 영업활동 현금흐름 중 조정 및 순운전자본의 변동은 다음과 같습니다</t>
  </si>
  <si>
    <t>장단기대여금</t>
    <phoneticPr fontId="3" type="noConversion"/>
  </si>
  <si>
    <t>I. 유  동  부  채</t>
  </si>
  <si>
    <t>  매입채무및기타채무</t>
  </si>
  <si>
    <t>10, 27</t>
  </si>
  <si>
    <t>금  액</t>
  </si>
  <si>
    <t>  기타유동부채</t>
  </si>
  <si>
    <t>II. 비  유  동  부  채</t>
  </si>
  <si>
    <t>조정:</t>
  </si>
  <si>
    <t>  기타비유동부채</t>
  </si>
  <si>
    <t> 퇴직급여</t>
  </si>
  <si>
    <t>  순확정급여부채</t>
  </si>
  <si>
    <t> 대손상각비환입</t>
  </si>
  <si>
    <t>2018년</t>
    <phoneticPr fontId="3" type="noConversion"/>
  </si>
  <si>
    <t>부      채      총      계</t>
  </si>
  <si>
    <t> 감가상각비</t>
  </si>
  <si>
    <t>12개월</t>
    <phoneticPr fontId="3" type="noConversion"/>
  </si>
  <si>
    <t>자                        본</t>
  </si>
  <si>
    <t> 무형자산상각비</t>
  </si>
  <si>
    <t>매출액</t>
    <phoneticPr fontId="3" type="noConversion"/>
  </si>
  <si>
    <t>I. 자본금</t>
  </si>
  <si>
    <t> 유형자산처분손실</t>
  </si>
  <si>
    <t>II. 기타불입자본</t>
  </si>
  <si>
    <t> 기타충당부채전입액</t>
  </si>
  <si>
    <t>판관비</t>
    <phoneticPr fontId="3" type="noConversion"/>
  </si>
  <si>
    <t>III. 이익잉여금</t>
  </si>
  <si>
    <t> 이자수익</t>
  </si>
  <si>
    <t>영업이익</t>
    <phoneticPr fontId="3" type="noConversion"/>
  </si>
  <si>
    <t>자      본      총      계</t>
  </si>
  <si>
    <t> 유형자산처분이익</t>
  </si>
  <si>
    <t>EBITDA</t>
    <phoneticPr fontId="3" type="noConversion"/>
  </si>
  <si>
    <t>부  채  및  자  본  총  계</t>
  </si>
  <si>
    <t> 법인세비용(수익)</t>
  </si>
  <si>
    <t>순운전자본의 변동:</t>
  </si>
  <si>
    <t>D&amp;A</t>
    <phoneticPr fontId="3" type="noConversion"/>
  </si>
  <si>
    <t>주석 참조</t>
  </si>
  <si>
    <t> 매출채권의 감소</t>
  </si>
  <si>
    <t> 선급비용의 감소</t>
  </si>
  <si>
    <t>포괄손익계산서</t>
    <phoneticPr fontId="3" type="noConversion"/>
  </si>
  <si>
    <t> 선급금의 감소(증가)</t>
  </si>
  <si>
    <t> 미수금의 감소(증가)</t>
  </si>
  <si>
    <t> 보증금의 감소</t>
  </si>
  <si>
    <t>과             목</t>
  </si>
  <si>
    <t> 외상매입금의 증가(감소)</t>
  </si>
  <si>
    <t>I. 매출액</t>
  </si>
  <si>
    <t> 기타충당부채의 증가(감소)</t>
  </si>
  <si>
    <t>II. 매출원가</t>
  </si>
  <si>
    <t> 미지급금의 증가</t>
  </si>
  <si>
    <t>III. 매출총이익</t>
  </si>
  <si>
    <t> 부가세예수금의 감소</t>
  </si>
  <si>
    <t>   판매비와관리비</t>
  </si>
  <si>
    <t>17, 21</t>
  </si>
  <si>
    <t> 예수금의 증가(감소)</t>
  </si>
  <si>
    <t>IV. 영업이익</t>
  </si>
  <si>
    <t> 미지급비용의 증가(감소)</t>
  </si>
  <si>
    <t>   금융수익</t>
  </si>
  <si>
    <t> 선수금의 감소</t>
  </si>
  <si>
    <t>   기타영업외수익</t>
  </si>
  <si>
    <t> 확정급여채무의 감소</t>
  </si>
  <si>
    <t>   기타영업외비용</t>
  </si>
  <si>
    <t> 사외적립자산의 증가</t>
  </si>
  <si>
    <t>V. 법인세비용차감전순이익</t>
  </si>
  <si>
    <t>VI. 법인세수익</t>
  </si>
  <si>
    <t>VII. 당기순이익</t>
  </si>
  <si>
    <t>VIII. 기타포괄손익</t>
  </si>
  <si>
    <t>    후속적으로 당기손익으로 재분류되지 않는 항목</t>
  </si>
  <si>
    <t>       확정급여제도의 재측정요소</t>
  </si>
  <si>
    <t>       당기손익으로 재분류되지 않는 항목의 법인세</t>
  </si>
  <si>
    <t>IX. 총포괄이익</t>
  </si>
  <si>
    <t>X. 주당순이익</t>
  </si>
  <si>
    <t>   기본주당순이익</t>
  </si>
  <si>
    <t>   희석주당순이익</t>
  </si>
  <si>
    <r>
      <t>                                                 </t>
    </r>
    <r>
      <rPr>
        <b/>
        <sz val="9"/>
        <color rgb="FF000000"/>
        <rFont val="맑은 고딕"/>
        <family val="3"/>
        <charset val="129"/>
        <scheme val="major"/>
      </rPr>
      <t>현 금 흐 름 표</t>
    </r>
  </si>
  <si>
    <t>과         목</t>
  </si>
  <si>
    <t>I. 영업활동으로 인한 현금흐름</t>
  </si>
  <si>
    <t>  1. 영업활동으로부터 창출된 현금</t>
  </si>
  <si>
    <t>      당기순이익</t>
  </si>
  <si>
    <t>      조정</t>
  </si>
  <si>
    <t>      순운전자본의 변동</t>
  </si>
  <si>
    <t>  2. 이자의 수취</t>
  </si>
  <si>
    <t>  3. 법인세의 납부</t>
  </si>
  <si>
    <t>II. 투자활동으로 인한 현금흐름</t>
  </si>
  <si>
    <t>  1. 투자활동으로 인한 현금유입액</t>
  </si>
  <si>
    <t>       단기금융상품의 감소</t>
  </si>
  <si>
    <t>       유형자산의 처분</t>
  </si>
  <si>
    <t>  2. 투자활동으로 인한 현금유출액</t>
  </si>
  <si>
    <t>        유형자산의 취득</t>
  </si>
  <si>
    <t>III. 재무활동으로 인한 현금흐름</t>
  </si>
  <si>
    <t>  1. 재무활동으로 인한 현금유입액</t>
  </si>
  <si>
    <t>  2. 재무활동으로 인한 현금유출액</t>
  </si>
  <si>
    <t>       배당금의 지급</t>
  </si>
  <si>
    <t>IV. 현금및현금성자산의 증가(감소)(Ⅰ+Ⅱ+Ⅲ)</t>
  </si>
  <si>
    <t>V. 기초의 현금및현금성자산</t>
  </si>
  <si>
    <t>VI. 기말의 현금및현금성자산</t>
  </si>
  <si>
    <t>주식회사 창원에너텍</t>
  </si>
  <si>
    <t>제 4(전) 기</t>
  </si>
  <si>
    <t>제 5(당) 기</t>
  </si>
  <si>
    <t>Ⅰ.영업활동으로 인한 현금흐름</t>
  </si>
  <si>
    <t>예금종류</t>
  </si>
  <si>
    <t>예입처</t>
  </si>
  <si>
    <t>금액</t>
  </si>
  <si>
    <t>사용제한내용</t>
  </si>
  <si>
    <t>1.당기순이익(손실)</t>
  </si>
  <si>
    <t>2017년</t>
    <phoneticPr fontId="3" type="noConversion"/>
  </si>
  <si>
    <t>2018년</t>
    <phoneticPr fontId="3" type="noConversion"/>
  </si>
  <si>
    <t>(1)당좌자산</t>
  </si>
  <si>
    <t>2.현금의 유출이 없는 비용등의 가산</t>
  </si>
  <si>
    <t>보통예금</t>
  </si>
  <si>
    <t>KEB하나은행</t>
  </si>
  <si>
    <t>질권설정</t>
  </si>
  <si>
    <t>백만원</t>
    <phoneticPr fontId="3" type="noConversion"/>
  </si>
  <si>
    <t>12월31일</t>
    <phoneticPr fontId="3" type="noConversion"/>
  </si>
  <si>
    <t>1.현금및현금성자산(주석3,7)</t>
  </si>
  <si>
    <t>차입금</t>
    <phoneticPr fontId="3" type="noConversion"/>
  </si>
  <si>
    <t>2.매출채권</t>
  </si>
  <si>
    <t>(2)감가상각비</t>
  </si>
  <si>
    <t>현금및현금성자산</t>
    <phoneticPr fontId="3" type="noConversion"/>
  </si>
  <si>
    <t>(3)무형자산상각비</t>
  </si>
  <si>
    <t>단기금융상품</t>
    <phoneticPr fontId="3" type="noConversion"/>
  </si>
  <si>
    <t>3.미수금</t>
  </si>
  <si>
    <t>(4)유형자산처분손실</t>
  </si>
  <si>
    <t>Net Debt</t>
    <phoneticPr fontId="3" type="noConversion"/>
  </si>
  <si>
    <t>4.선급금</t>
  </si>
  <si>
    <t>(5)대손상각비</t>
  </si>
  <si>
    <t>5.선급비용</t>
  </si>
  <si>
    <t>(6)이자비용</t>
  </si>
  <si>
    <t>6.당기법인세자산</t>
  </si>
  <si>
    <t>3.현금의 유입이 없는 수익등의 차감</t>
  </si>
  <si>
    <t>NOA</t>
    <phoneticPr fontId="3" type="noConversion"/>
  </si>
  <si>
    <t>(1)유형자산처분이익</t>
  </si>
  <si>
    <t>장기금융상품</t>
    <phoneticPr fontId="3" type="noConversion"/>
  </si>
  <si>
    <t>(2)매도가능증권처분이익</t>
  </si>
  <si>
    <t>투자부동산</t>
    <phoneticPr fontId="3" type="noConversion"/>
  </si>
  <si>
    <t>4.영업활동으로 인한 자산부채의 변동</t>
  </si>
  <si>
    <t>관계기업투자</t>
    <phoneticPr fontId="3" type="noConversion"/>
  </si>
  <si>
    <t>(1)매출채권의 감소(증가)</t>
  </si>
  <si>
    <t>매도가능증권</t>
    <phoneticPr fontId="3" type="noConversion"/>
  </si>
  <si>
    <t>2.매도가능증권(주석4)</t>
  </si>
  <si>
    <t>(2)미수금의 감소(증가)</t>
  </si>
  <si>
    <t>장단기대여금</t>
    <phoneticPr fontId="3" type="noConversion"/>
  </si>
  <si>
    <t>(2)유형자산(주석5)</t>
  </si>
  <si>
    <t>(3)선급금의 감소(증가)</t>
  </si>
  <si>
    <t>(4)선급비용의 감소(증가)</t>
  </si>
  <si>
    <t>(5)부가세대급금의 감소(증가)</t>
  </si>
  <si>
    <t>(6)당기법인세자산의 감소(증가)</t>
  </si>
  <si>
    <t>(7)매입채무의 증가(감소)</t>
  </si>
  <si>
    <t>(8)예수금의 증가(감소)</t>
  </si>
  <si>
    <t>2017년</t>
    <phoneticPr fontId="3" type="noConversion"/>
  </si>
  <si>
    <t>(9)선수금의 증가(감소)</t>
  </si>
  <si>
    <t>백만원</t>
    <phoneticPr fontId="3" type="noConversion"/>
  </si>
  <si>
    <t>12개월</t>
    <phoneticPr fontId="3" type="noConversion"/>
  </si>
  <si>
    <t>12개월</t>
    <phoneticPr fontId="3" type="noConversion"/>
  </si>
  <si>
    <t>(10)미지급비용의 증가(감소)</t>
  </si>
  <si>
    <t>매출액</t>
    <phoneticPr fontId="3" type="noConversion"/>
  </si>
  <si>
    <t>정부보조금</t>
  </si>
  <si>
    <t>(11)미지급금의 증가(감소)</t>
  </si>
  <si>
    <t>매출총이익</t>
    <phoneticPr fontId="3" type="noConversion"/>
  </si>
  <si>
    <t>(12)퇴직금의 지급</t>
  </si>
  <si>
    <t>판관비</t>
    <phoneticPr fontId="3" type="noConversion"/>
  </si>
  <si>
    <t>Ⅱ.투자활동으로 인한 현금흐름</t>
  </si>
  <si>
    <t>영업이익</t>
    <phoneticPr fontId="3" type="noConversion"/>
  </si>
  <si>
    <t>6.공구와기구</t>
  </si>
  <si>
    <t>1.투자활동으로 인한 현금 유입액</t>
  </si>
  <si>
    <t>EBITDA</t>
    <phoneticPr fontId="3" type="noConversion"/>
  </si>
  <si>
    <t>(1)보증금의 감소</t>
  </si>
  <si>
    <t>7.비품</t>
  </si>
  <si>
    <t>(2)기계장치의 처분</t>
  </si>
  <si>
    <t>D&amp;A</t>
    <phoneticPr fontId="3" type="noConversion"/>
  </si>
  <si>
    <t>(3)차량운반구의 처분</t>
  </si>
  <si>
    <t>(4)매도가능증권의 처분</t>
  </si>
  <si>
    <t>1.기타의무형자산</t>
  </si>
  <si>
    <t>2.투자활동으로 인한 현금 유출액</t>
  </si>
  <si>
    <t>(1)장기금융상품의 증가</t>
  </si>
  <si>
    <t>1.기타보증금</t>
  </si>
  <si>
    <t>(2)매도가능증권의 취득</t>
  </si>
  <si>
    <t>(3)토지의취득</t>
  </si>
  <si>
    <t>(4)건물의 취득</t>
  </si>
  <si>
    <t>Ⅰ.유동부채</t>
  </si>
  <si>
    <t>(5)구축물의취득</t>
  </si>
  <si>
    <t>(6)기계장치의 취득</t>
  </si>
  <si>
    <t>2.미지급금</t>
  </si>
  <si>
    <t>(7)차량운반구의 취득</t>
  </si>
  <si>
    <t>3.예수금</t>
  </si>
  <si>
    <t>(8)공구와기구의 취득</t>
  </si>
  <si>
    <t>4.선수금</t>
  </si>
  <si>
    <t>(9)비품의 취득</t>
  </si>
  <si>
    <t>5.미지급비용</t>
  </si>
  <si>
    <t>(10)무형자산의 취득</t>
  </si>
  <si>
    <t>6.유동성장기차입금(주석6,7)</t>
  </si>
  <si>
    <t>(11)보증금의증가</t>
  </si>
  <si>
    <t>Ⅱ.비유동부채</t>
  </si>
  <si>
    <t>Ⅲ. 재무활동으로 인한 현금흐름</t>
  </si>
  <si>
    <t>1.장기차입금(주석6,7)</t>
  </si>
  <si>
    <t>1.재무활동으로 인한 현금 유입액</t>
  </si>
  <si>
    <t>2.퇴직급여충당부채(주석8)</t>
  </si>
  <si>
    <t>(1)미지급금의 증가</t>
  </si>
  <si>
    <t>3.장기미지급금(주석9)</t>
  </si>
  <si>
    <t>(2)장기차입금의 증가</t>
  </si>
  <si>
    <t>(3)장기미지급금의 증가</t>
  </si>
  <si>
    <t>2.재무활동으로 인한 현금 유출액</t>
  </si>
  <si>
    <t>(1)장기차입금의 상환</t>
  </si>
  <si>
    <t>Ⅰ.자본금</t>
  </si>
  <si>
    <t>(2)유동성장기차입금의 상환</t>
  </si>
  <si>
    <t>1.보통주자본금(주석10)</t>
  </si>
  <si>
    <t>(3)미지급금의상환</t>
  </si>
  <si>
    <t>2.우선주자본금(주석10)</t>
  </si>
  <si>
    <t>Ⅳ. 현금의 증가(감소)</t>
  </si>
  <si>
    <t>Ⅱ.자본잉여금</t>
  </si>
  <si>
    <t>Ⅴ. 기초의 현금</t>
  </si>
  <si>
    <t>1.주식발행초과금(주석10)</t>
  </si>
  <si>
    <t>Ⅵ. 기말의 현금</t>
  </si>
  <si>
    <t>Ⅲ.기타포괄손익누계액</t>
  </si>
  <si>
    <t>별첨 주석은 본 재무제표의 일부분입니다.</t>
  </si>
  <si>
    <t>1.매도가능증권평가손익(주석4)</t>
  </si>
  <si>
    <t>Ⅳ.결손금</t>
  </si>
  <si>
    <t>1.미처리결손금</t>
  </si>
  <si>
    <t>부채및자본총계</t>
  </si>
  <si>
    <t>1.제품매출</t>
  </si>
  <si>
    <t>2.운반매출</t>
  </si>
  <si>
    <t>3.스팀매출</t>
  </si>
  <si>
    <t>4.전기발전매출</t>
  </si>
  <si>
    <t>1.임원급여</t>
  </si>
  <si>
    <t>2.직원급여</t>
  </si>
  <si>
    <t>3.상여금</t>
  </si>
  <si>
    <t>4.제수당</t>
  </si>
  <si>
    <t>5.퇴직급여</t>
  </si>
  <si>
    <t>6.복리후생비</t>
  </si>
  <si>
    <t>7.여비교통비</t>
  </si>
  <si>
    <t>8.접대비</t>
  </si>
  <si>
    <t>9.통신비</t>
  </si>
  <si>
    <t>10.세금과공과</t>
  </si>
  <si>
    <t>11.감가상각비</t>
  </si>
  <si>
    <t>12.지급임차료</t>
  </si>
  <si>
    <t>13.수선비</t>
  </si>
  <si>
    <t>14.보험료</t>
  </si>
  <si>
    <t>15.차량유지비</t>
  </si>
  <si>
    <t>16.운반비</t>
  </si>
  <si>
    <t>17.교육훈련비</t>
  </si>
  <si>
    <t>18.도서인쇄비</t>
  </si>
  <si>
    <t>19.사무용품비</t>
  </si>
  <si>
    <t>20.소모품비</t>
  </si>
  <si>
    <t>21.지급수수료</t>
  </si>
  <si>
    <t>22.대손상각비</t>
  </si>
  <si>
    <t>23.무형자산상각비</t>
  </si>
  <si>
    <t>1.이자수익</t>
  </si>
  <si>
    <t>2.배당금수익</t>
  </si>
  <si>
    <t>3.유형자산처분이익</t>
  </si>
  <si>
    <t>4.매도가능증권처분이익</t>
  </si>
  <si>
    <t>5.잡이익</t>
  </si>
  <si>
    <t>1.이자비용</t>
  </si>
  <si>
    <t>2.기부금</t>
  </si>
  <si>
    <t>3.유형자산처분손실</t>
  </si>
  <si>
    <t>4.잡손실</t>
  </si>
  <si>
    <t>Ⅷ.법인세차감전순이익(손실)</t>
  </si>
  <si>
    <t>Ⅸ.법인세등</t>
  </si>
  <si>
    <t>Ⅹ.당기순이익(손실)</t>
  </si>
  <si>
    <t>NOA</t>
    <phoneticPr fontId="3" type="noConversion"/>
  </si>
  <si>
    <t>7. 사용이 제한된 예금 </t>
  </si>
  <si>
    <t>환경관리주식회사와 그 종속기업(구, 코오롱워터앤에너지 주식회사와 그 종속기업)</t>
  </si>
  <si>
    <t>당기말과 전기말 현재 사용이 제한된 예금은 다음과 같습니다.</t>
  </si>
  <si>
    <t>Ⅰ. 영업활동으로 인한 순현금흐름</t>
  </si>
  <si>
    <t>(1) 당기순이익</t>
  </si>
  <si>
    <t>프로젝트금융 질권설정</t>
  </si>
  <si>
    <t>2015년</t>
    <phoneticPr fontId="3" type="noConversion"/>
  </si>
  <si>
    <t>2016년</t>
    <phoneticPr fontId="3" type="noConversion"/>
  </si>
  <si>
    <t>  현금및현금성자산(주6,7,17,31,38)</t>
  </si>
  <si>
    <t>(2) 조정</t>
  </si>
  <si>
    <t>대수선비적립금</t>
  </si>
  <si>
    <t>백만원</t>
    <phoneticPr fontId="3" type="noConversion"/>
  </si>
  <si>
    <t>12월31일</t>
    <phoneticPr fontId="3" type="noConversion"/>
  </si>
  <si>
    <t>  매출채권(주8,31,33,38)</t>
  </si>
  <si>
    <t>외화환산손실</t>
  </si>
  <si>
    <t>차입금</t>
    <phoneticPr fontId="3" type="noConversion"/>
  </si>
  <si>
    <t>  기타수취채권(주9,32,34,34,38)</t>
  </si>
  <si>
    <t>대손상각비(환입)</t>
  </si>
  <si>
    <t>  기타유동자산(주10)</t>
  </si>
  <si>
    <t>기타의대손상각비</t>
  </si>
  <si>
    <t>  단기금융자산(주7,11,31,38)</t>
  </si>
  <si>
    <t>  재고자산(주12)</t>
  </si>
  <si>
    <t>운휴자산상각비</t>
  </si>
  <si>
    <t>투자부동산감가상각비</t>
  </si>
  <si>
    <t>9. 기타수취채권</t>
  </si>
  <si>
    <t>  장기금융자산(주7,13,31,38)</t>
  </si>
  <si>
    <t>매도가능금융자산처분손실</t>
  </si>
  <si>
    <t>당기말과 전기말 현재 기타수취채권의 내역은 다음과 같습니다.</t>
  </si>
  <si>
    <t>  관계기업투자(주14)</t>
  </si>
  <si>
    <t>  투자부동산(주15)</t>
  </si>
  <si>
    <t>무형자산손상차손</t>
  </si>
  <si>
    <t>  유형자산(주16,17)</t>
  </si>
  <si>
    <t>무형자산처분손실</t>
  </si>
  <si>
    <t>  영업권및무형자산(주17,18)</t>
  </si>
  <si>
    <t>영업권손상차손</t>
  </si>
  <si>
    <t>  기타수취채권(주9,31,38)</t>
  </si>
  <si>
    <t>  이연법인세자산(주36)</t>
  </si>
  <si>
    <t>이자비용</t>
  </si>
  <si>
    <t>하자보수충당부채전입액</t>
  </si>
  <si>
    <t>공사손실충당부채전입액</t>
  </si>
  <si>
    <t>  매입채무(주31,33,38)</t>
  </si>
  <si>
    <t>외화환산이익</t>
  </si>
  <si>
    <t>미수법인세환급액</t>
  </si>
  <si>
    <t>2015년</t>
    <phoneticPr fontId="3" type="noConversion"/>
  </si>
  <si>
    <t>  기타지급채무(주20,31,33,38)</t>
  </si>
  <si>
    <t>이자수익</t>
  </si>
  <si>
    <t>  기타부채(주21,34)</t>
  </si>
  <si>
    <t>유형자산처분이익</t>
  </si>
  <si>
    <t>  단기금융부채(주22,31,35,38)</t>
  </si>
  <si>
    <t>투자부동산처분이익</t>
  </si>
  <si>
    <t>합   계</t>
  </si>
  <si>
    <t>매도가능금융자산처분이익</t>
  </si>
  <si>
    <t>  순확정급여부채(주23)</t>
  </si>
  <si>
    <t>염가매수차익</t>
  </si>
  <si>
    <t>11. 단기금융자산</t>
  </si>
  <si>
    <t>하자보수충당부채환입</t>
  </si>
  <si>
    <t>당기말과 전기말 현재 단기금융자산의 내역은 다음과 같습니다.</t>
  </si>
  <si>
    <t>  장기금융부채(주22,31,35,38)</t>
  </si>
  <si>
    <t>배당금수익</t>
  </si>
  <si>
    <t>  기타부채(주21,35)</t>
  </si>
  <si>
    <t>(3) 운전자본의 변동</t>
  </si>
  <si>
    <t>  충당부채(주24,35)</t>
  </si>
  <si>
    <t>정부보조금의 증가(감소)</t>
  </si>
  <si>
    <t>정기적금</t>
  </si>
  <si>
    <t>  이연법인세부채(주36)</t>
  </si>
  <si>
    <t>매출채권의 감소(증가)</t>
  </si>
  <si>
    <t>정기예금</t>
  </si>
  <si>
    <t>미청구공사의 감소(증가)</t>
  </si>
  <si>
    <t>Ⅰ. 지배기업소유주지분</t>
  </si>
  <si>
    <t>선급금의 감소(증가)</t>
  </si>
  <si>
    <t>  자본금(주1,25)</t>
  </si>
  <si>
    <t>선급공사비의 감소(증가)</t>
  </si>
  <si>
    <t>  자본잉여금(주25)</t>
  </si>
  <si>
    <t>  자본조정(주26)</t>
  </si>
  <si>
    <t>미수법인세환급액의 감소(증가)</t>
  </si>
  <si>
    <t>13. 장기금융자산</t>
  </si>
  <si>
    <t>  기타포괄손익누계액(주26)</t>
  </si>
  <si>
    <t>부가세대급금의 감소(증가)</t>
  </si>
  <si>
    <t>(1) 당기말과 전기말 현재 장기금융자산의 내역은 다음과 같습니다.</t>
  </si>
  <si>
    <t>  이익잉여금(주27)</t>
  </si>
  <si>
    <t>재고자산의 감소(증가)</t>
  </si>
  <si>
    <t>Ⅱ. 비지배지분(주1)</t>
  </si>
  <si>
    <t>기타의당좌자산의 감소(증가)</t>
  </si>
  <si>
    <t>매입채무의 증가(감소)</t>
  </si>
  <si>
    <t>미지급금의 증가(감소)</t>
  </si>
  <si>
    <t>선수금의 증가(감소)</t>
  </si>
  <si>
    <t>"첨부된 주석은 본 연결재무제표의 일부입니다."</t>
  </si>
  <si>
    <t>초과청구공사의 증가(감소)</t>
  </si>
  <si>
    <t>연 결 포 괄 손 익 계 산 서</t>
  </si>
  <si>
    <t>부가세예수금의 증가(감소)</t>
  </si>
  <si>
    <t>기타부채의 증가(감소)</t>
  </si>
  <si>
    <t>Ⅰ. 매출액(주5,33,34,39)</t>
  </si>
  <si>
    <t>사외적립자산의 감소(증가)</t>
  </si>
  <si>
    <t>운영관리수익</t>
  </si>
  <si>
    <t>퇴직금의관계사전출입액</t>
  </si>
  <si>
    <t>건설공사수익</t>
  </si>
  <si>
    <t>하자보수충당부채의 증가(감소)</t>
  </si>
  <si>
    <t>임대수익</t>
  </si>
  <si>
    <t>공사손실충당부채의 증가(감소)</t>
  </si>
  <si>
    <t>용역수익</t>
  </si>
  <si>
    <t>미지급비용의 증가(감소)</t>
  </si>
  <si>
    <t>Ⅱ. 매출원가(주32,33,34,39)</t>
  </si>
  <si>
    <t>(4) 법인세의 납부</t>
  </si>
  <si>
    <t>운영관리원가</t>
  </si>
  <si>
    <t>Ⅱ. 투자활동으로 인한 순현금흐름</t>
  </si>
  <si>
    <t>건설공사원가</t>
  </si>
  <si>
    <t>정부보조금의 수령</t>
  </si>
  <si>
    <t>임대원가</t>
  </si>
  <si>
    <t>이자의 수취</t>
  </si>
  <si>
    <t>용역원가</t>
  </si>
  <si>
    <t>단기금융상품의 감소</t>
  </si>
  <si>
    <t>장기금융상품의 감소</t>
  </si>
  <si>
    <t>Ⅳ. 판매비와일반관리비(주28,32,39)</t>
  </si>
  <si>
    <t>매도가능금융자산의 처분</t>
  </si>
  <si>
    <t>투자부동산의 처분</t>
  </si>
  <si>
    <t>Ⅵ. 기타수익(주29,33,39)</t>
  </si>
  <si>
    <t>Ⅶ. 기타비용(주29,33,39)</t>
  </si>
  <si>
    <t>무형자산의 처분</t>
  </si>
  <si>
    <t>Ⅷ. 금융수익(주30)</t>
  </si>
  <si>
    <t>Ⅸ. 금융비용(주30)</t>
  </si>
  <si>
    <t>Ⅹ. 관계기업등투자손익(주14)</t>
  </si>
  <si>
    <t>장기대여금의 감소</t>
  </si>
  <si>
    <t>배당금의 수령</t>
  </si>
  <si>
    <t>XI. 법인세비용차감전순이익</t>
  </si>
  <si>
    <t>임대보증금의 증가</t>
  </si>
  <si>
    <t>XII. 법인세비용(주36)</t>
  </si>
  <si>
    <t>단기금융상품의 증가</t>
  </si>
  <si>
    <t>XIII. 계속사업손익</t>
  </si>
  <si>
    <t>장기금융상품의 증가</t>
  </si>
  <si>
    <t>XIV. 중단사업손익</t>
  </si>
  <si>
    <t>매도가능금융자산의 취득</t>
  </si>
  <si>
    <t>XV. 당기순이익</t>
  </si>
  <si>
    <t>투자부동산의 취득</t>
  </si>
  <si>
    <t>지배지분순이익</t>
  </si>
  <si>
    <t>비지배지분순손실</t>
  </si>
  <si>
    <t>정부보조금의 반납</t>
  </si>
  <si>
    <t>XVI. 기타포괄손익</t>
  </si>
  <si>
    <t>무형자산의 취득</t>
  </si>
  <si>
    <t>후속적으로 당기손익으로 재분류되지 않는 포괄손익:</t>
  </si>
  <si>
    <t>확정급여제도의 재측정요소</t>
  </si>
  <si>
    <t>단기대여금의 증가</t>
  </si>
  <si>
    <t>후속적으로 당기손익으로 재분류되는 포괄손익:</t>
  </si>
  <si>
    <t>장기대여금의 증가</t>
  </si>
  <si>
    <t>매도가능금융자산평가손익</t>
  </si>
  <si>
    <t>Ⅲ. 재무활동으로 인한 순현금흐름</t>
  </si>
  <si>
    <t>지분법자본변동</t>
  </si>
  <si>
    <t>단기차입금의 증가</t>
  </si>
  <si>
    <t>XVII. 총포괄이익</t>
  </si>
  <si>
    <t>장기차입금의 차입</t>
  </si>
  <si>
    <t>지배지분포괄이익</t>
  </si>
  <si>
    <t>종속기업의 유상증자</t>
  </si>
  <si>
    <t>비지배지분포괄손실</t>
  </si>
  <si>
    <t>단기차입금의 상환</t>
  </si>
  <si>
    <t>XVIII. 주당손익(주37)</t>
  </si>
  <si>
    <t>유동성장기부채의 상환</t>
  </si>
  <si>
    <t>  기본주당계속영업이익</t>
  </si>
  <si>
    <t>전환상환우선주의 상환</t>
  </si>
  <si>
    <t>  기본주당중단영업손실</t>
  </si>
  <si>
    <t>이자의 지급</t>
  </si>
  <si>
    <t>  희석주당계속영업이익</t>
  </si>
  <si>
    <t>자기주식의 취득</t>
  </si>
  <si>
    <t>  희석주당중단영업손실</t>
  </si>
  <si>
    <t>동일지배하의 인적분할로 인한 순현금유출</t>
  </si>
  <si>
    <t>Ⅳ. 현금및현금성자산의 순증감(Ⅰ+Ⅱ+Ⅲ)</t>
  </si>
  <si>
    <t>Ⅴ. 기초 현금및현금성자산</t>
  </si>
  <si>
    <t>Ⅵ. 외화표시 현금및현금성자산의 환율변동효과</t>
  </si>
  <si>
    <t>VII. 기말 현금및현금성자산(Ⅳ+Ⅴ+Ⅵ)</t>
  </si>
  <si>
    <t>연결 재무상태표</t>
    <phoneticPr fontId="3" type="noConversion"/>
  </si>
  <si>
    <t>6. 사용이 제한되어 있거나 담보로 제공된 금융자산</t>
  </si>
  <si>
    <t>주식회사 티에스케이코퍼레이션과 그외 종속기업</t>
  </si>
  <si>
    <t>당기말 및 전기말 현재 사용이 제한되어 있거나 부채나 우발부채에 대한 담보로 제공된 금융자산의 내역은 다음과 같습니다.</t>
  </si>
  <si>
    <t>1) 당기말 및 전기말 현재 매출채권 및 기타채권의 내역은 다음과 같습니다.</t>
  </si>
  <si>
    <t>과          목</t>
  </si>
  <si>
    <t>2017년</t>
    <phoneticPr fontId="3" type="noConversion"/>
  </si>
  <si>
    <t>2018년</t>
    <phoneticPr fontId="3" type="noConversion"/>
  </si>
  <si>
    <t>자                           산</t>
  </si>
  <si>
    <t>4,27,37</t>
  </si>
  <si>
    <t>구   분</t>
  </si>
  <si>
    <t>제한내용</t>
  </si>
  <si>
    <t>I. 유동자산</t>
  </si>
  <si>
    <t>산업은행</t>
  </si>
  <si>
    <t>5,6,36,37</t>
  </si>
  <si>
    <t>기업은행</t>
  </si>
  <si>
    <t>현금및현금성자산</t>
    <phoneticPr fontId="3" type="noConversion"/>
  </si>
  <si>
    <t>6,11,36</t>
  </si>
  <si>
    <t> 판매비와관리비</t>
  </si>
  <si>
    <t>(현재가치할인차금)</t>
  </si>
  <si>
    <t>7,36</t>
  </si>
  <si>
    <t>Escrow</t>
  </si>
  <si>
    <t>(대손충당금)</t>
  </si>
  <si>
    <t>Net Debt</t>
    <phoneticPr fontId="3" type="noConversion"/>
  </si>
  <si>
    <t>유동성만기보유금융자산</t>
  </si>
  <si>
    <t>10,36</t>
  </si>
  <si>
    <t> 금융수익</t>
  </si>
  <si>
    <t>김포BTO 대수선비 적립 공동명의 계좌</t>
  </si>
  <si>
    <t>유동상각후원가측정금융자산</t>
  </si>
  <si>
    <t> 금융비용</t>
  </si>
  <si>
    <t>KEB하나은행 장기차입금관련 질권설정</t>
  </si>
  <si>
    <t> 기타영업외수익</t>
  </si>
  <si>
    <t>동대문 대수선비 적립 계좌</t>
  </si>
  <si>
    <t> 기타영업외비용</t>
  </si>
  <si>
    <t>대천 대수선비 공동명의 계좌</t>
  </si>
  <si>
    <t> 관계기업투자손실</t>
  </si>
  <si>
    <t>선수금 질권설정</t>
  </si>
  <si>
    <t>투자부동산</t>
    <phoneticPr fontId="3" type="noConversion"/>
  </si>
  <si>
    <t>V. 법인세차감전순이익</t>
  </si>
  <si>
    <t>울산BTL1단계 대수선비 적립계좌</t>
  </si>
  <si>
    <t>II. 비유동자산</t>
  </si>
  <si>
    <t>VI. 법인세비용</t>
  </si>
  <si>
    <t>울산BTL2단계 대수선비 적립계좌</t>
  </si>
  <si>
    <t>매도가능증권</t>
    <phoneticPr fontId="3" type="noConversion"/>
  </si>
  <si>
    <t>7,36,37</t>
  </si>
  <si>
    <t>VII. 연결당기순이익</t>
  </si>
  <si>
    <t>신한은행</t>
  </si>
  <si>
    <t>장기대여금</t>
    <phoneticPr fontId="3" type="noConversion"/>
  </si>
  <si>
    <t> 지배기업소유지분</t>
  </si>
  <si>
    <t>6,8,9,36</t>
  </si>
  <si>
    <t> 비지배지분</t>
  </si>
  <si>
    <t>PF질권설정</t>
  </si>
  <si>
    <t>비유동당기손익인식공정가치측정금융자산</t>
  </si>
  <si>
    <t>6,8,36</t>
  </si>
  <si>
    <t>비유동기타포괄손익인식공정가치측정금융자산</t>
  </si>
  <si>
    <t>9,36</t>
  </si>
  <si>
    <t>후속적으로 당기손익으로 재분류되지 않는 항목</t>
  </si>
  <si>
    <t>부산은행</t>
  </si>
  <si>
    <t> 확정급여제도의 재측정요소</t>
  </si>
  <si>
    <t>융자약정한도 담보제공</t>
  </si>
  <si>
    <t>비유동상각후원가측정금융자산</t>
  </si>
  <si>
    <t> 공정가치측정금융자산의 평가</t>
  </si>
  <si>
    <t>당기손익인식공정가치측정금융자산</t>
  </si>
  <si>
    <t>2018년</t>
    <phoneticPr fontId="3" type="noConversion"/>
  </si>
  <si>
    <t>이연법인세자산</t>
  </si>
  <si>
    <t> 법인세효과</t>
  </si>
  <si>
    <t>이행보증</t>
  </si>
  <si>
    <t>후속적으로 당기손익으로 재분류되는 항목</t>
  </si>
  <si>
    <t>매출액</t>
    <phoneticPr fontId="3" type="noConversion"/>
  </si>
  <si>
    <t> 매도가능증권평가이익</t>
  </si>
  <si>
    <t>매출총이익</t>
    <phoneticPr fontId="3" type="noConversion"/>
  </si>
  <si>
    <t>판관비</t>
    <phoneticPr fontId="3" type="noConversion"/>
  </si>
  <si>
    <t>X. 연결총포괄이익의 귀속</t>
  </si>
  <si>
    <t>영업이익</t>
    <phoneticPr fontId="3" type="noConversion"/>
  </si>
  <si>
    <t>자       산       총       계</t>
  </si>
  <si>
    <t>지배기업 소유주지분</t>
  </si>
  <si>
    <t>EBITDA</t>
    <phoneticPr fontId="3" type="noConversion"/>
  </si>
  <si>
    <t>부                           채</t>
  </si>
  <si>
    <t>비지배지분</t>
  </si>
  <si>
    <t>10. 상각후원가측정유가증권 및 만기보유금융자산</t>
  </si>
  <si>
    <t>I. 유동부채</t>
  </si>
  <si>
    <t>XI. 지배기업 소유주지분에 대한 주당이익</t>
  </si>
  <si>
    <t>8. 당기손익-공정가치측정금융자산</t>
  </si>
  <si>
    <t>D&amp;A</t>
    <phoneticPr fontId="3" type="noConversion"/>
  </si>
  <si>
    <t>17,36,37</t>
  </si>
  <si>
    <t>기본 주당순이익</t>
  </si>
  <si>
    <t>(1) 당기말 현재 상각후원가측정유가증권 및 전기말 현재 만기보유금융자산의 내역은 다음과 같습니다.</t>
  </si>
  <si>
    <t>당기말 현재 당기손익-공정가치측정 금융자산의 내역은 다음과 같습니다.</t>
  </si>
  <si>
    <t>18,36,39</t>
  </si>
  <si>
    <t>당기손익-공정가치측정항목</t>
  </si>
  <si>
    <t>19,22</t>
  </si>
  <si>
    <t>비상장주식 등 (주1)</t>
  </si>
  <si>
    <t>II. 비유동부채</t>
  </si>
  <si>
    <t>17,36,39</t>
  </si>
  <si>
    <t>38. 현금흐름표</t>
  </si>
  <si>
    <t>(주1)</t>
  </si>
  <si>
    <t>전기말 매도가능금융자산 중 일부 항목을 기업회계기준서 제 1109호 '금융상품'의 적용에따라 최초적용일에 당기손익-공정가치 측정항목으로 분류하였습니다.</t>
  </si>
  <si>
    <t>(2) 당기말 현재 상각후원가측정유가증권 및 전기말 현재 만기보유금융자산의 만기내역은 다음과 같습니다.</t>
  </si>
  <si>
    <t>(1) 당기 및 전기의 영업활동으로 인한 현금흐름 중 수익ㆍ비용의 조정 내역은 다음과 같습니다.</t>
  </si>
  <si>
    <t>충당부채</t>
  </si>
  <si>
    <t>구          분</t>
  </si>
  <si>
    <t>전  기  말</t>
  </si>
  <si>
    <t>당  기  말</t>
  </si>
  <si>
    <t>9. 기타포괄손익-공정가치측정금융자산 및 매도가능금융자산</t>
  </si>
  <si>
    <t>기타비유동금융부채</t>
  </si>
  <si>
    <t>전  기</t>
  </si>
  <si>
    <t>당  기</t>
  </si>
  <si>
    <t>1년 이내</t>
  </si>
  <si>
    <t>부       채       총       계</t>
  </si>
  <si>
    <t>5년 이내</t>
  </si>
  <si>
    <t>당기말 현재 기타포괄손익-공정가치측정금융자산 및 전기말 현재 매도가능금융자산의 내역은 다음과 같습니다.</t>
  </si>
  <si>
    <t>자                           본</t>
  </si>
  <si>
    <t>I. 지배기업 소유주지분</t>
  </si>
  <si>
    <t>대손상각비</t>
  </si>
  <si>
    <t>기타불입자본</t>
  </si>
  <si>
    <t>11. 기타금융자산</t>
  </si>
  <si>
    <t>지분법손실</t>
  </si>
  <si>
    <t>기타자본구성요소</t>
  </si>
  <si>
    <t>당기말 및 전기말 현재 기타금융자산의 내역은 다음과 같습니다.</t>
  </si>
  <si>
    <t>지분상품:</t>
  </si>
  <si>
    <t>II. 비지배지분</t>
  </si>
  <si>
    <t>기타충당부채전입액</t>
  </si>
  <si>
    <t>  비상장주식</t>
  </si>
  <si>
    <t>자       본       총       계</t>
  </si>
  <si>
    <t>복구충당부채전입액</t>
  </si>
  <si>
    <t>구       분</t>
  </si>
  <si>
    <t>당기손익-공정가치측정금융자산평가손실</t>
  </si>
  <si>
    <t>지급보증비용</t>
  </si>
  <si>
    <t>총   계</t>
  </si>
  <si>
    <t>유형자산손상차손</t>
  </si>
  <si>
    <t>기타 현금유출이 없는 비용 등</t>
  </si>
  <si>
    <t>18. 차입금</t>
  </si>
  <si>
    <t>비용가산 소계</t>
  </si>
  <si>
    <t>(1) 당기말 및 전기말 현재 차입금의 구성내역은 다음과 같습니다.</t>
  </si>
  <si>
    <t>          합  계</t>
  </si>
  <si>
    <t>(2) 당기말 및 전기말 현재 단기차입금의 내역은 다음과 같습니다</t>
  </si>
  <si>
    <t>차입처</t>
  </si>
  <si>
    <t>이자율</t>
  </si>
  <si>
    <t>2.89~3.06%</t>
  </si>
  <si>
    <t>CD+0.74%</t>
  </si>
  <si>
    <t>하나은행</t>
  </si>
  <si>
    <t>(3) 당기말 및 전기말 현재 장기차입금의 내역은 다음과 같습니다.</t>
  </si>
  <si>
    <t>차입금 종류</t>
  </si>
  <si>
    <t>만기</t>
  </si>
  <si>
    <t>일반자금대출</t>
  </si>
  <si>
    <t>PF대출</t>
  </si>
  <si>
    <t>시설자금대출</t>
  </si>
  <si>
    <t>환경개선자금대출</t>
  </si>
  <si>
    <t>교보생명보험</t>
  </si>
  <si>
    <t>농협은행</t>
  </si>
  <si>
    <t>국민은행</t>
  </si>
  <si>
    <t>한화생명</t>
  </si>
  <si>
    <t>PF자금대출</t>
  </si>
  <si>
    <t>소  계</t>
  </si>
  <si>
    <t>차감 : 현재가치할인차금(장기차입금)</t>
  </si>
  <si>
    <t>19. 기타금융부채</t>
  </si>
  <si>
    <t>(1) 당기말 및 전기말 현재 기타금융부채의 내역은 다음과 같습니다.</t>
  </si>
  <si>
    <t>금융보증부채</t>
  </si>
  <si>
    <t>(2) 당기말 및 전기말 현재 기타금융부채의 유동성분류 내역은 다음과 같습니다.</t>
  </si>
  <si>
    <t>합          계</t>
  </si>
  <si>
    <t>28. 비용의 성격별 분류</t>
  </si>
  <si>
    <t>당기 및 전기 중 발생한 비용의 성격별로 분류한 내역은 다음과 같습니다. </t>
  </si>
  <si>
    <t>(당 기)</t>
  </si>
  <si>
    <t>판매비및관리비</t>
  </si>
  <si>
    <t>사용된 원재료비</t>
  </si>
  <si>
    <t>임직원보상</t>
  </si>
  <si>
    <t>외주비</t>
  </si>
  <si>
    <t>중기비</t>
  </si>
  <si>
    <t>수도광열비</t>
  </si>
  <si>
    <t>세금과공과</t>
  </si>
  <si>
    <t>지급임차료</t>
  </si>
  <si>
    <t>기술개발비</t>
  </si>
  <si>
    <t>지급수수료</t>
  </si>
  <si>
    <t>하자보수비</t>
  </si>
  <si>
    <t>주택관리비</t>
  </si>
  <si>
    <t>기타</t>
  </si>
  <si>
    <t>(전 기)</t>
  </si>
  <si>
    <t>FY2015</t>
    <phoneticPr fontId="3" type="noConversion"/>
  </si>
  <si>
    <t>폐기물 처리업</t>
    <phoneticPr fontId="3" type="noConversion"/>
  </si>
  <si>
    <t>폐기물 처리업</t>
    <phoneticPr fontId="3" type="noConversion"/>
  </si>
  <si>
    <t>환경 및 플랜트 EPC</t>
    <phoneticPr fontId="3" type="noConversion"/>
  </si>
  <si>
    <t>수처리설비 제조 및 EPC</t>
    <phoneticPr fontId="3" type="noConversion"/>
  </si>
  <si>
    <t>수처리설비 제조 및 EPC</t>
    <phoneticPr fontId="3" type="noConversion"/>
  </si>
  <si>
    <t>Announced Date</t>
  </si>
  <si>
    <t>Completed Date</t>
  </si>
  <si>
    <t>Target Company</t>
  </si>
  <si>
    <t>Target Description</t>
  </si>
  <si>
    <t>Target Country</t>
  </si>
  <si>
    <t>Bidder Company</t>
  </si>
  <si>
    <t>Bidder Description</t>
  </si>
  <si>
    <t>Seller Company</t>
  </si>
  <si>
    <t>Seller Description</t>
  </si>
  <si>
    <t>Implied Equity Value (m)</t>
  </si>
  <si>
    <t>Net Debt (m)</t>
  </si>
  <si>
    <t>Enterprise Value (m)</t>
  </si>
  <si>
    <t>Reported Y1 Date</t>
  </si>
  <si>
    <t>Reported Revenue (m) Y1</t>
  </si>
  <si>
    <t>Reported EBITDA (m) Y1</t>
  </si>
  <si>
    <t>Reported EBIT (m) Y1</t>
  </si>
  <si>
    <t>Deal Value USD(m)</t>
  </si>
  <si>
    <t>US-based supplier of water and provider of waste water and process systems solutions</t>
  </si>
  <si>
    <t>USA</t>
  </si>
  <si>
    <t>Canada-based institutional fund manager investing in financial markets, private equity, infrastructure, real estate and private debt. It's private equity investment constitute minority equity stakes of  range between CAD 125 million and 1 billion; France-based company engaged in the drinking water distribution, wastewater treatment and waste management activities through its subsidiaries</t>
  </si>
  <si>
    <t>US-based diversified technology and financial services company</t>
  </si>
  <si>
    <t>05/02/2017</t>
  </si>
  <si>
    <t>05/22/2017</t>
  </si>
  <si>
    <t>Affinity Water Limited</t>
  </si>
  <si>
    <t>UK-based water supply company</t>
  </si>
  <si>
    <t>United Kingdom</t>
  </si>
  <si>
    <t>Allianz Capital Partners GmbH; Infrastructure Central Limited ; DIF Management B.V.</t>
  </si>
  <si>
    <t>Germany-based private equity firm. It has three business divisions, private equity, infrastructure and renewables. Its private equity business focuses on fund investments, in the volume of EUR 40-200m per transaction. It specializes in primary and secondary market and co-investment transactions in North/South America, Europe, Asia and Africa. It has EUR 9.7bn assets under management.  Its infrastructure business focuses on long-term investments and seeks returns through cash yields, not exits. It primarily focuses on brownfield assets in Europe and US with an operational track record, but can also consider greenfield project. It seeks significant minority or joint control equity stakes of up to 50%, and typically partners with co-investors to acquire controlling equity stakes of up to 100%. It has EUR 5.3bn assets under management. Its renewables division invests in wind farms and solar parks, with a long-term buy-and-hold strategy. In Europe it usually acquires 100% stakes, but can consider joint ventures with industrial partners. In the US it focuses on tax equity and invests alongside a cash equity partner every time. Preferred investment size for the renewables is EUR 50mn to 250mn. It has EUR 3.8bn assets under management. ; Netherlands-based fund management and investment company specialized in infrastructure investments; UK-based Channel Islands-incorporated infrastructure investment company</t>
  </si>
  <si>
    <t>Veolia Water UK Limited; Infracapital Partners LP; Morgan Stanley Infrastructure Inc.</t>
  </si>
  <si>
    <t>UK-based private equity firm and infrastructure arm of M&amp;G Investment Management Limited. It invests in utilities, transport, communication, renewables and social infrastructure sectors; UK-based provider of waste, water and energy management services; US-based private equity firm and infrastructure investment arm of Morgan Stanley</t>
  </si>
  <si>
    <t>Allianz Capital Partners GmbH, HICL Infrastructure Company Limited and Dutch Infrastructure Fund B.V. have signed a definitive agreement to acquire Affinity Water Limited from Infracapital Partners LP, Morgan Stanley Infrastructure Inc., Partners Group Holding AG, Veolia Water UK Limited and Gingko Tree Investments Limited.
Allianz Capital Partners GmbH (Allianz Capital), the Germany-based company, headquartered in Munich, is an investment arm of Allianz SE.
Allianz SE, the listed Germany-based company, headquartered in Munich, is a provider of insurance, banking and asset management services.
HICL Infrastructure Company Limited (HICL), the listed UK-based company, headquartered in London, is an infrastructure investment firm.
Dutch Infrastructure Fund B.V. Netherlands-based company, headquartered in Schiphol, is a principal investment firm specializing in investing public private partnership projects.
Affinity Water Limited, the UK-based company, headquartered in Hatfield, is a water supply company.
Infracapital Partners II LP, the UK-based infrastructure fund of Infracapital Partners LP.
Infracapital Partners LP, the UK-based company, headquartered in London, is an infrastructure arm of M&amp;G Investments.
M&amp;G Investments, the UK-based company, headquartered in London, is an asset management firm.
North Haven Infrastructure Partners LP, the US-based infrastructure fund of Morgan Stanley Infrastructure Inc.
Morgan Stanley Infrastructure Inc., the US-based company, headquartered in New York, is an infrastructure investment arm of Morgan Stanley.
Terms: Allianz, DIF and HICL have agreed to acquire 100% stake in Affinity Water Acquisitions (Investments) Limited, a holding company and an indirect owner of 90% of Affinity Water, from Infracapital and Morgan Stanley, for a consideration of GBP 687m. As part of the transaction, Allianz, DIF and HICL will also acquire Veolia Water UK Limited’s 10% indirect stake in Affinity Water. HICL will pay GBP 269m for the acquisition of 36.6% stake in Affinity Water. The equity value of Affinity Water is GBP 735m. Affinity Water had unaudited net debt of GBP 873.01m as of 30 September 2016, thereby valuing the transaction at GBP 1.608bn.
Financing: HICL will finance the transaction utilizing its cash resources and revolving credit facility.
Rationale: The acquisition will enable Allianz to expand its product portfolio of high-quality core infrastructure assets. The investment will deliver inflation-linked, stable and predictable cash-flows, which are perfect for matching long-term payment obligations to the customers in Allianz’s core business of insurance. The transaction is in line with HICL's strategy of investing in assets that are positioned at the lower end of the risk spectrum in three market segments: PPP projects, regulated assets and demand-based assets. The acquisition will provide long-term returns for the shareholders of HICL. The transaction will be accretive to HICL’s existing portfolio in terms of total return, weighted average asset life and inflation correlation. The acquisition will enhance Affinity Water to provide high quality services to its customers.
Post Deal Details: Pursuant to the transaction, Allianz, DIF and HICL will own 36.6%, 26.9% and 36.6% stakes respectively in Affinity Water. HICL will have a net funding requirement of around GBP 230m, following completion of the acquisition. Affinity Water will continue to operate in the ordinary course of business. The acquisition will not change the operational level of Affinity Water.
Expected Completion: The transaction is expected to be completed by the end of May 2017.
Background: Affinity Water serves 1.5m customers across an area of approximately 4,515 sq.km in the south east of England. Affinity Water supplies on an average 900m litres of water a day to over 3.6m people. Affinity Water reported revenues of GBP 302.62m for the year ended 31 March 2016. Prior to the acquisition, Morgan Stanley, Infracapital, Veolia Water UK Limited, Gingko Tree Investments Limited and Partners Group held 40%, 35%, 10%, 10% and 5% stakes respectively in Affinity Water. In October 2012, Infracapital, Gingko Tree and Morgan Stanley had completed the acquisition of UK-based water supply operations of Veolia Water UK Limited, a subsidiary of Veolia Environnement S.A., for a consideration of USD 1.92bn. The three separate water-branded businesses of Veolia, namely Veolia Water Central, Veolia Water Southeast and Veolia Water East were brought together to form Affinity Water Limited.
UPDATE 22 May 2017: The consortium has completed the acquistion of Affinity Water Limited.
Source Links:
HICL Infrastructure Company Limited press release, 22 May 2017
HICL Infrastructure Company Limited stock exchange announcement, 02 May 2017
HICL Infrastructure Company Limited press release, 02 May 2017
Allianz Capital Partners GmbH press release, 02 May 2017
Allianz SE press release, 02 May 2017
Allianz SE press release, 02 May 2017 (German)
Affinity Water Limited press release, 02 May 2017
Dutch Infrastructure Fund B.V. press release, 02 May 2017
Infracapital Partners LP press release, 02 May 2017
Affinity Water Limited interim report</t>
  </si>
  <si>
    <t>12/31/2017</t>
  </si>
  <si>
    <t>12/03/2018</t>
  </si>
  <si>
    <t>Saur Group</t>
  </si>
  <si>
    <t>France-based company engaged in providing water management services</t>
  </si>
  <si>
    <t>France</t>
  </si>
  <si>
    <t>EQT Partners AB</t>
  </si>
  <si>
    <t>Sweden-based private equity firm investing in the Healthcare, TMT, Industrial Technology, Consumer and Services sectors.
The EQT Equity team typically makes investments in medium to large-sized companies in Northern, Central Europe and the US between EUR 100m and EUR 1000m. As of March 2019, it manages two active funds: EQT VII and EQT VIII. Its latest fund, EQT VIII was launched with target size of around EUR 8bn and closed in February 2018, hitting its hard-cap of EUR 10.75bn.
In the middle market segment it typically invests between EUR 50m and EUR 150m in the US, EUR 100m - 300m in Northern Europe, DACH and Benelux and between USD 30m - 250m in Greater China and Southeast Asia. The EQT Mid Market team manages three active funds as of March 2019: EQT Mid Market US, EQT Mid Market Europe and EQT Mid Market Asia III. Its latest fund, EQT Mid Market Asia III closed in May 2018 at USD 800m.
The EQT Real Assets team focuses on medium-sized infrastructure businesses in the Nordic region, Continental Europe and North America. It also seeks real estate investment opportunities across selected markets in Europe. Its latest fund, EQT Infrastructure IV fund held a final close in March 2019 at the hard cap of EUR 9bn. 
The EQT Credit investment platform spans the full risk-reward spectrum and is currently investing three strategies: senior debt, direct lending and credit opportunities. 
As of March 2019, EQT has raised 29 funds with approximately EUR 61bn in capital and has approximately EUR 40bn assets under management. It has offices in 14 countries across Europe, Asia and North America. 
EQT was founded in 1994 and is based in Stockholm, Sweden. Its second largest office is in Munich, which was set up in the early 2000s. It has 540 employees, of whom 330 are within the Investment Advisory teams.</t>
  </si>
  <si>
    <t>EQT Partners AB, a Sweden-based private equity firm through its EQT Infrastructure III, has agreed to acquire Saur Group, a France-based company engaged in providing water management services, for a consideration of EUR 1.5bn.
The acquisition will expand EQT’s geographical reach in France as well as other nations. The transaction will accelerate Saur Group’s growth and enhance its geographical reach. Saur Group will benefit from through the synergies generated from EQT’s water infrastructure management, digitalization and sustainable development.
The transaction is subject to the required Works Councils consultations, required trade unions consultations and standard regulatory endorsements. The transaction is expected to complete by end of 2018. Saur Group reported revenues of EUR 1.29bn (excluding waste management) and has a workforce of 9000 employees.
Source Links:
Saur Group press release, 23 July 2018
EQT Partners AB press release, 23 July 2018
Saur Group press release, 23 July 2018 (French)
EQT Partners AB press release, 03 December 2018
Saur Group press release, 03 December 2018
Saur Group press release, 23 July 2018 (French)</t>
  </si>
  <si>
    <t>03/17/2018</t>
  </si>
  <si>
    <t>09/28/2018</t>
  </si>
  <si>
    <t>FCC Aqualia, S.A. (49% Stake)</t>
  </si>
  <si>
    <t>Spain-based water management company</t>
  </si>
  <si>
    <t>Spain</t>
  </si>
  <si>
    <t>IFM Investors</t>
  </si>
  <si>
    <t>Australia-based privately owned investment manager. 
The firm provides its services to pooled investment vehicles, pension and profit sharing plans, insurance companies, and non-U.S. government entities. It manages separate client focused equity and fixed income portfolios. The firm also manages superannuation funds, infrastructure funds, private equity funds, and equity mutual funds. It invests in the public equity and fixed income markets across the globe. For the equity portion of its portfolio, the firm invests in small cap equities of the firm. It also invests in private equity markets including infrastructure and private assets. It typically invests in infrastructure sector and also makes responsible investing. 
IFM investors was founded in 2004 and is based in Melbourne, Victoria with additional offices in Berlin, Germany, London, United Kingdom, New York City, Sydney, Australia, and Japan, Tokyo.</t>
  </si>
  <si>
    <t>Fomento de Construcciones y Contratas SA</t>
  </si>
  <si>
    <t>Spain-based construction company engaged in general construction, environmental services and renewable energy</t>
  </si>
  <si>
    <t>IFM Investors, an Australia-based fund management and private equity firm, through IFM Global Infrastructure Fund, an Australia-based infrastructure fund, has agreed to acquire a 49% stake in FCC Aqualia, S.A., a Spain-based water management company, from Fomento de Construcciones y Contratas SA (FCC), a listed Spain-based construction company engaged in general construction, environmental services and renewable energy, for a consideration of EUR 1.024bn.
The transaction values Aqualia’s implied equity at EUR 2.09bn. The sale proceeds will enable FCC to reduce their debt and for other corporate needs. The acquisition will enable Aqualia to strengthen their position and develop in new markets with active involvement of IFM. It will also allow Aqualia to tap into market opportunities further reinforce its commitment to partnering administrations to deliver a public service. Post transaction, FCC will continue to control Aqualia. Aqualia plans to maintain its current strategy, operations and commercial relations.
The transaction is expected to close by end of August 2018, subject to relevant merger control approvals, consent of FCC's senior lenders and customary closing conditions. Aqualia reported revenues of EUR 1.03bn and EBITDA of EUR 241m in 2017 and has a workforce of over 7,500 employees. Currently, Aqualia provides services to 23.6m people in 1,100 municipalities in 22 countries.
UPDATE 28 September 2018: IFM Investors completed the acquisition of FCC Aqualia, S.A. from Fomento de Construcciones y Contratas SA.
Source Links:
Fomento de Construcciones y Contratas SA press release, 20 February 2018
Fomento de Construcciones y Contratas SA stock exchange announcement, 17 March 2018
Fomento de Construcciones y Contratas SA stock exchange announcement, 17 March 2018 (Spanish)
Fomento de Construcciones y Contratas SA press release, 19 March 2018
Fomento de Construcciones y Contratas SA press release, 19 March 2018 (Spanish)
IFM Investors press release, 19 March 2018
Fomento de Construcciones y Contratas SA press release, 28 September 2018</t>
  </si>
  <si>
    <t>12/15/2017</t>
  </si>
  <si>
    <t>02/21/2018</t>
  </si>
  <si>
    <t>Anglian Water Group Ltd (15% Stake)</t>
  </si>
  <si>
    <t>UK-based company providing drinking water and wastewater services</t>
  </si>
  <si>
    <t>Dalmore Capital Limited; GLIL Infrastructure LLP</t>
  </si>
  <si>
    <t>UK-based fund management company that focuses on lower risk opportunities for institutional investors in infrastructure sector; UK-based infrastructure investment company</t>
  </si>
  <si>
    <t>3i Infrastructure plc</t>
  </si>
  <si>
    <t>Channel Islands-based, UK listed private equity firm investing in infrastructure businesses and assets around the globe with a primary focus on European, North American, and Asian markets</t>
  </si>
  <si>
    <t>Dalmore Capital, the UK-based fund management company, and GLIL Infrastructure LLP, the UK-based infrastructure investment company, have together agreed to acquire a 15% stake in Anglian Dalmore Capital, the UK-based fund management company, and GLIL Infrastructure LLP, the UK-based infrastructure investment company, have agreed to acquire a 15% stake in Anglian Water Group (AWG), the UK-based company providing drinking water and wastewater services, from 3i Infrastructure plc, a Channel Islands-based UK listed private equity firm, for a consideration of GBP 395m.
The transaction is in line with Dalmore and GLIL’s shared investment philosophy and strategy to invest in UK infrastructure resources. The acquisition is expected to close in early 2018 and is subject to certain third party consents. AWG reported revenues of GBP 1.35bn and net loss of GBP 13.40m for the year ended 31 March 2017. It has a workforce of 4,500 employees.
Earlier in 2007, 3i Infrastructure had acquired a 15% stake in AWG, following its take-private in 2006 by a consortium of investors.
UPDATE 21/02/2018: Dalmore Capital Limited and GLIL Infrastructure LLP completed the acquisition of Anglian Water Group Ltd from 3i Infrastructure plc.
Source Links:
3i Infrastructure plc press release, 27 June 2017
3i Infrastructure plc press release, 15 December 2017
3i Infrastructure plc stock exchange announcement, 18 December 2017
3i Infrastructure plc press release, 21 February 2018
Anglian Water Group annual report Income Statement Balance Sheet</t>
  </si>
  <si>
    <t>Australia</t>
  </si>
  <si>
    <t>Australia-based company engaged in providing water utility services</t>
  </si>
  <si>
    <t>Hong Kong-based HKEx-listed company headquartered in Hong Kong, is engaged in the construction of sewage and water treatment plants and provision of integrated water system solutions</t>
  </si>
  <si>
    <t>Japan-based government-sponsored private equity and venture capital firm headquartered in Tokyo. INCJ, Ltd. was established in September 2018 via company split from Innovation Network Corporation of Japan (INCJ) which has changed its name to Japan Investment Corporation (JIC) and begun new activities.
INCJ, Ltd. will continue the activities of INCJ, engaging in Value Up activities such as overseeing additional investments, milestone investments and exits from investments
in portfolio companies until March 2025.
INCJ was established in 2009 with the aim of lasting for 15 years. INCJ has invested in a sectors including energy, TMT, consumer, healthcare, automobiles, chemicals, and others. INCJ is capitalized at JPY 300bn, of which JPY 286bn is from the Japanese government and JPY 14bn from investors in the private sector. INCJ has the capacity to invest up to JPY2 trillion(approx. US$20 billion). ; Listed Japan-based company engaged in providing engineering designing service and building industrial plants and refineries, and developing oil, gas and other natural resources ; Listed Japan-based conglomerate engaged in chemical and steel plants, shipbuilding, automobiles, construction equipment, industrial machinery, real estate, iron and steel industries, non-ferrous metals, basic and specialty chemicals, novel synthetic fiber materials, petrochemicals, non-organic chemicals and fertilizers, textiles and clothing, lumber and paper, food and distribution, information and logistics technology</t>
  </si>
  <si>
    <t>Anglian Water Group</t>
    <phoneticPr fontId="3" type="noConversion"/>
  </si>
  <si>
    <t>2017.12</t>
    <phoneticPr fontId="3" type="noConversion"/>
  </si>
  <si>
    <t>수자원 공급업무 및 수처리업</t>
  </si>
  <si>
    <t>수자원 공급업무 및 수처리업</t>
    <phoneticPr fontId="3" type="noConversion"/>
  </si>
  <si>
    <t>수처리 운영관리업</t>
    <phoneticPr fontId="3" type="noConversion"/>
  </si>
  <si>
    <t>수처리 운영관리업</t>
    <phoneticPr fontId="3" type="noConversion"/>
  </si>
  <si>
    <t>Dalmore Capital</t>
    <phoneticPr fontId="3" type="noConversion"/>
  </si>
  <si>
    <t>3i Infrastructure</t>
    <phoneticPr fontId="3" type="noConversion"/>
  </si>
  <si>
    <t>영국</t>
    <phoneticPr fontId="3" type="noConversion"/>
  </si>
  <si>
    <t>USD m</t>
    <phoneticPr fontId="3" type="noConversion"/>
  </si>
  <si>
    <t>FCC Aqualia</t>
    <phoneticPr fontId="3" type="noConversion"/>
  </si>
  <si>
    <t>2018.03</t>
    <phoneticPr fontId="3" type="noConversion"/>
  </si>
  <si>
    <t>스페인</t>
    <phoneticPr fontId="3" type="noConversion"/>
  </si>
  <si>
    <t>IFM Investors</t>
    <phoneticPr fontId="3" type="noConversion"/>
  </si>
  <si>
    <t>Fomento de Construcciones</t>
    <phoneticPr fontId="3" type="noConversion"/>
  </si>
  <si>
    <t>Tier 2 / 수처리 해외</t>
    <phoneticPr fontId="3" type="noConversion"/>
  </si>
  <si>
    <t>Tier 1 / 수처리 국내</t>
    <phoneticPr fontId="3" type="noConversion"/>
  </si>
  <si>
    <t>Tier 3 / 폐기물처리</t>
    <phoneticPr fontId="3" type="noConversion"/>
  </si>
  <si>
    <t>Tier 1 / EPC 국내</t>
    <phoneticPr fontId="3" type="noConversion"/>
  </si>
  <si>
    <t>Tier 2 / EPC 해외</t>
    <phoneticPr fontId="3" type="noConversion"/>
  </si>
  <si>
    <t>FY2016</t>
    <phoneticPr fontId="3" type="noConversion"/>
  </si>
  <si>
    <t>인선이엔티</t>
    <phoneticPr fontId="3" type="noConversion"/>
  </si>
  <si>
    <t>2019.05</t>
    <phoneticPr fontId="3" type="noConversion"/>
  </si>
  <si>
    <t>IS 동서</t>
    <phoneticPr fontId="3" type="noConversion"/>
  </si>
  <si>
    <t>E&amp;F PE</t>
    <phoneticPr fontId="3" type="noConversion"/>
  </si>
  <si>
    <t>http://dart.fss.or.kr/dsaf001/main.do?rcpNo=20190503900734</t>
    <phoneticPr fontId="3" type="noConversion"/>
  </si>
  <si>
    <t>BS</t>
    <phoneticPr fontId="25" type="noConversion"/>
  </si>
  <si>
    <t>2018.12.31</t>
    <phoneticPr fontId="3" type="noConversion"/>
  </si>
  <si>
    <t>Cash</t>
    <phoneticPr fontId="25" type="noConversion"/>
  </si>
  <si>
    <t>12mths</t>
    <phoneticPr fontId="25" type="noConversion"/>
  </si>
  <si>
    <t>Revenue</t>
    <phoneticPr fontId="25" type="noConversion"/>
  </si>
  <si>
    <t>EBIT</t>
    <phoneticPr fontId="25" type="noConversion"/>
  </si>
  <si>
    <t>Dep</t>
    <phoneticPr fontId="25" type="noConversion"/>
  </si>
  <si>
    <t>EBITDA</t>
    <phoneticPr fontId="25" type="noConversion"/>
  </si>
  <si>
    <t>NI(Loss)</t>
    <phoneticPr fontId="25" type="noConversion"/>
  </si>
  <si>
    <t>제 22 기          2018.12.31 현재</t>
  </si>
  <si>
    <t>제 22 기 2018.01.01 부터 2018.12.31 까지</t>
  </si>
  <si>
    <t>제 21 기          2017.12.31 현재</t>
  </si>
  <si>
    <t>제 21 기 2017.01.01 부터 2017.12.31 까지</t>
  </si>
  <si>
    <t>제 20 기          2016.12.31 현재</t>
  </si>
  <si>
    <t>제 20 기 2016.01.01 부터 2016.12.31 까지</t>
  </si>
  <si>
    <t>제 22 기</t>
  </si>
  <si>
    <t>제 21 기</t>
  </si>
  <si>
    <t>제 20 기</t>
  </si>
  <si>
    <t>　　영업권</t>
  </si>
  <si>
    <t>　　관계기업투자</t>
  </si>
  <si>
    <t>기타이익</t>
  </si>
  <si>
    <t>　　장기매출채권 및 기타채권</t>
  </si>
  <si>
    <t>투자손익</t>
  </si>
  <si>
    <t>중단영업이익(손실)</t>
  </si>
  <si>
    <t>　　해외사업장환산외환차이(세후기타포괄손익)</t>
  </si>
  <si>
    <t>　　매도가능금융자산평가손익</t>
  </si>
  <si>
    <t>　　계속영업이익</t>
  </si>
  <si>
    <t>　　중단영업이익</t>
  </si>
  <si>
    <t>　　장기매입채무 및 기타비유동채무</t>
  </si>
  <si>
    <t>　지배기업의 소유주에게 귀속되는 지분</t>
  </si>
  <si>
    <t>　　비유동충당부채</t>
  </si>
  <si>
    <t>　계속영업기본주당이익(손실) (단위 : 원)</t>
  </si>
  <si>
    <t>　중단영업기본주당이익(손실) (단위 : 원)</t>
  </si>
  <si>
    <t>　　유동성전환사채</t>
  </si>
  <si>
    <t>영업으로부터 창출된 현금</t>
    <phoneticPr fontId="25" type="noConversion"/>
  </si>
  <si>
    <t> (단위 : 천원)</t>
  </si>
  <si>
    <t>   감가상각비</t>
  </si>
  <si>
    <t>　　유동충당부채</t>
  </si>
  <si>
    <t>   무형자산상각비</t>
  </si>
  <si>
    <t>구         분</t>
  </si>
  <si>
    <t>유    동</t>
  </si>
  <si>
    <t>비 유 동</t>
  </si>
  <si>
    <t>단기금융상품 (*1)</t>
  </si>
  <si>
    <t>장기금융상품 (*2)</t>
  </si>
  <si>
    <t>합         계</t>
  </si>
  <si>
    <t>매도가능금융자산</t>
    <phoneticPr fontId="3" type="noConversion"/>
  </si>
  <si>
    <t>http://dart.fss.or.kr/dsaf001/main.do?rcpNo=20141124000274</t>
    <phoneticPr fontId="3" type="noConversion"/>
  </si>
  <si>
    <t>NOA</t>
    <phoneticPr fontId="3" type="noConversion"/>
  </si>
  <si>
    <t>FY2017</t>
    <phoneticPr fontId="3" type="noConversion"/>
  </si>
  <si>
    <t>FY2017</t>
    <phoneticPr fontId="3" type="noConversion"/>
  </si>
  <si>
    <t>FY2018</t>
    <phoneticPr fontId="3" type="noConversion"/>
  </si>
  <si>
    <t>https://www.allianz.com/en/press/news/financials/stakes_investments/170502-allianz-invests-in-affinity-water-in-uk.html</t>
    <phoneticPr fontId="3" type="noConversion"/>
  </si>
  <si>
    <t>http://www.investchosun.com/2016/05/23/3194607</t>
    <phoneticPr fontId="3" type="noConversion"/>
  </si>
  <si>
    <t>https://www.thebell.co.kr/free/content/ArticleView.asp?key=201806290100048700002980&amp;lcode=00</t>
    <phoneticPr fontId="3" type="noConversion"/>
  </si>
  <si>
    <t>https://www.ifminvestors.com/about-us/media-centre/!news/2018/03/18/ifm-investors-to-invest-in-fcc-aqualia-with-49-stake</t>
    <phoneticPr fontId="3" type="noConversion"/>
  </si>
  <si>
    <t>https://www.3i-infrastructure.com/newsroom/press-releases/2017/3i-infrastructure-plc-sells-its-stake-in-anglian-water-group/</t>
    <phoneticPr fontId="3" type="noConversion"/>
  </si>
  <si>
    <t>https://www.bbc.com/news/business-18621952</t>
    <phoneticPr fontId="3" type="noConversion"/>
  </si>
  <si>
    <t>https://www.thebell.co.kr/free/Content/ArticleView.asp?key=201903150100028040001799&amp;svccode=01</t>
    <phoneticPr fontId="3" type="noConversion"/>
  </si>
  <si>
    <t>https://www.thebell.co.kr/free/Content/ArticleView.asp?key=201904300100057530003569&amp;svccode=01</t>
    <phoneticPr fontId="3" type="noConversion"/>
  </si>
  <si>
    <t>https://www.thebell.co.kr/free/content/ArticleView.asp?key=201711160100031120001918&amp;lcode=00</t>
    <phoneticPr fontId="3" type="noConversion"/>
  </si>
  <si>
    <t>https://www.mk.co.kr/news/stock/view/2017/11/740560/</t>
    <phoneticPr fontId="3" type="noConversion"/>
  </si>
  <si>
    <t>https://www.afr.com/street-talk/beijing-enterprises-water-buys-trility-group-20170913-gygb36</t>
    <phoneticPr fontId="3" type="noConversion"/>
  </si>
  <si>
    <t>Morgan Stanley</t>
    <phoneticPr fontId="3" type="noConversion"/>
  </si>
  <si>
    <t>Beijing Enterprises Water</t>
    <phoneticPr fontId="3" type="noConversion"/>
  </si>
  <si>
    <t>Tier 1/2/3</t>
    <phoneticPr fontId="3" type="noConversion"/>
  </si>
  <si>
    <t>EV/Sales</t>
    <phoneticPr fontId="3" type="noConversion"/>
  </si>
  <si>
    <t>하이엔텍 평균값</t>
    <phoneticPr fontId="3" type="noConversion"/>
  </si>
  <si>
    <t>엘지히타치워터솔루션 평균값</t>
    <phoneticPr fontId="3" type="noConversion"/>
  </si>
  <si>
    <t>Tier 1/2</t>
    <phoneticPr fontId="3" type="noConversion"/>
  </si>
  <si>
    <t>구분</t>
    <phoneticPr fontId="3" type="noConversion"/>
  </si>
  <si>
    <t>EV/EBITDA</t>
    <phoneticPr fontId="3" type="noConversion"/>
  </si>
  <si>
    <t>EV/EBIT</t>
    <phoneticPr fontId="3" type="noConversion"/>
  </si>
  <si>
    <t>Source : Mergermarket</t>
    <phoneticPr fontId="3" type="noConversion"/>
  </si>
  <si>
    <t>Source : Dart</t>
    <phoneticPr fontId="3" type="noConversion"/>
  </si>
  <si>
    <t>Tier 1/2</t>
    <phoneticPr fontId="3" type="noConversion"/>
  </si>
  <si>
    <t>Tier 1 only</t>
    <phoneticPr fontId="3" type="noConversion"/>
  </si>
  <si>
    <t>Tier 2 only</t>
    <phoneticPr fontId="3" type="noConversion"/>
  </si>
  <si>
    <t>Tier 2 only</t>
    <phoneticPr fontId="3" type="noConversion"/>
  </si>
  <si>
    <t>Tier 1 only</t>
    <phoneticPr fontId="3" type="noConversion"/>
  </si>
  <si>
    <t>Tier 1/3</t>
    <phoneticPr fontId="3" type="noConversion"/>
  </si>
  <si>
    <t>Debt (*1)</t>
    <phoneticPr fontId="3" type="noConversion"/>
  </si>
  <si>
    <t>Debt (*1)</t>
    <phoneticPr fontId="3" type="noConversion"/>
  </si>
  <si>
    <t>NOA (*2)</t>
    <phoneticPr fontId="3" type="noConversion"/>
  </si>
  <si>
    <t>Note</t>
    <phoneticPr fontId="3" type="noConversion"/>
  </si>
  <si>
    <t>Year (*3)</t>
    <phoneticPr fontId="3" type="noConversion"/>
  </si>
  <si>
    <t>Sales</t>
    <phoneticPr fontId="3" type="noConversion"/>
  </si>
  <si>
    <t>Sales</t>
    <phoneticPr fontId="3" type="noConversion"/>
  </si>
  <si>
    <t>Year (*3)</t>
    <phoneticPr fontId="3" type="noConversion"/>
  </si>
  <si>
    <t>(*3) Fiscal Year는 Announce date 기준의 직전 회계연도임.</t>
    <phoneticPr fontId="3" type="noConversion"/>
  </si>
  <si>
    <t>(*2) NOA = 투자부동산 + 장기금융상품 + 대여금 + 매도/만기보유증권 + 관계기업투자주식</t>
    <phoneticPr fontId="3" type="noConversion"/>
  </si>
  <si>
    <t>(*1) Net Debt = 현금및현금성자산 + 단기금융상품 - 장단기차입금 및 사채</t>
    <phoneticPr fontId="3" type="noConversion"/>
  </si>
  <si>
    <t>Majority</t>
    <phoneticPr fontId="3" type="noConversion"/>
  </si>
  <si>
    <t>Majority 추가취득</t>
    <phoneticPr fontId="3" type="noConversion"/>
  </si>
  <si>
    <t>Majority, 우리사주조합</t>
    <phoneticPr fontId="3" type="noConversion"/>
  </si>
  <si>
    <t>Beijing Enterprises Water Group Limited, the HKEx-listed Hong Kong-based company engaged in the construction of sewage and water treatment plants and provision of integrated water system solutions, has agreed to acquire TRILITY Pty Ltd, an Australia-based company engaged in providing water utility services, from Mitsubishi Corporation, the listed Japan-based conglomerate, JGC Corporation, the listed Japan-based engineering designers and builders of industrial plants and refineries and Innovation Network Corporation of Japan, the Japan based investment company engaged in supporting the development of new and existing industries, for an estimated consideration of approximately AUD 250m (USD 200.27m).
Beijing Enterprises is funding the transaction via internal funding. The transaction has already got necessary regulatory approvals from the State Water Authorities and the Foreign Investment Review Board.
Prior to this transaction, Mitsubishi, Innovation Network and JGC held 60%, 30% and 10% stake, respectively, in TRILITY. In May 2010, Mitsubishi along with JGC, Manila Water Company and Innovation Network, had acquired TRILITY, from United Utilities Group Plc, for a net consideration of AUD 225m (USD 199.84m). TRILITY owners started seeking for potential buyers since November 2016. The bidders who participated in the auction process were China Everbright Water, Colonial First State, H.R.L. Morrison, Downer EDI, CIMIC and AMP Capital Pty Ltd.
UPDATE 24 April 2018: Beijing Enterprises Water Group Limited has completed the acquistion of TRILITY Pty Ltd.
Source link:
Beijing Enterprises Water Group Limited press release, 24 April 2018</t>
    <phoneticPr fontId="3" type="noConversion"/>
  </si>
  <si>
    <t>Spin-off</t>
    <phoneticPr fontId="3" type="noConversion"/>
  </si>
  <si>
    <t>TSK코퍼레이션</t>
    <phoneticPr fontId="3" type="noConversion"/>
  </si>
  <si>
    <t>주식수</t>
    <phoneticPr fontId="3" type="noConversion"/>
  </si>
  <si>
    <t>TSK코퍼레이션-휴비스워터 주식교환</t>
    <phoneticPr fontId="3" type="noConversion"/>
  </si>
  <si>
    <t>Implied Equity Value</t>
    <phoneticPr fontId="3" type="noConversion"/>
  </si>
  <si>
    <t>태영건설</t>
    <phoneticPr fontId="3" type="noConversion"/>
  </si>
  <si>
    <t>SK디스커버리</t>
    <phoneticPr fontId="3" type="noConversion"/>
  </si>
  <si>
    <t>SK건설</t>
    <phoneticPr fontId="3" type="noConversion"/>
  </si>
  <si>
    <t>휴비스</t>
    <phoneticPr fontId="3" type="noConversion"/>
  </si>
  <si>
    <t>TSK코퍼레이션</t>
    <phoneticPr fontId="3" type="noConversion"/>
  </si>
  <si>
    <t>합병시너지</t>
    <phoneticPr fontId="3" type="noConversion"/>
  </si>
  <si>
    <t>시너지 배분 후 가격</t>
    <phoneticPr fontId="3" type="noConversion"/>
  </si>
  <si>
    <t>거래전 지분가치</t>
    <phoneticPr fontId="3" type="noConversion"/>
  </si>
  <si>
    <t>과거 거래</t>
    <phoneticPr fontId="3" type="noConversion"/>
  </si>
  <si>
    <t>-2014년 10월 KDB-JKL로부터 95.3% 지분인수(4.7% 우리사주조합, Implied  EquityValue 1383억)
-2019년 1월 TSK코퍼레이션 100% 자회사편입(Implied EquityValue 1188억)</t>
    <phoneticPr fontId="3" type="noConversion"/>
  </si>
  <si>
    <t>주, 백만원</t>
    <phoneticPr fontId="3" type="noConversion"/>
  </si>
  <si>
    <t>(1)TSK코퍼레이션</t>
    <phoneticPr fontId="3" type="noConversion"/>
  </si>
  <si>
    <t>(2)휴비스워터</t>
    <phoneticPr fontId="3" type="noConversion"/>
  </si>
  <si>
    <t>(1)주식교환 이후</t>
    <phoneticPr fontId="3" type="noConversion"/>
  </si>
  <si>
    <t>(3)TSK-휴비스워터 주식교환</t>
    <phoneticPr fontId="3" type="noConversion"/>
  </si>
  <si>
    <t>2018.11</t>
    <phoneticPr fontId="3" type="noConversion"/>
  </si>
  <si>
    <t>(3)주식교환 이후</t>
    <phoneticPr fontId="3" type="noConversion"/>
  </si>
  <si>
    <t>지분가치</t>
    <phoneticPr fontId="3" type="noConversion"/>
  </si>
  <si>
    <t>지분율</t>
    <phoneticPr fontId="3" type="noConversion"/>
  </si>
  <si>
    <t>주식수</t>
    <phoneticPr fontId="3" type="noConversion"/>
  </si>
  <si>
    <t>&gt;&gt;역산</t>
    <phoneticPr fontId="3" type="noConversion"/>
  </si>
  <si>
    <t>-2000년 민영화 이후 2007년 코오롱 건설이 100% 취득
-2009년 SCPE 40% 취득
-2016년 5월 SCPE 62.98% 추가 취득(거래 전 지분율 35%)</t>
    <phoneticPr fontId="3" type="noConversion"/>
  </si>
  <si>
    <t>-2004년 태영건설 100% 설립
-2010년 SK계열사로부터 합작사업약정계약 (지분율 50대50)
-2018년 6월 SK계열사 지분 25% 인수(Implied EquityValue 5천억)
-2018년 10월 TSK워터 물적분할(존속법인 TSK코퍼레이션, 신설법인 TSK워터)
-2019년 1월 휴비스워터 100% 자회사 편입 완료(주식교환, Implied EquityValue 6천억)
- 태영건설 윤석민 회장과 SK디스커버리 최창원 회장은 절친한 사이, 기타 특수관계는 확인되지 않음.</t>
    <phoneticPr fontId="3" type="noConversion"/>
  </si>
  <si>
    <t>적용환율 :</t>
    <phoneticPr fontId="48" type="noConversion"/>
  </si>
  <si>
    <t>1 USD k =</t>
    <phoneticPr fontId="48" type="noConversion"/>
  </si>
  <si>
    <t>1. 하이엔텍</t>
    <phoneticPr fontId="3" type="noConversion"/>
  </si>
  <si>
    <t>(USD m)</t>
    <phoneticPr fontId="52" type="noConversion"/>
  </si>
  <si>
    <t>Korea</t>
    <phoneticPr fontId="52" type="noConversion"/>
  </si>
  <si>
    <t>Mean</t>
    <phoneticPr fontId="3" type="noConversion"/>
  </si>
  <si>
    <t>Median</t>
    <phoneticPr fontId="3" type="noConversion"/>
  </si>
  <si>
    <t>Global</t>
    <phoneticPr fontId="52" type="noConversion"/>
  </si>
  <si>
    <t>2. 히타치</t>
    <phoneticPr fontId="3" type="noConversion"/>
  </si>
  <si>
    <t>Multiples based on available LTM financials; EV/EBIT over 40x, EV/EBITDA over 30x, P/E over 30x are classified as outliers and excluded from calculation of mean and median</t>
  </si>
  <si>
    <t>Date</t>
    <phoneticPr fontId="3" type="noConversion"/>
  </si>
  <si>
    <t>Bidder</t>
    <phoneticPr fontId="3" type="noConversion"/>
  </si>
  <si>
    <t>Deal Value</t>
    <phoneticPr fontId="3" type="noConversion"/>
  </si>
  <si>
    <t>% Stake</t>
    <phoneticPr fontId="3" type="noConversion"/>
  </si>
  <si>
    <t>Implied Equity Value</t>
    <phoneticPr fontId="3" type="noConversion"/>
  </si>
  <si>
    <t>Implied 
EV</t>
    <phoneticPr fontId="3" type="noConversion"/>
  </si>
  <si>
    <t>Historic</t>
    <phoneticPr fontId="3" type="noConversion"/>
  </si>
  <si>
    <t>EV/EBITDA</t>
    <phoneticPr fontId="3" type="noConversion"/>
  </si>
  <si>
    <t>P/E</t>
    <phoneticPr fontId="3" type="noConversion"/>
  </si>
  <si>
    <t>P/B</t>
    <phoneticPr fontId="3" type="noConversion"/>
  </si>
  <si>
    <t>Net margin</t>
    <phoneticPr fontId="3" type="noConversion"/>
  </si>
  <si>
    <t>BV</t>
    <phoneticPr fontId="3" type="noConversion"/>
  </si>
  <si>
    <t>PER</t>
    <phoneticPr fontId="3" type="noConversion"/>
  </si>
  <si>
    <t>PBR</t>
    <phoneticPr fontId="3" type="noConversion"/>
  </si>
  <si>
    <t>NA</t>
    <phoneticPr fontId="3" type="noConversion"/>
  </si>
  <si>
    <t>Merger Market에서“Industrial products and services ” 산업분류內 최근5개년간(2014.01.01 ~ 현재) 국내외 거래사례 중 수처리장 운영회사(또는 유관회사) 내에서, 재무정보가 공개되지 않은 사례, 영업이익 및  EBITDA가 (-)인 사례를 제외함.</t>
    <phoneticPr fontId="3" type="noConversion"/>
  </si>
  <si>
    <t>Merger Market에서“Utillities(others) ” 산업분류內 최근5개년간(2014.01.01 ~ 현재) 국내외 거래사례 중 수처리장 EPC 회사(또는 유관회사) 내에서, 재무정보가 공개되지 않은 사례, 영업이익 및  EBITDA가 (-)인 사례를 제외함.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</si>
</sst>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41" formatCode="_-* #,##0_-;\-* #,##0_-;_-* &quot;-&quot;_-;_-@_-"/>
    <numFmt numFmtId="43" formatCode="_-* #,##0.00_-;\-* #,##0.00_-;_-* &quot;-&quot;??_-;_-@_-"/>
    <numFmt numFmtId="176" formatCode="#,##0;\(#,##0\);\-"/>
    <numFmt numFmtId="177" formatCode="0.0%"/>
    <numFmt numFmtId="178" formatCode="#,##0.0\x"/>
    <numFmt numFmtId="179" formatCode="_(* #,##0.0_);_(* \(#,##0.0\)_)\ ;_(* 0_)"/>
    <numFmt numFmtId="180" formatCode="_(* #,##0.0#_);_(* \(#,##0.0#\)_)\ ;_(* 0_)"/>
    <numFmt numFmtId="181" formatCode="_(#,##0.0%_);_(\(#,##0.0%\)_);_(#,##0.0%_)"/>
    <numFmt numFmtId="182" formatCode="mmm\-dd\-yyyy"/>
    <numFmt numFmtId="183" formatCode="_(\ #,##0.0########_);_(\ \(#,##0.0########\)_);_(\ &quot; - &quot;_)"/>
    <numFmt numFmtId="184" formatCode="_(* #,##0_);_(* \(#,##0\)_)\ ;_(* 0_)"/>
    <numFmt numFmtId="185" formatCode="#,##0_);[Red]\(#,##0\)"/>
    <numFmt numFmtId="186" formatCode="[$KRW]\ #,##0.00\ &quot;m&quot;"/>
    <numFmt numFmtId="187" formatCode="_-* #,##0.00_-;\-* #,##0.00_-;_-* &quot;-&quot;_-;_-@_-"/>
    <numFmt numFmtId="188" formatCode="0.0\x;[Red]\(0.0\x\);&quot;- &quot;;@"/>
  </numFmts>
  <fonts count="62" x14ac:knownFonts="1">
    <font>
      <sz val="11"/>
      <color theme="1"/>
      <name val="맑은 고딕"/>
      <family val="2"/>
      <charset val="129"/>
      <scheme val="minor"/>
    </font>
    <font>
      <sz val="11"/>
      <color theme="1"/>
      <name val="맑은 고딕"/>
      <family val="2"/>
      <charset val="129"/>
      <scheme val="minor"/>
    </font>
    <font>
      <b/>
      <sz val="9"/>
      <color theme="0"/>
      <name val="맑은 고딕"/>
      <family val="3"/>
      <charset val="129"/>
    </font>
    <font>
      <sz val="8"/>
      <name val="맑은 고딕"/>
      <family val="2"/>
      <charset val="129"/>
      <scheme val="minor"/>
    </font>
    <font>
      <b/>
      <i/>
      <sz val="9"/>
      <color theme="0"/>
      <name val="맑은 고딕"/>
      <family val="3"/>
      <charset val="129"/>
    </font>
    <font>
      <b/>
      <sz val="9"/>
      <color theme="1"/>
      <name val="맑은 고딕"/>
      <family val="3"/>
      <charset val="129"/>
    </font>
    <font>
      <b/>
      <i/>
      <sz val="9"/>
      <color theme="1"/>
      <name val="맑은 고딕"/>
      <family val="3"/>
      <charset val="129"/>
    </font>
    <font>
      <i/>
      <sz val="9"/>
      <color theme="1"/>
      <name val="맑은 고딕"/>
      <family val="3"/>
      <charset val="129"/>
    </font>
    <font>
      <sz val="9"/>
      <color theme="1"/>
      <name val="맑은 고딕"/>
      <family val="3"/>
      <charset val="129"/>
      <scheme val="minor"/>
    </font>
    <font>
      <sz val="9"/>
      <color theme="1"/>
      <name val="맑은 고딕"/>
      <family val="3"/>
      <charset val="129"/>
    </font>
    <font>
      <sz val="11"/>
      <color theme="1"/>
      <name val="맑은 고딕"/>
      <family val="3"/>
      <charset val="129"/>
      <scheme val="minor"/>
    </font>
    <font>
      <sz val="9"/>
      <color theme="0"/>
      <name val="맑은 고딕"/>
      <family val="3"/>
      <charset val="129"/>
    </font>
    <font>
      <u/>
      <sz val="9"/>
      <color theme="10"/>
      <name val="맑은 고딕"/>
      <family val="2"/>
      <charset val="129"/>
    </font>
    <font>
      <u/>
      <sz val="9"/>
      <color theme="10"/>
      <name val="맑은 고딕"/>
      <family val="3"/>
      <charset val="129"/>
    </font>
    <font>
      <b/>
      <sz val="8"/>
      <color indexed="9"/>
      <name val="Verdana"/>
      <family val="2"/>
    </font>
    <font>
      <b/>
      <sz val="8"/>
      <color indexed="8"/>
      <name val="Arial"/>
      <family val="2"/>
    </font>
    <font>
      <b/>
      <i/>
      <sz val="8"/>
      <color indexed="8"/>
      <name val="Arial"/>
      <family val="2"/>
    </font>
    <font>
      <sz val="8"/>
      <color indexed="8"/>
      <name val="Arial"/>
      <family val="2"/>
    </font>
    <font>
      <b/>
      <u val="double"/>
      <sz val="8"/>
      <color indexed="8"/>
      <name val="Arial"/>
      <family val="2"/>
    </font>
    <font>
      <b/>
      <u/>
      <sz val="8"/>
      <color indexed="8"/>
      <name val="Arial"/>
      <family val="2"/>
    </font>
    <font>
      <sz val="9"/>
      <color theme="1"/>
      <name val="맑은 고딕"/>
      <family val="2"/>
      <charset val="129"/>
      <scheme val="minor"/>
    </font>
    <font>
      <b/>
      <sz val="9"/>
      <color theme="1"/>
      <name val="맑은 고딕"/>
      <family val="3"/>
      <charset val="129"/>
      <scheme val="minor"/>
    </font>
    <font>
      <sz val="8"/>
      <color theme="1"/>
      <name val="맑은 고딕"/>
      <family val="2"/>
      <charset val="129"/>
      <scheme val="minor"/>
    </font>
    <font>
      <b/>
      <i/>
      <sz val="8"/>
      <color theme="1"/>
      <name val="맑은 고딕"/>
      <family val="3"/>
      <charset val="129"/>
      <scheme val="minor"/>
    </font>
    <font>
      <b/>
      <sz val="9"/>
      <color theme="1"/>
      <name val="맑은 고딕"/>
      <family val="3"/>
      <charset val="129"/>
      <scheme val="major"/>
    </font>
    <font>
      <sz val="8"/>
      <name val="맑은 고딕"/>
      <family val="3"/>
      <charset val="129"/>
      <scheme val="minor"/>
    </font>
    <font>
      <sz val="9"/>
      <color theme="1"/>
      <name val="맑은 고딕"/>
      <family val="3"/>
      <charset val="129"/>
      <scheme val="major"/>
    </font>
    <font>
      <sz val="11"/>
      <color rgb="FF000000"/>
      <name val="굴림"/>
      <family val="3"/>
      <charset val="129"/>
    </font>
    <font>
      <sz val="11"/>
      <color rgb="FFFF1418"/>
      <name val="굴림"/>
      <family val="3"/>
      <charset val="129"/>
    </font>
    <font>
      <sz val="12"/>
      <color rgb="FF000000"/>
      <name val="바탕"/>
      <family val="1"/>
      <charset val="129"/>
    </font>
    <font>
      <sz val="9"/>
      <color theme="1"/>
      <name val="맑은 고딕"/>
      <family val="2"/>
      <charset val="129"/>
      <scheme val="major"/>
    </font>
    <font>
      <b/>
      <sz val="9"/>
      <color theme="1"/>
      <name val="맑은 고딕"/>
      <family val="2"/>
      <charset val="129"/>
      <scheme val="major"/>
    </font>
    <font>
      <b/>
      <sz val="9"/>
      <color rgb="FF000000"/>
      <name val="맑은 고딕"/>
      <family val="3"/>
      <charset val="129"/>
      <scheme val="major"/>
    </font>
    <font>
      <sz val="9"/>
      <color rgb="FF000000"/>
      <name val="맑은 고딕"/>
      <family val="3"/>
      <charset val="129"/>
      <scheme val="major"/>
    </font>
    <font>
      <sz val="9"/>
      <color rgb="FFFF1418"/>
      <name val="맑은 고딕"/>
      <family val="3"/>
      <charset val="129"/>
      <scheme val="major"/>
    </font>
    <font>
      <sz val="9"/>
      <color theme="1"/>
      <name val="맑은 고딕"/>
      <family val="2"/>
      <charset val="129"/>
    </font>
    <font>
      <b/>
      <sz val="9"/>
      <color rgb="FF000000"/>
      <name val="맑은 고딕"/>
      <family val="3"/>
      <charset val="129"/>
      <scheme val="minor"/>
    </font>
    <font>
      <sz val="9"/>
      <color rgb="FF000000"/>
      <name val="맑은 고딕"/>
      <family val="3"/>
      <charset val="129"/>
      <scheme val="minor"/>
    </font>
    <font>
      <sz val="10"/>
      <name val="Arial"/>
      <family val="2"/>
    </font>
    <font>
      <b/>
      <sz val="9"/>
      <name val="맑은 고딕"/>
      <family val="3"/>
      <charset val="129"/>
    </font>
    <font>
      <sz val="9"/>
      <name val="맑은 고딕"/>
      <family val="3"/>
      <charset val="129"/>
    </font>
    <font>
      <sz val="9"/>
      <color rgb="FF000000"/>
      <name val="바탕"/>
      <family val="1"/>
      <charset val="129"/>
    </font>
    <font>
      <sz val="9"/>
      <color rgb="FF000000"/>
      <name val="굴림"/>
      <family val="3"/>
      <charset val="129"/>
    </font>
    <font>
      <b/>
      <i/>
      <sz val="9"/>
      <color theme="1"/>
      <name val="맑은 고딕"/>
      <family val="3"/>
      <charset val="129"/>
      <scheme val="minor"/>
    </font>
    <font>
      <b/>
      <i/>
      <sz val="9"/>
      <color theme="1"/>
      <name val="맑은 고딕"/>
      <family val="3"/>
      <charset val="129"/>
      <scheme val="major"/>
    </font>
    <font>
      <b/>
      <i/>
      <u/>
      <sz val="9"/>
      <color theme="1"/>
      <name val="맑은 고딕"/>
      <family val="3"/>
      <charset val="129"/>
    </font>
    <font>
      <b/>
      <sz val="9"/>
      <color theme="0"/>
      <name val="맑은 고딕"/>
      <family val="2"/>
      <charset val="129"/>
      <scheme val="minor"/>
    </font>
    <font>
      <b/>
      <sz val="8"/>
      <color theme="1"/>
      <name val="맑은 고딕"/>
      <family val="3"/>
      <charset val="129"/>
    </font>
    <font>
      <sz val="8"/>
      <name val="맑은 고딕"/>
      <family val="2"/>
      <charset val="129"/>
    </font>
    <font>
      <sz val="8"/>
      <color theme="1"/>
      <name val="맑은 고딕"/>
      <family val="3"/>
      <charset val="129"/>
      <scheme val="minor"/>
    </font>
    <font>
      <b/>
      <i/>
      <sz val="8"/>
      <color theme="1"/>
      <name val="맑은 고딕"/>
      <family val="3"/>
      <charset val="129"/>
    </font>
    <font>
      <sz val="8"/>
      <color theme="0"/>
      <name val="Arial"/>
      <family val="2"/>
      <charset val="129"/>
    </font>
    <font>
      <sz val="8"/>
      <name val="Arial"/>
      <family val="2"/>
      <charset val="129"/>
    </font>
    <font>
      <b/>
      <sz val="8"/>
      <color theme="1"/>
      <name val="Arial"/>
      <family val="2"/>
    </font>
    <font>
      <i/>
      <sz val="8"/>
      <name val="맑은 고딕"/>
      <family val="3"/>
      <charset val="129"/>
      <scheme val="minor"/>
    </font>
    <font>
      <i/>
      <sz val="8"/>
      <color theme="1"/>
      <name val="Arial"/>
      <family val="2"/>
    </font>
    <font>
      <b/>
      <sz val="8"/>
      <color theme="1"/>
      <name val="맑은 고딕"/>
      <family val="3"/>
      <charset val="129"/>
      <scheme val="minor"/>
    </font>
    <font>
      <b/>
      <i/>
      <sz val="8"/>
      <name val="맑은 고딕"/>
      <family val="3"/>
      <charset val="129"/>
      <scheme val="minor"/>
    </font>
    <font>
      <sz val="8"/>
      <color theme="0"/>
      <name val="맑은 고딕"/>
      <family val="2"/>
      <charset val="129"/>
      <scheme val="minor"/>
    </font>
    <font>
      <sz val="8"/>
      <color theme="0"/>
      <name val="맑은 고딕"/>
      <family val="3"/>
      <charset val="129"/>
      <scheme val="minor"/>
    </font>
    <font>
      <i/>
      <sz val="8"/>
      <color theme="0"/>
      <name val="맑은 고딕"/>
      <family val="3"/>
      <charset val="129"/>
      <scheme val="minor"/>
    </font>
    <font>
      <sz val="11"/>
      <color theme="0"/>
      <name val="맑은 고딕"/>
      <family val="3"/>
      <charset val="129"/>
      <scheme val="minor"/>
    </font>
  </fonts>
  <fills count="16">
    <fill>
      <patternFill patternType="none"/>
    </fill>
    <fill>
      <patternFill patternType="gray125"/>
    </fill>
    <fill>
      <patternFill patternType="solid">
        <fgColor rgb="FF00338D"/>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indexed="56"/>
        <bgColor indexed="64"/>
      </patternFill>
    </fill>
    <fill>
      <patternFill patternType="solid">
        <fgColor indexed="60"/>
        <bgColor indexed="64"/>
      </patternFill>
    </fill>
    <fill>
      <patternFill patternType="solid">
        <fgColor theme="8" tint="0.59999389629810485"/>
        <bgColor indexed="64"/>
      </patternFill>
    </fill>
    <fill>
      <patternFill patternType="solid">
        <fgColor rgb="FFDCDCDC"/>
        <bgColor indexed="64"/>
      </patternFill>
    </fill>
    <fill>
      <patternFill patternType="solid">
        <fgColor rgb="FFD9E1F1"/>
        <bgColor indexed="64"/>
      </patternFill>
    </fill>
    <fill>
      <patternFill patternType="solid">
        <fgColor rgb="FFD7D7D7"/>
        <bgColor indexed="64"/>
      </patternFill>
    </fill>
    <fill>
      <patternFill patternType="solid">
        <fgColor theme="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s>
  <borders count="74">
    <border>
      <left/>
      <right/>
      <top/>
      <bottom/>
      <diagonal/>
    </border>
    <border>
      <left/>
      <right/>
      <top style="thin">
        <color rgb="FF00338D"/>
      </top>
      <bottom/>
      <diagonal/>
    </border>
    <border>
      <left/>
      <right style="thin">
        <color rgb="FF00338D"/>
      </right>
      <top/>
      <bottom/>
      <diagonal/>
    </border>
    <border>
      <left/>
      <right/>
      <top/>
      <bottom style="thin">
        <color rgb="FF00338D"/>
      </bottom>
      <diagonal/>
    </border>
    <border>
      <left/>
      <right style="dashed">
        <color rgb="FF00338D"/>
      </right>
      <top/>
      <bottom style="thin">
        <color rgb="FF00338D"/>
      </bottom>
      <diagonal/>
    </border>
    <border>
      <left/>
      <right style="thin">
        <color rgb="FF00338D"/>
      </right>
      <top/>
      <bottom style="thin">
        <color rgb="FF00338D"/>
      </bottom>
      <diagonal/>
    </border>
    <border>
      <left style="thin">
        <color rgb="FF00338D"/>
      </left>
      <right/>
      <top style="thin">
        <color rgb="FF00338D"/>
      </top>
      <bottom/>
      <diagonal/>
    </border>
    <border>
      <left style="thin">
        <color rgb="FF00338D"/>
      </left>
      <right/>
      <top/>
      <bottom/>
      <diagonal/>
    </border>
    <border>
      <left style="thin">
        <color rgb="FF00338D"/>
      </left>
      <right/>
      <top/>
      <bottom style="thin">
        <color rgb="FF00338D"/>
      </bottom>
      <diagonal/>
    </border>
    <border>
      <left style="thin">
        <color auto="1"/>
      </left>
      <right/>
      <top/>
      <bottom/>
      <diagonal/>
    </border>
    <border>
      <left/>
      <right/>
      <top style="thin">
        <color indexed="64"/>
      </top>
      <bottom style="thin">
        <color indexed="64"/>
      </bottom>
      <diagonal/>
    </border>
    <border>
      <left/>
      <right style="thin">
        <color indexed="64"/>
      </right>
      <top/>
      <bottom/>
      <diagonal/>
    </border>
    <border>
      <left style="thin">
        <color rgb="FF00338D"/>
      </left>
      <right/>
      <top style="thin">
        <color rgb="FF00338D"/>
      </top>
      <bottom style="thin">
        <color rgb="FF00338D"/>
      </bottom>
      <diagonal/>
    </border>
    <border>
      <left/>
      <right/>
      <top style="thin">
        <color rgb="FF00338D"/>
      </top>
      <bottom style="thin">
        <color rgb="FF00338D"/>
      </bottom>
      <diagonal/>
    </border>
    <border>
      <left/>
      <right style="thin">
        <color rgb="FF00338D"/>
      </right>
      <top style="thin">
        <color rgb="FF00338D"/>
      </top>
      <bottom style="thin">
        <color rgb="FF00338D"/>
      </bottom>
      <diagonal/>
    </border>
    <border>
      <left style="thin">
        <color rgb="FF00338D"/>
      </left>
      <right style="thin">
        <color rgb="FF00338D"/>
      </right>
      <top style="thin">
        <color rgb="FF00338D"/>
      </top>
      <bottom/>
      <diagonal/>
    </border>
    <border>
      <left style="thin">
        <color rgb="FF00338D"/>
      </left>
      <right/>
      <top style="thin">
        <color rgb="FF00338D"/>
      </top>
      <bottom style="dashed">
        <color rgb="FF00338D"/>
      </bottom>
      <diagonal/>
    </border>
    <border>
      <left/>
      <right/>
      <top style="thin">
        <color rgb="FF00338D"/>
      </top>
      <bottom style="dashed">
        <color rgb="FF00338D"/>
      </bottom>
      <diagonal/>
    </border>
    <border>
      <left/>
      <right style="thin">
        <color rgb="FF00338D"/>
      </right>
      <top style="thin">
        <color rgb="FF00338D"/>
      </top>
      <bottom style="dashed">
        <color rgb="FF00338D"/>
      </bottom>
      <diagonal/>
    </border>
    <border>
      <left style="thin">
        <color rgb="FF00338D"/>
      </left>
      <right style="thin">
        <color rgb="FF00338D"/>
      </right>
      <top/>
      <bottom/>
      <diagonal/>
    </border>
    <border>
      <left style="thin">
        <color rgb="FF00338D"/>
      </left>
      <right style="thin">
        <color rgb="FF00338D"/>
      </right>
      <top/>
      <bottom style="thin">
        <color rgb="FF00338D"/>
      </bottom>
      <diagonal/>
    </border>
    <border>
      <left style="thin">
        <color rgb="FF00338D"/>
      </left>
      <right style="thin">
        <color rgb="FF00338D"/>
      </right>
      <top style="dashed">
        <color rgb="FF00338D"/>
      </top>
      <bottom/>
      <diagonal/>
    </border>
    <border>
      <left/>
      <right style="dashed">
        <color rgb="FF00338D"/>
      </right>
      <top style="dashed">
        <color rgb="FF00338D"/>
      </top>
      <bottom/>
      <diagonal/>
    </border>
    <border>
      <left/>
      <right/>
      <top style="thin">
        <color indexed="8"/>
      </top>
      <bottom/>
      <diagonal/>
    </border>
    <border>
      <left/>
      <right/>
      <top style="thin">
        <color indexed="64"/>
      </top>
      <bottom/>
      <diagonal/>
    </border>
    <border>
      <left/>
      <right/>
      <top style="thin">
        <color auto="1"/>
      </top>
      <bottom style="double">
        <color auto="1"/>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thin">
        <color rgb="FF808080"/>
      </left>
      <right style="thin">
        <color rgb="FF000000"/>
      </right>
      <top style="thin">
        <color rgb="FF00000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000000"/>
      </left>
      <right style="thin">
        <color rgb="FF808080"/>
      </right>
      <top style="thin">
        <color rgb="FF000000"/>
      </top>
      <bottom/>
      <diagonal/>
    </border>
    <border>
      <left style="thin">
        <color rgb="FF808080"/>
      </left>
      <right/>
      <top style="thin">
        <color rgb="FF000000"/>
      </top>
      <bottom style="thin">
        <color rgb="FF808080"/>
      </bottom>
      <diagonal/>
    </border>
    <border>
      <left/>
      <right style="thin">
        <color rgb="FF808080"/>
      </right>
      <top style="thin">
        <color rgb="FF000000"/>
      </top>
      <bottom style="thin">
        <color rgb="FF808080"/>
      </bottom>
      <diagonal/>
    </border>
    <border>
      <left/>
      <right style="thin">
        <color rgb="FF000000"/>
      </right>
      <top style="thin">
        <color rgb="FF000000"/>
      </top>
      <bottom style="thin">
        <color rgb="FF808080"/>
      </bottom>
      <diagonal/>
    </border>
    <border>
      <left style="thin">
        <color rgb="FF000000"/>
      </left>
      <right style="thin">
        <color rgb="FF808080"/>
      </right>
      <top/>
      <bottom style="thin">
        <color rgb="FF808080"/>
      </bottom>
      <diagonal/>
    </border>
    <border>
      <left style="thin">
        <color rgb="FF000000"/>
      </left>
      <right/>
      <top style="thin">
        <color rgb="FF808080"/>
      </top>
      <bottom style="thin">
        <color rgb="FF808080"/>
      </bottom>
      <diagonal/>
    </border>
    <border>
      <left/>
      <right style="thin">
        <color rgb="FF000000"/>
      </right>
      <top style="thin">
        <color rgb="FF808080"/>
      </top>
      <bottom style="thin">
        <color rgb="FF808080"/>
      </bottom>
      <diagonal/>
    </border>
    <border>
      <left style="thin">
        <color rgb="FF000000"/>
      </left>
      <right style="thin">
        <color rgb="FF808080"/>
      </right>
      <top style="thin">
        <color rgb="FF808080"/>
      </top>
      <bottom/>
      <diagonal/>
    </border>
    <border>
      <left style="thin">
        <color rgb="FF808080"/>
      </left>
      <right style="thin">
        <color rgb="FF000000"/>
      </right>
      <top style="thin">
        <color rgb="FF808080"/>
      </top>
      <bottom/>
      <diagonal/>
    </border>
    <border>
      <left style="thin">
        <color rgb="FF808080"/>
      </left>
      <right style="thin">
        <color rgb="FF000000"/>
      </right>
      <top/>
      <bottom style="thin">
        <color rgb="FF808080"/>
      </bottom>
      <diagonal/>
    </border>
    <border>
      <left style="thin">
        <color rgb="FF808080"/>
      </left>
      <right style="thin">
        <color rgb="FF808080"/>
      </right>
      <top/>
      <bottom/>
      <diagonal/>
    </border>
    <border>
      <left style="thin">
        <color rgb="FF808080"/>
      </left>
      <right style="thin">
        <color rgb="FF808080"/>
      </right>
      <top style="thin">
        <color rgb="FF000000"/>
      </top>
      <bottom/>
      <diagonal/>
    </border>
    <border>
      <left style="thin">
        <color rgb="FF808080"/>
      </left>
      <right style="thin">
        <color rgb="FF000000"/>
      </right>
      <top style="thin">
        <color rgb="FF000000"/>
      </top>
      <bottom/>
      <diagonal/>
    </border>
    <border>
      <left style="thin">
        <color rgb="FF000000"/>
      </left>
      <right style="thin">
        <color rgb="FF808080"/>
      </right>
      <top/>
      <bottom/>
      <diagonal/>
    </border>
    <border>
      <left style="thin">
        <color rgb="FF000000"/>
      </left>
      <right/>
      <top style="thin">
        <color rgb="FF808080"/>
      </top>
      <bottom style="thin">
        <color rgb="FF000000"/>
      </bottom>
      <diagonal/>
    </border>
    <border>
      <left/>
      <right style="thin">
        <color rgb="FF808080"/>
      </right>
      <top style="thin">
        <color rgb="FF808080"/>
      </top>
      <bottom style="thin">
        <color rgb="FF000000"/>
      </bottom>
      <diagonal/>
    </border>
    <border>
      <left/>
      <right/>
      <top style="thin">
        <color rgb="FF808080"/>
      </top>
      <bottom style="thin">
        <color rgb="FF000000"/>
      </bottom>
      <diagonal/>
    </border>
    <border>
      <left style="thin">
        <color rgb="FF000000"/>
      </left>
      <right/>
      <top style="thin">
        <color rgb="FF000000"/>
      </top>
      <bottom style="thin">
        <color rgb="FF808080"/>
      </bottom>
      <diagonal/>
    </border>
    <border>
      <left/>
      <right/>
      <top style="thin">
        <color rgb="FF000000"/>
      </top>
      <bottom style="thin">
        <color rgb="FF808080"/>
      </bottom>
      <diagonal/>
    </border>
    <border>
      <left style="thin">
        <color rgb="FF000000"/>
      </left>
      <right style="thin">
        <color rgb="FF808080"/>
      </right>
      <top/>
      <bottom style="thin">
        <color rgb="FF000000"/>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double">
        <color indexed="64"/>
      </bottom>
      <diagonal/>
    </border>
    <border>
      <left/>
      <right/>
      <top style="thin">
        <color auto="1"/>
      </top>
      <bottom style="double">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rgb="FF00338D"/>
      </right>
      <top style="thin">
        <color rgb="FF00338D"/>
      </top>
      <bottom/>
      <diagonal/>
    </border>
    <border>
      <left/>
      <right/>
      <top/>
      <bottom style="thin">
        <color theme="0"/>
      </bottom>
      <diagonal/>
    </border>
    <border>
      <left/>
      <right/>
      <top/>
      <bottom style="medium">
        <color auto="1"/>
      </bottom>
      <diagonal/>
    </border>
    <border>
      <left/>
      <right/>
      <top style="medium">
        <color auto="1"/>
      </top>
      <bottom style="medium">
        <color auto="1"/>
      </bottom>
      <diagonal/>
    </border>
  </borders>
  <cellStyleXfs count="9">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0" fontId="10" fillId="0" borderId="0">
      <alignment vertical="center"/>
    </xf>
    <xf numFmtId="0" fontId="12" fillId="0" borderId="0" applyNumberFormat="0" applyFill="0" applyBorder="0" applyAlignment="0" applyProtection="0">
      <alignment vertical="center"/>
    </xf>
    <xf numFmtId="0" fontId="1" fillId="0" borderId="0"/>
    <xf numFmtId="0" fontId="35" fillId="0" borderId="0">
      <alignment vertical="center"/>
    </xf>
    <xf numFmtId="0" fontId="38" fillId="0" borderId="0" applyNumberFormat="0" applyFont="0" applyFill="0" applyBorder="0" applyAlignment="0" applyProtection="0"/>
    <xf numFmtId="9" fontId="1" fillId="0" borderId="0" applyFont="0" applyFill="0" applyBorder="0" applyAlignment="0" applyProtection="0">
      <alignment vertical="center"/>
    </xf>
  </cellStyleXfs>
  <cellXfs count="615">
    <xf numFmtId="0" fontId="0" fillId="0" borderId="0" xfId="0">
      <alignment vertical="center"/>
    </xf>
    <xf numFmtId="176" fontId="5" fillId="0" borderId="1" xfId="0" applyNumberFormat="1" applyFont="1" applyBorder="1">
      <alignment vertical="center"/>
    </xf>
    <xf numFmtId="176" fontId="5" fillId="0" borderId="3" xfId="0" applyNumberFormat="1" applyFont="1" applyBorder="1" applyAlignment="1">
      <alignment horizontal="center" vertical="center"/>
    </xf>
    <xf numFmtId="176" fontId="5" fillId="0" borderId="1" xfId="0" applyNumberFormat="1" applyFont="1" applyBorder="1" applyAlignment="1">
      <alignment horizontal="center" vertical="center"/>
    </xf>
    <xf numFmtId="176" fontId="5" fillId="0" borderId="0" xfId="0" applyNumberFormat="1" applyFont="1" applyBorder="1" applyAlignment="1">
      <alignment horizontal="center" vertical="center"/>
    </xf>
    <xf numFmtId="176" fontId="5" fillId="0" borderId="6" xfId="0" applyNumberFormat="1" applyFont="1" applyBorder="1">
      <alignment vertical="center"/>
    </xf>
    <xf numFmtId="0" fontId="9" fillId="0" borderId="0" xfId="0" applyFont="1">
      <alignment vertical="center"/>
    </xf>
    <xf numFmtId="176" fontId="9" fillId="0" borderId="7" xfId="0" applyNumberFormat="1" applyFont="1" applyBorder="1">
      <alignment vertical="center"/>
    </xf>
    <xf numFmtId="176" fontId="9" fillId="0" borderId="2" xfId="0" applyNumberFormat="1" applyFont="1" applyBorder="1">
      <alignment vertical="center"/>
    </xf>
    <xf numFmtId="176" fontId="9" fillId="0" borderId="8" xfId="0" applyNumberFormat="1" applyFont="1" applyBorder="1">
      <alignment vertical="center"/>
    </xf>
    <xf numFmtId="176" fontId="2" fillId="2" borderId="12" xfId="0" applyNumberFormat="1" applyFont="1" applyFill="1" applyBorder="1">
      <alignment vertical="center"/>
    </xf>
    <xf numFmtId="176" fontId="2" fillId="2" borderId="13" xfId="0" applyNumberFormat="1" applyFont="1" applyFill="1" applyBorder="1">
      <alignment vertical="center"/>
    </xf>
    <xf numFmtId="176" fontId="2" fillId="2" borderId="13" xfId="0" applyNumberFormat="1" applyFont="1" applyFill="1" applyBorder="1" applyAlignment="1">
      <alignment horizontal="center" vertical="center"/>
    </xf>
    <xf numFmtId="177" fontId="4" fillId="2" borderId="13" xfId="0" applyNumberFormat="1" applyFont="1" applyFill="1" applyBorder="1">
      <alignment vertical="center"/>
    </xf>
    <xf numFmtId="176" fontId="11" fillId="2" borderId="13" xfId="0" applyNumberFormat="1" applyFont="1" applyFill="1" applyBorder="1">
      <alignment vertical="center"/>
    </xf>
    <xf numFmtId="176" fontId="11" fillId="2" borderId="14" xfId="0" applyNumberFormat="1" applyFont="1" applyFill="1" applyBorder="1">
      <alignment vertical="center"/>
    </xf>
    <xf numFmtId="176" fontId="5" fillId="0" borderId="16" xfId="0" applyNumberFormat="1" applyFont="1" applyBorder="1" applyAlignment="1">
      <alignment horizontal="centerContinuous" vertical="center"/>
    </xf>
    <xf numFmtId="177" fontId="6" fillId="0" borderId="17" xfId="0" applyNumberFormat="1" applyFont="1" applyBorder="1" applyAlignment="1">
      <alignment horizontal="centerContinuous" vertical="center"/>
    </xf>
    <xf numFmtId="176" fontId="5" fillId="0" borderId="17" xfId="0" applyNumberFormat="1" applyFont="1" applyBorder="1" applyAlignment="1">
      <alignment horizontal="centerContinuous" vertical="center"/>
    </xf>
    <xf numFmtId="176" fontId="5" fillId="0" borderId="18" xfId="0" applyNumberFormat="1" applyFont="1" applyBorder="1" applyAlignment="1">
      <alignment horizontal="centerContinuous" vertical="center"/>
    </xf>
    <xf numFmtId="176" fontId="5" fillId="0" borderId="7" xfId="0" applyNumberFormat="1" applyFont="1" applyBorder="1">
      <alignment vertical="center"/>
    </xf>
    <xf numFmtId="176" fontId="5" fillId="0" borderId="20" xfId="0" applyNumberFormat="1" applyFont="1" applyBorder="1" applyAlignment="1">
      <alignment horizontal="center" vertical="center"/>
    </xf>
    <xf numFmtId="176" fontId="12" fillId="0" borderId="19" xfId="4" applyNumberFormat="1" applyBorder="1">
      <alignment vertical="center"/>
    </xf>
    <xf numFmtId="178" fontId="7" fillId="0" borderId="19" xfId="0" applyNumberFormat="1" applyFont="1" applyFill="1" applyBorder="1" applyAlignment="1">
      <alignment horizontal="right" vertical="center"/>
    </xf>
    <xf numFmtId="178" fontId="7" fillId="0" borderId="20" xfId="0" applyNumberFormat="1" applyFont="1" applyFill="1" applyBorder="1" applyAlignment="1">
      <alignment horizontal="right" vertical="center"/>
    </xf>
    <xf numFmtId="176" fontId="13" fillId="0" borderId="19" xfId="4" applyNumberFormat="1" applyFont="1" applyBorder="1">
      <alignment vertical="center"/>
    </xf>
    <xf numFmtId="176" fontId="9" fillId="0" borderId="17" xfId="0" applyNumberFormat="1" applyFont="1" applyBorder="1" applyAlignment="1">
      <alignment horizontal="centerContinuous" vertical="center"/>
    </xf>
    <xf numFmtId="176" fontId="9" fillId="0" borderId="18" xfId="0" applyNumberFormat="1" applyFont="1" applyBorder="1" applyAlignment="1">
      <alignment horizontal="centerContinuous" vertical="center"/>
    </xf>
    <xf numFmtId="176" fontId="9" fillId="0" borderId="15" xfId="0" applyNumberFormat="1" applyFont="1" applyBorder="1">
      <alignment vertical="center"/>
    </xf>
    <xf numFmtId="176" fontId="9" fillId="0" borderId="19" xfId="0" applyNumberFormat="1" applyFont="1" applyBorder="1">
      <alignment vertical="center"/>
    </xf>
    <xf numFmtId="176" fontId="9" fillId="0" borderId="19" xfId="0" applyNumberFormat="1" applyFont="1" applyBorder="1" applyAlignment="1">
      <alignment horizontal="center" vertical="center"/>
    </xf>
    <xf numFmtId="176" fontId="9" fillId="3" borderId="19" xfId="0" applyNumberFormat="1" applyFont="1" applyFill="1" applyBorder="1">
      <alignment vertical="center"/>
    </xf>
    <xf numFmtId="176" fontId="9" fillId="0" borderId="20" xfId="0" applyNumberFormat="1" applyFont="1" applyBorder="1">
      <alignment vertical="center"/>
    </xf>
    <xf numFmtId="176" fontId="9" fillId="0" borderId="20" xfId="0" applyNumberFormat="1" applyFont="1" applyBorder="1" applyAlignment="1">
      <alignment horizontal="center" vertical="center"/>
    </xf>
    <xf numFmtId="176" fontId="9" fillId="3" borderId="20" xfId="0" applyNumberFormat="1" applyFont="1" applyFill="1" applyBorder="1">
      <alignment vertical="center"/>
    </xf>
    <xf numFmtId="176" fontId="5" fillId="0" borderId="7" xfId="0" applyNumberFormat="1" applyFont="1" applyBorder="1" applyAlignment="1">
      <alignment horizontal="center" vertical="center"/>
    </xf>
    <xf numFmtId="176" fontId="5" fillId="0" borderId="19" xfId="0" applyNumberFormat="1" applyFont="1" applyBorder="1" applyAlignment="1">
      <alignment horizontal="center" vertical="center"/>
    </xf>
    <xf numFmtId="176" fontId="0" fillId="0" borderId="0" xfId="0" applyNumberFormat="1">
      <alignment vertical="center"/>
    </xf>
    <xf numFmtId="176" fontId="0" fillId="0" borderId="0" xfId="0" applyNumberFormat="1" applyAlignment="1">
      <alignment horizontal="center" vertical="center"/>
    </xf>
    <xf numFmtId="177" fontId="7" fillId="0" borderId="0" xfId="0" applyNumberFormat="1" applyFont="1">
      <alignment vertical="center"/>
    </xf>
    <xf numFmtId="176" fontId="9" fillId="0" borderId="7" xfId="0" applyNumberFormat="1" applyFont="1" applyBorder="1" applyAlignment="1">
      <alignment horizontal="center" vertical="center"/>
    </xf>
    <xf numFmtId="176" fontId="9" fillId="0" borderId="2" xfId="0" applyNumberFormat="1" applyFont="1" applyBorder="1" applyAlignment="1">
      <alignment horizontal="center" vertical="center"/>
    </xf>
    <xf numFmtId="176" fontId="9" fillId="0" borderId="8" xfId="0" applyNumberFormat="1" applyFont="1" applyBorder="1" applyAlignment="1">
      <alignment horizontal="center" vertical="center"/>
    </xf>
    <xf numFmtId="176" fontId="9" fillId="0" borderId="5" xfId="0" applyNumberFormat="1" applyFont="1" applyBorder="1" applyAlignment="1">
      <alignment horizontal="center" vertical="center"/>
    </xf>
    <xf numFmtId="177" fontId="6" fillId="0" borderId="0" xfId="0" applyNumberFormat="1" applyFont="1" applyBorder="1" applyAlignment="1">
      <alignment horizontal="center" vertical="center"/>
    </xf>
    <xf numFmtId="176" fontId="5" fillId="0" borderId="8" xfId="0" applyNumberFormat="1" applyFont="1" applyBorder="1" applyAlignment="1">
      <alignment horizontal="center" vertical="center"/>
    </xf>
    <xf numFmtId="177" fontId="6" fillId="0" borderId="3" xfId="0" applyNumberFormat="1" applyFont="1" applyBorder="1" applyAlignment="1">
      <alignment horizontal="center" vertical="center"/>
    </xf>
    <xf numFmtId="176" fontId="5" fillId="0" borderId="5" xfId="0" applyNumberFormat="1" applyFont="1" applyBorder="1" applyAlignment="1">
      <alignment horizontal="center" vertical="center"/>
    </xf>
    <xf numFmtId="176" fontId="9" fillId="0" borderId="19" xfId="0" quotePrefix="1" applyNumberFormat="1" applyFont="1" applyBorder="1" applyAlignment="1">
      <alignment horizontal="center" vertical="center"/>
    </xf>
    <xf numFmtId="176" fontId="5" fillId="0" borderId="2" xfId="0" applyNumberFormat="1" applyFont="1" applyBorder="1" applyAlignment="1">
      <alignment horizontal="center" vertical="center"/>
    </xf>
    <xf numFmtId="176" fontId="5" fillId="0" borderId="2" xfId="0" applyNumberFormat="1" applyFont="1" applyBorder="1">
      <alignment vertical="center"/>
    </xf>
    <xf numFmtId="176" fontId="9" fillId="0" borderId="5" xfId="0" applyNumberFormat="1" applyFont="1" applyBorder="1">
      <alignment vertical="center"/>
    </xf>
    <xf numFmtId="0" fontId="9" fillId="0" borderId="0" xfId="0" applyFont="1" applyBorder="1">
      <alignment vertical="center"/>
    </xf>
    <xf numFmtId="176" fontId="5" fillId="0" borderId="8" xfId="0" applyNumberFormat="1" applyFont="1" applyBorder="1" applyAlignment="1">
      <alignment horizontal="left" vertical="center"/>
    </xf>
    <xf numFmtId="177" fontId="7" fillId="0" borderId="7" xfId="0" applyNumberFormat="1" applyFont="1" applyBorder="1">
      <alignment vertical="center"/>
    </xf>
    <xf numFmtId="177" fontId="7" fillId="0" borderId="8" xfId="0" applyNumberFormat="1" applyFont="1" applyBorder="1">
      <alignment vertical="center"/>
    </xf>
    <xf numFmtId="176" fontId="5" fillId="0" borderId="22" xfId="0" applyNumberFormat="1" applyFont="1" applyBorder="1" applyAlignment="1">
      <alignment horizontal="center" vertical="center"/>
    </xf>
    <xf numFmtId="176" fontId="5" fillId="0" borderId="4" xfId="0" applyNumberFormat="1" applyFont="1" applyBorder="1" applyAlignment="1">
      <alignment horizontal="center" vertical="center"/>
    </xf>
    <xf numFmtId="176" fontId="9" fillId="0" borderId="2" xfId="0" applyNumberFormat="1" applyFont="1" applyFill="1" applyBorder="1" applyAlignment="1">
      <alignment horizontal="center" vertical="center"/>
    </xf>
    <xf numFmtId="176" fontId="5" fillId="3" borderId="21" xfId="0" applyNumberFormat="1" applyFont="1" applyFill="1" applyBorder="1" applyAlignment="1">
      <alignment horizontal="center" vertical="center"/>
    </xf>
    <xf numFmtId="176" fontId="5" fillId="3" borderId="20" xfId="0" applyNumberFormat="1" applyFont="1" applyFill="1" applyBorder="1" applyAlignment="1">
      <alignment horizontal="center" vertical="center"/>
    </xf>
    <xf numFmtId="176" fontId="5" fillId="0" borderId="6" xfId="0" applyNumberFormat="1" applyFont="1" applyBorder="1" applyAlignment="1">
      <alignment horizontal="center" vertical="center"/>
    </xf>
    <xf numFmtId="176" fontId="5" fillId="0" borderId="15" xfId="0" applyNumberFormat="1" applyFont="1" applyBorder="1" applyAlignment="1">
      <alignment horizontal="center" vertical="center"/>
    </xf>
    <xf numFmtId="0" fontId="9" fillId="0" borderId="0" xfId="0" applyFont="1" applyAlignment="1">
      <alignment horizontal="center" vertical="center"/>
    </xf>
    <xf numFmtId="176" fontId="9" fillId="0" borderId="2" xfId="0" quotePrefix="1" applyNumberFormat="1" applyFont="1" applyFill="1" applyBorder="1" applyAlignment="1">
      <alignment horizontal="center" vertical="center"/>
    </xf>
    <xf numFmtId="0" fontId="0" fillId="0" borderId="0" xfId="0" applyAlignment="1">
      <alignment vertical="center"/>
    </xf>
    <xf numFmtId="176" fontId="9" fillId="0" borderId="20" xfId="0" quotePrefix="1" applyNumberFormat="1" applyFont="1" applyBorder="1" applyAlignment="1">
      <alignment horizontal="center" vertical="center"/>
    </xf>
    <xf numFmtId="176" fontId="9" fillId="0" borderId="2" xfId="0" applyNumberFormat="1" applyFont="1" applyBorder="1" applyAlignment="1">
      <alignment horizontal="right" vertical="center"/>
    </xf>
    <xf numFmtId="176" fontId="9" fillId="0" borderId="7" xfId="0" applyNumberFormat="1" applyFont="1" applyBorder="1" applyAlignment="1">
      <alignment horizontal="right" vertical="center"/>
    </xf>
    <xf numFmtId="0" fontId="14" fillId="5" borderId="0" xfId="0" applyFont="1" applyFill="1" applyAlignment="1"/>
    <xf numFmtId="0" fontId="15" fillId="6" borderId="0" xfId="0" applyFont="1" applyFill="1" applyAlignment="1">
      <alignment wrapText="1"/>
    </xf>
    <xf numFmtId="0" fontId="15" fillId="6" borderId="0" xfId="0" applyFont="1" applyFill="1" applyAlignment="1">
      <alignment horizontal="right" wrapText="1"/>
    </xf>
    <xf numFmtId="0" fontId="16" fillId="6" borderId="0" xfId="0" applyFont="1" applyFill="1" applyAlignment="1">
      <alignment wrapText="1"/>
    </xf>
    <xf numFmtId="0" fontId="16" fillId="6" borderId="0" xfId="0" applyFont="1" applyFill="1" applyAlignment="1">
      <alignment horizontal="right" wrapText="1"/>
    </xf>
    <xf numFmtId="0" fontId="15" fillId="0" borderId="0" xfId="0" applyFont="1" applyAlignment="1">
      <alignment horizontal="left" vertical="top"/>
    </xf>
    <xf numFmtId="0" fontId="17" fillId="0" borderId="0" xfId="0" applyFont="1" applyAlignment="1">
      <alignment horizontal="left" vertical="top"/>
    </xf>
    <xf numFmtId="179" fontId="17" fillId="0" borderId="0" xfId="0" applyNumberFormat="1" applyFont="1" applyAlignment="1">
      <alignment horizontal="right" vertical="top" wrapText="1"/>
    </xf>
    <xf numFmtId="179" fontId="15" fillId="0" borderId="23" xfId="0" applyNumberFormat="1" applyFont="1" applyBorder="1" applyAlignment="1">
      <alignment horizontal="right" vertical="top" wrapText="1"/>
    </xf>
    <xf numFmtId="179" fontId="15" fillId="0" borderId="0" xfId="0" applyNumberFormat="1" applyFont="1" applyAlignment="1">
      <alignment horizontal="right" vertical="top" wrapText="1"/>
    </xf>
    <xf numFmtId="179" fontId="18" fillId="0" borderId="23" xfId="0" applyNumberFormat="1" applyFont="1" applyBorder="1" applyAlignment="1">
      <alignment horizontal="right" vertical="top" wrapText="1"/>
    </xf>
    <xf numFmtId="180" fontId="17" fillId="0" borderId="0" xfId="0" applyNumberFormat="1" applyFont="1" applyAlignment="1">
      <alignment horizontal="right" vertical="top" wrapText="1"/>
    </xf>
    <xf numFmtId="181" fontId="17" fillId="0" borderId="0" xfId="0" applyNumberFormat="1" applyFont="1" applyAlignment="1">
      <alignment horizontal="right" vertical="top" wrapText="1"/>
    </xf>
    <xf numFmtId="182" fontId="17" fillId="0" borderId="0" xfId="0" applyNumberFormat="1" applyFont="1" applyAlignment="1">
      <alignment horizontal="right" vertical="top" wrapText="1"/>
    </xf>
    <xf numFmtId="49" fontId="17" fillId="0" borderId="0" xfId="0" applyNumberFormat="1" applyFont="1" applyAlignment="1">
      <alignment horizontal="right" vertical="top" wrapText="1"/>
    </xf>
    <xf numFmtId="183" fontId="17" fillId="0" borderId="0" xfId="0" applyNumberFormat="1" applyFont="1" applyAlignment="1">
      <alignment horizontal="right" vertical="top" wrapText="1"/>
    </xf>
    <xf numFmtId="182" fontId="15" fillId="6" borderId="0" xfId="0" applyNumberFormat="1" applyFont="1" applyFill="1" applyAlignment="1">
      <alignment horizontal="right" wrapText="1"/>
    </xf>
    <xf numFmtId="179" fontId="19" fillId="0" borderId="23" xfId="0" applyNumberFormat="1" applyFont="1" applyBorder="1" applyAlignment="1">
      <alignment horizontal="right" vertical="top" wrapText="1"/>
    </xf>
    <xf numFmtId="179" fontId="19" fillId="0" borderId="0" xfId="0" applyNumberFormat="1" applyFont="1" applyAlignment="1">
      <alignment horizontal="right" vertical="top" wrapText="1"/>
    </xf>
    <xf numFmtId="179" fontId="18" fillId="0" borderId="0" xfId="0" applyNumberFormat="1" applyFont="1" applyAlignment="1">
      <alignment horizontal="right" vertical="top" wrapText="1"/>
    </xf>
    <xf numFmtId="184" fontId="17" fillId="0" borderId="0" xfId="0" applyNumberFormat="1" applyFont="1" applyAlignment="1">
      <alignment horizontal="right" vertical="top" wrapText="1"/>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7" borderId="10" xfId="0" applyFont="1" applyFill="1" applyBorder="1" applyAlignment="1"/>
    <xf numFmtId="0" fontId="24" fillId="7" borderId="10" xfId="0" applyFont="1" applyFill="1" applyBorder="1" applyAlignment="1">
      <alignment horizontal="right"/>
    </xf>
    <xf numFmtId="0" fontId="24" fillId="0" borderId="0" xfId="0" applyFont="1" applyAlignment="1"/>
    <xf numFmtId="185" fontId="24" fillId="0" borderId="0" xfId="0" applyNumberFormat="1" applyFont="1" applyAlignment="1"/>
    <xf numFmtId="0" fontId="26" fillId="0" borderId="0" xfId="0" applyFont="1" applyAlignment="1">
      <alignment horizontal="left" indent="1"/>
    </xf>
    <xf numFmtId="185" fontId="26" fillId="0" borderId="0" xfId="0" applyNumberFormat="1" applyFont="1" applyAlignment="1"/>
    <xf numFmtId="0" fontId="24" fillId="0" borderId="24" xfId="0" applyFont="1" applyBorder="1" applyAlignment="1"/>
    <xf numFmtId="185" fontId="24" fillId="0" borderId="24" xfId="0" applyNumberFormat="1" applyFont="1" applyBorder="1" applyAlignment="1"/>
    <xf numFmtId="0" fontId="26" fillId="0" borderId="0" xfId="0" applyFont="1" applyBorder="1" applyAlignment="1">
      <alignment horizontal="left" indent="1"/>
    </xf>
    <xf numFmtId="185" fontId="26" fillId="0" borderId="0" xfId="0" applyNumberFormat="1" applyFont="1" applyBorder="1" applyAlignment="1">
      <alignment horizontal="right"/>
    </xf>
    <xf numFmtId="185" fontId="26" fillId="0" borderId="0" xfId="0" applyNumberFormat="1" applyFont="1" applyAlignment="1">
      <alignment horizontal="right"/>
    </xf>
    <xf numFmtId="0" fontId="26" fillId="0" borderId="0" xfId="0" applyFont="1" applyAlignment="1"/>
    <xf numFmtId="0" fontId="24" fillId="0" borderId="25" xfId="0" applyFont="1" applyBorder="1" applyAlignment="1"/>
    <xf numFmtId="185" fontId="24" fillId="0" borderId="25" xfId="0" applyNumberFormat="1" applyFont="1" applyBorder="1" applyAlignment="1"/>
    <xf numFmtId="0" fontId="24" fillId="7" borderId="24" xfId="0" applyFont="1" applyFill="1" applyBorder="1" applyAlignment="1"/>
    <xf numFmtId="0" fontId="24" fillId="7" borderId="24" xfId="0" applyFont="1" applyFill="1" applyBorder="1" applyAlignment="1">
      <alignment horizontal="right"/>
    </xf>
    <xf numFmtId="179" fontId="22" fillId="0" borderId="0" xfId="0" applyNumberFormat="1" applyFont="1">
      <alignment vertical="center"/>
    </xf>
    <xf numFmtId="179" fontId="26" fillId="0" borderId="0" xfId="0" applyNumberFormat="1" applyFont="1" applyAlignment="1"/>
    <xf numFmtId="0" fontId="27" fillId="8" borderId="26" xfId="0" applyFont="1" applyFill="1" applyBorder="1" applyAlignment="1">
      <alignment horizontal="center" vertical="center" wrapText="1"/>
    </xf>
    <xf numFmtId="0" fontId="27" fillId="8" borderId="27" xfId="0" applyFont="1" applyFill="1" applyBorder="1" applyAlignment="1">
      <alignment horizontal="center" vertical="center" wrapText="1"/>
    </xf>
    <xf numFmtId="0" fontId="27" fillId="8" borderId="28" xfId="0" applyFont="1" applyFill="1" applyBorder="1" applyAlignment="1">
      <alignment horizontal="center" vertical="center" wrapText="1"/>
    </xf>
    <xf numFmtId="0" fontId="27" fillId="8" borderId="29" xfId="0" applyFont="1" applyFill="1" applyBorder="1" applyAlignment="1">
      <alignment horizontal="center" vertical="center" wrapText="1"/>
    </xf>
    <xf numFmtId="3" fontId="27" fillId="0" borderId="26" xfId="0" applyNumberFormat="1" applyFont="1" applyBorder="1" applyAlignment="1">
      <alignment horizontal="right" vertical="top" wrapText="1"/>
    </xf>
    <xf numFmtId="0" fontId="27" fillId="0" borderId="26" xfId="0" applyFont="1" applyBorder="1" applyAlignment="1">
      <alignment horizontal="right" vertical="top" wrapText="1"/>
    </xf>
    <xf numFmtId="3" fontId="27" fillId="0" borderId="31" xfId="0" applyNumberFormat="1" applyFont="1" applyBorder="1" applyAlignment="1">
      <alignment horizontal="right" vertical="top" wrapText="1"/>
    </xf>
    <xf numFmtId="0" fontId="27" fillId="0" borderId="30" xfId="0" applyFont="1" applyBorder="1" applyAlignment="1">
      <alignment vertical="top" wrapText="1"/>
    </xf>
    <xf numFmtId="0" fontId="27" fillId="0" borderId="31" xfId="0" applyFont="1" applyBorder="1" applyAlignment="1">
      <alignment horizontal="right" vertical="top" wrapText="1"/>
    </xf>
    <xf numFmtId="0" fontId="27" fillId="0" borderId="32" xfId="0" applyFont="1" applyBorder="1" applyAlignment="1">
      <alignment vertical="top" wrapText="1"/>
    </xf>
    <xf numFmtId="0" fontId="27" fillId="0" borderId="33" xfId="0" applyFont="1" applyBorder="1" applyAlignment="1">
      <alignment horizontal="right" vertical="top" wrapText="1"/>
    </xf>
    <xf numFmtId="41" fontId="20" fillId="0" borderId="0" xfId="1" applyFont="1">
      <alignment vertical="center"/>
    </xf>
    <xf numFmtId="41" fontId="30" fillId="0" borderId="0" xfId="1" applyFont="1">
      <alignment vertical="center"/>
    </xf>
    <xf numFmtId="0" fontId="31" fillId="7" borderId="10" xfId="0" applyFont="1" applyFill="1" applyBorder="1" applyAlignment="1"/>
    <xf numFmtId="0" fontId="26" fillId="0" borderId="0" xfId="0" applyFont="1">
      <alignment vertical="center"/>
    </xf>
    <xf numFmtId="0" fontId="0" fillId="0" borderId="0" xfId="0" applyAlignment="1">
      <alignment horizontal="justify" vertical="center" wrapText="1"/>
    </xf>
    <xf numFmtId="0" fontId="29" fillId="0" borderId="0" xfId="0" applyFont="1" applyAlignment="1">
      <alignment horizontal="justify" vertical="center" wrapText="1"/>
    </xf>
    <xf numFmtId="0" fontId="27" fillId="8" borderId="31" xfId="0" applyFont="1" applyFill="1" applyBorder="1" applyAlignment="1">
      <alignment horizontal="center" vertical="center" wrapText="1"/>
    </xf>
    <xf numFmtId="3" fontId="27" fillId="0" borderId="33" xfId="0" applyNumberFormat="1" applyFont="1" applyBorder="1" applyAlignment="1">
      <alignment horizontal="right" vertical="top" wrapText="1"/>
    </xf>
    <xf numFmtId="3" fontId="27" fillId="0" borderId="34" xfId="0" applyNumberFormat="1" applyFont="1" applyBorder="1" applyAlignment="1">
      <alignment horizontal="right" vertical="top" wrapText="1"/>
    </xf>
    <xf numFmtId="43" fontId="30" fillId="0" borderId="0" xfId="1" applyNumberFormat="1" applyFont="1">
      <alignment vertical="center"/>
    </xf>
    <xf numFmtId="0" fontId="26" fillId="0" borderId="0" xfId="0" applyNumberFormat="1" applyFont="1" applyBorder="1" applyAlignment="1">
      <alignment horizontal="right"/>
    </xf>
    <xf numFmtId="0" fontId="27" fillId="0" borderId="0" xfId="0" applyFont="1" applyAlignment="1">
      <alignment horizontal="right" vertical="top" wrapText="1"/>
    </xf>
    <xf numFmtId="0" fontId="27" fillId="0" borderId="32" xfId="0" applyFont="1" applyBorder="1" applyAlignment="1">
      <alignment horizontal="center" vertical="center" wrapText="1"/>
    </xf>
    <xf numFmtId="43" fontId="26" fillId="0" borderId="0" xfId="0" applyNumberFormat="1" applyFont="1" applyAlignment="1"/>
    <xf numFmtId="41" fontId="26" fillId="0" borderId="0" xfId="1" applyFont="1">
      <alignment vertical="center"/>
    </xf>
    <xf numFmtId="0" fontId="27" fillId="8" borderId="44" xfId="0" applyFont="1" applyFill="1" applyBorder="1" applyAlignment="1">
      <alignment vertical="center" wrapText="1"/>
    </xf>
    <xf numFmtId="43" fontId="26" fillId="0" borderId="0" xfId="1" applyNumberFormat="1" applyFont="1">
      <alignment vertical="center"/>
    </xf>
    <xf numFmtId="176" fontId="9" fillId="0" borderId="20" xfId="0" applyNumberFormat="1" applyFont="1" applyBorder="1" applyAlignment="1">
      <alignment horizontal="right" vertical="center"/>
    </xf>
    <xf numFmtId="176" fontId="9" fillId="0" borderId="0" xfId="0" applyNumberFormat="1" applyFont="1">
      <alignment vertical="center"/>
    </xf>
    <xf numFmtId="176" fontId="9" fillId="0" borderId="19" xfId="0" applyNumberFormat="1" applyFont="1" applyBorder="1" applyAlignment="1">
      <alignment horizontal="right" vertical="center"/>
    </xf>
    <xf numFmtId="0" fontId="27" fillId="8" borderId="43" xfId="0" applyFont="1" applyFill="1" applyBorder="1" applyAlignment="1">
      <alignment vertical="center" wrapText="1"/>
    </xf>
    <xf numFmtId="41" fontId="26" fillId="0" borderId="0" xfId="0" applyNumberFormat="1" applyFont="1" applyBorder="1" applyAlignment="1">
      <alignment horizontal="right"/>
    </xf>
    <xf numFmtId="41" fontId="26" fillId="0" borderId="0" xfId="1" applyFont="1" applyAlignment="1"/>
    <xf numFmtId="176" fontId="9" fillId="0" borderId="2" xfId="0" applyNumberFormat="1" applyFont="1" applyFill="1" applyBorder="1">
      <alignment vertical="center"/>
    </xf>
    <xf numFmtId="176" fontId="24" fillId="0" borderId="0" xfId="0" applyNumberFormat="1" applyFont="1" applyBorder="1" applyAlignment="1">
      <alignment horizontal="center" vertical="center"/>
    </xf>
    <xf numFmtId="0" fontId="26" fillId="0" borderId="0" xfId="0" applyFont="1" applyAlignment="1">
      <alignment vertical="top"/>
    </xf>
    <xf numFmtId="0" fontId="26" fillId="0" borderId="0" xfId="0" applyFont="1" applyAlignment="1">
      <alignment vertical="center"/>
    </xf>
    <xf numFmtId="0" fontId="32" fillId="0" borderId="0" xfId="0" applyFont="1" applyAlignment="1">
      <alignment vertical="top"/>
    </xf>
    <xf numFmtId="0" fontId="33" fillId="0" borderId="0" xfId="0" applyFont="1" applyAlignment="1">
      <alignment vertical="center"/>
    </xf>
    <xf numFmtId="176" fontId="26" fillId="0" borderId="0" xfId="0" applyNumberFormat="1" applyFont="1">
      <alignment vertical="center"/>
    </xf>
    <xf numFmtId="0" fontId="33" fillId="0" borderId="0" xfId="0" applyFont="1" applyAlignment="1">
      <alignment vertical="top"/>
    </xf>
    <xf numFmtId="0" fontId="33" fillId="8" borderId="27" xfId="0" applyFont="1" applyFill="1" applyBorder="1" applyAlignment="1">
      <alignment vertical="top"/>
    </xf>
    <xf numFmtId="0" fontId="33" fillId="8" borderId="28" xfId="0" applyFont="1" applyFill="1" applyBorder="1" applyAlignment="1">
      <alignment vertical="top"/>
    </xf>
    <xf numFmtId="0" fontId="24" fillId="0" borderId="0" xfId="0" applyFont="1">
      <alignment vertical="center"/>
    </xf>
    <xf numFmtId="176" fontId="24" fillId="0" borderId="0" xfId="0" applyNumberFormat="1" applyFont="1" applyAlignment="1">
      <alignment horizontal="right" vertical="center"/>
    </xf>
    <xf numFmtId="0" fontId="33" fillId="0" borderId="30" xfId="0" applyFont="1" applyBorder="1" applyAlignment="1">
      <alignment vertical="top"/>
    </xf>
    <xf numFmtId="0" fontId="33" fillId="0" borderId="26" xfId="0" applyFont="1" applyBorder="1" applyAlignment="1">
      <alignment vertical="top"/>
    </xf>
    <xf numFmtId="0" fontId="33" fillId="8" borderId="27" xfId="0" applyFont="1" applyFill="1" applyBorder="1" applyAlignment="1">
      <alignment vertical="center"/>
    </xf>
    <xf numFmtId="0" fontId="33" fillId="8" borderId="28" xfId="0" applyFont="1" applyFill="1" applyBorder="1" applyAlignment="1">
      <alignment vertical="center"/>
    </xf>
    <xf numFmtId="0" fontId="33" fillId="8" borderId="29" xfId="0" applyFont="1" applyFill="1" applyBorder="1" applyAlignment="1">
      <alignment vertical="center"/>
    </xf>
    <xf numFmtId="3" fontId="33" fillId="0" borderId="26" xfId="0" applyNumberFormat="1" applyFont="1" applyBorder="1" applyAlignment="1">
      <alignment vertical="top"/>
    </xf>
    <xf numFmtId="0" fontId="33" fillId="0" borderId="31" xfId="0" applyFont="1" applyBorder="1" applyAlignment="1">
      <alignment vertical="top"/>
    </xf>
    <xf numFmtId="176" fontId="24" fillId="0" borderId="0" xfId="0" applyNumberFormat="1" applyFont="1">
      <alignment vertical="center"/>
    </xf>
    <xf numFmtId="0" fontId="26" fillId="9" borderId="0" xfId="0" applyFont="1" applyFill="1">
      <alignment vertical="center"/>
    </xf>
    <xf numFmtId="3" fontId="33" fillId="0" borderId="31" xfId="0" applyNumberFormat="1" applyFont="1" applyBorder="1" applyAlignment="1">
      <alignment vertical="top"/>
    </xf>
    <xf numFmtId="0" fontId="33" fillId="0" borderId="32" xfId="0" applyFont="1" applyBorder="1" applyAlignment="1">
      <alignment vertical="top"/>
    </xf>
    <xf numFmtId="3" fontId="33" fillId="0" borderId="33" xfId="0" applyNumberFormat="1" applyFont="1" applyBorder="1" applyAlignment="1">
      <alignment vertical="top"/>
    </xf>
    <xf numFmtId="3" fontId="33" fillId="0" borderId="34" xfId="0" applyNumberFormat="1" applyFont="1" applyBorder="1" applyAlignment="1">
      <alignment vertical="top"/>
    </xf>
    <xf numFmtId="0" fontId="33" fillId="8" borderId="40" xfId="0" applyFont="1" applyFill="1" applyBorder="1" applyAlignment="1">
      <alignment vertical="center"/>
    </xf>
    <xf numFmtId="0" fontId="33" fillId="8" borderId="41" xfId="0" applyFont="1" applyFill="1" applyBorder="1" applyAlignment="1">
      <alignment vertical="center"/>
    </xf>
    <xf numFmtId="0" fontId="33" fillId="8" borderId="42" xfId="0" applyFont="1" applyFill="1" applyBorder="1" applyAlignment="1">
      <alignment vertical="center"/>
    </xf>
    <xf numFmtId="0" fontId="33" fillId="8" borderId="44" xfId="0" applyFont="1" applyFill="1" applyBorder="1" applyAlignment="1">
      <alignment vertical="center"/>
    </xf>
    <xf numFmtId="0" fontId="33" fillId="8" borderId="26" xfId="0" applyFont="1" applyFill="1" applyBorder="1" applyAlignment="1">
      <alignment vertical="center"/>
    </xf>
    <xf numFmtId="0" fontId="33" fillId="0" borderId="30" xfId="0" applyFont="1" applyBorder="1" applyAlignment="1"/>
    <xf numFmtId="0" fontId="33" fillId="0" borderId="26" xfId="0" applyFont="1" applyBorder="1" applyAlignment="1"/>
    <xf numFmtId="3" fontId="27" fillId="0" borderId="26" xfId="0" applyNumberFormat="1" applyFont="1" applyBorder="1" applyAlignment="1">
      <alignment horizontal="right" wrapText="1"/>
    </xf>
    <xf numFmtId="0" fontId="27" fillId="0" borderId="31" xfId="0" applyFont="1" applyBorder="1" applyAlignment="1">
      <alignment horizontal="right" wrapText="1"/>
    </xf>
    <xf numFmtId="3" fontId="33" fillId="0" borderId="26" xfId="0" applyNumberFormat="1" applyFont="1" applyBorder="1" applyAlignment="1"/>
    <xf numFmtId="0" fontId="27" fillId="0" borderId="26" xfId="0" applyFont="1" applyBorder="1" applyAlignment="1">
      <alignment horizontal="right" wrapText="1"/>
    </xf>
    <xf numFmtId="3" fontId="27" fillId="0" borderId="31" xfId="0" applyNumberFormat="1" applyFont="1" applyBorder="1" applyAlignment="1">
      <alignment horizontal="right" wrapText="1"/>
    </xf>
    <xf numFmtId="0" fontId="33" fillId="0" borderId="32" xfId="0" applyFont="1" applyBorder="1" applyAlignment="1">
      <alignment vertical="center"/>
    </xf>
    <xf numFmtId="3" fontId="33" fillId="0" borderId="33" xfId="0" applyNumberFormat="1" applyFont="1" applyBorder="1" applyAlignment="1"/>
    <xf numFmtId="3" fontId="27" fillId="0" borderId="33" xfId="0" applyNumberFormat="1" applyFont="1" applyBorder="1" applyAlignment="1">
      <alignment horizontal="right" wrapText="1"/>
    </xf>
    <xf numFmtId="3" fontId="27" fillId="0" borderId="34" xfId="0" applyNumberFormat="1" applyFont="1" applyBorder="1" applyAlignment="1">
      <alignment horizontal="right" wrapText="1"/>
    </xf>
    <xf numFmtId="0" fontId="33" fillId="8" borderId="43" xfId="0" applyFont="1" applyFill="1" applyBorder="1" applyAlignment="1">
      <alignment vertical="center"/>
    </xf>
    <xf numFmtId="0" fontId="33" fillId="8" borderId="31" xfId="0" applyFont="1" applyFill="1" applyBorder="1" applyAlignment="1">
      <alignment vertical="center"/>
    </xf>
    <xf numFmtId="0" fontId="33" fillId="0" borderId="45" xfId="0" applyFont="1" applyBorder="1" applyAlignment="1">
      <alignment vertical="top"/>
    </xf>
    <xf numFmtId="0" fontId="33" fillId="0" borderId="39" xfId="0" applyFont="1" applyBorder="1" applyAlignment="1">
      <alignment vertical="top"/>
    </xf>
    <xf numFmtId="0" fontId="33" fillId="0" borderId="46" xfId="0" applyFont="1" applyBorder="1" applyAlignment="1">
      <alignment vertical="top"/>
    </xf>
    <xf numFmtId="0" fontId="33" fillId="0" borderId="33" xfId="0" applyFont="1" applyBorder="1" applyAlignment="1">
      <alignment vertical="top"/>
    </xf>
    <xf numFmtId="0" fontId="27" fillId="8" borderId="29" xfId="0" applyFont="1" applyFill="1" applyBorder="1" applyAlignment="1">
      <alignment horizontal="center" wrapText="1"/>
    </xf>
    <xf numFmtId="0" fontId="27" fillId="0" borderId="30" xfId="0" applyFont="1" applyBorder="1" applyAlignment="1">
      <alignment wrapText="1"/>
    </xf>
    <xf numFmtId="3" fontId="26" fillId="0" borderId="0" xfId="0" applyNumberFormat="1" applyFont="1" applyAlignment="1">
      <alignment vertical="center"/>
    </xf>
    <xf numFmtId="0" fontId="33" fillId="0" borderId="0" xfId="0" applyFont="1" applyAlignment="1"/>
    <xf numFmtId="0" fontId="33" fillId="0" borderId="30" xfId="0" applyFont="1" applyBorder="1" applyAlignment="1">
      <alignment vertical="center"/>
    </xf>
    <xf numFmtId="0" fontId="33" fillId="0" borderId="31" xfId="0" applyFont="1" applyBorder="1" applyAlignment="1">
      <alignment vertical="center"/>
    </xf>
    <xf numFmtId="0" fontId="33" fillId="0" borderId="26" xfId="0" applyFont="1" applyBorder="1" applyAlignment="1">
      <alignment vertical="center"/>
    </xf>
    <xf numFmtId="3" fontId="33" fillId="0" borderId="26" xfId="0" applyNumberFormat="1" applyFont="1" applyBorder="1" applyAlignment="1">
      <alignment vertical="center"/>
    </xf>
    <xf numFmtId="3" fontId="33" fillId="0" borderId="33" xfId="0" applyNumberFormat="1" applyFont="1" applyBorder="1" applyAlignment="1">
      <alignment vertical="center"/>
    </xf>
    <xf numFmtId="0" fontId="33" fillId="0" borderId="0" xfId="0" applyFont="1" applyAlignment="1">
      <alignment horizontal="center" vertical="center"/>
    </xf>
    <xf numFmtId="0" fontId="33" fillId="8" borderId="27" xfId="0" applyFont="1" applyFill="1" applyBorder="1" applyAlignment="1">
      <alignment horizontal="center" vertical="center"/>
    </xf>
    <xf numFmtId="0" fontId="33" fillId="10" borderId="27" xfId="0" applyFont="1" applyFill="1" applyBorder="1" applyAlignment="1">
      <alignment vertical="center"/>
    </xf>
    <xf numFmtId="0" fontId="33" fillId="10" borderId="28" xfId="0" applyFont="1" applyFill="1" applyBorder="1" applyAlignment="1">
      <alignment horizontal="center" vertical="center" wrapText="1"/>
    </xf>
    <xf numFmtId="0" fontId="33" fillId="10" borderId="29" xfId="0" applyFont="1" applyFill="1" applyBorder="1" applyAlignment="1">
      <alignment horizontal="center" vertical="center" wrapText="1"/>
    </xf>
    <xf numFmtId="3" fontId="33" fillId="0" borderId="31" xfId="0" applyNumberFormat="1" applyFont="1" applyBorder="1" applyAlignment="1">
      <alignment horizontal="right" vertical="center"/>
    </xf>
    <xf numFmtId="3" fontId="33" fillId="0" borderId="26" xfId="0" applyNumberFormat="1" applyFont="1" applyBorder="1" applyAlignment="1">
      <alignment horizontal="right" vertical="center"/>
    </xf>
    <xf numFmtId="0" fontId="33" fillId="0" borderId="26" xfId="0" applyFont="1" applyBorder="1" applyAlignment="1">
      <alignment horizontal="center" vertical="center" wrapText="1"/>
    </xf>
    <xf numFmtId="3" fontId="33" fillId="0" borderId="31" xfId="0" applyNumberFormat="1" applyFont="1" applyBorder="1" applyAlignment="1">
      <alignment horizontal="right" vertical="center" wrapText="1"/>
    </xf>
    <xf numFmtId="3" fontId="33" fillId="0" borderId="26" xfId="0" applyNumberFormat="1" applyFont="1" applyBorder="1" applyAlignment="1">
      <alignment horizontal="right" vertical="center" wrapText="1"/>
    </xf>
    <xf numFmtId="0" fontId="33" fillId="0" borderId="30" xfId="0" applyFont="1" applyBorder="1" applyAlignment="1">
      <alignment horizontal="left" vertical="center"/>
    </xf>
    <xf numFmtId="0" fontId="33" fillId="0" borderId="54" xfId="0" applyFont="1" applyBorder="1" applyAlignment="1">
      <alignment vertical="center"/>
    </xf>
    <xf numFmtId="0" fontId="33" fillId="0" borderId="55" xfId="0" applyFont="1" applyBorder="1" applyAlignment="1">
      <alignment vertical="center" wrapText="1"/>
    </xf>
    <xf numFmtId="3" fontId="33" fillId="0" borderId="34" xfId="0" applyNumberFormat="1" applyFont="1" applyBorder="1" applyAlignment="1">
      <alignment horizontal="right" vertical="center" wrapText="1"/>
    </xf>
    <xf numFmtId="3" fontId="33" fillId="0" borderId="33" xfId="0" applyNumberFormat="1" applyFont="1" applyBorder="1" applyAlignment="1">
      <alignment horizontal="right" vertical="center" wrapText="1"/>
    </xf>
    <xf numFmtId="0" fontId="33" fillId="8" borderId="28" xfId="0" applyFont="1" applyFill="1" applyBorder="1" applyAlignment="1">
      <alignment horizontal="center" vertical="center" wrapText="1"/>
    </xf>
    <xf numFmtId="0" fontId="33" fillId="8" borderId="29" xfId="0" applyFont="1" applyFill="1" applyBorder="1" applyAlignment="1">
      <alignment horizontal="center" vertical="center" wrapText="1"/>
    </xf>
    <xf numFmtId="0" fontId="33" fillId="0" borderId="33" xfId="0" applyFont="1" applyBorder="1" applyAlignment="1">
      <alignment horizontal="center" vertical="center" wrapText="1"/>
    </xf>
    <xf numFmtId="0" fontId="33" fillId="0" borderId="0" xfId="0" applyFont="1" applyAlignment="1">
      <alignment horizontal="right" vertical="center" wrapText="1"/>
    </xf>
    <xf numFmtId="0" fontId="33" fillId="0" borderId="33" xfId="0" applyFont="1" applyBorder="1" applyAlignment="1">
      <alignment horizontal="right" vertical="center" wrapText="1"/>
    </xf>
    <xf numFmtId="0" fontId="33" fillId="0" borderId="26" xfId="0" applyFont="1" applyBorder="1" applyAlignment="1">
      <alignment horizontal="right" vertical="center" wrapText="1"/>
    </xf>
    <xf numFmtId="0" fontId="33" fillId="0" borderId="31" xfId="0" applyFont="1" applyBorder="1" applyAlignment="1">
      <alignment horizontal="right" vertical="center" wrapText="1"/>
    </xf>
    <xf numFmtId="0" fontId="33" fillId="0" borderId="26" xfId="0" applyFont="1" applyBorder="1" applyAlignment="1">
      <alignment horizontal="right" vertical="top" wrapText="1"/>
    </xf>
    <xf numFmtId="3" fontId="33" fillId="0" borderId="26" xfId="0" applyNumberFormat="1" applyFont="1" applyBorder="1" applyAlignment="1">
      <alignment horizontal="right" vertical="top" wrapText="1"/>
    </xf>
    <xf numFmtId="3" fontId="33" fillId="0" borderId="34" xfId="0" applyNumberFormat="1" applyFont="1" applyBorder="1" applyAlignment="1">
      <alignment horizontal="right" vertical="center"/>
    </xf>
    <xf numFmtId="3" fontId="33" fillId="0" borderId="33" xfId="0" applyNumberFormat="1" applyFont="1" applyBorder="1" applyAlignment="1">
      <alignment horizontal="right" vertical="center"/>
    </xf>
    <xf numFmtId="0" fontId="33" fillId="0" borderId="0" xfId="0" applyFont="1" applyAlignment="1">
      <alignment horizontal="center" vertical="top"/>
    </xf>
    <xf numFmtId="0" fontId="33" fillId="0" borderId="0" xfId="0" applyFont="1" applyAlignment="1">
      <alignment horizontal="justify" vertical="center"/>
    </xf>
    <xf numFmtId="0" fontId="33" fillId="8" borderId="57" xfId="0" applyFont="1" applyFill="1" applyBorder="1" applyAlignment="1">
      <alignment vertical="center"/>
    </xf>
    <xf numFmtId="0" fontId="33" fillId="8" borderId="58" xfId="0" applyFont="1" applyFill="1" applyBorder="1" applyAlignment="1">
      <alignment vertical="center" wrapText="1"/>
    </xf>
    <xf numFmtId="0" fontId="33" fillId="8" borderId="43" xfId="0" applyFont="1" applyFill="1" applyBorder="1" applyAlignment="1">
      <alignment vertical="center" wrapText="1"/>
    </xf>
    <xf numFmtId="0" fontId="33" fillId="0" borderId="0" xfId="0" applyFont="1" applyAlignment="1">
      <alignment horizontal="right" vertical="top" wrapText="1"/>
    </xf>
    <xf numFmtId="0" fontId="33" fillId="8" borderId="47" xfId="0" applyFont="1" applyFill="1" applyBorder="1" applyAlignment="1">
      <alignment vertical="center"/>
    </xf>
    <xf numFmtId="0" fontId="33" fillId="8" borderId="37" xfId="0" applyFont="1" applyFill="1" applyBorder="1" applyAlignment="1">
      <alignment vertical="center" wrapText="1"/>
    </xf>
    <xf numFmtId="0" fontId="33" fillId="8" borderId="38" xfId="0" applyFont="1" applyFill="1" applyBorder="1" applyAlignment="1">
      <alignment vertical="center" wrapText="1"/>
    </xf>
    <xf numFmtId="0" fontId="33" fillId="8" borderId="46" xfId="0" applyFont="1" applyFill="1" applyBorder="1" applyAlignment="1">
      <alignment vertical="center" wrapText="1"/>
    </xf>
    <xf numFmtId="0" fontId="33" fillId="8" borderId="41" xfId="0" applyFont="1" applyFill="1" applyBorder="1" applyAlignment="1">
      <alignment vertical="center" wrapText="1"/>
    </xf>
    <xf numFmtId="0" fontId="33" fillId="8" borderId="53" xfId="0" applyFont="1" applyFill="1" applyBorder="1" applyAlignment="1">
      <alignment vertical="center"/>
    </xf>
    <xf numFmtId="0" fontId="33" fillId="8" borderId="35" xfId="0" applyFont="1" applyFill="1" applyBorder="1" applyAlignment="1">
      <alignment horizontal="center" vertical="center" wrapText="1"/>
    </xf>
    <xf numFmtId="0" fontId="33" fillId="8" borderId="35" xfId="0" applyFont="1" applyFill="1" applyBorder="1" applyAlignment="1">
      <alignment vertical="center" wrapText="1"/>
    </xf>
    <xf numFmtId="0" fontId="33" fillId="8" borderId="48" xfId="0" applyFont="1" applyFill="1" applyBorder="1" applyAlignment="1">
      <alignment horizontal="center" vertical="center" wrapText="1"/>
    </xf>
    <xf numFmtId="0" fontId="33" fillId="0" borderId="31" xfId="0" applyFont="1" applyBorder="1" applyAlignment="1">
      <alignment horizontal="right" vertical="top" wrapText="1"/>
    </xf>
    <xf numFmtId="0" fontId="33" fillId="8" borderId="36" xfId="0" applyFont="1" applyFill="1" applyBorder="1" applyAlignment="1">
      <alignment horizontal="center" vertical="center" wrapText="1"/>
    </xf>
    <xf numFmtId="0" fontId="33" fillId="8" borderId="36" xfId="0" applyFont="1" applyFill="1" applyBorder="1" applyAlignment="1">
      <alignment vertical="center" wrapText="1"/>
    </xf>
    <xf numFmtId="0" fontId="33" fillId="8" borderId="49" xfId="0" applyFont="1" applyFill="1" applyBorder="1" applyAlignment="1">
      <alignment horizontal="center" vertical="center" wrapText="1"/>
    </xf>
    <xf numFmtId="3" fontId="33" fillId="0" borderId="31" xfId="0" applyNumberFormat="1" applyFont="1" applyBorder="1" applyAlignment="1">
      <alignment horizontal="right" vertical="top" wrapText="1"/>
    </xf>
    <xf numFmtId="0" fontId="33" fillId="0" borderId="33" xfId="0" applyFont="1" applyBorder="1" applyAlignment="1">
      <alignment horizontal="right" vertical="top" wrapText="1"/>
    </xf>
    <xf numFmtId="3" fontId="33" fillId="0" borderId="33" xfId="0" applyNumberFormat="1" applyFont="1" applyBorder="1" applyAlignment="1">
      <alignment horizontal="right" vertical="top" wrapText="1"/>
    </xf>
    <xf numFmtId="3" fontId="33" fillId="0" borderId="34" xfId="0" applyNumberFormat="1" applyFont="1" applyBorder="1" applyAlignment="1">
      <alignment horizontal="right" vertical="top" wrapText="1"/>
    </xf>
    <xf numFmtId="0" fontId="27" fillId="8" borderId="57" xfId="0" applyFont="1" applyFill="1" applyBorder="1" applyAlignment="1">
      <alignment vertical="center" wrapText="1"/>
    </xf>
    <xf numFmtId="0" fontId="27" fillId="8" borderId="58" xfId="0" applyFont="1" applyFill="1" applyBorder="1" applyAlignment="1">
      <alignment vertical="center" wrapText="1"/>
    </xf>
    <xf numFmtId="0" fontId="27" fillId="8" borderId="47" xfId="0" applyFont="1" applyFill="1" applyBorder="1" applyAlignment="1">
      <alignment vertical="center" wrapText="1"/>
    </xf>
    <xf numFmtId="0" fontId="27" fillId="8" borderId="37" xfId="0" applyFont="1" applyFill="1" applyBorder="1" applyAlignment="1">
      <alignment vertical="center" wrapText="1"/>
    </xf>
    <xf numFmtId="0" fontId="27" fillId="8" borderId="46" xfId="0" applyFont="1" applyFill="1" applyBorder="1" applyAlignment="1">
      <alignment vertical="center" wrapText="1"/>
    </xf>
    <xf numFmtId="0" fontId="28" fillId="0" borderId="31" xfId="0" applyFont="1" applyBorder="1" applyAlignment="1">
      <alignment horizontal="right" vertical="top" wrapText="1"/>
    </xf>
    <xf numFmtId="0" fontId="33" fillId="0" borderId="26" xfId="0" applyFont="1" applyBorder="1" applyAlignment="1">
      <alignment horizontal="center" vertical="top" wrapText="1"/>
    </xf>
    <xf numFmtId="0" fontId="33" fillId="0" borderId="33" xfId="0" applyFont="1" applyBorder="1" applyAlignment="1">
      <alignment horizontal="center" vertical="top" wrapText="1"/>
    </xf>
    <xf numFmtId="0" fontId="33" fillId="0" borderId="0" xfId="0" applyFont="1" applyAlignment="1">
      <alignment horizontal="right"/>
    </xf>
    <xf numFmtId="0" fontId="33" fillId="0" borderId="0" xfId="0" applyFont="1" applyAlignment="1">
      <alignment horizontal="right" wrapText="1"/>
    </xf>
    <xf numFmtId="0" fontId="33" fillId="0" borderId="31" xfId="0" applyFont="1" applyBorder="1" applyAlignment="1">
      <alignment horizontal="right" vertical="center"/>
    </xf>
    <xf numFmtId="0" fontId="33" fillId="0" borderId="26" xfId="0" applyFont="1" applyBorder="1" applyAlignment="1">
      <alignment horizontal="right" vertical="center"/>
    </xf>
    <xf numFmtId="0" fontId="33" fillId="9" borderId="30" xfId="0" applyFont="1" applyFill="1" applyBorder="1" applyAlignment="1">
      <alignment horizontal="left" vertical="center"/>
    </xf>
    <xf numFmtId="3" fontId="33" fillId="9" borderId="26" xfId="0" applyNumberFormat="1" applyFont="1" applyFill="1" applyBorder="1" applyAlignment="1">
      <alignment horizontal="right" vertical="center" wrapText="1"/>
    </xf>
    <xf numFmtId="0" fontId="32" fillId="0" borderId="0" xfId="0" applyFont="1" applyAlignment="1">
      <alignment vertical="center"/>
    </xf>
    <xf numFmtId="0" fontId="32" fillId="0" borderId="0" xfId="0" applyFont="1" applyAlignment="1">
      <alignment horizontal="center" vertical="center"/>
    </xf>
    <xf numFmtId="0" fontId="33" fillId="0" borderId="34" xfId="0" applyFont="1" applyBorder="1" applyAlignment="1">
      <alignment horizontal="right" vertical="center" wrapText="1"/>
    </xf>
    <xf numFmtId="0" fontId="32" fillId="0" borderId="0" xfId="0" applyFont="1" applyAlignment="1">
      <alignment vertical="center" wrapText="1"/>
    </xf>
    <xf numFmtId="0" fontId="33" fillId="0" borderId="0" xfId="0" applyFont="1" applyAlignment="1">
      <alignment vertical="center" wrapText="1"/>
    </xf>
    <xf numFmtId="0" fontId="33" fillId="8" borderId="27" xfId="0" applyFont="1" applyFill="1" applyBorder="1" applyAlignment="1">
      <alignment horizontal="center" vertical="center" wrapText="1"/>
    </xf>
    <xf numFmtId="0" fontId="33" fillId="10" borderId="57" xfId="0" applyFont="1" applyFill="1" applyBorder="1" applyAlignment="1">
      <alignment vertical="center"/>
    </xf>
    <xf numFmtId="0" fontId="33" fillId="10" borderId="58" xfId="0" applyFont="1" applyFill="1" applyBorder="1" applyAlignment="1">
      <alignment vertical="center"/>
    </xf>
    <xf numFmtId="0" fontId="33" fillId="10" borderId="58" xfId="0" applyFont="1" applyFill="1" applyBorder="1" applyAlignment="1">
      <alignment vertical="center" wrapText="1"/>
    </xf>
    <xf numFmtId="0" fontId="33" fillId="10" borderId="43" xfId="0" applyFont="1" applyFill="1" applyBorder="1" applyAlignment="1">
      <alignment vertical="center"/>
    </xf>
    <xf numFmtId="0" fontId="33" fillId="8" borderId="58" xfId="0" applyFont="1" applyFill="1" applyBorder="1" applyAlignment="1">
      <alignment vertical="center"/>
    </xf>
    <xf numFmtId="176" fontId="26" fillId="0" borderId="0" xfId="0" applyNumberFormat="1" applyFont="1" applyAlignment="1">
      <alignment horizontal="right" vertical="center"/>
    </xf>
    <xf numFmtId="0" fontId="33" fillId="0" borderId="30" xfId="0" applyFont="1" applyBorder="1" applyAlignment="1">
      <alignment vertical="top" wrapText="1"/>
    </xf>
    <xf numFmtId="0" fontId="33" fillId="0" borderId="26" xfId="0" applyFont="1" applyBorder="1" applyAlignment="1">
      <alignment vertical="top" wrapText="1"/>
    </xf>
    <xf numFmtId="0" fontId="33" fillId="10" borderId="30" xfId="0" applyFont="1" applyFill="1" applyBorder="1" applyAlignment="1">
      <alignment vertical="center"/>
    </xf>
    <xf numFmtId="0" fontId="33" fillId="10" borderId="26" xfId="0" applyFont="1" applyFill="1" applyBorder="1" applyAlignment="1">
      <alignment horizontal="center" vertical="center"/>
    </xf>
    <xf numFmtId="0" fontId="33" fillId="10" borderId="26" xfId="0" applyFont="1" applyFill="1" applyBorder="1" applyAlignment="1">
      <alignment horizontal="center" vertical="center" wrapText="1"/>
    </xf>
    <xf numFmtId="0" fontId="33" fillId="10" borderId="31" xfId="0" applyFont="1" applyFill="1" applyBorder="1" applyAlignment="1">
      <alignment horizontal="center" vertical="center"/>
    </xf>
    <xf numFmtId="0" fontId="33" fillId="8" borderId="37" xfId="0" applyFont="1" applyFill="1" applyBorder="1" applyAlignment="1">
      <alignment vertical="center"/>
    </xf>
    <xf numFmtId="0" fontId="33" fillId="8" borderId="38" xfId="0" applyFont="1" applyFill="1" applyBorder="1" applyAlignment="1">
      <alignment vertical="center"/>
    </xf>
    <xf numFmtId="0" fontId="33" fillId="8" borderId="46" xfId="0" applyFont="1" applyFill="1" applyBorder="1" applyAlignment="1">
      <alignment vertical="center"/>
    </xf>
    <xf numFmtId="0" fontId="33" fillId="0" borderId="47" xfId="0" applyFont="1" applyBorder="1" applyAlignment="1">
      <alignment vertical="center"/>
    </xf>
    <xf numFmtId="0" fontId="33" fillId="0" borderId="26" xfId="0" applyFont="1" applyBorder="1" applyAlignment="1">
      <alignment horizontal="center" vertical="center"/>
    </xf>
    <xf numFmtId="0" fontId="33" fillId="0" borderId="53" xfId="0" applyFont="1" applyBorder="1" applyAlignment="1">
      <alignment vertical="center"/>
    </xf>
    <xf numFmtId="0" fontId="33" fillId="0" borderId="35" xfId="0" applyFont="1" applyBorder="1" applyAlignment="1">
      <alignment vertical="center"/>
    </xf>
    <xf numFmtId="0" fontId="34" fillId="0" borderId="26" xfId="0" applyFont="1" applyBorder="1" applyAlignment="1">
      <alignment horizontal="right" vertical="center"/>
    </xf>
    <xf numFmtId="0" fontId="33" fillId="0" borderId="44" xfId="0" applyFont="1" applyBorder="1" applyAlignment="1">
      <alignment vertical="center"/>
    </xf>
    <xf numFmtId="0" fontId="33" fillId="0" borderId="36" xfId="0" applyFont="1" applyBorder="1" applyAlignment="1">
      <alignment vertical="center"/>
    </xf>
    <xf numFmtId="0" fontId="33" fillId="0" borderId="50" xfId="0" applyFont="1" applyBorder="1" applyAlignment="1">
      <alignment vertical="center"/>
    </xf>
    <xf numFmtId="3" fontId="33" fillId="9" borderId="26" xfId="0" applyNumberFormat="1" applyFont="1" applyFill="1" applyBorder="1" applyAlignment="1">
      <alignment vertical="top"/>
    </xf>
    <xf numFmtId="3" fontId="33" fillId="9" borderId="31" xfId="0" applyNumberFormat="1" applyFont="1" applyFill="1" applyBorder="1" applyAlignment="1">
      <alignment vertical="top"/>
    </xf>
    <xf numFmtId="0" fontId="33" fillId="0" borderId="59" xfId="0" applyFont="1" applyBorder="1" applyAlignment="1">
      <alignment vertical="center"/>
    </xf>
    <xf numFmtId="0" fontId="33" fillId="0" borderId="33" xfId="0" applyFont="1" applyBorder="1" applyAlignment="1">
      <alignment horizontal="center" vertical="center"/>
    </xf>
    <xf numFmtId="0" fontId="33" fillId="0" borderId="34" xfId="0" applyFont="1" applyBorder="1" applyAlignment="1">
      <alignment vertical="center"/>
    </xf>
    <xf numFmtId="0" fontId="33" fillId="0" borderId="32" xfId="0" applyFont="1" applyBorder="1" applyAlignment="1">
      <alignment vertical="top" wrapText="1"/>
    </xf>
    <xf numFmtId="0" fontId="33" fillId="0" borderId="33" xfId="0" applyFont="1" applyBorder="1" applyAlignment="1">
      <alignment vertical="top" wrapText="1"/>
    </xf>
    <xf numFmtId="0" fontId="33" fillId="0" borderId="0" xfId="0" applyFont="1" applyAlignment="1">
      <alignment horizontal="center" vertical="center" wrapText="1"/>
    </xf>
    <xf numFmtId="0" fontId="33" fillId="8" borderId="37" xfId="0" applyFont="1" applyFill="1" applyBorder="1" applyAlignment="1">
      <alignment horizontal="center" vertical="center" wrapText="1"/>
    </xf>
    <xf numFmtId="0" fontId="33" fillId="8" borderId="26" xfId="0" applyFont="1" applyFill="1" applyBorder="1" applyAlignment="1">
      <alignment horizontal="center" vertical="center" wrapText="1"/>
    </xf>
    <xf numFmtId="0" fontId="33" fillId="10" borderId="31" xfId="0" applyFont="1" applyFill="1" applyBorder="1" applyAlignment="1">
      <alignment vertical="center"/>
    </xf>
    <xf numFmtId="0" fontId="33" fillId="10" borderId="26" xfId="0" applyFont="1" applyFill="1" applyBorder="1" applyAlignment="1">
      <alignment vertical="center"/>
    </xf>
    <xf numFmtId="0" fontId="33" fillId="0" borderId="0" xfId="0" applyFont="1" applyBorder="1" applyAlignment="1">
      <alignment vertical="top"/>
    </xf>
    <xf numFmtId="0" fontId="33" fillId="8" borderId="31" xfId="0" applyFont="1" applyFill="1" applyBorder="1" applyAlignment="1">
      <alignment horizontal="center" vertical="center" wrapText="1"/>
    </xf>
    <xf numFmtId="3" fontId="33" fillId="0" borderId="0" xfId="0" applyNumberFormat="1" applyFont="1" applyBorder="1" applyAlignment="1">
      <alignment horizontal="right" vertical="center" wrapText="1"/>
    </xf>
    <xf numFmtId="0" fontId="33" fillId="0" borderId="0" xfId="0" applyFont="1" applyAlignment="1">
      <alignment horizontal="justify" vertical="center" wrapText="1"/>
    </xf>
    <xf numFmtId="0" fontId="26" fillId="0" borderId="0" xfId="0" applyFont="1" applyAlignment="1">
      <alignment horizontal="justify" vertical="center" wrapText="1"/>
    </xf>
    <xf numFmtId="0" fontId="33" fillId="8" borderId="30" xfId="0" applyFont="1" applyFill="1" applyBorder="1" applyAlignment="1">
      <alignment vertical="center"/>
    </xf>
    <xf numFmtId="0" fontId="33" fillId="9" borderId="30" xfId="0" applyFont="1" applyFill="1" applyBorder="1" applyAlignment="1">
      <alignment vertical="top" wrapText="1"/>
    </xf>
    <xf numFmtId="3" fontId="33" fillId="9" borderId="31" xfId="0" applyNumberFormat="1" applyFont="1" applyFill="1" applyBorder="1" applyAlignment="1">
      <alignment horizontal="right" vertical="top" wrapText="1"/>
    </xf>
    <xf numFmtId="3" fontId="33" fillId="9" borderId="26" xfId="0" applyNumberFormat="1" applyFont="1" applyFill="1" applyBorder="1" applyAlignment="1">
      <alignment horizontal="right" vertical="top" wrapText="1"/>
    </xf>
    <xf numFmtId="0" fontId="33" fillId="10" borderId="43" xfId="0" applyFont="1" applyFill="1" applyBorder="1" applyAlignment="1">
      <alignment vertical="center" wrapText="1"/>
    </xf>
    <xf numFmtId="0" fontId="33" fillId="10" borderId="31" xfId="0" applyFont="1" applyFill="1" applyBorder="1" applyAlignment="1">
      <alignment horizontal="center" vertical="center" wrapText="1"/>
    </xf>
    <xf numFmtId="0" fontId="33" fillId="0" borderId="32" xfId="0" applyFont="1" applyBorder="1" applyAlignment="1">
      <alignment horizontal="center" vertical="center" wrapText="1"/>
    </xf>
    <xf numFmtId="0" fontId="33" fillId="8" borderId="42" xfId="0" applyFont="1" applyFill="1" applyBorder="1" applyAlignment="1">
      <alignment vertical="center" wrapText="1"/>
    </xf>
    <xf numFmtId="10" fontId="33" fillId="0" borderId="26" xfId="0" applyNumberFormat="1" applyFont="1" applyBorder="1" applyAlignment="1">
      <alignment horizontal="center" vertical="center" wrapText="1"/>
    </xf>
    <xf numFmtId="0" fontId="33" fillId="10" borderId="42" xfId="0" applyFont="1" applyFill="1" applyBorder="1" applyAlignment="1">
      <alignment vertical="center" wrapText="1"/>
    </xf>
    <xf numFmtId="0" fontId="33" fillId="10" borderId="41" xfId="0" applyFont="1" applyFill="1" applyBorder="1" applyAlignment="1">
      <alignment vertical="center" wrapText="1"/>
    </xf>
    <xf numFmtId="0" fontId="33" fillId="10" borderId="40" xfId="0" applyFont="1" applyFill="1" applyBorder="1" applyAlignment="1">
      <alignment vertical="center"/>
    </xf>
    <xf numFmtId="0" fontId="33" fillId="10" borderId="51" xfId="0" applyFont="1" applyFill="1" applyBorder="1" applyAlignment="1">
      <alignment vertical="center" wrapText="1"/>
    </xf>
    <xf numFmtId="0" fontId="33" fillId="10" borderId="44" xfId="0" applyFont="1" applyFill="1" applyBorder="1" applyAlignment="1">
      <alignment vertical="center"/>
    </xf>
    <xf numFmtId="0" fontId="33" fillId="10" borderId="36" xfId="0" applyFont="1" applyFill="1" applyBorder="1" applyAlignment="1">
      <alignment vertical="center" wrapText="1"/>
    </xf>
    <xf numFmtId="0" fontId="33" fillId="0" borderId="26" xfId="0" applyFont="1" applyBorder="1" applyAlignment="1">
      <alignment vertical="center" wrapText="1"/>
    </xf>
    <xf numFmtId="14" fontId="33" fillId="0" borderId="26" xfId="0" applyNumberFormat="1" applyFont="1" applyBorder="1" applyAlignment="1">
      <alignment horizontal="center" vertical="center" wrapText="1"/>
    </xf>
    <xf numFmtId="0" fontId="33" fillId="0" borderId="45" xfId="0" applyFont="1" applyBorder="1" applyAlignment="1">
      <alignment vertical="center"/>
    </xf>
    <xf numFmtId="0" fontId="33" fillId="0" borderId="39" xfId="0" applyFont="1" applyBorder="1" applyAlignment="1">
      <alignment vertical="center" wrapText="1"/>
    </xf>
    <xf numFmtId="0" fontId="33" fillId="0" borderId="38" xfId="0" applyFont="1" applyBorder="1" applyAlignment="1">
      <alignment vertical="center" wrapText="1"/>
    </xf>
    <xf numFmtId="0" fontId="33" fillId="0" borderId="56" xfId="0" applyFont="1" applyBorder="1" applyAlignment="1">
      <alignment vertical="center" wrapText="1"/>
    </xf>
    <xf numFmtId="176" fontId="5" fillId="0" borderId="2" xfId="0" applyNumberFormat="1" applyFont="1" applyFill="1" applyBorder="1">
      <alignment vertical="center"/>
    </xf>
    <xf numFmtId="176" fontId="9" fillId="0" borderId="5" xfId="0" applyNumberFormat="1" applyFont="1" applyFill="1" applyBorder="1">
      <alignment vertical="center"/>
    </xf>
    <xf numFmtId="176" fontId="9" fillId="0" borderId="7" xfId="0" applyNumberFormat="1" applyFont="1" applyFill="1" applyBorder="1">
      <alignment vertical="center"/>
    </xf>
    <xf numFmtId="176" fontId="9" fillId="0" borderId="5" xfId="0" applyNumberFormat="1" applyFont="1" applyBorder="1" applyAlignment="1">
      <alignment horizontal="right" vertical="center"/>
    </xf>
    <xf numFmtId="176" fontId="9" fillId="0" borderId="8" xfId="0" applyNumberFormat="1" applyFont="1" applyBorder="1" applyAlignment="1">
      <alignment horizontal="right" vertical="center"/>
    </xf>
    <xf numFmtId="176" fontId="9" fillId="0" borderId="5" xfId="0" quotePrefix="1" applyNumberFormat="1" applyFont="1" applyFill="1" applyBorder="1" applyAlignment="1">
      <alignment horizontal="center" vertical="center"/>
    </xf>
    <xf numFmtId="176" fontId="12" fillId="0" borderId="20" xfId="4" applyNumberFormat="1" applyBorder="1">
      <alignment vertical="center"/>
    </xf>
    <xf numFmtId="176" fontId="9" fillId="0" borderId="2" xfId="0" quotePrefix="1" applyNumberFormat="1" applyFont="1" applyBorder="1" applyAlignment="1">
      <alignment horizontal="center" vertical="center"/>
    </xf>
    <xf numFmtId="176" fontId="9" fillId="0" borderId="5" xfId="0" quotePrefix="1" applyNumberFormat="1" applyFont="1" applyBorder="1" applyAlignment="1">
      <alignment horizontal="center" vertical="center"/>
    </xf>
    <xf numFmtId="0" fontId="24" fillId="7" borderId="61" xfId="5" applyFont="1" applyFill="1" applyBorder="1"/>
    <xf numFmtId="0" fontId="24" fillId="7" borderId="61" xfId="5" applyFont="1" applyFill="1" applyBorder="1" applyAlignment="1">
      <alignment horizontal="right"/>
    </xf>
    <xf numFmtId="0" fontId="26" fillId="0" borderId="0" xfId="5" applyFont="1" applyAlignment="1"/>
    <xf numFmtId="0" fontId="26" fillId="0" borderId="0" xfId="6" applyFont="1">
      <alignment vertical="center"/>
    </xf>
    <xf numFmtId="0" fontId="24" fillId="7" borderId="62" xfId="5" applyFont="1" applyFill="1" applyBorder="1"/>
    <xf numFmtId="0" fontId="24" fillId="7" borderId="62" xfId="5" applyFont="1" applyFill="1" applyBorder="1" applyAlignment="1">
      <alignment horizontal="right"/>
    </xf>
    <xf numFmtId="0" fontId="1" fillId="0" borderId="0" xfId="5"/>
    <xf numFmtId="0" fontId="8" fillId="0" borderId="0" xfId="3" applyFont="1">
      <alignment vertical="center"/>
    </xf>
    <xf numFmtId="0" fontId="21" fillId="0" borderId="0" xfId="6" applyFont="1" applyFill="1" applyAlignment="1">
      <alignment vertical="center"/>
    </xf>
    <xf numFmtId="0" fontId="24" fillId="0" borderId="0" xfId="5" applyFont="1"/>
    <xf numFmtId="185" fontId="24" fillId="0" borderId="0" xfId="5" applyNumberFormat="1" applyFont="1"/>
    <xf numFmtId="0" fontId="24" fillId="7" borderId="63" xfId="5" applyFont="1" applyFill="1" applyBorder="1"/>
    <xf numFmtId="0" fontId="24" fillId="7" borderId="63" xfId="5" applyFont="1" applyFill="1" applyBorder="1" applyAlignment="1">
      <alignment horizontal="right"/>
    </xf>
    <xf numFmtId="0" fontId="26" fillId="0" borderId="0" xfId="5" applyFont="1" applyAlignment="1">
      <alignment horizontal="left" indent="1"/>
    </xf>
    <xf numFmtId="185" fontId="26" fillId="0" borderId="0" xfId="5" applyNumberFormat="1" applyFont="1"/>
    <xf numFmtId="0" fontId="26" fillId="0" borderId="0" xfId="5" applyFont="1"/>
    <xf numFmtId="0" fontId="24" fillId="0" borderId="62" xfId="5" applyFont="1" applyBorder="1"/>
    <xf numFmtId="185" fontId="24" fillId="0" borderId="62" xfId="5" applyNumberFormat="1" applyFont="1" applyBorder="1"/>
    <xf numFmtId="0" fontId="26" fillId="0" borderId="0" xfId="5" applyFont="1" applyBorder="1" applyAlignment="1">
      <alignment horizontal="left" indent="1"/>
    </xf>
    <xf numFmtId="185" fontId="26" fillId="0" borderId="0" xfId="5" applyNumberFormat="1" applyFont="1" applyBorder="1" applyAlignment="1">
      <alignment horizontal="right"/>
    </xf>
    <xf numFmtId="0" fontId="26" fillId="0" borderId="64" xfId="5" applyFont="1" applyBorder="1"/>
    <xf numFmtId="185" fontId="26" fillId="0" borderId="64" xfId="5" applyNumberFormat="1" applyFont="1" applyBorder="1"/>
    <xf numFmtId="0" fontId="26" fillId="0" borderId="0" xfId="5" applyFont="1" applyBorder="1"/>
    <xf numFmtId="185" fontId="26" fillId="0" borderId="0" xfId="5" applyNumberFormat="1" applyFont="1" applyBorder="1"/>
    <xf numFmtId="3" fontId="26" fillId="0" borderId="0" xfId="5" applyNumberFormat="1" applyFont="1" applyAlignment="1"/>
    <xf numFmtId="0" fontId="24" fillId="0" borderId="65" xfId="5" applyFont="1" applyBorder="1"/>
    <xf numFmtId="185" fontId="24" fillId="0" borderId="65" xfId="5" applyNumberFormat="1" applyFont="1" applyBorder="1"/>
    <xf numFmtId="0" fontId="24" fillId="0" borderId="0" xfId="5" applyFont="1" applyBorder="1"/>
    <xf numFmtId="185" fontId="24" fillId="0" borderId="0" xfId="5" applyNumberFormat="1" applyFont="1" applyBorder="1"/>
    <xf numFmtId="0" fontId="36" fillId="0" borderId="0" xfId="5" applyFont="1" applyAlignment="1">
      <alignment horizontal="left" vertical="center"/>
    </xf>
    <xf numFmtId="0" fontId="8" fillId="0" borderId="0" xfId="5" applyFont="1" applyAlignment="1">
      <alignment vertical="center"/>
    </xf>
    <xf numFmtId="0" fontId="37" fillId="0" borderId="0" xfId="5" applyFont="1" applyAlignment="1">
      <alignment horizontal="left" vertical="center"/>
    </xf>
    <xf numFmtId="0" fontId="37" fillId="8" borderId="27" xfId="5" applyFont="1" applyFill="1" applyBorder="1" applyAlignment="1">
      <alignment horizontal="center" vertical="center"/>
    </xf>
    <xf numFmtId="0" fontId="37" fillId="8" borderId="28" xfId="5" applyFont="1" applyFill="1" applyBorder="1" applyAlignment="1">
      <alignment horizontal="center" vertical="center"/>
    </xf>
    <xf numFmtId="0" fontId="37" fillId="8" borderId="29" xfId="5" applyFont="1" applyFill="1" applyBorder="1" applyAlignment="1">
      <alignment horizontal="center" vertical="center"/>
    </xf>
    <xf numFmtId="0" fontId="37" fillId="8" borderId="42" xfId="5" applyFont="1" applyFill="1" applyBorder="1" applyAlignment="1">
      <alignment horizontal="center" vertical="center"/>
    </xf>
    <xf numFmtId="0" fontId="37" fillId="0" borderId="30" xfId="5" applyFont="1" applyBorder="1" applyAlignment="1">
      <alignment vertical="center"/>
    </xf>
    <xf numFmtId="0" fontId="37" fillId="0" borderId="26" xfId="5" applyFont="1" applyBorder="1" applyAlignment="1">
      <alignment horizontal="right" vertical="center"/>
    </xf>
    <xf numFmtId="0" fontId="37" fillId="0" borderId="31" xfId="5" applyFont="1" applyBorder="1" applyAlignment="1">
      <alignment horizontal="right" vertical="center"/>
    </xf>
    <xf numFmtId="0" fontId="37" fillId="0" borderId="38" xfId="5" applyFont="1" applyBorder="1" applyAlignment="1">
      <alignment vertical="center"/>
    </xf>
    <xf numFmtId="3" fontId="37" fillId="0" borderId="26" xfId="5" applyNumberFormat="1" applyFont="1" applyBorder="1" applyAlignment="1">
      <alignment horizontal="right" vertical="center"/>
    </xf>
    <xf numFmtId="3" fontId="37" fillId="0" borderId="31" xfId="5" applyNumberFormat="1" applyFont="1" applyBorder="1" applyAlignment="1">
      <alignment horizontal="right" vertical="center"/>
    </xf>
    <xf numFmtId="0" fontId="37" fillId="0" borderId="32" xfId="5" applyFont="1" applyBorder="1" applyAlignment="1">
      <alignment vertical="center"/>
    </xf>
    <xf numFmtId="0" fontId="37" fillId="0" borderId="55" xfId="5" applyFont="1" applyBorder="1" applyAlignment="1">
      <alignment vertical="center"/>
    </xf>
    <xf numFmtId="0" fontId="37" fillId="0" borderId="33" xfId="5" applyFont="1" applyBorder="1" applyAlignment="1">
      <alignment horizontal="right" vertical="center"/>
    </xf>
    <xf numFmtId="0" fontId="37" fillId="0" borderId="34" xfId="5" applyFont="1" applyBorder="1" applyAlignment="1">
      <alignment horizontal="right" vertical="center"/>
    </xf>
    <xf numFmtId="0" fontId="37" fillId="0" borderId="0" xfId="5" applyFont="1" applyAlignment="1">
      <alignment horizontal="justify" vertical="center"/>
    </xf>
    <xf numFmtId="0" fontId="37" fillId="0" borderId="0" xfId="3" applyFont="1" applyAlignment="1">
      <alignment horizontal="left" vertical="center"/>
    </xf>
    <xf numFmtId="0" fontId="37" fillId="0" borderId="0" xfId="5" applyFont="1" applyAlignment="1">
      <alignment horizontal="right" vertical="center"/>
    </xf>
    <xf numFmtId="3" fontId="37" fillId="0" borderId="33" xfId="5" applyNumberFormat="1" applyFont="1" applyBorder="1" applyAlignment="1">
      <alignment horizontal="right" vertical="center"/>
    </xf>
    <xf numFmtId="3" fontId="37" fillId="0" borderId="34" xfId="5" applyNumberFormat="1" applyFont="1" applyBorder="1" applyAlignment="1">
      <alignment horizontal="right" vertical="center"/>
    </xf>
    <xf numFmtId="41" fontId="20" fillId="0" borderId="0" xfId="1" applyFont="1" applyAlignment="1"/>
    <xf numFmtId="43" fontId="26" fillId="0" borderId="0" xfId="5" applyNumberFormat="1" applyFont="1" applyAlignment="1"/>
    <xf numFmtId="176" fontId="26" fillId="0" borderId="9" xfId="0" applyNumberFormat="1" applyFont="1" applyBorder="1">
      <alignment vertical="center"/>
    </xf>
    <xf numFmtId="176" fontId="26" fillId="0" borderId="0" xfId="0" applyNumberFormat="1" applyFont="1" applyBorder="1">
      <alignment vertical="center"/>
    </xf>
    <xf numFmtId="0" fontId="26" fillId="0" borderId="0" xfId="0" applyFont="1" applyBorder="1">
      <alignment vertical="center"/>
    </xf>
    <xf numFmtId="0" fontId="26" fillId="0" borderId="0" xfId="0" applyNumberFormat="1" applyFont="1" applyBorder="1">
      <alignment vertical="center"/>
    </xf>
    <xf numFmtId="176" fontId="26" fillId="0" borderId="11" xfId="0" applyNumberFormat="1" applyFont="1" applyBorder="1">
      <alignment vertical="center"/>
    </xf>
    <xf numFmtId="176" fontId="26" fillId="0" borderId="69" xfId="0" applyNumberFormat="1" applyFont="1" applyBorder="1">
      <alignment vertical="center"/>
    </xf>
    <xf numFmtId="176" fontId="26" fillId="0" borderId="63" xfId="0" applyNumberFormat="1" applyFont="1" applyBorder="1">
      <alignment vertical="center"/>
    </xf>
    <xf numFmtId="0" fontId="26" fillId="0" borderId="63" xfId="0" applyNumberFormat="1" applyFont="1" applyBorder="1">
      <alignment vertical="center"/>
    </xf>
    <xf numFmtId="176" fontId="26" fillId="0" borderId="60" xfId="0" applyNumberFormat="1" applyFont="1" applyBorder="1">
      <alignment vertical="center"/>
    </xf>
    <xf numFmtId="176" fontId="24" fillId="0" borderId="66" xfId="0" applyNumberFormat="1" applyFont="1" applyFill="1" applyBorder="1" applyAlignment="1">
      <alignment horizontal="center" vertical="center"/>
    </xf>
    <xf numFmtId="176" fontId="24" fillId="0" borderId="67" xfId="0" applyNumberFormat="1" applyFont="1" applyFill="1" applyBorder="1" applyAlignment="1">
      <alignment horizontal="center" vertical="center"/>
    </xf>
    <xf numFmtId="176" fontId="24" fillId="0" borderId="68" xfId="0" applyNumberFormat="1" applyFont="1" applyFill="1" applyBorder="1" applyAlignment="1">
      <alignment horizontal="center" vertical="center"/>
    </xf>
    <xf numFmtId="176" fontId="24" fillId="0" borderId="69" xfId="0" applyNumberFormat="1" applyFont="1" applyFill="1" applyBorder="1" applyAlignment="1">
      <alignment horizontal="center" vertical="center"/>
    </xf>
    <xf numFmtId="176" fontId="24" fillId="0" borderId="63" xfId="0" applyNumberFormat="1" applyFont="1" applyFill="1" applyBorder="1" applyAlignment="1">
      <alignment horizontal="center" vertical="center"/>
    </xf>
    <xf numFmtId="176" fontId="24" fillId="0" borderId="60" xfId="0" applyNumberFormat="1" applyFont="1" applyFill="1" applyBorder="1" applyAlignment="1">
      <alignment horizontal="center" vertical="center"/>
    </xf>
    <xf numFmtId="176" fontId="9" fillId="4" borderId="7" xfId="0" applyNumberFormat="1" applyFont="1" applyFill="1" applyBorder="1">
      <alignment vertical="center"/>
    </xf>
    <xf numFmtId="176" fontId="9" fillId="4" borderId="2" xfId="0" applyNumberFormat="1" applyFont="1" applyFill="1" applyBorder="1">
      <alignment vertical="center"/>
    </xf>
    <xf numFmtId="176" fontId="9" fillId="4" borderId="19" xfId="0" applyNumberFormat="1" applyFont="1" applyFill="1" applyBorder="1" applyAlignment="1">
      <alignment horizontal="center" vertical="center"/>
    </xf>
    <xf numFmtId="176" fontId="9" fillId="4" borderId="19" xfId="0" quotePrefix="1" applyNumberFormat="1" applyFont="1" applyFill="1" applyBorder="1" applyAlignment="1">
      <alignment horizontal="center" vertical="center"/>
    </xf>
    <xf numFmtId="176" fontId="9" fillId="4" borderId="7" xfId="0" applyNumberFormat="1" applyFont="1" applyFill="1" applyBorder="1" applyAlignment="1">
      <alignment horizontal="center" vertical="center"/>
    </xf>
    <xf numFmtId="176" fontId="9" fillId="4" borderId="2" xfId="0" applyNumberFormat="1" applyFont="1" applyFill="1" applyBorder="1" applyAlignment="1">
      <alignment horizontal="center" vertical="center"/>
    </xf>
    <xf numFmtId="176" fontId="9" fillId="4" borderId="19" xfId="0" applyNumberFormat="1" applyFont="1" applyFill="1" applyBorder="1">
      <alignment vertical="center"/>
    </xf>
    <xf numFmtId="177" fontId="7" fillId="4" borderId="7" xfId="0" applyNumberFormat="1" applyFont="1" applyFill="1" applyBorder="1">
      <alignment vertical="center"/>
    </xf>
    <xf numFmtId="176" fontId="9" fillId="4" borderId="2" xfId="0" quotePrefix="1" applyNumberFormat="1" applyFont="1" applyFill="1" applyBorder="1" applyAlignment="1">
      <alignment horizontal="center" vertical="center"/>
    </xf>
    <xf numFmtId="178" fontId="7" fillId="4" borderId="19" xfId="0" applyNumberFormat="1" applyFont="1" applyFill="1" applyBorder="1" applyAlignment="1">
      <alignment horizontal="right" vertical="center"/>
    </xf>
    <xf numFmtId="176" fontId="12" fillId="4" borderId="19" xfId="4" applyNumberFormat="1" applyFill="1" applyBorder="1">
      <alignment vertical="center"/>
    </xf>
    <xf numFmtId="176" fontId="5" fillId="3" borderId="0" xfId="0" applyNumberFormat="1" applyFont="1" applyFill="1" applyBorder="1" applyAlignment="1">
      <alignment horizontal="center" vertical="center"/>
    </xf>
    <xf numFmtId="176" fontId="5" fillId="3" borderId="3" xfId="0" applyNumberFormat="1" applyFont="1" applyFill="1" applyBorder="1" applyAlignment="1">
      <alignment horizontal="center" vertical="center"/>
    </xf>
    <xf numFmtId="178" fontId="7" fillId="3" borderId="19" xfId="0" applyNumberFormat="1" applyFont="1" applyFill="1" applyBorder="1" applyAlignment="1">
      <alignment horizontal="right" vertical="center"/>
    </xf>
    <xf numFmtId="178" fontId="7" fillId="3" borderId="20" xfId="0" applyNumberFormat="1" applyFont="1" applyFill="1" applyBorder="1" applyAlignment="1">
      <alignment horizontal="right" vertical="center"/>
    </xf>
    <xf numFmtId="178" fontId="7" fillId="0" borderId="2" xfId="0" applyNumberFormat="1" applyFont="1" applyFill="1" applyBorder="1" applyAlignment="1">
      <alignment horizontal="right" vertical="center"/>
    </xf>
    <xf numFmtId="178" fontId="7" fillId="4" borderId="2" xfId="0" applyNumberFormat="1" applyFont="1" applyFill="1" applyBorder="1" applyAlignment="1">
      <alignment horizontal="right" vertical="center"/>
    </xf>
    <xf numFmtId="178" fontId="7" fillId="0" borderId="5" xfId="0" applyNumberFormat="1" applyFont="1" applyFill="1" applyBorder="1" applyAlignment="1">
      <alignment horizontal="right" vertical="center"/>
    </xf>
    <xf numFmtId="178" fontId="7" fillId="0" borderId="7" xfId="0" applyNumberFormat="1" applyFont="1" applyFill="1" applyBorder="1" applyAlignment="1">
      <alignment horizontal="right" vertical="center"/>
    </xf>
    <xf numFmtId="178" fontId="7" fillId="4" borderId="7" xfId="0" applyNumberFormat="1" applyFont="1" applyFill="1" applyBorder="1" applyAlignment="1">
      <alignment horizontal="right" vertical="center"/>
    </xf>
    <xf numFmtId="178" fontId="7" fillId="0" borderId="8" xfId="0" applyNumberFormat="1" applyFont="1" applyFill="1" applyBorder="1" applyAlignment="1">
      <alignment horizontal="right" vertical="center"/>
    </xf>
    <xf numFmtId="176" fontId="9" fillId="0" borderId="7" xfId="0" applyNumberFormat="1" applyFont="1" applyBorder="1" applyAlignment="1">
      <alignment horizontal="left" vertical="center" indent="1"/>
    </xf>
    <xf numFmtId="176" fontId="9" fillId="0" borderId="0" xfId="0" applyNumberFormat="1" applyFont="1" applyBorder="1">
      <alignment vertical="center"/>
    </xf>
    <xf numFmtId="176" fontId="9" fillId="0" borderId="8" xfId="0" applyNumberFormat="1" applyFont="1" applyBorder="1" applyAlignment="1">
      <alignment horizontal="left" vertical="center" indent="1"/>
    </xf>
    <xf numFmtId="176" fontId="9" fillId="0" borderId="3" xfId="0" applyNumberFormat="1" applyFont="1" applyBorder="1">
      <alignment vertical="center"/>
    </xf>
    <xf numFmtId="0" fontId="9" fillId="0" borderId="3" xfId="0" applyFont="1" applyBorder="1">
      <alignment vertical="center"/>
    </xf>
    <xf numFmtId="0" fontId="11" fillId="2" borderId="13" xfId="0" applyFont="1" applyFill="1" applyBorder="1">
      <alignment vertical="center"/>
    </xf>
    <xf numFmtId="0" fontId="11" fillId="2" borderId="14" xfId="0" applyFont="1" applyFill="1" applyBorder="1">
      <alignment vertical="center"/>
    </xf>
    <xf numFmtId="176" fontId="39" fillId="0" borderId="12" xfId="0" applyNumberFormat="1" applyFont="1" applyFill="1" applyBorder="1">
      <alignment vertical="center"/>
    </xf>
    <xf numFmtId="176" fontId="40" fillId="0" borderId="13" xfId="0" applyNumberFormat="1" applyFont="1" applyFill="1" applyBorder="1">
      <alignment vertical="center"/>
    </xf>
    <xf numFmtId="0" fontId="40" fillId="0" borderId="13" xfId="0" applyFont="1" applyFill="1" applyBorder="1">
      <alignment vertical="center"/>
    </xf>
    <xf numFmtId="176" fontId="24" fillId="11" borderId="0" xfId="0" applyNumberFormat="1" applyFont="1" applyFill="1" applyBorder="1" applyAlignment="1">
      <alignment horizontal="center" vertical="center"/>
    </xf>
    <xf numFmtId="176" fontId="26" fillId="11" borderId="0" xfId="0" applyNumberFormat="1" applyFont="1" applyFill="1">
      <alignment vertical="center"/>
    </xf>
    <xf numFmtId="0" fontId="26" fillId="11" borderId="0" xfId="0" applyFont="1" applyFill="1">
      <alignment vertical="center"/>
    </xf>
    <xf numFmtId="0" fontId="0" fillId="11" borderId="0" xfId="0" applyFill="1">
      <alignment vertical="center"/>
    </xf>
    <xf numFmtId="0" fontId="41" fillId="0" borderId="0" xfId="0" applyFont="1" applyAlignment="1">
      <alignment horizontal="justify" vertical="center" wrapText="1"/>
    </xf>
    <xf numFmtId="0" fontId="20" fillId="0" borderId="0" xfId="0" applyFont="1" applyAlignment="1">
      <alignment horizontal="justify" vertical="center" wrapText="1"/>
    </xf>
    <xf numFmtId="0" fontId="42" fillId="8" borderId="26" xfId="0" applyFont="1" applyFill="1" applyBorder="1" applyAlignment="1">
      <alignment horizontal="center" vertical="center" wrapText="1"/>
    </xf>
    <xf numFmtId="0" fontId="42" fillId="0" borderId="32" xfId="0" applyFont="1" applyBorder="1" applyAlignment="1">
      <alignment horizontal="center" vertical="top" wrapText="1"/>
    </xf>
    <xf numFmtId="0" fontId="42" fillId="0" borderId="33" xfId="0" applyFont="1" applyBorder="1" applyAlignment="1">
      <alignment horizontal="center" vertical="top" wrapText="1"/>
    </xf>
    <xf numFmtId="3" fontId="42" fillId="0" borderId="33" xfId="0" applyNumberFormat="1" applyFont="1" applyBorder="1" applyAlignment="1">
      <alignment horizontal="right" vertical="top" wrapText="1"/>
    </xf>
    <xf numFmtId="0" fontId="42" fillId="0" borderId="34" xfId="0" applyFont="1" applyBorder="1" applyAlignment="1">
      <alignment horizontal="center" vertical="top" wrapText="1"/>
    </xf>
    <xf numFmtId="0" fontId="20" fillId="11" borderId="0" xfId="0" applyFont="1" applyFill="1">
      <alignment vertical="center"/>
    </xf>
    <xf numFmtId="41" fontId="26" fillId="0" borderId="0" xfId="1" applyFont="1" applyAlignment="1">
      <alignment vertical="center"/>
    </xf>
    <xf numFmtId="41" fontId="33" fillId="0" borderId="0" xfId="1" applyFont="1" applyAlignment="1"/>
    <xf numFmtId="41" fontId="33" fillId="8" borderId="41" xfId="1" applyFont="1" applyFill="1" applyBorder="1" applyAlignment="1">
      <alignment vertical="center"/>
    </xf>
    <xf numFmtId="41" fontId="33" fillId="0" borderId="31" xfId="1" applyFont="1" applyBorder="1" applyAlignment="1">
      <alignment vertical="center"/>
    </xf>
    <xf numFmtId="41" fontId="33" fillId="0" borderId="26" xfId="1" applyFont="1" applyBorder="1" applyAlignment="1">
      <alignment vertical="center"/>
    </xf>
    <xf numFmtId="41" fontId="33" fillId="0" borderId="34" xfId="1" applyFont="1" applyBorder="1" applyAlignment="1">
      <alignment vertical="center"/>
    </xf>
    <xf numFmtId="41" fontId="33" fillId="0" borderId="33" xfId="1" applyFont="1" applyBorder="1" applyAlignment="1">
      <alignment vertical="center"/>
    </xf>
    <xf numFmtId="0" fontId="26" fillId="0" borderId="63" xfId="0" applyFont="1" applyBorder="1">
      <alignment vertical="center"/>
    </xf>
    <xf numFmtId="41" fontId="26" fillId="0" borderId="63" xfId="1" applyFont="1" applyBorder="1">
      <alignment vertical="center"/>
    </xf>
    <xf numFmtId="0" fontId="43" fillId="0" borderId="0" xfId="0" applyFont="1">
      <alignment vertical="center"/>
    </xf>
    <xf numFmtId="41" fontId="43" fillId="0" borderId="0" xfId="1" applyFont="1">
      <alignment vertical="center"/>
    </xf>
    <xf numFmtId="41" fontId="44" fillId="0" borderId="0" xfId="1" applyFont="1">
      <alignment vertical="center"/>
    </xf>
    <xf numFmtId="0" fontId="33" fillId="8" borderId="30" xfId="0" applyFont="1" applyFill="1" applyBorder="1" applyAlignment="1">
      <alignment horizontal="center" vertical="center"/>
    </xf>
    <xf numFmtId="0" fontId="33" fillId="0" borderId="31" xfId="0" applyFont="1" applyBorder="1" applyAlignment="1">
      <alignment vertical="top" wrapText="1"/>
    </xf>
    <xf numFmtId="0" fontId="33" fillId="0" borderId="32" xfId="0" applyFont="1" applyBorder="1" applyAlignment="1">
      <alignment horizontal="center" vertical="top"/>
    </xf>
    <xf numFmtId="0" fontId="33" fillId="0" borderId="34" xfId="0" applyFont="1" applyBorder="1" applyAlignment="1">
      <alignment vertical="top" wrapText="1"/>
    </xf>
    <xf numFmtId="0" fontId="39" fillId="0" borderId="13" xfId="0" applyFont="1" applyFill="1" applyBorder="1" applyAlignment="1">
      <alignment horizontal="right" vertical="center"/>
    </xf>
    <xf numFmtId="0" fontId="39" fillId="0" borderId="14" xfId="0" applyFont="1" applyFill="1" applyBorder="1" applyAlignment="1">
      <alignment horizontal="right" vertical="center"/>
    </xf>
    <xf numFmtId="41" fontId="20" fillId="0" borderId="0" xfId="1" applyFont="1" applyFill="1">
      <alignment vertical="center"/>
    </xf>
    <xf numFmtId="178" fontId="7" fillId="0" borderId="0" xfId="0" applyNumberFormat="1" applyFont="1" applyBorder="1">
      <alignment vertical="center"/>
    </xf>
    <xf numFmtId="178" fontId="7" fillId="0" borderId="70" xfId="0" applyNumberFormat="1" applyFont="1" applyBorder="1">
      <alignment vertical="center"/>
    </xf>
    <xf numFmtId="178" fontId="7" fillId="0" borderId="0" xfId="0" applyNumberFormat="1" applyFont="1">
      <alignment vertical="center"/>
    </xf>
    <xf numFmtId="178" fontId="7" fillId="0" borderId="2" xfId="0" applyNumberFormat="1" applyFont="1" applyBorder="1">
      <alignment vertical="center"/>
    </xf>
    <xf numFmtId="178" fontId="7" fillId="0" borderId="3" xfId="0" applyNumberFormat="1" applyFont="1" applyBorder="1">
      <alignment vertical="center"/>
    </xf>
    <xf numFmtId="178" fontId="7" fillId="0" borderId="5" xfId="0" applyNumberFormat="1" applyFont="1" applyBorder="1">
      <alignment vertical="center"/>
    </xf>
    <xf numFmtId="0" fontId="45" fillId="0" borderId="0" xfId="0" applyFont="1">
      <alignment vertical="center"/>
    </xf>
    <xf numFmtId="0" fontId="7" fillId="0" borderId="0" xfId="0" applyFont="1">
      <alignment vertical="center"/>
    </xf>
    <xf numFmtId="0" fontId="26" fillId="0" borderId="0" xfId="0" applyFont="1" applyFill="1">
      <alignment vertical="center"/>
    </xf>
    <xf numFmtId="176" fontId="26" fillId="0" borderId="0" xfId="0" applyNumberFormat="1" applyFont="1" applyFill="1">
      <alignment vertical="center"/>
    </xf>
    <xf numFmtId="0" fontId="20" fillId="0" borderId="0" xfId="0" applyFont="1" applyAlignment="1">
      <alignment vertical="center" wrapText="1"/>
    </xf>
    <xf numFmtId="0" fontId="46" fillId="2" borderId="0" xfId="0" applyFont="1" applyFill="1">
      <alignment vertical="center"/>
    </xf>
    <xf numFmtId="0" fontId="8" fillId="2" borderId="0" xfId="0" applyFont="1" applyFill="1">
      <alignment vertical="center"/>
    </xf>
    <xf numFmtId="0" fontId="8" fillId="0" borderId="0" xfId="0" applyFont="1">
      <alignment vertical="center"/>
    </xf>
    <xf numFmtId="3" fontId="8" fillId="0" borderId="0" xfId="0" applyNumberFormat="1" applyFont="1">
      <alignment vertical="center"/>
    </xf>
    <xf numFmtId="0" fontId="21" fillId="0" borderId="6" xfId="0" applyFont="1" applyBorder="1">
      <alignment vertical="center"/>
    </xf>
    <xf numFmtId="3" fontId="8" fillId="0" borderId="1" xfId="0" applyNumberFormat="1" applyFont="1" applyBorder="1">
      <alignment vertical="center"/>
    </xf>
    <xf numFmtId="3" fontId="8" fillId="0" borderId="70" xfId="0" applyNumberFormat="1" applyFont="1" applyBorder="1">
      <alignment vertical="center"/>
    </xf>
    <xf numFmtId="0" fontId="21" fillId="0" borderId="7" xfId="0" applyFont="1" applyBorder="1">
      <alignment vertical="center"/>
    </xf>
    <xf numFmtId="3" fontId="21" fillId="0" borderId="0" xfId="0" applyNumberFormat="1" applyFont="1" applyBorder="1">
      <alignment vertical="center"/>
    </xf>
    <xf numFmtId="3" fontId="21" fillId="0" borderId="2" xfId="0" applyNumberFormat="1" applyFont="1" applyBorder="1">
      <alignment vertical="center"/>
    </xf>
    <xf numFmtId="0" fontId="8" fillId="0" borderId="7" xfId="0" applyFont="1" applyBorder="1" applyAlignment="1">
      <alignment horizontal="left" vertical="center" indent="1"/>
    </xf>
    <xf numFmtId="3" fontId="8" fillId="0" borderId="0" xfId="0" applyNumberFormat="1" applyFont="1" applyBorder="1">
      <alignment vertical="center"/>
    </xf>
    <xf numFmtId="3" fontId="8" fillId="0" borderId="2" xfId="0" applyNumberFormat="1" applyFont="1" applyBorder="1">
      <alignment vertical="center"/>
    </xf>
    <xf numFmtId="0" fontId="8" fillId="0" borderId="8" xfId="0" applyFont="1" applyBorder="1" applyAlignment="1">
      <alignment horizontal="left" vertical="center" indent="1"/>
    </xf>
    <xf numFmtId="3" fontId="8" fillId="0" borderId="3" xfId="0" applyNumberFormat="1" applyFont="1" applyBorder="1">
      <alignment vertical="center"/>
    </xf>
    <xf numFmtId="3" fontId="8" fillId="0" borderId="5" xfId="0" applyNumberFormat="1" applyFont="1" applyBorder="1">
      <alignment vertical="center"/>
    </xf>
    <xf numFmtId="177" fontId="7" fillId="0" borderId="0" xfId="0" applyNumberFormat="1" applyFont="1" applyBorder="1">
      <alignment vertical="center"/>
    </xf>
    <xf numFmtId="0" fontId="8" fillId="0" borderId="1" xfId="0" applyFont="1" applyBorder="1">
      <alignment vertical="center"/>
    </xf>
    <xf numFmtId="0" fontId="8" fillId="0" borderId="70" xfId="0" applyFont="1" applyBorder="1">
      <alignment vertical="center"/>
    </xf>
    <xf numFmtId="0" fontId="8" fillId="0" borderId="7" xfId="0" applyFont="1" applyBorder="1">
      <alignment vertical="center"/>
    </xf>
    <xf numFmtId="0" fontId="8" fillId="0" borderId="8" xfId="0" applyFont="1" applyBorder="1">
      <alignment vertical="center"/>
    </xf>
    <xf numFmtId="0" fontId="21" fillId="0" borderId="1" xfId="0" applyFont="1" applyBorder="1">
      <alignment vertical="center"/>
    </xf>
    <xf numFmtId="3" fontId="21" fillId="0" borderId="70" xfId="0" applyNumberFormat="1" applyFont="1" applyBorder="1">
      <alignment vertical="center"/>
    </xf>
    <xf numFmtId="0" fontId="8" fillId="0" borderId="0" xfId="0" applyFont="1" applyBorder="1">
      <alignment vertical="center"/>
    </xf>
    <xf numFmtId="0" fontId="8" fillId="0" borderId="3" xfId="0" applyFont="1" applyBorder="1">
      <alignment vertical="center"/>
    </xf>
    <xf numFmtId="0" fontId="21" fillId="0" borderId="0" xfId="0" applyFont="1" applyBorder="1">
      <alignment vertical="center"/>
    </xf>
    <xf numFmtId="0" fontId="8" fillId="0" borderId="0" xfId="0" applyFont="1" applyBorder="1" applyAlignment="1">
      <alignment horizontal="left" vertical="center" indent="1"/>
    </xf>
    <xf numFmtId="176" fontId="9" fillId="0" borderId="19" xfId="0" quotePrefix="1" applyNumberFormat="1" applyFont="1" applyBorder="1" applyAlignment="1">
      <alignment vertical="center" wrapText="1"/>
    </xf>
    <xf numFmtId="0" fontId="21" fillId="0" borderId="12" xfId="0" applyFont="1" applyBorder="1">
      <alignment vertical="center"/>
    </xf>
    <xf numFmtId="0" fontId="21" fillId="0" borderId="14" xfId="0" applyFont="1" applyBorder="1">
      <alignment vertical="center"/>
    </xf>
    <xf numFmtId="0" fontId="21" fillId="0" borderId="13" xfId="0" applyFont="1" applyBorder="1" applyAlignment="1">
      <alignment horizontal="center" vertical="center"/>
    </xf>
    <xf numFmtId="176" fontId="5" fillId="3" borderId="19" xfId="0" applyNumberFormat="1" applyFont="1" applyFill="1" applyBorder="1" applyAlignment="1">
      <alignment horizontal="center" vertical="center"/>
    </xf>
    <xf numFmtId="176" fontId="9" fillId="0" borderId="15" xfId="0" quotePrefix="1" applyNumberFormat="1" applyFont="1" applyBorder="1" applyAlignment="1">
      <alignment horizontal="center" vertical="center"/>
    </xf>
    <xf numFmtId="177" fontId="7" fillId="0" borderId="1" xfId="0" applyNumberFormat="1" applyFont="1" applyBorder="1">
      <alignment vertical="center"/>
    </xf>
    <xf numFmtId="3" fontId="21" fillId="0" borderId="7" xfId="0" applyNumberFormat="1" applyFont="1" applyBorder="1">
      <alignment vertical="center"/>
    </xf>
    <xf numFmtId="3" fontId="21" fillId="0" borderId="8" xfId="0" applyNumberFormat="1" applyFont="1" applyBorder="1">
      <alignment vertical="center"/>
    </xf>
    <xf numFmtId="3" fontId="8" fillId="0" borderId="8" xfId="0" applyNumberFormat="1" applyFont="1" applyBorder="1">
      <alignment vertical="center"/>
    </xf>
    <xf numFmtId="177" fontId="7" fillId="0" borderId="3" xfId="0" applyNumberFormat="1" applyFont="1" applyBorder="1">
      <alignment vertical="center"/>
    </xf>
    <xf numFmtId="177" fontId="6" fillId="0" borderId="0" xfId="0" applyNumberFormat="1" applyFont="1" applyBorder="1">
      <alignment vertical="center"/>
    </xf>
    <xf numFmtId="0" fontId="8" fillId="0" borderId="3" xfId="0" applyFont="1" applyBorder="1" applyAlignment="1">
      <alignment horizontal="left" vertical="center" indent="1"/>
    </xf>
    <xf numFmtId="0" fontId="21" fillId="0" borderId="1" xfId="0" applyFont="1" applyBorder="1" applyAlignment="1">
      <alignment horizontal="center" vertical="center"/>
    </xf>
    <xf numFmtId="0" fontId="21" fillId="0" borderId="70" xfId="0" applyFont="1" applyBorder="1" applyAlignment="1">
      <alignment horizontal="center" vertical="center"/>
    </xf>
    <xf numFmtId="176" fontId="9" fillId="4" borderId="19" xfId="0" quotePrefix="1" applyNumberFormat="1" applyFont="1" applyFill="1" applyBorder="1" applyAlignment="1">
      <alignment vertical="center" wrapText="1"/>
    </xf>
    <xf numFmtId="0" fontId="42" fillId="8" borderId="40" xfId="0" applyFont="1" applyFill="1" applyBorder="1" applyAlignment="1">
      <alignment horizontal="center" vertical="center" wrapText="1"/>
    </xf>
    <xf numFmtId="0" fontId="42" fillId="8" borderId="44" xfId="0" applyFont="1" applyFill="1" applyBorder="1" applyAlignment="1">
      <alignment horizontal="center" vertical="center" wrapText="1"/>
    </xf>
    <xf numFmtId="0" fontId="42" fillId="8" borderId="51" xfId="0" applyFont="1" applyFill="1" applyBorder="1" applyAlignment="1">
      <alignment horizontal="center" vertical="center" wrapText="1"/>
    </xf>
    <xf numFmtId="0" fontId="42" fillId="8" borderId="36" xfId="0" applyFont="1" applyFill="1" applyBorder="1" applyAlignment="1">
      <alignment horizontal="center" vertical="center" wrapText="1"/>
    </xf>
    <xf numFmtId="0" fontId="42" fillId="8" borderId="41" xfId="0" applyFont="1" applyFill="1" applyBorder="1" applyAlignment="1">
      <alignment horizontal="center" vertical="center" wrapText="1"/>
    </xf>
    <xf numFmtId="0" fontId="42" fillId="8" borderId="42" xfId="0" applyFont="1" applyFill="1" applyBorder="1" applyAlignment="1">
      <alignment horizontal="center" vertical="center" wrapText="1"/>
    </xf>
    <xf numFmtId="0" fontId="42" fillId="8" borderId="52" xfId="0" applyFont="1" applyFill="1" applyBorder="1" applyAlignment="1">
      <alignment horizontal="center" vertical="center" wrapText="1"/>
    </xf>
    <xf numFmtId="0" fontId="42" fillId="8" borderId="49" xfId="0" applyFont="1" applyFill="1" applyBorder="1" applyAlignment="1">
      <alignment horizontal="center" vertical="center" wrapText="1"/>
    </xf>
    <xf numFmtId="0" fontId="27" fillId="8" borderId="41" xfId="0" applyFont="1" applyFill="1" applyBorder="1" applyAlignment="1">
      <alignment horizontal="center" vertical="center" wrapText="1"/>
    </xf>
    <xf numFmtId="0" fontId="27" fillId="8" borderId="43" xfId="0" applyFont="1" applyFill="1" applyBorder="1" applyAlignment="1">
      <alignment horizontal="center" vertical="center" wrapText="1"/>
    </xf>
    <xf numFmtId="0" fontId="22" fillId="0" borderId="0" xfId="0" applyFont="1" applyAlignment="1">
      <alignment vertical="center"/>
    </xf>
    <xf numFmtId="0" fontId="22" fillId="0" borderId="0" xfId="0" applyFont="1" applyBorder="1" applyAlignment="1">
      <alignment vertical="center"/>
    </xf>
    <xf numFmtId="176" fontId="47" fillId="0" borderId="0" xfId="0" applyNumberFormat="1" applyFont="1" applyFill="1" applyBorder="1" applyAlignment="1">
      <alignment vertical="center"/>
    </xf>
    <xf numFmtId="0" fontId="22" fillId="0" borderId="0" xfId="0" applyFont="1" applyAlignment="1">
      <alignment horizontal="right" vertical="center"/>
    </xf>
    <xf numFmtId="186" fontId="22" fillId="0" borderId="0" xfId="0" applyNumberFormat="1" applyFont="1" applyAlignment="1">
      <alignment vertical="center"/>
    </xf>
    <xf numFmtId="0" fontId="49" fillId="0" borderId="0" xfId="3" applyFont="1">
      <alignment vertical="center"/>
    </xf>
    <xf numFmtId="176" fontId="50" fillId="0" borderId="0" xfId="0" applyNumberFormat="1" applyFont="1" applyFill="1" applyBorder="1" applyAlignment="1">
      <alignment vertical="center"/>
    </xf>
    <xf numFmtId="0" fontId="51" fillId="12" borderId="0" xfId="0" applyFont="1" applyFill="1" applyAlignment="1">
      <alignment vertical="center"/>
    </xf>
    <xf numFmtId="0" fontId="51" fillId="12" borderId="71" xfId="0" applyFont="1" applyFill="1" applyBorder="1" applyAlignment="1">
      <alignment horizontal="center" vertical="center"/>
    </xf>
    <xf numFmtId="0" fontId="51" fillId="12" borderId="0" xfId="0" applyFont="1" applyFill="1" applyAlignment="1">
      <alignment horizontal="center" vertical="center" wrapText="1"/>
    </xf>
    <xf numFmtId="0" fontId="51" fillId="12" borderId="0" xfId="0" applyFont="1" applyFill="1" applyBorder="1" applyAlignment="1">
      <alignment horizontal="center" vertical="center"/>
    </xf>
    <xf numFmtId="0" fontId="51" fillId="12" borderId="0" xfId="0" applyFont="1" applyFill="1" applyAlignment="1">
      <alignment horizontal="center" vertical="center"/>
    </xf>
    <xf numFmtId="0" fontId="53" fillId="0" borderId="63" xfId="0" applyFont="1" applyBorder="1" applyAlignment="1">
      <alignment vertical="center"/>
    </xf>
    <xf numFmtId="187" fontId="49" fillId="0" borderId="0" xfId="1" applyNumberFormat="1" applyFont="1" applyBorder="1" applyAlignment="1">
      <alignment vertical="center"/>
    </xf>
    <xf numFmtId="41" fontId="49" fillId="0" borderId="0" xfId="1" applyFont="1" applyBorder="1" applyAlignment="1">
      <alignment vertical="center"/>
    </xf>
    <xf numFmtId="188" fontId="54" fillId="0" borderId="0" xfId="3" applyNumberFormat="1" applyFont="1" applyFill="1" applyBorder="1" applyAlignment="1">
      <alignment horizontal="right" vertical="center"/>
    </xf>
    <xf numFmtId="0" fontId="49" fillId="0" borderId="63" xfId="0" applyFont="1" applyBorder="1" applyAlignment="1">
      <alignment vertical="center"/>
    </xf>
    <xf numFmtId="187" fontId="49" fillId="0" borderId="63" xfId="1" applyNumberFormat="1" applyFont="1" applyBorder="1" applyAlignment="1">
      <alignment vertical="center"/>
    </xf>
    <xf numFmtId="41" fontId="49" fillId="0" borderId="63" xfId="1" applyFont="1" applyBorder="1" applyAlignment="1">
      <alignment vertical="center"/>
    </xf>
    <xf numFmtId="188" fontId="54" fillId="0" borderId="63" xfId="3" applyNumberFormat="1" applyFont="1" applyFill="1" applyBorder="1" applyAlignment="1">
      <alignment horizontal="right" vertical="center"/>
    </xf>
    <xf numFmtId="0" fontId="49" fillId="0" borderId="67" xfId="0" applyFont="1" applyBorder="1" applyAlignment="1">
      <alignment vertical="center"/>
    </xf>
    <xf numFmtId="187" fontId="49" fillId="0" borderId="67" xfId="1" applyNumberFormat="1" applyFont="1" applyBorder="1" applyAlignment="1">
      <alignment vertical="center"/>
    </xf>
    <xf numFmtId="41" fontId="49" fillId="0" borderId="67" xfId="1" applyFont="1" applyBorder="1" applyAlignment="1">
      <alignment vertical="center"/>
    </xf>
    <xf numFmtId="188" fontId="54" fillId="0" borderId="67" xfId="3" applyNumberFormat="1" applyFont="1" applyFill="1" applyBorder="1" applyAlignment="1">
      <alignment horizontal="right" vertical="center"/>
    </xf>
    <xf numFmtId="0" fontId="49" fillId="0" borderId="0" xfId="0" applyFont="1" applyBorder="1" applyAlignment="1">
      <alignment vertical="center"/>
    </xf>
    <xf numFmtId="0" fontId="55" fillId="0" borderId="0" xfId="0" applyFont="1">
      <alignment vertical="center"/>
    </xf>
    <xf numFmtId="0" fontId="51" fillId="12" borderId="0" xfId="0" applyFont="1" applyFill="1" applyAlignment="1">
      <alignment vertical="center" wrapText="1"/>
    </xf>
    <xf numFmtId="9" fontId="49" fillId="0" borderId="0" xfId="8" applyFont="1" applyBorder="1" applyAlignment="1">
      <alignment vertical="center"/>
    </xf>
    <xf numFmtId="41" fontId="54" fillId="0" borderId="0" xfId="1" applyFont="1" applyFill="1" applyBorder="1" applyAlignment="1">
      <alignment horizontal="right" vertical="center"/>
    </xf>
    <xf numFmtId="41" fontId="9" fillId="4" borderId="7" xfId="1" applyFont="1" applyFill="1" applyBorder="1" applyAlignment="1">
      <alignment horizontal="right" vertical="center"/>
    </xf>
    <xf numFmtId="41" fontId="9" fillId="0" borderId="7" xfId="1" applyFont="1" applyFill="1" applyBorder="1" applyAlignment="1">
      <alignment horizontal="right" vertical="center"/>
    </xf>
    <xf numFmtId="176" fontId="11" fillId="2" borderId="0" xfId="0" applyNumberFormat="1" applyFont="1" applyFill="1" applyBorder="1">
      <alignment vertical="center"/>
    </xf>
    <xf numFmtId="176" fontId="13" fillId="0" borderId="0" xfId="4" applyNumberFormat="1" applyFont="1" applyBorder="1">
      <alignment vertical="center"/>
    </xf>
    <xf numFmtId="176" fontId="12" fillId="0" borderId="0" xfId="4" applyNumberFormat="1" applyBorder="1">
      <alignment vertical="center"/>
    </xf>
    <xf numFmtId="0" fontId="22" fillId="0" borderId="63" xfId="0" applyFont="1" applyBorder="1" applyAlignment="1">
      <alignment vertical="center"/>
    </xf>
    <xf numFmtId="9" fontId="49" fillId="0" borderId="63" xfId="8" applyFont="1" applyBorder="1" applyAlignment="1">
      <alignment vertical="center"/>
    </xf>
    <xf numFmtId="41" fontId="25" fillId="0" borderId="0" xfId="1" applyFont="1" applyFill="1" applyBorder="1" applyAlignment="1">
      <alignment horizontal="right" vertical="center"/>
    </xf>
    <xf numFmtId="41" fontId="25" fillId="0" borderId="63" xfId="1" applyFont="1" applyFill="1" applyBorder="1" applyAlignment="1">
      <alignment horizontal="right" vertical="center"/>
    </xf>
    <xf numFmtId="0" fontId="0" fillId="0" borderId="0" xfId="0" applyBorder="1">
      <alignment vertical="center"/>
    </xf>
    <xf numFmtId="188" fontId="57" fillId="12" borderId="0" xfId="3" applyNumberFormat="1" applyFont="1" applyFill="1" applyBorder="1" applyAlignment="1">
      <alignment horizontal="right" vertical="center"/>
    </xf>
    <xf numFmtId="0" fontId="56" fillId="12" borderId="63" xfId="0" applyFont="1" applyFill="1" applyBorder="1" applyAlignment="1">
      <alignment vertical="center"/>
    </xf>
    <xf numFmtId="187" fontId="56" fillId="12" borderId="63" xfId="1" applyNumberFormat="1" applyFont="1" applyFill="1" applyBorder="1" applyAlignment="1">
      <alignment vertical="center"/>
    </xf>
    <xf numFmtId="41" fontId="56" fillId="12" borderId="63" xfId="1" applyFont="1" applyFill="1" applyBorder="1" applyAlignment="1">
      <alignment vertical="center"/>
    </xf>
    <xf numFmtId="188" fontId="57" fillId="12" borderId="63" xfId="3" applyNumberFormat="1" applyFont="1" applyFill="1" applyBorder="1" applyAlignment="1">
      <alignment horizontal="right" vertical="center"/>
    </xf>
    <xf numFmtId="0" fontId="22" fillId="0" borderId="72" xfId="0" applyFont="1" applyBorder="1" applyAlignment="1">
      <alignment vertical="center"/>
    </xf>
    <xf numFmtId="0" fontId="49" fillId="0" borderId="72" xfId="0" applyFont="1" applyBorder="1" applyAlignment="1">
      <alignment vertical="center"/>
    </xf>
    <xf numFmtId="187" fontId="49" fillId="0" borderId="72" xfId="1" applyNumberFormat="1" applyFont="1" applyBorder="1" applyAlignment="1">
      <alignment vertical="center"/>
    </xf>
    <xf numFmtId="41" fontId="49" fillId="0" borderId="72" xfId="1" applyFont="1" applyBorder="1" applyAlignment="1">
      <alignment vertical="center"/>
    </xf>
    <xf numFmtId="188" fontId="54" fillId="0" borderId="72" xfId="3" applyNumberFormat="1" applyFont="1" applyFill="1" applyBorder="1" applyAlignment="1">
      <alignment horizontal="right" vertical="center"/>
    </xf>
    <xf numFmtId="0" fontId="56" fillId="12" borderId="0" xfId="0" applyFont="1" applyFill="1" applyBorder="1" applyAlignment="1">
      <alignment vertical="center"/>
    </xf>
    <xf numFmtId="187" fontId="56" fillId="12" borderId="0" xfId="1" applyNumberFormat="1" applyFont="1" applyFill="1" applyBorder="1" applyAlignment="1">
      <alignment vertical="center"/>
    </xf>
    <xf numFmtId="41" fontId="56" fillId="12" borderId="0" xfId="1" applyFont="1" applyFill="1" applyBorder="1" applyAlignment="1">
      <alignment vertical="center"/>
    </xf>
    <xf numFmtId="0" fontId="49" fillId="0" borderId="73" xfId="0" applyFont="1" applyBorder="1" applyAlignment="1">
      <alignment vertical="center"/>
    </xf>
    <xf numFmtId="187" fontId="49" fillId="0" borderId="73" xfId="1" applyNumberFormat="1" applyFont="1" applyBorder="1" applyAlignment="1">
      <alignment vertical="center"/>
    </xf>
    <xf numFmtId="41" fontId="49" fillId="0" borderId="73" xfId="1" applyFont="1" applyBorder="1" applyAlignment="1">
      <alignment vertical="center"/>
    </xf>
    <xf numFmtId="188" fontId="54" fillId="0" borderId="73" xfId="3" applyNumberFormat="1" applyFont="1" applyFill="1" applyBorder="1" applyAlignment="1">
      <alignment horizontal="right" vertical="center"/>
    </xf>
    <xf numFmtId="188" fontId="54" fillId="14" borderId="0" xfId="3" applyNumberFormat="1" applyFont="1" applyFill="1" applyBorder="1" applyAlignment="1">
      <alignment horizontal="right" vertical="center"/>
    </xf>
    <xf numFmtId="188" fontId="54" fillId="14" borderId="63" xfId="3" applyNumberFormat="1" applyFont="1" applyFill="1" applyBorder="1" applyAlignment="1">
      <alignment horizontal="right" vertical="center"/>
    </xf>
    <xf numFmtId="0" fontId="22" fillId="15" borderId="0" xfId="0" applyFont="1" applyFill="1" applyBorder="1" applyAlignment="1">
      <alignment vertical="center"/>
    </xf>
    <xf numFmtId="187" fontId="49" fillId="15" borderId="0" xfId="1" applyNumberFormat="1" applyFont="1" applyFill="1" applyBorder="1" applyAlignment="1">
      <alignment vertical="center"/>
    </xf>
    <xf numFmtId="0" fontId="22" fillId="15" borderId="0" xfId="0" applyFont="1" applyFill="1" applyAlignment="1">
      <alignment vertical="center"/>
    </xf>
    <xf numFmtId="0" fontId="58" fillId="15" borderId="0" xfId="0" applyFont="1" applyFill="1" applyAlignment="1">
      <alignment vertical="center"/>
    </xf>
    <xf numFmtId="0" fontId="59" fillId="15" borderId="0" xfId="0" applyFont="1" applyFill="1" applyBorder="1" applyAlignment="1">
      <alignment vertical="center"/>
    </xf>
    <xf numFmtId="187" fontId="59" fillId="15" borderId="0" xfId="1" applyNumberFormat="1" applyFont="1" applyFill="1" applyBorder="1" applyAlignment="1">
      <alignment vertical="center"/>
    </xf>
    <xf numFmtId="41" fontId="59" fillId="15" borderId="0" xfId="1" applyFont="1" applyFill="1" applyBorder="1" applyAlignment="1">
      <alignment vertical="center"/>
    </xf>
    <xf numFmtId="188" fontId="60" fillId="15" borderId="0" xfId="3" applyNumberFormat="1" applyFont="1" applyFill="1" applyBorder="1" applyAlignment="1">
      <alignment horizontal="right" vertical="center"/>
    </xf>
    <xf numFmtId="0" fontId="61" fillId="15" borderId="0" xfId="0" applyFont="1" applyFill="1">
      <alignment vertical="center"/>
    </xf>
    <xf numFmtId="0" fontId="59" fillId="15" borderId="0" xfId="0" applyFont="1" applyFill="1" applyAlignment="1">
      <alignment vertical="center"/>
    </xf>
    <xf numFmtId="9" fontId="59" fillId="15" borderId="0" xfId="8" applyFont="1" applyFill="1" applyBorder="1" applyAlignment="1">
      <alignment vertical="center"/>
    </xf>
    <xf numFmtId="41" fontId="60" fillId="15" borderId="0" xfId="1" applyFont="1" applyFill="1" applyBorder="1" applyAlignment="1">
      <alignment horizontal="right" vertical="center"/>
    </xf>
    <xf numFmtId="0" fontId="56" fillId="12" borderId="72" xfId="0" applyFont="1" applyFill="1" applyBorder="1" applyAlignment="1">
      <alignment vertical="center"/>
    </xf>
    <xf numFmtId="187" fontId="56" fillId="12" borderId="72" xfId="1" applyNumberFormat="1" applyFont="1" applyFill="1" applyBorder="1" applyAlignment="1">
      <alignment vertical="center"/>
    </xf>
    <xf numFmtId="41" fontId="56" fillId="12" borderId="72" xfId="1" applyFont="1" applyFill="1" applyBorder="1" applyAlignment="1">
      <alignment vertical="center"/>
    </xf>
    <xf numFmtId="188" fontId="57" fillId="12" borderId="72" xfId="3" applyNumberFormat="1" applyFont="1" applyFill="1" applyBorder="1" applyAlignment="1">
      <alignment horizontal="right" vertical="center"/>
    </xf>
    <xf numFmtId="0" fontId="51" fillId="13" borderId="0" xfId="0" applyFont="1" applyFill="1" applyAlignment="1">
      <alignment vertical="center"/>
    </xf>
    <xf numFmtId="0" fontId="51" fillId="13" borderId="0" xfId="0" applyFont="1" applyFill="1" applyBorder="1" applyAlignment="1">
      <alignment horizontal="center" vertical="center"/>
    </xf>
    <xf numFmtId="0" fontId="51" fillId="13" borderId="0" xfId="0" applyFont="1" applyFill="1" applyAlignment="1">
      <alignment vertical="center" wrapText="1"/>
    </xf>
    <xf numFmtId="0" fontId="51" fillId="13" borderId="0" xfId="0" applyFont="1" applyFill="1" applyAlignment="1">
      <alignment horizontal="center" vertical="center" wrapText="1"/>
    </xf>
    <xf numFmtId="0" fontId="51" fillId="13" borderId="71" xfId="0" applyFont="1" applyFill="1" applyBorder="1" applyAlignment="1">
      <alignment horizontal="center" vertical="center"/>
    </xf>
    <xf numFmtId="0" fontId="51" fillId="13" borderId="0" xfId="0" applyFont="1" applyFill="1" applyAlignment="1">
      <alignment horizontal="center" vertical="center"/>
    </xf>
  </cellXfs>
  <cellStyles count="9">
    <cellStyle name="백분율" xfId="8" builtinId="5"/>
    <cellStyle name="쉼표 [0]" xfId="1" builtinId="6"/>
    <cellStyle name="표준" xfId="0" builtinId="0"/>
    <cellStyle name="표준 10" xfId="7"/>
    <cellStyle name="표준 2" xfId="5"/>
    <cellStyle name="표준 2 2" xfId="3"/>
    <cellStyle name="표준 3" xfId="2"/>
    <cellStyle name="표준 9" xfId="6"/>
    <cellStyle name="하이퍼링크" xfId="4" builtinId="8"/>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3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externalLink" Target="externalLinks/externalLink23.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externalLink" Target="externalLinks/externalLink26.xml"/><Relationship Id="rId47" Type="http://schemas.openxmlformats.org/officeDocument/2006/relationships/externalLink" Target="externalLinks/externalLink31.xml"/><Relationship Id="rId50" Type="http://schemas.openxmlformats.org/officeDocument/2006/relationships/externalLink" Target="externalLinks/externalLink34.xml"/><Relationship Id="rId55" Type="http://schemas.openxmlformats.org/officeDocument/2006/relationships/externalLink" Target="externalLinks/externalLink39.xml"/><Relationship Id="rId63" Type="http://schemas.openxmlformats.org/officeDocument/2006/relationships/externalLink" Target="externalLinks/externalLink47.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externalLink" Target="externalLinks/externalLink24.xml"/><Relationship Id="rId45" Type="http://schemas.openxmlformats.org/officeDocument/2006/relationships/externalLink" Target="externalLinks/externalLink29.xml"/><Relationship Id="rId53" Type="http://schemas.openxmlformats.org/officeDocument/2006/relationships/externalLink" Target="externalLinks/externalLink37.xml"/><Relationship Id="rId58" Type="http://schemas.openxmlformats.org/officeDocument/2006/relationships/externalLink" Target="externalLinks/externalLink42.xml"/><Relationship Id="rId66"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49" Type="http://schemas.openxmlformats.org/officeDocument/2006/relationships/externalLink" Target="externalLinks/externalLink33.xml"/><Relationship Id="rId57" Type="http://schemas.openxmlformats.org/officeDocument/2006/relationships/externalLink" Target="externalLinks/externalLink41.xml"/><Relationship Id="rId61" Type="http://schemas.openxmlformats.org/officeDocument/2006/relationships/externalLink" Target="externalLinks/externalLink45.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externalLink" Target="externalLinks/externalLink28.xml"/><Relationship Id="rId52" Type="http://schemas.openxmlformats.org/officeDocument/2006/relationships/externalLink" Target="externalLinks/externalLink36.xml"/><Relationship Id="rId60" Type="http://schemas.openxmlformats.org/officeDocument/2006/relationships/externalLink" Target="externalLinks/externalLink44.xml"/><Relationship Id="rId65" Type="http://schemas.openxmlformats.org/officeDocument/2006/relationships/externalLink" Target="externalLinks/externalLink4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externalLink" Target="externalLinks/externalLink27.xml"/><Relationship Id="rId48" Type="http://schemas.openxmlformats.org/officeDocument/2006/relationships/externalLink" Target="externalLinks/externalLink32.xml"/><Relationship Id="rId56" Type="http://schemas.openxmlformats.org/officeDocument/2006/relationships/externalLink" Target="externalLinks/externalLink40.xml"/><Relationship Id="rId64" Type="http://schemas.openxmlformats.org/officeDocument/2006/relationships/externalLink" Target="externalLinks/externalLink48.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externalLink" Target="externalLinks/externalLink22.xml"/><Relationship Id="rId46" Type="http://schemas.openxmlformats.org/officeDocument/2006/relationships/externalLink" Target="externalLinks/externalLink30.xml"/><Relationship Id="rId59" Type="http://schemas.openxmlformats.org/officeDocument/2006/relationships/externalLink" Target="externalLinks/externalLink43.xml"/><Relationship Id="rId67" Type="http://schemas.openxmlformats.org/officeDocument/2006/relationships/styles" Target="styles.xml"/><Relationship Id="rId20" Type="http://schemas.openxmlformats.org/officeDocument/2006/relationships/externalLink" Target="externalLinks/externalLink4.xml"/><Relationship Id="rId41" Type="http://schemas.openxmlformats.org/officeDocument/2006/relationships/externalLink" Target="externalLinks/externalLink25.xml"/><Relationship Id="rId54" Type="http://schemas.openxmlformats.org/officeDocument/2006/relationships/externalLink" Target="externalLinks/externalLink38.xml"/><Relationship Id="rId62" Type="http://schemas.openxmlformats.org/officeDocument/2006/relationships/externalLink" Target="externalLinks/externalLink4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sec\CDG\CDG2\AVELANGE\FILETR98\CORIND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44048;&#49324;-&#44592;&#47568;\00-5%20&#54620;&#51652;&#51473;&#44277;&#50629;\WF200\TMP\~TMP7233.$$$\WF200\TMP\~TMP5043.$$$\&#44228;&#51221;&#44284;&#477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2000%20FINAL%20Plan%20standard%20cost%20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My%20Documents\&#48729;&#44536;&#47112;\&#48729;&#44536;&#47112;2002.3.31&#48152;&#44592;&#44160;&#53664;\&#45824;&#51088;3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sec\CDG\CDG2\AVELANGE\FILETR98\VERIND9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sec\CDG\CDG2\AVELANGE\FILETR98\DEVL97\LOTUS\CORIN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WF200\TMP\~TMP954.$$$\WF200\TMP\~TMP7233.$$$\WF200\TMP\~TMP5043.$$$\&#44228;&#51221;&#44284;&#4778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WIN_95\TEMP\PRMPRD9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s&#51221;&#49457;&#49885;\&#51221;&#49457;&#49885;\&#44048;&#49324;-&#44592;&#47568;\00-5%20&#54620;&#51652;&#51473;&#44277;&#50629;\WF200\TMP\~TMP7233.$$$\WF200\TMP\~TMP7201.$$$\ACT\ACT97\&#51116;&#47924;&#51228;&#543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44048;&#49324;-&#44592;&#47568;\00-5%20&#54620;&#51652;&#51473;&#44277;&#50629;\WF200\TMP\~TMP7233.$$$\WF200\TMP\~TMP7201.$$$\ACT\ACT97\&#51116;&#47924;&#51228;&#5436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sfiles.te.trefileurope.com\workgroups\Monthly%20Reporting\2008\1108\Flash%20Astralloy%20(11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4608;&#50689;&#54840;1\&#44208;&#49328;98\&#52264;&#51077;&#44552;\&#54217;&#44512;&#52264;&#51077;&#51060;&#51088;&#5098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288;&#47532;\&#44277;&#47924;\1ST&#44277;&#47924;\&#52280;&#44256;\&#44600;&#51020;\JABO\O12060\INFORM\MYENGBU.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GASEO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0668;&#47749;&#55148;\LEE\97&#54616;&#48152;&#44592;\9744&#48516;&#44592;\usoa\95&#48372;&#44256;\95&#48708;&#5085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web\&#36130;&#21153;&#31185;\FIN\BUDGET97\BS969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uments%20and%20Settings\&#48376;&#51064;&#51032;%20Netware%20Login%20ID\My%20Documents\&#54924;&#44228;&#44048;&#49324;\&#44592;&#47568;&#44048;&#49324;02\4.&#51060;&#51648;&#49884;&#49828;&#53596;\gong\gong\MSOFFICE\EXCEL\PYB\&#50900;&#48324;&#49892;&#51201;\96\MSOFFICE\HEXCEL\PYB\DATA\JEJO95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NBJSFSR50.cn.kworld.kpmg.com\BJ\DOCUME~1\poncelse\LOCALS~1\Temp\ARC28\New%20SOP%20template%20v11june%2017h.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NBJSFSR50.cn.kworld.kpmg.com\BJ\DOCUME~1\poncelse\LOCALS~1\Temp\ARC28\old\New%20SOP%20template%20v16june%2020h.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aottfsr02\fas\My%20Documents\coxdata\forecast%20pre-launch\Quarterly%20Treasury%20Cashflow%20December%206%2020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4728;&#51221;&#48276;\2006&#45380;%20&#48152;&#44592;&#44208;&#49328;\(&#51452;)&#54616;&#51060;&#50060;\&#45817;&#44592;&#47568;&#51312;&#49436;\5131%20&#54788;&#44552;%20&#48143;%20&#50696;&#52824;&#4455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My%20Documents\Excel\LIK\OTH\Inv\00&#48152;&#44592;\&#51116;&#44256;&#51312;&#49324;9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44048;&#49324;-&#44592;&#47568;\00-5%20&#54620;&#51652;&#51473;&#44277;&#50629;\WF200\TMP\~TMP7233.$$$\WF200\TMP\~TMP5461.$$$\&#51116;&#47924;&#51228;&#5436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0.70.10.221\Production%20Planning\&#51333;&#49373;&#44228;\N074\N-074_pch.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54728;&#51221;&#48276;\2006&#45380;%20&#48152;&#44592;&#44208;&#49328;\Documents%20and%20Settings\d970000e\Local%20Settings\Temporary%20Internet%20Files\Content.IE5\26W90TJD\101%20&#44277;&#49324;&#52384;&#49688;&#48372;&#44256;&#49436;\CTG\KANG.R\SILHANG\&#48320;&#44221;&#49892;&#5466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70.10.221\Production%20Planning\WF200\TMP\~TMP8942.$$$\N065PSCH.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C)%205131%20&#54788;&#44552;%20&#48143;%20&#50696;&#52824;&#44552;&#51032;%20&#50892;&#53356;&#49884;&#53944;"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8331%20&#49324;&#50629;&#48708;substantive&#51032;%20&#50892;&#53356;&#49884;&#53944;"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4728;&#51221;&#48276;\2006&#45380;%20&#48152;&#44592;&#44208;&#49328;\&#44048;&#49324;\&#46160;&#47112;&#50640;&#50612;&#47700;&#53448;\&#51312;&#49436;\&#44552;&#50997;&#51088;&#4932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Documents%20and%20Settings\kimsd1\My%20Documents\My%20Documents\2003\&#45824;&#50864;&#52980;&#54504;&#53552;(&#48152;&#44592;)\wtb03&#48152;&#4459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54728;&#51221;&#48276;\2006&#45380;%20&#48152;&#44592;&#44208;&#49328;\&#44048;&#49324;\&#44221;&#45224;&#44592;&#50629;\&#44053;&#46041;&#48124;\&#51064;&#44148;&#4870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4728;&#51221;&#48276;\2006&#45380;%20&#48152;&#44592;&#44208;&#49328;\Documents%20and%20Settings\dongmkang\My%20Documents\&#48155;&#51008;%20&#54028;&#51068;\&#12601;&#12601;&#12601;&#12601;&#12601;&#1260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jkim152/Desktop/Documents%20and%20Settings/woosoklee/Local%20Settings/Temporary%20Internet%20Files/Content.MSO/MSE/Project%20Ticket%20PPA%20Model_20081211_v3(reviewed)/%208100%20&#51077;&#51613;&#51312;&#49436;&#51032;%20&#50892;&#53356;&#49884;&#53944;"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4728;&#51221;&#48276;\2006&#45380;%20&#48152;&#44592;&#44208;&#49328;\(&#51452;)&#49933;&#50857;&#51088;&#46041;&#52264;\&#54788;&#44552;&#50696;&#52824;&#44552;.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30%20&#50689;&#50629;&#48708;&#50857;&#51032;%20&#50892;&#53356;&#49884;&#53944;"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5331%20&#47588;&#52636;&#52292;&#44428;%20&#53580;&#49828;&#53944;&#51032;%20&#50892;&#53356;&#49884;&#53944;"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4728;&#51221;&#48276;\2006&#45380;%20&#48152;&#44592;&#44208;&#49328;\(&#51452;)COEX\&#44592;&#47568;&#44048;&#49324;&#51312;&#49436;\&#51064;&#44148;&#48708;.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8231%20&#47588;&#52636;&#50896;&#44032;%20Substantive%20work&#51032;%20&#50892;&#53356;&#49884;&#53944;"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2261%20Trial%20Balance&#51032;%20&#50892;&#53356;&#49884;&#53944;"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All%20Work\&#44608;&#50684;&#54805;\Audit\&#51228;&#51060;&#50472;&#54788;\02&#44592;&#47568;\&#48372;&#44256;&#49436;\01&#45380;%20&#49688;&#51221;\Documents%20and%20Settings\hymoon\My%20Documents\&#44592;&#47568;&#44048;&#49324;\&#51613;&#44428;&#44144;&#47000;&#49548;\2263%20WTB(31%2012%20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NBJSFSR50.cn.kworld.kpmg.com\BJ\DOCUME~1\poncelse\LOCALS~1\Temp\ARC28\New%20SOP%20template%20v16june%2020h.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4728;&#51221;&#48276;\2006&#45380;%20&#48152;&#44592;&#44208;&#49328;\(&#51452;)&#54616;&#51060;&#50060;\&#45817;&#44592;&#47568;&#51312;&#49436;\6331%20&#52264;&#51077;&#4455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WF200\TMP\~TMP7233.$$$\WF200\TMP\~TMP7201.$$$\ACT\ACT97\&#51116;&#47924;&#51228;&#54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Documents%20and%20Settings\&#48376;&#51064;&#51032;%20Netware%20Login%20ID\My%20Documents\Client02\&#50508;&#53944;&#47200;\&#44592;&#47568;&#44048;&#49324;\gong\gong\MSOFFICE\EXCEL\PYB\&#50900;&#48324;&#49892;&#51201;\96\MSOFFICE\HEXCEL\PYB\DATA\JEJO95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Documents%20and%20Settings\youngjinlee\Desktop\&#54620;&#44397;&#46041;&#49436;&#48156;&#51204;\&#52280;&#44256;&#51088;&#47308;1\Documents%20and%20Settings\sangmannoh\My%20Documents\1.%20audit\3.%20&#45824;&#46041;&#49828;&#54008;\2002&#45380;%20&#48152;&#44592;\&#44048;&#49324;-&#44592;&#47568;\00-5%20&#54620;&#51652;&#51473;&#44277;&#50629;\WF200\TMP\~TMP7233.$$$\WF200\TMP\~TMP5043.$$$\&#44228;&#51221;&#44284;&#4778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WF200\TMP\~TMP7233.$$$\WF200\TMP\~TMP7201.$$$\ACT\ACT97\&#51116;&#47924;&#51228;&#543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WINDOWS\TEMP\WINDOWS\TEMP\&#52264;&#51077;&#44552;\&#54217;&#44512;&#52264;&#51077;&#51060;&#51088;&#5098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4728;&#51221;&#48276;\2006&#45380;%20&#48152;&#44592;&#44208;&#49328;\JABO\O12060\INFORM\MYENGB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98"/>
      <sheetName val="D"/>
      <sheetName val="영업손익(요약)"/>
      <sheetName val="COLOR별 인쇄"/>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과목"/>
      <sheetName val="시산표"/>
      <sheetName val="Config"/>
      <sheetName val="송전기본"/>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VVa"/>
      <sheetName val="A"/>
      <sheetName val="B"/>
      <sheetName val="C"/>
      <sheetName val="E"/>
      <sheetName val="D"/>
      <sheetName val="H"/>
      <sheetName val="F"/>
      <sheetName val="G"/>
      <sheetName val="J"/>
      <sheetName val="Gross Margin Displayed"/>
      <sheetName val="I"/>
      <sheetName val="anaa"/>
      <sheetName val="K"/>
      <sheetName val="L"/>
      <sheetName val="accruals"/>
      <sheetName val="N"/>
      <sheetName val="M"/>
      <sheetName val="O"/>
      <sheetName val="P"/>
      <sheetName val="S"/>
      <sheetName val="Q"/>
      <sheetName val="R"/>
      <sheetName val="T"/>
      <sheetName val="U"/>
      <sheetName val="V"/>
      <sheetName val="Y"/>
      <sheetName val="W"/>
      <sheetName val="X"/>
      <sheetName val="Z"/>
      <sheetName val="AA"/>
      <sheetName val="AD"/>
      <sheetName val="AE"/>
      <sheetName val="AF"/>
      <sheetName val="AG"/>
      <sheetName val="AI"/>
      <sheetName val="AH"/>
      <sheetName val="AK"/>
      <sheetName val="AL"/>
      <sheetName val="AM"/>
      <sheetName val="AR"/>
      <sheetName val="AT"/>
      <sheetName val="BG"/>
      <sheetName val="BH"/>
      <sheetName val="BI"/>
      <sheetName val="BJ"/>
      <sheetName val="BK"/>
      <sheetName val="BF COST"/>
      <sheetName val="SP COST"/>
      <sheetName val="EXTRAORDINARY SPENDING"/>
      <sheetName val="FOOTNOTES"/>
      <sheetName val="Ending Balances"/>
      <sheetName val="Entry"/>
      <sheetName val="LIFO &amp; LCM"/>
      <sheetName val="Market Prices"/>
      <sheetName val="Scrap Prices"/>
      <sheetName val="Flux Detail Oct"/>
      <sheetName val="Flux Detail"/>
      <sheetName val="DATABASE"/>
      <sheetName val="KPI 1"/>
      <sheetName val="KPI 2"/>
      <sheetName val="CCC NBU"/>
      <sheetName val="CCC IBU"/>
      <sheetName val="CCC TOTAL"/>
      <sheetName val="CPC PAYROLL DATA"/>
      <sheetName val="CCC BP P&amp;L STMT"/>
      <sheetName val="CPC BP P&amp;L STMT"/>
      <sheetName val="Larry's Data I"/>
      <sheetName val="Larry's Data II"/>
      <sheetName val="2003-2006 SAFETY INCIDENTS"/>
      <sheetName val="CO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row r="7">
          <cell r="B7" t="str">
            <v>Jan</v>
          </cell>
          <cell r="C7" t="str">
            <v>Feb</v>
          </cell>
          <cell r="D7" t="str">
            <v>Mar</v>
          </cell>
          <cell r="E7" t="str">
            <v>Apr</v>
          </cell>
          <cell r="F7" t="str">
            <v>May</v>
          </cell>
          <cell r="G7" t="str">
            <v>Jun</v>
          </cell>
          <cell r="H7" t="str">
            <v>Jul</v>
          </cell>
          <cell r="I7" t="str">
            <v>Aug</v>
          </cell>
          <cell r="J7" t="str">
            <v>Sep</v>
          </cell>
          <cell r="K7" t="str">
            <v>Oct</v>
          </cell>
          <cell r="L7" t="str">
            <v>Nov</v>
          </cell>
          <cell r="M7" t="str">
            <v>Dec</v>
          </cell>
        </row>
        <row r="18">
          <cell r="B18">
            <v>31909</v>
          </cell>
          <cell r="C18">
            <v>31909</v>
          </cell>
          <cell r="D18">
            <v>31911</v>
          </cell>
          <cell r="E18">
            <v>31908</v>
          </cell>
          <cell r="F18">
            <v>31908</v>
          </cell>
          <cell r="G18">
            <v>31910</v>
          </cell>
          <cell r="H18">
            <v>31917</v>
          </cell>
          <cell r="I18">
            <v>31915</v>
          </cell>
          <cell r="J18">
            <v>31901</v>
          </cell>
          <cell r="K18">
            <v>31895</v>
          </cell>
          <cell r="L18">
            <v>31884</v>
          </cell>
          <cell r="M18">
            <v>31863</v>
          </cell>
        </row>
        <row r="20">
          <cell r="B20">
            <v>108998</v>
          </cell>
          <cell r="C20">
            <v>109698</v>
          </cell>
          <cell r="D20">
            <v>112690</v>
          </cell>
          <cell r="E20">
            <v>106650</v>
          </cell>
          <cell r="F20">
            <v>110070</v>
          </cell>
          <cell r="G20">
            <v>109220</v>
          </cell>
          <cell r="H20">
            <v>108306</v>
          </cell>
          <cell r="I20">
            <v>110017</v>
          </cell>
          <cell r="J20">
            <v>106915</v>
          </cell>
          <cell r="K20">
            <v>105303</v>
          </cell>
          <cell r="L20">
            <v>106979</v>
          </cell>
          <cell r="M20">
            <v>103248</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임차보증금"/>
      <sheetName val="현금과예금"/>
      <sheetName val="유가증권명세서"/>
      <sheetName val="매출총괄"/>
      <sheetName val="외상매출금"/>
      <sheetName val="받을어음"/>
      <sheetName val="미수금"/>
      <sheetName val="미수수익명세서"/>
      <sheetName val="재고자산"/>
      <sheetName val="상품명세"/>
      <sheetName val="제품명세 "/>
      <sheetName val="재공품 "/>
      <sheetName val="도농재료 "/>
      <sheetName val="김해재료 "/>
      <sheetName val="광주재료 "/>
      <sheetName val="논산재료 "/>
      <sheetName val="도농저장품"/>
      <sheetName val="김해저장품"/>
      <sheetName val="광주저장품"/>
      <sheetName val="미착재료"/>
      <sheetName val="제품타계정 "/>
      <sheetName val="상품타계정"/>
      <sheetName val="재료타계정"/>
      <sheetName val="선급금"/>
      <sheetName val="선급비용명세"/>
      <sheetName val="선급비용"/>
      <sheetName val="장기예금"/>
      <sheetName val="투자유권"/>
      <sheetName val="특정"/>
      <sheetName val="분석적검토(대차)"/>
      <sheetName val="53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
      <sheetName val="Histo"/>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과목"/>
      <sheetName val="시산표"/>
      <sheetName val="MASIMS"/>
      <sheetName val="표지"/>
      <sheetName val="pus"/>
      <sheetName val="배부금액"/>
      <sheetName val="10K4"/>
      <sheetName val="FRDS98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and Actual"/>
      <sheetName val="Steel Comp."/>
      <sheetName val="INSTRUCTIONS"/>
      <sheetName val="BUS PLAN INPUT"/>
      <sheetName val="DATABASE"/>
      <sheetName val="CPC BUSINESS PLAN"/>
      <sheetName val="ACCT RESPONSIBILITY"/>
    </sheetNames>
    <sheetDataSet>
      <sheetData sheetId="0" refreshError="1"/>
      <sheetData sheetId="1" refreshError="1">
        <row r="1">
          <cell r="U1">
            <v>36516.593935879631</v>
          </cell>
        </row>
        <row r="8">
          <cell r="W8" t="str">
            <v>Jan</v>
          </cell>
          <cell r="X8">
            <v>445400</v>
          </cell>
          <cell r="Y8">
            <v>440644</v>
          </cell>
          <cell r="Z8">
            <v>-4756</v>
          </cell>
        </row>
        <row r="9">
          <cell r="W9" t="str">
            <v>Feb</v>
          </cell>
          <cell r="X9">
            <v>398200</v>
          </cell>
          <cell r="Y9">
            <v>425021</v>
          </cell>
          <cell r="Z9">
            <v>22065</v>
          </cell>
        </row>
        <row r="10">
          <cell r="W10" t="str">
            <v>Mar</v>
          </cell>
          <cell r="X10">
            <v>423600</v>
          </cell>
          <cell r="Y10">
            <v>440205</v>
          </cell>
          <cell r="Z10">
            <v>38670</v>
          </cell>
        </row>
        <row r="11">
          <cell r="W11" t="str">
            <v>Apr</v>
          </cell>
          <cell r="X11">
            <v>427700</v>
          </cell>
          <cell r="Y11">
            <v>441297</v>
          </cell>
          <cell r="Z11">
            <v>52267</v>
          </cell>
        </row>
        <row r="12">
          <cell r="W12" t="str">
            <v>May</v>
          </cell>
          <cell r="X12">
            <v>440100</v>
          </cell>
          <cell r="Y12">
            <v>461839</v>
          </cell>
          <cell r="Z12">
            <v>74006</v>
          </cell>
        </row>
        <row r="13">
          <cell r="W13" t="str">
            <v>Jun</v>
          </cell>
          <cell r="X13">
            <v>413200</v>
          </cell>
          <cell r="Y13">
            <v>458716</v>
          </cell>
          <cell r="Z13">
            <v>119522</v>
          </cell>
        </row>
        <row r="14">
          <cell r="W14" t="str">
            <v>Jul</v>
          </cell>
          <cell r="X14">
            <v>442500</v>
          </cell>
          <cell r="Y14">
            <v>441325</v>
          </cell>
          <cell r="Z14">
            <v>118347</v>
          </cell>
        </row>
        <row r="15">
          <cell r="W15" t="str">
            <v>Aug</v>
          </cell>
          <cell r="X15">
            <v>441600</v>
          </cell>
          <cell r="Y15">
            <v>463389</v>
          </cell>
          <cell r="Z15">
            <v>140136</v>
          </cell>
        </row>
        <row r="16">
          <cell r="W16" t="str">
            <v>Sep</v>
          </cell>
          <cell r="X16">
            <v>417200</v>
          </cell>
          <cell r="Y16">
            <v>298750</v>
          </cell>
          <cell r="Z16">
            <v>21686</v>
          </cell>
        </row>
        <row r="17">
          <cell r="W17" t="str">
            <v>Oct</v>
          </cell>
          <cell r="X17">
            <v>431500</v>
          </cell>
          <cell r="Y17">
            <v>454596</v>
          </cell>
          <cell r="Z17">
            <v>44782</v>
          </cell>
        </row>
        <row r="18">
          <cell r="W18" t="str">
            <v>Nov</v>
          </cell>
          <cell r="X18">
            <v>351000</v>
          </cell>
          <cell r="Y18">
            <v>457559</v>
          </cell>
          <cell r="Z18">
            <v>151341</v>
          </cell>
        </row>
        <row r="19">
          <cell r="W19" t="str">
            <v>Dec</v>
          </cell>
          <cell r="X19">
            <v>436400</v>
          </cell>
          <cell r="Y19" t="str">
            <v xml:space="preserve"> </v>
          </cell>
          <cell r="Z19" t="str">
            <v xml:space="preserve"> </v>
          </cell>
        </row>
        <row r="21">
          <cell r="W21" t="str">
            <v>Y-T-D</v>
          </cell>
        </row>
        <row r="220">
          <cell r="X220">
            <v>435700</v>
          </cell>
          <cell r="Z220">
            <v>4944</v>
          </cell>
        </row>
        <row r="221">
          <cell r="X221">
            <v>404900</v>
          </cell>
          <cell r="Z221">
            <v>25065</v>
          </cell>
        </row>
        <row r="222">
          <cell r="X222">
            <v>452300</v>
          </cell>
          <cell r="Z222">
            <v>12970</v>
          </cell>
        </row>
        <row r="223">
          <cell r="X223">
            <v>417900</v>
          </cell>
          <cell r="Z223">
            <v>36367</v>
          </cell>
        </row>
        <row r="224">
          <cell r="X224">
            <v>450300</v>
          </cell>
          <cell r="Z224">
            <v>47906</v>
          </cell>
        </row>
        <row r="225">
          <cell r="X225">
            <v>456300</v>
          </cell>
          <cell r="Z225">
            <v>50322</v>
          </cell>
        </row>
        <row r="226">
          <cell r="X226">
            <v>469500</v>
          </cell>
          <cell r="Z226">
            <v>22147</v>
          </cell>
        </row>
        <row r="227">
          <cell r="X227">
            <v>477300</v>
          </cell>
          <cell r="Z227">
            <v>8236</v>
          </cell>
        </row>
        <row r="228">
          <cell r="X228">
            <v>384600</v>
          </cell>
          <cell r="Z228">
            <v>-77614</v>
          </cell>
        </row>
        <row r="229">
          <cell r="X229">
            <v>480300</v>
          </cell>
          <cell r="Z229">
            <v>-103318</v>
          </cell>
        </row>
        <row r="230">
          <cell r="X230">
            <v>453000</v>
          </cell>
          <cell r="Z230">
            <v>-98759</v>
          </cell>
        </row>
        <row r="231">
          <cell r="X231">
            <v>461500</v>
          </cell>
          <cell r="Z231" t="str">
            <v xml:space="preserve"> </v>
          </cell>
        </row>
      </sheetData>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PL"/>
      <sheetName val="시산표"/>
    </sheetNames>
    <sheetDataSet>
      <sheetData sheetId="0"/>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PL"/>
      <sheetName val="시산표"/>
      <sheetName val="부가세신고자료"/>
      <sheetName val="개황"/>
      <sheetName val="긴축실적 (2분기)"/>
      <sheetName val="외화계약"/>
      <sheetName val="XREF"/>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CHEDULE"/>
      <sheetName val="ELECTRIC"/>
      <sheetName val="CTEMCOST"/>
      <sheetName val="#REF"/>
      <sheetName val="갑지"/>
      <sheetName val="토목주소"/>
      <sheetName val="프랜트면허"/>
      <sheetName val="1차네트공정"/>
      <sheetName val="실행(ALT1)"/>
      <sheetName val="본부장"/>
      <sheetName val="단면별연장"/>
      <sheetName val="집계표(육상)"/>
      <sheetName val="지급자재"/>
      <sheetName val="주식"/>
      <sheetName val="갑지(추정)"/>
      <sheetName val="성지공현"/>
      <sheetName val="DATA"/>
      <sheetName val="GAEYO"/>
      <sheetName val="화재 탐지 설비"/>
      <sheetName val="공사개요"/>
      <sheetName val="입찰안"/>
      <sheetName val="COVER"/>
      <sheetName val="wall"/>
      <sheetName val="토사(PE)"/>
      <sheetName val="SG"/>
      <sheetName val="내역"/>
      <sheetName val="2.대외공문"/>
      <sheetName val="관리동"/>
      <sheetName val="일위대가"/>
      <sheetName val=" 냉각수펌프"/>
      <sheetName val="실행예산대비 발주내역1차"/>
      <sheetName val="잡비"/>
      <sheetName val="BEND LOSS"/>
      <sheetName val="2000전체분"/>
      <sheetName val="세원견적서"/>
      <sheetName val="Macro1"/>
      <sheetName val="10월"/>
      <sheetName val="견적서"/>
      <sheetName val="단"/>
      <sheetName val="0226"/>
      <sheetName val="자금흐름표_SAC_작업"/>
      <sheetName val="금액내역서"/>
      <sheetName val="내역서"/>
      <sheetName val="건축공사 집계표"/>
      <sheetName val="골조"/>
      <sheetName val="토목"/>
      <sheetName val="대차대조표"/>
      <sheetName val="울산시산표"/>
      <sheetName val="간접비"/>
      <sheetName val="간접"/>
      <sheetName val="문학간접"/>
      <sheetName val="돈암사업"/>
      <sheetName val="3.건축(현장안)"/>
      <sheetName val="공조기휀"/>
      <sheetName val="AHU집계"/>
      <sheetName val="예가표"/>
      <sheetName val="S0"/>
      <sheetName val="차이내역"/>
      <sheetName val="1차 내역서"/>
      <sheetName val="상세내역,전력산출서"/>
      <sheetName val="보할공정"/>
      <sheetName val="노임단가"/>
      <sheetName val="CONCRETE"/>
      <sheetName val="건축공사"/>
      <sheetName val="5.전사투자계획종함안"/>
      <sheetName val="집계표"/>
      <sheetName val="BOX전기내역"/>
      <sheetName val="찍기"/>
      <sheetName val="CAT_5"/>
      <sheetName val="NYS"/>
      <sheetName val="내역(한신APT)"/>
      <sheetName val="2000년1차"/>
      <sheetName val="지수"/>
      <sheetName val="도급양식"/>
      <sheetName val="요율"/>
      <sheetName val="일위대가표"/>
      <sheetName val="냉천부속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M-1"/>
      <sheetName val="recap"/>
      <sheetName val="Terrys rpt112708"/>
      <sheetName val="Input Shipments"/>
      <sheetName val="lbsbysls103108"/>
      <sheetName val="valship1108"/>
      <sheetName val="jobcost1108"/>
      <sheetName val="ICBPC1108"/>
      <sheetName val="PRELIMBAL1108"/>
      <sheetName val="PRELIMPLRMA11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98(수정)"/>
      <sheetName val="98년"/>
      <sheetName val="97년"/>
      <sheetName val="상황판2data"/>
      <sheetName val="WTB-BS"/>
      <sheetName val="WTB-IS"/>
      <sheetName val="의왕F사"/>
      <sheetName val="가공사"/>
      <sheetName val="전체유통비용"/>
      <sheetName val="Chunghwa"/>
      <sheetName val="통보"/>
      <sheetName val="13역무손익"/>
      <sheetName val="가수금대체"/>
      <sheetName val="방송"/>
      <sheetName val="TC"/>
      <sheetName val="목표검색"/>
      <sheetName val="실적검색"/>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랜트면허"/>
      <sheetName val="토목주소"/>
      <sheetName val="MYENGBU"/>
      <sheetName val="노임단가"/>
      <sheetName val="기초일위"/>
      <sheetName val="수목단가"/>
      <sheetName val="시설수량표"/>
      <sheetName val="시설일위"/>
      <sheetName val="식재수량표"/>
      <sheetName val="식재일위"/>
      <sheetName val="자재단가"/>
      <sheetName val="중기일위대가"/>
      <sheetName val="방배동내역(리라)"/>
      <sheetName val="현장경비"/>
      <sheetName val="건축공사집계표"/>
      <sheetName val="부대공사총괄"/>
      <sheetName val="주식"/>
      <sheetName val="음료실행"/>
      <sheetName val="투자효율분석"/>
      <sheetName val="설계명세서"/>
      <sheetName val="갑지(추정)"/>
      <sheetName val="매립"/>
      <sheetName val="마감사양"/>
      <sheetName val="Sheet4"/>
      <sheetName val="일위대가"/>
      <sheetName val="FORM-0"/>
      <sheetName val="ELECTRIC"/>
      <sheetName val="SCHEDULE"/>
      <sheetName val="CTEMCOST"/>
      <sheetName val="경비"/>
      <sheetName val="물량표"/>
      <sheetName val="EJ"/>
      <sheetName val="금액내역서"/>
      <sheetName val="연돌일위집계"/>
      <sheetName val="내역서"/>
      <sheetName val="실행내역"/>
      <sheetName val="갑지"/>
      <sheetName val="인사자료총집계"/>
      <sheetName val="경영상태"/>
      <sheetName val="Man Hole"/>
      <sheetName val="Sheet5"/>
      <sheetName val="집계표"/>
      <sheetName val="0226"/>
      <sheetName val="갑지1"/>
      <sheetName val="1ST"/>
      <sheetName val="DATA2000"/>
      <sheetName val="TEST1"/>
      <sheetName val="입출재고현황 (2)"/>
      <sheetName val="A"/>
      <sheetName val="공사내역"/>
      <sheetName val="금융비용"/>
      <sheetName val="배명(단가)"/>
      <sheetName val="#REF"/>
      <sheetName val="결제"/>
      <sheetName val="할증 "/>
      <sheetName val="CAL1"/>
      <sheetName val="내역"/>
      <sheetName val="표준건축비"/>
      <sheetName val="환율"/>
      <sheetName val="차액보증"/>
      <sheetName val="archi(본사)"/>
      <sheetName val="대비"/>
      <sheetName val="변경내역대비표(2)"/>
      <sheetName val="개요"/>
      <sheetName val="부속동"/>
      <sheetName val="수량3"/>
      <sheetName val="Sheet1"/>
      <sheetName val="도급"/>
      <sheetName val="지급자재"/>
      <sheetName val="ENE-CAL"/>
      <sheetName val="중기사용료"/>
      <sheetName val="정부노임단가"/>
      <sheetName val="실행"/>
      <sheetName val="기안"/>
      <sheetName val="개산공사비"/>
      <sheetName val="단가표 "/>
      <sheetName val="부하계산서"/>
      <sheetName val="연결임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원투입계획"/>
      <sheetName val="장비투입계획"/>
      <sheetName val="실행내역"/>
      <sheetName val="프랜트면허"/>
      <sheetName val="토목주소"/>
    </sheetNames>
    <sheetDataSet>
      <sheetData sheetId="0"/>
      <sheetData sheetId="1"/>
      <sheetData sheetId="2"/>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수익인식"/>
      <sheetName val="lead"/>
      <sheetName val="현금과예금(부산)"/>
      <sheetName val="XREF"/>
      <sheetName val="수정시산표"/>
      <sheetName val="118.세금과공과"/>
      <sheetName val="108.수선비"/>
      <sheetName val="97년"/>
      <sheetName val="F3"/>
      <sheetName val="F12"/>
      <sheetName val="F1,2"/>
      <sheetName val="장비내역서"/>
      <sheetName val="기별(종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CPCXCI"/>
      <sheetName val="PLT"/>
      <sheetName val="PLCP"/>
      <sheetName val="PLIP"/>
      <sheetName val="PLCX"/>
      <sheetName val="PLCI"/>
      <sheetName val="BS"/>
      <sheetName val="Rate"/>
      <sheetName val="NBCF1"/>
      <sheetName val="NBCF"/>
      <sheetName val="ARDAYS"/>
      <sheetName val="INVDAYS"/>
      <sheetName val="APDAY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기본"/>
      <sheetName val="저압기본"/>
      <sheetName val="고압기본"/>
      <sheetName val="변압기본"/>
      <sheetName val="계량기본"/>
      <sheetName val="송전기본"/>
      <sheetName val="품목코드"/>
      <sheetName val="회사정보"/>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s &amp; Tubes (stk only)"/>
      <sheetName val="Pipes &amp; Tubes"/>
      <sheetName val="Plates"/>
      <sheetName val="Spain"/>
      <sheetName val="Beams"/>
      <sheetName val="S&amp;OP Input- Spain"/>
      <sheetName val="S&amp;OP Input- France"/>
      <sheetName val="S&amp;OP Input- BeNelux"/>
      <sheetName val="S&amp;OP Input- UK"/>
      <sheetName val="S&amp;OP Input- Germ &amp; Swit."/>
      <sheetName val="S&amp;OP Input- East. Europe"/>
      <sheetName val="S&amp;OP Input- Poland"/>
      <sheetName val="S&amp;OP Input- Turkey"/>
      <sheetName val="S&amp;OP Input- Maghreb"/>
      <sheetName val="S&amp;OP Input- AM CLE"/>
      <sheetName val="France"/>
      <sheetName val="BeNeLux"/>
      <sheetName val="UK"/>
      <sheetName val="Germ &amp; Swit"/>
      <sheetName val="East. Europe"/>
      <sheetName val="Poland"/>
      <sheetName val="Italy"/>
      <sheetName val="Turkey"/>
      <sheetName val="Maghreb"/>
      <sheetName val="AM CLE"/>
      <sheetName val="Glob Temp"/>
      <sheetName val="Deviation"/>
      <sheetName val="Not Used"/>
      <sheetName val="Simulation"/>
      <sheetName val="Country Input Definition"/>
      <sheetName val="Country S&amp;OP Input- Spain"/>
      <sheetName val="Target S&amp;OP_db"/>
      <sheetName val="Support"/>
      <sheetName val="SOP_forecast_inventory"/>
      <sheetName val="SOP_forecast_shipment"/>
      <sheetName val="SOP_db"/>
      <sheetName val="Slow movers_w20"/>
      <sheetName val="Monthly shipment actual"/>
      <sheetName val="Weekly inventory actual"/>
      <sheetName val="Monthly shipment_db"/>
      <sheetName val="Weekly inventory_db"/>
      <sheetName val="Correspondance table_products"/>
      <sheetName val="Plates(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s &amp; Tubes (stk only)"/>
      <sheetName val="Pipes &amp; Tubes"/>
      <sheetName val="Plates"/>
      <sheetName val="Spain"/>
      <sheetName val="Beams"/>
      <sheetName val="S&amp;OP Input- Spain"/>
      <sheetName val="S&amp;OP Input- France"/>
      <sheetName val="S&amp;OP Input- BeNelux"/>
      <sheetName val="S&amp;OP Input- UK"/>
      <sheetName val="S&amp;OP Input- Germ &amp; Swit."/>
      <sheetName val="S&amp;OP Input- East. Europe"/>
      <sheetName val="S&amp;OP Input- Poland"/>
      <sheetName val="S&amp;OP Input- Turkey"/>
      <sheetName val="S&amp;OP Input- Maghreb"/>
      <sheetName val="S&amp;OP Input- AM CLE"/>
      <sheetName val="France"/>
      <sheetName val="BeNeLux"/>
      <sheetName val="UK"/>
      <sheetName val="Germ &amp; Swit"/>
      <sheetName val="East. Europe"/>
      <sheetName val="Poland"/>
      <sheetName val="Italy"/>
      <sheetName val="Turkey"/>
      <sheetName val="Maghreb"/>
      <sheetName val="AM CLE"/>
      <sheetName val="Glob Temp (old)"/>
      <sheetName val="Deviation"/>
      <sheetName val="Not Used"/>
      <sheetName val="Simulation"/>
      <sheetName val="Country Input Definition"/>
      <sheetName val="Country S&amp;OP Input- Spain"/>
      <sheetName val="Target S&amp;OP_db"/>
      <sheetName val="Support"/>
      <sheetName val="SOP_forecast_inventory"/>
      <sheetName val="SOP_forecast_shipment"/>
      <sheetName val="SOP_db"/>
      <sheetName val="Slow movers_w20"/>
      <sheetName val="Monthly shipment actual"/>
      <sheetName val="Weekly inventory actual"/>
      <sheetName val="Monthly shipment_db"/>
      <sheetName val="Weekly inventory_db"/>
      <sheetName val="Correspondance table_products"/>
      <sheetName val="Plates(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easury Cashflow"/>
      <sheetName val="Reference"/>
      <sheetName val="GEN Inputs"/>
      <sheetName val="YOEMAGUM"/>
      <sheetName val="Cntmrs-Recruit"/>
      <sheetName val="GraphMain"/>
      <sheetName val="5 Indirect"/>
      <sheetName val="E_CLECs"/>
      <sheetName val="Paging"/>
      <sheetName val="DWMC"/>
      <sheetName val="Inputs"/>
      <sheetName val="ROIC"/>
      <sheetName val="1. ROIC"/>
      <sheetName val="Asset Detail"/>
      <sheetName val="Mult-3yr"/>
      <sheetName val="RUL2"/>
      <sheetName val="Pricing"/>
      <sheetName val="KeyMultInputs"/>
      <sheetName val="WMCAP"/>
      <sheetName val="FAR"/>
      <sheetName val="Accounts"/>
      <sheetName val="I&amp;E-2003-MFC PEG"/>
      <sheetName val="2-"/>
      <sheetName val="Intangibles"/>
      <sheetName val="Assum (Ruud)"/>
      <sheetName val="WACC (Ruud)"/>
      <sheetName val="Tech-BetaLED"/>
      <sheetName val="Assum"/>
      <sheetName val="Ex_Rates"/>
      <sheetName val="Assumptions and Inputs"/>
      <sheetName val="Revenue Detail"/>
      <sheetName val="WP_Hist ABC"/>
      <sheetName val="P&amp;L98YTD -Farinaceo"/>
      <sheetName val="P&amp;L99YTD - Farinaceo"/>
      <sheetName val="Orbismodel"/>
      <sheetName val="Control Panel"/>
      <sheetName val="Fleet%"/>
      <sheetName val="Summary"/>
      <sheetName val="Extraction_in_Percent_by_Enterp"/>
      <sheetName val="CCP"/>
      <sheetName val="Treasury_Cashflow"/>
      <sheetName val="GEN_Inputs"/>
      <sheetName val="5_Indirect"/>
      <sheetName val="1__ROIC"/>
      <sheetName val="I&amp;E-2003-MFC_PEG"/>
      <sheetName val="Asset_Detail"/>
      <sheetName val="Assum_(Ruud)"/>
      <sheetName val="WACC_(Ruud)"/>
      <sheetName val="WP_Hist_ABC"/>
      <sheetName val="P&amp;L98YTD_-Farinaceo"/>
      <sheetName val="P&amp;L99YTD_-_Farinaceo"/>
      <sheetName val="Control_Panel"/>
      <sheetName val="Assumptions_and_Inputs"/>
      <sheetName val="Revenue_Detail"/>
      <sheetName val="Validations"/>
      <sheetName val="Quarterly Treasury Cashflow Dec"/>
      <sheetName val="Agreement Summaries"/>
      <sheetName val="Share Prices"/>
      <sheetName val="Share_Prices"/>
      <sheetName val="Assumptions"/>
      <sheetName val="유통망계획"/>
      <sheetName val="?????"/>
      <sheetName val="RATE"/>
      <sheetName val="기본정보"/>
      <sheetName val="현장"/>
    </sheetNames>
    <sheetDataSet>
      <sheetData sheetId="0" refreshError="1"/>
      <sheetData sheetId="1" refreshError="1">
        <row r="4">
          <cell r="C4" t="str">
            <v>M4.07</v>
          </cell>
        </row>
        <row r="26">
          <cell r="C26" t="str">
            <v>September</v>
          </cell>
          <cell r="D26">
            <v>9</v>
          </cell>
          <cell r="E26">
            <v>2004</v>
          </cell>
          <cell r="F26" t="str">
            <v>Sep '04</v>
          </cell>
        </row>
        <row r="27">
          <cell r="C27" t="str">
            <v>October</v>
          </cell>
          <cell r="D27">
            <v>10</v>
          </cell>
          <cell r="E27">
            <v>2004</v>
          </cell>
          <cell r="F27" t="str">
            <v>Oct '04</v>
          </cell>
        </row>
        <row r="28">
          <cell r="C28" t="str">
            <v>November</v>
          </cell>
          <cell r="D28">
            <v>11</v>
          </cell>
          <cell r="E28">
            <v>2004</v>
          </cell>
          <cell r="F28" t="str">
            <v>Nov '04</v>
          </cell>
        </row>
        <row r="29">
          <cell r="C29" t="str">
            <v>December</v>
          </cell>
          <cell r="D29">
            <v>12</v>
          </cell>
          <cell r="E29">
            <v>2004</v>
          </cell>
          <cell r="F29" t="str">
            <v>Dec '04</v>
          </cell>
        </row>
        <row r="30">
          <cell r="C30" t="str">
            <v>January</v>
          </cell>
          <cell r="D30">
            <v>1</v>
          </cell>
          <cell r="E30">
            <v>2005</v>
          </cell>
          <cell r="F30" t="str">
            <v>Jan '05</v>
          </cell>
        </row>
        <row r="31">
          <cell r="C31" t="str">
            <v>February</v>
          </cell>
          <cell r="D31">
            <v>2</v>
          </cell>
          <cell r="E31">
            <v>2005</v>
          </cell>
          <cell r="F31" t="str">
            <v>Feb '05</v>
          </cell>
        </row>
        <row r="32">
          <cell r="C32" t="str">
            <v>March</v>
          </cell>
          <cell r="D32">
            <v>3</v>
          </cell>
          <cell r="E32">
            <v>2005</v>
          </cell>
          <cell r="F32" t="str">
            <v>Mar '05</v>
          </cell>
        </row>
        <row r="33">
          <cell r="C33" t="str">
            <v>April</v>
          </cell>
          <cell r="D33">
            <v>4</v>
          </cell>
          <cell r="E33">
            <v>2005</v>
          </cell>
          <cell r="F33" t="str">
            <v>Apr '05</v>
          </cell>
        </row>
        <row r="34">
          <cell r="C34" t="str">
            <v>May</v>
          </cell>
          <cell r="D34">
            <v>5</v>
          </cell>
          <cell r="E34">
            <v>2005</v>
          </cell>
          <cell r="F34" t="str">
            <v>May '05</v>
          </cell>
        </row>
        <row r="35">
          <cell r="C35" t="str">
            <v>June</v>
          </cell>
          <cell r="D35">
            <v>6</v>
          </cell>
          <cell r="E35">
            <v>2005</v>
          </cell>
          <cell r="F35" t="str">
            <v>Jun '05</v>
          </cell>
        </row>
        <row r="36">
          <cell r="C36" t="str">
            <v>July</v>
          </cell>
          <cell r="D36">
            <v>7</v>
          </cell>
          <cell r="E36">
            <v>2005</v>
          </cell>
          <cell r="F36" t="str">
            <v>Jul '05</v>
          </cell>
        </row>
        <row r="37">
          <cell r="C37" t="str">
            <v>August</v>
          </cell>
          <cell r="D37">
            <v>8</v>
          </cell>
          <cell r="E37">
            <v>2005</v>
          </cell>
          <cell r="F37" t="str">
            <v>Aug '05</v>
          </cell>
        </row>
        <row r="38">
          <cell r="C38" t="str">
            <v>September</v>
          </cell>
          <cell r="D38">
            <v>9</v>
          </cell>
          <cell r="E38">
            <v>2005</v>
          </cell>
          <cell r="F38" t="str">
            <v>Sep '05</v>
          </cell>
        </row>
        <row r="39">
          <cell r="C39" t="str">
            <v>October</v>
          </cell>
          <cell r="D39">
            <v>10</v>
          </cell>
          <cell r="E39">
            <v>2005</v>
          </cell>
          <cell r="F39" t="str">
            <v>Oct '05</v>
          </cell>
        </row>
        <row r="40">
          <cell r="C40" t="str">
            <v>November</v>
          </cell>
          <cell r="D40">
            <v>11</v>
          </cell>
          <cell r="E40">
            <v>2005</v>
          </cell>
          <cell r="F40" t="str">
            <v>Nov '05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Schedule"/>
      <sheetName val="현금및예치금집계표"/>
      <sheetName val="현금및현금등가물명세서"/>
      <sheetName val="장기금융상품명세서"/>
      <sheetName val="XREF"/>
      <sheetName val="Tickmarks"/>
      <sheetName val="ITEM"/>
      <sheetName val="오산갈곳"/>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고조사1"/>
      <sheetName val="재고조사자"/>
      <sheetName val="타처보관"/>
      <sheetName val="하기휴가변경"/>
      <sheetName val="Sheet1"/>
      <sheetName val="T_No"/>
      <sheetName val="RPMF"/>
      <sheetName val="FGMD"/>
      <sheetName val="FGMD (2)"/>
      <sheetName val="FGMD (3)"/>
      <sheetName val="INFG1198"/>
      <sheetName val="INFG1198 (2)"/>
      <sheetName val="INMD1198"/>
      <sheetName val="INMD1198 (2)"/>
      <sheetName val="key"/>
      <sheetName val="RMPM"/>
      <sheetName val="RMPM (2)"/>
      <sheetName val="RMPM (3)"/>
      <sheetName val="RMPM (4)"/>
      <sheetName val="INRM1198"/>
      <sheetName val="INRM1198 (2)"/>
      <sheetName val="INPM1198"/>
      <sheetName val="INPM1198 (2)"/>
      <sheetName val="Sheet3 (2)"/>
      <sheetName val="Sheet2"/>
      <sheetName val="Sheet3"/>
      <sheetName val="Macro1"/>
      <sheetName val="Macro2"/>
      <sheetName val="목차"/>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row r="10">
          <cell r="AX10" t="str">
            <v>/re~~</v>
          </cell>
        </row>
        <row r="30">
          <cell r="B30">
            <v>101503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PL"/>
      <sheetName val="시산표"/>
      <sheetName val="금융부채"/>
      <sheetName val="비용"/>
      <sheetName val="원가"/>
      <sheetName val="요약재무"/>
      <sheetName val="요약손익"/>
      <sheetName val="사업별"/>
      <sheetName val="사업장별"/>
      <sheetName val="표지"/>
      <sheetName val="grap"/>
      <sheetName val="공사원가"/>
      <sheetName val="잉여금"/>
      <sheetName val="손익계산서"/>
      <sheetName val="BM_NEW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수"/>
      <sheetName val="P00"/>
      <sheetName val="P01"/>
      <sheetName val="P02"/>
      <sheetName val="P03"/>
      <sheetName val="P04"/>
      <sheetName val="P05"/>
      <sheetName val="P06"/>
      <sheetName val="P07"/>
      <sheetName val="P08"/>
      <sheetName val="P09"/>
      <sheetName val="P10"/>
      <sheetName val="P11"/>
      <sheetName val="P12"/>
      <sheetName val="P13"/>
      <sheetName val="P14"/>
      <sheetName val="P15"/>
      <sheetName val="P16"/>
      <sheetName val="P17"/>
      <sheetName val="P18"/>
      <sheetName val="P19"/>
      <sheetName val="P20"/>
      <sheetName val="P21"/>
      <sheetName val="P22"/>
      <sheetName val="P27"/>
      <sheetName val="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9">
          <cell r="B9" t="str">
            <v>HULL</v>
          </cell>
          <cell r="C9">
            <v>1</v>
          </cell>
          <cell r="D9" t="str">
            <v xml:space="preserve"> </v>
          </cell>
          <cell r="E9" t="str">
            <v xml:space="preserve">STERN CASTING                           </v>
          </cell>
          <cell r="F9" t="str">
            <v>A0110N0630001B29D</v>
          </cell>
          <cell r="G9">
            <v>1</v>
          </cell>
          <cell r="H9">
            <v>22123</v>
          </cell>
          <cell r="I9" t="str">
            <v>W</v>
          </cell>
          <cell r="J9">
            <v>55</v>
          </cell>
          <cell r="K9">
            <v>36411</v>
          </cell>
        </row>
        <row r="10">
          <cell r="B10" t="str">
            <v>HULL</v>
          </cell>
          <cell r="C10">
            <v>2</v>
          </cell>
          <cell r="D10" t="str">
            <v xml:space="preserve"> </v>
          </cell>
          <cell r="E10" t="str">
            <v>RUDDER HORN CASTING</v>
          </cell>
          <cell r="F10" t="str">
            <v>A0111N0630001B29D</v>
          </cell>
          <cell r="G10">
            <v>1</v>
          </cell>
          <cell r="H10">
            <v>22123</v>
          </cell>
          <cell r="I10" t="str">
            <v>W</v>
          </cell>
          <cell r="J10">
            <v>55</v>
          </cell>
          <cell r="K10">
            <v>36411</v>
          </cell>
        </row>
        <row r="11">
          <cell r="B11" t="str">
            <v>HULL</v>
          </cell>
          <cell r="C11">
            <v>3</v>
          </cell>
          <cell r="D11" t="str">
            <v xml:space="preserve"> </v>
          </cell>
          <cell r="E11" t="str">
            <v>WINDLASS BED</v>
          </cell>
          <cell r="F11" t="str">
            <v>A5770N063F400NNND</v>
          </cell>
          <cell r="G11">
            <v>2</v>
          </cell>
          <cell r="H11">
            <v>22135</v>
          </cell>
          <cell r="I11" t="str">
            <v>L</v>
          </cell>
          <cell r="J11">
            <v>-55</v>
          </cell>
          <cell r="K11">
            <v>36478</v>
          </cell>
        </row>
        <row r="12">
          <cell r="B12" t="str">
            <v>HULL</v>
          </cell>
          <cell r="C12">
            <v>4</v>
          </cell>
          <cell r="D12" t="str">
            <v xml:space="preserve"> </v>
          </cell>
          <cell r="E12" t="str">
            <v>MOORING WINCH BED</v>
          </cell>
          <cell r="F12" t="str">
            <v>A5770N063F500NNND</v>
          </cell>
          <cell r="G12">
            <v>10</v>
          </cell>
          <cell r="H12">
            <v>22135</v>
          </cell>
          <cell r="I12" t="str">
            <v>L</v>
          </cell>
          <cell r="J12">
            <v>-55</v>
          </cell>
          <cell r="K12">
            <v>36478</v>
          </cell>
        </row>
        <row r="13">
          <cell r="B13" t="str">
            <v>ELEC</v>
          </cell>
          <cell r="C13">
            <v>5</v>
          </cell>
          <cell r="D13" t="str">
            <v xml:space="preserve"> </v>
          </cell>
          <cell r="E13" t="str">
            <v>X-BAND RADAR SYSTEM</v>
          </cell>
          <cell r="F13" t="str">
            <v>A6111N0630000B29D</v>
          </cell>
          <cell r="G13">
            <v>1</v>
          </cell>
          <cell r="H13">
            <v>22144</v>
          </cell>
          <cell r="I13" t="str">
            <v>L</v>
          </cell>
          <cell r="J13">
            <v>-60</v>
          </cell>
          <cell r="K13">
            <v>36473</v>
          </cell>
        </row>
        <row r="14">
          <cell r="B14" t="str">
            <v>ELEC</v>
          </cell>
          <cell r="C14">
            <v>6</v>
          </cell>
          <cell r="D14" t="str">
            <v xml:space="preserve"> </v>
          </cell>
          <cell r="E14" t="str">
            <v>S-BAND RADAR SYSTEM</v>
          </cell>
          <cell r="F14" t="str">
            <v>A6112N0630000B29D</v>
          </cell>
          <cell r="G14">
            <v>1</v>
          </cell>
          <cell r="H14">
            <v>22144</v>
          </cell>
          <cell r="I14" t="str">
            <v>L</v>
          </cell>
          <cell r="J14">
            <v>-60</v>
          </cell>
          <cell r="K14">
            <v>36473</v>
          </cell>
        </row>
        <row r="15">
          <cell r="B15" t="str">
            <v>ELEC</v>
          </cell>
          <cell r="C15">
            <v>7</v>
          </cell>
          <cell r="D15" t="str">
            <v xml:space="preserve"> </v>
          </cell>
          <cell r="E15" t="str">
            <v>GYRO, AUTO &amp; PILOT SYSTEM</v>
          </cell>
          <cell r="F15" t="str">
            <v>A6120N0630000B29D</v>
          </cell>
          <cell r="G15">
            <v>1</v>
          </cell>
          <cell r="H15">
            <v>22144</v>
          </cell>
          <cell r="I15" t="str">
            <v>L</v>
          </cell>
          <cell r="J15">
            <v>-60</v>
          </cell>
          <cell r="K15">
            <v>36473</v>
          </cell>
        </row>
        <row r="16">
          <cell r="B16" t="str">
            <v>ELEC</v>
          </cell>
          <cell r="C16">
            <v>8</v>
          </cell>
          <cell r="D16" t="str">
            <v xml:space="preserve"> </v>
          </cell>
          <cell r="E16" t="str">
            <v>MAGNETIC COMPASS</v>
          </cell>
          <cell r="F16" t="str">
            <v>A6122N0630000B29D</v>
          </cell>
          <cell r="G16">
            <v>1</v>
          </cell>
          <cell r="H16">
            <v>22144</v>
          </cell>
          <cell r="I16" t="str">
            <v>L</v>
          </cell>
          <cell r="J16">
            <v>-60</v>
          </cell>
          <cell r="K16">
            <v>36473</v>
          </cell>
        </row>
        <row r="17">
          <cell r="B17" t="str">
            <v>ELEC</v>
          </cell>
          <cell r="C17">
            <v>9</v>
          </cell>
          <cell r="D17" t="str">
            <v xml:space="preserve"> </v>
          </cell>
          <cell r="E17" t="str">
            <v>GPS NAVIGATOR</v>
          </cell>
          <cell r="F17" t="str">
            <v>A6131N0630000B29D</v>
          </cell>
          <cell r="G17">
            <v>1</v>
          </cell>
          <cell r="H17">
            <v>22144</v>
          </cell>
          <cell r="I17" t="str">
            <v>L</v>
          </cell>
          <cell r="J17">
            <v>-30</v>
          </cell>
          <cell r="K17">
            <v>36503</v>
          </cell>
        </row>
        <row r="18">
          <cell r="B18" t="str">
            <v>ELEC</v>
          </cell>
          <cell r="C18">
            <v>10</v>
          </cell>
          <cell r="D18" t="str">
            <v xml:space="preserve"> </v>
          </cell>
          <cell r="E18" t="str">
            <v>ECHO SOUNDER</v>
          </cell>
          <cell r="F18" t="str">
            <v>A6141N0630002B29D</v>
          </cell>
          <cell r="G18">
            <v>1</v>
          </cell>
          <cell r="H18">
            <v>22144</v>
          </cell>
          <cell r="I18" t="str">
            <v>W</v>
          </cell>
          <cell r="J18">
            <v>15</v>
          </cell>
          <cell r="K18">
            <v>36371</v>
          </cell>
        </row>
        <row r="19">
          <cell r="B19" t="str">
            <v>ELEC</v>
          </cell>
          <cell r="C19">
            <v>11</v>
          </cell>
          <cell r="D19" t="str">
            <v xml:space="preserve"> </v>
          </cell>
          <cell r="E19" t="str">
            <v>DOPPLER SPEED LOG (SONAR)</v>
          </cell>
          <cell r="F19" t="str">
            <v>A6142N0630000B29D</v>
          </cell>
          <cell r="G19">
            <v>1</v>
          </cell>
          <cell r="H19">
            <v>22144</v>
          </cell>
          <cell r="I19" t="str">
            <v>W</v>
          </cell>
          <cell r="J19">
            <v>15</v>
          </cell>
          <cell r="K19">
            <v>36371</v>
          </cell>
        </row>
        <row r="20">
          <cell r="B20" t="str">
            <v>ELEC</v>
          </cell>
          <cell r="C20">
            <v>12</v>
          </cell>
          <cell r="D20" t="str">
            <v xml:space="preserve"> </v>
          </cell>
          <cell r="E20" t="str">
            <v>WEATHER FACSIMILE RECEIVER</v>
          </cell>
          <cell r="F20" t="str">
            <v>A6152N0630000B29D</v>
          </cell>
          <cell r="G20">
            <v>1</v>
          </cell>
          <cell r="H20">
            <v>22144</v>
          </cell>
          <cell r="I20" t="str">
            <v>L</v>
          </cell>
          <cell r="J20">
            <v>-30</v>
          </cell>
          <cell r="K20">
            <v>36503</v>
          </cell>
        </row>
        <row r="21">
          <cell r="B21" t="str">
            <v>ELEC</v>
          </cell>
          <cell r="C21">
            <v>13</v>
          </cell>
          <cell r="D21" t="str">
            <v xml:space="preserve"> </v>
          </cell>
          <cell r="E21" t="str">
            <v>ELECTRIC CLOCK SYSTEM</v>
          </cell>
          <cell r="F21" t="str">
            <v>A6161N0630000NNND</v>
          </cell>
          <cell r="G21">
            <v>1</v>
          </cell>
          <cell r="H21">
            <v>22144</v>
          </cell>
          <cell r="I21" t="str">
            <v>L</v>
          </cell>
          <cell r="J21">
            <v>-30</v>
          </cell>
          <cell r="K21">
            <v>36503</v>
          </cell>
        </row>
        <row r="22">
          <cell r="B22" t="str">
            <v>ELEC</v>
          </cell>
          <cell r="C22">
            <v>14</v>
          </cell>
          <cell r="D22" t="str">
            <v xml:space="preserve"> </v>
          </cell>
          <cell r="E22" t="str">
            <v>WIND INDICATOR SYSTEM</v>
          </cell>
          <cell r="F22" t="str">
            <v>A6162N0630000NNND</v>
          </cell>
          <cell r="G22">
            <v>1</v>
          </cell>
          <cell r="H22">
            <v>22144</v>
          </cell>
          <cell r="I22" t="str">
            <v>L</v>
          </cell>
          <cell r="J22">
            <v>-30</v>
          </cell>
          <cell r="K22">
            <v>36503</v>
          </cell>
        </row>
        <row r="23">
          <cell r="B23" t="str">
            <v>ELEC</v>
          </cell>
          <cell r="C23">
            <v>15</v>
          </cell>
          <cell r="D23" t="str">
            <v xml:space="preserve"> </v>
          </cell>
          <cell r="E23" t="str">
            <v>RADIO PLANT</v>
          </cell>
          <cell r="F23" t="str">
            <v>A6211N0630000B29D</v>
          </cell>
          <cell r="G23">
            <v>1</v>
          </cell>
          <cell r="H23">
            <v>22144</v>
          </cell>
          <cell r="I23" t="str">
            <v>L</v>
          </cell>
          <cell r="J23">
            <v>-30</v>
          </cell>
          <cell r="K23">
            <v>36503</v>
          </cell>
        </row>
        <row r="24">
          <cell r="B24" t="str">
            <v>ELEC</v>
          </cell>
          <cell r="C24">
            <v>16</v>
          </cell>
          <cell r="D24" t="str">
            <v xml:space="preserve"> </v>
          </cell>
          <cell r="E24" t="str">
            <v>RADIO TRANSCEIVER</v>
          </cell>
          <cell r="F24" t="str">
            <v>A6212N0630000B29D</v>
          </cell>
          <cell r="G24">
            <v>2</v>
          </cell>
          <cell r="H24">
            <v>22144</v>
          </cell>
          <cell r="I24" t="str">
            <v>L</v>
          </cell>
          <cell r="J24">
            <v>-30</v>
          </cell>
          <cell r="K24">
            <v>36503</v>
          </cell>
        </row>
        <row r="25">
          <cell r="B25" t="str">
            <v>ELEC</v>
          </cell>
          <cell r="C25">
            <v>17</v>
          </cell>
          <cell r="D25" t="str">
            <v xml:space="preserve"> </v>
          </cell>
          <cell r="E25" t="str">
            <v>VHF RADIO TELEPHONE</v>
          </cell>
          <cell r="F25" t="str">
            <v>A6221N0630000B29D</v>
          </cell>
          <cell r="G25">
            <v>2</v>
          </cell>
          <cell r="H25">
            <v>22144</v>
          </cell>
          <cell r="I25" t="str">
            <v>L</v>
          </cell>
          <cell r="J25">
            <v>-30</v>
          </cell>
          <cell r="K25">
            <v>36503</v>
          </cell>
        </row>
        <row r="26">
          <cell r="B26" t="str">
            <v>ELEC</v>
          </cell>
          <cell r="C26">
            <v>18</v>
          </cell>
          <cell r="D26" t="str">
            <v xml:space="preserve"> </v>
          </cell>
          <cell r="E26" t="str">
            <v>INMARSAT STANDARD-C</v>
          </cell>
          <cell r="F26" t="str">
            <v>A6232N0630000B29D</v>
          </cell>
          <cell r="G26">
            <v>1</v>
          </cell>
          <cell r="H26">
            <v>22144</v>
          </cell>
          <cell r="I26" t="str">
            <v>L</v>
          </cell>
          <cell r="J26">
            <v>-60</v>
          </cell>
          <cell r="K26">
            <v>36473</v>
          </cell>
        </row>
        <row r="27">
          <cell r="B27" t="str">
            <v>ELEC</v>
          </cell>
          <cell r="C27">
            <v>19</v>
          </cell>
          <cell r="D27" t="str">
            <v xml:space="preserve"> </v>
          </cell>
          <cell r="E27" t="str">
            <v>INMARSAT STANDARD-B</v>
          </cell>
          <cell r="F27" t="str">
            <v>A6233N0630000B29D</v>
          </cell>
          <cell r="G27">
            <v>1</v>
          </cell>
          <cell r="H27">
            <v>22144</v>
          </cell>
          <cell r="I27" t="str">
            <v>L</v>
          </cell>
          <cell r="J27">
            <v>-60</v>
          </cell>
          <cell r="K27">
            <v>36473</v>
          </cell>
        </row>
        <row r="28">
          <cell r="B28" t="str">
            <v>ELEC</v>
          </cell>
          <cell r="C28">
            <v>20</v>
          </cell>
          <cell r="D28" t="str">
            <v xml:space="preserve"> </v>
          </cell>
          <cell r="E28" t="str">
            <v>VHF WALKIE-TALKIE</v>
          </cell>
          <cell r="F28" t="str">
            <v>A6241N0630000B29D</v>
          </cell>
          <cell r="G28">
            <v>3</v>
          </cell>
          <cell r="H28">
            <v>22144</v>
          </cell>
          <cell r="I28" t="str">
            <v>L</v>
          </cell>
          <cell r="J28">
            <v>-30</v>
          </cell>
          <cell r="K28">
            <v>36503</v>
          </cell>
        </row>
        <row r="29">
          <cell r="B29" t="str">
            <v>ELEC</v>
          </cell>
          <cell r="C29">
            <v>21</v>
          </cell>
          <cell r="D29" t="str">
            <v xml:space="preserve"> </v>
          </cell>
          <cell r="E29" t="str">
            <v>NAVTEX RECEIVER</v>
          </cell>
          <cell r="F29" t="str">
            <v>A6242N0630000B29D</v>
          </cell>
          <cell r="G29">
            <v>1</v>
          </cell>
          <cell r="H29">
            <v>22144</v>
          </cell>
          <cell r="I29" t="str">
            <v>L</v>
          </cell>
          <cell r="J29">
            <v>-30</v>
          </cell>
          <cell r="K29">
            <v>36503</v>
          </cell>
        </row>
        <row r="30">
          <cell r="B30" t="str">
            <v>ELEC</v>
          </cell>
          <cell r="C30">
            <v>22</v>
          </cell>
          <cell r="D30" t="str">
            <v xml:space="preserve"> </v>
          </cell>
          <cell r="E30" t="str">
            <v>SATELLITE EPRIB</v>
          </cell>
          <cell r="F30" t="str">
            <v>A6251N0630000B29D</v>
          </cell>
          <cell r="G30">
            <v>1</v>
          </cell>
          <cell r="H30">
            <v>22144</v>
          </cell>
          <cell r="I30" t="str">
            <v>L</v>
          </cell>
          <cell r="J30">
            <v>-30</v>
          </cell>
          <cell r="K30">
            <v>36503</v>
          </cell>
        </row>
        <row r="31">
          <cell r="B31" t="str">
            <v>ELEC</v>
          </cell>
          <cell r="C31">
            <v>23</v>
          </cell>
          <cell r="D31" t="str">
            <v xml:space="preserve"> </v>
          </cell>
          <cell r="E31" t="str">
            <v>COMMUAL AERIAL SYSTEM</v>
          </cell>
          <cell r="F31" t="str">
            <v>A6271N0630000NNND</v>
          </cell>
          <cell r="G31">
            <v>1</v>
          </cell>
          <cell r="H31">
            <v>22144</v>
          </cell>
          <cell r="I31" t="str">
            <v>L</v>
          </cell>
          <cell r="J31">
            <v>-30</v>
          </cell>
          <cell r="K31">
            <v>36503</v>
          </cell>
        </row>
        <row r="32">
          <cell r="B32" t="str">
            <v>ELEC</v>
          </cell>
          <cell r="C32">
            <v>24</v>
          </cell>
          <cell r="D32" t="str">
            <v xml:space="preserve"> </v>
          </cell>
          <cell r="E32" t="str">
            <v>SPECIAL LIGHT</v>
          </cell>
          <cell r="F32" t="str">
            <v>A6360N0630000B29D</v>
          </cell>
          <cell r="G32">
            <v>1</v>
          </cell>
          <cell r="H32">
            <v>22144</v>
          </cell>
          <cell r="I32" t="str">
            <v>L</v>
          </cell>
          <cell r="J32">
            <v>-30</v>
          </cell>
          <cell r="K32">
            <v>36503</v>
          </cell>
        </row>
        <row r="33">
          <cell r="B33" t="str">
            <v>ELEC</v>
          </cell>
          <cell r="C33">
            <v>25</v>
          </cell>
          <cell r="D33" t="str">
            <v xml:space="preserve"> </v>
          </cell>
          <cell r="E33" t="str">
            <v>LIGHTING FIXTURE</v>
          </cell>
          <cell r="F33" t="str">
            <v>A6371N0630000B29D</v>
          </cell>
          <cell r="G33">
            <v>1</v>
          </cell>
          <cell r="H33">
            <v>22144</v>
          </cell>
          <cell r="I33" t="str">
            <v>L</v>
          </cell>
          <cell r="J33">
            <v>-30</v>
          </cell>
          <cell r="K33">
            <v>36503</v>
          </cell>
        </row>
        <row r="34">
          <cell r="B34" t="str">
            <v>ELEC</v>
          </cell>
          <cell r="C34">
            <v>26</v>
          </cell>
          <cell r="D34" t="str">
            <v xml:space="preserve"> </v>
          </cell>
          <cell r="E34" t="str">
            <v>EM'CY SWITCHBOARD</v>
          </cell>
          <cell r="F34" t="str">
            <v>A6412N0630000B29D</v>
          </cell>
          <cell r="G34">
            <v>1</v>
          </cell>
          <cell r="H34">
            <v>22144</v>
          </cell>
          <cell r="I34" t="str">
            <v>L</v>
          </cell>
          <cell r="J34">
            <v>-30</v>
          </cell>
          <cell r="K34">
            <v>36503</v>
          </cell>
        </row>
        <row r="35">
          <cell r="B35" t="str">
            <v>ELEC</v>
          </cell>
          <cell r="C35">
            <v>27</v>
          </cell>
          <cell r="D35" t="str">
            <v xml:space="preserve"> </v>
          </cell>
          <cell r="E35" t="str">
            <v>GROUP STARTER PANEL</v>
          </cell>
          <cell r="F35" t="str">
            <v>A6421N0630000B29D</v>
          </cell>
          <cell r="G35">
            <v>2</v>
          </cell>
          <cell r="H35">
            <v>22144</v>
          </cell>
          <cell r="I35" t="str">
            <v>L</v>
          </cell>
          <cell r="J35">
            <v>-80</v>
          </cell>
          <cell r="K35">
            <v>36453</v>
          </cell>
        </row>
        <row r="36">
          <cell r="B36" t="str">
            <v>ELEC</v>
          </cell>
          <cell r="C36">
            <v>28</v>
          </cell>
          <cell r="D36" t="str">
            <v xml:space="preserve"> </v>
          </cell>
          <cell r="E36" t="str">
            <v>LOCAL GROUP STARTER PANEL</v>
          </cell>
          <cell r="F36" t="str">
            <v>A6422N0630000B29D</v>
          </cell>
          <cell r="G36">
            <v>9</v>
          </cell>
          <cell r="H36">
            <v>22144</v>
          </cell>
          <cell r="I36" t="str">
            <v>L</v>
          </cell>
          <cell r="J36">
            <v>-80</v>
          </cell>
          <cell r="K36">
            <v>36453</v>
          </cell>
        </row>
        <row r="37">
          <cell r="B37" t="str">
            <v>ELEC</v>
          </cell>
          <cell r="C37">
            <v>29</v>
          </cell>
          <cell r="D37" t="str">
            <v xml:space="preserve"> </v>
          </cell>
          <cell r="E37" t="str">
            <v>INDIVIDUAL STARTER</v>
          </cell>
          <cell r="F37" t="str">
            <v>A6423N0630000B29D</v>
          </cell>
          <cell r="G37">
            <v>6</v>
          </cell>
          <cell r="H37">
            <v>22144</v>
          </cell>
          <cell r="I37" t="str">
            <v>L</v>
          </cell>
          <cell r="J37">
            <v>-30</v>
          </cell>
          <cell r="K37">
            <v>36503</v>
          </cell>
        </row>
        <row r="38">
          <cell r="B38" t="str">
            <v>ELEC</v>
          </cell>
          <cell r="C38">
            <v>30</v>
          </cell>
          <cell r="D38" t="str">
            <v xml:space="preserve"> </v>
          </cell>
          <cell r="E38" t="str">
            <v>TEST PANEL</v>
          </cell>
          <cell r="F38" t="str">
            <v>A6424N0630000B29D</v>
          </cell>
          <cell r="G38">
            <v>1</v>
          </cell>
          <cell r="H38">
            <v>22144</v>
          </cell>
          <cell r="I38" t="str">
            <v>L</v>
          </cell>
          <cell r="J38">
            <v>-30</v>
          </cell>
          <cell r="K38">
            <v>36503</v>
          </cell>
        </row>
        <row r="39">
          <cell r="B39" t="str">
            <v>ELEC</v>
          </cell>
          <cell r="C39">
            <v>31</v>
          </cell>
          <cell r="D39" t="str">
            <v xml:space="preserve"> </v>
          </cell>
          <cell r="E39" t="str">
            <v>DISTRIBUTION BOARD</v>
          </cell>
          <cell r="F39" t="str">
            <v>A6431N0630000B29D</v>
          </cell>
          <cell r="G39">
            <v>30</v>
          </cell>
          <cell r="H39">
            <v>22144</v>
          </cell>
          <cell r="I39" t="str">
            <v>L</v>
          </cell>
          <cell r="J39">
            <v>-30</v>
          </cell>
          <cell r="K39">
            <v>36503</v>
          </cell>
        </row>
        <row r="40">
          <cell r="B40" t="str">
            <v>ELEC</v>
          </cell>
          <cell r="C40">
            <v>32</v>
          </cell>
          <cell r="D40" t="str">
            <v xml:space="preserve"> </v>
          </cell>
          <cell r="E40" t="str">
            <v>LIGHTING CONTROL PANEL</v>
          </cell>
          <cell r="F40" t="str">
            <v>A6432N0630000B29D</v>
          </cell>
          <cell r="G40">
            <v>4</v>
          </cell>
          <cell r="H40">
            <v>22144</v>
          </cell>
          <cell r="I40" t="str">
            <v>L</v>
          </cell>
          <cell r="J40">
            <v>-30</v>
          </cell>
          <cell r="K40">
            <v>36503</v>
          </cell>
        </row>
        <row r="41">
          <cell r="B41" t="str">
            <v>ELEC</v>
          </cell>
          <cell r="C41">
            <v>33</v>
          </cell>
          <cell r="D41" t="str">
            <v xml:space="preserve"> </v>
          </cell>
          <cell r="E41" t="str">
            <v>MAIN TRANSFORMER</v>
          </cell>
          <cell r="F41" t="str">
            <v>A6441N0630001B29D</v>
          </cell>
          <cell r="G41">
            <v>4</v>
          </cell>
          <cell r="H41">
            <v>22144</v>
          </cell>
          <cell r="I41" t="str">
            <v>L</v>
          </cell>
          <cell r="J41">
            <v>-80</v>
          </cell>
          <cell r="K41">
            <v>36453</v>
          </cell>
        </row>
        <row r="42">
          <cell r="B42" t="str">
            <v>ELEC</v>
          </cell>
          <cell r="C42">
            <v>34</v>
          </cell>
          <cell r="D42" t="str">
            <v xml:space="preserve"> </v>
          </cell>
          <cell r="E42" t="str">
            <v>EM'CY TRANSFORMER</v>
          </cell>
          <cell r="F42" t="str">
            <v>A6441N0630002B29D</v>
          </cell>
          <cell r="G42">
            <v>4</v>
          </cell>
          <cell r="H42">
            <v>22144</v>
          </cell>
          <cell r="I42" t="str">
            <v>L</v>
          </cell>
          <cell r="J42">
            <v>-30</v>
          </cell>
          <cell r="K42">
            <v>36503</v>
          </cell>
        </row>
        <row r="43">
          <cell r="B43" t="str">
            <v>ELEC</v>
          </cell>
          <cell r="C43">
            <v>35</v>
          </cell>
          <cell r="D43" t="str">
            <v xml:space="preserve"> </v>
          </cell>
          <cell r="E43" t="str">
            <v>TRANSFORMER FOR BOW-TH</v>
          </cell>
          <cell r="F43" t="str">
            <v>A6442N0630000B29D</v>
          </cell>
          <cell r="G43">
            <v>1</v>
          </cell>
          <cell r="H43">
            <v>22144</v>
          </cell>
          <cell r="I43" t="str">
            <v>L</v>
          </cell>
          <cell r="J43">
            <v>-80</v>
          </cell>
          <cell r="K43">
            <v>36453</v>
          </cell>
        </row>
        <row r="44">
          <cell r="B44" t="str">
            <v>ELEC</v>
          </cell>
          <cell r="C44">
            <v>36</v>
          </cell>
          <cell r="D44" t="str">
            <v xml:space="preserve"> </v>
          </cell>
          <cell r="E44" t="str">
            <v>BATTERY CHARGER &amp; DISCH. BOARD</v>
          </cell>
          <cell r="F44" t="str">
            <v>A6451N0630000B29D</v>
          </cell>
          <cell r="G44">
            <v>1</v>
          </cell>
          <cell r="H44">
            <v>22144</v>
          </cell>
          <cell r="I44" t="str">
            <v>L</v>
          </cell>
          <cell r="J44">
            <v>-60</v>
          </cell>
          <cell r="K44">
            <v>36473</v>
          </cell>
        </row>
        <row r="45">
          <cell r="B45" t="str">
            <v>ELEC</v>
          </cell>
          <cell r="C45">
            <v>37</v>
          </cell>
          <cell r="D45" t="str">
            <v xml:space="preserve"> </v>
          </cell>
          <cell r="E45" t="str">
            <v xml:space="preserve">BATTERY </v>
          </cell>
          <cell r="F45" t="str">
            <v>A6452N0630000B29D</v>
          </cell>
          <cell r="G45">
            <v>2</v>
          </cell>
          <cell r="H45">
            <v>22144</v>
          </cell>
          <cell r="I45" t="str">
            <v>L</v>
          </cell>
          <cell r="J45">
            <v>-30</v>
          </cell>
          <cell r="K45">
            <v>36503</v>
          </cell>
        </row>
        <row r="46">
          <cell r="B46" t="str">
            <v>ELEC</v>
          </cell>
          <cell r="C46">
            <v>38</v>
          </cell>
          <cell r="D46" t="str">
            <v xml:space="preserve"> </v>
          </cell>
          <cell r="E46" t="str">
            <v>REEFER CONTAINER SOCKET</v>
          </cell>
          <cell r="F46" t="str">
            <v>A6491N0630000NNND</v>
          </cell>
          <cell r="G46">
            <v>1</v>
          </cell>
          <cell r="H46">
            <v>22144</v>
          </cell>
          <cell r="I46" t="str">
            <v>L</v>
          </cell>
          <cell r="J46">
            <v>-60</v>
          </cell>
          <cell r="K46">
            <v>36473</v>
          </cell>
        </row>
        <row r="47">
          <cell r="B47" t="str">
            <v>ELEC</v>
          </cell>
          <cell r="C47">
            <v>39</v>
          </cell>
          <cell r="D47" t="str">
            <v xml:space="preserve"> </v>
          </cell>
          <cell r="E47" t="str">
            <v>AUTO TELEPHONE SYSTEM</v>
          </cell>
          <cell r="F47" t="str">
            <v>A6511N0630000NNND</v>
          </cell>
          <cell r="G47">
            <v>1</v>
          </cell>
          <cell r="H47">
            <v>22144</v>
          </cell>
          <cell r="I47" t="str">
            <v>L</v>
          </cell>
          <cell r="J47">
            <v>-30</v>
          </cell>
          <cell r="K47">
            <v>36503</v>
          </cell>
        </row>
        <row r="48">
          <cell r="B48" t="str">
            <v>ELEC</v>
          </cell>
          <cell r="C48">
            <v>40</v>
          </cell>
          <cell r="D48" t="str">
            <v xml:space="preserve"> </v>
          </cell>
          <cell r="E48" t="str">
            <v>COMMON BATTERY TELEPHONE</v>
          </cell>
          <cell r="F48" t="str">
            <v>A6512N0630000NNND</v>
          </cell>
          <cell r="G48">
            <v>1</v>
          </cell>
          <cell r="H48">
            <v>22144</v>
          </cell>
          <cell r="I48" t="str">
            <v>L</v>
          </cell>
          <cell r="J48">
            <v>-30</v>
          </cell>
          <cell r="K48">
            <v>36503</v>
          </cell>
        </row>
        <row r="49">
          <cell r="B49" t="str">
            <v>ELEC</v>
          </cell>
          <cell r="C49">
            <v>41</v>
          </cell>
          <cell r="D49" t="str">
            <v xml:space="preserve"> </v>
          </cell>
          <cell r="E49" t="str">
            <v>PUBLIC ADDRESSOR SYSTEM</v>
          </cell>
          <cell r="F49" t="str">
            <v>A6521N0630000NNND</v>
          </cell>
          <cell r="G49">
            <v>1</v>
          </cell>
          <cell r="H49">
            <v>22144</v>
          </cell>
          <cell r="I49" t="str">
            <v>L</v>
          </cell>
          <cell r="J49">
            <v>-30</v>
          </cell>
          <cell r="K49">
            <v>36503</v>
          </cell>
        </row>
        <row r="50">
          <cell r="B50" t="str">
            <v>ELEC</v>
          </cell>
          <cell r="C50">
            <v>42</v>
          </cell>
          <cell r="D50" t="str">
            <v xml:space="preserve"> </v>
          </cell>
          <cell r="E50" t="str">
            <v>HOSPITAL CALL SYSTEM</v>
          </cell>
          <cell r="F50" t="str">
            <v>A6522N0630000NNND</v>
          </cell>
          <cell r="G50">
            <v>1</v>
          </cell>
          <cell r="H50">
            <v>22144</v>
          </cell>
          <cell r="I50" t="str">
            <v>L</v>
          </cell>
          <cell r="J50">
            <v>-30</v>
          </cell>
          <cell r="K50">
            <v>36503</v>
          </cell>
        </row>
        <row r="51">
          <cell r="B51" t="str">
            <v>ELEC</v>
          </cell>
          <cell r="C51">
            <v>43</v>
          </cell>
          <cell r="D51" t="str">
            <v xml:space="preserve"> </v>
          </cell>
          <cell r="E51" t="str">
            <v>LOCKED IN ALARM SYSTEM</v>
          </cell>
          <cell r="F51" t="str">
            <v>A6523N0630000NNND</v>
          </cell>
          <cell r="G51">
            <v>1</v>
          </cell>
          <cell r="H51">
            <v>22144</v>
          </cell>
          <cell r="I51" t="str">
            <v>L</v>
          </cell>
          <cell r="J51">
            <v>-30</v>
          </cell>
          <cell r="K51">
            <v>36503</v>
          </cell>
        </row>
        <row r="52">
          <cell r="B52" t="str">
            <v>ELEC</v>
          </cell>
          <cell r="C52">
            <v>44</v>
          </cell>
          <cell r="D52" t="str">
            <v xml:space="preserve"> </v>
          </cell>
          <cell r="E52" t="str">
            <v>RUDDER ANGLE INDICATOR</v>
          </cell>
          <cell r="F52" t="str">
            <v>A6541N0630000NNND</v>
          </cell>
          <cell r="G52">
            <v>1</v>
          </cell>
          <cell r="H52">
            <v>22144</v>
          </cell>
          <cell r="I52" t="str">
            <v>L</v>
          </cell>
          <cell r="J52">
            <v>-30</v>
          </cell>
          <cell r="K52">
            <v>36503</v>
          </cell>
        </row>
        <row r="53">
          <cell r="B53" t="str">
            <v>ELEC</v>
          </cell>
          <cell r="C53">
            <v>45</v>
          </cell>
          <cell r="D53" t="str">
            <v xml:space="preserve"> </v>
          </cell>
          <cell r="E53" t="str">
            <v>W.T DOOR INDICATING SYSTEM</v>
          </cell>
          <cell r="F53" t="str">
            <v>A6542N0630002B29D</v>
          </cell>
          <cell r="G53">
            <v>1</v>
          </cell>
          <cell r="H53">
            <v>22144</v>
          </cell>
          <cell r="I53" t="str">
            <v>L</v>
          </cell>
          <cell r="J53">
            <v>-30</v>
          </cell>
          <cell r="K53">
            <v>36503</v>
          </cell>
        </row>
        <row r="54">
          <cell r="B54" t="str">
            <v>ELEC</v>
          </cell>
          <cell r="C54">
            <v>46</v>
          </cell>
          <cell r="D54" t="str">
            <v xml:space="preserve"> </v>
          </cell>
          <cell r="E54" t="str">
            <v>BRIDGE MANEUVRING SYSTEM</v>
          </cell>
          <cell r="F54" t="str">
            <v>A6611N0630000B29D</v>
          </cell>
          <cell r="G54">
            <v>1</v>
          </cell>
          <cell r="H54">
            <v>22144</v>
          </cell>
          <cell r="I54" t="str">
            <v>L</v>
          </cell>
          <cell r="J54">
            <v>-30</v>
          </cell>
          <cell r="K54">
            <v>36503</v>
          </cell>
        </row>
        <row r="55">
          <cell r="B55" t="str">
            <v>ELEC</v>
          </cell>
          <cell r="C55">
            <v>47</v>
          </cell>
          <cell r="D55" t="str">
            <v xml:space="preserve"> </v>
          </cell>
          <cell r="E55" t="str">
            <v>ALARM MONITORING &amp; CONT. SYS</v>
          </cell>
          <cell r="F55" t="str">
            <v>A6621N0630000B29D</v>
          </cell>
          <cell r="G55">
            <v>1</v>
          </cell>
          <cell r="H55">
            <v>22144</v>
          </cell>
          <cell r="I55" t="str">
            <v>L</v>
          </cell>
          <cell r="J55">
            <v>-30</v>
          </cell>
          <cell r="K55">
            <v>36503</v>
          </cell>
        </row>
        <row r="56">
          <cell r="B56" t="str">
            <v>ELEC</v>
          </cell>
          <cell r="C56">
            <v>48</v>
          </cell>
          <cell r="D56" t="str">
            <v xml:space="preserve"> </v>
          </cell>
          <cell r="E56" t="str">
            <v>VALVE REMOTE CONTROL SYSTEM</v>
          </cell>
          <cell r="F56" t="str">
            <v>A6622N0630000B29D</v>
          </cell>
          <cell r="G56">
            <v>1</v>
          </cell>
          <cell r="H56">
            <v>22144</v>
          </cell>
          <cell r="I56" t="str">
            <v>L</v>
          </cell>
          <cell r="J56">
            <v>-30</v>
          </cell>
          <cell r="K56">
            <v>36503</v>
          </cell>
        </row>
        <row r="57">
          <cell r="B57" t="str">
            <v>ELEC</v>
          </cell>
          <cell r="C57">
            <v>49</v>
          </cell>
          <cell r="D57" t="str">
            <v xml:space="preserve"> </v>
          </cell>
          <cell r="E57" t="str">
            <v>TANK LEVEL GUAGING SYS</v>
          </cell>
          <cell r="F57" t="str">
            <v>A6623N0630000B29D</v>
          </cell>
          <cell r="G57">
            <v>1</v>
          </cell>
          <cell r="H57">
            <v>22144</v>
          </cell>
          <cell r="I57" t="str">
            <v>L</v>
          </cell>
          <cell r="J57">
            <v>-30</v>
          </cell>
          <cell r="K57">
            <v>36503</v>
          </cell>
        </row>
        <row r="58">
          <cell r="B58" t="str">
            <v>ELEC</v>
          </cell>
          <cell r="C58">
            <v>50</v>
          </cell>
          <cell r="D58" t="str">
            <v xml:space="preserve"> </v>
          </cell>
          <cell r="E58" t="str">
            <v>REEFER CONTAINER MONITOR SYS</v>
          </cell>
          <cell r="F58" t="str">
            <v>A6626N0630000B29D</v>
          </cell>
          <cell r="G58">
            <v>1</v>
          </cell>
          <cell r="H58">
            <v>22144</v>
          </cell>
          <cell r="I58" t="str">
            <v>L</v>
          </cell>
          <cell r="J58">
            <v>-30</v>
          </cell>
          <cell r="K58">
            <v>36503</v>
          </cell>
        </row>
        <row r="59">
          <cell r="B59" t="str">
            <v>ELEC</v>
          </cell>
          <cell r="C59">
            <v>51</v>
          </cell>
          <cell r="D59" t="str">
            <v xml:space="preserve"> </v>
          </cell>
          <cell r="E59" t="str">
            <v>SHIP PERFORMANCE SYSTEM</v>
          </cell>
          <cell r="F59" t="str">
            <v>A6631N0630000B29D</v>
          </cell>
          <cell r="G59">
            <v>1</v>
          </cell>
          <cell r="H59">
            <v>22144</v>
          </cell>
          <cell r="I59" t="str">
            <v>L</v>
          </cell>
          <cell r="J59">
            <v>-30</v>
          </cell>
          <cell r="K59">
            <v>36503</v>
          </cell>
        </row>
        <row r="60">
          <cell r="B60" t="str">
            <v>ELEC</v>
          </cell>
          <cell r="C60">
            <v>52</v>
          </cell>
          <cell r="D60" t="str">
            <v xml:space="preserve"> </v>
          </cell>
          <cell r="E60" t="str">
            <v>FIRE DETECTION &amp; ALARM SYS</v>
          </cell>
          <cell r="F60" t="str">
            <v>A6633N0630000B29D</v>
          </cell>
          <cell r="G60">
            <v>1</v>
          </cell>
          <cell r="H60">
            <v>22144</v>
          </cell>
          <cell r="I60" t="str">
            <v>L</v>
          </cell>
          <cell r="J60">
            <v>-30</v>
          </cell>
          <cell r="K60">
            <v>36503</v>
          </cell>
        </row>
        <row r="61">
          <cell r="B61" t="str">
            <v>ELEC</v>
          </cell>
          <cell r="C61">
            <v>53</v>
          </cell>
          <cell r="D61" t="str">
            <v xml:space="preserve"> </v>
          </cell>
          <cell r="E61" t="str">
            <v>I.C.C.P SYSTEM</v>
          </cell>
          <cell r="F61" t="str">
            <v>A6637N0630000B29D</v>
          </cell>
          <cell r="G61">
            <v>1</v>
          </cell>
          <cell r="H61">
            <v>22144</v>
          </cell>
          <cell r="I61" t="str">
            <v>L</v>
          </cell>
          <cell r="J61">
            <v>-90</v>
          </cell>
          <cell r="K61">
            <v>36443</v>
          </cell>
        </row>
        <row r="62">
          <cell r="B62" t="str">
            <v>ELEC</v>
          </cell>
          <cell r="C62">
            <v>54</v>
          </cell>
          <cell r="D62" t="str">
            <v xml:space="preserve"> </v>
          </cell>
          <cell r="E62" t="str">
            <v>ENGINE CONTROL CONSOLE</v>
          </cell>
          <cell r="F62" t="str">
            <v>A6641N0630000B29D</v>
          </cell>
          <cell r="G62">
            <v>1</v>
          </cell>
          <cell r="H62">
            <v>22144</v>
          </cell>
          <cell r="I62" t="str">
            <v>L</v>
          </cell>
          <cell r="J62">
            <v>-80</v>
          </cell>
          <cell r="K62">
            <v>36453</v>
          </cell>
        </row>
        <row r="63">
          <cell r="B63" t="str">
            <v>ELEC</v>
          </cell>
          <cell r="C63">
            <v>55</v>
          </cell>
          <cell r="D63" t="str">
            <v xml:space="preserve"> </v>
          </cell>
          <cell r="E63" t="str">
            <v>W/H CONSOLE</v>
          </cell>
          <cell r="F63" t="str">
            <v>A6642N0630000B29D</v>
          </cell>
          <cell r="G63">
            <v>1</v>
          </cell>
          <cell r="H63">
            <v>22144</v>
          </cell>
          <cell r="I63" t="str">
            <v>L</v>
          </cell>
          <cell r="J63">
            <v>-60</v>
          </cell>
          <cell r="K63">
            <v>36473</v>
          </cell>
        </row>
        <row r="64">
          <cell r="B64" t="str">
            <v>ELEC</v>
          </cell>
          <cell r="C64">
            <v>56</v>
          </cell>
          <cell r="D64" t="str">
            <v xml:space="preserve"> </v>
          </cell>
          <cell r="E64" t="str">
            <v>ELECTRIC SENSOR</v>
          </cell>
          <cell r="F64" t="str">
            <v>A6651N0630000B29D</v>
          </cell>
          <cell r="G64">
            <v>1</v>
          </cell>
          <cell r="H64">
            <v>22144</v>
          </cell>
          <cell r="I64" t="str">
            <v>L</v>
          </cell>
          <cell r="J64">
            <v>-30</v>
          </cell>
          <cell r="K64">
            <v>36503</v>
          </cell>
        </row>
        <row r="65">
          <cell r="B65" t="str">
            <v>ELEC</v>
          </cell>
          <cell r="C65">
            <v>57</v>
          </cell>
          <cell r="D65" t="str">
            <v xml:space="preserve"> </v>
          </cell>
          <cell r="E65" t="str">
            <v>E/R SIGNALLING EQUIPMENT</v>
          </cell>
          <cell r="F65" t="str">
            <v>A6652N0630000B29D</v>
          </cell>
          <cell r="G65">
            <v>1</v>
          </cell>
          <cell r="H65">
            <v>22144</v>
          </cell>
          <cell r="I65" t="str">
            <v>L</v>
          </cell>
          <cell r="J65">
            <v>-30</v>
          </cell>
          <cell r="K65">
            <v>36503</v>
          </cell>
        </row>
        <row r="66">
          <cell r="B66" t="str">
            <v>ELEC</v>
          </cell>
          <cell r="C66">
            <v>58</v>
          </cell>
          <cell r="D66" t="str">
            <v xml:space="preserve"> </v>
          </cell>
          <cell r="E66" t="str">
            <v>LEVEL SWITCH</v>
          </cell>
          <cell r="F66" t="str">
            <v>A6653N0630000B29D</v>
          </cell>
          <cell r="G66">
            <v>1</v>
          </cell>
          <cell r="H66">
            <v>22144</v>
          </cell>
          <cell r="I66" t="str">
            <v>L</v>
          </cell>
          <cell r="J66">
            <v>-30</v>
          </cell>
          <cell r="K66">
            <v>36503</v>
          </cell>
        </row>
        <row r="67">
          <cell r="B67" t="str">
            <v>ELEC</v>
          </cell>
          <cell r="C67">
            <v>59</v>
          </cell>
          <cell r="D67" t="str">
            <v xml:space="preserve"> </v>
          </cell>
          <cell r="E67" t="str">
            <v>MOTOR FOR BOW THRUSTER</v>
          </cell>
          <cell r="F67" t="str">
            <v>A6710N0630002B29D</v>
          </cell>
          <cell r="G67">
            <v>1</v>
          </cell>
          <cell r="H67">
            <v>22144</v>
          </cell>
          <cell r="I67" t="str">
            <v>L</v>
          </cell>
          <cell r="J67">
            <v>-45</v>
          </cell>
          <cell r="K67">
            <v>36488</v>
          </cell>
        </row>
        <row r="68">
          <cell r="B68" t="str">
            <v>MACH</v>
          </cell>
          <cell r="C68">
            <v>60</v>
          </cell>
          <cell r="D68" t="str">
            <v xml:space="preserve"> </v>
          </cell>
          <cell r="E68" t="str">
            <v xml:space="preserve">MAIN DIESEL ENGINE (A)                  </v>
          </cell>
          <cell r="F68" t="str">
            <v>A4111N0630001B29D</v>
          </cell>
          <cell r="G68">
            <v>1</v>
          </cell>
          <cell r="H68">
            <v>22141</v>
          </cell>
          <cell r="I68" t="str">
            <v>L</v>
          </cell>
          <cell r="J68">
            <v>-40</v>
          </cell>
          <cell r="K68">
            <v>36493</v>
          </cell>
          <cell r="L68">
            <v>36083</v>
          </cell>
        </row>
        <row r="69">
          <cell r="B69" t="str">
            <v>MACH</v>
          </cell>
          <cell r="C69">
            <v>61</v>
          </cell>
          <cell r="D69" t="str">
            <v xml:space="preserve"> </v>
          </cell>
          <cell r="E69" t="str">
            <v xml:space="preserve">DIESEL GENERATOR ENGINE            </v>
          </cell>
          <cell r="F69" t="str">
            <v>A4112N0630001B29D</v>
          </cell>
          <cell r="G69">
            <v>4</v>
          </cell>
          <cell r="H69">
            <v>22141</v>
          </cell>
          <cell r="I69" t="str">
            <v>K</v>
          </cell>
          <cell r="J69">
            <v>15</v>
          </cell>
          <cell r="K69">
            <v>36473</v>
          </cell>
          <cell r="L69">
            <v>36053</v>
          </cell>
        </row>
        <row r="70">
          <cell r="B70" t="str">
            <v>MACH</v>
          </cell>
          <cell r="C70">
            <v>62</v>
          </cell>
          <cell r="D70" t="str">
            <v xml:space="preserve"> </v>
          </cell>
          <cell r="E70" t="str">
            <v>STEERING GEAR</v>
          </cell>
          <cell r="F70" t="str">
            <v>A4211N0630001B29D</v>
          </cell>
          <cell r="G70">
            <v>1</v>
          </cell>
          <cell r="H70">
            <v>22141</v>
          </cell>
          <cell r="I70" t="str">
            <v>L</v>
          </cell>
          <cell r="J70">
            <v>-25</v>
          </cell>
          <cell r="K70">
            <v>36508</v>
          </cell>
          <cell r="L70">
            <v>36083</v>
          </cell>
        </row>
        <row r="71">
          <cell r="B71" t="str">
            <v>MACH</v>
          </cell>
          <cell r="C71">
            <v>63</v>
          </cell>
          <cell r="D71" t="str">
            <v xml:space="preserve"> </v>
          </cell>
          <cell r="E71" t="str">
            <v xml:space="preserve">RUDDER STOCK &amp; NUT                      </v>
          </cell>
          <cell r="F71" t="str">
            <v>A4220N0630002B29D</v>
          </cell>
          <cell r="G71">
            <v>1</v>
          </cell>
          <cell r="H71">
            <v>22141</v>
          </cell>
          <cell r="I71" t="str">
            <v>L</v>
          </cell>
          <cell r="J71">
            <v>-40</v>
          </cell>
          <cell r="K71">
            <v>36493</v>
          </cell>
        </row>
        <row r="72">
          <cell r="B72" t="str">
            <v>MACH</v>
          </cell>
          <cell r="C72">
            <v>64</v>
          </cell>
          <cell r="D72" t="str">
            <v xml:space="preserve"> </v>
          </cell>
          <cell r="E72" t="str">
            <v xml:space="preserve">PROPELLER SHAFT                    </v>
          </cell>
          <cell r="F72" t="str">
            <v>A4311N0630001B29D</v>
          </cell>
          <cell r="G72">
            <v>1</v>
          </cell>
          <cell r="H72">
            <v>22141</v>
          </cell>
          <cell r="I72" t="str">
            <v>L</v>
          </cell>
          <cell r="J72">
            <v>-50</v>
          </cell>
          <cell r="K72">
            <v>36483</v>
          </cell>
          <cell r="L72">
            <v>36078</v>
          </cell>
        </row>
        <row r="73">
          <cell r="B73" t="str">
            <v>MACH</v>
          </cell>
          <cell r="C73">
            <v>65</v>
          </cell>
          <cell r="D73" t="str">
            <v xml:space="preserve"> </v>
          </cell>
          <cell r="E73" t="str">
            <v xml:space="preserve">INTERMEDIATE SHAFT                 </v>
          </cell>
          <cell r="F73" t="str">
            <v>A4312N0630001B29D</v>
          </cell>
          <cell r="G73">
            <v>2</v>
          </cell>
          <cell r="H73">
            <v>22141</v>
          </cell>
          <cell r="I73" t="str">
            <v>L</v>
          </cell>
          <cell r="J73">
            <v>-50</v>
          </cell>
          <cell r="K73">
            <v>36483</v>
          </cell>
          <cell r="L73">
            <v>36078</v>
          </cell>
        </row>
        <row r="74">
          <cell r="B74" t="str">
            <v>MACH</v>
          </cell>
          <cell r="C74">
            <v>66</v>
          </cell>
          <cell r="D74" t="str">
            <v xml:space="preserve"> </v>
          </cell>
          <cell r="E74" t="str">
            <v xml:space="preserve">STERN TUBE BUSH                         </v>
          </cell>
          <cell r="F74" t="str">
            <v>A4322N0630001NNND</v>
          </cell>
          <cell r="G74">
            <v>1</v>
          </cell>
          <cell r="H74">
            <v>22141</v>
          </cell>
          <cell r="I74" t="str">
            <v>L</v>
          </cell>
          <cell r="J74">
            <v>-80</v>
          </cell>
          <cell r="K74">
            <v>36453</v>
          </cell>
          <cell r="L74">
            <v>36006</v>
          </cell>
        </row>
        <row r="75">
          <cell r="B75" t="str">
            <v>MACH</v>
          </cell>
          <cell r="C75">
            <v>67</v>
          </cell>
          <cell r="D75" t="str">
            <v xml:space="preserve"> </v>
          </cell>
          <cell r="E75" t="str">
            <v xml:space="preserve">PROPELLER                               </v>
          </cell>
          <cell r="F75" t="str">
            <v>A4330N0631001B29D</v>
          </cell>
          <cell r="G75">
            <v>1</v>
          </cell>
          <cell r="H75">
            <v>22141</v>
          </cell>
          <cell r="I75" t="str">
            <v>L</v>
          </cell>
          <cell r="J75">
            <v>-20</v>
          </cell>
          <cell r="K75">
            <v>36513</v>
          </cell>
        </row>
        <row r="76">
          <cell r="B76" t="str">
            <v>MACH</v>
          </cell>
          <cell r="C76">
            <v>68</v>
          </cell>
          <cell r="D76" t="str">
            <v xml:space="preserve"> </v>
          </cell>
          <cell r="E76" t="str">
            <v xml:space="preserve">AUX. BOILER                        </v>
          </cell>
          <cell r="F76" t="str">
            <v>A4412N0630001B29D</v>
          </cell>
          <cell r="G76">
            <v>1</v>
          </cell>
          <cell r="H76">
            <v>22141</v>
          </cell>
          <cell r="I76" t="str">
            <v>L</v>
          </cell>
          <cell r="J76">
            <v>-45</v>
          </cell>
          <cell r="K76">
            <v>36488</v>
          </cell>
          <cell r="L76">
            <v>36037</v>
          </cell>
        </row>
        <row r="77">
          <cell r="B77" t="str">
            <v>MACH</v>
          </cell>
          <cell r="C77">
            <v>69</v>
          </cell>
          <cell r="D77" t="str">
            <v xml:space="preserve"> </v>
          </cell>
          <cell r="E77" t="str">
            <v>EM'CY GENERATOR ENGINE</v>
          </cell>
          <cell r="F77" t="str">
            <v>A4413N0630001B29D</v>
          </cell>
          <cell r="G77">
            <v>1</v>
          </cell>
          <cell r="H77">
            <v>22141</v>
          </cell>
          <cell r="I77" t="str">
            <v>L</v>
          </cell>
          <cell r="J77">
            <v>-45</v>
          </cell>
          <cell r="K77">
            <v>36488</v>
          </cell>
        </row>
        <row r="78">
          <cell r="B78" t="str">
            <v>MACH</v>
          </cell>
          <cell r="C78">
            <v>70</v>
          </cell>
          <cell r="D78" t="str">
            <v xml:space="preserve"> </v>
          </cell>
          <cell r="E78" t="str">
            <v xml:space="preserve">EM'CY G/E RM EXH. FAN                </v>
          </cell>
          <cell r="F78" t="str">
            <v>A4462N0630001NNND</v>
          </cell>
          <cell r="G78">
            <v>1</v>
          </cell>
          <cell r="H78">
            <v>22143</v>
          </cell>
          <cell r="I78" t="str">
            <v>K</v>
          </cell>
          <cell r="J78">
            <v>30</v>
          </cell>
          <cell r="K78">
            <v>36488</v>
          </cell>
        </row>
        <row r="79">
          <cell r="B79" t="str">
            <v>MACH</v>
          </cell>
          <cell r="C79">
            <v>71</v>
          </cell>
          <cell r="D79" t="str">
            <v xml:space="preserve"> </v>
          </cell>
          <cell r="E79" t="str">
            <v xml:space="preserve">STEER GEAR RM.EXH. FAN                  </v>
          </cell>
          <cell r="F79" t="str">
            <v>A4462N0630002NNND</v>
          </cell>
          <cell r="G79">
            <v>1</v>
          </cell>
          <cell r="H79">
            <v>22143</v>
          </cell>
          <cell r="I79" t="str">
            <v>L</v>
          </cell>
          <cell r="J79">
            <v>-30</v>
          </cell>
          <cell r="K79">
            <v>36503</v>
          </cell>
        </row>
        <row r="80">
          <cell r="B80" t="str">
            <v>MACH</v>
          </cell>
          <cell r="C80">
            <v>72</v>
          </cell>
          <cell r="D80" t="str">
            <v xml:space="preserve"> </v>
          </cell>
          <cell r="E80" t="str">
            <v xml:space="preserve">PACKAGED AIR COND.                      </v>
          </cell>
          <cell r="F80" t="str">
            <v>A4471N0630002B29D</v>
          </cell>
          <cell r="G80">
            <v>1</v>
          </cell>
          <cell r="H80">
            <v>22141</v>
          </cell>
          <cell r="I80" t="str">
            <v>K</v>
          </cell>
          <cell r="J80">
            <v>-5</v>
          </cell>
          <cell r="K80">
            <v>36453</v>
          </cell>
        </row>
        <row r="81">
          <cell r="B81" t="str">
            <v>MACH</v>
          </cell>
          <cell r="C81">
            <v>73</v>
          </cell>
          <cell r="D81" t="str">
            <v xml:space="preserve"> </v>
          </cell>
          <cell r="E81" t="str">
            <v xml:space="preserve">PROVISION REF. PLANT                    </v>
          </cell>
          <cell r="F81" t="str">
            <v>A4471N0630003B29D</v>
          </cell>
          <cell r="G81">
            <v>1</v>
          </cell>
          <cell r="H81">
            <v>22141</v>
          </cell>
          <cell r="I81" t="str">
            <v>K</v>
          </cell>
          <cell r="J81">
            <v>-5</v>
          </cell>
          <cell r="K81">
            <v>36453</v>
          </cell>
        </row>
        <row r="82">
          <cell r="B82" t="str">
            <v>MACH</v>
          </cell>
          <cell r="C82">
            <v>74</v>
          </cell>
          <cell r="D82" t="str">
            <v xml:space="preserve"> </v>
          </cell>
          <cell r="E82" t="str">
            <v xml:space="preserve">M/E L.O PURIFER HEATER                  </v>
          </cell>
          <cell r="F82" t="str">
            <v>A4512N0630001NNND</v>
          </cell>
          <cell r="G82">
            <v>2</v>
          </cell>
          <cell r="H82">
            <v>22141</v>
          </cell>
          <cell r="I82" t="str">
            <v>K</v>
          </cell>
          <cell r="J82">
            <v>-15</v>
          </cell>
          <cell r="K82">
            <v>36443</v>
          </cell>
        </row>
        <row r="83">
          <cell r="B83" t="str">
            <v>MACH</v>
          </cell>
          <cell r="C83">
            <v>75</v>
          </cell>
          <cell r="D83" t="str">
            <v xml:space="preserve"> </v>
          </cell>
          <cell r="E83" t="str">
            <v xml:space="preserve">G/E L.O PURIFER HEATER                  </v>
          </cell>
          <cell r="F83" t="str">
            <v>A4512N0630002NNND</v>
          </cell>
          <cell r="G83">
            <v>1</v>
          </cell>
          <cell r="H83">
            <v>22141</v>
          </cell>
          <cell r="I83" t="str">
            <v>K</v>
          </cell>
          <cell r="J83">
            <v>-15</v>
          </cell>
          <cell r="K83">
            <v>36443</v>
          </cell>
        </row>
        <row r="84">
          <cell r="B84" t="str">
            <v>MACH</v>
          </cell>
          <cell r="C84">
            <v>76</v>
          </cell>
          <cell r="D84" t="str">
            <v xml:space="preserve"> </v>
          </cell>
          <cell r="E84" t="str">
            <v xml:space="preserve">MAIN L.O COOLER                     </v>
          </cell>
          <cell r="F84" t="str">
            <v>A4513N0630001B29D</v>
          </cell>
          <cell r="G84">
            <v>2</v>
          </cell>
          <cell r="H84">
            <v>22141</v>
          </cell>
          <cell r="I84" t="str">
            <v>K</v>
          </cell>
          <cell r="J84">
            <v>-5</v>
          </cell>
          <cell r="K84">
            <v>36453</v>
          </cell>
          <cell r="L84">
            <v>36037</v>
          </cell>
        </row>
        <row r="85">
          <cell r="B85" t="str">
            <v>MACH</v>
          </cell>
          <cell r="C85">
            <v>77</v>
          </cell>
          <cell r="D85" t="str">
            <v xml:space="preserve"> </v>
          </cell>
          <cell r="E85" t="str">
            <v xml:space="preserve">MAIN L.O FILTER                         </v>
          </cell>
          <cell r="F85" t="str">
            <v>A4514N0630001NNND</v>
          </cell>
          <cell r="G85">
            <v>1</v>
          </cell>
          <cell r="H85">
            <v>22141</v>
          </cell>
          <cell r="I85" t="str">
            <v>K</v>
          </cell>
          <cell r="J85">
            <v>-5</v>
          </cell>
          <cell r="K85">
            <v>36453</v>
          </cell>
          <cell r="L85">
            <v>35945</v>
          </cell>
        </row>
        <row r="86">
          <cell r="B86" t="str">
            <v>MACH</v>
          </cell>
          <cell r="C86">
            <v>78</v>
          </cell>
          <cell r="D86" t="str">
            <v xml:space="preserve"> </v>
          </cell>
          <cell r="E86" t="str">
            <v>M/E &amp; G/E F.O. HEATER</v>
          </cell>
          <cell r="F86" t="str">
            <v>A4522N0630001B29D</v>
          </cell>
          <cell r="G86">
            <v>2</v>
          </cell>
          <cell r="H86">
            <v>22141</v>
          </cell>
          <cell r="I86" t="str">
            <v>K</v>
          </cell>
          <cell r="J86">
            <v>-15</v>
          </cell>
          <cell r="K86">
            <v>36443</v>
          </cell>
          <cell r="L86">
            <v>36006</v>
          </cell>
        </row>
        <row r="87">
          <cell r="B87" t="str">
            <v>MACH</v>
          </cell>
          <cell r="C87">
            <v>79</v>
          </cell>
          <cell r="D87" t="str">
            <v xml:space="preserve"> </v>
          </cell>
          <cell r="E87" t="str">
            <v xml:space="preserve">H.F.O PURIFIER HEATER                  </v>
          </cell>
          <cell r="F87" t="str">
            <v>A4522N0630002B29D</v>
          </cell>
          <cell r="G87">
            <v>3</v>
          </cell>
          <cell r="H87">
            <v>22144</v>
          </cell>
          <cell r="I87" t="str">
            <v>K</v>
          </cell>
          <cell r="J87">
            <v>-15</v>
          </cell>
          <cell r="K87">
            <v>36443</v>
          </cell>
          <cell r="L87">
            <v>36006</v>
          </cell>
        </row>
        <row r="88">
          <cell r="B88" t="str">
            <v>MACH</v>
          </cell>
          <cell r="C88">
            <v>80</v>
          </cell>
          <cell r="D88" t="str">
            <v xml:space="preserve"> </v>
          </cell>
          <cell r="E88" t="str">
            <v xml:space="preserve">M/E &amp; G/E F.O. FILTER                         </v>
          </cell>
          <cell r="F88" t="str">
            <v>A4524N0630001B29D</v>
          </cell>
          <cell r="G88">
            <v>1</v>
          </cell>
          <cell r="H88">
            <v>22141</v>
          </cell>
          <cell r="I88" t="str">
            <v>K</v>
          </cell>
          <cell r="J88">
            <v>-5</v>
          </cell>
          <cell r="K88">
            <v>36453</v>
          </cell>
          <cell r="L88">
            <v>35945</v>
          </cell>
        </row>
        <row r="89">
          <cell r="B89" t="str">
            <v>MACH</v>
          </cell>
          <cell r="C89">
            <v>81</v>
          </cell>
          <cell r="D89" t="str">
            <v xml:space="preserve"> </v>
          </cell>
          <cell r="E89" t="str">
            <v xml:space="preserve">H.F.O PURIFIER                          </v>
          </cell>
          <cell r="F89" t="str">
            <v>A4525N0630001B29D</v>
          </cell>
          <cell r="G89">
            <v>3</v>
          </cell>
          <cell r="H89">
            <v>22144</v>
          </cell>
          <cell r="I89" t="str">
            <v>K</v>
          </cell>
          <cell r="J89">
            <v>-10</v>
          </cell>
          <cell r="K89">
            <v>36448</v>
          </cell>
          <cell r="L89">
            <v>35981</v>
          </cell>
        </row>
        <row r="90">
          <cell r="B90" t="str">
            <v>MACH</v>
          </cell>
          <cell r="C90">
            <v>82</v>
          </cell>
          <cell r="D90" t="str">
            <v xml:space="preserve"> </v>
          </cell>
          <cell r="E90" t="str">
            <v xml:space="preserve">D.O PURIFIER                            </v>
          </cell>
          <cell r="F90" t="str">
            <v>A4525N0630002B29D</v>
          </cell>
          <cell r="G90">
            <v>1</v>
          </cell>
          <cell r="H90">
            <v>22141</v>
          </cell>
          <cell r="I90" t="str">
            <v>K</v>
          </cell>
          <cell r="J90">
            <v>-10</v>
          </cell>
          <cell r="K90">
            <v>36448</v>
          </cell>
          <cell r="L90">
            <v>35981</v>
          </cell>
        </row>
        <row r="91">
          <cell r="B91" t="str">
            <v>MACH</v>
          </cell>
          <cell r="C91">
            <v>83</v>
          </cell>
          <cell r="D91" t="str">
            <v xml:space="preserve"> </v>
          </cell>
          <cell r="E91" t="str">
            <v xml:space="preserve">M/E L.O PURIFER                         </v>
          </cell>
          <cell r="F91" t="str">
            <v>A4525N0630003B29D</v>
          </cell>
          <cell r="G91">
            <v>2</v>
          </cell>
          <cell r="H91">
            <v>22141</v>
          </cell>
          <cell r="I91" t="str">
            <v>K</v>
          </cell>
          <cell r="J91">
            <v>-10</v>
          </cell>
          <cell r="K91">
            <v>36448</v>
          </cell>
          <cell r="L91">
            <v>35981</v>
          </cell>
        </row>
        <row r="92">
          <cell r="B92" t="str">
            <v>MACH</v>
          </cell>
          <cell r="C92">
            <v>84</v>
          </cell>
          <cell r="D92" t="str">
            <v xml:space="preserve"> </v>
          </cell>
          <cell r="E92" t="str">
            <v xml:space="preserve">G/E L.O PURIFER                         </v>
          </cell>
          <cell r="F92" t="str">
            <v>A4525N0630004B29D</v>
          </cell>
          <cell r="G92">
            <v>1</v>
          </cell>
          <cell r="H92">
            <v>22141</v>
          </cell>
          <cell r="I92" t="str">
            <v>K</v>
          </cell>
          <cell r="J92">
            <v>-15</v>
          </cell>
          <cell r="K92">
            <v>36443</v>
          </cell>
          <cell r="L92">
            <v>35981</v>
          </cell>
        </row>
        <row r="93">
          <cell r="B93" t="str">
            <v>MACH</v>
          </cell>
          <cell r="C93">
            <v>85</v>
          </cell>
          <cell r="D93" t="str">
            <v xml:space="preserve"> </v>
          </cell>
          <cell r="E93" t="str">
            <v xml:space="preserve">VISCOSIMETER                    </v>
          </cell>
          <cell r="F93" t="str">
            <v>A4526N0630001B29D</v>
          </cell>
          <cell r="G93">
            <v>1</v>
          </cell>
          <cell r="H93">
            <v>22141</v>
          </cell>
          <cell r="I93" t="str">
            <v>K</v>
          </cell>
          <cell r="J93">
            <v>-15</v>
          </cell>
          <cell r="K93">
            <v>36443</v>
          </cell>
          <cell r="L93">
            <v>35945</v>
          </cell>
        </row>
        <row r="94">
          <cell r="B94" t="str">
            <v>MACH</v>
          </cell>
          <cell r="C94">
            <v>86</v>
          </cell>
          <cell r="D94" t="str">
            <v xml:space="preserve"> </v>
          </cell>
          <cell r="E94" t="str">
            <v xml:space="preserve">M/E F.O. FLOWMETER                      </v>
          </cell>
          <cell r="F94" t="str">
            <v>A4527N0630001B29D</v>
          </cell>
          <cell r="G94">
            <v>1</v>
          </cell>
          <cell r="H94">
            <v>22141</v>
          </cell>
          <cell r="I94" t="str">
            <v>K</v>
          </cell>
          <cell r="J94">
            <v>-5</v>
          </cell>
          <cell r="K94">
            <v>36453</v>
          </cell>
          <cell r="L94">
            <v>36022</v>
          </cell>
        </row>
        <row r="95">
          <cell r="B95" t="str">
            <v>MACH</v>
          </cell>
          <cell r="C95">
            <v>87</v>
          </cell>
          <cell r="D95" t="str">
            <v xml:space="preserve"> </v>
          </cell>
          <cell r="E95" t="str">
            <v xml:space="preserve">G/E F.O FLOWMETER                       </v>
          </cell>
          <cell r="F95" t="str">
            <v>A4527N0630002B29D</v>
          </cell>
          <cell r="G95">
            <v>2</v>
          </cell>
          <cell r="H95">
            <v>22141</v>
          </cell>
          <cell r="I95" t="str">
            <v>K</v>
          </cell>
          <cell r="J95">
            <v>-5</v>
          </cell>
          <cell r="K95">
            <v>36453</v>
          </cell>
          <cell r="L95">
            <v>36022</v>
          </cell>
        </row>
        <row r="96">
          <cell r="B96" t="str">
            <v>MACH</v>
          </cell>
          <cell r="C96">
            <v>88</v>
          </cell>
          <cell r="D96" t="str">
            <v xml:space="preserve"> </v>
          </cell>
          <cell r="E96" t="str">
            <v>DRAIN COOLER</v>
          </cell>
          <cell r="F96" t="str">
            <v>A4532N0630001B29D</v>
          </cell>
          <cell r="G96">
            <v>1</v>
          </cell>
          <cell r="H96">
            <v>22141</v>
          </cell>
          <cell r="I96" t="str">
            <v>K</v>
          </cell>
          <cell r="J96">
            <v>-15</v>
          </cell>
          <cell r="K96">
            <v>36443</v>
          </cell>
          <cell r="L96">
            <v>36006</v>
          </cell>
        </row>
        <row r="97">
          <cell r="B97" t="str">
            <v>MACH</v>
          </cell>
          <cell r="C97">
            <v>89</v>
          </cell>
          <cell r="D97" t="str">
            <v xml:space="preserve"> </v>
          </cell>
          <cell r="E97" t="str">
            <v xml:space="preserve">M/E &amp; G/E JACKET W.PREHEATER                  </v>
          </cell>
          <cell r="F97" t="str">
            <v>A4542N0630001NNND</v>
          </cell>
          <cell r="G97">
            <v>1</v>
          </cell>
          <cell r="H97">
            <v>22141</v>
          </cell>
          <cell r="I97" t="str">
            <v>K</v>
          </cell>
          <cell r="J97">
            <v>-15</v>
          </cell>
          <cell r="K97">
            <v>36443</v>
          </cell>
          <cell r="L97">
            <v>35996</v>
          </cell>
        </row>
        <row r="98">
          <cell r="B98" t="str">
            <v>MACH</v>
          </cell>
          <cell r="C98">
            <v>90</v>
          </cell>
          <cell r="D98" t="str">
            <v xml:space="preserve"> </v>
          </cell>
          <cell r="E98" t="str">
            <v xml:space="preserve">M/E JACKET W.COOLER                     </v>
          </cell>
          <cell r="F98" t="str">
            <v>A4543N0630002B29D</v>
          </cell>
          <cell r="G98">
            <v>1</v>
          </cell>
          <cell r="H98">
            <v>22141</v>
          </cell>
          <cell r="I98" t="str">
            <v>K</v>
          </cell>
          <cell r="J98">
            <v>-15</v>
          </cell>
          <cell r="K98">
            <v>36443</v>
          </cell>
          <cell r="L98">
            <v>36037</v>
          </cell>
        </row>
        <row r="99">
          <cell r="B99" t="str">
            <v>MACH</v>
          </cell>
          <cell r="C99">
            <v>91</v>
          </cell>
          <cell r="D99" t="str">
            <v xml:space="preserve"> </v>
          </cell>
          <cell r="E99" t="str">
            <v xml:space="preserve">G/E JACKET W.COOLER                     </v>
          </cell>
          <cell r="F99" t="str">
            <v>A4543N0630003B29D</v>
          </cell>
          <cell r="G99">
            <v>2</v>
          </cell>
          <cell r="H99">
            <v>22141</v>
          </cell>
          <cell r="I99" t="str">
            <v>K</v>
          </cell>
          <cell r="J99">
            <v>-15</v>
          </cell>
          <cell r="K99">
            <v>36443</v>
          </cell>
          <cell r="L99">
            <v>36037</v>
          </cell>
        </row>
        <row r="100">
          <cell r="B100" t="str">
            <v>MACH</v>
          </cell>
          <cell r="C100">
            <v>92</v>
          </cell>
          <cell r="D100" t="str">
            <v xml:space="preserve"> </v>
          </cell>
          <cell r="E100" t="str">
            <v xml:space="preserve">M.G.P.S.                                </v>
          </cell>
          <cell r="F100" t="str">
            <v>A4544N0630001NNND</v>
          </cell>
          <cell r="G100">
            <v>1</v>
          </cell>
          <cell r="H100">
            <v>22143</v>
          </cell>
          <cell r="I100" t="str">
            <v>L</v>
          </cell>
          <cell r="J100">
            <v>-60</v>
          </cell>
          <cell r="K100">
            <v>36473</v>
          </cell>
        </row>
        <row r="101">
          <cell r="B101" t="str">
            <v>MACH</v>
          </cell>
          <cell r="C101">
            <v>93</v>
          </cell>
          <cell r="D101" t="str">
            <v xml:space="preserve"> </v>
          </cell>
          <cell r="E101" t="str">
            <v xml:space="preserve">F.W GENERATOR                           </v>
          </cell>
          <cell r="F101" t="str">
            <v>A4551N0630001NNND</v>
          </cell>
          <cell r="G101">
            <v>1</v>
          </cell>
          <cell r="H101">
            <v>22141</v>
          </cell>
          <cell r="I101" t="str">
            <v>K</v>
          </cell>
          <cell r="J101">
            <v>-10</v>
          </cell>
          <cell r="K101">
            <v>36448</v>
          </cell>
          <cell r="L101">
            <v>35991</v>
          </cell>
        </row>
        <row r="102">
          <cell r="B102" t="str">
            <v>MACH</v>
          </cell>
          <cell r="C102">
            <v>94</v>
          </cell>
          <cell r="D102" t="str">
            <v xml:space="preserve"> </v>
          </cell>
          <cell r="E102" t="str">
            <v xml:space="preserve">F.W HYDRO. UNIT                          </v>
          </cell>
          <cell r="F102" t="str">
            <v>A4551N0630200NNND</v>
          </cell>
          <cell r="G102">
            <v>1</v>
          </cell>
          <cell r="H102">
            <v>22141</v>
          </cell>
          <cell r="I102" t="str">
            <v>K</v>
          </cell>
          <cell r="J102">
            <v>0</v>
          </cell>
          <cell r="K102">
            <v>36458</v>
          </cell>
        </row>
        <row r="103">
          <cell r="B103" t="str">
            <v>MACH</v>
          </cell>
          <cell r="C103">
            <v>95</v>
          </cell>
          <cell r="D103" t="str">
            <v xml:space="preserve"> </v>
          </cell>
          <cell r="E103" t="str">
            <v xml:space="preserve">CALORIFIER                              </v>
          </cell>
          <cell r="F103" t="str">
            <v>A4555N0630001NNND</v>
          </cell>
          <cell r="G103">
            <v>1</v>
          </cell>
          <cell r="H103">
            <v>22141</v>
          </cell>
          <cell r="I103" t="str">
            <v>K</v>
          </cell>
          <cell r="J103">
            <v>5</v>
          </cell>
          <cell r="K103">
            <v>36463</v>
          </cell>
        </row>
        <row r="104">
          <cell r="B104" t="str">
            <v>MACH</v>
          </cell>
          <cell r="C104">
            <v>96</v>
          </cell>
          <cell r="D104" t="str">
            <v xml:space="preserve"> </v>
          </cell>
          <cell r="E104" t="str">
            <v xml:space="preserve">F.W STERILIZER                          </v>
          </cell>
          <cell r="F104" t="str">
            <v>A4556N0630001NNND</v>
          </cell>
          <cell r="G104">
            <v>1</v>
          </cell>
          <cell r="H104">
            <v>22141</v>
          </cell>
          <cell r="I104" t="str">
            <v>K</v>
          </cell>
          <cell r="J104">
            <v>15</v>
          </cell>
          <cell r="K104">
            <v>36473</v>
          </cell>
        </row>
        <row r="105">
          <cell r="B105" t="str">
            <v>MACH</v>
          </cell>
          <cell r="C105">
            <v>97</v>
          </cell>
          <cell r="D105" t="str">
            <v xml:space="preserve"> </v>
          </cell>
          <cell r="E105" t="str">
            <v>OILY WATER SEPARATOR</v>
          </cell>
          <cell r="F105" t="str">
            <v>A4562N0630001B29D</v>
          </cell>
          <cell r="G105">
            <v>1</v>
          </cell>
          <cell r="H105">
            <v>22141</v>
          </cell>
          <cell r="I105" t="str">
            <v>K</v>
          </cell>
          <cell r="J105">
            <v>-15</v>
          </cell>
          <cell r="K105">
            <v>36443</v>
          </cell>
          <cell r="L105">
            <v>35945</v>
          </cell>
        </row>
        <row r="106">
          <cell r="B106" t="str">
            <v>MACH</v>
          </cell>
          <cell r="C106">
            <v>98</v>
          </cell>
          <cell r="D106" t="str">
            <v xml:space="preserve"> </v>
          </cell>
          <cell r="E106" t="str">
            <v xml:space="preserve">W.O INCINERATOR                         </v>
          </cell>
          <cell r="F106" t="str">
            <v>A4563N0630001B29D</v>
          </cell>
          <cell r="G106">
            <v>1</v>
          </cell>
          <cell r="H106">
            <v>22141</v>
          </cell>
          <cell r="I106" t="str">
            <v>L</v>
          </cell>
          <cell r="J106">
            <v>-35</v>
          </cell>
          <cell r="K106">
            <v>36498</v>
          </cell>
          <cell r="L106">
            <v>36048</v>
          </cell>
        </row>
        <row r="107">
          <cell r="B107" t="str">
            <v>MACH</v>
          </cell>
          <cell r="C107">
            <v>99</v>
          </cell>
          <cell r="D107" t="str">
            <v xml:space="preserve"> </v>
          </cell>
          <cell r="E107" t="str">
            <v xml:space="preserve">MAIN AIR COMPRESSOR                     </v>
          </cell>
          <cell r="F107" t="str">
            <v>A4571N0630001B29D</v>
          </cell>
          <cell r="G107">
            <v>2</v>
          </cell>
          <cell r="H107">
            <v>22141</v>
          </cell>
          <cell r="I107" t="str">
            <v>K</v>
          </cell>
          <cell r="J107">
            <v>-5</v>
          </cell>
          <cell r="K107">
            <v>36453</v>
          </cell>
          <cell r="L107">
            <v>35991</v>
          </cell>
        </row>
        <row r="108">
          <cell r="B108" t="str">
            <v>MACH</v>
          </cell>
          <cell r="C108">
            <v>100</v>
          </cell>
          <cell r="D108" t="str">
            <v xml:space="preserve"> </v>
          </cell>
          <cell r="E108" t="str">
            <v xml:space="preserve">TOPPING UP AIR COMPRESSOR               </v>
          </cell>
          <cell r="F108" t="str">
            <v>A4571N0630002B29D</v>
          </cell>
          <cell r="G108">
            <v>1</v>
          </cell>
          <cell r="H108">
            <v>22141</v>
          </cell>
          <cell r="I108" t="str">
            <v>K</v>
          </cell>
          <cell r="J108">
            <v>-5</v>
          </cell>
          <cell r="K108">
            <v>36453</v>
          </cell>
          <cell r="L108">
            <v>35991</v>
          </cell>
        </row>
        <row r="109">
          <cell r="B109" t="str">
            <v>MACH</v>
          </cell>
          <cell r="C109">
            <v>101</v>
          </cell>
          <cell r="D109" t="str">
            <v xml:space="preserve"> </v>
          </cell>
          <cell r="E109" t="str">
            <v>DECK SERVICE AIR COMPRESSOR</v>
          </cell>
          <cell r="F109" t="str">
            <v>A4571N0630003B29D</v>
          </cell>
          <cell r="G109">
            <v>1</v>
          </cell>
          <cell r="H109">
            <v>22141</v>
          </cell>
          <cell r="I109" t="str">
            <v>K</v>
          </cell>
          <cell r="J109">
            <v>-5</v>
          </cell>
          <cell r="K109">
            <v>36453</v>
          </cell>
          <cell r="L109">
            <v>35991</v>
          </cell>
        </row>
        <row r="110">
          <cell r="B110" t="str">
            <v>MACH</v>
          </cell>
          <cell r="C110">
            <v>102</v>
          </cell>
          <cell r="D110" t="str">
            <v xml:space="preserve"> </v>
          </cell>
          <cell r="E110" t="str">
            <v xml:space="preserve">EM'CY AIR COMPRESSOR                   </v>
          </cell>
          <cell r="F110" t="str">
            <v>A4571N0630010NNND</v>
          </cell>
          <cell r="G110">
            <v>1</v>
          </cell>
          <cell r="H110">
            <v>22141</v>
          </cell>
          <cell r="I110" t="str">
            <v>K</v>
          </cell>
          <cell r="J110">
            <v>-5</v>
          </cell>
          <cell r="K110">
            <v>36453</v>
          </cell>
        </row>
        <row r="111">
          <cell r="B111" t="str">
            <v>MACH</v>
          </cell>
          <cell r="C111">
            <v>103</v>
          </cell>
          <cell r="D111" t="str">
            <v xml:space="preserve"> </v>
          </cell>
          <cell r="E111" t="str">
            <v xml:space="preserve">MAIN AIR RESERVOIR                      </v>
          </cell>
          <cell r="F111" t="str">
            <v>A4572N0630001B29D</v>
          </cell>
          <cell r="G111">
            <v>2</v>
          </cell>
          <cell r="H111">
            <v>22141</v>
          </cell>
          <cell r="I111" t="str">
            <v>K</v>
          </cell>
          <cell r="J111">
            <v>0</v>
          </cell>
          <cell r="K111">
            <v>36458</v>
          </cell>
          <cell r="L111">
            <v>36037</v>
          </cell>
        </row>
        <row r="112">
          <cell r="B112" t="str">
            <v>MACH</v>
          </cell>
          <cell r="C112">
            <v>104</v>
          </cell>
          <cell r="D112" t="str">
            <v xml:space="preserve"> </v>
          </cell>
          <cell r="E112" t="str">
            <v xml:space="preserve">AUX. AIR RESERVOIR                      </v>
          </cell>
          <cell r="F112" t="str">
            <v>A4572N0630002B29D</v>
          </cell>
          <cell r="G112">
            <v>1</v>
          </cell>
          <cell r="H112">
            <v>22141</v>
          </cell>
          <cell r="I112" t="str">
            <v>K</v>
          </cell>
          <cell r="J112">
            <v>-5</v>
          </cell>
          <cell r="K112">
            <v>36453</v>
          </cell>
        </row>
        <row r="113">
          <cell r="B113" t="str">
            <v>MACH</v>
          </cell>
          <cell r="C113">
            <v>105</v>
          </cell>
          <cell r="D113" t="str">
            <v xml:space="preserve"> </v>
          </cell>
          <cell r="E113" t="str">
            <v>DECK SERVICE AIR RESERVOIR</v>
          </cell>
          <cell r="F113" t="str">
            <v>A4572N0630003NNND</v>
          </cell>
          <cell r="G113">
            <v>1</v>
          </cell>
          <cell r="H113">
            <v>22141</v>
          </cell>
          <cell r="I113" t="str">
            <v>K</v>
          </cell>
          <cell r="J113">
            <v>0</v>
          </cell>
          <cell r="K113">
            <v>36458</v>
          </cell>
        </row>
        <row r="114">
          <cell r="B114" t="str">
            <v>MACH</v>
          </cell>
          <cell r="C114">
            <v>106</v>
          </cell>
          <cell r="D114" t="str">
            <v xml:space="preserve"> </v>
          </cell>
          <cell r="E114" t="str">
            <v>CONTROL AIR DRYER</v>
          </cell>
          <cell r="F114" t="str">
            <v>A4573N0630001B29D</v>
          </cell>
          <cell r="G114">
            <v>1</v>
          </cell>
          <cell r="H114">
            <v>22141</v>
          </cell>
          <cell r="I114" t="str">
            <v>K</v>
          </cell>
          <cell r="J114">
            <v>0</v>
          </cell>
          <cell r="K114">
            <v>36458</v>
          </cell>
        </row>
        <row r="115">
          <cell r="B115" t="str">
            <v>MACH</v>
          </cell>
          <cell r="C115">
            <v>107</v>
          </cell>
          <cell r="D115" t="str">
            <v xml:space="preserve"> </v>
          </cell>
          <cell r="E115" t="str">
            <v xml:space="preserve">LATHE                                   </v>
          </cell>
          <cell r="F115" t="str">
            <v>A4911N0630001NNND</v>
          </cell>
          <cell r="G115">
            <v>1</v>
          </cell>
          <cell r="H115">
            <v>22141</v>
          </cell>
          <cell r="I115" t="str">
            <v>K</v>
          </cell>
          <cell r="J115">
            <v>0</v>
          </cell>
          <cell r="K115">
            <v>36458</v>
          </cell>
          <cell r="L115">
            <v>36053</v>
          </cell>
        </row>
        <row r="116">
          <cell r="B116" t="str">
            <v>MACH</v>
          </cell>
          <cell r="C116">
            <v>108</v>
          </cell>
          <cell r="D116" t="str">
            <v xml:space="preserve"> </v>
          </cell>
          <cell r="E116" t="str">
            <v xml:space="preserve">DRILLING MACHINE                        </v>
          </cell>
          <cell r="F116" t="str">
            <v>A4911N0630002NNND</v>
          </cell>
          <cell r="G116">
            <v>1</v>
          </cell>
          <cell r="H116">
            <v>22141</v>
          </cell>
          <cell r="I116" t="str">
            <v>K</v>
          </cell>
          <cell r="J116">
            <v>5</v>
          </cell>
          <cell r="K116">
            <v>36463</v>
          </cell>
        </row>
        <row r="117">
          <cell r="B117" t="str">
            <v>MACH</v>
          </cell>
          <cell r="C117">
            <v>109</v>
          </cell>
          <cell r="D117" t="str">
            <v xml:space="preserve"> </v>
          </cell>
          <cell r="E117" t="str">
            <v xml:space="preserve">GRINDER                                 </v>
          </cell>
          <cell r="F117" t="str">
            <v>A4911N0630003NNND</v>
          </cell>
          <cell r="G117">
            <v>1</v>
          </cell>
          <cell r="H117">
            <v>22141</v>
          </cell>
          <cell r="I117" t="str">
            <v>K</v>
          </cell>
          <cell r="J117">
            <v>5</v>
          </cell>
          <cell r="K117">
            <v>36463</v>
          </cell>
        </row>
        <row r="118">
          <cell r="B118" t="str">
            <v>MACH</v>
          </cell>
          <cell r="C118">
            <v>110</v>
          </cell>
          <cell r="D118" t="str">
            <v xml:space="preserve"> </v>
          </cell>
          <cell r="E118" t="str">
            <v xml:space="preserve">ELEC. ARC WELDER                         </v>
          </cell>
          <cell r="F118" t="str">
            <v>A4911N0630004NNND</v>
          </cell>
          <cell r="G118">
            <v>1</v>
          </cell>
          <cell r="H118">
            <v>22144</v>
          </cell>
          <cell r="I118" t="str">
            <v>K</v>
          </cell>
          <cell r="J118">
            <v>5</v>
          </cell>
          <cell r="K118">
            <v>36463</v>
          </cell>
        </row>
        <row r="119">
          <cell r="B119" t="str">
            <v>MACH</v>
          </cell>
          <cell r="C119">
            <v>111</v>
          </cell>
          <cell r="D119" t="str">
            <v xml:space="preserve"> </v>
          </cell>
          <cell r="E119" t="str">
            <v xml:space="preserve">GAS WELDER                              </v>
          </cell>
          <cell r="F119" t="str">
            <v>A4911N0630005NNND</v>
          </cell>
          <cell r="G119">
            <v>1</v>
          </cell>
          <cell r="H119">
            <v>22141</v>
          </cell>
          <cell r="I119" t="str">
            <v>K</v>
          </cell>
          <cell r="J119">
            <v>5</v>
          </cell>
          <cell r="K119">
            <v>36463</v>
          </cell>
        </row>
        <row r="120">
          <cell r="B120" t="str">
            <v>MACH</v>
          </cell>
          <cell r="C120">
            <v>112</v>
          </cell>
          <cell r="D120" t="str">
            <v xml:space="preserve"> </v>
          </cell>
          <cell r="E120" t="str">
            <v xml:space="preserve">E/R CRANE                               </v>
          </cell>
          <cell r="F120" t="str">
            <v>A4921N0630001NNND</v>
          </cell>
          <cell r="G120">
            <v>1</v>
          </cell>
          <cell r="H120">
            <v>22141</v>
          </cell>
          <cell r="I120" t="str">
            <v>L</v>
          </cell>
          <cell r="J120">
            <v>-60</v>
          </cell>
          <cell r="K120">
            <v>36473</v>
          </cell>
          <cell r="L120">
            <v>36053</v>
          </cell>
        </row>
        <row r="121">
          <cell r="B121" t="str">
            <v>MACH</v>
          </cell>
          <cell r="C121">
            <v>113</v>
          </cell>
          <cell r="D121" t="str">
            <v xml:space="preserve"> </v>
          </cell>
          <cell r="E121" t="str">
            <v xml:space="preserve">ELECTRIC HORN                           </v>
          </cell>
          <cell r="F121" t="str">
            <v>A5281N0630002B20</v>
          </cell>
          <cell r="G121">
            <v>1</v>
          </cell>
          <cell r="H121">
            <v>22144</v>
          </cell>
          <cell r="I121" t="str">
            <v>L</v>
          </cell>
          <cell r="J121">
            <v>-80</v>
          </cell>
          <cell r="K121">
            <v>36453</v>
          </cell>
        </row>
        <row r="122">
          <cell r="B122" t="str">
            <v>OUTF</v>
          </cell>
          <cell r="C122">
            <v>114</v>
          </cell>
          <cell r="D122" t="str">
            <v xml:space="preserve"> </v>
          </cell>
          <cell r="E122" t="str">
            <v>HATCH COVER</v>
          </cell>
          <cell r="F122" t="str">
            <v>A1110N0630001B29D</v>
          </cell>
          <cell r="G122">
            <v>1</v>
          </cell>
          <cell r="H122">
            <v>22132</v>
          </cell>
          <cell r="I122" t="str">
            <v>L</v>
          </cell>
          <cell r="J122">
            <v>-40</v>
          </cell>
          <cell r="K122">
            <v>36493</v>
          </cell>
        </row>
        <row r="123">
          <cell r="B123" t="str">
            <v>OUTF</v>
          </cell>
          <cell r="C123">
            <v>115</v>
          </cell>
          <cell r="D123" t="str">
            <v xml:space="preserve"> </v>
          </cell>
          <cell r="E123" t="str">
            <v>CONTAINER FITTINGS</v>
          </cell>
          <cell r="F123" t="str">
            <v>A1410N0630001B29D</v>
          </cell>
          <cell r="G123">
            <v>1</v>
          </cell>
          <cell r="H123">
            <v>22132</v>
          </cell>
          <cell r="I123" t="str">
            <v>W</v>
          </cell>
          <cell r="J123">
            <v>10</v>
          </cell>
          <cell r="K123">
            <v>36366</v>
          </cell>
        </row>
        <row r="124">
          <cell r="B124" t="str">
            <v>OUTF</v>
          </cell>
          <cell r="C124">
            <v>116</v>
          </cell>
          <cell r="D124" t="str">
            <v xml:space="preserve"> </v>
          </cell>
          <cell r="E124" t="str">
            <v>GALLEY EQUIPMENT</v>
          </cell>
          <cell r="F124" t="str">
            <v>A3110N0630001NNND</v>
          </cell>
          <cell r="G124">
            <v>1</v>
          </cell>
          <cell r="H124">
            <v>22135</v>
          </cell>
          <cell r="I124" t="str">
            <v>L</v>
          </cell>
          <cell r="J124">
            <v>-59</v>
          </cell>
          <cell r="K124">
            <v>36474</v>
          </cell>
        </row>
        <row r="125">
          <cell r="B125" t="str">
            <v>OUTF</v>
          </cell>
          <cell r="C125">
            <v>117</v>
          </cell>
          <cell r="D125" t="str">
            <v xml:space="preserve"> </v>
          </cell>
          <cell r="E125" t="str">
            <v>BULKHEAD PANNEL</v>
          </cell>
          <cell r="F125" t="str">
            <v>A3310N0630001B29D</v>
          </cell>
          <cell r="G125">
            <v>1</v>
          </cell>
          <cell r="H125">
            <v>22135</v>
          </cell>
          <cell r="I125" t="str">
            <v>L</v>
          </cell>
          <cell r="J125">
            <v>0</v>
          </cell>
          <cell r="K125">
            <v>36533</v>
          </cell>
        </row>
        <row r="126">
          <cell r="B126" t="str">
            <v>OUTF</v>
          </cell>
          <cell r="C126">
            <v>118</v>
          </cell>
          <cell r="D126" t="str">
            <v xml:space="preserve"> </v>
          </cell>
          <cell r="E126" t="str">
            <v>BOW THRUSTER</v>
          </cell>
          <cell r="F126" t="str">
            <v>A4240N0630001B29D</v>
          </cell>
          <cell r="G126">
            <v>1</v>
          </cell>
          <cell r="H126">
            <v>22123</v>
          </cell>
          <cell r="I126" t="str">
            <v>K</v>
          </cell>
          <cell r="J126">
            <v>-10</v>
          </cell>
          <cell r="K126">
            <v>36448</v>
          </cell>
        </row>
        <row r="127">
          <cell r="B127" t="str">
            <v>OUTF</v>
          </cell>
          <cell r="C127">
            <v>119</v>
          </cell>
          <cell r="D127" t="str">
            <v xml:space="preserve"> </v>
          </cell>
          <cell r="E127" t="str">
            <v xml:space="preserve">AIR COND. PLANT                         </v>
          </cell>
          <cell r="F127" t="str">
            <v>A4471N0630002B29D</v>
          </cell>
          <cell r="G127">
            <v>1</v>
          </cell>
          <cell r="H127">
            <v>22133</v>
          </cell>
          <cell r="I127" t="str">
            <v>L</v>
          </cell>
          <cell r="J127">
            <v>-40</v>
          </cell>
          <cell r="K127">
            <v>36493</v>
          </cell>
        </row>
        <row r="128">
          <cell r="B128" t="str">
            <v>OUTF</v>
          </cell>
          <cell r="C128">
            <v>120</v>
          </cell>
          <cell r="D128" t="str">
            <v xml:space="preserve"> </v>
          </cell>
          <cell r="E128" t="str">
            <v>BILGE EDUCTOR FOR C/H</v>
          </cell>
          <cell r="F128" t="str">
            <v>A4622N0630001NNND</v>
          </cell>
          <cell r="G128">
            <v>1</v>
          </cell>
          <cell r="H128">
            <v>22123</v>
          </cell>
          <cell r="I128" t="str">
            <v>K</v>
          </cell>
          <cell r="J128">
            <v>-10</v>
          </cell>
          <cell r="K128">
            <v>36448</v>
          </cell>
        </row>
        <row r="129">
          <cell r="B129" t="str">
            <v>OUTF</v>
          </cell>
          <cell r="C129">
            <v>121</v>
          </cell>
          <cell r="D129" t="str">
            <v xml:space="preserve"> </v>
          </cell>
          <cell r="E129" t="str">
            <v>BILGE EDUCTOR FOR B.S</v>
          </cell>
          <cell r="F129" t="str">
            <v>A4652N0630001NNND</v>
          </cell>
          <cell r="G129">
            <v>2</v>
          </cell>
          <cell r="H129">
            <v>22123</v>
          </cell>
          <cell r="I129" t="str">
            <v>K</v>
          </cell>
          <cell r="J129">
            <v>-10</v>
          </cell>
          <cell r="K129">
            <v>36448</v>
          </cell>
        </row>
        <row r="130">
          <cell r="B130" t="str">
            <v>OUTF</v>
          </cell>
          <cell r="C130">
            <v>122</v>
          </cell>
          <cell r="D130" t="str">
            <v xml:space="preserve"> </v>
          </cell>
          <cell r="E130" t="str">
            <v>WINDLASS</v>
          </cell>
          <cell r="F130" t="str">
            <v>A5110N0630001B29D</v>
          </cell>
          <cell r="G130">
            <v>2</v>
          </cell>
          <cell r="H130">
            <v>22135</v>
          </cell>
          <cell r="I130" t="str">
            <v>L</v>
          </cell>
          <cell r="J130">
            <v>-40</v>
          </cell>
          <cell r="K130">
            <v>36493</v>
          </cell>
        </row>
        <row r="131">
          <cell r="B131" t="str">
            <v>OUTF</v>
          </cell>
          <cell r="C131">
            <v>123</v>
          </cell>
          <cell r="D131" t="str">
            <v xml:space="preserve"> </v>
          </cell>
          <cell r="E131" t="str">
            <v>MOORING WINCH</v>
          </cell>
          <cell r="F131" t="str">
            <v>A5110N0630002B29D</v>
          </cell>
          <cell r="G131">
            <v>5</v>
          </cell>
          <cell r="H131">
            <v>22135</v>
          </cell>
          <cell r="I131" t="str">
            <v>L</v>
          </cell>
          <cell r="J131">
            <v>-40</v>
          </cell>
          <cell r="K131">
            <v>36493</v>
          </cell>
        </row>
        <row r="132">
          <cell r="B132" t="str">
            <v>OUTF</v>
          </cell>
          <cell r="C132">
            <v>124</v>
          </cell>
          <cell r="D132" t="str">
            <v xml:space="preserve"> </v>
          </cell>
          <cell r="E132" t="str">
            <v>CAPSTAN</v>
          </cell>
          <cell r="F132" t="str">
            <v>A5120N063H001NNND</v>
          </cell>
          <cell r="G132">
            <v>6</v>
          </cell>
          <cell r="H132">
            <v>22135</v>
          </cell>
          <cell r="I132" t="str">
            <v>L</v>
          </cell>
          <cell r="J132">
            <v>-40</v>
          </cell>
          <cell r="K132">
            <v>36493</v>
          </cell>
        </row>
        <row r="133">
          <cell r="B133" t="str">
            <v>OUTF</v>
          </cell>
          <cell r="C133">
            <v>125</v>
          </cell>
          <cell r="D133" t="str">
            <v xml:space="preserve"> </v>
          </cell>
          <cell r="E133" t="str">
            <v>ANCHOR</v>
          </cell>
          <cell r="F133" t="str">
            <v>A5130N0630001B29D</v>
          </cell>
          <cell r="G133">
            <v>2</v>
          </cell>
          <cell r="H133">
            <v>22135</v>
          </cell>
          <cell r="I133" t="str">
            <v>L</v>
          </cell>
          <cell r="J133">
            <v>-30</v>
          </cell>
          <cell r="K133">
            <v>36503</v>
          </cell>
        </row>
        <row r="134">
          <cell r="B134" t="str">
            <v>OUTF</v>
          </cell>
          <cell r="C134">
            <v>126</v>
          </cell>
          <cell r="D134" t="str">
            <v xml:space="preserve"> </v>
          </cell>
          <cell r="E134" t="str">
            <v>ANCHOR CHAIN</v>
          </cell>
          <cell r="F134" t="str">
            <v>A5130N0630002B29D</v>
          </cell>
          <cell r="G134">
            <v>1</v>
          </cell>
          <cell r="H134">
            <v>22135</v>
          </cell>
          <cell r="I134" t="str">
            <v>L</v>
          </cell>
          <cell r="J134">
            <v>-30</v>
          </cell>
          <cell r="K134">
            <v>36503</v>
          </cell>
        </row>
        <row r="135">
          <cell r="B135" t="str">
            <v>OUTF</v>
          </cell>
          <cell r="C135">
            <v>127</v>
          </cell>
          <cell r="D135" t="str">
            <v xml:space="preserve"> </v>
          </cell>
          <cell r="E135" t="str">
            <v>CHAIN COMPRESSOR</v>
          </cell>
          <cell r="F135" t="str">
            <v>A5130N0631000B29D</v>
          </cell>
          <cell r="G135">
            <v>2</v>
          </cell>
          <cell r="H135">
            <v>22135</v>
          </cell>
          <cell r="I135" t="str">
            <v>L</v>
          </cell>
          <cell r="J135">
            <v>-44</v>
          </cell>
          <cell r="K135">
            <v>36489</v>
          </cell>
        </row>
        <row r="136">
          <cell r="B136" t="str">
            <v>OUTF</v>
          </cell>
          <cell r="C136">
            <v>128</v>
          </cell>
          <cell r="D136" t="str">
            <v xml:space="preserve"> </v>
          </cell>
          <cell r="E136" t="str">
            <v>LIFEBOAT WITH EQUIPMENT</v>
          </cell>
          <cell r="F136" t="str">
            <v>A5210N0630001B29D</v>
          </cell>
          <cell r="G136">
            <v>2</v>
          </cell>
          <cell r="H136">
            <v>22135</v>
          </cell>
          <cell r="I136" t="str">
            <v>L</v>
          </cell>
          <cell r="J136">
            <v>-25</v>
          </cell>
          <cell r="K136">
            <v>36508</v>
          </cell>
        </row>
        <row r="137">
          <cell r="B137" t="str">
            <v>OUTF</v>
          </cell>
          <cell r="C137">
            <v>129</v>
          </cell>
          <cell r="D137" t="str">
            <v xml:space="preserve"> </v>
          </cell>
          <cell r="E137" t="str">
            <v>LIFE BOAT DAVIT &amp; WINCH</v>
          </cell>
          <cell r="F137" t="str">
            <v>A5212N0630001B29D</v>
          </cell>
          <cell r="G137">
            <v>2</v>
          </cell>
          <cell r="H137">
            <v>22135</v>
          </cell>
          <cell r="I137" t="str">
            <v>L</v>
          </cell>
          <cell r="J137">
            <v>-44</v>
          </cell>
          <cell r="K137">
            <v>36489</v>
          </cell>
        </row>
        <row r="138">
          <cell r="B138" t="str">
            <v>OUTF</v>
          </cell>
          <cell r="C138">
            <v>130</v>
          </cell>
          <cell r="D138" t="str">
            <v xml:space="preserve"> </v>
          </cell>
          <cell r="E138" t="str">
            <v>LIFERAFT</v>
          </cell>
          <cell r="F138" t="str">
            <v>A5220N0630001B29D</v>
          </cell>
          <cell r="G138">
            <v>5</v>
          </cell>
          <cell r="H138">
            <v>22135</v>
          </cell>
          <cell r="I138" t="str">
            <v>L</v>
          </cell>
          <cell r="J138">
            <v>15</v>
          </cell>
          <cell r="K138">
            <v>36548</v>
          </cell>
        </row>
        <row r="139">
          <cell r="B139" t="str">
            <v>OUTF</v>
          </cell>
          <cell r="C139">
            <v>131</v>
          </cell>
          <cell r="D139" t="str">
            <v xml:space="preserve"> </v>
          </cell>
          <cell r="E139" t="str">
            <v xml:space="preserve">AIR HORN                                </v>
          </cell>
          <cell r="F139" t="str">
            <v>A5281N0630001B29D</v>
          </cell>
          <cell r="G139">
            <v>1</v>
          </cell>
          <cell r="H139">
            <v>22135</v>
          </cell>
          <cell r="I139" t="str">
            <v>L</v>
          </cell>
          <cell r="J139">
            <v>-50</v>
          </cell>
          <cell r="K139">
            <v>36483</v>
          </cell>
        </row>
        <row r="140">
          <cell r="B140" t="str">
            <v>OUTF</v>
          </cell>
          <cell r="C140">
            <v>132</v>
          </cell>
          <cell r="D140" t="str">
            <v xml:space="preserve"> </v>
          </cell>
          <cell r="E140" t="str">
            <v xml:space="preserve">FIXED CO2 SYSTEM                        </v>
          </cell>
          <cell r="F140" t="str">
            <v>A5310N0630001B29D</v>
          </cell>
          <cell r="G140">
            <v>1</v>
          </cell>
          <cell r="H140">
            <v>22135</v>
          </cell>
          <cell r="I140" t="str">
            <v>L</v>
          </cell>
          <cell r="J140">
            <v>-70</v>
          </cell>
          <cell r="K140">
            <v>36463</v>
          </cell>
        </row>
        <row r="141">
          <cell r="B141" t="str">
            <v>OUTF</v>
          </cell>
          <cell r="C141">
            <v>133</v>
          </cell>
          <cell r="D141" t="str">
            <v xml:space="preserve"> </v>
          </cell>
          <cell r="E141" t="str">
            <v>SMOKE DETECTION SYSTEM</v>
          </cell>
          <cell r="F141" t="str">
            <v>A5362N0630001B29D</v>
          </cell>
          <cell r="G141">
            <v>1</v>
          </cell>
          <cell r="H141">
            <v>22135</v>
          </cell>
          <cell r="I141" t="str">
            <v>L</v>
          </cell>
          <cell r="J141">
            <v>-70</v>
          </cell>
          <cell r="K141">
            <v>36463</v>
          </cell>
        </row>
        <row r="142">
          <cell r="B142" t="str">
            <v>OUTF</v>
          </cell>
          <cell r="C142">
            <v>134</v>
          </cell>
          <cell r="D142" t="str">
            <v xml:space="preserve"> </v>
          </cell>
          <cell r="E142" t="str">
            <v>ACCOMMODATION LADDER</v>
          </cell>
          <cell r="F142" t="str">
            <v>A5410N0630001NNND</v>
          </cell>
          <cell r="G142">
            <v>2</v>
          </cell>
          <cell r="H142">
            <v>22135</v>
          </cell>
          <cell r="I142" t="str">
            <v>L</v>
          </cell>
          <cell r="J142">
            <v>-76</v>
          </cell>
          <cell r="K142">
            <v>36457</v>
          </cell>
        </row>
        <row r="143">
          <cell r="B143" t="str">
            <v>OUTF</v>
          </cell>
          <cell r="C143">
            <v>135</v>
          </cell>
          <cell r="D143" t="str">
            <v xml:space="preserve"> </v>
          </cell>
          <cell r="E143" t="str">
            <v>PILOT LADDER</v>
          </cell>
          <cell r="F143" t="str">
            <v>A5411N0630001B29D</v>
          </cell>
          <cell r="G143">
            <v>2</v>
          </cell>
          <cell r="H143">
            <v>22135</v>
          </cell>
          <cell r="I143" t="str">
            <v>L</v>
          </cell>
          <cell r="J143">
            <v>-76</v>
          </cell>
          <cell r="K143">
            <v>36457</v>
          </cell>
        </row>
        <row r="144">
          <cell r="B144" t="str">
            <v>OUTF</v>
          </cell>
          <cell r="C144">
            <v>136</v>
          </cell>
          <cell r="D144" t="str">
            <v xml:space="preserve"> </v>
          </cell>
          <cell r="E144" t="str">
            <v>ELEVATOR</v>
          </cell>
          <cell r="F144" t="str">
            <v>A5490N0630001B29D</v>
          </cell>
          <cell r="G144">
            <v>1</v>
          </cell>
          <cell r="H144">
            <v>22135</v>
          </cell>
          <cell r="I144" t="str">
            <v>L</v>
          </cell>
          <cell r="J144">
            <v>-45</v>
          </cell>
          <cell r="K144">
            <v>36488</v>
          </cell>
        </row>
        <row r="145">
          <cell r="B145" t="str">
            <v>OUTF</v>
          </cell>
          <cell r="C145">
            <v>137</v>
          </cell>
          <cell r="D145" t="str">
            <v xml:space="preserve"> </v>
          </cell>
          <cell r="E145" t="str">
            <v>PROVISION CRANE</v>
          </cell>
          <cell r="F145" t="str">
            <v>A5510N0630001B29D</v>
          </cell>
          <cell r="G145">
            <v>2</v>
          </cell>
          <cell r="H145">
            <v>22135</v>
          </cell>
          <cell r="I145" t="str">
            <v>L</v>
          </cell>
          <cell r="J145">
            <v>-40</v>
          </cell>
          <cell r="K145">
            <v>36493</v>
          </cell>
        </row>
        <row r="146">
          <cell r="B146" t="str">
            <v>OUTF</v>
          </cell>
          <cell r="C146">
            <v>138</v>
          </cell>
          <cell r="D146" t="str">
            <v xml:space="preserve"> </v>
          </cell>
          <cell r="E146" t="str">
            <v>FORE MAST</v>
          </cell>
          <cell r="F146" t="str">
            <v>A5530N0630001NNND</v>
          </cell>
          <cell r="G146">
            <v>1</v>
          </cell>
          <cell r="H146">
            <v>22135</v>
          </cell>
          <cell r="I146" t="str">
            <v>L</v>
          </cell>
          <cell r="J146">
            <v>-40</v>
          </cell>
          <cell r="K146">
            <v>36493</v>
          </cell>
        </row>
        <row r="147">
          <cell r="B147" t="str">
            <v>OUTF</v>
          </cell>
          <cell r="C147">
            <v>139</v>
          </cell>
          <cell r="D147" t="str">
            <v xml:space="preserve"> </v>
          </cell>
          <cell r="E147" t="str">
            <v>SUEZ DAVIT</v>
          </cell>
          <cell r="F147" t="str">
            <v>A5531N0630001NNND</v>
          </cell>
          <cell r="G147">
            <v>1</v>
          </cell>
          <cell r="H147">
            <v>22135</v>
          </cell>
          <cell r="I147" t="str">
            <v>L</v>
          </cell>
          <cell r="J147">
            <v>-30</v>
          </cell>
          <cell r="K147">
            <v>36503</v>
          </cell>
        </row>
        <row r="148">
          <cell r="B148" t="str">
            <v>OUTF</v>
          </cell>
          <cell r="C148">
            <v>140</v>
          </cell>
          <cell r="D148" t="str">
            <v xml:space="preserve"> </v>
          </cell>
          <cell r="E148" t="str">
            <v>F.O HOSE DAVIT</v>
          </cell>
          <cell r="F148" t="str">
            <v>A5531N063H001NNND</v>
          </cell>
          <cell r="G148">
            <v>2</v>
          </cell>
          <cell r="H148">
            <v>22135</v>
          </cell>
          <cell r="I148" t="str">
            <v>L</v>
          </cell>
          <cell r="J148">
            <v>-76</v>
          </cell>
          <cell r="K148">
            <v>36457</v>
          </cell>
        </row>
        <row r="149">
          <cell r="B149" t="str">
            <v>OUTF</v>
          </cell>
          <cell r="C149">
            <v>141</v>
          </cell>
          <cell r="D149" t="str">
            <v xml:space="preserve"> </v>
          </cell>
          <cell r="E149" t="str">
            <v>FAN</v>
          </cell>
          <cell r="F149" t="str">
            <v>A5610N063H_______</v>
          </cell>
          <cell r="G149">
            <v>26</v>
          </cell>
          <cell r="H149">
            <v>22135</v>
          </cell>
          <cell r="I149" t="str">
            <v>K</v>
          </cell>
          <cell r="J149">
            <v>-75</v>
          </cell>
          <cell r="K149">
            <v>36383</v>
          </cell>
        </row>
        <row r="150">
          <cell r="B150" t="str">
            <v>OUTF</v>
          </cell>
          <cell r="C150">
            <v>142</v>
          </cell>
          <cell r="D150" t="str">
            <v xml:space="preserve"> </v>
          </cell>
          <cell r="E150" t="str">
            <v>EPOXY RESIN</v>
          </cell>
          <cell r="F150" t="str">
            <v>A5111N0630001B29D</v>
          </cell>
          <cell r="G150">
            <v>6</v>
          </cell>
          <cell r="H150">
            <v>22135</v>
          </cell>
          <cell r="I150" t="str">
            <v>L</v>
          </cell>
          <cell r="J150">
            <v>-45</v>
          </cell>
          <cell r="K150">
            <v>36488</v>
          </cell>
        </row>
        <row r="151">
          <cell r="B151" t="str">
            <v>OUTF</v>
          </cell>
          <cell r="C151">
            <v>142</v>
          </cell>
          <cell r="D151" t="str">
            <v xml:space="preserve"> </v>
          </cell>
          <cell r="E151" t="str">
            <v>FOREEIGN INVENTORY</v>
          </cell>
          <cell r="F151" t="str">
            <v>A8121N0630001NNND</v>
          </cell>
          <cell r="G151">
            <v>1</v>
          </cell>
          <cell r="H151">
            <v>22135</v>
          </cell>
          <cell r="I151" t="str">
            <v>D</v>
          </cell>
          <cell r="J151">
            <v>-30</v>
          </cell>
          <cell r="K151">
            <v>36555</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0.메모"/>
      <sheetName val="일위대가"/>
      <sheetName val="#REF"/>
      <sheetName val="변경실행"/>
      <sheetName val="금융비용"/>
      <sheetName val="SCHEDULE"/>
      <sheetName val="ELECTRIC"/>
      <sheetName val="CTEMCOST"/>
      <sheetName val="견적조건"/>
      <sheetName val="3.실행총괄표"/>
      <sheetName val="매월기성 (관)"/>
      <sheetName val="Revenue"/>
      <sheetName val="COVER"/>
      <sheetName val="LeadSchedule"/>
      <sheetName val="현금및예치금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048PL00"/>
      <sheetName val="N048PL01"/>
      <sheetName val="N048PL02"/>
      <sheetName val="N048PL03"/>
      <sheetName val="N048PL04"/>
      <sheetName val="N045PL05"/>
      <sheetName val="N048PL06"/>
      <sheetName val="N048PL07"/>
      <sheetName val="N048PL08"/>
      <sheetName val="N048PL09"/>
      <sheetName val="N048PL10"/>
      <sheetName val="N048PL11"/>
      <sheetName val="N048PL12"/>
      <sheetName val="N048PL13"/>
      <sheetName val="N048PL14"/>
      <sheetName val="N048PL15"/>
      <sheetName val="N048PL16"/>
      <sheetName val="N048PL17"/>
      <sheetName val="N048PL18"/>
      <sheetName val="N048PL19"/>
      <sheetName val="N048PL20"/>
      <sheetName val="MAT_N04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Schedule"/>
      <sheetName val="현금및예치금집계표"/>
      <sheetName val="현금및등가물명세"/>
      <sheetName val="단기금융상품명세"/>
      <sheetName val="장기금융상품명세"/>
      <sheetName val="이자수익OVERALL"/>
      <sheetName val="Sheet1"/>
      <sheetName val="XREF"/>
      <sheetName val="Tickmarks"/>
      <sheetName val="실적피벗"/>
      <sheetName val="피_계획"/>
      <sheetName val="한강운반비"/>
      <sheetName val="12월원본"/>
      <sheetName val="상세"/>
      <sheetName val="집계"/>
      <sheetName val="DISTANCE"/>
      <sheetName val="개요"/>
      <sheetName val="퇴직급여충당금 Overall Test"/>
      <sheetName val="급여 Lead Schedule"/>
      <sheetName val="퇴직급여충당금명세서"/>
      <sheetName val="당기월별퇴지급여충당금분석"/>
      <sheetName val="f_BS"/>
      <sheetName val="금액집계(리포트)"/>
      <sheetName val="기초코드"/>
      <sheetName val="sst,stl창호"/>
    </sheetNames>
    <sheetDataSet>
      <sheetData sheetId="0"/>
      <sheetData sheetId="1"/>
      <sheetData sheetId="2"/>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시계열"/>
      <sheetName val="지급수수료"/>
      <sheetName val="전산운영비"/>
      <sheetName val="복리비"/>
      <sheetName val="임차료"/>
      <sheetName val="XREF"/>
      <sheetName val="Tickmarks"/>
      <sheetName val="8331 사업비substantive의 워크시트"/>
      <sheetName val="F1,2"/>
      <sheetName val="F3"/>
      <sheetName val="F3_PL"/>
      <sheetName val="F4_PAJE"/>
      <sheetName val="F12_BS"/>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융자산LeadSchedule"/>
      <sheetName val="금융자산집계표"/>
      <sheetName val="현금과예금"/>
      <sheetName val="단기금융상품"/>
      <sheetName val="이자수익OVERALL"/>
      <sheetName val="CAJE.CRJE"/>
      <sheetName val="F1,2"/>
      <sheetName val="F3"/>
      <sheetName val="lead"/>
      <sheetName val="퇴직급여충당금 Overall Test"/>
      <sheetName val="급여 Lead Schedule"/>
      <sheetName val="퇴직급여충당금명세서"/>
      <sheetName val="당기월별퇴지급여충당금분석"/>
      <sheetName val="XREF"/>
      <sheetName val="금융자산"/>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2"/>
      <sheetName val="F3"/>
      <sheetName val="F5"/>
      <sheetName val="이자수익OVERALL"/>
    </sheetNames>
    <sheetDataSet>
      <sheetData sheetId="0"/>
      <sheetData sheetId="1"/>
      <sheetData sheetId="2"/>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건비LeadSchedule"/>
      <sheetName val="5개년도인건비"/>
      <sheetName val="인건비검토"/>
      <sheetName val="2002급여현황"/>
      <sheetName val="급여 Overall Test"/>
      <sheetName val="월별임직원급여"/>
      <sheetName val="당기급여월별분석"/>
      <sheetName val="F3"/>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급여 Lead Schedule"/>
      <sheetName val="급여 Overall Test"/>
      <sheetName val="당기급여월별분석"/>
      <sheetName val="퇴직급여충당금 Overall Test"/>
      <sheetName val="퇴직급여충당금명세서"/>
      <sheetName val="당기월별퇴지급여충당금분석"/>
      <sheetName val="XREF"/>
      <sheetName val="12월수불자료"/>
      <sheetName val="ㄹㄹㄹㄹㄹㄹ"/>
    </sheetNames>
    <sheetDataSet>
      <sheetData sheetId="0"/>
      <sheetData sheetId="1"/>
      <sheetData sheetId="2"/>
      <sheetData sheetId="3">
        <row r="41">
          <cell r="F41">
            <v>250060300</v>
          </cell>
        </row>
      </sheetData>
      <sheetData sheetId="4"/>
      <sheetData sheetId="5"/>
      <sheetData sheetId="6">
        <row r="4">
          <cell r="A4">
            <v>3776362580</v>
          </cell>
          <cell r="B4">
            <v>3776362580</v>
          </cell>
          <cell r="D4" t="str">
            <v>인건비 관련사항</v>
          </cell>
          <cell r="E4" t="str">
            <v>!</v>
          </cell>
        </row>
        <row r="6">
          <cell r="A6">
            <v>181111165</v>
          </cell>
          <cell r="B6">
            <v>181111165</v>
          </cell>
          <cell r="D6" t="str">
            <v>인건비 관련사항</v>
          </cell>
          <cell r="E6" t="str">
            <v>!</v>
          </cell>
        </row>
        <row r="7">
          <cell r="A7">
            <v>181111165</v>
          </cell>
          <cell r="B7">
            <v>181111165</v>
          </cell>
          <cell r="D7" t="str">
            <v>인건비 관련사항</v>
          </cell>
          <cell r="E7" t="str">
            <v>!</v>
          </cell>
        </row>
        <row r="8">
          <cell r="A8">
            <v>44215465</v>
          </cell>
          <cell r="B8">
            <v>44215465</v>
          </cell>
          <cell r="D8" t="str">
            <v>인건비 관련사항</v>
          </cell>
          <cell r="E8" t="str">
            <v>!</v>
          </cell>
        </row>
        <row r="9">
          <cell r="A9">
            <v>44215465</v>
          </cell>
          <cell r="B9">
            <v>44215465</v>
          </cell>
          <cell r="D9" t="str">
            <v>인건비 관련사항</v>
          </cell>
          <cell r="E9" t="str">
            <v>!</v>
          </cell>
        </row>
        <row r="10">
          <cell r="A10">
            <v>113164600</v>
          </cell>
          <cell r="B10">
            <v>113164600</v>
          </cell>
          <cell r="D10" t="str">
            <v>인건비 관련사항</v>
          </cell>
          <cell r="E10" t="str">
            <v>!</v>
          </cell>
        </row>
        <row r="11">
          <cell r="A11">
            <v>113164600</v>
          </cell>
          <cell r="B11">
            <v>113164600</v>
          </cell>
          <cell r="D11" t="str">
            <v>인건비 관련사항</v>
          </cell>
          <cell r="E11" t="str">
            <v>!</v>
          </cell>
        </row>
      </sheetData>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100"/>
      <sheetName val="8102회전율"/>
      <sheetName val="8104STAR"/>
      <sheetName val="S8105TAR 2"/>
      <sheetName val="2001년 매출액"/>
      <sheetName val="주거래처"/>
      <sheetName val="8110ERS"/>
      <sheetName val="월별자료"/>
      <sheetName val="8120판매량"/>
      <sheetName val="8122국가별수출"/>
      <sheetName val="8124월별분석(판관비)"/>
      <sheetName val="8130매출cutoff"/>
      <sheetName val="8140판매단가"/>
      <sheetName val="8150sales&amp;vat"/>
      <sheetName val="8160업종분석"/>
      <sheetName val="매출인식8190"/>
      <sheetName val="8191판매현황"/>
      <sheetName val="8192출고"/>
      <sheetName val="8193수출프로"/>
      <sheetName val="수출면장"/>
      <sheetName val="8194반품"/>
      <sheetName val="Sheet1"/>
      <sheetName val="XREF"/>
      <sheetName val="Tickmarks"/>
      <sheetName val="단가경쟁사비교"/>
      <sheetName val="5300"/>
      <sheetName val="매출채권"/>
      <sheetName val="기타당좌자산"/>
      <sheetName val="5500"/>
      <sheetName val="TB(PL)"/>
      <sheetName val="제조원가"/>
      <sheetName val="F-4,5"/>
      <sheetName val="지급수수료"/>
      <sheetName val="8312국가별수출"/>
      <sheetName val="8320특수관계(판관비)"/>
      <sheetName val="운반비"/>
      <sheetName val="수출제비"/>
      <sheetName val="수선비"/>
      <sheetName val="광고선전비"/>
      <sheetName val="용역비"/>
      <sheetName val="교제비"/>
      <sheetName val="8310"/>
      <sheetName val="감가상각"/>
      <sheetName val="6100(전기)"/>
      <sheetName val="손익합산"/>
      <sheetName val="english name"/>
      <sheetName val="f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Schedule"/>
      <sheetName val="현금및예치금집계표"/>
      <sheetName val="현금및등가물명세서"/>
      <sheetName val="단기금융상품명세서"/>
      <sheetName val="장기금융상품명세서"/>
      <sheetName val="단체퇴직보험예치금명세서"/>
      <sheetName val="이자수익ｔｅｓｔ"/>
      <sheetName val="이자수익ｔｅｓｔ (2)"/>
      <sheetName val="이자수익(미수이자)P.T"/>
      <sheetName val="쌍용정산(미수)10"/>
      <sheetName val="미수수익11"/>
      <sheetName val="XREF"/>
      <sheetName val="Tickmarks"/>
      <sheetName val="급여 Overall Test"/>
      <sheetName val="퇴직급여충당금 Overall Test"/>
    </sheetNames>
    <sheetDataSet>
      <sheetData sheetId="0"/>
      <sheetData sheetId="1"/>
      <sheetData sheetId="2">
        <row r="73">
          <cell r="C7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4">
          <cell r="A14">
            <v>2748185692</v>
          </cell>
          <cell r="B14">
            <v>2748185692</v>
          </cell>
          <cell r="D14" t="str">
            <v>현금 및 예치금</v>
          </cell>
          <cell r="E14" t="str">
            <v>!</v>
          </cell>
        </row>
        <row r="15">
          <cell r="A15">
            <v>2748185692</v>
          </cell>
          <cell r="B15">
            <v>2748185692</v>
          </cell>
          <cell r="D15" t="str">
            <v>현금 및 예치금</v>
          </cell>
          <cell r="E15" t="str">
            <v>!</v>
          </cell>
        </row>
        <row r="16">
          <cell r="A16">
            <v>170241683675</v>
          </cell>
          <cell r="B16">
            <v>170241683675</v>
          </cell>
          <cell r="D16" t="str">
            <v>현금 및 예치금</v>
          </cell>
          <cell r="E16" t="str">
            <v>!</v>
          </cell>
        </row>
        <row r="17">
          <cell r="A17">
            <v>170241683675</v>
          </cell>
          <cell r="B17">
            <v>170241683675</v>
          </cell>
          <cell r="D17" t="str">
            <v>현금 및 예치금</v>
          </cell>
          <cell r="E17" t="str">
            <v>!</v>
          </cell>
        </row>
        <row r="18">
          <cell r="A18">
            <v>0</v>
          </cell>
          <cell r="B18">
            <v>0</v>
          </cell>
          <cell r="D18" t="str">
            <v>현금 및 예치금</v>
          </cell>
          <cell r="E18" t="str">
            <v>!</v>
          </cell>
        </row>
        <row r="20">
          <cell r="A20">
            <v>0</v>
          </cell>
          <cell r="B20">
            <v>0</v>
          </cell>
          <cell r="D20" t="str">
            <v>현금 및 예치금</v>
          </cell>
          <cell r="E20" t="str">
            <v>!</v>
          </cell>
        </row>
      </sheetData>
      <sheetData sheetId="12"/>
      <sheetData sheetId="13" refreshError="1"/>
      <sheetData sheetId="1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업비용LeadSchedule"/>
      <sheetName val="분기별수정사항"/>
      <sheetName val="월별영업비용"/>
      <sheetName val="인건비LeadSchedule"/>
      <sheetName val="인건비Overall"/>
      <sheetName val="인건비월별분석"/>
      <sheetName val="XREF"/>
      <sheetName val="현금및등가물명세서"/>
      <sheetName val="cfg"/>
      <sheetName val="소정근로일수"/>
      <sheetName val="f12"/>
      <sheetName val="당기급여월별분석"/>
      <sheetName val="CHITIET"/>
      <sheetName val="급여 Overall Tes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채권LS"/>
      <sheetName val="매출채권명세서"/>
      <sheetName val="대손충당금 검토"/>
      <sheetName val="매출채권회수"/>
      <sheetName val="XREF"/>
      <sheetName val="Tickmarks"/>
      <sheetName val="영업비용LeadSchedule"/>
    </sheetNames>
    <sheetDataSet>
      <sheetData sheetId="0"/>
      <sheetData sheetId="1"/>
      <sheetData sheetId="2"/>
      <sheetData sheetId="3"/>
      <sheetData sheetId="4"/>
      <sheetData sheetId="5"/>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건비L.S"/>
      <sheetName val="인건비명세서"/>
      <sheetName val="급여 Overall Test"/>
      <sheetName val="당기급여월별분석"/>
      <sheetName val="급여TOT"/>
      <sheetName val="XREF"/>
      <sheetName val="Tickmarks"/>
      <sheetName val="이자수익OVERALL"/>
    </sheetNames>
    <sheetDataSet>
      <sheetData sheetId="0"/>
      <sheetData sheetId="1"/>
      <sheetData sheetId="2"/>
      <sheetData sheetId="3"/>
      <sheetData sheetId="4"/>
      <sheetData sheetId="5"/>
      <sheetData sheetId="6"/>
      <sheetData sheetId="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gs Lead"/>
      <sheetName val="COS조정"/>
      <sheetName val="Ref."/>
      <sheetName val="제조원가집계"/>
      <sheetName val="타계정출.입"/>
      <sheetName val="부문별매출원가율"/>
      <sheetName val="제조부문"/>
      <sheetName val="투입"/>
      <sheetName val="임율"/>
      <sheetName val="임율 (4)"/>
      <sheetName val="기여투입"/>
      <sheetName val="사외배부"/>
      <sheetName val="XREF"/>
      <sheetName val="제품수불 "/>
      <sheetName val="당기급여월별분석"/>
      <sheetName val="F3"/>
      <sheetName val="lead"/>
      <sheetName val="유형자산LS"/>
    </sheetNames>
    <sheetDataSet>
      <sheetData sheetId="0"/>
      <sheetData sheetId="1" refreshError="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BS)"/>
      <sheetName val="TB(PL)"/>
      <sheetName val="PAJE"/>
      <sheetName val="PRJE"/>
      <sheetName val="경영지표(1)"/>
      <sheetName val="BS"/>
      <sheetName val="PL"/>
      <sheetName val="RE"/>
      <sheetName val="CF"/>
      <sheetName val="경영지표 (2)"/>
      <sheetName val="XREF"/>
      <sheetName val="검증"/>
      <sheetName val="Ratio"/>
      <sheetName val="TB(BS일반)"/>
      <sheetName val="TB(PL일반)"/>
      <sheetName val="CAJE.CRJE"/>
      <sheetName val="BS일반"/>
      <sheetName val="PL일반"/>
      <sheetName val="합잔(일반)"/>
      <sheetName val="BS(김포)"/>
      <sheetName val="PL(김포)"/>
      <sheetName val="TB(BS김포)"/>
      <sheetName val="TB(PL김포)"/>
      <sheetName val="BS김포"/>
      <sheetName val="PL김포"/>
      <sheetName val="합잔(김포)"/>
      <sheetName val="감사후변경처리 (자체조정포함)"/>
      <sheetName val="F4_PAJE"/>
      <sheetName val="F12_BS"/>
      <sheetName val="대차대조"/>
      <sheetName val="손익계산"/>
      <sheetName val="회사제시대차_계정변경"/>
      <sheetName val="회사제시손익_계정변경"/>
      <sheetName val="AJE&amp;RJE"/>
      <sheetName val="WTB-BS"/>
      <sheetName val="WTB-IS"/>
      <sheetName val="AJE"/>
      <sheetName val="RJE"/>
      <sheetName val="F-9"/>
      <sheetName val="ITS Assumptions"/>
      <sheetName val="Sheet1"/>
      <sheetName val="Tickmarks"/>
      <sheetName val="F12 "/>
      <sheetName val="F3"/>
      <sheetName val="fs"/>
      <sheetName val="f-4"/>
      <sheetName val="Sheet2"/>
      <sheetName val="공시지가"/>
      <sheetName val="ss"/>
      <sheetName val="index"/>
      <sheetName val="f-12"/>
      <sheetName val="f-3"/>
      <sheetName val="f-70"/>
      <sheetName val="ff"/>
      <sheetName val="ff-10"/>
      <sheetName val="공표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무제표"/>
      <sheetName val="재무비율분석"/>
      <sheetName val="2002-re"/>
      <sheetName val="현금흐름표"/>
      <sheetName val="현금흐름검증표"/>
      <sheetName val="F12_BS"/>
      <sheetName val="F3_PL"/>
      <sheetName val="F4_PAJE"/>
      <sheetName val="F5_PRJE"/>
      <sheetName val="CAJE"/>
      <sheetName val="CRJE"/>
      <sheetName val="XREF"/>
      <sheetName val="회사정보"/>
      <sheetName val="TB(PL)"/>
      <sheetName val="PAJE"/>
      <sheetName val="TB(BS)"/>
      <sheetName val="PRJE"/>
      <sheetName val="F45"/>
      <sheetName val="WPL"/>
      <sheetName val="F3"/>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s &amp; Tubes (stk only)"/>
      <sheetName val="Pipes &amp; Tubes"/>
      <sheetName val="Plates"/>
      <sheetName val="Spain"/>
      <sheetName val="Beams"/>
      <sheetName val="S&amp;OP Input- Spain"/>
      <sheetName val="S&amp;OP Input- France"/>
      <sheetName val="S&amp;OP Input- BeNelux"/>
      <sheetName val="S&amp;OP Input- UK"/>
      <sheetName val="S&amp;OP Input- Germ &amp; Swit."/>
      <sheetName val="S&amp;OP Input- East. Europe"/>
      <sheetName val="S&amp;OP Input- Poland"/>
      <sheetName val="S&amp;OP Input- Turkey"/>
      <sheetName val="S&amp;OP Input- Maghreb"/>
      <sheetName val="S&amp;OP Input- AM CLE"/>
      <sheetName val="France"/>
      <sheetName val="BeNeLux"/>
      <sheetName val="UK"/>
      <sheetName val="Germ &amp; Swit"/>
      <sheetName val="East. Europe"/>
      <sheetName val="Poland"/>
      <sheetName val="Italy"/>
      <sheetName val="Turkey"/>
      <sheetName val="Maghreb"/>
      <sheetName val="AM CLE"/>
      <sheetName val="Glob Temp (old)"/>
      <sheetName val="Deviation"/>
      <sheetName val="Not Used"/>
      <sheetName val="Simulation"/>
      <sheetName val="Country Input Definition"/>
      <sheetName val="Country S&amp;OP Input- Spain"/>
      <sheetName val="Target S&amp;OP_db"/>
      <sheetName val="Support"/>
      <sheetName val="SOP_forecast_inventory"/>
      <sheetName val="SOP_forecast_shipment"/>
      <sheetName val="SOP_db"/>
      <sheetName val="Slow movers_w20"/>
      <sheetName val="Monthly shipment actual"/>
      <sheetName val="Weekly inventory actual"/>
      <sheetName val="Monthly shipment_db"/>
      <sheetName val="Weekly inventory_db"/>
      <sheetName val="Correspondance table_products"/>
      <sheetName val="Plates(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Schedule"/>
      <sheetName val="단기차입금명세"/>
      <sheetName val="장기차입금명세서"/>
      <sheetName val="장기금융리스부채명세서"/>
      <sheetName val="외화장기차입금명세서"/>
      <sheetName val="이자비용OVERALL"/>
      <sheetName val="XREF"/>
      <sheetName val="Tickmarks"/>
      <sheetName val="갑지"/>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PL"/>
      <sheetName val="시산표"/>
      <sheetName val="외화계약"/>
      <sheetName val="MASIMS"/>
      <sheetName val="표지"/>
      <sheetName val="수정시산표"/>
      <sheetName val="_9년자재매각"/>
      <sheetName val="원재료"/>
      <sheetName val="원가"/>
      <sheetName val="pus"/>
      <sheetName val="재무제표"/>
      <sheetName val="FRDS9805"/>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기본"/>
      <sheetName val="저압기본"/>
      <sheetName val="고압기본"/>
      <sheetName val="변압기본"/>
      <sheetName val="계량기본"/>
      <sheetName val="송전기본"/>
      <sheetName val="첨부1"/>
      <sheetName val="보정사항"/>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과목"/>
      <sheetName val="시산표"/>
      <sheetName val="송전기본"/>
    </sheetNames>
    <sheetDataSet>
      <sheetData sheetId="0" refreshError="1"/>
      <sheetData sheetId="1" refreshError="1"/>
      <sheetData sheetId="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PL"/>
      <sheetName val="시산표"/>
      <sheetName val="외화계약"/>
      <sheetName val="MASIMS"/>
      <sheetName val="표지"/>
      <sheetName val="FRDS9805"/>
      <sheetName val="수정시산표"/>
      <sheetName val="_9년자재매각"/>
      <sheetName val="원재료"/>
      <sheetName val="pus"/>
      <sheetName val="원가"/>
      <sheetName val="재무제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97년"/>
      <sheetName val="98년"/>
      <sheetName val="98년(2)"/>
      <sheetName val="99년"/>
      <sheetName val="99년(여과장님)"/>
      <sheetName val="인건비"/>
      <sheetName val="설계명세서(선로)"/>
      <sheetName val="EJ"/>
      <sheetName val="MAIN"/>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내역서"/>
      <sheetName val="수량산출서"/>
      <sheetName val="EJ"/>
      <sheetName val="118.세금과공과"/>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ifminvestors.com/about-us/media-centre/!news/2018/03/18/ifm-investors-to-invest-in-fcc-aqualia-with-49-stake" TargetMode="External"/><Relationship Id="rId13" Type="http://schemas.openxmlformats.org/officeDocument/2006/relationships/hyperlink" Target="https://www.thebell.co.kr/free/content/ArticleView.asp?key=201711160100031120001918&amp;lcode=00" TargetMode="External"/><Relationship Id="rId3" Type="http://schemas.openxmlformats.org/officeDocument/2006/relationships/hyperlink" Target="http://dart.fss.or.kr/dsaf001/main.do?rcpNo=20190503900734" TargetMode="External"/><Relationship Id="rId7" Type="http://schemas.openxmlformats.org/officeDocument/2006/relationships/hyperlink" Target="https://www.thebell.co.kr/free/content/ArticleView.asp?key=201806290100048700002980&amp;lcode=00" TargetMode="External"/><Relationship Id="rId12" Type="http://schemas.openxmlformats.org/officeDocument/2006/relationships/hyperlink" Target="https://www.thebell.co.kr/free/Content/ArticleView.asp?key=201904300100057530003569&amp;svccode=01" TargetMode="External"/><Relationship Id="rId2" Type="http://schemas.openxmlformats.org/officeDocument/2006/relationships/hyperlink" Target="https://www.suez.com/en/news/press-releases/suez-finalizes-the-acquisition-of-ge-water-and-process-technologies" TargetMode="External"/><Relationship Id="rId16" Type="http://schemas.openxmlformats.org/officeDocument/2006/relationships/printerSettings" Target="../printerSettings/printerSettings1.bin"/><Relationship Id="rId1" Type="http://schemas.openxmlformats.org/officeDocument/2006/relationships/hyperlink" Target="http://dart.fss.or.kr/dsaf001/main.do?rcpNo=20171212800646" TargetMode="External"/><Relationship Id="rId6" Type="http://schemas.openxmlformats.org/officeDocument/2006/relationships/hyperlink" Target="http://www.investchosun.com/2016/05/23/3194607" TargetMode="External"/><Relationship Id="rId11" Type="http://schemas.openxmlformats.org/officeDocument/2006/relationships/hyperlink" Target="https://www.thebell.co.kr/free/Content/ArticleView.asp?key=201903150100028040001799&amp;svccode=01" TargetMode="External"/><Relationship Id="rId5" Type="http://schemas.openxmlformats.org/officeDocument/2006/relationships/hyperlink" Target="https://www.allianz.com/en/press/news/financials/stakes_investments/170502-allianz-invests-in-affinity-water-in-uk.html" TargetMode="External"/><Relationship Id="rId15" Type="http://schemas.openxmlformats.org/officeDocument/2006/relationships/hyperlink" Target="https://www.afr.com/street-talk/beijing-enterprises-water-buys-trility-group-20170913-gygb36" TargetMode="External"/><Relationship Id="rId10" Type="http://schemas.openxmlformats.org/officeDocument/2006/relationships/hyperlink" Target="https://www.bbc.com/news/business-18621952" TargetMode="External"/><Relationship Id="rId4" Type="http://schemas.openxmlformats.org/officeDocument/2006/relationships/hyperlink" Target="http://dart.fss.or.kr/dsaf001/main.do?rcpNo=20141124000274" TargetMode="External"/><Relationship Id="rId9" Type="http://schemas.openxmlformats.org/officeDocument/2006/relationships/hyperlink" Target="https://www.3i-infrastructure.com/newsroom/press-releases/2017/3i-infrastructure-plc-sells-its-stake-in-anglian-water-group/" TargetMode="External"/><Relationship Id="rId14" Type="http://schemas.openxmlformats.org/officeDocument/2006/relationships/hyperlink" Target="https://www.mk.co.kr/news/stock/view/2017/11/740560/"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4"/>
  <sheetViews>
    <sheetView showGridLines="0" tabSelected="1" zoomScale="85" zoomScaleNormal="85" workbookViewId="0">
      <selection activeCell="M5" sqref="M5"/>
    </sheetView>
  </sheetViews>
  <sheetFormatPr defaultRowHeight="16.5" x14ac:dyDescent="0.3"/>
  <cols>
    <col min="1" max="1" width="2.625" style="535" customWidth="1"/>
    <col min="2" max="2" width="10.25" style="535" customWidth="1"/>
    <col min="3" max="3" width="19.75" style="535" customWidth="1"/>
    <col min="4" max="4" width="19.25" style="535" customWidth="1"/>
    <col min="5" max="5" width="10.25" style="535" customWidth="1"/>
    <col min="6" max="6" width="9.125" style="535" customWidth="1"/>
    <col min="7" max="7" width="11.75" style="535" customWidth="1"/>
    <col min="8" max="8" width="10.75" style="535" customWidth="1"/>
    <col min="9" max="9" width="0.875" style="536" customWidth="1"/>
    <col min="10" max="10" width="7.875" style="535" customWidth="1"/>
    <col min="11" max="12" width="7" style="535"/>
  </cols>
  <sheetData>
    <row r="2" spans="1:12" x14ac:dyDescent="0.3">
      <c r="B2" s="537" t="s">
        <v>1772</v>
      </c>
      <c r="D2" s="538" t="s">
        <v>1773</v>
      </c>
      <c r="E2" s="539">
        <f>1131.6/10^3</f>
        <v>1.1315999999999999</v>
      </c>
      <c r="F2" s="540"/>
    </row>
    <row r="3" spans="1:12" x14ac:dyDescent="0.3">
      <c r="B3" s="560" t="s">
        <v>1781</v>
      </c>
      <c r="D3" s="538"/>
      <c r="E3" s="540"/>
      <c r="F3" s="540"/>
    </row>
    <row r="4" spans="1:12" x14ac:dyDescent="0.3">
      <c r="B4" s="541"/>
      <c r="D4" s="538"/>
      <c r="E4" s="540"/>
      <c r="F4" s="540"/>
    </row>
    <row r="5" spans="1:12" x14ac:dyDescent="0.3">
      <c r="B5" s="537" t="s">
        <v>1774</v>
      </c>
      <c r="D5" s="538"/>
      <c r="E5" s="540"/>
      <c r="F5" s="540"/>
    </row>
    <row r="6" spans="1:12" ht="17.25" thickBot="1" x14ac:dyDescent="0.35">
      <c r="B6" s="579"/>
      <c r="C6" s="579"/>
      <c r="D6" s="579"/>
      <c r="E6" s="579"/>
      <c r="F6" s="579"/>
      <c r="G6" s="579"/>
      <c r="H6" s="579"/>
      <c r="I6" s="579"/>
      <c r="J6" s="579"/>
      <c r="K6" s="579"/>
      <c r="L6" s="579"/>
    </row>
    <row r="7" spans="1:12" ht="13.5" customHeight="1" x14ac:dyDescent="0.3">
      <c r="B7" s="609" t="s">
        <v>1775</v>
      </c>
      <c r="C7" s="609"/>
      <c r="D7" s="610"/>
      <c r="E7" s="611"/>
      <c r="F7" s="611"/>
      <c r="G7" s="612" t="s">
        <v>1787</v>
      </c>
      <c r="H7" s="612" t="s">
        <v>1786</v>
      </c>
      <c r="I7" s="610"/>
      <c r="J7" s="613" t="s">
        <v>1788</v>
      </c>
      <c r="K7" s="613"/>
      <c r="L7" s="613"/>
    </row>
    <row r="8" spans="1:12" ht="13.5" customHeight="1" x14ac:dyDescent="0.3">
      <c r="B8" s="609" t="s">
        <v>1782</v>
      </c>
      <c r="C8" s="609" t="s">
        <v>26</v>
      </c>
      <c r="D8" s="609" t="s">
        <v>1783</v>
      </c>
      <c r="E8" s="611" t="s">
        <v>1784</v>
      </c>
      <c r="F8" s="611" t="s">
        <v>1785</v>
      </c>
      <c r="G8" s="612"/>
      <c r="H8" s="612"/>
      <c r="I8" s="610"/>
      <c r="J8" s="614" t="s">
        <v>1789</v>
      </c>
      <c r="K8" s="614" t="s">
        <v>1790</v>
      </c>
      <c r="L8" s="614" t="s">
        <v>1791</v>
      </c>
    </row>
    <row r="9" spans="1:12" ht="13.5" customHeight="1" x14ac:dyDescent="0.3">
      <c r="B9" s="547" t="s">
        <v>1776</v>
      </c>
    </row>
    <row r="10" spans="1:12" ht="13.5" customHeight="1" x14ac:dyDescent="0.3">
      <c r="B10" s="536" t="str">
        <f>Transaction!D7</f>
        <v>2016.05</v>
      </c>
      <c r="C10" s="593" t="str">
        <f>Transaction!C7</f>
        <v>코오롱워터앤에너지</v>
      </c>
      <c r="D10" s="594" t="str">
        <f>Transaction!G7</f>
        <v>SC PE</v>
      </c>
      <c r="E10" s="549">
        <f>Transaction!M7/$E$2</f>
        <v>124361.27164093794</v>
      </c>
      <c r="F10" s="562">
        <f>Transaction!L7</f>
        <v>0.62980000000000003</v>
      </c>
      <c r="G10" s="571">
        <f>Transaction!P7/$E$2</f>
        <v>72238.236102761904</v>
      </c>
      <c r="H10" s="571">
        <f>Transaction!M7/$E$2</f>
        <v>124361.27164093794</v>
      </c>
      <c r="I10" s="550"/>
      <c r="J10" s="550">
        <f>Transaction!AA7</f>
        <v>6.6280923293252467</v>
      </c>
      <c r="K10" s="550">
        <f>Transaction!AE7</f>
        <v>18.828503302605355</v>
      </c>
      <c r="L10" s="550">
        <f>Transaction!AF7</f>
        <v>1.6068830162630316</v>
      </c>
    </row>
    <row r="11" spans="1:12" ht="13.5" customHeight="1" x14ac:dyDescent="0.3">
      <c r="B11" s="536" t="str">
        <f>Transaction!D8</f>
        <v>2018.06</v>
      </c>
      <c r="C11" s="593" t="str">
        <f>Transaction!C8</f>
        <v>TSK워터</v>
      </c>
      <c r="D11" s="594" t="str">
        <f>Transaction!G8</f>
        <v>태영건설</v>
      </c>
      <c r="E11" s="549">
        <f>Transaction!M8/$E$2</f>
        <v>441852.24460940267</v>
      </c>
      <c r="F11" s="562">
        <f>Transaction!L8</f>
        <v>0.24999876000000001</v>
      </c>
      <c r="G11" s="571">
        <f>Transaction!P8/$E$2</f>
        <v>515981.19273683283</v>
      </c>
      <c r="H11" s="571">
        <f>Transaction!M8/$E$2</f>
        <v>441852.24460940267</v>
      </c>
      <c r="I11" s="550"/>
      <c r="J11" s="550">
        <f>Transaction!AA8</f>
        <v>7.1405148216391199</v>
      </c>
      <c r="K11" s="550">
        <f>Transaction!AE8</f>
        <v>14.443423796788485</v>
      </c>
      <c r="L11" s="550">
        <f>Transaction!AF8</f>
        <v>2.7755315284237527</v>
      </c>
    </row>
    <row r="12" spans="1:12" ht="13.5" customHeight="1" x14ac:dyDescent="0.3">
      <c r="B12" s="536" t="str">
        <f>Transaction!D15</f>
        <v>2018.12</v>
      </c>
      <c r="C12" s="593" t="str">
        <f>Transaction!C15</f>
        <v>WIK그린</v>
      </c>
      <c r="D12" s="594" t="str">
        <f>Transaction!G15</f>
        <v>SC PE</v>
      </c>
      <c r="E12" s="549">
        <f>Transaction!M15/$E$2</f>
        <v>66277.836691410397</v>
      </c>
      <c r="F12" s="562">
        <f>Transaction!L15</f>
        <v>1</v>
      </c>
      <c r="G12" s="571">
        <f>Transaction!P15/$E$2</f>
        <v>63880.399825026514</v>
      </c>
      <c r="H12" s="571">
        <f>Transaction!M15/$E$2</f>
        <v>66277.836691410397</v>
      </c>
      <c r="I12" s="550"/>
      <c r="J12" s="550">
        <f>Transaction!AA15</f>
        <v>13.273734407245703</v>
      </c>
      <c r="K12" s="550">
        <f>Transaction!AE15</f>
        <v>19.627494924090357</v>
      </c>
      <c r="L12" s="550">
        <f>Transaction!AF15</f>
        <v>2.0439124804726152</v>
      </c>
    </row>
    <row r="13" spans="1:12" ht="13.5" customHeight="1" x14ac:dyDescent="0.3">
      <c r="B13" s="536" t="str">
        <f>Transaction!D16</f>
        <v>2019.05</v>
      </c>
      <c r="C13" s="593" t="str">
        <f>Transaction!C16</f>
        <v>인선이엔티</v>
      </c>
      <c r="D13" s="594" t="str">
        <f>Transaction!G16</f>
        <v>IS 동서</v>
      </c>
      <c r="E13" s="549">
        <f>Transaction!M16/$E$2</f>
        <v>370825.89693966048</v>
      </c>
      <c r="F13" s="562">
        <f>Transaction!L16</f>
        <v>0.23830000000000001</v>
      </c>
      <c r="G13" s="571">
        <f>Transaction!P16/$E$2</f>
        <v>408401.98751760327</v>
      </c>
      <c r="H13" s="571">
        <f>Transaction!M16/$E$2</f>
        <v>370825.89693966048</v>
      </c>
      <c r="I13" s="550"/>
      <c r="J13" s="550">
        <f>Transaction!AA16</f>
        <v>15.245794748640661</v>
      </c>
      <c r="K13" s="550">
        <f>Transaction!AE16</f>
        <v>21.018254666169049</v>
      </c>
      <c r="L13" s="550">
        <f>Transaction!AF16</f>
        <v>2.2447119255875929</v>
      </c>
    </row>
    <row r="14" spans="1:12" ht="13.5" customHeight="1" x14ac:dyDescent="0.3">
      <c r="B14" s="536" t="str">
        <f>Transaction!D17</f>
        <v>2019.04</v>
      </c>
      <c r="C14" s="593" t="str">
        <f>Transaction!C17</f>
        <v>창원에너텍</v>
      </c>
      <c r="D14" s="594" t="str">
        <f>Transaction!G17</f>
        <v>SK증권 PE</v>
      </c>
      <c r="E14" s="549">
        <f>Transaction!M17/$E$2</f>
        <v>60091.905266878755</v>
      </c>
      <c r="F14" s="562">
        <f>Transaction!L17</f>
        <v>1</v>
      </c>
      <c r="G14" s="571">
        <f>Transaction!P17/$E$2</f>
        <v>91267.189960233314</v>
      </c>
      <c r="H14" s="571">
        <f>Transaction!M17/$E$2</f>
        <v>60091.905266878755</v>
      </c>
      <c r="I14" s="550"/>
      <c r="J14" s="550">
        <f>Transaction!AA17</f>
        <v>16.918537181001685</v>
      </c>
      <c r="K14" s="550" t="s">
        <v>1796</v>
      </c>
      <c r="L14" s="550">
        <f>Transaction!AF17</f>
        <v>6.1887813479350733</v>
      </c>
    </row>
    <row r="15" spans="1:12" ht="13.5" customHeight="1" x14ac:dyDescent="0.3">
      <c r="B15" s="536" t="str">
        <f>Transaction!D18</f>
        <v>2017.11</v>
      </c>
      <c r="C15" s="593" t="str">
        <f>Transaction!C18</f>
        <v>삼우그린</v>
      </c>
      <c r="D15" s="594" t="str">
        <f>Transaction!G18</f>
        <v>앵커 PE</v>
      </c>
      <c r="E15" s="549">
        <f>Transaction!M18/$E$2</f>
        <v>50371.155885471904</v>
      </c>
      <c r="F15" s="562">
        <f>Transaction!L18</f>
        <v>1</v>
      </c>
      <c r="G15" s="572">
        <f>Transaction!P18/$E$2</f>
        <v>35622.233575468366</v>
      </c>
      <c r="H15" s="572">
        <f>Transaction!M18/$E$2</f>
        <v>50371.155885471904</v>
      </c>
      <c r="I15" s="554"/>
      <c r="J15" s="554">
        <f>Transaction!AA18</f>
        <v>11.17719026830078</v>
      </c>
      <c r="K15" s="554">
        <f>Transaction!AE18</f>
        <v>22.239132832817614</v>
      </c>
      <c r="L15" s="554">
        <f>Transaction!AF18</f>
        <v>2.9686205027436596</v>
      </c>
    </row>
    <row r="16" spans="1:12" s="573" customFormat="1" ht="13.5" customHeight="1" x14ac:dyDescent="0.3">
      <c r="A16" s="536"/>
      <c r="B16" s="555" t="s">
        <v>1777</v>
      </c>
      <c r="C16" s="555"/>
      <c r="D16" s="556"/>
      <c r="E16" s="557"/>
      <c r="F16" s="558"/>
      <c r="G16" s="550"/>
      <c r="H16" s="550"/>
      <c r="I16" s="550"/>
      <c r="J16" s="550">
        <f>AVERAGE(J10:J15)</f>
        <v>11.730643959358865</v>
      </c>
      <c r="K16" s="550">
        <f t="shared" ref="K16:L16" si="0">AVERAGE(K10:K15)</f>
        <v>19.231361904494172</v>
      </c>
      <c r="L16" s="550">
        <f t="shared" si="0"/>
        <v>2.9714068002376215</v>
      </c>
    </row>
    <row r="17" spans="1:18" s="573" customFormat="1" ht="13.5" customHeight="1" x14ac:dyDescent="0.3">
      <c r="A17" s="536"/>
      <c r="B17" s="551" t="s">
        <v>1778</v>
      </c>
      <c r="C17" s="551"/>
      <c r="D17" s="552"/>
      <c r="E17" s="553"/>
      <c r="F17" s="553"/>
      <c r="G17" s="554"/>
      <c r="H17" s="554"/>
      <c r="I17" s="554"/>
      <c r="J17" s="554">
        <f>MEDIAN(J10:J15)</f>
        <v>12.225462337773241</v>
      </c>
      <c r="K17" s="554">
        <f t="shared" ref="K17:L17" si="1">MEDIAN(K10:K15)</f>
        <v>19.627494924090357</v>
      </c>
      <c r="L17" s="554">
        <f t="shared" si="1"/>
        <v>2.5101217270056728</v>
      </c>
    </row>
    <row r="18" spans="1:18" s="573" customFormat="1" ht="13.5" customHeight="1" x14ac:dyDescent="0.3">
      <c r="A18" s="536"/>
      <c r="B18" s="547" t="s">
        <v>1779</v>
      </c>
      <c r="C18" s="536"/>
      <c r="D18" s="548"/>
      <c r="E18" s="549"/>
      <c r="F18" s="562"/>
      <c r="G18" s="571"/>
      <c r="H18" s="571"/>
      <c r="I18" s="550"/>
      <c r="J18" s="550"/>
      <c r="K18" s="550"/>
      <c r="L18" s="550"/>
    </row>
    <row r="19" spans="1:18" ht="13.5" customHeight="1" x14ac:dyDescent="0.3">
      <c r="B19" s="536" t="str">
        <f>Transaction!D10</f>
        <v>2018.03</v>
      </c>
      <c r="C19" s="536" t="str">
        <f>Transaction!C10</f>
        <v>FCC Aqualia</v>
      </c>
      <c r="D19" s="548" t="str">
        <f>Transaction!G10</f>
        <v>IFM Investors</v>
      </c>
      <c r="E19" s="549">
        <f>Transaction!M10/$E$2</f>
        <v>2272.3829722769278</v>
      </c>
      <c r="F19" s="562">
        <f>Transaction!L10</f>
        <v>0.49</v>
      </c>
      <c r="G19" s="571">
        <f>Transaction!P10</f>
        <v>3156.8946714285717</v>
      </c>
      <c r="H19" s="571">
        <f>Transaction!M10</f>
        <v>2571.4285714285716</v>
      </c>
      <c r="I19" s="550"/>
      <c r="J19" s="550">
        <f>Transaction!AA10</f>
        <v>10.905503685363033</v>
      </c>
      <c r="K19" s="591">
        <f>Transaction!AE10</f>
        <v>0</v>
      </c>
      <c r="L19" s="591">
        <f>Transaction!AF10</f>
        <v>0</v>
      </c>
    </row>
    <row r="20" spans="1:18" ht="13.5" customHeight="1" x14ac:dyDescent="0.3">
      <c r="B20" s="536" t="str">
        <f>Transaction!D11</f>
        <v>2017.12</v>
      </c>
      <c r="C20" s="536" t="str">
        <f>Transaction!C11</f>
        <v>Anglian Water Group</v>
      </c>
      <c r="D20" s="548" t="str">
        <f>Transaction!G11</f>
        <v>Dalmore Capital</v>
      </c>
      <c r="E20" s="549">
        <f>Transaction!M11/$E$2</f>
        <v>3116.5311653116537</v>
      </c>
      <c r="F20" s="562">
        <f>Transaction!L11</f>
        <v>0.15</v>
      </c>
      <c r="G20" s="571">
        <f>Transaction!P11</f>
        <v>13016.431666666667</v>
      </c>
      <c r="H20" s="571">
        <f>Transaction!M11</f>
        <v>3526.666666666667</v>
      </c>
      <c r="I20" s="550"/>
      <c r="J20" s="550">
        <f>Transaction!AA11</f>
        <v>15.521123477754729</v>
      </c>
      <c r="K20" s="591">
        <f>Transaction!AE11</f>
        <v>0</v>
      </c>
      <c r="L20" s="591">
        <f>Transaction!AF11</f>
        <v>0</v>
      </c>
    </row>
    <row r="21" spans="1:18" ht="13.5" customHeight="1" x14ac:dyDescent="0.3">
      <c r="B21" s="536" t="str">
        <f>Transaction!D12</f>
        <v>2017.05</v>
      </c>
      <c r="C21" s="536" t="str">
        <f>Transaction!C12</f>
        <v>Affinity Water</v>
      </c>
      <c r="D21" s="548" t="str">
        <f>Transaction!G12</f>
        <v>Allianz Capital Partners</v>
      </c>
      <c r="E21" s="549">
        <f>Transaction!M12/$E$2</f>
        <v>886350.83951926476</v>
      </c>
      <c r="F21" s="562">
        <f>Transaction!L12</f>
        <v>1</v>
      </c>
      <c r="G21" s="571">
        <f>Transaction!P12/$E$2</f>
        <v>1995169.4056101246</v>
      </c>
      <c r="H21" s="571">
        <f>Transaction!M12/$E$2</f>
        <v>886350.83951926476</v>
      </c>
      <c r="I21" s="550"/>
      <c r="J21" s="550">
        <f>Transaction!AA12</f>
        <v>12.285163733248291</v>
      </c>
      <c r="K21" s="550">
        <f>Transaction!AE12</f>
        <v>23.18443280475616</v>
      </c>
      <c r="L21" s="550">
        <f>Transaction!AF12</f>
        <v>3.3057958448103757</v>
      </c>
    </row>
    <row r="22" spans="1:18" ht="13.5" customHeight="1" x14ac:dyDescent="0.3">
      <c r="B22" s="536" t="str">
        <f>Transaction!D13</f>
        <v>2012.06</v>
      </c>
      <c r="C22" s="536" t="str">
        <f>Transaction!C13</f>
        <v>Veolia Water Central</v>
      </c>
      <c r="D22" s="548" t="str">
        <f>Transaction!G13</f>
        <v>Morgan Stanley</v>
      </c>
      <c r="E22" s="549">
        <f>Transaction!M13/$E$2</f>
        <v>2180714.0420643338</v>
      </c>
      <c r="F22" s="562">
        <f>Transaction!L13</f>
        <v>0.90000000040523642</v>
      </c>
      <c r="G22" s="572">
        <f>Transaction!P13/$E$2</f>
        <v>2923051.2476195944</v>
      </c>
      <c r="H22" s="572">
        <f>Transaction!M13/$E$2</f>
        <v>2180714.0420643338</v>
      </c>
      <c r="I22" s="554"/>
      <c r="J22" s="554">
        <f>Transaction!AA13</f>
        <v>13.105763086027721</v>
      </c>
      <c r="K22" s="554" t="s">
        <v>1796</v>
      </c>
      <c r="L22" s="554">
        <f>Transaction!AF13</f>
        <v>3.8815522082721703</v>
      </c>
    </row>
    <row r="23" spans="1:18" ht="13.5" customHeight="1" x14ac:dyDescent="0.3">
      <c r="B23" s="555" t="s">
        <v>1777</v>
      </c>
      <c r="C23" s="555"/>
      <c r="D23" s="556"/>
      <c r="E23" s="557"/>
      <c r="F23" s="558"/>
      <c r="G23" s="550"/>
      <c r="H23" s="550"/>
      <c r="I23" s="550"/>
      <c r="J23" s="550">
        <f>AVERAGE(J19:J22)</f>
        <v>12.954388495598444</v>
      </c>
      <c r="K23" s="550">
        <f t="shared" ref="K23:L23" si="2">AVERAGE(K19:K22)</f>
        <v>7.7281442682520529</v>
      </c>
      <c r="L23" s="550">
        <f t="shared" si="2"/>
        <v>1.7968370132706366</v>
      </c>
    </row>
    <row r="24" spans="1:18" ht="13.5" customHeight="1" thickBot="1" x14ac:dyDescent="0.35">
      <c r="B24" s="580" t="s">
        <v>1778</v>
      </c>
      <c r="C24" s="580"/>
      <c r="D24" s="581"/>
      <c r="E24" s="582"/>
      <c r="F24" s="582"/>
      <c r="G24" s="583"/>
      <c r="H24" s="583"/>
      <c r="I24" s="583"/>
      <c r="J24" s="583">
        <f>MEDIAN(J19:J22)</f>
        <v>12.695463409638005</v>
      </c>
      <c r="K24" s="583">
        <f t="shared" ref="K24:L24" si="3">MEDIAN(K19:K22)</f>
        <v>0</v>
      </c>
      <c r="L24" s="583">
        <f t="shared" si="3"/>
        <v>1.6528979224051878</v>
      </c>
    </row>
    <row r="25" spans="1:18" ht="13.5" customHeight="1" thickBot="1" x14ac:dyDescent="0.35">
      <c r="B25" s="587"/>
      <c r="C25" s="587"/>
      <c r="D25" s="588"/>
      <c r="E25" s="589"/>
      <c r="F25" s="589"/>
      <c r="G25" s="590"/>
      <c r="H25" s="590"/>
      <c r="I25" s="590"/>
      <c r="J25" s="590"/>
      <c r="K25" s="590"/>
      <c r="L25" s="590"/>
    </row>
    <row r="26" spans="1:18" ht="13.5" customHeight="1" x14ac:dyDescent="0.3">
      <c r="B26" s="584" t="s">
        <v>1777</v>
      </c>
      <c r="C26" s="584"/>
      <c r="D26" s="585"/>
      <c r="E26" s="586"/>
      <c r="F26" s="574"/>
      <c r="G26" s="574"/>
      <c r="H26" s="574"/>
      <c r="I26" s="574"/>
      <c r="J26" s="574">
        <f>AVERAGE(J19:J22,J10:J15)</f>
        <v>12.220141773854696</v>
      </c>
      <c r="K26" s="574">
        <f t="shared" ref="K26:L26" si="4">AVERAGE(K19:K22,K10:K15)</f>
        <v>14.917655290903378</v>
      </c>
      <c r="L26" s="574">
        <f t="shared" si="4"/>
        <v>2.5015788854508272</v>
      </c>
    </row>
    <row r="27" spans="1:18" ht="13.5" customHeight="1" x14ac:dyDescent="0.3">
      <c r="B27" s="575" t="s">
        <v>1778</v>
      </c>
      <c r="C27" s="575"/>
      <c r="D27" s="576"/>
      <c r="E27" s="577"/>
      <c r="F27" s="577"/>
      <c r="G27" s="578"/>
      <c r="H27" s="578"/>
      <c r="I27" s="578"/>
      <c r="J27" s="578">
        <f>MEDIAN(J19:J22,J10:J15)</f>
        <v>12.695463409638005</v>
      </c>
      <c r="K27" s="578">
        <f t="shared" ref="K27:L27" si="5">MEDIAN(K19:K22,K10:K15)</f>
        <v>19.227999113347856</v>
      </c>
      <c r="L27" s="578">
        <f t="shared" si="5"/>
        <v>2.5101217270056728</v>
      </c>
    </row>
    <row r="28" spans="1:18" x14ac:dyDescent="0.3">
      <c r="B28" s="559"/>
      <c r="C28" s="559"/>
      <c r="D28" s="548"/>
      <c r="E28" s="549"/>
      <c r="F28" s="549"/>
      <c r="G28" s="550"/>
      <c r="H28" s="550"/>
      <c r="I28" s="550"/>
      <c r="J28" s="550"/>
      <c r="K28" s="550"/>
      <c r="L28" s="550"/>
    </row>
    <row r="29" spans="1:18" x14ac:dyDescent="0.3">
      <c r="B29" s="596" t="s">
        <v>1797</v>
      </c>
      <c r="C29" s="597"/>
      <c r="D29" s="598"/>
      <c r="E29" s="599"/>
      <c r="F29" s="599"/>
      <c r="G29" s="600"/>
      <c r="H29" s="600"/>
      <c r="I29" s="600"/>
      <c r="J29" s="600"/>
      <c r="K29" s="600"/>
      <c r="L29" s="600"/>
      <c r="M29" s="601"/>
      <c r="N29" s="601"/>
      <c r="O29" s="601"/>
      <c r="P29" s="601"/>
      <c r="Q29" s="601"/>
      <c r="R29" s="601"/>
    </row>
    <row r="30" spans="1:18" x14ac:dyDescent="0.3">
      <c r="C30" s="559"/>
      <c r="D30" s="548"/>
      <c r="E30" s="549"/>
      <c r="F30" s="549"/>
      <c r="G30" s="550"/>
      <c r="H30" s="550"/>
      <c r="I30" s="550"/>
      <c r="J30" s="550"/>
      <c r="K30" s="550"/>
      <c r="L30" s="550"/>
    </row>
    <row r="31" spans="1:18" x14ac:dyDescent="0.3">
      <c r="B31" s="537" t="s">
        <v>1780</v>
      </c>
      <c r="D31" s="538"/>
      <c r="E31" s="540"/>
      <c r="F31" s="540"/>
    </row>
    <row r="32" spans="1:18" ht="17.25" thickBot="1" x14ac:dyDescent="0.35">
      <c r="B32" s="579"/>
      <c r="C32" s="579"/>
      <c r="D32" s="579"/>
      <c r="E32" s="579"/>
      <c r="F32" s="579"/>
      <c r="G32" s="579"/>
      <c r="H32" s="579"/>
      <c r="I32" s="579"/>
      <c r="J32" s="579"/>
      <c r="K32" s="579"/>
      <c r="L32" s="579"/>
    </row>
    <row r="33" spans="2:12" ht="13.5" customHeight="1" x14ac:dyDescent="0.3">
      <c r="B33" s="542" t="s">
        <v>1775</v>
      </c>
      <c r="C33" s="542"/>
      <c r="D33" s="545"/>
      <c r="E33" s="561"/>
      <c r="F33" s="561"/>
      <c r="G33" s="544" t="s">
        <v>1787</v>
      </c>
      <c r="H33" s="544" t="s">
        <v>1786</v>
      </c>
      <c r="I33" s="545"/>
      <c r="J33" s="543" t="s">
        <v>1788</v>
      </c>
      <c r="K33" s="543"/>
      <c r="L33" s="543"/>
    </row>
    <row r="34" spans="2:12" ht="13.5" customHeight="1" x14ac:dyDescent="0.3">
      <c r="B34" s="542" t="s">
        <v>1782</v>
      </c>
      <c r="C34" s="542" t="s">
        <v>26</v>
      </c>
      <c r="D34" s="542" t="s">
        <v>1783</v>
      </c>
      <c r="E34" s="561" t="s">
        <v>1784</v>
      </c>
      <c r="F34" s="561" t="s">
        <v>1785</v>
      </c>
      <c r="G34" s="544"/>
      <c r="H34" s="544"/>
      <c r="I34" s="545"/>
      <c r="J34" s="546" t="s">
        <v>1789</v>
      </c>
      <c r="K34" s="546" t="s">
        <v>1790</v>
      </c>
      <c r="L34" s="546" t="s">
        <v>1791</v>
      </c>
    </row>
    <row r="35" spans="2:12" ht="13.5" customHeight="1" x14ac:dyDescent="0.3">
      <c r="B35" s="547" t="s">
        <v>1776</v>
      </c>
    </row>
    <row r="36" spans="2:12" ht="13.5" customHeight="1" x14ac:dyDescent="0.3">
      <c r="B36" s="535" t="str">
        <f>Transaction!D26</f>
        <v>2017.09</v>
      </c>
      <c r="C36" s="595" t="str">
        <f>Transaction!C26</f>
        <v>한국종합기술</v>
      </c>
      <c r="D36" s="594" t="str">
        <f>Transaction!G26</f>
        <v>한국종합기술홀딩스</v>
      </c>
      <c r="E36" s="549">
        <f>Transaction!M26/$E$2</f>
        <v>86082.714740190888</v>
      </c>
      <c r="F36" s="562">
        <f>Transaction!L26</f>
        <v>0.52010000000000001</v>
      </c>
      <c r="G36" s="571">
        <f>Transaction!P26/$E$2</f>
        <v>46230.296631318488</v>
      </c>
      <c r="H36" s="571">
        <f>Transaction!M26/$E$2</f>
        <v>86082.714740190888</v>
      </c>
      <c r="I36" s="550"/>
      <c r="J36" s="550">
        <f>Transaction!AA26</f>
        <v>8.2963934185305028</v>
      </c>
      <c r="K36" s="550" t="str">
        <f>Transaction!AE26</f>
        <v>NA</v>
      </c>
      <c r="L36" s="550">
        <f>Transaction!AF26</f>
        <v>0.85162015430614635</v>
      </c>
    </row>
    <row r="37" spans="2:12" ht="13.5" customHeight="1" x14ac:dyDescent="0.3">
      <c r="B37" s="535" t="str">
        <f>Transaction!D27</f>
        <v>2014.10</v>
      </c>
      <c r="C37" s="595" t="str">
        <f>Transaction!C27</f>
        <v>휴비스워터</v>
      </c>
      <c r="D37" s="594" t="str">
        <f>Transaction!G27</f>
        <v>휴비스</v>
      </c>
      <c r="E37" s="549">
        <f>Transaction!M27/$E$2</f>
        <v>122253.36293942801</v>
      </c>
      <c r="F37" s="562">
        <f>Transaction!L27</f>
        <v>0.95269999999999999</v>
      </c>
      <c r="G37" s="572">
        <f>Transaction!P27/$E$2</f>
        <v>101596.35978283557</v>
      </c>
      <c r="H37" s="572">
        <f>Transaction!M27/$E$2</f>
        <v>122253.36293942801</v>
      </c>
      <c r="I37" s="554"/>
      <c r="J37" s="554">
        <f>Transaction!AA27</f>
        <v>9.2611498892872532</v>
      </c>
      <c r="K37" s="554" t="s">
        <v>1796</v>
      </c>
      <c r="L37" s="554">
        <f>Transaction!AF27</f>
        <v>2.0536668057111629</v>
      </c>
    </row>
    <row r="38" spans="2:12" ht="13.5" customHeight="1" x14ac:dyDescent="0.3">
      <c r="B38" s="555" t="s">
        <v>1777</v>
      </c>
      <c r="C38" s="555"/>
      <c r="D38" s="556"/>
      <c r="E38" s="557"/>
      <c r="F38" s="558"/>
      <c r="G38" s="550"/>
      <c r="H38" s="550"/>
      <c r="I38" s="550"/>
      <c r="J38" s="550">
        <f>AVERAGE(J36:J37)</f>
        <v>8.778771653908878</v>
      </c>
      <c r="K38" s="550" t="s">
        <v>1796</v>
      </c>
      <c r="L38" s="550">
        <f>AVERAGE(L36:L37)</f>
        <v>1.4526434800086547</v>
      </c>
    </row>
    <row r="39" spans="2:12" ht="13.5" customHeight="1" x14ac:dyDescent="0.3">
      <c r="B39" s="551" t="s">
        <v>1778</v>
      </c>
      <c r="C39" s="551"/>
      <c r="D39" s="552"/>
      <c r="E39" s="553"/>
      <c r="F39" s="553"/>
      <c r="G39" s="554"/>
      <c r="H39" s="554"/>
      <c r="I39" s="554"/>
      <c r="J39" s="554">
        <f>MEDIAN(J36:J37)</f>
        <v>8.778771653908878</v>
      </c>
      <c r="K39" s="554" t="s">
        <v>1796</v>
      </c>
      <c r="L39" s="554">
        <f>MEDIAN(L36:L37)</f>
        <v>1.4526434800086547</v>
      </c>
    </row>
    <row r="40" spans="2:12" ht="13.5" customHeight="1" x14ac:dyDescent="0.3">
      <c r="B40" s="547" t="s">
        <v>1779</v>
      </c>
      <c r="C40" s="536"/>
      <c r="D40" s="548"/>
      <c r="E40" s="549"/>
      <c r="F40" s="562"/>
      <c r="G40" s="571"/>
      <c r="H40" s="571"/>
      <c r="I40" s="550"/>
      <c r="J40" s="550"/>
      <c r="K40" s="550"/>
      <c r="L40" s="550"/>
    </row>
    <row r="41" spans="2:12" ht="13.5" customHeight="1" x14ac:dyDescent="0.3">
      <c r="B41" s="535" t="str">
        <f>Transaction!D29</f>
        <v>2017.09</v>
      </c>
      <c r="C41" s="536" t="str">
        <f>Transaction!C29</f>
        <v xml:space="preserve">Trility </v>
      </c>
      <c r="D41" s="548" t="str">
        <f>Transaction!G29</f>
        <v>Beijing Enterprises Water</v>
      </c>
      <c r="E41" s="549">
        <f>Transaction!M29</f>
        <v>200</v>
      </c>
      <c r="F41" s="562">
        <f>Transaction!L29</f>
        <v>1</v>
      </c>
      <c r="G41" s="571">
        <f>Transaction!P29</f>
        <v>200</v>
      </c>
      <c r="H41" s="571">
        <f>Transaction!M29</f>
        <v>200</v>
      </c>
      <c r="I41" s="550"/>
      <c r="J41" s="550">
        <f>Transaction!AA29</f>
        <v>9.3711929528629003</v>
      </c>
      <c r="K41" s="591"/>
      <c r="L41" s="591"/>
    </row>
    <row r="42" spans="2:12" ht="13.5" customHeight="1" x14ac:dyDescent="0.3">
      <c r="B42" s="569" t="str">
        <f>Transaction!D30</f>
        <v>2017.03</v>
      </c>
      <c r="C42" s="569" t="str">
        <f>Transaction!C30</f>
        <v>Suez Water Technologies &amp; Solutions</v>
      </c>
      <c r="D42" s="552" t="str">
        <f>Transaction!G30</f>
        <v>Suez</v>
      </c>
      <c r="E42" s="553">
        <f>Transaction!M30</f>
        <v>3379</v>
      </c>
      <c r="F42" s="570">
        <f>Transaction!L30</f>
        <v>1</v>
      </c>
      <c r="G42" s="572">
        <f>Transaction!P30</f>
        <v>3379</v>
      </c>
      <c r="H42" s="572">
        <f>Transaction!M30</f>
        <v>3379</v>
      </c>
      <c r="I42" s="554"/>
      <c r="J42" s="554">
        <f>Transaction!AA30</f>
        <v>9.9337446571946728</v>
      </c>
      <c r="K42" s="592"/>
      <c r="L42" s="592"/>
    </row>
    <row r="43" spans="2:12" ht="13.5" customHeight="1" x14ac:dyDescent="0.3">
      <c r="B43" s="555" t="s">
        <v>1777</v>
      </c>
      <c r="C43" s="555"/>
      <c r="D43" s="556"/>
      <c r="E43" s="557"/>
      <c r="F43" s="558"/>
      <c r="G43" s="550"/>
      <c r="H43" s="550"/>
      <c r="I43" s="550"/>
      <c r="J43" s="550">
        <f>AVERAGE(J41:J42)</f>
        <v>9.6524688050287857</v>
      </c>
      <c r="K43" s="550" t="s">
        <v>1796</v>
      </c>
      <c r="L43" s="550" t="e">
        <f>AVERAGE(L41:L42)</f>
        <v>#DIV/0!</v>
      </c>
    </row>
    <row r="44" spans="2:12" ht="13.5" customHeight="1" thickBot="1" x14ac:dyDescent="0.35">
      <c r="B44" s="580" t="s">
        <v>1778</v>
      </c>
      <c r="C44" s="580"/>
      <c r="D44" s="581"/>
      <c r="E44" s="582"/>
      <c r="F44" s="582"/>
      <c r="G44" s="583"/>
      <c r="H44" s="583"/>
      <c r="I44" s="583"/>
      <c r="J44" s="583">
        <f>MEDIAN(J41:J42)</f>
        <v>9.6524688050287857</v>
      </c>
      <c r="K44" s="583" t="s">
        <v>1796</v>
      </c>
      <c r="L44" s="583" t="e">
        <f>MEDIAN(L41:L42)</f>
        <v>#NUM!</v>
      </c>
    </row>
    <row r="45" spans="2:12" ht="13.5" customHeight="1" thickBot="1" x14ac:dyDescent="0.35">
      <c r="B45" s="587"/>
      <c r="C45" s="587"/>
      <c r="D45" s="588"/>
      <c r="E45" s="589"/>
      <c r="F45" s="589"/>
      <c r="G45" s="590"/>
      <c r="H45" s="590"/>
      <c r="I45" s="590"/>
      <c r="J45" s="590"/>
      <c r="K45" s="590"/>
      <c r="L45" s="590"/>
    </row>
    <row r="46" spans="2:12" ht="13.5" customHeight="1" x14ac:dyDescent="0.3">
      <c r="B46" s="584" t="s">
        <v>1777</v>
      </c>
      <c r="C46" s="584"/>
      <c r="D46" s="585"/>
      <c r="E46" s="586"/>
      <c r="F46" s="574"/>
      <c r="G46" s="574"/>
      <c r="H46" s="574"/>
      <c r="I46" s="574"/>
      <c r="J46" s="574">
        <f>AVERAGE(J41:J42,J36:J37)</f>
        <v>9.2156202294688327</v>
      </c>
      <c r="K46" s="574" t="e">
        <f t="shared" ref="K46:L46" si="6">AVERAGE(K41:K42,K36:K37)</f>
        <v>#DIV/0!</v>
      </c>
      <c r="L46" s="574">
        <f t="shared" si="6"/>
        <v>1.4526434800086547</v>
      </c>
    </row>
    <row r="47" spans="2:12" ht="13.5" customHeight="1" thickBot="1" x14ac:dyDescent="0.35">
      <c r="B47" s="605" t="s">
        <v>1778</v>
      </c>
      <c r="C47" s="605"/>
      <c r="D47" s="606"/>
      <c r="E47" s="607"/>
      <c r="F47" s="607"/>
      <c r="G47" s="608"/>
      <c r="H47" s="608"/>
      <c r="I47" s="608"/>
      <c r="J47" s="608">
        <f>MEDIAN(J41:J42,J36:J37)</f>
        <v>9.3161714210750759</v>
      </c>
      <c r="K47" s="608" t="e">
        <f t="shared" ref="K47:L47" si="7">MEDIAN(K41:K42,K36:K37)</f>
        <v>#NUM!</v>
      </c>
      <c r="L47" s="608">
        <f t="shared" si="7"/>
        <v>1.4526434800086547</v>
      </c>
    </row>
    <row r="49" spans="2:17" x14ac:dyDescent="0.3">
      <c r="B49" s="596" t="s">
        <v>1798</v>
      </c>
      <c r="C49" s="602"/>
      <c r="D49" s="598"/>
      <c r="E49" s="599"/>
      <c r="F49" s="603"/>
      <c r="G49" s="604"/>
      <c r="H49" s="604"/>
      <c r="I49" s="600"/>
      <c r="J49" s="600"/>
      <c r="K49" s="600"/>
      <c r="L49" s="600"/>
      <c r="M49" s="601"/>
      <c r="N49" s="601"/>
      <c r="O49" s="601"/>
      <c r="P49" s="601"/>
      <c r="Q49" s="601"/>
    </row>
    <row r="54" spans="2:17" x14ac:dyDescent="0.3">
      <c r="D54" s="548"/>
      <c r="E54" s="549"/>
      <c r="F54" s="562"/>
      <c r="G54" s="563"/>
      <c r="H54" s="563"/>
      <c r="I54" s="550"/>
      <c r="J54" s="550"/>
      <c r="K54" s="550"/>
      <c r="L54" s="550"/>
    </row>
  </sheetData>
  <mergeCells count="6">
    <mergeCell ref="H7:H8"/>
    <mergeCell ref="G7:G8"/>
    <mergeCell ref="G33:G34"/>
    <mergeCell ref="H33:H34"/>
    <mergeCell ref="J33:L33"/>
    <mergeCell ref="J7:L7"/>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8D"/>
  </sheetPr>
  <dimension ref="A1:AG44"/>
  <sheetViews>
    <sheetView showGridLines="0" view="pageBreakPreview" zoomScaleNormal="115" zoomScaleSheetLayoutView="100" workbookViewId="0">
      <selection activeCell="K23" sqref="K23"/>
    </sheetView>
  </sheetViews>
  <sheetFormatPr defaultRowHeight="12.95" customHeight="1" x14ac:dyDescent="0.3"/>
  <cols>
    <col min="1" max="2" width="1.625" style="6" customWidth="1"/>
    <col min="3" max="3" width="26.125" style="6" customWidth="1"/>
    <col min="4" max="4" width="9" style="6" customWidth="1"/>
    <col min="5" max="5" width="54.375" style="6" customWidth="1"/>
    <col min="6" max="6" width="24.375" style="63" customWidth="1"/>
    <col min="7" max="7" width="17" style="63" customWidth="1"/>
    <col min="8" max="8" width="22.875" style="63" customWidth="1"/>
    <col min="9" max="10" width="6.375" style="6" customWidth="1"/>
    <col min="11" max="11" width="8.25" style="6" customWidth="1"/>
    <col min="12" max="12" width="7.375" style="6" customWidth="1"/>
    <col min="13" max="13" width="8.25" style="6" customWidth="1"/>
    <col min="14" max="14" width="8" style="6" customWidth="1"/>
    <col min="15" max="15" width="7.375" style="6" customWidth="1"/>
    <col min="16" max="16" width="8.125" style="6" customWidth="1"/>
    <col min="17" max="17" width="7.375" style="6" customWidth="1"/>
    <col min="18" max="18" width="7.375" style="141" hidden="1" customWidth="1"/>
    <col min="19" max="21" width="7.375" style="141" customWidth="1"/>
    <col min="22" max="22" width="7.375" style="141" hidden="1" customWidth="1"/>
    <col min="23" max="23" width="7.625" style="6" hidden="1" customWidth="1"/>
    <col min="24" max="26" width="7.625" style="6" customWidth="1"/>
    <col min="27" max="27" width="8" style="6" customWidth="1"/>
    <col min="28" max="28" width="7.625" style="6" customWidth="1"/>
    <col min="29" max="29" width="7.625" style="6" hidden="1" customWidth="1"/>
    <col min="30" max="30" width="79" style="6" hidden="1" customWidth="1"/>
    <col min="31" max="31" width="6.625" style="6" bestFit="1" customWidth="1"/>
    <col min="32" max="32" width="7.5" style="6" customWidth="1"/>
    <col min="33" max="33" width="3" style="6" customWidth="1"/>
    <col min="34" max="34" width="10.375" style="6" customWidth="1"/>
    <col min="35" max="16384" width="9" style="6"/>
  </cols>
  <sheetData>
    <row r="1" spans="1:33" ht="12" customHeight="1" x14ac:dyDescent="0.3">
      <c r="A1" s="37"/>
      <c r="B1" s="37"/>
      <c r="C1" s="37"/>
      <c r="D1" s="37"/>
      <c r="E1" s="37"/>
      <c r="F1" s="38"/>
      <c r="G1" s="38"/>
      <c r="H1" s="38"/>
      <c r="I1" s="38"/>
      <c r="J1" s="38"/>
      <c r="K1" s="37"/>
      <c r="L1" s="39"/>
      <c r="M1" s="37"/>
      <c r="N1" s="37"/>
      <c r="O1" s="37"/>
      <c r="P1" s="37"/>
      <c r="Q1" s="38"/>
      <c r="R1" s="37"/>
      <c r="S1" s="37"/>
      <c r="T1" s="37"/>
      <c r="U1" s="37"/>
      <c r="V1" s="37"/>
      <c r="W1" s="37"/>
      <c r="X1" s="37"/>
      <c r="Y1" s="37"/>
      <c r="Z1" s="37"/>
      <c r="AA1" s="37"/>
      <c r="AB1" s="37"/>
      <c r="AC1" s="37"/>
      <c r="AD1" s="37"/>
      <c r="AE1" s="37"/>
      <c r="AF1" s="37"/>
    </row>
    <row r="2" spans="1:33" ht="21" customHeight="1" x14ac:dyDescent="0.3">
      <c r="B2" s="10" t="s">
        <v>47</v>
      </c>
      <c r="C2" s="10"/>
      <c r="D2" s="10"/>
      <c r="E2" s="11"/>
      <c r="F2" s="12"/>
      <c r="G2" s="12"/>
      <c r="H2" s="12"/>
      <c r="I2" s="12"/>
      <c r="J2" s="12"/>
      <c r="K2" s="11"/>
      <c r="L2" s="13"/>
      <c r="M2" s="11"/>
      <c r="N2" s="11"/>
      <c r="O2" s="11"/>
      <c r="P2" s="11"/>
      <c r="Q2" s="12"/>
      <c r="R2" s="11"/>
      <c r="S2" s="11"/>
      <c r="T2" s="11"/>
      <c r="U2" s="11"/>
      <c r="V2" s="11"/>
      <c r="W2" s="11"/>
      <c r="X2" s="11"/>
      <c r="Y2" s="11"/>
      <c r="Z2" s="14"/>
      <c r="AA2" s="14"/>
      <c r="AB2" s="15"/>
      <c r="AC2" s="15"/>
      <c r="AD2" s="15"/>
      <c r="AE2" s="566"/>
      <c r="AF2" s="566"/>
    </row>
    <row r="3" spans="1:33" ht="12.95" customHeight="1" x14ac:dyDescent="0.3">
      <c r="B3" s="5"/>
      <c r="C3" s="1"/>
      <c r="D3" s="5"/>
      <c r="E3" s="5"/>
      <c r="F3" s="61"/>
      <c r="G3" s="62"/>
      <c r="H3" s="62"/>
      <c r="I3" s="3"/>
      <c r="J3" s="3"/>
      <c r="K3" s="16" t="s">
        <v>46</v>
      </c>
      <c r="L3" s="17"/>
      <c r="M3" s="18"/>
      <c r="N3" s="18"/>
      <c r="O3" s="18"/>
      <c r="P3" s="19"/>
      <c r="Q3" s="16" t="s">
        <v>30</v>
      </c>
      <c r="R3" s="16"/>
      <c r="S3" s="18"/>
      <c r="T3" s="18"/>
      <c r="U3" s="18"/>
      <c r="V3" s="19"/>
      <c r="W3" s="18"/>
      <c r="X3" s="18"/>
      <c r="Y3" s="18"/>
      <c r="Z3" s="16" t="s">
        <v>3</v>
      </c>
      <c r="AA3" s="26"/>
      <c r="AB3" s="27"/>
      <c r="AC3" s="27"/>
      <c r="AD3" s="28"/>
      <c r="AE3" s="431"/>
      <c r="AF3" s="431"/>
    </row>
    <row r="4" spans="1:33" ht="12.95" customHeight="1" x14ac:dyDescent="0.3">
      <c r="B4" s="35"/>
      <c r="C4" s="4"/>
      <c r="D4" s="35" t="s">
        <v>31</v>
      </c>
      <c r="E4" s="35"/>
      <c r="F4" s="35"/>
      <c r="G4" s="36"/>
      <c r="H4" s="36"/>
      <c r="I4" s="4"/>
      <c r="J4" s="4"/>
      <c r="K4" s="35" t="s">
        <v>32</v>
      </c>
      <c r="L4" s="44" t="s">
        <v>4</v>
      </c>
      <c r="M4" s="59" t="s">
        <v>33</v>
      </c>
      <c r="N4" s="4" t="s">
        <v>0</v>
      </c>
      <c r="O4" s="4"/>
      <c r="P4" s="59" t="s">
        <v>34</v>
      </c>
      <c r="Q4" s="56" t="s">
        <v>35</v>
      </c>
      <c r="R4" s="4"/>
      <c r="S4" s="4"/>
      <c r="T4" s="4"/>
      <c r="U4" s="4"/>
      <c r="V4" s="49"/>
      <c r="W4" s="4"/>
      <c r="X4" s="4"/>
      <c r="Y4" s="4"/>
      <c r="Z4" s="35" t="s">
        <v>5</v>
      </c>
      <c r="AA4" s="420" t="s">
        <v>5</v>
      </c>
      <c r="AB4" s="49" t="s">
        <v>5</v>
      </c>
      <c r="AC4" s="41"/>
      <c r="AD4" s="29"/>
      <c r="AE4" s="431" t="s">
        <v>1794</v>
      </c>
      <c r="AF4" s="431" t="s">
        <v>1795</v>
      </c>
    </row>
    <row r="5" spans="1:33" ht="12.95" customHeight="1" x14ac:dyDescent="0.3">
      <c r="B5" s="53" t="s">
        <v>26</v>
      </c>
      <c r="C5" s="2"/>
      <c r="D5" s="45" t="s">
        <v>36</v>
      </c>
      <c r="E5" s="45"/>
      <c r="F5" s="45" t="s">
        <v>23</v>
      </c>
      <c r="G5" s="21" t="s">
        <v>45</v>
      </c>
      <c r="H5" s="21" t="s">
        <v>66</v>
      </c>
      <c r="I5" s="2" t="s">
        <v>6</v>
      </c>
      <c r="J5" s="2" t="s">
        <v>28</v>
      </c>
      <c r="K5" s="45" t="s">
        <v>37</v>
      </c>
      <c r="L5" s="46" t="s">
        <v>7</v>
      </c>
      <c r="M5" s="60" t="s">
        <v>38</v>
      </c>
      <c r="N5" s="2" t="s">
        <v>1729</v>
      </c>
      <c r="O5" s="2" t="s">
        <v>1731</v>
      </c>
      <c r="P5" s="60" t="s">
        <v>39</v>
      </c>
      <c r="Q5" s="57" t="s">
        <v>1733</v>
      </c>
      <c r="R5" s="2" t="s">
        <v>41</v>
      </c>
      <c r="S5" s="2" t="s">
        <v>1734</v>
      </c>
      <c r="T5" s="2" t="s">
        <v>11</v>
      </c>
      <c r="U5" s="2" t="s">
        <v>10</v>
      </c>
      <c r="V5" s="47" t="s">
        <v>43</v>
      </c>
      <c r="W5" s="2" t="s">
        <v>24</v>
      </c>
      <c r="X5" s="2" t="s">
        <v>1792</v>
      </c>
      <c r="Y5" s="2" t="s">
        <v>1793</v>
      </c>
      <c r="Z5" s="45" t="s">
        <v>9</v>
      </c>
      <c r="AA5" s="421" t="s">
        <v>11</v>
      </c>
      <c r="AB5" s="47" t="s">
        <v>10</v>
      </c>
      <c r="AC5" s="47" t="s">
        <v>12</v>
      </c>
      <c r="AD5" s="21" t="s">
        <v>44</v>
      </c>
      <c r="AE5" s="4"/>
      <c r="AF5" s="4"/>
    </row>
    <row r="6" spans="1:33" ht="12.95" customHeight="1" x14ac:dyDescent="0.3">
      <c r="B6" s="20" t="s">
        <v>1639</v>
      </c>
      <c r="C6" s="50"/>
      <c r="D6" s="48"/>
      <c r="E6" s="48"/>
      <c r="F6" s="30"/>
      <c r="G6" s="30"/>
      <c r="H6" s="30"/>
      <c r="I6" s="40"/>
      <c r="J6" s="41"/>
      <c r="K6" s="29"/>
      <c r="L6" s="54"/>
      <c r="M6" s="31"/>
      <c r="N6" s="8"/>
      <c r="O6" s="7"/>
      <c r="P6" s="31"/>
      <c r="Q6" s="58"/>
      <c r="R6" s="29"/>
      <c r="S6" s="29"/>
      <c r="T6" s="29"/>
      <c r="U6" s="29"/>
      <c r="V6" s="29"/>
      <c r="W6" s="427"/>
      <c r="X6" s="427"/>
      <c r="Y6" s="427"/>
      <c r="Z6" s="23"/>
      <c r="AA6" s="422"/>
      <c r="AB6" s="23"/>
      <c r="AC6" s="424"/>
      <c r="AD6" s="25"/>
      <c r="AE6" s="567"/>
      <c r="AF6" s="567"/>
    </row>
    <row r="7" spans="1:33" ht="36" x14ac:dyDescent="0.3">
      <c r="B7" s="409"/>
      <c r="C7" s="410" t="s">
        <v>16</v>
      </c>
      <c r="D7" s="412" t="s">
        <v>50</v>
      </c>
      <c r="E7" s="524" t="s">
        <v>1770</v>
      </c>
      <c r="F7" s="411" t="s">
        <v>1627</v>
      </c>
      <c r="G7" s="411" t="s">
        <v>1</v>
      </c>
      <c r="H7" s="411" t="s">
        <v>68</v>
      </c>
      <c r="I7" s="413" t="s">
        <v>14</v>
      </c>
      <c r="J7" s="414" t="s">
        <v>27</v>
      </c>
      <c r="K7" s="415">
        <v>88630</v>
      </c>
      <c r="L7" s="416">
        <v>0.62980000000000003</v>
      </c>
      <c r="M7" s="415">
        <f>K7/L7</f>
        <v>140727.21498888536</v>
      </c>
      <c r="N7" s="410">
        <f>환경관리!B4</f>
        <v>-8095.1262380000007</v>
      </c>
      <c r="O7" s="410">
        <f>환경관리!C4</f>
        <v>50887.300776999997</v>
      </c>
      <c r="P7" s="415">
        <f>M7+N7-O7</f>
        <v>81744.787973885366</v>
      </c>
      <c r="Q7" s="417" t="s">
        <v>1555</v>
      </c>
      <c r="R7" s="410">
        <f>환경관리!F4</f>
        <v>87577.759902000005</v>
      </c>
      <c r="S7" s="410">
        <f>환경관리!G4</f>
        <v>226423.00698500001</v>
      </c>
      <c r="T7" s="410">
        <f>환경관리!H4</f>
        <v>12333.079250000001</v>
      </c>
      <c r="U7" s="410">
        <f>환경관리!I4</f>
        <v>8938.5027840000002</v>
      </c>
      <c r="V7" s="410">
        <f>환경관리!J4</f>
        <v>7474.15834</v>
      </c>
      <c r="W7" s="428">
        <f>IFERROR(IF(P7/R7&lt;0,"NA",P7/R7),"NA")</f>
        <v>0.93339665304705477</v>
      </c>
      <c r="X7" s="564">
        <f>환경관리!J4</f>
        <v>7474.15834</v>
      </c>
      <c r="Y7" s="564">
        <f>환경관리!F4</f>
        <v>87577.759902000005</v>
      </c>
      <c r="Z7" s="418">
        <f>IFERROR(IF(P7/S7&lt;0,"NA",P7/S7),"NA")</f>
        <v>0.36102686322552358</v>
      </c>
      <c r="AA7" s="418">
        <f>IFERROR(IF(P7/T7&lt;0,"NA",P7/T7),"NA")</f>
        <v>6.6280923293252467</v>
      </c>
      <c r="AB7" s="418">
        <f>IFERROR(IF(P7/U7&lt;0,"NA",P7/U7),"NA")</f>
        <v>9.1452438903089295</v>
      </c>
      <c r="AC7" s="425">
        <f>IFERROR(IF(P7/V7&lt;0,"NA",P7/V7),"NA")</f>
        <v>10.936989056868892</v>
      </c>
      <c r="AD7" s="419" t="s">
        <v>1701</v>
      </c>
      <c r="AE7" s="418">
        <f>IFERROR(IF(M7/X7&lt;0,"NA",M7/X7),"NA")</f>
        <v>18.828503302605355</v>
      </c>
      <c r="AF7" s="418">
        <f>IFERROR(IF(M7/Y7&lt;0,"NA",M7/Y7),"NA")</f>
        <v>1.6068830162630316</v>
      </c>
      <c r="AG7" s="6" t="s">
        <v>1741</v>
      </c>
    </row>
    <row r="8" spans="1:33" ht="96" x14ac:dyDescent="0.3">
      <c r="B8" s="7"/>
      <c r="C8" s="146" t="s">
        <v>13</v>
      </c>
      <c r="D8" s="48" t="s">
        <v>52</v>
      </c>
      <c r="E8" s="509" t="s">
        <v>1771</v>
      </c>
      <c r="F8" s="30" t="s">
        <v>1628</v>
      </c>
      <c r="G8" s="30" t="s">
        <v>15</v>
      </c>
      <c r="H8" s="30" t="s">
        <v>67</v>
      </c>
      <c r="I8" s="40" t="s">
        <v>14</v>
      </c>
      <c r="J8" s="41" t="s">
        <v>27</v>
      </c>
      <c r="K8" s="29">
        <v>124999.38</v>
      </c>
      <c r="L8" s="54">
        <v>0.24999876000000001</v>
      </c>
      <c r="M8" s="31">
        <f>K8/L8</f>
        <v>500000</v>
      </c>
      <c r="N8" s="8">
        <f>티에스케이코퍼레이션!B4</f>
        <v>117925.28718100001</v>
      </c>
      <c r="O8" s="334">
        <f>티에스케이코퍼레이션!C4</f>
        <v>34040.96948</v>
      </c>
      <c r="P8" s="31">
        <f>M8+N8-O8</f>
        <v>583884.31770100002</v>
      </c>
      <c r="Q8" s="64" t="s">
        <v>246</v>
      </c>
      <c r="R8" s="29">
        <f>티에스케이코퍼레이션!F4</f>
        <v>180145.67475800001</v>
      </c>
      <c r="S8" s="29">
        <f>티에스케이코퍼레이션!G4</f>
        <v>421868.93179300003</v>
      </c>
      <c r="T8" s="29">
        <f>티에스케이코퍼레이션!H4</f>
        <v>81770.619105999998</v>
      </c>
      <c r="U8" s="29">
        <f>티에스케이코퍼레이션!I4</f>
        <v>51166.931106000004</v>
      </c>
      <c r="V8" s="29">
        <f>티에스케이코퍼레이션!J4</f>
        <v>34617.830718999998</v>
      </c>
      <c r="W8" s="427">
        <f t="shared" ref="W8:W13" si="0">IFERROR(IF(P8/R8&lt;0,"NA",P8/R8),"NA")</f>
        <v>3.2411786654626331</v>
      </c>
      <c r="X8" s="565">
        <f>티에스케이코퍼레이션!J4</f>
        <v>34617.830718999998</v>
      </c>
      <c r="Y8" s="565">
        <f>티에스케이코퍼레이션!F4</f>
        <v>180145.67475800001</v>
      </c>
      <c r="Z8" s="23">
        <f t="shared" ref="Z8:Z13" si="1">IFERROR(IF(P8/S8&lt;0,"NA",P8/S8),"NA")</f>
        <v>1.3840419943213469</v>
      </c>
      <c r="AA8" s="422">
        <f t="shared" ref="AA8:AA13" si="2">IFERROR(IF(P8/T8&lt;0,"NA",P8/T8),"NA")</f>
        <v>7.1405148216391199</v>
      </c>
      <c r="AB8" s="23">
        <f t="shared" ref="AB8:AB13" si="3">IFERROR(IF(P8/U8&lt;0,"NA",P8/U8),"NA")</f>
        <v>11.411360913778388</v>
      </c>
      <c r="AC8" s="424">
        <f t="shared" ref="AC8:AC13" si="4">IFERROR(IF(P8/V8&lt;0,"NA",P8/V8),"NA")</f>
        <v>16.866577297708464</v>
      </c>
      <c r="AD8" s="22" t="s">
        <v>1702</v>
      </c>
      <c r="AE8" s="418">
        <f>IFERROR(IF(M8/X8&lt;0,"NA",M8/X8),"NA")</f>
        <v>14.443423796788485</v>
      </c>
      <c r="AF8" s="418">
        <f>IFERROR(IF(M8/Y8&lt;0,"NA",M8/Y8),"NA")</f>
        <v>2.7755315284237527</v>
      </c>
    </row>
    <row r="9" spans="1:33" ht="12.95" customHeight="1" x14ac:dyDescent="0.3">
      <c r="B9" s="20" t="s">
        <v>1638</v>
      </c>
      <c r="C9" s="146"/>
      <c r="D9" s="48"/>
      <c r="E9" s="48"/>
      <c r="F9" s="30"/>
      <c r="G9" s="30"/>
      <c r="H9" s="30"/>
      <c r="I9" s="40"/>
      <c r="J9" s="41"/>
      <c r="K9" s="29"/>
      <c r="L9" s="54"/>
      <c r="M9" s="31"/>
      <c r="N9" s="8"/>
      <c r="O9" s="334"/>
      <c r="P9" s="31"/>
      <c r="Q9" s="64"/>
      <c r="R9" s="29"/>
      <c r="S9" s="29"/>
      <c r="T9" s="29"/>
      <c r="U9" s="29"/>
      <c r="V9" s="29"/>
      <c r="W9" s="427"/>
      <c r="X9" s="427"/>
      <c r="Y9" s="427"/>
      <c r="Z9" s="23"/>
      <c r="AA9" s="422"/>
      <c r="AB9" s="23"/>
      <c r="AC9" s="424"/>
      <c r="AD9" s="25"/>
      <c r="AE9" s="567"/>
      <c r="AF9" s="567"/>
    </row>
    <row r="10" spans="1:33" ht="12.95" customHeight="1" x14ac:dyDescent="0.3">
      <c r="B10" s="7"/>
      <c r="C10" s="146" t="s">
        <v>1633</v>
      </c>
      <c r="D10" s="48" t="s">
        <v>1634</v>
      </c>
      <c r="E10" s="48"/>
      <c r="F10" s="30" t="s">
        <v>1625</v>
      </c>
      <c r="G10" s="30" t="s">
        <v>1636</v>
      </c>
      <c r="H10" s="30" t="s">
        <v>1637</v>
      </c>
      <c r="I10" s="40" t="s">
        <v>1635</v>
      </c>
      <c r="J10" s="41" t="s">
        <v>85</v>
      </c>
      <c r="K10" s="29">
        <f>MergerMarket!S8</f>
        <v>1260</v>
      </c>
      <c r="L10" s="54">
        <v>0.49</v>
      </c>
      <c r="M10" s="31">
        <f>K10/L10</f>
        <v>2571.4285714285716</v>
      </c>
      <c r="N10" s="8">
        <f>MergerMarket!L8</f>
        <v>585.46609999999998</v>
      </c>
      <c r="O10" s="334">
        <v>0</v>
      </c>
      <c r="P10" s="31">
        <f>M10+N10-O10</f>
        <v>3156.8946714285717</v>
      </c>
      <c r="Q10" s="64" t="s">
        <v>246</v>
      </c>
      <c r="R10" s="29">
        <v>439.3</v>
      </c>
      <c r="S10" s="29">
        <f>MergerMarket!O8</f>
        <v>1242.252</v>
      </c>
      <c r="T10" s="29">
        <f>MergerMarket!P8</f>
        <v>289.47719999999998</v>
      </c>
      <c r="U10" s="29">
        <f>MergerMarket!Q8</f>
        <v>178.56120000000001</v>
      </c>
      <c r="V10" s="29">
        <v>88.9</v>
      </c>
      <c r="W10" s="427">
        <f t="shared" ref="W10" si="5">IFERROR(IF(P10/R10&lt;0,"NA",P10/R10),"NA")</f>
        <v>7.1861931969692048</v>
      </c>
      <c r="X10" s="427"/>
      <c r="Y10" s="427"/>
      <c r="Z10" s="23">
        <f t="shared" ref="Z10" si="6">IFERROR(IF(P10/S10&lt;0,"NA",P10/S10),"NA")</f>
        <v>2.5412675297995673</v>
      </c>
      <c r="AA10" s="422">
        <f t="shared" ref="AA10" si="7">IFERROR(IF(P10/T10&lt;0,"NA",P10/T10),"NA")</f>
        <v>10.905503685363033</v>
      </c>
      <c r="AB10" s="23">
        <f t="shared" ref="AB10" si="8">IFERROR(IF(P10/U10&lt;0,"NA",P10/U10),"NA")</f>
        <v>17.679622848796779</v>
      </c>
      <c r="AC10" s="424">
        <f t="shared" ref="AC10" si="9">IFERROR(IF(P10/V10&lt;0,"NA",P10/V10),"NA")</f>
        <v>35.510626225293265</v>
      </c>
      <c r="AD10" s="22" t="s">
        <v>1703</v>
      </c>
      <c r="AE10" s="568"/>
      <c r="AF10" s="568"/>
    </row>
    <row r="11" spans="1:33" ht="12.95" customHeight="1" x14ac:dyDescent="0.3">
      <c r="B11" s="7"/>
      <c r="C11" s="146" t="s">
        <v>1623</v>
      </c>
      <c r="D11" s="48" t="s">
        <v>1624</v>
      </c>
      <c r="E11" s="48"/>
      <c r="F11" s="30" t="s">
        <v>1626</v>
      </c>
      <c r="G11" s="30" t="s">
        <v>1629</v>
      </c>
      <c r="H11" s="30" t="s">
        <v>1630</v>
      </c>
      <c r="I11" s="40" t="s">
        <v>1631</v>
      </c>
      <c r="J11" s="41" t="s">
        <v>1632</v>
      </c>
      <c r="K11" s="29">
        <f>MergerMarket!S9</f>
        <v>529</v>
      </c>
      <c r="L11" s="54">
        <v>0.15</v>
      </c>
      <c r="M11" s="31">
        <f>K11/L11</f>
        <v>3526.666666666667</v>
      </c>
      <c r="N11" s="8">
        <f>MergerMarket!L9</f>
        <v>9489.7649999999994</v>
      </c>
      <c r="O11" s="334">
        <v>0</v>
      </c>
      <c r="P11" s="31">
        <f>M11+N11-O11</f>
        <v>13016.431666666667</v>
      </c>
      <c r="Q11" s="64" t="s">
        <v>275</v>
      </c>
      <c r="R11" s="29">
        <v>1121.3</v>
      </c>
      <c r="S11" s="29">
        <f>MergerMarket!O9</f>
        <v>1682.6232</v>
      </c>
      <c r="T11" s="29">
        <f>MergerMarket!P9</f>
        <v>838.62689999999998</v>
      </c>
      <c r="U11" s="29">
        <f>MergerMarket!Q9</f>
        <v>446.78489999999999</v>
      </c>
      <c r="V11" s="29">
        <v>-16.8</v>
      </c>
      <c r="W11" s="427">
        <f t="shared" ref="W11" si="10">IFERROR(IF(P11/R11&lt;0,"NA",P11/R11),"NA")</f>
        <v>11.608340021998277</v>
      </c>
      <c r="X11" s="427"/>
      <c r="Y11" s="427"/>
      <c r="Z11" s="23">
        <f t="shared" ref="Z11" si="11">IFERROR(IF(P11/S11&lt;0,"NA",P11/S11),"NA")</f>
        <v>7.7357970974527559</v>
      </c>
      <c r="AA11" s="422">
        <f t="shared" ref="AA11" si="12">IFERROR(IF(P11/T11&lt;0,"NA",P11/T11),"NA")</f>
        <v>15.521123477754729</v>
      </c>
      <c r="AB11" s="23">
        <f t="shared" ref="AB11" si="13">IFERROR(IF(P11/U11&lt;0,"NA",P11/U11),"NA")</f>
        <v>29.133553230350149</v>
      </c>
      <c r="AC11" s="424" t="str">
        <f t="shared" ref="AC11" si="14">IFERROR(IF(P11/V11&lt;0,"NA",P11/V11),"NA")</f>
        <v>NA</v>
      </c>
      <c r="AD11" s="22" t="s">
        <v>1704</v>
      </c>
      <c r="AE11" s="568"/>
      <c r="AF11" s="568"/>
    </row>
    <row r="12" spans="1:33" ht="12.95" customHeight="1" x14ac:dyDescent="0.3">
      <c r="B12" s="7"/>
      <c r="C12" s="146" t="s">
        <v>17</v>
      </c>
      <c r="D12" s="48" t="s">
        <v>51</v>
      </c>
      <c r="E12" s="48"/>
      <c r="F12" s="30" t="s">
        <v>1625</v>
      </c>
      <c r="G12" s="30" t="s">
        <v>102</v>
      </c>
      <c r="H12" s="30" t="s">
        <v>103</v>
      </c>
      <c r="I12" s="40" t="s">
        <v>48</v>
      </c>
      <c r="J12" s="41" t="s">
        <v>27</v>
      </c>
      <c r="K12" s="29">
        <v>1002994.61</v>
      </c>
      <c r="L12" s="54">
        <v>1</v>
      </c>
      <c r="M12" s="31">
        <f t="shared" ref="M12:M19" si="15">K12/L12</f>
        <v>1002994.61</v>
      </c>
      <c r="N12" s="8">
        <f>Affinity!M6-Affinity!M3</f>
        <v>1254823.0896889654</v>
      </c>
      <c r="O12" s="7">
        <f>Affinity!M10</f>
        <v>84.000300548520002</v>
      </c>
      <c r="P12" s="31">
        <f>M12+N12-O12</f>
        <v>2257733.6993884169</v>
      </c>
      <c r="Q12" s="41" t="s">
        <v>275</v>
      </c>
      <c r="R12" s="29">
        <f>Affinity!M16</f>
        <v>303404.88556622679</v>
      </c>
      <c r="S12" s="29">
        <f>Affinity!C3</f>
        <v>432128.34613178798</v>
      </c>
      <c r="T12" s="29">
        <f>Affinity!D3</f>
        <v>183777.25754506121</v>
      </c>
      <c r="U12" s="29">
        <f>Affinity!E3</f>
        <v>112764.80346635153</v>
      </c>
      <c r="V12" s="29">
        <f>Affinity!F3</f>
        <v>43261.554787496942</v>
      </c>
      <c r="W12" s="427">
        <f t="shared" si="0"/>
        <v>7.4413228223894308</v>
      </c>
      <c r="X12" s="427">
        <f>Affinity!F3</f>
        <v>43261.554787496942</v>
      </c>
      <c r="Y12" s="427">
        <f>Affinity!M16</f>
        <v>303404.88556622679</v>
      </c>
      <c r="Z12" s="23">
        <f t="shared" si="1"/>
        <v>5.2246831747988747</v>
      </c>
      <c r="AA12" s="422">
        <f t="shared" si="2"/>
        <v>12.285163733248291</v>
      </c>
      <c r="AB12" s="23">
        <f t="shared" si="3"/>
        <v>20.021616940627347</v>
      </c>
      <c r="AC12" s="424">
        <f t="shared" si="4"/>
        <v>52.187992560103886</v>
      </c>
      <c r="AD12" s="22" t="s">
        <v>1700</v>
      </c>
      <c r="AE12" s="418">
        <f t="shared" ref="AE12:AE13" si="16">IFERROR(IF(M12/X12&lt;0,"NA",M12/X12),"NA")</f>
        <v>23.18443280475616</v>
      </c>
      <c r="AF12" s="418">
        <f t="shared" ref="AF12:AF13" si="17">IFERROR(IF(M12/Y12&lt;0,"NA",M12/Y12),"NA")</f>
        <v>3.3057958448103757</v>
      </c>
    </row>
    <row r="13" spans="1:33" ht="12.95" customHeight="1" x14ac:dyDescent="0.3">
      <c r="B13" s="7"/>
      <c r="C13" s="146" t="s">
        <v>105</v>
      </c>
      <c r="D13" s="48" t="s">
        <v>101</v>
      </c>
      <c r="E13" s="48"/>
      <c r="F13" s="30" t="s">
        <v>1625</v>
      </c>
      <c r="G13" s="30" t="s">
        <v>1711</v>
      </c>
      <c r="H13" s="30" t="s">
        <v>104</v>
      </c>
      <c r="I13" s="40" t="s">
        <v>18</v>
      </c>
      <c r="J13" s="41" t="s">
        <v>27</v>
      </c>
      <c r="K13" s="29">
        <v>2220926.41</v>
      </c>
      <c r="L13" s="54">
        <v>0.90000000040523642</v>
      </c>
      <c r="M13" s="31">
        <f t="shared" si="15"/>
        <v>2467696.0099999998</v>
      </c>
      <c r="N13" s="8">
        <f>Affinity!L6-Affinity!L3</f>
        <v>840119.35348616506</v>
      </c>
      <c r="O13" s="7">
        <f>Affinity!L10</f>
        <v>90.571679832138997</v>
      </c>
      <c r="P13" s="31">
        <f>M13+N13-O13</f>
        <v>3307724.7918063328</v>
      </c>
      <c r="Q13" s="41" t="s">
        <v>274</v>
      </c>
      <c r="R13" s="29">
        <f>Affinity!L16</f>
        <v>635749.79224573332</v>
      </c>
      <c r="S13" s="29">
        <f>Affinity!C4</f>
        <v>458365.15729448904</v>
      </c>
      <c r="T13" s="29">
        <f>Affinity!D4</f>
        <v>252387.04302023855</v>
      </c>
      <c r="U13" s="29">
        <f>Affinity!E4</f>
        <v>116757.76390520703</v>
      </c>
      <c r="V13" s="29">
        <f>Affinity!F4</f>
        <v>65010.540349912728</v>
      </c>
      <c r="W13" s="427">
        <f t="shared" si="0"/>
        <v>5.2028719979947926</v>
      </c>
      <c r="X13" s="427">
        <f>Affinity!F4</f>
        <v>65010.540349912728</v>
      </c>
      <c r="Y13" s="427">
        <f>Affinity!L16</f>
        <v>635749.79224573332</v>
      </c>
      <c r="Z13" s="23">
        <f t="shared" si="1"/>
        <v>7.2163530302570447</v>
      </c>
      <c r="AA13" s="422">
        <f t="shared" si="2"/>
        <v>13.105763086027721</v>
      </c>
      <c r="AB13" s="23">
        <f t="shared" si="3"/>
        <v>28.329805926154933</v>
      </c>
      <c r="AC13" s="424">
        <f t="shared" si="4"/>
        <v>50.87982308719225</v>
      </c>
      <c r="AD13" s="22" t="s">
        <v>1705</v>
      </c>
      <c r="AE13" s="418">
        <f t="shared" si="16"/>
        <v>37.9583986953173</v>
      </c>
      <c r="AF13" s="418">
        <f t="shared" si="17"/>
        <v>3.8815522082721703</v>
      </c>
    </row>
    <row r="14" spans="1:33" ht="12.95" customHeight="1" x14ac:dyDescent="0.3">
      <c r="B14" s="20" t="s">
        <v>1640</v>
      </c>
      <c r="C14" s="332"/>
      <c r="D14" s="30"/>
      <c r="E14" s="30"/>
      <c r="F14" s="30"/>
      <c r="G14" s="30"/>
      <c r="H14" s="30"/>
      <c r="I14" s="40"/>
      <c r="J14" s="41"/>
      <c r="K14" s="29"/>
      <c r="L14" s="54"/>
      <c r="M14" s="31"/>
      <c r="N14" s="8"/>
      <c r="O14" s="7"/>
      <c r="P14" s="31"/>
      <c r="Q14" s="41"/>
      <c r="R14" s="29"/>
      <c r="S14" s="29"/>
      <c r="T14" s="29"/>
      <c r="U14" s="29"/>
      <c r="V14" s="29"/>
      <c r="W14" s="427"/>
      <c r="X14" s="427"/>
      <c r="Y14" s="427"/>
      <c r="Z14" s="23"/>
      <c r="AA14" s="422"/>
      <c r="AB14" s="23"/>
      <c r="AC14" s="424"/>
      <c r="AD14" s="29"/>
      <c r="AE14" s="431"/>
      <c r="AF14" s="431"/>
    </row>
    <row r="15" spans="1:33" ht="12.95" customHeight="1" x14ac:dyDescent="0.3">
      <c r="B15" s="409"/>
      <c r="C15" s="410" t="s">
        <v>59</v>
      </c>
      <c r="D15" s="412" t="s">
        <v>54</v>
      </c>
      <c r="E15" s="412"/>
      <c r="F15" s="411" t="s">
        <v>1556</v>
      </c>
      <c r="G15" s="411" t="s">
        <v>1</v>
      </c>
      <c r="H15" s="411" t="s">
        <v>62</v>
      </c>
      <c r="I15" s="413" t="s">
        <v>14</v>
      </c>
      <c r="J15" s="414" t="s">
        <v>27</v>
      </c>
      <c r="K15" s="415">
        <v>75000</v>
      </c>
      <c r="L15" s="416">
        <v>1</v>
      </c>
      <c r="M15" s="415">
        <f>K15/L15</f>
        <v>75000</v>
      </c>
      <c r="N15" s="410">
        <f>WIK그린!B4</f>
        <v>-2654.192012</v>
      </c>
      <c r="O15" s="410">
        <f>WIK그린!C4</f>
        <v>58.747546</v>
      </c>
      <c r="P15" s="415">
        <f>M15+N15-O15</f>
        <v>72287.060442000002</v>
      </c>
      <c r="Q15" s="417" t="s">
        <v>246</v>
      </c>
      <c r="R15" s="410">
        <f>WIK그린!F4</f>
        <v>36694.330464999999</v>
      </c>
      <c r="S15" s="410">
        <f>WIK그린!G4</f>
        <v>12535.804436</v>
      </c>
      <c r="T15" s="410">
        <f>WIK그린!H4</f>
        <v>5445.8721430000005</v>
      </c>
      <c r="U15" s="410">
        <f>WIK그린!I4</f>
        <v>3709.3191430000002</v>
      </c>
      <c r="V15" s="410">
        <f>WIK그린!J4</f>
        <v>3821.1702660000001</v>
      </c>
      <c r="W15" s="428">
        <f>IFERROR(IF(P15/R15&lt;0,"NA",P15/R15),"NA")</f>
        <v>1.9699790001877611</v>
      </c>
      <c r="X15" s="428">
        <f>WIK그린!J4</f>
        <v>3821.1702660000001</v>
      </c>
      <c r="Y15" s="428">
        <f>WIK그린!F4</f>
        <v>36694.330464999999</v>
      </c>
      <c r="Z15" s="418">
        <f>IFERROR(IF(P15/S15&lt;0,"NA",P15/S15),"NA")</f>
        <v>5.7664476827995088</v>
      </c>
      <c r="AA15" s="418">
        <f>IFERROR(IF(P15/T15&lt;0,"NA",P15/T15),"NA")</f>
        <v>13.273734407245703</v>
      </c>
      <c r="AB15" s="418">
        <f>IFERROR(IF(P15/U15&lt;0,"NA",P15/U15),"NA")</f>
        <v>19.487959287195796</v>
      </c>
      <c r="AC15" s="425">
        <f>IFERROR(IF(P15/V15&lt;0,"NA",P15/V15),"NA")</f>
        <v>18.917518825370237</v>
      </c>
      <c r="AD15" s="419" t="s">
        <v>1706</v>
      </c>
      <c r="AE15" s="418">
        <f t="shared" ref="AE15:AE19" si="18">IFERROR(IF(M15/X15&lt;0,"NA",M15/X15),"NA")</f>
        <v>19.627494924090357</v>
      </c>
      <c r="AF15" s="418">
        <f t="shared" ref="AF15:AF19" si="19">IFERROR(IF(M15/Y15&lt;0,"NA",M15/Y15),"NA")</f>
        <v>2.0439124804726152</v>
      </c>
    </row>
    <row r="16" spans="1:33" ht="12.95" customHeight="1" x14ac:dyDescent="0.3">
      <c r="B16" s="7"/>
      <c r="C16" s="146" t="s">
        <v>1644</v>
      </c>
      <c r="D16" s="48" t="s">
        <v>1645</v>
      </c>
      <c r="E16" s="48"/>
      <c r="F16" s="30" t="s">
        <v>2</v>
      </c>
      <c r="G16" s="30" t="s">
        <v>1646</v>
      </c>
      <c r="H16" s="30" t="s">
        <v>1647</v>
      </c>
      <c r="I16" s="40" t="s">
        <v>14</v>
      </c>
      <c r="J16" s="41" t="s">
        <v>27</v>
      </c>
      <c r="K16" s="29">
        <v>99997.015199999994</v>
      </c>
      <c r="L16" s="54">
        <v>0.23830000000000001</v>
      </c>
      <c r="M16" s="31">
        <f>K16/L16</f>
        <v>419626.58497691981</v>
      </c>
      <c r="N16" s="8">
        <f>인선이엔티!C6-인선이엔티!C3</f>
        <v>45306.328150000008</v>
      </c>
      <c r="O16" s="8">
        <f>인선이엔티!C10</f>
        <v>2785.224052</v>
      </c>
      <c r="P16" s="31">
        <f>M16+N16-O16</f>
        <v>462147.68907491985</v>
      </c>
      <c r="Q16" s="339" t="s">
        <v>336</v>
      </c>
      <c r="R16" s="8">
        <f>인선이엔티!C16</f>
        <v>186940.06130299999</v>
      </c>
      <c r="S16" s="8">
        <f>인선이엔티!H4</f>
        <v>175954.96524399999</v>
      </c>
      <c r="T16" s="8">
        <f>인선이엔티!H7</f>
        <v>30313.125467999998</v>
      </c>
      <c r="U16" s="8">
        <f>인선이엔티!H5</f>
        <v>23853.490468</v>
      </c>
      <c r="V16" s="8">
        <f>인선이엔티!H8</f>
        <v>19964.863479</v>
      </c>
      <c r="W16" s="427">
        <f>IFERROR(IF(P16/R16&lt;0,"NA",P16/R16),"NA")</f>
        <v>2.4721704157668603</v>
      </c>
      <c r="X16" s="427">
        <f>인선이엔티!H8</f>
        <v>19964.863479</v>
      </c>
      <c r="Y16" s="427">
        <f>인선이엔티!C16</f>
        <v>186940.06130299999</v>
      </c>
      <c r="Z16" s="23">
        <f>IFERROR(IF(P16/S16&lt;0,"NA",P16/S16),"NA")</f>
        <v>2.6265112123096448</v>
      </c>
      <c r="AA16" s="422">
        <f>IFERROR(IF(P16/T16&lt;0,"NA",P16/T16),"NA")</f>
        <v>15.245794748640661</v>
      </c>
      <c r="AB16" s="23">
        <f>IFERROR(IF(P16/U16&lt;0,"NA",P16/U16),"NA")</f>
        <v>19.374426132515133</v>
      </c>
      <c r="AC16" s="424">
        <f>IFERROR(IF(P16/V16&lt;0,"NA",P16/V16),"NA")</f>
        <v>23.148051553722315</v>
      </c>
      <c r="AD16" s="22" t="s">
        <v>1648</v>
      </c>
      <c r="AE16" s="418">
        <f t="shared" si="18"/>
        <v>21.018254666169049</v>
      </c>
      <c r="AF16" s="418">
        <f t="shared" si="19"/>
        <v>2.2447119255875929</v>
      </c>
    </row>
    <row r="17" spans="2:33" ht="12.95" customHeight="1" x14ac:dyDescent="0.3">
      <c r="B17" s="7"/>
      <c r="C17" s="146" t="s">
        <v>58</v>
      </c>
      <c r="D17" s="48" t="s">
        <v>53</v>
      </c>
      <c r="E17" s="48"/>
      <c r="F17" s="30" t="s">
        <v>1556</v>
      </c>
      <c r="G17" s="30" t="s">
        <v>19</v>
      </c>
      <c r="H17" s="30" t="s">
        <v>69</v>
      </c>
      <c r="I17" s="40" t="s">
        <v>57</v>
      </c>
      <c r="J17" s="41" t="s">
        <v>27</v>
      </c>
      <c r="K17" s="29">
        <v>68000</v>
      </c>
      <c r="L17" s="54">
        <v>1</v>
      </c>
      <c r="M17" s="31">
        <f t="shared" si="15"/>
        <v>68000</v>
      </c>
      <c r="N17" s="8">
        <f>창원에너텍!B5</f>
        <v>35786.696906999998</v>
      </c>
      <c r="O17" s="8">
        <f>창원에너텍!C5</f>
        <v>508.74474800000002</v>
      </c>
      <c r="P17" s="31">
        <f>M17+N17-O17</f>
        <v>103277.95215900001</v>
      </c>
      <c r="Q17" s="339" t="s">
        <v>336</v>
      </c>
      <c r="R17" s="8">
        <f>창원에너텍!F5</f>
        <v>10987.623600999999</v>
      </c>
      <c r="S17" s="8">
        <f>창원에너텍!G5</f>
        <v>14685.915041</v>
      </c>
      <c r="T17" s="8">
        <f>창원에너텍!H5</f>
        <v>6104.4256399999995</v>
      </c>
      <c r="U17" s="8">
        <f>창원에너텍!I5</f>
        <v>2059.2281509999998</v>
      </c>
      <c r="V17" s="8">
        <f>창원에너텍!J5</f>
        <v>767.89660400000002</v>
      </c>
      <c r="W17" s="427">
        <f t="shared" ref="W17:W19" si="20">IFERROR(IF(P17/R17&lt;0,"NA",P17/R17),"NA")</f>
        <v>9.3994803525669131</v>
      </c>
      <c r="X17" s="427">
        <f>창원에너텍!J5</f>
        <v>767.89660400000002</v>
      </c>
      <c r="Y17" s="427">
        <f>창원에너텍!F5</f>
        <v>10987.623600999999</v>
      </c>
      <c r="Z17" s="23">
        <f t="shared" ref="Z17:Z19" si="21">IFERROR(IF(P17/S17&lt;0,"NA",P17/S17),"NA")</f>
        <v>7.03244924614296</v>
      </c>
      <c r="AA17" s="422">
        <f t="shared" ref="AA17:AA19" si="22">IFERROR(IF(P17/T17&lt;0,"NA",P17/T17),"NA")</f>
        <v>16.918537181001685</v>
      </c>
      <c r="AB17" s="23">
        <f t="shared" ref="AB17:AB19" si="23">IFERROR(IF(P17/U17&lt;0,"NA",P17/U17),"NA")</f>
        <v>50.153720027985386</v>
      </c>
      <c r="AC17" s="424">
        <f t="shared" ref="AC17:AC19" si="24">IFERROR(IF(P17/V17&lt;0,"NA",P17/V17),"NA")</f>
        <v>134.49460724402422</v>
      </c>
      <c r="AD17" s="22" t="s">
        <v>1707</v>
      </c>
      <c r="AE17" s="418">
        <f t="shared" si="18"/>
        <v>88.553588654755913</v>
      </c>
      <c r="AF17" s="418">
        <f t="shared" si="19"/>
        <v>6.1887813479350733</v>
      </c>
    </row>
    <row r="18" spans="2:33" ht="12.95" customHeight="1" x14ac:dyDescent="0.3">
      <c r="B18" s="7"/>
      <c r="C18" s="146" t="s">
        <v>60</v>
      </c>
      <c r="D18" s="48" t="s">
        <v>55</v>
      </c>
      <c r="E18" s="48"/>
      <c r="F18" s="30" t="s">
        <v>1557</v>
      </c>
      <c r="G18" s="30" t="s">
        <v>21</v>
      </c>
      <c r="H18" s="30" t="s">
        <v>70</v>
      </c>
      <c r="I18" s="40" t="s">
        <v>14</v>
      </c>
      <c r="J18" s="41" t="s">
        <v>27</v>
      </c>
      <c r="K18" s="29">
        <v>57000</v>
      </c>
      <c r="L18" s="54">
        <v>1</v>
      </c>
      <c r="M18" s="31">
        <f t="shared" si="15"/>
        <v>57000</v>
      </c>
      <c r="N18" s="8">
        <f>삼우그린!B5</f>
        <v>152.01951400000007</v>
      </c>
      <c r="O18" s="7">
        <f>삼우그린!C5</f>
        <v>16841.900000000001</v>
      </c>
      <c r="P18" s="31">
        <f>M18+N18-O18</f>
        <v>40310.119513999998</v>
      </c>
      <c r="Q18" s="339" t="s">
        <v>1643</v>
      </c>
      <c r="R18" s="29">
        <f>삼우그린!F5</f>
        <v>22114.320305000001</v>
      </c>
      <c r="S18" s="29">
        <f>삼우그린!G5</f>
        <v>8007.8195740000001</v>
      </c>
      <c r="T18" s="29">
        <f>삼우그린!H5</f>
        <v>3606.4626749999998</v>
      </c>
      <c r="U18" s="29">
        <f>삼우그린!I5</f>
        <v>3110.4209839999999</v>
      </c>
      <c r="V18" s="29">
        <f>삼우그린!J5</f>
        <v>2913.4827620000001</v>
      </c>
      <c r="W18" s="427">
        <f t="shared" si="20"/>
        <v>1.8228061707547016</v>
      </c>
      <c r="X18" s="427">
        <f>삼우그린!J4</f>
        <v>2563.0495770000002</v>
      </c>
      <c r="Y18" s="427">
        <f>삼우그린!F4</f>
        <v>19200.837543000001</v>
      </c>
      <c r="Z18" s="23">
        <f t="shared" si="21"/>
        <v>5.0338446241820876</v>
      </c>
      <c r="AA18" s="422">
        <f t="shared" si="22"/>
        <v>11.17719026830078</v>
      </c>
      <c r="AB18" s="23">
        <f t="shared" si="23"/>
        <v>12.959698935081516</v>
      </c>
      <c r="AC18" s="424">
        <f t="shared" si="24"/>
        <v>13.835715810560885</v>
      </c>
      <c r="AD18" s="22" t="s">
        <v>1708</v>
      </c>
      <c r="AE18" s="418">
        <f t="shared" si="18"/>
        <v>22.239132832817614</v>
      </c>
      <c r="AF18" s="418">
        <f t="shared" si="19"/>
        <v>2.9686205027436596</v>
      </c>
    </row>
    <row r="19" spans="2:33" ht="12.95" customHeight="1" x14ac:dyDescent="0.3">
      <c r="B19" s="9"/>
      <c r="C19" s="333" t="s">
        <v>61</v>
      </c>
      <c r="D19" s="66" t="s">
        <v>56</v>
      </c>
      <c r="E19" s="66"/>
      <c r="F19" s="33" t="s">
        <v>2</v>
      </c>
      <c r="G19" s="33" t="s">
        <v>20</v>
      </c>
      <c r="H19" s="33" t="s">
        <v>71</v>
      </c>
      <c r="I19" s="42" t="s">
        <v>14</v>
      </c>
      <c r="J19" s="43" t="s">
        <v>27</v>
      </c>
      <c r="K19" s="32">
        <v>79500</v>
      </c>
      <c r="L19" s="55">
        <v>0.33629999999999999</v>
      </c>
      <c r="M19" s="34">
        <f t="shared" si="15"/>
        <v>236396.07493309546</v>
      </c>
      <c r="N19" s="51">
        <f>코엔텍!B4</f>
        <v>-13359.280777</v>
      </c>
      <c r="O19" s="9">
        <f>코엔텍!C4</f>
        <v>3123.8872650000003</v>
      </c>
      <c r="P19" s="34">
        <f>M19+N19-O19</f>
        <v>219912.90689109545</v>
      </c>
      <c r="Q19" s="340" t="s">
        <v>1643</v>
      </c>
      <c r="R19" s="140">
        <f>코엔텍!F4</f>
        <v>110624.034143</v>
      </c>
      <c r="S19" s="32">
        <f>코엔텍!G4</f>
        <v>55095.779281000003</v>
      </c>
      <c r="T19" s="32">
        <f>코엔텍!H4</f>
        <v>22232.95364</v>
      </c>
      <c r="U19" s="140">
        <f>코엔텍!I4</f>
        <v>15475.621639999999</v>
      </c>
      <c r="V19" s="140">
        <f>코엔텍!J4</f>
        <v>14719.205859</v>
      </c>
      <c r="W19" s="429">
        <f t="shared" si="20"/>
        <v>1.9879306390763274</v>
      </c>
      <c r="X19" s="429">
        <f>코엔텍!J4</f>
        <v>14719.205859</v>
      </c>
      <c r="Y19" s="429">
        <f>코엔텍!F4</f>
        <v>110624.034143</v>
      </c>
      <c r="Z19" s="24">
        <f t="shared" si="21"/>
        <v>3.9914655852219387</v>
      </c>
      <c r="AA19" s="423">
        <f t="shared" si="22"/>
        <v>9.8913041628190719</v>
      </c>
      <c r="AB19" s="24">
        <f t="shared" si="23"/>
        <v>14.210279367562482</v>
      </c>
      <c r="AC19" s="426">
        <f t="shared" si="24"/>
        <v>14.940541561665203</v>
      </c>
      <c r="AD19" s="338" t="s">
        <v>1709</v>
      </c>
      <c r="AE19" s="418">
        <f t="shared" si="18"/>
        <v>16.060382414486853</v>
      </c>
      <c r="AF19" s="418">
        <f t="shared" si="19"/>
        <v>2.1369323290770081</v>
      </c>
    </row>
    <row r="21" spans="2:33" ht="21" customHeight="1" x14ac:dyDescent="0.3">
      <c r="B21" s="10" t="s">
        <v>63</v>
      </c>
      <c r="C21" s="10"/>
      <c r="D21" s="10"/>
      <c r="E21" s="11"/>
      <c r="F21" s="12"/>
      <c r="G21" s="12"/>
      <c r="H21" s="12"/>
      <c r="I21" s="12"/>
      <c r="J21" s="12"/>
      <c r="K21" s="11"/>
      <c r="L21" s="13"/>
      <c r="M21" s="11"/>
      <c r="N21" s="11"/>
      <c r="O21" s="11"/>
      <c r="P21" s="11"/>
      <c r="Q21" s="12"/>
      <c r="R21" s="11"/>
      <c r="S21" s="11"/>
      <c r="T21" s="11"/>
      <c r="U21" s="11"/>
      <c r="V21" s="11"/>
      <c r="W21" s="11"/>
      <c r="X21" s="11"/>
      <c r="Y21" s="11"/>
      <c r="Z21" s="14"/>
      <c r="AA21" s="14"/>
      <c r="AB21" s="15"/>
      <c r="AC21" s="15"/>
      <c r="AD21" s="15"/>
      <c r="AE21" s="566"/>
      <c r="AF21" s="566"/>
    </row>
    <row r="22" spans="2:33" ht="12.95" customHeight="1" x14ac:dyDescent="0.3">
      <c r="B22" s="5"/>
      <c r="C22" s="1"/>
      <c r="D22" s="5"/>
      <c r="E22" s="5"/>
      <c r="F22" s="61"/>
      <c r="G22" s="62"/>
      <c r="H22" s="62"/>
      <c r="I22" s="3"/>
      <c r="J22" s="3"/>
      <c r="K22" s="16" t="s">
        <v>46</v>
      </c>
      <c r="L22" s="17"/>
      <c r="M22" s="18"/>
      <c r="N22" s="18"/>
      <c r="O22" s="18"/>
      <c r="P22" s="19"/>
      <c r="Q22" s="16" t="s">
        <v>30</v>
      </c>
      <c r="R22" s="16"/>
      <c r="S22" s="18"/>
      <c r="T22" s="18"/>
      <c r="U22" s="18"/>
      <c r="V22" s="19"/>
      <c r="W22" s="18" t="s">
        <v>3</v>
      </c>
      <c r="X22" s="18"/>
      <c r="Y22" s="18"/>
      <c r="Z22" s="16" t="s">
        <v>3</v>
      </c>
      <c r="AA22" s="26"/>
      <c r="AB22" s="27"/>
      <c r="AC22" s="27"/>
      <c r="AD22" s="28"/>
      <c r="AE22" s="431"/>
      <c r="AF22" s="431"/>
    </row>
    <row r="23" spans="2:33" ht="12.95" customHeight="1" x14ac:dyDescent="0.3">
      <c r="B23" s="35"/>
      <c r="C23" s="4"/>
      <c r="D23" s="35" t="s">
        <v>31</v>
      </c>
      <c r="E23" s="35"/>
      <c r="F23" s="35"/>
      <c r="G23" s="36"/>
      <c r="H23" s="36"/>
      <c r="I23" s="4"/>
      <c r="J23" s="4"/>
      <c r="K23" s="35" t="s">
        <v>32</v>
      </c>
      <c r="L23" s="44" t="s">
        <v>4</v>
      </c>
      <c r="M23" s="59" t="s">
        <v>33</v>
      </c>
      <c r="N23" s="4" t="s">
        <v>0</v>
      </c>
      <c r="O23" s="4"/>
      <c r="P23" s="59" t="s">
        <v>34</v>
      </c>
      <c r="Q23" s="56" t="s">
        <v>35</v>
      </c>
      <c r="R23" s="4"/>
      <c r="S23" s="4"/>
      <c r="T23" s="4"/>
      <c r="U23" s="4"/>
      <c r="V23" s="49"/>
      <c r="W23" s="4"/>
      <c r="X23" s="4"/>
      <c r="Y23" s="4"/>
      <c r="Z23" s="35" t="s">
        <v>5</v>
      </c>
      <c r="AA23" s="420" t="s">
        <v>5</v>
      </c>
      <c r="AB23" s="49" t="s">
        <v>5</v>
      </c>
      <c r="AC23" s="41"/>
      <c r="AD23" s="29"/>
      <c r="AE23" s="431"/>
      <c r="AF23" s="431"/>
    </row>
    <row r="24" spans="2:33" ht="12.95" customHeight="1" x14ac:dyDescent="0.3">
      <c r="B24" s="53" t="s">
        <v>26</v>
      </c>
      <c r="C24" s="2"/>
      <c r="D24" s="45" t="s">
        <v>36</v>
      </c>
      <c r="E24" s="45"/>
      <c r="F24" s="45" t="s">
        <v>23</v>
      </c>
      <c r="G24" s="21" t="s">
        <v>45</v>
      </c>
      <c r="H24" s="21" t="s">
        <v>66</v>
      </c>
      <c r="I24" s="2" t="s">
        <v>6</v>
      </c>
      <c r="J24" s="2" t="s">
        <v>28</v>
      </c>
      <c r="K24" s="45" t="s">
        <v>37</v>
      </c>
      <c r="L24" s="46" t="s">
        <v>7</v>
      </c>
      <c r="M24" s="60" t="s">
        <v>38</v>
      </c>
      <c r="N24" s="2" t="s">
        <v>1730</v>
      </c>
      <c r="O24" s="2" t="s">
        <v>1731</v>
      </c>
      <c r="P24" s="60" t="s">
        <v>39</v>
      </c>
      <c r="Q24" s="57" t="s">
        <v>1736</v>
      </c>
      <c r="R24" s="2" t="s">
        <v>41</v>
      </c>
      <c r="S24" s="2" t="s">
        <v>1735</v>
      </c>
      <c r="T24" s="2" t="s">
        <v>11</v>
      </c>
      <c r="U24" s="2" t="s">
        <v>10</v>
      </c>
      <c r="V24" s="47" t="s">
        <v>43</v>
      </c>
      <c r="W24" s="2" t="s">
        <v>24</v>
      </c>
      <c r="X24" s="2"/>
      <c r="Y24" s="2"/>
      <c r="Z24" s="45" t="s">
        <v>9</v>
      </c>
      <c r="AA24" s="421" t="s">
        <v>11</v>
      </c>
      <c r="AB24" s="47" t="s">
        <v>10</v>
      </c>
      <c r="AC24" s="47" t="s">
        <v>12</v>
      </c>
      <c r="AD24" s="21" t="s">
        <v>44</v>
      </c>
      <c r="AE24" s="4"/>
      <c r="AF24" s="4"/>
    </row>
    <row r="25" spans="2:33" ht="12.95" customHeight="1" x14ac:dyDescent="0.3">
      <c r="B25" s="20" t="s">
        <v>1641</v>
      </c>
      <c r="C25" s="50"/>
      <c r="D25" s="48"/>
      <c r="E25" s="48"/>
      <c r="F25" s="30"/>
      <c r="G25" s="30"/>
      <c r="H25" s="30"/>
      <c r="I25" s="40"/>
      <c r="J25" s="41"/>
      <c r="K25" s="29"/>
      <c r="L25" s="54"/>
      <c r="M25" s="31"/>
      <c r="N25" s="8"/>
      <c r="O25" s="7"/>
      <c r="P25" s="31"/>
      <c r="Q25" s="58"/>
      <c r="R25" s="29"/>
      <c r="S25" s="29"/>
      <c r="T25" s="29"/>
      <c r="U25" s="29"/>
      <c r="V25" s="29"/>
      <c r="W25" s="427"/>
      <c r="X25" s="427"/>
      <c r="Y25" s="427"/>
      <c r="Z25" s="23"/>
      <c r="AA25" s="422"/>
      <c r="AB25" s="23"/>
      <c r="AC25" s="424"/>
      <c r="AD25" s="25"/>
      <c r="AE25" s="567"/>
      <c r="AF25" s="567"/>
    </row>
    <row r="26" spans="2:33" ht="12.95" customHeight="1" x14ac:dyDescent="0.3">
      <c r="B26" s="7"/>
      <c r="C26" s="146" t="s">
        <v>456</v>
      </c>
      <c r="D26" s="48" t="s">
        <v>457</v>
      </c>
      <c r="E26" s="48"/>
      <c r="F26" s="30" t="s">
        <v>1558</v>
      </c>
      <c r="G26" s="30" t="s">
        <v>459</v>
      </c>
      <c r="H26" s="30" t="s">
        <v>458</v>
      </c>
      <c r="I26" s="40" t="s">
        <v>14</v>
      </c>
      <c r="J26" s="41" t="s">
        <v>27</v>
      </c>
      <c r="K26" s="29">
        <v>50663.565119999999</v>
      </c>
      <c r="L26" s="54">
        <v>0.52010000000000001</v>
      </c>
      <c r="M26" s="31">
        <f>K26/L26</f>
        <v>97411.199999999997</v>
      </c>
      <c r="N26" s="8">
        <f>한국종합기술!C6-한국종합기술!C3</f>
        <v>18639.085759000001</v>
      </c>
      <c r="O26" s="334">
        <f>한국종합기술!C10</f>
        <v>63736.082090999997</v>
      </c>
      <c r="P26" s="31">
        <f>M26+N26-O26</f>
        <v>52314.203667999995</v>
      </c>
      <c r="Q26" s="58" t="s">
        <v>275</v>
      </c>
      <c r="R26" s="29">
        <f>한국종합기술!C17</f>
        <v>122403.966535</v>
      </c>
      <c r="S26" s="29">
        <f>한국종합기술!G4</f>
        <v>199370.92785599999</v>
      </c>
      <c r="T26" s="29">
        <f>한국종합기술!H4</f>
        <v>6305.6560879999997</v>
      </c>
      <c r="U26" s="29">
        <f>한국종합기술!I4</f>
        <v>4236.7240879999999</v>
      </c>
      <c r="V26" s="29">
        <f>한국종합기술!J4</f>
        <v>3063.386665</v>
      </c>
      <c r="W26" s="427">
        <f t="shared" ref="W26" si="25">IFERROR(IF(P26/R26&lt;0,"NA",P26/R26),"NA")</f>
        <v>0.42738977460376132</v>
      </c>
      <c r="X26" s="565">
        <f>한국종합기술!J3</f>
        <v>-7815.6110129999997</v>
      </c>
      <c r="Y26" s="565">
        <f>한국종합기술!D17</f>
        <v>114383.38971600001</v>
      </c>
      <c r="Z26" s="23">
        <f t="shared" ref="Z26" si="26">IFERROR(IF(P26/S26&lt;0,"NA",P26/S26),"NA")</f>
        <v>0.26239634951082269</v>
      </c>
      <c r="AA26" s="422">
        <f t="shared" ref="AA26" si="27">IFERROR(IF(P26/T26&lt;0,"NA",P26/T26),"NA")</f>
        <v>8.2963934185305028</v>
      </c>
      <c r="AB26" s="23">
        <f t="shared" ref="AB26" si="28">IFERROR(IF(P26/U26&lt;0,"NA",P26/U26),"NA")</f>
        <v>12.347795745343328</v>
      </c>
      <c r="AC26" s="424">
        <f t="shared" ref="AC26" si="29">IFERROR(IF(P26/V26&lt;0,"NA",P26/V26),"NA")</f>
        <v>17.077244693170325</v>
      </c>
      <c r="AD26" s="22" t="s">
        <v>522</v>
      </c>
      <c r="AE26" s="418" t="str">
        <f>IFERROR(IF(M26/X26&lt;0,"NA",M26/X26),"NA")</f>
        <v>NA</v>
      </c>
      <c r="AF26" s="418">
        <f>IFERROR(IF(M26/Y26&lt;0,"NA",M26/Y26),"NA")</f>
        <v>0.85162015430614635</v>
      </c>
      <c r="AG26" s="6" t="s">
        <v>1742</v>
      </c>
    </row>
    <row r="27" spans="2:33" ht="36" x14ac:dyDescent="0.3">
      <c r="B27" s="7"/>
      <c r="C27" s="146" t="s">
        <v>64</v>
      </c>
      <c r="D27" s="48" t="s">
        <v>65</v>
      </c>
      <c r="E27" s="509" t="s">
        <v>1758</v>
      </c>
      <c r="F27" s="30" t="s">
        <v>1560</v>
      </c>
      <c r="G27" s="30" t="s">
        <v>72</v>
      </c>
      <c r="H27" s="30" t="s">
        <v>73</v>
      </c>
      <c r="I27" s="40" t="s">
        <v>14</v>
      </c>
      <c r="J27" s="41" t="s">
        <v>27</v>
      </c>
      <c r="K27" s="29">
        <v>131798.33337199999</v>
      </c>
      <c r="L27" s="54">
        <v>0.95269999999999999</v>
      </c>
      <c r="M27" s="31">
        <f t="shared" ref="M27" si="30">K27/L27</f>
        <v>138341.90550225673</v>
      </c>
      <c r="N27" s="8">
        <f>'휴비스워터_''14'!C6-'휴비스워터_''14'!C3</f>
        <v>-22440.337665999999</v>
      </c>
      <c r="O27" s="7">
        <f>'휴비스워터_''14'!C10</f>
        <v>935.12710600000003</v>
      </c>
      <c r="P27" s="31">
        <f>M27+N27-O27</f>
        <v>114966.44073025673</v>
      </c>
      <c r="Q27" s="64" t="s">
        <v>277</v>
      </c>
      <c r="R27" s="29">
        <f>'휴비스워터_''14'!C16</f>
        <v>65687.151142999995</v>
      </c>
      <c r="S27" s="29">
        <f>'휴비스워터_''14'!G4</f>
        <v>105760.54403</v>
      </c>
      <c r="T27" s="29">
        <f>'휴비스워터_''14'!H4</f>
        <v>12413.840840999999</v>
      </c>
      <c r="U27" s="29">
        <f>'휴비스워터_''14'!I4</f>
        <v>10841.687841000001</v>
      </c>
      <c r="V27" s="29">
        <f>'휴비스워터_''14'!J4</f>
        <v>8364.5222549999999</v>
      </c>
      <c r="W27" s="427">
        <f>IFERROR(IF(P27/R27&lt;0,"NA",P27/R27),"NA")</f>
        <v>1.7502120084333757</v>
      </c>
      <c r="X27" s="565">
        <f>'휴비스워터_''18'!J5</f>
        <v>959.72900600000003</v>
      </c>
      <c r="Y27" s="565">
        <f>'휴비스워터_''18'!C17</f>
        <v>67363.364455000003</v>
      </c>
      <c r="Z27" s="23">
        <f>IFERROR(IF(P27/S27&lt;0,"NA",P27/S27),"NA")</f>
        <v>1.087044717712925</v>
      </c>
      <c r="AA27" s="422">
        <f>IFERROR(IF(P27/T27&lt;0,"NA",P27/T27),"NA")</f>
        <v>9.2611498892872532</v>
      </c>
      <c r="AB27" s="23">
        <f>IFERROR(IF(P27/U27&lt;0,"NA",P27/U27),"NA")</f>
        <v>10.604109103334284</v>
      </c>
      <c r="AC27" s="424">
        <f>IFERROR(IF(P27/V27&lt;0,"NA",P27/V27),"NA")</f>
        <v>13.744531633176548</v>
      </c>
      <c r="AD27" s="22" t="s">
        <v>1695</v>
      </c>
      <c r="AE27" s="418">
        <f>IFERROR(IF(M27/X27&lt;0,"NA",M27/X27),"NA")</f>
        <v>144.14684211623873</v>
      </c>
      <c r="AF27" s="418">
        <f>IFERROR(IF(M27/Y27&lt;0,"NA",M27/Y27),"NA")</f>
        <v>2.0536668057111629</v>
      </c>
      <c r="AG27" s="6" t="s">
        <v>1740</v>
      </c>
    </row>
    <row r="28" spans="2:33" ht="12.95" customHeight="1" x14ac:dyDescent="0.3">
      <c r="B28" s="20" t="s">
        <v>1642</v>
      </c>
      <c r="C28" s="146"/>
      <c r="D28" s="48"/>
      <c r="E28" s="48"/>
      <c r="F28" s="30"/>
      <c r="G28" s="30"/>
      <c r="H28" s="30"/>
      <c r="I28" s="40"/>
      <c r="J28" s="41"/>
      <c r="K28" s="29"/>
      <c r="L28" s="54"/>
      <c r="M28" s="31"/>
      <c r="N28" s="8"/>
      <c r="O28" s="7"/>
      <c r="P28" s="31"/>
      <c r="Q28" s="64"/>
      <c r="R28" s="29"/>
      <c r="S28" s="29"/>
      <c r="T28" s="29"/>
      <c r="U28" s="29"/>
      <c r="V28" s="29"/>
      <c r="W28" s="427"/>
      <c r="X28" s="427"/>
      <c r="Y28" s="427"/>
      <c r="Z28" s="23"/>
      <c r="AA28" s="422"/>
      <c r="AB28" s="23"/>
      <c r="AC28" s="424"/>
      <c r="AD28" s="22"/>
      <c r="AE28" s="568"/>
      <c r="AF28" s="568"/>
    </row>
    <row r="29" spans="2:33" ht="12.95" customHeight="1" x14ac:dyDescent="0.3">
      <c r="B29" s="7"/>
      <c r="C29" s="146" t="s">
        <v>79</v>
      </c>
      <c r="D29" s="48" t="s">
        <v>80</v>
      </c>
      <c r="E29" s="48"/>
      <c r="F29" s="30" t="s">
        <v>1559</v>
      </c>
      <c r="G29" s="30" t="s">
        <v>1712</v>
      </c>
      <c r="H29" s="30" t="s">
        <v>84</v>
      </c>
      <c r="I29" s="40" t="s">
        <v>81</v>
      </c>
      <c r="J29" s="41" t="s">
        <v>86</v>
      </c>
      <c r="K29" s="29">
        <f>MergerMarket!S10</f>
        <v>200</v>
      </c>
      <c r="L29" s="54">
        <v>1</v>
      </c>
      <c r="M29" s="31">
        <f>K29/L29</f>
        <v>200</v>
      </c>
      <c r="N29" s="67">
        <v>0</v>
      </c>
      <c r="O29" s="68">
        <v>0</v>
      </c>
      <c r="P29" s="31">
        <f>M29+N29-O29</f>
        <v>200</v>
      </c>
      <c r="Q29" s="64" t="s">
        <v>246</v>
      </c>
      <c r="R29" s="29"/>
      <c r="S29" s="29">
        <f>MergerMarket!O10</f>
        <v>63.139400000000002</v>
      </c>
      <c r="T29" s="29">
        <f>MergerMarket!P10</f>
        <v>21.341999999999999</v>
      </c>
      <c r="U29" s="29">
        <f>MergerMarket!Q10</f>
        <v>12.9031</v>
      </c>
      <c r="V29" s="142"/>
      <c r="W29" s="427" t="str">
        <f t="shared" ref="W29:W30" si="31">IFERROR(IF(P29/R29&lt;0,"NA",P29/R29),"NA")</f>
        <v>NA</v>
      </c>
      <c r="X29" s="427"/>
      <c r="Y29" s="427"/>
      <c r="Z29" s="23">
        <f t="shared" ref="Z29:Z30" si="32">IFERROR(IF(P29/S29&lt;0,"NA",P29/S29),"NA")</f>
        <v>3.16759424384774</v>
      </c>
      <c r="AA29" s="422">
        <f t="shared" ref="AA29:AA30" si="33">IFERROR(IF(P29/T29&lt;0,"NA",P29/T29),"NA")</f>
        <v>9.3711929528629003</v>
      </c>
      <c r="AB29" s="23">
        <f t="shared" ref="AB29:AB30" si="34">IFERROR(IF(P29/U29&lt;0,"NA",P29/U29),"NA")</f>
        <v>15.500151126473483</v>
      </c>
      <c r="AC29" s="424" t="str">
        <f t="shared" ref="AC29:AC30" si="35">IFERROR(IF(P29/V29&lt;0,"NA",P29/V29),"NA")</f>
        <v>NA</v>
      </c>
      <c r="AD29" s="22" t="s">
        <v>1710</v>
      </c>
      <c r="AE29" s="568"/>
      <c r="AF29" s="568"/>
      <c r="AG29" s="6" t="s">
        <v>1740</v>
      </c>
    </row>
    <row r="30" spans="2:33" ht="12.95" customHeight="1" x14ac:dyDescent="0.3">
      <c r="B30" s="9"/>
      <c r="C30" s="333" t="s">
        <v>75</v>
      </c>
      <c r="D30" s="66" t="s">
        <v>83</v>
      </c>
      <c r="E30" s="66"/>
      <c r="F30" s="33" t="s">
        <v>1560</v>
      </c>
      <c r="G30" s="33" t="s">
        <v>77</v>
      </c>
      <c r="H30" s="33" t="s">
        <v>76</v>
      </c>
      <c r="I30" s="42" t="s">
        <v>82</v>
      </c>
      <c r="J30" s="43" t="s">
        <v>87</v>
      </c>
      <c r="K30" s="32">
        <f>MergerMarket!S5</f>
        <v>3379</v>
      </c>
      <c r="L30" s="55">
        <v>1</v>
      </c>
      <c r="M30" s="34">
        <f>K30/L30</f>
        <v>3379</v>
      </c>
      <c r="N30" s="335">
        <v>0</v>
      </c>
      <c r="O30" s="336">
        <v>0</v>
      </c>
      <c r="P30" s="34">
        <f>M30+N30-O30</f>
        <v>3379</v>
      </c>
      <c r="Q30" s="337" t="s">
        <v>106</v>
      </c>
      <c r="R30" s="32"/>
      <c r="S30" s="32">
        <f>MergerMarket!O5</f>
        <v>2091.7226000000001</v>
      </c>
      <c r="T30" s="32">
        <f>MergerMarket!P5</f>
        <v>340.15370000000001</v>
      </c>
      <c r="U30" s="140">
        <f>MergerMarket!Q5</f>
        <v>0</v>
      </c>
      <c r="V30" s="140"/>
      <c r="W30" s="429" t="str">
        <f t="shared" si="31"/>
        <v>NA</v>
      </c>
      <c r="X30" s="429"/>
      <c r="Y30" s="429"/>
      <c r="Z30" s="24">
        <f t="shared" si="32"/>
        <v>1.6154149694610556</v>
      </c>
      <c r="AA30" s="423">
        <f t="shared" si="33"/>
        <v>9.9337446571946728</v>
      </c>
      <c r="AB30" s="24" t="str">
        <f t="shared" si="34"/>
        <v>NA</v>
      </c>
      <c r="AC30" s="426" t="str">
        <f t="shared" si="35"/>
        <v>NA</v>
      </c>
      <c r="AD30" s="338" t="s">
        <v>78</v>
      </c>
      <c r="AE30" s="568"/>
      <c r="AF30" s="568"/>
      <c r="AG30" s="6" t="s">
        <v>1744</v>
      </c>
    </row>
    <row r="32" spans="2:33" ht="12.95" customHeight="1" x14ac:dyDescent="0.3">
      <c r="B32" s="477" t="s">
        <v>1732</v>
      </c>
      <c r="T32" s="10" t="s">
        <v>1715</v>
      </c>
      <c r="U32" s="14"/>
      <c r="V32" s="14"/>
      <c r="W32" s="435"/>
      <c r="X32" s="435"/>
      <c r="Y32" s="435"/>
      <c r="Z32" s="435"/>
      <c r="AA32" s="435"/>
      <c r="AB32" s="436"/>
    </row>
    <row r="33" spans="2:28" ht="12.95" customHeight="1" x14ac:dyDescent="0.3">
      <c r="B33" s="478" t="s">
        <v>1739</v>
      </c>
      <c r="T33" s="437" t="s">
        <v>1718</v>
      </c>
      <c r="U33" s="438"/>
      <c r="V33" s="438"/>
      <c r="W33" s="439"/>
      <c r="X33" s="439"/>
      <c r="Y33" s="439"/>
      <c r="Z33" s="468" t="s">
        <v>1714</v>
      </c>
      <c r="AA33" s="468" t="s">
        <v>1719</v>
      </c>
      <c r="AB33" s="469" t="s">
        <v>1720</v>
      </c>
    </row>
    <row r="34" spans="2:28" ht="12.95" customHeight="1" x14ac:dyDescent="0.3">
      <c r="B34" s="478" t="s">
        <v>1738</v>
      </c>
      <c r="T34" s="430" t="s">
        <v>1724</v>
      </c>
      <c r="U34" s="431"/>
      <c r="V34" s="431"/>
      <c r="W34" s="52"/>
      <c r="X34" s="52"/>
      <c r="Y34" s="52"/>
      <c r="Z34" s="471">
        <f>AVERAGE(Z7:Z8)</f>
        <v>0.87253442877343523</v>
      </c>
      <c r="AA34" s="471">
        <f>AVERAGE(AA7:AA8)</f>
        <v>6.8843035754821837</v>
      </c>
      <c r="AB34" s="472">
        <f>AVERAGE(AB7:AB8)</f>
        <v>10.278302402043659</v>
      </c>
    </row>
    <row r="35" spans="2:28" ht="12.95" customHeight="1" x14ac:dyDescent="0.3">
      <c r="B35" s="478" t="s">
        <v>1737</v>
      </c>
      <c r="T35" s="430" t="s">
        <v>1725</v>
      </c>
      <c r="U35" s="431"/>
      <c r="V35" s="431"/>
      <c r="W35" s="52"/>
      <c r="X35" s="52"/>
      <c r="Y35" s="52"/>
      <c r="Z35" s="473">
        <f>AVERAGE(Z10:Z13)</f>
        <v>5.6795252080770604</v>
      </c>
      <c r="AA35" s="473">
        <f>AVERAGE(AA10:AA13)</f>
        <v>12.954388495598444</v>
      </c>
      <c r="AB35" s="474">
        <f>AVERAGE(AB10:AB13)</f>
        <v>23.791149736482303</v>
      </c>
    </row>
    <row r="36" spans="2:28" ht="12.95" customHeight="1" x14ac:dyDescent="0.3">
      <c r="T36" s="430" t="s">
        <v>1723</v>
      </c>
      <c r="U36" s="431"/>
      <c r="V36" s="431"/>
      <c r="W36" s="52"/>
      <c r="X36" s="52"/>
      <c r="Y36" s="52"/>
      <c r="Z36" s="471">
        <f>AVERAGE(Z7:Z8,Z10:Z13)</f>
        <v>4.0771949483091854</v>
      </c>
      <c r="AA36" s="471">
        <f>AVERAGE(AA7:AA8,AA10:AA13)</f>
        <v>10.931026855559688</v>
      </c>
      <c r="AB36" s="474">
        <f>AVERAGE(AB7:AB8,AB10:AB13)</f>
        <v>19.28686729166942</v>
      </c>
    </row>
    <row r="37" spans="2:28" ht="12.95" customHeight="1" x14ac:dyDescent="0.3">
      <c r="T37" s="430" t="s">
        <v>1728</v>
      </c>
      <c r="U37" s="431"/>
      <c r="V37" s="431"/>
      <c r="W37" s="52"/>
      <c r="X37" s="52"/>
      <c r="Y37" s="52"/>
      <c r="Z37" s="471">
        <f>AVERAGE(Z7:Z8,Z15:Z19)</f>
        <v>3.7422553154575726</v>
      </c>
      <c r="AA37" s="471">
        <f>AVERAGE(AA7:AA8,AA15:AA19)</f>
        <v>11.467881131281752</v>
      </c>
      <c r="AB37" s="474">
        <f>AVERAGE(AB7:AB8,AB15:AB19)</f>
        <v>19.534669793489662</v>
      </c>
    </row>
    <row r="38" spans="2:28" ht="12.95" customHeight="1" x14ac:dyDescent="0.3">
      <c r="T38" s="432" t="s">
        <v>1713</v>
      </c>
      <c r="U38" s="433"/>
      <c r="V38" s="433"/>
      <c r="W38" s="434"/>
      <c r="X38" s="434"/>
      <c r="Y38" s="434"/>
      <c r="Z38" s="475">
        <f>AVERAGE(Z7:Z8,Z10:Z13,Z15:Z19)</f>
        <v>4.4467170945919321</v>
      </c>
      <c r="AA38" s="475">
        <f>AVERAGE(AA7:AA8,AA10:AA13,AA15:AA19)</f>
        <v>12.008429263760547</v>
      </c>
      <c r="AB38" s="476">
        <f>AVERAGE(AB7:AB8,AB10:AB13,AB15:AB19)</f>
        <v>21.082480681850623</v>
      </c>
    </row>
    <row r="40" spans="2:28" ht="12.95" customHeight="1" x14ac:dyDescent="0.3">
      <c r="T40" s="10" t="s">
        <v>1716</v>
      </c>
      <c r="U40" s="14"/>
      <c r="V40" s="14"/>
      <c r="W40" s="435"/>
      <c r="X40" s="435"/>
      <c r="Y40" s="435"/>
      <c r="Z40" s="435"/>
      <c r="AA40" s="435"/>
      <c r="AB40" s="436"/>
    </row>
    <row r="41" spans="2:28" ht="12.95" customHeight="1" x14ac:dyDescent="0.3">
      <c r="T41" s="437" t="s">
        <v>1718</v>
      </c>
      <c r="U41" s="438"/>
      <c r="V41" s="438"/>
      <c r="W41" s="439"/>
      <c r="X41" s="439"/>
      <c r="Y41" s="439"/>
      <c r="Z41" s="468" t="s">
        <v>1714</v>
      </c>
      <c r="AA41" s="468" t="s">
        <v>1719</v>
      </c>
      <c r="AB41" s="469" t="s">
        <v>1720</v>
      </c>
    </row>
    <row r="42" spans="2:28" ht="12.95" customHeight="1" x14ac:dyDescent="0.3">
      <c r="T42" s="430" t="s">
        <v>1727</v>
      </c>
      <c r="U42" s="431"/>
      <c r="V42" s="431"/>
      <c r="W42" s="52"/>
      <c r="X42" s="52"/>
      <c r="Y42" s="52"/>
      <c r="Z42" s="471">
        <f>AVERAGE(Z26:Z27)</f>
        <v>0.67472053361187379</v>
      </c>
      <c r="AA42" s="471">
        <f t="shared" ref="AA42:AB42" si="36">AVERAGE(AA26:AA27)</f>
        <v>8.778771653908878</v>
      </c>
      <c r="AB42" s="472">
        <f t="shared" si="36"/>
        <v>11.475952424338807</v>
      </c>
    </row>
    <row r="43" spans="2:28" ht="12.95" customHeight="1" x14ac:dyDescent="0.3">
      <c r="T43" s="430" t="s">
        <v>1726</v>
      </c>
      <c r="U43" s="431"/>
      <c r="V43" s="431"/>
      <c r="W43" s="52"/>
      <c r="X43" s="52"/>
      <c r="Y43" s="52"/>
      <c r="Z43" s="471">
        <f>AVERAGE(Z29:Z30)</f>
        <v>2.3915046066543977</v>
      </c>
      <c r="AA43" s="471">
        <f t="shared" ref="AA43:AB43" si="37">AVERAGE(AA29:AA30)</f>
        <v>9.6524688050287857</v>
      </c>
      <c r="AB43" s="474">
        <f t="shared" si="37"/>
        <v>15.500151126473483</v>
      </c>
    </row>
    <row r="44" spans="2:28" ht="12.95" customHeight="1" x14ac:dyDescent="0.3">
      <c r="T44" s="432" t="s">
        <v>1717</v>
      </c>
      <c r="U44" s="433"/>
      <c r="V44" s="433"/>
      <c r="W44" s="434"/>
      <c r="X44" s="434"/>
      <c r="Y44" s="434"/>
      <c r="Z44" s="475">
        <f>AVERAGE(Z26:Z27,Z29:Z30)</f>
        <v>1.5331125701331358</v>
      </c>
      <c r="AA44" s="475">
        <f t="shared" ref="AA44:AB44" si="38">AVERAGE(AA26:AA27,AA29:AA30)</f>
        <v>9.2156202294688327</v>
      </c>
      <c r="AB44" s="476">
        <f t="shared" si="38"/>
        <v>12.817351991717032</v>
      </c>
    </row>
  </sheetData>
  <phoneticPr fontId="3" type="noConversion"/>
  <hyperlinks>
    <hyperlink ref="AD26" r:id="rId1"/>
    <hyperlink ref="AD30" r:id="rId2"/>
    <hyperlink ref="AD16" r:id="rId3"/>
    <hyperlink ref="AD27" r:id="rId4"/>
    <hyperlink ref="AD12" r:id="rId5"/>
    <hyperlink ref="AD7" r:id="rId6"/>
    <hyperlink ref="AD8" r:id="rId7"/>
    <hyperlink ref="AD10" r:id="rId8"/>
    <hyperlink ref="AD11" r:id="rId9"/>
    <hyperlink ref="AD13" r:id="rId10"/>
    <hyperlink ref="AD15" r:id="rId11"/>
    <hyperlink ref="AD17" r:id="rId12"/>
    <hyperlink ref="AD18" r:id="rId13"/>
    <hyperlink ref="AD19" r:id="rId14"/>
    <hyperlink ref="AD29" r:id="rId15"/>
  </hyperlinks>
  <pageMargins left="0.7" right="0.7" top="0.75" bottom="0.75" header="0.3" footer="0.3"/>
  <pageSetup paperSize="9" scale="44" orientation="landscape" horizontalDpi="300" verticalDpi="300" r:id="rId16"/>
  <ignoredErrors>
    <ignoredError sqref="D7 D1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R108"/>
  <sheetViews>
    <sheetView zoomScaleNormal="100" workbookViewId="0">
      <selection activeCell="F5" sqref="F5"/>
    </sheetView>
  </sheetViews>
  <sheetFormatPr defaultRowHeight="11.25" x14ac:dyDescent="0.3"/>
  <cols>
    <col min="1" max="1" width="1.625" style="92" customWidth="1"/>
    <col min="2" max="2" width="22.875" style="92" customWidth="1"/>
    <col min="3" max="9" width="13" style="92" customWidth="1"/>
    <col min="10" max="10" width="1.625" style="92" customWidth="1"/>
    <col min="11" max="11" width="21.125" style="92" customWidth="1"/>
    <col min="12" max="12" width="12.875" style="92" customWidth="1"/>
    <col min="13" max="18" width="13" style="92" customWidth="1"/>
    <col min="19" max="16384" width="9" style="92"/>
  </cols>
  <sheetData>
    <row r="2" spans="2:13" ht="12" x14ac:dyDescent="0.2">
      <c r="B2" s="108" t="s">
        <v>342</v>
      </c>
      <c r="C2" s="108" t="s">
        <v>269</v>
      </c>
      <c r="D2" s="109" t="s">
        <v>270</v>
      </c>
      <c r="E2" s="109" t="s">
        <v>271</v>
      </c>
      <c r="F2" s="109" t="s">
        <v>272</v>
      </c>
      <c r="G2" s="109" t="s">
        <v>273</v>
      </c>
      <c r="K2" s="94" t="s">
        <v>253</v>
      </c>
      <c r="L2" s="95" t="s">
        <v>274</v>
      </c>
      <c r="M2" s="95" t="s">
        <v>275</v>
      </c>
    </row>
    <row r="3" spans="2:13" ht="12" x14ac:dyDescent="0.2">
      <c r="B3" s="92" t="s">
        <v>276</v>
      </c>
      <c r="C3" s="110">
        <f>I24</f>
        <v>432128.34613178798</v>
      </c>
      <c r="D3" s="110">
        <f>I81</f>
        <v>183777.25754506121</v>
      </c>
      <c r="E3" s="110">
        <f>I83</f>
        <v>112764.80346635153</v>
      </c>
      <c r="F3" s="110">
        <f>I54</f>
        <v>43261.554787496942</v>
      </c>
      <c r="G3" s="110">
        <f>D3-E3</f>
        <v>71012.454078709678</v>
      </c>
      <c r="K3" s="96" t="s">
        <v>254</v>
      </c>
      <c r="L3" s="97">
        <f>SUM(L4:L5)</f>
        <v>1291.552154406302</v>
      </c>
      <c r="M3" s="97">
        <f>SUM(M4:M5)</f>
        <v>63180.82605756932</v>
      </c>
    </row>
    <row r="4" spans="2:13" ht="12" x14ac:dyDescent="0.2">
      <c r="B4" s="92" t="s">
        <v>274</v>
      </c>
      <c r="C4" s="110">
        <f>D24</f>
        <v>458365.15729448904</v>
      </c>
      <c r="D4" s="110">
        <f>D81</f>
        <v>252387.04302023855</v>
      </c>
      <c r="E4" s="110">
        <f>D83</f>
        <v>116757.76390520703</v>
      </c>
      <c r="F4" s="110">
        <f>D54</f>
        <v>65010.540349912728</v>
      </c>
      <c r="G4" s="110">
        <f>D4-E4</f>
        <v>135629.27911503153</v>
      </c>
      <c r="K4" s="98" t="s">
        <v>255</v>
      </c>
      <c r="L4" s="99">
        <f>M24</f>
        <v>1291.552154406302</v>
      </c>
      <c r="M4" s="99">
        <f>R24</f>
        <v>63180.82605756932</v>
      </c>
    </row>
    <row r="5" spans="2:13" ht="12" x14ac:dyDescent="0.2">
      <c r="K5" s="98" t="s">
        <v>256</v>
      </c>
      <c r="L5" s="99"/>
      <c r="M5" s="99"/>
    </row>
    <row r="6" spans="2:13" ht="12" x14ac:dyDescent="0.2">
      <c r="K6" s="100" t="s">
        <v>257</v>
      </c>
      <c r="L6" s="101">
        <f>SUM(L7:L9)</f>
        <v>841410.90564057138</v>
      </c>
      <c r="M6" s="101">
        <f t="shared" ref="M6" si="0">SUM(M7:M9)</f>
        <v>1318003.9157465347</v>
      </c>
    </row>
    <row r="7" spans="2:13" ht="12" x14ac:dyDescent="0.2">
      <c r="K7" s="102" t="s">
        <v>258</v>
      </c>
      <c r="L7" s="103">
        <f>M48+M49</f>
        <v>84876.532604294101</v>
      </c>
      <c r="M7" s="103">
        <v>0</v>
      </c>
    </row>
    <row r="8" spans="2:13" ht="12" x14ac:dyDescent="0.2">
      <c r="K8" s="102" t="s">
        <v>259</v>
      </c>
      <c r="L8" s="103">
        <f>M56</f>
        <v>756534.37303627725</v>
      </c>
      <c r="M8" s="103">
        <f>R56</f>
        <v>1318003.9157465347</v>
      </c>
    </row>
    <row r="9" spans="2:13" ht="12" x14ac:dyDescent="0.2">
      <c r="K9" s="102" t="s">
        <v>260</v>
      </c>
      <c r="L9" s="104"/>
      <c r="M9" s="104"/>
    </row>
    <row r="10" spans="2:13" ht="12" x14ac:dyDescent="0.2">
      <c r="K10" s="100" t="s">
        <v>261</v>
      </c>
      <c r="L10" s="101">
        <f>SUM(L11:L15)</f>
        <v>90.571679832138997</v>
      </c>
      <c r="M10" s="101">
        <f t="shared" ref="M10" si="1">SUM(M11:M15)</f>
        <v>84.000300548520002</v>
      </c>
    </row>
    <row r="11" spans="2:13" ht="12" x14ac:dyDescent="0.2">
      <c r="K11" s="98" t="s">
        <v>262</v>
      </c>
      <c r="L11" s="111">
        <f>M41</f>
        <v>90.571679832138997</v>
      </c>
      <c r="M11" s="111">
        <f>R41</f>
        <v>84.000300548520002</v>
      </c>
    </row>
    <row r="12" spans="2:13" ht="12" x14ac:dyDescent="0.2">
      <c r="K12" s="98" t="s">
        <v>263</v>
      </c>
      <c r="L12" s="105"/>
      <c r="M12" s="105"/>
    </row>
    <row r="13" spans="2:13" ht="12" x14ac:dyDescent="0.2">
      <c r="K13" s="98" t="s">
        <v>264</v>
      </c>
      <c r="L13" s="105"/>
      <c r="M13" s="105"/>
    </row>
    <row r="14" spans="2:13" ht="12" x14ac:dyDescent="0.2">
      <c r="K14" s="98" t="s">
        <v>265</v>
      </c>
      <c r="L14" s="105"/>
      <c r="M14" s="105"/>
    </row>
    <row r="15" spans="2:13" ht="12" x14ac:dyDescent="0.2">
      <c r="K15" s="98" t="s">
        <v>266</v>
      </c>
      <c r="L15" s="111"/>
      <c r="M15" s="111"/>
    </row>
    <row r="16" spans="2:13" ht="12.75" thickBot="1" x14ac:dyDescent="0.25">
      <c r="K16" s="106" t="s">
        <v>267</v>
      </c>
      <c r="L16" s="107">
        <f>M71</f>
        <v>635749.79224573332</v>
      </c>
      <c r="M16" s="107">
        <f>R71</f>
        <v>303404.88556622679</v>
      </c>
    </row>
    <row r="17" spans="2:18" ht="12.75" thickTop="1" x14ac:dyDescent="0.2">
      <c r="K17" s="98"/>
      <c r="L17" s="105"/>
    </row>
    <row r="18" spans="2:18" x14ac:dyDescent="0.3">
      <c r="B18" s="93" t="s">
        <v>245</v>
      </c>
    </row>
    <row r="20" spans="2:18" x14ac:dyDescent="0.15">
      <c r="B20" s="69" t="s">
        <v>107</v>
      </c>
      <c r="C20" s="69"/>
      <c r="D20" s="69"/>
      <c r="E20" s="69"/>
      <c r="F20" s="69"/>
      <c r="G20" s="69"/>
      <c r="H20" s="69"/>
      <c r="I20" s="69"/>
      <c r="K20" s="69" t="s">
        <v>183</v>
      </c>
      <c r="L20" s="69"/>
      <c r="M20" s="69"/>
      <c r="N20" s="69"/>
      <c r="O20" s="69"/>
      <c r="P20" s="69"/>
      <c r="Q20" s="69"/>
      <c r="R20" s="69"/>
    </row>
    <row r="21" spans="2:18" ht="33.75" x14ac:dyDescent="0.2">
      <c r="B21" s="70" t="s">
        <v>108</v>
      </c>
      <c r="C21" s="71" t="s">
        <v>247</v>
      </c>
      <c r="D21" s="71" t="s">
        <v>248</v>
      </c>
      <c r="E21" s="71" t="s">
        <v>249</v>
      </c>
      <c r="F21" s="71" t="s">
        <v>109</v>
      </c>
      <c r="G21" s="71" t="s">
        <v>110</v>
      </c>
      <c r="H21" s="71" t="s">
        <v>111</v>
      </c>
      <c r="I21" s="71" t="s">
        <v>112</v>
      </c>
      <c r="K21" s="70" t="s">
        <v>184</v>
      </c>
      <c r="L21" s="85">
        <v>40633</v>
      </c>
      <c r="M21" s="85">
        <v>40999</v>
      </c>
      <c r="N21" s="85">
        <v>41364</v>
      </c>
      <c r="O21" s="71" t="s">
        <v>185</v>
      </c>
      <c r="P21" s="71" t="s">
        <v>186</v>
      </c>
      <c r="Q21" s="85">
        <v>42460</v>
      </c>
      <c r="R21" s="85">
        <v>42825</v>
      </c>
    </row>
    <row r="22" spans="2:18" x14ac:dyDescent="0.15">
      <c r="B22" s="72" t="s">
        <v>113</v>
      </c>
      <c r="C22" s="73" t="s">
        <v>114</v>
      </c>
      <c r="D22" s="73" t="s">
        <v>114</v>
      </c>
      <c r="E22" s="73" t="s">
        <v>114</v>
      </c>
      <c r="F22" s="73" t="s">
        <v>114</v>
      </c>
      <c r="G22" s="73" t="s">
        <v>114</v>
      </c>
      <c r="H22" s="73" t="s">
        <v>114</v>
      </c>
      <c r="I22" s="73" t="s">
        <v>114</v>
      </c>
      <c r="K22" s="72" t="s">
        <v>113</v>
      </c>
      <c r="L22" s="73" t="s">
        <v>114</v>
      </c>
      <c r="M22" s="73" t="s">
        <v>114</v>
      </c>
      <c r="N22" s="73" t="s">
        <v>114</v>
      </c>
      <c r="O22" s="73" t="s">
        <v>114</v>
      </c>
      <c r="P22" s="73" t="s">
        <v>114</v>
      </c>
      <c r="Q22" s="73" t="s">
        <v>114</v>
      </c>
      <c r="R22" s="73" t="s">
        <v>114</v>
      </c>
    </row>
    <row r="23" spans="2:18" x14ac:dyDescent="0.3">
      <c r="B23" s="74" t="s">
        <v>25</v>
      </c>
      <c r="C23" s="75"/>
      <c r="D23" s="75"/>
      <c r="E23" s="75"/>
      <c r="F23" s="75"/>
      <c r="G23" s="75"/>
      <c r="H23" s="75"/>
      <c r="I23" s="75"/>
      <c r="K23" s="74" t="s">
        <v>187</v>
      </c>
      <c r="L23" s="75"/>
      <c r="M23" s="75"/>
      <c r="N23" s="75"/>
      <c r="O23" s="75"/>
      <c r="P23" s="75"/>
      <c r="Q23" s="75"/>
      <c r="R23" s="75"/>
    </row>
    <row r="24" spans="2:18" x14ac:dyDescent="0.3">
      <c r="B24" s="75" t="s">
        <v>115</v>
      </c>
      <c r="C24" s="76">
        <v>421379.46865415358</v>
      </c>
      <c r="D24" s="76">
        <v>458365.15729448904</v>
      </c>
      <c r="E24" s="76">
        <v>472141.56150634668</v>
      </c>
      <c r="F24" s="76">
        <v>516015.61975157534</v>
      </c>
      <c r="G24" s="76">
        <v>487466.66666654113</v>
      </c>
      <c r="H24" s="76">
        <v>495449.26890383376</v>
      </c>
      <c r="I24" s="76">
        <v>432128.34613178798</v>
      </c>
      <c r="K24" s="75" t="s">
        <v>188</v>
      </c>
      <c r="L24" s="76">
        <v>2530.242629339516</v>
      </c>
      <c r="M24" s="76">
        <v>1291.552154406302</v>
      </c>
      <c r="N24" s="76">
        <v>60445.891777390621</v>
      </c>
      <c r="O24" s="76">
        <v>29797.683506954832</v>
      </c>
      <c r="P24" s="76">
        <v>97000.823045242505</v>
      </c>
      <c r="Q24" s="76">
        <v>152985.44548463047</v>
      </c>
      <c r="R24" s="76">
        <v>63180.82605756932</v>
      </c>
    </row>
    <row r="25" spans="2:18" x14ac:dyDescent="0.3">
      <c r="B25" s="75" t="s">
        <v>116</v>
      </c>
      <c r="C25" s="76" t="s">
        <v>22</v>
      </c>
      <c r="D25" s="76" t="s">
        <v>22</v>
      </c>
      <c r="E25" s="76" t="s">
        <v>22</v>
      </c>
      <c r="F25" s="76" t="s">
        <v>22</v>
      </c>
      <c r="G25" s="76" t="s">
        <v>22</v>
      </c>
      <c r="H25" s="76" t="s">
        <v>22</v>
      </c>
      <c r="I25" s="76" t="s">
        <v>22</v>
      </c>
      <c r="K25" s="75"/>
      <c r="L25" s="75"/>
      <c r="M25" s="75"/>
      <c r="N25" s="75"/>
      <c r="O25" s="75"/>
      <c r="P25" s="75"/>
      <c r="Q25" s="75"/>
      <c r="R25" s="75"/>
    </row>
    <row r="26" spans="2:18" x14ac:dyDescent="0.3">
      <c r="B26" s="74" t="s">
        <v>117</v>
      </c>
      <c r="C26" s="77">
        <v>421379.46865415358</v>
      </c>
      <c r="D26" s="77">
        <v>458365.15729448904</v>
      </c>
      <c r="E26" s="77">
        <v>472141.56150634668</v>
      </c>
      <c r="F26" s="77">
        <v>516015.61975157534</v>
      </c>
      <c r="G26" s="77">
        <v>487466.66666654113</v>
      </c>
      <c r="H26" s="77">
        <v>495449.26890383376</v>
      </c>
      <c r="I26" s="77">
        <v>432128.34613178798</v>
      </c>
      <c r="K26" s="75" t="s">
        <v>189</v>
      </c>
      <c r="L26" s="76">
        <v>80016.505443608999</v>
      </c>
      <c r="M26" s="76">
        <v>92294.353182546285</v>
      </c>
      <c r="N26" s="76">
        <v>115490.69587730792</v>
      </c>
      <c r="O26" s="76">
        <v>127820.48035667889</v>
      </c>
      <c r="P26" s="76">
        <v>117377.77777774756</v>
      </c>
      <c r="Q26" s="76">
        <v>115598.60809446072</v>
      </c>
      <c r="R26" s="76">
        <v>102009.96498612269</v>
      </c>
    </row>
    <row r="27" spans="2:18" x14ac:dyDescent="0.3">
      <c r="B27" s="75"/>
      <c r="C27" s="75"/>
      <c r="D27" s="75"/>
      <c r="E27" s="75"/>
      <c r="F27" s="75"/>
      <c r="G27" s="75"/>
      <c r="H27" s="75"/>
      <c r="I27" s="75"/>
      <c r="K27" s="75" t="s">
        <v>190</v>
      </c>
      <c r="L27" s="76">
        <v>10968.487506476651</v>
      </c>
      <c r="M27" s="76">
        <v>12154.719433473054</v>
      </c>
      <c r="N27" s="76">
        <v>11244.804373244417</v>
      </c>
      <c r="O27" s="76">
        <v>6212.4256354687723</v>
      </c>
      <c r="P27" s="76">
        <v>6212.3456790107457</v>
      </c>
      <c r="Q27" s="76">
        <v>5694.1417254777698</v>
      </c>
      <c r="R27" s="76">
        <v>14736.452726228692</v>
      </c>
    </row>
    <row r="28" spans="2:18" x14ac:dyDescent="0.3">
      <c r="B28" s="75" t="s">
        <v>118</v>
      </c>
      <c r="C28" s="76" t="s">
        <v>22</v>
      </c>
      <c r="D28" s="76" t="s">
        <v>22</v>
      </c>
      <c r="E28" s="76" t="s">
        <v>22</v>
      </c>
      <c r="F28" s="76" t="s">
        <v>22</v>
      </c>
      <c r="G28" s="76" t="s">
        <v>22</v>
      </c>
      <c r="H28" s="76" t="s">
        <v>22</v>
      </c>
      <c r="I28" s="76" t="s">
        <v>22</v>
      </c>
      <c r="K28" s="74" t="s">
        <v>191</v>
      </c>
      <c r="L28" s="77">
        <v>90984.992950085652</v>
      </c>
      <c r="M28" s="77">
        <v>104449.07261601934</v>
      </c>
      <c r="N28" s="77">
        <v>126735.50025055233</v>
      </c>
      <c r="O28" s="77">
        <v>134032.90599214766</v>
      </c>
      <c r="P28" s="77">
        <v>123590.1234567583</v>
      </c>
      <c r="Q28" s="77">
        <v>121292.74981993849</v>
      </c>
      <c r="R28" s="77">
        <v>116746.41771235138</v>
      </c>
    </row>
    <row r="29" spans="2:18" x14ac:dyDescent="0.3">
      <c r="B29" s="75" t="s">
        <v>119</v>
      </c>
      <c r="C29" s="76" t="s">
        <v>22</v>
      </c>
      <c r="D29" s="76" t="s">
        <v>22</v>
      </c>
      <c r="E29" s="76" t="s">
        <v>22</v>
      </c>
      <c r="F29" s="76" t="s">
        <v>22</v>
      </c>
      <c r="G29" s="76" t="s">
        <v>22</v>
      </c>
      <c r="H29" s="76" t="s">
        <v>22</v>
      </c>
      <c r="I29" s="76" t="s">
        <v>22</v>
      </c>
      <c r="K29" s="75"/>
      <c r="L29" s="75"/>
      <c r="M29" s="75"/>
      <c r="N29" s="75"/>
      <c r="O29" s="75"/>
      <c r="P29" s="75"/>
      <c r="Q29" s="75"/>
      <c r="R29" s="75"/>
    </row>
    <row r="30" spans="2:18" x14ac:dyDescent="0.3">
      <c r="B30" s="75" t="s">
        <v>120</v>
      </c>
      <c r="C30" s="76">
        <v>70700.851899313828</v>
      </c>
      <c r="D30" s="76">
        <v>74015.176758823989</v>
      </c>
      <c r="E30" s="76">
        <v>65566.535115026403</v>
      </c>
      <c r="F30" s="76">
        <v>69346.112609374628</v>
      </c>
      <c r="G30" s="76">
        <v>75206.584362120557</v>
      </c>
      <c r="H30" s="76">
        <v>86708.77920205683</v>
      </c>
      <c r="I30" s="76">
        <v>76115.472337032261</v>
      </c>
      <c r="K30" s="75" t="s">
        <v>192</v>
      </c>
      <c r="L30" s="76">
        <v>1496.3422359749329</v>
      </c>
      <c r="M30" s="76">
        <v>1724.484784003927</v>
      </c>
      <c r="N30" s="76">
        <v>2662.531804722536</v>
      </c>
      <c r="O30" s="76">
        <v>2500.5544462035082</v>
      </c>
      <c r="P30" s="76">
        <v>2077.3662551434982</v>
      </c>
      <c r="Q30" s="76">
        <v>2000.6443900327299</v>
      </c>
      <c r="R30" s="76">
        <v>2002.0071630730599</v>
      </c>
    </row>
    <row r="31" spans="2:18" x14ac:dyDescent="0.3">
      <c r="B31" s="75" t="s">
        <v>121</v>
      </c>
      <c r="C31" s="76" t="s">
        <v>22</v>
      </c>
      <c r="D31" s="76" t="s">
        <v>22</v>
      </c>
      <c r="E31" s="76" t="s">
        <v>22</v>
      </c>
      <c r="F31" s="76" t="s">
        <v>22</v>
      </c>
      <c r="G31" s="76" t="s">
        <v>22</v>
      </c>
      <c r="H31" s="76" t="s">
        <v>22</v>
      </c>
      <c r="I31" s="76" t="s">
        <v>22</v>
      </c>
      <c r="K31" s="75" t="s">
        <v>193</v>
      </c>
      <c r="L31" s="76">
        <v>4038.8932033306942</v>
      </c>
      <c r="M31" s="76">
        <v>4436.2008781781678</v>
      </c>
      <c r="N31" s="76">
        <v>4547.9286918230118</v>
      </c>
      <c r="O31" s="76">
        <v>9773.7676973067719</v>
      </c>
      <c r="P31" s="76">
        <v>9040.3292181046672</v>
      </c>
      <c r="Q31" s="76">
        <v>9520.2513322752256</v>
      </c>
      <c r="R31" s="76">
        <v>8808.8315175214648</v>
      </c>
    </row>
    <row r="32" spans="2:18" x14ac:dyDescent="0.3">
      <c r="B32" s="75" t="s">
        <v>122</v>
      </c>
      <c r="C32" s="76">
        <v>260783.79088619293</v>
      </c>
      <c r="D32" s="76">
        <v>267592.21663045802</v>
      </c>
      <c r="E32" s="76">
        <v>275950.47270518972</v>
      </c>
      <c r="F32" s="76">
        <v>296014.64362026117</v>
      </c>
      <c r="G32" s="76">
        <v>251122.6337447913</v>
      </c>
      <c r="H32" s="76">
        <v>271344.35344946367</v>
      </c>
      <c r="I32" s="76">
        <v>243248.07032840422</v>
      </c>
      <c r="K32" s="75" t="s">
        <v>194</v>
      </c>
      <c r="L32" s="76" t="s">
        <v>22</v>
      </c>
      <c r="M32" s="76">
        <v>3798.5762521599099</v>
      </c>
      <c r="N32" s="76" t="s">
        <v>22</v>
      </c>
      <c r="O32" s="76" t="s">
        <v>22</v>
      </c>
      <c r="P32" s="76" t="s">
        <v>22</v>
      </c>
      <c r="Q32" s="76" t="s">
        <v>22</v>
      </c>
      <c r="R32" s="76" t="s">
        <v>22</v>
      </c>
    </row>
    <row r="33" spans="2:18" x14ac:dyDescent="0.3">
      <c r="B33" s="74" t="s">
        <v>123</v>
      </c>
      <c r="C33" s="77">
        <v>331484.64278550679</v>
      </c>
      <c r="D33" s="77">
        <v>341607.39338928205</v>
      </c>
      <c r="E33" s="77">
        <v>341517.00782021612</v>
      </c>
      <c r="F33" s="77">
        <v>365360.75622963579</v>
      </c>
      <c r="G33" s="77">
        <v>326329.21810691187</v>
      </c>
      <c r="H33" s="77">
        <v>358053.13265152049</v>
      </c>
      <c r="I33" s="77">
        <v>319363.54266543646</v>
      </c>
      <c r="K33" s="74" t="s">
        <v>195</v>
      </c>
      <c r="L33" s="77">
        <v>99050.471018730794</v>
      </c>
      <c r="M33" s="77">
        <v>115699.88668476764</v>
      </c>
      <c r="N33" s="77">
        <v>194391.85252448849</v>
      </c>
      <c r="O33" s="77">
        <v>176104.91164261277</v>
      </c>
      <c r="P33" s="77">
        <v>231708.64197524899</v>
      </c>
      <c r="Q33" s="77">
        <v>285799.09102687688</v>
      </c>
      <c r="R33" s="77">
        <v>190738.08245051521</v>
      </c>
    </row>
    <row r="34" spans="2:18" x14ac:dyDescent="0.3">
      <c r="B34" s="75"/>
      <c r="C34" s="75"/>
      <c r="D34" s="75"/>
      <c r="E34" s="75"/>
      <c r="F34" s="75"/>
      <c r="G34" s="75"/>
      <c r="H34" s="75"/>
      <c r="I34" s="75"/>
      <c r="K34" s="75"/>
      <c r="L34" s="75"/>
      <c r="M34" s="75"/>
      <c r="N34" s="75"/>
      <c r="O34" s="75"/>
      <c r="P34" s="75"/>
      <c r="Q34" s="75"/>
      <c r="R34" s="75"/>
    </row>
    <row r="35" spans="2:18" x14ac:dyDescent="0.3">
      <c r="B35" s="74" t="s">
        <v>124</v>
      </c>
      <c r="C35" s="78">
        <v>89894.825868646803</v>
      </c>
      <c r="D35" s="78">
        <v>116757.76390520703</v>
      </c>
      <c r="E35" s="78">
        <v>130624.55368613056</v>
      </c>
      <c r="F35" s="78">
        <v>150654.86352193955</v>
      </c>
      <c r="G35" s="78">
        <v>161137.44855962929</v>
      </c>
      <c r="H35" s="78">
        <v>137396.13625231324</v>
      </c>
      <c r="I35" s="78">
        <v>112764.80346635153</v>
      </c>
      <c r="K35" s="75" t="s">
        <v>196</v>
      </c>
      <c r="L35" s="76">
        <v>2993101.1971084154</v>
      </c>
      <c r="M35" s="76">
        <v>3191887.2891051164</v>
      </c>
      <c r="N35" s="76">
        <v>3579633.7892795308</v>
      </c>
      <c r="O35" s="76">
        <v>3937811.8676717668</v>
      </c>
      <c r="P35" s="76">
        <v>2842538.2716042064</v>
      </c>
      <c r="Q35" s="76">
        <v>2942510.7683992432</v>
      </c>
      <c r="R35" s="76">
        <v>2672197.9609793904</v>
      </c>
    </row>
    <row r="36" spans="2:18" x14ac:dyDescent="0.3">
      <c r="B36" s="75"/>
      <c r="C36" s="75"/>
      <c r="D36" s="75"/>
      <c r="E36" s="75"/>
      <c r="F36" s="75"/>
      <c r="G36" s="75"/>
      <c r="H36" s="75"/>
      <c r="I36" s="75"/>
      <c r="K36" s="75" t="s">
        <v>197</v>
      </c>
      <c r="L36" s="76">
        <v>-1386252.9</v>
      </c>
      <c r="M36" s="76">
        <v>-1549743</v>
      </c>
      <c r="N36" s="76">
        <v>-1572905.9</v>
      </c>
      <c r="O36" s="76">
        <v>-1791509.1</v>
      </c>
      <c r="P36" s="76">
        <v>-809769.5</v>
      </c>
      <c r="Q36" s="76">
        <v>-880427.6</v>
      </c>
      <c r="R36" s="76">
        <v>-823082.5</v>
      </c>
    </row>
    <row r="37" spans="2:18" x14ac:dyDescent="0.3">
      <c r="B37" s="75" t="s">
        <v>125</v>
      </c>
      <c r="C37" s="76">
        <v>-33633.4</v>
      </c>
      <c r="D37" s="76">
        <v>-34618.300000000003</v>
      </c>
      <c r="E37" s="76">
        <v>-40015.699999999997</v>
      </c>
      <c r="F37" s="76">
        <v>-71019.600000000006</v>
      </c>
      <c r="G37" s="76">
        <v>-62223.9</v>
      </c>
      <c r="H37" s="76">
        <v>-63328.1</v>
      </c>
      <c r="I37" s="76">
        <v>-62471</v>
      </c>
      <c r="K37" s="74" t="s">
        <v>198</v>
      </c>
      <c r="L37" s="77">
        <v>1606848.2530187829</v>
      </c>
      <c r="M37" s="77">
        <v>1642144.2584349324</v>
      </c>
      <c r="N37" s="77">
        <v>2006727.920826087</v>
      </c>
      <c r="O37" s="77">
        <v>2146302.7395780045</v>
      </c>
      <c r="P37" s="77">
        <v>2032768.724279312</v>
      </c>
      <c r="Q37" s="77">
        <v>2062083.1641937434</v>
      </c>
      <c r="R37" s="77">
        <v>1849115.4160346806</v>
      </c>
    </row>
    <row r="38" spans="2:18" x14ac:dyDescent="0.3">
      <c r="B38" s="75" t="s">
        <v>126</v>
      </c>
      <c r="C38" s="76">
        <v>226.825086299373</v>
      </c>
      <c r="D38" s="76">
        <v>219.18346519377599</v>
      </c>
      <c r="E38" s="76">
        <v>20.273084807532001</v>
      </c>
      <c r="F38" s="76">
        <v>610.97116426360503</v>
      </c>
      <c r="G38" s="76">
        <v>274.89711934149301</v>
      </c>
      <c r="H38" s="76">
        <v>638.50352873384998</v>
      </c>
      <c r="I38" s="76">
        <v>410.20146767860598</v>
      </c>
      <c r="K38" s="75"/>
      <c r="L38" s="75"/>
      <c r="M38" s="75"/>
      <c r="N38" s="75"/>
      <c r="O38" s="75"/>
      <c r="P38" s="75"/>
      <c r="Q38" s="75"/>
      <c r="R38" s="75"/>
    </row>
    <row r="39" spans="2:18" x14ac:dyDescent="0.3">
      <c r="B39" s="74" t="s">
        <v>127</v>
      </c>
      <c r="C39" s="77">
        <v>-33406.6</v>
      </c>
      <c r="D39" s="77">
        <v>-34399.1</v>
      </c>
      <c r="E39" s="77">
        <v>-39995.4</v>
      </c>
      <c r="F39" s="77">
        <v>-70408.7</v>
      </c>
      <c r="G39" s="77">
        <v>-61949</v>
      </c>
      <c r="H39" s="77">
        <v>-62689.599999999999</v>
      </c>
      <c r="I39" s="77">
        <v>-62060.800000000003</v>
      </c>
      <c r="K39" s="75" t="s">
        <v>199</v>
      </c>
      <c r="L39" s="76">
        <v>11742.154467497769</v>
      </c>
      <c r="M39" s="76">
        <v>12096.753558380486</v>
      </c>
      <c r="N39" s="76">
        <v>26055.982248880504</v>
      </c>
      <c r="O39" s="76">
        <v>26494.897358109549</v>
      </c>
      <c r="P39" s="76">
        <v>24627.160493820818</v>
      </c>
      <c r="Q39" s="76">
        <v>24493.977675351616</v>
      </c>
      <c r="R39" s="76">
        <v>20945.474941773464</v>
      </c>
    </row>
    <row r="40" spans="2:18" x14ac:dyDescent="0.3">
      <c r="B40" s="75"/>
      <c r="C40" s="75"/>
      <c r="D40" s="75"/>
      <c r="E40" s="75"/>
      <c r="F40" s="75"/>
      <c r="G40" s="75"/>
      <c r="H40" s="75"/>
      <c r="I40" s="75"/>
      <c r="K40" s="75" t="s">
        <v>200</v>
      </c>
      <c r="L40" s="76" t="s">
        <v>22</v>
      </c>
      <c r="M40" s="76" t="s">
        <v>22</v>
      </c>
      <c r="N40" s="76" t="s">
        <v>22</v>
      </c>
      <c r="O40" s="76" t="s">
        <v>22</v>
      </c>
      <c r="P40" s="76">
        <v>37190.123456780544</v>
      </c>
      <c r="Q40" s="76">
        <v>46943.106870219694</v>
      </c>
      <c r="R40" s="76">
        <v>51419.383975767378</v>
      </c>
    </row>
    <row r="41" spans="2:18" x14ac:dyDescent="0.3">
      <c r="B41" s="75" t="s">
        <v>128</v>
      </c>
      <c r="C41" s="76">
        <v>-1306.4000000000001</v>
      </c>
      <c r="D41" s="76">
        <v>-1686.4</v>
      </c>
      <c r="E41" s="76">
        <v>-1623.5</v>
      </c>
      <c r="F41" s="76">
        <v>-1926.8</v>
      </c>
      <c r="G41" s="76" t="s">
        <v>22</v>
      </c>
      <c r="H41" s="76" t="s">
        <v>22</v>
      </c>
      <c r="I41" s="76" t="s">
        <v>22</v>
      </c>
      <c r="K41" s="75" t="s">
        <v>201</v>
      </c>
      <c r="L41" s="76">
        <v>87.916700116035997</v>
      </c>
      <c r="M41" s="76">
        <v>90.571679832138997</v>
      </c>
      <c r="N41" s="76">
        <v>103.054847771621</v>
      </c>
      <c r="O41" s="76">
        <v>108.026785565449</v>
      </c>
      <c r="P41" s="76">
        <v>98.765432098740007</v>
      </c>
      <c r="Q41" s="76">
        <v>98.2313121129</v>
      </c>
      <c r="R41" s="76">
        <v>84.000300548520002</v>
      </c>
    </row>
    <row r="42" spans="2:18" x14ac:dyDescent="0.3">
      <c r="B42" s="74" t="s">
        <v>129</v>
      </c>
      <c r="C42" s="77">
        <v>55181.795994831155</v>
      </c>
      <c r="D42" s="77">
        <v>80672.195226486205</v>
      </c>
      <c r="E42" s="77">
        <v>89005.60000000133</v>
      </c>
      <c r="F42" s="77">
        <v>78319.419534950532</v>
      </c>
      <c r="G42" s="77">
        <v>99188.477366229607</v>
      </c>
      <c r="H42" s="77">
        <v>74706.550050395672</v>
      </c>
      <c r="I42" s="77">
        <v>50703.981416095812</v>
      </c>
      <c r="K42" s="75" t="s">
        <v>202</v>
      </c>
      <c r="L42" s="76" t="s">
        <v>22</v>
      </c>
      <c r="M42" s="76" t="s">
        <v>22</v>
      </c>
      <c r="N42" s="76" t="s">
        <v>22</v>
      </c>
      <c r="O42" s="76" t="s">
        <v>22</v>
      </c>
      <c r="P42" s="76">
        <v>74235.390946482948</v>
      </c>
      <c r="Q42" s="76">
        <v>118840.24139418642</v>
      </c>
      <c r="R42" s="76">
        <v>102196.16565233858</v>
      </c>
    </row>
    <row r="43" spans="2:18" x14ac:dyDescent="0.3">
      <c r="B43" s="75"/>
      <c r="C43" s="75"/>
      <c r="D43" s="75"/>
      <c r="E43" s="75"/>
      <c r="F43" s="75"/>
      <c r="G43" s="75"/>
      <c r="H43" s="75"/>
      <c r="I43" s="75"/>
      <c r="K43" s="74" t="s">
        <v>203</v>
      </c>
      <c r="L43" s="79">
        <v>1717728.7952051277</v>
      </c>
      <c r="M43" s="79">
        <v>1770031.4703579126</v>
      </c>
      <c r="N43" s="79">
        <v>2227278.8104472277</v>
      </c>
      <c r="O43" s="79">
        <v>2349010.5753642921</v>
      </c>
      <c r="P43" s="79">
        <v>2400628.806583744</v>
      </c>
      <c r="Q43" s="79">
        <v>2538257.8124724911</v>
      </c>
      <c r="R43" s="79">
        <v>2214498.5233556237</v>
      </c>
    </row>
    <row r="44" spans="2:18" x14ac:dyDescent="0.3">
      <c r="B44" s="75" t="s">
        <v>130</v>
      </c>
      <c r="C44" s="76" t="s">
        <v>22</v>
      </c>
      <c r="D44" s="76" t="s">
        <v>22</v>
      </c>
      <c r="E44" s="76" t="s">
        <v>22</v>
      </c>
      <c r="F44" s="76" t="s">
        <v>22</v>
      </c>
      <c r="G44" s="76" t="s">
        <v>22</v>
      </c>
      <c r="H44" s="76" t="s">
        <v>22</v>
      </c>
      <c r="I44" s="76" t="s">
        <v>22</v>
      </c>
      <c r="K44" s="75"/>
      <c r="L44" s="75"/>
      <c r="M44" s="75"/>
      <c r="N44" s="75"/>
      <c r="O44" s="75"/>
      <c r="P44" s="75"/>
      <c r="Q44" s="75"/>
      <c r="R44" s="75"/>
    </row>
    <row r="45" spans="2:18" x14ac:dyDescent="0.3">
      <c r="B45" s="75" t="s">
        <v>131</v>
      </c>
      <c r="C45" s="76">
        <v>-1716.1</v>
      </c>
      <c r="D45" s="76">
        <v>8104.3539113797979</v>
      </c>
      <c r="E45" s="76">
        <v>6338.7178498216717</v>
      </c>
      <c r="F45" s="76">
        <v>2620.9777481453202</v>
      </c>
      <c r="G45" s="76" t="s">
        <v>22</v>
      </c>
      <c r="H45" s="76" t="s">
        <v>22</v>
      </c>
      <c r="I45" s="76" t="s">
        <v>22</v>
      </c>
      <c r="K45" s="74" t="s">
        <v>204</v>
      </c>
      <c r="L45" s="75"/>
      <c r="M45" s="75"/>
      <c r="N45" s="75"/>
      <c r="O45" s="75"/>
      <c r="P45" s="75"/>
      <c r="Q45" s="75"/>
      <c r="R45" s="75"/>
    </row>
    <row r="46" spans="2:18" x14ac:dyDescent="0.3">
      <c r="B46" s="75" t="s">
        <v>132</v>
      </c>
      <c r="C46" s="76" t="s">
        <v>22</v>
      </c>
      <c r="D46" s="76" t="s">
        <v>22</v>
      </c>
      <c r="E46" s="76" t="s">
        <v>22</v>
      </c>
      <c r="F46" s="76" t="s">
        <v>22</v>
      </c>
      <c r="G46" s="76" t="s">
        <v>22</v>
      </c>
      <c r="H46" s="76" t="s">
        <v>22</v>
      </c>
      <c r="I46" s="76">
        <v>-13231.4</v>
      </c>
      <c r="K46" s="75" t="s">
        <v>205</v>
      </c>
      <c r="L46" s="76">
        <v>14770.005619494048</v>
      </c>
      <c r="M46" s="76">
        <v>7234.8657849912634</v>
      </c>
      <c r="N46" s="76">
        <v>13917.472720370719</v>
      </c>
      <c r="O46" s="76">
        <v>19173.868972411743</v>
      </c>
      <c r="P46" s="76">
        <v>23400.823045261463</v>
      </c>
      <c r="Q46" s="76">
        <v>13293.9709059458</v>
      </c>
      <c r="R46" s="76">
        <v>26068.093270224039</v>
      </c>
    </row>
    <row r="47" spans="2:18" x14ac:dyDescent="0.3">
      <c r="B47" s="74" t="s">
        <v>133</v>
      </c>
      <c r="C47" s="77">
        <v>53465.662008566134</v>
      </c>
      <c r="D47" s="77">
        <v>88776.549137866008</v>
      </c>
      <c r="E47" s="77">
        <v>95344.317849822997</v>
      </c>
      <c r="F47" s="77">
        <v>80940.397283095852</v>
      </c>
      <c r="G47" s="77">
        <v>99188.477366229607</v>
      </c>
      <c r="H47" s="77">
        <v>74706.550050395672</v>
      </c>
      <c r="I47" s="77">
        <v>37472.53407469477</v>
      </c>
      <c r="K47" s="75" t="s">
        <v>206</v>
      </c>
      <c r="L47" s="76">
        <v>39256.564935812392</v>
      </c>
      <c r="M47" s="76">
        <v>36007.677034065178</v>
      </c>
      <c r="N47" s="76">
        <v>66284.54020195984</v>
      </c>
      <c r="O47" s="76">
        <v>67258.185065412908</v>
      </c>
      <c r="P47" s="76">
        <v>71733.333333314862</v>
      </c>
      <c r="Q47" s="76">
        <v>80030.687166914839</v>
      </c>
      <c r="R47" s="76">
        <v>76819.674856630678</v>
      </c>
    </row>
    <row r="48" spans="2:18" x14ac:dyDescent="0.3">
      <c r="B48" s="75"/>
      <c r="C48" s="75"/>
      <c r="D48" s="75"/>
      <c r="E48" s="75"/>
      <c r="F48" s="75"/>
      <c r="G48" s="75"/>
      <c r="H48" s="75"/>
      <c r="I48" s="75"/>
      <c r="K48" s="75" t="s">
        <v>207</v>
      </c>
      <c r="L48" s="76">
        <v>56862.763301049767</v>
      </c>
      <c r="M48" s="76">
        <v>83325.945445567879</v>
      </c>
      <c r="N48" s="76" t="s">
        <v>22</v>
      </c>
      <c r="O48" s="76">
        <v>30460.011667634801</v>
      </c>
      <c r="P48" s="76" t="s">
        <v>22</v>
      </c>
      <c r="Q48" s="76" t="s">
        <v>22</v>
      </c>
      <c r="R48" s="76" t="s">
        <v>22</v>
      </c>
    </row>
    <row r="49" spans="2:18" x14ac:dyDescent="0.3">
      <c r="B49" s="75" t="s">
        <v>134</v>
      </c>
      <c r="C49" s="76">
        <v>16097.547791246192</v>
      </c>
      <c r="D49" s="76">
        <v>23766.008787953273</v>
      </c>
      <c r="E49" s="76">
        <v>21862.832541189302</v>
      </c>
      <c r="F49" s="76">
        <v>2289.813667805337</v>
      </c>
      <c r="G49" s="76">
        <v>18650.205761312071</v>
      </c>
      <c r="H49" s="76">
        <v>-23086</v>
      </c>
      <c r="I49" s="76">
        <v>-5789</v>
      </c>
      <c r="K49" s="75" t="s">
        <v>208</v>
      </c>
      <c r="L49" s="76">
        <v>2317.4842150587092</v>
      </c>
      <c r="M49" s="76">
        <v>1550.58715872622</v>
      </c>
      <c r="N49" s="76">
        <v>1846.540141219373</v>
      </c>
      <c r="O49" s="76">
        <v>1779.785565463545</v>
      </c>
      <c r="P49" s="76" t="s">
        <v>22</v>
      </c>
      <c r="Q49" s="76" t="s">
        <v>22</v>
      </c>
      <c r="R49" s="76" t="s">
        <v>22</v>
      </c>
    </row>
    <row r="50" spans="2:18" x14ac:dyDescent="0.3">
      <c r="B50" s="74" t="s">
        <v>135</v>
      </c>
      <c r="C50" s="77">
        <v>37368.114217319941</v>
      </c>
      <c r="D50" s="77">
        <v>65010.540349912728</v>
      </c>
      <c r="E50" s="77">
        <v>73481.485308633695</v>
      </c>
      <c r="F50" s="77">
        <v>78650.58361529051</v>
      </c>
      <c r="G50" s="77">
        <v>80538.271604917536</v>
      </c>
      <c r="H50" s="77">
        <v>97792.545585462387</v>
      </c>
      <c r="I50" s="77">
        <v>43261.554787496942</v>
      </c>
      <c r="K50" s="75" t="s">
        <v>251</v>
      </c>
      <c r="L50" s="76">
        <v>2609.367659443948</v>
      </c>
      <c r="M50" s="76">
        <v>2881.9908522586629</v>
      </c>
      <c r="N50" s="76" t="s">
        <v>22</v>
      </c>
      <c r="O50" s="76" t="s">
        <v>22</v>
      </c>
      <c r="P50" s="76" t="s">
        <v>22</v>
      </c>
      <c r="Q50" s="76" t="s">
        <v>22</v>
      </c>
      <c r="R50" s="76" t="s">
        <v>22</v>
      </c>
    </row>
    <row r="51" spans="2:18" x14ac:dyDescent="0.3">
      <c r="B51" s="75"/>
      <c r="C51" s="75"/>
      <c r="D51" s="75"/>
      <c r="E51" s="75"/>
      <c r="F51" s="75"/>
      <c r="G51" s="75"/>
      <c r="H51" s="75"/>
      <c r="I51" s="75"/>
      <c r="K51" s="75" t="s">
        <v>209</v>
      </c>
      <c r="L51" s="76">
        <v>9604.0203206757724</v>
      </c>
      <c r="M51" s="76">
        <v>7600.7753715131048</v>
      </c>
      <c r="N51" s="76">
        <v>8364.3369068409102</v>
      </c>
      <c r="O51" s="76">
        <v>6045.9581298433259</v>
      </c>
      <c r="P51" s="76">
        <v>9254.3209876519377</v>
      </c>
      <c r="Q51" s="76">
        <v>3295.6605213877951</v>
      </c>
      <c r="R51" s="76">
        <v>11530.441255293512</v>
      </c>
    </row>
    <row r="52" spans="2:18" x14ac:dyDescent="0.3">
      <c r="B52" s="75" t="s">
        <v>136</v>
      </c>
      <c r="C52" s="76" t="s">
        <v>22</v>
      </c>
      <c r="D52" s="76" t="s">
        <v>22</v>
      </c>
      <c r="E52" s="76" t="s">
        <v>22</v>
      </c>
      <c r="F52" s="76" t="s">
        <v>22</v>
      </c>
      <c r="G52" s="76" t="s">
        <v>22</v>
      </c>
      <c r="H52" s="76" t="s">
        <v>22</v>
      </c>
      <c r="I52" s="76" t="s">
        <v>22</v>
      </c>
      <c r="K52" s="75" t="s">
        <v>210</v>
      </c>
      <c r="L52" s="76">
        <v>59349.047580331266</v>
      </c>
      <c r="M52" s="76">
        <v>69955.754068747527</v>
      </c>
      <c r="N52" s="76">
        <v>66041.263184269454</v>
      </c>
      <c r="O52" s="76">
        <v>57698.70000832613</v>
      </c>
      <c r="P52" s="76">
        <v>70974.485596689541</v>
      </c>
      <c r="Q52" s="76">
        <v>79745.816361787438</v>
      </c>
      <c r="R52" s="76">
        <v>69511.648708909444</v>
      </c>
    </row>
    <row r="53" spans="2:18" x14ac:dyDescent="0.3">
      <c r="B53" s="75" t="s">
        <v>137</v>
      </c>
      <c r="C53" s="76" t="s">
        <v>22</v>
      </c>
      <c r="D53" s="76" t="s">
        <v>22</v>
      </c>
      <c r="E53" s="76" t="s">
        <v>22</v>
      </c>
      <c r="F53" s="76" t="s">
        <v>22</v>
      </c>
      <c r="G53" s="76" t="s">
        <v>22</v>
      </c>
      <c r="H53" s="76" t="s">
        <v>22</v>
      </c>
      <c r="I53" s="76" t="s">
        <v>22</v>
      </c>
      <c r="K53" s="75" t="s">
        <v>211</v>
      </c>
      <c r="L53" s="76">
        <v>67527.059025124938</v>
      </c>
      <c r="M53" s="76">
        <v>49283.673863860116</v>
      </c>
      <c r="N53" s="76">
        <v>50353.274390707607</v>
      </c>
      <c r="O53" s="76">
        <v>52382.365413777312</v>
      </c>
      <c r="P53" s="76">
        <v>48849.382716036802</v>
      </c>
      <c r="Q53" s="76">
        <v>41651.713524404819</v>
      </c>
      <c r="R53" s="76">
        <v>32015.314549059254</v>
      </c>
    </row>
    <row r="54" spans="2:18" x14ac:dyDescent="0.3">
      <c r="B54" s="74" t="s">
        <v>138</v>
      </c>
      <c r="C54" s="77">
        <v>37368.114217319941</v>
      </c>
      <c r="D54" s="77">
        <v>65010.540349912728</v>
      </c>
      <c r="E54" s="77">
        <v>73481.485308633695</v>
      </c>
      <c r="F54" s="77">
        <v>78650.58361529051</v>
      </c>
      <c r="G54" s="77">
        <v>80538.271604917536</v>
      </c>
      <c r="H54" s="77">
        <v>97792.545585462387</v>
      </c>
      <c r="I54" s="77">
        <v>43261.554787496942</v>
      </c>
      <c r="K54" s="74" t="s">
        <v>212</v>
      </c>
      <c r="L54" s="77">
        <v>252296.31265699083</v>
      </c>
      <c r="M54" s="77">
        <v>257841.26957972994</v>
      </c>
      <c r="N54" s="77">
        <v>206807.42754536789</v>
      </c>
      <c r="O54" s="77">
        <v>234798.87482286975</v>
      </c>
      <c r="P54" s="77">
        <v>224212.34567895462</v>
      </c>
      <c r="Q54" s="77">
        <v>218017.84848044068</v>
      </c>
      <c r="R54" s="77">
        <v>215945.17264011694</v>
      </c>
    </row>
    <row r="55" spans="2:18" x14ac:dyDescent="0.3">
      <c r="B55" s="75"/>
      <c r="C55" s="75"/>
      <c r="D55" s="75"/>
      <c r="E55" s="75"/>
      <c r="F55" s="75"/>
      <c r="G55" s="75"/>
      <c r="H55" s="75"/>
      <c r="I55" s="75"/>
      <c r="K55" s="75"/>
      <c r="L55" s="75"/>
      <c r="M55" s="75"/>
      <c r="N55" s="75"/>
      <c r="O55" s="75"/>
      <c r="P55" s="75"/>
      <c r="Q55" s="75"/>
      <c r="R55" s="75"/>
    </row>
    <row r="56" spans="2:18" x14ac:dyDescent="0.3">
      <c r="B56" s="75" t="s">
        <v>139</v>
      </c>
      <c r="C56" s="76" t="s">
        <v>22</v>
      </c>
      <c r="D56" s="76" t="s">
        <v>22</v>
      </c>
      <c r="E56" s="76" t="s">
        <v>22</v>
      </c>
      <c r="F56" s="76" t="s">
        <v>22</v>
      </c>
      <c r="G56" s="76" t="s">
        <v>22</v>
      </c>
      <c r="H56" s="76" t="s">
        <v>22</v>
      </c>
      <c r="I56" s="76" t="s">
        <v>22</v>
      </c>
      <c r="K56" s="75" t="s">
        <v>213</v>
      </c>
      <c r="L56" s="76">
        <v>737995.63911603636</v>
      </c>
      <c r="M56" s="76">
        <v>756534.37303627725</v>
      </c>
      <c r="N56" s="76">
        <v>1322033.2016551711</v>
      </c>
      <c r="O56" s="76">
        <v>1402499.360479848</v>
      </c>
      <c r="P56" s="76">
        <v>1374610.6995881235</v>
      </c>
      <c r="Q56" s="76">
        <v>1477141.8955779872</v>
      </c>
      <c r="R56" s="76">
        <v>1318003.9157465347</v>
      </c>
    </row>
    <row r="57" spans="2:18" x14ac:dyDescent="0.3">
      <c r="B57" s="74" t="s">
        <v>140</v>
      </c>
      <c r="C57" s="79">
        <v>37368.114217319941</v>
      </c>
      <c r="D57" s="79">
        <v>65010.540349912728</v>
      </c>
      <c r="E57" s="79">
        <v>73481.485308633695</v>
      </c>
      <c r="F57" s="79">
        <v>78650.58361529051</v>
      </c>
      <c r="G57" s="79">
        <v>80538.271604917536</v>
      </c>
      <c r="H57" s="79">
        <v>97792.545585462387</v>
      </c>
      <c r="I57" s="79">
        <v>43261.554787496942</v>
      </c>
      <c r="K57" s="75" t="s">
        <v>252</v>
      </c>
      <c r="L57" s="76">
        <v>2797.5093976922658</v>
      </c>
      <c r="M57" s="76" t="s">
        <v>22</v>
      </c>
      <c r="N57" s="76" t="s">
        <v>22</v>
      </c>
      <c r="O57" s="76" t="s">
        <v>22</v>
      </c>
      <c r="P57" s="76" t="s">
        <v>22</v>
      </c>
      <c r="Q57" s="76" t="s">
        <v>22</v>
      </c>
      <c r="R57" s="76" t="s">
        <v>22</v>
      </c>
    </row>
    <row r="58" spans="2:18" x14ac:dyDescent="0.3">
      <c r="B58" s="75"/>
      <c r="C58" s="75"/>
      <c r="D58" s="75"/>
      <c r="E58" s="75"/>
      <c r="F58" s="75"/>
      <c r="G58" s="75"/>
      <c r="H58" s="75"/>
      <c r="I58" s="75"/>
      <c r="K58" s="75" t="s">
        <v>214</v>
      </c>
      <c r="L58" s="76" t="s">
        <v>22</v>
      </c>
      <c r="M58" s="76" t="s">
        <v>22</v>
      </c>
      <c r="N58" s="76" t="s">
        <v>22</v>
      </c>
      <c r="O58" s="76" t="s">
        <v>22</v>
      </c>
      <c r="P58" s="76">
        <v>139848.55967074589</v>
      </c>
      <c r="Q58" s="76">
        <v>144034.93576261005</v>
      </c>
      <c r="R58" s="76">
        <v>131866.47181108498</v>
      </c>
    </row>
    <row r="59" spans="2:18" x14ac:dyDescent="0.3">
      <c r="B59" s="75" t="s">
        <v>141</v>
      </c>
      <c r="C59" s="76" t="s">
        <v>22</v>
      </c>
      <c r="D59" s="76" t="s">
        <v>22</v>
      </c>
      <c r="E59" s="76" t="s">
        <v>22</v>
      </c>
      <c r="F59" s="76" t="s">
        <v>22</v>
      </c>
      <c r="G59" s="76" t="s">
        <v>22</v>
      </c>
      <c r="H59" s="76" t="s">
        <v>22</v>
      </c>
      <c r="I59" s="76" t="s">
        <v>22</v>
      </c>
      <c r="K59" s="75" t="s">
        <v>215</v>
      </c>
      <c r="L59" s="76">
        <v>37609.005975637883</v>
      </c>
      <c r="M59" s="76">
        <v>26754.874222413862</v>
      </c>
      <c r="N59" s="76">
        <v>21992.918168704298</v>
      </c>
      <c r="O59" s="76">
        <v>-4407.8</v>
      </c>
      <c r="P59" s="76">
        <v>1102.8806584359299</v>
      </c>
      <c r="Q59" s="76">
        <v>1096.9163185940499</v>
      </c>
      <c r="R59" s="76">
        <v>938.00335612514004</v>
      </c>
    </row>
    <row r="60" spans="2:18" x14ac:dyDescent="0.3">
      <c r="B60" s="74" t="s">
        <v>142</v>
      </c>
      <c r="C60" s="78">
        <v>37368.114217319941</v>
      </c>
      <c r="D60" s="78">
        <v>65010.540349912728</v>
      </c>
      <c r="E60" s="78">
        <v>73481.485308633695</v>
      </c>
      <c r="F60" s="78">
        <v>78650.58361529051</v>
      </c>
      <c r="G60" s="78">
        <v>80538.271604917536</v>
      </c>
      <c r="H60" s="78">
        <v>97792.545585462387</v>
      </c>
      <c r="I60" s="78">
        <v>43261.554787496942</v>
      </c>
      <c r="K60" s="75" t="s">
        <v>216</v>
      </c>
      <c r="L60" s="76">
        <v>71351.435480172499</v>
      </c>
      <c r="M60" s="76">
        <v>80474.748964452141</v>
      </c>
      <c r="N60" s="76">
        <v>85939.295922862104</v>
      </c>
      <c r="O60" s="76">
        <v>79617.511892646828</v>
      </c>
      <c r="P60" s="76">
        <v>323649.38271596603</v>
      </c>
      <c r="Q60" s="76">
        <v>302310.13740452018</v>
      </c>
      <c r="R60" s="76">
        <v>241831.26525915251</v>
      </c>
    </row>
    <row r="61" spans="2:18" x14ac:dyDescent="0.3">
      <c r="B61" s="74" t="s">
        <v>143</v>
      </c>
      <c r="C61" s="78">
        <v>37368.114217319941</v>
      </c>
      <c r="D61" s="78">
        <v>65010.540349912728</v>
      </c>
      <c r="E61" s="78">
        <v>73481.485308633695</v>
      </c>
      <c r="F61" s="78">
        <v>78650.58361529051</v>
      </c>
      <c r="G61" s="78">
        <v>80538.271604917536</v>
      </c>
      <c r="H61" s="78">
        <v>97792.545585462387</v>
      </c>
      <c r="I61" s="78">
        <v>43261.554787496942</v>
      </c>
      <c r="K61" s="75" t="s">
        <v>217</v>
      </c>
      <c r="L61" s="76">
        <v>10715.287410142468</v>
      </c>
      <c r="M61" s="76">
        <v>12676.412309306173</v>
      </c>
      <c r="N61" s="76">
        <v>13157.232040088267</v>
      </c>
      <c r="O61" s="76">
        <v>12573.6094674539</v>
      </c>
      <c r="P61" s="76">
        <v>3420.5761316863618</v>
      </c>
      <c r="Q61" s="76">
        <v>3626.3726055012248</v>
      </c>
      <c r="R61" s="76">
        <v>2508.8089763824642</v>
      </c>
    </row>
    <row r="62" spans="2:18" x14ac:dyDescent="0.3">
      <c r="B62" s="75"/>
      <c r="C62" s="75"/>
      <c r="D62" s="75"/>
      <c r="E62" s="75"/>
      <c r="F62" s="75"/>
      <c r="G62" s="75"/>
      <c r="H62" s="75"/>
      <c r="I62" s="75"/>
      <c r="K62" s="74" t="s">
        <v>218</v>
      </c>
      <c r="L62" s="86">
        <v>1112765.1900366724</v>
      </c>
      <c r="M62" s="86">
        <v>1134281.6781121793</v>
      </c>
      <c r="N62" s="86">
        <v>1649930.0753321936</v>
      </c>
      <c r="O62" s="86">
        <v>1725081.509625566</v>
      </c>
      <c r="P62" s="86">
        <v>2066844.4444439122</v>
      </c>
      <c r="Q62" s="86">
        <v>2146228.1061496534</v>
      </c>
      <c r="R62" s="86">
        <v>1911093.6377893968</v>
      </c>
    </row>
    <row r="63" spans="2:18" x14ac:dyDescent="0.3">
      <c r="B63" s="74" t="s">
        <v>144</v>
      </c>
      <c r="C63" s="75"/>
      <c r="D63" s="75"/>
      <c r="E63" s="75"/>
      <c r="F63" s="75"/>
      <c r="G63" s="75"/>
      <c r="H63" s="75"/>
      <c r="I63" s="75"/>
      <c r="K63" s="75"/>
      <c r="L63" s="75"/>
      <c r="M63" s="75"/>
      <c r="N63" s="75"/>
      <c r="O63" s="75"/>
      <c r="P63" s="75"/>
      <c r="Q63" s="75"/>
      <c r="R63" s="75"/>
    </row>
    <row r="64" spans="2:18" x14ac:dyDescent="0.3">
      <c r="B64" s="75" t="s">
        <v>145</v>
      </c>
      <c r="C64" s="80">
        <v>2830.9177437363592</v>
      </c>
      <c r="D64" s="80">
        <v>4637.2700074055174</v>
      </c>
      <c r="E64" s="80">
        <v>277.22767704806398</v>
      </c>
      <c r="F64" s="80">
        <v>296.72832877735698</v>
      </c>
      <c r="G64" s="80">
        <v>303.85020576123901</v>
      </c>
      <c r="H64" s="80">
        <v>368.94698516484101</v>
      </c>
      <c r="I64" s="80">
        <v>163.215383975793</v>
      </c>
      <c r="K64" s="75" t="s">
        <v>219</v>
      </c>
      <c r="L64" s="76">
        <v>46606.401065513004</v>
      </c>
      <c r="M64" s="76">
        <v>48013.858912613527</v>
      </c>
      <c r="N64" s="76">
        <v>44779.865492370263</v>
      </c>
      <c r="O64" s="76">
        <v>46940.294724553954</v>
      </c>
      <c r="P64" s="76">
        <v>43631.275720153375</v>
      </c>
      <c r="Q64" s="76">
        <v>43395.319314408793</v>
      </c>
      <c r="R64" s="76">
        <v>37108.532772317849</v>
      </c>
    </row>
    <row r="65" spans="2:18" x14ac:dyDescent="0.3">
      <c r="B65" s="75" t="s">
        <v>146</v>
      </c>
      <c r="C65" s="80">
        <v>2830.9177437363592</v>
      </c>
      <c r="D65" s="80">
        <v>4637.2700074055174</v>
      </c>
      <c r="E65" s="80">
        <v>277.22767704806398</v>
      </c>
      <c r="F65" s="80">
        <v>296.72832877735698</v>
      </c>
      <c r="G65" s="80">
        <v>303.85020576123901</v>
      </c>
      <c r="H65" s="80">
        <v>368.94698516484101</v>
      </c>
      <c r="I65" s="80">
        <v>163.215383975793</v>
      </c>
      <c r="K65" s="75" t="s">
        <v>220</v>
      </c>
      <c r="L65" s="76" t="s">
        <v>22</v>
      </c>
      <c r="M65" s="76" t="s">
        <v>22</v>
      </c>
      <c r="N65" s="76">
        <v>53301.31880646955</v>
      </c>
      <c r="O65" s="76">
        <v>55872.870239178948</v>
      </c>
      <c r="P65" s="76">
        <v>51934.156378587453</v>
      </c>
      <c r="Q65" s="76">
        <v>51653.298286033249</v>
      </c>
      <c r="R65" s="76">
        <v>44170.158038430098</v>
      </c>
    </row>
    <row r="66" spans="2:18" x14ac:dyDescent="0.3">
      <c r="B66" s="75" t="s">
        <v>147</v>
      </c>
      <c r="C66" s="76">
        <v>13.2</v>
      </c>
      <c r="D66" s="76">
        <v>14.01914</v>
      </c>
      <c r="E66" s="76">
        <v>265.05782399999998</v>
      </c>
      <c r="F66" s="76">
        <v>265.05782399999998</v>
      </c>
      <c r="G66" s="76">
        <v>265.05799999999999</v>
      </c>
      <c r="H66" s="76">
        <v>265.05799999999999</v>
      </c>
      <c r="I66" s="76">
        <v>265.05799999999999</v>
      </c>
      <c r="K66" s="75" t="s">
        <v>221</v>
      </c>
      <c r="L66" s="76">
        <v>335117.36083430139</v>
      </c>
      <c r="M66" s="76">
        <v>361002.41290853627</v>
      </c>
      <c r="N66" s="76">
        <v>127879.24011844394</v>
      </c>
      <c r="O66" s="76">
        <v>151187.91372612314</v>
      </c>
      <c r="P66" s="76">
        <v>238218.93004109093</v>
      </c>
      <c r="Q66" s="76">
        <v>296981.08872239536</v>
      </c>
      <c r="R66" s="76">
        <v>222126.19475547885</v>
      </c>
    </row>
    <row r="67" spans="2:18" x14ac:dyDescent="0.3">
      <c r="B67" s="75"/>
      <c r="C67" s="75"/>
      <c r="D67" s="75"/>
      <c r="E67" s="75"/>
      <c r="F67" s="75"/>
      <c r="G67" s="75"/>
      <c r="H67" s="75"/>
      <c r="I67" s="75"/>
      <c r="K67" s="75" t="s">
        <v>222</v>
      </c>
      <c r="L67" s="76" t="s">
        <v>22</v>
      </c>
      <c r="M67" s="76" t="s">
        <v>22</v>
      </c>
      <c r="N67" s="76" t="s">
        <v>22</v>
      </c>
      <c r="O67" s="76" t="s">
        <v>22</v>
      </c>
      <c r="P67" s="76" t="s">
        <v>22</v>
      </c>
      <c r="Q67" s="76" t="s">
        <v>22</v>
      </c>
      <c r="R67" s="76" t="s">
        <v>22</v>
      </c>
    </row>
    <row r="68" spans="2:18" x14ac:dyDescent="0.3">
      <c r="B68" s="75" t="s">
        <v>148</v>
      </c>
      <c r="C68" s="80">
        <v>2830.9177437363592</v>
      </c>
      <c r="D68" s="80">
        <v>4637.2700074055174</v>
      </c>
      <c r="E68" s="80">
        <v>277.22767704806398</v>
      </c>
      <c r="F68" s="80">
        <v>296.72832877735698</v>
      </c>
      <c r="G68" s="80">
        <v>303.85020576123901</v>
      </c>
      <c r="H68" s="80">
        <v>368.94698516484101</v>
      </c>
      <c r="I68" s="80">
        <v>163.215383975793</v>
      </c>
      <c r="K68" s="75" t="s">
        <v>223</v>
      </c>
      <c r="L68" s="76">
        <v>223239.84326864092</v>
      </c>
      <c r="M68" s="76">
        <v>226733.52042458349</v>
      </c>
      <c r="N68" s="76">
        <v>351388.31069775025</v>
      </c>
      <c r="O68" s="76">
        <v>369927.98704887013</v>
      </c>
      <c r="P68" s="76" t="s">
        <v>22</v>
      </c>
      <c r="Q68" s="76" t="s">
        <v>22</v>
      </c>
      <c r="R68" s="76" t="s">
        <v>22</v>
      </c>
    </row>
    <row r="69" spans="2:18" x14ac:dyDescent="0.3">
      <c r="B69" s="75" t="s">
        <v>149</v>
      </c>
      <c r="C69" s="80">
        <v>2830.9177437363592</v>
      </c>
      <c r="D69" s="80">
        <v>4637.2700074055174</v>
      </c>
      <c r="E69" s="80">
        <v>277.22767704806398</v>
      </c>
      <c r="F69" s="80">
        <v>296.72832877735698</v>
      </c>
      <c r="G69" s="80">
        <v>303.85020576123901</v>
      </c>
      <c r="H69" s="80">
        <v>368.94698516484101</v>
      </c>
      <c r="I69" s="80">
        <v>163.215383975793</v>
      </c>
      <c r="K69" s="74" t="s">
        <v>224</v>
      </c>
      <c r="L69" s="77">
        <v>604963.60516845528</v>
      </c>
      <c r="M69" s="77">
        <v>635749.79224573332</v>
      </c>
      <c r="N69" s="77">
        <v>577348.73511503404</v>
      </c>
      <c r="O69" s="77">
        <v>623929.06573872617</v>
      </c>
      <c r="P69" s="77">
        <v>333784.36213983176</v>
      </c>
      <c r="Q69" s="77">
        <v>392029.70632283739</v>
      </c>
      <c r="R69" s="77">
        <v>303404.88556622679</v>
      </c>
    </row>
    <row r="70" spans="2:18" x14ac:dyDescent="0.3">
      <c r="B70" s="75" t="s">
        <v>150</v>
      </c>
      <c r="C70" s="76">
        <v>13.2</v>
      </c>
      <c r="D70" s="76">
        <v>14.01914</v>
      </c>
      <c r="E70" s="76">
        <v>265.05782399999998</v>
      </c>
      <c r="F70" s="76">
        <v>265.05782399999998</v>
      </c>
      <c r="G70" s="76">
        <v>265.05799999999999</v>
      </c>
      <c r="H70" s="76">
        <v>265.05799999999999</v>
      </c>
      <c r="I70" s="76">
        <v>265.05799999999999</v>
      </c>
      <c r="K70" s="75"/>
      <c r="L70" s="75"/>
      <c r="M70" s="75"/>
      <c r="N70" s="75"/>
      <c r="O70" s="75"/>
      <c r="P70" s="75"/>
      <c r="Q70" s="75"/>
      <c r="R70" s="75"/>
    </row>
    <row r="71" spans="2:18" x14ac:dyDescent="0.3">
      <c r="B71" s="75"/>
      <c r="C71" s="75"/>
      <c r="D71" s="75"/>
      <c r="E71" s="75"/>
      <c r="F71" s="75"/>
      <c r="G71" s="75"/>
      <c r="H71" s="75"/>
      <c r="I71" s="75"/>
      <c r="K71" s="74" t="s">
        <v>225</v>
      </c>
      <c r="L71" s="87">
        <v>604963.60516845528</v>
      </c>
      <c r="M71" s="87">
        <v>635749.79224573332</v>
      </c>
      <c r="N71" s="87">
        <v>577348.73511503404</v>
      </c>
      <c r="O71" s="87">
        <v>623929.06573872617</v>
      </c>
      <c r="P71" s="87">
        <v>333784.36213983176</v>
      </c>
      <c r="Q71" s="87">
        <v>392029.70632283739</v>
      </c>
      <c r="R71" s="87">
        <v>303404.88556622679</v>
      </c>
    </row>
    <row r="72" spans="2:18" x14ac:dyDescent="0.3">
      <c r="B72" s="75" t="s">
        <v>151</v>
      </c>
      <c r="C72" s="80">
        <v>2612.7735524064442</v>
      </c>
      <c r="D72" s="80">
        <v>3596.5198916223908</v>
      </c>
      <c r="E72" s="80">
        <v>209.87204219877299</v>
      </c>
      <c r="F72" s="80">
        <v>184.674446320501</v>
      </c>
      <c r="G72" s="80">
        <v>233.88312757195601</v>
      </c>
      <c r="H72" s="80">
        <v>176.15493763499299</v>
      </c>
      <c r="I72" s="80">
        <v>119.557627770709</v>
      </c>
      <c r="K72" s="75"/>
      <c r="L72" s="75"/>
      <c r="M72" s="75"/>
      <c r="N72" s="75"/>
      <c r="O72" s="75"/>
      <c r="P72" s="75"/>
      <c r="Q72" s="75"/>
      <c r="R72" s="75"/>
    </row>
    <row r="73" spans="2:18" x14ac:dyDescent="0.3">
      <c r="B73" s="75" t="s">
        <v>152</v>
      </c>
      <c r="C73" s="80">
        <v>2612.7735524064442</v>
      </c>
      <c r="D73" s="80">
        <v>3596.5198916223908</v>
      </c>
      <c r="E73" s="80">
        <v>209.87204219877299</v>
      </c>
      <c r="F73" s="80">
        <v>184.674446320501</v>
      </c>
      <c r="G73" s="80">
        <v>233.88312757195601</v>
      </c>
      <c r="H73" s="80">
        <v>176.15493763499299</v>
      </c>
      <c r="I73" s="80">
        <v>119.557627770709</v>
      </c>
      <c r="K73" s="74" t="s">
        <v>226</v>
      </c>
      <c r="L73" s="88">
        <v>1717728.7952051277</v>
      </c>
      <c r="M73" s="88">
        <v>1770031.4703579126</v>
      </c>
      <c r="N73" s="88">
        <v>2227278.8104472277</v>
      </c>
      <c r="O73" s="88">
        <v>2349010.5753642921</v>
      </c>
      <c r="P73" s="88">
        <v>2400628.806583744</v>
      </c>
      <c r="Q73" s="88">
        <v>2538257.8124724911</v>
      </c>
      <c r="R73" s="88">
        <v>2214498.5233556237</v>
      </c>
    </row>
    <row r="74" spans="2:18" x14ac:dyDescent="0.3">
      <c r="B74" s="75"/>
      <c r="C74" s="75"/>
      <c r="D74" s="75"/>
      <c r="E74" s="75"/>
      <c r="F74" s="75"/>
      <c r="G74" s="75"/>
      <c r="H74" s="75"/>
      <c r="I74" s="75"/>
      <c r="K74" s="75"/>
      <c r="L74" s="75"/>
      <c r="M74" s="75"/>
      <c r="N74" s="75"/>
      <c r="O74" s="75"/>
      <c r="P74" s="75"/>
      <c r="Q74" s="75"/>
      <c r="R74" s="75"/>
    </row>
    <row r="75" spans="2:18" x14ac:dyDescent="0.3">
      <c r="B75" s="75" t="s">
        <v>153</v>
      </c>
      <c r="C75" s="80">
        <v>231.39675470540701</v>
      </c>
      <c r="D75" s="80">
        <v>222.62518902739799</v>
      </c>
      <c r="E75" s="80">
        <v>978.17634196341896</v>
      </c>
      <c r="F75" s="80">
        <v>306.19395449616599</v>
      </c>
      <c r="G75" s="80">
        <v>191.111111111062</v>
      </c>
      <c r="H75" s="80">
        <v>247.21546881746499</v>
      </c>
      <c r="I75" s="80">
        <v>266.70095424155102</v>
      </c>
      <c r="K75" s="74" t="s">
        <v>155</v>
      </c>
      <c r="L75" s="75"/>
      <c r="M75" s="75"/>
      <c r="N75" s="75"/>
      <c r="O75" s="75"/>
      <c r="P75" s="75"/>
      <c r="Q75" s="75"/>
      <c r="R75" s="75"/>
    </row>
    <row r="76" spans="2:18" x14ac:dyDescent="0.3">
      <c r="B76" s="75" t="s">
        <v>154</v>
      </c>
      <c r="C76" s="81">
        <v>1.641351</v>
      </c>
      <c r="D76" s="81">
        <v>0.90785400000000005</v>
      </c>
      <c r="E76" s="81">
        <v>3.5281060000000002</v>
      </c>
      <c r="F76" s="81">
        <v>1.0321979999999999</v>
      </c>
      <c r="G76" s="81">
        <v>0.62950899999999999</v>
      </c>
      <c r="H76" s="81">
        <v>0.66965699999999995</v>
      </c>
      <c r="I76" s="81">
        <v>1.6342509999999999</v>
      </c>
      <c r="K76" s="75" t="s">
        <v>227</v>
      </c>
      <c r="L76" s="76">
        <v>265.05782299999998</v>
      </c>
      <c r="M76" s="76">
        <v>265.05782299999998</v>
      </c>
      <c r="N76" s="76">
        <v>265.05782399999998</v>
      </c>
      <c r="O76" s="76">
        <v>265.05782399999998</v>
      </c>
      <c r="P76" s="76">
        <v>265.05799999999999</v>
      </c>
      <c r="Q76" s="76">
        <v>265.05799999999999</v>
      </c>
      <c r="R76" s="76">
        <v>265.05799999999999</v>
      </c>
    </row>
    <row r="77" spans="2:18" x14ac:dyDescent="0.3">
      <c r="B77" s="75"/>
      <c r="C77" s="75"/>
      <c r="D77" s="75"/>
      <c r="E77" s="75"/>
      <c r="F77" s="75"/>
      <c r="G77" s="75"/>
      <c r="H77" s="75"/>
      <c r="I77" s="75"/>
      <c r="K77" s="75" t="s">
        <v>228</v>
      </c>
      <c r="L77" s="76">
        <v>265.05782299999998</v>
      </c>
      <c r="M77" s="76">
        <v>265.05782299999998</v>
      </c>
      <c r="N77" s="76">
        <v>265.05782399999998</v>
      </c>
      <c r="O77" s="76">
        <v>265.05782399999998</v>
      </c>
      <c r="P77" s="76">
        <v>265.05799999999999</v>
      </c>
      <c r="Q77" s="76">
        <v>265.05799999999999</v>
      </c>
      <c r="R77" s="76">
        <v>265.05799999999999</v>
      </c>
    </row>
    <row r="78" spans="2:18" x14ac:dyDescent="0.3">
      <c r="B78" s="74" t="s">
        <v>155</v>
      </c>
      <c r="C78" s="75"/>
      <c r="D78" s="75"/>
      <c r="E78" s="75"/>
      <c r="F78" s="75"/>
      <c r="G78" s="75"/>
      <c r="H78" s="75"/>
      <c r="I78" s="75"/>
      <c r="K78" s="75" t="s">
        <v>229</v>
      </c>
      <c r="L78" s="80">
        <v>2282.3825933703802</v>
      </c>
      <c r="M78" s="80">
        <v>2398.5319053498811</v>
      </c>
      <c r="N78" s="80">
        <v>2178.1976721281931</v>
      </c>
      <c r="O78" s="80">
        <v>2353.9355342275298</v>
      </c>
      <c r="P78" s="80">
        <v>1259.2872427980301</v>
      </c>
      <c r="Q78" s="80">
        <v>1479.0328483361609</v>
      </c>
      <c r="R78" s="80">
        <v>1144.673495579691</v>
      </c>
    </row>
    <row r="79" spans="2:18" x14ac:dyDescent="0.3">
      <c r="B79" s="75" t="s">
        <v>156</v>
      </c>
      <c r="C79" s="76">
        <v>421379.46865415358</v>
      </c>
      <c r="D79" s="76">
        <v>458365.15729448904</v>
      </c>
      <c r="E79" s="76">
        <v>472141.56150634668</v>
      </c>
      <c r="F79" s="76">
        <v>516015.61975157534</v>
      </c>
      <c r="G79" s="76">
        <v>487466.66666654113</v>
      </c>
      <c r="H79" s="76">
        <v>495449.26890383376</v>
      </c>
      <c r="I79" s="76">
        <v>432128.34613178798</v>
      </c>
      <c r="K79" s="75" t="s">
        <v>230</v>
      </c>
      <c r="L79" s="76">
        <v>593221.45070095756</v>
      </c>
      <c r="M79" s="76">
        <v>623653.03868735279</v>
      </c>
      <c r="N79" s="76">
        <v>551292.75286615349</v>
      </c>
      <c r="O79" s="76">
        <v>597434.16838061658</v>
      </c>
      <c r="P79" s="76">
        <v>271967.07818923041</v>
      </c>
      <c r="Q79" s="76">
        <v>320592.62177726609</v>
      </c>
      <c r="R79" s="76">
        <v>231040.02664868598</v>
      </c>
    </row>
    <row r="80" spans="2:18" x14ac:dyDescent="0.3">
      <c r="B80" s="75" t="s">
        <v>157</v>
      </c>
      <c r="C80" s="76" t="s">
        <v>29</v>
      </c>
      <c r="D80" s="76" t="s">
        <v>29</v>
      </c>
      <c r="E80" s="76" t="s">
        <v>29</v>
      </c>
      <c r="F80" s="76" t="s">
        <v>29</v>
      </c>
      <c r="G80" s="76" t="s">
        <v>29</v>
      </c>
      <c r="H80" s="76" t="s">
        <v>29</v>
      </c>
      <c r="I80" s="76" t="s">
        <v>29</v>
      </c>
      <c r="K80" s="75" t="s">
        <v>231</v>
      </c>
      <c r="L80" s="80">
        <v>2238.0831265159122</v>
      </c>
      <c r="M80" s="80">
        <v>2352.8928358824669</v>
      </c>
      <c r="N80" s="80">
        <v>2079.8951733202039</v>
      </c>
      <c r="O80" s="80">
        <v>2253.975338961272</v>
      </c>
      <c r="P80" s="80">
        <v>1026.0658436211349</v>
      </c>
      <c r="Q80" s="80">
        <v>1209.5172344805319</v>
      </c>
      <c r="R80" s="80">
        <v>871.65711874190094</v>
      </c>
    </row>
    <row r="81" spans="2:18" x14ac:dyDescent="0.3">
      <c r="B81" s="75" t="s">
        <v>11</v>
      </c>
      <c r="C81" s="76">
        <v>214209.03983272173</v>
      </c>
      <c r="D81" s="76">
        <v>252387.04302023855</v>
      </c>
      <c r="E81" s="76">
        <v>258986.96899248735</v>
      </c>
      <c r="F81" s="76">
        <v>294695.30009163398</v>
      </c>
      <c r="G81" s="76">
        <v>234424.69135796433</v>
      </c>
      <c r="H81" s="76">
        <v>213425.53463916262</v>
      </c>
      <c r="I81" s="76">
        <v>183777.25754506121</v>
      </c>
      <c r="K81" s="75" t="s">
        <v>232</v>
      </c>
      <c r="L81" s="76">
        <v>802582.76368928107</v>
      </c>
      <c r="M81" s="76">
        <v>844292.89649283001</v>
      </c>
      <c r="N81" s="76">
        <v>1323879.7417963904</v>
      </c>
      <c r="O81" s="76">
        <v>1434739.1577129464</v>
      </c>
      <c r="P81" s="76">
        <v>1374610.6995881235</v>
      </c>
      <c r="Q81" s="76">
        <v>1477141.8955779872</v>
      </c>
      <c r="R81" s="76">
        <v>1318003.9157465347</v>
      </c>
    </row>
    <row r="82" spans="2:18" x14ac:dyDescent="0.3">
      <c r="B82" s="75" t="s">
        <v>158</v>
      </c>
      <c r="C82" s="76">
        <v>89894.825868646803</v>
      </c>
      <c r="D82" s="76">
        <v>116757.76390520703</v>
      </c>
      <c r="E82" s="76">
        <v>131126.31253511697</v>
      </c>
      <c r="F82" s="76">
        <v>151473.0336027795</v>
      </c>
      <c r="G82" s="76">
        <v>161137.44855962929</v>
      </c>
      <c r="H82" s="76">
        <v>137396.13625231324</v>
      </c>
      <c r="I82" s="76">
        <v>112764.80346635153</v>
      </c>
      <c r="K82" s="75" t="s">
        <v>233</v>
      </c>
      <c r="L82" s="76">
        <v>800052.5210599415</v>
      </c>
      <c r="M82" s="76">
        <v>843001.34433842369</v>
      </c>
      <c r="N82" s="76">
        <v>1263433.8500189998</v>
      </c>
      <c r="O82" s="76">
        <v>1404941.4742059915</v>
      </c>
      <c r="P82" s="76">
        <v>1277609.8765428809</v>
      </c>
      <c r="Q82" s="76">
        <v>1324156.4500933569</v>
      </c>
      <c r="R82" s="76">
        <v>1254823.0896889654</v>
      </c>
    </row>
    <row r="83" spans="2:18" x14ac:dyDescent="0.3">
      <c r="B83" s="75" t="s">
        <v>10</v>
      </c>
      <c r="C83" s="76">
        <v>89894.825868646803</v>
      </c>
      <c r="D83" s="76">
        <v>116757.76390520703</v>
      </c>
      <c r="E83" s="76">
        <v>130624.55368613056</v>
      </c>
      <c r="F83" s="76">
        <v>150654.86352193955</v>
      </c>
      <c r="G83" s="76">
        <v>161137.44855962929</v>
      </c>
      <c r="H83" s="76">
        <v>137396.13625231324</v>
      </c>
      <c r="I83" s="76">
        <v>112764.80346635153</v>
      </c>
      <c r="K83" s="75" t="s">
        <v>234</v>
      </c>
      <c r="L83" s="76">
        <v>50822.886003078092</v>
      </c>
      <c r="M83" s="76">
        <v>35205.211950752426</v>
      </c>
      <c r="N83" s="76">
        <v>27605.18381292274</v>
      </c>
      <c r="O83" s="76">
        <v>-11707.6</v>
      </c>
      <c r="P83" s="76">
        <v>-74235.399999999994</v>
      </c>
      <c r="Q83" s="76">
        <v>-118840.2</v>
      </c>
      <c r="R83" s="76">
        <v>-102196.2</v>
      </c>
    </row>
    <row r="84" spans="2:18" x14ac:dyDescent="0.3">
      <c r="B84" s="75" t="s">
        <v>159</v>
      </c>
      <c r="C84" s="76">
        <v>218472.99978834947</v>
      </c>
      <c r="D84" s="76">
        <v>256734.4836521812</v>
      </c>
      <c r="E84" s="76">
        <v>262923.32629261649</v>
      </c>
      <c r="F84" s="76">
        <v>300688.13029415003</v>
      </c>
      <c r="G84" s="76">
        <v>240586.00823039073</v>
      </c>
      <c r="H84" s="76">
        <v>219082.02102833043</v>
      </c>
      <c r="I84" s="76">
        <v>188960.07608890487</v>
      </c>
      <c r="K84" s="75" t="s">
        <v>235</v>
      </c>
      <c r="L84" s="76">
        <v>34111.67964502197</v>
      </c>
      <c r="M84" s="76">
        <v>34779.525055541373</v>
      </c>
      <c r="N84" s="76">
        <v>31490.858401033041</v>
      </c>
      <c r="O84" s="76">
        <v>47942.641620128445</v>
      </c>
      <c r="P84" s="76">
        <v>49290.534979411175</v>
      </c>
      <c r="Q84" s="76">
        <v>45251.891113342601</v>
      </c>
      <c r="R84" s="76">
        <v>41462.548350749472</v>
      </c>
    </row>
    <row r="85" spans="2:18" x14ac:dyDescent="0.3">
      <c r="B85" s="75" t="s">
        <v>160</v>
      </c>
      <c r="C85" s="81">
        <v>0.30108099999999999</v>
      </c>
      <c r="D85" s="81">
        <v>0.26770500000000003</v>
      </c>
      <c r="E85" s="81">
        <v>0.22930300000000001</v>
      </c>
      <c r="F85" s="81">
        <v>2.8289999999999999E-2</v>
      </c>
      <c r="G85" s="81">
        <v>0.188027</v>
      </c>
      <c r="H85" s="81" t="s">
        <v>161</v>
      </c>
      <c r="I85" s="81" t="s">
        <v>161</v>
      </c>
      <c r="K85" s="75" t="s">
        <v>236</v>
      </c>
      <c r="L85" s="83" t="s">
        <v>29</v>
      </c>
      <c r="M85" s="83" t="s">
        <v>29</v>
      </c>
      <c r="N85" s="83" t="s">
        <v>29</v>
      </c>
      <c r="O85" s="83" t="s">
        <v>29</v>
      </c>
      <c r="P85" s="83" t="s">
        <v>29</v>
      </c>
      <c r="Q85" s="83" t="s">
        <v>29</v>
      </c>
      <c r="R85" s="83" t="s">
        <v>29</v>
      </c>
    </row>
    <row r="86" spans="2:18" x14ac:dyDescent="0.3">
      <c r="B86" s="75" t="s">
        <v>162</v>
      </c>
      <c r="C86" s="76">
        <v>13634.121853994862</v>
      </c>
      <c r="D86" s="76">
        <v>13694.437990619417</v>
      </c>
      <c r="E86" s="76">
        <v>13324.484989750406</v>
      </c>
      <c r="F86" s="76">
        <v>9766.6839736631355</v>
      </c>
      <c r="G86" s="76">
        <v>14362.139917691775</v>
      </c>
      <c r="H86" s="76">
        <v>2593.3066397805601</v>
      </c>
      <c r="I86" s="76">
        <v>9993.2357552555968</v>
      </c>
      <c r="K86" s="75" t="s">
        <v>237</v>
      </c>
      <c r="L86" s="76">
        <v>1496.3422359749329</v>
      </c>
      <c r="M86" s="76">
        <v>1724.484784003927</v>
      </c>
      <c r="N86" s="76">
        <v>2662.531804722536</v>
      </c>
      <c r="O86" s="76">
        <v>2500.5544462035082</v>
      </c>
      <c r="P86" s="76">
        <v>2928.395061727641</v>
      </c>
      <c r="Q86" s="76">
        <v>2987.8690767673752</v>
      </c>
      <c r="R86" s="76">
        <v>2717.4097227446218</v>
      </c>
    </row>
    <row r="87" spans="2:18" x14ac:dyDescent="0.3">
      <c r="B87" s="75" t="s">
        <v>163</v>
      </c>
      <c r="C87" s="76">
        <v>13634.121853994862</v>
      </c>
      <c r="D87" s="76">
        <v>13694.437990619417</v>
      </c>
      <c r="E87" s="76">
        <v>13324.484989750406</v>
      </c>
      <c r="F87" s="76">
        <v>9766.6839736631355</v>
      </c>
      <c r="G87" s="76">
        <v>14362.139917691775</v>
      </c>
      <c r="H87" s="76">
        <v>2593.3066397805601</v>
      </c>
      <c r="I87" s="76">
        <v>9993.2357552555968</v>
      </c>
      <c r="K87" s="75" t="s">
        <v>238</v>
      </c>
      <c r="L87" s="76">
        <v>400435.95235251146</v>
      </c>
      <c r="M87" s="76">
        <v>396260.15643359133</v>
      </c>
      <c r="N87" s="76">
        <v>450260.14530408382</v>
      </c>
      <c r="O87" s="76">
        <v>480138.33042746992</v>
      </c>
      <c r="P87" s="76">
        <v>451865.02057601535</v>
      </c>
      <c r="Q87" s="76">
        <v>462825.01296260441</v>
      </c>
      <c r="R87" s="76">
        <v>400521.83304539823</v>
      </c>
    </row>
    <row r="88" spans="2:18" x14ac:dyDescent="0.3">
      <c r="B88" s="75" t="s">
        <v>164</v>
      </c>
      <c r="C88" s="76">
        <v>2463.4259372513288</v>
      </c>
      <c r="D88" s="76">
        <v>10071.570797333858</v>
      </c>
      <c r="E88" s="76">
        <v>8538.3475514388938</v>
      </c>
      <c r="F88" s="76">
        <v>-7476.9</v>
      </c>
      <c r="G88" s="76">
        <v>4288.0658436202948</v>
      </c>
      <c r="H88" s="76">
        <v>-25679.3</v>
      </c>
      <c r="I88" s="76">
        <v>-15782.3</v>
      </c>
      <c r="K88" s="75" t="s">
        <v>239</v>
      </c>
      <c r="L88" s="76">
        <v>2380313.0056296331</v>
      </c>
      <c r="M88" s="76">
        <v>2553061.6826122836</v>
      </c>
      <c r="N88" s="76">
        <v>2826833.3311214452</v>
      </c>
      <c r="O88" s="76">
        <v>3090483.4093836923</v>
      </c>
      <c r="P88" s="76">
        <v>2176727.5720159002</v>
      </c>
      <c r="Q88" s="76">
        <v>2254470.8261553934</v>
      </c>
      <c r="R88" s="76">
        <v>1996894.3447796735</v>
      </c>
    </row>
    <row r="89" spans="2:18" x14ac:dyDescent="0.3">
      <c r="B89" s="75" t="s">
        <v>165</v>
      </c>
      <c r="C89" s="76">
        <v>2463.4259372513288</v>
      </c>
      <c r="D89" s="76">
        <v>10071.570797333858</v>
      </c>
      <c r="E89" s="76">
        <v>8538.3475514388938</v>
      </c>
      <c r="F89" s="76">
        <v>-7476.9</v>
      </c>
      <c r="G89" s="76">
        <v>4288.0658436202948</v>
      </c>
      <c r="H89" s="76">
        <v>-25679.3</v>
      </c>
      <c r="I89" s="76">
        <v>-15782.3</v>
      </c>
      <c r="K89" s="75" t="s">
        <v>240</v>
      </c>
      <c r="L89" s="76">
        <v>36005.405365521387</v>
      </c>
      <c r="M89" s="76">
        <v>60893.151784743692</v>
      </c>
      <c r="N89" s="76">
        <v>133104.62772758532</v>
      </c>
      <c r="O89" s="76">
        <v>189579.92494371935</v>
      </c>
      <c r="P89" s="76">
        <v>182915.22633740146</v>
      </c>
      <c r="Q89" s="76">
        <v>194358.83695804872</v>
      </c>
      <c r="R89" s="76">
        <v>248834.0903148808</v>
      </c>
    </row>
    <row r="90" spans="2:18" x14ac:dyDescent="0.3">
      <c r="B90" s="75"/>
      <c r="C90" s="75"/>
      <c r="D90" s="75"/>
      <c r="E90" s="75"/>
      <c r="F90" s="75"/>
      <c r="G90" s="75"/>
      <c r="H90" s="75"/>
      <c r="I90" s="75"/>
      <c r="K90" s="75" t="s">
        <v>241</v>
      </c>
      <c r="L90" s="89">
        <v>748</v>
      </c>
      <c r="M90" s="89">
        <v>719</v>
      </c>
      <c r="N90" s="89">
        <v>1024</v>
      </c>
      <c r="O90" s="89">
        <v>920</v>
      </c>
      <c r="P90" s="89">
        <v>1095</v>
      </c>
      <c r="Q90" s="89">
        <v>1138</v>
      </c>
      <c r="R90" s="89">
        <v>1282</v>
      </c>
    </row>
    <row r="91" spans="2:18" x14ac:dyDescent="0.3">
      <c r="B91" s="75" t="s">
        <v>166</v>
      </c>
      <c r="C91" s="76">
        <v>34488.622496769472</v>
      </c>
      <c r="D91" s="76">
        <v>50420.122016553883</v>
      </c>
      <c r="E91" s="76">
        <v>55628.500000000829</v>
      </c>
      <c r="F91" s="76">
        <v>48949.63720934408</v>
      </c>
      <c r="G91" s="76">
        <v>61992.7983538935</v>
      </c>
      <c r="H91" s="76">
        <v>46691.593781497293</v>
      </c>
      <c r="I91" s="76">
        <v>31689.988385059885</v>
      </c>
      <c r="K91" s="75" t="s">
        <v>242</v>
      </c>
      <c r="L91" s="76">
        <v>176346.83376074964</v>
      </c>
      <c r="M91" s="76">
        <v>181672.29827449771</v>
      </c>
      <c r="N91" s="76">
        <v>169435.68512641662</v>
      </c>
      <c r="O91" s="76">
        <v>177610.20291688544</v>
      </c>
      <c r="P91" s="76" t="s">
        <v>29</v>
      </c>
      <c r="Q91" s="76" t="s">
        <v>29</v>
      </c>
      <c r="R91" s="76" t="s">
        <v>29</v>
      </c>
    </row>
    <row r="92" spans="2:18" x14ac:dyDescent="0.3">
      <c r="B92" s="75" t="s">
        <v>167</v>
      </c>
      <c r="C92" s="76">
        <v>34125.746317040532</v>
      </c>
      <c r="D92" s="76">
        <v>22003.48389841985</v>
      </c>
      <c r="E92" s="76">
        <v>25606.595535646877</v>
      </c>
      <c r="F92" s="76">
        <v>70791.19223267636</v>
      </c>
      <c r="G92" s="76">
        <v>60488.888888873313</v>
      </c>
      <c r="H92" s="76">
        <v>62381.794757297146</v>
      </c>
      <c r="I92" s="76">
        <v>62471.023517934322</v>
      </c>
      <c r="K92" s="75" t="s">
        <v>243</v>
      </c>
      <c r="L92" s="76">
        <v>-149326.5</v>
      </c>
      <c r="M92" s="76">
        <v>-156044.1</v>
      </c>
      <c r="N92" s="76">
        <v>-146777.1</v>
      </c>
      <c r="O92" s="76">
        <v>-154915.70000000001</v>
      </c>
      <c r="P92" s="76" t="s">
        <v>29</v>
      </c>
      <c r="Q92" s="76" t="s">
        <v>29</v>
      </c>
      <c r="R92" s="76" t="s">
        <v>29</v>
      </c>
    </row>
    <row r="93" spans="2:18" x14ac:dyDescent="0.3">
      <c r="B93" s="75" t="s">
        <v>168</v>
      </c>
      <c r="C93" s="76">
        <v>2839.709413747963</v>
      </c>
      <c r="D93" s="76">
        <v>1047.0086188595269</v>
      </c>
      <c r="E93" s="76">
        <v>-2638.9</v>
      </c>
      <c r="F93" s="76">
        <v>-1158.2</v>
      </c>
      <c r="G93" s="76">
        <v>-758.8</v>
      </c>
      <c r="H93" s="76">
        <v>-2599.9</v>
      </c>
      <c r="I93" s="76">
        <v>-3859.8</v>
      </c>
      <c r="K93" s="75" t="s">
        <v>244</v>
      </c>
      <c r="L93" s="76" t="s">
        <v>29</v>
      </c>
      <c r="M93" s="76" t="s">
        <v>29</v>
      </c>
      <c r="N93" s="76">
        <v>40137.329071445442</v>
      </c>
      <c r="O93" s="76">
        <v>43077.894407861422</v>
      </c>
      <c r="P93" s="76">
        <v>40567.901234557452</v>
      </c>
      <c r="Q93" s="76">
        <v>43079.341927112298</v>
      </c>
      <c r="R93" s="76">
        <v>39030.739649869814</v>
      </c>
    </row>
    <row r="94" spans="2:18" x14ac:dyDescent="0.3">
      <c r="B94" s="75" t="s">
        <v>169</v>
      </c>
      <c r="C94" s="82">
        <v>41073</v>
      </c>
      <c r="D94" s="82">
        <v>41494</v>
      </c>
      <c r="E94" s="82">
        <v>41817</v>
      </c>
      <c r="F94" s="82">
        <v>42193</v>
      </c>
      <c r="G94" s="82">
        <v>42566</v>
      </c>
      <c r="H94" s="82">
        <v>42920</v>
      </c>
      <c r="I94" s="82">
        <v>43273</v>
      </c>
      <c r="K94" s="75" t="s">
        <v>169</v>
      </c>
      <c r="L94" s="82">
        <v>41073</v>
      </c>
      <c r="M94" s="82">
        <v>41494</v>
      </c>
      <c r="N94" s="82">
        <v>41817</v>
      </c>
      <c r="O94" s="82">
        <v>42193</v>
      </c>
      <c r="P94" s="82">
        <v>42566</v>
      </c>
      <c r="Q94" s="82">
        <v>42920</v>
      </c>
      <c r="R94" s="82">
        <v>43273</v>
      </c>
    </row>
    <row r="95" spans="2:18" x14ac:dyDescent="0.3">
      <c r="B95" s="75" t="s">
        <v>170</v>
      </c>
      <c r="C95" s="83" t="s">
        <v>171</v>
      </c>
      <c r="D95" s="83" t="s">
        <v>171</v>
      </c>
      <c r="E95" s="83" t="s">
        <v>171</v>
      </c>
      <c r="F95" s="83" t="s">
        <v>171</v>
      </c>
      <c r="G95" s="83" t="s">
        <v>172</v>
      </c>
      <c r="H95" s="83" t="s">
        <v>171</v>
      </c>
      <c r="I95" s="83" t="s">
        <v>171</v>
      </c>
      <c r="K95" s="75" t="s">
        <v>170</v>
      </c>
      <c r="L95" s="83" t="s">
        <v>171</v>
      </c>
      <c r="M95" s="83" t="s">
        <v>171</v>
      </c>
      <c r="N95" s="83" t="s">
        <v>171</v>
      </c>
      <c r="O95" s="83" t="s">
        <v>172</v>
      </c>
      <c r="P95" s="83" t="s">
        <v>172</v>
      </c>
      <c r="Q95" s="83" t="s">
        <v>171</v>
      </c>
      <c r="R95" s="83" t="s">
        <v>171</v>
      </c>
    </row>
    <row r="96" spans="2:18" x14ac:dyDescent="0.3">
      <c r="B96" s="75" t="s">
        <v>173</v>
      </c>
      <c r="C96" s="83" t="s">
        <v>174</v>
      </c>
      <c r="D96" s="83" t="s">
        <v>174</v>
      </c>
      <c r="E96" s="83" t="s">
        <v>174</v>
      </c>
      <c r="F96" s="83" t="s">
        <v>174</v>
      </c>
      <c r="G96" s="83" t="s">
        <v>174</v>
      </c>
      <c r="H96" s="83" t="s">
        <v>174</v>
      </c>
      <c r="I96" s="83" t="s">
        <v>174</v>
      </c>
      <c r="K96" s="75" t="s">
        <v>173</v>
      </c>
      <c r="L96" s="83" t="s">
        <v>174</v>
      </c>
      <c r="M96" s="83" t="s">
        <v>174</v>
      </c>
      <c r="N96" s="83" t="s">
        <v>174</v>
      </c>
      <c r="O96" s="83" t="s">
        <v>174</v>
      </c>
      <c r="P96" s="83" t="s">
        <v>174</v>
      </c>
      <c r="Q96" s="83" t="s">
        <v>174</v>
      </c>
      <c r="R96" s="83" t="s">
        <v>174</v>
      </c>
    </row>
    <row r="97" spans="2:18" x14ac:dyDescent="0.3">
      <c r="B97" s="75"/>
      <c r="C97" s="75"/>
      <c r="D97" s="75"/>
      <c r="E97" s="75"/>
      <c r="F97" s="75"/>
      <c r="G97" s="75"/>
      <c r="H97" s="75"/>
      <c r="I97" s="75"/>
      <c r="K97" s="75"/>
      <c r="L97" s="75"/>
      <c r="M97" s="75"/>
      <c r="N97" s="75"/>
      <c r="O97" s="75"/>
      <c r="P97" s="75"/>
      <c r="Q97" s="75"/>
      <c r="R97" s="75"/>
    </row>
    <row r="98" spans="2:18" x14ac:dyDescent="0.3">
      <c r="B98" s="74" t="s">
        <v>175</v>
      </c>
      <c r="C98" s="75"/>
      <c r="D98" s="75"/>
      <c r="E98" s="75"/>
      <c r="F98" s="75"/>
      <c r="G98" s="75"/>
      <c r="H98" s="75"/>
      <c r="I98" s="75"/>
      <c r="K98" s="75"/>
      <c r="L98" s="75" t="s">
        <v>25</v>
      </c>
      <c r="M98" s="75" t="s">
        <v>25</v>
      </c>
      <c r="N98" s="75" t="s">
        <v>25</v>
      </c>
      <c r="O98" s="75" t="s">
        <v>25</v>
      </c>
      <c r="P98" s="75" t="s">
        <v>25</v>
      </c>
      <c r="Q98" s="75" t="s">
        <v>25</v>
      </c>
      <c r="R98" s="75" t="s">
        <v>25</v>
      </c>
    </row>
    <row r="99" spans="2:18" x14ac:dyDescent="0.3">
      <c r="B99" s="75" t="s">
        <v>176</v>
      </c>
      <c r="C99" s="76" t="s">
        <v>29</v>
      </c>
      <c r="D99" s="76" t="s">
        <v>29</v>
      </c>
      <c r="E99" s="76">
        <v>65566.535115026403</v>
      </c>
      <c r="F99" s="76">
        <v>69346.112609374628</v>
      </c>
      <c r="G99" s="76">
        <v>75206.584362120557</v>
      </c>
      <c r="H99" s="76">
        <v>86708.77920205683</v>
      </c>
      <c r="I99" s="76">
        <v>76115.472337032261</v>
      </c>
      <c r="K99" s="75" t="s">
        <v>113</v>
      </c>
      <c r="L99" s="83" t="s">
        <v>114</v>
      </c>
      <c r="M99" s="83" t="s">
        <v>114</v>
      </c>
      <c r="N99" s="83" t="s">
        <v>114</v>
      </c>
      <c r="O99" s="83" t="s">
        <v>114</v>
      </c>
      <c r="P99" s="83" t="s">
        <v>114</v>
      </c>
      <c r="Q99" s="83" t="s">
        <v>114</v>
      </c>
      <c r="R99" s="83" t="s">
        <v>114</v>
      </c>
    </row>
    <row r="100" spans="2:18" x14ac:dyDescent="0.3">
      <c r="B100" s="75" t="s">
        <v>177</v>
      </c>
      <c r="C100" s="76">
        <v>390.35014851519998</v>
      </c>
      <c r="D100" s="76">
        <v>458.29269995062299</v>
      </c>
      <c r="E100" s="76">
        <v>375.05206893934201</v>
      </c>
      <c r="F100" s="76">
        <v>375.43735311270802</v>
      </c>
      <c r="G100" s="76">
        <v>8116.8724279814487</v>
      </c>
      <c r="H100" s="76">
        <v>8686.9223678507897</v>
      </c>
      <c r="I100" s="76">
        <v>8607.2307962050163</v>
      </c>
      <c r="K100" s="75" t="s">
        <v>181</v>
      </c>
      <c r="L100" s="84">
        <v>1758.3340023210001</v>
      </c>
      <c r="M100" s="84">
        <v>1811.4335966430001</v>
      </c>
      <c r="N100" s="84">
        <v>1689.4237339609999</v>
      </c>
      <c r="O100" s="84">
        <v>1770.930910909</v>
      </c>
      <c r="P100" s="84">
        <v>1646.090534979</v>
      </c>
      <c r="Q100" s="84">
        <v>1637.188535215</v>
      </c>
      <c r="R100" s="84">
        <v>1400.0050091420001</v>
      </c>
    </row>
    <row r="101" spans="2:18" x14ac:dyDescent="0.3">
      <c r="B101" s="75" t="s">
        <v>178</v>
      </c>
      <c r="C101" s="76">
        <v>4263.9599556277462</v>
      </c>
      <c r="D101" s="76">
        <v>4347.4406319426716</v>
      </c>
      <c r="E101" s="76">
        <v>3936.3573001291302</v>
      </c>
      <c r="F101" s="76">
        <v>5992.8302025160556</v>
      </c>
      <c r="G101" s="76">
        <v>6161.3168724263969</v>
      </c>
      <c r="H101" s="76">
        <v>5656.4863891678251</v>
      </c>
      <c r="I101" s="76">
        <v>5182.818543843684</v>
      </c>
      <c r="K101" s="75" t="s">
        <v>182</v>
      </c>
      <c r="L101" s="83" t="s">
        <v>250</v>
      </c>
      <c r="M101" s="83" t="s">
        <v>250</v>
      </c>
      <c r="N101" s="83" t="s">
        <v>250</v>
      </c>
      <c r="O101" s="83" t="s">
        <v>250</v>
      </c>
      <c r="P101" s="83" t="s">
        <v>250</v>
      </c>
      <c r="Q101" s="83" t="s">
        <v>250</v>
      </c>
      <c r="R101" s="83" t="s">
        <v>250</v>
      </c>
    </row>
    <row r="102" spans="2:18" x14ac:dyDescent="0.3">
      <c r="B102" s="75" t="s">
        <v>179</v>
      </c>
      <c r="C102" s="76">
        <v>1416.2483638352221</v>
      </c>
      <c r="D102" s="76">
        <v>1440.950140289415</v>
      </c>
      <c r="E102" s="76">
        <v>1193.692748857356</v>
      </c>
      <c r="F102" s="76">
        <v>2412.6649160260049</v>
      </c>
      <c r="G102" s="76">
        <v>2264.9991769541489</v>
      </c>
      <c r="H102" s="76">
        <v>2015.022179748988</v>
      </c>
      <c r="I102" s="76">
        <v>2006.993980915624</v>
      </c>
    </row>
    <row r="103" spans="2:18" x14ac:dyDescent="0.3">
      <c r="B103" s="75" t="s">
        <v>180</v>
      </c>
      <c r="C103" s="76">
        <v>2847.7115917925239</v>
      </c>
      <c r="D103" s="76">
        <v>2906.4904916532569</v>
      </c>
      <c r="E103" s="76">
        <v>2742.6645512717741</v>
      </c>
      <c r="F103" s="76">
        <v>3580.1652864900511</v>
      </c>
      <c r="G103" s="76">
        <v>3896.317695472248</v>
      </c>
      <c r="H103" s="76">
        <v>3641.4642094188371</v>
      </c>
      <c r="I103" s="76">
        <v>3175.82456292806</v>
      </c>
    </row>
    <row r="104" spans="2:18" x14ac:dyDescent="0.3">
      <c r="B104" s="75"/>
      <c r="C104" s="75"/>
      <c r="D104" s="75"/>
      <c r="E104" s="75"/>
      <c r="F104" s="75"/>
      <c r="G104" s="75"/>
      <c r="H104" s="75"/>
      <c r="I104" s="75"/>
    </row>
    <row r="105" spans="2:18" x14ac:dyDescent="0.3">
      <c r="B105" s="75"/>
      <c r="C105" s="75" t="s">
        <v>25</v>
      </c>
      <c r="D105" s="75" t="s">
        <v>25</v>
      </c>
      <c r="E105" s="75" t="s">
        <v>25</v>
      </c>
      <c r="F105" s="75" t="s">
        <v>25</v>
      </c>
      <c r="G105" s="75" t="s">
        <v>25</v>
      </c>
      <c r="H105" s="75" t="s">
        <v>25</v>
      </c>
      <c r="I105" s="75" t="s">
        <v>25</v>
      </c>
    </row>
    <row r="106" spans="2:18" x14ac:dyDescent="0.3">
      <c r="B106" s="75" t="s">
        <v>113</v>
      </c>
      <c r="C106" s="83" t="s">
        <v>114</v>
      </c>
      <c r="D106" s="83" t="s">
        <v>114</v>
      </c>
      <c r="E106" s="83" t="s">
        <v>114</v>
      </c>
      <c r="F106" s="83" t="s">
        <v>114</v>
      </c>
      <c r="G106" s="83" t="s">
        <v>114</v>
      </c>
      <c r="H106" s="83" t="s">
        <v>114</v>
      </c>
      <c r="I106" s="83" t="s">
        <v>114</v>
      </c>
    </row>
    <row r="107" spans="2:18" x14ac:dyDescent="0.3">
      <c r="B107" s="75" t="s">
        <v>181</v>
      </c>
      <c r="C107" s="84">
        <v>1758.3340023210001</v>
      </c>
      <c r="D107" s="84">
        <v>1811.4335966430001</v>
      </c>
      <c r="E107" s="84">
        <v>1689.4237339609999</v>
      </c>
      <c r="F107" s="84">
        <v>1770.930910909</v>
      </c>
      <c r="G107" s="84">
        <v>1646.090534979</v>
      </c>
      <c r="H107" s="84">
        <v>1637.188535215</v>
      </c>
      <c r="I107" s="84">
        <v>1400.0050091420001</v>
      </c>
    </row>
    <row r="108" spans="2:18" x14ac:dyDescent="0.3">
      <c r="B108" s="75" t="s">
        <v>182</v>
      </c>
      <c r="C108" s="83" t="s">
        <v>250</v>
      </c>
      <c r="D108" s="83" t="s">
        <v>250</v>
      </c>
      <c r="E108" s="83" t="s">
        <v>250</v>
      </c>
      <c r="F108" s="83" t="s">
        <v>250</v>
      </c>
      <c r="G108" s="83" t="s">
        <v>250</v>
      </c>
      <c r="H108" s="83" t="s">
        <v>250</v>
      </c>
      <c r="I108" s="83" t="s">
        <v>250</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26"/>
  <sheetViews>
    <sheetView showGridLines="0" workbookViewId="0">
      <selection activeCell="D7" sqref="D7"/>
    </sheetView>
  </sheetViews>
  <sheetFormatPr defaultRowHeight="12.95" customHeight="1" x14ac:dyDescent="0.3"/>
  <cols>
    <col min="1" max="1" width="9" style="484"/>
    <col min="2" max="2" width="14.375" style="484" bestFit="1" customWidth="1"/>
    <col min="3" max="3" width="12.125" style="484" customWidth="1"/>
    <col min="4" max="4" width="15.875" style="484" bestFit="1" customWidth="1"/>
    <col min="5" max="6" width="9" style="484"/>
    <col min="7" max="7" width="25.625" style="484" customWidth="1"/>
    <col min="8" max="8" width="10.625" style="484" customWidth="1"/>
    <col min="9" max="16384" width="9" style="484"/>
  </cols>
  <sheetData>
    <row r="3" spans="2:16" ht="21" customHeight="1" x14ac:dyDescent="0.3">
      <c r="B3" s="482" t="s">
        <v>1747</v>
      </c>
      <c r="C3" s="483"/>
      <c r="D3" s="483"/>
      <c r="G3" s="482" t="s">
        <v>1757</v>
      </c>
      <c r="H3" s="482"/>
      <c r="I3" s="483"/>
      <c r="J3" s="483"/>
      <c r="K3" s="483"/>
    </row>
    <row r="4" spans="2:16" ht="12.95" customHeight="1" x14ac:dyDescent="0.3">
      <c r="B4" s="510" t="s">
        <v>1759</v>
      </c>
      <c r="C4" s="512" t="s">
        <v>1746</v>
      </c>
      <c r="D4" s="511" t="s">
        <v>1748</v>
      </c>
      <c r="I4" s="35" t="s">
        <v>32</v>
      </c>
      <c r="J4" s="44" t="s">
        <v>4</v>
      </c>
      <c r="K4" s="59" t="s">
        <v>33</v>
      </c>
    </row>
    <row r="5" spans="2:16" ht="12.95" customHeight="1" x14ac:dyDescent="0.3">
      <c r="B5" s="486" t="s">
        <v>1756</v>
      </c>
      <c r="C5" s="499"/>
      <c r="D5" s="500"/>
      <c r="E5" s="485"/>
      <c r="F5" s="485"/>
      <c r="G5" s="485"/>
      <c r="H5" s="485"/>
      <c r="I5" s="35" t="s">
        <v>37</v>
      </c>
      <c r="J5" s="44" t="s">
        <v>7</v>
      </c>
      <c r="K5" s="513" t="s">
        <v>38</v>
      </c>
      <c r="L5" s="485"/>
      <c r="M5" s="485"/>
      <c r="N5" s="485"/>
      <c r="O5" s="485"/>
      <c r="P5" s="485"/>
    </row>
    <row r="6" spans="2:16" ht="12.95" customHeight="1" x14ac:dyDescent="0.3">
      <c r="B6" s="501" t="s">
        <v>1745</v>
      </c>
      <c r="C6" s="493">
        <v>800000</v>
      </c>
      <c r="D6" s="494">
        <f>K17</f>
        <v>500000</v>
      </c>
      <c r="G6" s="486" t="s">
        <v>1760</v>
      </c>
      <c r="H6" s="514" t="s">
        <v>52</v>
      </c>
      <c r="I6" s="487">
        <f>Transaction!K8</f>
        <v>124999.38</v>
      </c>
      <c r="J6" s="515">
        <f>Transaction!L8</f>
        <v>0.24999876000000001</v>
      </c>
      <c r="K6" s="488">
        <f>Transaction!M8</f>
        <v>500000</v>
      </c>
      <c r="L6" s="485"/>
      <c r="M6" s="485"/>
      <c r="N6" s="485"/>
      <c r="O6" s="485"/>
      <c r="P6" s="485"/>
    </row>
    <row r="7" spans="2:16" ht="12.95" customHeight="1" x14ac:dyDescent="0.3">
      <c r="B7" s="502" t="s">
        <v>64</v>
      </c>
      <c r="C7" s="496">
        <v>8775440</v>
      </c>
      <c r="D7" s="497">
        <v>98973</v>
      </c>
      <c r="E7" s="485" t="s">
        <v>1769</v>
      </c>
      <c r="F7" s="485"/>
      <c r="G7" s="516" t="s">
        <v>1761</v>
      </c>
      <c r="H7" s="48" t="s">
        <v>65</v>
      </c>
      <c r="I7" s="493">
        <f>Transaction!K27</f>
        <v>131798.33337199999</v>
      </c>
      <c r="J7" s="498">
        <f>Transaction!L27</f>
        <v>0.95269999999999999</v>
      </c>
      <c r="K7" s="494">
        <f>Transaction!M27</f>
        <v>138341.90550225673</v>
      </c>
      <c r="L7" s="485"/>
      <c r="M7" s="485"/>
      <c r="N7" s="485"/>
      <c r="O7" s="485"/>
      <c r="P7" s="485"/>
    </row>
    <row r="8" spans="2:16" ht="12.95" customHeight="1" x14ac:dyDescent="0.3">
      <c r="B8" s="486" t="s">
        <v>1754</v>
      </c>
      <c r="C8" s="503"/>
      <c r="D8" s="504">
        <f>K22-D6-D7</f>
        <v>119794.44129378197</v>
      </c>
      <c r="E8" s="485"/>
      <c r="F8" s="485"/>
      <c r="G8" s="517" t="s">
        <v>1763</v>
      </c>
      <c r="H8" s="66" t="s">
        <v>1764</v>
      </c>
      <c r="I8" s="518">
        <f>118767698990/10^6</f>
        <v>118767.69899</v>
      </c>
      <c r="J8" s="519">
        <v>1</v>
      </c>
      <c r="K8" s="497">
        <f>J8*I8</f>
        <v>118767.69899</v>
      </c>
      <c r="L8" s="485"/>
      <c r="M8" s="485"/>
      <c r="N8" s="485"/>
      <c r="O8" s="485"/>
      <c r="P8" s="485"/>
    </row>
    <row r="9" spans="2:16" ht="12.95" customHeight="1" x14ac:dyDescent="0.3">
      <c r="B9" s="492" t="s">
        <v>1745</v>
      </c>
      <c r="C9" s="505"/>
      <c r="D9" s="494">
        <f>$D$8*D6/($D$6+$D$7)</f>
        <v>99999.867518053376</v>
      </c>
      <c r="E9" s="485"/>
      <c r="F9" s="485"/>
      <c r="G9" s="485"/>
      <c r="H9" s="485"/>
      <c r="I9" s="485"/>
      <c r="J9" s="485"/>
      <c r="K9" s="485"/>
      <c r="L9" s="485"/>
      <c r="M9" s="485"/>
      <c r="N9" s="485"/>
      <c r="O9" s="485"/>
      <c r="P9" s="485"/>
    </row>
    <row r="10" spans="2:16" ht="12.95" customHeight="1" x14ac:dyDescent="0.3">
      <c r="B10" s="495" t="s">
        <v>64</v>
      </c>
      <c r="C10" s="506"/>
      <c r="D10" s="497">
        <f>$D$8*D7/($D$6+$D$7)</f>
        <v>19794.573775728593</v>
      </c>
      <c r="E10" s="485"/>
      <c r="G10" s="485"/>
      <c r="H10" s="485"/>
      <c r="I10" s="485"/>
      <c r="J10" s="485"/>
      <c r="K10" s="485"/>
      <c r="L10" s="485"/>
      <c r="M10" s="485"/>
      <c r="N10" s="485"/>
      <c r="O10" s="485"/>
      <c r="P10" s="485"/>
    </row>
    <row r="11" spans="2:16" ht="12.95" customHeight="1" x14ac:dyDescent="0.3">
      <c r="B11" s="486" t="s">
        <v>1755</v>
      </c>
      <c r="C11" s="503"/>
      <c r="D11" s="504">
        <f>SUM(D12:D13)</f>
        <v>718767.44129378197</v>
      </c>
    </row>
    <row r="12" spans="2:16" ht="12.95" customHeight="1" x14ac:dyDescent="0.3">
      <c r="B12" s="492" t="s">
        <v>1745</v>
      </c>
      <c r="C12" s="493"/>
      <c r="D12" s="494">
        <f>D6+D9</f>
        <v>599999.86751805339</v>
      </c>
    </row>
    <row r="13" spans="2:16" ht="12.95" customHeight="1" x14ac:dyDescent="0.3">
      <c r="B13" s="495" t="s">
        <v>64</v>
      </c>
      <c r="C13" s="506"/>
      <c r="D13" s="497">
        <f>D7+D10</f>
        <v>118767.5737757286</v>
      </c>
      <c r="E13" s="485"/>
    </row>
    <row r="16" spans="2:16" ht="12.95" customHeight="1" x14ac:dyDescent="0.3">
      <c r="G16" s="486" t="s">
        <v>1762</v>
      </c>
      <c r="H16" s="503"/>
      <c r="I16" s="522" t="s">
        <v>1768</v>
      </c>
      <c r="J16" s="522" t="s">
        <v>1767</v>
      </c>
      <c r="K16" s="523" t="s">
        <v>1766</v>
      </c>
    </row>
    <row r="17" spans="4:11" ht="12.95" customHeight="1" x14ac:dyDescent="0.3">
      <c r="G17" s="489" t="s">
        <v>1753</v>
      </c>
      <c r="H17" s="507"/>
      <c r="I17" s="490">
        <v>800000</v>
      </c>
      <c r="J17" s="520">
        <f>I17/$I$17</f>
        <v>1</v>
      </c>
      <c r="K17" s="491">
        <f>K6</f>
        <v>500000</v>
      </c>
    </row>
    <row r="18" spans="4:11" ht="12.95" customHeight="1" x14ac:dyDescent="0.3">
      <c r="G18" s="492" t="s">
        <v>1749</v>
      </c>
      <c r="H18" s="508"/>
      <c r="I18" s="493">
        <f>I23</f>
        <v>600000</v>
      </c>
      <c r="J18" s="498">
        <f>I18/$I$17</f>
        <v>0.75</v>
      </c>
      <c r="K18" s="494">
        <f>$K$6*J18</f>
        <v>375000</v>
      </c>
    </row>
    <row r="19" spans="4:11" ht="12.95" customHeight="1" x14ac:dyDescent="0.3">
      <c r="G19" s="492" t="s">
        <v>1750</v>
      </c>
      <c r="H19" s="508"/>
      <c r="I19" s="493">
        <f>I24</f>
        <v>159999</v>
      </c>
      <c r="J19" s="498">
        <f>I19/$I$17</f>
        <v>0.19999875</v>
      </c>
      <c r="K19" s="494">
        <f t="shared" ref="K19:K20" si="0">$K$6*J19</f>
        <v>99999.375</v>
      </c>
    </row>
    <row r="20" spans="4:11" ht="12.95" customHeight="1" x14ac:dyDescent="0.3">
      <c r="G20" s="495" t="s">
        <v>1751</v>
      </c>
      <c r="H20" s="521"/>
      <c r="I20" s="496">
        <f>I25</f>
        <v>40001</v>
      </c>
      <c r="J20" s="519">
        <f>I20/$I$17</f>
        <v>5.0001249999999997E-2</v>
      </c>
      <c r="K20" s="497">
        <f t="shared" si="0"/>
        <v>25000.625</v>
      </c>
    </row>
    <row r="21" spans="4:11" ht="12.95" customHeight="1" x14ac:dyDescent="0.3">
      <c r="G21" s="486" t="s">
        <v>1765</v>
      </c>
      <c r="H21" s="499"/>
      <c r="I21" s="487"/>
      <c r="J21" s="499"/>
      <c r="K21" s="488"/>
    </row>
    <row r="22" spans="4:11" ht="12.95" customHeight="1" x14ac:dyDescent="0.3">
      <c r="G22" s="489" t="s">
        <v>1745</v>
      </c>
      <c r="H22" s="505"/>
      <c r="I22" s="490">
        <v>958357</v>
      </c>
      <c r="J22" s="520">
        <f>I22/$I$22</f>
        <v>1</v>
      </c>
      <c r="K22" s="491">
        <f>I8*I22/158357</f>
        <v>718767.44129378197</v>
      </c>
    </row>
    <row r="23" spans="4:11" ht="12.95" customHeight="1" x14ac:dyDescent="0.3">
      <c r="D23" s="485">
        <f>I8-D13</f>
        <v>0.125214271407458</v>
      </c>
      <c r="G23" s="492" t="s">
        <v>1749</v>
      </c>
      <c r="H23" s="505"/>
      <c r="I23" s="493">
        <v>600000</v>
      </c>
      <c r="J23" s="498">
        <f>I23/$I$22</f>
        <v>0.62607149527785577</v>
      </c>
      <c r="K23" s="494">
        <f>K22*I23/$I$22</f>
        <v>449999.80672783643</v>
      </c>
    </row>
    <row r="24" spans="4:11" ht="12.95" customHeight="1" x14ac:dyDescent="0.3">
      <c r="G24" s="492" t="s">
        <v>1750</v>
      </c>
      <c r="H24" s="505"/>
      <c r="I24" s="493">
        <v>159999</v>
      </c>
      <c r="J24" s="498">
        <f>I24/$I$22</f>
        <v>0.1669513552882694</v>
      </c>
      <c r="K24" s="494">
        <f>K23*I24/$I$22</f>
        <v>75128.077612671579</v>
      </c>
    </row>
    <row r="25" spans="4:11" ht="12.95" customHeight="1" x14ac:dyDescent="0.3">
      <c r="G25" s="492" t="s">
        <v>1751</v>
      </c>
      <c r="H25" s="505"/>
      <c r="I25" s="493">
        <v>40001</v>
      </c>
      <c r="J25" s="498">
        <f>I25/$I$22</f>
        <v>4.1739143137682511E-2</v>
      </c>
      <c r="K25" s="494">
        <f>K24*I25/$I$22</f>
        <v>3135.7815851342202</v>
      </c>
    </row>
    <row r="26" spans="4:11" ht="12.95" customHeight="1" x14ac:dyDescent="0.3">
      <c r="G26" s="495" t="s">
        <v>1752</v>
      </c>
      <c r="H26" s="506"/>
      <c r="I26" s="496">
        <v>158357</v>
      </c>
      <c r="J26" s="519">
        <f>I26/$I$22</f>
        <v>0.16523800629619234</v>
      </c>
      <c r="K26" s="497">
        <f>K25*I26/$I$22</f>
        <v>518.15029730789229</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
  <sheetViews>
    <sheetView workbookViewId="0"/>
  </sheetViews>
  <sheetFormatPr defaultRowHeight="16.5" x14ac:dyDescent="0.3"/>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Z102"/>
  <sheetViews>
    <sheetView workbookViewId="0"/>
  </sheetViews>
  <sheetFormatPr defaultRowHeight="12.95" customHeight="1" x14ac:dyDescent="0.3"/>
  <cols>
    <col min="1" max="1" width="1.625" style="126" customWidth="1"/>
    <col min="2" max="2" width="13.875" style="126" bestFit="1" customWidth="1"/>
    <col min="3" max="10" width="9" style="126"/>
    <col min="11" max="11" width="1.625" style="126" customWidth="1"/>
    <col min="12" max="12" width="1.625" style="442" customWidth="1"/>
    <col min="13" max="13" width="1.625" style="126" customWidth="1"/>
    <col min="14" max="14" width="34.25" style="149" bestFit="1" customWidth="1"/>
    <col min="15" max="16" width="16" style="126" bestFit="1" customWidth="1"/>
    <col min="17" max="17" width="1.625" style="126" customWidth="1"/>
    <col min="18" max="18" width="32.5" style="149" bestFit="1" customWidth="1"/>
    <col min="19" max="20" width="16" style="126" bestFit="1" customWidth="1"/>
    <col min="21" max="21" width="1.625" style="126" customWidth="1"/>
    <col min="22" max="22" width="17.25" style="149" bestFit="1" customWidth="1"/>
    <col min="23" max="24" width="10.875" style="126" bestFit="1" customWidth="1"/>
    <col min="25" max="16384" width="9" style="126"/>
  </cols>
  <sheetData>
    <row r="2" spans="2:25" ht="12.95" customHeight="1" x14ac:dyDescent="0.3">
      <c r="B2" s="403" t="s">
        <v>0</v>
      </c>
      <c r="C2" s="404"/>
      <c r="D2" s="404" t="s">
        <v>34</v>
      </c>
      <c r="E2" s="404" t="s">
        <v>35</v>
      </c>
      <c r="F2" s="404"/>
      <c r="G2" s="404"/>
      <c r="H2" s="404"/>
      <c r="I2" s="404"/>
      <c r="J2" s="405"/>
      <c r="K2" s="147"/>
      <c r="L2" s="440"/>
      <c r="M2" s="147"/>
      <c r="N2" s="463" t="s">
        <v>1722</v>
      </c>
    </row>
    <row r="3" spans="2:25" ht="12.95" customHeight="1" x14ac:dyDescent="0.3">
      <c r="B3" s="406" t="s">
        <v>8</v>
      </c>
      <c r="C3" s="407" t="s">
        <v>1210</v>
      </c>
      <c r="D3" s="407" t="s">
        <v>39</v>
      </c>
      <c r="E3" s="407" t="s">
        <v>40</v>
      </c>
      <c r="F3" s="407" t="s">
        <v>41</v>
      </c>
      <c r="G3" s="407" t="s">
        <v>42</v>
      </c>
      <c r="H3" s="407" t="s">
        <v>11</v>
      </c>
      <c r="I3" s="407" t="s">
        <v>10</v>
      </c>
      <c r="J3" s="408" t="s">
        <v>43</v>
      </c>
      <c r="K3" s="147"/>
      <c r="L3" s="440"/>
      <c r="M3" s="147"/>
    </row>
    <row r="4" spans="2:25" ht="12.95" customHeight="1" x14ac:dyDescent="0.3">
      <c r="B4" s="394">
        <f>C14</f>
        <v>-8095.1262380000007</v>
      </c>
      <c r="C4" s="395">
        <f>C17</f>
        <v>50887.300776999997</v>
      </c>
      <c r="D4" s="396"/>
      <c r="E4" s="397">
        <v>2015</v>
      </c>
      <c r="F4" s="395">
        <f>O48/10^6</f>
        <v>87577.759902000005</v>
      </c>
      <c r="G4" s="395">
        <f>C30</f>
        <v>226423.00698500001</v>
      </c>
      <c r="H4" s="395">
        <f>C34</f>
        <v>12333.079250000001</v>
      </c>
      <c r="I4" s="395">
        <f>C33</f>
        <v>8938.5027840000002</v>
      </c>
      <c r="J4" s="398">
        <f>O79/10^6</f>
        <v>7474.15834</v>
      </c>
      <c r="K4" s="152"/>
      <c r="L4" s="441"/>
      <c r="N4" s="265" t="s">
        <v>428</v>
      </c>
      <c r="O4" s="156"/>
      <c r="P4" s="156"/>
      <c r="Q4" s="156"/>
      <c r="R4" s="266" t="s">
        <v>452</v>
      </c>
      <c r="V4" s="229" t="s">
        <v>1211</v>
      </c>
    </row>
    <row r="5" spans="2:25" ht="13.5" customHeight="1" x14ac:dyDescent="0.2">
      <c r="B5" s="399">
        <f>D14</f>
        <v>-19879.391634</v>
      </c>
      <c r="C5" s="400">
        <f>D17</f>
        <v>40757.897744000002</v>
      </c>
      <c r="D5" s="400"/>
      <c r="E5" s="401">
        <v>2016</v>
      </c>
      <c r="F5" s="400">
        <f>P48/10^6</f>
        <v>94568.671025000003</v>
      </c>
      <c r="G5" s="400">
        <f>D30</f>
        <v>210609.73179399999</v>
      </c>
      <c r="H5" s="400">
        <f>D34</f>
        <v>10217.156016999999</v>
      </c>
      <c r="I5" s="400">
        <f>D33</f>
        <v>7766.0377189999999</v>
      </c>
      <c r="J5" s="402">
        <f>P79/10^6</f>
        <v>7090.1836370000001</v>
      </c>
      <c r="K5" s="152"/>
      <c r="L5" s="441"/>
      <c r="M5" s="152"/>
      <c r="N5" s="196" t="s">
        <v>1212</v>
      </c>
      <c r="P5" s="260" t="s">
        <v>279</v>
      </c>
      <c r="R5" s="196" t="s">
        <v>1212</v>
      </c>
      <c r="T5" s="260" t="s">
        <v>279</v>
      </c>
      <c r="V5" s="229" t="s">
        <v>1213</v>
      </c>
    </row>
    <row r="6" spans="2:25" ht="13.5" customHeight="1" x14ac:dyDescent="0.3">
      <c r="N6" s="160" t="s">
        <v>413</v>
      </c>
      <c r="O6" s="238">
        <v>2015</v>
      </c>
      <c r="P6" s="238">
        <v>2016</v>
      </c>
      <c r="R6" s="203" t="s">
        <v>413</v>
      </c>
      <c r="S6" s="238">
        <v>2015</v>
      </c>
      <c r="T6" s="238">
        <v>2016</v>
      </c>
      <c r="V6" s="230" t="s">
        <v>583</v>
      </c>
      <c r="W6" s="231"/>
      <c r="X6" s="231"/>
      <c r="Y6" s="232"/>
    </row>
    <row r="7" spans="2:25" ht="12.95" customHeight="1" x14ac:dyDescent="0.3">
      <c r="N7" s="197" t="s">
        <v>886</v>
      </c>
      <c r="O7" s="223"/>
      <c r="P7" s="222"/>
      <c r="R7" s="197" t="s">
        <v>1214</v>
      </c>
      <c r="S7" s="210">
        <v>1923153634</v>
      </c>
      <c r="T7" s="211">
        <v>1069370482</v>
      </c>
      <c r="V7" s="464" t="s">
        <v>575</v>
      </c>
      <c r="W7" s="303" t="s">
        <v>347</v>
      </c>
      <c r="X7" s="303" t="s">
        <v>368</v>
      </c>
      <c r="Y7" s="307" t="s">
        <v>1055</v>
      </c>
    </row>
    <row r="8" spans="2:25" ht="12.95" customHeight="1" x14ac:dyDescent="0.3">
      <c r="N8" s="197" t="s">
        <v>283</v>
      </c>
      <c r="O8" s="210">
        <v>65534271872</v>
      </c>
      <c r="P8" s="211">
        <v>62715628803</v>
      </c>
      <c r="R8" s="212" t="s">
        <v>1215</v>
      </c>
      <c r="S8" s="211">
        <v>7474158340</v>
      </c>
      <c r="T8" s="211">
        <v>7090183637</v>
      </c>
      <c r="V8" s="197" t="s">
        <v>396</v>
      </c>
      <c r="W8" s="211">
        <v>318991</v>
      </c>
      <c r="X8" s="222" t="s">
        <v>22</v>
      </c>
      <c r="Y8" s="465" t="s">
        <v>1216</v>
      </c>
    </row>
    <row r="9" spans="2:25" ht="14.25" customHeight="1" x14ac:dyDescent="0.3">
      <c r="B9" s="156"/>
      <c r="C9" s="157" t="s">
        <v>1217</v>
      </c>
      <c r="D9" s="157" t="s">
        <v>1218</v>
      </c>
      <c r="N9" s="197" t="s">
        <v>1219</v>
      </c>
      <c r="O9" s="211">
        <v>21240657688</v>
      </c>
      <c r="P9" s="211">
        <v>25561149435</v>
      </c>
      <c r="R9" s="212" t="s">
        <v>1220</v>
      </c>
      <c r="S9" s="211">
        <v>14506139728</v>
      </c>
      <c r="T9" s="211">
        <v>8938936726</v>
      </c>
      <c r="V9" s="286" t="s">
        <v>409</v>
      </c>
      <c r="W9" s="211">
        <v>4884358</v>
      </c>
      <c r="X9" s="211">
        <v>5631078</v>
      </c>
      <c r="Y9" s="465" t="s">
        <v>1221</v>
      </c>
    </row>
    <row r="10" spans="2:25" ht="12.95" customHeight="1" x14ac:dyDescent="0.3">
      <c r="B10" s="156" t="s">
        <v>1222</v>
      </c>
      <c r="C10" s="157" t="s">
        <v>1223</v>
      </c>
      <c r="D10" s="157" t="s">
        <v>1065</v>
      </c>
      <c r="N10" s="197" t="s">
        <v>1224</v>
      </c>
      <c r="O10" s="211">
        <v>19544584936</v>
      </c>
      <c r="P10" s="211">
        <v>15364315189</v>
      </c>
      <c r="R10" s="212" t="s">
        <v>1225</v>
      </c>
      <c r="S10" s="211">
        <v>88304682</v>
      </c>
      <c r="T10" s="211">
        <v>26885568</v>
      </c>
      <c r="V10" s="291"/>
      <c r="W10" s="211">
        <v>576916</v>
      </c>
      <c r="X10" s="211">
        <v>1031264</v>
      </c>
      <c r="Y10" s="465" t="s">
        <v>1216</v>
      </c>
    </row>
    <row r="11" spans="2:25" ht="12.95" customHeight="1" x14ac:dyDescent="0.3">
      <c r="B11" s="126" t="s">
        <v>1226</v>
      </c>
      <c r="C11" s="152">
        <f>(O30+O35)/10^6</f>
        <v>18606.805917999998</v>
      </c>
      <c r="D11" s="152">
        <f t="shared" ref="D11" si="0">(P30+P35)/10^6</f>
        <v>12344.1</v>
      </c>
      <c r="N11" s="197" t="s">
        <v>1227</v>
      </c>
      <c r="O11" s="211">
        <v>10646061132</v>
      </c>
      <c r="P11" s="211">
        <v>4574905199</v>
      </c>
      <c r="R11" s="212" t="s">
        <v>1228</v>
      </c>
      <c r="S11" s="211">
        <v>-130298185</v>
      </c>
      <c r="T11" s="211">
        <v>30992391</v>
      </c>
      <c r="V11" s="197" t="s">
        <v>369</v>
      </c>
      <c r="W11" s="225">
        <v>2000</v>
      </c>
      <c r="X11" s="225">
        <v>2000</v>
      </c>
      <c r="Y11" s="465" t="s">
        <v>624</v>
      </c>
    </row>
    <row r="12" spans="2:25" ht="12.95" customHeight="1" x14ac:dyDescent="0.3">
      <c r="B12" s="126" t="s">
        <v>1070</v>
      </c>
      <c r="C12" s="152">
        <f>O9/10^6</f>
        <v>21240.657687999999</v>
      </c>
      <c r="D12" s="152">
        <f>P9/10^6</f>
        <v>25561.149434999999</v>
      </c>
      <c r="N12" s="197" t="s">
        <v>1229</v>
      </c>
      <c r="O12" s="211">
        <v>7281040412</v>
      </c>
      <c r="P12" s="211">
        <v>9642337741</v>
      </c>
      <c r="R12" s="212" t="s">
        <v>1230</v>
      </c>
      <c r="S12" s="211">
        <v>1065778356</v>
      </c>
      <c r="T12" s="211">
        <v>4224442</v>
      </c>
      <c r="V12" s="466" t="s">
        <v>361</v>
      </c>
      <c r="W12" s="249">
        <v>5782265</v>
      </c>
      <c r="X12" s="249">
        <v>6664342</v>
      </c>
      <c r="Y12" s="467"/>
    </row>
    <row r="13" spans="2:25" ht="12.95" customHeight="1" x14ac:dyDescent="0.3">
      <c r="B13" s="126" t="s">
        <v>1072</v>
      </c>
      <c r="C13" s="152">
        <f>O13/10^6</f>
        <v>5461.2744679999996</v>
      </c>
      <c r="D13" s="152">
        <f>P13/10^6</f>
        <v>6662.3421989999997</v>
      </c>
      <c r="N13" s="197" t="s">
        <v>1231</v>
      </c>
      <c r="O13" s="211">
        <v>5461274468</v>
      </c>
      <c r="P13" s="211">
        <v>6662342199</v>
      </c>
      <c r="R13" s="212" t="s">
        <v>337</v>
      </c>
      <c r="S13" s="211">
        <v>1726835306</v>
      </c>
      <c r="T13" s="211">
        <v>1056027008</v>
      </c>
    </row>
    <row r="14" spans="2:25" ht="12.95" customHeight="1" x14ac:dyDescent="0.3">
      <c r="B14" s="156" t="s">
        <v>1075</v>
      </c>
      <c r="C14" s="165">
        <f>-SUM(C12:C13)+C11+C15</f>
        <v>-8095.1262380000007</v>
      </c>
      <c r="D14" s="165">
        <f t="shared" ref="D14" si="1">-SUM(D12:D13)+D11+D15</f>
        <v>-19879.391634</v>
      </c>
      <c r="N14" s="197" t="s">
        <v>1232</v>
      </c>
      <c r="O14" s="211">
        <v>1360653236</v>
      </c>
      <c r="P14" s="211">
        <v>910579040</v>
      </c>
      <c r="R14" s="212" t="s">
        <v>1233</v>
      </c>
      <c r="S14" s="211">
        <v>29362895</v>
      </c>
      <c r="T14" s="211">
        <v>23003312</v>
      </c>
    </row>
    <row r="15" spans="2:25" ht="12.95" customHeight="1" x14ac:dyDescent="0.3">
      <c r="B15" s="479"/>
      <c r="C15" s="480"/>
      <c r="D15" s="480"/>
      <c r="N15" s="197" t="s">
        <v>290</v>
      </c>
      <c r="O15" s="210">
        <v>85830871652</v>
      </c>
      <c r="P15" s="211">
        <v>74304106502</v>
      </c>
      <c r="R15" s="212" t="s">
        <v>897</v>
      </c>
      <c r="S15" s="211">
        <v>32439929</v>
      </c>
      <c r="T15" s="211">
        <v>17507637</v>
      </c>
    </row>
    <row r="16" spans="2:25" ht="12.95" customHeight="1" x14ac:dyDescent="0.3">
      <c r="C16" s="152"/>
      <c r="D16" s="152"/>
      <c r="N16" s="197" t="s">
        <v>1224</v>
      </c>
      <c r="O16" s="222" t="s">
        <v>22</v>
      </c>
      <c r="P16" s="211">
        <v>66168923</v>
      </c>
      <c r="R16" s="212" t="s">
        <v>1234</v>
      </c>
      <c r="S16" s="211">
        <v>45446037</v>
      </c>
      <c r="T16" s="211">
        <v>32213070</v>
      </c>
      <c r="V16" s="229" t="s">
        <v>1235</v>
      </c>
    </row>
    <row r="17" spans="2:26" ht="12.95" customHeight="1" x14ac:dyDescent="0.3">
      <c r="B17" s="156" t="s">
        <v>49</v>
      </c>
      <c r="C17" s="165">
        <f>SUM(C18:C22)</f>
        <v>50887.300776999997</v>
      </c>
      <c r="D17" s="165">
        <f>SUM(D18:D22)</f>
        <v>40757.897744000002</v>
      </c>
      <c r="N17" s="197" t="s">
        <v>1236</v>
      </c>
      <c r="O17" s="211">
        <v>15175561796</v>
      </c>
      <c r="P17" s="211">
        <v>13645537600</v>
      </c>
      <c r="R17" s="212" t="s">
        <v>1237</v>
      </c>
      <c r="S17" s="211">
        <v>16514114</v>
      </c>
      <c r="T17" s="222" t="s">
        <v>22</v>
      </c>
      <c r="V17" s="229" t="s">
        <v>1238</v>
      </c>
    </row>
    <row r="18" spans="2:26" ht="13.5" customHeight="1" x14ac:dyDescent="0.3">
      <c r="B18" s="126" t="s">
        <v>262</v>
      </c>
      <c r="C18" s="126">
        <f>W48/10^3</f>
        <v>2</v>
      </c>
      <c r="D18" s="126">
        <f>X48/10^3</f>
        <v>2</v>
      </c>
      <c r="N18" s="197" t="s">
        <v>1239</v>
      </c>
      <c r="O18" s="211">
        <v>20011786352</v>
      </c>
      <c r="P18" s="211">
        <v>21492107897</v>
      </c>
      <c r="R18" s="212" t="s">
        <v>339</v>
      </c>
      <c r="S18" s="211">
        <v>1667741160</v>
      </c>
      <c r="T18" s="211">
        <v>1395091290</v>
      </c>
      <c r="V18" s="230" t="s">
        <v>583</v>
      </c>
      <c r="W18" s="231"/>
      <c r="X18" s="231"/>
      <c r="Y18" s="231"/>
      <c r="Z18" s="232"/>
    </row>
    <row r="19" spans="2:26" ht="13.5" customHeight="1" x14ac:dyDescent="0.3">
      <c r="B19" s="126" t="s">
        <v>263</v>
      </c>
      <c r="C19" s="152">
        <f>O19/10^6</f>
        <v>5655.468629</v>
      </c>
      <c r="D19" s="152">
        <f>P19/10^6</f>
        <v>5600.2522470000004</v>
      </c>
      <c r="N19" s="197" t="s">
        <v>1240</v>
      </c>
      <c r="O19" s="211">
        <v>5655468629</v>
      </c>
      <c r="P19" s="211">
        <v>5600252247</v>
      </c>
      <c r="R19" s="212" t="s">
        <v>1241</v>
      </c>
      <c r="S19" s="222" t="s">
        <v>22</v>
      </c>
      <c r="T19" s="211">
        <v>1162338997</v>
      </c>
      <c r="V19" s="234" t="s">
        <v>562</v>
      </c>
      <c r="W19" s="235" t="s">
        <v>347</v>
      </c>
      <c r="X19" s="237"/>
      <c r="Y19" s="235" t="s">
        <v>368</v>
      </c>
      <c r="Z19" s="236"/>
    </row>
    <row r="20" spans="2:26" ht="12.95" customHeight="1" x14ac:dyDescent="0.3">
      <c r="B20" s="126" t="s">
        <v>264</v>
      </c>
      <c r="C20" s="152">
        <f>O18/10^6</f>
        <v>20011.786351999999</v>
      </c>
      <c r="D20" s="152">
        <f t="shared" ref="D20" si="2">P18/10^6</f>
        <v>21492.107897000002</v>
      </c>
      <c r="N20" s="197" t="s">
        <v>1242</v>
      </c>
      <c r="O20" s="211">
        <v>9035480404</v>
      </c>
      <c r="P20" s="211">
        <v>2628029379</v>
      </c>
      <c r="R20" s="212" t="s">
        <v>1243</v>
      </c>
      <c r="S20" s="222" t="s">
        <v>22</v>
      </c>
      <c r="T20" s="211">
        <v>439866526</v>
      </c>
      <c r="V20" s="174"/>
      <c r="W20" s="303" t="s">
        <v>628</v>
      </c>
      <c r="X20" s="307" t="s">
        <v>629</v>
      </c>
      <c r="Y20" s="303" t="s">
        <v>628</v>
      </c>
      <c r="Z20" s="303" t="s">
        <v>629</v>
      </c>
    </row>
    <row r="21" spans="2:26" ht="12.95" customHeight="1" x14ac:dyDescent="0.3">
      <c r="B21" s="126" t="s">
        <v>265</v>
      </c>
      <c r="C21" s="152">
        <f>O17/10^6-C18</f>
        <v>15173.561796</v>
      </c>
      <c r="D21" s="152">
        <f>P17/10^6-D18</f>
        <v>13643.5376</v>
      </c>
      <c r="N21" s="197" t="s">
        <v>1244</v>
      </c>
      <c r="O21" s="211">
        <v>18795663701</v>
      </c>
      <c r="P21" s="211">
        <v>24993868951</v>
      </c>
      <c r="R21" s="212" t="s">
        <v>1245</v>
      </c>
      <c r="S21" s="211">
        <v>446578757</v>
      </c>
      <c r="T21" s="222" t="s">
        <v>22</v>
      </c>
      <c r="V21" s="158" t="s">
        <v>554</v>
      </c>
      <c r="W21" s="225">
        <v>9978385</v>
      </c>
      <c r="X21" s="243" t="s">
        <v>22</v>
      </c>
      <c r="Y21" s="225">
        <v>3627563</v>
      </c>
      <c r="Z21" s="225">
        <v>1830920</v>
      </c>
    </row>
    <row r="22" spans="2:26" ht="12.95" customHeight="1" x14ac:dyDescent="0.3">
      <c r="B22" s="126" t="s">
        <v>266</v>
      </c>
      <c r="C22" s="152">
        <f>SUM(W25,X29)/10^3</f>
        <v>10044.484</v>
      </c>
      <c r="D22" s="152">
        <f>SUM(Y25,Z29)/10^3</f>
        <v>20</v>
      </c>
      <c r="N22" s="197" t="s">
        <v>1246</v>
      </c>
      <c r="O22" s="211">
        <v>15522770350</v>
      </c>
      <c r="P22" s="211">
        <v>5780403724</v>
      </c>
      <c r="R22" s="212" t="s">
        <v>516</v>
      </c>
      <c r="S22" s="211">
        <v>4259215432</v>
      </c>
      <c r="T22" s="211">
        <v>1987442857</v>
      </c>
      <c r="V22" s="158" t="s">
        <v>425</v>
      </c>
      <c r="W22" s="225">
        <v>-933323</v>
      </c>
      <c r="X22" s="243" t="s">
        <v>22</v>
      </c>
      <c r="Y22" s="225">
        <v>-49040</v>
      </c>
      <c r="Z22" s="225">
        <v>-728433</v>
      </c>
    </row>
    <row r="23" spans="2:26" ht="12.95" customHeight="1" x14ac:dyDescent="0.3">
      <c r="C23" s="152"/>
      <c r="D23" s="152"/>
      <c r="N23" s="197" t="s">
        <v>1247</v>
      </c>
      <c r="O23" s="211">
        <v>1634140420</v>
      </c>
      <c r="P23" s="211">
        <v>97737781</v>
      </c>
      <c r="R23" s="212" t="s">
        <v>896</v>
      </c>
      <c r="S23" s="211">
        <v>7657508463</v>
      </c>
      <c r="T23" s="211">
        <v>5106958599</v>
      </c>
      <c r="V23" s="158" t="s">
        <v>417</v>
      </c>
      <c r="W23" s="224" t="s">
        <v>22</v>
      </c>
      <c r="X23" s="243" t="s">
        <v>22</v>
      </c>
      <c r="Y23" s="224" t="s">
        <v>22</v>
      </c>
      <c r="Z23" s="225">
        <v>-123719</v>
      </c>
    </row>
    <row r="24" spans="2:26" ht="12.95" customHeight="1" x14ac:dyDescent="0.3">
      <c r="C24" s="152"/>
      <c r="D24" s="152"/>
      <c r="N24" s="197" t="s">
        <v>952</v>
      </c>
      <c r="O24" s="210">
        <v>151365143524</v>
      </c>
      <c r="P24" s="211">
        <v>137019735305</v>
      </c>
      <c r="R24" s="212" t="s">
        <v>1248</v>
      </c>
      <c r="S24" s="211">
        <v>1389476004</v>
      </c>
      <c r="T24" s="211">
        <v>539571253</v>
      </c>
      <c r="V24" s="158" t="s">
        <v>555</v>
      </c>
      <c r="W24" s="225">
        <v>189583</v>
      </c>
      <c r="X24" s="243" t="s">
        <v>22</v>
      </c>
      <c r="Y24" s="225">
        <v>73601</v>
      </c>
      <c r="Z24" s="224" t="s">
        <v>22</v>
      </c>
    </row>
    <row r="25" spans="2:26" ht="12.95" customHeight="1" x14ac:dyDescent="0.3">
      <c r="C25" s="152"/>
      <c r="D25" s="152"/>
      <c r="N25" s="197" t="s">
        <v>894</v>
      </c>
      <c r="O25" s="223"/>
      <c r="P25" s="222"/>
      <c r="R25" s="212" t="s">
        <v>1249</v>
      </c>
      <c r="S25" s="211">
        <v>176718651</v>
      </c>
      <c r="T25" s="211">
        <v>123985063</v>
      </c>
      <c r="V25" s="158" t="s">
        <v>574</v>
      </c>
      <c r="W25" s="225">
        <v>44500</v>
      </c>
      <c r="X25" s="243" t="s">
        <v>22</v>
      </c>
      <c r="Y25" s="225">
        <v>20000</v>
      </c>
      <c r="Z25" s="224" t="s">
        <v>22</v>
      </c>
    </row>
    <row r="26" spans="2:26" ht="12.95" customHeight="1" x14ac:dyDescent="0.3">
      <c r="C26" s="152"/>
      <c r="D26" s="152"/>
      <c r="N26" s="197" t="s">
        <v>299</v>
      </c>
      <c r="O26" s="210">
        <v>46220512180</v>
      </c>
      <c r="P26" s="211">
        <v>23575921173</v>
      </c>
      <c r="R26" s="212" t="s">
        <v>1250</v>
      </c>
      <c r="S26" s="211">
        <v>1235508429</v>
      </c>
      <c r="T26" s="211">
        <v>231013621</v>
      </c>
      <c r="V26" s="158" t="s">
        <v>553</v>
      </c>
      <c r="W26" s="225">
        <v>1364715</v>
      </c>
      <c r="X26" s="243" t="s">
        <v>22</v>
      </c>
      <c r="Y26" s="225">
        <v>769739</v>
      </c>
      <c r="Z26" s="224" t="s">
        <v>22</v>
      </c>
    </row>
    <row r="27" spans="2:26" ht="12.95" customHeight="1" x14ac:dyDescent="0.3">
      <c r="C27" s="152"/>
      <c r="D27" s="152"/>
      <c r="N27" s="197" t="s">
        <v>1251</v>
      </c>
      <c r="O27" s="211">
        <v>8745162202</v>
      </c>
      <c r="P27" s="211">
        <v>6132163585</v>
      </c>
      <c r="R27" s="212" t="s">
        <v>1252</v>
      </c>
      <c r="S27" s="211">
        <v>-115653664</v>
      </c>
      <c r="T27" s="211">
        <v>-11711851</v>
      </c>
      <c r="V27" s="158" t="s">
        <v>1253</v>
      </c>
      <c r="W27" s="225">
        <v>2201</v>
      </c>
      <c r="X27" s="243" t="s">
        <v>22</v>
      </c>
      <c r="Y27" s="225">
        <v>133042</v>
      </c>
      <c r="Z27" s="224" t="s">
        <v>22</v>
      </c>
    </row>
    <row r="28" spans="2:26" ht="12.95" customHeight="1" x14ac:dyDescent="0.3">
      <c r="B28" s="156"/>
      <c r="C28" s="157" t="s">
        <v>1254</v>
      </c>
      <c r="D28" s="157" t="s">
        <v>739</v>
      </c>
      <c r="N28" s="197" t="s">
        <v>1255</v>
      </c>
      <c r="O28" s="211">
        <v>16900634711</v>
      </c>
      <c r="P28" s="211">
        <v>10545482601</v>
      </c>
      <c r="R28" s="212" t="s">
        <v>1256</v>
      </c>
      <c r="S28" s="211">
        <v>-416108154</v>
      </c>
      <c r="T28" s="211">
        <v>-836120505</v>
      </c>
      <c r="V28" s="158" t="s">
        <v>371</v>
      </c>
      <c r="W28" s="224" t="s">
        <v>22</v>
      </c>
      <c r="X28" s="247">
        <v>5522786</v>
      </c>
      <c r="Y28" s="224" t="s">
        <v>22</v>
      </c>
      <c r="Z28" s="225">
        <v>4801636</v>
      </c>
    </row>
    <row r="29" spans="2:26" ht="12.95" customHeight="1" x14ac:dyDescent="0.3">
      <c r="B29" s="156" t="s">
        <v>578</v>
      </c>
      <c r="C29" s="157" t="s">
        <v>612</v>
      </c>
      <c r="D29" s="157" t="s">
        <v>612</v>
      </c>
      <c r="N29" s="197" t="s">
        <v>1257</v>
      </c>
      <c r="O29" s="211">
        <v>10312009349</v>
      </c>
      <c r="P29" s="211">
        <v>6201344987</v>
      </c>
      <c r="R29" s="212" t="s">
        <v>1258</v>
      </c>
      <c r="S29" s="211">
        <v>-105113805</v>
      </c>
      <c r="T29" s="211">
        <v>-121262530</v>
      </c>
      <c r="V29" s="158" t="s">
        <v>576</v>
      </c>
      <c r="W29" s="224" t="s">
        <v>22</v>
      </c>
      <c r="X29" s="247">
        <v>9999984</v>
      </c>
      <c r="Y29" s="224" t="s">
        <v>22</v>
      </c>
      <c r="Z29" s="224" t="s">
        <v>22</v>
      </c>
    </row>
    <row r="30" spans="2:26" ht="12.95" customHeight="1" x14ac:dyDescent="0.3">
      <c r="B30" s="126" t="s">
        <v>742</v>
      </c>
      <c r="C30" s="152">
        <f>O56/10^6</f>
        <v>226423.00698500001</v>
      </c>
      <c r="D30" s="152">
        <f>P56/10^6</f>
        <v>210609.73179399999</v>
      </c>
      <c r="N30" s="197" t="s">
        <v>1259</v>
      </c>
      <c r="O30" s="211">
        <v>10262705918</v>
      </c>
      <c r="P30" s="211">
        <v>696930000</v>
      </c>
      <c r="R30" s="212" t="s">
        <v>1260</v>
      </c>
      <c r="S30" s="211">
        <v>-249281209</v>
      </c>
      <c r="T30" s="222" t="s">
        <v>22</v>
      </c>
      <c r="V30" s="466" t="s">
        <v>1261</v>
      </c>
      <c r="W30" s="249">
        <v>10646061</v>
      </c>
      <c r="X30" s="250">
        <v>15522770</v>
      </c>
      <c r="Y30" s="249">
        <v>4574905</v>
      </c>
      <c r="Z30" s="249">
        <v>5780404</v>
      </c>
    </row>
    <row r="31" spans="2:26" ht="12.95" customHeight="1" x14ac:dyDescent="0.3">
      <c r="B31" s="126" t="s">
        <v>744</v>
      </c>
      <c r="C31" s="152">
        <f t="shared" ref="C31:D33" si="3">O66/10^6</f>
        <v>25824.018949000001</v>
      </c>
      <c r="D31" s="152">
        <f t="shared" si="3"/>
        <v>24618.764403000001</v>
      </c>
      <c r="N31" s="197" t="s">
        <v>304</v>
      </c>
      <c r="O31" s="210">
        <v>17566871442</v>
      </c>
      <c r="P31" s="211">
        <v>18875143107</v>
      </c>
      <c r="R31" s="212" t="s">
        <v>898</v>
      </c>
      <c r="S31" s="211">
        <v>-2917064288</v>
      </c>
      <c r="T31" s="211">
        <v>-2214167874</v>
      </c>
    </row>
    <row r="32" spans="2:26" ht="12.95" customHeight="1" x14ac:dyDescent="0.3">
      <c r="B32" s="126" t="s">
        <v>616</v>
      </c>
      <c r="C32" s="152">
        <f t="shared" si="3"/>
        <v>16885.516165000001</v>
      </c>
      <c r="D32" s="152">
        <f t="shared" si="3"/>
        <v>16852.726684000001</v>
      </c>
      <c r="N32" s="197" t="s">
        <v>1251</v>
      </c>
      <c r="O32" s="222" t="s">
        <v>22</v>
      </c>
      <c r="P32" s="211">
        <v>2149062956</v>
      </c>
      <c r="R32" s="212" t="s">
        <v>1262</v>
      </c>
      <c r="S32" s="211">
        <v>-488861255</v>
      </c>
      <c r="T32" s="222" t="s">
        <v>22</v>
      </c>
    </row>
    <row r="33" spans="2:25" ht="12.95" customHeight="1" x14ac:dyDescent="0.3">
      <c r="B33" s="126" t="s">
        <v>746</v>
      </c>
      <c r="C33" s="152">
        <f t="shared" si="3"/>
        <v>8938.5027840000002</v>
      </c>
      <c r="D33" s="152">
        <f t="shared" si="3"/>
        <v>7766.0377189999999</v>
      </c>
      <c r="N33" s="197" t="s">
        <v>1263</v>
      </c>
      <c r="O33" s="211">
        <v>3626954249</v>
      </c>
      <c r="P33" s="211">
        <v>387725644</v>
      </c>
      <c r="R33" s="212" t="s">
        <v>1264</v>
      </c>
      <c r="S33" s="211">
        <v>-205363520</v>
      </c>
      <c r="T33" s="222" t="s">
        <v>22</v>
      </c>
      <c r="V33" s="229" t="s">
        <v>1265</v>
      </c>
    </row>
    <row r="34" spans="2:25" ht="12.95" customHeight="1" x14ac:dyDescent="0.3">
      <c r="B34" s="126" t="s">
        <v>270</v>
      </c>
      <c r="C34" s="152">
        <f>C33+C36</f>
        <v>12333.079250000001</v>
      </c>
      <c r="D34" s="152">
        <f>D33+D36</f>
        <v>10217.156016999999</v>
      </c>
      <c r="N34" s="197" t="s">
        <v>1255</v>
      </c>
      <c r="O34" s="211">
        <v>1721878935</v>
      </c>
      <c r="P34" s="211">
        <v>2338596097</v>
      </c>
      <c r="R34" s="212" t="s">
        <v>1266</v>
      </c>
      <c r="S34" s="211">
        <v>-298437407</v>
      </c>
      <c r="T34" s="222" t="s">
        <v>22</v>
      </c>
      <c r="V34" s="229" t="s">
        <v>1267</v>
      </c>
    </row>
    <row r="35" spans="2:25" ht="13.5" customHeight="1" x14ac:dyDescent="0.3">
      <c r="C35" s="152"/>
      <c r="D35" s="152"/>
      <c r="N35" s="197" t="s">
        <v>1268</v>
      </c>
      <c r="O35" s="211">
        <v>8344100000</v>
      </c>
      <c r="P35" s="211">
        <v>11647170000</v>
      </c>
      <c r="R35" s="212" t="s">
        <v>1269</v>
      </c>
      <c r="S35" s="211">
        <v>-405107000</v>
      </c>
      <c r="T35" s="211">
        <v>-54922148</v>
      </c>
      <c r="V35" s="230" t="s">
        <v>583</v>
      </c>
      <c r="W35" s="231"/>
      <c r="X35" s="231"/>
      <c r="Y35" s="232"/>
    </row>
    <row r="36" spans="2:25" ht="12.95" customHeight="1" x14ac:dyDescent="0.3">
      <c r="B36" s="126" t="s">
        <v>273</v>
      </c>
      <c r="C36" s="152">
        <f>SUM(S13,S18)/10^6</f>
        <v>3394.576466</v>
      </c>
      <c r="D36" s="152">
        <f t="shared" ref="D36" si="4">SUM(T13,T18)/10^6</f>
        <v>2451.1182979999999</v>
      </c>
      <c r="N36" s="197" t="s">
        <v>1270</v>
      </c>
      <c r="O36" s="211">
        <v>1786051947</v>
      </c>
      <c r="P36" s="211">
        <v>1019498028</v>
      </c>
      <c r="R36" s="212" t="s">
        <v>1271</v>
      </c>
      <c r="S36" s="211">
        <v>-15350335333</v>
      </c>
      <c r="T36" s="211">
        <v>-12474744155</v>
      </c>
      <c r="V36" s="464" t="s">
        <v>562</v>
      </c>
      <c r="W36" s="303" t="s">
        <v>427</v>
      </c>
      <c r="X36" s="307" t="s">
        <v>347</v>
      </c>
      <c r="Y36" s="303" t="s">
        <v>368</v>
      </c>
    </row>
    <row r="37" spans="2:25" ht="14.25" customHeight="1" x14ac:dyDescent="0.3">
      <c r="C37" s="152"/>
      <c r="D37" s="152"/>
      <c r="N37" s="197" t="s">
        <v>1272</v>
      </c>
      <c r="O37" s="211">
        <v>633935886</v>
      </c>
      <c r="P37" s="211">
        <v>702531158</v>
      </c>
      <c r="R37" s="212" t="s">
        <v>1273</v>
      </c>
      <c r="S37" s="211">
        <v>-326104439</v>
      </c>
      <c r="T37" s="211">
        <v>-595233454</v>
      </c>
      <c r="V37" s="286" t="s">
        <v>409</v>
      </c>
      <c r="W37" s="209" t="s">
        <v>1274</v>
      </c>
      <c r="X37" s="247">
        <v>742000</v>
      </c>
      <c r="Y37" s="225">
        <v>213600</v>
      </c>
    </row>
    <row r="38" spans="2:25" ht="12.95" customHeight="1" x14ac:dyDescent="0.3">
      <c r="C38" s="152"/>
      <c r="D38" s="152"/>
      <c r="N38" s="197" t="s">
        <v>1275</v>
      </c>
      <c r="O38" s="211">
        <v>1453950425</v>
      </c>
      <c r="P38" s="211">
        <v>630559224</v>
      </c>
      <c r="R38" s="212" t="s">
        <v>1276</v>
      </c>
      <c r="S38" s="211">
        <v>14033249866</v>
      </c>
      <c r="T38" s="211">
        <v>4922959334</v>
      </c>
      <c r="V38" s="291"/>
      <c r="W38" s="209" t="s">
        <v>1277</v>
      </c>
      <c r="X38" s="247">
        <v>4719274</v>
      </c>
      <c r="Y38" s="225">
        <v>6448742</v>
      </c>
    </row>
    <row r="39" spans="2:25" ht="12.95" customHeight="1" x14ac:dyDescent="0.3">
      <c r="C39" s="152"/>
      <c r="D39" s="152"/>
      <c r="N39" s="197" t="s">
        <v>968</v>
      </c>
      <c r="O39" s="210">
        <v>63787383622</v>
      </c>
      <c r="P39" s="211">
        <v>42451064280</v>
      </c>
      <c r="R39" s="212" t="s">
        <v>899</v>
      </c>
      <c r="S39" s="211">
        <v>2394949075</v>
      </c>
      <c r="T39" s="211">
        <v>4730379154</v>
      </c>
      <c r="V39" s="466" t="s">
        <v>1261</v>
      </c>
      <c r="W39" s="258"/>
      <c r="X39" s="250">
        <v>5461274</v>
      </c>
      <c r="Y39" s="249">
        <v>6662342</v>
      </c>
    </row>
    <row r="40" spans="2:25" ht="12.95" customHeight="1" x14ac:dyDescent="0.3">
      <c r="C40" s="152"/>
      <c r="D40" s="152"/>
      <c r="N40" s="197" t="s">
        <v>971</v>
      </c>
      <c r="O40" s="223"/>
      <c r="P40" s="222"/>
      <c r="R40" s="212" t="s">
        <v>1278</v>
      </c>
      <c r="S40" s="211">
        <v>-9472925632</v>
      </c>
      <c r="T40" s="211">
        <v>594975144</v>
      </c>
    </row>
    <row r="41" spans="2:25" ht="12.95" customHeight="1" x14ac:dyDescent="0.3">
      <c r="C41" s="152"/>
      <c r="D41" s="152"/>
      <c r="N41" s="197" t="s">
        <v>1279</v>
      </c>
      <c r="O41" s="210">
        <v>86093788786</v>
      </c>
      <c r="P41" s="211">
        <v>93091855726</v>
      </c>
      <c r="R41" s="212" t="s">
        <v>1280</v>
      </c>
      <c r="S41" s="211">
        <v>-632589878</v>
      </c>
      <c r="T41" s="211">
        <v>-1658201187</v>
      </c>
    </row>
    <row r="42" spans="2:25" ht="12.95" customHeight="1" x14ac:dyDescent="0.3">
      <c r="C42" s="152"/>
      <c r="D42" s="152"/>
      <c r="N42" s="197" t="s">
        <v>1281</v>
      </c>
      <c r="O42" s="211">
        <v>4344465000</v>
      </c>
      <c r="P42" s="211">
        <v>4344465000</v>
      </c>
      <c r="R42" s="212" t="s">
        <v>1282</v>
      </c>
      <c r="S42" s="211">
        <v>-646899652</v>
      </c>
      <c r="T42" s="211">
        <v>-1789782971</v>
      </c>
    </row>
    <row r="43" spans="2:25" ht="12.95" customHeight="1" x14ac:dyDescent="0.3">
      <c r="C43" s="152"/>
      <c r="D43" s="152"/>
      <c r="N43" s="197" t="s">
        <v>1283</v>
      </c>
      <c r="O43" s="211">
        <v>8818644451</v>
      </c>
      <c r="P43" s="211">
        <v>8818644451</v>
      </c>
      <c r="R43" s="212" t="s">
        <v>900</v>
      </c>
      <c r="S43" s="211">
        <v>352803551</v>
      </c>
      <c r="T43" s="211">
        <v>284509994</v>
      </c>
    </row>
    <row r="44" spans="2:25" ht="12.95" customHeight="1" x14ac:dyDescent="0.3">
      <c r="C44" s="152"/>
      <c r="D44" s="152"/>
      <c r="N44" s="197" t="s">
        <v>1284</v>
      </c>
      <c r="O44" s="211">
        <v>-43867620972</v>
      </c>
      <c r="P44" s="211">
        <v>-43886774022</v>
      </c>
      <c r="R44" s="212" t="s">
        <v>1285</v>
      </c>
      <c r="S44" s="211">
        <v>-34020</v>
      </c>
      <c r="T44" s="222" t="s">
        <v>22</v>
      </c>
      <c r="V44" s="229" t="s">
        <v>1286</v>
      </c>
    </row>
    <row r="45" spans="2:25" ht="12.95" customHeight="1" x14ac:dyDescent="0.3">
      <c r="C45" s="152"/>
      <c r="D45" s="152"/>
      <c r="N45" s="197" t="s">
        <v>1287</v>
      </c>
      <c r="O45" s="211">
        <v>315656260</v>
      </c>
      <c r="P45" s="211">
        <v>569578087</v>
      </c>
      <c r="R45" s="212" t="s">
        <v>1288</v>
      </c>
      <c r="S45" s="211">
        <v>32145</v>
      </c>
      <c r="T45" s="211">
        <v>-34572268</v>
      </c>
      <c r="V45" s="229" t="s">
        <v>1289</v>
      </c>
    </row>
    <row r="46" spans="2:25" ht="13.5" customHeight="1" x14ac:dyDescent="0.3">
      <c r="C46" s="152"/>
      <c r="D46" s="152"/>
      <c r="N46" s="197" t="s">
        <v>1290</v>
      </c>
      <c r="O46" s="211">
        <v>116482644047</v>
      </c>
      <c r="P46" s="211">
        <v>123245942210</v>
      </c>
      <c r="R46" s="212" t="s">
        <v>1291</v>
      </c>
      <c r="S46" s="211">
        <v>-360143328</v>
      </c>
      <c r="T46" s="211">
        <v>450074196</v>
      </c>
      <c r="V46" s="230" t="s">
        <v>583</v>
      </c>
      <c r="W46" s="231"/>
      <c r="X46" s="232"/>
    </row>
    <row r="47" spans="2:25" ht="12.95" customHeight="1" x14ac:dyDescent="0.3">
      <c r="C47" s="152"/>
      <c r="D47" s="152"/>
      <c r="N47" s="197" t="s">
        <v>1292</v>
      </c>
      <c r="O47" s="210">
        <v>1483971116</v>
      </c>
      <c r="P47" s="211">
        <v>1476815299</v>
      </c>
      <c r="R47" s="212" t="s">
        <v>1293</v>
      </c>
      <c r="S47" s="211">
        <v>1244608121</v>
      </c>
      <c r="T47" s="222" t="s">
        <v>22</v>
      </c>
      <c r="V47" s="464" t="s">
        <v>562</v>
      </c>
      <c r="W47" s="307" t="s">
        <v>347</v>
      </c>
      <c r="X47" s="303" t="s">
        <v>368</v>
      </c>
    </row>
    <row r="48" spans="2:25" ht="12.95" customHeight="1" x14ac:dyDescent="0.3">
      <c r="C48" s="152"/>
      <c r="D48" s="152"/>
      <c r="N48" s="197" t="s">
        <v>982</v>
      </c>
      <c r="O48" s="210">
        <v>87577759902</v>
      </c>
      <c r="P48" s="211">
        <v>94568671025</v>
      </c>
      <c r="R48" s="212" t="s">
        <v>1294</v>
      </c>
      <c r="S48" s="211">
        <v>-11015099142</v>
      </c>
      <c r="T48" s="211">
        <v>-1313310738</v>
      </c>
      <c r="V48" s="158" t="s">
        <v>369</v>
      </c>
      <c r="W48" s="247">
        <v>2000</v>
      </c>
      <c r="X48" s="225">
        <v>2000</v>
      </c>
    </row>
    <row r="49" spans="3:24" ht="12.95" customHeight="1" x14ac:dyDescent="0.3">
      <c r="C49" s="152"/>
      <c r="D49" s="152"/>
      <c r="N49" s="183" t="s">
        <v>985</v>
      </c>
      <c r="O49" s="215">
        <v>151365143524</v>
      </c>
      <c r="P49" s="216">
        <v>137019735305</v>
      </c>
      <c r="R49" s="212" t="s">
        <v>1295</v>
      </c>
      <c r="S49" s="211">
        <v>-5569059330</v>
      </c>
      <c r="T49" s="211">
        <v>-4924414277</v>
      </c>
      <c r="V49" s="158" t="s">
        <v>556</v>
      </c>
      <c r="W49" s="247">
        <v>15173562</v>
      </c>
      <c r="X49" s="225">
        <v>13643538</v>
      </c>
    </row>
    <row r="50" spans="3:24" ht="12.95" customHeight="1" x14ac:dyDescent="0.3">
      <c r="C50" s="152"/>
      <c r="D50" s="152"/>
      <c r="N50" s="151"/>
      <c r="R50" s="212" t="s">
        <v>1296</v>
      </c>
      <c r="S50" s="211">
        <v>-1284966407</v>
      </c>
      <c r="T50" s="211">
        <v>527718564</v>
      </c>
      <c r="V50" s="466" t="s">
        <v>361</v>
      </c>
      <c r="W50" s="250">
        <v>15175562</v>
      </c>
      <c r="X50" s="249">
        <v>13645538</v>
      </c>
    </row>
    <row r="51" spans="3:24" ht="12.95" customHeight="1" x14ac:dyDescent="0.3">
      <c r="C51" s="152"/>
      <c r="D51" s="152"/>
      <c r="N51" s="153" t="s">
        <v>1297</v>
      </c>
      <c r="R51" s="212" t="s">
        <v>1298</v>
      </c>
      <c r="S51" s="211">
        <v>3046892720</v>
      </c>
      <c r="T51" s="211">
        <v>-3170812446</v>
      </c>
    </row>
    <row r="52" spans="3:24" ht="12.95" customHeight="1" x14ac:dyDescent="0.3">
      <c r="C52" s="152"/>
      <c r="D52" s="152"/>
      <c r="R52" s="212" t="s">
        <v>901</v>
      </c>
      <c r="S52" s="211">
        <v>443138228</v>
      </c>
      <c r="T52" s="211">
        <v>-142171008</v>
      </c>
    </row>
    <row r="53" spans="3:24" ht="12.95" customHeight="1" x14ac:dyDescent="0.3">
      <c r="C53" s="152"/>
      <c r="D53" s="152"/>
      <c r="N53" s="151" t="s">
        <v>1299</v>
      </c>
      <c r="R53" s="212" t="s">
        <v>1300</v>
      </c>
      <c r="S53" s="211">
        <v>912192762</v>
      </c>
      <c r="T53" s="211">
        <v>-1571248240</v>
      </c>
    </row>
    <row r="54" spans="3:24" ht="12.95" customHeight="1" x14ac:dyDescent="0.2">
      <c r="C54" s="152"/>
      <c r="D54" s="152"/>
      <c r="N54" s="196" t="s">
        <v>1212</v>
      </c>
      <c r="P54" s="260" t="s">
        <v>279</v>
      </c>
      <c r="R54" s="212" t="s">
        <v>1301</v>
      </c>
      <c r="S54" s="211">
        <v>3245804832</v>
      </c>
      <c r="T54" s="222" t="s">
        <v>22</v>
      </c>
    </row>
    <row r="55" spans="3:24" ht="12.95" customHeight="1" x14ac:dyDescent="0.3">
      <c r="N55" s="160" t="s">
        <v>413</v>
      </c>
      <c r="O55" s="238">
        <v>2015</v>
      </c>
      <c r="P55" s="238">
        <v>2016</v>
      </c>
      <c r="R55" s="212" t="s">
        <v>902</v>
      </c>
      <c r="S55" s="211">
        <v>-404763933</v>
      </c>
      <c r="T55" s="211">
        <v>-215570300</v>
      </c>
    </row>
    <row r="56" spans="3:24" ht="12.95" customHeight="1" x14ac:dyDescent="0.3">
      <c r="N56" s="197" t="s">
        <v>1302</v>
      </c>
      <c r="O56" s="210">
        <v>226423006985</v>
      </c>
      <c r="P56" s="211">
        <v>210609731794</v>
      </c>
      <c r="R56" s="212" t="s">
        <v>1303</v>
      </c>
      <c r="S56" s="211">
        <v>-10548184037</v>
      </c>
      <c r="T56" s="211">
        <v>-8310000000</v>
      </c>
    </row>
    <row r="57" spans="3:24" ht="12.95" customHeight="1" x14ac:dyDescent="0.3">
      <c r="N57" s="197" t="s">
        <v>1304</v>
      </c>
      <c r="O57" s="211">
        <v>209079571818</v>
      </c>
      <c r="P57" s="211">
        <v>197705863861</v>
      </c>
      <c r="R57" s="212" t="s">
        <v>1305</v>
      </c>
      <c r="S57" s="211">
        <v>739828247</v>
      </c>
      <c r="T57" s="211">
        <v>-248874970</v>
      </c>
    </row>
    <row r="58" spans="3:24" ht="12.95" customHeight="1" x14ac:dyDescent="0.3">
      <c r="N58" s="197" t="s">
        <v>1306</v>
      </c>
      <c r="O58" s="211">
        <v>15887292168</v>
      </c>
      <c r="P58" s="211">
        <v>12439483407</v>
      </c>
      <c r="R58" s="212" t="s">
        <v>1307</v>
      </c>
      <c r="S58" s="211">
        <v>-572098356</v>
      </c>
      <c r="T58" s="211">
        <v>-55389791</v>
      </c>
    </row>
    <row r="59" spans="3:24" ht="12.95" customHeight="1" x14ac:dyDescent="0.3">
      <c r="N59" s="197" t="s">
        <v>1308</v>
      </c>
      <c r="O59" s="211">
        <v>294250945</v>
      </c>
      <c r="P59" s="211">
        <v>267793997</v>
      </c>
      <c r="R59" s="212" t="s">
        <v>1309</v>
      </c>
      <c r="S59" s="211">
        <v>-256642135</v>
      </c>
      <c r="T59" s="222" t="s">
        <v>22</v>
      </c>
    </row>
    <row r="60" spans="3:24" ht="12.95" customHeight="1" x14ac:dyDescent="0.3">
      <c r="N60" s="197" t="s">
        <v>1310</v>
      </c>
      <c r="O60" s="211">
        <v>1161892054</v>
      </c>
      <c r="P60" s="211">
        <v>196590529</v>
      </c>
      <c r="R60" s="212" t="s">
        <v>1311</v>
      </c>
      <c r="S60" s="211">
        <v>-674324591</v>
      </c>
      <c r="T60" s="211">
        <v>44221109</v>
      </c>
    </row>
    <row r="61" spans="3:24" ht="12.95" customHeight="1" x14ac:dyDescent="0.3">
      <c r="N61" s="197" t="s">
        <v>1312</v>
      </c>
      <c r="O61" s="210">
        <v>200598988036</v>
      </c>
      <c r="P61" s="211">
        <v>185990967391</v>
      </c>
      <c r="R61" s="212" t="s">
        <v>1313</v>
      </c>
      <c r="S61" s="211">
        <v>-4706809101</v>
      </c>
      <c r="T61" s="211">
        <v>-2485005726</v>
      </c>
    </row>
    <row r="62" spans="3:24" ht="12.95" customHeight="1" x14ac:dyDescent="0.3">
      <c r="N62" s="197" t="s">
        <v>1314</v>
      </c>
      <c r="O62" s="211">
        <v>183246041157</v>
      </c>
      <c r="P62" s="211">
        <v>174817438840</v>
      </c>
      <c r="R62" s="197" t="s">
        <v>1315</v>
      </c>
      <c r="S62" s="210">
        <v>-12525507380</v>
      </c>
      <c r="T62" s="211">
        <v>10043102479</v>
      </c>
    </row>
    <row r="63" spans="3:24" ht="12.95" customHeight="1" x14ac:dyDescent="0.3">
      <c r="N63" s="197" t="s">
        <v>1316</v>
      </c>
      <c r="O63" s="211">
        <v>15837757028</v>
      </c>
      <c r="P63" s="211">
        <v>10369490585</v>
      </c>
      <c r="R63" s="212" t="s">
        <v>1317</v>
      </c>
      <c r="S63" s="211">
        <v>8151622142</v>
      </c>
      <c r="T63" s="211">
        <v>6006663056</v>
      </c>
    </row>
    <row r="64" spans="3:24" ht="12.95" customHeight="1" x14ac:dyDescent="0.3">
      <c r="N64" s="197" t="s">
        <v>1318</v>
      </c>
      <c r="O64" s="211">
        <v>364239445</v>
      </c>
      <c r="P64" s="211">
        <v>220963106</v>
      </c>
      <c r="R64" s="212" t="s">
        <v>1319</v>
      </c>
      <c r="S64" s="211">
        <v>652886039</v>
      </c>
      <c r="T64" s="211">
        <v>947136746</v>
      </c>
    </row>
    <row r="65" spans="14:20" ht="12.95" customHeight="1" x14ac:dyDescent="0.3">
      <c r="N65" s="197" t="s">
        <v>1320</v>
      </c>
      <c r="O65" s="211">
        <v>1150950406</v>
      </c>
      <c r="P65" s="211">
        <v>583074860</v>
      </c>
      <c r="R65" s="212" t="s">
        <v>1321</v>
      </c>
      <c r="S65" s="211">
        <v>9376995056</v>
      </c>
      <c r="T65" s="211">
        <v>5106380994</v>
      </c>
    </row>
    <row r="66" spans="14:20" ht="12.95" customHeight="1" x14ac:dyDescent="0.3">
      <c r="N66" s="197" t="s">
        <v>318</v>
      </c>
      <c r="O66" s="210">
        <v>25824018949</v>
      </c>
      <c r="P66" s="211">
        <v>24618764403</v>
      </c>
      <c r="R66" s="212" t="s">
        <v>1322</v>
      </c>
      <c r="S66" s="211">
        <v>918000000</v>
      </c>
      <c r="T66" s="222" t="s">
        <v>22</v>
      </c>
    </row>
    <row r="67" spans="14:20" ht="12.95" customHeight="1" x14ac:dyDescent="0.3">
      <c r="N67" s="197" t="s">
        <v>1323</v>
      </c>
      <c r="O67" s="210">
        <v>16885516165</v>
      </c>
      <c r="P67" s="211">
        <v>16852726684</v>
      </c>
      <c r="R67" s="212" t="s">
        <v>1324</v>
      </c>
      <c r="S67" s="211">
        <v>2647888970</v>
      </c>
      <c r="T67" s="211">
        <v>1893280000</v>
      </c>
    </row>
    <row r="68" spans="14:20" ht="12.95" customHeight="1" x14ac:dyDescent="0.3">
      <c r="N68" s="197" t="s">
        <v>320</v>
      </c>
      <c r="O68" s="210">
        <v>8938502784</v>
      </c>
      <c r="P68" s="211">
        <v>7766037719</v>
      </c>
      <c r="R68" s="212" t="s">
        <v>1325</v>
      </c>
      <c r="S68" s="211">
        <v>2750000000</v>
      </c>
      <c r="T68" s="222" t="s">
        <v>22</v>
      </c>
    </row>
    <row r="69" spans="14:20" ht="12.95" customHeight="1" x14ac:dyDescent="0.3">
      <c r="N69" s="197" t="s">
        <v>1326</v>
      </c>
      <c r="O69" s="210">
        <v>1268865012</v>
      </c>
      <c r="P69" s="211">
        <v>524055325</v>
      </c>
      <c r="R69" s="212" t="s">
        <v>905</v>
      </c>
      <c r="S69" s="211">
        <v>187862091</v>
      </c>
      <c r="T69" s="211">
        <v>258456142</v>
      </c>
    </row>
    <row r="70" spans="14:20" ht="12.95" customHeight="1" x14ac:dyDescent="0.3">
      <c r="N70" s="197" t="s">
        <v>1327</v>
      </c>
      <c r="O70" s="210">
        <v>1214236023</v>
      </c>
      <c r="P70" s="211">
        <v>1778105824</v>
      </c>
      <c r="R70" s="212" t="s">
        <v>1328</v>
      </c>
      <c r="S70" s="222" t="s">
        <v>22</v>
      </c>
      <c r="T70" s="211">
        <v>254545454</v>
      </c>
    </row>
    <row r="71" spans="14:20" ht="12.95" customHeight="1" x14ac:dyDescent="0.3">
      <c r="N71" s="197" t="s">
        <v>1329</v>
      </c>
      <c r="O71" s="210">
        <v>1585418456</v>
      </c>
      <c r="P71" s="211">
        <v>891042653</v>
      </c>
      <c r="R71" s="212" t="s">
        <v>904</v>
      </c>
      <c r="S71" s="211">
        <v>3678562899</v>
      </c>
      <c r="T71" s="211">
        <v>2446799408</v>
      </c>
    </row>
    <row r="72" spans="14:20" ht="12.95" customHeight="1" x14ac:dyDescent="0.3">
      <c r="N72" s="197" t="s">
        <v>1330</v>
      </c>
      <c r="O72" s="210">
        <v>778570762</v>
      </c>
      <c r="P72" s="211">
        <v>539571253</v>
      </c>
      <c r="R72" s="212" t="s">
        <v>903</v>
      </c>
      <c r="S72" s="211">
        <v>42500000</v>
      </c>
      <c r="T72" s="211">
        <v>24500000</v>
      </c>
    </row>
    <row r="73" spans="14:20" ht="12.95" customHeight="1" x14ac:dyDescent="0.3">
      <c r="N73" s="197" t="s">
        <v>1331</v>
      </c>
      <c r="O73" s="210">
        <v>2499439547</v>
      </c>
      <c r="P73" s="211">
        <v>2214167874</v>
      </c>
      <c r="R73" s="212" t="s">
        <v>1332</v>
      </c>
      <c r="S73" s="222" t="s">
        <v>22</v>
      </c>
      <c r="T73" s="211">
        <v>9999984000</v>
      </c>
    </row>
    <row r="74" spans="14:20" ht="12.95" customHeight="1" x14ac:dyDescent="0.3">
      <c r="N74" s="197" t="s">
        <v>898</v>
      </c>
      <c r="O74" s="211">
        <v>2499439547</v>
      </c>
      <c r="P74" s="211">
        <v>2214167874</v>
      </c>
      <c r="R74" s="212" t="s">
        <v>1333</v>
      </c>
      <c r="S74" s="211">
        <v>866757172</v>
      </c>
      <c r="T74" s="211">
        <v>788768477</v>
      </c>
    </row>
    <row r="75" spans="14:20" ht="12.95" customHeight="1" x14ac:dyDescent="0.3">
      <c r="N75" s="197" t="s">
        <v>1334</v>
      </c>
      <c r="O75" s="210">
        <v>12299419014</v>
      </c>
      <c r="P75" s="211">
        <v>9077626494</v>
      </c>
      <c r="R75" s="212" t="s">
        <v>1335</v>
      </c>
      <c r="S75" s="211">
        <v>-27516190</v>
      </c>
      <c r="T75" s="222" t="s">
        <v>22</v>
      </c>
    </row>
    <row r="76" spans="14:20" ht="12.95" customHeight="1" x14ac:dyDescent="0.3">
      <c r="N76" s="197" t="s">
        <v>1336</v>
      </c>
      <c r="O76" s="210">
        <v>4128592910</v>
      </c>
      <c r="P76" s="211">
        <v>1987442857</v>
      </c>
      <c r="R76" s="212" t="s">
        <v>1337</v>
      </c>
      <c r="S76" s="211">
        <v>-9636485577</v>
      </c>
      <c r="T76" s="211">
        <v>-6307448725</v>
      </c>
    </row>
    <row r="77" spans="14:20" ht="12.95" customHeight="1" x14ac:dyDescent="0.3">
      <c r="N77" s="197" t="s">
        <v>1338</v>
      </c>
      <c r="O77" s="210">
        <v>8170826104</v>
      </c>
      <c r="P77" s="211">
        <v>7090183637</v>
      </c>
      <c r="R77" s="212" t="s">
        <v>1339</v>
      </c>
      <c r="S77" s="211">
        <v>-519000000</v>
      </c>
      <c r="T77" s="222" t="s">
        <v>22</v>
      </c>
    </row>
    <row r="78" spans="14:20" ht="12.95" customHeight="1" x14ac:dyDescent="0.3">
      <c r="N78" s="197" t="s">
        <v>1340</v>
      </c>
      <c r="O78" s="210">
        <v>-696667764</v>
      </c>
      <c r="P78" s="222" t="s">
        <v>22</v>
      </c>
      <c r="R78" s="212" t="s">
        <v>1341</v>
      </c>
      <c r="S78" s="211">
        <v>-1688596850</v>
      </c>
      <c r="T78" s="211">
        <v>-37715000</v>
      </c>
    </row>
    <row r="79" spans="14:20" ht="12.95" customHeight="1" x14ac:dyDescent="0.3">
      <c r="N79" s="197" t="s">
        <v>1342</v>
      </c>
      <c r="O79" s="210">
        <v>7474158340</v>
      </c>
      <c r="P79" s="211">
        <v>7090183637</v>
      </c>
      <c r="R79" s="212" t="s">
        <v>1343</v>
      </c>
      <c r="S79" s="211">
        <v>-2055771000</v>
      </c>
      <c r="T79" s="222" t="s">
        <v>22</v>
      </c>
    </row>
    <row r="80" spans="14:20" ht="12.95" customHeight="1" x14ac:dyDescent="0.3">
      <c r="N80" s="197" t="s">
        <v>1344</v>
      </c>
      <c r="O80" s="211">
        <v>7891912471</v>
      </c>
      <c r="P80" s="211">
        <v>7097339454</v>
      </c>
      <c r="R80" s="212" t="s">
        <v>907</v>
      </c>
      <c r="S80" s="211">
        <v>-14452466580</v>
      </c>
      <c r="T80" s="211">
        <v>-9146822782</v>
      </c>
    </row>
    <row r="81" spans="14:20" ht="12.95" customHeight="1" x14ac:dyDescent="0.3">
      <c r="N81" s="197" t="s">
        <v>1345</v>
      </c>
      <c r="O81" s="211">
        <v>-417754131</v>
      </c>
      <c r="P81" s="211">
        <v>-7155817</v>
      </c>
      <c r="R81" s="212" t="s">
        <v>1346</v>
      </c>
      <c r="S81" s="211">
        <v>-593971414</v>
      </c>
      <c r="T81" s="211">
        <v>-5729549</v>
      </c>
    </row>
    <row r="82" spans="14:20" ht="12.95" customHeight="1" x14ac:dyDescent="0.3">
      <c r="N82" s="197" t="s">
        <v>1347</v>
      </c>
      <c r="O82" s="210">
        <v>3320090063</v>
      </c>
      <c r="P82" s="211">
        <v>-80119464</v>
      </c>
      <c r="R82" s="212" t="s">
        <v>1348</v>
      </c>
      <c r="S82" s="211">
        <v>-1928088514</v>
      </c>
      <c r="T82" s="211">
        <v>-460046552</v>
      </c>
    </row>
    <row r="83" spans="14:20" ht="12.95" customHeight="1" x14ac:dyDescent="0.3">
      <c r="N83" s="197" t="s">
        <v>1349</v>
      </c>
      <c r="O83" s="223"/>
      <c r="P83" s="222"/>
      <c r="R83" s="212" t="s">
        <v>906</v>
      </c>
      <c r="S83" s="211">
        <v>-1896185624</v>
      </c>
      <c r="T83" s="211">
        <v>-1725649190</v>
      </c>
    </row>
    <row r="84" spans="14:20" ht="12.95" customHeight="1" x14ac:dyDescent="0.3">
      <c r="N84" s="197" t="s">
        <v>1350</v>
      </c>
      <c r="O84" s="211">
        <v>2463787790</v>
      </c>
      <c r="P84" s="211">
        <v>-334041291</v>
      </c>
      <c r="R84" s="212" t="s">
        <v>1351</v>
      </c>
      <c r="S84" s="211">
        <v>-500000</v>
      </c>
      <c r="T84" s="222" t="s">
        <v>22</v>
      </c>
    </row>
    <row r="85" spans="14:20" ht="12.95" customHeight="1" x14ac:dyDescent="0.3">
      <c r="N85" s="197" t="s">
        <v>1352</v>
      </c>
      <c r="O85" s="223"/>
      <c r="P85" s="222"/>
      <c r="R85" s="212" t="s">
        <v>1353</v>
      </c>
      <c r="S85" s="211">
        <v>-9000000000</v>
      </c>
      <c r="T85" s="222" t="s">
        <v>22</v>
      </c>
    </row>
    <row r="86" spans="14:20" ht="12.95" customHeight="1" x14ac:dyDescent="0.3">
      <c r="N86" s="197" t="s">
        <v>1354</v>
      </c>
      <c r="O86" s="211">
        <v>664053310</v>
      </c>
      <c r="P86" s="211">
        <v>253921827</v>
      </c>
      <c r="R86" s="197" t="s">
        <v>1355</v>
      </c>
      <c r="S86" s="210">
        <v>9833118280</v>
      </c>
      <c r="T86" s="211">
        <v>-6820260569</v>
      </c>
    </row>
    <row r="87" spans="14:20" ht="12.95" customHeight="1" x14ac:dyDescent="0.3">
      <c r="N87" s="197" t="s">
        <v>1356</v>
      </c>
      <c r="O87" s="211">
        <v>192248963</v>
      </c>
      <c r="P87" s="222" t="s">
        <v>22</v>
      </c>
      <c r="R87" s="212" t="s">
        <v>1357</v>
      </c>
      <c r="S87" s="211">
        <v>11078335065</v>
      </c>
      <c r="T87" s="222" t="s">
        <v>22</v>
      </c>
    </row>
    <row r="88" spans="14:20" ht="12.95" customHeight="1" x14ac:dyDescent="0.3">
      <c r="N88" s="197" t="s">
        <v>1358</v>
      </c>
      <c r="O88" s="210">
        <v>10794248403</v>
      </c>
      <c r="P88" s="211">
        <v>7010064173</v>
      </c>
      <c r="R88" s="212" t="s">
        <v>1359</v>
      </c>
      <c r="S88" s="211">
        <v>14099984000</v>
      </c>
      <c r="T88" s="211">
        <v>4000000000</v>
      </c>
    </row>
    <row r="89" spans="14:20" ht="12.95" customHeight="1" x14ac:dyDescent="0.3">
      <c r="N89" s="197" t="s">
        <v>1360</v>
      </c>
      <c r="O89" s="211">
        <v>11091074078</v>
      </c>
      <c r="P89" s="211">
        <v>7017219990</v>
      </c>
      <c r="R89" s="212" t="s">
        <v>1361</v>
      </c>
      <c r="S89" s="211">
        <v>375412560</v>
      </c>
      <c r="T89" s="222" t="s">
        <v>22</v>
      </c>
    </row>
    <row r="90" spans="14:20" ht="12.95" customHeight="1" x14ac:dyDescent="0.3">
      <c r="N90" s="197" t="s">
        <v>1362</v>
      </c>
      <c r="O90" s="211">
        <v>-296825675</v>
      </c>
      <c r="P90" s="211">
        <v>-7155817</v>
      </c>
      <c r="R90" s="212" t="s">
        <v>1363</v>
      </c>
      <c r="S90" s="211">
        <v>-10577683601</v>
      </c>
      <c r="T90" s="222" t="s">
        <v>22</v>
      </c>
    </row>
    <row r="91" spans="14:20" ht="12.95" customHeight="1" x14ac:dyDescent="0.3">
      <c r="N91" s="197" t="s">
        <v>1364</v>
      </c>
      <c r="O91" s="223"/>
      <c r="P91" s="222"/>
      <c r="R91" s="212" t="s">
        <v>1365</v>
      </c>
      <c r="S91" s="211">
        <v>-279799996</v>
      </c>
      <c r="T91" s="211">
        <v>-652200000</v>
      </c>
    </row>
    <row r="92" spans="14:20" ht="12.95" customHeight="1" x14ac:dyDescent="0.3">
      <c r="N92" s="197" t="s">
        <v>1366</v>
      </c>
      <c r="O92" s="210">
        <v>5920</v>
      </c>
      <c r="P92" s="211">
        <v>8247</v>
      </c>
      <c r="R92" s="212" t="s">
        <v>1367</v>
      </c>
      <c r="S92" s="211">
        <v>-298200000</v>
      </c>
      <c r="T92" s="211">
        <v>-9802777375</v>
      </c>
    </row>
    <row r="93" spans="14:20" ht="12.95" customHeight="1" x14ac:dyDescent="0.3">
      <c r="N93" s="197" t="s">
        <v>1368</v>
      </c>
      <c r="O93" s="223">
        <v>-226</v>
      </c>
      <c r="P93" s="222" t="s">
        <v>22</v>
      </c>
      <c r="R93" s="212" t="s">
        <v>1369</v>
      </c>
      <c r="S93" s="211">
        <v>-916095156</v>
      </c>
      <c r="T93" s="211">
        <v>-346130144</v>
      </c>
    </row>
    <row r="94" spans="14:20" ht="12.95" customHeight="1" x14ac:dyDescent="0.3">
      <c r="N94" s="197" t="s">
        <v>1370</v>
      </c>
      <c r="O94" s="210">
        <v>5806</v>
      </c>
      <c r="P94" s="211">
        <v>8247</v>
      </c>
      <c r="R94" s="212" t="s">
        <v>1371</v>
      </c>
      <c r="S94" s="222" t="s">
        <v>22</v>
      </c>
      <c r="T94" s="211">
        <v>-19153050</v>
      </c>
    </row>
    <row r="95" spans="14:20" ht="12.95" customHeight="1" x14ac:dyDescent="0.3">
      <c r="N95" s="183" t="s">
        <v>1372</v>
      </c>
      <c r="O95" s="267">
        <v>-226</v>
      </c>
      <c r="P95" s="221" t="s">
        <v>22</v>
      </c>
      <c r="R95" s="212" t="s">
        <v>908</v>
      </c>
      <c r="S95" s="211">
        <v>-214400000</v>
      </c>
      <c r="T95" s="222" t="s">
        <v>22</v>
      </c>
    </row>
    <row r="96" spans="14:20" ht="12.95" customHeight="1" x14ac:dyDescent="0.3">
      <c r="N96" s="151"/>
      <c r="R96" s="212" t="s">
        <v>1373</v>
      </c>
      <c r="S96" s="211">
        <v>-3434434592</v>
      </c>
      <c r="T96" s="222" t="s">
        <v>22</v>
      </c>
    </row>
    <row r="97" spans="14:20" ht="12.95" customHeight="1" x14ac:dyDescent="0.3">
      <c r="N97" s="153" t="s">
        <v>1297</v>
      </c>
      <c r="R97" s="197" t="s">
        <v>1374</v>
      </c>
      <c r="S97" s="210">
        <v>-769235466</v>
      </c>
      <c r="T97" s="211">
        <v>4292212392</v>
      </c>
    </row>
    <row r="98" spans="14:20" ht="12.95" customHeight="1" x14ac:dyDescent="0.3">
      <c r="R98" s="197" t="s">
        <v>1375</v>
      </c>
      <c r="S98" s="210">
        <v>22178809252</v>
      </c>
      <c r="T98" s="211">
        <v>21428433385</v>
      </c>
    </row>
    <row r="99" spans="14:20" ht="12.95" customHeight="1" x14ac:dyDescent="0.3">
      <c r="R99" s="197" t="s">
        <v>1376</v>
      </c>
      <c r="S99" s="210">
        <v>18859599</v>
      </c>
      <c r="T99" s="222" t="s">
        <v>22</v>
      </c>
    </row>
    <row r="100" spans="14:20" ht="12.95" customHeight="1" x14ac:dyDescent="0.3">
      <c r="R100" s="183" t="s">
        <v>1377</v>
      </c>
      <c r="S100" s="215">
        <v>21428433385</v>
      </c>
      <c r="T100" s="216">
        <v>25720645777</v>
      </c>
    </row>
    <row r="101" spans="14:20" ht="12.95" customHeight="1" x14ac:dyDescent="0.3">
      <c r="R101" s="151"/>
    </row>
    <row r="102" spans="14:20" ht="12.95" customHeight="1" x14ac:dyDescent="0.3">
      <c r="R102" s="228" t="s">
        <v>1297</v>
      </c>
    </row>
  </sheetData>
  <phoneticPr fontId="3" type="noConversion"/>
  <conditionalFormatting sqref="F2:M3">
    <cfRule type="containsText" dxfId="6" priority="1" operator="containsText" text="NA">
      <formula>NOT(ISERROR(SEARCH("NA",F2)))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AK179"/>
  <sheetViews>
    <sheetView workbookViewId="0">
      <selection activeCell="D13" sqref="D13"/>
    </sheetView>
  </sheetViews>
  <sheetFormatPr defaultRowHeight="12.95" customHeight="1" x14ac:dyDescent="0.3"/>
  <cols>
    <col min="1" max="1" width="1.625" style="126" customWidth="1"/>
    <col min="2" max="3" width="13.75" style="152" bestFit="1" customWidth="1"/>
    <col min="4" max="4" width="9" style="152"/>
    <col min="5" max="5" width="9.25" style="152" bestFit="1" customWidth="1"/>
    <col min="6" max="10" width="9" style="152"/>
    <col min="11" max="11" width="1.625" style="152" customWidth="1"/>
    <col min="12" max="12" width="1.625" style="441" customWidth="1"/>
    <col min="13" max="13" width="1.625" style="126" customWidth="1"/>
    <col min="14" max="14" width="24.75" style="126" bestFit="1" customWidth="1"/>
    <col min="15" max="15" width="9.25" style="126" bestFit="1" customWidth="1"/>
    <col min="16" max="17" width="17.375" style="126" bestFit="1" customWidth="1"/>
    <col min="18" max="18" width="1.625" style="126" customWidth="1"/>
    <col min="19" max="19" width="36.125" style="126" customWidth="1"/>
    <col min="20" max="20" width="9.75" style="126" customWidth="1"/>
    <col min="21" max="22" width="14.375" style="126" bestFit="1" customWidth="1"/>
    <col min="23" max="23" width="1.625" style="126" customWidth="1"/>
    <col min="24" max="24" width="33.875" style="149" bestFit="1" customWidth="1"/>
    <col min="25" max="25" width="19.5" style="149" bestFit="1" customWidth="1"/>
    <col min="26" max="26" width="11.125" style="126" bestFit="1" customWidth="1"/>
    <col min="27" max="27" width="11.875" style="149" bestFit="1" customWidth="1"/>
    <col min="28" max="28" width="37.125" style="149" bestFit="1" customWidth="1"/>
    <col min="29" max="30" width="9.25" style="126" bestFit="1" customWidth="1"/>
    <col min="31" max="31" width="10.125" style="126" bestFit="1" customWidth="1"/>
    <col min="32" max="32" width="9" style="126"/>
    <col min="33" max="33" width="21.25" style="126" bestFit="1" customWidth="1"/>
    <col min="34" max="37" width="9.25" style="126" bestFit="1" customWidth="1"/>
    <col min="38" max="16384" width="9" style="126"/>
  </cols>
  <sheetData>
    <row r="2" spans="2:37" ht="12.95" customHeight="1" x14ac:dyDescent="0.3">
      <c r="B2" s="403" t="s">
        <v>0</v>
      </c>
      <c r="C2" s="404"/>
      <c r="D2" s="404" t="s">
        <v>34</v>
      </c>
      <c r="E2" s="404" t="s">
        <v>35</v>
      </c>
      <c r="F2" s="404"/>
      <c r="G2" s="404"/>
      <c r="H2" s="404"/>
      <c r="I2" s="404"/>
      <c r="J2" s="405"/>
      <c r="K2" s="147"/>
      <c r="L2" s="440"/>
      <c r="N2" s="462" t="s">
        <v>1722</v>
      </c>
    </row>
    <row r="3" spans="2:37" ht="12.95" customHeight="1" x14ac:dyDescent="0.3">
      <c r="B3" s="406" t="s">
        <v>8</v>
      </c>
      <c r="C3" s="407" t="s">
        <v>1696</v>
      </c>
      <c r="D3" s="407" t="s">
        <v>39</v>
      </c>
      <c r="E3" s="407" t="s">
        <v>40</v>
      </c>
      <c r="F3" s="407" t="s">
        <v>41</v>
      </c>
      <c r="G3" s="407" t="s">
        <v>42</v>
      </c>
      <c r="H3" s="407" t="s">
        <v>11</v>
      </c>
      <c r="I3" s="407" t="s">
        <v>10</v>
      </c>
      <c r="J3" s="408" t="s">
        <v>43</v>
      </c>
      <c r="K3" s="147"/>
      <c r="L3" s="440"/>
    </row>
    <row r="4" spans="2:37" ht="12.95" customHeight="1" x14ac:dyDescent="0.3">
      <c r="B4" s="394">
        <f>C13</f>
        <v>117925.28718100001</v>
      </c>
      <c r="C4" s="395">
        <f>SUM(C17:C21)</f>
        <v>34040.96948</v>
      </c>
      <c r="D4" s="396"/>
      <c r="E4" s="397" t="s">
        <v>1698</v>
      </c>
      <c r="F4" s="395">
        <f>P55/10^6</f>
        <v>180145.67475800001</v>
      </c>
      <c r="G4" s="395">
        <f>C29</f>
        <v>421868.93179300003</v>
      </c>
      <c r="H4" s="395">
        <f>C33</f>
        <v>81770.619105999998</v>
      </c>
      <c r="I4" s="395">
        <f>C32</f>
        <v>51166.931106000004</v>
      </c>
      <c r="J4" s="398">
        <f>U20/10^6</f>
        <v>34617.830718999998</v>
      </c>
      <c r="N4" s="156" t="s">
        <v>1378</v>
      </c>
      <c r="S4" s="268" t="s">
        <v>1299</v>
      </c>
      <c r="T4" s="268"/>
      <c r="X4" s="151" t="s">
        <v>1379</v>
      </c>
    </row>
    <row r="5" spans="2:37" ht="13.5" customHeight="1" x14ac:dyDescent="0.2">
      <c r="B5" s="399">
        <f>D13</f>
        <v>48381.327901999997</v>
      </c>
      <c r="C5" s="400">
        <f>SUM(D17:D21)</f>
        <v>22468.546632000001</v>
      </c>
      <c r="D5" s="400"/>
      <c r="E5" s="401" t="s">
        <v>1699</v>
      </c>
      <c r="F5" s="400">
        <f>Q55/10^6</f>
        <v>209037.430264</v>
      </c>
      <c r="G5" s="400">
        <f>D29</f>
        <v>504407.14531300002</v>
      </c>
      <c r="H5" s="400">
        <f>D33</f>
        <v>113382.399248</v>
      </c>
      <c r="I5" s="400">
        <f>D32</f>
        <v>83868.907248000003</v>
      </c>
      <c r="J5" s="402">
        <f>V20/10^6</f>
        <v>31015.336721</v>
      </c>
      <c r="N5" s="196" t="s">
        <v>1380</v>
      </c>
      <c r="O5" s="269"/>
      <c r="S5" s="196" t="s">
        <v>1380</v>
      </c>
      <c r="T5" s="269"/>
    </row>
    <row r="6" spans="2:37" ht="13.5" customHeight="1" x14ac:dyDescent="0.2">
      <c r="O6" s="260" t="s">
        <v>912</v>
      </c>
      <c r="T6" s="260" t="s">
        <v>912</v>
      </c>
      <c r="X6" s="151" t="s">
        <v>1381</v>
      </c>
      <c r="AG6" s="151" t="s">
        <v>1382</v>
      </c>
      <c r="AH6" s="149"/>
      <c r="AI6" s="149"/>
      <c r="AJ6" s="149"/>
      <c r="AK6" s="149"/>
    </row>
    <row r="7" spans="2:37" ht="12.95" customHeight="1" x14ac:dyDescent="0.3">
      <c r="N7" s="270" t="s">
        <v>413</v>
      </c>
      <c r="O7" s="217" t="s">
        <v>281</v>
      </c>
      <c r="P7" s="238">
        <v>2017</v>
      </c>
      <c r="Q7" s="238">
        <v>2018</v>
      </c>
      <c r="S7" s="270" t="s">
        <v>1383</v>
      </c>
      <c r="T7" s="217" t="s">
        <v>281</v>
      </c>
      <c r="U7" s="218">
        <v>2017</v>
      </c>
      <c r="V7" s="217">
        <v>2018</v>
      </c>
      <c r="X7" s="271" t="s">
        <v>884</v>
      </c>
      <c r="Y7" s="272"/>
      <c r="Z7" s="273"/>
      <c r="AA7" s="272"/>
      <c r="AB7" s="274"/>
      <c r="AG7" s="230" t="s">
        <v>884</v>
      </c>
      <c r="AH7" s="275"/>
      <c r="AI7" s="275"/>
      <c r="AJ7" s="275"/>
      <c r="AK7" s="187"/>
    </row>
    <row r="8" spans="2:37" ht="12.95" customHeight="1" x14ac:dyDescent="0.3">
      <c r="B8" s="126"/>
      <c r="C8" s="276" t="s">
        <v>1384</v>
      </c>
      <c r="D8" s="276" t="s">
        <v>1385</v>
      </c>
      <c r="N8" s="277" t="s">
        <v>1386</v>
      </c>
      <c r="O8" s="278"/>
      <c r="P8" s="243"/>
      <c r="Q8" s="224"/>
      <c r="S8" s="277" t="s">
        <v>998</v>
      </c>
      <c r="T8" s="278" t="s">
        <v>1387</v>
      </c>
      <c r="U8" s="247">
        <v>421868931793</v>
      </c>
      <c r="V8" s="225">
        <v>504407145313</v>
      </c>
      <c r="X8" s="279" t="s">
        <v>1388</v>
      </c>
      <c r="Y8" s="280" t="s">
        <v>885</v>
      </c>
      <c r="Z8" s="281">
        <v>2017</v>
      </c>
      <c r="AA8" s="280">
        <v>2018</v>
      </c>
      <c r="AB8" s="282" t="s">
        <v>1389</v>
      </c>
      <c r="AG8" s="234" t="s">
        <v>346</v>
      </c>
      <c r="AH8" s="283" t="s">
        <v>368</v>
      </c>
      <c r="AI8" s="284"/>
      <c r="AJ8" s="283" t="s">
        <v>347</v>
      </c>
      <c r="AK8" s="285"/>
    </row>
    <row r="9" spans="2:37" ht="12.95" customHeight="1" x14ac:dyDescent="0.3">
      <c r="B9" s="126" t="s">
        <v>1064</v>
      </c>
      <c r="C9" s="276" t="s">
        <v>1223</v>
      </c>
      <c r="D9" s="276" t="s">
        <v>1065</v>
      </c>
      <c r="N9" s="277" t="s">
        <v>1390</v>
      </c>
      <c r="O9" s="278"/>
      <c r="P9" s="247">
        <v>124194152060</v>
      </c>
      <c r="Q9" s="225">
        <v>169099918165</v>
      </c>
      <c r="S9" s="277" t="s">
        <v>1000</v>
      </c>
      <c r="T9" s="278">
        <v>28</v>
      </c>
      <c r="U9" s="247">
        <v>-344104363460</v>
      </c>
      <c r="V9" s="225">
        <v>-389532097445</v>
      </c>
      <c r="X9" s="286" t="s">
        <v>1061</v>
      </c>
      <c r="Y9" s="287" t="s">
        <v>1391</v>
      </c>
      <c r="Z9" s="211">
        <v>5018198</v>
      </c>
      <c r="AA9" s="208">
        <v>5209987</v>
      </c>
      <c r="AB9" s="198" t="s">
        <v>1063</v>
      </c>
      <c r="AG9" s="174"/>
      <c r="AH9" s="175" t="s">
        <v>628</v>
      </c>
      <c r="AI9" s="175" t="s">
        <v>629</v>
      </c>
      <c r="AJ9" s="175" t="s">
        <v>628</v>
      </c>
      <c r="AK9" s="188" t="s">
        <v>629</v>
      </c>
    </row>
    <row r="10" spans="2:37" ht="12.95" customHeight="1" x14ac:dyDescent="0.3">
      <c r="B10" s="126" t="s">
        <v>1226</v>
      </c>
      <c r="C10" s="152">
        <f>(P37+P38+P43)/1000000</f>
        <v>178156.23156300001</v>
      </c>
      <c r="D10" s="152">
        <f>(Q37+Q38+Q43)/1000000</f>
        <v>129223.683563</v>
      </c>
      <c r="N10" s="277" t="s">
        <v>396</v>
      </c>
      <c r="O10" s="278" t="s">
        <v>1392</v>
      </c>
      <c r="P10" s="225">
        <v>47409986738</v>
      </c>
      <c r="Q10" s="225">
        <v>49901946228</v>
      </c>
      <c r="S10" s="277" t="s">
        <v>1002</v>
      </c>
      <c r="T10" s="278"/>
      <c r="U10" s="247">
        <v>77764568333</v>
      </c>
      <c r="V10" s="225">
        <v>114875047868</v>
      </c>
      <c r="X10" s="288"/>
      <c r="Y10" s="287" t="s">
        <v>1393</v>
      </c>
      <c r="Z10" s="222" t="s">
        <v>22</v>
      </c>
      <c r="AA10" s="208">
        <v>108621</v>
      </c>
      <c r="AB10" s="198" t="s">
        <v>1063</v>
      </c>
      <c r="AG10" s="158" t="s">
        <v>552</v>
      </c>
      <c r="AH10" s="163">
        <v>58178470</v>
      </c>
      <c r="AI10" s="163">
        <v>3162924</v>
      </c>
      <c r="AJ10" s="163">
        <v>45385177</v>
      </c>
      <c r="AK10" s="167">
        <v>3528510</v>
      </c>
    </row>
    <row r="11" spans="2:37" ht="12.95" customHeight="1" x14ac:dyDescent="0.3">
      <c r="B11" s="126" t="s">
        <v>1394</v>
      </c>
      <c r="C11" s="152">
        <f>(P10)/1000000</f>
        <v>47409.986738</v>
      </c>
      <c r="D11" s="152">
        <f>(Q10)/1000000</f>
        <v>49901.946228000001</v>
      </c>
      <c r="N11" s="277" t="s">
        <v>580</v>
      </c>
      <c r="O11" s="278" t="s">
        <v>1395</v>
      </c>
      <c r="P11" s="225">
        <v>12820957644</v>
      </c>
      <c r="Q11" s="225">
        <v>30940409433</v>
      </c>
      <c r="S11" s="277" t="s">
        <v>1396</v>
      </c>
      <c r="T11" s="278">
        <v>28</v>
      </c>
      <c r="U11" s="247">
        <v>-26597637227</v>
      </c>
      <c r="V11" s="225">
        <v>-31006140620</v>
      </c>
      <c r="X11" s="288"/>
      <c r="Y11" s="289" t="s">
        <v>1062</v>
      </c>
      <c r="Z11" s="211">
        <v>6299793</v>
      </c>
      <c r="AA11" s="290" t="s">
        <v>22</v>
      </c>
      <c r="AB11" s="198" t="s">
        <v>1063</v>
      </c>
      <c r="AG11" s="158" t="s">
        <v>1397</v>
      </c>
      <c r="AH11" s="159" t="s">
        <v>22</v>
      </c>
      <c r="AI11" s="163">
        <v>-533859</v>
      </c>
      <c r="AJ11" s="163">
        <v>-6745</v>
      </c>
      <c r="AK11" s="167">
        <v>-649463</v>
      </c>
    </row>
    <row r="12" spans="2:37" ht="12.95" customHeight="1" x14ac:dyDescent="0.3">
      <c r="B12" s="126" t="s">
        <v>1072</v>
      </c>
      <c r="C12" s="152">
        <f>P11/10^6</f>
        <v>12820.957644</v>
      </c>
      <c r="D12" s="152">
        <f>Q11/10^6</f>
        <v>30940.409433000001</v>
      </c>
      <c r="N12" s="277" t="s">
        <v>398</v>
      </c>
      <c r="O12" s="278" t="s">
        <v>1398</v>
      </c>
      <c r="P12" s="225">
        <v>54846834052</v>
      </c>
      <c r="Q12" s="225">
        <v>72802261449</v>
      </c>
      <c r="S12" s="277" t="s">
        <v>1007</v>
      </c>
      <c r="T12" s="278"/>
      <c r="U12" s="247">
        <v>51166931106</v>
      </c>
      <c r="V12" s="225">
        <v>83868907248</v>
      </c>
      <c r="X12" s="291"/>
      <c r="Y12" s="292"/>
      <c r="Z12" s="211">
        <v>188804</v>
      </c>
      <c r="AA12" s="262" t="s">
        <v>22</v>
      </c>
      <c r="AB12" s="198" t="s">
        <v>1399</v>
      </c>
      <c r="AG12" s="158" t="s">
        <v>1400</v>
      </c>
      <c r="AH12" s="163">
        <v>-1616449</v>
      </c>
      <c r="AI12" s="159" t="s">
        <v>22</v>
      </c>
      <c r="AJ12" s="163">
        <v>-2832043</v>
      </c>
      <c r="AK12" s="164" t="s">
        <v>22</v>
      </c>
    </row>
    <row r="13" spans="2:37" ht="12.95" customHeight="1" x14ac:dyDescent="0.3">
      <c r="B13" s="156" t="s">
        <v>1401</v>
      </c>
      <c r="C13" s="165">
        <f>C10-C11-C12+C14</f>
        <v>117925.28718100001</v>
      </c>
      <c r="D13" s="165">
        <f>D10-D11-D12+D14</f>
        <v>48381.327901999997</v>
      </c>
      <c r="N13" s="277" t="s">
        <v>1402</v>
      </c>
      <c r="O13" s="278" t="s">
        <v>1403</v>
      </c>
      <c r="P13" s="225">
        <v>1328145000</v>
      </c>
      <c r="Q13" s="224" t="s">
        <v>22</v>
      </c>
      <c r="S13" s="277" t="s">
        <v>1404</v>
      </c>
      <c r="T13" s="278">
        <v>29</v>
      </c>
      <c r="U13" s="247">
        <v>1201367544</v>
      </c>
      <c r="V13" s="225">
        <v>1516428042</v>
      </c>
      <c r="X13" s="286" t="s">
        <v>409</v>
      </c>
      <c r="Y13" s="287" t="s">
        <v>890</v>
      </c>
      <c r="Z13" s="211">
        <v>859017</v>
      </c>
      <c r="AA13" s="262" t="s">
        <v>22</v>
      </c>
      <c r="AB13" s="198" t="s">
        <v>1405</v>
      </c>
      <c r="AG13" s="158" t="s">
        <v>554</v>
      </c>
      <c r="AH13" s="163">
        <v>17004457</v>
      </c>
      <c r="AI13" s="159" t="s">
        <v>22</v>
      </c>
      <c r="AJ13" s="163">
        <v>12127149</v>
      </c>
      <c r="AK13" s="164" t="s">
        <v>22</v>
      </c>
    </row>
    <row r="14" spans="2:37" ht="12.95" customHeight="1" x14ac:dyDescent="0.3">
      <c r="B14" s="479"/>
      <c r="C14" s="480"/>
      <c r="D14" s="480"/>
      <c r="N14" s="277" t="s">
        <v>1406</v>
      </c>
      <c r="O14" s="278" t="s">
        <v>1403</v>
      </c>
      <c r="P14" s="224" t="s">
        <v>22</v>
      </c>
      <c r="Q14" s="225">
        <v>1366675000</v>
      </c>
      <c r="S14" s="277" t="s">
        <v>1407</v>
      </c>
      <c r="T14" s="278">
        <v>30</v>
      </c>
      <c r="U14" s="247">
        <v>-7162028646</v>
      </c>
      <c r="V14" s="225">
        <v>-6465775563</v>
      </c>
      <c r="X14" s="288"/>
      <c r="Y14" s="289" t="s">
        <v>1062</v>
      </c>
      <c r="Z14" s="211">
        <v>967743</v>
      </c>
      <c r="AA14" s="262" t="s">
        <v>22</v>
      </c>
      <c r="AB14" s="198" t="s">
        <v>1408</v>
      </c>
      <c r="AG14" s="158" t="s">
        <v>1400</v>
      </c>
      <c r="AH14" s="163">
        <v>-1191408</v>
      </c>
      <c r="AI14" s="159" t="s">
        <v>22</v>
      </c>
      <c r="AJ14" s="163">
        <v>-244984</v>
      </c>
      <c r="AK14" s="164" t="s">
        <v>22</v>
      </c>
    </row>
    <row r="15" spans="2:37" ht="12.95" customHeight="1" x14ac:dyDescent="0.3">
      <c r="B15" s="126"/>
      <c r="N15" s="277" t="s">
        <v>399</v>
      </c>
      <c r="O15" s="278">
        <v>12</v>
      </c>
      <c r="P15" s="225">
        <v>692026605</v>
      </c>
      <c r="Q15" s="225">
        <v>232030401</v>
      </c>
      <c r="S15" s="277" t="s">
        <v>1409</v>
      </c>
      <c r="T15" s="278">
        <v>31</v>
      </c>
      <c r="U15" s="247">
        <v>2132416279</v>
      </c>
      <c r="V15" s="225">
        <v>477803891</v>
      </c>
      <c r="X15" s="288"/>
      <c r="Y15" s="293"/>
      <c r="Z15" s="211">
        <v>6012623</v>
      </c>
      <c r="AA15" s="208">
        <v>6076782</v>
      </c>
      <c r="AB15" s="198" t="s">
        <v>1410</v>
      </c>
      <c r="AG15" s="158" t="s">
        <v>555</v>
      </c>
      <c r="AH15" s="163">
        <v>427191</v>
      </c>
      <c r="AI15" s="159" t="s">
        <v>22</v>
      </c>
      <c r="AJ15" s="163">
        <v>418280</v>
      </c>
      <c r="AK15" s="164" t="s">
        <v>22</v>
      </c>
    </row>
    <row r="16" spans="2:37" ht="12.95" customHeight="1" x14ac:dyDescent="0.3">
      <c r="B16" s="156" t="s">
        <v>1082</v>
      </c>
      <c r="C16" s="126"/>
      <c r="D16" s="126"/>
      <c r="H16" s="126"/>
      <c r="I16" s="126"/>
      <c r="N16" s="277" t="s">
        <v>553</v>
      </c>
      <c r="O16" s="278"/>
      <c r="P16" s="225">
        <v>3126114439</v>
      </c>
      <c r="Q16" s="225">
        <v>6526338135</v>
      </c>
      <c r="S16" s="277" t="s">
        <v>1411</v>
      </c>
      <c r="T16" s="278">
        <v>32</v>
      </c>
      <c r="U16" s="247">
        <v>-3847275491</v>
      </c>
      <c r="V16" s="225">
        <v>-10260149259</v>
      </c>
      <c r="X16" s="288"/>
      <c r="Y16" s="293"/>
      <c r="Z16" s="211">
        <v>547678</v>
      </c>
      <c r="AA16" s="208">
        <v>596376</v>
      </c>
      <c r="AB16" s="198" t="s">
        <v>1412</v>
      </c>
      <c r="AG16" s="158" t="s">
        <v>630</v>
      </c>
      <c r="AH16" s="159" t="s">
        <v>22</v>
      </c>
      <c r="AI16" s="294">
        <v>2174054</v>
      </c>
      <c r="AJ16" s="159" t="s">
        <v>22</v>
      </c>
      <c r="AK16" s="295">
        <v>2373000</v>
      </c>
    </row>
    <row r="17" spans="2:37" ht="12.95" customHeight="1" x14ac:dyDescent="0.3">
      <c r="B17" s="126" t="s">
        <v>1084</v>
      </c>
      <c r="C17" s="152">
        <f>SUM(P25:P26)/10^6+P21/10^6+SUM(P13:P14)/10^6</f>
        <v>7203.7250000000004</v>
      </c>
      <c r="D17" s="152">
        <f>SUM(Q25:Q26)/10^6+Q21/10^6+SUM(Q13:Q14)/10^6</f>
        <v>7580.33</v>
      </c>
      <c r="N17" s="277" t="s">
        <v>400</v>
      </c>
      <c r="O17" s="278">
        <v>13</v>
      </c>
      <c r="P17" s="225">
        <v>3953771794</v>
      </c>
      <c r="Q17" s="225">
        <v>7319153429</v>
      </c>
      <c r="S17" s="277" t="s">
        <v>1413</v>
      </c>
      <c r="T17" s="278">
        <v>33</v>
      </c>
      <c r="U17" s="247">
        <v>-164220085</v>
      </c>
      <c r="V17" s="225">
        <v>-14198394162</v>
      </c>
      <c r="X17" s="288"/>
      <c r="Y17" s="293"/>
      <c r="Z17" s="211">
        <v>4697</v>
      </c>
      <c r="AA17" s="262" t="s">
        <v>22</v>
      </c>
      <c r="AB17" s="198" t="s">
        <v>1414</v>
      </c>
      <c r="AG17" s="158" t="s">
        <v>371</v>
      </c>
      <c r="AH17" s="159" t="s">
        <v>22</v>
      </c>
      <c r="AI17" s="163">
        <v>12971699</v>
      </c>
      <c r="AJ17" s="159" t="s">
        <v>22</v>
      </c>
      <c r="AK17" s="167">
        <v>8814485</v>
      </c>
    </row>
    <row r="18" spans="2:37" ht="12.95" customHeight="1" x14ac:dyDescent="0.3">
      <c r="B18" s="126" t="s">
        <v>1415</v>
      </c>
      <c r="C18" s="152">
        <v>0</v>
      </c>
      <c r="D18" s="152">
        <v>0</v>
      </c>
      <c r="N18" s="277" t="s">
        <v>581</v>
      </c>
      <c r="O18" s="278"/>
      <c r="P18" s="225">
        <v>16315788</v>
      </c>
      <c r="Q18" s="225">
        <v>11104090</v>
      </c>
      <c r="S18" s="277" t="s">
        <v>1416</v>
      </c>
      <c r="T18" s="278"/>
      <c r="U18" s="247">
        <v>43327190707</v>
      </c>
      <c r="V18" s="225">
        <v>54938820197</v>
      </c>
      <c r="X18" s="288"/>
      <c r="Y18" s="293"/>
      <c r="Z18" s="211">
        <v>726330</v>
      </c>
      <c r="AA18" s="208">
        <v>762264</v>
      </c>
      <c r="AB18" s="198" t="s">
        <v>1417</v>
      </c>
      <c r="AG18" s="168" t="s">
        <v>361</v>
      </c>
      <c r="AH18" s="169">
        <v>72802261</v>
      </c>
      <c r="AI18" s="169">
        <v>17774818</v>
      </c>
      <c r="AJ18" s="169">
        <v>54846834</v>
      </c>
      <c r="AK18" s="170">
        <v>14066532</v>
      </c>
    </row>
    <row r="19" spans="2:37" ht="12.95" customHeight="1" x14ac:dyDescent="0.3">
      <c r="B19" s="126" t="s">
        <v>1088</v>
      </c>
      <c r="C19" s="152">
        <f>P28/10^6</f>
        <v>17279.739170000001</v>
      </c>
      <c r="D19" s="152">
        <f>Q28/10^6</f>
        <v>3083.1212540000001</v>
      </c>
      <c r="N19" s="277" t="s">
        <v>1418</v>
      </c>
      <c r="O19" s="278"/>
      <c r="P19" s="247">
        <v>339040848740</v>
      </c>
      <c r="Q19" s="225">
        <v>306558237579</v>
      </c>
      <c r="S19" s="277" t="s">
        <v>1419</v>
      </c>
      <c r="T19" s="278">
        <v>34</v>
      </c>
      <c r="U19" s="247">
        <v>-8709359988</v>
      </c>
      <c r="V19" s="225">
        <v>-23923483476</v>
      </c>
      <c r="X19" s="288"/>
      <c r="Y19" s="292"/>
      <c r="Z19" s="211">
        <v>291214</v>
      </c>
      <c r="AA19" s="208">
        <v>278613</v>
      </c>
      <c r="AB19" s="198" t="s">
        <v>1420</v>
      </c>
    </row>
    <row r="20" spans="2:37" ht="12.95" customHeight="1" x14ac:dyDescent="0.3">
      <c r="B20" s="126" t="s">
        <v>1421</v>
      </c>
      <c r="C20" s="152">
        <f>SUM(P22:P24)/10^6</f>
        <v>7184.5053099999996</v>
      </c>
      <c r="D20" s="152">
        <f>SUM(Q22:Q24)/10^6</f>
        <v>9631.0413779999999</v>
      </c>
      <c r="N20" s="277" t="s">
        <v>398</v>
      </c>
      <c r="O20" s="278" t="s">
        <v>1422</v>
      </c>
      <c r="P20" s="225">
        <v>14066532717</v>
      </c>
      <c r="Q20" s="225">
        <v>17774817980</v>
      </c>
      <c r="S20" s="277" t="s">
        <v>1423</v>
      </c>
      <c r="T20" s="278"/>
      <c r="U20" s="247">
        <v>34617830719</v>
      </c>
      <c r="V20" s="225">
        <v>31015336721</v>
      </c>
      <c r="X20" s="288"/>
      <c r="Y20" s="289" t="s">
        <v>1424</v>
      </c>
      <c r="Z20" s="211">
        <v>1907262</v>
      </c>
      <c r="AA20" s="262" t="s">
        <v>22</v>
      </c>
      <c r="AB20" s="198" t="s">
        <v>1063</v>
      </c>
    </row>
    <row r="21" spans="2:37" ht="12.95" customHeight="1" x14ac:dyDescent="0.3">
      <c r="B21" s="126" t="s">
        <v>1425</v>
      </c>
      <c r="C21" s="152">
        <f>AK16/10^3</f>
        <v>2373</v>
      </c>
      <c r="D21" s="152">
        <f>AI16/10^3</f>
        <v>2174.0540000000001</v>
      </c>
      <c r="N21" s="277" t="s">
        <v>582</v>
      </c>
      <c r="O21" s="278">
        <v>11</v>
      </c>
      <c r="P21" s="225">
        <v>3900000</v>
      </c>
      <c r="Q21" s="224">
        <v>0</v>
      </c>
      <c r="S21" s="277" t="s">
        <v>1426</v>
      </c>
      <c r="T21" s="278"/>
      <c r="U21" s="247">
        <v>33807014813</v>
      </c>
      <c r="V21" s="225">
        <v>27970498704</v>
      </c>
      <c r="X21" s="288"/>
      <c r="Y21" s="292"/>
      <c r="Z21" s="222" t="s">
        <v>22</v>
      </c>
      <c r="AA21" s="208">
        <v>61619</v>
      </c>
      <c r="AB21" s="198" t="s">
        <v>1414</v>
      </c>
    </row>
    <row r="22" spans="2:37" ht="12.95" customHeight="1" x14ac:dyDescent="0.3">
      <c r="B22" s="126"/>
      <c r="N22" s="277" t="s">
        <v>556</v>
      </c>
      <c r="O22" s="278" t="s">
        <v>1427</v>
      </c>
      <c r="P22" s="225">
        <v>7184505310</v>
      </c>
      <c r="Q22" s="224" t="s">
        <v>22</v>
      </c>
      <c r="S22" s="277" t="s">
        <v>1428</v>
      </c>
      <c r="T22" s="278"/>
      <c r="U22" s="247">
        <v>810815906</v>
      </c>
      <c r="V22" s="225">
        <v>3044838017</v>
      </c>
      <c r="X22" s="291"/>
      <c r="Y22" s="287" t="s">
        <v>1393</v>
      </c>
      <c r="Z22" s="211">
        <v>1023805</v>
      </c>
      <c r="AA22" s="208">
        <v>1255444</v>
      </c>
      <c r="AB22" s="198" t="s">
        <v>1429</v>
      </c>
    </row>
    <row r="23" spans="2:37" ht="12.95" customHeight="1" x14ac:dyDescent="0.3">
      <c r="B23" s="126"/>
      <c r="N23" s="277" t="s">
        <v>1430</v>
      </c>
      <c r="O23" s="278" t="s">
        <v>1431</v>
      </c>
      <c r="P23" s="224" t="s">
        <v>22</v>
      </c>
      <c r="Q23" s="225">
        <v>9355382798</v>
      </c>
      <c r="S23" s="277" t="s">
        <v>1018</v>
      </c>
      <c r="T23" s="278"/>
      <c r="U23" s="247">
        <v>-1572592158</v>
      </c>
      <c r="V23" s="225">
        <v>-1814960120</v>
      </c>
      <c r="X23" s="286" t="s">
        <v>369</v>
      </c>
      <c r="Y23" s="287" t="s">
        <v>1391</v>
      </c>
      <c r="Z23" s="211">
        <v>2000</v>
      </c>
      <c r="AA23" s="262" t="s">
        <v>22</v>
      </c>
      <c r="AB23" s="198" t="s">
        <v>624</v>
      </c>
    </row>
    <row r="24" spans="2:37" ht="12.95" customHeight="1" x14ac:dyDescent="0.3">
      <c r="B24" s="126"/>
      <c r="N24" s="277" t="s">
        <v>1432</v>
      </c>
      <c r="O24" s="278" t="s">
        <v>1433</v>
      </c>
      <c r="P24" s="224" t="s">
        <v>22</v>
      </c>
      <c r="Q24" s="225">
        <v>275658580</v>
      </c>
      <c r="S24" s="277" t="s">
        <v>1434</v>
      </c>
      <c r="T24" s="278"/>
      <c r="U24" s="247">
        <v>-1572953173</v>
      </c>
      <c r="V24" s="225">
        <v>-1814960120</v>
      </c>
      <c r="X24" s="291"/>
      <c r="Y24" s="287" t="s">
        <v>1435</v>
      </c>
      <c r="Z24" s="211">
        <v>1900</v>
      </c>
      <c r="AA24" s="262" t="s">
        <v>22</v>
      </c>
      <c r="AB24" s="198" t="s">
        <v>624</v>
      </c>
    </row>
    <row r="25" spans="2:37" ht="12.95" customHeight="1" x14ac:dyDescent="0.3">
      <c r="B25" s="126"/>
      <c r="N25" s="277" t="s">
        <v>557</v>
      </c>
      <c r="O25" s="278" t="s">
        <v>1403</v>
      </c>
      <c r="P25" s="225">
        <v>5871680000</v>
      </c>
      <c r="Q25" s="224" t="s">
        <v>22</v>
      </c>
      <c r="S25" s="277" t="s">
        <v>1436</v>
      </c>
      <c r="T25" s="278"/>
      <c r="U25" s="247">
        <v>-2016606632</v>
      </c>
      <c r="V25" s="225">
        <v>-2327001588</v>
      </c>
      <c r="X25" s="197" t="s">
        <v>370</v>
      </c>
      <c r="Y25" s="287" t="s">
        <v>647</v>
      </c>
      <c r="Z25" s="211">
        <v>676712</v>
      </c>
      <c r="AA25" s="262" t="s">
        <v>22</v>
      </c>
      <c r="AB25" s="198" t="s">
        <v>1437</v>
      </c>
    </row>
    <row r="26" spans="2:37" ht="12.95" customHeight="1" x14ac:dyDescent="0.3">
      <c r="B26" s="126"/>
      <c r="N26" s="277" t="s">
        <v>1438</v>
      </c>
      <c r="O26" s="278" t="s">
        <v>1403</v>
      </c>
      <c r="P26" s="224" t="s">
        <v>22</v>
      </c>
      <c r="Q26" s="225">
        <v>6213655000</v>
      </c>
      <c r="S26" s="277" t="s">
        <v>1439</v>
      </c>
      <c r="T26" s="278"/>
      <c r="U26" s="243" t="s">
        <v>22</v>
      </c>
      <c r="V26" s="225">
        <v>101119</v>
      </c>
      <c r="X26" s="286" t="s">
        <v>1440</v>
      </c>
      <c r="Y26" s="287" t="s">
        <v>647</v>
      </c>
      <c r="Z26" s="222" t="s">
        <v>22</v>
      </c>
      <c r="AA26" s="208">
        <v>678926</v>
      </c>
      <c r="AB26" s="198" t="s">
        <v>1437</v>
      </c>
    </row>
    <row r="27" spans="2:37" ht="12.95" customHeight="1" x14ac:dyDescent="0.3">
      <c r="B27" s="126"/>
      <c r="C27" s="276" t="s">
        <v>1384</v>
      </c>
      <c r="D27" s="276" t="s">
        <v>1441</v>
      </c>
      <c r="N27" s="277" t="s">
        <v>1442</v>
      </c>
      <c r="O27" s="278">
        <v>34</v>
      </c>
      <c r="P27" s="225">
        <v>13494599063</v>
      </c>
      <c r="Q27" s="225">
        <v>11021338563</v>
      </c>
      <c r="S27" s="277" t="s">
        <v>1443</v>
      </c>
      <c r="T27" s="278"/>
      <c r="U27" s="247">
        <v>443653459</v>
      </c>
      <c r="V27" s="225">
        <v>511940349</v>
      </c>
      <c r="X27" s="296"/>
      <c r="Y27" s="297" t="s">
        <v>893</v>
      </c>
      <c r="Z27" s="221" t="s">
        <v>22</v>
      </c>
      <c r="AA27" s="227">
        <v>1767073</v>
      </c>
      <c r="AB27" s="298" t="s">
        <v>1444</v>
      </c>
    </row>
    <row r="28" spans="2:37" ht="12.95" customHeight="1" x14ac:dyDescent="0.3">
      <c r="B28" s="126" t="s">
        <v>1103</v>
      </c>
      <c r="C28" s="276" t="s">
        <v>1104</v>
      </c>
      <c r="D28" s="276" t="s">
        <v>1105</v>
      </c>
      <c r="N28" s="277" t="s">
        <v>577</v>
      </c>
      <c r="O28" s="278">
        <v>14</v>
      </c>
      <c r="P28" s="225">
        <v>17279739170</v>
      </c>
      <c r="Q28" s="225">
        <v>3083121254</v>
      </c>
      <c r="S28" s="277" t="s">
        <v>1445</v>
      </c>
      <c r="T28" s="278"/>
      <c r="U28" s="247">
        <v>361015</v>
      </c>
      <c r="V28" s="224" t="s">
        <v>22</v>
      </c>
    </row>
    <row r="29" spans="2:37" ht="12.95" customHeight="1" x14ac:dyDescent="0.3">
      <c r="B29" s="126" t="s">
        <v>1446</v>
      </c>
      <c r="C29" s="152">
        <f>(U8)/1000000</f>
        <v>421868.93179300003</v>
      </c>
      <c r="D29" s="152">
        <f>(V8)/1000000</f>
        <v>504407.14531300002</v>
      </c>
      <c r="N29" s="277" t="s">
        <v>401</v>
      </c>
      <c r="O29" s="278">
        <v>15</v>
      </c>
      <c r="P29" s="225">
        <v>233264266819</v>
      </c>
      <c r="Q29" s="225">
        <v>221617025256</v>
      </c>
      <c r="S29" s="277" t="s">
        <v>1447</v>
      </c>
      <c r="T29" s="278"/>
      <c r="U29" s="247">
        <v>361015</v>
      </c>
      <c r="V29" s="224" t="s">
        <v>22</v>
      </c>
    </row>
    <row r="30" spans="2:37" ht="12.95" customHeight="1" x14ac:dyDescent="0.3">
      <c r="B30" s="126" t="s">
        <v>1448</v>
      </c>
      <c r="C30" s="152">
        <f>(U10)/1000000</f>
        <v>77764.568333000003</v>
      </c>
      <c r="D30" s="152">
        <f>(V10)/1000000</f>
        <v>114875.04786799999</v>
      </c>
      <c r="N30" s="277" t="s">
        <v>402</v>
      </c>
      <c r="O30" s="278">
        <v>16</v>
      </c>
      <c r="P30" s="225">
        <v>40487045676</v>
      </c>
      <c r="Q30" s="225">
        <v>30363441292</v>
      </c>
      <c r="S30" s="277" t="s">
        <v>1022</v>
      </c>
      <c r="T30" s="278"/>
      <c r="U30" s="247">
        <v>33045238561</v>
      </c>
      <c r="V30" s="225">
        <v>29200376601</v>
      </c>
    </row>
    <row r="31" spans="2:37" ht="12.95" customHeight="1" x14ac:dyDescent="0.3">
      <c r="B31" s="126" t="s">
        <v>1449</v>
      </c>
      <c r="C31" s="152">
        <f>-(U11)/1000000</f>
        <v>26597.637226999999</v>
      </c>
      <c r="D31" s="152">
        <f>-(V11)/1000000</f>
        <v>31006.140619999998</v>
      </c>
      <c r="N31" s="277" t="s">
        <v>403</v>
      </c>
      <c r="O31" s="278">
        <v>13</v>
      </c>
      <c r="P31" s="225">
        <v>7388579985</v>
      </c>
      <c r="Q31" s="225">
        <v>6853796856</v>
      </c>
      <c r="S31" s="277" t="s">
        <v>1450</v>
      </c>
      <c r="T31" s="278"/>
      <c r="V31" s="243"/>
    </row>
    <row r="32" spans="2:37" ht="12.95" customHeight="1" x14ac:dyDescent="0.3">
      <c r="B32" s="126" t="s">
        <v>1451</v>
      </c>
      <c r="C32" s="152">
        <f>(U12)/1000000</f>
        <v>51166.931106000004</v>
      </c>
      <c r="D32" s="152">
        <f>(V12)/1000000</f>
        <v>83868.907248000003</v>
      </c>
      <c r="N32" s="277" t="s">
        <v>1452</v>
      </c>
      <c r="O32" s="278"/>
      <c r="P32" s="247">
        <v>463235000800</v>
      </c>
      <c r="Q32" s="225">
        <v>475658155744</v>
      </c>
      <c r="S32" s="277" t="s">
        <v>1453</v>
      </c>
      <c r="T32" s="278"/>
      <c r="U32" s="247">
        <v>32234422655</v>
      </c>
      <c r="V32" s="225">
        <v>26164613915</v>
      </c>
    </row>
    <row r="33" spans="2:37" ht="12.95" customHeight="1" x14ac:dyDescent="0.3">
      <c r="B33" s="126" t="s">
        <v>1454</v>
      </c>
      <c r="C33" s="152">
        <f>C32+C35</f>
        <v>81770.619105999998</v>
      </c>
      <c r="D33" s="152">
        <f>D32+D35</f>
        <v>113382.399248</v>
      </c>
      <c r="N33" s="277" t="s">
        <v>1455</v>
      </c>
      <c r="O33" s="278"/>
      <c r="P33" s="243"/>
      <c r="Q33" s="224"/>
      <c r="S33" s="277" t="s">
        <v>1456</v>
      </c>
      <c r="T33" s="278"/>
      <c r="U33" s="247">
        <v>810815906</v>
      </c>
      <c r="V33" s="225">
        <v>3035762686</v>
      </c>
      <c r="X33" s="151" t="s">
        <v>1457</v>
      </c>
      <c r="Y33" s="126"/>
      <c r="AA33" s="126"/>
      <c r="AB33" s="126"/>
      <c r="AG33"/>
      <c r="AH33"/>
      <c r="AI33"/>
      <c r="AJ33"/>
      <c r="AK33"/>
    </row>
    <row r="34" spans="2:37" ht="12.95" customHeight="1" x14ac:dyDescent="0.3">
      <c r="B34" s="126"/>
      <c r="N34" s="277" t="s">
        <v>1458</v>
      </c>
      <c r="O34" s="278"/>
      <c r="P34" s="247">
        <v>97750350959</v>
      </c>
      <c r="Q34" s="225">
        <v>133896828143</v>
      </c>
      <c r="S34" s="277" t="s">
        <v>1459</v>
      </c>
      <c r="T34" s="278"/>
      <c r="V34" s="243"/>
      <c r="Y34" s="126"/>
      <c r="AA34" s="126"/>
      <c r="AB34" s="126"/>
      <c r="AG34" s="151" t="s">
        <v>1460</v>
      </c>
      <c r="AH34" s="149"/>
      <c r="AI34" s="149"/>
      <c r="AJ34" s="149"/>
      <c r="AK34" s="149"/>
    </row>
    <row r="35" spans="2:37" ht="13.5" customHeight="1" x14ac:dyDescent="0.3">
      <c r="B35" s="126" t="s">
        <v>1461</v>
      </c>
      <c r="C35" s="152">
        <f>SUM(U48:U49)/10^3</f>
        <v>30603.687999999998</v>
      </c>
      <c r="D35" s="152">
        <f>SUM(V48:V49)/10^3</f>
        <v>29513.491999999998</v>
      </c>
      <c r="N35" s="277" t="s">
        <v>406</v>
      </c>
      <c r="O35" s="278" t="s">
        <v>1462</v>
      </c>
      <c r="P35" s="225">
        <v>53321744101</v>
      </c>
      <c r="Q35" s="225">
        <v>68736228532</v>
      </c>
      <c r="S35" s="299" t="s">
        <v>1463</v>
      </c>
      <c r="T35" s="300">
        <v>35</v>
      </c>
      <c r="U35" s="250">
        <v>42259</v>
      </c>
      <c r="V35" s="249">
        <v>34963</v>
      </c>
      <c r="X35" s="151" t="s">
        <v>1464</v>
      </c>
      <c r="Y35" s="126"/>
      <c r="AA35" s="126"/>
      <c r="AB35" s="126"/>
      <c r="AG35" s="149"/>
      <c r="AH35" s="149"/>
      <c r="AI35" s="149"/>
      <c r="AJ35" s="149"/>
      <c r="AK35" s="149"/>
    </row>
    <row r="36" spans="2:37" ht="12.95" customHeight="1" x14ac:dyDescent="0.3">
      <c r="N36" s="277" t="s">
        <v>560</v>
      </c>
      <c r="O36" s="278"/>
      <c r="P36" s="225">
        <v>2967927793</v>
      </c>
      <c r="Q36" s="225">
        <v>1986152544</v>
      </c>
      <c r="S36" s="301" t="s">
        <v>989</v>
      </c>
      <c r="X36" s="230" t="s">
        <v>345</v>
      </c>
      <c r="Y36" s="231"/>
      <c r="Z36" s="231"/>
      <c r="AA36" s="126"/>
      <c r="AB36" s="126"/>
      <c r="AG36" s="151" t="s">
        <v>1465</v>
      </c>
      <c r="AH36" s="149"/>
      <c r="AI36" s="149"/>
      <c r="AJ36" s="149"/>
      <c r="AK36" s="149"/>
    </row>
    <row r="37" spans="2:37" ht="13.5" customHeight="1" x14ac:dyDescent="0.3">
      <c r="N37" s="277" t="s">
        <v>415</v>
      </c>
      <c r="O37" s="278" t="s">
        <v>1466</v>
      </c>
      <c r="P37" s="225">
        <v>10110000000</v>
      </c>
      <c r="Q37" s="225">
        <v>28326005004</v>
      </c>
      <c r="X37" s="234" t="s">
        <v>1388</v>
      </c>
      <c r="Y37" s="302">
        <v>2017</v>
      </c>
      <c r="Z37" s="302">
        <v>2018</v>
      </c>
      <c r="AA37" s="126"/>
      <c r="AB37" s="126"/>
      <c r="AG37" s="271" t="s">
        <v>345</v>
      </c>
      <c r="AH37" s="272"/>
      <c r="AI37" s="274"/>
      <c r="AJ37" s="149"/>
      <c r="AK37" s="149"/>
    </row>
    <row r="38" spans="2:37" ht="12.95" customHeight="1" x14ac:dyDescent="0.3">
      <c r="N38" s="277" t="s">
        <v>558</v>
      </c>
      <c r="O38" s="278" t="s">
        <v>1466</v>
      </c>
      <c r="P38" s="225">
        <v>24633464210</v>
      </c>
      <c r="Q38" s="225">
        <v>19030499646</v>
      </c>
      <c r="X38" s="174"/>
      <c r="Y38" s="303" t="s">
        <v>628</v>
      </c>
      <c r="Z38" s="303" t="s">
        <v>628</v>
      </c>
      <c r="AA38" s="126"/>
      <c r="AB38" s="126"/>
      <c r="AG38" s="279" t="s">
        <v>636</v>
      </c>
      <c r="AH38" s="304">
        <v>2017</v>
      </c>
      <c r="AI38" s="305">
        <v>2018</v>
      </c>
      <c r="AJ38" s="149"/>
      <c r="AK38" s="149"/>
    </row>
    <row r="39" spans="2:37" ht="12.95" customHeight="1" x14ac:dyDescent="0.3">
      <c r="B39" s="126"/>
      <c r="C39" s="126"/>
      <c r="D39" s="126"/>
      <c r="E39" s="126"/>
      <c r="F39" s="126"/>
      <c r="G39" s="126"/>
      <c r="H39" s="126"/>
      <c r="I39" s="126"/>
      <c r="J39" s="126"/>
      <c r="K39" s="126"/>
      <c r="L39" s="442"/>
      <c r="N39" s="277" t="s">
        <v>579</v>
      </c>
      <c r="O39" s="278">
        <v>34</v>
      </c>
      <c r="P39" s="225">
        <v>6247408549</v>
      </c>
      <c r="Q39" s="225">
        <v>15371263894</v>
      </c>
      <c r="X39" s="168" t="s">
        <v>891</v>
      </c>
      <c r="Y39" s="216">
        <v>1328145</v>
      </c>
      <c r="Z39" s="216">
        <v>1366675</v>
      </c>
      <c r="AA39" s="126"/>
      <c r="AB39" s="126"/>
      <c r="AG39" s="197" t="s">
        <v>1467</v>
      </c>
      <c r="AH39" s="198" t="s">
        <v>22</v>
      </c>
      <c r="AI39" s="200">
        <v>9355383</v>
      </c>
      <c r="AJ39" s="149"/>
      <c r="AK39" s="149"/>
    </row>
    <row r="40" spans="2:37" ht="12.95" customHeight="1" x14ac:dyDescent="0.3">
      <c r="B40" s="126"/>
      <c r="C40" s="126"/>
      <c r="D40" s="126"/>
      <c r="E40" s="126"/>
      <c r="F40" s="126"/>
      <c r="G40" s="126"/>
      <c r="H40" s="126"/>
      <c r="I40" s="126"/>
      <c r="J40" s="126"/>
      <c r="K40" s="126"/>
      <c r="L40" s="442"/>
      <c r="N40" s="277" t="s">
        <v>407</v>
      </c>
      <c r="O40" s="278" t="s">
        <v>1468</v>
      </c>
      <c r="P40" s="225">
        <v>469806306</v>
      </c>
      <c r="Q40" s="225">
        <v>446678523</v>
      </c>
      <c r="X40" s="306"/>
      <c r="Y40" s="307" t="s">
        <v>629</v>
      </c>
      <c r="Z40" s="303" t="s">
        <v>629</v>
      </c>
      <c r="AA40" s="126"/>
      <c r="AB40" s="308"/>
      <c r="AG40" s="158" t="s">
        <v>1469</v>
      </c>
      <c r="AH40" s="198" t="s">
        <v>22</v>
      </c>
      <c r="AI40" s="199" t="s">
        <v>22</v>
      </c>
      <c r="AJ40" s="149"/>
      <c r="AK40" s="149"/>
    </row>
    <row r="41" spans="2:37" ht="12.95" customHeight="1" x14ac:dyDescent="0.3">
      <c r="B41" s="126"/>
      <c r="C41" s="126"/>
      <c r="D41" s="126"/>
      <c r="E41" s="126"/>
      <c r="F41" s="126"/>
      <c r="G41" s="126"/>
      <c r="H41" s="126"/>
      <c r="I41" s="126"/>
      <c r="J41" s="126"/>
      <c r="K41" s="126"/>
      <c r="L41" s="442"/>
      <c r="N41" s="277" t="s">
        <v>1470</v>
      </c>
      <c r="O41" s="278"/>
      <c r="P41" s="247">
        <v>185338975083</v>
      </c>
      <c r="Q41" s="225">
        <v>132723897337</v>
      </c>
      <c r="Y41" s="215">
        <v>5871680</v>
      </c>
      <c r="Z41" s="216">
        <v>6213655</v>
      </c>
      <c r="AA41" s="126"/>
      <c r="AB41" s="126"/>
      <c r="AG41" s="183" t="s">
        <v>887</v>
      </c>
      <c r="AH41" s="298">
        <v>0</v>
      </c>
      <c r="AI41" s="201">
        <v>9355383</v>
      </c>
      <c r="AJ41" s="149"/>
      <c r="AK41" s="149"/>
    </row>
    <row r="42" spans="2:37" ht="12.95" customHeight="1" x14ac:dyDescent="0.3">
      <c r="B42" s="126"/>
      <c r="C42" s="126"/>
      <c r="D42" s="126"/>
      <c r="E42" s="126"/>
      <c r="F42" s="126"/>
      <c r="G42" s="126"/>
      <c r="H42" s="126"/>
      <c r="I42" s="126"/>
      <c r="J42" s="126"/>
      <c r="K42" s="126"/>
      <c r="L42" s="442"/>
      <c r="N42" s="277" t="s">
        <v>406</v>
      </c>
      <c r="O42" s="278" t="s">
        <v>1471</v>
      </c>
      <c r="P42" s="225">
        <v>345543783</v>
      </c>
      <c r="Q42" s="225">
        <v>423194433</v>
      </c>
      <c r="S42" s="309" t="s">
        <v>1472</v>
      </c>
      <c r="Y42" s="308"/>
      <c r="Z42" s="308"/>
      <c r="AA42" s="126"/>
      <c r="AB42" s="126"/>
      <c r="AG42" s="151" t="s">
        <v>1473</v>
      </c>
      <c r="AH42" s="153" t="s">
        <v>1474</v>
      </c>
      <c r="AI42" s="149"/>
      <c r="AJ42" s="149"/>
      <c r="AK42" s="149"/>
    </row>
    <row r="43" spans="2:37" ht="12.95" customHeight="1" x14ac:dyDescent="0.3">
      <c r="N43" s="277" t="s">
        <v>418</v>
      </c>
      <c r="O43" s="278" t="s">
        <v>1466</v>
      </c>
      <c r="P43" s="225">
        <v>143412767353</v>
      </c>
      <c r="Q43" s="225">
        <v>81867178913</v>
      </c>
      <c r="S43" s="310"/>
      <c r="X43" s="151" t="s">
        <v>1475</v>
      </c>
      <c r="Y43" s="126"/>
      <c r="AA43" s="126"/>
      <c r="AB43" s="126"/>
      <c r="AG43" s="149"/>
      <c r="AH43" s="149"/>
      <c r="AI43" s="149"/>
      <c r="AJ43" s="149"/>
      <c r="AK43" s="149"/>
    </row>
    <row r="44" spans="2:37" ht="12.95" customHeight="1" x14ac:dyDescent="0.3">
      <c r="N44" s="277" t="s">
        <v>419</v>
      </c>
      <c r="O44" s="278">
        <v>20</v>
      </c>
      <c r="P44" s="225">
        <v>3339753308</v>
      </c>
      <c r="Q44" s="225">
        <v>3285418086</v>
      </c>
      <c r="S44" s="309" t="s">
        <v>1476</v>
      </c>
      <c r="X44" s="230" t="s">
        <v>345</v>
      </c>
      <c r="Y44" s="231"/>
      <c r="Z44" s="232"/>
      <c r="AA44" s="126"/>
      <c r="AB44" s="126"/>
      <c r="AG44" s="149"/>
      <c r="AH44" s="149"/>
      <c r="AI44" s="149"/>
      <c r="AJ44" s="149"/>
      <c r="AK44" s="149"/>
    </row>
    <row r="45" spans="2:37" ht="13.5" customHeight="1" x14ac:dyDescent="0.3">
      <c r="N45" s="277" t="s">
        <v>1477</v>
      </c>
      <c r="O45" s="278">
        <v>21</v>
      </c>
      <c r="P45" s="225">
        <v>37687159494</v>
      </c>
      <c r="Q45" s="225">
        <v>46924743966</v>
      </c>
      <c r="S45" s="233" t="s">
        <v>345</v>
      </c>
      <c r="X45" s="311" t="s">
        <v>1478</v>
      </c>
      <c r="Y45" s="307" t="s">
        <v>1479</v>
      </c>
      <c r="Z45" s="303" t="s">
        <v>1480</v>
      </c>
      <c r="AA45" s="126"/>
      <c r="AB45" s="126"/>
      <c r="AG45" s="151" t="s">
        <v>1481</v>
      </c>
      <c r="AH45" s="149"/>
      <c r="AI45" s="149"/>
      <c r="AJ45" s="149"/>
      <c r="AK45" s="149"/>
    </row>
    <row r="46" spans="2:37" ht="13.5" customHeight="1" x14ac:dyDescent="0.3">
      <c r="N46" s="277" t="s">
        <v>1482</v>
      </c>
      <c r="O46" s="278">
        <v>19</v>
      </c>
      <c r="P46" s="225">
        <v>553751145</v>
      </c>
      <c r="Q46" s="225">
        <v>223361939</v>
      </c>
      <c r="S46" s="270" t="s">
        <v>636</v>
      </c>
      <c r="U46" s="218" t="s">
        <v>1483</v>
      </c>
      <c r="V46" s="217" t="s">
        <v>1484</v>
      </c>
      <c r="X46" s="158" t="s">
        <v>1485</v>
      </c>
      <c r="Y46" s="210">
        <v>1328145</v>
      </c>
      <c r="Z46" s="211">
        <v>1366675</v>
      </c>
      <c r="AA46" s="126"/>
      <c r="AB46" s="126"/>
      <c r="AG46" s="149"/>
      <c r="AH46" s="149"/>
      <c r="AI46" s="149"/>
      <c r="AJ46" s="149"/>
      <c r="AK46" s="149"/>
    </row>
    <row r="47" spans="2:37" ht="12.95" customHeight="1" x14ac:dyDescent="0.3">
      <c r="N47" s="277" t="s">
        <v>1486</v>
      </c>
      <c r="O47" s="278"/>
      <c r="P47" s="247">
        <v>283089326042</v>
      </c>
      <c r="Q47" s="225">
        <v>266620725480</v>
      </c>
      <c r="S47" s="277" t="s">
        <v>896</v>
      </c>
      <c r="U47" s="247">
        <v>6020315</v>
      </c>
      <c r="V47" s="225">
        <v>6697807</v>
      </c>
      <c r="X47" s="158" t="s">
        <v>1487</v>
      </c>
      <c r="Y47" s="210">
        <v>5871680</v>
      </c>
      <c r="Z47" s="211">
        <v>6213655</v>
      </c>
      <c r="AA47" s="126"/>
      <c r="AB47" s="126"/>
      <c r="AG47" s="151" t="s">
        <v>1488</v>
      </c>
      <c r="AH47" s="149"/>
      <c r="AI47" s="149"/>
      <c r="AJ47" s="149"/>
      <c r="AK47" s="149"/>
    </row>
    <row r="48" spans="2:37" ht="12.95" customHeight="1" x14ac:dyDescent="0.3">
      <c r="N48" s="277" t="s">
        <v>1489</v>
      </c>
      <c r="O48" s="278"/>
      <c r="P48" s="243"/>
      <c r="Q48" s="224"/>
      <c r="S48" s="312" t="s">
        <v>337</v>
      </c>
      <c r="T48" s="166"/>
      <c r="U48" s="313">
        <v>24291802</v>
      </c>
      <c r="V48" s="314">
        <v>24260076</v>
      </c>
      <c r="X48" s="168" t="s">
        <v>404</v>
      </c>
      <c r="Y48" s="215">
        <v>7199825</v>
      </c>
      <c r="Z48" s="216">
        <v>7580330</v>
      </c>
      <c r="AA48" s="126"/>
      <c r="AB48" s="126"/>
      <c r="AG48" s="151"/>
      <c r="AH48" s="149"/>
      <c r="AI48" s="149"/>
      <c r="AJ48" s="149"/>
      <c r="AK48" s="149"/>
    </row>
    <row r="49" spans="14:37" ht="12.95" customHeight="1" x14ac:dyDescent="0.3">
      <c r="N49" s="277" t="s">
        <v>1490</v>
      </c>
      <c r="O49" s="278"/>
      <c r="P49" s="247">
        <v>178500981945</v>
      </c>
      <c r="Q49" s="225">
        <v>204665522319</v>
      </c>
      <c r="S49" s="312" t="s">
        <v>339</v>
      </c>
      <c r="T49" s="166"/>
      <c r="U49" s="313">
        <v>6311886</v>
      </c>
      <c r="V49" s="314">
        <v>5253416</v>
      </c>
      <c r="Y49" s="126"/>
      <c r="Z49" s="149"/>
      <c r="AG49" s="151"/>
      <c r="AH49" s="149"/>
      <c r="AI49" s="149"/>
      <c r="AJ49" s="149"/>
      <c r="AK49" s="149"/>
    </row>
    <row r="50" spans="14:37" ht="13.5" customHeight="1" x14ac:dyDescent="0.3">
      <c r="N50" s="277" t="s">
        <v>422</v>
      </c>
      <c r="O50" s="278">
        <v>23</v>
      </c>
      <c r="P50" s="225">
        <v>4000000000</v>
      </c>
      <c r="Q50" s="225">
        <v>4000000000</v>
      </c>
      <c r="S50" s="277" t="s">
        <v>1491</v>
      </c>
      <c r="U50" s="247">
        <v>105814</v>
      </c>
      <c r="V50" s="225">
        <v>-1214747</v>
      </c>
      <c r="Y50" s="126"/>
      <c r="Z50" s="149"/>
      <c r="AG50" s="230" t="s">
        <v>345</v>
      </c>
      <c r="AH50" s="275"/>
      <c r="AI50" s="275"/>
      <c r="AJ50" s="275"/>
      <c r="AK50" s="187"/>
    </row>
    <row r="51" spans="14:37" ht="13.5" customHeight="1" x14ac:dyDescent="0.3">
      <c r="N51" s="277" t="s">
        <v>1492</v>
      </c>
      <c r="O51" s="278">
        <v>24</v>
      </c>
      <c r="P51" s="225">
        <v>72550931334</v>
      </c>
      <c r="Q51" s="225">
        <v>72549355089</v>
      </c>
      <c r="S51" s="277" t="s">
        <v>1230</v>
      </c>
      <c r="U51" s="247">
        <v>112219</v>
      </c>
      <c r="V51" s="225">
        <v>1143941</v>
      </c>
      <c r="X51" s="151" t="s">
        <v>1493</v>
      </c>
      <c r="Y51" s="126"/>
      <c r="AG51" s="234" t="s">
        <v>636</v>
      </c>
      <c r="AH51" s="283">
        <v>2017</v>
      </c>
      <c r="AI51" s="283">
        <v>2018</v>
      </c>
      <c r="AJ51" s="284"/>
      <c r="AK51" s="285"/>
    </row>
    <row r="52" spans="14:37" ht="12.95" customHeight="1" x14ac:dyDescent="0.3">
      <c r="N52" s="277" t="s">
        <v>571</v>
      </c>
      <c r="O52" s="278">
        <v>25</v>
      </c>
      <c r="P52" s="225">
        <v>101977443030</v>
      </c>
      <c r="Q52" s="225">
        <v>128143458530</v>
      </c>
      <c r="S52" s="277" t="s">
        <v>1494</v>
      </c>
      <c r="U52" s="247">
        <v>313093</v>
      </c>
      <c r="V52" s="225">
        <v>14212384</v>
      </c>
      <c r="Y52" s="126"/>
      <c r="AG52" s="174"/>
      <c r="AH52" s="175" t="s">
        <v>628</v>
      </c>
      <c r="AI52" s="175" t="s">
        <v>628</v>
      </c>
    </row>
    <row r="53" spans="14:37" ht="12.95" customHeight="1" x14ac:dyDescent="0.3">
      <c r="N53" s="277" t="s">
        <v>1495</v>
      </c>
      <c r="O53" s="278">
        <v>25</v>
      </c>
      <c r="P53" s="225">
        <v>-27392419</v>
      </c>
      <c r="Q53" s="225">
        <v>-27291300</v>
      </c>
      <c r="S53" s="277" t="s">
        <v>1249</v>
      </c>
      <c r="U53" s="247">
        <v>87526</v>
      </c>
      <c r="V53" s="225">
        <v>99750</v>
      </c>
      <c r="X53" s="151" t="s">
        <v>1496</v>
      </c>
      <c r="Y53" s="126"/>
      <c r="AG53" s="158" t="s">
        <v>1497</v>
      </c>
      <c r="AH53" s="159"/>
      <c r="AI53" s="159"/>
    </row>
    <row r="54" spans="14:37" ht="12.95" customHeight="1" x14ac:dyDescent="0.3">
      <c r="N54" s="277" t="s">
        <v>1498</v>
      </c>
      <c r="O54" s="278">
        <v>26</v>
      </c>
      <c r="P54" s="247">
        <v>1644692813</v>
      </c>
      <c r="Q54" s="225">
        <v>4371907945</v>
      </c>
      <c r="S54" s="277" t="s">
        <v>1499</v>
      </c>
      <c r="U54" s="247">
        <v>5716374</v>
      </c>
      <c r="V54" s="225">
        <v>6420676</v>
      </c>
      <c r="X54" s="271" t="s">
        <v>345</v>
      </c>
      <c r="Y54" s="315"/>
      <c r="Z54" s="273"/>
      <c r="AG54" s="158" t="s">
        <v>1500</v>
      </c>
      <c r="AH54" s="159" t="s">
        <v>22</v>
      </c>
      <c r="AI54" s="159" t="s">
        <v>22</v>
      </c>
    </row>
    <row r="55" spans="14:37" ht="12.95" customHeight="1" x14ac:dyDescent="0.3">
      <c r="N55" s="277" t="s">
        <v>1501</v>
      </c>
      <c r="O55" s="278"/>
      <c r="P55" s="247">
        <v>180145674758</v>
      </c>
      <c r="Q55" s="225">
        <v>209037430264</v>
      </c>
      <c r="S55" s="277" t="s">
        <v>1502</v>
      </c>
      <c r="U55" s="247">
        <v>921402</v>
      </c>
      <c r="V55" s="225">
        <v>1185372</v>
      </c>
      <c r="X55" s="279" t="s">
        <v>1503</v>
      </c>
      <c r="Y55" s="316" t="s">
        <v>347</v>
      </c>
      <c r="Z55" s="281" t="s">
        <v>368</v>
      </c>
      <c r="AG55" s="168" t="s">
        <v>361</v>
      </c>
      <c r="AH55" s="192" t="s">
        <v>22</v>
      </c>
      <c r="AI55" s="192" t="s">
        <v>22</v>
      </c>
    </row>
    <row r="56" spans="14:37" ht="12.95" customHeight="1" x14ac:dyDescent="0.3">
      <c r="N56" s="299" t="s">
        <v>985</v>
      </c>
      <c r="O56" s="300"/>
      <c r="P56" s="250">
        <v>463235000800</v>
      </c>
      <c r="Q56" s="249">
        <v>475658155744</v>
      </c>
      <c r="S56" s="277" t="s">
        <v>1504</v>
      </c>
      <c r="U56" s="243" t="s">
        <v>22</v>
      </c>
      <c r="V56" s="225">
        <v>439640</v>
      </c>
      <c r="X56" s="158" t="s">
        <v>409</v>
      </c>
      <c r="Y56" s="210">
        <v>12820958</v>
      </c>
      <c r="Z56" s="211">
        <v>30940409</v>
      </c>
      <c r="AG56" s="149"/>
      <c r="AH56" s="188" t="s">
        <v>629</v>
      </c>
      <c r="AI56" s="175" t="s">
        <v>629</v>
      </c>
      <c r="AJ56" s="149"/>
      <c r="AK56" s="149"/>
    </row>
    <row r="57" spans="14:37" ht="12.95" customHeight="1" x14ac:dyDescent="0.3">
      <c r="N57" s="301" t="s">
        <v>989</v>
      </c>
      <c r="S57" s="277" t="s">
        <v>1505</v>
      </c>
      <c r="U57" s="247">
        <v>1603887</v>
      </c>
      <c r="V57" s="225">
        <v>55317</v>
      </c>
      <c r="X57" s="158" t="s">
        <v>369</v>
      </c>
      <c r="Y57" s="210">
        <v>3900</v>
      </c>
      <c r="Z57" s="222">
        <v>0</v>
      </c>
      <c r="AG57" s="158" t="s">
        <v>1497</v>
      </c>
      <c r="AH57" s="164"/>
      <c r="AI57" s="159"/>
    </row>
    <row r="58" spans="14:37" ht="12.95" customHeight="1" x14ac:dyDescent="0.3">
      <c r="S58" s="277" t="s">
        <v>897</v>
      </c>
      <c r="U58" s="247">
        <v>565071</v>
      </c>
      <c r="V58" s="225">
        <v>531136</v>
      </c>
      <c r="X58" s="183" t="s">
        <v>1506</v>
      </c>
      <c r="Y58" s="215">
        <v>12824858</v>
      </c>
      <c r="Z58" s="216">
        <v>30940409</v>
      </c>
      <c r="AG58" s="158" t="s">
        <v>1500</v>
      </c>
      <c r="AH58" s="167">
        <v>7184505</v>
      </c>
      <c r="AI58" s="163">
        <v>275659</v>
      </c>
    </row>
    <row r="59" spans="14:37" ht="12.95" customHeight="1" x14ac:dyDescent="0.3">
      <c r="S59" s="277" t="s">
        <v>1507</v>
      </c>
      <c r="U59" s="243" t="s">
        <v>22</v>
      </c>
      <c r="V59" s="225">
        <v>505139</v>
      </c>
      <c r="AG59" s="168" t="s">
        <v>361</v>
      </c>
      <c r="AH59" s="170">
        <v>7184505</v>
      </c>
      <c r="AI59" s="169">
        <v>275659</v>
      </c>
    </row>
    <row r="60" spans="14:37" ht="12.95" customHeight="1" x14ac:dyDescent="0.3">
      <c r="S60" s="277" t="s">
        <v>1241</v>
      </c>
      <c r="U60" s="247">
        <v>404000</v>
      </c>
      <c r="V60" s="225">
        <v>4340585</v>
      </c>
    </row>
    <row r="61" spans="14:37" ht="13.5" customHeight="1" x14ac:dyDescent="0.3">
      <c r="S61" s="277" t="s">
        <v>1248</v>
      </c>
      <c r="U61" s="247">
        <v>7162029</v>
      </c>
      <c r="V61" s="225">
        <v>6465776</v>
      </c>
    </row>
    <row r="62" spans="14:37" ht="12.95" customHeight="1" x14ac:dyDescent="0.3">
      <c r="S62" s="277" t="s">
        <v>516</v>
      </c>
      <c r="U62" s="247">
        <v>8709360</v>
      </c>
      <c r="V62" s="225">
        <v>23923483</v>
      </c>
    </row>
    <row r="63" spans="14:37" ht="12.95" customHeight="1" x14ac:dyDescent="0.3">
      <c r="S63" s="277" t="s">
        <v>1508</v>
      </c>
      <c r="U63" s="247">
        <v>1397408</v>
      </c>
      <c r="V63" s="224" t="s">
        <v>22</v>
      </c>
      <c r="X63" s="151" t="s">
        <v>1509</v>
      </c>
      <c r="Y63" s="126"/>
      <c r="AA63" s="126"/>
      <c r="AB63" s="126"/>
    </row>
    <row r="64" spans="14:37" ht="12.95" customHeight="1" x14ac:dyDescent="0.3">
      <c r="S64" s="317" t="s">
        <v>1510</v>
      </c>
      <c r="U64" s="250">
        <v>63722186</v>
      </c>
      <c r="V64" s="249">
        <v>94319751</v>
      </c>
      <c r="Y64" s="126"/>
      <c r="AA64" s="126"/>
      <c r="AB64" s="126"/>
    </row>
    <row r="65" spans="24:28" ht="12.95" customHeight="1" x14ac:dyDescent="0.3">
      <c r="X65" s="151" t="s">
        <v>1511</v>
      </c>
      <c r="Y65" s="126"/>
      <c r="AA65" s="126"/>
      <c r="AB65" s="126"/>
    </row>
    <row r="66" spans="24:28" ht="12.95" customHeight="1" x14ac:dyDescent="0.3">
      <c r="X66" s="153" t="s">
        <v>345</v>
      </c>
      <c r="Y66" s="126"/>
      <c r="AA66" s="126"/>
      <c r="AB66" s="126"/>
    </row>
    <row r="67" spans="24:28" ht="12.95" customHeight="1" x14ac:dyDescent="0.3">
      <c r="X67" s="171" t="s">
        <v>346</v>
      </c>
      <c r="Y67" s="238" t="s">
        <v>368</v>
      </c>
      <c r="Z67" s="318"/>
      <c r="AA67" s="238" t="s">
        <v>347</v>
      </c>
      <c r="AB67" s="232"/>
    </row>
    <row r="68" spans="24:28" ht="12.95" customHeight="1" x14ac:dyDescent="0.3">
      <c r="X68" s="174"/>
      <c r="Y68" s="303" t="s">
        <v>628</v>
      </c>
      <c r="Z68" s="303" t="s">
        <v>629</v>
      </c>
      <c r="AA68" s="303" t="s">
        <v>628</v>
      </c>
      <c r="AB68" s="307" t="s">
        <v>629</v>
      </c>
    </row>
    <row r="69" spans="24:28" ht="12.95" customHeight="1" x14ac:dyDescent="0.3">
      <c r="X69" s="158" t="s">
        <v>415</v>
      </c>
      <c r="Y69" s="225">
        <v>28326005</v>
      </c>
      <c r="Z69" s="224" t="s">
        <v>895</v>
      </c>
      <c r="AA69" s="225">
        <v>10110000</v>
      </c>
      <c r="AB69" s="243" t="s">
        <v>22</v>
      </c>
    </row>
    <row r="70" spans="24:28" ht="12.95" customHeight="1" x14ac:dyDescent="0.3">
      <c r="X70" s="158" t="s">
        <v>418</v>
      </c>
      <c r="Y70" s="225">
        <v>19030500</v>
      </c>
      <c r="Z70" s="225">
        <v>81867179</v>
      </c>
      <c r="AA70" s="225">
        <v>24633464</v>
      </c>
      <c r="AB70" s="247">
        <v>143412767</v>
      </c>
    </row>
    <row r="71" spans="24:28" ht="12.95" customHeight="1" x14ac:dyDescent="0.3">
      <c r="X71" s="168" t="s">
        <v>1512</v>
      </c>
      <c r="Y71" s="249">
        <v>47356505</v>
      </c>
      <c r="Z71" s="249">
        <v>81867179</v>
      </c>
      <c r="AA71" s="249">
        <v>34743464</v>
      </c>
      <c r="AB71" s="250">
        <v>143412767</v>
      </c>
    </row>
    <row r="74" spans="24:28" ht="13.5" customHeight="1" x14ac:dyDescent="0.3">
      <c r="X74" s="151" t="s">
        <v>1509</v>
      </c>
      <c r="Y74" s="126"/>
      <c r="AA74" s="126"/>
      <c r="AB74" s="126"/>
    </row>
    <row r="75" spans="24:28" ht="12.95" customHeight="1" x14ac:dyDescent="0.3">
      <c r="Y75" s="126"/>
      <c r="AA75" s="126"/>
      <c r="AB75" s="126"/>
    </row>
    <row r="76" spans="24:28" ht="12.95" customHeight="1" x14ac:dyDescent="0.3">
      <c r="X76" s="151" t="s">
        <v>1511</v>
      </c>
      <c r="Y76" s="126"/>
      <c r="AA76" s="126"/>
      <c r="AB76" s="126"/>
    </row>
    <row r="77" spans="24:28" ht="12.95" customHeight="1" x14ac:dyDescent="0.3">
      <c r="X77" s="153" t="s">
        <v>345</v>
      </c>
      <c r="Y77" s="126"/>
      <c r="AA77" s="126"/>
      <c r="AB77" s="126"/>
    </row>
    <row r="78" spans="24:28" ht="12.95" customHeight="1" x14ac:dyDescent="0.3">
      <c r="X78" s="171" t="s">
        <v>346</v>
      </c>
      <c r="Y78" s="238" t="s">
        <v>368</v>
      </c>
      <c r="Z78" s="318"/>
      <c r="AA78" s="238" t="s">
        <v>347</v>
      </c>
      <c r="AB78" s="232"/>
    </row>
    <row r="79" spans="24:28" ht="12.95" customHeight="1" x14ac:dyDescent="0.3">
      <c r="X79" s="174"/>
      <c r="Y79" s="303" t="s">
        <v>628</v>
      </c>
      <c r="Z79" s="303" t="s">
        <v>629</v>
      </c>
      <c r="AA79" s="303" t="s">
        <v>628</v>
      </c>
      <c r="AB79" s="307" t="s">
        <v>629</v>
      </c>
    </row>
    <row r="80" spans="24:28" ht="12.95" customHeight="1" x14ac:dyDescent="0.3">
      <c r="X80" s="158" t="s">
        <v>415</v>
      </c>
      <c r="Y80" s="225">
        <v>28326005</v>
      </c>
      <c r="Z80" s="224" t="s">
        <v>895</v>
      </c>
      <c r="AA80" s="225">
        <v>10110000</v>
      </c>
      <c r="AB80" s="243" t="s">
        <v>22</v>
      </c>
    </row>
    <row r="81" spans="24:31" ht="12.95" customHeight="1" x14ac:dyDescent="0.3">
      <c r="X81" s="158" t="s">
        <v>418</v>
      </c>
      <c r="Y81" s="225">
        <v>19030500</v>
      </c>
      <c r="Z81" s="225">
        <v>81867179</v>
      </c>
      <c r="AA81" s="225">
        <v>24633464</v>
      </c>
      <c r="AB81" s="247">
        <v>143412767</v>
      </c>
    </row>
    <row r="82" spans="24:31" ht="12.95" customHeight="1" x14ac:dyDescent="0.3">
      <c r="X82" s="168" t="s">
        <v>1512</v>
      </c>
      <c r="Y82" s="249">
        <v>47356505</v>
      </c>
      <c r="Z82" s="249">
        <v>81867179</v>
      </c>
      <c r="AA82" s="249">
        <v>34743464</v>
      </c>
      <c r="AB82" s="250">
        <v>143412767</v>
      </c>
    </row>
    <row r="83" spans="24:31" ht="12.95" customHeight="1" x14ac:dyDescent="0.3">
      <c r="Y83" s="126"/>
      <c r="AA83" s="126"/>
      <c r="AB83" s="126"/>
    </row>
    <row r="84" spans="24:31" ht="12.95" customHeight="1" x14ac:dyDescent="0.3">
      <c r="X84" s="151" t="s">
        <v>1513</v>
      </c>
      <c r="Y84" s="126"/>
      <c r="AA84" s="126"/>
      <c r="AB84" s="126"/>
    </row>
    <row r="85" spans="24:31" ht="13.5" customHeight="1" x14ac:dyDescent="0.3">
      <c r="X85" s="153" t="s">
        <v>345</v>
      </c>
      <c r="Y85" s="126"/>
      <c r="AA85" s="126"/>
      <c r="AB85" s="126"/>
    </row>
    <row r="86" spans="24:31" ht="12.95" customHeight="1" x14ac:dyDescent="0.3">
      <c r="X86" s="160" t="s">
        <v>1514</v>
      </c>
      <c r="Y86" s="217" t="s">
        <v>1515</v>
      </c>
      <c r="Z86" s="217" t="s">
        <v>368</v>
      </c>
      <c r="AA86" s="218" t="s">
        <v>347</v>
      </c>
      <c r="AB86" s="126"/>
    </row>
    <row r="87" spans="24:31" ht="12.95" customHeight="1" x14ac:dyDescent="0.3">
      <c r="X87" s="158" t="s">
        <v>1391</v>
      </c>
      <c r="Y87" s="209" t="s">
        <v>1516</v>
      </c>
      <c r="Z87" s="225">
        <v>5000000</v>
      </c>
      <c r="AA87" s="247">
        <v>5000000</v>
      </c>
      <c r="AB87" s="126"/>
    </row>
    <row r="88" spans="24:31" ht="12.95" customHeight="1" x14ac:dyDescent="0.3">
      <c r="X88" s="158" t="s">
        <v>890</v>
      </c>
      <c r="Y88" s="209" t="s">
        <v>1517</v>
      </c>
      <c r="Z88" s="225">
        <v>16000000</v>
      </c>
      <c r="AA88" s="247">
        <v>3610000</v>
      </c>
      <c r="AB88" s="126"/>
    </row>
    <row r="89" spans="24:31" ht="12.95" customHeight="1" x14ac:dyDescent="0.3">
      <c r="X89" s="158" t="s">
        <v>1424</v>
      </c>
      <c r="Y89" s="319">
        <v>3.3500000000000002E-2</v>
      </c>
      <c r="Z89" s="225">
        <v>2326005</v>
      </c>
      <c r="AA89" s="247">
        <v>1500000</v>
      </c>
      <c r="AB89" s="126"/>
    </row>
    <row r="90" spans="24:31" ht="12.95" customHeight="1" x14ac:dyDescent="0.3">
      <c r="X90" s="158" t="s">
        <v>1518</v>
      </c>
      <c r="Y90" s="319">
        <v>3.2300000000000002E-2</v>
      </c>
      <c r="Z90" s="225">
        <v>5000000</v>
      </c>
      <c r="AA90" s="243" t="s">
        <v>22</v>
      </c>
      <c r="AB90" s="126"/>
    </row>
    <row r="91" spans="24:31" ht="12.95" customHeight="1" x14ac:dyDescent="0.3">
      <c r="X91" s="168" t="s">
        <v>424</v>
      </c>
      <c r="Y91" s="219"/>
      <c r="Z91" s="249">
        <v>28326005</v>
      </c>
      <c r="AA91" s="250">
        <v>10110000</v>
      </c>
      <c r="AB91" s="126"/>
    </row>
    <row r="92" spans="24:31" ht="12.95" customHeight="1" x14ac:dyDescent="0.3">
      <c r="Y92" s="126"/>
      <c r="AA92" s="126"/>
      <c r="AB92" s="126"/>
    </row>
    <row r="93" spans="24:31" ht="12.95" customHeight="1" x14ac:dyDescent="0.3">
      <c r="X93" s="151" t="s">
        <v>1519</v>
      </c>
      <c r="Y93" s="126"/>
      <c r="AA93" s="126"/>
      <c r="AB93" s="126"/>
    </row>
    <row r="94" spans="24:31" ht="12.95" customHeight="1" x14ac:dyDescent="0.3">
      <c r="X94" s="153" t="s">
        <v>345</v>
      </c>
      <c r="Y94" s="126"/>
      <c r="AA94" s="126"/>
      <c r="AB94" s="126"/>
    </row>
    <row r="95" spans="24:31" ht="12.95" customHeight="1" x14ac:dyDescent="0.3">
      <c r="X95" s="322" t="s">
        <v>1514</v>
      </c>
      <c r="Y95" s="323" t="s">
        <v>1520</v>
      </c>
      <c r="Z95" s="323" t="s">
        <v>1515</v>
      </c>
      <c r="AA95" s="323" t="s">
        <v>1521</v>
      </c>
      <c r="AB95" s="321" t="s">
        <v>368</v>
      </c>
      <c r="AC95" s="320"/>
      <c r="AD95" s="321" t="s">
        <v>347</v>
      </c>
      <c r="AE95" s="315"/>
    </row>
    <row r="96" spans="24:31" ht="12.95" customHeight="1" x14ac:dyDescent="0.3">
      <c r="X96" s="324"/>
      <c r="Y96" s="325"/>
      <c r="Z96" s="325"/>
      <c r="AA96" s="325"/>
      <c r="AB96" s="281" t="s">
        <v>628</v>
      </c>
      <c r="AC96" s="281" t="s">
        <v>629</v>
      </c>
      <c r="AD96" s="281" t="s">
        <v>628</v>
      </c>
      <c r="AE96" s="316" t="s">
        <v>629</v>
      </c>
    </row>
    <row r="97" spans="24:31" ht="12.95" customHeight="1" x14ac:dyDescent="0.3">
      <c r="X97" s="286" t="s">
        <v>1062</v>
      </c>
      <c r="Y97" s="326" t="s">
        <v>1522</v>
      </c>
      <c r="Z97" s="209" t="s">
        <v>22</v>
      </c>
      <c r="AA97" s="209" t="s">
        <v>22</v>
      </c>
      <c r="AB97" s="222" t="s">
        <v>22</v>
      </c>
      <c r="AC97" s="222" t="s">
        <v>22</v>
      </c>
      <c r="AD97" s="211">
        <v>6520000</v>
      </c>
      <c r="AE97" s="223" t="s">
        <v>22</v>
      </c>
    </row>
    <row r="98" spans="24:31" ht="12.95" customHeight="1" x14ac:dyDescent="0.3">
      <c r="X98" s="288"/>
      <c r="Y98" s="326" t="s">
        <v>1522</v>
      </c>
      <c r="Z98" s="209" t="s">
        <v>22</v>
      </c>
      <c r="AA98" s="209" t="s">
        <v>22</v>
      </c>
      <c r="AB98" s="222" t="s">
        <v>22</v>
      </c>
      <c r="AC98" s="222" t="s">
        <v>22</v>
      </c>
      <c r="AD98" s="211">
        <v>2936000</v>
      </c>
      <c r="AE98" s="210">
        <v>9333334</v>
      </c>
    </row>
    <row r="99" spans="24:31" ht="12.95" customHeight="1" x14ac:dyDescent="0.3">
      <c r="X99" s="288"/>
      <c r="Y99" s="326" t="s">
        <v>1523</v>
      </c>
      <c r="Z99" s="319">
        <v>3.5000000000000003E-2</v>
      </c>
      <c r="AA99" s="327">
        <v>43697</v>
      </c>
      <c r="AB99" s="211">
        <v>7000000</v>
      </c>
      <c r="AC99" s="222" t="s">
        <v>22</v>
      </c>
      <c r="AD99" s="222" t="s">
        <v>22</v>
      </c>
      <c r="AE99" s="210">
        <v>7000000</v>
      </c>
    </row>
    <row r="100" spans="24:31" ht="12.95" customHeight="1" x14ac:dyDescent="0.3">
      <c r="X100" s="291"/>
      <c r="Y100" s="326" t="s">
        <v>1524</v>
      </c>
      <c r="Z100" s="209" t="s">
        <v>22</v>
      </c>
      <c r="AA100" s="209" t="s">
        <v>22</v>
      </c>
      <c r="AB100" s="222" t="s">
        <v>22</v>
      </c>
      <c r="AC100" s="222" t="s">
        <v>22</v>
      </c>
      <c r="AD100" s="211">
        <v>4532861</v>
      </c>
      <c r="AE100" s="210">
        <v>27967139</v>
      </c>
    </row>
    <row r="101" spans="24:31" ht="12.95" customHeight="1" x14ac:dyDescent="0.3">
      <c r="X101" s="286" t="s">
        <v>1391</v>
      </c>
      <c r="Y101" s="326" t="s">
        <v>1522</v>
      </c>
      <c r="Z101" s="319">
        <v>2.63E-2</v>
      </c>
      <c r="AA101" s="327">
        <v>44851</v>
      </c>
      <c r="AB101" s="222" t="s">
        <v>22</v>
      </c>
      <c r="AC101" s="211">
        <v>9970000</v>
      </c>
      <c r="AD101" s="222" t="s">
        <v>22</v>
      </c>
      <c r="AE101" s="223" t="s">
        <v>22</v>
      </c>
    </row>
    <row r="102" spans="24:31" ht="13.5" customHeight="1" x14ac:dyDescent="0.3">
      <c r="X102" s="288"/>
      <c r="Y102" s="326" t="s">
        <v>1523</v>
      </c>
      <c r="Z102" s="319">
        <v>5.1999999999999998E-2</v>
      </c>
      <c r="AA102" s="327">
        <v>46727</v>
      </c>
      <c r="AB102" s="211">
        <v>1734971</v>
      </c>
      <c r="AC102" s="211">
        <v>15413470</v>
      </c>
      <c r="AD102" s="211">
        <v>1580958</v>
      </c>
      <c r="AE102" s="210">
        <v>17148441</v>
      </c>
    </row>
    <row r="103" spans="24:31" ht="12.95" customHeight="1" x14ac:dyDescent="0.3">
      <c r="X103" s="291"/>
      <c r="Y103" s="326" t="s">
        <v>1525</v>
      </c>
      <c r="Z103" s="209" t="s">
        <v>22</v>
      </c>
      <c r="AA103" s="209" t="s">
        <v>22</v>
      </c>
      <c r="AB103" s="222" t="s">
        <v>22</v>
      </c>
      <c r="AC103" s="222" t="s">
        <v>22</v>
      </c>
      <c r="AD103" s="211">
        <v>506100</v>
      </c>
      <c r="AE103" s="210">
        <v>499900</v>
      </c>
    </row>
    <row r="104" spans="24:31" ht="12.95" customHeight="1" x14ac:dyDescent="0.3">
      <c r="X104" s="197" t="s">
        <v>1424</v>
      </c>
      <c r="Y104" s="326" t="s">
        <v>1524</v>
      </c>
      <c r="Z104" s="209" t="s">
        <v>22</v>
      </c>
      <c r="AA104" s="209" t="s">
        <v>22</v>
      </c>
      <c r="AB104" s="222" t="s">
        <v>22</v>
      </c>
      <c r="AC104" s="222" t="s">
        <v>22</v>
      </c>
      <c r="AD104" s="211">
        <v>1040859</v>
      </c>
      <c r="AE104" s="210">
        <v>4633047</v>
      </c>
    </row>
    <row r="105" spans="24:31" ht="12.95" customHeight="1" x14ac:dyDescent="0.3">
      <c r="X105" s="197" t="s">
        <v>1526</v>
      </c>
      <c r="Y105" s="326" t="s">
        <v>1524</v>
      </c>
      <c r="Z105" s="209" t="s">
        <v>22</v>
      </c>
      <c r="AA105" s="209" t="s">
        <v>22</v>
      </c>
      <c r="AB105" s="222" t="s">
        <v>22</v>
      </c>
      <c r="AC105" s="222" t="s">
        <v>22</v>
      </c>
      <c r="AD105" s="211">
        <v>1040859</v>
      </c>
      <c r="AE105" s="210">
        <v>4633047</v>
      </c>
    </row>
    <row r="106" spans="24:31" ht="12.95" customHeight="1" x14ac:dyDescent="0.3">
      <c r="X106" s="197" t="s">
        <v>1526</v>
      </c>
      <c r="Y106" s="326" t="s">
        <v>1523</v>
      </c>
      <c r="Z106" s="319">
        <v>5.1999999999999998E-2</v>
      </c>
      <c r="AA106" s="327">
        <v>46727</v>
      </c>
      <c r="AB106" s="211">
        <v>2478059</v>
      </c>
      <c r="AC106" s="211">
        <v>22015060</v>
      </c>
      <c r="AD106" s="211">
        <v>2258084</v>
      </c>
      <c r="AE106" s="210">
        <v>24493117</v>
      </c>
    </row>
    <row r="107" spans="24:31" ht="12.95" customHeight="1" x14ac:dyDescent="0.3">
      <c r="X107" s="286" t="s">
        <v>1527</v>
      </c>
      <c r="Y107" s="326" t="s">
        <v>1524</v>
      </c>
      <c r="Z107" s="209" t="s">
        <v>22</v>
      </c>
      <c r="AA107" s="209" t="s">
        <v>22</v>
      </c>
      <c r="AB107" s="222" t="s">
        <v>22</v>
      </c>
      <c r="AC107" s="222" t="s">
        <v>22</v>
      </c>
      <c r="AD107" s="211">
        <v>1200000</v>
      </c>
      <c r="AE107" s="210">
        <v>10800000</v>
      </c>
    </row>
    <row r="108" spans="24:31" ht="12.95" customHeight="1" x14ac:dyDescent="0.3">
      <c r="X108" s="288"/>
      <c r="Y108" s="326" t="s">
        <v>1524</v>
      </c>
      <c r="Z108" s="209" t="s">
        <v>22</v>
      </c>
      <c r="AA108" s="209" t="s">
        <v>22</v>
      </c>
      <c r="AB108" s="222" t="s">
        <v>22</v>
      </c>
      <c r="AC108" s="222" t="s">
        <v>22</v>
      </c>
      <c r="AD108" s="211">
        <v>880000</v>
      </c>
      <c r="AE108" s="210">
        <v>7920000</v>
      </c>
    </row>
    <row r="109" spans="24:31" ht="12.95" customHeight="1" x14ac:dyDescent="0.3">
      <c r="X109" s="291"/>
      <c r="Y109" s="326" t="s">
        <v>1522</v>
      </c>
      <c r="Z109" s="319">
        <v>1.72E-2</v>
      </c>
      <c r="AA109" s="327">
        <v>45100</v>
      </c>
      <c r="AB109" s="222" t="s">
        <v>22</v>
      </c>
      <c r="AC109" s="211">
        <v>5000000</v>
      </c>
      <c r="AD109" s="222" t="s">
        <v>22</v>
      </c>
      <c r="AE109" s="210">
        <v>5000000</v>
      </c>
    </row>
    <row r="110" spans="24:31" ht="12.95" customHeight="1" x14ac:dyDescent="0.3">
      <c r="X110" s="286" t="s">
        <v>1393</v>
      </c>
      <c r="Y110" s="326" t="s">
        <v>1523</v>
      </c>
      <c r="Z110" s="319">
        <v>4.2999999999999997E-2</v>
      </c>
      <c r="AA110" s="327">
        <v>46752</v>
      </c>
      <c r="AB110" s="211">
        <v>279822</v>
      </c>
      <c r="AC110" s="211">
        <v>2724091</v>
      </c>
      <c r="AD110" s="211">
        <v>267343</v>
      </c>
      <c r="AE110" s="210">
        <v>3003913</v>
      </c>
    </row>
    <row r="111" spans="24:31" ht="12.95" customHeight="1" x14ac:dyDescent="0.3">
      <c r="X111" s="288"/>
      <c r="Y111" s="326" t="s">
        <v>1523</v>
      </c>
      <c r="Z111" s="319">
        <v>4.2999999999999997E-2</v>
      </c>
      <c r="AA111" s="327">
        <v>46752</v>
      </c>
      <c r="AB111" s="211">
        <v>236162</v>
      </c>
      <c r="AC111" s="211">
        <v>2327226</v>
      </c>
      <c r="AD111" s="211">
        <v>227916</v>
      </c>
      <c r="AE111" s="210">
        <v>2561094</v>
      </c>
    </row>
    <row r="112" spans="24:31" ht="12.95" customHeight="1" x14ac:dyDescent="0.3">
      <c r="X112" s="291"/>
      <c r="Y112" s="326" t="s">
        <v>1523</v>
      </c>
      <c r="Z112" s="319">
        <v>7.2999999999999995E-2</v>
      </c>
      <c r="AA112" s="327">
        <v>46752</v>
      </c>
      <c r="AB112" s="211">
        <v>66515</v>
      </c>
      <c r="AC112" s="211">
        <v>753862</v>
      </c>
      <c r="AD112" s="211">
        <v>61526</v>
      </c>
      <c r="AE112" s="210">
        <v>820377</v>
      </c>
    </row>
    <row r="113" spans="24:31" ht="12.95" customHeight="1" x14ac:dyDescent="0.3">
      <c r="X113" s="197" t="s">
        <v>1435</v>
      </c>
      <c r="Y113" s="326" t="s">
        <v>1524</v>
      </c>
      <c r="Z113" s="209" t="s">
        <v>22</v>
      </c>
      <c r="AA113" s="209" t="s">
        <v>22</v>
      </c>
      <c r="AB113" s="222" t="s">
        <v>22</v>
      </c>
      <c r="AC113" s="222" t="s">
        <v>22</v>
      </c>
      <c r="AD113" s="222" t="s">
        <v>22</v>
      </c>
      <c r="AE113" s="210">
        <v>600000</v>
      </c>
    </row>
    <row r="114" spans="24:31" ht="12.95" customHeight="1" x14ac:dyDescent="0.3">
      <c r="X114" s="197" t="s">
        <v>1528</v>
      </c>
      <c r="Y114" s="326" t="s">
        <v>1522</v>
      </c>
      <c r="Z114" s="319">
        <v>2.93E-2</v>
      </c>
      <c r="AA114" s="327">
        <v>44561</v>
      </c>
      <c r="AB114" s="211">
        <v>5500000</v>
      </c>
      <c r="AC114" s="211">
        <v>8250000</v>
      </c>
      <c r="AD114" s="222" t="s">
        <v>22</v>
      </c>
      <c r="AE114" s="223" t="s">
        <v>22</v>
      </c>
    </row>
    <row r="115" spans="24:31" ht="12.95" customHeight="1" x14ac:dyDescent="0.3">
      <c r="X115" s="197" t="s">
        <v>1529</v>
      </c>
      <c r="Y115" s="326" t="s">
        <v>1530</v>
      </c>
      <c r="Z115" s="319">
        <v>5.1999999999999998E-2</v>
      </c>
      <c r="AA115" s="327">
        <v>46727</v>
      </c>
      <c r="AB115" s="211">
        <v>1734971</v>
      </c>
      <c r="AC115" s="211">
        <v>15413470</v>
      </c>
      <c r="AD115" s="211">
        <v>1580958</v>
      </c>
      <c r="AE115" s="210">
        <v>17148441</v>
      </c>
    </row>
    <row r="116" spans="24:31" ht="12.95" customHeight="1" x14ac:dyDescent="0.3">
      <c r="X116" s="328" t="s">
        <v>1531</v>
      </c>
      <c r="Y116" s="329"/>
      <c r="Z116" s="329"/>
      <c r="AA116" s="330"/>
      <c r="AB116" s="211">
        <v>19030500</v>
      </c>
      <c r="AC116" s="211">
        <v>81867179</v>
      </c>
      <c r="AD116" s="211">
        <v>24633464</v>
      </c>
      <c r="AE116" s="210">
        <v>143561850</v>
      </c>
    </row>
    <row r="117" spans="24:31" ht="12.95" customHeight="1" x14ac:dyDescent="0.3">
      <c r="X117" s="328" t="s">
        <v>1532</v>
      </c>
      <c r="Y117" s="329"/>
      <c r="Z117" s="329"/>
      <c r="AA117" s="330"/>
      <c r="AB117" s="222" t="s">
        <v>22</v>
      </c>
      <c r="AC117" s="222" t="s">
        <v>22</v>
      </c>
      <c r="AD117" s="222" t="s">
        <v>22</v>
      </c>
      <c r="AE117" s="210">
        <v>-149083</v>
      </c>
    </row>
    <row r="118" spans="24:31" ht="12.95" customHeight="1" x14ac:dyDescent="0.3">
      <c r="X118" s="213" t="s">
        <v>361</v>
      </c>
      <c r="Y118" s="331"/>
      <c r="Z118" s="331"/>
      <c r="AA118" s="214"/>
      <c r="AB118" s="216">
        <v>19030500</v>
      </c>
      <c r="AC118" s="216">
        <v>81867179</v>
      </c>
      <c r="AD118" s="216">
        <v>24633464</v>
      </c>
      <c r="AE118" s="215">
        <v>143412767</v>
      </c>
    </row>
    <row r="119" spans="24:31" ht="12.95" customHeight="1" x14ac:dyDescent="0.3">
      <c r="Y119" s="126"/>
      <c r="AA119" s="126"/>
      <c r="AB119" s="126"/>
    </row>
    <row r="121" spans="24:31" ht="12.95" customHeight="1" x14ac:dyDescent="0.3">
      <c r="X121" s="151" t="s">
        <v>1533</v>
      </c>
    </row>
    <row r="123" spans="24:31" ht="13.5" customHeight="1" x14ac:dyDescent="0.3">
      <c r="X123" s="151" t="s">
        <v>1534</v>
      </c>
      <c r="Y123" s="126"/>
    </row>
    <row r="124" spans="24:31" ht="13.5" customHeight="1" x14ac:dyDescent="0.3">
      <c r="X124" s="271" t="s">
        <v>345</v>
      </c>
      <c r="Y124" s="273"/>
      <c r="Z124" s="315"/>
    </row>
    <row r="125" spans="24:31" ht="13.5" customHeight="1" x14ac:dyDescent="0.3">
      <c r="X125" s="279" t="s">
        <v>1503</v>
      </c>
      <c r="Y125" s="281" t="s">
        <v>368</v>
      </c>
      <c r="Z125" s="316" t="s">
        <v>347</v>
      </c>
    </row>
    <row r="126" spans="24:31" ht="12.95" customHeight="1" x14ac:dyDescent="0.3">
      <c r="X126" s="158" t="s">
        <v>1535</v>
      </c>
      <c r="Y126" s="211">
        <v>218860</v>
      </c>
      <c r="Z126" s="210">
        <v>549250</v>
      </c>
    </row>
    <row r="127" spans="24:31" ht="12.95" customHeight="1" x14ac:dyDescent="0.3">
      <c r="X127" s="158" t="s">
        <v>420</v>
      </c>
      <c r="Y127" s="211">
        <v>4501</v>
      </c>
      <c r="Z127" s="210">
        <v>4501</v>
      </c>
    </row>
    <row r="128" spans="24:31" ht="12.95" customHeight="1" x14ac:dyDescent="0.3">
      <c r="X128" s="183" t="s">
        <v>1506</v>
      </c>
      <c r="Y128" s="216">
        <v>223361</v>
      </c>
      <c r="Z128" s="215">
        <v>553751</v>
      </c>
    </row>
    <row r="129" spans="24:27" ht="12.95" customHeight="1" x14ac:dyDescent="0.3">
      <c r="Y129" s="126"/>
    </row>
    <row r="130" spans="24:27" ht="12.95" customHeight="1" x14ac:dyDescent="0.3">
      <c r="X130" s="151" t="s">
        <v>1536</v>
      </c>
      <c r="Y130" s="126"/>
    </row>
    <row r="131" spans="24:27" ht="13.5" customHeight="1" x14ac:dyDescent="0.3">
      <c r="X131" s="271" t="s">
        <v>345</v>
      </c>
      <c r="Y131" s="273"/>
      <c r="Z131" s="315"/>
    </row>
    <row r="132" spans="24:27" ht="12.95" customHeight="1" x14ac:dyDescent="0.3">
      <c r="X132" s="279" t="s">
        <v>1478</v>
      </c>
      <c r="Y132" s="281" t="s">
        <v>368</v>
      </c>
      <c r="Z132" s="316" t="s">
        <v>347</v>
      </c>
    </row>
    <row r="133" spans="24:27" ht="12.95" customHeight="1" x14ac:dyDescent="0.3">
      <c r="X133" s="197" t="s">
        <v>405</v>
      </c>
      <c r="Y133" s="222" t="s">
        <v>22</v>
      </c>
      <c r="Z133" s="223" t="s">
        <v>22</v>
      </c>
    </row>
    <row r="134" spans="24:27" ht="12.95" customHeight="1" x14ac:dyDescent="0.3">
      <c r="X134" s="197" t="s">
        <v>408</v>
      </c>
      <c r="Y134" s="211">
        <v>223361</v>
      </c>
      <c r="Z134" s="210">
        <v>553751</v>
      </c>
    </row>
    <row r="135" spans="24:27" ht="12.95" customHeight="1" x14ac:dyDescent="0.3">
      <c r="X135" s="183" t="s">
        <v>1537</v>
      </c>
      <c r="Y135" s="216">
        <v>223361</v>
      </c>
      <c r="Z135" s="215">
        <v>553751</v>
      </c>
    </row>
    <row r="138" spans="24:27" ht="13.5" customHeight="1" x14ac:dyDescent="0.3"/>
    <row r="139" spans="24:27" ht="12.95" customHeight="1" x14ac:dyDescent="0.3">
      <c r="X139" s="151" t="s">
        <v>1538</v>
      </c>
      <c r="Y139" s="126"/>
      <c r="AA139" s="126"/>
    </row>
    <row r="140" spans="24:27" ht="12.95" customHeight="1" x14ac:dyDescent="0.3">
      <c r="Y140" s="126"/>
      <c r="AA140" s="126"/>
    </row>
    <row r="141" spans="24:27" ht="12.95" customHeight="1" x14ac:dyDescent="0.3">
      <c r="X141" s="151" t="s">
        <v>1539</v>
      </c>
      <c r="Y141" s="126"/>
      <c r="AA141" s="126"/>
    </row>
    <row r="142" spans="24:27" ht="12.95" customHeight="1" x14ac:dyDescent="0.3">
      <c r="X142" s="151"/>
      <c r="Y142" s="126"/>
      <c r="AA142" s="126"/>
    </row>
    <row r="143" spans="24:27" ht="12.95" customHeight="1" x14ac:dyDescent="0.3">
      <c r="X143" s="151" t="s">
        <v>1540</v>
      </c>
      <c r="Y143" s="220" t="s">
        <v>345</v>
      </c>
      <c r="AA143" s="126"/>
    </row>
    <row r="144" spans="24:27" ht="12.95" customHeight="1" x14ac:dyDescent="0.3">
      <c r="X144" s="204" t="s">
        <v>575</v>
      </c>
      <c r="Y144" s="205" t="s">
        <v>1541</v>
      </c>
      <c r="Z144" s="205" t="s">
        <v>507</v>
      </c>
      <c r="AA144" s="206" t="s">
        <v>361</v>
      </c>
    </row>
    <row r="145" spans="24:27" ht="12.95" customHeight="1" x14ac:dyDescent="0.3">
      <c r="X145" s="158" t="s">
        <v>1542</v>
      </c>
      <c r="Y145" s="222" t="s">
        <v>22</v>
      </c>
      <c r="Z145" s="211">
        <v>26352634</v>
      </c>
      <c r="AA145" s="210">
        <v>26352634</v>
      </c>
    </row>
    <row r="146" spans="24:27" ht="12.95" customHeight="1" x14ac:dyDescent="0.3">
      <c r="X146" s="158" t="s">
        <v>1543</v>
      </c>
      <c r="Y146" s="211">
        <v>16513398</v>
      </c>
      <c r="Z146" s="211">
        <v>62689279</v>
      </c>
      <c r="AA146" s="210">
        <v>79202677</v>
      </c>
    </row>
    <row r="147" spans="24:27" ht="12.95" customHeight="1" x14ac:dyDescent="0.3">
      <c r="X147" s="158" t="s">
        <v>1544</v>
      </c>
      <c r="Y147" s="211">
        <v>277206</v>
      </c>
      <c r="Z147" s="211">
        <v>56411363</v>
      </c>
      <c r="AA147" s="210">
        <v>56688569</v>
      </c>
    </row>
    <row r="148" spans="24:27" ht="12.95" customHeight="1" x14ac:dyDescent="0.3">
      <c r="X148" s="158" t="s">
        <v>1545</v>
      </c>
      <c r="Y148" s="222" t="s">
        <v>22</v>
      </c>
      <c r="Z148" s="222" t="s">
        <v>22</v>
      </c>
      <c r="AA148" s="223" t="s">
        <v>22</v>
      </c>
    </row>
    <row r="149" spans="24:27" ht="12.95" customHeight="1" x14ac:dyDescent="0.3">
      <c r="X149" s="158" t="s">
        <v>1546</v>
      </c>
      <c r="Y149" s="211">
        <v>26507</v>
      </c>
      <c r="Z149" s="211">
        <v>1129242</v>
      </c>
      <c r="AA149" s="210">
        <v>1155749</v>
      </c>
    </row>
    <row r="150" spans="24:27" ht="12.95" customHeight="1" x14ac:dyDescent="0.3">
      <c r="X150" s="158" t="s">
        <v>1547</v>
      </c>
      <c r="Y150" s="211">
        <v>948148</v>
      </c>
      <c r="Z150" s="211">
        <v>3337643</v>
      </c>
      <c r="AA150" s="210">
        <v>4285791</v>
      </c>
    </row>
    <row r="151" spans="24:27" ht="12.95" customHeight="1" x14ac:dyDescent="0.3">
      <c r="X151" s="158" t="s">
        <v>1548</v>
      </c>
      <c r="Y151" s="211">
        <v>586435</v>
      </c>
      <c r="Z151" s="211">
        <v>1025119</v>
      </c>
      <c r="AA151" s="210">
        <v>1611554</v>
      </c>
    </row>
    <row r="152" spans="24:27" ht="12.95" customHeight="1" x14ac:dyDescent="0.3">
      <c r="X152" s="158" t="s">
        <v>337</v>
      </c>
      <c r="Y152" s="211">
        <v>92666</v>
      </c>
      <c r="Z152" s="211">
        <v>23334410</v>
      </c>
      <c r="AA152" s="210">
        <v>23427076</v>
      </c>
    </row>
    <row r="153" spans="24:27" ht="12.95" customHeight="1" x14ac:dyDescent="0.3">
      <c r="X153" s="158" t="s">
        <v>1549</v>
      </c>
      <c r="Y153" s="211">
        <v>2069004</v>
      </c>
      <c r="Z153" s="211">
        <v>9200358</v>
      </c>
      <c r="AA153" s="210">
        <v>11269362</v>
      </c>
    </row>
    <row r="154" spans="24:27" ht="12.95" customHeight="1" x14ac:dyDescent="0.3">
      <c r="X154" s="158" t="s">
        <v>1550</v>
      </c>
      <c r="Y154" s="211">
        <v>4374581</v>
      </c>
      <c r="Z154" s="211">
        <v>18514063</v>
      </c>
      <c r="AA154" s="210">
        <v>22888644</v>
      </c>
    </row>
    <row r="155" spans="24:27" ht="12.95" customHeight="1" x14ac:dyDescent="0.3">
      <c r="X155" s="158" t="s">
        <v>339</v>
      </c>
      <c r="Y155" s="211">
        <v>3693641</v>
      </c>
      <c r="Z155" s="211">
        <v>1559775</v>
      </c>
      <c r="AA155" s="210">
        <v>5253416</v>
      </c>
    </row>
    <row r="156" spans="24:27" ht="12.95" customHeight="1" x14ac:dyDescent="0.3">
      <c r="X156" s="158" t="s">
        <v>1551</v>
      </c>
      <c r="Y156" s="222" t="s">
        <v>22</v>
      </c>
      <c r="Z156" s="211">
        <v>99750</v>
      </c>
      <c r="AA156" s="210">
        <v>99750</v>
      </c>
    </row>
    <row r="157" spans="24:27" ht="12.95" customHeight="1" x14ac:dyDescent="0.3">
      <c r="X157" s="158" t="s">
        <v>1491</v>
      </c>
      <c r="Y157" s="211">
        <v>-1215594</v>
      </c>
      <c r="Z157" s="222" t="s">
        <v>22</v>
      </c>
      <c r="AA157" s="210">
        <v>-1215594</v>
      </c>
    </row>
    <row r="158" spans="24:27" ht="12.95" customHeight="1" x14ac:dyDescent="0.3">
      <c r="X158" s="158" t="s">
        <v>1552</v>
      </c>
      <c r="Y158" s="211">
        <v>194085</v>
      </c>
      <c r="Z158" s="222" t="s">
        <v>22</v>
      </c>
      <c r="AA158" s="210">
        <v>194085</v>
      </c>
    </row>
    <row r="159" spans="24:27" ht="12.95" customHeight="1" x14ac:dyDescent="0.3">
      <c r="X159" s="158" t="s">
        <v>1553</v>
      </c>
      <c r="Y159" s="211">
        <v>3446064</v>
      </c>
      <c r="Z159" s="211">
        <v>185878461</v>
      </c>
      <c r="AA159" s="210">
        <v>189324525</v>
      </c>
    </row>
    <row r="160" spans="24:27" ht="12.95" customHeight="1" x14ac:dyDescent="0.3">
      <c r="X160" s="168" t="s">
        <v>570</v>
      </c>
      <c r="Y160" s="216">
        <v>31006141</v>
      </c>
      <c r="Z160" s="216">
        <v>389532097</v>
      </c>
      <c r="AA160" s="215">
        <v>420538238</v>
      </c>
    </row>
    <row r="161" spans="24:27" ht="12.95" customHeight="1" x14ac:dyDescent="0.3">
      <c r="X161" s="151"/>
      <c r="Y161" s="126"/>
      <c r="AA161" s="126"/>
    </row>
    <row r="162" spans="24:27" ht="12.95" customHeight="1" x14ac:dyDescent="0.3">
      <c r="X162" s="151" t="s">
        <v>1554</v>
      </c>
      <c r="Y162" s="220" t="s">
        <v>345</v>
      </c>
      <c r="AA162" s="126"/>
    </row>
    <row r="163" spans="24:27" ht="12.95" customHeight="1" x14ac:dyDescent="0.3">
      <c r="X163" s="204" t="s">
        <v>575</v>
      </c>
      <c r="Y163" s="205" t="s">
        <v>1541</v>
      </c>
      <c r="Z163" s="205" t="s">
        <v>507</v>
      </c>
      <c r="AA163" s="206" t="s">
        <v>361</v>
      </c>
    </row>
    <row r="164" spans="24:27" ht="12.95" customHeight="1" x14ac:dyDescent="0.3">
      <c r="X164" s="158" t="s">
        <v>1542</v>
      </c>
      <c r="Y164" s="222" t="s">
        <v>22</v>
      </c>
      <c r="Z164" s="211">
        <v>7387975</v>
      </c>
      <c r="AA164" s="210">
        <v>7387975</v>
      </c>
    </row>
    <row r="165" spans="24:27" ht="12.95" customHeight="1" x14ac:dyDescent="0.3">
      <c r="X165" s="158" t="s">
        <v>1543</v>
      </c>
      <c r="Y165" s="211">
        <v>13171125</v>
      </c>
      <c r="Z165" s="211">
        <v>69261198</v>
      </c>
      <c r="AA165" s="210">
        <v>82432323</v>
      </c>
    </row>
    <row r="166" spans="24:27" ht="12.95" customHeight="1" x14ac:dyDescent="0.3">
      <c r="X166" s="158" t="s">
        <v>1544</v>
      </c>
      <c r="Y166" s="211">
        <v>227197</v>
      </c>
      <c r="Z166" s="211">
        <v>40366494</v>
      </c>
      <c r="AA166" s="210">
        <v>40593691</v>
      </c>
    </row>
    <row r="167" spans="24:27" ht="12.95" customHeight="1" x14ac:dyDescent="0.3">
      <c r="X167" s="158" t="s">
        <v>1545</v>
      </c>
      <c r="Y167" s="222" t="s">
        <v>22</v>
      </c>
      <c r="Z167" s="222" t="s">
        <v>22</v>
      </c>
      <c r="AA167" s="223" t="s">
        <v>22</v>
      </c>
    </row>
    <row r="168" spans="24:27" ht="12.95" customHeight="1" x14ac:dyDescent="0.3">
      <c r="X168" s="158" t="s">
        <v>1546</v>
      </c>
      <c r="Y168" s="211">
        <v>22350</v>
      </c>
      <c r="Z168" s="211">
        <v>11001987</v>
      </c>
      <c r="AA168" s="210">
        <v>11024337</v>
      </c>
    </row>
    <row r="169" spans="24:27" ht="12.95" customHeight="1" x14ac:dyDescent="0.3">
      <c r="X169" s="158" t="s">
        <v>1547</v>
      </c>
      <c r="Y169" s="211">
        <v>1057947</v>
      </c>
      <c r="Z169" s="211">
        <v>2537053</v>
      </c>
      <c r="AA169" s="210">
        <v>3595000</v>
      </c>
    </row>
    <row r="170" spans="24:27" ht="12.95" customHeight="1" x14ac:dyDescent="0.3">
      <c r="X170" s="158" t="s">
        <v>1548</v>
      </c>
      <c r="Y170" s="211">
        <v>417805</v>
      </c>
      <c r="Z170" s="211">
        <v>826188</v>
      </c>
      <c r="AA170" s="210">
        <v>1243993</v>
      </c>
    </row>
    <row r="171" spans="24:27" ht="12.95" customHeight="1" x14ac:dyDescent="0.3">
      <c r="X171" s="158" t="s">
        <v>337</v>
      </c>
      <c r="Y171" s="211">
        <v>541340</v>
      </c>
      <c r="Z171" s="211">
        <v>23750461</v>
      </c>
      <c r="AA171" s="210">
        <v>24291801</v>
      </c>
    </row>
    <row r="172" spans="24:27" ht="12.95" customHeight="1" x14ac:dyDescent="0.3">
      <c r="X172" s="158" t="s">
        <v>1549</v>
      </c>
      <c r="Y172" s="211">
        <v>1683802</v>
      </c>
      <c r="Z172" s="211">
        <v>8519940</v>
      </c>
      <c r="AA172" s="210">
        <v>10203742</v>
      </c>
    </row>
    <row r="173" spans="24:27" ht="12.95" customHeight="1" x14ac:dyDescent="0.3">
      <c r="X173" s="158" t="s">
        <v>1550</v>
      </c>
      <c r="Y173" s="211">
        <v>1361242</v>
      </c>
      <c r="Z173" s="211">
        <v>22200979</v>
      </c>
      <c r="AA173" s="210">
        <v>23562221</v>
      </c>
    </row>
    <row r="174" spans="24:27" ht="12.95" customHeight="1" x14ac:dyDescent="0.3">
      <c r="X174" s="158" t="s">
        <v>339</v>
      </c>
      <c r="Y174" s="211">
        <v>5057733</v>
      </c>
      <c r="Z174" s="211">
        <v>1254153</v>
      </c>
      <c r="AA174" s="210">
        <v>6311886</v>
      </c>
    </row>
    <row r="175" spans="24:27" ht="12.95" customHeight="1" x14ac:dyDescent="0.3">
      <c r="X175" s="158" t="s">
        <v>1551</v>
      </c>
      <c r="Y175" s="222" t="s">
        <v>22</v>
      </c>
      <c r="Z175" s="211">
        <v>87526</v>
      </c>
      <c r="AA175" s="210">
        <v>87526</v>
      </c>
    </row>
    <row r="176" spans="24:27" ht="12.95" customHeight="1" x14ac:dyDescent="0.3">
      <c r="X176" s="158" t="s">
        <v>1491</v>
      </c>
      <c r="Y176" s="211">
        <v>135071</v>
      </c>
      <c r="Z176" s="222" t="s">
        <v>22</v>
      </c>
      <c r="AA176" s="210">
        <v>135071</v>
      </c>
    </row>
    <row r="177" spans="24:27" ht="12.95" customHeight="1" x14ac:dyDescent="0.3">
      <c r="X177" s="158" t="s">
        <v>1552</v>
      </c>
      <c r="Y177" s="211">
        <v>155385</v>
      </c>
      <c r="Z177" s="222" t="s">
        <v>22</v>
      </c>
      <c r="AA177" s="210">
        <v>155385</v>
      </c>
    </row>
    <row r="178" spans="24:27" ht="12.95" customHeight="1" x14ac:dyDescent="0.3">
      <c r="X178" s="158" t="s">
        <v>1553</v>
      </c>
      <c r="Y178" s="211">
        <v>2766640</v>
      </c>
      <c r="Z178" s="211">
        <v>156910409</v>
      </c>
      <c r="AA178" s="210">
        <v>159677049</v>
      </c>
    </row>
    <row r="179" spans="24:27" ht="12.95" customHeight="1" x14ac:dyDescent="0.3">
      <c r="X179" s="168" t="s">
        <v>570</v>
      </c>
      <c r="Y179" s="216">
        <v>26597637</v>
      </c>
      <c r="Z179" s="216">
        <v>344104363</v>
      </c>
      <c r="AA179" s="215">
        <v>370702000</v>
      </c>
    </row>
  </sheetData>
  <phoneticPr fontId="3" type="noConversion"/>
  <conditionalFormatting sqref="K2:L3">
    <cfRule type="containsText" dxfId="5" priority="2" operator="containsText" text="NA">
      <formula>NOT(ISERROR(SEARCH("NA",K2)))</formula>
    </cfRule>
  </conditionalFormatting>
  <conditionalFormatting sqref="F2:J3">
    <cfRule type="containsText" dxfId="4" priority="1" operator="containsText" text="NA">
      <formula>NOT(ISERROR(SEARCH("NA",F2)))</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W90"/>
  <sheetViews>
    <sheetView workbookViewId="0">
      <selection activeCell="B15" sqref="B15:D15"/>
    </sheetView>
  </sheetViews>
  <sheetFormatPr defaultRowHeight="12.95" customHeight="1" x14ac:dyDescent="0.3"/>
  <cols>
    <col min="1" max="1" width="1.625" customWidth="1"/>
    <col min="2" max="2" width="13.875" style="126" bestFit="1" customWidth="1"/>
    <col min="3" max="3" width="12.5" style="126" bestFit="1" customWidth="1"/>
    <col min="4" max="10" width="9" style="126"/>
    <col min="11" max="11" width="1.625" customWidth="1"/>
    <col min="12" max="12" width="1.625" style="443" customWidth="1"/>
    <col min="13" max="13" width="1.625" customWidth="1"/>
    <col min="14" max="14" width="30.625" style="149" customWidth="1"/>
    <col min="15" max="15" width="9.125" style="126" bestFit="1" customWidth="1"/>
    <col min="16" max="17" width="14" style="126" bestFit="1" customWidth="1"/>
    <col min="18" max="18" width="1.625" customWidth="1"/>
    <col min="19" max="19" width="30.625" style="65" customWidth="1"/>
    <col min="20" max="21" width="11.125" bestFit="1" customWidth="1"/>
    <col min="22" max="22" width="13.875" bestFit="1" customWidth="1"/>
    <col min="23" max="23" width="11.125" bestFit="1" customWidth="1"/>
  </cols>
  <sheetData>
    <row r="2" spans="2:23" ht="12.95" customHeight="1" x14ac:dyDescent="0.3">
      <c r="B2" s="403" t="s">
        <v>0</v>
      </c>
      <c r="C2" s="404"/>
      <c r="D2" s="404" t="s">
        <v>34</v>
      </c>
      <c r="E2" s="404" t="s">
        <v>35</v>
      </c>
      <c r="F2" s="404"/>
      <c r="G2" s="404"/>
      <c r="H2" s="404"/>
      <c r="I2" s="404"/>
      <c r="J2" s="405"/>
      <c r="N2" s="462" t="s">
        <v>1722</v>
      </c>
    </row>
    <row r="3" spans="2:23" ht="12.95" customHeight="1" x14ac:dyDescent="0.3">
      <c r="B3" s="406" t="s">
        <v>8</v>
      </c>
      <c r="C3" s="407" t="s">
        <v>49</v>
      </c>
      <c r="D3" s="407" t="s">
        <v>39</v>
      </c>
      <c r="E3" s="407" t="s">
        <v>40</v>
      </c>
      <c r="F3" s="407" t="s">
        <v>41</v>
      </c>
      <c r="G3" s="407" t="s">
        <v>42</v>
      </c>
      <c r="H3" s="407" t="s">
        <v>11</v>
      </c>
      <c r="I3" s="407" t="s">
        <v>10</v>
      </c>
      <c r="J3" s="408" t="s">
        <v>43</v>
      </c>
      <c r="N3" s="229" t="s">
        <v>909</v>
      </c>
      <c r="S3" s="151" t="s">
        <v>910</v>
      </c>
      <c r="T3" s="126"/>
      <c r="U3" s="126"/>
      <c r="V3" s="126"/>
      <c r="W3" s="126"/>
    </row>
    <row r="4" spans="2:23" ht="13.5" customHeight="1" x14ac:dyDescent="0.3">
      <c r="B4" s="394">
        <f>C14</f>
        <v>-2654.192012</v>
      </c>
      <c r="C4" s="395">
        <f>C17</f>
        <v>58.747546</v>
      </c>
      <c r="D4" s="396"/>
      <c r="E4" s="397" t="s">
        <v>246</v>
      </c>
      <c r="F4" s="395">
        <f>P33/10^6</f>
        <v>36694.330464999999</v>
      </c>
      <c r="G4" s="395">
        <f>C30</f>
        <v>12535.804436</v>
      </c>
      <c r="H4" s="395">
        <f>C34</f>
        <v>5445.8721430000005</v>
      </c>
      <c r="I4" s="395">
        <f>C33</f>
        <v>3709.3191430000002</v>
      </c>
      <c r="J4" s="398">
        <f>P52/10^6</f>
        <v>3821.1702660000001</v>
      </c>
      <c r="N4" s="151"/>
      <c r="S4" s="230" t="s">
        <v>345</v>
      </c>
      <c r="T4" s="231"/>
      <c r="U4" s="231"/>
      <c r="V4" s="231"/>
      <c r="W4" s="232"/>
    </row>
    <row r="5" spans="2:23" ht="13.5" customHeight="1" x14ac:dyDescent="0.3">
      <c r="B5" s="399">
        <f>D14</f>
        <v>-1909.4166949999999</v>
      </c>
      <c r="C5" s="400">
        <f>D17</f>
        <v>37933.967710999998</v>
      </c>
      <c r="D5" s="400"/>
      <c r="E5" s="401" t="s">
        <v>336</v>
      </c>
      <c r="F5" s="400">
        <f>Q33/10^6</f>
        <v>36191.30672</v>
      </c>
      <c r="G5" s="400">
        <f>D30</f>
        <v>12556.756993999999</v>
      </c>
      <c r="H5" s="400">
        <f>D34</f>
        <v>5887.3167300000005</v>
      </c>
      <c r="I5" s="400">
        <f>D33</f>
        <v>4393.2167300000001</v>
      </c>
      <c r="J5" s="402">
        <f>Q52/10^6</f>
        <v>4490.7527529999998</v>
      </c>
      <c r="N5" s="153" t="s">
        <v>911</v>
      </c>
      <c r="O5" s="233" t="s">
        <v>912</v>
      </c>
      <c r="S5" s="234" t="s">
        <v>913</v>
      </c>
      <c r="T5" s="235" t="s">
        <v>368</v>
      </c>
      <c r="U5" s="236"/>
      <c r="V5" s="235" t="s">
        <v>347</v>
      </c>
      <c r="W5" s="237"/>
    </row>
    <row r="6" spans="2:23" ht="14.25" customHeight="1" x14ac:dyDescent="0.3">
      <c r="N6" s="203" t="s">
        <v>914</v>
      </c>
      <c r="O6" s="217" t="s">
        <v>281</v>
      </c>
      <c r="P6" s="238">
        <v>2017</v>
      </c>
      <c r="Q6" s="238">
        <v>2018</v>
      </c>
      <c r="S6" s="239"/>
      <c r="T6" s="240" t="s">
        <v>915</v>
      </c>
      <c r="U6" s="240" t="s">
        <v>915</v>
      </c>
      <c r="V6" s="241" t="s">
        <v>592</v>
      </c>
      <c r="W6" s="242" t="s">
        <v>916</v>
      </c>
    </row>
    <row r="7" spans="2:23" ht="12.95" customHeight="1" x14ac:dyDescent="0.3">
      <c r="N7" s="158" t="s">
        <v>886</v>
      </c>
      <c r="O7" s="209"/>
      <c r="P7" s="243"/>
      <c r="Q7" s="224"/>
      <c r="S7" s="174"/>
      <c r="T7" s="244" t="s">
        <v>917</v>
      </c>
      <c r="U7" s="244" t="s">
        <v>918</v>
      </c>
      <c r="V7" s="245"/>
      <c r="W7" s="246" t="s">
        <v>918</v>
      </c>
    </row>
    <row r="8" spans="2:23" ht="12.95" customHeight="1" x14ac:dyDescent="0.3">
      <c r="N8" s="158" t="s">
        <v>919</v>
      </c>
      <c r="O8" s="209"/>
      <c r="P8" s="247">
        <v>3976612716</v>
      </c>
      <c r="Q8" s="225">
        <v>2822801833</v>
      </c>
      <c r="S8" s="158" t="s">
        <v>920</v>
      </c>
      <c r="T8" s="224"/>
      <c r="U8" s="224"/>
      <c r="V8" s="224"/>
      <c r="W8" s="243"/>
    </row>
    <row r="9" spans="2:23" ht="12.95" customHeight="1" x14ac:dyDescent="0.3">
      <c r="B9" s="156"/>
      <c r="C9" s="157" t="s">
        <v>921</v>
      </c>
      <c r="D9" s="157" t="s">
        <v>922</v>
      </c>
      <c r="N9" s="158" t="s">
        <v>923</v>
      </c>
      <c r="O9" s="209">
        <v>26</v>
      </c>
      <c r="P9" s="225">
        <v>1654192012</v>
      </c>
      <c r="Q9" s="225">
        <v>1909416695</v>
      </c>
      <c r="S9" s="158" t="s">
        <v>351</v>
      </c>
      <c r="T9" s="225">
        <v>1909417</v>
      </c>
      <c r="U9" s="224" t="s">
        <v>22</v>
      </c>
      <c r="V9" s="225">
        <v>1654192</v>
      </c>
      <c r="W9" s="243" t="s">
        <v>22</v>
      </c>
    </row>
    <row r="10" spans="2:23" ht="12.95" customHeight="1" x14ac:dyDescent="0.3">
      <c r="B10" s="156" t="s">
        <v>924</v>
      </c>
      <c r="C10" s="157" t="s">
        <v>889</v>
      </c>
      <c r="D10" s="157" t="s">
        <v>925</v>
      </c>
      <c r="N10" s="158" t="s">
        <v>926</v>
      </c>
      <c r="O10" s="209">
        <v>26</v>
      </c>
      <c r="P10" s="225">
        <v>1000000000</v>
      </c>
      <c r="Q10" s="224">
        <v>0</v>
      </c>
      <c r="S10" s="158" t="s">
        <v>927</v>
      </c>
      <c r="T10" s="225">
        <v>852526</v>
      </c>
      <c r="U10" s="224" t="s">
        <v>22</v>
      </c>
      <c r="V10" s="225">
        <v>1035029</v>
      </c>
      <c r="W10" s="243" t="s">
        <v>22</v>
      </c>
    </row>
    <row r="11" spans="2:23" ht="12.95" customHeight="1" x14ac:dyDescent="0.3">
      <c r="B11" s="126" t="s">
        <v>928</v>
      </c>
      <c r="C11" s="152">
        <v>0</v>
      </c>
      <c r="D11" s="152">
        <v>0</v>
      </c>
      <c r="N11" s="158" t="s">
        <v>929</v>
      </c>
      <c r="O11" s="209" t="s">
        <v>930</v>
      </c>
      <c r="P11" s="225">
        <v>1035029359</v>
      </c>
      <c r="Q11" s="225">
        <v>852525828</v>
      </c>
      <c r="S11" s="158" t="s">
        <v>352</v>
      </c>
      <c r="T11" s="224" t="s">
        <v>22</v>
      </c>
      <c r="U11" s="224" t="s">
        <v>22</v>
      </c>
      <c r="V11" s="225">
        <v>1000000</v>
      </c>
      <c r="W11" s="243" t="s">
        <v>22</v>
      </c>
    </row>
    <row r="12" spans="2:23" ht="12.95" customHeight="1" x14ac:dyDescent="0.3">
      <c r="B12" s="126" t="s">
        <v>931</v>
      </c>
      <c r="C12" s="152">
        <f>P9/10^6</f>
        <v>1654.192012</v>
      </c>
      <c r="D12" s="152">
        <f>Q9/10^6</f>
        <v>1909.4166949999999</v>
      </c>
      <c r="N12" s="158" t="s">
        <v>932</v>
      </c>
      <c r="O12" s="209" t="s">
        <v>933</v>
      </c>
      <c r="P12" s="225">
        <v>35628823</v>
      </c>
      <c r="Q12" s="225">
        <v>550000</v>
      </c>
      <c r="S12" s="158" t="s">
        <v>934</v>
      </c>
      <c r="T12" s="224">
        <v>550</v>
      </c>
      <c r="U12" s="224" t="s">
        <v>22</v>
      </c>
      <c r="V12" s="225">
        <v>35629</v>
      </c>
      <c r="W12" s="243" t="s">
        <v>22</v>
      </c>
    </row>
    <row r="13" spans="2:23" ht="12.95" customHeight="1" x14ac:dyDescent="0.3">
      <c r="B13" s="126" t="s">
        <v>935</v>
      </c>
      <c r="C13" s="152">
        <f>P10/10^6</f>
        <v>1000</v>
      </c>
      <c r="D13" s="152">
        <f>Q10/10^6</f>
        <v>0</v>
      </c>
      <c r="N13" s="158" t="s">
        <v>936</v>
      </c>
      <c r="O13" s="209">
        <v>11</v>
      </c>
      <c r="P13" s="225">
        <v>67939022</v>
      </c>
      <c r="Q13" s="225">
        <v>58618360</v>
      </c>
      <c r="S13" s="158" t="s">
        <v>937</v>
      </c>
      <c r="T13" s="225">
        <v>58548</v>
      </c>
      <c r="U13" s="224" t="s">
        <v>22</v>
      </c>
      <c r="V13" s="225">
        <v>58748</v>
      </c>
      <c r="W13" s="243" t="s">
        <v>22</v>
      </c>
    </row>
    <row r="14" spans="2:23" ht="12.95" customHeight="1" x14ac:dyDescent="0.3">
      <c r="B14" s="156" t="s">
        <v>938</v>
      </c>
      <c r="C14" s="165">
        <f>-SUM(C12:C13)+C11</f>
        <v>-2654.192012</v>
      </c>
      <c r="D14" s="165">
        <f>-SUM(D12:D13)+D11</f>
        <v>-1909.4166949999999</v>
      </c>
      <c r="N14" s="158" t="s">
        <v>939</v>
      </c>
      <c r="O14" s="209"/>
      <c r="P14" s="225">
        <v>183823500</v>
      </c>
      <c r="Q14" s="225">
        <v>1690950</v>
      </c>
      <c r="S14" s="197" t="s">
        <v>424</v>
      </c>
      <c r="T14" s="225">
        <v>2821041</v>
      </c>
      <c r="U14" s="224" t="s">
        <v>22</v>
      </c>
      <c r="V14" s="225">
        <v>3783598</v>
      </c>
      <c r="W14" s="243" t="s">
        <v>22</v>
      </c>
    </row>
    <row r="15" spans="2:23" ht="12.95" customHeight="1" x14ac:dyDescent="0.3">
      <c r="B15" s="479"/>
      <c r="C15" s="480"/>
      <c r="D15" s="480"/>
      <c r="N15" s="158" t="s">
        <v>940</v>
      </c>
      <c r="O15" s="209"/>
      <c r="P15" s="247">
        <v>33957354995</v>
      </c>
      <c r="Q15" s="225">
        <v>34345704163</v>
      </c>
      <c r="S15" s="158" t="s">
        <v>941</v>
      </c>
      <c r="T15" s="224"/>
      <c r="U15" s="224"/>
      <c r="V15" s="224"/>
      <c r="W15" s="243"/>
    </row>
    <row r="16" spans="2:23" ht="12.95" customHeight="1" x14ac:dyDescent="0.3">
      <c r="C16" s="152"/>
      <c r="D16" s="152"/>
      <c r="N16" s="158" t="s">
        <v>942</v>
      </c>
      <c r="O16" s="209">
        <v>7</v>
      </c>
      <c r="P16" s="225">
        <v>22716548172</v>
      </c>
      <c r="Q16" s="225">
        <v>23005878522</v>
      </c>
      <c r="S16" s="168" t="s">
        <v>943</v>
      </c>
      <c r="T16" s="248" t="s">
        <v>22</v>
      </c>
      <c r="U16" s="249">
        <v>630186</v>
      </c>
      <c r="V16" s="248" t="s">
        <v>22</v>
      </c>
      <c r="W16" s="250">
        <v>787280</v>
      </c>
    </row>
    <row r="17" spans="2:21" ht="12.95" customHeight="1" x14ac:dyDescent="0.3">
      <c r="B17" s="156" t="s">
        <v>944</v>
      </c>
      <c r="C17" s="165">
        <f>SUM(C18:C22)</f>
        <v>58.747546</v>
      </c>
      <c r="D17" s="165">
        <f>SUM(D18:D22)</f>
        <v>37933.967710999998</v>
      </c>
      <c r="N17" s="158" t="s">
        <v>945</v>
      </c>
      <c r="O17" s="209" t="s">
        <v>946</v>
      </c>
      <c r="P17" s="225">
        <v>11022480969</v>
      </c>
      <c r="Q17" s="225">
        <v>11022480969</v>
      </c>
    </row>
    <row r="18" spans="2:21" ht="12.95" customHeight="1" x14ac:dyDescent="0.3">
      <c r="B18" s="126" t="s">
        <v>947</v>
      </c>
      <c r="C18" s="152">
        <f>P18/10^6</f>
        <v>58.747546</v>
      </c>
      <c r="D18" s="152">
        <f>P20/10^6</f>
        <v>37933.967710999998</v>
      </c>
      <c r="N18" s="158" t="s">
        <v>948</v>
      </c>
      <c r="O18" s="209" t="s">
        <v>933</v>
      </c>
      <c r="P18" s="225">
        <v>58747546</v>
      </c>
      <c r="Q18" s="225">
        <v>58547977</v>
      </c>
    </row>
    <row r="19" spans="2:21" ht="12.95" customHeight="1" x14ac:dyDescent="0.3">
      <c r="B19" s="126" t="s">
        <v>949</v>
      </c>
      <c r="C19" s="152">
        <v>0</v>
      </c>
      <c r="D19" s="152">
        <v>0</v>
      </c>
      <c r="N19" s="158" t="s">
        <v>950</v>
      </c>
      <c r="O19" s="209">
        <v>20</v>
      </c>
      <c r="P19" s="225">
        <v>159578308</v>
      </c>
      <c r="Q19" s="225">
        <v>258796695</v>
      </c>
    </row>
    <row r="20" spans="2:21" ht="12.95" customHeight="1" x14ac:dyDescent="0.3">
      <c r="B20" s="126" t="s">
        <v>951</v>
      </c>
      <c r="C20" s="152">
        <v>0</v>
      </c>
      <c r="D20" s="152">
        <v>0</v>
      </c>
      <c r="N20" s="158" t="s">
        <v>952</v>
      </c>
      <c r="O20" s="209"/>
      <c r="P20" s="247">
        <v>37933967711</v>
      </c>
      <c r="Q20" s="225">
        <v>37168505996</v>
      </c>
    </row>
    <row r="21" spans="2:21" ht="12.95" customHeight="1" x14ac:dyDescent="0.3">
      <c r="B21" s="126" t="s">
        <v>953</v>
      </c>
      <c r="C21" s="152">
        <v>0</v>
      </c>
      <c r="D21" s="152">
        <f>P21/10^6</f>
        <v>0</v>
      </c>
      <c r="N21" s="158" t="s">
        <v>894</v>
      </c>
      <c r="O21" s="209"/>
      <c r="P21" s="243"/>
      <c r="Q21" s="224"/>
      <c r="S21" s="128" t="s">
        <v>954</v>
      </c>
    </row>
    <row r="22" spans="2:21" ht="13.5" customHeight="1" x14ac:dyDescent="0.3">
      <c r="B22" s="126" t="s">
        <v>955</v>
      </c>
      <c r="C22" s="152">
        <v>0</v>
      </c>
      <c r="D22" s="152">
        <f>SUM(W25,X29)/10^3</f>
        <v>0</v>
      </c>
      <c r="N22" s="158" t="s">
        <v>956</v>
      </c>
      <c r="O22" s="209"/>
      <c r="P22" s="247">
        <v>917647084</v>
      </c>
      <c r="Q22" s="225">
        <v>966377871</v>
      </c>
      <c r="S22" s="251" t="s">
        <v>345</v>
      </c>
      <c r="T22" s="252"/>
      <c r="U22" s="143"/>
    </row>
    <row r="23" spans="2:21" ht="13.5" customHeight="1" x14ac:dyDescent="0.3">
      <c r="C23" s="152"/>
      <c r="D23" s="152"/>
      <c r="N23" s="158" t="s">
        <v>957</v>
      </c>
      <c r="O23" s="209" t="s">
        <v>958</v>
      </c>
      <c r="P23" s="225">
        <v>787279948</v>
      </c>
      <c r="Q23" s="225">
        <v>630186091</v>
      </c>
      <c r="S23" s="253" t="s">
        <v>562</v>
      </c>
      <c r="T23" s="254" t="s">
        <v>959</v>
      </c>
      <c r="U23" s="255"/>
    </row>
    <row r="24" spans="2:21" ht="12.95" customHeight="1" x14ac:dyDescent="0.3">
      <c r="C24" s="152"/>
      <c r="D24" s="152"/>
      <c r="N24" s="158" t="s">
        <v>960</v>
      </c>
      <c r="O24" s="209">
        <v>11</v>
      </c>
      <c r="P24" s="225">
        <v>130367136</v>
      </c>
      <c r="Q24" s="225">
        <v>336191780</v>
      </c>
      <c r="S24" s="138"/>
      <c r="T24" s="129">
        <v>2017</v>
      </c>
      <c r="U24" s="112">
        <v>2018</v>
      </c>
    </row>
    <row r="25" spans="2:21" ht="12.95" customHeight="1" x14ac:dyDescent="0.3">
      <c r="C25" s="152"/>
      <c r="D25" s="152"/>
      <c r="N25" s="158" t="s">
        <v>961</v>
      </c>
      <c r="O25" s="209"/>
      <c r="P25" s="247">
        <v>321990162</v>
      </c>
      <c r="Q25" s="225">
        <v>10821405</v>
      </c>
      <c r="S25" s="119" t="s">
        <v>962</v>
      </c>
      <c r="T25" s="118">
        <v>1752290</v>
      </c>
      <c r="U25" s="116">
        <v>1670321</v>
      </c>
    </row>
    <row r="26" spans="2:21" ht="12.95" customHeight="1" x14ac:dyDescent="0.3">
      <c r="C26" s="152"/>
      <c r="D26" s="152"/>
      <c r="N26" s="158" t="s">
        <v>963</v>
      </c>
      <c r="O26" s="209">
        <v>11</v>
      </c>
      <c r="P26" s="225">
        <v>299893266</v>
      </c>
      <c r="Q26" s="224" t="s">
        <v>22</v>
      </c>
      <c r="S26" s="119" t="s">
        <v>964</v>
      </c>
      <c r="T26" s="118">
        <v>80937</v>
      </c>
      <c r="U26" s="116">
        <v>68759</v>
      </c>
    </row>
    <row r="27" spans="2:21" ht="12.95" customHeight="1" x14ac:dyDescent="0.3">
      <c r="C27" s="152"/>
      <c r="D27" s="152"/>
      <c r="N27" s="158" t="s">
        <v>965</v>
      </c>
      <c r="O27" s="209">
        <v>12</v>
      </c>
      <c r="P27" s="225">
        <v>22096896</v>
      </c>
      <c r="Q27" s="225">
        <v>10821405</v>
      </c>
      <c r="S27" s="119" t="s">
        <v>966</v>
      </c>
      <c r="T27" s="120" t="s">
        <v>22</v>
      </c>
      <c r="U27" s="116">
        <v>-7061</v>
      </c>
    </row>
    <row r="28" spans="2:21" ht="12.95" customHeight="1" x14ac:dyDescent="0.3">
      <c r="B28" s="156"/>
      <c r="C28" s="157" t="s">
        <v>609</v>
      </c>
      <c r="D28" s="157" t="s">
        <v>967</v>
      </c>
      <c r="N28" s="158" t="s">
        <v>968</v>
      </c>
      <c r="O28" s="209"/>
      <c r="P28" s="247">
        <v>1239637246</v>
      </c>
      <c r="Q28" s="225">
        <v>977199276</v>
      </c>
      <c r="S28" s="119" t="s">
        <v>969</v>
      </c>
      <c r="T28" s="118">
        <v>1735959</v>
      </c>
      <c r="U28" s="116">
        <v>1494100</v>
      </c>
    </row>
    <row r="29" spans="2:21" ht="12.95" customHeight="1" x14ac:dyDescent="0.3">
      <c r="B29" s="156" t="s">
        <v>888</v>
      </c>
      <c r="C29" s="157" t="s">
        <v>612</v>
      </c>
      <c r="D29" s="157" t="s">
        <v>970</v>
      </c>
      <c r="N29" s="158" t="s">
        <v>971</v>
      </c>
      <c r="O29" s="209"/>
      <c r="P29" s="243"/>
      <c r="Q29" s="224"/>
      <c r="S29" s="119" t="s">
        <v>972</v>
      </c>
      <c r="T29" s="120">
        <v>594</v>
      </c>
      <c r="U29" s="117" t="s">
        <v>22</v>
      </c>
    </row>
    <row r="30" spans="2:21" ht="12.95" customHeight="1" x14ac:dyDescent="0.3">
      <c r="B30" s="126" t="s">
        <v>973</v>
      </c>
      <c r="C30" s="152">
        <f>P42/10^6</f>
        <v>12535.804436</v>
      </c>
      <c r="D30" s="152">
        <f>Q42/10^6</f>
        <v>12556.756993999999</v>
      </c>
      <c r="N30" s="158" t="s">
        <v>974</v>
      </c>
      <c r="O30" s="209">
        <v>13</v>
      </c>
      <c r="P30" s="247">
        <v>632000000</v>
      </c>
      <c r="Q30" s="225">
        <v>632000000</v>
      </c>
      <c r="S30" s="119" t="s">
        <v>975</v>
      </c>
      <c r="T30" s="118">
        <v>1922</v>
      </c>
      <c r="U30" s="117" t="s">
        <v>22</v>
      </c>
    </row>
    <row r="31" spans="2:21" ht="12.95" customHeight="1" x14ac:dyDescent="0.3">
      <c r="B31" s="126" t="s">
        <v>744</v>
      </c>
      <c r="C31" s="152"/>
      <c r="D31" s="152"/>
      <c r="N31" s="158" t="s">
        <v>976</v>
      </c>
      <c r="O31" s="209">
        <v>14</v>
      </c>
      <c r="P31" s="247">
        <v>28108000000</v>
      </c>
      <c r="Q31" s="225">
        <v>28108000000</v>
      </c>
      <c r="S31" s="119" t="s">
        <v>977</v>
      </c>
      <c r="T31" s="256" t="s">
        <v>22</v>
      </c>
      <c r="U31" s="116">
        <v>209357</v>
      </c>
    </row>
    <row r="32" spans="2:21" ht="12.95" customHeight="1" x14ac:dyDescent="0.3">
      <c r="B32" s="126" t="s">
        <v>978</v>
      </c>
      <c r="C32" s="152"/>
      <c r="D32" s="152"/>
      <c r="N32" s="158" t="s">
        <v>979</v>
      </c>
      <c r="O32" s="209">
        <v>15</v>
      </c>
      <c r="P32" s="247">
        <v>7954330465</v>
      </c>
      <c r="Q32" s="225">
        <v>7451306720</v>
      </c>
      <c r="S32" s="119" t="s">
        <v>980</v>
      </c>
      <c r="T32" s="118">
        <v>-17433</v>
      </c>
      <c r="U32" s="116">
        <v>-10981</v>
      </c>
    </row>
    <row r="33" spans="2:21" ht="12.95" customHeight="1" x14ac:dyDescent="0.3">
      <c r="B33" s="126" t="s">
        <v>981</v>
      </c>
      <c r="C33" s="152">
        <f>P46/10^6</f>
        <v>3709.3191430000002</v>
      </c>
      <c r="D33" s="152">
        <f>Q46/10^6</f>
        <v>4393.2167300000001</v>
      </c>
      <c r="N33" s="158" t="s">
        <v>982</v>
      </c>
      <c r="O33" s="209"/>
      <c r="P33" s="247">
        <v>36694330465</v>
      </c>
      <c r="Q33" s="225">
        <v>36191306720</v>
      </c>
      <c r="S33" s="119" t="s">
        <v>983</v>
      </c>
      <c r="T33" s="118">
        <v>-9931</v>
      </c>
      <c r="U33" s="117" t="s">
        <v>22</v>
      </c>
    </row>
    <row r="34" spans="2:21" ht="12.95" customHeight="1" x14ac:dyDescent="0.3">
      <c r="B34" s="126" t="s">
        <v>984</v>
      </c>
      <c r="C34" s="152">
        <f>C33+C36</f>
        <v>5445.8721430000005</v>
      </c>
      <c r="D34" s="152">
        <f>D33+D36</f>
        <v>5887.3167300000005</v>
      </c>
      <c r="N34" s="168" t="s">
        <v>985</v>
      </c>
      <c r="O34" s="219"/>
      <c r="P34" s="250">
        <v>37933967711</v>
      </c>
      <c r="Q34" s="249">
        <v>37168505996</v>
      </c>
      <c r="S34" s="119" t="s">
        <v>986</v>
      </c>
      <c r="T34" s="118">
        <v>-39758</v>
      </c>
      <c r="U34" s="116">
        <v>-83853</v>
      </c>
    </row>
    <row r="35" spans="2:21" ht="12.95" customHeight="1" x14ac:dyDescent="0.3">
      <c r="C35" s="152"/>
      <c r="D35" s="152"/>
      <c r="N35" s="151"/>
      <c r="S35" s="119" t="s">
        <v>987</v>
      </c>
      <c r="T35" s="118">
        <v>424081</v>
      </c>
      <c r="U35" s="116">
        <v>-376233</v>
      </c>
    </row>
    <row r="36" spans="2:21" ht="12.95" customHeight="1" x14ac:dyDescent="0.3">
      <c r="B36" s="126" t="s">
        <v>988</v>
      </c>
      <c r="C36" s="152">
        <f>SUM(T28:T29)/10^3</f>
        <v>1736.5530000000001</v>
      </c>
      <c r="D36" s="152">
        <f>SUM(U28:U29)/10^3</f>
        <v>1494.1</v>
      </c>
      <c r="N36" s="202" t="s">
        <v>989</v>
      </c>
      <c r="S36" s="119" t="s">
        <v>990</v>
      </c>
      <c r="T36" s="118">
        <v>505768</v>
      </c>
      <c r="U36" s="116">
        <v>189564</v>
      </c>
    </row>
    <row r="37" spans="2:21" ht="12.95" customHeight="1" x14ac:dyDescent="0.3">
      <c r="C37" s="152"/>
      <c r="D37" s="152"/>
      <c r="S37" s="119" t="s">
        <v>991</v>
      </c>
      <c r="T37" s="118">
        <v>5930</v>
      </c>
      <c r="U37" s="116">
        <v>2083</v>
      </c>
    </row>
    <row r="38" spans="2:21" ht="12.95" customHeight="1" x14ac:dyDescent="0.3">
      <c r="C38" s="152"/>
      <c r="D38" s="152"/>
      <c r="N38" s="229" t="s">
        <v>992</v>
      </c>
      <c r="S38" s="119" t="s">
        <v>993</v>
      </c>
      <c r="T38" s="118">
        <v>-10566</v>
      </c>
      <c r="U38" s="116">
        <v>7237</v>
      </c>
    </row>
    <row r="39" spans="2:21" ht="12.95" customHeight="1" x14ac:dyDescent="0.3">
      <c r="C39" s="152"/>
      <c r="D39" s="152"/>
      <c r="N39" s="151"/>
      <c r="S39" s="119" t="s">
        <v>994</v>
      </c>
      <c r="T39" s="118">
        <v>-35629</v>
      </c>
      <c r="U39" s="116">
        <v>35079</v>
      </c>
    </row>
    <row r="40" spans="2:21" ht="12.95" customHeight="1" x14ac:dyDescent="0.3">
      <c r="C40" s="152"/>
      <c r="D40" s="152"/>
      <c r="N40" s="153" t="s">
        <v>911</v>
      </c>
      <c r="O40" s="233" t="s">
        <v>912</v>
      </c>
      <c r="S40" s="119" t="s">
        <v>995</v>
      </c>
      <c r="T40" s="120" t="s">
        <v>22</v>
      </c>
      <c r="U40" s="117">
        <v>200</v>
      </c>
    </row>
    <row r="41" spans="2:21" ht="12.95" customHeight="1" x14ac:dyDescent="0.3">
      <c r="C41" s="152"/>
      <c r="D41" s="152"/>
      <c r="N41" s="203" t="s">
        <v>996</v>
      </c>
      <c r="O41" s="217" t="s">
        <v>281</v>
      </c>
      <c r="P41" s="238">
        <v>2017</v>
      </c>
      <c r="Q41" s="238">
        <v>2018</v>
      </c>
      <c r="S41" s="119" t="s">
        <v>997</v>
      </c>
      <c r="T41" s="118">
        <v>92164</v>
      </c>
      <c r="U41" s="116">
        <v>-196564</v>
      </c>
    </row>
    <row r="42" spans="2:21" ht="12.95" customHeight="1" x14ac:dyDescent="0.3">
      <c r="C42" s="152"/>
      <c r="D42" s="152"/>
      <c r="N42" s="158" t="s">
        <v>998</v>
      </c>
      <c r="O42" s="209">
        <v>16</v>
      </c>
      <c r="P42" s="247">
        <v>12535804436</v>
      </c>
      <c r="Q42" s="225">
        <v>12556756994</v>
      </c>
      <c r="S42" s="119" t="s">
        <v>999</v>
      </c>
      <c r="T42" s="120" t="s">
        <v>22</v>
      </c>
      <c r="U42" s="116">
        <v>-299893</v>
      </c>
    </row>
    <row r="43" spans="2:21" ht="12.95" customHeight="1" x14ac:dyDescent="0.3">
      <c r="C43" s="152"/>
      <c r="D43" s="152"/>
      <c r="N43" s="158" t="s">
        <v>1000</v>
      </c>
      <c r="O43" s="209">
        <v>21</v>
      </c>
      <c r="P43" s="247">
        <v>7805237067</v>
      </c>
      <c r="Q43" s="225">
        <v>7368183743</v>
      </c>
      <c r="S43" s="119" t="s">
        <v>1001</v>
      </c>
      <c r="T43" s="118">
        <v>51847</v>
      </c>
      <c r="U43" s="116">
        <v>187924</v>
      </c>
    </row>
    <row r="44" spans="2:21" ht="12.95" customHeight="1" x14ac:dyDescent="0.3">
      <c r="C44" s="152"/>
      <c r="D44" s="152"/>
      <c r="N44" s="158" t="s">
        <v>1002</v>
      </c>
      <c r="O44" s="209"/>
      <c r="P44" s="247">
        <v>4730567369</v>
      </c>
      <c r="Q44" s="225">
        <v>5188573251</v>
      </c>
      <c r="S44" s="119" t="s">
        <v>1003</v>
      </c>
      <c r="T44" s="118">
        <v>-126606</v>
      </c>
      <c r="U44" s="116">
        <v>-1581</v>
      </c>
    </row>
    <row r="45" spans="2:21" ht="12.95" customHeight="1" x14ac:dyDescent="0.3">
      <c r="C45" s="152"/>
      <c r="D45" s="152"/>
      <c r="N45" s="158" t="s">
        <v>1004</v>
      </c>
      <c r="O45" s="209" t="s">
        <v>1005</v>
      </c>
      <c r="P45" s="225">
        <v>1021248226</v>
      </c>
      <c r="Q45" s="225">
        <v>795356521</v>
      </c>
      <c r="S45" s="119" t="s">
        <v>1006</v>
      </c>
      <c r="T45" s="120">
        <v>645</v>
      </c>
      <c r="U45" s="116">
        <v>-1951</v>
      </c>
    </row>
    <row r="46" spans="2:21" ht="12.95" customHeight="1" x14ac:dyDescent="0.3">
      <c r="C46" s="152"/>
      <c r="D46" s="152"/>
      <c r="N46" s="158" t="s">
        <v>1007</v>
      </c>
      <c r="O46" s="209"/>
      <c r="P46" s="247">
        <v>3709319143</v>
      </c>
      <c r="Q46" s="225">
        <v>4393216730</v>
      </c>
      <c r="S46" s="119" t="s">
        <v>1008</v>
      </c>
      <c r="T46" s="118">
        <v>53823</v>
      </c>
      <c r="U46" s="116">
        <v>-148454</v>
      </c>
    </row>
    <row r="47" spans="2:21" ht="12.95" customHeight="1" x14ac:dyDescent="0.3">
      <c r="C47" s="152"/>
      <c r="D47" s="152"/>
      <c r="N47" s="158" t="s">
        <v>1009</v>
      </c>
      <c r="O47" s="209">
        <v>18</v>
      </c>
      <c r="P47" s="225">
        <v>17433349</v>
      </c>
      <c r="Q47" s="225">
        <v>10980858</v>
      </c>
      <c r="S47" s="119" t="s">
        <v>1010</v>
      </c>
      <c r="T47" s="118">
        <v>-33841</v>
      </c>
      <c r="U47" s="117" t="s">
        <v>22</v>
      </c>
    </row>
    <row r="48" spans="2:21" ht="12.95" customHeight="1" x14ac:dyDescent="0.3">
      <c r="C48" s="152"/>
      <c r="D48" s="152"/>
      <c r="N48" s="158" t="s">
        <v>1011</v>
      </c>
      <c r="O48" s="209">
        <v>19</v>
      </c>
      <c r="P48" s="225">
        <v>70464761</v>
      </c>
      <c r="Q48" s="225">
        <v>3149649</v>
      </c>
      <c r="S48" s="119" t="s">
        <v>1012</v>
      </c>
      <c r="T48" s="118">
        <v>-23824</v>
      </c>
      <c r="U48" s="116">
        <v>-77599</v>
      </c>
    </row>
    <row r="49" spans="3:21" ht="12.95" customHeight="1" x14ac:dyDescent="0.3">
      <c r="C49" s="152"/>
      <c r="D49" s="152"/>
      <c r="N49" s="158" t="s">
        <v>1013</v>
      </c>
      <c r="O49" s="209">
        <v>19</v>
      </c>
      <c r="P49" s="225">
        <v>15805072</v>
      </c>
      <c r="Q49" s="225">
        <v>447525</v>
      </c>
      <c r="S49" s="121" t="s">
        <v>1014</v>
      </c>
      <c r="T49" s="131">
        <v>-55630</v>
      </c>
      <c r="U49" s="130">
        <v>-72278</v>
      </c>
    </row>
    <row r="50" spans="3:21" ht="12.95" customHeight="1" x14ac:dyDescent="0.3">
      <c r="C50" s="152"/>
      <c r="D50" s="152"/>
      <c r="N50" s="158" t="s">
        <v>1015</v>
      </c>
      <c r="O50" s="209"/>
      <c r="P50" s="247">
        <v>3781412181</v>
      </c>
      <c r="Q50" s="225">
        <v>4406899712</v>
      </c>
    </row>
    <row r="51" spans="3:21" ht="12.95" customHeight="1" x14ac:dyDescent="0.3">
      <c r="C51" s="152"/>
      <c r="D51" s="152"/>
      <c r="N51" s="158" t="s">
        <v>1016</v>
      </c>
      <c r="O51" s="209">
        <v>20</v>
      </c>
      <c r="P51" s="247">
        <v>-39758085</v>
      </c>
      <c r="Q51" s="225">
        <v>-83853041</v>
      </c>
    </row>
    <row r="52" spans="3:21" ht="12.95" customHeight="1" x14ac:dyDescent="0.3">
      <c r="C52" s="152"/>
      <c r="D52" s="152"/>
      <c r="N52" s="158" t="s">
        <v>1017</v>
      </c>
      <c r="O52" s="209"/>
      <c r="P52" s="247">
        <v>3821170266</v>
      </c>
      <c r="Q52" s="225">
        <v>4490752753</v>
      </c>
    </row>
    <row r="53" spans="3:21" ht="12.95" customHeight="1" x14ac:dyDescent="0.3">
      <c r="C53" s="152"/>
      <c r="D53" s="152"/>
      <c r="N53" s="158" t="s">
        <v>1018</v>
      </c>
      <c r="O53" s="209"/>
      <c r="P53" s="247">
        <v>26260575</v>
      </c>
      <c r="Q53" s="225">
        <v>-54477134</v>
      </c>
    </row>
    <row r="54" spans="3:21" ht="12.95" customHeight="1" x14ac:dyDescent="0.3">
      <c r="C54" s="152"/>
      <c r="D54" s="152"/>
      <c r="N54" s="158" t="s">
        <v>1019</v>
      </c>
      <c r="O54" s="209"/>
      <c r="P54" s="225">
        <v>26260575</v>
      </c>
      <c r="Q54" s="225">
        <v>-54477134</v>
      </c>
    </row>
    <row r="55" spans="3:21" ht="12.95" customHeight="1" x14ac:dyDescent="0.3">
      <c r="N55" s="158" t="s">
        <v>1020</v>
      </c>
      <c r="O55" s="209">
        <v>12</v>
      </c>
      <c r="P55" s="225">
        <v>33667404</v>
      </c>
      <c r="Q55" s="225">
        <v>-69842480</v>
      </c>
    </row>
    <row r="56" spans="3:21" ht="12.95" customHeight="1" x14ac:dyDescent="0.3">
      <c r="N56" s="158" t="s">
        <v>1021</v>
      </c>
      <c r="O56" s="209">
        <v>20</v>
      </c>
      <c r="P56" s="225">
        <v>-7406829</v>
      </c>
      <c r="Q56" s="225">
        <v>15365346</v>
      </c>
    </row>
    <row r="57" spans="3:21" ht="12.95" customHeight="1" x14ac:dyDescent="0.3">
      <c r="N57" s="158" t="s">
        <v>1022</v>
      </c>
      <c r="O57" s="209"/>
      <c r="P57" s="247">
        <v>3847430841</v>
      </c>
      <c r="Q57" s="225">
        <v>4436275619</v>
      </c>
    </row>
    <row r="58" spans="3:21" ht="12.95" customHeight="1" x14ac:dyDescent="0.3">
      <c r="N58" s="158" t="s">
        <v>1023</v>
      </c>
      <c r="O58" s="209">
        <v>22</v>
      </c>
      <c r="P58" s="243"/>
      <c r="Q58" s="224"/>
    </row>
    <row r="59" spans="3:21" ht="12.95" customHeight="1" x14ac:dyDescent="0.3">
      <c r="N59" s="158" t="s">
        <v>1024</v>
      </c>
      <c r="O59" s="209"/>
      <c r="P59" s="247">
        <v>30231</v>
      </c>
      <c r="Q59" s="225">
        <v>35528</v>
      </c>
    </row>
    <row r="60" spans="3:21" ht="12.95" customHeight="1" x14ac:dyDescent="0.3">
      <c r="N60" s="168" t="s">
        <v>1025</v>
      </c>
      <c r="O60" s="219"/>
      <c r="P60" s="250">
        <v>30231</v>
      </c>
      <c r="Q60" s="249">
        <v>14606</v>
      </c>
    </row>
    <row r="61" spans="3:21" ht="12.95" customHeight="1" x14ac:dyDescent="0.3">
      <c r="N61" s="151"/>
    </row>
    <row r="62" spans="3:21" ht="12.95" customHeight="1" x14ac:dyDescent="0.3">
      <c r="N62" s="202" t="s">
        <v>989</v>
      </c>
    </row>
    <row r="65" spans="14:17" ht="12.95" customHeight="1" x14ac:dyDescent="0.3">
      <c r="N65" s="229" t="s">
        <v>1026</v>
      </c>
    </row>
    <row r="66" spans="14:17" ht="12.95" customHeight="1" x14ac:dyDescent="0.3">
      <c r="N66" s="151"/>
    </row>
    <row r="67" spans="14:17" ht="12.95" customHeight="1" x14ac:dyDescent="0.3">
      <c r="N67" s="153" t="s">
        <v>911</v>
      </c>
      <c r="O67" s="233" t="s">
        <v>912</v>
      </c>
    </row>
    <row r="68" spans="14:17" ht="12.95" customHeight="1" x14ac:dyDescent="0.3">
      <c r="N68" s="203" t="s">
        <v>1027</v>
      </c>
      <c r="O68" s="217" t="s">
        <v>281</v>
      </c>
      <c r="P68" s="238">
        <v>2017</v>
      </c>
      <c r="Q68" s="238">
        <v>2018</v>
      </c>
    </row>
    <row r="69" spans="14:17" ht="12.95" customHeight="1" x14ac:dyDescent="0.3">
      <c r="N69" s="158" t="s">
        <v>1028</v>
      </c>
      <c r="O69" s="257"/>
      <c r="P69" s="247">
        <v>5660549246</v>
      </c>
      <c r="Q69" s="225">
        <v>5977954047</v>
      </c>
    </row>
    <row r="70" spans="14:17" ht="12.95" customHeight="1" x14ac:dyDescent="0.3">
      <c r="N70" s="158" t="s">
        <v>1029</v>
      </c>
      <c r="O70" s="257"/>
      <c r="P70" s="225">
        <v>5997541378</v>
      </c>
      <c r="Q70" s="225">
        <v>5784840639</v>
      </c>
    </row>
    <row r="71" spans="14:17" ht="12.95" customHeight="1" x14ac:dyDescent="0.3">
      <c r="N71" s="158" t="s">
        <v>1030</v>
      </c>
      <c r="O71" s="257"/>
      <c r="P71" s="225">
        <v>3821170266</v>
      </c>
      <c r="Q71" s="225">
        <v>4490752753</v>
      </c>
    </row>
    <row r="72" spans="14:17" ht="12.95" customHeight="1" x14ac:dyDescent="0.3">
      <c r="N72" s="158" t="s">
        <v>1031</v>
      </c>
      <c r="O72" s="257">
        <v>25</v>
      </c>
      <c r="P72" s="225">
        <v>1752289639</v>
      </c>
      <c r="Q72" s="225">
        <v>1670320849</v>
      </c>
    </row>
    <row r="73" spans="14:17" ht="12.95" customHeight="1" x14ac:dyDescent="0.3">
      <c r="N73" s="158" t="s">
        <v>1032</v>
      </c>
      <c r="O73" s="257">
        <v>25</v>
      </c>
      <c r="P73" s="225">
        <v>424081473</v>
      </c>
      <c r="Q73" s="225">
        <v>-376232963</v>
      </c>
    </row>
    <row r="74" spans="14:17" ht="12.95" customHeight="1" x14ac:dyDescent="0.3">
      <c r="N74" s="158" t="s">
        <v>1033</v>
      </c>
      <c r="O74" s="257"/>
      <c r="P74" s="225">
        <v>17433349</v>
      </c>
      <c r="Q74" s="225">
        <v>10980858</v>
      </c>
    </row>
    <row r="75" spans="14:17" ht="12.95" customHeight="1" x14ac:dyDescent="0.3">
      <c r="N75" s="158" t="s">
        <v>1034</v>
      </c>
      <c r="O75" s="257"/>
      <c r="P75" s="225">
        <v>-354425481</v>
      </c>
      <c r="Q75" s="225">
        <v>182132550</v>
      </c>
    </row>
    <row r="76" spans="14:17" ht="12.95" customHeight="1" x14ac:dyDescent="0.3">
      <c r="N76" s="158" t="s">
        <v>1035</v>
      </c>
      <c r="O76" s="257"/>
      <c r="P76" s="247">
        <v>-520630900</v>
      </c>
      <c r="Q76" s="225">
        <v>-783430000</v>
      </c>
    </row>
    <row r="77" spans="14:17" ht="12.95" customHeight="1" x14ac:dyDescent="0.3">
      <c r="N77" s="158" t="s">
        <v>1036</v>
      </c>
      <c r="O77" s="257"/>
      <c r="P77" s="225">
        <v>125390910</v>
      </c>
      <c r="Q77" s="225">
        <v>1000000000</v>
      </c>
    </row>
    <row r="78" spans="14:17" ht="12.95" customHeight="1" x14ac:dyDescent="0.3">
      <c r="N78" s="158" t="s">
        <v>1037</v>
      </c>
      <c r="O78" s="257"/>
      <c r="P78" s="224" t="s">
        <v>22</v>
      </c>
      <c r="Q78" s="225">
        <v>1000000000</v>
      </c>
    </row>
    <row r="79" spans="14:17" ht="12.95" customHeight="1" x14ac:dyDescent="0.3">
      <c r="N79" s="158" t="s">
        <v>1038</v>
      </c>
      <c r="O79" s="257"/>
      <c r="P79" s="225">
        <v>125390910</v>
      </c>
      <c r="Q79" s="224" t="s">
        <v>22</v>
      </c>
    </row>
    <row r="80" spans="14:17" ht="12.95" customHeight="1" x14ac:dyDescent="0.3">
      <c r="N80" s="158" t="s">
        <v>1039</v>
      </c>
      <c r="O80" s="257"/>
      <c r="P80" s="225">
        <v>-646021810</v>
      </c>
      <c r="Q80" s="225">
        <v>-1783430000</v>
      </c>
    </row>
    <row r="81" spans="14:17" ht="12.95" customHeight="1" x14ac:dyDescent="0.3">
      <c r="N81" s="158" t="s">
        <v>1040</v>
      </c>
      <c r="O81" s="257"/>
      <c r="P81" s="225">
        <v>646021810</v>
      </c>
      <c r="Q81" s="225">
        <v>1783430000</v>
      </c>
    </row>
    <row r="82" spans="14:17" ht="12.95" customHeight="1" x14ac:dyDescent="0.3">
      <c r="N82" s="158" t="s">
        <v>1041</v>
      </c>
      <c r="O82" s="257"/>
      <c r="P82" s="247">
        <v>-5534910356</v>
      </c>
      <c r="Q82" s="225">
        <v>-4939299364</v>
      </c>
    </row>
    <row r="83" spans="14:17" ht="12.95" customHeight="1" x14ac:dyDescent="0.3">
      <c r="N83" s="158" t="s">
        <v>1042</v>
      </c>
      <c r="O83" s="257"/>
      <c r="P83" s="224" t="s">
        <v>22</v>
      </c>
      <c r="Q83" s="224" t="s">
        <v>22</v>
      </c>
    </row>
    <row r="84" spans="14:17" ht="12.95" customHeight="1" x14ac:dyDescent="0.3">
      <c r="N84" s="158" t="s">
        <v>1043</v>
      </c>
      <c r="O84" s="257"/>
      <c r="P84" s="225">
        <v>-5534910356</v>
      </c>
      <c r="Q84" s="225">
        <v>-4939299364</v>
      </c>
    </row>
    <row r="85" spans="14:17" ht="12.95" customHeight="1" x14ac:dyDescent="0.3">
      <c r="N85" s="158" t="s">
        <v>1044</v>
      </c>
      <c r="O85" s="257"/>
      <c r="P85" s="225">
        <v>5534910356</v>
      </c>
      <c r="Q85" s="225">
        <v>4939299364</v>
      </c>
    </row>
    <row r="86" spans="14:17" ht="12.95" customHeight="1" x14ac:dyDescent="0.3">
      <c r="N86" s="158" t="s">
        <v>1045</v>
      </c>
      <c r="O86" s="257"/>
      <c r="P86" s="247">
        <v>-394992010</v>
      </c>
      <c r="Q86" s="225">
        <v>255224683</v>
      </c>
    </row>
    <row r="87" spans="14:17" ht="12.95" customHeight="1" x14ac:dyDescent="0.3">
      <c r="N87" s="158" t="s">
        <v>1046</v>
      </c>
      <c r="O87" s="257"/>
      <c r="P87" s="247">
        <v>2049184022</v>
      </c>
      <c r="Q87" s="225">
        <v>1654192012</v>
      </c>
    </row>
    <row r="88" spans="14:17" ht="12.95" customHeight="1" x14ac:dyDescent="0.3">
      <c r="N88" s="168" t="s">
        <v>1047</v>
      </c>
      <c r="O88" s="258"/>
      <c r="P88" s="250">
        <v>1654192012</v>
      </c>
      <c r="Q88" s="249">
        <v>1909416695</v>
      </c>
    </row>
    <row r="89" spans="14:17" ht="12.95" customHeight="1" x14ac:dyDescent="0.3">
      <c r="N89" s="151"/>
    </row>
    <row r="90" spans="14:17" ht="12.95" customHeight="1" x14ac:dyDescent="0.3">
      <c r="N90" s="202" t="s">
        <v>989</v>
      </c>
    </row>
  </sheetData>
  <phoneticPr fontId="3" type="noConversion"/>
  <conditionalFormatting sqref="F2:J3">
    <cfRule type="containsText" dxfId="3" priority="1" operator="containsText" text="NA">
      <formula>NOT(ISERROR(SEARCH("NA",F2)))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Q73"/>
  <sheetViews>
    <sheetView zoomScaleNormal="100" workbookViewId="0"/>
  </sheetViews>
  <sheetFormatPr defaultRowHeight="12.95" customHeight="1" x14ac:dyDescent="0.3"/>
  <cols>
    <col min="1" max="1" width="1.625" style="347" customWidth="1"/>
    <col min="2" max="2" width="27.75" style="371" customWidth="1"/>
    <col min="3" max="5" width="13.5" style="371" bestFit="1" customWidth="1"/>
    <col min="6" max="6" width="1.625" style="371" customWidth="1"/>
    <col min="7" max="8" width="20" style="347" customWidth="1"/>
    <col min="9" max="11" width="13.5" style="347" bestFit="1" customWidth="1"/>
    <col min="12" max="12" width="1.625" style="347" customWidth="1"/>
    <col min="13" max="13" width="11.625" style="347" customWidth="1"/>
    <col min="14" max="17" width="9.625" style="347" bestFit="1" customWidth="1"/>
    <col min="18" max="16384" width="9" style="347"/>
  </cols>
  <sheetData>
    <row r="2" spans="2:12" ht="12.95" customHeight="1" x14ac:dyDescent="0.3">
      <c r="B2" s="341" t="s">
        <v>1649</v>
      </c>
      <c r="C2" s="342" t="s">
        <v>1650</v>
      </c>
      <c r="D2" s="343"/>
      <c r="E2" s="344"/>
      <c r="F2" s="344"/>
      <c r="G2" s="345" t="s">
        <v>268</v>
      </c>
      <c r="H2" s="346">
        <v>2018</v>
      </c>
      <c r="K2" s="348"/>
      <c r="L2" s="349"/>
    </row>
    <row r="3" spans="2:12" ht="12.95" customHeight="1" x14ac:dyDescent="0.3">
      <c r="B3" s="350" t="s">
        <v>1651</v>
      </c>
      <c r="C3" s="351">
        <f>C4+C5</f>
        <v>26968.661849999997</v>
      </c>
      <c r="D3" s="343"/>
      <c r="E3" s="344"/>
      <c r="F3" s="344"/>
      <c r="G3" s="352"/>
      <c r="H3" s="353" t="s">
        <v>1652</v>
      </c>
      <c r="K3" s="348"/>
      <c r="L3" s="349"/>
    </row>
    <row r="4" spans="2:12" ht="12.95" customHeight="1" x14ac:dyDescent="0.3">
      <c r="B4" s="354" t="s">
        <v>255</v>
      </c>
      <c r="C4" s="355">
        <f>C41/10^6</f>
        <v>24061.061849999998</v>
      </c>
      <c r="D4" s="343"/>
      <c r="E4" s="344"/>
      <c r="F4" s="344"/>
      <c r="G4" s="356" t="s">
        <v>1653</v>
      </c>
      <c r="H4" s="355">
        <f>I26/10^6</f>
        <v>175954.96524399999</v>
      </c>
      <c r="K4" s="348"/>
      <c r="L4" s="349"/>
    </row>
    <row r="5" spans="2:12" ht="12.95" customHeight="1" x14ac:dyDescent="0.3">
      <c r="B5" s="354" t="s">
        <v>256</v>
      </c>
      <c r="C5" s="355">
        <f>N27/10^3</f>
        <v>2907.6</v>
      </c>
      <c r="D5" s="343"/>
      <c r="E5" s="344"/>
      <c r="F5" s="344"/>
      <c r="G5" s="356" t="s">
        <v>1654</v>
      </c>
      <c r="H5" s="355">
        <f>I30/10^6</f>
        <v>23853.490468</v>
      </c>
      <c r="K5" s="348"/>
      <c r="L5" s="348"/>
    </row>
    <row r="6" spans="2:12" ht="12.95" customHeight="1" x14ac:dyDescent="0.3">
      <c r="B6" s="357" t="s">
        <v>257</v>
      </c>
      <c r="C6" s="358">
        <f>SUM(C7:C8)</f>
        <v>72274.990000000005</v>
      </c>
      <c r="D6" s="343"/>
      <c r="E6" s="344"/>
      <c r="F6" s="344"/>
      <c r="G6" s="356" t="s">
        <v>1655</v>
      </c>
      <c r="H6" s="355">
        <f>SUM(I65:I66)/10^3</f>
        <v>6459.6350000000002</v>
      </c>
      <c r="K6" s="348"/>
      <c r="L6" s="348"/>
    </row>
    <row r="7" spans="2:12" ht="12.95" customHeight="1" x14ac:dyDescent="0.3">
      <c r="B7" s="359" t="s">
        <v>258</v>
      </c>
      <c r="C7" s="360">
        <f>SUM(C61:C62)/10^6</f>
        <v>72274.990000000005</v>
      </c>
      <c r="D7" s="343"/>
      <c r="E7" s="344"/>
      <c r="F7" s="344"/>
      <c r="G7" s="356" t="s">
        <v>1656</v>
      </c>
      <c r="H7" s="355">
        <f>(H5+H6)</f>
        <v>30313.125467999998</v>
      </c>
      <c r="K7" s="348"/>
      <c r="L7" s="348"/>
    </row>
    <row r="8" spans="2:12" ht="12.95" customHeight="1" thickBot="1" x14ac:dyDescent="0.35">
      <c r="B8" s="359" t="s">
        <v>259</v>
      </c>
      <c r="C8" s="360">
        <v>0</v>
      </c>
      <c r="D8" s="343"/>
      <c r="E8" s="344"/>
      <c r="F8" s="344"/>
      <c r="G8" s="361" t="s">
        <v>1657</v>
      </c>
      <c r="H8" s="362">
        <f>I36/10^6</f>
        <v>19964.863479</v>
      </c>
      <c r="K8" s="348"/>
      <c r="L8" s="348"/>
    </row>
    <row r="9" spans="2:12" ht="12.95" customHeight="1" thickTop="1" x14ac:dyDescent="0.3">
      <c r="B9" s="359" t="s">
        <v>423</v>
      </c>
      <c r="C9" s="360">
        <f>C63/10^6</f>
        <v>18328.878453000001</v>
      </c>
      <c r="D9" s="343"/>
      <c r="E9" s="344"/>
      <c r="F9" s="344"/>
      <c r="G9" s="363"/>
      <c r="H9" s="364"/>
      <c r="K9" s="348"/>
      <c r="L9" s="348"/>
    </row>
    <row r="10" spans="2:12" ht="12.95" customHeight="1" x14ac:dyDescent="0.3">
      <c r="B10" s="357" t="s">
        <v>261</v>
      </c>
      <c r="C10" s="358">
        <f>SUM(C11:C15)</f>
        <v>2785.224052</v>
      </c>
      <c r="D10" s="343"/>
      <c r="E10" s="343"/>
      <c r="F10" s="344"/>
      <c r="G10" s="344"/>
      <c r="H10" s="344"/>
      <c r="I10" s="344"/>
      <c r="J10" s="344"/>
      <c r="K10" s="348"/>
      <c r="L10" s="348"/>
    </row>
    <row r="11" spans="2:12" ht="12.95" customHeight="1" x14ac:dyDescent="0.3">
      <c r="B11" s="354" t="s">
        <v>262</v>
      </c>
      <c r="C11" s="365">
        <f>O28/10^3</f>
        <v>662.85699999999997</v>
      </c>
      <c r="D11" s="343"/>
      <c r="E11" s="343"/>
      <c r="F11" s="344"/>
      <c r="G11" s="344"/>
      <c r="H11" s="344"/>
      <c r="I11" s="344"/>
      <c r="J11" s="344"/>
      <c r="K11" s="348"/>
      <c r="L11" s="348"/>
    </row>
    <row r="12" spans="2:12" ht="12.95" customHeight="1" x14ac:dyDescent="0.3">
      <c r="B12" s="354" t="s">
        <v>1694</v>
      </c>
      <c r="C12" s="365">
        <f>O29/10^3</f>
        <v>1421.0740000000001</v>
      </c>
      <c r="D12" s="343"/>
      <c r="E12" s="343"/>
      <c r="F12" s="344"/>
      <c r="G12" s="344"/>
      <c r="H12" s="344"/>
      <c r="I12" s="344"/>
      <c r="J12" s="344"/>
      <c r="K12" s="348"/>
      <c r="L12" s="348"/>
    </row>
    <row r="13" spans="2:12" ht="12.95" customHeight="1" x14ac:dyDescent="0.3">
      <c r="B13" s="354" t="s">
        <v>263</v>
      </c>
      <c r="C13" s="343">
        <v>0</v>
      </c>
      <c r="D13" s="343"/>
      <c r="E13" s="343"/>
      <c r="F13" s="344"/>
      <c r="G13" s="344"/>
      <c r="H13" s="344"/>
      <c r="I13" s="344"/>
      <c r="J13" s="344"/>
      <c r="K13" s="348"/>
      <c r="L13" s="348"/>
    </row>
    <row r="14" spans="2:12" ht="12.95" customHeight="1" x14ac:dyDescent="0.3">
      <c r="B14" s="354" t="s">
        <v>264</v>
      </c>
      <c r="C14" s="360">
        <f>C31/10^6</f>
        <v>217.32705200000001</v>
      </c>
      <c r="D14" s="343"/>
      <c r="E14" s="343"/>
      <c r="F14" s="344"/>
      <c r="G14" s="344"/>
      <c r="H14" s="344"/>
      <c r="I14" s="344"/>
      <c r="J14" s="344"/>
      <c r="K14" s="348"/>
      <c r="L14" s="348"/>
    </row>
    <row r="15" spans="2:12" ht="12.95" customHeight="1" x14ac:dyDescent="0.3">
      <c r="B15" s="354" t="s">
        <v>266</v>
      </c>
      <c r="C15" s="393">
        <f>SUM(N30:O31)/10^3</f>
        <v>483.96600000000001</v>
      </c>
      <c r="D15" s="343"/>
      <c r="E15" s="343"/>
      <c r="F15" s="344"/>
      <c r="G15" s="344"/>
      <c r="H15" s="344"/>
      <c r="I15" s="344"/>
      <c r="J15" s="344"/>
      <c r="K15" s="348"/>
      <c r="L15" s="348"/>
    </row>
    <row r="16" spans="2:12" ht="12.95" customHeight="1" thickBot="1" x14ac:dyDescent="0.35">
      <c r="B16" s="366" t="s">
        <v>267</v>
      </c>
      <c r="C16" s="367">
        <f>C50/10^6</f>
        <v>186940.06130299999</v>
      </c>
      <c r="D16" s="343"/>
      <c r="E16" s="343"/>
      <c r="F16" s="344"/>
      <c r="G16" s="344"/>
      <c r="H16" s="344"/>
      <c r="I16" s="344"/>
      <c r="J16" s="344"/>
      <c r="K16" s="348"/>
      <c r="L16" s="348"/>
    </row>
    <row r="17" spans="2:17" ht="12.95" customHeight="1" thickTop="1" x14ac:dyDescent="0.3">
      <c r="B17" s="368"/>
      <c r="C17" s="369"/>
      <c r="D17" s="343"/>
      <c r="E17" s="343"/>
      <c r="F17" s="344"/>
      <c r="G17" s="344"/>
      <c r="H17" s="344"/>
      <c r="I17" s="344"/>
      <c r="J17" s="344"/>
      <c r="K17" s="348"/>
      <c r="L17" s="348"/>
    </row>
    <row r="18" spans="2:17" ht="12.95" customHeight="1" x14ac:dyDescent="0.3">
      <c r="B18" s="462" t="s">
        <v>1722</v>
      </c>
      <c r="C18" s="369"/>
      <c r="D18" s="343"/>
      <c r="E18" s="343"/>
      <c r="F18" s="344"/>
      <c r="G18" s="344"/>
      <c r="H18" s="344"/>
      <c r="I18" s="344"/>
      <c r="J18" s="344"/>
      <c r="K18" s="348"/>
      <c r="L18" s="348"/>
    </row>
    <row r="19" spans="2:17" ht="12.95" customHeight="1" x14ac:dyDescent="0.3">
      <c r="B19" s="368"/>
      <c r="C19" s="369"/>
      <c r="D19" s="343"/>
      <c r="E19" s="343"/>
      <c r="F19" s="344"/>
      <c r="G19" s="344"/>
      <c r="H19" s="344"/>
      <c r="I19" s="344"/>
      <c r="J19" s="344"/>
      <c r="K19" s="348"/>
      <c r="L19" s="348"/>
    </row>
    <row r="20" spans="2:17" ht="12.95" customHeight="1" x14ac:dyDescent="0.3">
      <c r="B20" s="370" t="s">
        <v>524</v>
      </c>
      <c r="G20" s="370" t="s">
        <v>551</v>
      </c>
      <c r="H20" s="370"/>
      <c r="I20" s="371"/>
      <c r="J20" s="371"/>
      <c r="K20" s="371"/>
      <c r="L20" s="371"/>
    </row>
    <row r="21" spans="2:17" ht="12.95" customHeight="1" x14ac:dyDescent="0.3">
      <c r="B21" s="372" t="s">
        <v>1658</v>
      </c>
      <c r="G21" s="372" t="s">
        <v>1659</v>
      </c>
      <c r="H21" s="372"/>
      <c r="I21" s="371"/>
      <c r="J21" s="371"/>
      <c r="K21" s="371"/>
      <c r="L21" s="371"/>
    </row>
    <row r="22" spans="2:17" ht="12.95" customHeight="1" x14ac:dyDescent="0.3">
      <c r="B22" s="372" t="s">
        <v>1660</v>
      </c>
      <c r="G22" s="372" t="s">
        <v>1661</v>
      </c>
      <c r="H22" s="372"/>
      <c r="I22" s="371"/>
      <c r="J22" s="371"/>
      <c r="K22" s="371"/>
      <c r="L22" s="371"/>
    </row>
    <row r="23" spans="2:17" ht="12.95" customHeight="1" x14ac:dyDescent="0.3">
      <c r="B23" s="372" t="s">
        <v>1662</v>
      </c>
      <c r="G23" s="372" t="s">
        <v>1663</v>
      </c>
      <c r="H23" s="372"/>
      <c r="I23" s="371"/>
      <c r="J23" s="371"/>
      <c r="K23" s="371"/>
      <c r="L23" s="371"/>
    </row>
    <row r="24" spans="2:17" ht="12.95" customHeight="1" x14ac:dyDescent="0.3">
      <c r="B24" s="372" t="s">
        <v>279</v>
      </c>
      <c r="G24" s="372" t="s">
        <v>279</v>
      </c>
      <c r="H24" s="372"/>
      <c r="I24" s="371"/>
      <c r="J24" s="371"/>
      <c r="K24" s="371"/>
      <c r="L24" s="371"/>
    </row>
    <row r="25" spans="2:17" ht="12.95" customHeight="1" x14ac:dyDescent="0.3">
      <c r="B25" s="373"/>
      <c r="C25" s="374" t="s">
        <v>1664</v>
      </c>
      <c r="D25" s="374" t="s">
        <v>1665</v>
      </c>
      <c r="E25" s="375" t="s">
        <v>1666</v>
      </c>
      <c r="G25" s="373"/>
      <c r="H25" s="376"/>
      <c r="I25" s="374" t="s">
        <v>1664</v>
      </c>
      <c r="J25" s="374" t="s">
        <v>1665</v>
      </c>
      <c r="K25" s="375" t="s">
        <v>1666</v>
      </c>
      <c r="L25" s="371"/>
      <c r="M25" s="392" t="s">
        <v>1688</v>
      </c>
      <c r="N25" s="392" t="s">
        <v>1480</v>
      </c>
      <c r="O25" s="392"/>
      <c r="P25" s="392" t="s">
        <v>1479</v>
      </c>
      <c r="Q25" s="392"/>
    </row>
    <row r="26" spans="2:17" ht="12.95" customHeight="1" x14ac:dyDescent="0.3">
      <c r="B26" s="377" t="s">
        <v>460</v>
      </c>
      <c r="C26" s="378"/>
      <c r="D26" s="378"/>
      <c r="E26" s="379"/>
      <c r="G26" s="377" t="s">
        <v>542</v>
      </c>
      <c r="H26" s="380"/>
      <c r="I26" s="381">
        <v>175954965244</v>
      </c>
      <c r="J26" s="381">
        <v>160280182183</v>
      </c>
      <c r="K26" s="382">
        <v>135518950239</v>
      </c>
      <c r="L26" s="371"/>
      <c r="M26" s="392"/>
      <c r="N26" s="392" t="s">
        <v>1689</v>
      </c>
      <c r="O26" s="392" t="s">
        <v>1690</v>
      </c>
      <c r="P26" s="392" t="s">
        <v>1689</v>
      </c>
      <c r="Q26" s="392" t="s">
        <v>1690</v>
      </c>
    </row>
    <row r="27" spans="2:17" ht="12.95" customHeight="1" x14ac:dyDescent="0.3">
      <c r="B27" s="377" t="s">
        <v>471</v>
      </c>
      <c r="C27" s="381">
        <v>246540218177</v>
      </c>
      <c r="D27" s="381">
        <v>244197069564</v>
      </c>
      <c r="E27" s="382">
        <v>245154928672</v>
      </c>
      <c r="G27" s="377" t="s">
        <v>507</v>
      </c>
      <c r="H27" s="380"/>
      <c r="I27" s="381">
        <v>135494696794</v>
      </c>
      <c r="J27" s="381">
        <v>121392406280</v>
      </c>
      <c r="K27" s="382">
        <v>101462555546</v>
      </c>
      <c r="L27" s="371"/>
      <c r="M27" s="392" t="s">
        <v>1691</v>
      </c>
      <c r="N27" s="392">
        <v>2907600</v>
      </c>
      <c r="O27" s="392" t="s">
        <v>22</v>
      </c>
      <c r="P27" s="392">
        <v>2607600</v>
      </c>
      <c r="Q27" s="392" t="s">
        <v>22</v>
      </c>
    </row>
    <row r="28" spans="2:17" ht="12.95" customHeight="1" x14ac:dyDescent="0.3">
      <c r="B28" s="377" t="s">
        <v>476</v>
      </c>
      <c r="C28" s="381">
        <v>229775553893</v>
      </c>
      <c r="D28" s="381">
        <v>220172721125</v>
      </c>
      <c r="E28" s="382">
        <v>208912572083</v>
      </c>
      <c r="G28" s="377" t="s">
        <v>508</v>
      </c>
      <c r="H28" s="380"/>
      <c r="I28" s="381">
        <v>40460268450</v>
      </c>
      <c r="J28" s="381">
        <v>38887775903</v>
      </c>
      <c r="K28" s="382">
        <v>34056394693</v>
      </c>
      <c r="L28" s="371"/>
      <c r="M28" s="392" t="s">
        <v>1692</v>
      </c>
      <c r="N28" s="392" t="s">
        <v>22</v>
      </c>
      <c r="O28" s="392">
        <v>662857</v>
      </c>
      <c r="P28" s="392" t="s">
        <v>22</v>
      </c>
      <c r="Q28" s="392">
        <v>7920317</v>
      </c>
    </row>
    <row r="29" spans="2:17" ht="12.95" customHeight="1" x14ac:dyDescent="0.3">
      <c r="B29" s="377" t="s">
        <v>1667</v>
      </c>
      <c r="C29" s="381">
        <v>2019841407</v>
      </c>
      <c r="D29" s="381">
        <v>2019841407</v>
      </c>
      <c r="E29" s="382">
        <v>2019841407</v>
      </c>
      <c r="G29" s="377" t="s">
        <v>509</v>
      </c>
      <c r="H29" s="380"/>
      <c r="I29" s="381">
        <v>16606777982</v>
      </c>
      <c r="J29" s="381">
        <v>16973112972</v>
      </c>
      <c r="K29" s="382">
        <v>15992451697</v>
      </c>
      <c r="L29" s="371"/>
      <c r="M29" s="392" t="s">
        <v>556</v>
      </c>
      <c r="N29" s="392" t="s">
        <v>22</v>
      </c>
      <c r="O29" s="392">
        <v>1421074</v>
      </c>
      <c r="P29" s="392" t="s">
        <v>22</v>
      </c>
      <c r="Q29" s="392">
        <v>507473</v>
      </c>
    </row>
    <row r="30" spans="2:17" ht="12.95" customHeight="1" x14ac:dyDescent="0.3">
      <c r="B30" s="377" t="s">
        <v>477</v>
      </c>
      <c r="C30" s="381">
        <v>115612498</v>
      </c>
      <c r="D30" s="381">
        <v>423315836</v>
      </c>
      <c r="E30" s="382">
        <v>713753670</v>
      </c>
      <c r="G30" s="377" t="s">
        <v>638</v>
      </c>
      <c r="H30" s="380"/>
      <c r="I30" s="381">
        <v>23853490468</v>
      </c>
      <c r="J30" s="381">
        <v>21914662931</v>
      </c>
      <c r="K30" s="382">
        <v>18063942996</v>
      </c>
      <c r="L30" s="371"/>
      <c r="M30" s="392" t="s">
        <v>630</v>
      </c>
      <c r="N30" s="392">
        <v>1167863</v>
      </c>
      <c r="O30" s="392">
        <v>471103</v>
      </c>
      <c r="P30" s="392">
        <v>1824863</v>
      </c>
      <c r="Q30" s="392">
        <v>437956</v>
      </c>
    </row>
    <row r="31" spans="2:17" ht="12.95" customHeight="1" x14ac:dyDescent="0.3">
      <c r="B31" s="377" t="s">
        <v>1668</v>
      </c>
      <c r="C31" s="381">
        <v>217327052</v>
      </c>
      <c r="D31" s="381">
        <v>556166223</v>
      </c>
      <c r="E31" s="382">
        <v>6526768408</v>
      </c>
      <c r="G31" s="377" t="s">
        <v>1669</v>
      </c>
      <c r="H31" s="380"/>
      <c r="I31" s="381">
        <v>341074920</v>
      </c>
      <c r="J31" s="381">
        <v>1255730117</v>
      </c>
      <c r="K31" s="382">
        <v>352110868</v>
      </c>
      <c r="L31" s="371"/>
      <c r="M31" s="392" t="s">
        <v>1400</v>
      </c>
      <c r="N31" s="392">
        <v>-1115000</v>
      </c>
      <c r="O31" s="392">
        <v>-40000</v>
      </c>
      <c r="P31" s="392">
        <v>-1185000</v>
      </c>
      <c r="Q31" s="392">
        <v>-180000</v>
      </c>
    </row>
    <row r="32" spans="2:17" ht="12.95" customHeight="1" x14ac:dyDescent="0.3">
      <c r="B32" s="377" t="s">
        <v>1670</v>
      </c>
      <c r="C32" s="381">
        <v>10195896412</v>
      </c>
      <c r="D32" s="381">
        <v>10626643520</v>
      </c>
      <c r="E32" s="382">
        <v>22199645869</v>
      </c>
      <c r="G32" s="377" t="s">
        <v>512</v>
      </c>
      <c r="H32" s="380"/>
      <c r="I32" s="381">
        <v>1567814262</v>
      </c>
      <c r="J32" s="381">
        <v>9802594236</v>
      </c>
      <c r="K32" s="382">
        <v>6191340311</v>
      </c>
      <c r="L32" s="371"/>
      <c r="M32" s="392" t="s">
        <v>1693</v>
      </c>
      <c r="N32" s="392">
        <v>2960463</v>
      </c>
      <c r="O32" s="392">
        <v>2515034</v>
      </c>
      <c r="P32" s="392">
        <v>3247463</v>
      </c>
      <c r="Q32" s="392">
        <v>8685746</v>
      </c>
    </row>
    <row r="33" spans="2:12" ht="12.95" customHeight="1" x14ac:dyDescent="0.3">
      <c r="B33" s="377" t="s">
        <v>529</v>
      </c>
      <c r="C33" s="381">
        <v>2515034246</v>
      </c>
      <c r="D33" s="381">
        <v>8685745901</v>
      </c>
      <c r="E33" s="382">
        <v>2453960193</v>
      </c>
      <c r="G33" s="377" t="s">
        <v>513</v>
      </c>
      <c r="H33" s="380"/>
      <c r="I33" s="381">
        <v>1598390513</v>
      </c>
      <c r="J33" s="381">
        <v>141953494</v>
      </c>
      <c r="K33" s="382">
        <v>1816252101</v>
      </c>
      <c r="L33" s="371"/>
    </row>
    <row r="34" spans="2:12" ht="12.95" customHeight="1" x14ac:dyDescent="0.3">
      <c r="B34" s="377" t="s">
        <v>610</v>
      </c>
      <c r="C34" s="381">
        <v>1700952669</v>
      </c>
      <c r="D34" s="381">
        <v>1712635552</v>
      </c>
      <c r="E34" s="382">
        <v>2328387042</v>
      </c>
      <c r="G34" s="377" t="s">
        <v>514</v>
      </c>
      <c r="H34" s="380"/>
      <c r="I34" s="381">
        <v>3921438989</v>
      </c>
      <c r="J34" s="381">
        <v>5193370975</v>
      </c>
      <c r="K34" s="382">
        <v>7135913606</v>
      </c>
      <c r="L34" s="371"/>
    </row>
    <row r="35" spans="2:12" ht="12.95" customHeight="1" x14ac:dyDescent="0.3">
      <c r="B35" s="377" t="s">
        <v>461</v>
      </c>
      <c r="C35" s="381">
        <v>69081354677</v>
      </c>
      <c r="D35" s="381">
        <v>54148067907</v>
      </c>
      <c r="E35" s="382">
        <v>55892016899</v>
      </c>
      <c r="G35" s="377" t="s">
        <v>1671</v>
      </c>
      <c r="H35" s="380"/>
      <c r="I35" s="381">
        <v>-338839171</v>
      </c>
      <c r="J35" s="381">
        <v>-5615695985</v>
      </c>
      <c r="K35" s="382">
        <v>578306614</v>
      </c>
      <c r="L35" s="371"/>
    </row>
    <row r="36" spans="2:12" ht="12.95" customHeight="1" x14ac:dyDescent="0.3">
      <c r="B36" s="377" t="s">
        <v>528</v>
      </c>
      <c r="C36" s="381">
        <v>11722277279</v>
      </c>
      <c r="D36" s="381">
        <v>13231722336</v>
      </c>
      <c r="E36" s="382">
        <v>15958428488</v>
      </c>
      <c r="G36" s="377" t="s">
        <v>545</v>
      </c>
      <c r="H36" s="380"/>
      <c r="I36" s="381">
        <v>19964863479</v>
      </c>
      <c r="J36" s="381">
        <v>2700685346</v>
      </c>
      <c r="K36" s="382">
        <v>7483358662</v>
      </c>
      <c r="L36" s="371"/>
    </row>
    <row r="37" spans="2:12" ht="12.95" customHeight="1" x14ac:dyDescent="0.3">
      <c r="B37" s="377" t="s">
        <v>525</v>
      </c>
      <c r="C37" s="381">
        <v>27274253842</v>
      </c>
      <c r="D37" s="381">
        <v>27724131942</v>
      </c>
      <c r="E37" s="382">
        <v>28330035580</v>
      </c>
      <c r="G37" s="377" t="s">
        <v>516</v>
      </c>
      <c r="H37" s="380"/>
      <c r="I37" s="381">
        <v>4489603960</v>
      </c>
      <c r="J37" s="381">
        <v>-450506666</v>
      </c>
      <c r="K37" s="382">
        <v>6122292143</v>
      </c>
      <c r="L37" s="371"/>
    </row>
    <row r="38" spans="2:12" ht="12.95" customHeight="1" x14ac:dyDescent="0.3">
      <c r="B38" s="377" t="s">
        <v>526</v>
      </c>
      <c r="C38" s="381">
        <v>2960463410</v>
      </c>
      <c r="D38" s="381">
        <v>3247463410</v>
      </c>
      <c r="E38" s="382">
        <v>4219216410</v>
      </c>
      <c r="G38" s="377" t="s">
        <v>546</v>
      </c>
      <c r="H38" s="380"/>
      <c r="I38" s="381">
        <v>15475259519</v>
      </c>
      <c r="J38" s="381">
        <v>3151192012</v>
      </c>
      <c r="K38" s="382">
        <v>1361066519</v>
      </c>
      <c r="L38" s="371"/>
    </row>
    <row r="39" spans="2:12" ht="12.95" customHeight="1" x14ac:dyDescent="0.3">
      <c r="B39" s="377" t="s">
        <v>527</v>
      </c>
      <c r="C39" s="381">
        <v>64515</v>
      </c>
      <c r="D39" s="381">
        <v>318838324</v>
      </c>
      <c r="E39" s="382">
        <v>347870</v>
      </c>
      <c r="G39" s="377" t="s">
        <v>1672</v>
      </c>
      <c r="H39" s="380"/>
      <c r="I39" s="378"/>
      <c r="J39" s="378"/>
      <c r="K39" s="382">
        <v>-888599696</v>
      </c>
      <c r="L39" s="371"/>
    </row>
    <row r="40" spans="2:12" ht="12.95" customHeight="1" x14ac:dyDescent="0.3">
      <c r="B40" s="377" t="s">
        <v>470</v>
      </c>
      <c r="C40" s="381">
        <v>3063233781</v>
      </c>
      <c r="D40" s="381">
        <v>3966785287</v>
      </c>
      <c r="E40" s="382">
        <v>3502342995</v>
      </c>
      <c r="G40" s="377" t="s">
        <v>547</v>
      </c>
      <c r="H40" s="380"/>
      <c r="I40" s="381">
        <v>15475259519</v>
      </c>
      <c r="J40" s="381">
        <v>3151192012</v>
      </c>
      <c r="K40" s="382">
        <v>472466823</v>
      </c>
      <c r="L40" s="371"/>
    </row>
    <row r="41" spans="2:12" ht="12.95" customHeight="1" x14ac:dyDescent="0.3">
      <c r="B41" s="377" t="s">
        <v>462</v>
      </c>
      <c r="C41" s="381">
        <v>24061061850</v>
      </c>
      <c r="D41" s="381">
        <v>5659126608</v>
      </c>
      <c r="E41" s="382">
        <v>3881645556</v>
      </c>
      <c r="G41" s="377" t="s">
        <v>649</v>
      </c>
      <c r="H41" s="380"/>
      <c r="I41" s="381">
        <v>-832658382</v>
      </c>
      <c r="J41" s="381">
        <v>157599567</v>
      </c>
      <c r="K41" s="382">
        <v>722521040</v>
      </c>
      <c r="L41" s="371"/>
    </row>
    <row r="42" spans="2:12" ht="12.95" customHeight="1" x14ac:dyDescent="0.3">
      <c r="B42" s="377" t="s">
        <v>479</v>
      </c>
      <c r="C42" s="381">
        <v>315621572854</v>
      </c>
      <c r="D42" s="381">
        <v>298345137471</v>
      </c>
      <c r="E42" s="382">
        <v>301046945571</v>
      </c>
      <c r="G42" s="377" t="s">
        <v>653</v>
      </c>
      <c r="H42" s="380"/>
      <c r="I42" s="378"/>
      <c r="J42" s="378"/>
      <c r="K42" s="379"/>
      <c r="L42" s="371"/>
    </row>
    <row r="43" spans="2:12" ht="12.95" customHeight="1" x14ac:dyDescent="0.3">
      <c r="B43" s="377" t="s">
        <v>499</v>
      </c>
      <c r="C43" s="378"/>
      <c r="D43" s="378"/>
      <c r="E43" s="379"/>
      <c r="G43" s="377" t="s">
        <v>1673</v>
      </c>
      <c r="H43" s="380"/>
      <c r="I43" s="381">
        <v>-649411462</v>
      </c>
      <c r="J43" s="381">
        <v>292174939</v>
      </c>
      <c r="K43" s="382">
        <v>692479246</v>
      </c>
      <c r="L43" s="371"/>
    </row>
    <row r="44" spans="2:12" ht="12.95" customHeight="1" x14ac:dyDescent="0.3">
      <c r="B44" s="377" t="s">
        <v>536</v>
      </c>
      <c r="C44" s="381">
        <v>182359225884</v>
      </c>
      <c r="D44" s="381">
        <v>164314240001</v>
      </c>
      <c r="E44" s="382">
        <v>144902928961</v>
      </c>
      <c r="G44" s="377" t="s">
        <v>651</v>
      </c>
      <c r="H44" s="380"/>
      <c r="I44" s="378"/>
      <c r="J44" s="378"/>
      <c r="K44" s="379"/>
      <c r="L44" s="371"/>
    </row>
    <row r="45" spans="2:12" ht="12.95" customHeight="1" x14ac:dyDescent="0.3">
      <c r="B45" s="377" t="s">
        <v>537</v>
      </c>
      <c r="C45" s="381">
        <v>18299694000</v>
      </c>
      <c r="D45" s="381">
        <v>17889866500</v>
      </c>
      <c r="E45" s="382">
        <v>17092099000</v>
      </c>
      <c r="G45" s="377" t="s">
        <v>1674</v>
      </c>
      <c r="H45" s="380"/>
      <c r="I45" s="381">
        <v>-215407112</v>
      </c>
      <c r="J45" s="378"/>
      <c r="K45" s="379"/>
      <c r="L45" s="371"/>
    </row>
    <row r="46" spans="2:12" ht="12.95" customHeight="1" x14ac:dyDescent="0.3">
      <c r="B46" s="377" t="s">
        <v>538</v>
      </c>
      <c r="C46" s="381">
        <v>53913460842</v>
      </c>
      <c r="D46" s="381">
        <v>50881395194</v>
      </c>
      <c r="E46" s="382">
        <v>35374690366</v>
      </c>
      <c r="G46" s="377" t="s">
        <v>652</v>
      </c>
      <c r="H46" s="380"/>
      <c r="I46" s="381">
        <v>32160192</v>
      </c>
      <c r="J46" s="381">
        <v>-134575372</v>
      </c>
      <c r="K46" s="382">
        <v>30041794</v>
      </c>
      <c r="L46" s="371"/>
    </row>
    <row r="47" spans="2:12" ht="12.95" customHeight="1" x14ac:dyDescent="0.3">
      <c r="B47" s="377" t="s">
        <v>539</v>
      </c>
      <c r="C47" s="381">
        <v>456699860</v>
      </c>
      <c r="D47" s="381">
        <v>1177022284</v>
      </c>
      <c r="E47" s="382">
        <v>884847345</v>
      </c>
      <c r="G47" s="377" t="s">
        <v>656</v>
      </c>
      <c r="H47" s="380"/>
      <c r="I47" s="381">
        <v>14642601137</v>
      </c>
      <c r="J47" s="381">
        <v>3308791579</v>
      </c>
      <c r="K47" s="382">
        <v>1194987863</v>
      </c>
      <c r="L47" s="371"/>
    </row>
    <row r="48" spans="2:12" ht="12.95" customHeight="1" x14ac:dyDescent="0.3">
      <c r="B48" s="377" t="s">
        <v>540</v>
      </c>
      <c r="C48" s="381">
        <v>109689371182</v>
      </c>
      <c r="D48" s="381">
        <v>94365956023</v>
      </c>
      <c r="E48" s="382">
        <v>91551292250</v>
      </c>
      <c r="G48" s="377" t="s">
        <v>548</v>
      </c>
      <c r="H48" s="380"/>
      <c r="I48" s="378"/>
      <c r="J48" s="378"/>
      <c r="K48" s="379"/>
      <c r="L48" s="371"/>
    </row>
    <row r="49" spans="2:12" ht="12.95" customHeight="1" x14ac:dyDescent="0.3">
      <c r="B49" s="377" t="s">
        <v>541</v>
      </c>
      <c r="C49" s="381">
        <v>4580835419</v>
      </c>
      <c r="D49" s="381">
        <v>5434327409</v>
      </c>
      <c r="E49" s="382">
        <v>778077364</v>
      </c>
      <c r="G49" s="377" t="s">
        <v>549</v>
      </c>
      <c r="H49" s="380"/>
      <c r="I49" s="381">
        <v>15297281954</v>
      </c>
      <c r="J49" s="381">
        <v>2948361170</v>
      </c>
      <c r="K49" s="382">
        <v>444848042</v>
      </c>
      <c r="L49" s="371"/>
    </row>
    <row r="50" spans="2:12" ht="12.95" customHeight="1" x14ac:dyDescent="0.3">
      <c r="B50" s="377" t="s">
        <v>504</v>
      </c>
      <c r="C50" s="381">
        <v>186940061303</v>
      </c>
      <c r="D50" s="381">
        <v>169748567410</v>
      </c>
      <c r="E50" s="382">
        <v>145681006325</v>
      </c>
      <c r="G50" s="377" t="s">
        <v>1675</v>
      </c>
      <c r="H50" s="380"/>
      <c r="I50" s="381">
        <v>15297281954</v>
      </c>
      <c r="J50" s="381">
        <v>2948361170</v>
      </c>
      <c r="K50" s="382">
        <v>1333447738</v>
      </c>
      <c r="L50" s="371"/>
    </row>
    <row r="51" spans="2:12" ht="12.95" customHeight="1" x14ac:dyDescent="0.3">
      <c r="B51" s="377" t="s">
        <v>480</v>
      </c>
      <c r="C51" s="378"/>
      <c r="D51" s="378"/>
      <c r="E51" s="379"/>
      <c r="G51" s="377" t="s">
        <v>1676</v>
      </c>
      <c r="H51" s="380"/>
      <c r="I51" s="378"/>
      <c r="J51" s="378"/>
      <c r="K51" s="382">
        <v>-888599696</v>
      </c>
      <c r="L51" s="371"/>
    </row>
    <row r="52" spans="2:12" ht="12.95" customHeight="1" x14ac:dyDescent="0.3">
      <c r="B52" s="377" t="s">
        <v>493</v>
      </c>
      <c r="C52" s="381">
        <v>16568369727</v>
      </c>
      <c r="D52" s="381">
        <v>52059218015</v>
      </c>
      <c r="E52" s="382">
        <v>43876942225</v>
      </c>
      <c r="G52" s="377" t="s">
        <v>550</v>
      </c>
      <c r="H52" s="380"/>
      <c r="I52" s="381">
        <v>177977565</v>
      </c>
      <c r="J52" s="381">
        <v>202830842</v>
      </c>
      <c r="K52" s="382">
        <v>27618781</v>
      </c>
      <c r="L52" s="371"/>
    </row>
    <row r="53" spans="2:12" ht="12.95" customHeight="1" x14ac:dyDescent="0.3">
      <c r="B53" s="377" t="s">
        <v>1677</v>
      </c>
      <c r="C53" s="381">
        <v>765000000</v>
      </c>
      <c r="D53" s="381">
        <v>755000000</v>
      </c>
      <c r="E53" s="382">
        <v>725000000</v>
      </c>
      <c r="G53" s="377" t="s">
        <v>1675</v>
      </c>
      <c r="H53" s="380"/>
      <c r="I53" s="381">
        <v>177977565</v>
      </c>
      <c r="J53" s="381">
        <v>202830842</v>
      </c>
      <c r="K53" s="382">
        <v>27618781</v>
      </c>
      <c r="L53" s="371"/>
    </row>
    <row r="54" spans="2:12" ht="12.95" customHeight="1" x14ac:dyDescent="0.3">
      <c r="B54" s="377" t="s">
        <v>494</v>
      </c>
      <c r="C54" s="378"/>
      <c r="D54" s="381">
        <v>36874830000</v>
      </c>
      <c r="E54" s="382">
        <v>10708150000</v>
      </c>
      <c r="G54" s="377" t="s">
        <v>658</v>
      </c>
      <c r="H54" s="380"/>
      <c r="I54" s="378"/>
      <c r="J54" s="378"/>
      <c r="K54" s="379"/>
      <c r="L54" s="371"/>
    </row>
    <row r="55" spans="2:12" ht="12.95" customHeight="1" x14ac:dyDescent="0.3">
      <c r="B55" s="377" t="s">
        <v>534</v>
      </c>
      <c r="C55" s="378"/>
      <c r="D55" s="378"/>
      <c r="E55" s="382">
        <v>13435650833</v>
      </c>
      <c r="G55" s="377" t="s">
        <v>1678</v>
      </c>
      <c r="H55" s="380"/>
      <c r="I55" s="381">
        <v>14458596585</v>
      </c>
      <c r="J55" s="381">
        <v>3106838712</v>
      </c>
      <c r="K55" s="382">
        <v>1162916766</v>
      </c>
      <c r="L55" s="371"/>
    </row>
    <row r="56" spans="2:12" ht="12.95" customHeight="1" x14ac:dyDescent="0.3">
      <c r="B56" s="377" t="s">
        <v>497</v>
      </c>
      <c r="C56" s="381">
        <v>7023014036</v>
      </c>
      <c r="D56" s="381">
        <v>5959841266</v>
      </c>
      <c r="E56" s="382">
        <v>7675689848</v>
      </c>
      <c r="G56" s="377" t="s">
        <v>541</v>
      </c>
      <c r="H56" s="380"/>
      <c r="I56" s="381">
        <v>184004552</v>
      </c>
      <c r="J56" s="381">
        <v>201952867</v>
      </c>
      <c r="K56" s="382">
        <v>32071097</v>
      </c>
      <c r="L56" s="371"/>
    </row>
    <row r="57" spans="2:12" ht="12.95" customHeight="1" x14ac:dyDescent="0.3">
      <c r="B57" s="377" t="s">
        <v>621</v>
      </c>
      <c r="C57" s="381">
        <v>929319771</v>
      </c>
      <c r="D57" s="381">
        <v>1479384336</v>
      </c>
      <c r="E57" s="382">
        <v>2143272677</v>
      </c>
      <c r="G57" s="377" t="s">
        <v>518</v>
      </c>
      <c r="H57" s="380"/>
      <c r="I57" s="378"/>
      <c r="J57" s="378"/>
      <c r="K57" s="379"/>
      <c r="L57" s="371"/>
    </row>
    <row r="58" spans="2:12" ht="12.95" customHeight="1" x14ac:dyDescent="0.3">
      <c r="B58" s="377" t="s">
        <v>1679</v>
      </c>
      <c r="C58" s="381">
        <v>7851035920</v>
      </c>
      <c r="D58" s="381">
        <v>6990162413</v>
      </c>
      <c r="E58" s="382">
        <v>9189178867</v>
      </c>
      <c r="G58" s="377" t="s">
        <v>1680</v>
      </c>
      <c r="H58" s="380"/>
      <c r="I58" s="378">
        <v>421</v>
      </c>
      <c r="J58" s="378">
        <v>84</v>
      </c>
      <c r="K58" s="379">
        <v>39</v>
      </c>
      <c r="L58" s="371"/>
    </row>
    <row r="59" spans="2:12" ht="12.95" customHeight="1" x14ac:dyDescent="0.3">
      <c r="B59" s="377" t="s">
        <v>481</v>
      </c>
      <c r="C59" s="381">
        <v>112113141824</v>
      </c>
      <c r="D59" s="381">
        <v>76537352046</v>
      </c>
      <c r="E59" s="382">
        <v>111488997021</v>
      </c>
      <c r="G59" s="377" t="s">
        <v>1681</v>
      </c>
      <c r="H59" s="380"/>
      <c r="I59" s="378"/>
      <c r="J59" s="378"/>
      <c r="K59" s="379">
        <v>-26</v>
      </c>
      <c r="L59" s="371"/>
    </row>
    <row r="60" spans="2:12" ht="12.95" customHeight="1" x14ac:dyDescent="0.3">
      <c r="B60" s="377" t="s">
        <v>531</v>
      </c>
      <c r="C60" s="381">
        <v>11659598671</v>
      </c>
      <c r="D60" s="381">
        <v>7757345245</v>
      </c>
      <c r="E60" s="382">
        <v>9483355069</v>
      </c>
      <c r="G60" s="377" t="s">
        <v>519</v>
      </c>
      <c r="H60" s="380"/>
      <c r="I60" s="378">
        <v>421</v>
      </c>
      <c r="J60" s="378">
        <v>84</v>
      </c>
      <c r="K60" s="379">
        <v>13</v>
      </c>
      <c r="L60" s="371"/>
    </row>
    <row r="61" spans="2:12" ht="12.95" customHeight="1" x14ac:dyDescent="0.3">
      <c r="B61" s="377" t="s">
        <v>482</v>
      </c>
      <c r="C61" s="381">
        <v>40900000000</v>
      </c>
      <c r="D61" s="381">
        <v>34900000000</v>
      </c>
      <c r="E61" s="382">
        <v>55762241927</v>
      </c>
      <c r="G61" s="383" t="s">
        <v>520</v>
      </c>
      <c r="H61" s="384"/>
      <c r="I61" s="385">
        <v>378</v>
      </c>
      <c r="J61" s="385">
        <v>84</v>
      </c>
      <c r="K61" s="386">
        <v>13</v>
      </c>
      <c r="L61" s="371"/>
    </row>
    <row r="62" spans="2:12" ht="12.95" customHeight="1" x14ac:dyDescent="0.3">
      <c r="B62" s="377" t="s">
        <v>483</v>
      </c>
      <c r="C62" s="381">
        <v>31374990000</v>
      </c>
      <c r="D62" s="381">
        <v>3833480000</v>
      </c>
      <c r="E62" s="382">
        <v>3833480000</v>
      </c>
      <c r="G62" s="387"/>
      <c r="H62" s="387"/>
      <c r="I62" s="371"/>
      <c r="J62" s="371"/>
      <c r="K62" s="371"/>
      <c r="L62" s="371"/>
    </row>
    <row r="63" spans="2:12" ht="12.95" customHeight="1" x14ac:dyDescent="0.3">
      <c r="B63" s="377" t="s">
        <v>1682</v>
      </c>
      <c r="C63" s="381">
        <v>18328878453</v>
      </c>
      <c r="D63" s="381">
        <v>21916404412</v>
      </c>
      <c r="E63" s="382">
        <v>31534424054</v>
      </c>
      <c r="G63" s="388" t="s">
        <v>1683</v>
      </c>
      <c r="H63" s="388"/>
      <c r="J63" s="389" t="s">
        <v>1684</v>
      </c>
      <c r="K63" s="371"/>
      <c r="L63" s="371"/>
    </row>
    <row r="64" spans="2:12" ht="12.95" customHeight="1" x14ac:dyDescent="0.3">
      <c r="B64" s="377" t="s">
        <v>618</v>
      </c>
      <c r="C64" s="381">
        <v>1125741230</v>
      </c>
      <c r="D64" s="381">
        <v>3577110655</v>
      </c>
      <c r="E64" s="382">
        <v>4302472250</v>
      </c>
      <c r="G64" s="373" t="s">
        <v>913</v>
      </c>
      <c r="H64" s="376"/>
      <c r="I64" s="374" t="s">
        <v>1664</v>
      </c>
      <c r="J64" s="374" t="s">
        <v>1665</v>
      </c>
      <c r="K64" s="371"/>
      <c r="L64" s="371"/>
    </row>
    <row r="65" spans="2:12" ht="12.95" customHeight="1" x14ac:dyDescent="0.3">
      <c r="B65" s="377" t="s">
        <v>532</v>
      </c>
      <c r="C65" s="381">
        <v>3400546038</v>
      </c>
      <c r="D65" s="381">
        <v>351297675</v>
      </c>
      <c r="E65" s="382">
        <v>2526473913</v>
      </c>
      <c r="G65" s="377" t="s">
        <v>1685</v>
      </c>
      <c r="H65" s="380"/>
      <c r="I65" s="381">
        <v>6143983</v>
      </c>
      <c r="J65" s="382">
        <v>5984958</v>
      </c>
      <c r="K65" s="371"/>
      <c r="L65" s="371"/>
    </row>
    <row r="66" spans="2:12" ht="12.95" customHeight="1" x14ac:dyDescent="0.3">
      <c r="B66" s="377" t="s">
        <v>1686</v>
      </c>
      <c r="C66" s="381">
        <v>2742975210</v>
      </c>
      <c r="D66" s="381">
        <v>2009995308</v>
      </c>
      <c r="E66" s="382">
        <v>1840777134</v>
      </c>
      <c r="G66" s="383" t="s">
        <v>1687</v>
      </c>
      <c r="H66" s="384"/>
      <c r="I66" s="390">
        <v>315652</v>
      </c>
      <c r="J66" s="391">
        <v>310906</v>
      </c>
      <c r="K66" s="371"/>
      <c r="L66" s="371"/>
    </row>
    <row r="67" spans="2:12" ht="12.95" customHeight="1" x14ac:dyDescent="0.3">
      <c r="B67" s="377" t="s">
        <v>533</v>
      </c>
      <c r="C67" s="381">
        <v>2580412222</v>
      </c>
      <c r="D67" s="381">
        <v>2191718751</v>
      </c>
      <c r="E67" s="382">
        <v>2205772674</v>
      </c>
      <c r="K67" s="371"/>
      <c r="L67" s="371"/>
    </row>
    <row r="68" spans="2:12" ht="12.95" customHeight="1" x14ac:dyDescent="0.3">
      <c r="B68" s="377" t="s">
        <v>498</v>
      </c>
      <c r="C68" s="381">
        <v>128681511551</v>
      </c>
      <c r="D68" s="381">
        <v>128596570061</v>
      </c>
      <c r="E68" s="382">
        <v>155365939246</v>
      </c>
      <c r="K68" s="371"/>
      <c r="L68" s="371"/>
    </row>
    <row r="69" spans="2:12" ht="12.95" customHeight="1" x14ac:dyDescent="0.3">
      <c r="B69" s="383" t="s">
        <v>505</v>
      </c>
      <c r="C69" s="390">
        <v>315621572854</v>
      </c>
      <c r="D69" s="390">
        <v>298345137471</v>
      </c>
      <c r="E69" s="391">
        <v>301046945571</v>
      </c>
      <c r="K69" s="371"/>
      <c r="L69" s="371"/>
    </row>
    <row r="70" spans="2:12" ht="12.95" customHeight="1" x14ac:dyDescent="0.3">
      <c r="B70" s="387"/>
      <c r="K70" s="371"/>
      <c r="L70" s="371"/>
    </row>
    <row r="71" spans="2:12" ht="12.95" customHeight="1" x14ac:dyDescent="0.3">
      <c r="K71" s="371"/>
      <c r="L71" s="371"/>
    </row>
    <row r="72" spans="2:12" ht="12.95" customHeight="1" x14ac:dyDescent="0.3">
      <c r="K72" s="371"/>
      <c r="L72" s="371"/>
    </row>
    <row r="73" spans="2:12" ht="12.95" customHeight="1" x14ac:dyDescent="0.3">
      <c r="K73" s="371"/>
      <c r="L73" s="371"/>
    </row>
  </sheetData>
  <phoneticPr fontId="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AA121"/>
  <sheetViews>
    <sheetView workbookViewId="0">
      <selection activeCell="D15" sqref="B15:D15"/>
    </sheetView>
  </sheetViews>
  <sheetFormatPr defaultRowHeight="12.95" customHeight="1" x14ac:dyDescent="0.3"/>
  <cols>
    <col min="1" max="1" width="1.625" style="126" customWidth="1"/>
    <col min="2" max="2" width="13.875" style="126" bestFit="1" customWidth="1"/>
    <col min="3" max="3" width="12.5" style="126" bestFit="1" customWidth="1"/>
    <col min="4" max="10" width="9" style="126"/>
    <col min="11" max="11" width="1.625" style="126" customWidth="1"/>
    <col min="12" max="12" width="1.625" style="442" customWidth="1"/>
    <col min="13" max="13" width="1.625" style="126" customWidth="1"/>
    <col min="14" max="14" width="27.75" style="149" customWidth="1"/>
    <col min="15" max="16" width="14.875" style="149" bestFit="1" customWidth="1"/>
    <col min="17" max="17" width="1.625" style="126" customWidth="1"/>
    <col min="18" max="18" width="24.625" style="149" customWidth="1"/>
    <col min="19" max="19" width="13.125" style="126" bestFit="1" customWidth="1"/>
    <col min="20" max="20" width="12.25" style="126" bestFit="1" customWidth="1"/>
    <col min="21" max="21" width="1.625" style="126" customWidth="1"/>
    <col min="22" max="16384" width="9" style="126"/>
  </cols>
  <sheetData>
    <row r="2" spans="2:27" ht="12.95" customHeight="1" x14ac:dyDescent="0.3">
      <c r="B2" s="403" t="s">
        <v>0</v>
      </c>
      <c r="C2" s="404"/>
      <c r="D2" s="404" t="s">
        <v>34</v>
      </c>
      <c r="E2" s="404" t="s">
        <v>35</v>
      </c>
      <c r="F2" s="404"/>
      <c r="G2" s="404"/>
      <c r="H2" s="404"/>
      <c r="I2" s="404"/>
      <c r="J2" s="405"/>
      <c r="N2" s="462" t="s">
        <v>1722</v>
      </c>
    </row>
    <row r="3" spans="2:27" ht="12.95" customHeight="1" x14ac:dyDescent="0.3">
      <c r="B3" s="406" t="s">
        <v>8</v>
      </c>
      <c r="C3" s="407" t="s">
        <v>49</v>
      </c>
      <c r="D3" s="407" t="s">
        <v>39</v>
      </c>
      <c r="E3" s="407" t="s">
        <v>40</v>
      </c>
      <c r="F3" s="407" t="s">
        <v>41</v>
      </c>
      <c r="G3" s="407" t="s">
        <v>42</v>
      </c>
      <c r="H3" s="407" t="s">
        <v>11</v>
      </c>
      <c r="I3" s="407" t="s">
        <v>10</v>
      </c>
      <c r="J3" s="408" t="s">
        <v>43</v>
      </c>
    </row>
    <row r="4" spans="2:27" ht="12.95" customHeight="1" x14ac:dyDescent="0.3">
      <c r="B4" s="394">
        <f>C14</f>
        <v>40797.740808000002</v>
      </c>
      <c r="C4" s="395">
        <f>C17</f>
        <v>411.16225099999997</v>
      </c>
      <c r="D4" s="396"/>
      <c r="E4" s="397" t="s">
        <v>246</v>
      </c>
      <c r="F4" s="395">
        <f>O66/10^6</f>
        <v>10223.491048</v>
      </c>
      <c r="G4" s="395">
        <f>C30</f>
        <v>11812.948218</v>
      </c>
      <c r="H4" s="395">
        <f>C34</f>
        <v>4549.2593010000001</v>
      </c>
      <c r="I4" s="395">
        <f>C33</f>
        <v>941.82406300000002</v>
      </c>
      <c r="J4" s="398">
        <f>O120/10^6</f>
        <v>-17.681055000000001</v>
      </c>
      <c r="N4" s="202" t="s">
        <v>278</v>
      </c>
      <c r="R4" s="202" t="s">
        <v>831</v>
      </c>
      <c r="V4" s="444"/>
      <c r="W4" s="90"/>
      <c r="X4" s="90"/>
      <c r="Y4" s="90"/>
      <c r="Z4" s="90"/>
      <c r="AA4" s="90"/>
    </row>
    <row r="5" spans="2:27" ht="12.95" customHeight="1" x14ac:dyDescent="0.2">
      <c r="B5" s="399">
        <f>D14</f>
        <v>35786.696906999998</v>
      </c>
      <c r="C5" s="400">
        <f>D17</f>
        <v>508.74474800000002</v>
      </c>
      <c r="D5" s="400"/>
      <c r="E5" s="401" t="s">
        <v>336</v>
      </c>
      <c r="F5" s="400">
        <f>P66/10^6</f>
        <v>10987.623600999999</v>
      </c>
      <c r="G5" s="400">
        <f>D30</f>
        <v>14685.915041</v>
      </c>
      <c r="H5" s="400">
        <f>D34</f>
        <v>6104.4256399999995</v>
      </c>
      <c r="I5" s="400">
        <f>D33</f>
        <v>2059.2281509999998</v>
      </c>
      <c r="J5" s="402">
        <f>P120/10^6</f>
        <v>767.89660400000002</v>
      </c>
      <c r="N5" s="196" t="s">
        <v>1048</v>
      </c>
      <c r="P5" s="259" t="s">
        <v>279</v>
      </c>
      <c r="R5" s="196" t="s">
        <v>1048</v>
      </c>
      <c r="T5" s="260" t="s">
        <v>279</v>
      </c>
      <c r="V5" s="445"/>
      <c r="W5" s="90"/>
      <c r="X5" s="90"/>
      <c r="Y5" s="90"/>
      <c r="Z5" s="90"/>
      <c r="AA5" s="90"/>
    </row>
    <row r="6" spans="2:27" ht="12.95" customHeight="1" x14ac:dyDescent="0.3">
      <c r="N6" s="203" t="s">
        <v>413</v>
      </c>
      <c r="O6" s="172" t="s">
        <v>1049</v>
      </c>
      <c r="P6" s="172" t="s">
        <v>1050</v>
      </c>
      <c r="R6" s="203" t="s">
        <v>413</v>
      </c>
      <c r="S6" s="238" t="s">
        <v>1049</v>
      </c>
      <c r="T6" s="238" t="s">
        <v>1050</v>
      </c>
      <c r="V6" s="444"/>
      <c r="W6" s="90"/>
      <c r="X6" s="90"/>
      <c r="Y6" s="90"/>
      <c r="Z6" s="90"/>
      <c r="AA6" s="90"/>
    </row>
    <row r="7" spans="2:27" ht="14.25" customHeight="1" x14ac:dyDescent="0.3">
      <c r="N7" s="197" t="s">
        <v>460</v>
      </c>
      <c r="O7" s="261"/>
      <c r="P7" s="262"/>
      <c r="R7" s="197" t="s">
        <v>1051</v>
      </c>
      <c r="S7" s="210">
        <v>3769956298</v>
      </c>
      <c r="T7" s="211">
        <v>5170081145</v>
      </c>
      <c r="V7" s="525" t="s">
        <v>575</v>
      </c>
      <c r="W7" s="527" t="s">
        <v>1052</v>
      </c>
      <c r="X7" s="527" t="s">
        <v>1053</v>
      </c>
      <c r="Y7" s="529" t="s">
        <v>1054</v>
      </c>
      <c r="Z7" s="530"/>
      <c r="AA7" s="531" t="s">
        <v>1055</v>
      </c>
    </row>
    <row r="8" spans="2:27" ht="12.95" customHeight="1" x14ac:dyDescent="0.3">
      <c r="N8" s="197" t="s">
        <v>429</v>
      </c>
      <c r="O8" s="207">
        <v>5280052361</v>
      </c>
      <c r="P8" s="208">
        <v>8050684741</v>
      </c>
      <c r="R8" s="212" t="s">
        <v>1056</v>
      </c>
      <c r="S8" s="211">
        <v>-17681055</v>
      </c>
      <c r="T8" s="211">
        <v>767896604</v>
      </c>
      <c r="V8" s="526"/>
      <c r="W8" s="528"/>
      <c r="X8" s="528"/>
      <c r="Y8" s="446" t="s">
        <v>664</v>
      </c>
      <c r="Z8" s="446" t="s">
        <v>665</v>
      </c>
      <c r="AA8" s="532"/>
    </row>
    <row r="9" spans="2:27" ht="12.95" customHeight="1" x14ac:dyDescent="0.3">
      <c r="B9" s="156"/>
      <c r="C9" s="157" t="s">
        <v>1057</v>
      </c>
      <c r="D9" s="157" t="s">
        <v>1058</v>
      </c>
      <c r="N9" s="212" t="s">
        <v>1059</v>
      </c>
      <c r="O9" s="207">
        <v>5280052361</v>
      </c>
      <c r="P9" s="208">
        <v>8050684741</v>
      </c>
      <c r="R9" s="212" t="s">
        <v>1060</v>
      </c>
      <c r="S9" s="211">
        <v>4033685146</v>
      </c>
      <c r="T9" s="211">
        <v>4386718315</v>
      </c>
      <c r="V9" s="447" t="s">
        <v>396</v>
      </c>
      <c r="W9" s="448" t="s">
        <v>1061</v>
      </c>
      <c r="X9" s="448" t="s">
        <v>1062</v>
      </c>
      <c r="Y9" s="449">
        <v>5047297</v>
      </c>
      <c r="Z9" s="449">
        <v>2339630</v>
      </c>
      <c r="AA9" s="450" t="s">
        <v>1063</v>
      </c>
    </row>
    <row r="10" spans="2:27" ht="12.95" customHeight="1" x14ac:dyDescent="0.3">
      <c r="B10" s="156" t="s">
        <v>1064</v>
      </c>
      <c r="C10" s="157" t="s">
        <v>1065</v>
      </c>
      <c r="D10" s="157" t="s">
        <v>1065</v>
      </c>
      <c r="N10" s="212" t="s">
        <v>1066</v>
      </c>
      <c r="O10" s="208">
        <v>3202259192</v>
      </c>
      <c r="P10" s="208">
        <v>6213303093</v>
      </c>
      <c r="R10" s="212" t="s">
        <v>453</v>
      </c>
      <c r="S10" s="211">
        <v>189345110</v>
      </c>
      <c r="T10" s="211">
        <v>313605630</v>
      </c>
    </row>
    <row r="11" spans="2:27" ht="12.95" customHeight="1" x14ac:dyDescent="0.3">
      <c r="B11" s="126" t="s">
        <v>1067</v>
      </c>
      <c r="C11" s="152">
        <f>(O49+O51)/10^6</f>
        <v>44000</v>
      </c>
      <c r="D11" s="152">
        <f>(P49+P51)/10^6</f>
        <v>42000</v>
      </c>
      <c r="N11" s="212" t="s">
        <v>1068</v>
      </c>
      <c r="O11" s="208">
        <v>1869941391</v>
      </c>
      <c r="P11" s="208">
        <v>1495077325</v>
      </c>
      <c r="R11" s="263" t="s">
        <v>1069</v>
      </c>
      <c r="S11" s="264">
        <v>3607408472</v>
      </c>
      <c r="T11" s="264">
        <v>4044876289</v>
      </c>
    </row>
    <row r="12" spans="2:27" ht="12.95" customHeight="1" x14ac:dyDescent="0.3">
      <c r="B12" s="126" t="s">
        <v>1070</v>
      </c>
      <c r="C12" s="152">
        <f>O10/10^6</f>
        <v>3202.259192</v>
      </c>
      <c r="D12" s="152">
        <f>P10/10^6</f>
        <v>6213.3030930000004</v>
      </c>
      <c r="N12" s="212" t="s">
        <v>425</v>
      </c>
      <c r="O12" s="208">
        <v>-64317561</v>
      </c>
      <c r="P12" s="208">
        <v>-17277505</v>
      </c>
      <c r="R12" s="263" t="s">
        <v>1071</v>
      </c>
      <c r="S12" s="264">
        <v>26766</v>
      </c>
      <c r="T12" s="264">
        <v>321200</v>
      </c>
    </row>
    <row r="13" spans="2:27" ht="12.95" customHeight="1" x14ac:dyDescent="0.3">
      <c r="B13" s="126" t="s">
        <v>1072</v>
      </c>
      <c r="C13" s="152">
        <v>0</v>
      </c>
      <c r="D13" s="152">
        <v>0</v>
      </c>
      <c r="N13" s="212" t="s">
        <v>1073</v>
      </c>
      <c r="O13" s="208">
        <v>177488854</v>
      </c>
      <c r="P13" s="208">
        <v>286330633</v>
      </c>
      <c r="R13" s="212" t="s">
        <v>1074</v>
      </c>
      <c r="S13" s="211">
        <v>258760360</v>
      </c>
      <c r="T13" s="222" t="s">
        <v>22</v>
      </c>
    </row>
    <row r="14" spans="2:27" ht="12.95" customHeight="1" x14ac:dyDescent="0.3">
      <c r="B14" s="156" t="s">
        <v>1075</v>
      </c>
      <c r="C14" s="165">
        <f>-SUM(C12:C13)+C11+C15</f>
        <v>40797.740808000002</v>
      </c>
      <c r="D14" s="165">
        <f t="shared" ref="D14" si="0">-SUM(D12:D13)+D11+D15</f>
        <v>35786.696906999998</v>
      </c>
      <c r="N14" s="212" t="s">
        <v>1076</v>
      </c>
      <c r="O14" s="208">
        <v>18395000</v>
      </c>
      <c r="P14" s="262" t="s">
        <v>22</v>
      </c>
      <c r="R14" s="212" t="s">
        <v>1077</v>
      </c>
      <c r="S14" s="211">
        <v>-21855562</v>
      </c>
      <c r="T14" s="211">
        <v>1726230</v>
      </c>
    </row>
    <row r="15" spans="2:27" ht="12.95" customHeight="1" x14ac:dyDescent="0.3">
      <c r="B15" s="479"/>
      <c r="C15" s="480"/>
      <c r="D15" s="480"/>
      <c r="N15" s="212" t="s">
        <v>1078</v>
      </c>
      <c r="O15" s="208">
        <v>75852855</v>
      </c>
      <c r="P15" s="208">
        <v>72430565</v>
      </c>
      <c r="R15" s="212" t="s">
        <v>1079</v>
      </c>
      <c r="S15" s="222" t="s">
        <v>22</v>
      </c>
      <c r="T15" s="211">
        <v>26188966</v>
      </c>
    </row>
    <row r="16" spans="2:27" ht="12.95" customHeight="1" x14ac:dyDescent="0.3">
      <c r="C16" s="152"/>
      <c r="D16" s="152"/>
      <c r="N16" s="212" t="s">
        <v>1080</v>
      </c>
      <c r="O16" s="208">
        <v>432630</v>
      </c>
      <c r="P16" s="208">
        <v>820630</v>
      </c>
      <c r="R16" s="212" t="s">
        <v>1081</v>
      </c>
      <c r="S16" s="211">
        <v>-4148095</v>
      </c>
      <c r="T16" s="211">
        <v>-3272596</v>
      </c>
    </row>
    <row r="17" spans="2:20" ht="12.95" customHeight="1" x14ac:dyDescent="0.3">
      <c r="B17" s="156" t="s">
        <v>1082</v>
      </c>
      <c r="C17" s="165">
        <f>SUM(C18:C22)</f>
        <v>411.16225099999997</v>
      </c>
      <c r="D17" s="165">
        <f>SUM(D18:D22)</f>
        <v>508.74474800000002</v>
      </c>
      <c r="N17" s="212" t="s">
        <v>430</v>
      </c>
      <c r="O17" s="261" t="s">
        <v>22</v>
      </c>
      <c r="P17" s="262" t="s">
        <v>22</v>
      </c>
      <c r="R17" s="212" t="s">
        <v>1083</v>
      </c>
      <c r="S17" s="211">
        <v>-4148095</v>
      </c>
      <c r="T17" s="222" t="s">
        <v>22</v>
      </c>
    </row>
    <row r="18" spans="2:20" ht="12.95" customHeight="1" x14ac:dyDescent="0.3">
      <c r="B18" s="126" t="s">
        <v>1084</v>
      </c>
      <c r="C18" s="152">
        <f>O20/10^6</f>
        <v>379.39819999999997</v>
      </c>
      <c r="D18" s="152">
        <f>P20/10^6</f>
        <v>508.74474800000002</v>
      </c>
      <c r="N18" s="197" t="s">
        <v>431</v>
      </c>
      <c r="O18" s="207">
        <v>52527311246</v>
      </c>
      <c r="P18" s="208">
        <v>52377292084</v>
      </c>
      <c r="R18" s="212" t="s">
        <v>1085</v>
      </c>
      <c r="S18" s="222" t="s">
        <v>22</v>
      </c>
      <c r="T18" s="211">
        <v>3272596</v>
      </c>
    </row>
    <row r="19" spans="2:20" ht="12.95" customHeight="1" x14ac:dyDescent="0.3">
      <c r="B19" s="126" t="s">
        <v>1086</v>
      </c>
      <c r="C19" s="152">
        <v>0</v>
      </c>
      <c r="D19" s="152">
        <v>0</v>
      </c>
      <c r="N19" s="212" t="s">
        <v>432</v>
      </c>
      <c r="O19" s="207">
        <v>411162251</v>
      </c>
      <c r="P19" s="208">
        <v>508744748</v>
      </c>
      <c r="R19" s="212" t="s">
        <v>1087</v>
      </c>
      <c r="S19" s="211">
        <v>-241899698</v>
      </c>
      <c r="T19" s="211">
        <v>18738822</v>
      </c>
    </row>
    <row r="20" spans="2:20" ht="12.95" customHeight="1" x14ac:dyDescent="0.3">
      <c r="B20" s="126" t="s">
        <v>1088</v>
      </c>
      <c r="C20" s="152">
        <v>0</v>
      </c>
      <c r="D20" s="152">
        <v>0</v>
      </c>
      <c r="N20" s="212" t="s">
        <v>433</v>
      </c>
      <c r="O20" s="208">
        <v>379398200</v>
      </c>
      <c r="P20" s="208">
        <v>508744748</v>
      </c>
      <c r="R20" s="212" t="s">
        <v>1089</v>
      </c>
      <c r="S20" s="211">
        <v>-676875045</v>
      </c>
      <c r="T20" s="211">
        <v>326097780</v>
      </c>
    </row>
    <row r="21" spans="2:20" ht="12.95" customHeight="1" x14ac:dyDescent="0.3">
      <c r="B21" s="126" t="s">
        <v>1090</v>
      </c>
      <c r="C21" s="152">
        <f>O21/10^6</f>
        <v>31.764050999999998</v>
      </c>
      <c r="D21" s="152">
        <f>P21/10^6</f>
        <v>0</v>
      </c>
      <c r="N21" s="212" t="s">
        <v>1091</v>
      </c>
      <c r="O21" s="208">
        <v>31764051</v>
      </c>
      <c r="P21" s="262">
        <v>0</v>
      </c>
      <c r="R21" s="212" t="s">
        <v>1092</v>
      </c>
      <c r="S21" s="211">
        <v>-155847745</v>
      </c>
      <c r="T21" s="211">
        <v>-108841779</v>
      </c>
    </row>
    <row r="22" spans="2:20" ht="12.95" customHeight="1" x14ac:dyDescent="0.3">
      <c r="B22" s="126" t="s">
        <v>1093</v>
      </c>
      <c r="C22" s="152">
        <v>0</v>
      </c>
      <c r="D22" s="152">
        <v>0</v>
      </c>
      <c r="N22" s="212" t="s">
        <v>1094</v>
      </c>
      <c r="O22" s="207">
        <v>52055583779</v>
      </c>
      <c r="P22" s="208">
        <v>51822803320</v>
      </c>
      <c r="R22" s="212" t="s">
        <v>1095</v>
      </c>
      <c r="S22" s="211">
        <v>73425000</v>
      </c>
      <c r="T22" s="211">
        <v>18395000</v>
      </c>
    </row>
    <row r="23" spans="2:20" ht="12.95" customHeight="1" x14ac:dyDescent="0.3">
      <c r="C23" s="152"/>
      <c r="D23" s="152"/>
      <c r="N23" s="212" t="s">
        <v>434</v>
      </c>
      <c r="O23" s="208">
        <v>6910803678</v>
      </c>
      <c r="P23" s="208">
        <v>6910803678</v>
      </c>
      <c r="R23" s="212" t="s">
        <v>1096</v>
      </c>
      <c r="S23" s="211">
        <v>-40678583</v>
      </c>
      <c r="T23" s="211">
        <v>3422290</v>
      </c>
    </row>
    <row r="24" spans="2:20" ht="12.95" customHeight="1" x14ac:dyDescent="0.3">
      <c r="C24" s="152"/>
      <c r="D24" s="152"/>
      <c r="N24" s="212" t="s">
        <v>435</v>
      </c>
      <c r="O24" s="208">
        <v>6006958551</v>
      </c>
      <c r="P24" s="208">
        <v>6475297230</v>
      </c>
      <c r="R24" s="212" t="s">
        <v>1097</v>
      </c>
      <c r="S24" s="211">
        <v>233061226</v>
      </c>
      <c r="T24" s="222" t="s">
        <v>22</v>
      </c>
    </row>
    <row r="25" spans="2:20" ht="12.95" customHeight="1" x14ac:dyDescent="0.3">
      <c r="C25" s="152"/>
      <c r="D25" s="152"/>
      <c r="N25" s="212" t="s">
        <v>892</v>
      </c>
      <c r="O25" s="208">
        <v>-313909527</v>
      </c>
      <c r="P25" s="208">
        <v>-616208863</v>
      </c>
      <c r="R25" s="212" t="s">
        <v>1098</v>
      </c>
      <c r="S25" s="211">
        <v>301620</v>
      </c>
      <c r="T25" s="211">
        <v>-388000</v>
      </c>
    </row>
    <row r="26" spans="2:20" ht="12.95" customHeight="1" x14ac:dyDescent="0.3">
      <c r="C26" s="152"/>
      <c r="D26" s="152"/>
      <c r="N26" s="212" t="s">
        <v>436</v>
      </c>
      <c r="O26" s="208">
        <v>15195635032</v>
      </c>
      <c r="P26" s="208">
        <v>15239744621</v>
      </c>
      <c r="R26" s="212" t="s">
        <v>1099</v>
      </c>
      <c r="S26" s="211">
        <v>95115763</v>
      </c>
      <c r="T26" s="211">
        <v>70679096</v>
      </c>
    </row>
    <row r="27" spans="2:20" ht="12.95" customHeight="1" x14ac:dyDescent="0.3">
      <c r="C27" s="152"/>
      <c r="D27" s="152"/>
      <c r="N27" s="212" t="s">
        <v>892</v>
      </c>
      <c r="O27" s="208">
        <v>-632838958</v>
      </c>
      <c r="P27" s="208">
        <v>-1392804497</v>
      </c>
      <c r="R27" s="212" t="s">
        <v>1100</v>
      </c>
      <c r="S27" s="211">
        <v>6417579</v>
      </c>
      <c r="T27" s="211">
        <v>5563248</v>
      </c>
    </row>
    <row r="28" spans="2:20" ht="12.95" customHeight="1" x14ac:dyDescent="0.3">
      <c r="B28" s="156"/>
      <c r="C28" s="157" t="s">
        <v>1101</v>
      </c>
      <c r="D28" s="157" t="s">
        <v>1058</v>
      </c>
      <c r="N28" s="212" t="s">
        <v>437</v>
      </c>
      <c r="O28" s="208">
        <v>27942759163</v>
      </c>
      <c r="P28" s="208">
        <v>31199642725</v>
      </c>
      <c r="R28" s="212" t="s">
        <v>1102</v>
      </c>
      <c r="S28" s="211">
        <v>30081201</v>
      </c>
      <c r="T28" s="211">
        <v>22244476</v>
      </c>
    </row>
    <row r="29" spans="2:20" ht="12.95" customHeight="1" x14ac:dyDescent="0.3">
      <c r="B29" s="156" t="s">
        <v>1103</v>
      </c>
      <c r="C29" s="157" t="s">
        <v>1104</v>
      </c>
      <c r="D29" s="157" t="s">
        <v>1105</v>
      </c>
      <c r="N29" s="212" t="s">
        <v>892</v>
      </c>
      <c r="O29" s="208">
        <v>-3497645699</v>
      </c>
      <c r="P29" s="208">
        <v>-6323353974</v>
      </c>
      <c r="R29" s="212" t="s">
        <v>1106</v>
      </c>
      <c r="S29" s="211">
        <v>42540511</v>
      </c>
      <c r="T29" s="211">
        <v>4141209</v>
      </c>
    </row>
    <row r="30" spans="2:20" ht="12.95" customHeight="1" x14ac:dyDescent="0.3">
      <c r="B30" s="126" t="s">
        <v>1107</v>
      </c>
      <c r="C30" s="152">
        <f>O75/10^6</f>
        <v>11812.948218</v>
      </c>
      <c r="D30" s="152">
        <f>P75/10^6</f>
        <v>14685.915041</v>
      </c>
      <c r="N30" s="212" t="s">
        <v>1108</v>
      </c>
      <c r="O30" s="208">
        <v>-41666666</v>
      </c>
      <c r="P30" s="208">
        <v>-36666666</v>
      </c>
      <c r="R30" s="212" t="s">
        <v>1109</v>
      </c>
      <c r="S30" s="211">
        <v>167987848</v>
      </c>
      <c r="T30" s="211">
        <v>-229787928</v>
      </c>
    </row>
    <row r="31" spans="2:20" ht="12.95" customHeight="1" x14ac:dyDescent="0.3">
      <c r="B31" s="126" t="s">
        <v>1110</v>
      </c>
      <c r="C31" s="152"/>
      <c r="D31" s="152"/>
      <c r="N31" s="212" t="s">
        <v>438</v>
      </c>
      <c r="O31" s="208">
        <v>560379838</v>
      </c>
      <c r="P31" s="208">
        <v>592843838</v>
      </c>
      <c r="R31" s="212" t="s">
        <v>1111</v>
      </c>
      <c r="S31" s="211">
        <v>-17429073</v>
      </c>
      <c r="T31" s="211">
        <v>-92786570</v>
      </c>
    </row>
    <row r="32" spans="2:20" ht="12.95" customHeight="1" x14ac:dyDescent="0.3">
      <c r="B32" s="126" t="s">
        <v>1112</v>
      </c>
      <c r="C32" s="152"/>
      <c r="D32" s="152"/>
      <c r="N32" s="212" t="s">
        <v>892</v>
      </c>
      <c r="O32" s="208">
        <v>-223172860</v>
      </c>
      <c r="P32" s="208">
        <v>-340118427</v>
      </c>
      <c r="R32" s="197" t="s">
        <v>1113</v>
      </c>
      <c r="S32" s="210">
        <v>-17055953691</v>
      </c>
      <c r="T32" s="211">
        <v>-3895669782</v>
      </c>
    </row>
    <row r="33" spans="2:20" ht="12.95" customHeight="1" x14ac:dyDescent="0.3">
      <c r="B33" s="126" t="s">
        <v>1114</v>
      </c>
      <c r="C33" s="152">
        <f>O106/10^6</f>
        <v>941.82406300000002</v>
      </c>
      <c r="D33" s="152">
        <f>P106/10^6</f>
        <v>2059.2281509999998</v>
      </c>
      <c r="N33" s="212" t="s">
        <v>1115</v>
      </c>
      <c r="O33" s="208">
        <v>63371273</v>
      </c>
      <c r="P33" s="208">
        <v>73671273</v>
      </c>
      <c r="R33" s="212" t="s">
        <v>1116</v>
      </c>
      <c r="S33" s="211">
        <v>250775217</v>
      </c>
      <c r="T33" s="211">
        <v>45772596</v>
      </c>
    </row>
    <row r="34" spans="2:20" ht="12.95" customHeight="1" x14ac:dyDescent="0.3">
      <c r="B34" s="126" t="s">
        <v>1117</v>
      </c>
      <c r="C34" s="152">
        <f>C33+C36</f>
        <v>4549.2593010000001</v>
      </c>
      <c r="D34" s="152">
        <f>D33+D36</f>
        <v>6104.4256399999995</v>
      </c>
      <c r="N34" s="212" t="s">
        <v>892</v>
      </c>
      <c r="O34" s="208">
        <v>-28957437</v>
      </c>
      <c r="P34" s="208">
        <v>-42423357</v>
      </c>
      <c r="R34" s="212" t="s">
        <v>1118</v>
      </c>
      <c r="S34" s="211">
        <v>50000000</v>
      </c>
      <c r="T34" s="211">
        <v>14500000</v>
      </c>
    </row>
    <row r="35" spans="2:20" ht="12.95" customHeight="1" x14ac:dyDescent="0.3">
      <c r="C35" s="152"/>
      <c r="D35" s="152"/>
      <c r="N35" s="212" t="s">
        <v>1119</v>
      </c>
      <c r="O35" s="208">
        <v>157472992</v>
      </c>
      <c r="P35" s="208">
        <v>157472992</v>
      </c>
      <c r="R35" s="212" t="s">
        <v>1120</v>
      </c>
      <c r="S35" s="211">
        <v>188314884</v>
      </c>
      <c r="T35" s="222" t="s">
        <v>22</v>
      </c>
    </row>
    <row r="36" spans="2:20" ht="12.95" customHeight="1" x14ac:dyDescent="0.3">
      <c r="B36" s="126" t="s">
        <v>1121</v>
      </c>
      <c r="C36" s="152">
        <f>SUM(S11:S12)/10^6</f>
        <v>3607.435238</v>
      </c>
      <c r="D36" s="152">
        <f>SUM(T11:T12)/10^6</f>
        <v>4045.1974890000001</v>
      </c>
      <c r="N36" s="212" t="s">
        <v>892</v>
      </c>
      <c r="O36" s="208">
        <v>-43605601</v>
      </c>
      <c r="P36" s="208">
        <v>-75097253</v>
      </c>
      <c r="R36" s="212" t="s">
        <v>1122</v>
      </c>
      <c r="S36" s="211">
        <v>12460333</v>
      </c>
      <c r="T36" s="222" t="s">
        <v>22</v>
      </c>
    </row>
    <row r="37" spans="2:20" ht="12.95" customHeight="1" x14ac:dyDescent="0.3">
      <c r="C37" s="152"/>
      <c r="D37" s="152"/>
      <c r="N37" s="212" t="s">
        <v>439</v>
      </c>
      <c r="O37" s="207">
        <v>1579234</v>
      </c>
      <c r="P37" s="208">
        <v>1258034</v>
      </c>
      <c r="R37" s="212" t="s">
        <v>1123</v>
      </c>
      <c r="S37" s="222" t="s">
        <v>22</v>
      </c>
      <c r="T37" s="211">
        <v>31272596</v>
      </c>
    </row>
    <row r="38" spans="2:20" ht="12.95" customHeight="1" x14ac:dyDescent="0.3">
      <c r="C38" s="152"/>
      <c r="D38" s="152"/>
      <c r="N38" s="212" t="s">
        <v>1124</v>
      </c>
      <c r="O38" s="208">
        <v>1579234</v>
      </c>
      <c r="P38" s="208">
        <v>1258034</v>
      </c>
      <c r="R38" s="212" t="s">
        <v>1125</v>
      </c>
      <c r="S38" s="211">
        <v>-17306728908</v>
      </c>
      <c r="T38" s="211">
        <v>-3941442378</v>
      </c>
    </row>
    <row r="39" spans="2:20" ht="12.95" customHeight="1" x14ac:dyDescent="0.3">
      <c r="C39" s="152"/>
      <c r="D39" s="152"/>
      <c r="N39" s="212" t="s">
        <v>440</v>
      </c>
      <c r="O39" s="207">
        <v>58985982</v>
      </c>
      <c r="P39" s="208">
        <v>44485982</v>
      </c>
      <c r="R39" s="212" t="s">
        <v>1126</v>
      </c>
      <c r="S39" s="211">
        <v>113819460</v>
      </c>
      <c r="T39" s="211">
        <v>129346548</v>
      </c>
    </row>
    <row r="40" spans="2:20" ht="12.95" customHeight="1" x14ac:dyDescent="0.3">
      <c r="C40" s="152"/>
      <c r="D40" s="152"/>
      <c r="N40" s="212" t="s">
        <v>1127</v>
      </c>
      <c r="O40" s="208">
        <v>58985982</v>
      </c>
      <c r="P40" s="208">
        <v>44485982</v>
      </c>
      <c r="R40" s="212" t="s">
        <v>1128</v>
      </c>
      <c r="S40" s="211">
        <v>9600000</v>
      </c>
      <c r="T40" s="222" t="s">
        <v>22</v>
      </c>
    </row>
    <row r="41" spans="2:20" ht="12.95" customHeight="1" x14ac:dyDescent="0.3">
      <c r="C41" s="152"/>
      <c r="D41" s="152"/>
      <c r="N41" s="197" t="s">
        <v>441</v>
      </c>
      <c r="O41" s="207">
        <v>57807363607</v>
      </c>
      <c r="P41" s="208">
        <v>60427976825</v>
      </c>
      <c r="R41" s="212" t="s">
        <v>1129</v>
      </c>
      <c r="S41" s="211">
        <v>40258360</v>
      </c>
      <c r="T41" s="222" t="s">
        <v>22</v>
      </c>
    </row>
    <row r="42" spans="2:20" ht="12.95" customHeight="1" x14ac:dyDescent="0.3">
      <c r="C42" s="152"/>
      <c r="D42" s="152"/>
      <c r="N42" s="197" t="s">
        <v>480</v>
      </c>
      <c r="O42" s="261"/>
      <c r="P42" s="262"/>
      <c r="R42" s="212" t="s">
        <v>1130</v>
      </c>
      <c r="S42" s="211">
        <v>2079301963</v>
      </c>
      <c r="T42" s="211">
        <v>468338679</v>
      </c>
    </row>
    <row r="43" spans="2:20" ht="12.95" customHeight="1" x14ac:dyDescent="0.3">
      <c r="C43" s="152"/>
      <c r="D43" s="152"/>
      <c r="N43" s="197" t="s">
        <v>1131</v>
      </c>
      <c r="O43" s="207">
        <v>5157718531</v>
      </c>
      <c r="P43" s="208">
        <v>6816423760</v>
      </c>
      <c r="R43" s="212" t="s">
        <v>1132</v>
      </c>
      <c r="S43" s="211">
        <v>5137637293</v>
      </c>
      <c r="T43" s="211">
        <v>44109589</v>
      </c>
    </row>
    <row r="44" spans="2:20" ht="12.95" customHeight="1" x14ac:dyDescent="0.3">
      <c r="C44" s="152"/>
      <c r="D44" s="152"/>
      <c r="N44" s="212" t="s">
        <v>442</v>
      </c>
      <c r="O44" s="208">
        <v>581146563</v>
      </c>
      <c r="P44" s="208">
        <v>651825659</v>
      </c>
      <c r="R44" s="212" t="s">
        <v>1133</v>
      </c>
      <c r="S44" s="211">
        <v>9757889614</v>
      </c>
      <c r="T44" s="211">
        <v>3256883562</v>
      </c>
    </row>
    <row r="45" spans="2:20" ht="12.95" customHeight="1" x14ac:dyDescent="0.3">
      <c r="C45" s="152"/>
      <c r="D45" s="152"/>
      <c r="N45" s="212" t="s">
        <v>1134</v>
      </c>
      <c r="O45" s="208">
        <v>2456508416</v>
      </c>
      <c r="P45" s="208">
        <v>2012585616</v>
      </c>
      <c r="R45" s="212" t="s">
        <v>1135</v>
      </c>
      <c r="S45" s="211">
        <v>60758590</v>
      </c>
      <c r="T45" s="211">
        <v>32464000</v>
      </c>
    </row>
    <row r="46" spans="2:20" ht="12.95" customHeight="1" x14ac:dyDescent="0.3">
      <c r="C46" s="152"/>
      <c r="D46" s="152"/>
      <c r="N46" s="212" t="s">
        <v>1136</v>
      </c>
      <c r="O46" s="208">
        <v>23990022</v>
      </c>
      <c r="P46" s="208">
        <v>29553270</v>
      </c>
      <c r="R46" s="212" t="s">
        <v>1137</v>
      </c>
      <c r="S46" s="211">
        <v>5071273</v>
      </c>
      <c r="T46" s="211">
        <v>10300000</v>
      </c>
    </row>
    <row r="47" spans="2:20" ht="12.95" customHeight="1" x14ac:dyDescent="0.3">
      <c r="C47" s="152"/>
      <c r="D47" s="152"/>
      <c r="N47" s="212" t="s">
        <v>1138</v>
      </c>
      <c r="O47" s="208">
        <v>30081201</v>
      </c>
      <c r="P47" s="208">
        <v>52325677</v>
      </c>
      <c r="R47" s="212" t="s">
        <v>1139</v>
      </c>
      <c r="S47" s="211">
        <v>99986355</v>
      </c>
      <c r="T47" s="222" t="s">
        <v>22</v>
      </c>
    </row>
    <row r="48" spans="2:20" ht="12.95" customHeight="1" x14ac:dyDescent="0.3">
      <c r="C48" s="152"/>
      <c r="D48" s="152"/>
      <c r="N48" s="212" t="s">
        <v>1140</v>
      </c>
      <c r="O48" s="208">
        <v>65992329</v>
      </c>
      <c r="P48" s="208">
        <v>70133538</v>
      </c>
      <c r="R48" s="212" t="s">
        <v>1141</v>
      </c>
      <c r="S48" s="211">
        <v>1606000</v>
      </c>
      <c r="T48" s="222" t="s">
        <v>22</v>
      </c>
    </row>
    <row r="49" spans="3:20" ht="12.95" customHeight="1" x14ac:dyDescent="0.3">
      <c r="C49" s="152"/>
      <c r="D49" s="152"/>
      <c r="N49" s="212" t="s">
        <v>1142</v>
      </c>
      <c r="O49" s="208">
        <v>2000000000</v>
      </c>
      <c r="P49" s="208">
        <v>4000000000</v>
      </c>
      <c r="R49" s="212" t="s">
        <v>1143</v>
      </c>
      <c r="S49" s="211">
        <v>800000</v>
      </c>
      <c r="T49" s="222" t="s">
        <v>22</v>
      </c>
    </row>
    <row r="50" spans="3:20" ht="12.95" customHeight="1" x14ac:dyDescent="0.3">
      <c r="C50" s="152"/>
      <c r="D50" s="152"/>
      <c r="N50" s="197" t="s">
        <v>1144</v>
      </c>
      <c r="O50" s="207">
        <v>42426154028</v>
      </c>
      <c r="P50" s="208">
        <v>42623929464</v>
      </c>
      <c r="R50" s="197" t="s">
        <v>1145</v>
      </c>
      <c r="S50" s="210">
        <v>14874168940</v>
      </c>
      <c r="T50" s="211">
        <v>1736632538</v>
      </c>
    </row>
    <row r="51" spans="3:20" ht="12.95" customHeight="1" x14ac:dyDescent="0.3">
      <c r="C51" s="152"/>
      <c r="D51" s="152"/>
      <c r="N51" s="212" t="s">
        <v>1146</v>
      </c>
      <c r="O51" s="208">
        <v>42000000000</v>
      </c>
      <c r="P51" s="208">
        <v>38000000000</v>
      </c>
      <c r="R51" s="212" t="s">
        <v>1147</v>
      </c>
      <c r="S51" s="211">
        <v>55137860417</v>
      </c>
      <c r="T51" s="211">
        <v>4068395742</v>
      </c>
    </row>
    <row r="52" spans="3:20" ht="12.95" customHeight="1" x14ac:dyDescent="0.3">
      <c r="C52" s="152"/>
      <c r="D52" s="152"/>
      <c r="N52" s="212" t="s">
        <v>1148</v>
      </c>
      <c r="O52" s="208">
        <v>409133498</v>
      </c>
      <c r="P52" s="208">
        <v>629952558</v>
      </c>
      <c r="R52" s="212" t="s">
        <v>1149</v>
      </c>
      <c r="S52" s="211">
        <v>2100860417</v>
      </c>
      <c r="T52" s="222" t="s">
        <v>22</v>
      </c>
    </row>
    <row r="53" spans="3:20" ht="12.95" customHeight="1" x14ac:dyDescent="0.3">
      <c r="C53" s="152"/>
      <c r="D53" s="152"/>
      <c r="N53" s="212" t="s">
        <v>1150</v>
      </c>
      <c r="O53" s="208">
        <v>17020530</v>
      </c>
      <c r="P53" s="208">
        <v>4433635025</v>
      </c>
      <c r="R53" s="212" t="s">
        <v>1151</v>
      </c>
      <c r="S53" s="211">
        <v>53037000000</v>
      </c>
      <c r="T53" s="222" t="s">
        <v>22</v>
      </c>
    </row>
    <row r="54" spans="3:20" ht="12.95" customHeight="1" x14ac:dyDescent="0.3">
      <c r="C54" s="152"/>
      <c r="D54" s="152"/>
      <c r="N54" s="212" t="s">
        <v>417</v>
      </c>
      <c r="O54" s="262" t="s">
        <v>22</v>
      </c>
      <c r="P54" s="208">
        <v>-439658119</v>
      </c>
      <c r="R54" s="212" t="s">
        <v>1152</v>
      </c>
      <c r="S54" s="222" t="s">
        <v>22</v>
      </c>
      <c r="T54" s="211">
        <v>4068395742</v>
      </c>
    </row>
    <row r="55" spans="3:20" ht="12.95" customHeight="1" x14ac:dyDescent="0.3">
      <c r="N55" s="197" t="s">
        <v>443</v>
      </c>
      <c r="O55" s="207">
        <v>47583872559</v>
      </c>
      <c r="P55" s="208">
        <v>49440353224</v>
      </c>
      <c r="R55" s="212" t="s">
        <v>1153</v>
      </c>
      <c r="S55" s="211">
        <v>-40263691477</v>
      </c>
      <c r="T55" s="211">
        <v>-2331763204</v>
      </c>
    </row>
    <row r="56" spans="3:20" ht="12.95" customHeight="1" x14ac:dyDescent="0.3">
      <c r="N56" s="197" t="s">
        <v>499</v>
      </c>
      <c r="O56" s="261"/>
      <c r="P56" s="262"/>
      <c r="R56" s="212" t="s">
        <v>1154</v>
      </c>
      <c r="S56" s="211">
        <v>37000000000</v>
      </c>
      <c r="T56" s="222" t="s">
        <v>22</v>
      </c>
    </row>
    <row r="57" spans="3:20" ht="12.95" customHeight="1" x14ac:dyDescent="0.3">
      <c r="N57" s="197" t="s">
        <v>1155</v>
      </c>
      <c r="O57" s="207">
        <v>8396940000</v>
      </c>
      <c r="P57" s="208">
        <v>8396940000</v>
      </c>
      <c r="R57" s="212" t="s">
        <v>1156</v>
      </c>
      <c r="S57" s="222" t="s">
        <v>22</v>
      </c>
      <c r="T57" s="211">
        <v>2000000000</v>
      </c>
    </row>
    <row r="58" spans="3:20" ht="12.95" customHeight="1" x14ac:dyDescent="0.3">
      <c r="N58" s="212" t="s">
        <v>1157</v>
      </c>
      <c r="O58" s="208">
        <v>6000000000</v>
      </c>
      <c r="P58" s="208">
        <v>6000000000</v>
      </c>
      <c r="R58" s="212" t="s">
        <v>1158</v>
      </c>
      <c r="S58" s="211">
        <v>3263691477</v>
      </c>
      <c r="T58" s="211">
        <v>331763204</v>
      </c>
    </row>
    <row r="59" spans="3:20" ht="12.95" customHeight="1" x14ac:dyDescent="0.3">
      <c r="N59" s="212" t="s">
        <v>1159</v>
      </c>
      <c r="O59" s="208">
        <v>2396940000</v>
      </c>
      <c r="P59" s="208">
        <v>2396940000</v>
      </c>
      <c r="R59" s="197" t="s">
        <v>1160</v>
      </c>
      <c r="S59" s="210">
        <v>1588171547</v>
      </c>
      <c r="T59" s="211">
        <v>3011043901</v>
      </c>
    </row>
    <row r="60" spans="3:20" ht="12.95" customHeight="1" x14ac:dyDescent="0.3">
      <c r="N60" s="197" t="s">
        <v>1161</v>
      </c>
      <c r="O60" s="207">
        <v>5559113354</v>
      </c>
      <c r="P60" s="208">
        <v>5559113354</v>
      </c>
      <c r="R60" s="197" t="s">
        <v>1162</v>
      </c>
      <c r="S60" s="210">
        <v>1614087645</v>
      </c>
      <c r="T60" s="211">
        <v>3202259192</v>
      </c>
    </row>
    <row r="61" spans="3:20" ht="12.95" customHeight="1" x14ac:dyDescent="0.3">
      <c r="N61" s="212" t="s">
        <v>1163</v>
      </c>
      <c r="O61" s="208">
        <v>5559113354</v>
      </c>
      <c r="P61" s="208">
        <v>5559113354</v>
      </c>
      <c r="R61" s="183" t="s">
        <v>1164</v>
      </c>
      <c r="S61" s="215">
        <v>3202259192</v>
      </c>
      <c r="T61" s="216">
        <v>6213303093</v>
      </c>
    </row>
    <row r="62" spans="3:20" ht="12.95" customHeight="1" x14ac:dyDescent="0.3">
      <c r="N62" s="197" t="s">
        <v>1165</v>
      </c>
      <c r="O62" s="207">
        <v>3764051</v>
      </c>
      <c r="P62" s="262" t="s">
        <v>22</v>
      </c>
      <c r="R62" s="228" t="s">
        <v>1166</v>
      </c>
    </row>
    <row r="63" spans="3:20" ht="12.95" customHeight="1" x14ac:dyDescent="0.3">
      <c r="N63" s="212" t="s">
        <v>1167</v>
      </c>
      <c r="O63" s="208">
        <v>3764051</v>
      </c>
      <c r="P63" s="262" t="s">
        <v>22</v>
      </c>
    </row>
    <row r="64" spans="3:20" ht="12.95" customHeight="1" x14ac:dyDescent="0.3">
      <c r="N64" s="197" t="s">
        <v>1168</v>
      </c>
      <c r="O64" s="207">
        <v>3736326357</v>
      </c>
      <c r="P64" s="208">
        <v>2968429753</v>
      </c>
    </row>
    <row r="65" spans="14:16" ht="12.95" customHeight="1" x14ac:dyDescent="0.3">
      <c r="N65" s="212" t="s">
        <v>1169</v>
      </c>
      <c r="O65" s="208">
        <v>-3736326357</v>
      </c>
      <c r="P65" s="208">
        <v>-2968429753</v>
      </c>
    </row>
    <row r="66" spans="14:16" ht="12.95" customHeight="1" x14ac:dyDescent="0.3">
      <c r="N66" s="197" t="s">
        <v>444</v>
      </c>
      <c r="O66" s="207">
        <v>10223491048</v>
      </c>
      <c r="P66" s="208">
        <v>10987623601</v>
      </c>
    </row>
    <row r="67" spans="14:16" ht="12.95" customHeight="1" x14ac:dyDescent="0.3">
      <c r="N67" s="183" t="s">
        <v>1170</v>
      </c>
      <c r="O67" s="226">
        <v>57807363607</v>
      </c>
      <c r="P67" s="227">
        <v>60427976825</v>
      </c>
    </row>
    <row r="68" spans="14:16" ht="12.95" customHeight="1" x14ac:dyDescent="0.3">
      <c r="N68" s="228" t="s">
        <v>1166</v>
      </c>
    </row>
    <row r="72" spans="14:16" ht="12.95" customHeight="1" x14ac:dyDescent="0.3">
      <c r="N72" s="202" t="s">
        <v>414</v>
      </c>
    </row>
    <row r="73" spans="14:16" ht="12.95" customHeight="1" x14ac:dyDescent="0.2">
      <c r="N73" s="196" t="s">
        <v>1048</v>
      </c>
      <c r="P73" s="259" t="s">
        <v>279</v>
      </c>
    </row>
    <row r="74" spans="14:16" ht="12.95" customHeight="1" x14ac:dyDescent="0.3">
      <c r="N74" s="203" t="s">
        <v>413</v>
      </c>
      <c r="O74" s="172" t="s">
        <v>1049</v>
      </c>
      <c r="P74" s="172" t="s">
        <v>1050</v>
      </c>
    </row>
    <row r="75" spans="14:16" ht="12.95" customHeight="1" x14ac:dyDescent="0.3">
      <c r="N75" s="197" t="s">
        <v>445</v>
      </c>
      <c r="O75" s="207">
        <v>11812948218</v>
      </c>
      <c r="P75" s="208">
        <v>14685915041</v>
      </c>
    </row>
    <row r="76" spans="14:16" ht="12.95" customHeight="1" x14ac:dyDescent="0.3">
      <c r="N76" s="212" t="s">
        <v>1171</v>
      </c>
      <c r="O76" s="208">
        <v>5593118274</v>
      </c>
      <c r="P76" s="208">
        <v>8151103510</v>
      </c>
    </row>
    <row r="77" spans="14:16" ht="12.95" customHeight="1" x14ac:dyDescent="0.3">
      <c r="N77" s="212" t="s">
        <v>1172</v>
      </c>
      <c r="O77" s="208">
        <v>82127997</v>
      </c>
      <c r="P77" s="208">
        <v>98644372</v>
      </c>
    </row>
    <row r="78" spans="14:16" ht="12.95" customHeight="1" x14ac:dyDescent="0.3">
      <c r="N78" s="212" t="s">
        <v>1173</v>
      </c>
      <c r="O78" s="208">
        <v>6137701947</v>
      </c>
      <c r="P78" s="208">
        <v>6427857549</v>
      </c>
    </row>
    <row r="79" spans="14:16" ht="12.95" customHeight="1" x14ac:dyDescent="0.3">
      <c r="N79" s="212" t="s">
        <v>1174</v>
      </c>
      <c r="O79" s="262" t="s">
        <v>22</v>
      </c>
      <c r="P79" s="208">
        <v>8309610</v>
      </c>
    </row>
    <row r="80" spans="14:16" ht="12.95" customHeight="1" x14ac:dyDescent="0.3">
      <c r="N80" s="197" t="s">
        <v>446</v>
      </c>
      <c r="O80" s="207">
        <v>9179821964</v>
      </c>
      <c r="P80" s="208">
        <v>11354139410</v>
      </c>
    </row>
    <row r="81" spans="14:16" ht="12.95" customHeight="1" x14ac:dyDescent="0.3">
      <c r="N81" s="197" t="s">
        <v>447</v>
      </c>
      <c r="O81" s="207">
        <v>2633126254</v>
      </c>
      <c r="P81" s="208">
        <v>3331775631</v>
      </c>
    </row>
    <row r="82" spans="14:16" ht="12.95" customHeight="1" x14ac:dyDescent="0.3">
      <c r="N82" s="197" t="s">
        <v>448</v>
      </c>
      <c r="O82" s="207">
        <v>1691302191</v>
      </c>
      <c r="P82" s="208">
        <v>1272547480</v>
      </c>
    </row>
    <row r="83" spans="14:16" ht="12.95" customHeight="1" x14ac:dyDescent="0.3">
      <c r="N83" s="212" t="s">
        <v>1175</v>
      </c>
      <c r="O83" s="208">
        <v>240930580</v>
      </c>
      <c r="P83" s="208">
        <v>304445320</v>
      </c>
    </row>
    <row r="84" spans="14:16" ht="12.95" customHeight="1" x14ac:dyDescent="0.3">
      <c r="N84" s="212" t="s">
        <v>1176</v>
      </c>
      <c r="O84" s="208">
        <v>202216816</v>
      </c>
      <c r="P84" s="208">
        <v>263507820</v>
      </c>
    </row>
    <row r="85" spans="14:16" ht="12.95" customHeight="1" x14ac:dyDescent="0.3">
      <c r="N85" s="212" t="s">
        <v>1177</v>
      </c>
      <c r="O85" s="208">
        <v>53282230</v>
      </c>
      <c r="P85" s="208">
        <v>36888270</v>
      </c>
    </row>
    <row r="86" spans="14:16" ht="12.95" customHeight="1" x14ac:dyDescent="0.3">
      <c r="N86" s="212" t="s">
        <v>1178</v>
      </c>
      <c r="O86" s="208">
        <v>142684</v>
      </c>
      <c r="P86" s="208">
        <v>2059616</v>
      </c>
    </row>
    <row r="87" spans="14:16" ht="12.95" customHeight="1" x14ac:dyDescent="0.3">
      <c r="N87" s="212" t="s">
        <v>1179</v>
      </c>
      <c r="O87" s="208">
        <v>73669718</v>
      </c>
      <c r="P87" s="208">
        <v>186541007</v>
      </c>
    </row>
    <row r="88" spans="14:16" ht="12.95" customHeight="1" x14ac:dyDescent="0.3">
      <c r="N88" s="212" t="s">
        <v>1180</v>
      </c>
      <c r="O88" s="208">
        <v>81140899</v>
      </c>
      <c r="P88" s="208">
        <v>88600299</v>
      </c>
    </row>
    <row r="89" spans="14:16" ht="12.95" customHeight="1" x14ac:dyDescent="0.3">
      <c r="N89" s="212" t="s">
        <v>1181</v>
      </c>
      <c r="O89" s="208">
        <v>15060043</v>
      </c>
      <c r="P89" s="208">
        <v>6359923</v>
      </c>
    </row>
    <row r="90" spans="14:16" ht="12.95" customHeight="1" x14ac:dyDescent="0.3">
      <c r="N90" s="212" t="s">
        <v>1182</v>
      </c>
      <c r="O90" s="208">
        <v>1068000</v>
      </c>
      <c r="P90" s="208">
        <v>9425708</v>
      </c>
    </row>
    <row r="91" spans="14:16" ht="12.95" customHeight="1" x14ac:dyDescent="0.3">
      <c r="N91" s="212" t="s">
        <v>1183</v>
      </c>
      <c r="O91" s="208">
        <v>6750062</v>
      </c>
      <c r="P91" s="208">
        <v>7125303</v>
      </c>
    </row>
    <row r="92" spans="14:16" ht="12.95" customHeight="1" x14ac:dyDescent="0.3">
      <c r="N92" s="212" t="s">
        <v>1184</v>
      </c>
      <c r="O92" s="208">
        <v>65222046</v>
      </c>
      <c r="P92" s="208">
        <v>79363330</v>
      </c>
    </row>
    <row r="93" spans="14:16" ht="12.95" customHeight="1" x14ac:dyDescent="0.3">
      <c r="N93" s="212" t="s">
        <v>1185</v>
      </c>
      <c r="O93" s="208">
        <v>85722070</v>
      </c>
      <c r="P93" s="208">
        <v>100289879</v>
      </c>
    </row>
    <row r="94" spans="14:16" ht="12.95" customHeight="1" x14ac:dyDescent="0.3">
      <c r="N94" s="212" t="s">
        <v>1186</v>
      </c>
      <c r="O94" s="208">
        <v>1552728</v>
      </c>
      <c r="P94" s="208">
        <v>1440000</v>
      </c>
    </row>
    <row r="95" spans="14:16" ht="12.95" customHeight="1" x14ac:dyDescent="0.3">
      <c r="N95" s="212" t="s">
        <v>1187</v>
      </c>
      <c r="O95" s="208">
        <v>2275000</v>
      </c>
      <c r="P95" s="262" t="s">
        <v>22</v>
      </c>
    </row>
    <row r="96" spans="14:16" ht="12.95" customHeight="1" x14ac:dyDescent="0.3">
      <c r="N96" s="212" t="s">
        <v>1188</v>
      </c>
      <c r="O96" s="208">
        <v>11193155</v>
      </c>
      <c r="P96" s="208">
        <v>26198954</v>
      </c>
    </row>
    <row r="97" spans="14:16" ht="12.95" customHeight="1" x14ac:dyDescent="0.3">
      <c r="N97" s="212" t="s">
        <v>1189</v>
      </c>
      <c r="O97" s="208">
        <v>19721452</v>
      </c>
      <c r="P97" s="208">
        <v>26474000</v>
      </c>
    </row>
    <row r="98" spans="14:16" ht="12.95" customHeight="1" x14ac:dyDescent="0.3">
      <c r="N98" s="212" t="s">
        <v>1190</v>
      </c>
      <c r="O98" s="208">
        <v>56600</v>
      </c>
      <c r="P98" s="208">
        <v>32100</v>
      </c>
    </row>
    <row r="99" spans="14:16" ht="12.95" customHeight="1" x14ac:dyDescent="0.3">
      <c r="N99" s="212" t="s">
        <v>1191</v>
      </c>
      <c r="O99" s="208">
        <v>613000</v>
      </c>
      <c r="P99" s="208">
        <v>23020</v>
      </c>
    </row>
    <row r="100" spans="14:16" ht="12.95" customHeight="1" x14ac:dyDescent="0.3">
      <c r="N100" s="212" t="s">
        <v>1192</v>
      </c>
      <c r="O100" s="208">
        <v>200000</v>
      </c>
      <c r="P100" s="208">
        <v>634800</v>
      </c>
    </row>
    <row r="101" spans="14:16" ht="12.95" customHeight="1" x14ac:dyDescent="0.3">
      <c r="N101" s="212" t="s">
        <v>1193</v>
      </c>
      <c r="O101" s="208">
        <v>2145038</v>
      </c>
      <c r="P101" s="208">
        <v>850495</v>
      </c>
    </row>
    <row r="102" spans="14:16" ht="12.95" customHeight="1" x14ac:dyDescent="0.3">
      <c r="N102" s="212" t="s">
        <v>1194</v>
      </c>
      <c r="O102" s="208">
        <v>9045071</v>
      </c>
      <c r="P102" s="208">
        <v>3008454</v>
      </c>
    </row>
    <row r="103" spans="14:16" ht="12.95" customHeight="1" x14ac:dyDescent="0.3">
      <c r="N103" s="212" t="s">
        <v>1195</v>
      </c>
      <c r="O103" s="208">
        <v>841123795</v>
      </c>
      <c r="P103" s="208">
        <v>127231752</v>
      </c>
    </row>
    <row r="104" spans="14:16" ht="12.95" customHeight="1" x14ac:dyDescent="0.3">
      <c r="N104" s="212" t="s">
        <v>1196</v>
      </c>
      <c r="O104" s="208">
        <v>-21855562</v>
      </c>
      <c r="P104" s="208">
        <v>1726230</v>
      </c>
    </row>
    <row r="105" spans="14:16" ht="12.95" customHeight="1" x14ac:dyDescent="0.3">
      <c r="N105" s="212" t="s">
        <v>1197</v>
      </c>
      <c r="O105" s="208">
        <v>26766</v>
      </c>
      <c r="P105" s="208">
        <v>321200</v>
      </c>
    </row>
    <row r="106" spans="14:16" ht="12.95" customHeight="1" x14ac:dyDescent="0.3">
      <c r="N106" s="197" t="s">
        <v>449</v>
      </c>
      <c r="O106" s="207">
        <v>941824063</v>
      </c>
      <c r="P106" s="208">
        <v>2059228151</v>
      </c>
    </row>
    <row r="107" spans="14:16" ht="12.95" customHeight="1" x14ac:dyDescent="0.3">
      <c r="N107" s="197" t="s">
        <v>450</v>
      </c>
      <c r="O107" s="207">
        <v>165628420</v>
      </c>
      <c r="P107" s="208">
        <v>83567045</v>
      </c>
    </row>
    <row r="108" spans="14:16" ht="12.95" customHeight="1" x14ac:dyDescent="0.3">
      <c r="N108" s="212" t="s">
        <v>1198</v>
      </c>
      <c r="O108" s="208">
        <v>2829926</v>
      </c>
      <c r="P108" s="208">
        <v>5193802</v>
      </c>
    </row>
    <row r="109" spans="14:16" ht="12.95" customHeight="1" x14ac:dyDescent="0.3">
      <c r="N109" s="212" t="s">
        <v>1199</v>
      </c>
      <c r="O109" s="262" t="s">
        <v>22</v>
      </c>
      <c r="P109" s="208">
        <v>168011</v>
      </c>
    </row>
    <row r="110" spans="14:16" ht="12.95" customHeight="1" x14ac:dyDescent="0.3">
      <c r="N110" s="212" t="s">
        <v>1200</v>
      </c>
      <c r="O110" s="208">
        <v>4148095</v>
      </c>
      <c r="P110" s="262" t="s">
        <v>22</v>
      </c>
    </row>
    <row r="111" spans="14:16" ht="12.95" customHeight="1" x14ac:dyDescent="0.3">
      <c r="N111" s="212" t="s">
        <v>1201</v>
      </c>
      <c r="O111" s="262" t="s">
        <v>22</v>
      </c>
      <c r="P111" s="208">
        <v>3272596</v>
      </c>
    </row>
    <row r="112" spans="14:16" ht="12.95" customHeight="1" x14ac:dyDescent="0.3">
      <c r="N112" s="212" t="s">
        <v>1202</v>
      </c>
      <c r="O112" s="208">
        <v>158650399</v>
      </c>
      <c r="P112" s="208">
        <v>74932636</v>
      </c>
    </row>
    <row r="113" spans="14:16" ht="12.95" customHeight="1" x14ac:dyDescent="0.3">
      <c r="N113" s="197" t="s">
        <v>451</v>
      </c>
      <c r="O113" s="207">
        <v>1125133538</v>
      </c>
      <c r="P113" s="208">
        <v>1374898592</v>
      </c>
    </row>
    <row r="114" spans="14:16" ht="12.95" customHeight="1" x14ac:dyDescent="0.3">
      <c r="N114" s="212" t="s">
        <v>1203</v>
      </c>
      <c r="O114" s="208">
        <v>865845880</v>
      </c>
      <c r="P114" s="208">
        <v>1373348524</v>
      </c>
    </row>
    <row r="115" spans="14:16" ht="12.95" customHeight="1" x14ac:dyDescent="0.3">
      <c r="N115" s="212" t="s">
        <v>1204</v>
      </c>
      <c r="O115" s="208">
        <v>520000</v>
      </c>
      <c r="P115" s="208">
        <v>500000</v>
      </c>
    </row>
    <row r="116" spans="14:16" ht="12.95" customHeight="1" x14ac:dyDescent="0.3">
      <c r="N116" s="212" t="s">
        <v>1205</v>
      </c>
      <c r="O116" s="208">
        <v>258760360</v>
      </c>
      <c r="P116" s="262" t="s">
        <v>22</v>
      </c>
    </row>
    <row r="117" spans="14:16" ht="12.95" customHeight="1" x14ac:dyDescent="0.3">
      <c r="N117" s="212" t="s">
        <v>1206</v>
      </c>
      <c r="O117" s="208">
        <v>7298</v>
      </c>
      <c r="P117" s="208">
        <v>1050068</v>
      </c>
    </row>
    <row r="118" spans="14:16" ht="12.95" customHeight="1" x14ac:dyDescent="0.3">
      <c r="N118" s="197" t="s">
        <v>1207</v>
      </c>
      <c r="O118" s="207">
        <v>-17681055</v>
      </c>
      <c r="P118" s="208">
        <v>767896604</v>
      </c>
    </row>
    <row r="119" spans="14:16" ht="12.95" customHeight="1" x14ac:dyDescent="0.3">
      <c r="N119" s="197" t="s">
        <v>1208</v>
      </c>
      <c r="O119" s="261" t="s">
        <v>22</v>
      </c>
      <c r="P119" s="262" t="s">
        <v>22</v>
      </c>
    </row>
    <row r="120" spans="14:16" ht="12.95" customHeight="1" x14ac:dyDescent="0.3">
      <c r="N120" s="183" t="s">
        <v>1209</v>
      </c>
      <c r="O120" s="226">
        <v>-17681055</v>
      </c>
      <c r="P120" s="227">
        <v>767896604</v>
      </c>
    </row>
    <row r="121" spans="14:16" ht="12.95" customHeight="1" x14ac:dyDescent="0.3">
      <c r="N121" s="228" t="s">
        <v>1166</v>
      </c>
    </row>
  </sheetData>
  <mergeCells count="5">
    <mergeCell ref="V7:V8"/>
    <mergeCell ref="W7:W8"/>
    <mergeCell ref="X7:X8"/>
    <mergeCell ref="Y7:Z7"/>
    <mergeCell ref="AA7:AA8"/>
  </mergeCells>
  <phoneticPr fontId="3" type="noConversion"/>
  <conditionalFormatting sqref="F2:J3">
    <cfRule type="containsText" dxfId="2" priority="1" operator="containsText" text="NA">
      <formula>NOT(ISERROR(SEARCH("NA",F2)))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X70"/>
  <sheetViews>
    <sheetView workbookViewId="0">
      <selection activeCell="O37" activeCellId="1" sqref="B15:D15 O37"/>
    </sheetView>
  </sheetViews>
  <sheetFormatPr defaultRowHeight="12.95" customHeight="1" x14ac:dyDescent="0.3"/>
  <cols>
    <col min="1" max="1" width="1.625" style="90" customWidth="1"/>
    <col min="2" max="2" width="13.875" style="126" bestFit="1" customWidth="1"/>
    <col min="3" max="3" width="12.5" style="126" bestFit="1" customWidth="1"/>
    <col min="4" max="10" width="9" style="126"/>
    <col min="11" max="11" width="1.625" style="90" customWidth="1"/>
    <col min="12" max="12" width="1.625" style="451" customWidth="1"/>
    <col min="13" max="13" width="1.625" style="90" customWidth="1"/>
    <col min="14" max="14" width="30.625" style="149" customWidth="1"/>
    <col min="15" max="16" width="14" style="452" bestFit="1" customWidth="1"/>
    <col min="17" max="17" width="1.625" style="90" customWidth="1"/>
    <col min="18" max="18" width="9" style="90"/>
    <col min="19" max="20" width="12.875" style="123" bestFit="1" customWidth="1"/>
    <col min="21" max="21" width="1.625" style="90" customWidth="1"/>
    <col min="22" max="22" width="9" style="90"/>
    <col min="23" max="24" width="12.875" style="123" bestFit="1" customWidth="1"/>
    <col min="25" max="16384" width="9" style="90"/>
  </cols>
  <sheetData>
    <row r="2" spans="2:24" ht="12.95" customHeight="1" x14ac:dyDescent="0.3">
      <c r="B2" s="403" t="s">
        <v>0</v>
      </c>
      <c r="C2" s="404"/>
      <c r="D2" s="404" t="s">
        <v>34</v>
      </c>
      <c r="E2" s="404" t="s">
        <v>35</v>
      </c>
      <c r="F2" s="404"/>
      <c r="G2" s="404"/>
      <c r="H2" s="404"/>
      <c r="I2" s="404"/>
      <c r="J2" s="405"/>
      <c r="N2" s="462" t="s">
        <v>1722</v>
      </c>
    </row>
    <row r="3" spans="2:24" ht="12.95" customHeight="1" x14ac:dyDescent="0.3">
      <c r="B3" s="406" t="s">
        <v>8</v>
      </c>
      <c r="C3" s="407" t="s">
        <v>49</v>
      </c>
      <c r="D3" s="407" t="s">
        <v>39</v>
      </c>
      <c r="E3" s="407" t="s">
        <v>40</v>
      </c>
      <c r="F3" s="407" t="s">
        <v>41</v>
      </c>
      <c r="G3" s="407" t="s">
        <v>42</v>
      </c>
      <c r="H3" s="407" t="s">
        <v>11</v>
      </c>
      <c r="I3" s="407" t="s">
        <v>10</v>
      </c>
      <c r="J3" s="408" t="s">
        <v>43</v>
      </c>
    </row>
    <row r="4" spans="2:24" ht="12.95" customHeight="1" x14ac:dyDescent="0.3">
      <c r="B4" s="394">
        <f>C14</f>
        <v>-2133.5236209999998</v>
      </c>
      <c r="C4" s="395">
        <f>C17</f>
        <v>15479.426300000001</v>
      </c>
      <c r="D4" s="396"/>
      <c r="E4" s="397" t="s">
        <v>275</v>
      </c>
      <c r="F4" s="395">
        <f>O68/10^6</f>
        <v>19200.837543000001</v>
      </c>
      <c r="G4" s="395">
        <f>C30</f>
        <v>7431.4801770000004</v>
      </c>
      <c r="H4" s="395">
        <f>C34</f>
        <v>3291.6416930000005</v>
      </c>
      <c r="I4" s="395">
        <f>C33</f>
        <v>2615.5111230000002</v>
      </c>
      <c r="J4" s="398">
        <f>S53/10^6</f>
        <v>2563.0495770000002</v>
      </c>
      <c r="N4" s="151" t="s">
        <v>278</v>
      </c>
      <c r="R4" s="151" t="s">
        <v>414</v>
      </c>
      <c r="S4" s="452"/>
      <c r="T4" s="452"/>
      <c r="V4" s="151" t="s">
        <v>831</v>
      </c>
      <c r="W4" s="452"/>
      <c r="X4" s="452"/>
    </row>
    <row r="5" spans="2:24" ht="12.95" customHeight="1" x14ac:dyDescent="0.3">
      <c r="B5" s="399">
        <f>D14</f>
        <v>152.01951400000007</v>
      </c>
      <c r="C5" s="400">
        <f>D17</f>
        <v>16841.900000000001</v>
      </c>
      <c r="D5" s="400"/>
      <c r="E5" s="401" t="s">
        <v>1697</v>
      </c>
      <c r="F5" s="400">
        <f>P68/10^6</f>
        <v>22114.320305000001</v>
      </c>
      <c r="G5" s="400">
        <f>D30</f>
        <v>8007.8195740000001</v>
      </c>
      <c r="H5" s="400">
        <f>D34</f>
        <v>3606.4626749999998</v>
      </c>
      <c r="I5" s="400">
        <f>D33</f>
        <v>3110.4209839999999</v>
      </c>
      <c r="J5" s="402">
        <f>T53/10^6</f>
        <v>2913.4827620000001</v>
      </c>
      <c r="N5" s="151" t="s">
        <v>709</v>
      </c>
      <c r="R5" s="151" t="s">
        <v>783</v>
      </c>
      <c r="S5" s="452"/>
      <c r="T5" s="452"/>
      <c r="V5" s="151" t="s">
        <v>832</v>
      </c>
      <c r="W5" s="452"/>
      <c r="X5" s="452"/>
    </row>
    <row r="6" spans="2:24" ht="12.95" customHeight="1" x14ac:dyDescent="0.3">
      <c r="N6" s="151" t="s">
        <v>710</v>
      </c>
      <c r="R6" s="151" t="s">
        <v>784</v>
      </c>
      <c r="S6" s="452"/>
      <c r="T6" s="452"/>
      <c r="V6" s="151" t="s">
        <v>833</v>
      </c>
      <c r="W6" s="452"/>
      <c r="X6" s="452"/>
    </row>
    <row r="7" spans="2:24" ht="12.95" customHeight="1" x14ac:dyDescent="0.2">
      <c r="N7" s="196" t="s">
        <v>711</v>
      </c>
      <c r="P7" s="453" t="s">
        <v>279</v>
      </c>
      <c r="R7" s="196" t="s">
        <v>711</v>
      </c>
      <c r="S7" s="452"/>
      <c r="T7" s="453" t="s">
        <v>279</v>
      </c>
      <c r="V7" s="196" t="s">
        <v>711</v>
      </c>
      <c r="W7" s="452"/>
      <c r="X7" s="453" t="s">
        <v>279</v>
      </c>
    </row>
    <row r="8" spans="2:24" ht="12.95" customHeight="1" x14ac:dyDescent="0.3">
      <c r="N8" s="160" t="s">
        <v>413</v>
      </c>
      <c r="O8" s="454">
        <v>2016</v>
      </c>
      <c r="P8" s="454">
        <v>2017</v>
      </c>
      <c r="R8" s="160" t="s">
        <v>413</v>
      </c>
      <c r="S8" s="454">
        <v>2016</v>
      </c>
      <c r="T8" s="454">
        <v>2017</v>
      </c>
      <c r="V8" s="160" t="s">
        <v>413</v>
      </c>
      <c r="W8" s="454">
        <v>2016</v>
      </c>
      <c r="X8" s="454">
        <v>2017</v>
      </c>
    </row>
    <row r="9" spans="2:24" ht="12.95" customHeight="1" x14ac:dyDescent="0.3">
      <c r="B9" s="156"/>
      <c r="C9" s="157" t="s">
        <v>712</v>
      </c>
      <c r="D9" s="157" t="s">
        <v>713</v>
      </c>
      <c r="N9" s="197" t="s">
        <v>714</v>
      </c>
      <c r="O9" s="455"/>
      <c r="P9" s="456"/>
      <c r="R9" s="197" t="s">
        <v>785</v>
      </c>
      <c r="S9" s="455">
        <v>7431480177</v>
      </c>
      <c r="T9" s="456">
        <v>8007819574</v>
      </c>
      <c r="V9" s="197" t="s">
        <v>834</v>
      </c>
      <c r="W9" s="455">
        <v>2863438760</v>
      </c>
      <c r="X9" s="456">
        <v>10623555</v>
      </c>
    </row>
    <row r="10" spans="2:24" ht="12.95" customHeight="1" x14ac:dyDescent="0.3">
      <c r="B10" s="156" t="s">
        <v>715</v>
      </c>
      <c r="C10" s="157" t="s">
        <v>716</v>
      </c>
      <c r="D10" s="157" t="s">
        <v>716</v>
      </c>
      <c r="N10" s="197" t="s">
        <v>717</v>
      </c>
      <c r="O10" s="455">
        <v>15895871332</v>
      </c>
      <c r="P10" s="456">
        <v>18909098823</v>
      </c>
      <c r="R10" s="197" t="s">
        <v>786</v>
      </c>
      <c r="S10" s="456">
        <v>7431480177</v>
      </c>
      <c r="T10" s="456">
        <v>8007819574</v>
      </c>
      <c r="V10" s="197" t="s">
        <v>835</v>
      </c>
      <c r="W10" s="456">
        <v>2563049577</v>
      </c>
      <c r="X10" s="456">
        <v>2913482762</v>
      </c>
    </row>
    <row r="11" spans="2:24" ht="12.95" customHeight="1" x14ac:dyDescent="0.3">
      <c r="B11" s="126" t="s">
        <v>596</v>
      </c>
      <c r="C11" s="152">
        <f>(O55+O57)/10^6</f>
        <v>0</v>
      </c>
      <c r="D11" s="152">
        <f>(P55+P57)/10^6</f>
        <v>3000</v>
      </c>
      <c r="N11" s="197" t="s">
        <v>718</v>
      </c>
      <c r="O11" s="455">
        <v>15895871332</v>
      </c>
      <c r="P11" s="456">
        <v>18909098823</v>
      </c>
      <c r="R11" s="197" t="s">
        <v>787</v>
      </c>
      <c r="S11" s="455">
        <v>3339567144</v>
      </c>
      <c r="T11" s="456">
        <v>3760312223</v>
      </c>
      <c r="V11" s="197" t="s">
        <v>836</v>
      </c>
      <c r="W11" s="456">
        <v>679655512</v>
      </c>
      <c r="X11" s="456">
        <v>596041691</v>
      </c>
    </row>
    <row r="12" spans="2:24" ht="12.95" customHeight="1" x14ac:dyDescent="0.3">
      <c r="B12" s="126" t="s">
        <v>719</v>
      </c>
      <c r="C12" s="152">
        <f>O12/10^6</f>
        <v>433.52362099999999</v>
      </c>
      <c r="D12" s="152">
        <f>P12/10^6</f>
        <v>2847.9804859999999</v>
      </c>
      <c r="N12" s="197" t="s">
        <v>720</v>
      </c>
      <c r="O12" s="456">
        <v>433523621</v>
      </c>
      <c r="P12" s="456">
        <v>2847980486</v>
      </c>
      <c r="R12" s="197" t="s">
        <v>788</v>
      </c>
      <c r="S12" s="456">
        <v>3339567144</v>
      </c>
      <c r="T12" s="456">
        <v>3760312223</v>
      </c>
      <c r="V12" s="197" t="s">
        <v>837</v>
      </c>
      <c r="W12" s="456">
        <v>676130570</v>
      </c>
      <c r="X12" s="456">
        <v>495355292</v>
      </c>
    </row>
    <row r="13" spans="2:24" ht="12.95" customHeight="1" x14ac:dyDescent="0.3">
      <c r="B13" s="126" t="s">
        <v>598</v>
      </c>
      <c r="C13" s="152">
        <f>O13/10^6</f>
        <v>1700</v>
      </c>
      <c r="D13" s="152">
        <f>P13/10^6</f>
        <v>0</v>
      </c>
      <c r="N13" s="197" t="s">
        <v>721</v>
      </c>
      <c r="O13" s="456">
        <v>1700000000</v>
      </c>
      <c r="P13" s="456">
        <v>0</v>
      </c>
      <c r="R13" s="197" t="s">
        <v>789</v>
      </c>
      <c r="S13" s="455">
        <v>4091913033</v>
      </c>
      <c r="T13" s="456">
        <v>4247507351</v>
      </c>
      <c r="V13" s="197" t="s">
        <v>838</v>
      </c>
      <c r="W13" s="456">
        <v>3524942</v>
      </c>
      <c r="X13" s="456">
        <v>0</v>
      </c>
    </row>
    <row r="14" spans="2:24" ht="12.95" customHeight="1" x14ac:dyDescent="0.3">
      <c r="B14" s="156" t="s">
        <v>722</v>
      </c>
      <c r="C14" s="165">
        <f>-SUM(C12:C13)+C11</f>
        <v>-2133.5236209999998</v>
      </c>
      <c r="D14" s="165">
        <f>-SUM(D12:D13)+D11</f>
        <v>152.01951400000007</v>
      </c>
      <c r="N14" s="197" t="s">
        <v>723</v>
      </c>
      <c r="O14" s="456">
        <v>2083346544</v>
      </c>
      <c r="P14" s="456">
        <v>1982912595</v>
      </c>
      <c r="R14" s="197" t="s">
        <v>790</v>
      </c>
      <c r="S14" s="455">
        <v>1476401910</v>
      </c>
      <c r="T14" s="456">
        <v>1137086367</v>
      </c>
      <c r="V14" s="197" t="s">
        <v>839</v>
      </c>
      <c r="W14" s="456">
        <v>0</v>
      </c>
      <c r="X14" s="456">
        <v>686399</v>
      </c>
    </row>
    <row r="15" spans="2:24" ht="12.95" customHeight="1" x14ac:dyDescent="0.3">
      <c r="B15" s="479"/>
      <c r="C15" s="480"/>
      <c r="D15" s="480"/>
      <c r="N15" s="197" t="s">
        <v>724</v>
      </c>
      <c r="O15" s="456">
        <v>20833465</v>
      </c>
      <c r="P15" s="456">
        <v>19829125</v>
      </c>
      <c r="R15" s="197" t="s">
        <v>791</v>
      </c>
      <c r="S15" s="456">
        <v>774647310</v>
      </c>
      <c r="T15" s="456">
        <v>765522690</v>
      </c>
      <c r="V15" s="197" t="s">
        <v>840</v>
      </c>
      <c r="W15" s="456">
        <v>0</v>
      </c>
      <c r="X15" s="456">
        <v>100000000</v>
      </c>
    </row>
    <row r="16" spans="2:24" ht="12.95" customHeight="1" x14ac:dyDescent="0.3">
      <c r="C16" s="152"/>
      <c r="D16" s="152"/>
      <c r="N16" s="197" t="s">
        <v>725</v>
      </c>
      <c r="O16" s="456">
        <v>1093826300</v>
      </c>
      <c r="P16" s="456">
        <v>701926300</v>
      </c>
      <c r="R16" s="197" t="s">
        <v>792</v>
      </c>
      <c r="S16" s="456">
        <v>447268206</v>
      </c>
      <c r="T16" s="456">
        <v>134511507</v>
      </c>
      <c r="V16" s="197" t="s">
        <v>841</v>
      </c>
      <c r="W16" s="456">
        <v>25796</v>
      </c>
      <c r="X16" s="456">
        <v>8431067</v>
      </c>
    </row>
    <row r="17" spans="2:24" ht="12.95" customHeight="1" x14ac:dyDescent="0.3">
      <c r="B17" s="156" t="s">
        <v>726</v>
      </c>
      <c r="C17" s="165">
        <f>SUM(C18:C22)</f>
        <v>15479.426300000001</v>
      </c>
      <c r="D17" s="165">
        <f>SUM(D18:D22)</f>
        <v>16841.900000000001</v>
      </c>
      <c r="N17" s="197" t="s">
        <v>724</v>
      </c>
      <c r="O17" s="456">
        <v>0</v>
      </c>
      <c r="P17" s="456">
        <v>680026300</v>
      </c>
      <c r="R17" s="197" t="s">
        <v>793</v>
      </c>
      <c r="S17" s="456">
        <v>30814100</v>
      </c>
      <c r="T17" s="456">
        <v>44863630</v>
      </c>
      <c r="V17" s="197" t="s">
        <v>842</v>
      </c>
      <c r="W17" s="456">
        <v>25796</v>
      </c>
      <c r="X17" s="456">
        <v>7426727</v>
      </c>
    </row>
    <row r="18" spans="2:24" ht="12.95" customHeight="1" x14ac:dyDescent="0.3">
      <c r="B18" s="126" t="s">
        <v>262</v>
      </c>
      <c r="C18" s="152">
        <f>O25/10^6</f>
        <v>320.60000000000002</v>
      </c>
      <c r="D18" s="152">
        <f>P25/10^6</f>
        <v>0</v>
      </c>
      <c r="N18" s="197" t="s">
        <v>727</v>
      </c>
      <c r="O18" s="456">
        <v>619926874</v>
      </c>
      <c r="P18" s="456">
        <v>1044337534</v>
      </c>
      <c r="R18" s="197" t="s">
        <v>794</v>
      </c>
      <c r="S18" s="456">
        <v>1005200</v>
      </c>
      <c r="T18" s="456">
        <v>1023800</v>
      </c>
      <c r="V18" s="197" t="s">
        <v>843</v>
      </c>
      <c r="W18" s="456">
        <v>0</v>
      </c>
      <c r="X18" s="456">
        <v>1004340</v>
      </c>
    </row>
    <row r="19" spans="2:24" ht="12.95" customHeight="1" x14ac:dyDescent="0.3">
      <c r="B19" s="126" t="s">
        <v>263</v>
      </c>
      <c r="C19" s="152">
        <v>0</v>
      </c>
      <c r="D19" s="152">
        <v>0</v>
      </c>
      <c r="N19" s="197" t="s">
        <v>728</v>
      </c>
      <c r="O19" s="456">
        <v>7965000000</v>
      </c>
      <c r="P19" s="456">
        <v>12820000000</v>
      </c>
      <c r="R19" s="197" t="s">
        <v>795</v>
      </c>
      <c r="S19" s="456">
        <v>13643500</v>
      </c>
      <c r="T19" s="456">
        <v>2633900</v>
      </c>
      <c r="V19" s="197" t="s">
        <v>844</v>
      </c>
      <c r="W19" s="456">
        <v>379240533</v>
      </c>
      <c r="X19" s="456">
        <v>3511716941</v>
      </c>
    </row>
    <row r="20" spans="2:24" ht="12.95" customHeight="1" x14ac:dyDescent="0.3">
      <c r="B20" s="126" t="s">
        <v>729</v>
      </c>
      <c r="C20" s="152">
        <v>0</v>
      </c>
      <c r="D20" s="152">
        <v>0</v>
      </c>
      <c r="N20" s="197" t="s">
        <v>730</v>
      </c>
      <c r="O20" s="456">
        <v>0</v>
      </c>
      <c r="P20" s="456">
        <v>208018060</v>
      </c>
      <c r="R20" s="197" t="s">
        <v>796</v>
      </c>
      <c r="S20" s="456">
        <v>2597615</v>
      </c>
      <c r="T20" s="456">
        <v>2609378</v>
      </c>
      <c r="V20" s="197" t="s">
        <v>845</v>
      </c>
      <c r="W20" s="456">
        <v>352494173</v>
      </c>
      <c r="X20" s="456">
        <v>100433949</v>
      </c>
    </row>
    <row r="21" spans="2:24" ht="12.95" customHeight="1" x14ac:dyDescent="0.3">
      <c r="B21" s="126" t="s">
        <v>265</v>
      </c>
      <c r="C21" s="152">
        <f>O26/10^6</f>
        <v>4100</v>
      </c>
      <c r="D21" s="152">
        <f>P26/10^6</f>
        <v>4000</v>
      </c>
      <c r="N21" s="197" t="s">
        <v>731</v>
      </c>
      <c r="O21" s="456">
        <v>21081458</v>
      </c>
      <c r="P21" s="456">
        <v>3779273</v>
      </c>
      <c r="R21" s="197" t="s">
        <v>797</v>
      </c>
      <c r="S21" s="456">
        <v>1590645</v>
      </c>
      <c r="T21" s="456">
        <v>1749684</v>
      </c>
      <c r="V21" s="197" t="s">
        <v>846</v>
      </c>
      <c r="W21" s="456">
        <v>601447372</v>
      </c>
      <c r="X21" s="456">
        <v>424410660</v>
      </c>
    </row>
    <row r="22" spans="2:24" ht="12.95" customHeight="1" x14ac:dyDescent="0.3">
      <c r="B22" s="126" t="s">
        <v>266</v>
      </c>
      <c r="C22" s="152">
        <f>(O19+O16+O22-O17)/10^6</f>
        <v>11058.826300000001</v>
      </c>
      <c r="D22" s="152">
        <f>(P19+P16+P22-P17)/10^6</f>
        <v>12841.9</v>
      </c>
      <c r="E22" s="126" t="s">
        <v>732</v>
      </c>
      <c r="N22" s="197" t="s">
        <v>733</v>
      </c>
      <c r="O22" s="456">
        <v>2000000000</v>
      </c>
      <c r="P22" s="456">
        <v>0</v>
      </c>
      <c r="R22" s="197" t="s">
        <v>798</v>
      </c>
      <c r="S22" s="456">
        <v>15827861</v>
      </c>
      <c r="T22" s="456">
        <v>15538654</v>
      </c>
      <c r="V22" s="197" t="s">
        <v>847</v>
      </c>
      <c r="W22" s="456">
        <v>0</v>
      </c>
      <c r="X22" s="456">
        <v>0</v>
      </c>
    </row>
    <row r="23" spans="2:24" ht="12.95" customHeight="1" x14ac:dyDescent="0.3">
      <c r="C23" s="152"/>
      <c r="D23" s="152"/>
      <c r="N23" s="197" t="s">
        <v>734</v>
      </c>
      <c r="O23" s="455">
        <v>7367103591</v>
      </c>
      <c r="P23" s="456">
        <v>7260334507</v>
      </c>
      <c r="R23" s="197" t="s">
        <v>799</v>
      </c>
      <c r="S23" s="456">
        <v>31741280</v>
      </c>
      <c r="T23" s="456">
        <v>40023750</v>
      </c>
      <c r="V23" s="197" t="s">
        <v>848</v>
      </c>
      <c r="W23" s="456">
        <v>17654919</v>
      </c>
      <c r="X23" s="456">
        <v>17302185</v>
      </c>
    </row>
    <row r="24" spans="2:24" ht="12.95" customHeight="1" x14ac:dyDescent="0.3">
      <c r="C24" s="152"/>
      <c r="D24" s="152"/>
      <c r="N24" s="197" t="s">
        <v>735</v>
      </c>
      <c r="O24" s="455">
        <v>4420600000</v>
      </c>
      <c r="P24" s="456">
        <v>4000000000</v>
      </c>
      <c r="R24" s="197" t="s">
        <v>800</v>
      </c>
      <c r="S24" s="456">
        <v>27190998</v>
      </c>
      <c r="T24" s="456">
        <v>16955812</v>
      </c>
      <c r="V24" s="197" t="s">
        <v>849</v>
      </c>
      <c r="W24" s="456">
        <v>0</v>
      </c>
      <c r="X24" s="456">
        <v>208018060</v>
      </c>
    </row>
    <row r="25" spans="2:24" ht="12.95" customHeight="1" x14ac:dyDescent="0.3">
      <c r="C25" s="152"/>
      <c r="D25" s="152"/>
      <c r="N25" s="197" t="s">
        <v>736</v>
      </c>
      <c r="O25" s="456">
        <v>320600000</v>
      </c>
      <c r="P25" s="456">
        <v>0</v>
      </c>
      <c r="R25" s="197" t="s">
        <v>801</v>
      </c>
      <c r="S25" s="456">
        <v>191000</v>
      </c>
      <c r="T25" s="456">
        <v>1337000</v>
      </c>
      <c r="V25" s="197" t="s">
        <v>850</v>
      </c>
      <c r="W25" s="456">
        <v>4179690</v>
      </c>
      <c r="X25" s="456">
        <v>626699750</v>
      </c>
    </row>
    <row r="26" spans="2:24" ht="12.95" customHeight="1" x14ac:dyDescent="0.3">
      <c r="C26" s="152"/>
      <c r="D26" s="152"/>
      <c r="N26" s="197" t="s">
        <v>737</v>
      </c>
      <c r="O26" s="456">
        <v>4100000000</v>
      </c>
      <c r="P26" s="456">
        <v>4000000000</v>
      </c>
      <c r="R26" s="197" t="s">
        <v>802</v>
      </c>
      <c r="S26" s="456">
        <v>9245191</v>
      </c>
      <c r="T26" s="456">
        <v>7710145</v>
      </c>
      <c r="V26" s="197" t="s">
        <v>851</v>
      </c>
      <c r="W26" s="456">
        <v>122844906</v>
      </c>
      <c r="X26" s="456">
        <v>854770239</v>
      </c>
    </row>
    <row r="27" spans="2:24" ht="12.95" customHeight="1" x14ac:dyDescent="0.3">
      <c r="C27" s="152"/>
      <c r="D27" s="152"/>
      <c r="N27" s="197" t="s">
        <v>738</v>
      </c>
      <c r="O27" s="455">
        <v>2870560591</v>
      </c>
      <c r="P27" s="456">
        <v>3078342906</v>
      </c>
      <c r="R27" s="197" t="s">
        <v>803</v>
      </c>
      <c r="S27" s="456">
        <v>16533258</v>
      </c>
      <c r="T27" s="456">
        <v>24337872</v>
      </c>
      <c r="V27" s="197" t="s">
        <v>852</v>
      </c>
      <c r="W27" s="456">
        <v>473690715</v>
      </c>
      <c r="X27" s="456">
        <v>576326468</v>
      </c>
    </row>
    <row r="28" spans="2:24" ht="12.95" customHeight="1" x14ac:dyDescent="0.3">
      <c r="B28" s="156"/>
      <c r="C28" s="157" t="s">
        <v>739</v>
      </c>
      <c r="D28" s="157" t="s">
        <v>609</v>
      </c>
      <c r="N28" s="197" t="s">
        <v>740</v>
      </c>
      <c r="O28" s="456">
        <v>456444690</v>
      </c>
      <c r="P28" s="456">
        <v>1000968790</v>
      </c>
      <c r="R28" s="197" t="s">
        <v>804</v>
      </c>
      <c r="S28" s="456">
        <v>220500</v>
      </c>
      <c r="T28" s="456">
        <v>0</v>
      </c>
      <c r="V28" s="197" t="s">
        <v>853</v>
      </c>
      <c r="W28" s="456">
        <v>0</v>
      </c>
      <c r="X28" s="456">
        <v>7372602</v>
      </c>
    </row>
    <row r="29" spans="2:24" ht="12.95" customHeight="1" x14ac:dyDescent="0.3">
      <c r="B29" s="156" t="s">
        <v>578</v>
      </c>
      <c r="C29" s="157" t="s">
        <v>612</v>
      </c>
      <c r="D29" s="157" t="s">
        <v>612</v>
      </c>
      <c r="N29" s="197" t="s">
        <v>741</v>
      </c>
      <c r="O29" s="456">
        <v>1948021188</v>
      </c>
      <c r="P29" s="456">
        <v>1950630968</v>
      </c>
      <c r="R29" s="197" t="s">
        <v>805</v>
      </c>
      <c r="S29" s="456">
        <v>356700</v>
      </c>
      <c r="T29" s="456">
        <v>788500</v>
      </c>
      <c r="V29" s="197" t="s">
        <v>854</v>
      </c>
      <c r="W29" s="456">
        <v>0</v>
      </c>
      <c r="X29" s="456">
        <v>2200000000</v>
      </c>
    </row>
    <row r="30" spans="2:24" ht="12.95" customHeight="1" x14ac:dyDescent="0.3">
      <c r="B30" s="126" t="s">
        <v>742</v>
      </c>
      <c r="C30" s="152">
        <f>S9/10^6</f>
        <v>7431.4801770000004</v>
      </c>
      <c r="D30" s="152">
        <f>T9/10^6</f>
        <v>8007.8195740000001</v>
      </c>
      <c r="N30" s="197" t="s">
        <v>743</v>
      </c>
      <c r="O30" s="456">
        <v>496750058</v>
      </c>
      <c r="P30" s="456">
        <v>545515827</v>
      </c>
      <c r="R30" s="197" t="s">
        <v>806</v>
      </c>
      <c r="S30" s="456">
        <v>665300</v>
      </c>
      <c r="T30" s="456">
        <v>824500</v>
      </c>
      <c r="V30" s="197" t="s">
        <v>855</v>
      </c>
      <c r="W30" s="455">
        <v>226154000</v>
      </c>
      <c r="X30" s="456">
        <v>897554120</v>
      </c>
    </row>
    <row r="31" spans="2:24" ht="12.95" customHeight="1" x14ac:dyDescent="0.3">
      <c r="B31" s="126" t="s">
        <v>744</v>
      </c>
      <c r="C31" s="152"/>
      <c r="D31" s="152"/>
      <c r="N31" s="197" t="s">
        <v>745</v>
      </c>
      <c r="O31" s="456">
        <v>91300000</v>
      </c>
      <c r="P31" s="456">
        <v>91300000</v>
      </c>
      <c r="R31" s="197" t="s">
        <v>807</v>
      </c>
      <c r="S31" s="456">
        <v>1033450</v>
      </c>
      <c r="T31" s="456">
        <v>387300</v>
      </c>
      <c r="V31" s="197" t="s">
        <v>856</v>
      </c>
      <c r="W31" s="456">
        <v>167820000</v>
      </c>
      <c r="X31" s="456">
        <v>1711000000</v>
      </c>
    </row>
    <row r="32" spans="2:24" ht="12.95" customHeight="1" x14ac:dyDescent="0.3">
      <c r="B32" s="126" t="s">
        <v>616</v>
      </c>
      <c r="C32" s="152"/>
      <c r="D32" s="152"/>
      <c r="N32" s="197" t="s">
        <v>743</v>
      </c>
      <c r="O32" s="456">
        <v>20618125</v>
      </c>
      <c r="P32" s="456">
        <v>22900625</v>
      </c>
      <c r="R32" s="197" t="s">
        <v>808</v>
      </c>
      <c r="S32" s="456">
        <v>6012790</v>
      </c>
      <c r="T32" s="456">
        <v>5482090</v>
      </c>
      <c r="V32" s="197" t="s">
        <v>857</v>
      </c>
      <c r="W32" s="456">
        <v>50000000</v>
      </c>
      <c r="X32" s="456">
        <v>1700000000</v>
      </c>
    </row>
    <row r="33" spans="2:24" ht="12.95" customHeight="1" x14ac:dyDescent="0.3">
      <c r="B33" s="126" t="s">
        <v>746</v>
      </c>
      <c r="C33" s="152">
        <f>S39/10^6</f>
        <v>2615.5111230000002</v>
      </c>
      <c r="D33" s="152">
        <f>T39/10^6</f>
        <v>3110.4209839999999</v>
      </c>
      <c r="N33" s="197" t="s">
        <v>747</v>
      </c>
      <c r="O33" s="456">
        <v>9640897886</v>
      </c>
      <c r="P33" s="456">
        <v>9800474886</v>
      </c>
      <c r="R33" s="197" t="s">
        <v>809</v>
      </c>
      <c r="S33" s="456">
        <v>37076859</v>
      </c>
      <c r="T33" s="456">
        <v>49058930</v>
      </c>
      <c r="V33" s="197" t="s">
        <v>858</v>
      </c>
      <c r="W33" s="456">
        <v>9200000</v>
      </c>
      <c r="X33" s="456">
        <v>11000000</v>
      </c>
    </row>
    <row r="34" spans="2:24" ht="12.95" customHeight="1" x14ac:dyDescent="0.3">
      <c r="B34" s="126" t="s">
        <v>270</v>
      </c>
      <c r="C34" s="152">
        <f>C33+C36</f>
        <v>3291.6416930000005</v>
      </c>
      <c r="D34" s="152">
        <f>D33+D36</f>
        <v>3606.4626749999998</v>
      </c>
      <c r="N34" s="197" t="s">
        <v>748</v>
      </c>
      <c r="O34" s="456">
        <v>8777995808</v>
      </c>
      <c r="P34" s="456">
        <v>9210696201</v>
      </c>
      <c r="R34" s="197" t="s">
        <v>810</v>
      </c>
      <c r="S34" s="456">
        <v>1386000</v>
      </c>
      <c r="T34" s="456">
        <v>396000</v>
      </c>
      <c r="V34" s="197" t="s">
        <v>859</v>
      </c>
      <c r="W34" s="456">
        <v>108620000</v>
      </c>
      <c r="X34" s="456">
        <v>0</v>
      </c>
    </row>
    <row r="35" spans="2:24" ht="12.95" customHeight="1" x14ac:dyDescent="0.3">
      <c r="C35" s="152"/>
      <c r="D35" s="152"/>
      <c r="N35" s="197" t="s">
        <v>749</v>
      </c>
      <c r="O35" s="456">
        <v>271488907</v>
      </c>
      <c r="P35" s="456">
        <v>195801267</v>
      </c>
      <c r="R35" s="197" t="s">
        <v>811</v>
      </c>
      <c r="S35" s="456">
        <v>20833465</v>
      </c>
      <c r="T35" s="456">
        <v>19829125</v>
      </c>
      <c r="V35" s="197" t="s">
        <v>860</v>
      </c>
      <c r="W35" s="456">
        <v>393974000</v>
      </c>
      <c r="X35" s="456">
        <v>813445880</v>
      </c>
    </row>
    <row r="36" spans="2:24" ht="12.95" customHeight="1" x14ac:dyDescent="0.3">
      <c r="B36" s="126" t="s">
        <v>273</v>
      </c>
      <c r="C36" s="152">
        <f>SUM(W12,W14)/10^6</f>
        <v>676.13057000000003</v>
      </c>
      <c r="D36" s="152">
        <f>SUM(X12,X14)/10^6</f>
        <v>496.04169100000001</v>
      </c>
      <c r="N36" s="197" t="s">
        <v>748</v>
      </c>
      <c r="O36" s="456">
        <v>257582401</v>
      </c>
      <c r="P36" s="456">
        <v>190126518</v>
      </c>
      <c r="R36" s="197" t="s">
        <v>812</v>
      </c>
      <c r="S36" s="456">
        <v>0</v>
      </c>
      <c r="T36" s="456">
        <v>686399</v>
      </c>
      <c r="V36" s="197" t="s">
        <v>861</v>
      </c>
      <c r="W36" s="456">
        <v>0</v>
      </c>
      <c r="X36" s="456">
        <v>66959000</v>
      </c>
    </row>
    <row r="37" spans="2:24" ht="12.95" customHeight="1" x14ac:dyDescent="0.3">
      <c r="C37" s="152"/>
      <c r="D37" s="152"/>
      <c r="N37" s="197" t="s">
        <v>750</v>
      </c>
      <c r="O37" s="456">
        <v>5679933</v>
      </c>
      <c r="P37" s="456">
        <v>5679933</v>
      </c>
      <c r="R37" s="197" t="s">
        <v>813</v>
      </c>
      <c r="S37" s="456">
        <v>520682</v>
      </c>
      <c r="T37" s="456">
        <v>815701</v>
      </c>
      <c r="V37" s="197" t="s">
        <v>862</v>
      </c>
      <c r="W37" s="456">
        <v>0</v>
      </c>
      <c r="X37" s="456">
        <v>39776000</v>
      </c>
    </row>
    <row r="38" spans="2:24" ht="12.95" customHeight="1" x14ac:dyDescent="0.3">
      <c r="C38" s="152"/>
      <c r="D38" s="152"/>
      <c r="N38" s="197" t="s">
        <v>751</v>
      </c>
      <c r="O38" s="456">
        <v>5677933</v>
      </c>
      <c r="P38" s="456">
        <v>5677933</v>
      </c>
      <c r="R38" s="197" t="s">
        <v>814</v>
      </c>
      <c r="S38" s="456">
        <v>36000000</v>
      </c>
      <c r="T38" s="456">
        <v>0</v>
      </c>
      <c r="V38" s="197" t="s">
        <v>863</v>
      </c>
      <c r="W38" s="456">
        <v>0</v>
      </c>
      <c r="X38" s="456">
        <v>544524100</v>
      </c>
    </row>
    <row r="39" spans="2:24" ht="12.95" customHeight="1" x14ac:dyDescent="0.3">
      <c r="C39" s="152"/>
      <c r="D39" s="152"/>
      <c r="N39" s="197" t="s">
        <v>752</v>
      </c>
      <c r="O39" s="456">
        <v>96897080</v>
      </c>
      <c r="P39" s="456">
        <v>96897080</v>
      </c>
      <c r="R39" s="197" t="s">
        <v>815</v>
      </c>
      <c r="S39" s="455">
        <v>2615511123</v>
      </c>
      <c r="T39" s="456">
        <v>3110420984</v>
      </c>
      <c r="V39" s="197" t="s">
        <v>864</v>
      </c>
      <c r="W39" s="456">
        <v>64920000</v>
      </c>
      <c r="X39" s="456">
        <v>2609780</v>
      </c>
    </row>
    <row r="40" spans="2:24" ht="12.95" customHeight="1" x14ac:dyDescent="0.3">
      <c r="C40" s="152"/>
      <c r="D40" s="152"/>
      <c r="N40" s="197" t="s">
        <v>748</v>
      </c>
      <c r="O40" s="456">
        <v>83641528</v>
      </c>
      <c r="P40" s="456">
        <v>89650801</v>
      </c>
      <c r="R40" s="197" t="s">
        <v>816</v>
      </c>
      <c r="S40" s="455">
        <v>657408459</v>
      </c>
      <c r="T40" s="456">
        <v>716006320</v>
      </c>
      <c r="V40" s="197" t="s">
        <v>865</v>
      </c>
      <c r="W40" s="456">
        <v>71460000</v>
      </c>
      <c r="X40" s="456">
        <v>0</v>
      </c>
    </row>
    <row r="41" spans="2:24" ht="12.95" customHeight="1" x14ac:dyDescent="0.3">
      <c r="C41" s="152"/>
      <c r="D41" s="152"/>
      <c r="N41" s="197" t="s">
        <v>753</v>
      </c>
      <c r="O41" s="456">
        <v>656536865</v>
      </c>
      <c r="P41" s="456">
        <v>656536865</v>
      </c>
      <c r="R41" s="197" t="s">
        <v>817</v>
      </c>
      <c r="S41" s="456">
        <v>633429438</v>
      </c>
      <c r="T41" s="456">
        <v>677219944</v>
      </c>
      <c r="V41" s="197" t="s">
        <v>866</v>
      </c>
      <c r="W41" s="456">
        <v>253935000</v>
      </c>
      <c r="X41" s="456">
        <v>159577000</v>
      </c>
    </row>
    <row r="42" spans="2:24" ht="12.95" customHeight="1" x14ac:dyDescent="0.3">
      <c r="C42" s="152"/>
      <c r="D42" s="152"/>
      <c r="N42" s="197" t="s">
        <v>754</v>
      </c>
      <c r="O42" s="456">
        <v>654440105</v>
      </c>
      <c r="P42" s="456">
        <v>655378978</v>
      </c>
      <c r="R42" s="197" t="s">
        <v>818</v>
      </c>
      <c r="S42" s="456">
        <v>17308523</v>
      </c>
      <c r="T42" s="456">
        <v>20833465</v>
      </c>
      <c r="V42" s="197" t="s">
        <v>867</v>
      </c>
      <c r="W42" s="456">
        <v>3659000</v>
      </c>
      <c r="X42" s="456">
        <v>0</v>
      </c>
    </row>
    <row r="43" spans="2:24" ht="12.95" customHeight="1" x14ac:dyDescent="0.3">
      <c r="C43" s="152"/>
      <c r="D43" s="152"/>
      <c r="N43" s="197" t="s">
        <v>755</v>
      </c>
      <c r="O43" s="455">
        <v>0</v>
      </c>
      <c r="P43" s="456">
        <v>39089601</v>
      </c>
      <c r="R43" s="197" t="s">
        <v>819</v>
      </c>
      <c r="S43" s="456">
        <v>25796</v>
      </c>
      <c r="T43" s="456">
        <v>7426727</v>
      </c>
      <c r="V43" s="197" t="s">
        <v>868</v>
      </c>
      <c r="W43" s="455">
        <v>2484316300</v>
      </c>
      <c r="X43" s="456">
        <v>1527526300</v>
      </c>
    </row>
    <row r="44" spans="2:24" ht="12.95" customHeight="1" x14ac:dyDescent="0.3">
      <c r="C44" s="152"/>
      <c r="D44" s="152"/>
      <c r="N44" s="197" t="s">
        <v>756</v>
      </c>
      <c r="O44" s="456">
        <v>0</v>
      </c>
      <c r="P44" s="456">
        <v>39089601</v>
      </c>
      <c r="R44" s="197" t="s">
        <v>820</v>
      </c>
      <c r="S44" s="456">
        <v>6644702</v>
      </c>
      <c r="T44" s="456">
        <v>10526184</v>
      </c>
      <c r="V44" s="197" t="s">
        <v>869</v>
      </c>
      <c r="W44" s="456">
        <v>224773700</v>
      </c>
      <c r="X44" s="456">
        <v>6392526300</v>
      </c>
    </row>
    <row r="45" spans="2:24" ht="12.95" customHeight="1" x14ac:dyDescent="0.3">
      <c r="C45" s="152"/>
      <c r="D45" s="152"/>
      <c r="N45" s="197" t="s">
        <v>757</v>
      </c>
      <c r="O45" s="455">
        <v>75943000</v>
      </c>
      <c r="P45" s="456">
        <v>142902000</v>
      </c>
      <c r="R45" s="197" t="s">
        <v>821</v>
      </c>
      <c r="S45" s="455">
        <v>3545177</v>
      </c>
      <c r="T45" s="456">
        <v>791472342</v>
      </c>
      <c r="V45" s="197" t="s">
        <v>870</v>
      </c>
      <c r="W45" s="456">
        <v>224773700</v>
      </c>
      <c r="X45" s="456">
        <v>1071926300</v>
      </c>
    </row>
    <row r="46" spans="2:24" ht="12.95" customHeight="1" x14ac:dyDescent="0.3">
      <c r="C46" s="152"/>
      <c r="D46" s="152"/>
      <c r="N46" s="197" t="s">
        <v>758</v>
      </c>
      <c r="O46" s="456">
        <v>75873000</v>
      </c>
      <c r="P46" s="456">
        <v>142832000</v>
      </c>
      <c r="R46" s="197" t="s">
        <v>822</v>
      </c>
      <c r="S46" s="456">
        <v>0</v>
      </c>
      <c r="T46" s="456">
        <v>7372602</v>
      </c>
      <c r="V46" s="197" t="s">
        <v>871</v>
      </c>
      <c r="W46" s="456">
        <v>0</v>
      </c>
      <c r="X46" s="456">
        <v>2000000000</v>
      </c>
    </row>
    <row r="47" spans="2:24" ht="12.95" customHeight="1" x14ac:dyDescent="0.3">
      <c r="C47" s="152"/>
      <c r="D47" s="152"/>
      <c r="N47" s="197" t="s">
        <v>759</v>
      </c>
      <c r="O47" s="456">
        <v>70000</v>
      </c>
      <c r="P47" s="456">
        <v>70000</v>
      </c>
      <c r="R47" s="197" t="s">
        <v>823</v>
      </c>
      <c r="S47" s="456">
        <v>600000</v>
      </c>
      <c r="T47" s="456">
        <v>3200000</v>
      </c>
      <c r="V47" s="197" t="s">
        <v>872</v>
      </c>
      <c r="W47" s="456">
        <v>0</v>
      </c>
      <c r="X47" s="456">
        <v>320600000</v>
      </c>
    </row>
    <row r="48" spans="2:24" ht="12.95" customHeight="1" x14ac:dyDescent="0.3">
      <c r="C48" s="152"/>
      <c r="D48" s="152"/>
      <c r="N48" s="197" t="s">
        <v>760</v>
      </c>
      <c r="O48" s="455">
        <v>23262974923</v>
      </c>
      <c r="P48" s="456">
        <v>26169433330</v>
      </c>
      <c r="R48" s="197" t="s">
        <v>824</v>
      </c>
      <c r="S48" s="456">
        <v>0</v>
      </c>
      <c r="T48" s="456">
        <v>100000000</v>
      </c>
      <c r="V48" s="197" t="s">
        <v>873</v>
      </c>
      <c r="W48" s="456">
        <v>0</v>
      </c>
      <c r="X48" s="456">
        <v>1000000000</v>
      </c>
    </row>
    <row r="49" spans="3:24" ht="12.95" customHeight="1" x14ac:dyDescent="0.3">
      <c r="C49" s="152"/>
      <c r="D49" s="152"/>
      <c r="N49" s="197" t="s">
        <v>761</v>
      </c>
      <c r="O49" s="455"/>
      <c r="P49" s="456"/>
      <c r="R49" s="197" t="s">
        <v>825</v>
      </c>
      <c r="S49" s="456">
        <v>2945177</v>
      </c>
      <c r="T49" s="456">
        <v>873440</v>
      </c>
      <c r="V49" s="197" t="s">
        <v>874</v>
      </c>
      <c r="W49" s="456">
        <v>0</v>
      </c>
      <c r="X49" s="456">
        <v>2000000000</v>
      </c>
    </row>
    <row r="50" spans="3:24" ht="12.95" customHeight="1" x14ac:dyDescent="0.3">
      <c r="C50" s="152"/>
      <c r="D50" s="152"/>
      <c r="N50" s="197" t="s">
        <v>762</v>
      </c>
      <c r="O50" s="455">
        <v>1852137380</v>
      </c>
      <c r="P50" s="456">
        <v>2055113025</v>
      </c>
      <c r="R50" s="197" t="s">
        <v>826</v>
      </c>
      <c r="S50" s="456">
        <v>0</v>
      </c>
      <c r="T50" s="456">
        <v>680026300</v>
      </c>
      <c r="V50" s="197" t="s">
        <v>875</v>
      </c>
      <c r="W50" s="456">
        <v>2709090000</v>
      </c>
      <c r="X50" s="456">
        <v>4865000000</v>
      </c>
    </row>
    <row r="51" spans="3:24" ht="12.95" customHeight="1" x14ac:dyDescent="0.3">
      <c r="C51" s="152"/>
      <c r="D51" s="152"/>
      <c r="N51" s="197" t="s">
        <v>763</v>
      </c>
      <c r="O51" s="456">
        <v>1253358632</v>
      </c>
      <c r="P51" s="456">
        <v>398588393</v>
      </c>
      <c r="R51" s="197" t="s">
        <v>827</v>
      </c>
      <c r="S51" s="455">
        <v>3269374405</v>
      </c>
      <c r="T51" s="456">
        <v>3034954962</v>
      </c>
      <c r="V51" s="197" t="s">
        <v>876</v>
      </c>
      <c r="W51" s="456">
        <v>580000000</v>
      </c>
      <c r="X51" s="456">
        <v>4855000000</v>
      </c>
    </row>
    <row r="52" spans="3:24" ht="12.95" customHeight="1" x14ac:dyDescent="0.3">
      <c r="C52" s="152"/>
      <c r="D52" s="152"/>
      <c r="N52" s="197" t="s">
        <v>764</v>
      </c>
      <c r="O52" s="456">
        <v>22452280</v>
      </c>
      <c r="P52" s="456">
        <v>649152030</v>
      </c>
      <c r="R52" s="197" t="s">
        <v>828</v>
      </c>
      <c r="S52" s="455">
        <v>706324828</v>
      </c>
      <c r="T52" s="456">
        <v>121472200</v>
      </c>
      <c r="V52" s="197" t="s">
        <v>877</v>
      </c>
      <c r="W52" s="456">
        <v>2000000000</v>
      </c>
      <c r="X52" s="456">
        <v>0</v>
      </c>
    </row>
    <row r="53" spans="3:24" ht="12.95" customHeight="1" x14ac:dyDescent="0.3">
      <c r="C53" s="152"/>
      <c r="D53" s="152"/>
      <c r="N53" s="197" t="s">
        <v>765</v>
      </c>
      <c r="O53" s="456">
        <v>576326468</v>
      </c>
      <c r="P53" s="456">
        <v>0</v>
      </c>
      <c r="R53" s="183" t="s">
        <v>829</v>
      </c>
      <c r="S53" s="457">
        <v>2563049577</v>
      </c>
      <c r="T53" s="458">
        <v>2913482762</v>
      </c>
      <c r="V53" s="197" t="s">
        <v>878</v>
      </c>
      <c r="W53" s="456">
        <v>129090000</v>
      </c>
      <c r="X53" s="456">
        <v>0</v>
      </c>
    </row>
    <row r="54" spans="3:24" ht="12.95" customHeight="1" x14ac:dyDescent="0.3">
      <c r="C54" s="152"/>
      <c r="D54" s="152"/>
      <c r="N54" s="197" t="s">
        <v>766</v>
      </c>
      <c r="O54" s="456">
        <v>0</v>
      </c>
      <c r="P54" s="456">
        <v>7372602</v>
      </c>
      <c r="R54" s="151" t="s">
        <v>830</v>
      </c>
      <c r="S54" s="452"/>
      <c r="T54" s="452"/>
      <c r="V54" s="197" t="s">
        <v>879</v>
      </c>
      <c r="W54" s="456">
        <v>0</v>
      </c>
      <c r="X54" s="456">
        <v>10000000</v>
      </c>
    </row>
    <row r="55" spans="3:24" ht="12.95" customHeight="1" x14ac:dyDescent="0.3">
      <c r="N55" s="197" t="s">
        <v>767</v>
      </c>
      <c r="O55" s="456">
        <v>0</v>
      </c>
      <c r="P55" s="456">
        <v>1000000000</v>
      </c>
      <c r="V55" s="197" t="s">
        <v>880</v>
      </c>
      <c r="W55" s="455">
        <v>152968460</v>
      </c>
      <c r="X55" s="456">
        <v>2414456865</v>
      </c>
    </row>
    <row r="56" spans="3:24" ht="12.95" customHeight="1" x14ac:dyDescent="0.3">
      <c r="N56" s="197" t="s">
        <v>768</v>
      </c>
      <c r="O56" s="455">
        <v>2210000000</v>
      </c>
      <c r="P56" s="456">
        <v>2000000000</v>
      </c>
      <c r="V56" s="197" t="s">
        <v>881</v>
      </c>
      <c r="W56" s="455">
        <v>280555161</v>
      </c>
      <c r="X56" s="456">
        <v>433523621</v>
      </c>
    </row>
    <row r="57" spans="3:24" ht="12.95" customHeight="1" x14ac:dyDescent="0.3">
      <c r="N57" s="197" t="s">
        <v>769</v>
      </c>
      <c r="O57" s="456">
        <v>0</v>
      </c>
      <c r="P57" s="456">
        <v>2000000000</v>
      </c>
      <c r="V57" s="183" t="s">
        <v>882</v>
      </c>
      <c r="W57" s="457">
        <v>433523621</v>
      </c>
      <c r="X57" s="458">
        <v>2847980486</v>
      </c>
    </row>
    <row r="58" spans="3:24" ht="12.95" customHeight="1" x14ac:dyDescent="0.3">
      <c r="N58" s="197" t="s">
        <v>770</v>
      </c>
      <c r="O58" s="456">
        <v>2200000000</v>
      </c>
      <c r="P58" s="456">
        <v>0</v>
      </c>
      <c r="V58" s="151" t="s">
        <v>883</v>
      </c>
      <c r="W58" s="452"/>
      <c r="X58" s="452"/>
    </row>
    <row r="59" spans="3:24" ht="12.95" customHeight="1" x14ac:dyDescent="0.3">
      <c r="N59" s="197" t="s">
        <v>771</v>
      </c>
      <c r="O59" s="456">
        <v>10000000</v>
      </c>
      <c r="P59" s="456">
        <v>0</v>
      </c>
      <c r="V59" s="149"/>
      <c r="W59" s="452"/>
      <c r="X59" s="452"/>
    </row>
    <row r="60" spans="3:24" ht="12.95" customHeight="1" x14ac:dyDescent="0.3">
      <c r="N60" s="197" t="s">
        <v>772</v>
      </c>
      <c r="O60" s="455">
        <v>4062137380</v>
      </c>
      <c r="P60" s="456">
        <v>4055113025</v>
      </c>
      <c r="V60" s="149"/>
      <c r="W60" s="452"/>
      <c r="X60" s="452"/>
    </row>
    <row r="61" spans="3:24" ht="12.95" customHeight="1" x14ac:dyDescent="0.3">
      <c r="N61" s="197" t="s">
        <v>773</v>
      </c>
      <c r="O61" s="455"/>
      <c r="P61" s="456"/>
    </row>
    <row r="62" spans="3:24" ht="12.95" customHeight="1" x14ac:dyDescent="0.3">
      <c r="N62" s="197" t="s">
        <v>774</v>
      </c>
      <c r="O62" s="455">
        <v>750000000</v>
      </c>
      <c r="P62" s="456">
        <v>750000000</v>
      </c>
    </row>
    <row r="63" spans="3:24" ht="12.95" customHeight="1" x14ac:dyDescent="0.3">
      <c r="N63" s="197" t="s">
        <v>775</v>
      </c>
      <c r="O63" s="456">
        <v>750000000</v>
      </c>
      <c r="P63" s="456">
        <v>750000000</v>
      </c>
    </row>
    <row r="64" spans="3:24" ht="12.95" customHeight="1" x14ac:dyDescent="0.3">
      <c r="N64" s="197" t="s">
        <v>776</v>
      </c>
      <c r="O64" s="455">
        <v>18450837543</v>
      </c>
      <c r="P64" s="456">
        <v>21364320305</v>
      </c>
    </row>
    <row r="65" spans="14:16" ht="12.95" customHeight="1" x14ac:dyDescent="0.3">
      <c r="N65" s="197" t="s">
        <v>777</v>
      </c>
      <c r="O65" s="456">
        <v>119500000</v>
      </c>
      <c r="P65" s="456">
        <v>119500000</v>
      </c>
    </row>
    <row r="66" spans="14:16" ht="12.95" customHeight="1" x14ac:dyDescent="0.3">
      <c r="N66" s="197" t="s">
        <v>778</v>
      </c>
      <c r="O66" s="456">
        <v>254599</v>
      </c>
      <c r="P66" s="456">
        <v>254599</v>
      </c>
    </row>
    <row r="67" spans="14:16" ht="12.95" customHeight="1" x14ac:dyDescent="0.3">
      <c r="N67" s="197" t="s">
        <v>779</v>
      </c>
      <c r="O67" s="456">
        <v>18331082944</v>
      </c>
      <c r="P67" s="456">
        <v>21244565706</v>
      </c>
    </row>
    <row r="68" spans="14:16" ht="12.95" customHeight="1" x14ac:dyDescent="0.3">
      <c r="N68" s="197" t="s">
        <v>780</v>
      </c>
      <c r="O68" s="455">
        <v>19200837543</v>
      </c>
      <c r="P68" s="456">
        <v>22114320305</v>
      </c>
    </row>
    <row r="69" spans="14:16" ht="12.95" customHeight="1" x14ac:dyDescent="0.3">
      <c r="N69" s="183" t="s">
        <v>781</v>
      </c>
      <c r="O69" s="457">
        <v>23262974923</v>
      </c>
      <c r="P69" s="458">
        <v>26169433330</v>
      </c>
    </row>
    <row r="70" spans="14:16" ht="12.95" customHeight="1" x14ac:dyDescent="0.3">
      <c r="N70" s="151" t="s">
        <v>782</v>
      </c>
    </row>
  </sheetData>
  <phoneticPr fontId="3" type="noConversion"/>
  <conditionalFormatting sqref="F2:J3">
    <cfRule type="containsText" dxfId="1" priority="1" operator="containsText" text="NA">
      <formula>NOT(ISERROR(SEARCH("NA",F2)))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W128"/>
  <sheetViews>
    <sheetView topLeftCell="A46" workbookViewId="0">
      <selection activeCell="D60" sqref="D60"/>
    </sheetView>
  </sheetViews>
  <sheetFormatPr defaultRowHeight="12.95" customHeight="1" x14ac:dyDescent="0.3"/>
  <cols>
    <col min="1" max="1" width="1.625" customWidth="1"/>
    <col min="2" max="2" width="13.875" style="126" bestFit="1" customWidth="1"/>
    <col min="3" max="3" width="12.5" style="126" bestFit="1" customWidth="1"/>
    <col min="4" max="10" width="9" style="126"/>
    <col min="11" max="11" width="1.625" customWidth="1"/>
    <col min="12" max="12" width="1.625" style="443" customWidth="1"/>
    <col min="13" max="13" width="1.625" customWidth="1"/>
    <col min="14" max="14" width="30.625" style="148" customWidth="1"/>
    <col min="15" max="16" width="15.125" style="148" bestFit="1" customWidth="1"/>
    <col min="17" max="17" width="1.625" customWidth="1"/>
    <col min="18" max="18" width="30.625" style="149" customWidth="1"/>
    <col min="19" max="19" width="10.25" style="149" bestFit="1" customWidth="1"/>
    <col min="20" max="20" width="9.25" style="149" bestFit="1" customWidth="1"/>
    <col min="21" max="21" width="9.125" bestFit="1" customWidth="1"/>
    <col min="22" max="22" width="10.25" bestFit="1" customWidth="1"/>
  </cols>
  <sheetData>
    <row r="2" spans="2:22" ht="12.95" customHeight="1" x14ac:dyDescent="0.3">
      <c r="B2" s="403" t="s">
        <v>0</v>
      </c>
      <c r="C2" s="404"/>
      <c r="D2" s="404" t="s">
        <v>34</v>
      </c>
      <c r="E2" s="404" t="s">
        <v>35</v>
      </c>
      <c r="F2" s="404"/>
      <c r="G2" s="404"/>
      <c r="H2" s="404"/>
      <c r="I2" s="404"/>
      <c r="J2" s="405"/>
      <c r="N2" s="462" t="s">
        <v>1722</v>
      </c>
    </row>
    <row r="3" spans="2:22" ht="12.95" customHeight="1" x14ac:dyDescent="0.3">
      <c r="B3" s="406" t="s">
        <v>8</v>
      </c>
      <c r="C3" s="407" t="s">
        <v>49</v>
      </c>
      <c r="D3" s="407" t="s">
        <v>39</v>
      </c>
      <c r="E3" s="407" t="s">
        <v>40</v>
      </c>
      <c r="F3" s="407" t="s">
        <v>41</v>
      </c>
      <c r="G3" s="407" t="s">
        <v>42</v>
      </c>
      <c r="H3" s="407" t="s">
        <v>11</v>
      </c>
      <c r="I3" s="407" t="s">
        <v>10</v>
      </c>
      <c r="J3" s="408" t="s">
        <v>43</v>
      </c>
      <c r="N3" s="150" t="s">
        <v>524</v>
      </c>
      <c r="R3" s="151" t="s">
        <v>584</v>
      </c>
      <c r="U3" s="149"/>
      <c r="V3" s="149"/>
    </row>
    <row r="4" spans="2:22" ht="12.95" customHeight="1" x14ac:dyDescent="0.3">
      <c r="B4" s="394">
        <f>C14</f>
        <v>-13359.280777</v>
      </c>
      <c r="C4" s="395">
        <f>C17</f>
        <v>3123.8872650000003</v>
      </c>
      <c r="D4" s="396"/>
      <c r="E4" s="397" t="s">
        <v>275</v>
      </c>
      <c r="F4" s="395">
        <f>O51/10^6</f>
        <v>110624.034143</v>
      </c>
      <c r="G4" s="395">
        <f>C30</f>
        <v>55095.779281000003</v>
      </c>
      <c r="H4" s="395">
        <f>C34</f>
        <v>22232.95364</v>
      </c>
      <c r="I4" s="395">
        <f>C33</f>
        <v>15475.621639999999</v>
      </c>
      <c r="J4" s="398">
        <f>O73/10^6</f>
        <v>14719.205859</v>
      </c>
      <c r="N4" s="153" t="s">
        <v>585</v>
      </c>
      <c r="U4" s="149"/>
      <c r="V4" s="149"/>
    </row>
    <row r="5" spans="2:22" ht="12.95" customHeight="1" x14ac:dyDescent="0.3">
      <c r="B5" s="399">
        <f>D14</f>
        <v>-38048.585126999998</v>
      </c>
      <c r="C5" s="400">
        <f>D17</f>
        <v>260.54229399999997</v>
      </c>
      <c r="D5" s="400"/>
      <c r="E5" s="401" t="s">
        <v>246</v>
      </c>
      <c r="F5" s="400">
        <f>P51/10^6</f>
        <v>125556.413277</v>
      </c>
      <c r="G5" s="400">
        <f>D30</f>
        <v>61255.104519</v>
      </c>
      <c r="H5" s="400">
        <f>D34</f>
        <v>29371.593547999997</v>
      </c>
      <c r="I5" s="400">
        <f>D33</f>
        <v>18586.514547999999</v>
      </c>
      <c r="J5" s="402">
        <f>P73/10^6</f>
        <v>16059.145172</v>
      </c>
      <c r="N5" s="153" t="s">
        <v>586</v>
      </c>
      <c r="R5" s="151" t="s">
        <v>587</v>
      </c>
      <c r="U5" s="149"/>
      <c r="V5" s="149"/>
    </row>
    <row r="6" spans="2:22" ht="12.95" customHeight="1" x14ac:dyDescent="0.3">
      <c r="N6" s="153" t="s">
        <v>588</v>
      </c>
      <c r="U6" s="149"/>
      <c r="V6" s="149"/>
    </row>
    <row r="7" spans="2:22" ht="12.95" customHeight="1" x14ac:dyDescent="0.3">
      <c r="N7" s="153" t="s">
        <v>279</v>
      </c>
      <c r="R7" s="151" t="s">
        <v>589</v>
      </c>
      <c r="U7" s="149"/>
      <c r="V7" s="149"/>
    </row>
    <row r="8" spans="2:22" ht="12.95" customHeight="1" x14ac:dyDescent="0.3">
      <c r="N8" s="154"/>
      <c r="O8" s="155">
        <v>2016</v>
      </c>
      <c r="P8" s="155">
        <v>2017</v>
      </c>
      <c r="R8" s="153" t="s">
        <v>345</v>
      </c>
      <c r="U8" s="149"/>
      <c r="V8" s="149"/>
    </row>
    <row r="9" spans="2:22" ht="12.95" customHeight="1" x14ac:dyDescent="0.3">
      <c r="B9" s="156"/>
      <c r="C9" s="157" t="s">
        <v>590</v>
      </c>
      <c r="D9" s="157" t="s">
        <v>591</v>
      </c>
      <c r="N9" s="158" t="s">
        <v>460</v>
      </c>
      <c r="O9" s="159"/>
      <c r="P9" s="159"/>
      <c r="R9" s="160" t="s">
        <v>346</v>
      </c>
      <c r="S9" s="161" t="s">
        <v>592</v>
      </c>
      <c r="T9" s="161" t="s">
        <v>556</v>
      </c>
      <c r="U9" s="161" t="s">
        <v>557</v>
      </c>
      <c r="V9" s="162" t="s">
        <v>593</v>
      </c>
    </row>
    <row r="10" spans="2:22" ht="12.95" customHeight="1" x14ac:dyDescent="0.3">
      <c r="B10" s="156" t="s">
        <v>594</v>
      </c>
      <c r="C10" s="157" t="s">
        <v>595</v>
      </c>
      <c r="D10" s="157" t="s">
        <v>595</v>
      </c>
      <c r="N10" s="158" t="s">
        <v>461</v>
      </c>
      <c r="O10" s="163">
        <v>51114217201</v>
      </c>
      <c r="P10" s="163">
        <v>74921431201</v>
      </c>
      <c r="R10" s="158" t="s">
        <v>396</v>
      </c>
      <c r="S10" s="163">
        <v>46925585</v>
      </c>
      <c r="T10" s="159" t="s">
        <v>22</v>
      </c>
      <c r="U10" s="159" t="s">
        <v>22</v>
      </c>
      <c r="V10" s="164" t="s">
        <v>22</v>
      </c>
    </row>
    <row r="11" spans="2:22" ht="12.95" customHeight="1" x14ac:dyDescent="0.3">
      <c r="B11" s="126" t="s">
        <v>596</v>
      </c>
      <c r="C11" s="152">
        <f>(O33+O39)/10^6</f>
        <v>26877</v>
      </c>
      <c r="D11" s="152">
        <f>(P33+P39)/10^6</f>
        <v>26877</v>
      </c>
      <c r="N11" s="158" t="s">
        <v>462</v>
      </c>
      <c r="O11" s="163">
        <v>28886280777</v>
      </c>
      <c r="P11" s="163">
        <v>46925585127</v>
      </c>
      <c r="R11" s="158" t="s">
        <v>409</v>
      </c>
      <c r="S11" s="163">
        <v>18000000</v>
      </c>
      <c r="T11" s="159" t="s">
        <v>22</v>
      </c>
      <c r="U11" s="159" t="s">
        <v>22</v>
      </c>
      <c r="V11" s="164" t="s">
        <v>22</v>
      </c>
    </row>
    <row r="12" spans="2:22" ht="12.95" customHeight="1" x14ac:dyDescent="0.3">
      <c r="B12" s="126" t="s">
        <v>597</v>
      </c>
      <c r="C12" s="152">
        <f>O11/10^6</f>
        <v>28886.280777</v>
      </c>
      <c r="D12" s="152">
        <f>P11/10^6</f>
        <v>46925.585126999998</v>
      </c>
      <c r="N12" s="158" t="s">
        <v>463</v>
      </c>
      <c r="O12" s="163">
        <v>11350000000</v>
      </c>
      <c r="P12" s="163">
        <v>18000000000</v>
      </c>
      <c r="R12" s="158" t="s">
        <v>552</v>
      </c>
      <c r="S12" s="163">
        <v>9145365</v>
      </c>
      <c r="T12" s="159" t="s">
        <v>22</v>
      </c>
      <c r="U12" s="159" t="s">
        <v>22</v>
      </c>
      <c r="V12" s="164" t="s">
        <v>22</v>
      </c>
    </row>
    <row r="13" spans="2:22" ht="12.95" customHeight="1" x14ac:dyDescent="0.3">
      <c r="B13" s="126" t="s">
        <v>598</v>
      </c>
      <c r="C13" s="152">
        <f>O12/10^6</f>
        <v>11350</v>
      </c>
      <c r="D13" s="152">
        <f>P12/10^6</f>
        <v>18000</v>
      </c>
      <c r="N13" s="158" t="s">
        <v>466</v>
      </c>
      <c r="O13" s="163">
        <v>9082969784</v>
      </c>
      <c r="P13" s="163">
        <v>9145364918</v>
      </c>
      <c r="R13" s="158" t="s">
        <v>580</v>
      </c>
      <c r="S13" s="163">
        <v>245824</v>
      </c>
      <c r="T13" s="159" t="s">
        <v>22</v>
      </c>
      <c r="U13" s="159" t="s">
        <v>22</v>
      </c>
      <c r="V13" s="164" t="s">
        <v>22</v>
      </c>
    </row>
    <row r="14" spans="2:22" ht="12.95" customHeight="1" x14ac:dyDescent="0.3">
      <c r="B14" s="156" t="s">
        <v>599</v>
      </c>
      <c r="C14" s="165">
        <f>-SUM(C12:C13)+C11</f>
        <v>-13359.280777</v>
      </c>
      <c r="D14" s="165">
        <f>-SUM(D12:D13)+D11</f>
        <v>-38048.585126999998</v>
      </c>
      <c r="N14" s="158" t="s">
        <v>473</v>
      </c>
      <c r="O14" s="163">
        <v>55055000</v>
      </c>
      <c r="P14" s="163">
        <v>36665000</v>
      </c>
      <c r="R14" s="158" t="s">
        <v>369</v>
      </c>
      <c r="S14" s="163">
        <v>4500</v>
      </c>
      <c r="T14" s="159" t="s">
        <v>22</v>
      </c>
      <c r="U14" s="159" t="s">
        <v>22</v>
      </c>
      <c r="V14" s="164" t="s">
        <v>22</v>
      </c>
    </row>
    <row r="15" spans="2:22" ht="12.95" customHeight="1" x14ac:dyDescent="0.3">
      <c r="B15" s="479"/>
      <c r="C15" s="480"/>
      <c r="D15" s="480"/>
      <c r="N15" s="158" t="s">
        <v>474</v>
      </c>
      <c r="O15" s="163">
        <v>25240000</v>
      </c>
      <c r="P15" s="163">
        <v>21690000</v>
      </c>
      <c r="R15" s="158" t="s">
        <v>556</v>
      </c>
      <c r="S15" s="159" t="s">
        <v>22</v>
      </c>
      <c r="T15" s="163">
        <v>143772</v>
      </c>
      <c r="U15" s="159" t="s">
        <v>22</v>
      </c>
      <c r="V15" s="164" t="s">
        <v>22</v>
      </c>
    </row>
    <row r="16" spans="2:22" ht="12.95" customHeight="1" x14ac:dyDescent="0.3">
      <c r="C16" s="152"/>
      <c r="D16" s="152"/>
      <c r="N16" s="158" t="s">
        <v>526</v>
      </c>
      <c r="O16" s="163">
        <v>245127692</v>
      </c>
      <c r="P16" s="163">
        <v>245823917</v>
      </c>
      <c r="R16" s="158" t="s">
        <v>557</v>
      </c>
      <c r="S16" s="159" t="s">
        <v>22</v>
      </c>
      <c r="T16" s="159" t="s">
        <v>22</v>
      </c>
      <c r="U16" s="163">
        <v>112270</v>
      </c>
      <c r="V16" s="164" t="s">
        <v>22</v>
      </c>
    </row>
    <row r="17" spans="2:22" ht="12.95" customHeight="1" x14ac:dyDescent="0.3">
      <c r="B17" s="156" t="s">
        <v>600</v>
      </c>
      <c r="C17" s="165">
        <f>SUM(C18:C22)</f>
        <v>3123.8872650000003</v>
      </c>
      <c r="D17" s="165">
        <f>SUM(D18:D22)</f>
        <v>260.54229399999997</v>
      </c>
      <c r="N17" s="158" t="s">
        <v>470</v>
      </c>
      <c r="O17" s="163">
        <v>1419381360</v>
      </c>
      <c r="P17" s="163">
        <v>508066325</v>
      </c>
      <c r="R17" s="158" t="s">
        <v>582</v>
      </c>
      <c r="S17" s="163">
        <v>2109727</v>
      </c>
      <c r="T17" s="159" t="s">
        <v>22</v>
      </c>
      <c r="U17" s="159" t="s">
        <v>22</v>
      </c>
      <c r="V17" s="164" t="s">
        <v>22</v>
      </c>
    </row>
    <row r="18" spans="2:22" ht="12.95" customHeight="1" x14ac:dyDescent="0.3">
      <c r="B18" s="126" t="s">
        <v>601</v>
      </c>
      <c r="C18" s="152">
        <f>SUM(O15,O21,O23)/10^6</f>
        <v>1118.9755</v>
      </c>
      <c r="D18" s="152">
        <f>SUM(P15,P21,P23)/10^6</f>
        <v>116.77</v>
      </c>
      <c r="N18" s="158" t="s">
        <v>527</v>
      </c>
      <c r="O18" s="159"/>
      <c r="P18" s="159"/>
      <c r="R18" s="158" t="s">
        <v>559</v>
      </c>
      <c r="S18" s="159" t="s">
        <v>22</v>
      </c>
      <c r="T18" s="159" t="s">
        <v>22</v>
      </c>
      <c r="U18" s="159" t="s">
        <v>22</v>
      </c>
      <c r="V18" s="167">
        <v>987844</v>
      </c>
    </row>
    <row r="19" spans="2:22" ht="12.95" customHeight="1" x14ac:dyDescent="0.3">
      <c r="B19" s="126" t="s">
        <v>602</v>
      </c>
      <c r="C19" s="152">
        <v>0</v>
      </c>
      <c r="D19" s="152">
        <v>0</v>
      </c>
      <c r="N19" s="158" t="s">
        <v>528</v>
      </c>
      <c r="O19" s="163">
        <v>50162588</v>
      </c>
      <c r="P19" s="163">
        <v>38235914</v>
      </c>
      <c r="R19" s="158" t="s">
        <v>603</v>
      </c>
      <c r="S19" s="159" t="s">
        <v>22</v>
      </c>
      <c r="T19" s="159" t="s">
        <v>22</v>
      </c>
      <c r="U19" s="159" t="s">
        <v>22</v>
      </c>
      <c r="V19" s="167">
        <v>4555734</v>
      </c>
    </row>
    <row r="20" spans="2:22" ht="12.95" customHeight="1" x14ac:dyDescent="0.3">
      <c r="B20" s="126" t="s">
        <v>604</v>
      </c>
      <c r="C20" s="152">
        <v>0</v>
      </c>
      <c r="D20" s="152">
        <v>0</v>
      </c>
      <c r="N20" s="158" t="s">
        <v>471</v>
      </c>
      <c r="O20" s="163">
        <v>102803197359</v>
      </c>
      <c r="P20" s="163">
        <v>97824811089</v>
      </c>
      <c r="R20" s="158" t="s">
        <v>418</v>
      </c>
      <c r="S20" s="159" t="s">
        <v>22</v>
      </c>
      <c r="T20" s="159" t="s">
        <v>22</v>
      </c>
      <c r="U20" s="159" t="s">
        <v>22</v>
      </c>
      <c r="V20" s="167">
        <v>26877000</v>
      </c>
    </row>
    <row r="21" spans="2:22" ht="12.95" customHeight="1" x14ac:dyDescent="0.3">
      <c r="B21" s="126" t="s">
        <v>265</v>
      </c>
      <c r="C21" s="152">
        <f>(O14+O22)/10^6</f>
        <v>2003.4117650000001</v>
      </c>
      <c r="D21" s="152">
        <f>(P14+P22)/10^6</f>
        <v>143.77229399999999</v>
      </c>
      <c r="N21" s="158" t="s">
        <v>472</v>
      </c>
      <c r="O21" s="163">
        <v>1012315500</v>
      </c>
      <c r="P21" s="163">
        <v>4500000</v>
      </c>
      <c r="R21" s="168" t="s">
        <v>361</v>
      </c>
      <c r="S21" s="169">
        <v>76431001</v>
      </c>
      <c r="T21" s="169">
        <v>143772</v>
      </c>
      <c r="U21" s="169">
        <v>112270</v>
      </c>
      <c r="V21" s="170">
        <v>32420578</v>
      </c>
    </row>
    <row r="22" spans="2:22" ht="12.95" customHeight="1" x14ac:dyDescent="0.3">
      <c r="B22" s="126" t="s">
        <v>605</v>
      </c>
      <c r="C22" s="152">
        <f>U52/10^3</f>
        <v>1.5</v>
      </c>
      <c r="D22" s="152">
        <v>0</v>
      </c>
      <c r="E22" s="126" t="s">
        <v>606</v>
      </c>
      <c r="N22" s="158" t="s">
        <v>473</v>
      </c>
      <c r="O22" s="163">
        <v>1948356765</v>
      </c>
      <c r="P22" s="163">
        <v>107107294</v>
      </c>
      <c r="U22" s="149"/>
      <c r="V22" s="149"/>
    </row>
    <row r="23" spans="2:22" ht="12.95" customHeight="1" x14ac:dyDescent="0.3">
      <c r="C23" s="152"/>
      <c r="D23" s="152"/>
      <c r="N23" s="158" t="s">
        <v>474</v>
      </c>
      <c r="O23" s="163">
        <v>81420000</v>
      </c>
      <c r="P23" s="163">
        <v>90580000</v>
      </c>
      <c r="R23" s="151" t="s">
        <v>607</v>
      </c>
      <c r="U23" s="149"/>
      <c r="V23" s="149"/>
    </row>
    <row r="24" spans="2:22" ht="12.95" customHeight="1" x14ac:dyDescent="0.3">
      <c r="C24" s="152"/>
      <c r="D24" s="152"/>
      <c r="N24" s="158" t="s">
        <v>476</v>
      </c>
      <c r="O24" s="163">
        <v>91109007387</v>
      </c>
      <c r="P24" s="163">
        <v>85408356850</v>
      </c>
      <c r="R24" s="151"/>
      <c r="U24" s="149"/>
      <c r="V24" s="149"/>
    </row>
    <row r="25" spans="2:22" ht="12.95" customHeight="1" x14ac:dyDescent="0.3">
      <c r="C25" s="152"/>
      <c r="D25" s="152"/>
      <c r="N25" s="158" t="s">
        <v>477</v>
      </c>
      <c r="O25" s="163">
        <v>5461073518</v>
      </c>
      <c r="P25" s="163">
        <v>7247343318</v>
      </c>
      <c r="R25" s="153" t="s">
        <v>345</v>
      </c>
      <c r="U25" s="149"/>
      <c r="V25" s="149"/>
    </row>
    <row r="26" spans="2:22" ht="12.95" customHeight="1" x14ac:dyDescent="0.3">
      <c r="C26" s="152"/>
      <c r="D26" s="152"/>
      <c r="N26" s="158" t="s">
        <v>529</v>
      </c>
      <c r="O26" s="163">
        <v>1715454725</v>
      </c>
      <c r="P26" s="163">
        <v>2109726596</v>
      </c>
      <c r="R26" s="160" t="s">
        <v>346</v>
      </c>
      <c r="S26" s="161" t="s">
        <v>592</v>
      </c>
      <c r="T26" s="161" t="s">
        <v>556</v>
      </c>
      <c r="U26" s="161" t="s">
        <v>557</v>
      </c>
      <c r="V26" s="162" t="s">
        <v>593</v>
      </c>
    </row>
    <row r="27" spans="2:22" ht="12.95" customHeight="1" x14ac:dyDescent="0.3">
      <c r="C27" s="152"/>
      <c r="D27" s="152"/>
      <c r="N27" s="158" t="s">
        <v>530</v>
      </c>
      <c r="O27" s="159">
        <v>0</v>
      </c>
      <c r="P27" s="163">
        <v>995530810</v>
      </c>
      <c r="R27" s="158" t="s">
        <v>409</v>
      </c>
      <c r="S27" s="163">
        <v>11350000</v>
      </c>
      <c r="T27" s="159" t="s">
        <v>22</v>
      </c>
      <c r="U27" s="159" t="s">
        <v>22</v>
      </c>
      <c r="V27" s="164" t="s">
        <v>22</v>
      </c>
    </row>
    <row r="28" spans="2:22" ht="12.95" customHeight="1" x14ac:dyDescent="0.3">
      <c r="B28" s="156"/>
      <c r="C28" s="157" t="s">
        <v>608</v>
      </c>
      <c r="D28" s="157" t="s">
        <v>609</v>
      </c>
      <c r="N28" s="158" t="s">
        <v>610</v>
      </c>
      <c r="O28" s="163">
        <v>1475569464</v>
      </c>
      <c r="P28" s="163">
        <v>1861666221</v>
      </c>
      <c r="R28" s="158" t="s">
        <v>552</v>
      </c>
      <c r="S28" s="163">
        <v>9082970</v>
      </c>
      <c r="T28" s="159" t="s">
        <v>22</v>
      </c>
      <c r="U28" s="159" t="s">
        <v>22</v>
      </c>
      <c r="V28" s="164" t="s">
        <v>22</v>
      </c>
    </row>
    <row r="29" spans="2:22" ht="12.95" customHeight="1" x14ac:dyDescent="0.3">
      <c r="B29" s="156" t="s">
        <v>611</v>
      </c>
      <c r="C29" s="157" t="s">
        <v>612</v>
      </c>
      <c r="D29" s="157" t="s">
        <v>613</v>
      </c>
      <c r="N29" s="158" t="s">
        <v>479</v>
      </c>
      <c r="O29" s="163">
        <v>153917414560</v>
      </c>
      <c r="P29" s="163">
        <v>172746242290</v>
      </c>
      <c r="R29" s="158" t="s">
        <v>580</v>
      </c>
      <c r="S29" s="163">
        <v>245128</v>
      </c>
      <c r="T29" s="159" t="s">
        <v>22</v>
      </c>
      <c r="U29" s="159" t="s">
        <v>22</v>
      </c>
      <c r="V29" s="164" t="s">
        <v>22</v>
      </c>
    </row>
    <row r="30" spans="2:22" ht="12.95" customHeight="1" x14ac:dyDescent="0.3">
      <c r="B30" s="126" t="s">
        <v>614</v>
      </c>
      <c r="C30" s="152">
        <f>O62/10^6</f>
        <v>55095.779281000003</v>
      </c>
      <c r="D30" s="152">
        <f>P62/10^6</f>
        <v>61255.104519</v>
      </c>
      <c r="N30" s="158" t="s">
        <v>480</v>
      </c>
      <c r="O30" s="159"/>
      <c r="P30" s="159"/>
      <c r="R30" s="158" t="s">
        <v>369</v>
      </c>
      <c r="S30" s="163">
        <v>1012316</v>
      </c>
      <c r="T30" s="159" t="s">
        <v>22</v>
      </c>
      <c r="U30" s="159" t="s">
        <v>22</v>
      </c>
      <c r="V30" s="164" t="s">
        <v>22</v>
      </c>
    </row>
    <row r="31" spans="2:22" ht="12.95" customHeight="1" x14ac:dyDescent="0.3">
      <c r="B31" s="126" t="s">
        <v>615</v>
      </c>
      <c r="C31" s="152"/>
      <c r="D31" s="152"/>
      <c r="N31" s="158" t="s">
        <v>481</v>
      </c>
      <c r="O31" s="163">
        <v>10635544794</v>
      </c>
      <c r="P31" s="163">
        <v>14284279261</v>
      </c>
      <c r="R31" s="158" t="s">
        <v>556</v>
      </c>
      <c r="S31" s="159" t="s">
        <v>22</v>
      </c>
      <c r="T31" s="163">
        <v>2003412</v>
      </c>
      <c r="U31" s="159" t="s">
        <v>22</v>
      </c>
      <c r="V31" s="164" t="s">
        <v>22</v>
      </c>
    </row>
    <row r="32" spans="2:22" ht="12.95" customHeight="1" x14ac:dyDescent="0.3">
      <c r="B32" s="126" t="s">
        <v>616</v>
      </c>
      <c r="C32" s="152"/>
      <c r="D32" s="152"/>
      <c r="N32" s="158" t="s">
        <v>484</v>
      </c>
      <c r="O32" s="163">
        <v>1220761374</v>
      </c>
      <c r="P32" s="163">
        <v>987844296</v>
      </c>
      <c r="R32" s="158" t="s">
        <v>557</v>
      </c>
      <c r="S32" s="159" t="s">
        <v>22</v>
      </c>
      <c r="T32" s="159" t="s">
        <v>22</v>
      </c>
      <c r="U32" s="163">
        <v>106660</v>
      </c>
      <c r="V32" s="164" t="s">
        <v>22</v>
      </c>
    </row>
    <row r="33" spans="2:22" ht="12.95" customHeight="1" x14ac:dyDescent="0.3">
      <c r="B33" s="126" t="s">
        <v>617</v>
      </c>
      <c r="C33" s="152">
        <f>O66/10^6</f>
        <v>15475.621639999999</v>
      </c>
      <c r="D33" s="152">
        <f>P66/10^6</f>
        <v>18586.514547999999</v>
      </c>
      <c r="N33" s="158" t="s">
        <v>483</v>
      </c>
      <c r="O33" s="159">
        <v>0</v>
      </c>
      <c r="P33" s="163">
        <v>1071800000</v>
      </c>
      <c r="R33" s="158" t="s">
        <v>582</v>
      </c>
      <c r="S33" s="163">
        <v>1715455</v>
      </c>
      <c r="T33" s="159" t="s">
        <v>22</v>
      </c>
      <c r="U33" s="159" t="s">
        <v>22</v>
      </c>
      <c r="V33" s="164" t="s">
        <v>22</v>
      </c>
    </row>
    <row r="34" spans="2:22" ht="12.95" customHeight="1" x14ac:dyDescent="0.3">
      <c r="B34" s="126" t="s">
        <v>270</v>
      </c>
      <c r="C34" s="152">
        <f>C33+C36</f>
        <v>22232.95364</v>
      </c>
      <c r="D34" s="152">
        <f>D33+D36</f>
        <v>29371.593547999997</v>
      </c>
      <c r="N34" s="158" t="s">
        <v>532</v>
      </c>
      <c r="O34" s="163">
        <v>1293721312</v>
      </c>
      <c r="P34" s="163">
        <v>3403177240</v>
      </c>
      <c r="R34" s="158" t="s">
        <v>559</v>
      </c>
      <c r="S34" s="159" t="s">
        <v>22</v>
      </c>
      <c r="T34" s="159" t="s">
        <v>22</v>
      </c>
      <c r="U34" s="159" t="s">
        <v>22</v>
      </c>
      <c r="V34" s="167">
        <v>1220761</v>
      </c>
    </row>
    <row r="35" spans="2:22" ht="12.95" customHeight="1" x14ac:dyDescent="0.3">
      <c r="C35" s="152"/>
      <c r="D35" s="152"/>
      <c r="N35" s="158" t="s">
        <v>618</v>
      </c>
      <c r="O35" s="163">
        <v>6326514015</v>
      </c>
      <c r="P35" s="163">
        <v>4555734318</v>
      </c>
      <c r="R35" s="158" t="s">
        <v>603</v>
      </c>
      <c r="S35" s="159" t="s">
        <v>22</v>
      </c>
      <c r="T35" s="159" t="s">
        <v>22</v>
      </c>
      <c r="U35" s="159" t="s">
        <v>22</v>
      </c>
      <c r="V35" s="167">
        <v>6326514</v>
      </c>
    </row>
    <row r="36" spans="2:22" ht="12.95" customHeight="1" x14ac:dyDescent="0.3">
      <c r="B36" s="126" t="s">
        <v>619</v>
      </c>
      <c r="C36" s="152">
        <f>S118/10^3</f>
        <v>6757.3320000000003</v>
      </c>
      <c r="D36" s="152">
        <f>T118/10^3</f>
        <v>10785.079</v>
      </c>
      <c r="N36" s="158" t="s">
        <v>533</v>
      </c>
      <c r="O36" s="163">
        <v>1794548093</v>
      </c>
      <c r="P36" s="163">
        <v>1902383407</v>
      </c>
      <c r="R36" s="158" t="s">
        <v>418</v>
      </c>
      <c r="S36" s="159" t="s">
        <v>22</v>
      </c>
      <c r="T36" s="159" t="s">
        <v>22</v>
      </c>
      <c r="U36" s="159" t="s">
        <v>22</v>
      </c>
      <c r="V36" s="167">
        <v>26877000</v>
      </c>
    </row>
    <row r="37" spans="2:22" ht="12.95" customHeight="1" x14ac:dyDescent="0.3">
      <c r="C37" s="152"/>
      <c r="D37" s="152"/>
      <c r="N37" s="158" t="s">
        <v>620</v>
      </c>
      <c r="O37" s="159">
        <v>0</v>
      </c>
      <c r="P37" s="163">
        <v>2363340000</v>
      </c>
      <c r="R37" s="168" t="s">
        <v>361</v>
      </c>
      <c r="S37" s="169">
        <v>23405869</v>
      </c>
      <c r="T37" s="169">
        <v>2003412</v>
      </c>
      <c r="U37" s="169">
        <v>106660</v>
      </c>
      <c r="V37" s="170">
        <v>34424275</v>
      </c>
    </row>
    <row r="38" spans="2:22" ht="12.95" customHeight="1" x14ac:dyDescent="0.3">
      <c r="C38" s="152"/>
      <c r="D38" s="152"/>
      <c r="N38" s="158" t="s">
        <v>493</v>
      </c>
      <c r="O38" s="163">
        <v>32657835623</v>
      </c>
      <c r="P38" s="163">
        <v>32905549752</v>
      </c>
    </row>
    <row r="39" spans="2:22" ht="12.95" customHeight="1" x14ac:dyDescent="0.3">
      <c r="C39" s="152"/>
      <c r="D39" s="152"/>
      <c r="N39" s="158" t="s">
        <v>494</v>
      </c>
      <c r="O39" s="163">
        <v>26877000000</v>
      </c>
      <c r="P39" s="163">
        <v>25805200000</v>
      </c>
    </row>
    <row r="40" spans="2:22" ht="12.95" customHeight="1" x14ac:dyDescent="0.3">
      <c r="C40" s="152"/>
      <c r="D40" s="152"/>
      <c r="N40" s="158" t="s">
        <v>621</v>
      </c>
      <c r="O40" s="163">
        <v>589204506</v>
      </c>
      <c r="P40" s="163">
        <v>6716807</v>
      </c>
    </row>
    <row r="41" spans="2:22" ht="12.95" customHeight="1" x14ac:dyDescent="0.3">
      <c r="C41" s="152"/>
      <c r="D41" s="152"/>
      <c r="N41" s="158" t="s">
        <v>535</v>
      </c>
      <c r="O41" s="159">
        <v>0</v>
      </c>
      <c r="P41" s="163">
        <v>129577209</v>
      </c>
      <c r="R41" s="151" t="s">
        <v>622</v>
      </c>
    </row>
    <row r="42" spans="2:22" ht="12.95" customHeight="1" x14ac:dyDescent="0.3">
      <c r="C42" s="152"/>
      <c r="D42" s="152"/>
      <c r="N42" s="158" t="s">
        <v>620</v>
      </c>
      <c r="O42" s="163">
        <v>5191631117</v>
      </c>
      <c r="P42" s="163">
        <v>6964055736</v>
      </c>
      <c r="R42" s="153" t="s">
        <v>345</v>
      </c>
    </row>
    <row r="43" spans="2:22" ht="12.95" customHeight="1" x14ac:dyDescent="0.3">
      <c r="C43" s="152"/>
      <c r="D43" s="152"/>
      <c r="N43" s="158" t="s">
        <v>498</v>
      </c>
      <c r="O43" s="163">
        <v>43293380417</v>
      </c>
      <c r="P43" s="163">
        <v>47189829013</v>
      </c>
      <c r="R43" s="160" t="s">
        <v>623</v>
      </c>
      <c r="S43" s="161" t="s">
        <v>368</v>
      </c>
      <c r="T43" s="162" t="s">
        <v>347</v>
      </c>
    </row>
    <row r="44" spans="2:22" ht="12.95" customHeight="1" x14ac:dyDescent="0.3">
      <c r="C44" s="152"/>
      <c r="D44" s="152"/>
      <c r="N44" s="158" t="s">
        <v>499</v>
      </c>
      <c r="O44" s="159"/>
      <c r="P44" s="159"/>
      <c r="R44" s="158" t="s">
        <v>369</v>
      </c>
      <c r="S44" s="159"/>
      <c r="T44" s="164"/>
    </row>
    <row r="45" spans="2:22" ht="12.95" customHeight="1" x14ac:dyDescent="0.3">
      <c r="C45" s="152"/>
      <c r="D45" s="152"/>
      <c r="N45" s="158" t="s">
        <v>536</v>
      </c>
      <c r="O45" s="163">
        <v>110615623733</v>
      </c>
      <c r="P45" s="163">
        <v>125548416965</v>
      </c>
      <c r="R45" s="168" t="s">
        <v>624</v>
      </c>
      <c r="S45" s="169">
        <v>4500</v>
      </c>
      <c r="T45" s="170">
        <v>2500</v>
      </c>
    </row>
    <row r="46" spans="2:22" ht="12.95" customHeight="1" x14ac:dyDescent="0.3">
      <c r="C46" s="152"/>
      <c r="D46" s="152"/>
      <c r="N46" s="158" t="s">
        <v>537</v>
      </c>
      <c r="O46" s="163">
        <v>25000000000</v>
      </c>
      <c r="P46" s="163">
        <v>25000000000</v>
      </c>
    </row>
    <row r="47" spans="2:22" ht="12.95" customHeight="1" x14ac:dyDescent="0.3">
      <c r="C47" s="152"/>
      <c r="D47" s="152"/>
      <c r="N47" s="158" t="s">
        <v>625</v>
      </c>
      <c r="O47" s="163">
        <v>1385970000</v>
      </c>
      <c r="P47" s="163">
        <v>1385970000</v>
      </c>
    </row>
    <row r="48" spans="2:22" ht="12.95" customHeight="1" x14ac:dyDescent="0.3">
      <c r="C48" s="152"/>
      <c r="D48" s="152"/>
      <c r="N48" s="158" t="s">
        <v>540</v>
      </c>
      <c r="O48" s="163">
        <v>84336793733</v>
      </c>
      <c r="P48" s="163">
        <v>99260317942</v>
      </c>
      <c r="R48" s="151" t="s">
        <v>626</v>
      </c>
    </row>
    <row r="49" spans="3:22" ht="12.95" customHeight="1" x14ac:dyDescent="0.3">
      <c r="C49" s="152"/>
      <c r="D49" s="152"/>
      <c r="N49" s="158" t="s">
        <v>627</v>
      </c>
      <c r="O49" s="163">
        <v>-107140000</v>
      </c>
      <c r="P49" s="163">
        <v>-97870977</v>
      </c>
      <c r="R49" s="153" t="s">
        <v>345</v>
      </c>
    </row>
    <row r="50" spans="3:22" ht="12.95" customHeight="1" x14ac:dyDescent="0.3">
      <c r="C50" s="152"/>
      <c r="D50" s="152"/>
      <c r="N50" s="158" t="s">
        <v>541</v>
      </c>
      <c r="O50" s="163">
        <v>8410410</v>
      </c>
      <c r="P50" s="163">
        <v>7996312</v>
      </c>
      <c r="R50" s="171" t="s">
        <v>623</v>
      </c>
      <c r="S50" s="172" t="s">
        <v>368</v>
      </c>
      <c r="T50" s="173"/>
      <c r="U50" s="533" t="s">
        <v>347</v>
      </c>
      <c r="V50" s="534"/>
    </row>
    <row r="51" spans="3:22" ht="12.95" customHeight="1" x14ac:dyDescent="0.3">
      <c r="C51" s="152"/>
      <c r="D51" s="152"/>
      <c r="N51" s="158" t="s">
        <v>504</v>
      </c>
      <c r="O51" s="163">
        <v>110624034143</v>
      </c>
      <c r="P51" s="163">
        <v>125556413277</v>
      </c>
      <c r="R51" s="174"/>
      <c r="S51" s="175" t="s">
        <v>628</v>
      </c>
      <c r="T51" s="175" t="s">
        <v>629</v>
      </c>
      <c r="U51" s="112" t="s">
        <v>628</v>
      </c>
      <c r="V51" s="129" t="s">
        <v>629</v>
      </c>
    </row>
    <row r="52" spans="3:22" ht="12.95" customHeight="1" x14ac:dyDescent="0.2">
      <c r="C52" s="152"/>
      <c r="D52" s="152"/>
      <c r="N52" s="168" t="s">
        <v>505</v>
      </c>
      <c r="O52" s="169">
        <v>153917414560</v>
      </c>
      <c r="P52" s="169">
        <v>172746242290</v>
      </c>
      <c r="R52" s="176" t="s">
        <v>630</v>
      </c>
      <c r="S52" s="177" t="s">
        <v>22</v>
      </c>
      <c r="T52" s="177" t="s">
        <v>22</v>
      </c>
      <c r="U52" s="178">
        <v>1500</v>
      </c>
      <c r="V52" s="179"/>
    </row>
    <row r="53" spans="3:22" ht="12.95" customHeight="1" x14ac:dyDescent="0.2">
      <c r="C53" s="152"/>
      <c r="D53" s="152"/>
      <c r="R53" s="176" t="s">
        <v>554</v>
      </c>
      <c r="S53" s="180">
        <v>61919</v>
      </c>
      <c r="T53" s="177" t="s">
        <v>22</v>
      </c>
      <c r="U53" s="178">
        <v>107890</v>
      </c>
      <c r="V53" s="179" t="s">
        <v>22</v>
      </c>
    </row>
    <row r="54" spans="3:22" ht="12.95" customHeight="1" x14ac:dyDescent="0.2">
      <c r="C54" s="152"/>
      <c r="D54" s="152"/>
      <c r="R54" s="176" t="s">
        <v>555</v>
      </c>
      <c r="S54" s="180">
        <v>183905</v>
      </c>
      <c r="T54" s="177" t="s">
        <v>22</v>
      </c>
      <c r="U54" s="178">
        <v>135738</v>
      </c>
      <c r="V54" s="179" t="s">
        <v>22</v>
      </c>
    </row>
    <row r="55" spans="3:22" ht="12.95" customHeight="1" x14ac:dyDescent="0.2">
      <c r="R55" s="176" t="s">
        <v>371</v>
      </c>
      <c r="S55" s="177" t="s">
        <v>22</v>
      </c>
      <c r="T55" s="180">
        <v>2109727</v>
      </c>
      <c r="U55" s="181" t="s">
        <v>22</v>
      </c>
      <c r="V55" s="182">
        <v>1715455</v>
      </c>
    </row>
    <row r="56" spans="3:22" ht="12.95" customHeight="1" x14ac:dyDescent="0.2">
      <c r="N56" s="150" t="s">
        <v>551</v>
      </c>
      <c r="R56" s="183" t="s">
        <v>361</v>
      </c>
      <c r="S56" s="184">
        <v>245824</v>
      </c>
      <c r="T56" s="184">
        <v>2109727</v>
      </c>
      <c r="U56" s="185">
        <v>245128</v>
      </c>
      <c r="V56" s="186">
        <v>1715455</v>
      </c>
    </row>
    <row r="57" spans="3:22" ht="12.95" customHeight="1" x14ac:dyDescent="0.3">
      <c r="N57" s="153" t="s">
        <v>631</v>
      </c>
    </row>
    <row r="58" spans="3:22" ht="12.95" customHeight="1" x14ac:dyDescent="0.3">
      <c r="N58" s="153" t="s">
        <v>632</v>
      </c>
    </row>
    <row r="59" spans="3:22" ht="12.95" customHeight="1" x14ac:dyDescent="0.3">
      <c r="N59" s="153" t="s">
        <v>633</v>
      </c>
      <c r="R59" s="151" t="s">
        <v>634</v>
      </c>
    </row>
    <row r="60" spans="3:22" ht="12.95" customHeight="1" x14ac:dyDescent="0.3">
      <c r="N60" s="153" t="s">
        <v>279</v>
      </c>
    </row>
    <row r="61" spans="3:22" ht="12.95" customHeight="1" x14ac:dyDescent="0.3">
      <c r="N61" s="154"/>
      <c r="O61" s="155">
        <v>2016</v>
      </c>
      <c r="P61" s="155">
        <v>2017</v>
      </c>
      <c r="R61" s="151" t="s">
        <v>635</v>
      </c>
    </row>
    <row r="62" spans="3:22" ht="12.95" customHeight="1" x14ac:dyDescent="0.3">
      <c r="N62" s="158" t="s">
        <v>542</v>
      </c>
      <c r="O62" s="163">
        <v>55095779281</v>
      </c>
      <c r="P62" s="163">
        <v>61255104519</v>
      </c>
      <c r="R62" s="151"/>
    </row>
    <row r="63" spans="3:22" ht="12.95" customHeight="1" x14ac:dyDescent="0.3">
      <c r="N63" s="158" t="s">
        <v>507</v>
      </c>
      <c r="O63" s="163">
        <v>34338313483</v>
      </c>
      <c r="P63" s="163">
        <v>37331138174</v>
      </c>
      <c r="R63" s="153" t="s">
        <v>345</v>
      </c>
    </row>
    <row r="64" spans="3:22" ht="12.95" customHeight="1" x14ac:dyDescent="0.3">
      <c r="N64" s="158" t="s">
        <v>508</v>
      </c>
      <c r="O64" s="163">
        <v>20757465798</v>
      </c>
      <c r="P64" s="163">
        <v>23923966345</v>
      </c>
      <c r="R64" s="171" t="s">
        <v>636</v>
      </c>
      <c r="S64" s="172" t="s">
        <v>637</v>
      </c>
      <c r="T64" s="187"/>
    </row>
    <row r="65" spans="14:20" ht="12.95" customHeight="1" x14ac:dyDescent="0.3">
      <c r="N65" s="158" t="s">
        <v>509</v>
      </c>
      <c r="O65" s="163">
        <v>5281844158</v>
      </c>
      <c r="P65" s="163">
        <v>5337451797</v>
      </c>
      <c r="R65" s="174"/>
      <c r="S65" s="175" t="s">
        <v>368</v>
      </c>
      <c r="T65" s="188" t="s">
        <v>347</v>
      </c>
    </row>
    <row r="66" spans="14:20" ht="12.95" customHeight="1" x14ac:dyDescent="0.3">
      <c r="N66" s="158" t="s">
        <v>638</v>
      </c>
      <c r="O66" s="163">
        <v>15475621640</v>
      </c>
      <c r="P66" s="163">
        <v>18586514548</v>
      </c>
      <c r="R66" s="189" t="s">
        <v>639</v>
      </c>
      <c r="S66" s="190"/>
      <c r="T66" s="191"/>
    </row>
    <row r="67" spans="14:20" ht="12.95" customHeight="1" x14ac:dyDescent="0.3">
      <c r="N67" s="158" t="s">
        <v>640</v>
      </c>
      <c r="O67" s="163">
        <v>415891521</v>
      </c>
      <c r="P67" s="163">
        <v>711143379</v>
      </c>
      <c r="R67" s="158" t="s">
        <v>641</v>
      </c>
      <c r="S67" s="163">
        <v>36665</v>
      </c>
      <c r="T67" s="167">
        <v>55055</v>
      </c>
    </row>
    <row r="68" spans="14:20" ht="12.95" customHeight="1" x14ac:dyDescent="0.3">
      <c r="N68" s="158" t="s">
        <v>543</v>
      </c>
      <c r="O68" s="163">
        <v>579484907</v>
      </c>
      <c r="P68" s="163">
        <v>434218906</v>
      </c>
      <c r="R68" s="158" t="s">
        <v>642</v>
      </c>
      <c r="S68" s="163">
        <v>30025</v>
      </c>
      <c r="T68" s="167">
        <v>56665</v>
      </c>
    </row>
    <row r="69" spans="14:20" ht="12.95" customHeight="1" x14ac:dyDescent="0.3">
      <c r="N69" s="158" t="s">
        <v>643</v>
      </c>
      <c r="O69" s="163">
        <v>1152076524</v>
      </c>
      <c r="P69" s="163">
        <v>1241499399</v>
      </c>
      <c r="R69" s="189" t="s">
        <v>644</v>
      </c>
      <c r="S69" s="190"/>
      <c r="T69" s="191"/>
    </row>
    <row r="70" spans="14:20" ht="12.95" customHeight="1" x14ac:dyDescent="0.3">
      <c r="N70" s="158" t="s">
        <v>544</v>
      </c>
      <c r="O70" s="163">
        <v>28054165</v>
      </c>
      <c r="P70" s="163">
        <v>132347364</v>
      </c>
      <c r="R70" s="158" t="s">
        <v>645</v>
      </c>
      <c r="S70" s="159" t="s">
        <v>22</v>
      </c>
      <c r="T70" s="167">
        <v>1726637</v>
      </c>
    </row>
    <row r="71" spans="14:20" ht="12.95" customHeight="1" x14ac:dyDescent="0.3">
      <c r="N71" s="158" t="s">
        <v>545</v>
      </c>
      <c r="O71" s="163">
        <v>16436050613</v>
      </c>
      <c r="P71" s="163">
        <v>19972591056</v>
      </c>
      <c r="R71" s="158" t="s">
        <v>646</v>
      </c>
      <c r="S71" s="159" t="s">
        <v>22</v>
      </c>
      <c r="T71" s="167">
        <v>99856</v>
      </c>
    </row>
    <row r="72" spans="14:20" ht="12.95" customHeight="1" x14ac:dyDescent="0.3">
      <c r="N72" s="158" t="s">
        <v>516</v>
      </c>
      <c r="O72" s="163">
        <v>1716844754</v>
      </c>
      <c r="P72" s="163">
        <v>3913445884</v>
      </c>
      <c r="R72" s="158" t="s">
        <v>647</v>
      </c>
      <c r="S72" s="163">
        <v>52055</v>
      </c>
      <c r="T72" s="167">
        <v>15000</v>
      </c>
    </row>
    <row r="73" spans="14:20" ht="12.95" customHeight="1" x14ac:dyDescent="0.3">
      <c r="N73" s="158" t="s">
        <v>547</v>
      </c>
      <c r="O73" s="163">
        <v>14719205859</v>
      </c>
      <c r="P73" s="163">
        <v>16059145172</v>
      </c>
      <c r="R73" s="158" t="s">
        <v>648</v>
      </c>
      <c r="S73" s="163">
        <v>25027</v>
      </c>
      <c r="T73" s="167">
        <v>50199</v>
      </c>
    </row>
    <row r="74" spans="14:20" ht="12.95" customHeight="1" x14ac:dyDescent="0.3">
      <c r="N74" s="158" t="s">
        <v>649</v>
      </c>
      <c r="O74" s="163">
        <v>-73403476</v>
      </c>
      <c r="P74" s="163">
        <v>117876962</v>
      </c>
      <c r="R74" s="183" t="s">
        <v>650</v>
      </c>
      <c r="S74" s="169">
        <v>143772</v>
      </c>
      <c r="T74" s="170">
        <v>2003412</v>
      </c>
    </row>
    <row r="75" spans="14:20" ht="12.95" customHeight="1" x14ac:dyDescent="0.3">
      <c r="N75" s="158" t="s">
        <v>651</v>
      </c>
      <c r="O75" s="159"/>
      <c r="P75" s="159"/>
    </row>
    <row r="76" spans="14:20" ht="12.95" customHeight="1" x14ac:dyDescent="0.3">
      <c r="N76" s="158" t="s">
        <v>652</v>
      </c>
      <c r="O76" s="163">
        <v>-73403476</v>
      </c>
      <c r="P76" s="163">
        <v>108607939</v>
      </c>
    </row>
    <row r="77" spans="14:20" ht="12.95" customHeight="1" x14ac:dyDescent="0.3">
      <c r="N77" s="158" t="s">
        <v>653</v>
      </c>
      <c r="O77" s="159"/>
      <c r="P77" s="159"/>
      <c r="R77" s="151" t="s">
        <v>654</v>
      </c>
    </row>
    <row r="78" spans="14:20" ht="12.95" customHeight="1" x14ac:dyDescent="0.3">
      <c r="N78" s="158" t="s">
        <v>655</v>
      </c>
      <c r="O78" s="159"/>
      <c r="P78" s="163">
        <v>9269023</v>
      </c>
      <c r="R78" s="153" t="s">
        <v>345</v>
      </c>
    </row>
    <row r="79" spans="14:20" ht="12.95" customHeight="1" x14ac:dyDescent="0.3">
      <c r="N79" s="158" t="s">
        <v>656</v>
      </c>
      <c r="O79" s="163">
        <v>14645802383</v>
      </c>
      <c r="P79" s="163">
        <v>16177022134</v>
      </c>
      <c r="R79" s="171" t="s">
        <v>636</v>
      </c>
      <c r="S79" s="172" t="s">
        <v>637</v>
      </c>
      <c r="T79" s="187"/>
    </row>
    <row r="80" spans="14:20" ht="12.95" customHeight="1" x14ac:dyDescent="0.3">
      <c r="N80" s="158" t="s">
        <v>548</v>
      </c>
      <c r="O80" s="159"/>
      <c r="P80" s="159"/>
      <c r="R80" s="174"/>
      <c r="S80" s="175" t="s">
        <v>368</v>
      </c>
      <c r="T80" s="188" t="s">
        <v>347</v>
      </c>
    </row>
    <row r="81" spans="14:20" ht="12.95" customHeight="1" x14ac:dyDescent="0.3">
      <c r="N81" s="158" t="s">
        <v>549</v>
      </c>
      <c r="O81" s="163">
        <v>14719205859</v>
      </c>
      <c r="P81" s="163">
        <v>16059559270</v>
      </c>
      <c r="R81" s="189" t="s">
        <v>639</v>
      </c>
      <c r="S81" s="190"/>
      <c r="T81" s="191"/>
    </row>
    <row r="82" spans="14:20" ht="12.95" customHeight="1" x14ac:dyDescent="0.3">
      <c r="N82" s="158" t="s">
        <v>550</v>
      </c>
      <c r="O82" s="163">
        <v>-384157</v>
      </c>
      <c r="P82" s="163">
        <v>-414098</v>
      </c>
      <c r="R82" s="158" t="s">
        <v>657</v>
      </c>
      <c r="S82" s="163">
        <v>21690</v>
      </c>
      <c r="T82" s="167">
        <v>25240</v>
      </c>
    </row>
    <row r="83" spans="14:20" ht="12.95" customHeight="1" x14ac:dyDescent="0.3">
      <c r="N83" s="158" t="s">
        <v>658</v>
      </c>
      <c r="O83" s="159"/>
      <c r="P83" s="159"/>
      <c r="R83" s="158" t="s">
        <v>659</v>
      </c>
      <c r="S83" s="163">
        <v>90580</v>
      </c>
      <c r="T83" s="167">
        <v>81420</v>
      </c>
    </row>
    <row r="84" spans="14:20" ht="12.95" customHeight="1" x14ac:dyDescent="0.3">
      <c r="N84" s="158" t="s">
        <v>660</v>
      </c>
      <c r="O84" s="163">
        <v>14646186540</v>
      </c>
      <c r="P84" s="163">
        <v>16177436232</v>
      </c>
      <c r="R84" s="183" t="s">
        <v>650</v>
      </c>
      <c r="S84" s="169">
        <v>112270</v>
      </c>
      <c r="T84" s="170">
        <v>106660</v>
      </c>
    </row>
    <row r="85" spans="14:20" ht="12.95" customHeight="1" x14ac:dyDescent="0.3">
      <c r="N85" s="158" t="s">
        <v>661</v>
      </c>
      <c r="O85" s="163">
        <v>-384157</v>
      </c>
      <c r="P85" s="163">
        <v>-414098</v>
      </c>
    </row>
    <row r="86" spans="14:20" ht="12.95" customHeight="1" x14ac:dyDescent="0.3">
      <c r="N86" s="158" t="s">
        <v>518</v>
      </c>
      <c r="O86" s="159"/>
      <c r="P86" s="159"/>
    </row>
    <row r="87" spans="14:20" ht="12.95" customHeight="1" x14ac:dyDescent="0.3">
      <c r="N87" s="158" t="s">
        <v>519</v>
      </c>
      <c r="O87" s="159">
        <v>296</v>
      </c>
      <c r="P87" s="159">
        <v>323</v>
      </c>
    </row>
    <row r="88" spans="14:20" ht="12.95" customHeight="1" x14ac:dyDescent="0.3">
      <c r="N88" s="168" t="s">
        <v>520</v>
      </c>
      <c r="O88" s="192">
        <v>296</v>
      </c>
      <c r="P88" s="192">
        <v>323</v>
      </c>
    </row>
    <row r="90" spans="14:20" ht="12.95" customHeight="1" x14ac:dyDescent="0.3">
      <c r="R90" s="128" t="s">
        <v>662</v>
      </c>
      <c r="S90"/>
      <c r="T90"/>
    </row>
    <row r="91" spans="14:20" ht="12.95" customHeight="1" x14ac:dyDescent="0.3">
      <c r="R91" s="134" t="s">
        <v>345</v>
      </c>
      <c r="S91"/>
      <c r="T91"/>
    </row>
    <row r="92" spans="14:20" ht="12.95" customHeight="1" x14ac:dyDescent="0.15">
      <c r="N92" s="150" t="s">
        <v>663</v>
      </c>
      <c r="R92" s="113" t="s">
        <v>346</v>
      </c>
      <c r="S92" s="114" t="s">
        <v>664</v>
      </c>
      <c r="T92" s="193" t="s">
        <v>665</v>
      </c>
    </row>
    <row r="93" spans="14:20" ht="12.95" customHeight="1" x14ac:dyDescent="0.15">
      <c r="N93" s="153" t="s">
        <v>631</v>
      </c>
      <c r="R93" s="194" t="s">
        <v>507</v>
      </c>
      <c r="S93" s="178">
        <v>10688588</v>
      </c>
      <c r="T93" s="182">
        <v>6654651</v>
      </c>
    </row>
    <row r="94" spans="14:20" ht="12.95" customHeight="1" x14ac:dyDescent="0.15">
      <c r="N94" s="153" t="s">
        <v>632</v>
      </c>
      <c r="R94" s="194" t="s">
        <v>509</v>
      </c>
      <c r="S94" s="178">
        <v>96278</v>
      </c>
      <c r="T94" s="182">
        <v>100125</v>
      </c>
    </row>
    <row r="95" spans="14:20" ht="12.95" customHeight="1" x14ac:dyDescent="0.15">
      <c r="N95" s="153" t="s">
        <v>633</v>
      </c>
      <c r="R95" s="135" t="s">
        <v>361</v>
      </c>
      <c r="S95" s="185">
        <v>10784866</v>
      </c>
      <c r="T95" s="186">
        <v>6754776</v>
      </c>
    </row>
    <row r="96" spans="14:20" ht="12.95" customHeight="1" x14ac:dyDescent="0.3">
      <c r="N96" s="153" t="s">
        <v>279</v>
      </c>
    </row>
    <row r="97" spans="14:23" ht="12.95" customHeight="1" x14ac:dyDescent="0.3">
      <c r="N97" s="154"/>
      <c r="O97" s="155">
        <v>2016</v>
      </c>
      <c r="P97" s="155">
        <v>2017</v>
      </c>
    </row>
    <row r="98" spans="14:23" ht="12.95" customHeight="1" x14ac:dyDescent="0.3">
      <c r="N98" s="158" t="s">
        <v>666</v>
      </c>
      <c r="O98" s="163">
        <v>21771596783</v>
      </c>
      <c r="P98" s="163">
        <v>29406676829</v>
      </c>
      <c r="R98" s="128" t="s">
        <v>667</v>
      </c>
      <c r="S98"/>
      <c r="T98"/>
    </row>
    <row r="99" spans="14:23" ht="12.95" customHeight="1" x14ac:dyDescent="0.3">
      <c r="N99" s="158" t="s">
        <v>668</v>
      </c>
      <c r="O99" s="163">
        <v>14719205859</v>
      </c>
      <c r="P99" s="163">
        <v>16059145172</v>
      </c>
      <c r="R99" s="127"/>
      <c r="S99"/>
      <c r="T99"/>
    </row>
    <row r="100" spans="14:23" ht="12.95" customHeight="1" x14ac:dyDescent="0.3">
      <c r="N100" s="158" t="s">
        <v>669</v>
      </c>
      <c r="O100" s="163">
        <v>7701531464</v>
      </c>
      <c r="P100" s="163">
        <v>15370439377</v>
      </c>
      <c r="R100" s="128" t="s">
        <v>670</v>
      </c>
      <c r="S100"/>
      <c r="T100"/>
    </row>
    <row r="101" spans="14:23" ht="12.95" customHeight="1" x14ac:dyDescent="0.3">
      <c r="N101" s="158" t="s">
        <v>671</v>
      </c>
      <c r="O101" s="163">
        <v>1000000</v>
      </c>
      <c r="P101" s="159">
        <v>0</v>
      </c>
      <c r="R101" s="134" t="s">
        <v>345</v>
      </c>
      <c r="S101"/>
      <c r="T101"/>
    </row>
    <row r="102" spans="14:23" ht="12.95" customHeight="1" x14ac:dyDescent="0.3">
      <c r="N102" s="158" t="s">
        <v>672</v>
      </c>
      <c r="O102" s="163">
        <v>-351100052</v>
      </c>
      <c r="P102" s="163">
        <v>-446169713</v>
      </c>
      <c r="R102" s="113" t="s">
        <v>575</v>
      </c>
      <c r="S102" s="114" t="s">
        <v>673</v>
      </c>
      <c r="T102" s="114" t="s">
        <v>4</v>
      </c>
      <c r="U102" s="114" t="s">
        <v>674</v>
      </c>
      <c r="V102" s="114" t="s">
        <v>675</v>
      </c>
      <c r="W102" s="115" t="s">
        <v>676</v>
      </c>
    </row>
    <row r="103" spans="14:23" ht="12.95" customHeight="1" x14ac:dyDescent="0.3">
      <c r="N103" s="158" t="s">
        <v>677</v>
      </c>
      <c r="O103" s="163">
        <v>622707293</v>
      </c>
      <c r="P103" s="163">
        <v>646596054</v>
      </c>
      <c r="R103" s="119" t="s">
        <v>678</v>
      </c>
      <c r="S103" s="116">
        <v>4909793</v>
      </c>
      <c r="T103" s="117" t="s">
        <v>22</v>
      </c>
      <c r="U103" s="117" t="s">
        <v>22</v>
      </c>
      <c r="V103" s="117" t="s">
        <v>22</v>
      </c>
      <c r="W103" s="118">
        <v>4909793</v>
      </c>
    </row>
    <row r="104" spans="14:23" ht="12.95" customHeight="1" x14ac:dyDescent="0.3">
      <c r="N104" s="158" t="s">
        <v>679</v>
      </c>
      <c r="O104" s="163">
        <v>-921747781</v>
      </c>
      <c r="P104" s="163">
        <v>-2223334061</v>
      </c>
      <c r="R104" s="119" t="s">
        <v>680</v>
      </c>
      <c r="S104" s="116">
        <v>551068</v>
      </c>
      <c r="T104" s="116">
        <v>188779</v>
      </c>
      <c r="U104" s="116">
        <v>-169997</v>
      </c>
      <c r="V104" s="117" t="s">
        <v>22</v>
      </c>
      <c r="W104" s="118">
        <v>569850</v>
      </c>
    </row>
    <row r="105" spans="14:23" ht="12.95" customHeight="1" x14ac:dyDescent="0.3">
      <c r="N105" s="158" t="s">
        <v>681</v>
      </c>
      <c r="O105" s="163">
        <v>-8685752247</v>
      </c>
      <c r="P105" s="163">
        <v>-10109544319</v>
      </c>
      <c r="R105" s="119" t="s">
        <v>682</v>
      </c>
      <c r="S105" s="117" t="s">
        <v>22</v>
      </c>
      <c r="T105" s="116">
        <v>1767700</v>
      </c>
      <c r="U105" s="117" t="s">
        <v>22</v>
      </c>
      <c r="V105" s="117" t="s">
        <v>22</v>
      </c>
      <c r="W105" s="118">
        <v>1767700</v>
      </c>
    </row>
    <row r="106" spans="14:23" ht="12.95" customHeight="1" x14ac:dyDescent="0.3">
      <c r="N106" s="158" t="s">
        <v>683</v>
      </c>
      <c r="O106" s="163">
        <v>-700000000</v>
      </c>
      <c r="P106" s="163">
        <v>-6050000000</v>
      </c>
      <c r="R106" s="119" t="s">
        <v>684</v>
      </c>
      <c r="S106" s="117">
        <v>213</v>
      </c>
      <c r="T106" s="117" t="s">
        <v>22</v>
      </c>
      <c r="U106" s="117" t="s">
        <v>22</v>
      </c>
      <c r="V106" s="117">
        <v>-213</v>
      </c>
      <c r="W106" s="120" t="s">
        <v>22</v>
      </c>
    </row>
    <row r="107" spans="14:23" ht="12.95" customHeight="1" x14ac:dyDescent="0.3">
      <c r="N107" s="158" t="s">
        <v>685</v>
      </c>
      <c r="O107" s="163">
        <v>4130000000</v>
      </c>
      <c r="P107" s="159">
        <v>0</v>
      </c>
      <c r="R107" s="135" t="s">
        <v>361</v>
      </c>
      <c r="S107" s="130">
        <v>5461074</v>
      </c>
      <c r="T107" s="130">
        <v>1956479</v>
      </c>
      <c r="U107" s="130">
        <v>-169997</v>
      </c>
      <c r="V107" s="122">
        <v>-213</v>
      </c>
      <c r="W107" s="131">
        <v>7247343</v>
      </c>
    </row>
    <row r="108" spans="14:23" ht="12.95" customHeight="1" x14ac:dyDescent="0.3">
      <c r="N108" s="158" t="s">
        <v>686</v>
      </c>
      <c r="O108" s="163">
        <v>-1079946000</v>
      </c>
      <c r="P108" s="163">
        <v>-3000000</v>
      </c>
      <c r="R108"/>
      <c r="S108"/>
      <c r="T108"/>
    </row>
    <row r="109" spans="14:23" ht="12.95" customHeight="1" x14ac:dyDescent="0.3">
      <c r="N109" s="158" t="s">
        <v>687</v>
      </c>
      <c r="O109" s="159">
        <v>0</v>
      </c>
      <c r="P109" s="163">
        <v>410815500</v>
      </c>
      <c r="R109" s="128" t="s">
        <v>688</v>
      </c>
      <c r="S109"/>
      <c r="T109"/>
    </row>
    <row r="110" spans="14:23" ht="12.95" customHeight="1" x14ac:dyDescent="0.3">
      <c r="N110" s="158" t="s">
        <v>689</v>
      </c>
      <c r="O110" s="163">
        <v>-4619960</v>
      </c>
      <c r="P110" s="163">
        <v>-7720000</v>
      </c>
      <c r="R110" s="134" t="s">
        <v>345</v>
      </c>
      <c r="S110"/>
      <c r="T110"/>
    </row>
    <row r="111" spans="14:23" ht="12.95" customHeight="1" x14ac:dyDescent="0.3">
      <c r="N111" s="158" t="s">
        <v>690</v>
      </c>
      <c r="O111" s="163">
        <v>38215000</v>
      </c>
      <c r="P111" s="163">
        <v>1892110362</v>
      </c>
      <c r="R111" s="113" t="s">
        <v>575</v>
      </c>
      <c r="S111" s="114" t="s">
        <v>673</v>
      </c>
      <c r="T111" s="114" t="s">
        <v>4</v>
      </c>
      <c r="U111" s="114" t="s">
        <v>675</v>
      </c>
      <c r="V111" s="115" t="s">
        <v>676</v>
      </c>
    </row>
    <row r="112" spans="14:23" ht="12.95" customHeight="1" x14ac:dyDescent="0.3">
      <c r="N112" s="158" t="s">
        <v>691</v>
      </c>
      <c r="O112" s="163">
        <v>-14195000</v>
      </c>
      <c r="P112" s="163">
        <v>-27550000</v>
      </c>
      <c r="R112" s="119" t="s">
        <v>678</v>
      </c>
      <c r="S112" s="116">
        <v>4909793</v>
      </c>
      <c r="T112" s="117" t="s">
        <v>22</v>
      </c>
      <c r="U112" s="117" t="s">
        <v>22</v>
      </c>
      <c r="V112" s="118">
        <v>4909793</v>
      </c>
    </row>
    <row r="113" spans="14:22" ht="12.95" customHeight="1" x14ac:dyDescent="0.3">
      <c r="N113" s="158" t="s">
        <v>692</v>
      </c>
      <c r="O113" s="163">
        <v>13385000</v>
      </c>
      <c r="P113" s="163">
        <v>21940000</v>
      </c>
      <c r="R113" s="119" t="s">
        <v>680</v>
      </c>
      <c r="S113" s="116">
        <v>396561</v>
      </c>
      <c r="T113" s="116">
        <v>154507</v>
      </c>
      <c r="U113" s="117" t="s">
        <v>22</v>
      </c>
      <c r="V113" s="118">
        <v>551068</v>
      </c>
    </row>
    <row r="114" spans="14:22" ht="12.95" customHeight="1" x14ac:dyDescent="0.3">
      <c r="N114" s="158" t="s">
        <v>693</v>
      </c>
      <c r="O114" s="163">
        <v>-6500000</v>
      </c>
      <c r="P114" s="159"/>
      <c r="R114" s="119" t="s">
        <v>684</v>
      </c>
      <c r="S114" s="116">
        <v>2769</v>
      </c>
      <c r="T114" s="117" t="s">
        <v>22</v>
      </c>
      <c r="U114" s="116">
        <v>-2556</v>
      </c>
      <c r="V114" s="120">
        <v>213</v>
      </c>
    </row>
    <row r="115" spans="14:22" ht="12.95" customHeight="1" x14ac:dyDescent="0.3">
      <c r="N115" s="158" t="s">
        <v>694</v>
      </c>
      <c r="O115" s="159"/>
      <c r="P115" s="163">
        <v>1500000</v>
      </c>
      <c r="R115" s="135" t="s">
        <v>361</v>
      </c>
      <c r="S115" s="130">
        <v>5309123</v>
      </c>
      <c r="T115" s="130">
        <v>154507</v>
      </c>
      <c r="U115" s="130">
        <v>-2556</v>
      </c>
      <c r="V115" s="131">
        <v>5461074</v>
      </c>
    </row>
    <row r="116" spans="14:22" ht="12.95" customHeight="1" x14ac:dyDescent="0.3">
      <c r="N116" s="158" t="s">
        <v>695</v>
      </c>
      <c r="O116" s="163">
        <v>-10919584287</v>
      </c>
      <c r="P116" s="163">
        <v>-4004177962</v>
      </c>
    </row>
    <row r="117" spans="14:22" ht="12.95" customHeight="1" x14ac:dyDescent="0.3">
      <c r="N117" s="158" t="s">
        <v>696</v>
      </c>
      <c r="O117" s="163">
        <v>12000000</v>
      </c>
      <c r="P117" s="163">
        <v>19999000</v>
      </c>
    </row>
    <row r="118" spans="14:22" ht="12.95" customHeight="1" x14ac:dyDescent="0.3">
      <c r="N118" s="158" t="s">
        <v>697</v>
      </c>
      <c r="O118" s="163">
        <v>-154507000</v>
      </c>
      <c r="P118" s="163">
        <v>-1956479400</v>
      </c>
      <c r="R118" s="149" t="s">
        <v>698</v>
      </c>
      <c r="S118" s="195">
        <f>-U115+T95</f>
        <v>6757332</v>
      </c>
      <c r="T118" s="195">
        <f>-V107+S95</f>
        <v>10785079</v>
      </c>
    </row>
    <row r="119" spans="14:22" ht="12.95" customHeight="1" x14ac:dyDescent="0.3">
      <c r="N119" s="158" t="s">
        <v>699</v>
      </c>
      <c r="O119" s="159">
        <v>0</v>
      </c>
      <c r="P119" s="163">
        <v>156818181</v>
      </c>
    </row>
    <row r="120" spans="14:22" ht="12.95" customHeight="1" x14ac:dyDescent="0.3">
      <c r="N120" s="158" t="s">
        <v>700</v>
      </c>
      <c r="O120" s="159">
        <v>0</v>
      </c>
      <c r="P120" s="163">
        <v>-311500000</v>
      </c>
    </row>
    <row r="121" spans="14:22" ht="12.95" customHeight="1" x14ac:dyDescent="0.3">
      <c r="N121" s="158" t="s">
        <v>701</v>
      </c>
      <c r="O121" s="159">
        <v>0</v>
      </c>
      <c r="P121" s="163">
        <v>3000000</v>
      </c>
    </row>
    <row r="122" spans="14:22" ht="12.95" customHeight="1" x14ac:dyDescent="0.3">
      <c r="N122" s="158" t="s">
        <v>702</v>
      </c>
      <c r="O122" s="159">
        <v>0</v>
      </c>
      <c r="P122" s="163">
        <v>-255300000</v>
      </c>
    </row>
    <row r="123" spans="14:22" ht="12.95" customHeight="1" x14ac:dyDescent="0.3">
      <c r="N123" s="158" t="s">
        <v>703</v>
      </c>
      <c r="O123" s="163">
        <v>10634214000</v>
      </c>
      <c r="P123" s="163">
        <v>-1257828160</v>
      </c>
    </row>
    <row r="124" spans="14:22" ht="12.95" customHeight="1" x14ac:dyDescent="0.3">
      <c r="N124" s="158" t="s">
        <v>704</v>
      </c>
      <c r="O124" s="163">
        <v>11877000000</v>
      </c>
      <c r="P124" s="159">
        <v>0</v>
      </c>
    </row>
    <row r="125" spans="14:22" ht="12.95" customHeight="1" x14ac:dyDescent="0.3">
      <c r="N125" s="158" t="s">
        <v>705</v>
      </c>
      <c r="O125" s="163">
        <v>-1242786000</v>
      </c>
      <c r="P125" s="163">
        <v>-1257828160</v>
      </c>
    </row>
    <row r="126" spans="14:22" ht="12.95" customHeight="1" x14ac:dyDescent="0.3">
      <c r="N126" s="158" t="s">
        <v>706</v>
      </c>
      <c r="O126" s="163">
        <v>23720058536</v>
      </c>
      <c r="P126" s="163">
        <v>18039304350</v>
      </c>
    </row>
    <row r="127" spans="14:22" ht="12.95" customHeight="1" x14ac:dyDescent="0.3">
      <c r="N127" s="158" t="s">
        <v>707</v>
      </c>
      <c r="O127" s="163">
        <v>5166222241</v>
      </c>
      <c r="P127" s="163">
        <v>28886280777</v>
      </c>
    </row>
    <row r="128" spans="14:22" ht="12.95" customHeight="1" x14ac:dyDescent="0.3">
      <c r="N128" s="168" t="s">
        <v>708</v>
      </c>
      <c r="O128" s="169">
        <v>28886280777</v>
      </c>
      <c r="P128" s="169">
        <v>46925585127</v>
      </c>
    </row>
  </sheetData>
  <mergeCells count="1">
    <mergeCell ref="U50:V50"/>
  </mergeCells>
  <phoneticPr fontId="3" type="noConversion"/>
  <conditionalFormatting sqref="F2:J3">
    <cfRule type="containsText" dxfId="0" priority="1" operator="containsText" text="NA">
      <formula>NOT(ISERROR(SEARCH("NA",F2)))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A2:N65"/>
  <sheetViews>
    <sheetView zoomScaleNormal="100" workbookViewId="0">
      <selection activeCell="A18" sqref="A18"/>
    </sheetView>
  </sheetViews>
  <sheetFormatPr defaultRowHeight="12" x14ac:dyDescent="0.3"/>
  <cols>
    <col min="1" max="1" width="9" style="123"/>
    <col min="2" max="2" width="25.75" style="123" customWidth="1"/>
    <col min="3" max="4" width="14.875" style="123" bestFit="1" customWidth="1"/>
    <col min="5" max="5" width="9" style="123"/>
    <col min="6" max="6" width="14.625" style="123" customWidth="1"/>
    <col min="7" max="8" width="14.875" style="123" bestFit="1" customWidth="1"/>
    <col min="9" max="10" width="9" style="123"/>
    <col min="11" max="11" width="15.375" style="123" customWidth="1"/>
    <col min="12" max="12" width="9" style="123"/>
    <col min="13" max="14" width="9.625" style="123" bestFit="1" customWidth="1"/>
    <col min="15" max="16384" width="9" style="123"/>
  </cols>
  <sheetData>
    <row r="2" spans="2:11" x14ac:dyDescent="0.2">
      <c r="B2" s="125" t="s">
        <v>253</v>
      </c>
      <c r="C2" s="95" t="s">
        <v>275</v>
      </c>
      <c r="D2" s="95" t="s">
        <v>523</v>
      </c>
      <c r="E2" s="124"/>
      <c r="F2" s="108" t="s">
        <v>343</v>
      </c>
      <c r="G2" s="108" t="s">
        <v>269</v>
      </c>
      <c r="H2" s="109" t="s">
        <v>270</v>
      </c>
      <c r="I2" s="109" t="s">
        <v>271</v>
      </c>
      <c r="J2" s="109" t="s">
        <v>272</v>
      </c>
      <c r="K2" s="109" t="s">
        <v>273</v>
      </c>
    </row>
    <row r="3" spans="2:11" x14ac:dyDescent="0.2">
      <c r="B3" s="96" t="s">
        <v>254</v>
      </c>
      <c r="C3" s="97">
        <f>SUM(C4:C5)</f>
        <v>17610.914240999999</v>
      </c>
      <c r="D3" s="97">
        <f t="shared" ref="D3" si="0">SUM(D4:D5)</f>
        <v>12861.998807</v>
      </c>
      <c r="E3" s="124"/>
      <c r="F3" s="126" t="s">
        <v>246</v>
      </c>
      <c r="G3" s="137">
        <f>SUMIFS($H$21:$H$94,$E$21:$E$94,G$2)/10^6</f>
        <v>199604.54185800001</v>
      </c>
      <c r="H3" s="137">
        <f t="shared" ref="H3:J3" si="1">SUMIFS($H$21:$H$94,$E$21:$E$94,H$2)/10^6</f>
        <v>-5169.9128520000004</v>
      </c>
      <c r="I3" s="137">
        <f t="shared" si="1"/>
        <v>-7252.9298520000002</v>
      </c>
      <c r="J3" s="137">
        <f t="shared" si="1"/>
        <v>-7815.6110129999997</v>
      </c>
      <c r="K3" s="137">
        <f>H3-I3</f>
        <v>2083.0169999999998</v>
      </c>
    </row>
    <row r="4" spans="2:11" x14ac:dyDescent="0.2">
      <c r="B4" s="98" t="s">
        <v>255</v>
      </c>
      <c r="C4" s="124">
        <f>SUMIFS(C$21:C$65,$A$21:$A$65,$B4)/10^6</f>
        <v>12410.914241</v>
      </c>
      <c r="D4" s="99">
        <f>SUMIFS(D$21:D$65,$A$21:$A$65,$B4)/10^6</f>
        <v>7661.9988069999999</v>
      </c>
      <c r="E4" s="124"/>
      <c r="F4" s="459" t="s">
        <v>275</v>
      </c>
      <c r="G4" s="460">
        <f>SUMIFS($G$21:$G$94,$E$21:$E$94,G$2)/10^6</f>
        <v>199370.92785599999</v>
      </c>
      <c r="H4" s="460">
        <f>SUMIFS($G$21:$G$94,$E$21:$E$94,H$2)/10^6</f>
        <v>6305.6560879999997</v>
      </c>
      <c r="I4" s="460">
        <f>SUMIFS($G$21:$G$94,$E$21:$E$94,I$2)/10^6</f>
        <v>4236.7240879999999</v>
      </c>
      <c r="J4" s="460">
        <f>SUMIFS($G$21:$G$94,$E$21:$E$94,J$2)/10^6</f>
        <v>3063.386665</v>
      </c>
      <c r="K4" s="460">
        <f t="shared" ref="K4" si="2">H4-I4</f>
        <v>2068.9319999999998</v>
      </c>
    </row>
    <row r="5" spans="2:11" x14ac:dyDescent="0.2">
      <c r="B5" s="98" t="s">
        <v>256</v>
      </c>
      <c r="C5" s="124">
        <f t="shared" ref="C5" si="3">SUMIFS(C$21:C$65,$A$21:$A$65,$B5)/10^6</f>
        <v>5200</v>
      </c>
      <c r="D5" s="99">
        <f>SUMIFS(D$21:D$65,$A$21:$A$65,$B5)/10^6</f>
        <v>5200</v>
      </c>
      <c r="E5" s="124"/>
      <c r="F5" s="124"/>
      <c r="G5" s="124"/>
      <c r="H5" s="124"/>
      <c r="I5" s="124"/>
      <c r="J5" s="124"/>
      <c r="K5" s="124"/>
    </row>
    <row r="6" spans="2:11" x14ac:dyDescent="0.2">
      <c r="B6" s="100" t="s">
        <v>257</v>
      </c>
      <c r="C6" s="101">
        <f>SUM(C7:C9)</f>
        <v>36250</v>
      </c>
      <c r="D6" s="101">
        <f t="shared" ref="D6" si="4">SUM(D7:D9)</f>
        <v>44250</v>
      </c>
      <c r="E6" s="124"/>
      <c r="F6" s="124"/>
      <c r="G6" s="124"/>
      <c r="H6" s="124"/>
      <c r="I6" s="124"/>
      <c r="J6" s="124"/>
      <c r="K6" s="124"/>
    </row>
    <row r="7" spans="2:11" x14ac:dyDescent="0.2">
      <c r="B7" s="102" t="s">
        <v>258</v>
      </c>
      <c r="C7" s="144">
        <f t="shared" ref="C7:D9" si="5">SUMIFS(C$21:C$65,$A$21:$A$65,$B7)/10^6</f>
        <v>13000</v>
      </c>
      <c r="D7" s="103">
        <f t="shared" si="5"/>
        <v>24000</v>
      </c>
      <c r="E7" s="124"/>
      <c r="F7" s="124"/>
      <c r="G7" s="124"/>
      <c r="H7" s="124"/>
      <c r="I7" s="124"/>
      <c r="J7" s="124"/>
      <c r="K7" s="124"/>
    </row>
    <row r="8" spans="2:11" x14ac:dyDescent="0.2">
      <c r="B8" s="102" t="s">
        <v>259</v>
      </c>
      <c r="C8" s="103">
        <f t="shared" si="5"/>
        <v>23250</v>
      </c>
      <c r="D8" s="103">
        <f t="shared" si="5"/>
        <v>20250</v>
      </c>
      <c r="E8" s="124"/>
      <c r="F8" s="124"/>
      <c r="G8" s="124"/>
      <c r="H8" s="124"/>
      <c r="I8" s="124"/>
      <c r="J8" s="124"/>
      <c r="K8" s="124"/>
    </row>
    <row r="9" spans="2:11" x14ac:dyDescent="0.2">
      <c r="B9" s="102" t="s">
        <v>260</v>
      </c>
      <c r="C9" s="104">
        <f t="shared" si="5"/>
        <v>0</v>
      </c>
      <c r="D9" s="104">
        <f t="shared" si="5"/>
        <v>0</v>
      </c>
      <c r="E9" s="124"/>
      <c r="F9" s="124"/>
      <c r="G9" s="124"/>
      <c r="H9" s="124"/>
      <c r="I9" s="124"/>
      <c r="J9" s="124"/>
      <c r="K9" s="124"/>
    </row>
    <row r="10" spans="2:11" x14ac:dyDescent="0.2">
      <c r="B10" s="100" t="s">
        <v>261</v>
      </c>
      <c r="C10" s="101">
        <f>SUM(C11:C16)</f>
        <v>63736.082090999997</v>
      </c>
      <c r="D10" s="101">
        <f t="shared" ref="D10" si="6">SUM(D11:D16)</f>
        <v>63868.008298000001</v>
      </c>
      <c r="E10" s="124"/>
      <c r="F10" s="124"/>
      <c r="G10" s="124"/>
      <c r="H10" s="124"/>
      <c r="I10" s="124"/>
      <c r="J10" s="124"/>
      <c r="K10" s="124"/>
    </row>
    <row r="11" spans="2:11" x14ac:dyDescent="0.2">
      <c r="B11" s="98" t="s">
        <v>262</v>
      </c>
      <c r="C11" s="145">
        <f>SUMIFS(C$21:C$65,$A$21:$A$65,$B11)/10^6</f>
        <v>2.5</v>
      </c>
      <c r="D11" s="145">
        <f>SUMIFS(D$21:D$65,$A$21:$A$65,$B11)/10^6</f>
        <v>2.5</v>
      </c>
      <c r="E11" s="124"/>
      <c r="F11" s="124"/>
      <c r="G11" s="124"/>
      <c r="H11" s="124"/>
      <c r="I11" s="124"/>
      <c r="J11" s="124"/>
      <c r="K11" s="124"/>
    </row>
    <row r="12" spans="2:11" x14ac:dyDescent="0.2">
      <c r="B12" s="98" t="s">
        <v>263</v>
      </c>
      <c r="C12" s="145">
        <f>SUMIFS(C$21:C$65,$A$21:$A$65,$B12)/10^6</f>
        <v>48008.368764999999</v>
      </c>
      <c r="D12" s="145">
        <f>SUMIFS(D$21:D$65,$A$21:$A$65,$B12)/10^6</f>
        <v>47607.643472000003</v>
      </c>
      <c r="E12" s="136"/>
      <c r="F12" s="124"/>
      <c r="G12" s="124"/>
      <c r="H12" s="124"/>
      <c r="I12" s="124"/>
      <c r="J12" s="124"/>
      <c r="K12" s="124"/>
    </row>
    <row r="13" spans="2:11" x14ac:dyDescent="0.2">
      <c r="B13" s="98" t="s">
        <v>264</v>
      </c>
      <c r="C13" s="145">
        <f t="shared" ref="C13:D16" si="7">SUMIFS(C$21:C$65,$A$21:$A$65,$B13)/10^6</f>
        <v>0</v>
      </c>
      <c r="D13" s="145">
        <f t="shared" si="7"/>
        <v>0</v>
      </c>
      <c r="E13" s="124"/>
      <c r="F13" s="124"/>
      <c r="G13" s="124"/>
      <c r="H13" s="124"/>
      <c r="I13" s="124"/>
      <c r="J13" s="124"/>
      <c r="K13" s="124"/>
    </row>
    <row r="14" spans="2:11" x14ac:dyDescent="0.2">
      <c r="B14" s="98" t="s">
        <v>265</v>
      </c>
      <c r="C14" s="145">
        <f t="shared" si="7"/>
        <v>9523.9083260000007</v>
      </c>
      <c r="D14" s="145">
        <f t="shared" si="7"/>
        <v>10008.249825999999</v>
      </c>
      <c r="E14" s="124"/>
      <c r="F14" s="124"/>
      <c r="G14" s="124"/>
      <c r="H14" s="124"/>
      <c r="I14" s="124"/>
      <c r="J14" s="124"/>
      <c r="K14" s="124"/>
    </row>
    <row r="15" spans="2:11" x14ac:dyDescent="0.2">
      <c r="B15" s="98" t="s">
        <v>573</v>
      </c>
      <c r="C15" s="145">
        <f t="shared" si="7"/>
        <v>6201.3050000000003</v>
      </c>
      <c r="D15" s="145">
        <f t="shared" si="7"/>
        <v>6249.6149999999998</v>
      </c>
      <c r="E15" s="124"/>
      <c r="F15" s="124"/>
      <c r="G15" s="124"/>
      <c r="H15" s="124"/>
      <c r="I15" s="124"/>
      <c r="J15" s="124"/>
      <c r="K15" s="124"/>
    </row>
    <row r="16" spans="2:11" x14ac:dyDescent="0.2">
      <c r="B16" s="98" t="s">
        <v>266</v>
      </c>
      <c r="C16" s="145">
        <f t="shared" si="7"/>
        <v>0</v>
      </c>
      <c r="D16" s="145">
        <f t="shared" si="7"/>
        <v>0</v>
      </c>
      <c r="E16" s="124"/>
      <c r="F16" s="124"/>
      <c r="G16" s="124"/>
      <c r="H16" s="124"/>
      <c r="I16" s="124"/>
      <c r="J16" s="124"/>
      <c r="K16" s="124"/>
    </row>
    <row r="17" spans="1:14" ht="12.75" thickBot="1" x14ac:dyDescent="0.25">
      <c r="B17" s="106" t="s">
        <v>267</v>
      </c>
      <c r="C17" s="107">
        <f>SUMIFS(C$21:C$65,$A$21:$A$65,$B17)/10^6</f>
        <v>122403.966535</v>
      </c>
      <c r="D17" s="107">
        <f>SUMIFS(D$21:D$65,$A$21:$A$65,$B17)/10^6</f>
        <v>114383.38971600001</v>
      </c>
      <c r="E17" s="124"/>
      <c r="F17" s="124"/>
      <c r="G17" s="124"/>
      <c r="H17" s="124"/>
      <c r="I17" s="124"/>
      <c r="J17" s="124"/>
      <c r="K17" s="124"/>
    </row>
    <row r="18" spans="1:14" ht="12.75" thickTop="1" x14ac:dyDescent="0.3"/>
    <row r="19" spans="1:14" x14ac:dyDescent="0.3">
      <c r="B19" s="462" t="s">
        <v>1722</v>
      </c>
    </row>
    <row r="20" spans="1:14" x14ac:dyDescent="0.3">
      <c r="B20" s="123" t="s">
        <v>460</v>
      </c>
      <c r="C20" s="123" t="s">
        <v>275</v>
      </c>
      <c r="D20" s="123" t="s">
        <v>246</v>
      </c>
      <c r="G20" s="123" t="s">
        <v>275</v>
      </c>
      <c r="H20" s="123" t="s">
        <v>246</v>
      </c>
      <c r="J20" s="123" t="s">
        <v>346</v>
      </c>
      <c r="K20" s="123" t="s">
        <v>561</v>
      </c>
      <c r="L20" s="123" t="s">
        <v>562</v>
      </c>
      <c r="M20" s="123" t="s">
        <v>275</v>
      </c>
      <c r="N20" s="123" t="s">
        <v>246</v>
      </c>
    </row>
    <row r="21" spans="1:14" x14ac:dyDescent="0.3">
      <c r="B21" s="123" t="s">
        <v>461</v>
      </c>
      <c r="C21" s="123">
        <v>104206214972</v>
      </c>
      <c r="D21" s="123">
        <v>93977947500</v>
      </c>
      <c r="E21" s="123" t="s">
        <v>269</v>
      </c>
      <c r="F21" s="123" t="s">
        <v>506</v>
      </c>
      <c r="G21" s="123">
        <v>199370927856</v>
      </c>
      <c r="H21" s="123">
        <v>199604541858</v>
      </c>
      <c r="J21" s="123" t="s">
        <v>563</v>
      </c>
      <c r="K21" s="123" t="s">
        <v>556</v>
      </c>
      <c r="L21" s="123" t="s">
        <v>564</v>
      </c>
      <c r="M21" s="123">
        <v>235526</v>
      </c>
      <c r="N21" s="123">
        <v>259332</v>
      </c>
    </row>
    <row r="22" spans="1:14" x14ac:dyDescent="0.3">
      <c r="A22" s="123" t="s">
        <v>396</v>
      </c>
      <c r="B22" s="123" t="s">
        <v>462</v>
      </c>
      <c r="C22" s="123">
        <v>12410914241</v>
      </c>
      <c r="D22" s="123">
        <v>7661998807</v>
      </c>
      <c r="F22" s="123" t="s">
        <v>507</v>
      </c>
      <c r="G22" s="123">
        <v>176829616884</v>
      </c>
      <c r="H22" s="123">
        <v>185005056228</v>
      </c>
      <c r="K22" s="123" t="s">
        <v>557</v>
      </c>
      <c r="L22" s="123" t="s">
        <v>565</v>
      </c>
      <c r="M22" s="123">
        <v>1214760</v>
      </c>
      <c r="N22" s="123">
        <v>1526600</v>
      </c>
    </row>
    <row r="23" spans="1:14" x14ac:dyDescent="0.3">
      <c r="A23" s="123" t="s">
        <v>426</v>
      </c>
      <c r="B23" s="123" t="s">
        <v>463</v>
      </c>
      <c r="C23" s="123">
        <v>5200000000</v>
      </c>
      <c r="D23" s="123">
        <v>5200000000</v>
      </c>
      <c r="F23" s="123" t="s">
        <v>508</v>
      </c>
      <c r="G23" s="123">
        <v>22541310972</v>
      </c>
      <c r="H23" s="123">
        <v>14599485630</v>
      </c>
      <c r="K23" s="123" t="s">
        <v>566</v>
      </c>
      <c r="M23" s="123">
        <v>1450286</v>
      </c>
      <c r="N23" s="123">
        <v>1785932</v>
      </c>
    </row>
    <row r="24" spans="1:14" x14ac:dyDescent="0.3">
      <c r="A24" s="123" t="s">
        <v>265</v>
      </c>
      <c r="B24" s="123" t="s">
        <v>464</v>
      </c>
      <c r="C24" s="123">
        <v>235526140</v>
      </c>
      <c r="D24" s="123">
        <v>259332260</v>
      </c>
      <c r="F24" s="123" t="s">
        <v>509</v>
      </c>
      <c r="G24" s="123">
        <v>18304586884</v>
      </c>
      <c r="H24" s="123">
        <v>21852415482</v>
      </c>
      <c r="J24" s="123" t="s">
        <v>567</v>
      </c>
      <c r="K24" s="123" t="s">
        <v>556</v>
      </c>
      <c r="L24" s="123" t="s">
        <v>568</v>
      </c>
      <c r="M24" s="123">
        <v>10000</v>
      </c>
      <c r="N24" s="123">
        <v>10000</v>
      </c>
    </row>
    <row r="25" spans="1:14" x14ac:dyDescent="0.3">
      <c r="A25" s="123" t="s">
        <v>557</v>
      </c>
      <c r="B25" s="123" t="s">
        <v>465</v>
      </c>
      <c r="C25" s="123">
        <v>1214760000</v>
      </c>
      <c r="D25" s="123">
        <v>1526600000</v>
      </c>
      <c r="E25" s="123" t="s">
        <v>455</v>
      </c>
      <c r="F25" s="123" t="s">
        <v>510</v>
      </c>
      <c r="G25" s="123">
        <v>4236724088</v>
      </c>
      <c r="H25" s="123">
        <v>-7252929852</v>
      </c>
      <c r="K25" s="470" t="s">
        <v>556</v>
      </c>
      <c r="L25" s="470" t="s">
        <v>569</v>
      </c>
      <c r="M25" s="470">
        <v>9278382</v>
      </c>
      <c r="N25" s="470">
        <v>9738918</v>
      </c>
    </row>
    <row r="26" spans="1:14" x14ac:dyDescent="0.3">
      <c r="B26" s="123" t="s">
        <v>466</v>
      </c>
      <c r="C26" s="123">
        <v>16354891457</v>
      </c>
      <c r="D26" s="123">
        <v>26233350749</v>
      </c>
      <c r="F26" s="123" t="s">
        <v>511</v>
      </c>
      <c r="G26" s="123">
        <v>1407105917</v>
      </c>
      <c r="H26" s="123">
        <v>542870506</v>
      </c>
      <c r="K26" s="470" t="s">
        <v>557</v>
      </c>
      <c r="L26" s="470" t="s">
        <v>565</v>
      </c>
      <c r="M26" s="470">
        <v>4986545</v>
      </c>
      <c r="N26" s="470">
        <v>4723015</v>
      </c>
    </row>
    <row r="27" spans="1:14" x14ac:dyDescent="0.3">
      <c r="B27" s="123" t="s">
        <v>467</v>
      </c>
      <c r="C27" s="123">
        <v>48406302000</v>
      </c>
      <c r="D27" s="123">
        <v>41557190477</v>
      </c>
      <c r="F27" s="123" t="s">
        <v>512</v>
      </c>
      <c r="G27" s="123">
        <v>478478031</v>
      </c>
      <c r="H27" s="123">
        <v>1540894285</v>
      </c>
      <c r="K27" s="470" t="s">
        <v>566</v>
      </c>
      <c r="L27" s="470"/>
      <c r="M27" s="470">
        <v>14274927</v>
      </c>
      <c r="N27" s="470">
        <v>14471933</v>
      </c>
    </row>
    <row r="28" spans="1:14" x14ac:dyDescent="0.3">
      <c r="B28" s="123" t="s">
        <v>468</v>
      </c>
      <c r="C28" s="123">
        <v>111046526</v>
      </c>
      <c r="D28" s="123">
        <v>776639116</v>
      </c>
      <c r="F28" s="123" t="s">
        <v>513</v>
      </c>
      <c r="G28" s="123">
        <v>480373018</v>
      </c>
      <c r="H28" s="123">
        <v>279210396</v>
      </c>
      <c r="J28" s="123" t="s">
        <v>570</v>
      </c>
      <c r="K28" s="470"/>
      <c r="L28" s="470"/>
      <c r="M28" s="470">
        <v>15725213</v>
      </c>
      <c r="N28" s="470">
        <v>16257865</v>
      </c>
    </row>
    <row r="29" spans="1:14" x14ac:dyDescent="0.3">
      <c r="B29" s="123" t="s">
        <v>469</v>
      </c>
      <c r="C29" s="123">
        <v>405053050</v>
      </c>
      <c r="D29" s="123">
        <v>395307538</v>
      </c>
      <c r="F29" s="123" t="s">
        <v>514</v>
      </c>
      <c r="G29" s="123">
        <v>1614574637</v>
      </c>
      <c r="H29" s="123">
        <v>1700884177</v>
      </c>
    </row>
    <row r="30" spans="1:14" x14ac:dyDescent="0.3">
      <c r="B30" s="123" t="s">
        <v>470</v>
      </c>
      <c r="C30" s="123">
        <v>19867721558</v>
      </c>
      <c r="D30" s="123">
        <v>10367528553</v>
      </c>
      <c r="F30" s="123" t="s">
        <v>515</v>
      </c>
      <c r="G30" s="123">
        <v>4031150355</v>
      </c>
      <c r="H30" s="123">
        <v>-9672627412</v>
      </c>
    </row>
    <row r="31" spans="1:14" x14ac:dyDescent="0.3">
      <c r="B31" s="123" t="s">
        <v>471</v>
      </c>
      <c r="C31" s="123">
        <v>138237621956</v>
      </c>
      <c r="D31" s="123">
        <v>136820743192</v>
      </c>
      <c r="F31" s="123" t="s">
        <v>516</v>
      </c>
      <c r="G31" s="123">
        <v>967763690</v>
      </c>
      <c r="H31" s="123">
        <v>-1857016399</v>
      </c>
    </row>
    <row r="32" spans="1:14" x14ac:dyDescent="0.3">
      <c r="A32" s="123" t="s">
        <v>369</v>
      </c>
      <c r="B32" s="123" t="s">
        <v>472</v>
      </c>
      <c r="C32" s="123">
        <v>2500000</v>
      </c>
      <c r="D32" s="123">
        <v>2500000</v>
      </c>
      <c r="E32" s="123" t="s">
        <v>412</v>
      </c>
      <c r="F32" s="123" t="s">
        <v>517</v>
      </c>
      <c r="G32" s="123">
        <v>3063386665</v>
      </c>
      <c r="H32" s="123">
        <v>-7815611013</v>
      </c>
    </row>
    <row r="33" spans="1:8" x14ac:dyDescent="0.3">
      <c r="A33" s="123" t="s">
        <v>370</v>
      </c>
      <c r="B33" s="123" t="s">
        <v>473</v>
      </c>
      <c r="C33" s="123">
        <v>9288382186</v>
      </c>
      <c r="D33" s="123">
        <v>9748917566</v>
      </c>
      <c r="F33" s="123" t="s">
        <v>518</v>
      </c>
    </row>
    <row r="34" spans="1:8" x14ac:dyDescent="0.3">
      <c r="A34" s="123" t="s">
        <v>557</v>
      </c>
      <c r="B34" s="123" t="s">
        <v>474</v>
      </c>
      <c r="C34" s="123">
        <v>4986545000</v>
      </c>
      <c r="D34" s="123">
        <v>4723015000</v>
      </c>
      <c r="F34" s="123" t="s">
        <v>519</v>
      </c>
      <c r="G34" s="123">
        <v>280</v>
      </c>
      <c r="H34" s="123">
        <v>-714</v>
      </c>
    </row>
    <row r="35" spans="1:8" x14ac:dyDescent="0.3">
      <c r="A35" s="123" t="s">
        <v>263</v>
      </c>
      <c r="B35" s="123" t="s">
        <v>475</v>
      </c>
      <c r="C35" s="123">
        <v>48008368765</v>
      </c>
      <c r="D35" s="123">
        <v>47607643472</v>
      </c>
      <c r="F35" s="123" t="s">
        <v>520</v>
      </c>
      <c r="G35" s="123">
        <v>280</v>
      </c>
      <c r="H35" s="123">
        <v>-714</v>
      </c>
    </row>
    <row r="36" spans="1:8" x14ac:dyDescent="0.3">
      <c r="B36" s="123" t="s">
        <v>476</v>
      </c>
      <c r="C36" s="123">
        <v>71715393358</v>
      </c>
      <c r="D36" s="123">
        <v>70707472996</v>
      </c>
    </row>
    <row r="37" spans="1:8" x14ac:dyDescent="0.3">
      <c r="B37" s="123" t="s">
        <v>477</v>
      </c>
      <c r="C37" s="123">
        <v>3324752550</v>
      </c>
      <c r="D37" s="123">
        <v>2984516387</v>
      </c>
      <c r="F37" s="123" t="s">
        <v>337</v>
      </c>
      <c r="G37" s="123">
        <v>2009955</v>
      </c>
      <c r="H37" s="123">
        <v>2015270</v>
      </c>
    </row>
    <row r="38" spans="1:8" x14ac:dyDescent="0.3">
      <c r="B38" s="123" t="s">
        <v>478</v>
      </c>
      <c r="C38" s="123">
        <v>911680097</v>
      </c>
      <c r="D38" s="123">
        <v>1046677771</v>
      </c>
      <c r="F38" s="123" t="s">
        <v>339</v>
      </c>
      <c r="G38" s="123">
        <v>58977</v>
      </c>
      <c r="H38" s="123">
        <v>67747</v>
      </c>
    </row>
    <row r="39" spans="1:8" x14ac:dyDescent="0.3">
      <c r="B39" s="123" t="s">
        <v>479</v>
      </c>
      <c r="C39" s="123">
        <v>242443836928</v>
      </c>
      <c r="D39" s="123">
        <v>230798690692</v>
      </c>
      <c r="F39" s="123" t="s">
        <v>521</v>
      </c>
      <c r="G39" s="123">
        <f>SUM(G37:G38)</f>
        <v>2068932</v>
      </c>
      <c r="H39" s="123">
        <f t="shared" ref="H39" si="8">SUM(H37:H38)</f>
        <v>2083017</v>
      </c>
    </row>
    <row r="40" spans="1:8" x14ac:dyDescent="0.3">
      <c r="B40" s="123" t="s">
        <v>480</v>
      </c>
    </row>
    <row r="41" spans="1:8" x14ac:dyDescent="0.3">
      <c r="B41" s="123" t="s">
        <v>481</v>
      </c>
      <c r="C41" s="123">
        <v>73439396702</v>
      </c>
      <c r="D41" s="123">
        <v>76077411069</v>
      </c>
      <c r="E41" s="123" t="s">
        <v>454</v>
      </c>
      <c r="F41" s="123" t="s">
        <v>270</v>
      </c>
      <c r="G41" s="123">
        <f>G25+G39*10^3</f>
        <v>6305656088</v>
      </c>
      <c r="H41" s="123">
        <f t="shared" ref="H41" si="9">H25+H39*10^3</f>
        <v>-5169912852</v>
      </c>
    </row>
    <row r="42" spans="1:8" x14ac:dyDescent="0.3">
      <c r="A42" s="123" t="s">
        <v>416</v>
      </c>
      <c r="B42" s="123" t="s">
        <v>482</v>
      </c>
      <c r="C42" s="123">
        <v>10000000000</v>
      </c>
      <c r="D42" s="123">
        <v>21000000000</v>
      </c>
    </row>
    <row r="43" spans="1:8" x14ac:dyDescent="0.3">
      <c r="A43" s="123" t="s">
        <v>416</v>
      </c>
      <c r="B43" s="123" t="s">
        <v>483</v>
      </c>
      <c r="C43" s="123">
        <v>3000000000</v>
      </c>
      <c r="D43" s="123">
        <v>3000000000</v>
      </c>
    </row>
    <row r="44" spans="1:8" x14ac:dyDescent="0.3">
      <c r="B44" s="123" t="s">
        <v>484</v>
      </c>
      <c r="C44" s="123">
        <v>12017033055</v>
      </c>
      <c r="D44" s="123">
        <v>14811468765</v>
      </c>
    </row>
    <row r="45" spans="1:8" x14ac:dyDescent="0.3">
      <c r="B45" s="123" t="s">
        <v>485</v>
      </c>
      <c r="C45" s="123">
        <v>37783723841</v>
      </c>
      <c r="D45" s="123">
        <v>23719941271</v>
      </c>
    </row>
    <row r="46" spans="1:8" x14ac:dyDescent="0.3">
      <c r="B46" s="123" t="s">
        <v>486</v>
      </c>
      <c r="C46" s="123">
        <v>7937728416</v>
      </c>
      <c r="D46" s="123">
        <v>10193322989</v>
      </c>
    </row>
    <row r="47" spans="1:8" x14ac:dyDescent="0.3">
      <c r="B47" s="123" t="s">
        <v>487</v>
      </c>
      <c r="C47" s="123">
        <v>205282612</v>
      </c>
      <c r="D47" s="123">
        <v>203177764</v>
      </c>
    </row>
    <row r="48" spans="1:8" x14ac:dyDescent="0.3">
      <c r="B48" s="123" t="s">
        <v>488</v>
      </c>
      <c r="C48" s="123">
        <v>1101549935</v>
      </c>
      <c r="D48" s="123">
        <v>1766109778</v>
      </c>
    </row>
    <row r="49" spans="1:4" x14ac:dyDescent="0.3">
      <c r="B49" s="123" t="s">
        <v>489</v>
      </c>
      <c r="C49" s="123">
        <v>503529323</v>
      </c>
      <c r="D49" s="123">
        <v>0</v>
      </c>
    </row>
    <row r="50" spans="1:4" x14ac:dyDescent="0.3">
      <c r="B50" s="123" t="s">
        <v>490</v>
      </c>
      <c r="C50" s="123">
        <v>797125739</v>
      </c>
      <c r="D50" s="123">
        <v>651325852</v>
      </c>
    </row>
    <row r="51" spans="1:4" x14ac:dyDescent="0.3">
      <c r="B51" s="123" t="s">
        <v>491</v>
      </c>
      <c r="C51" s="123">
        <v>93423781</v>
      </c>
      <c r="D51" s="123">
        <v>58142746</v>
      </c>
    </row>
    <row r="52" spans="1:4" x14ac:dyDescent="0.3">
      <c r="B52" s="123" t="s">
        <v>492</v>
      </c>
      <c r="C52" s="123">
        <v>0</v>
      </c>
      <c r="D52" s="123">
        <v>673921904</v>
      </c>
    </row>
    <row r="53" spans="1:4" x14ac:dyDescent="0.3">
      <c r="B53" s="123" t="s">
        <v>493</v>
      </c>
      <c r="C53" s="123">
        <v>46600473691</v>
      </c>
      <c r="D53" s="123">
        <v>40337889907</v>
      </c>
    </row>
    <row r="54" spans="1:4" x14ac:dyDescent="0.3">
      <c r="A54" s="123" t="s">
        <v>421</v>
      </c>
      <c r="B54" s="123" t="s">
        <v>494</v>
      </c>
      <c r="C54" s="123">
        <v>23250000000</v>
      </c>
      <c r="D54" s="123">
        <v>20250000000</v>
      </c>
    </row>
    <row r="55" spans="1:4" x14ac:dyDescent="0.3">
      <c r="B55" s="123" t="s">
        <v>495</v>
      </c>
      <c r="C55" s="123">
        <v>3029415000</v>
      </c>
      <c r="D55" s="123">
        <v>1794615000</v>
      </c>
    </row>
    <row r="56" spans="1:4" x14ac:dyDescent="0.3">
      <c r="B56" s="123" t="s">
        <v>496</v>
      </c>
      <c r="C56" s="123">
        <v>15956952709</v>
      </c>
      <c r="D56" s="123">
        <v>15537921666</v>
      </c>
    </row>
    <row r="57" spans="1:4" x14ac:dyDescent="0.3">
      <c r="B57" s="123" t="s">
        <v>497</v>
      </c>
      <c r="C57" s="123">
        <v>4364105982</v>
      </c>
      <c r="D57" s="123">
        <v>2755353241</v>
      </c>
    </row>
    <row r="58" spans="1:4" x14ac:dyDescent="0.3">
      <c r="B58" s="123" t="s">
        <v>498</v>
      </c>
      <c r="C58" s="123">
        <v>120039870393</v>
      </c>
      <c r="D58" s="123">
        <v>116415300976</v>
      </c>
    </row>
    <row r="59" spans="1:4" x14ac:dyDescent="0.3">
      <c r="B59" s="123" t="s">
        <v>499</v>
      </c>
    </row>
    <row r="60" spans="1:4" x14ac:dyDescent="0.3">
      <c r="B60" s="123" t="s">
        <v>500</v>
      </c>
      <c r="C60" s="123">
        <v>5475000000</v>
      </c>
      <c r="D60" s="123">
        <v>5475000000</v>
      </c>
    </row>
    <row r="61" spans="1:4" x14ac:dyDescent="0.3">
      <c r="B61" s="123" t="s">
        <v>501</v>
      </c>
      <c r="C61" s="123">
        <v>6717349930</v>
      </c>
      <c r="D61" s="123">
        <v>6717349930</v>
      </c>
    </row>
    <row r="62" spans="1:4" x14ac:dyDescent="0.3">
      <c r="B62" s="123" t="s">
        <v>502</v>
      </c>
      <c r="C62" s="123">
        <v>107088966482</v>
      </c>
      <c r="D62" s="123">
        <v>98405007759</v>
      </c>
    </row>
    <row r="63" spans="1:4" x14ac:dyDescent="0.3">
      <c r="B63" s="123" t="s">
        <v>503</v>
      </c>
      <c r="C63" s="123">
        <v>3122650123</v>
      </c>
      <c r="D63" s="123">
        <v>3786032027</v>
      </c>
    </row>
    <row r="64" spans="1:4" x14ac:dyDescent="0.3">
      <c r="A64" s="123" t="s">
        <v>572</v>
      </c>
      <c r="B64" s="123" t="s">
        <v>504</v>
      </c>
      <c r="C64" s="123">
        <v>122403966535</v>
      </c>
      <c r="D64" s="123">
        <v>114383389716</v>
      </c>
    </row>
    <row r="65" spans="2:4" x14ac:dyDescent="0.3">
      <c r="B65" s="123" t="s">
        <v>505</v>
      </c>
      <c r="C65" s="123">
        <v>242443836928</v>
      </c>
      <c r="D65" s="123">
        <v>230798690692</v>
      </c>
    </row>
  </sheetData>
  <phoneticPr fontId="3"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3:N55"/>
  <sheetViews>
    <sheetView workbookViewId="0">
      <selection activeCell="F5" sqref="F5"/>
    </sheetView>
  </sheetViews>
  <sheetFormatPr defaultRowHeight="12" x14ac:dyDescent="0.3"/>
  <cols>
    <col min="1" max="1" width="1.625" style="124" customWidth="1"/>
    <col min="2" max="2" width="22.375" style="124" customWidth="1"/>
    <col min="3" max="4" width="14" style="124" bestFit="1" customWidth="1"/>
    <col min="5" max="5" width="9" style="124"/>
    <col min="6" max="6" width="20.5" style="124" customWidth="1"/>
    <col min="7" max="7" width="14.25" style="124" bestFit="1" customWidth="1"/>
    <col min="8" max="8" width="14" style="124" bestFit="1" customWidth="1"/>
    <col min="9" max="9" width="9.125" style="124" bestFit="1" customWidth="1"/>
    <col min="10" max="10" width="14" style="124" customWidth="1"/>
    <col min="11" max="14" width="10.5" style="124" bestFit="1" customWidth="1"/>
    <col min="15" max="16384" width="9" style="124"/>
  </cols>
  <sheetData>
    <row r="3" spans="2:11" x14ac:dyDescent="0.2">
      <c r="B3" s="125" t="s">
        <v>253</v>
      </c>
      <c r="C3" s="95" t="s">
        <v>246</v>
      </c>
      <c r="D3" s="95" t="s">
        <v>336</v>
      </c>
      <c r="F3" s="108" t="s">
        <v>343</v>
      </c>
      <c r="G3" s="108" t="s">
        <v>269</v>
      </c>
      <c r="H3" s="109" t="s">
        <v>270</v>
      </c>
      <c r="I3" s="109" t="s">
        <v>271</v>
      </c>
      <c r="J3" s="109" t="s">
        <v>272</v>
      </c>
      <c r="K3" s="109" t="s">
        <v>273</v>
      </c>
    </row>
    <row r="4" spans="2:11" x14ac:dyDescent="0.2">
      <c r="B4" s="96" t="s">
        <v>254</v>
      </c>
      <c r="C4" s="97">
        <f>SUM(C5:C6)</f>
        <v>16931.648999999998</v>
      </c>
      <c r="D4" s="97">
        <f t="shared" ref="D4" si="0">SUM(D5:D6)</f>
        <v>8767.5110000000004</v>
      </c>
      <c r="F4" s="126" t="s">
        <v>336</v>
      </c>
      <c r="G4" s="137">
        <f>SUMIFS($H$21:$H$44,$E$21:$E$44,G$3)/10^6</f>
        <v>81813.008382999993</v>
      </c>
      <c r="H4" s="137">
        <f t="shared" ref="H4:J4" si="1">SUMIFS($H$21:$H$44,$E$21:$E$44,H$3)/10^6</f>
        <v>-2588.5417000000002</v>
      </c>
      <c r="I4" s="137">
        <f t="shared" si="1"/>
        <v>-3815.8076999999998</v>
      </c>
      <c r="J4" s="137">
        <f t="shared" si="1"/>
        <v>-1293.766339</v>
      </c>
      <c r="K4" s="137">
        <f>H4-I4</f>
        <v>1227.2659999999996</v>
      </c>
    </row>
    <row r="5" spans="2:11" x14ac:dyDescent="0.2">
      <c r="B5" s="98" t="s">
        <v>255</v>
      </c>
      <c r="C5" s="124">
        <f>L23/10^3</f>
        <v>13931.648999999999</v>
      </c>
      <c r="D5" s="99">
        <f>N23/10^3</f>
        <v>7767.5110000000004</v>
      </c>
      <c r="F5" s="126" t="s">
        <v>344</v>
      </c>
      <c r="G5" s="137">
        <f>SUMIFS($G$21:$G$44,$E$21:$E$44,G$3)/10^6</f>
        <v>82896.238677000001</v>
      </c>
      <c r="H5" s="137">
        <f t="shared" ref="H5:J5" si="2">SUMIFS($G$21:$G$44,$E$21:$E$44,H$3)/10^6</f>
        <v>3381.118082</v>
      </c>
      <c r="I5" s="137">
        <f>SUMIFS($G$21:$G$44,$E$21:$E$44,I$3)/10^6</f>
        <v>1819.327082</v>
      </c>
      <c r="J5" s="137">
        <f t="shared" si="2"/>
        <v>959.72900600000003</v>
      </c>
      <c r="K5" s="137">
        <f t="shared" ref="K5" si="3">H5-I5</f>
        <v>1561.7909999999999</v>
      </c>
    </row>
    <row r="6" spans="2:11" x14ac:dyDescent="0.2">
      <c r="B6" s="98" t="s">
        <v>256</v>
      </c>
      <c r="C6" s="124">
        <f>L24/10^3</f>
        <v>3000</v>
      </c>
      <c r="D6" s="99">
        <f>N24/10^3</f>
        <v>1000</v>
      </c>
    </row>
    <row r="7" spans="2:11" x14ac:dyDescent="0.2">
      <c r="B7" s="100" t="s">
        <v>257</v>
      </c>
      <c r="C7" s="101">
        <f>SUM(C8:C10)</f>
        <v>0</v>
      </c>
      <c r="D7" s="101">
        <f t="shared" ref="D7" si="4">SUM(D8:D10)</f>
        <v>2250</v>
      </c>
    </row>
    <row r="8" spans="2:11" x14ac:dyDescent="0.2">
      <c r="B8" s="102" t="s">
        <v>258</v>
      </c>
      <c r="C8" s="133">
        <f>C40/10^6</f>
        <v>0</v>
      </c>
      <c r="D8" s="103">
        <f>D40/10^6</f>
        <v>2250</v>
      </c>
    </row>
    <row r="9" spans="2:11" x14ac:dyDescent="0.2">
      <c r="B9" s="102" t="s">
        <v>259</v>
      </c>
      <c r="C9" s="103"/>
      <c r="D9" s="103"/>
    </row>
    <row r="10" spans="2:11" x14ac:dyDescent="0.2">
      <c r="B10" s="102" t="s">
        <v>260</v>
      </c>
      <c r="C10" s="104"/>
      <c r="D10" s="104"/>
    </row>
    <row r="11" spans="2:11" x14ac:dyDescent="0.2">
      <c r="B11" s="100" t="s">
        <v>261</v>
      </c>
      <c r="C11" s="101">
        <f>SUM(C12:C16)</f>
        <v>1140.2550000000001</v>
      </c>
      <c r="D11" s="101">
        <f t="shared" ref="D11" si="5">SUM(D12:D16)</f>
        <v>485.32900000000001</v>
      </c>
    </row>
    <row r="12" spans="2:11" x14ac:dyDescent="0.2">
      <c r="B12" s="98" t="s">
        <v>262</v>
      </c>
      <c r="C12" s="111">
        <f>K43/10^3</f>
        <v>16.585000000000001</v>
      </c>
      <c r="D12" s="111">
        <f t="shared" ref="D12" si="6">L43/10^3</f>
        <v>17.22</v>
      </c>
    </row>
    <row r="13" spans="2:11" x14ac:dyDescent="0.2">
      <c r="B13" s="98" t="s">
        <v>263</v>
      </c>
      <c r="C13" s="136">
        <f>L54/10^3</f>
        <v>107.16</v>
      </c>
      <c r="D13" s="136">
        <f>M54/10^3</f>
        <v>105.139</v>
      </c>
      <c r="E13" s="136"/>
    </row>
    <row r="14" spans="2:11" x14ac:dyDescent="0.2">
      <c r="B14" s="98" t="s">
        <v>264</v>
      </c>
      <c r="C14" s="136">
        <f>C34/10^6</f>
        <v>362.97</v>
      </c>
      <c r="D14" s="105">
        <f t="shared" ref="D14" si="7">D34/10^6</f>
        <v>362.97</v>
      </c>
    </row>
    <row r="15" spans="2:11" x14ac:dyDescent="0.2">
      <c r="B15" s="98" t="s">
        <v>265</v>
      </c>
      <c r="C15" s="136">
        <f>K44/10^3</f>
        <v>653.54</v>
      </c>
      <c r="D15" s="105">
        <f t="shared" ref="D15" si="8">L44/10^3</f>
        <v>0</v>
      </c>
    </row>
    <row r="16" spans="2:11" x14ac:dyDescent="0.2">
      <c r="B16" s="98" t="s">
        <v>266</v>
      </c>
      <c r="C16" s="111"/>
      <c r="D16" s="111"/>
    </row>
    <row r="17" spans="2:14" ht="12.75" thickBot="1" x14ac:dyDescent="0.25">
      <c r="B17" s="106" t="s">
        <v>267</v>
      </c>
      <c r="C17" s="107">
        <f>C54/10^6</f>
        <v>67363.364455000003</v>
      </c>
      <c r="D17" s="107">
        <f t="shared" ref="D17" si="9">D54/10^6</f>
        <v>60455.183261999999</v>
      </c>
    </row>
    <row r="18" spans="2:14" ht="12.75" thickTop="1" x14ac:dyDescent="0.3"/>
    <row r="19" spans="2:14" x14ac:dyDescent="0.3">
      <c r="B19" s="462" t="s">
        <v>1722</v>
      </c>
    </row>
    <row r="20" spans="2:14" x14ac:dyDescent="0.3">
      <c r="B20" s="124" t="s">
        <v>280</v>
      </c>
      <c r="C20" s="124" t="s">
        <v>335</v>
      </c>
      <c r="D20" s="124" t="s">
        <v>336</v>
      </c>
      <c r="F20" s="124" t="s">
        <v>280</v>
      </c>
      <c r="G20" s="124" t="s">
        <v>335</v>
      </c>
      <c r="H20" s="124" t="s">
        <v>336</v>
      </c>
      <c r="J20" s="124" t="s">
        <v>346</v>
      </c>
      <c r="K20" s="124" t="s">
        <v>367</v>
      </c>
      <c r="L20" s="124" t="s">
        <v>367</v>
      </c>
      <c r="M20" s="124" t="s">
        <v>336</v>
      </c>
      <c r="N20" s="124" t="s">
        <v>336</v>
      </c>
    </row>
    <row r="21" spans="2:14" x14ac:dyDescent="0.3">
      <c r="B21" s="124" t="s">
        <v>282</v>
      </c>
      <c r="E21" s="124" t="s">
        <v>269</v>
      </c>
      <c r="F21" s="124" t="s">
        <v>316</v>
      </c>
      <c r="G21" s="124">
        <v>82896238677</v>
      </c>
      <c r="H21" s="124">
        <v>81813008383</v>
      </c>
      <c r="K21" s="124" t="s">
        <v>348</v>
      </c>
      <c r="L21" s="124" t="s">
        <v>349</v>
      </c>
      <c r="M21" s="124" t="s">
        <v>348</v>
      </c>
      <c r="N21" s="124" t="s">
        <v>349</v>
      </c>
    </row>
    <row r="22" spans="2:14" x14ac:dyDescent="0.3">
      <c r="B22" s="124" t="s">
        <v>283</v>
      </c>
      <c r="C22" s="124">
        <v>51951864521</v>
      </c>
      <c r="D22" s="124">
        <v>51112737675</v>
      </c>
      <c r="F22" s="124" t="s">
        <v>317</v>
      </c>
      <c r="G22" s="124">
        <v>70307717300</v>
      </c>
      <c r="H22" s="124">
        <v>73478030466</v>
      </c>
      <c r="J22" s="124" t="s">
        <v>350</v>
      </c>
    </row>
    <row r="23" spans="2:14" x14ac:dyDescent="0.3">
      <c r="B23" s="124" t="s">
        <v>284</v>
      </c>
      <c r="C23" s="124">
        <v>13931649440</v>
      </c>
      <c r="D23" s="124">
        <v>7767511155</v>
      </c>
      <c r="F23" s="124" t="s">
        <v>318</v>
      </c>
      <c r="G23" s="124">
        <v>12588521377</v>
      </c>
      <c r="H23" s="124">
        <v>8334977917</v>
      </c>
      <c r="J23" s="124" t="s">
        <v>351</v>
      </c>
      <c r="K23" s="124">
        <v>13931649</v>
      </c>
      <c r="L23" s="124">
        <v>13931649</v>
      </c>
      <c r="M23" s="124">
        <v>7767511</v>
      </c>
      <c r="N23" s="124">
        <v>7767511</v>
      </c>
    </row>
    <row r="24" spans="2:14" x14ac:dyDescent="0.3">
      <c r="B24" s="124" t="s">
        <v>285</v>
      </c>
      <c r="C24" s="124">
        <v>32979496553</v>
      </c>
      <c r="D24" s="124">
        <v>38734034186</v>
      </c>
      <c r="F24" s="124" t="s">
        <v>319</v>
      </c>
      <c r="G24" s="124">
        <v>10769194295</v>
      </c>
      <c r="H24" s="124">
        <v>12150785617</v>
      </c>
      <c r="J24" s="124" t="s">
        <v>352</v>
      </c>
      <c r="K24" s="124">
        <v>3000000</v>
      </c>
      <c r="L24" s="124">
        <v>3000000</v>
      </c>
      <c r="M24" s="124">
        <v>1000000</v>
      </c>
      <c r="N24" s="124">
        <v>1000000</v>
      </c>
    </row>
    <row r="25" spans="2:14" x14ac:dyDescent="0.3">
      <c r="B25" s="124" t="s">
        <v>286</v>
      </c>
      <c r="C25" s="124">
        <v>1561857545</v>
      </c>
      <c r="D25" s="124">
        <v>1558692942</v>
      </c>
      <c r="E25" s="124" t="s">
        <v>271</v>
      </c>
      <c r="F25" s="124" t="s">
        <v>320</v>
      </c>
      <c r="G25" s="124">
        <v>1819327082</v>
      </c>
      <c r="H25" s="124">
        <v>-3815807700</v>
      </c>
      <c r="J25" s="124" t="s">
        <v>353</v>
      </c>
      <c r="K25" s="124" t="s">
        <v>22</v>
      </c>
      <c r="L25" s="124" t="s">
        <v>22</v>
      </c>
      <c r="M25" s="124">
        <v>737156</v>
      </c>
      <c r="N25" s="124">
        <v>737156</v>
      </c>
    </row>
    <row r="26" spans="2:14" x14ac:dyDescent="0.3">
      <c r="B26" s="124" t="s">
        <v>287</v>
      </c>
      <c r="C26" s="124">
        <v>3000000000</v>
      </c>
      <c r="D26" s="124">
        <v>1737156340</v>
      </c>
      <c r="F26" s="124" t="s">
        <v>321</v>
      </c>
      <c r="G26" s="124">
        <v>513011024</v>
      </c>
      <c r="H26" s="124">
        <v>1100847478</v>
      </c>
      <c r="J26" s="124" t="s">
        <v>354</v>
      </c>
    </row>
    <row r="27" spans="2:14" x14ac:dyDescent="0.3">
      <c r="B27" s="124" t="s">
        <v>288</v>
      </c>
      <c r="C27" s="124" t="s">
        <v>22</v>
      </c>
      <c r="D27" s="124">
        <v>345324265</v>
      </c>
      <c r="F27" s="124" t="s">
        <v>322</v>
      </c>
      <c r="G27" s="124">
        <v>622961217</v>
      </c>
      <c r="H27" s="124">
        <v>172291665</v>
      </c>
      <c r="J27" s="124" t="s">
        <v>355</v>
      </c>
      <c r="K27" s="124">
        <v>16182028</v>
      </c>
      <c r="L27" s="124">
        <v>16182028</v>
      </c>
      <c r="M27" s="124">
        <v>18020449</v>
      </c>
      <c r="N27" s="124">
        <v>18020449</v>
      </c>
    </row>
    <row r="28" spans="2:14" x14ac:dyDescent="0.3">
      <c r="B28" s="124" t="s">
        <v>289</v>
      </c>
      <c r="C28" s="124">
        <v>478860983</v>
      </c>
      <c r="D28" s="124">
        <v>970018787</v>
      </c>
      <c r="F28" s="124" t="s">
        <v>323</v>
      </c>
      <c r="G28" s="124">
        <v>626754902</v>
      </c>
      <c r="H28" s="124">
        <v>1715913631</v>
      </c>
      <c r="J28" s="124" t="s">
        <v>356</v>
      </c>
      <c r="K28" s="124" t="s">
        <v>22</v>
      </c>
      <c r="L28" s="124" t="s">
        <v>22</v>
      </c>
      <c r="M28" s="124">
        <v>345324</v>
      </c>
      <c r="N28" s="124">
        <v>345324</v>
      </c>
    </row>
    <row r="29" spans="2:14" x14ac:dyDescent="0.3">
      <c r="B29" s="124" t="s">
        <v>290</v>
      </c>
      <c r="C29" s="124">
        <v>33604670571</v>
      </c>
      <c r="D29" s="124">
        <v>31460369422</v>
      </c>
      <c r="F29" s="124" t="s">
        <v>324</v>
      </c>
      <c r="G29" s="124">
        <v>1025634740</v>
      </c>
      <c r="H29" s="124">
        <v>394581682</v>
      </c>
      <c r="J29" s="124" t="s">
        <v>357</v>
      </c>
      <c r="K29" s="124">
        <v>184437</v>
      </c>
      <c r="L29" s="124">
        <v>184437</v>
      </c>
      <c r="M29" s="124">
        <v>100028</v>
      </c>
      <c r="N29" s="124">
        <v>100028</v>
      </c>
    </row>
    <row r="30" spans="2:14" x14ac:dyDescent="0.3">
      <c r="B30" s="124" t="s">
        <v>291</v>
      </c>
      <c r="C30" s="124">
        <v>28828059343</v>
      </c>
      <c r="D30" s="124">
        <v>27547210509</v>
      </c>
      <c r="F30" s="124" t="s">
        <v>325</v>
      </c>
      <c r="G30" s="124">
        <v>1310497051</v>
      </c>
      <c r="H30" s="124">
        <v>-1565919938</v>
      </c>
      <c r="J30" s="124" t="s">
        <v>358</v>
      </c>
      <c r="K30" s="124" t="s">
        <v>22</v>
      </c>
      <c r="L30" s="124" t="s">
        <v>22</v>
      </c>
      <c r="M30" s="124">
        <v>126170</v>
      </c>
      <c r="N30" s="124">
        <v>126170</v>
      </c>
    </row>
    <row r="31" spans="2:14" x14ac:dyDescent="0.3">
      <c r="B31" s="124" t="s">
        <v>292</v>
      </c>
      <c r="C31" s="124">
        <v>2631290054</v>
      </c>
      <c r="D31" s="124">
        <v>2006111560</v>
      </c>
      <c r="F31" s="124" t="s">
        <v>326</v>
      </c>
      <c r="G31" s="124">
        <v>350768045</v>
      </c>
      <c r="H31" s="124">
        <v>-272153599</v>
      </c>
      <c r="J31" s="124" t="s">
        <v>359</v>
      </c>
      <c r="K31" s="124">
        <v>653540</v>
      </c>
      <c r="L31" s="124">
        <v>653540</v>
      </c>
      <c r="M31" s="124" t="s">
        <v>22</v>
      </c>
      <c r="N31" s="124" t="s">
        <v>22</v>
      </c>
    </row>
    <row r="32" spans="2:14" x14ac:dyDescent="0.3">
      <c r="B32" s="124" t="s">
        <v>293</v>
      </c>
      <c r="C32" s="124">
        <v>107159659</v>
      </c>
      <c r="D32" s="124">
        <v>105139400</v>
      </c>
      <c r="E32" s="124" t="s">
        <v>272</v>
      </c>
      <c r="F32" s="124" t="s">
        <v>327</v>
      </c>
      <c r="G32" s="124">
        <v>959729006</v>
      </c>
      <c r="H32" s="124">
        <v>-1293766339</v>
      </c>
      <c r="J32" s="124" t="s">
        <v>360</v>
      </c>
      <c r="K32" s="124">
        <v>810629</v>
      </c>
      <c r="L32" s="124">
        <v>810629</v>
      </c>
      <c r="M32" s="124">
        <v>1172879</v>
      </c>
      <c r="N32" s="124">
        <v>1172879</v>
      </c>
    </row>
    <row r="33" spans="2:14" x14ac:dyDescent="0.3">
      <c r="B33" s="124" t="s">
        <v>294</v>
      </c>
      <c r="C33" s="124">
        <v>1464168956</v>
      </c>
      <c r="D33" s="124">
        <v>1299048753</v>
      </c>
      <c r="F33" s="124" t="s">
        <v>328</v>
      </c>
      <c r="G33" s="124">
        <v>-165135960</v>
      </c>
      <c r="H33" s="124">
        <v>5648486</v>
      </c>
      <c r="J33" s="124" t="s">
        <v>361</v>
      </c>
      <c r="K33" s="124">
        <v>34762283</v>
      </c>
      <c r="L33" s="124">
        <v>34762283</v>
      </c>
      <c r="M33" s="124">
        <v>29269517</v>
      </c>
      <c r="N33" s="124">
        <v>29269517</v>
      </c>
    </row>
    <row r="34" spans="2:14" x14ac:dyDescent="0.3">
      <c r="B34" s="124" t="s">
        <v>295</v>
      </c>
      <c r="C34" s="124">
        <v>362970000</v>
      </c>
      <c r="D34" s="124">
        <v>362970000</v>
      </c>
      <c r="F34" s="124" t="s">
        <v>329</v>
      </c>
      <c r="J34" s="124" t="s">
        <v>362</v>
      </c>
    </row>
    <row r="35" spans="2:14" x14ac:dyDescent="0.3">
      <c r="B35" s="124" t="s">
        <v>296</v>
      </c>
      <c r="C35" s="124">
        <v>211022559</v>
      </c>
      <c r="D35" s="124">
        <v>139889200</v>
      </c>
      <c r="F35" s="124" t="s">
        <v>330</v>
      </c>
      <c r="G35" s="124">
        <v>-165135960</v>
      </c>
      <c r="H35" s="124">
        <v>5648486</v>
      </c>
      <c r="J35" s="124" t="s">
        <v>363</v>
      </c>
      <c r="K35" s="124">
        <v>11191624</v>
      </c>
      <c r="L35" s="124">
        <v>11191624</v>
      </c>
      <c r="M35" s="124">
        <v>13827798</v>
      </c>
      <c r="N35" s="124">
        <v>13827798</v>
      </c>
    </row>
    <row r="36" spans="2:14" x14ac:dyDescent="0.3">
      <c r="B36" s="124" t="s">
        <v>297</v>
      </c>
      <c r="C36" s="124">
        <v>85556535092</v>
      </c>
      <c r="D36" s="124">
        <v>82573107097</v>
      </c>
      <c r="F36" s="124" t="s">
        <v>331</v>
      </c>
      <c r="G36" s="124">
        <v>794593046</v>
      </c>
      <c r="H36" s="124">
        <v>-1288117853</v>
      </c>
      <c r="J36" s="124" t="s">
        <v>364</v>
      </c>
      <c r="K36" s="124">
        <v>2651088</v>
      </c>
      <c r="L36" s="124">
        <v>2651088</v>
      </c>
      <c r="M36" s="124">
        <v>2889742</v>
      </c>
      <c r="N36" s="124">
        <v>2889742</v>
      </c>
    </row>
    <row r="37" spans="2:14" x14ac:dyDescent="0.3">
      <c r="B37" s="124" t="s">
        <v>298</v>
      </c>
      <c r="F37" s="124" t="s">
        <v>332</v>
      </c>
      <c r="J37" s="124" t="s">
        <v>365</v>
      </c>
      <c r="K37" s="124" t="s">
        <v>22</v>
      </c>
      <c r="L37" s="124" t="s">
        <v>22</v>
      </c>
      <c r="M37" s="124">
        <v>2250000</v>
      </c>
      <c r="N37" s="124">
        <v>2250000</v>
      </c>
    </row>
    <row r="38" spans="2:14" x14ac:dyDescent="0.3">
      <c r="B38" s="124" t="s">
        <v>299</v>
      </c>
      <c r="C38" s="124">
        <v>14539659054</v>
      </c>
      <c r="D38" s="124">
        <v>19548475703</v>
      </c>
      <c r="F38" s="124" t="s">
        <v>333</v>
      </c>
      <c r="G38" s="124">
        <v>109</v>
      </c>
      <c r="H38" s="124">
        <v>-147</v>
      </c>
      <c r="J38" s="124" t="s">
        <v>366</v>
      </c>
      <c r="K38" s="124">
        <v>733914</v>
      </c>
      <c r="L38" s="124">
        <v>733914</v>
      </c>
      <c r="M38" s="124" t="s">
        <v>22</v>
      </c>
      <c r="N38" s="124" t="s">
        <v>22</v>
      </c>
    </row>
    <row r="39" spans="2:14" x14ac:dyDescent="0.3">
      <c r="B39" s="124" t="s">
        <v>300</v>
      </c>
      <c r="C39" s="124">
        <v>13842712342</v>
      </c>
      <c r="D39" s="124">
        <v>16717539812</v>
      </c>
      <c r="J39" s="124" t="s">
        <v>361</v>
      </c>
      <c r="K39" s="124">
        <v>14576626</v>
      </c>
      <c r="L39" s="124">
        <v>14576626</v>
      </c>
      <c r="M39" s="124">
        <v>18967540</v>
      </c>
      <c r="N39" s="124">
        <v>18967540</v>
      </c>
    </row>
    <row r="40" spans="2:14" x14ac:dyDescent="0.3">
      <c r="B40" s="124" t="s">
        <v>301</v>
      </c>
      <c r="C40" s="124">
        <v>0</v>
      </c>
      <c r="D40" s="124">
        <v>2250000000</v>
      </c>
      <c r="F40" s="124" t="s">
        <v>338</v>
      </c>
      <c r="G40" s="124">
        <v>1352436</v>
      </c>
      <c r="H40" s="124">
        <v>1225246</v>
      </c>
    </row>
    <row r="41" spans="2:14" x14ac:dyDescent="0.3">
      <c r="B41" s="124" t="s">
        <v>302</v>
      </c>
      <c r="C41" s="124">
        <v>146590216</v>
      </c>
      <c r="D41" s="124" t="s">
        <v>22</v>
      </c>
      <c r="F41" s="124" t="s">
        <v>340</v>
      </c>
      <c r="G41" s="124">
        <v>209355</v>
      </c>
      <c r="H41" s="124">
        <v>2020</v>
      </c>
    </row>
    <row r="42" spans="2:14" x14ac:dyDescent="0.3">
      <c r="B42" s="124" t="s">
        <v>303</v>
      </c>
      <c r="C42" s="124" t="s">
        <v>22</v>
      </c>
      <c r="D42" s="124">
        <v>161171433</v>
      </c>
      <c r="E42" s="124" t="s">
        <v>273</v>
      </c>
      <c r="F42" s="124" t="s">
        <v>341</v>
      </c>
      <c r="G42" s="124">
        <f>SUM(G40:G41)</f>
        <v>1561791</v>
      </c>
      <c r="H42" s="124">
        <f>SUM(H40:H41)</f>
        <v>1227266</v>
      </c>
      <c r="J42" s="124" t="s">
        <v>346</v>
      </c>
      <c r="K42" s="124" t="s">
        <v>246</v>
      </c>
      <c r="L42" s="124" t="s">
        <v>373</v>
      </c>
    </row>
    <row r="43" spans="2:14" x14ac:dyDescent="0.3">
      <c r="B43" s="124" t="s">
        <v>334</v>
      </c>
      <c r="C43" s="124">
        <v>550356496</v>
      </c>
      <c r="D43" s="124">
        <v>419764458</v>
      </c>
      <c r="J43" s="124" t="s">
        <v>369</v>
      </c>
      <c r="K43" s="124">
        <v>16585</v>
      </c>
      <c r="L43" s="124">
        <v>17220</v>
      </c>
    </row>
    <row r="44" spans="2:14" x14ac:dyDescent="0.3">
      <c r="B44" s="124" t="s">
        <v>304</v>
      </c>
      <c r="C44" s="124">
        <v>3653511583</v>
      </c>
      <c r="D44" s="124">
        <v>2569448132</v>
      </c>
      <c r="E44" s="124" t="s">
        <v>270</v>
      </c>
      <c r="G44" s="124">
        <f>G25+G42*10^3</f>
        <v>3381118082</v>
      </c>
      <c r="H44" s="124">
        <f>H25+H42*10^3</f>
        <v>-2588541700</v>
      </c>
      <c r="J44" s="124" t="s">
        <v>370</v>
      </c>
      <c r="K44" s="124">
        <v>653540</v>
      </c>
      <c r="L44" s="124">
        <v>0</v>
      </c>
    </row>
    <row r="45" spans="2:14" x14ac:dyDescent="0.3">
      <c r="B45" s="124" t="s">
        <v>305</v>
      </c>
      <c r="C45" s="124">
        <v>548914249</v>
      </c>
      <c r="D45" s="124" t="s">
        <v>22</v>
      </c>
      <c r="J45" s="124" t="s">
        <v>371</v>
      </c>
      <c r="K45" s="124">
        <v>794044</v>
      </c>
      <c r="L45" s="124">
        <v>1155659</v>
      </c>
    </row>
    <row r="46" spans="2:14" x14ac:dyDescent="0.3">
      <c r="B46" s="124" t="s">
        <v>306</v>
      </c>
      <c r="C46" s="124">
        <v>698875509</v>
      </c>
      <c r="D46" s="124">
        <v>307787250</v>
      </c>
      <c r="J46" s="124" t="s">
        <v>372</v>
      </c>
      <c r="K46" s="124" t="s">
        <v>22</v>
      </c>
      <c r="L46" s="124">
        <v>126170</v>
      </c>
    </row>
    <row r="47" spans="2:14" x14ac:dyDescent="0.3">
      <c r="B47" s="124" t="s">
        <v>307</v>
      </c>
      <c r="C47" s="124">
        <v>2220721825</v>
      </c>
      <c r="D47" s="124">
        <v>2261660882</v>
      </c>
      <c r="J47" s="124" t="s">
        <v>350</v>
      </c>
    </row>
    <row r="48" spans="2:14" x14ac:dyDescent="0.3">
      <c r="B48" s="124" t="s">
        <v>308</v>
      </c>
      <c r="C48" s="124">
        <v>185000000</v>
      </c>
      <c r="D48" s="124" t="s">
        <v>22</v>
      </c>
      <c r="J48" s="124" t="s">
        <v>361</v>
      </c>
      <c r="K48" s="124">
        <v>1464169</v>
      </c>
      <c r="L48" s="124">
        <v>1299049</v>
      </c>
    </row>
    <row r="49" spans="2:14" x14ac:dyDescent="0.3">
      <c r="B49" s="124" t="s">
        <v>309</v>
      </c>
      <c r="C49" s="124">
        <v>18193170637</v>
      </c>
      <c r="D49" s="124">
        <v>22117923835</v>
      </c>
    </row>
    <row r="50" spans="2:14" x14ac:dyDescent="0.3">
      <c r="B50" s="124" t="s">
        <v>310</v>
      </c>
      <c r="J50" s="124" t="s">
        <v>346</v>
      </c>
      <c r="K50" s="124" t="s">
        <v>367</v>
      </c>
      <c r="L50" s="124" t="s">
        <v>367</v>
      </c>
      <c r="M50" s="124" t="s">
        <v>336</v>
      </c>
      <c r="N50" s="124" t="s">
        <v>336</v>
      </c>
    </row>
    <row r="51" spans="2:14" x14ac:dyDescent="0.3">
      <c r="B51" s="124" t="s">
        <v>311</v>
      </c>
      <c r="C51" s="124">
        <v>4387720000</v>
      </c>
      <c r="D51" s="124">
        <v>4387720000</v>
      </c>
      <c r="K51" s="124" t="s">
        <v>348</v>
      </c>
      <c r="L51" s="124" t="s">
        <v>349</v>
      </c>
      <c r="M51" s="124" t="s">
        <v>348</v>
      </c>
      <c r="N51" s="124" t="s">
        <v>349</v>
      </c>
    </row>
    <row r="52" spans="2:14" x14ac:dyDescent="0.3">
      <c r="B52" s="124" t="s">
        <v>312</v>
      </c>
      <c r="C52" s="124">
        <v>-229711090</v>
      </c>
      <c r="D52" s="124">
        <v>-1469062604</v>
      </c>
      <c r="J52" s="124" t="s">
        <v>374</v>
      </c>
      <c r="K52" s="124">
        <v>44700</v>
      </c>
      <c r="L52" s="124">
        <v>44700</v>
      </c>
      <c r="M52" s="124">
        <v>44700</v>
      </c>
      <c r="N52" s="124">
        <v>44700</v>
      </c>
    </row>
    <row r="53" spans="2:14" x14ac:dyDescent="0.3">
      <c r="B53" s="124" t="s">
        <v>313</v>
      </c>
      <c r="C53" s="124">
        <v>63205355545</v>
      </c>
      <c r="D53" s="124">
        <v>57536525866</v>
      </c>
      <c r="J53" s="124" t="s">
        <v>375</v>
      </c>
      <c r="K53" s="124">
        <v>62460</v>
      </c>
      <c r="L53" s="124">
        <v>62460</v>
      </c>
      <c r="M53" s="124">
        <v>60439</v>
      </c>
      <c r="N53" s="124">
        <v>60439</v>
      </c>
    </row>
    <row r="54" spans="2:14" x14ac:dyDescent="0.3">
      <c r="B54" s="124" t="s">
        <v>314</v>
      </c>
      <c r="C54" s="124">
        <v>67363364455</v>
      </c>
      <c r="D54" s="124">
        <v>60455183262</v>
      </c>
      <c r="J54" s="124" t="s">
        <v>361</v>
      </c>
      <c r="K54" s="124">
        <v>107160</v>
      </c>
      <c r="L54" s="124">
        <v>107160</v>
      </c>
      <c r="M54" s="124">
        <v>105139</v>
      </c>
      <c r="N54" s="124">
        <v>105139</v>
      </c>
    </row>
    <row r="55" spans="2:14" x14ac:dyDescent="0.3">
      <c r="B55" s="124" t="s">
        <v>315</v>
      </c>
      <c r="C55" s="124">
        <v>85556535092</v>
      </c>
      <c r="D55" s="124">
        <v>82573107097</v>
      </c>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A2:K52"/>
  <sheetViews>
    <sheetView workbookViewId="0">
      <selection activeCell="H13" sqref="H13"/>
    </sheetView>
  </sheetViews>
  <sheetFormatPr defaultRowHeight="12" x14ac:dyDescent="0.3"/>
  <cols>
    <col min="1" max="1" width="9" style="123"/>
    <col min="2" max="2" width="22.375" style="123" customWidth="1"/>
    <col min="3" max="4" width="14" style="123" bestFit="1" customWidth="1"/>
    <col min="5" max="5" width="9" style="123"/>
    <col min="6" max="6" width="20.5" style="123" customWidth="1"/>
    <col min="7" max="7" width="14.25" style="123" bestFit="1" customWidth="1"/>
    <col min="8" max="8" width="14" style="123" bestFit="1" customWidth="1"/>
    <col min="9" max="9" width="9.125" style="123" bestFit="1" customWidth="1"/>
    <col min="10" max="10" width="14" style="123" customWidth="1"/>
    <col min="11" max="11" width="10.5" style="123" bestFit="1" customWidth="1"/>
    <col min="12" max="16384" width="9" style="123"/>
  </cols>
  <sheetData>
    <row r="2" spans="2:11" x14ac:dyDescent="0.2">
      <c r="B2" s="125" t="s">
        <v>253</v>
      </c>
      <c r="C2" s="95" t="s">
        <v>277</v>
      </c>
      <c r="D2" s="95" t="s">
        <v>395</v>
      </c>
      <c r="E2" s="124"/>
      <c r="F2" s="108" t="s">
        <v>343</v>
      </c>
      <c r="G2" s="108" t="s">
        <v>269</v>
      </c>
      <c r="H2" s="109" t="s">
        <v>270</v>
      </c>
      <c r="I2" s="109" t="s">
        <v>271</v>
      </c>
      <c r="J2" s="109" t="s">
        <v>272</v>
      </c>
      <c r="K2" s="109" t="s">
        <v>273</v>
      </c>
    </row>
    <row r="3" spans="2:11" x14ac:dyDescent="0.2">
      <c r="B3" s="96" t="s">
        <v>254</v>
      </c>
      <c r="C3" s="97">
        <f>SUM(C4:C5)</f>
        <v>22440.337665999999</v>
      </c>
      <c r="D3" s="97">
        <f t="shared" ref="D3" si="0">SUM(D4:D5)</f>
        <v>43964.044758000004</v>
      </c>
      <c r="E3" s="124"/>
      <c r="F3" s="126" t="s">
        <v>395</v>
      </c>
      <c r="G3" s="139">
        <f>SUMIFS($G$21:$G$45,$E$21:$E$45,G$2)/10^6</f>
        <v>109990.67955</v>
      </c>
      <c r="H3" s="137">
        <f>SUMIFS($G$21:$G$45,$E$21:$E$45,H$2)/10^6</f>
        <v>15984.152763</v>
      </c>
      <c r="I3" s="137">
        <f>SUMIFS($G$21:$G$45,$E$21:$E$45,I$2)/10^6</f>
        <v>14518.295763</v>
      </c>
      <c r="J3" s="137">
        <f>SUMIFS($G$21:$G$45,$E$21:$E$45,J$2)/10^6</f>
        <v>12465.956194</v>
      </c>
      <c r="K3" s="137">
        <f>H3-I3</f>
        <v>1465.857</v>
      </c>
    </row>
    <row r="4" spans="2:11" x14ac:dyDescent="0.2">
      <c r="B4" s="98" t="s">
        <v>255</v>
      </c>
      <c r="C4" s="132">
        <f>SUMIFS(C$21:C$52,$A$21:$A$52,$B4)/10^6</f>
        <v>456.50584199999997</v>
      </c>
      <c r="D4" s="99">
        <f>SUMIFS(D$21:D$52,$A$21:$A$52,$B4)/10^6</f>
        <v>1998.5169020000001</v>
      </c>
      <c r="E4" s="124"/>
      <c r="F4" s="126" t="s">
        <v>277</v>
      </c>
      <c r="G4" s="139">
        <f>SUMIFS($H$21:$H$45,$E$21:$E$45,G$2)/10^6</f>
        <v>105760.54403</v>
      </c>
      <c r="H4" s="137">
        <f>SUMIFS($H$21:$H$45,$E$21:$E$45,H$2)/10^6</f>
        <v>12413.840840999999</v>
      </c>
      <c r="I4" s="137">
        <f>SUMIFS($H$21:$H$45,$E$21:$E$45,I$2)/10^6</f>
        <v>10841.687841000001</v>
      </c>
      <c r="J4" s="137">
        <f>SUMIFS($H$21:$H$45,$E$21:$E$45,J$2)/10^6</f>
        <v>8364.5222549999999</v>
      </c>
      <c r="K4" s="137">
        <f t="shared" ref="K4" si="1">H4-I4</f>
        <v>1572.1529999999984</v>
      </c>
    </row>
    <row r="5" spans="2:11" x14ac:dyDescent="0.2">
      <c r="B5" s="98" t="s">
        <v>256</v>
      </c>
      <c r="C5" s="124">
        <f>SUMIFS(C$21:C$52,$A$21:$A$52,$B5)/10^6</f>
        <v>21983.831824000001</v>
      </c>
      <c r="D5" s="99">
        <f>SUMIFS(D$21:D$52,$A$21:$A$52,$B5)/10^6</f>
        <v>41965.527856000001</v>
      </c>
      <c r="E5" s="124"/>
      <c r="F5" s="124"/>
      <c r="G5" s="124"/>
      <c r="H5" s="124"/>
      <c r="I5" s="124"/>
      <c r="J5" s="124"/>
      <c r="K5" s="124"/>
    </row>
    <row r="6" spans="2:11" x14ac:dyDescent="0.2">
      <c r="B6" s="100" t="s">
        <v>257</v>
      </c>
      <c r="C6" s="101">
        <f>SUM(C7:C9)</f>
        <v>0</v>
      </c>
      <c r="D6" s="101">
        <f t="shared" ref="D6" si="2">SUM(D7:D9)</f>
        <v>0</v>
      </c>
      <c r="E6" s="124"/>
      <c r="F6" s="124"/>
      <c r="G6" s="124"/>
      <c r="H6" s="124"/>
      <c r="I6" s="124"/>
      <c r="J6" s="124"/>
      <c r="K6" s="124"/>
    </row>
    <row r="7" spans="2:11" x14ac:dyDescent="0.2">
      <c r="B7" s="102" t="s">
        <v>258</v>
      </c>
      <c r="C7" s="133">
        <f t="shared" ref="C7:D9" si="3">SUMIFS(C$21:C$52,$A$21:$A$52,$B7)/10^6</f>
        <v>0</v>
      </c>
      <c r="D7" s="103">
        <f t="shared" si="3"/>
        <v>0</v>
      </c>
      <c r="E7" s="124"/>
      <c r="F7" s="124"/>
      <c r="G7" s="124"/>
      <c r="H7" s="124"/>
      <c r="I7" s="124"/>
      <c r="J7" s="124"/>
      <c r="K7" s="124"/>
    </row>
    <row r="8" spans="2:11" x14ac:dyDescent="0.2">
      <c r="B8" s="102" t="s">
        <v>259</v>
      </c>
      <c r="C8" s="103">
        <f t="shared" si="3"/>
        <v>0</v>
      </c>
      <c r="D8" s="103">
        <f t="shared" si="3"/>
        <v>0</v>
      </c>
      <c r="E8" s="124"/>
      <c r="F8" s="124"/>
      <c r="G8" s="124"/>
      <c r="H8" s="124"/>
      <c r="I8" s="124"/>
      <c r="J8" s="124"/>
      <c r="K8" s="124"/>
    </row>
    <row r="9" spans="2:11" x14ac:dyDescent="0.2">
      <c r="B9" s="102" t="s">
        <v>260</v>
      </c>
      <c r="C9" s="104">
        <f t="shared" si="3"/>
        <v>0</v>
      </c>
      <c r="D9" s="104">
        <f t="shared" si="3"/>
        <v>0</v>
      </c>
      <c r="E9" s="124"/>
      <c r="F9" s="124"/>
      <c r="G9" s="124"/>
      <c r="H9" s="124"/>
      <c r="I9" s="124"/>
      <c r="J9" s="124"/>
      <c r="K9" s="124"/>
    </row>
    <row r="10" spans="2:11" x14ac:dyDescent="0.2">
      <c r="B10" s="100" t="s">
        <v>261</v>
      </c>
      <c r="C10" s="101">
        <f>SUM(C11:C15)</f>
        <v>935.12710600000003</v>
      </c>
      <c r="D10" s="101">
        <f t="shared" ref="D10" si="4">SUM(D11:D15)</f>
        <v>1065.6678750000001</v>
      </c>
      <c r="E10" s="124"/>
      <c r="F10" s="124"/>
      <c r="G10" s="124"/>
      <c r="H10" s="124"/>
      <c r="I10" s="124"/>
      <c r="J10" s="124"/>
      <c r="K10" s="124"/>
    </row>
    <row r="11" spans="2:11" x14ac:dyDescent="0.2">
      <c r="B11" s="98" t="s">
        <v>262</v>
      </c>
      <c r="C11" s="111">
        <f t="shared" ref="C11:D15" si="5">SUMIFS(C$21:C$52,$A$21:$A$52,$B11)/10^6</f>
        <v>935.12710600000003</v>
      </c>
      <c r="D11" s="111">
        <f t="shared" si="5"/>
        <v>701.28966500000001</v>
      </c>
      <c r="E11" s="124"/>
      <c r="F11" s="124"/>
      <c r="G11" s="124"/>
      <c r="H11" s="124"/>
      <c r="I11" s="124"/>
      <c r="J11" s="124"/>
      <c r="K11" s="124"/>
    </row>
    <row r="12" spans="2:11" x14ac:dyDescent="0.2">
      <c r="B12" s="98" t="s">
        <v>263</v>
      </c>
      <c r="C12" s="136">
        <f t="shared" si="5"/>
        <v>0</v>
      </c>
      <c r="D12" s="136">
        <f t="shared" si="5"/>
        <v>364.37821000000002</v>
      </c>
      <c r="E12" s="136"/>
      <c r="F12" s="124"/>
      <c r="G12" s="124"/>
      <c r="H12" s="124"/>
      <c r="I12" s="124"/>
      <c r="J12" s="124"/>
      <c r="K12" s="124"/>
    </row>
    <row r="13" spans="2:11" x14ac:dyDescent="0.2">
      <c r="B13" s="98" t="s">
        <v>264</v>
      </c>
      <c r="C13" s="136">
        <f t="shared" si="5"/>
        <v>0</v>
      </c>
      <c r="D13" s="105">
        <f t="shared" si="5"/>
        <v>0</v>
      </c>
      <c r="E13" s="124"/>
      <c r="F13" s="124"/>
      <c r="G13" s="124"/>
      <c r="H13" s="124"/>
      <c r="I13" s="124"/>
      <c r="J13" s="124"/>
      <c r="K13" s="124"/>
    </row>
    <row r="14" spans="2:11" x14ac:dyDescent="0.2">
      <c r="B14" s="98" t="s">
        <v>265</v>
      </c>
      <c r="C14" s="136">
        <f t="shared" si="5"/>
        <v>0</v>
      </c>
      <c r="D14" s="105">
        <f t="shared" si="5"/>
        <v>0</v>
      </c>
      <c r="E14" s="124"/>
      <c r="F14" s="124"/>
      <c r="G14" s="124"/>
      <c r="H14" s="124"/>
      <c r="I14" s="124"/>
      <c r="J14" s="124"/>
      <c r="K14" s="124"/>
    </row>
    <row r="15" spans="2:11" x14ac:dyDescent="0.2">
      <c r="B15" s="98" t="s">
        <v>266</v>
      </c>
      <c r="C15" s="111">
        <f t="shared" si="5"/>
        <v>0</v>
      </c>
      <c r="D15" s="111">
        <f t="shared" si="5"/>
        <v>0</v>
      </c>
      <c r="E15" s="124"/>
      <c r="F15" s="124"/>
      <c r="G15" s="124"/>
      <c r="H15" s="124"/>
      <c r="I15" s="124"/>
      <c r="J15" s="124"/>
      <c r="K15" s="124"/>
    </row>
    <row r="16" spans="2:11" ht="12.75" thickBot="1" x14ac:dyDescent="0.25">
      <c r="B16" s="106" t="s">
        <v>267</v>
      </c>
      <c r="C16" s="107">
        <f>C51/10^6</f>
        <v>65687.151142999995</v>
      </c>
      <c r="D16" s="107">
        <f t="shared" ref="D16" si="6">D51/10^6</f>
        <v>74045.964168000006</v>
      </c>
      <c r="E16" s="124"/>
      <c r="F16" s="124"/>
      <c r="G16" s="124"/>
      <c r="H16" s="124"/>
      <c r="I16" s="124"/>
      <c r="J16" s="124"/>
      <c r="K16" s="124"/>
    </row>
    <row r="17" spans="1:8" ht="12.75" thickTop="1" x14ac:dyDescent="0.3"/>
    <row r="18" spans="1:8" x14ac:dyDescent="0.3">
      <c r="B18" s="462" t="s">
        <v>1722</v>
      </c>
    </row>
    <row r="20" spans="1:8" x14ac:dyDescent="0.3">
      <c r="B20" s="123" t="s">
        <v>282</v>
      </c>
      <c r="C20" s="123" t="s">
        <v>277</v>
      </c>
      <c r="D20" s="123" t="s">
        <v>394</v>
      </c>
      <c r="F20" s="123" t="s">
        <v>280</v>
      </c>
      <c r="G20" s="123" t="s">
        <v>277</v>
      </c>
      <c r="H20" s="123" t="s">
        <v>394</v>
      </c>
    </row>
    <row r="21" spans="1:8" x14ac:dyDescent="0.3">
      <c r="B21" s="123" t="s">
        <v>283</v>
      </c>
      <c r="C21" s="123">
        <v>51020611204</v>
      </c>
      <c r="D21" s="123">
        <v>71248505248</v>
      </c>
      <c r="E21" s="123" t="s">
        <v>411</v>
      </c>
      <c r="F21" s="123" t="s">
        <v>316</v>
      </c>
      <c r="G21" s="123">
        <v>109990679550</v>
      </c>
      <c r="H21" s="123">
        <v>105760544030</v>
      </c>
    </row>
    <row r="22" spans="1:8" x14ac:dyDescent="0.3">
      <c r="A22" s="123" t="s">
        <v>397</v>
      </c>
      <c r="B22" s="123" t="s">
        <v>284</v>
      </c>
      <c r="C22" s="123">
        <v>456505842</v>
      </c>
      <c r="D22" s="123">
        <v>1998516902</v>
      </c>
      <c r="F22" s="123" t="s">
        <v>387</v>
      </c>
      <c r="G22" s="123">
        <v>109990043550</v>
      </c>
      <c r="H22" s="123">
        <v>105760544030</v>
      </c>
    </row>
    <row r="23" spans="1:8" x14ac:dyDescent="0.3">
      <c r="B23" s="123" t="s">
        <v>285</v>
      </c>
      <c r="C23" s="123">
        <v>26974586924</v>
      </c>
      <c r="D23" s="123">
        <v>26074289725</v>
      </c>
      <c r="F23" s="123" t="s">
        <v>388</v>
      </c>
      <c r="G23" s="123">
        <v>636000</v>
      </c>
      <c r="H23" s="123" t="s">
        <v>22</v>
      </c>
    </row>
    <row r="24" spans="1:8" x14ac:dyDescent="0.3">
      <c r="B24" s="123" t="s">
        <v>286</v>
      </c>
      <c r="C24" s="123">
        <v>291052824</v>
      </c>
      <c r="D24" s="123">
        <v>389163648</v>
      </c>
      <c r="F24" s="123" t="s">
        <v>317</v>
      </c>
      <c r="G24" s="123">
        <v>88396368546</v>
      </c>
      <c r="H24" s="123">
        <v>86911708652</v>
      </c>
    </row>
    <row r="25" spans="1:8" x14ac:dyDescent="0.3">
      <c r="A25" s="123" t="s">
        <v>410</v>
      </c>
      <c r="B25" s="123" t="s">
        <v>376</v>
      </c>
      <c r="C25" s="123">
        <v>21983831824</v>
      </c>
      <c r="D25" s="123">
        <v>41965527856</v>
      </c>
      <c r="F25" s="123" t="s">
        <v>389</v>
      </c>
      <c r="G25" s="123">
        <v>88395808546</v>
      </c>
      <c r="H25" s="123">
        <v>86911708652</v>
      </c>
    </row>
    <row r="26" spans="1:8" x14ac:dyDescent="0.3">
      <c r="B26" s="123" t="s">
        <v>377</v>
      </c>
      <c r="C26" s="123">
        <v>1314633790</v>
      </c>
      <c r="D26" s="123">
        <v>821007117</v>
      </c>
      <c r="F26" s="123" t="s">
        <v>390</v>
      </c>
      <c r="G26" s="123">
        <v>560000</v>
      </c>
      <c r="H26" s="123" t="s">
        <v>22</v>
      </c>
    </row>
    <row r="27" spans="1:8" x14ac:dyDescent="0.3">
      <c r="B27" s="123" t="s">
        <v>290</v>
      </c>
      <c r="C27" s="123">
        <v>34293410964</v>
      </c>
      <c r="D27" s="123">
        <v>35040266787</v>
      </c>
      <c r="F27" s="123" t="s">
        <v>318</v>
      </c>
      <c r="G27" s="123">
        <v>21594311004</v>
      </c>
      <c r="H27" s="123">
        <v>18848835378</v>
      </c>
    </row>
    <row r="28" spans="1:8" x14ac:dyDescent="0.3">
      <c r="B28" s="123" t="s">
        <v>291</v>
      </c>
      <c r="C28" s="123">
        <v>30438174974</v>
      </c>
      <c r="D28" s="123">
        <v>30864952128</v>
      </c>
      <c r="F28" s="123" t="s">
        <v>319</v>
      </c>
      <c r="G28" s="123">
        <v>7076015241</v>
      </c>
      <c r="H28" s="123">
        <v>8007147537</v>
      </c>
    </row>
    <row r="29" spans="1:8" x14ac:dyDescent="0.3">
      <c r="B29" s="123" t="s">
        <v>292</v>
      </c>
      <c r="C29" s="123">
        <v>1875153834</v>
      </c>
      <c r="D29" s="123">
        <v>2063228018</v>
      </c>
      <c r="E29" s="123" t="s">
        <v>271</v>
      </c>
      <c r="F29" s="123" t="s">
        <v>320</v>
      </c>
      <c r="G29" s="123">
        <v>14518295763</v>
      </c>
      <c r="H29" s="123">
        <v>10841687841</v>
      </c>
    </row>
    <row r="30" spans="1:8" x14ac:dyDescent="0.3">
      <c r="A30" s="123" t="s">
        <v>263</v>
      </c>
      <c r="B30" s="123" t="s">
        <v>293</v>
      </c>
      <c r="C30" s="123" t="s">
        <v>22</v>
      </c>
      <c r="D30" s="123">
        <v>364378210</v>
      </c>
      <c r="F30" s="123" t="s">
        <v>321</v>
      </c>
      <c r="G30" s="123">
        <v>979857420</v>
      </c>
      <c r="H30" s="123">
        <v>1151166747</v>
      </c>
    </row>
    <row r="31" spans="1:8" x14ac:dyDescent="0.3">
      <c r="A31" s="123" t="s">
        <v>262</v>
      </c>
      <c r="B31" s="123" t="s">
        <v>378</v>
      </c>
      <c r="C31" s="123">
        <v>935127106</v>
      </c>
      <c r="D31" s="123">
        <v>701289665</v>
      </c>
      <c r="F31" s="123" t="s">
        <v>322</v>
      </c>
      <c r="G31" s="123">
        <v>250450800</v>
      </c>
      <c r="H31" s="123">
        <v>1517323984</v>
      </c>
    </row>
    <row r="32" spans="1:8" x14ac:dyDescent="0.3">
      <c r="B32" s="123" t="s">
        <v>379</v>
      </c>
      <c r="C32" s="123">
        <v>1044955050</v>
      </c>
      <c r="D32" s="123">
        <v>1046418766</v>
      </c>
      <c r="F32" s="123" t="s">
        <v>323</v>
      </c>
      <c r="G32" s="123">
        <v>465979890</v>
      </c>
      <c r="H32" s="123">
        <v>703735392</v>
      </c>
    </row>
    <row r="33" spans="2:8" x14ac:dyDescent="0.3">
      <c r="B33" s="123" t="s">
        <v>297</v>
      </c>
      <c r="C33" s="123">
        <v>85314022168</v>
      </c>
      <c r="D33" s="123">
        <v>106288772035</v>
      </c>
      <c r="F33" s="123" t="s">
        <v>324</v>
      </c>
      <c r="G33" s="123">
        <v>1473403</v>
      </c>
      <c r="H33" s="123" t="s">
        <v>22</v>
      </c>
    </row>
    <row r="34" spans="2:8" x14ac:dyDescent="0.3">
      <c r="B34" s="123" t="s">
        <v>298</v>
      </c>
      <c r="F34" s="123" t="s">
        <v>391</v>
      </c>
      <c r="G34" s="123">
        <v>15712208870</v>
      </c>
      <c r="H34" s="123">
        <v>11179265996</v>
      </c>
    </row>
    <row r="35" spans="2:8" x14ac:dyDescent="0.3">
      <c r="B35" s="123" t="s">
        <v>299</v>
      </c>
      <c r="C35" s="123">
        <v>15979883720</v>
      </c>
      <c r="D35" s="123">
        <v>29538136205</v>
      </c>
      <c r="F35" s="123" t="s">
        <v>326</v>
      </c>
      <c r="G35" s="123">
        <v>3246252676</v>
      </c>
      <c r="H35" s="123">
        <v>2814743741</v>
      </c>
    </row>
    <row r="36" spans="2:8" x14ac:dyDescent="0.3">
      <c r="B36" s="123" t="s">
        <v>300</v>
      </c>
      <c r="C36" s="123">
        <v>12142187755</v>
      </c>
      <c r="D36" s="123">
        <v>26367383401</v>
      </c>
      <c r="E36" s="123" t="s">
        <v>272</v>
      </c>
      <c r="F36" s="123" t="s">
        <v>327</v>
      </c>
      <c r="G36" s="123">
        <v>12465956194</v>
      </c>
      <c r="H36" s="123">
        <v>8364522255</v>
      </c>
    </row>
    <row r="37" spans="2:8" x14ac:dyDescent="0.3">
      <c r="B37" s="123" t="s">
        <v>380</v>
      </c>
      <c r="C37" s="123" t="s">
        <v>22</v>
      </c>
      <c r="D37" s="123" t="s">
        <v>22</v>
      </c>
      <c r="F37" s="123" t="s">
        <v>392</v>
      </c>
      <c r="G37" s="123">
        <v>12465956194</v>
      </c>
      <c r="H37" s="123">
        <v>8364522255</v>
      </c>
    </row>
    <row r="38" spans="2:8" x14ac:dyDescent="0.3">
      <c r="B38" s="123" t="s">
        <v>381</v>
      </c>
      <c r="C38" s="123">
        <v>2971788803</v>
      </c>
      <c r="D38" s="123">
        <v>1611678080</v>
      </c>
      <c r="F38" s="123" t="s">
        <v>393</v>
      </c>
    </row>
    <row r="39" spans="2:8" x14ac:dyDescent="0.3">
      <c r="B39" s="123" t="s">
        <v>382</v>
      </c>
      <c r="C39" s="123">
        <v>865907162</v>
      </c>
      <c r="D39" s="123">
        <v>1559074724</v>
      </c>
      <c r="F39" s="123" t="s">
        <v>333</v>
      </c>
      <c r="G39" s="123">
        <v>1421</v>
      </c>
      <c r="H39" s="123">
        <v>953</v>
      </c>
    </row>
    <row r="40" spans="2:8" x14ac:dyDescent="0.3">
      <c r="B40" s="123" t="s">
        <v>304</v>
      </c>
      <c r="C40" s="123">
        <v>3646987305</v>
      </c>
      <c r="D40" s="123">
        <v>2704671662</v>
      </c>
    </row>
    <row r="41" spans="2:8" x14ac:dyDescent="0.3">
      <c r="B41" s="123" t="s">
        <v>305</v>
      </c>
      <c r="C41" s="123">
        <v>225676962</v>
      </c>
      <c r="D41" s="123">
        <v>320550544</v>
      </c>
      <c r="F41" s="124" t="s">
        <v>338</v>
      </c>
      <c r="G41" s="124">
        <v>1383133</v>
      </c>
      <c r="H41" s="124">
        <v>1436448</v>
      </c>
    </row>
    <row r="42" spans="2:8" x14ac:dyDescent="0.3">
      <c r="B42" s="123" t="s">
        <v>383</v>
      </c>
      <c r="C42" s="123" t="s">
        <v>22</v>
      </c>
      <c r="D42" s="123" t="s">
        <v>22</v>
      </c>
      <c r="F42" s="124" t="s">
        <v>340</v>
      </c>
      <c r="G42" s="124">
        <v>82724</v>
      </c>
      <c r="H42" s="124">
        <v>135705</v>
      </c>
    </row>
    <row r="43" spans="2:8" x14ac:dyDescent="0.3">
      <c r="B43" s="123" t="s">
        <v>384</v>
      </c>
      <c r="C43" s="123">
        <v>878966652</v>
      </c>
      <c r="D43" s="123">
        <v>326303669</v>
      </c>
      <c r="F43" s="124" t="s">
        <v>341</v>
      </c>
      <c r="G43" s="124">
        <f>SUM(G41:G42)</f>
        <v>1465857</v>
      </c>
      <c r="H43" s="124">
        <f>SUM(H41:H42)</f>
        <v>1572153</v>
      </c>
    </row>
    <row r="44" spans="2:8" x14ac:dyDescent="0.3">
      <c r="B44" s="123" t="s">
        <v>385</v>
      </c>
      <c r="C44" s="123">
        <v>2152343691</v>
      </c>
      <c r="D44" s="123">
        <v>1582817449</v>
      </c>
    </row>
    <row r="45" spans="2:8" x14ac:dyDescent="0.3">
      <c r="B45" s="123" t="s">
        <v>386</v>
      </c>
      <c r="C45" s="123">
        <v>390000000</v>
      </c>
      <c r="D45" s="123">
        <v>475000000</v>
      </c>
      <c r="E45" s="123" t="s">
        <v>270</v>
      </c>
      <c r="F45" s="123" t="s">
        <v>270</v>
      </c>
      <c r="G45" s="123">
        <f>G29+G43*10^3</f>
        <v>15984152763</v>
      </c>
      <c r="H45" s="123">
        <f t="shared" ref="H45" si="7">H29+H43*10^3</f>
        <v>12413840841</v>
      </c>
    </row>
    <row r="46" spans="2:8" x14ac:dyDescent="0.3">
      <c r="B46" s="123" t="s">
        <v>309</v>
      </c>
      <c r="C46" s="123">
        <v>19626871025</v>
      </c>
      <c r="D46" s="123">
        <v>32242807867</v>
      </c>
    </row>
    <row r="47" spans="2:8" x14ac:dyDescent="0.3">
      <c r="B47" s="123" t="s">
        <v>310</v>
      </c>
    </row>
    <row r="48" spans="2:8" x14ac:dyDescent="0.3">
      <c r="B48" s="123" t="s">
        <v>311</v>
      </c>
      <c r="C48" s="123">
        <v>2193860000</v>
      </c>
      <c r="D48" s="123">
        <v>4387720000</v>
      </c>
    </row>
    <row r="49" spans="2:4" x14ac:dyDescent="0.3">
      <c r="B49" s="123" t="s">
        <v>312</v>
      </c>
      <c r="C49" s="123">
        <v>-4734243600</v>
      </c>
      <c r="D49" s="123">
        <v>-4739952830</v>
      </c>
    </row>
    <row r="50" spans="2:4" x14ac:dyDescent="0.3">
      <c r="B50" s="123" t="s">
        <v>313</v>
      </c>
      <c r="C50" s="123">
        <v>68227534743</v>
      </c>
      <c r="D50" s="123">
        <v>74398196998</v>
      </c>
    </row>
    <row r="51" spans="2:4" x14ac:dyDescent="0.3">
      <c r="B51" s="123" t="s">
        <v>314</v>
      </c>
      <c r="C51" s="123">
        <v>65687151143</v>
      </c>
      <c r="D51" s="123">
        <v>74045964168</v>
      </c>
    </row>
    <row r="52" spans="2:4" x14ac:dyDescent="0.3">
      <c r="B52" s="123" t="s">
        <v>315</v>
      </c>
      <c r="C52" s="123">
        <v>85314022168</v>
      </c>
      <c r="D52" s="123">
        <v>106288772035</v>
      </c>
    </row>
  </sheetData>
  <phoneticPr fontId="3" type="noConversion"/>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2:S10"/>
  <sheetViews>
    <sheetView topLeftCell="A2" workbookViewId="0">
      <selection activeCell="D10" sqref="D10"/>
    </sheetView>
  </sheetViews>
  <sheetFormatPr defaultRowHeight="12" x14ac:dyDescent="0.3"/>
  <cols>
    <col min="1" max="1" width="1.625" style="90" customWidth="1"/>
    <col min="2" max="3" width="12.875" style="90" customWidth="1"/>
    <col min="4" max="4" width="28" style="90" customWidth="1"/>
    <col min="5" max="5" width="51.75" style="90" customWidth="1"/>
    <col min="6" max="6" width="14.5" style="90" customWidth="1"/>
    <col min="7" max="7" width="25.875" style="90" customWidth="1"/>
    <col min="8" max="8" width="23.5" style="90" hidden="1" customWidth="1"/>
    <col min="9" max="9" width="9" style="90"/>
    <col min="10" max="10" width="0" style="90" hidden="1" customWidth="1"/>
    <col min="11" max="11" width="16.75" style="90" customWidth="1"/>
    <col min="12" max="12" width="12.625" style="90" customWidth="1"/>
    <col min="13" max="13" width="15.875" style="90" customWidth="1"/>
    <col min="14" max="14" width="9.125" style="90" customWidth="1"/>
    <col min="15" max="17" width="18.75" style="90" customWidth="1"/>
    <col min="18" max="19" width="15.875" style="90" customWidth="1"/>
    <col min="20" max="16384" width="9" style="90"/>
  </cols>
  <sheetData>
    <row r="2" spans="2:19" x14ac:dyDescent="0.3">
      <c r="B2" s="461" t="s">
        <v>1721</v>
      </c>
    </row>
    <row r="4" spans="2:19" x14ac:dyDescent="0.3">
      <c r="B4" s="91" t="s">
        <v>1561</v>
      </c>
      <c r="C4" s="91" t="s">
        <v>1562</v>
      </c>
      <c r="D4" s="91" t="s">
        <v>1563</v>
      </c>
      <c r="E4" s="91" t="s">
        <v>1564</v>
      </c>
      <c r="F4" s="91" t="s">
        <v>1565</v>
      </c>
      <c r="G4" s="91" t="s">
        <v>1566</v>
      </c>
      <c r="H4" s="91" t="s">
        <v>1567</v>
      </c>
      <c r="I4" s="91" t="s">
        <v>1568</v>
      </c>
      <c r="J4" s="91" t="s">
        <v>1569</v>
      </c>
      <c r="K4" s="91" t="s">
        <v>1570</v>
      </c>
      <c r="L4" s="91" t="s">
        <v>1571</v>
      </c>
      <c r="M4" s="91" t="s">
        <v>1572</v>
      </c>
      <c r="N4" s="91" t="s">
        <v>1573</v>
      </c>
      <c r="O4" s="91" t="s">
        <v>1574</v>
      </c>
      <c r="P4" s="91" t="s">
        <v>1575</v>
      </c>
      <c r="Q4" s="91" t="s">
        <v>1576</v>
      </c>
      <c r="R4" s="91" t="s">
        <v>88</v>
      </c>
      <c r="S4" s="91" t="s">
        <v>1577</v>
      </c>
    </row>
    <row r="5" spans="2:19" x14ac:dyDescent="0.3">
      <c r="B5" s="90" t="s">
        <v>95</v>
      </c>
      <c r="C5" s="90" t="s">
        <v>96</v>
      </c>
      <c r="D5" s="90" t="s">
        <v>74</v>
      </c>
      <c r="E5" s="90" t="s">
        <v>1578</v>
      </c>
      <c r="F5" s="90" t="s">
        <v>1579</v>
      </c>
      <c r="G5" s="90" t="s">
        <v>97</v>
      </c>
      <c r="H5" s="90" t="s">
        <v>1580</v>
      </c>
      <c r="I5" s="90" t="s">
        <v>98</v>
      </c>
      <c r="J5" s="90" t="s">
        <v>1581</v>
      </c>
      <c r="M5" s="90">
        <v>3378.56</v>
      </c>
      <c r="N5" s="90" t="s">
        <v>99</v>
      </c>
      <c r="O5" s="90">
        <v>2091.7226000000001</v>
      </c>
      <c r="P5" s="90">
        <v>340.15370000000001</v>
      </c>
      <c r="R5" s="90" t="s">
        <v>100</v>
      </c>
      <c r="S5" s="90">
        <v>3379</v>
      </c>
    </row>
    <row r="6" spans="2:19" x14ac:dyDescent="0.3">
      <c r="B6" s="90" t="s">
        <v>1582</v>
      </c>
      <c r="C6" s="90" t="s">
        <v>1583</v>
      </c>
      <c r="D6" s="90" t="s">
        <v>1584</v>
      </c>
      <c r="E6" s="90" t="s">
        <v>1585</v>
      </c>
      <c r="F6" s="90" t="s">
        <v>1586</v>
      </c>
      <c r="G6" s="90" t="s">
        <v>1587</v>
      </c>
      <c r="H6" s="90" t="s">
        <v>1588</v>
      </c>
      <c r="I6" s="90" t="s">
        <v>1589</v>
      </c>
      <c r="J6" s="90" t="s">
        <v>1590</v>
      </c>
      <c r="K6" s="90">
        <v>948.51750000000004</v>
      </c>
      <c r="L6" s="90">
        <v>1126.6194</v>
      </c>
      <c r="M6" s="90">
        <v>2075.1369</v>
      </c>
      <c r="N6" s="90" t="s">
        <v>94</v>
      </c>
      <c r="O6" s="90">
        <v>385.42619999999999</v>
      </c>
      <c r="P6" s="90">
        <v>167.9289</v>
      </c>
      <c r="Q6" s="90">
        <v>97.135099999999994</v>
      </c>
      <c r="R6" s="90" t="s">
        <v>1591</v>
      </c>
      <c r="S6" s="90">
        <v>2075</v>
      </c>
    </row>
    <row r="7" spans="2:19" x14ac:dyDescent="0.3">
      <c r="B7" s="90" t="s">
        <v>1593</v>
      </c>
      <c r="C7" s="90" t="s">
        <v>1593</v>
      </c>
      <c r="D7" s="90" t="s">
        <v>1594</v>
      </c>
      <c r="E7" s="90" t="s">
        <v>1595</v>
      </c>
      <c r="F7" s="90" t="s">
        <v>1596</v>
      </c>
      <c r="G7" s="90" t="s">
        <v>1597</v>
      </c>
      <c r="H7" s="90" t="s">
        <v>1598</v>
      </c>
      <c r="M7" s="90">
        <v>1702.35</v>
      </c>
      <c r="N7" s="90" t="s">
        <v>1592</v>
      </c>
      <c r="O7" s="90">
        <v>1548</v>
      </c>
      <c r="P7" s="90">
        <v>157.19999999999999</v>
      </c>
      <c r="R7" s="90" t="s">
        <v>1599</v>
      </c>
      <c r="S7" s="90">
        <v>1702</v>
      </c>
    </row>
    <row r="8" spans="2:19" x14ac:dyDescent="0.3">
      <c r="B8" s="90" t="s">
        <v>1600</v>
      </c>
      <c r="C8" s="90" t="s">
        <v>1601</v>
      </c>
      <c r="D8" s="90" t="s">
        <v>1602</v>
      </c>
      <c r="E8" s="90" t="s">
        <v>1603</v>
      </c>
      <c r="F8" s="90" t="s">
        <v>1604</v>
      </c>
      <c r="G8" s="90" t="s">
        <v>1605</v>
      </c>
      <c r="H8" s="90" t="s">
        <v>1606</v>
      </c>
      <c r="I8" s="90" t="s">
        <v>1607</v>
      </c>
      <c r="J8" s="90" t="s">
        <v>1608</v>
      </c>
      <c r="K8" s="90">
        <v>2569.6788999999999</v>
      </c>
      <c r="L8" s="90">
        <v>585.46609999999998</v>
      </c>
      <c r="M8" s="90">
        <v>3155.145</v>
      </c>
      <c r="N8" s="90" t="s">
        <v>1592</v>
      </c>
      <c r="O8" s="90">
        <v>1242.252</v>
      </c>
      <c r="P8" s="90">
        <v>289.47719999999998</v>
      </c>
      <c r="Q8" s="90">
        <v>178.56120000000001</v>
      </c>
      <c r="R8" s="90" t="s">
        <v>1609</v>
      </c>
      <c r="S8" s="90">
        <v>1260</v>
      </c>
    </row>
    <row r="9" spans="2:19" x14ac:dyDescent="0.3">
      <c r="B9" s="90" t="s">
        <v>1610</v>
      </c>
      <c r="C9" s="90" t="s">
        <v>1611</v>
      </c>
      <c r="D9" s="90" t="s">
        <v>1612</v>
      </c>
      <c r="E9" s="90" t="s">
        <v>1613</v>
      </c>
      <c r="F9" s="90" t="s">
        <v>1586</v>
      </c>
      <c r="G9" s="90" t="s">
        <v>1614</v>
      </c>
      <c r="H9" s="90" t="s">
        <v>1615</v>
      </c>
      <c r="I9" s="90" t="s">
        <v>1616</v>
      </c>
      <c r="J9" s="90" t="s">
        <v>1617</v>
      </c>
      <c r="K9" s="90">
        <v>3523.3955000000001</v>
      </c>
      <c r="L9" s="90">
        <v>9489.7649999999994</v>
      </c>
      <c r="M9" s="90">
        <v>13013.1605</v>
      </c>
      <c r="N9" s="90" t="s">
        <v>94</v>
      </c>
      <c r="O9" s="90">
        <v>1682.6232</v>
      </c>
      <c r="P9" s="90">
        <v>838.62689999999998</v>
      </c>
      <c r="Q9" s="90">
        <v>446.78489999999999</v>
      </c>
      <c r="R9" s="90" t="s">
        <v>1618</v>
      </c>
      <c r="S9" s="90">
        <v>529</v>
      </c>
    </row>
    <row r="10" spans="2:19" ht="409.5" x14ac:dyDescent="0.3">
      <c r="B10" s="90" t="s">
        <v>89</v>
      </c>
      <c r="C10" s="90" t="s">
        <v>90</v>
      </c>
      <c r="D10" s="90" t="s">
        <v>91</v>
      </c>
      <c r="E10" s="90" t="s">
        <v>1620</v>
      </c>
      <c r="F10" s="90" t="s">
        <v>1619</v>
      </c>
      <c r="G10" s="90" t="s">
        <v>92</v>
      </c>
      <c r="H10" s="90" t="s">
        <v>1621</v>
      </c>
      <c r="I10" s="90" t="s">
        <v>93</v>
      </c>
      <c r="J10" s="90" t="s">
        <v>1622</v>
      </c>
      <c r="M10" s="90">
        <v>200.27500000000001</v>
      </c>
      <c r="N10" s="90" t="s">
        <v>94</v>
      </c>
      <c r="O10" s="90">
        <v>63.139400000000002</v>
      </c>
      <c r="P10" s="90">
        <v>21.341999999999999</v>
      </c>
      <c r="Q10" s="90">
        <v>12.9031</v>
      </c>
      <c r="R10" s="481" t="s">
        <v>1743</v>
      </c>
      <c r="S10" s="90">
        <v>200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이름이 지정된 범위</vt:lpstr>
      </vt:variant>
      <vt:variant>
        <vt:i4>1</vt:i4>
      </vt:variant>
    </vt:vector>
  </HeadingPairs>
  <TitlesOfParts>
    <vt:vector size="17" baseType="lpstr">
      <vt:lpstr>Report</vt:lpstr>
      <vt:lpstr>Transaction</vt:lpstr>
      <vt:lpstr>Affinity</vt:lpstr>
      <vt:lpstr>휴비스워터-TSK</vt:lpstr>
      <vt:lpstr>유사거래 FS&gt;</vt:lpstr>
      <vt:lpstr>환경관리</vt:lpstr>
      <vt:lpstr>티에스케이코퍼레이션</vt:lpstr>
      <vt:lpstr>WIK그린</vt:lpstr>
      <vt:lpstr>인선이엔티</vt:lpstr>
      <vt:lpstr>창원에너텍</vt:lpstr>
      <vt:lpstr>삼우그린</vt:lpstr>
      <vt:lpstr>코엔텍</vt:lpstr>
      <vt:lpstr>한국종합기술</vt:lpstr>
      <vt:lpstr>휴비스워터_'18</vt:lpstr>
      <vt:lpstr>휴비스워터_'14</vt:lpstr>
      <vt:lpstr>MergerMarket</vt:lpstr>
      <vt:lpstr>Transaction!Print_Area</vt:lpstr>
    </vt:vector>
  </TitlesOfParts>
  <Company>KPMG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 Eung-Gwon (KR/Deal Adv5)</dc:creator>
  <cp:lastModifiedBy>Kim, Yang-Tae (KR/Deal Adv5)</cp:lastModifiedBy>
  <cp:lastPrinted>2019-05-08T16:52:55Z</cp:lastPrinted>
  <dcterms:created xsi:type="dcterms:W3CDTF">2019-05-08T02:55:01Z</dcterms:created>
  <dcterms:modified xsi:type="dcterms:W3CDTF">2019-05-19T16:26:08Z</dcterms:modified>
</cp:coreProperties>
</file>