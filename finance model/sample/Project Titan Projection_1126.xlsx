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filterPrivacy="1"/>
  <xr:revisionPtr revIDLastSave="0" documentId="13_ncr:1_{329347BD-3490-4D4A-AA1E-99B55C43008E}" xr6:coauthVersionLast="47" xr6:coauthVersionMax="47" xr10:uidLastSave="{00000000-0000-0000-0000-000000000000}"/>
  <bookViews>
    <workbookView xWindow="-20760" yWindow="-15840" windowWidth="18540" windowHeight="17475" tabRatio="885" xr2:uid="{2D74F8C0-ACCE-46F4-8638-4BAC317F2716}"/>
  </bookViews>
  <sheets>
    <sheet name="for IM" sheetId="31" r:id="rId1"/>
    <sheet name="DCF" sheetId="1" r:id="rId2"/>
    <sheet name="Pro forma BS" sheetId="22" r:id="rId3"/>
    <sheet name="Pro forma CF" sheetId="23" r:id="rId4"/>
    <sheet name="Pro forma CE" sheetId="28" r:id="rId5"/>
    <sheet name="Pro forma PL" sheetId="19" r:id="rId6"/>
    <sheet name="Key Assumption" sheetId="7" r:id="rId7"/>
    <sheet name="TITAN" sheetId="2" r:id="rId8"/>
    <sheet name="CLASS" sheetId="5" r:id="rId9"/>
    <sheet name="NOVA" sheetId="9" r:id="rId10"/>
    <sheet name="TTA" sheetId="4" r:id="rId11"/>
    <sheet name="클래스매출" sheetId="14" r:id="rId12"/>
    <sheet name="강의료이월" sheetId="30" r:id="rId13"/>
    <sheet name="HR" sheetId="10" r:id="rId14"/>
    <sheet name="시스템노바매출" sheetId="15" r:id="rId15"/>
    <sheet name="타이탄_하반기" sheetId="29" r:id="rId16"/>
    <sheet name="타이탄매출" sheetId="6" r:id="rId17"/>
    <sheet name="티티에이매출v2" sheetId="26" r:id="rId18"/>
    <sheet name="연결정산표_우모건제외" sheetId="25" r:id="rId19"/>
    <sheet name="연결정산표" sheetId="8" r:id="rId20"/>
    <sheet name="CF" sheetId="24" r:id="rId21"/>
    <sheet name="조정" sheetId="12" r:id="rId22"/>
    <sheet name="티티에이고정자산" sheetId="27" r:id="rId23"/>
    <sheet name="티티에이매출" sheetId="18" r:id="rId24"/>
    <sheet name="타이탄고정자산" sheetId="13" r:id="rId25"/>
    <sheet name="클래스고정자산" sheetId="20" r:id="rId26"/>
    <sheet name="비용취합" sheetId="16" r:id="rId27"/>
    <sheet name="노바고정자산" sheetId="21" r:id="rId28"/>
    <sheet name="내부거래" sheetId="17" r:id="rId29"/>
    <sheet name="EIU" sheetId="11" r:id="rId30"/>
  </sheets>
  <definedNames>
    <definedName name="_xlnm._FilterDatabase" localSheetId="0" hidden="1">'for IM'!#REF!</definedName>
    <definedName name="_xlnm._FilterDatabase" localSheetId="11" hidden="1">클래스매출!$A$3:$AL$117</definedName>
    <definedName name="_xlnm._FilterDatabase" localSheetId="16" hidden="1">타이탄매출!$B$3:$AK$131</definedName>
    <definedName name="_xlnm._FilterDatabase" localSheetId="17" hidden="1">티티에이매출v2!$A$2:$BG$46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6" i="31" l="1"/>
  <c r="J76" i="31"/>
  <c r="I76" i="31"/>
  <c r="H76" i="31"/>
  <c r="G76" i="31"/>
  <c r="K73" i="31"/>
  <c r="J73" i="31"/>
  <c r="I73" i="31"/>
  <c r="H73" i="31"/>
  <c r="G73" i="31"/>
  <c r="K72" i="31"/>
  <c r="J72" i="31"/>
  <c r="I72" i="31"/>
  <c r="H72" i="31"/>
  <c r="G72" i="31"/>
  <c r="K71" i="31"/>
  <c r="J71" i="31"/>
  <c r="I71" i="31"/>
  <c r="H71" i="31"/>
  <c r="H74" i="31" s="1"/>
  <c r="G71" i="31"/>
  <c r="K69" i="31"/>
  <c r="J69" i="31"/>
  <c r="I69" i="31"/>
  <c r="H69" i="31"/>
  <c r="G69" i="31"/>
  <c r="K68" i="31"/>
  <c r="J68" i="31"/>
  <c r="I68" i="31"/>
  <c r="H68" i="31"/>
  <c r="H70" i="31" s="1"/>
  <c r="G68" i="31"/>
  <c r="G70" i="31" s="1"/>
  <c r="K67" i="31"/>
  <c r="J67" i="31"/>
  <c r="I67" i="31"/>
  <c r="H67" i="31"/>
  <c r="G67" i="31"/>
  <c r="K66" i="31"/>
  <c r="K70" i="31" s="1"/>
  <c r="J66" i="31"/>
  <c r="J70" i="31" s="1"/>
  <c r="I66" i="31"/>
  <c r="I70" i="31" s="1"/>
  <c r="H66" i="31"/>
  <c r="G66" i="31"/>
  <c r="G74" i="31" s="1"/>
  <c r="H65" i="31"/>
  <c r="G65" i="31"/>
  <c r="K64" i="31"/>
  <c r="K63" i="31"/>
  <c r="J63" i="31"/>
  <c r="I63" i="31"/>
  <c r="I64" i="31" s="1"/>
  <c r="H63" i="31"/>
  <c r="G63" i="31"/>
  <c r="K62" i="31"/>
  <c r="K65" i="31" s="1"/>
  <c r="J62" i="31"/>
  <c r="J64" i="31" s="1"/>
  <c r="I62" i="31"/>
  <c r="H62" i="31"/>
  <c r="H64" i="31" s="1"/>
  <c r="G62" i="31"/>
  <c r="G64" i="31" s="1"/>
  <c r="K61" i="31"/>
  <c r="J61" i="31"/>
  <c r="K60" i="31"/>
  <c r="J60" i="31"/>
  <c r="I60" i="31"/>
  <c r="H60" i="31"/>
  <c r="H61" i="31" s="1"/>
  <c r="G60" i="31"/>
  <c r="K59" i="31"/>
  <c r="J59" i="31"/>
  <c r="I59" i="31"/>
  <c r="H59" i="31"/>
  <c r="G59" i="31"/>
  <c r="K58" i="31"/>
  <c r="J58" i="31"/>
  <c r="J65" i="31" s="1"/>
  <c r="I58" i="31"/>
  <c r="I61" i="31" s="1"/>
  <c r="H58" i="31"/>
  <c r="G58" i="31"/>
  <c r="G61" i="31" s="1"/>
  <c r="F73" i="31"/>
  <c r="F72" i="31"/>
  <c r="F71" i="31"/>
  <c r="F74" i="31" s="1"/>
  <c r="F69" i="31"/>
  <c r="F68" i="31"/>
  <c r="F70" i="31" s="1"/>
  <c r="F67" i="31"/>
  <c r="F66" i="31"/>
  <c r="F63" i="31"/>
  <c r="F62" i="31"/>
  <c r="F65" i="31" s="1"/>
  <c r="F60" i="31"/>
  <c r="F59" i="31"/>
  <c r="F58" i="31"/>
  <c r="F61" i="31" s="1"/>
  <c r="E73" i="31"/>
  <c r="E72" i="31"/>
  <c r="E71" i="31"/>
  <c r="E74" i="31" s="1"/>
  <c r="E69" i="31"/>
  <c r="E68" i="31"/>
  <c r="E67" i="31"/>
  <c r="E66" i="31"/>
  <c r="E70" i="31" s="1"/>
  <c r="E65" i="31"/>
  <c r="E75" i="31" s="1"/>
  <c r="E76" i="31" s="1"/>
  <c r="E63" i="31"/>
  <c r="F64" i="31"/>
  <c r="E62" i="31"/>
  <c r="E64" i="31" s="1"/>
  <c r="E60" i="31"/>
  <c r="E59" i="31"/>
  <c r="E61" i="31" s="1"/>
  <c r="E58" i="31"/>
  <c r="D74" i="31"/>
  <c r="D75" i="31" s="1"/>
  <c r="D76" i="31" s="1"/>
  <c r="D73" i="31"/>
  <c r="D72" i="31"/>
  <c r="D71" i="31"/>
  <c r="D70" i="31"/>
  <c r="D69" i="31"/>
  <c r="D68" i="31"/>
  <c r="D67" i="31"/>
  <c r="D66" i="31"/>
  <c r="D65" i="31"/>
  <c r="D64" i="31"/>
  <c r="D63" i="31"/>
  <c r="D62" i="31"/>
  <c r="D61" i="31"/>
  <c r="D60" i="31"/>
  <c r="D59" i="31"/>
  <c r="D58" i="31"/>
  <c r="T40" i="22"/>
  <c r="S40" i="22"/>
  <c r="R40" i="22"/>
  <c r="Q40" i="22"/>
  <c r="P40" i="22"/>
  <c r="O40" i="22"/>
  <c r="N40" i="22"/>
  <c r="T50" i="22"/>
  <c r="S50" i="22"/>
  <c r="R50" i="22"/>
  <c r="Q50" i="22"/>
  <c r="P50" i="22"/>
  <c r="O50" i="22"/>
  <c r="N50" i="22"/>
  <c r="M38" i="23"/>
  <c r="O58" i="22"/>
  <c r="T65" i="22"/>
  <c r="S65" i="22"/>
  <c r="R65" i="22"/>
  <c r="R38" i="23" s="1"/>
  <c r="Q65" i="22"/>
  <c r="Q38" i="23" s="1"/>
  <c r="P65" i="22"/>
  <c r="P38" i="23" s="1"/>
  <c r="O65" i="22"/>
  <c r="N65" i="22"/>
  <c r="M65" i="22"/>
  <c r="T63" i="22"/>
  <c r="S63" i="22"/>
  <c r="S45" i="22" s="1"/>
  <c r="R63" i="22"/>
  <c r="R45" i="22" s="1"/>
  <c r="Q63" i="22"/>
  <c r="P63" i="22"/>
  <c r="O63" i="22"/>
  <c r="N63" i="22"/>
  <c r="M63" i="22"/>
  <c r="L63" i="22"/>
  <c r="U129" i="4"/>
  <c r="T129" i="4"/>
  <c r="S129" i="4"/>
  <c r="R129" i="4"/>
  <c r="Q129" i="4"/>
  <c r="P129" i="4"/>
  <c r="N129" i="4"/>
  <c r="O129" i="4"/>
  <c r="O167" i="5"/>
  <c r="O160" i="2"/>
  <c r="U131" i="4"/>
  <c r="T131" i="4"/>
  <c r="S131" i="4"/>
  <c r="R131" i="4"/>
  <c r="Q131" i="4"/>
  <c r="P131" i="4"/>
  <c r="O131" i="4"/>
  <c r="O130" i="4" s="1"/>
  <c r="N131" i="4"/>
  <c r="N130" i="4" s="1"/>
  <c r="U130" i="4"/>
  <c r="T130" i="4"/>
  <c r="S130" i="4"/>
  <c r="R130" i="4"/>
  <c r="Q130" i="4"/>
  <c r="P130" i="4"/>
  <c r="M168" i="5"/>
  <c r="M169" i="5"/>
  <c r="I169" i="5" s="1"/>
  <c r="L168" i="5"/>
  <c r="M161" i="2"/>
  <c r="L161" i="2"/>
  <c r="M130" i="4"/>
  <c r="M131" i="4"/>
  <c r="I131" i="4" s="1"/>
  <c r="M129" i="4"/>
  <c r="L169" i="5"/>
  <c r="M167" i="5"/>
  <c r="L167" i="5"/>
  <c r="M162" i="2"/>
  <c r="I162" i="2" s="1"/>
  <c r="L162" i="2"/>
  <c r="L160" i="2"/>
  <c r="M160" i="2"/>
  <c r="T45" i="22"/>
  <c r="Q45" i="22"/>
  <c r="P45" i="22"/>
  <c r="O45" i="22"/>
  <c r="N45" i="22"/>
  <c r="T35" i="22"/>
  <c r="S35" i="22"/>
  <c r="R35" i="22"/>
  <c r="Q35" i="22"/>
  <c r="P35" i="22"/>
  <c r="O35" i="22"/>
  <c r="N35" i="22"/>
  <c r="T38" i="23"/>
  <c r="S38" i="23"/>
  <c r="N38" i="23"/>
  <c r="M49" i="23"/>
  <c r="M32" i="23"/>
  <c r="M31" i="23" s="1"/>
  <c r="M33" i="23"/>
  <c r="M45" i="23"/>
  <c r="M41" i="23"/>
  <c r="M47" i="23"/>
  <c r="M46" i="23"/>
  <c r="M44" i="23"/>
  <c r="M43" i="23"/>
  <c r="M42" i="23"/>
  <c r="M40" i="23"/>
  <c r="M39" i="23"/>
  <c r="M37" i="23"/>
  <c r="M36" i="23"/>
  <c r="M35" i="23"/>
  <c r="M34" i="23"/>
  <c r="O49" i="23"/>
  <c r="O47" i="23"/>
  <c r="O46" i="23"/>
  <c r="O45" i="23" s="1"/>
  <c r="T45" i="23"/>
  <c r="S45" i="23"/>
  <c r="R45" i="23"/>
  <c r="Q45" i="23"/>
  <c r="P45" i="23"/>
  <c r="N45" i="23"/>
  <c r="O43" i="23"/>
  <c r="T42" i="23"/>
  <c r="T41" i="23" s="1"/>
  <c r="S42" i="23"/>
  <c r="S41" i="23" s="1"/>
  <c r="R42" i="23"/>
  <c r="R41" i="23" s="1"/>
  <c r="Q42" i="23"/>
  <c r="P42" i="23"/>
  <c r="N42" i="23"/>
  <c r="O42" i="23" s="1"/>
  <c r="Q41" i="23"/>
  <c r="P41" i="23"/>
  <c r="N41" i="23"/>
  <c r="T40" i="23"/>
  <c r="T31" i="23" s="1"/>
  <c r="O40" i="23"/>
  <c r="O39" i="23"/>
  <c r="T37" i="23"/>
  <c r="S37" i="23"/>
  <c r="R37" i="23"/>
  <c r="Q37" i="23"/>
  <c r="P37" i="23"/>
  <c r="N37" i="23"/>
  <c r="T36" i="23"/>
  <c r="S36" i="23"/>
  <c r="R36" i="23"/>
  <c r="Q36" i="23"/>
  <c r="P36" i="23"/>
  <c r="N36" i="23"/>
  <c r="O36" i="23" s="1"/>
  <c r="O35" i="23"/>
  <c r="O34" i="23"/>
  <c r="T33" i="23"/>
  <c r="S33" i="23"/>
  <c r="R33" i="23"/>
  <c r="S40" i="23" s="1"/>
  <c r="Q33" i="23"/>
  <c r="R40" i="23" s="1"/>
  <c r="P33" i="23"/>
  <c r="Q40" i="23" s="1"/>
  <c r="O33" i="23"/>
  <c r="P40" i="23" s="1"/>
  <c r="N33" i="23"/>
  <c r="T32" i="23"/>
  <c r="S32" i="23"/>
  <c r="R32" i="23"/>
  <c r="Q32" i="23"/>
  <c r="P32" i="23"/>
  <c r="N32" i="23"/>
  <c r="L39" i="22"/>
  <c r="O4" i="1"/>
  <c r="F8" i="31"/>
  <c r="E8" i="31"/>
  <c r="E7" i="31"/>
  <c r="E6" i="31"/>
  <c r="E5" i="31"/>
  <c r="D9" i="31"/>
  <c r="E9" i="31" s="1"/>
  <c r="D7" i="31"/>
  <c r="D8" i="31"/>
  <c r="D6" i="31"/>
  <c r="D5" i="31"/>
  <c r="E48" i="31" a="1"/>
  <c r="E48" i="31" s="1"/>
  <c r="D47" i="31" a="1"/>
  <c r="D47" i="31" s="1"/>
  <c r="F50" i="31"/>
  <c r="F49" i="31"/>
  <c r="F52" i="31"/>
  <c r="K93" i="31"/>
  <c r="J93" i="31"/>
  <c r="I93" i="31"/>
  <c r="H93" i="31"/>
  <c r="G93" i="31"/>
  <c r="F93" i="31"/>
  <c r="E93" i="31"/>
  <c r="D93" i="31"/>
  <c r="E119" i="31"/>
  <c r="K118" i="31"/>
  <c r="J118" i="31"/>
  <c r="I118" i="31"/>
  <c r="H118" i="31"/>
  <c r="G118" i="31"/>
  <c r="F118" i="31"/>
  <c r="E118" i="31"/>
  <c r="D119" i="31"/>
  <c r="D118" i="31"/>
  <c r="E111" i="31"/>
  <c r="F111" i="31" s="1"/>
  <c r="N104" i="31"/>
  <c r="N103" i="31"/>
  <c r="K116" i="31"/>
  <c r="J116" i="31"/>
  <c r="I116" i="31"/>
  <c r="H116" i="31"/>
  <c r="G116" i="31"/>
  <c r="E116" i="31"/>
  <c r="D116" i="31"/>
  <c r="E115" i="31"/>
  <c r="D115" i="31"/>
  <c r="E88" i="31"/>
  <c r="K86" i="31"/>
  <c r="J86" i="31"/>
  <c r="I86" i="31"/>
  <c r="H86" i="31"/>
  <c r="G86" i="31"/>
  <c r="F86" i="31"/>
  <c r="E86" i="31"/>
  <c r="D88" i="31"/>
  <c r="D86" i="31"/>
  <c r="E113" i="31"/>
  <c r="E112" i="31" s="1"/>
  <c r="D113" i="31"/>
  <c r="D112" i="31" s="1"/>
  <c r="K110" i="31"/>
  <c r="J110" i="31"/>
  <c r="I110" i="31"/>
  <c r="H110" i="31"/>
  <c r="G110" i="31"/>
  <c r="F110" i="31"/>
  <c r="E110" i="31"/>
  <c r="K109" i="31"/>
  <c r="J109" i="31"/>
  <c r="I109" i="31"/>
  <c r="H109" i="31"/>
  <c r="G109" i="31"/>
  <c r="F109" i="31"/>
  <c r="E109" i="31"/>
  <c r="D110" i="31"/>
  <c r="D109" i="31"/>
  <c r="K107" i="31"/>
  <c r="J107" i="31"/>
  <c r="I107" i="31"/>
  <c r="H107" i="31"/>
  <c r="G107" i="31"/>
  <c r="F107" i="31"/>
  <c r="E107" i="31"/>
  <c r="E106" i="31"/>
  <c r="D107" i="31"/>
  <c r="D106" i="31"/>
  <c r="K104" i="31"/>
  <c r="J104" i="31"/>
  <c r="I104" i="31"/>
  <c r="H104" i="31"/>
  <c r="G104" i="31"/>
  <c r="F104" i="31"/>
  <c r="E104" i="31"/>
  <c r="K103" i="31"/>
  <c r="J103" i="31"/>
  <c r="I103" i="31"/>
  <c r="H103" i="31"/>
  <c r="G103" i="31"/>
  <c r="F103" i="31"/>
  <c r="E103" i="31"/>
  <c r="E102" i="31"/>
  <c r="D104" i="31"/>
  <c r="D103" i="31"/>
  <c r="D102" i="31"/>
  <c r="I8" i="31"/>
  <c r="I7" i="31"/>
  <c r="I6" i="31"/>
  <c r="I5" i="31"/>
  <c r="M60" i="22"/>
  <c r="M59" i="22" s="1"/>
  <c r="L65" i="22"/>
  <c r="M64" i="22"/>
  <c r="L64" i="22"/>
  <c r="M61" i="22"/>
  <c r="L61" i="22"/>
  <c r="L60" i="22" s="1"/>
  <c r="M15" i="5"/>
  <c r="T141" i="19"/>
  <c r="S141" i="19"/>
  <c r="R141" i="19"/>
  <c r="Q141" i="19"/>
  <c r="P141" i="19"/>
  <c r="N141" i="19"/>
  <c r="M141" i="19"/>
  <c r="T130" i="19"/>
  <c r="S130" i="19"/>
  <c r="R130" i="19"/>
  <c r="Q130" i="19"/>
  <c r="P130" i="19"/>
  <c r="N130" i="19"/>
  <c r="M96" i="5"/>
  <c r="M130" i="19"/>
  <c r="P65" i="4"/>
  <c r="P57" i="4"/>
  <c r="P66" i="2"/>
  <c r="J77" i="2"/>
  <c r="M15" i="4"/>
  <c r="M13" i="9"/>
  <c r="M97" i="5"/>
  <c r="M15" i="2"/>
  <c r="H75" i="31" l="1"/>
  <c r="G75" i="31"/>
  <c r="I74" i="31"/>
  <c r="J74" i="31"/>
  <c r="J75" i="31" s="1"/>
  <c r="K74" i="31"/>
  <c r="K75" i="31" s="1"/>
  <c r="I65" i="31"/>
  <c r="I75" i="31" s="1"/>
  <c r="F75" i="31"/>
  <c r="F76" i="31" s="1"/>
  <c r="Q31" i="23"/>
  <c r="R31" i="23"/>
  <c r="R48" i="23" s="1"/>
  <c r="S31" i="23"/>
  <c r="S48" i="23" s="1"/>
  <c r="N31" i="23"/>
  <c r="M45" i="22"/>
  <c r="U169" i="5"/>
  <c r="U168" i="5" s="1"/>
  <c r="U167" i="5" s="1"/>
  <c r="O169" i="5"/>
  <c r="O168" i="5" s="1"/>
  <c r="N167" i="5" s="1"/>
  <c r="S169" i="5"/>
  <c r="S168" i="5" s="1"/>
  <c r="S167" i="5" s="1"/>
  <c r="Q169" i="5"/>
  <c r="Q168" i="5" s="1"/>
  <c r="Q167" i="5" s="1"/>
  <c r="T169" i="5"/>
  <c r="T168" i="5" s="1"/>
  <c r="T167" i="5" s="1"/>
  <c r="R169" i="5"/>
  <c r="R168" i="5" s="1"/>
  <c r="R167" i="5" s="1"/>
  <c r="P169" i="5"/>
  <c r="P168" i="5" s="1"/>
  <c r="P167" i="5" s="1"/>
  <c r="N169" i="5"/>
  <c r="N168" i="5" s="1"/>
  <c r="U162" i="2"/>
  <c r="U161" i="2" s="1"/>
  <c r="U160" i="2" s="1"/>
  <c r="T162" i="2"/>
  <c r="T161" i="2" s="1"/>
  <c r="T160" i="2" s="1"/>
  <c r="S162" i="2"/>
  <c r="S161" i="2" s="1"/>
  <c r="S160" i="2" s="1"/>
  <c r="N162" i="2"/>
  <c r="N161" i="2" s="1"/>
  <c r="R162" i="2"/>
  <c r="R161" i="2" s="1"/>
  <c r="R160" i="2" s="1"/>
  <c r="Q162" i="2"/>
  <c r="Q161" i="2" s="1"/>
  <c r="Q160" i="2" s="1"/>
  <c r="P162" i="2"/>
  <c r="P161" i="2" s="1"/>
  <c r="P160" i="2" s="1"/>
  <c r="O162" i="2"/>
  <c r="O161" i="2" s="1"/>
  <c r="N160" i="2" s="1"/>
  <c r="O38" i="23"/>
  <c r="O44" i="23"/>
  <c r="O41" i="23" s="1"/>
  <c r="O37" i="23"/>
  <c r="N48" i="23"/>
  <c r="P31" i="23"/>
  <c r="P48" i="23" s="1"/>
  <c r="Q48" i="23"/>
  <c r="T48" i="23"/>
  <c r="M48" i="23"/>
  <c r="M50" i="23" s="1"/>
  <c r="O32" i="23"/>
  <c r="L59" i="22"/>
  <c r="M58" i="22" s="1"/>
  <c r="D10" i="31" s="1"/>
  <c r="E10" i="31" s="1"/>
  <c r="F47" i="31"/>
  <c r="F51" i="31"/>
  <c r="F48" i="31"/>
  <c r="D87" i="31"/>
  <c r="D85" i="31" s="1"/>
  <c r="H108" i="31"/>
  <c r="H83" i="31" s="1"/>
  <c r="E87" i="31"/>
  <c r="E85" i="31" s="1"/>
  <c r="G108" i="31"/>
  <c r="G83" i="31" s="1"/>
  <c r="I108" i="31"/>
  <c r="I83" i="31" s="1"/>
  <c r="E101" i="31"/>
  <c r="D101" i="31"/>
  <c r="D105" i="31"/>
  <c r="E105" i="31"/>
  <c r="F84" i="31"/>
  <c r="G84" i="31"/>
  <c r="D108" i="31"/>
  <c r="D83" i="31" s="1"/>
  <c r="K108" i="31"/>
  <c r="K83" i="31" s="1"/>
  <c r="E108" i="31"/>
  <c r="E83" i="31" s="1"/>
  <c r="J108" i="31"/>
  <c r="J83" i="31" s="1"/>
  <c r="F108" i="31"/>
  <c r="F83" i="31" s="1"/>
  <c r="E82" i="31"/>
  <c r="E84" i="31"/>
  <c r="D84" i="31"/>
  <c r="F16" i="31" s="1"/>
  <c r="J84" i="31"/>
  <c r="K84" i="31"/>
  <c r="H84" i="31"/>
  <c r="D82" i="31"/>
  <c r="D16" i="31" s="1"/>
  <c r="I84" i="31"/>
  <c r="M72" i="2"/>
  <c r="L72" i="2"/>
  <c r="O31" i="23" l="1"/>
  <c r="N49" i="23"/>
  <c r="N50" i="23" s="1"/>
  <c r="N33" i="22" s="1"/>
  <c r="M33" i="22"/>
  <c r="O48" i="23"/>
  <c r="O50" i="23" s="1"/>
  <c r="D11" i="31"/>
  <c r="E11" i="31" s="1"/>
  <c r="F11" i="31" s="1"/>
  <c r="D81" i="31"/>
  <c r="E81" i="31"/>
  <c r="E89" i="31" s="1"/>
  <c r="N28" i="7"/>
  <c r="N23" i="7"/>
  <c r="N71" i="4"/>
  <c r="M71" i="4"/>
  <c r="M70" i="4"/>
  <c r="AA65" i="4"/>
  <c r="Z65" i="4"/>
  <c r="P49" i="23" l="1"/>
  <c r="P50" i="23" s="1"/>
  <c r="O33" i="22"/>
  <c r="D89" i="31"/>
  <c r="G16" i="31"/>
  <c r="D97" i="31"/>
  <c r="D90" i="31"/>
  <c r="D94" i="31"/>
  <c r="D91" i="31"/>
  <c r="D92" i="31" s="1"/>
  <c r="E90" i="31"/>
  <c r="E91" i="31"/>
  <c r="E92" i="31" s="1"/>
  <c r="E94" i="31"/>
  <c r="E97" i="31"/>
  <c r="M86" i="5"/>
  <c r="L82" i="2"/>
  <c r="M82" i="2" s="1"/>
  <c r="I42" i="30"/>
  <c r="D39" i="30"/>
  <c r="D17" i="30"/>
  <c r="Q49" i="23" l="1"/>
  <c r="Q50" i="23" s="1"/>
  <c r="P33" i="22"/>
  <c r="E95" i="31"/>
  <c r="E98" i="31"/>
  <c r="D95" i="31"/>
  <c r="H16" i="31" s="1"/>
  <c r="D98" i="31"/>
  <c r="S118" i="6"/>
  <c r="T108" i="6"/>
  <c r="T107" i="6"/>
  <c r="T106" i="6"/>
  <c r="T105" i="6"/>
  <c r="T104" i="6"/>
  <c r="T103" i="6"/>
  <c r="T102" i="6"/>
  <c r="T101" i="6"/>
  <c r="T100" i="6"/>
  <c r="T99" i="6"/>
  <c r="T98" i="6"/>
  <c r="T97" i="6"/>
  <c r="T95" i="6"/>
  <c r="T94" i="6"/>
  <c r="T93" i="6"/>
  <c r="T92" i="6"/>
  <c r="T91" i="6"/>
  <c r="T90" i="6"/>
  <c r="T89" i="6"/>
  <c r="T88" i="6"/>
  <c r="T87" i="6"/>
  <c r="T86" i="6"/>
  <c r="T85" i="6"/>
  <c r="T84" i="6"/>
  <c r="T83" i="6"/>
  <c r="T82" i="6"/>
  <c r="T81" i="6"/>
  <c r="T80" i="6"/>
  <c r="T79" i="6"/>
  <c r="T78" i="6"/>
  <c r="T77" i="6"/>
  <c r="T76" i="6"/>
  <c r="T75" i="6"/>
  <c r="T74" i="6"/>
  <c r="T73" i="6"/>
  <c r="T72" i="6"/>
  <c r="T71" i="6"/>
  <c r="T70" i="6"/>
  <c r="T69" i="6"/>
  <c r="T68" i="6"/>
  <c r="T67" i="6"/>
  <c r="T66" i="6"/>
  <c r="T65" i="6"/>
  <c r="T64" i="6"/>
  <c r="T63" i="6"/>
  <c r="N21" i="15"/>
  <c r="M21" i="15"/>
  <c r="R49" i="23" l="1"/>
  <c r="R50" i="23" s="1"/>
  <c r="Q33" i="22"/>
  <c r="N37" i="7"/>
  <c r="M26" i="9"/>
  <c r="J75" i="5"/>
  <c r="J81" i="5"/>
  <c r="Z81" i="5" s="1"/>
  <c r="AA23" i="7"/>
  <c r="J2" i="14"/>
  <c r="K2" i="14"/>
  <c r="L2" i="14"/>
  <c r="M2" i="14"/>
  <c r="J2" i="6"/>
  <c r="S49" i="23" l="1"/>
  <c r="S50" i="23" s="1"/>
  <c r="R33" i="22"/>
  <c r="M1" i="14"/>
  <c r="S108" i="6"/>
  <c r="S107" i="6"/>
  <c r="S106" i="6"/>
  <c r="S105" i="6"/>
  <c r="S104" i="6"/>
  <c r="S103" i="6"/>
  <c r="S102" i="6"/>
  <c r="S101" i="6"/>
  <c r="S100" i="6"/>
  <c r="S99" i="6"/>
  <c r="S98" i="6"/>
  <c r="S97" i="6"/>
  <c r="S96" i="6"/>
  <c r="U96" i="6" s="1"/>
  <c r="T96" i="6" s="1"/>
  <c r="S95" i="6"/>
  <c r="S94" i="6"/>
  <c r="S93" i="6"/>
  <c r="S92" i="6"/>
  <c r="S91" i="6"/>
  <c r="S90" i="6"/>
  <c r="S89" i="6"/>
  <c r="S88" i="6"/>
  <c r="S87" i="6"/>
  <c r="S86" i="6"/>
  <c r="S85" i="6"/>
  <c r="S84" i="6"/>
  <c r="S83" i="6"/>
  <c r="S82" i="6"/>
  <c r="S81" i="6"/>
  <c r="S80" i="6"/>
  <c r="S79" i="6"/>
  <c r="S78" i="6"/>
  <c r="S77" i="6"/>
  <c r="S76" i="6"/>
  <c r="S75" i="6"/>
  <c r="S74" i="6"/>
  <c r="S73" i="6"/>
  <c r="S72" i="6"/>
  <c r="S71" i="6"/>
  <c r="S70" i="6"/>
  <c r="S69" i="6"/>
  <c r="S68" i="6"/>
  <c r="S67" i="6"/>
  <c r="S66" i="6"/>
  <c r="S65" i="6"/>
  <c r="S64" i="6"/>
  <c r="S63" i="6"/>
  <c r="T49" i="23" l="1"/>
  <c r="T50" i="23" s="1"/>
  <c r="T33" i="22" s="1"/>
  <c r="S33" i="22"/>
  <c r="O68" i="5"/>
  <c r="L1" i="14"/>
  <c r="M29" i="5"/>
  <c r="M22" i="5"/>
  <c r="L21" i="2"/>
  <c r="L29" i="2"/>
  <c r="O56" i="14"/>
  <c r="O63" i="14"/>
  <c r="O64" i="14"/>
  <c r="O65" i="14"/>
  <c r="O66" i="14"/>
  <c r="O67" i="14"/>
  <c r="O68" i="14"/>
  <c r="O70" i="14"/>
  <c r="O72" i="14"/>
  <c r="O74" i="14"/>
  <c r="O75" i="14"/>
  <c r="N76" i="14"/>
  <c r="N77" i="14"/>
  <c r="N78" i="14"/>
  <c r="N79" i="14"/>
  <c r="N80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P49" i="9"/>
  <c r="L56" i="10"/>
  <c r="M56" i="10" s="1"/>
  <c r="N56" i="10" s="1"/>
  <c r="O56" i="10" s="1"/>
  <c r="P56" i="10" s="1"/>
  <c r="Q56" i="10" s="1"/>
  <c r="R56" i="10" s="1"/>
  <c r="S56" i="10" s="1"/>
  <c r="T56" i="10" s="1"/>
  <c r="U56" i="10" s="1"/>
  <c r="K56" i="10"/>
  <c r="N49" i="9"/>
  <c r="G56" i="10"/>
  <c r="H56" i="10" s="1"/>
  <c r="F56" i="10"/>
  <c r="P43" i="4"/>
  <c r="N43" i="4"/>
  <c r="L86" i="10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K86" i="10"/>
  <c r="G86" i="10"/>
  <c r="H86" i="10" s="1"/>
  <c r="I86" i="10" s="1"/>
  <c r="F86" i="10"/>
  <c r="P52" i="5"/>
  <c r="N52" i="5"/>
  <c r="M16" i="10"/>
  <c r="G11" i="10"/>
  <c r="H11" i="10" s="1"/>
  <c r="I11" i="10" s="1"/>
  <c r="T44" i="7"/>
  <c r="I44" i="7"/>
  <c r="P44" i="7" s="1"/>
  <c r="Q44" i="7" s="1"/>
  <c r="R44" i="7" s="1"/>
  <c r="S44" i="7" s="1"/>
  <c r="R48" i="7"/>
  <c r="S48" i="7" s="1"/>
  <c r="Q48" i="7"/>
  <c r="T48" i="7"/>
  <c r="P48" i="7"/>
  <c r="T37" i="7"/>
  <c r="T65" i="4" l="1"/>
  <c r="S65" i="4"/>
  <c r="R65" i="4"/>
  <c r="Q65" i="4"/>
  <c r="T77" i="2"/>
  <c r="S77" i="2"/>
  <c r="R77" i="2"/>
  <c r="Q77" i="2"/>
  <c r="N75" i="5"/>
  <c r="P75" i="5"/>
  <c r="N132" i="25"/>
  <c r="O92" i="4"/>
  <c r="O84" i="9"/>
  <c r="L36" i="5"/>
  <c r="L20" i="5" s="1"/>
  <c r="M65" i="2"/>
  <c r="Q121" i="6"/>
  <c r="T121" i="6" s="1"/>
  <c r="Q120" i="6"/>
  <c r="T120" i="6" s="1"/>
  <c r="Q119" i="6"/>
  <c r="T119" i="6" s="1"/>
  <c r="Q118" i="6"/>
  <c r="T118" i="6" s="1"/>
  <c r="Q117" i="6"/>
  <c r="T117" i="6" s="1"/>
  <c r="Q116" i="6"/>
  <c r="Q115" i="6"/>
  <c r="Q114" i="6"/>
  <c r="T114" i="6" s="1"/>
  <c r="Q113" i="6"/>
  <c r="T113" i="6" s="1"/>
  <c r="Q112" i="6"/>
  <c r="T112" i="6" s="1"/>
  <c r="Q111" i="6"/>
  <c r="T111" i="6" s="1"/>
  <c r="Q110" i="6"/>
  <c r="T110" i="6" s="1"/>
  <c r="Q109" i="6"/>
  <c r="T109" i="6" s="1"/>
  <c r="P108" i="6"/>
  <c r="P107" i="6"/>
  <c r="P106" i="6"/>
  <c r="P105" i="6"/>
  <c r="P104" i="6"/>
  <c r="P103" i="6"/>
  <c r="P102" i="6"/>
  <c r="P101" i="6"/>
  <c r="P100" i="6"/>
  <c r="P99" i="6"/>
  <c r="P98" i="6"/>
  <c r="P97" i="6"/>
  <c r="P96" i="6"/>
  <c r="P95" i="6"/>
  <c r="P94" i="6"/>
  <c r="P93" i="6"/>
  <c r="P92" i="6"/>
  <c r="P91" i="6"/>
  <c r="P90" i="6"/>
  <c r="P89" i="6"/>
  <c r="P88" i="6"/>
  <c r="P87" i="6"/>
  <c r="P86" i="6"/>
  <c r="P85" i="6"/>
  <c r="P84" i="6"/>
  <c r="P83" i="6"/>
  <c r="P82" i="6"/>
  <c r="P81" i="6"/>
  <c r="P80" i="6"/>
  <c r="P79" i="6"/>
  <c r="P78" i="6"/>
  <c r="P77" i="6"/>
  <c r="P76" i="6"/>
  <c r="P75" i="6"/>
  <c r="P74" i="6"/>
  <c r="P73" i="6"/>
  <c r="P72" i="6"/>
  <c r="P71" i="6"/>
  <c r="P70" i="6"/>
  <c r="P69" i="6"/>
  <c r="P68" i="6"/>
  <c r="P67" i="6"/>
  <c r="P66" i="6"/>
  <c r="P65" i="6"/>
  <c r="P64" i="6"/>
  <c r="P63" i="6"/>
  <c r="Q25" i="9" l="1"/>
  <c r="O34" i="9"/>
  <c r="M20" i="9"/>
  <c r="M19" i="9"/>
  <c r="M18" i="9"/>
  <c r="M34" i="9"/>
  <c r="H27" i="15"/>
  <c r="G27" i="15"/>
  <c r="H19" i="15"/>
  <c r="G19" i="15"/>
  <c r="H25" i="15"/>
  <c r="G25" i="15"/>
  <c r="P25" i="9" l="1"/>
  <c r="R25" i="9" s="1"/>
  <c r="T25" i="9" s="1"/>
  <c r="T32" i="9" s="1"/>
  <c r="M24" i="9"/>
  <c r="M23" i="9"/>
  <c r="Q43" i="4"/>
  <c r="R43" i="4" s="1"/>
  <c r="S43" i="4" s="1"/>
  <c r="L65" i="2"/>
  <c r="T109" i="19"/>
  <c r="S109" i="19"/>
  <c r="R109" i="19"/>
  <c r="Q109" i="19"/>
  <c r="P109" i="19"/>
  <c r="N109" i="19"/>
  <c r="T85" i="19"/>
  <c r="S85" i="19"/>
  <c r="R85" i="19"/>
  <c r="Q85" i="19"/>
  <c r="P85" i="19"/>
  <c r="N85" i="19"/>
  <c r="T61" i="19"/>
  <c r="S61" i="19"/>
  <c r="R61" i="19"/>
  <c r="Q61" i="19"/>
  <c r="P61" i="19"/>
  <c r="N61" i="19"/>
  <c r="T37" i="19"/>
  <c r="S37" i="19"/>
  <c r="R37" i="19"/>
  <c r="Q37" i="19"/>
  <c r="P37" i="19"/>
  <c r="N37" i="19"/>
  <c r="T28" i="7"/>
  <c r="T23" i="7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4" i="14"/>
  <c r="N103" i="14"/>
  <c r="N102" i="14"/>
  <c r="N101" i="14"/>
  <c r="N100" i="14"/>
  <c r="N98" i="14"/>
  <c r="N97" i="14"/>
  <c r="N96" i="14"/>
  <c r="N95" i="14"/>
  <c r="O50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6" i="14"/>
  <c r="O25" i="14"/>
  <c r="O24" i="14"/>
  <c r="O22" i="14"/>
  <c r="O21" i="14"/>
  <c r="O17" i="14"/>
  <c r="O16" i="14"/>
  <c r="O15" i="14"/>
  <c r="O14" i="14"/>
  <c r="O13" i="14"/>
  <c r="O12" i="14"/>
  <c r="O11" i="14"/>
  <c r="O10" i="14"/>
  <c r="O9" i="14"/>
  <c r="O8" i="14"/>
  <c r="O6" i="14"/>
  <c r="O5" i="14"/>
  <c r="O4" i="14"/>
  <c r="P32" i="9" l="1"/>
  <c r="R32" i="9"/>
  <c r="M25" i="9"/>
  <c r="M21" i="9"/>
  <c r="M156" i="2"/>
  <c r="O9" i="28"/>
  <c r="O8" i="28"/>
  <c r="M11" i="28"/>
  <c r="M9" i="28"/>
  <c r="M8" i="28"/>
  <c r="N6" i="28"/>
  <c r="L11" i="28" l="1"/>
  <c r="T57" i="4"/>
  <c r="S57" i="4"/>
  <c r="R57" i="4"/>
  <c r="Q57" i="4"/>
  <c r="T66" i="5"/>
  <c r="S66" i="5"/>
  <c r="R66" i="5"/>
  <c r="Q66" i="5"/>
  <c r="M82" i="5"/>
  <c r="M65" i="5"/>
  <c r="M67" i="5"/>
  <c r="T75" i="5"/>
  <c r="S75" i="5"/>
  <c r="R75" i="5"/>
  <c r="Q75" i="5"/>
  <c r="T81" i="5"/>
  <c r="M64" i="5" l="1"/>
  <c r="O6" i="28"/>
  <c r="M6" i="28"/>
  <c r="Q81" i="5"/>
  <c r="R81" i="5"/>
  <c r="S81" i="5"/>
  <c r="T66" i="2" l="1"/>
  <c r="S66" i="2"/>
  <c r="R66" i="2"/>
  <c r="Q66" i="2"/>
  <c r="S121" i="6"/>
  <c r="S120" i="6"/>
  <c r="S119" i="6"/>
  <c r="S117" i="6"/>
  <c r="S116" i="6"/>
  <c r="U116" i="6" s="1"/>
  <c r="T116" i="6" s="1"/>
  <c r="S115" i="6"/>
  <c r="U115" i="6" s="1"/>
  <c r="T115" i="6" s="1"/>
  <c r="T2" i="6" s="1"/>
  <c r="S114" i="6"/>
  <c r="S113" i="6"/>
  <c r="S112" i="6"/>
  <c r="S111" i="6"/>
  <c r="S110" i="6"/>
  <c r="S109" i="6"/>
  <c r="S62" i="6"/>
  <c r="S61" i="6"/>
  <c r="S60" i="6"/>
  <c r="S59" i="6"/>
  <c r="S58" i="6"/>
  <c r="S57" i="6"/>
  <c r="S56" i="6"/>
  <c r="S55" i="6"/>
  <c r="S54" i="6"/>
  <c r="S53" i="6"/>
  <c r="S52" i="6"/>
  <c r="S51" i="6"/>
  <c r="S50" i="6"/>
  <c r="S49" i="6"/>
  <c r="S48" i="6"/>
  <c r="S47" i="6"/>
  <c r="S46" i="6"/>
  <c r="S45" i="6"/>
  <c r="S44" i="6"/>
  <c r="S43" i="6"/>
  <c r="S42" i="6"/>
  <c r="S41" i="6"/>
  <c r="S39" i="6"/>
  <c r="S38" i="6"/>
  <c r="S37" i="6"/>
  <c r="S35" i="6"/>
  <c r="S34" i="6"/>
  <c r="S33" i="6"/>
  <c r="S32" i="6"/>
  <c r="S31" i="6"/>
  <c r="S30" i="6"/>
  <c r="S29" i="6"/>
  <c r="S28" i="6"/>
  <c r="S27" i="6"/>
  <c r="S26" i="6"/>
  <c r="S25" i="6"/>
  <c r="S24" i="6"/>
  <c r="S23" i="6"/>
  <c r="S22" i="6"/>
  <c r="S21" i="6"/>
  <c r="S20" i="6"/>
  <c r="S19" i="6"/>
  <c r="S18" i="6"/>
  <c r="S17" i="6"/>
  <c r="S16" i="6"/>
  <c r="S15" i="6"/>
  <c r="S14" i="6"/>
  <c r="S13" i="6"/>
  <c r="S12" i="6"/>
  <c r="S11" i="6"/>
  <c r="S10" i="6"/>
  <c r="S9" i="6"/>
  <c r="S8" i="6"/>
  <c r="S7" i="6"/>
  <c r="S6" i="6"/>
  <c r="S5" i="6"/>
  <c r="S4" i="6"/>
  <c r="AK2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R2" i="6"/>
  <c r="Q2" i="6"/>
  <c r="O2" i="6"/>
  <c r="N2" i="6"/>
  <c r="L2" i="6"/>
  <c r="L1" i="6" s="1"/>
  <c r="K2" i="6"/>
  <c r="M9" i="22"/>
  <c r="O21" i="23"/>
  <c r="O15" i="23"/>
  <c r="P43" i="12"/>
  <c r="T20" i="23"/>
  <c r="S20" i="23"/>
  <c r="R20" i="23"/>
  <c r="Q20" i="23"/>
  <c r="P20" i="23"/>
  <c r="O20" i="23"/>
  <c r="N20" i="23"/>
  <c r="O22" i="23"/>
  <c r="O19" i="23"/>
  <c r="O18" i="23"/>
  <c r="O14" i="23"/>
  <c r="O10" i="23"/>
  <c r="O9" i="23"/>
  <c r="M20" i="23"/>
  <c r="M22" i="23"/>
  <c r="M19" i="23"/>
  <c r="M16" i="23"/>
  <c r="M35" i="22" l="1"/>
  <c r="T1" i="6"/>
  <c r="O1" i="6"/>
  <c r="S1" i="6"/>
  <c r="R1" i="6"/>
  <c r="M56" i="4" l="1"/>
  <c r="M88" i="4"/>
  <c r="M87" i="4" s="1"/>
  <c r="T96" i="4"/>
  <c r="S96" i="4"/>
  <c r="R96" i="4"/>
  <c r="Q96" i="4"/>
  <c r="P96" i="4"/>
  <c r="N96" i="4"/>
  <c r="X3" i="27"/>
  <c r="X2" i="27"/>
  <c r="U3" i="27"/>
  <c r="W2" i="27"/>
  <c r="V2" i="27"/>
  <c r="U2" i="27"/>
  <c r="S3" i="27"/>
  <c r="S2" i="27"/>
  <c r="V3" i="27" l="1"/>
  <c r="W3" i="27" s="1"/>
  <c r="T95" i="4"/>
  <c r="Q95" i="4"/>
  <c r="P95" i="4"/>
  <c r="N95" i="4"/>
  <c r="S95" i="4"/>
  <c r="R95" i="4"/>
  <c r="N23" i="4"/>
  <c r="N38" i="7"/>
  <c r="N25" i="4" s="1"/>
  <c r="N64" i="4" s="1"/>
  <c r="M23" i="4"/>
  <c r="M37" i="7" s="1"/>
  <c r="M22" i="4"/>
  <c r="K1" i="26"/>
  <c r="BG1" i="26"/>
  <c r="BF1" i="26"/>
  <c r="BE1" i="26"/>
  <c r="BD1" i="26"/>
  <c r="BC1" i="26"/>
  <c r="BB1" i="26"/>
  <c r="BA1" i="26"/>
  <c r="AZ1" i="26"/>
  <c r="AY1" i="26"/>
  <c r="AX1" i="26"/>
  <c r="AW1" i="26"/>
  <c r="AV1" i="26"/>
  <c r="AU1" i="26"/>
  <c r="AT1" i="26"/>
  <c r="AS1" i="26"/>
  <c r="AR1" i="26"/>
  <c r="AQ1" i="26"/>
  <c r="AP1" i="26"/>
  <c r="AO1" i="26"/>
  <c r="AN1" i="26"/>
  <c r="AM1" i="26"/>
  <c r="AL1" i="26"/>
  <c r="AK1" i="26"/>
  <c r="AJ1" i="26"/>
  <c r="AI1" i="26"/>
  <c r="AH1" i="26"/>
  <c r="AG1" i="26"/>
  <c r="AF1" i="26"/>
  <c r="AE1" i="26"/>
  <c r="AD1" i="26"/>
  <c r="AC1" i="26"/>
  <c r="AB1" i="26"/>
  <c r="AA1" i="26"/>
  <c r="Z1" i="26"/>
  <c r="Y1" i="26"/>
  <c r="X1" i="26"/>
  <c r="W1" i="26"/>
  <c r="V1" i="26"/>
  <c r="U1" i="26"/>
  <c r="T1" i="26"/>
  <c r="S1" i="26"/>
  <c r="R1" i="26"/>
  <c r="Q1" i="26"/>
  <c r="P1" i="26"/>
  <c r="O1" i="26"/>
  <c r="N1" i="26"/>
  <c r="M1" i="26"/>
  <c r="G104" i="4" l="1"/>
  <c r="N88" i="4" s="1"/>
  <c r="M25" i="4"/>
  <c r="M64" i="4" s="1"/>
  <c r="O37" i="7"/>
  <c r="M18" i="23"/>
  <c r="M17" i="23"/>
  <c r="M13" i="23"/>
  <c r="M11" i="23"/>
  <c r="M37" i="19"/>
  <c r="M85" i="19"/>
  <c r="M38" i="19"/>
  <c r="M14" i="23"/>
  <c r="M15" i="23"/>
  <c r="M10" i="23"/>
  <c r="M9" i="23"/>
  <c r="M23" i="22"/>
  <c r="M49" i="22" s="1"/>
  <c r="M22" i="22"/>
  <c r="M20" i="22"/>
  <c r="M19" i="22"/>
  <c r="M18" i="22"/>
  <c r="M44" i="22" s="1"/>
  <c r="M17" i="22"/>
  <c r="M14" i="22"/>
  <c r="M13" i="22"/>
  <c r="M39" i="22" s="1"/>
  <c r="M12" i="22"/>
  <c r="M6" i="22"/>
  <c r="M10" i="22"/>
  <c r="M8" i="22"/>
  <c r="M34" i="22" s="1"/>
  <c r="N34" i="22" s="1"/>
  <c r="M7" i="22"/>
  <c r="L10" i="22"/>
  <c r="L36" i="22" s="1"/>
  <c r="N49" i="22" l="1"/>
  <c r="O34" i="22"/>
  <c r="N10" i="22"/>
  <c r="O10" i="22" s="1"/>
  <c r="P10" i="22" s="1"/>
  <c r="Q10" i="22" s="1"/>
  <c r="R10" i="22" s="1"/>
  <c r="S10" i="22" s="1"/>
  <c r="T10" i="22" s="1"/>
  <c r="M36" i="22"/>
  <c r="N36" i="22" s="1"/>
  <c r="O36" i="22" s="1"/>
  <c r="P36" i="22" s="1"/>
  <c r="Q36" i="22" s="1"/>
  <c r="R36" i="22" s="1"/>
  <c r="S36" i="22" s="1"/>
  <c r="T36" i="22" s="1"/>
  <c r="N39" i="22"/>
  <c r="M40" i="22"/>
  <c r="N44" i="22"/>
  <c r="M46" i="22"/>
  <c r="N46" i="22" s="1"/>
  <c r="O46" i="22" s="1"/>
  <c r="P46" i="22" s="1"/>
  <c r="Q46" i="22" s="1"/>
  <c r="R46" i="22" s="1"/>
  <c r="S46" i="22" s="1"/>
  <c r="T46" i="22" s="1"/>
  <c r="N13" i="22"/>
  <c r="O13" i="22" s="1"/>
  <c r="N8" i="22"/>
  <c r="O8" i="22" s="1"/>
  <c r="M21" i="22"/>
  <c r="M47" i="22" s="1"/>
  <c r="N47" i="22" s="1"/>
  <c r="O47" i="22" s="1"/>
  <c r="P47" i="22" s="1"/>
  <c r="Q47" i="22" s="1"/>
  <c r="R47" i="22" s="1"/>
  <c r="S47" i="22" s="1"/>
  <c r="T47" i="22" s="1"/>
  <c r="N18" i="22"/>
  <c r="O18" i="22" s="1"/>
  <c r="M15" i="22"/>
  <c r="N23" i="22"/>
  <c r="O23" i="22" s="1"/>
  <c r="P37" i="7"/>
  <c r="Q37" i="7" s="1"/>
  <c r="R37" i="7" s="1"/>
  <c r="S37" i="7" s="1"/>
  <c r="F37" i="31" a="1"/>
  <c r="F37" i="31" s="1"/>
  <c r="M24" i="22"/>
  <c r="S127" i="19"/>
  <c r="S131" i="19" s="1"/>
  <c r="M11" i="22"/>
  <c r="N87" i="4"/>
  <c r="O88" i="4"/>
  <c r="O87" i="4" s="1"/>
  <c r="N104" i="4"/>
  <c r="N103" i="4" s="1"/>
  <c r="N100" i="4" s="1"/>
  <c r="P23" i="4"/>
  <c r="M38" i="7"/>
  <c r="Z2" i="8"/>
  <c r="Z1" i="8"/>
  <c r="Z52" i="8"/>
  <c r="Z21" i="8"/>
  <c r="Y1" i="8"/>
  <c r="V1" i="8"/>
  <c r="L23" i="22"/>
  <c r="L22" i="22"/>
  <c r="L20" i="22"/>
  <c r="L18" i="22"/>
  <c r="L19" i="22"/>
  <c r="L17" i="22"/>
  <c r="L14" i="22"/>
  <c r="L12" i="22"/>
  <c r="L6" i="22"/>
  <c r="L9" i="22"/>
  <c r="L8" i="22"/>
  <c r="L34" i="22" s="1"/>
  <c r="L7" i="22"/>
  <c r="L33" i="22" s="1"/>
  <c r="J29" i="1"/>
  <c r="J37" i="1"/>
  <c r="P16" i="1"/>
  <c r="P17" i="1" s="1"/>
  <c r="T133" i="19"/>
  <c r="S133" i="19"/>
  <c r="R133" i="19"/>
  <c r="Q133" i="19"/>
  <c r="P133" i="19"/>
  <c r="T127" i="19"/>
  <c r="T131" i="19" s="1"/>
  <c r="R127" i="19"/>
  <c r="R131" i="19" s="1"/>
  <c r="R132" i="19" s="1"/>
  <c r="Q127" i="19"/>
  <c r="Q131" i="19" s="1"/>
  <c r="Q142" i="19" s="1"/>
  <c r="P127" i="19"/>
  <c r="P131" i="19" s="1"/>
  <c r="P137" i="19" s="1"/>
  <c r="P139" i="19" s="1"/>
  <c r="N133" i="19"/>
  <c r="N127" i="19"/>
  <c r="N131" i="19" s="1"/>
  <c r="N132" i="19" s="1"/>
  <c r="M61" i="19"/>
  <c r="Z139" i="8"/>
  <c r="M18" i="19"/>
  <c r="M8" i="23" s="1"/>
  <c r="T16" i="19"/>
  <c r="S16" i="19"/>
  <c r="R16" i="19"/>
  <c r="Q16" i="19"/>
  <c r="P16" i="19"/>
  <c r="N16" i="19"/>
  <c r="T15" i="19"/>
  <c r="S15" i="19"/>
  <c r="R15" i="19"/>
  <c r="Q15" i="19"/>
  <c r="P15" i="19"/>
  <c r="N15" i="19"/>
  <c r="T14" i="19"/>
  <c r="S14" i="19"/>
  <c r="R14" i="19"/>
  <c r="Q14" i="19"/>
  <c r="P14" i="19"/>
  <c r="N14" i="19"/>
  <c r="O136" i="19"/>
  <c r="O128" i="19"/>
  <c r="O141" i="19"/>
  <c r="M135" i="19"/>
  <c r="O135" i="19" s="1"/>
  <c r="M134" i="19"/>
  <c r="M133" i="19" s="1"/>
  <c r="M129" i="19"/>
  <c r="O129" i="19" s="1"/>
  <c r="M126" i="19"/>
  <c r="O126" i="19" s="1"/>
  <c r="O111" i="19"/>
  <c r="T116" i="9"/>
  <c r="T115" i="9" s="1"/>
  <c r="M110" i="19"/>
  <c r="O110" i="19" s="1"/>
  <c r="M109" i="19"/>
  <c r="M112" i="19" s="1"/>
  <c r="O112" i="19" s="1"/>
  <c r="O87" i="19"/>
  <c r="M86" i="19"/>
  <c r="O38" i="19"/>
  <c r="O63" i="19"/>
  <c r="M62" i="19"/>
  <c r="O62" i="19" s="1"/>
  <c r="L62" i="19"/>
  <c r="L14" i="19" s="1"/>
  <c r="L61" i="19"/>
  <c r="L66" i="19"/>
  <c r="M39" i="19"/>
  <c r="O39" i="19" s="1"/>
  <c r="L39" i="19"/>
  <c r="L15" i="19" s="1"/>
  <c r="L42" i="19"/>
  <c r="L37" i="19"/>
  <c r="L38" i="19"/>
  <c r="M70" i="9"/>
  <c r="N70" i="9" s="1"/>
  <c r="T88" i="9"/>
  <c r="T87" i="9" s="1"/>
  <c r="S88" i="9"/>
  <c r="R88" i="9"/>
  <c r="R87" i="9" s="1"/>
  <c r="Q88" i="9"/>
  <c r="Q87" i="9" s="1"/>
  <c r="P88" i="9"/>
  <c r="P87" i="9" s="1"/>
  <c r="S87" i="9"/>
  <c r="P1" i="21"/>
  <c r="O1" i="21"/>
  <c r="N1" i="21"/>
  <c r="M1" i="21"/>
  <c r="L1" i="21"/>
  <c r="K1" i="21"/>
  <c r="K104" i="21"/>
  <c r="K103" i="21"/>
  <c r="K102" i="21"/>
  <c r="K101" i="21"/>
  <c r="K100" i="21"/>
  <c r="L100" i="21" s="1"/>
  <c r="K99" i="21"/>
  <c r="K98" i="21"/>
  <c r="G98" i="21"/>
  <c r="F98" i="21"/>
  <c r="E98" i="21"/>
  <c r="H98" i="21" s="1"/>
  <c r="K97" i="21"/>
  <c r="K96" i="21"/>
  <c r="L96" i="21" s="1"/>
  <c r="G96" i="21"/>
  <c r="F96" i="21"/>
  <c r="H96" i="21" s="1"/>
  <c r="K95" i="21"/>
  <c r="L95" i="21" s="1"/>
  <c r="G95" i="21"/>
  <c r="H95" i="21" s="1"/>
  <c r="F95" i="21"/>
  <c r="K94" i="21"/>
  <c r="K93" i="21"/>
  <c r="K92" i="21"/>
  <c r="K91" i="21"/>
  <c r="K90" i="21"/>
  <c r="L90" i="21" s="1"/>
  <c r="K89" i="21"/>
  <c r="K88" i="21"/>
  <c r="K87" i="21"/>
  <c r="L87" i="21" s="1"/>
  <c r="K86" i="21"/>
  <c r="K85" i="21"/>
  <c r="K84" i="21"/>
  <c r="K83" i="21"/>
  <c r="L83" i="21" s="1"/>
  <c r="K82" i="21"/>
  <c r="K81" i="21"/>
  <c r="L81" i="21" s="1"/>
  <c r="K80" i="21"/>
  <c r="L80" i="21" s="1"/>
  <c r="K79" i="21"/>
  <c r="K78" i="21"/>
  <c r="K77" i="21"/>
  <c r="K76" i="21"/>
  <c r="L76" i="21" s="1"/>
  <c r="K75" i="21"/>
  <c r="K74" i="21"/>
  <c r="L74" i="21" s="1"/>
  <c r="L73" i="21"/>
  <c r="K73" i="21"/>
  <c r="K72" i="21"/>
  <c r="K71" i="21"/>
  <c r="K70" i="21"/>
  <c r="L70" i="21" s="1"/>
  <c r="M70" i="21" s="1"/>
  <c r="K69" i="21"/>
  <c r="L69" i="21" s="1"/>
  <c r="K68" i="21"/>
  <c r="K67" i="21"/>
  <c r="K66" i="21"/>
  <c r="K65" i="21"/>
  <c r="K64" i="21"/>
  <c r="L63" i="21"/>
  <c r="M63" i="21" s="1"/>
  <c r="K63" i="21"/>
  <c r="K62" i="21"/>
  <c r="L62" i="21" s="1"/>
  <c r="K61" i="21"/>
  <c r="K60" i="21"/>
  <c r="G60" i="21"/>
  <c r="F60" i="21"/>
  <c r="H60" i="21" s="1"/>
  <c r="K59" i="21"/>
  <c r="L59" i="21" s="1"/>
  <c r="L58" i="21"/>
  <c r="K58" i="21"/>
  <c r="K57" i="21"/>
  <c r="K56" i="21"/>
  <c r="K55" i="21"/>
  <c r="K54" i="21"/>
  <c r="H54" i="21"/>
  <c r="G54" i="21"/>
  <c r="F54" i="21"/>
  <c r="K53" i="21"/>
  <c r="G53" i="21"/>
  <c r="F53" i="21"/>
  <c r="H53" i="21" s="1"/>
  <c r="N52" i="21"/>
  <c r="M52" i="21"/>
  <c r="L52" i="21"/>
  <c r="K52" i="21"/>
  <c r="K51" i="21"/>
  <c r="K50" i="21"/>
  <c r="K49" i="21"/>
  <c r="K48" i="21"/>
  <c r="K47" i="21"/>
  <c r="L46" i="21"/>
  <c r="K46" i="21"/>
  <c r="N45" i="21"/>
  <c r="M45" i="21"/>
  <c r="L45" i="21"/>
  <c r="K45" i="21"/>
  <c r="K44" i="21"/>
  <c r="K43" i="21"/>
  <c r="K42" i="21"/>
  <c r="K41" i="21"/>
  <c r="L41" i="21" s="1"/>
  <c r="K40" i="21"/>
  <c r="K39" i="21"/>
  <c r="M38" i="21"/>
  <c r="L38" i="21"/>
  <c r="K38" i="21"/>
  <c r="K37" i="21"/>
  <c r="K36" i="21"/>
  <c r="K35" i="21"/>
  <c r="K34" i="21"/>
  <c r="K33" i="21"/>
  <c r="L32" i="21"/>
  <c r="K32" i="21"/>
  <c r="L31" i="21"/>
  <c r="K31" i="21"/>
  <c r="K30" i="21"/>
  <c r="L30" i="21" s="1"/>
  <c r="K29" i="21"/>
  <c r="K28" i="21"/>
  <c r="K27" i="21"/>
  <c r="K26" i="21"/>
  <c r="G26" i="21"/>
  <c r="F26" i="21"/>
  <c r="H26" i="21" s="1"/>
  <c r="K25" i="21"/>
  <c r="K24" i="21"/>
  <c r="K23" i="21"/>
  <c r="N22" i="21"/>
  <c r="M22" i="21"/>
  <c r="L22" i="21"/>
  <c r="K22" i="21"/>
  <c r="K21" i="21"/>
  <c r="K20" i="21"/>
  <c r="L19" i="21"/>
  <c r="M19" i="21" s="1"/>
  <c r="K19" i="21"/>
  <c r="K18" i="21"/>
  <c r="K17" i="21"/>
  <c r="K16" i="21"/>
  <c r="M15" i="21"/>
  <c r="L15" i="21"/>
  <c r="K15" i="21"/>
  <c r="K14" i="21"/>
  <c r="L14" i="21" s="1"/>
  <c r="K13" i="21"/>
  <c r="L13" i="21" s="1"/>
  <c r="K12" i="21"/>
  <c r="K11" i="21"/>
  <c r="H11" i="21"/>
  <c r="G11" i="21"/>
  <c r="F11" i="21"/>
  <c r="K10" i="21"/>
  <c r="K9" i="21"/>
  <c r="H9" i="21"/>
  <c r="G9" i="21"/>
  <c r="F9" i="21"/>
  <c r="K8" i="21"/>
  <c r="K7" i="21"/>
  <c r="K6" i="21"/>
  <c r="K5" i="21"/>
  <c r="K4" i="21"/>
  <c r="G4" i="21"/>
  <c r="F4" i="21"/>
  <c r="H4" i="21" s="1"/>
  <c r="K3" i="21"/>
  <c r="M43" i="22" l="1"/>
  <c r="N43" i="22"/>
  <c r="O44" i="22"/>
  <c r="L35" i="22"/>
  <c r="N15" i="22"/>
  <c r="O15" i="22" s="1"/>
  <c r="P15" i="22" s="1"/>
  <c r="Q15" i="22" s="1"/>
  <c r="R15" i="22" s="1"/>
  <c r="S15" i="22" s="1"/>
  <c r="T15" i="22" s="1"/>
  <c r="M41" i="22"/>
  <c r="L40" i="22"/>
  <c r="L45" i="22"/>
  <c r="L46" i="22"/>
  <c r="M50" i="22"/>
  <c r="O39" i="22"/>
  <c r="L44" i="22"/>
  <c r="P34" i="22"/>
  <c r="N11" i="22"/>
  <c r="O11" i="22" s="1"/>
  <c r="P11" i="22" s="1"/>
  <c r="Q11" i="22" s="1"/>
  <c r="R11" i="22" s="1"/>
  <c r="S11" i="22" s="1"/>
  <c r="T11" i="22" s="1"/>
  <c r="M37" i="22"/>
  <c r="N37" i="22" s="1"/>
  <c r="O37" i="22" s="1"/>
  <c r="P37" i="22" s="1"/>
  <c r="Q37" i="22" s="1"/>
  <c r="R37" i="22" s="1"/>
  <c r="S37" i="22" s="1"/>
  <c r="T37" i="22" s="1"/>
  <c r="L49" i="22"/>
  <c r="O49" i="22"/>
  <c r="N21" i="22"/>
  <c r="O21" i="22" s="1"/>
  <c r="P23" i="22"/>
  <c r="L15" i="22"/>
  <c r="P8" i="22"/>
  <c r="M24" i="23"/>
  <c r="O24" i="23" s="1"/>
  <c r="P18" i="22"/>
  <c r="P13" i="22"/>
  <c r="L21" i="22"/>
  <c r="L40" i="19"/>
  <c r="L18" i="19"/>
  <c r="M14" i="19"/>
  <c r="L64" i="19"/>
  <c r="L16" i="19" s="1"/>
  <c r="L13" i="19" s="1"/>
  <c r="M127" i="19"/>
  <c r="M131" i="19" s="1"/>
  <c r="O109" i="19"/>
  <c r="O130" i="19"/>
  <c r="O127" i="19" s="1"/>
  <c r="O131" i="19" s="1"/>
  <c r="O134" i="19"/>
  <c r="O133" i="19" s="1"/>
  <c r="O86" i="19"/>
  <c r="M40" i="19"/>
  <c r="O40" i="19" s="1"/>
  <c r="O37" i="19" s="1"/>
  <c r="M88" i="19"/>
  <c r="O88" i="19" s="1"/>
  <c r="M15" i="19"/>
  <c r="M64" i="19"/>
  <c r="O64" i="19" s="1"/>
  <c r="O70" i="9"/>
  <c r="N13" i="19"/>
  <c r="N99" i="4"/>
  <c r="N92" i="4"/>
  <c r="N91" i="4" s="1"/>
  <c r="N78" i="4" s="1"/>
  <c r="P104" i="4"/>
  <c r="Q23" i="4"/>
  <c r="O15" i="19"/>
  <c r="L25" i="22"/>
  <c r="L11" i="22"/>
  <c r="M25" i="22"/>
  <c r="L16" i="22"/>
  <c r="L24" i="22"/>
  <c r="M16" i="22"/>
  <c r="S137" i="19"/>
  <c r="S139" i="19" s="1"/>
  <c r="S132" i="19"/>
  <c r="S142" i="19"/>
  <c r="T137" i="19"/>
  <c r="T139" i="19" s="1"/>
  <c r="T132" i="19"/>
  <c r="T142" i="19"/>
  <c r="P142" i="19"/>
  <c r="P143" i="19" s="1"/>
  <c r="R137" i="19"/>
  <c r="R139" i="19" s="1"/>
  <c r="R142" i="19"/>
  <c r="R143" i="19" s="1"/>
  <c r="P132" i="19"/>
  <c r="P13" i="19"/>
  <c r="Q132" i="19"/>
  <c r="Q13" i="19"/>
  <c r="R13" i="19"/>
  <c r="S13" i="19"/>
  <c r="T13" i="19"/>
  <c r="Q137" i="19"/>
  <c r="Q139" i="19" s="1"/>
  <c r="N137" i="19"/>
  <c r="N142" i="19"/>
  <c r="L64" i="21"/>
  <c r="M23" i="21"/>
  <c r="L23" i="21"/>
  <c r="N23" i="21" s="1"/>
  <c r="M41" i="21"/>
  <c r="M28" i="21"/>
  <c r="M13" i="21"/>
  <c r="L28" i="21"/>
  <c r="L93" i="21"/>
  <c r="L8" i="21"/>
  <c r="O22" i="21"/>
  <c r="P22" i="21" s="1"/>
  <c r="L39" i="21"/>
  <c r="L29" i="21"/>
  <c r="M58" i="21"/>
  <c r="L35" i="21"/>
  <c r="H1" i="21"/>
  <c r="L98" i="21"/>
  <c r="L48" i="21"/>
  <c r="M48" i="21" s="1"/>
  <c r="M74" i="21"/>
  <c r="N74" i="21" s="1"/>
  <c r="O74" i="21" s="1"/>
  <c r="M81" i="21"/>
  <c r="M4" i="21"/>
  <c r="L4" i="21"/>
  <c r="L42" i="21"/>
  <c r="L20" i="21"/>
  <c r="L49" i="21"/>
  <c r="L54" i="21"/>
  <c r="N54" i="21" s="1"/>
  <c r="L60" i="21"/>
  <c r="M95" i="21"/>
  <c r="N95" i="21" s="1"/>
  <c r="M10" i="21"/>
  <c r="N10" i="21" s="1"/>
  <c r="M20" i="21"/>
  <c r="M54" i="21"/>
  <c r="M60" i="21"/>
  <c r="L89" i="21"/>
  <c r="L10" i="21"/>
  <c r="M89" i="21"/>
  <c r="L5" i="21"/>
  <c r="N38" i="21"/>
  <c r="L16" i="21"/>
  <c r="M32" i="21"/>
  <c r="O45" i="21"/>
  <c r="P45" i="21" s="1"/>
  <c r="O52" i="21"/>
  <c r="P52" i="21" s="1"/>
  <c r="P62" i="21"/>
  <c r="N70" i="21"/>
  <c r="N63" i="21"/>
  <c r="L17" i="21"/>
  <c r="M100" i="21"/>
  <c r="L86" i="21"/>
  <c r="L36" i="21"/>
  <c r="M86" i="21"/>
  <c r="N86" i="21" s="1"/>
  <c r="M11" i="21"/>
  <c r="L24" i="21"/>
  <c r="M46" i="21"/>
  <c r="L55" i="21"/>
  <c r="L72" i="21"/>
  <c r="N90" i="21"/>
  <c r="L6" i="21"/>
  <c r="L21" i="21"/>
  <c r="M59" i="21"/>
  <c r="O59" i="21" s="1"/>
  <c r="O83" i="21"/>
  <c r="L68" i="21"/>
  <c r="M68" i="21" s="1"/>
  <c r="L75" i="21"/>
  <c r="L11" i="21"/>
  <c r="M90" i="21"/>
  <c r="M96" i="21"/>
  <c r="N96" i="21" s="1"/>
  <c r="L3" i="21"/>
  <c r="M14" i="21"/>
  <c r="O30" i="21"/>
  <c r="P30" i="21"/>
  <c r="M36" i="21"/>
  <c r="L65" i="21"/>
  <c r="M83" i="21"/>
  <c r="P83" i="21" s="1"/>
  <c r="L99" i="21"/>
  <c r="N99" i="21" s="1"/>
  <c r="N11" i="21"/>
  <c r="O11" i="21" s="1"/>
  <c r="P11" i="21" s="1"/>
  <c r="N14" i="21"/>
  <c r="M33" i="21"/>
  <c r="N46" i="21"/>
  <c r="L50" i="21"/>
  <c r="M65" i="21"/>
  <c r="N83" i="21"/>
  <c r="M99" i="21"/>
  <c r="L9" i="21"/>
  <c r="M9" i="21" s="1"/>
  <c r="O14" i="21"/>
  <c r="P14" i="21" s="1"/>
  <c r="M18" i="21"/>
  <c r="L27" i="21"/>
  <c r="M30" i="21"/>
  <c r="M50" i="21"/>
  <c r="L56" i="21"/>
  <c r="N59" i="21"/>
  <c r="N65" i="21"/>
  <c r="O65" i="21" s="1"/>
  <c r="M69" i="21"/>
  <c r="L97" i="21"/>
  <c r="M97" i="21" s="1"/>
  <c r="L103" i="21"/>
  <c r="M103" i="21" s="1"/>
  <c r="L18" i="21"/>
  <c r="M27" i="21"/>
  <c r="O27" i="21" s="1"/>
  <c r="N30" i="21"/>
  <c r="N50" i="21"/>
  <c r="O50" i="21" s="1"/>
  <c r="L53" i="21"/>
  <c r="M62" i="21"/>
  <c r="N69" i="21"/>
  <c r="P69" i="21" s="1"/>
  <c r="M80" i="21"/>
  <c r="M87" i="21"/>
  <c r="M91" i="21"/>
  <c r="L91" i="21"/>
  <c r="L7" i="21"/>
  <c r="L25" i="21"/>
  <c r="N27" i="21"/>
  <c r="L37" i="21"/>
  <c r="M37" i="21" s="1"/>
  <c r="N62" i="21"/>
  <c r="O69" i="21"/>
  <c r="M7" i="21"/>
  <c r="L12" i="21"/>
  <c r="O15" i="21"/>
  <c r="P15" i="21" s="1"/>
  <c r="N15" i="21"/>
  <c r="L44" i="21"/>
  <c r="O62" i="21"/>
  <c r="L77" i="21"/>
  <c r="L84" i="21"/>
  <c r="O19" i="21"/>
  <c r="P19" i="21" s="1"/>
  <c r="N19" i="21"/>
  <c r="M31" i="21"/>
  <c r="L34" i="21"/>
  <c r="L51" i="21"/>
  <c r="L57" i="21"/>
  <c r="L66" i="21"/>
  <c r="M66" i="21" s="1"/>
  <c r="M84" i="21"/>
  <c r="L88" i="21"/>
  <c r="N92" i="21"/>
  <c r="M94" i="21"/>
  <c r="M26" i="21"/>
  <c r="L43" i="21"/>
  <c r="L67" i="21"/>
  <c r="M76" i="21"/>
  <c r="L79" i="21"/>
  <c r="M79" i="21" s="1"/>
  <c r="L82" i="21"/>
  <c r="L94" i="21"/>
  <c r="L101" i="21"/>
  <c r="L61" i="21"/>
  <c r="M73" i="21"/>
  <c r="L104" i="21"/>
  <c r="L71" i="21"/>
  <c r="L78" i="21"/>
  <c r="L85" i="21"/>
  <c r="L92" i="21"/>
  <c r="L102" i="21"/>
  <c r="L26" i="21"/>
  <c r="L33" i="21"/>
  <c r="L40" i="21"/>
  <c r="L47" i="21"/>
  <c r="M71" i="21"/>
  <c r="N71" i="21" s="1"/>
  <c r="M78" i="21"/>
  <c r="N78" i="21" s="1"/>
  <c r="M85" i="21"/>
  <c r="M92" i="21"/>
  <c r="M102" i="21"/>
  <c r="N102" i="21" s="1"/>
  <c r="M62" i="9"/>
  <c r="M61" i="9"/>
  <c r="T29" i="9"/>
  <c r="R33" i="9"/>
  <c r="P29" i="9"/>
  <c r="T50" i="7"/>
  <c r="T33" i="9" s="1"/>
  <c r="S50" i="7"/>
  <c r="S33" i="9" s="1"/>
  <c r="R50" i="7"/>
  <c r="Q50" i="7"/>
  <c r="Q33" i="9" s="1"/>
  <c r="P50" i="7"/>
  <c r="P33" i="9" s="1"/>
  <c r="Q29" i="9"/>
  <c r="T46" i="7"/>
  <c r="T26" i="9" s="1"/>
  <c r="T22" i="9"/>
  <c r="L37" i="22" l="1"/>
  <c r="L32" i="22" s="1"/>
  <c r="O32" i="22"/>
  <c r="Q34" i="22"/>
  <c r="P32" i="22"/>
  <c r="N41" i="22"/>
  <c r="M38" i="22"/>
  <c r="L43" i="22"/>
  <c r="L41" i="22"/>
  <c r="L38" i="22" s="1"/>
  <c r="L42" i="22" s="1"/>
  <c r="P39" i="22"/>
  <c r="O43" i="22"/>
  <c r="P44" i="22"/>
  <c r="L47" i="22"/>
  <c r="M48" i="22"/>
  <c r="M51" i="22" s="1"/>
  <c r="P49" i="22"/>
  <c r="M32" i="22"/>
  <c r="L50" i="22"/>
  <c r="L48" i="22" s="1"/>
  <c r="N32" i="22"/>
  <c r="Q18" i="22"/>
  <c r="Q8" i="22"/>
  <c r="Q23" i="22"/>
  <c r="L26" i="22"/>
  <c r="P21" i="22"/>
  <c r="M26" i="22"/>
  <c r="Q13" i="22"/>
  <c r="O14" i="19"/>
  <c r="M142" i="19"/>
  <c r="M143" i="19" s="1"/>
  <c r="M137" i="19"/>
  <c r="M139" i="19" s="1"/>
  <c r="O137" i="19"/>
  <c r="O139" i="19" s="1"/>
  <c r="O85" i="19"/>
  <c r="N143" i="19"/>
  <c r="O142" i="19"/>
  <c r="O143" i="19" s="1"/>
  <c r="O132" i="19"/>
  <c r="M16" i="19"/>
  <c r="M13" i="19" s="1"/>
  <c r="T143" i="19"/>
  <c r="M66" i="9"/>
  <c r="O61" i="9"/>
  <c r="S143" i="19"/>
  <c r="G105" i="4"/>
  <c r="Q104" i="4"/>
  <c r="R104" i="4"/>
  <c r="R23" i="4"/>
  <c r="Q143" i="19"/>
  <c r="O61" i="19"/>
  <c r="O16" i="19"/>
  <c r="O13" i="19" s="1"/>
  <c r="M132" i="19"/>
  <c r="N139" i="19"/>
  <c r="M63" i="9"/>
  <c r="O95" i="21"/>
  <c r="P95" i="21" s="1"/>
  <c r="P90" i="21"/>
  <c r="N72" i="21"/>
  <c r="O72" i="21" s="1"/>
  <c r="P99" i="21"/>
  <c r="O99" i="21"/>
  <c r="O18" i="21"/>
  <c r="P73" i="21"/>
  <c r="N66" i="21"/>
  <c r="O66" i="21" s="1"/>
  <c r="P46" i="21"/>
  <c r="N37" i="21"/>
  <c r="O37" i="21" s="1"/>
  <c r="P18" i="21"/>
  <c r="O24" i="21"/>
  <c r="N42" i="21"/>
  <c r="N103" i="21"/>
  <c r="O103" i="21"/>
  <c r="N97" i="21"/>
  <c r="P13" i="21"/>
  <c r="O36" i="21"/>
  <c r="P10" i="21"/>
  <c r="O81" i="21"/>
  <c r="P81" i="21" s="1"/>
  <c r="P28" i="21"/>
  <c r="O91" i="21"/>
  <c r="P91" i="21" s="1"/>
  <c r="P59" i="21"/>
  <c r="N48" i="21"/>
  <c r="O48" i="21" s="1"/>
  <c r="P23" i="21"/>
  <c r="P88" i="21"/>
  <c r="N91" i="21"/>
  <c r="N13" i="21"/>
  <c r="O13" i="21"/>
  <c r="N73" i="21"/>
  <c r="N60" i="21"/>
  <c r="O60" i="21" s="1"/>
  <c r="P60" i="21" s="1"/>
  <c r="M53" i="21"/>
  <c r="N53" i="21" s="1"/>
  <c r="N40" i="21"/>
  <c r="N28" i="21"/>
  <c r="M104" i="21"/>
  <c r="N104" i="21" s="1"/>
  <c r="N80" i="21"/>
  <c r="O28" i="21"/>
  <c r="O102" i="21"/>
  <c r="P102" i="21"/>
  <c r="N94" i="21"/>
  <c r="P94" i="21" s="1"/>
  <c r="N88" i="21"/>
  <c r="M47" i="21"/>
  <c r="N47" i="21" s="1"/>
  <c r="N9" i="21"/>
  <c r="O9" i="21" s="1"/>
  <c r="M72" i="21"/>
  <c r="O96" i="21"/>
  <c r="M6" i="21"/>
  <c r="N6" i="21" s="1"/>
  <c r="M24" i="21"/>
  <c r="O55" i="21"/>
  <c r="P27" i="21"/>
  <c r="N58" i="21"/>
  <c r="P58" i="21" s="1"/>
  <c r="M39" i="21"/>
  <c r="N39" i="21" s="1"/>
  <c r="N41" i="21"/>
  <c r="O41" i="21" s="1"/>
  <c r="M82" i="21"/>
  <c r="N82" i="21" s="1"/>
  <c r="P70" i="21"/>
  <c r="N79" i="21"/>
  <c r="O79" i="21" s="1"/>
  <c r="N36" i="21"/>
  <c r="P36" i="21" s="1"/>
  <c r="M21" i="21"/>
  <c r="N4" i="21"/>
  <c r="O23" i="21"/>
  <c r="O76" i="21"/>
  <c r="P76" i="21" s="1"/>
  <c r="N18" i="21"/>
  <c r="P50" i="21"/>
  <c r="P54" i="21"/>
  <c r="M8" i="21"/>
  <c r="N8" i="21" s="1"/>
  <c r="N67" i="21"/>
  <c r="M12" i="21"/>
  <c r="N87" i="21"/>
  <c r="M56" i="21"/>
  <c r="M17" i="21"/>
  <c r="N17" i="21" s="1"/>
  <c r="O54" i="21"/>
  <c r="O70" i="21"/>
  <c r="O73" i="21"/>
  <c r="M57" i="21"/>
  <c r="N57" i="21" s="1"/>
  <c r="O57" i="21" s="1"/>
  <c r="M29" i="21"/>
  <c r="N100" i="21"/>
  <c r="M49" i="21"/>
  <c r="N49" i="21" s="1"/>
  <c r="M61" i="21"/>
  <c r="M40" i="21"/>
  <c r="O40" i="21" s="1"/>
  <c r="P40" i="21" s="1"/>
  <c r="M51" i="21"/>
  <c r="N44" i="21"/>
  <c r="N12" i="21"/>
  <c r="M3" i="21"/>
  <c r="O10" i="21"/>
  <c r="O86" i="21"/>
  <c r="P86" i="21" s="1"/>
  <c r="P74" i="21"/>
  <c r="M93" i="21"/>
  <c r="O93" i="21" s="1"/>
  <c r="N33" i="21"/>
  <c r="N51" i="21"/>
  <c r="O90" i="21"/>
  <c r="M55" i="21"/>
  <c r="P55" i="21" s="1"/>
  <c r="O63" i="21"/>
  <c r="P63" i="21" s="1"/>
  <c r="M16" i="21"/>
  <c r="N16" i="21"/>
  <c r="O16" i="21" s="1"/>
  <c r="M5" i="21"/>
  <c r="M42" i="21"/>
  <c r="P65" i="21"/>
  <c r="N93" i="21"/>
  <c r="P93" i="21" s="1"/>
  <c r="P96" i="21"/>
  <c r="N26" i="21"/>
  <c r="O26" i="21" s="1"/>
  <c r="M88" i="21"/>
  <c r="N55" i="21"/>
  <c r="O92" i="21"/>
  <c r="P92" i="21" s="1"/>
  <c r="O94" i="21"/>
  <c r="M44" i="21"/>
  <c r="O44" i="21" s="1"/>
  <c r="O88" i="21"/>
  <c r="O46" i="21"/>
  <c r="P103" i="21"/>
  <c r="N24" i="21"/>
  <c r="N7" i="21"/>
  <c r="P38" i="21"/>
  <c r="N89" i="21"/>
  <c r="O89" i="21" s="1"/>
  <c r="N20" i="21"/>
  <c r="M98" i="21"/>
  <c r="N98" i="21" s="1"/>
  <c r="O58" i="21"/>
  <c r="O39" i="21"/>
  <c r="P39" i="21" s="1"/>
  <c r="N101" i="21"/>
  <c r="O101" i="21" s="1"/>
  <c r="M34" i="21"/>
  <c r="N84" i="21"/>
  <c r="P84" i="21" s="1"/>
  <c r="O84" i="21"/>
  <c r="M25" i="21"/>
  <c r="N25" i="21" s="1"/>
  <c r="N68" i="21"/>
  <c r="O68" i="21" s="1"/>
  <c r="M75" i="21"/>
  <c r="N76" i="21"/>
  <c r="M101" i="21"/>
  <c r="P101" i="21" s="1"/>
  <c r="O100" i="21"/>
  <c r="P100" i="21" s="1"/>
  <c r="M64" i="21"/>
  <c r="O78" i="21"/>
  <c r="P78" i="21"/>
  <c r="N31" i="21"/>
  <c r="N77" i="21"/>
  <c r="N32" i="21"/>
  <c r="O32" i="21" s="1"/>
  <c r="N81" i="21"/>
  <c r="M67" i="21"/>
  <c r="O67" i="21" s="1"/>
  <c r="M35" i="21"/>
  <c r="O71" i="21"/>
  <c r="P71" i="21"/>
  <c r="N85" i="21"/>
  <c r="O85" i="21" s="1"/>
  <c r="M43" i="21"/>
  <c r="N43" i="21" s="1"/>
  <c r="O43" i="21" s="1"/>
  <c r="M77" i="21"/>
  <c r="O38" i="21"/>
  <c r="L51" i="22" l="1"/>
  <c r="L52" i="22" s="1"/>
  <c r="Q49" i="22"/>
  <c r="M42" i="22"/>
  <c r="M52" i="22" s="1"/>
  <c r="O41" i="22"/>
  <c r="N38" i="22"/>
  <c r="N42" i="22" s="1"/>
  <c r="N48" i="22"/>
  <c r="N51" i="22" s="1"/>
  <c r="R34" i="22"/>
  <c r="Q32" i="22"/>
  <c r="P43" i="22"/>
  <c r="Q44" i="22"/>
  <c r="Q39" i="22"/>
  <c r="M27" i="22"/>
  <c r="R23" i="22"/>
  <c r="R8" i="22"/>
  <c r="L27" i="22"/>
  <c r="R13" i="22"/>
  <c r="Q21" i="22"/>
  <c r="R18" i="22"/>
  <c r="S104" i="4"/>
  <c r="P105" i="4"/>
  <c r="P103" i="4" s="1"/>
  <c r="P100" i="4" s="1"/>
  <c r="T23" i="4"/>
  <c r="S23" i="4"/>
  <c r="S29" i="9"/>
  <c r="R29" i="9"/>
  <c r="P42" i="21"/>
  <c r="P87" i="21"/>
  <c r="O82" i="21"/>
  <c r="P82" i="21"/>
  <c r="O5" i="21"/>
  <c r="P5" i="21" s="1"/>
  <c r="P12" i="21"/>
  <c r="P51" i="21"/>
  <c r="P80" i="21"/>
  <c r="P49" i="21"/>
  <c r="O49" i="21"/>
  <c r="O104" i="21"/>
  <c r="P104" i="21"/>
  <c r="P43" i="21"/>
  <c r="P44" i="21"/>
  <c r="O29" i="21"/>
  <c r="P29" i="21"/>
  <c r="P66" i="21"/>
  <c r="N29" i="21"/>
  <c r="O25" i="21"/>
  <c r="O42" i="21"/>
  <c r="O47" i="21"/>
  <c r="P47" i="21" s="1"/>
  <c r="O4" i="21"/>
  <c r="P4" i="21" s="1"/>
  <c r="P25" i="21"/>
  <c r="O12" i="21"/>
  <c r="P67" i="21"/>
  <c r="P79" i="21"/>
  <c r="P48" i="21"/>
  <c r="O97" i="21"/>
  <c r="P97" i="21" s="1"/>
  <c r="P68" i="21"/>
  <c r="P24" i="21"/>
  <c r="O87" i="21"/>
  <c r="O51" i="21"/>
  <c r="P32" i="21"/>
  <c r="P85" i="21"/>
  <c r="O7" i="21"/>
  <c r="P7" i="21" s="1"/>
  <c r="P72" i="21"/>
  <c r="P57" i="21"/>
  <c r="O8" i="21"/>
  <c r="P8" i="21" s="1"/>
  <c r="N21" i="21"/>
  <c r="O21" i="21" s="1"/>
  <c r="O80" i="21"/>
  <c r="O17" i="21"/>
  <c r="P17" i="21" s="1"/>
  <c r="O31" i="21"/>
  <c r="P31" i="21" s="1"/>
  <c r="O33" i="21"/>
  <c r="P33" i="21" s="1"/>
  <c r="N5" i="21"/>
  <c r="N61" i="21"/>
  <c r="O35" i="21"/>
  <c r="P35" i="21" s="1"/>
  <c r="N34" i="21"/>
  <c r="O34" i="21" s="1"/>
  <c r="P34" i="21" s="1"/>
  <c r="P9" i="21"/>
  <c r="P89" i="21"/>
  <c r="P53" i="21"/>
  <c r="O20" i="21"/>
  <c r="P20" i="21" s="1"/>
  <c r="P16" i="21"/>
  <c r="N35" i="21"/>
  <c r="O77" i="21"/>
  <c r="P77" i="21" s="1"/>
  <c r="P26" i="21"/>
  <c r="O53" i="21"/>
  <c r="O3" i="21"/>
  <c r="P41" i="21"/>
  <c r="O6" i="21"/>
  <c r="P6" i="21" s="1"/>
  <c r="O98" i="21"/>
  <c r="P98" i="21"/>
  <c r="N56" i="21"/>
  <c r="O56" i="21" s="1"/>
  <c r="P37" i="21"/>
  <c r="N75" i="21"/>
  <c r="O75" i="21" s="1"/>
  <c r="P75" i="21" s="1"/>
  <c r="N64" i="21"/>
  <c r="N3" i="21"/>
  <c r="Q43" i="22" l="1"/>
  <c r="R44" i="22"/>
  <c r="R32" i="22"/>
  <c r="S34" i="22"/>
  <c r="O48" i="22"/>
  <c r="O51" i="22" s="1"/>
  <c r="N52" i="22"/>
  <c r="P41" i="22"/>
  <c r="O38" i="22"/>
  <c r="O42" i="22" s="1"/>
  <c r="O52" i="22" s="1"/>
  <c r="R49" i="22"/>
  <c r="R39" i="22"/>
  <c r="R21" i="22"/>
  <c r="S8" i="22"/>
  <c r="S23" i="22"/>
  <c r="S18" i="22"/>
  <c r="S13" i="22"/>
  <c r="P99" i="4"/>
  <c r="P92" i="4"/>
  <c r="P91" i="4" s="1"/>
  <c r="P78" i="4" s="1"/>
  <c r="Q105" i="4"/>
  <c r="T104" i="4"/>
  <c r="P21" i="21"/>
  <c r="P3" i="21"/>
  <c r="O61" i="21"/>
  <c r="P61" i="21" s="1"/>
  <c r="P56" i="21"/>
  <c r="O64" i="21"/>
  <c r="P64" i="21" s="1"/>
  <c r="S39" i="22" l="1"/>
  <c r="S49" i="22"/>
  <c r="Q41" i="22"/>
  <c r="P38" i="22"/>
  <c r="P42" i="22" s="1"/>
  <c r="P48" i="22"/>
  <c r="P51" i="22" s="1"/>
  <c r="P52" i="22" s="1"/>
  <c r="T34" i="22"/>
  <c r="T32" i="22" s="1"/>
  <c r="S32" i="22"/>
  <c r="S44" i="22"/>
  <c r="R43" i="22"/>
  <c r="T18" i="22"/>
  <c r="T13" i="22"/>
  <c r="T23" i="22"/>
  <c r="T8" i="22"/>
  <c r="S21" i="22"/>
  <c r="G106" i="4"/>
  <c r="R105" i="4"/>
  <c r="J56" i="10"/>
  <c r="J143" i="5"/>
  <c r="J144" i="5" s="1"/>
  <c r="J145" i="5" s="1"/>
  <c r="J146" i="5" s="1"/>
  <c r="J147" i="5" s="1"/>
  <c r="T118" i="5"/>
  <c r="S118" i="5"/>
  <c r="R118" i="5"/>
  <c r="Q118" i="5"/>
  <c r="P118" i="5"/>
  <c r="O118" i="5"/>
  <c r="R33" i="20"/>
  <c r="R32" i="20"/>
  <c r="T31" i="20"/>
  <c r="U31" i="20" s="1"/>
  <c r="V31" i="20" s="1"/>
  <c r="S31" i="20"/>
  <c r="R31" i="20"/>
  <c r="R30" i="20"/>
  <c r="S29" i="20"/>
  <c r="R29" i="20"/>
  <c r="T117" i="5"/>
  <c r="S117" i="5"/>
  <c r="R117" i="5"/>
  <c r="Q117" i="5"/>
  <c r="T116" i="5"/>
  <c r="S116" i="5"/>
  <c r="R116" i="5"/>
  <c r="Q116" i="5"/>
  <c r="P117" i="5"/>
  <c r="P116" i="5"/>
  <c r="R23" i="20"/>
  <c r="R22" i="20"/>
  <c r="S21" i="20"/>
  <c r="R21" i="20"/>
  <c r="S20" i="20"/>
  <c r="R20" i="20"/>
  <c r="R18" i="20"/>
  <c r="R17" i="20"/>
  <c r="S17" i="20" s="1"/>
  <c r="T16" i="20"/>
  <c r="S16" i="20"/>
  <c r="R16" i="20"/>
  <c r="R15" i="20"/>
  <c r="R14" i="20"/>
  <c r="R13" i="20"/>
  <c r="S13" i="20" s="1"/>
  <c r="R12" i="20"/>
  <c r="R11" i="20"/>
  <c r="S10" i="20"/>
  <c r="R10" i="20"/>
  <c r="T10" i="20" s="1"/>
  <c r="R9" i="20"/>
  <c r="R8" i="20"/>
  <c r="S8" i="20" s="1"/>
  <c r="R7" i="20"/>
  <c r="S6" i="20"/>
  <c r="R6" i="20"/>
  <c r="S5" i="20"/>
  <c r="R5" i="20"/>
  <c r="R4" i="20"/>
  <c r="T3" i="20"/>
  <c r="S3" i="20"/>
  <c r="R3" i="20"/>
  <c r="O117" i="5"/>
  <c r="O116" i="5"/>
  <c r="M117" i="5"/>
  <c r="M111" i="5" s="1"/>
  <c r="M116" i="5"/>
  <c r="M110" i="5" s="1"/>
  <c r="M92" i="5"/>
  <c r="N92" i="5" s="1"/>
  <c r="L92" i="5"/>
  <c r="Q52" i="5"/>
  <c r="R52" i="5" s="1"/>
  <c r="S52" i="5" s="1"/>
  <c r="T52" i="5" s="1"/>
  <c r="L32" i="7"/>
  <c r="M33" i="5"/>
  <c r="M33" i="7" s="1"/>
  <c r="I33" i="7" s="1"/>
  <c r="M26" i="5"/>
  <c r="M29" i="7" s="1"/>
  <c r="T118" i="2"/>
  <c r="S118" i="2"/>
  <c r="R118" i="2"/>
  <c r="Q118" i="2"/>
  <c r="P118" i="2"/>
  <c r="T117" i="2"/>
  <c r="S117" i="2"/>
  <c r="R117" i="2"/>
  <c r="Q117" i="2"/>
  <c r="P117" i="2"/>
  <c r="T116" i="2"/>
  <c r="T110" i="2" s="1"/>
  <c r="S116" i="2"/>
  <c r="S110" i="2" s="1"/>
  <c r="R116" i="2"/>
  <c r="R110" i="2" s="1"/>
  <c r="Q116" i="2"/>
  <c r="Q110" i="2" s="1"/>
  <c r="P116" i="2"/>
  <c r="P110" i="2" s="1"/>
  <c r="N118" i="2"/>
  <c r="G135" i="2" s="1"/>
  <c r="N117" i="2"/>
  <c r="N116" i="2"/>
  <c r="N110" i="2" s="1"/>
  <c r="M116" i="2"/>
  <c r="M110" i="2" s="1"/>
  <c r="M117" i="2"/>
  <c r="M111" i="2" s="1"/>
  <c r="M118" i="2"/>
  <c r="M112" i="2" s="1"/>
  <c r="L118" i="2"/>
  <c r="L112" i="2" s="1"/>
  <c r="L117" i="2"/>
  <c r="L111" i="2" s="1"/>
  <c r="L116" i="2"/>
  <c r="L110" i="2" s="1"/>
  <c r="M121" i="2"/>
  <c r="L121" i="2"/>
  <c r="T82" i="13"/>
  <c r="S82" i="13"/>
  <c r="R82" i="13"/>
  <c r="P82" i="13"/>
  <c r="P80" i="13"/>
  <c r="P79" i="13"/>
  <c r="P78" i="13"/>
  <c r="P77" i="13"/>
  <c r="P76" i="13"/>
  <c r="R75" i="13"/>
  <c r="S75" i="13" s="1"/>
  <c r="P75" i="13"/>
  <c r="P74" i="13"/>
  <c r="P73" i="13"/>
  <c r="P72" i="13"/>
  <c r="P70" i="13"/>
  <c r="P69" i="13"/>
  <c r="P68" i="13"/>
  <c r="P67" i="13"/>
  <c r="R66" i="13"/>
  <c r="P66" i="13"/>
  <c r="P65" i="13"/>
  <c r="R65" i="13" s="1"/>
  <c r="P64" i="13"/>
  <c r="P63" i="13"/>
  <c r="P62" i="13"/>
  <c r="P61" i="13"/>
  <c r="P60" i="13"/>
  <c r="R59" i="13"/>
  <c r="P59" i="13"/>
  <c r="P58" i="13"/>
  <c r="R58" i="13" s="1"/>
  <c r="P57" i="13"/>
  <c r="P56" i="13"/>
  <c r="P55" i="13"/>
  <c r="P54" i="13"/>
  <c r="P53" i="13"/>
  <c r="R52" i="13"/>
  <c r="P52" i="13"/>
  <c r="R50" i="13"/>
  <c r="P50" i="13"/>
  <c r="S50" i="13"/>
  <c r="T50" i="13" s="1"/>
  <c r="U50" i="13" s="1"/>
  <c r="V50" i="13" s="1"/>
  <c r="T12" i="7"/>
  <c r="M88" i="2"/>
  <c r="M76" i="2"/>
  <c r="L76" i="2"/>
  <c r="M69" i="2"/>
  <c r="L69" i="2"/>
  <c r="M67" i="2"/>
  <c r="P52" i="2"/>
  <c r="Q52" i="2" s="1"/>
  <c r="R52" i="2" s="1"/>
  <c r="S52" i="2" s="1"/>
  <c r="T52" i="2" s="1"/>
  <c r="C11" i="10"/>
  <c r="B11" i="10"/>
  <c r="L25" i="2"/>
  <c r="L24" i="7" s="1"/>
  <c r="M25" i="2"/>
  <c r="M24" i="7" s="1"/>
  <c r="T44" i="22" l="1"/>
  <c r="T43" i="22" s="1"/>
  <c r="S43" i="22"/>
  <c r="Q48" i="22"/>
  <c r="Q51" i="22" s="1"/>
  <c r="R41" i="22"/>
  <c r="Q38" i="22"/>
  <c r="Q42" i="22" s="1"/>
  <c r="Q52" i="22" s="1"/>
  <c r="T49" i="22"/>
  <c r="T39" i="22"/>
  <c r="T21" i="22"/>
  <c r="N52" i="2"/>
  <c r="M64" i="2"/>
  <c r="O110" i="2"/>
  <c r="Q115" i="5"/>
  <c r="Q106" i="4"/>
  <c r="Q103" i="4" s="1"/>
  <c r="Q100" i="4" s="1"/>
  <c r="S105" i="4"/>
  <c r="T105" i="4" s="1"/>
  <c r="N116" i="5"/>
  <c r="N117" i="5"/>
  <c r="S115" i="5"/>
  <c r="S32" i="20"/>
  <c r="T32" i="20" s="1"/>
  <c r="U32" i="20" s="1"/>
  <c r="T29" i="20"/>
  <c r="U29" i="20" s="1"/>
  <c r="S30" i="20"/>
  <c r="T30" i="20" s="1"/>
  <c r="U30" i="20" s="1"/>
  <c r="S33" i="20"/>
  <c r="T33" i="20" s="1"/>
  <c r="U33" i="20" s="1"/>
  <c r="T21" i="20"/>
  <c r="V21" i="20" s="1"/>
  <c r="U21" i="20"/>
  <c r="S22" i="20"/>
  <c r="T20" i="20"/>
  <c r="V20" i="20" s="1"/>
  <c r="S23" i="20"/>
  <c r="V23" i="20" s="1"/>
  <c r="U20" i="20"/>
  <c r="T23" i="20"/>
  <c r="U23" i="20"/>
  <c r="V10" i="20"/>
  <c r="U10" i="20"/>
  <c r="T13" i="20"/>
  <c r="U13" i="20" s="1"/>
  <c r="V3" i="20"/>
  <c r="V5" i="20"/>
  <c r="V16" i="20"/>
  <c r="T17" i="20"/>
  <c r="U17" i="20" s="1"/>
  <c r="T5" i="20"/>
  <c r="U16" i="20"/>
  <c r="U5" i="20"/>
  <c r="T8" i="20"/>
  <c r="V8" i="20" s="1"/>
  <c r="S11" i="20"/>
  <c r="U11" i="20" s="1"/>
  <c r="U8" i="20"/>
  <c r="T11" i="20"/>
  <c r="S14" i="20"/>
  <c r="U3" i="20"/>
  <c r="T6" i="20"/>
  <c r="V6" i="20" s="1"/>
  <c r="S9" i="20"/>
  <c r="U6" i="20"/>
  <c r="T9" i="20"/>
  <c r="V9" i="20" s="1"/>
  <c r="S12" i="20"/>
  <c r="V12" i="20" s="1"/>
  <c r="U9" i="20"/>
  <c r="T12" i="20"/>
  <c r="S15" i="20"/>
  <c r="T15" i="20" s="1"/>
  <c r="S4" i="20"/>
  <c r="T4" i="20" s="1"/>
  <c r="U12" i="20"/>
  <c r="S18" i="20"/>
  <c r="S7" i="20"/>
  <c r="T18" i="20"/>
  <c r="V18" i="20" s="1"/>
  <c r="T7" i="20"/>
  <c r="U7" i="20" s="1"/>
  <c r="U18" i="20"/>
  <c r="R115" i="5"/>
  <c r="P115" i="5"/>
  <c r="T115" i="5"/>
  <c r="O92" i="5"/>
  <c r="N135" i="2"/>
  <c r="N134" i="2" s="1"/>
  <c r="N124" i="2" s="1"/>
  <c r="N112" i="2" s="1"/>
  <c r="O112" i="2" s="1"/>
  <c r="N106" i="2"/>
  <c r="L115" i="2"/>
  <c r="T115" i="2"/>
  <c r="M115" i="2"/>
  <c r="O116" i="2"/>
  <c r="O117" i="2"/>
  <c r="O118" i="2"/>
  <c r="G128" i="2"/>
  <c r="N105" i="2" s="1"/>
  <c r="T75" i="13"/>
  <c r="V75" i="13" s="1"/>
  <c r="R80" i="13"/>
  <c r="U75" i="13"/>
  <c r="R78" i="13"/>
  <c r="R73" i="13"/>
  <c r="R76" i="13"/>
  <c r="S76" i="13"/>
  <c r="R74" i="13"/>
  <c r="S74" i="13" s="1"/>
  <c r="R72" i="13"/>
  <c r="R79" i="13"/>
  <c r="S72" i="13"/>
  <c r="T72" i="13"/>
  <c r="R77" i="13"/>
  <c r="S58" i="13"/>
  <c r="T58" i="13" s="1"/>
  <c r="S65" i="13"/>
  <c r="T65" i="13" s="1"/>
  <c r="S54" i="13"/>
  <c r="R63" i="13"/>
  <c r="R70" i="13"/>
  <c r="S56" i="13"/>
  <c r="S63" i="13"/>
  <c r="T63" i="13" s="1"/>
  <c r="S70" i="13"/>
  <c r="T70" i="13" s="1"/>
  <c r="R54" i="13"/>
  <c r="T54" i="13"/>
  <c r="V54" i="13" s="1"/>
  <c r="S52" i="13"/>
  <c r="T52" i="13" s="1"/>
  <c r="U54" i="13"/>
  <c r="S59" i="13"/>
  <c r="S66" i="13"/>
  <c r="R57" i="13"/>
  <c r="T57" i="13" s="1"/>
  <c r="R64" i="13"/>
  <c r="T64" i="13" s="1"/>
  <c r="S57" i="13"/>
  <c r="U57" i="13" s="1"/>
  <c r="S64" i="13"/>
  <c r="U64" i="13" s="1"/>
  <c r="R55" i="13"/>
  <c r="R62" i="13"/>
  <c r="R69" i="13"/>
  <c r="T69" i="13" s="1"/>
  <c r="S62" i="13"/>
  <c r="U62" i="13" s="1"/>
  <c r="S69" i="13"/>
  <c r="R53" i="13"/>
  <c r="S53" i="13" s="1"/>
  <c r="R60" i="13"/>
  <c r="T62" i="13"/>
  <c r="R67" i="13"/>
  <c r="S67" i="13" s="1"/>
  <c r="R56" i="13"/>
  <c r="R61" i="13"/>
  <c r="R68" i="13"/>
  <c r="S68" i="13" s="1"/>
  <c r="N24" i="7"/>
  <c r="I24" i="7"/>
  <c r="I29" i="7" s="1"/>
  <c r="N29" i="7" s="1"/>
  <c r="S41" i="22" l="1"/>
  <c r="R38" i="22"/>
  <c r="R42" i="22" s="1"/>
  <c r="R48" i="22"/>
  <c r="R51" i="22" s="1"/>
  <c r="Q99" i="4"/>
  <c r="Q92" i="4"/>
  <c r="Q91" i="4" s="1"/>
  <c r="Q78" i="4" s="1"/>
  <c r="R106" i="4"/>
  <c r="G107" i="4" s="1"/>
  <c r="G135" i="5"/>
  <c r="N105" i="5" s="1"/>
  <c r="G128" i="5"/>
  <c r="N135" i="5"/>
  <c r="P135" i="5" s="1"/>
  <c r="G136" i="5" s="1"/>
  <c r="V30" i="20"/>
  <c r="V33" i="20"/>
  <c r="V32" i="20"/>
  <c r="V29" i="20"/>
  <c r="V22" i="20"/>
  <c r="T22" i="20"/>
  <c r="U22" i="20" s="1"/>
  <c r="U4" i="20"/>
  <c r="V4" i="20" s="1"/>
  <c r="V13" i="20"/>
  <c r="U15" i="20"/>
  <c r="V15" i="20" s="1"/>
  <c r="V11" i="20"/>
  <c r="V17" i="20"/>
  <c r="V7" i="20"/>
  <c r="T14" i="20"/>
  <c r="U14" i="20" s="1"/>
  <c r="N134" i="5"/>
  <c r="O115" i="5"/>
  <c r="T24" i="7"/>
  <c r="T25" i="2" s="1"/>
  <c r="T76" i="2" s="1"/>
  <c r="P135" i="2"/>
  <c r="Q135" i="2" s="1"/>
  <c r="N128" i="2"/>
  <c r="N127" i="2" s="1"/>
  <c r="N123" i="2" s="1"/>
  <c r="N111" i="2" s="1"/>
  <c r="O111" i="2" s="1"/>
  <c r="P128" i="2"/>
  <c r="Q128" i="2" s="1"/>
  <c r="G136" i="2"/>
  <c r="N115" i="2"/>
  <c r="U76" i="13"/>
  <c r="U74" i="13"/>
  <c r="V74" i="13" s="1"/>
  <c r="S80" i="13"/>
  <c r="T80" i="13" s="1"/>
  <c r="S78" i="13"/>
  <c r="S79" i="13"/>
  <c r="S77" i="13"/>
  <c r="T77" i="13" s="1"/>
  <c r="T74" i="13"/>
  <c r="T76" i="13"/>
  <c r="V76" i="13" s="1"/>
  <c r="S73" i="13"/>
  <c r="U72" i="13"/>
  <c r="V72" i="13" s="1"/>
  <c r="V66" i="13"/>
  <c r="U52" i="13"/>
  <c r="V52" i="13"/>
  <c r="V63" i="13"/>
  <c r="U58" i="13"/>
  <c r="V58" i="13" s="1"/>
  <c r="U65" i="13"/>
  <c r="V65" i="13" s="1"/>
  <c r="V64" i="13"/>
  <c r="V57" i="13"/>
  <c r="U63" i="13"/>
  <c r="U69" i="13"/>
  <c r="V69" i="13" s="1"/>
  <c r="T66" i="13"/>
  <c r="U66" i="13" s="1"/>
  <c r="T68" i="13"/>
  <c r="U68" i="13" s="1"/>
  <c r="V62" i="13"/>
  <c r="S61" i="13"/>
  <c r="T60" i="13"/>
  <c r="T59" i="13"/>
  <c r="U59" i="13" s="1"/>
  <c r="U70" i="13"/>
  <c r="V70" i="13" s="1"/>
  <c r="T56" i="13"/>
  <c r="S55" i="13"/>
  <c r="T55" i="13" s="1"/>
  <c r="T67" i="13"/>
  <c r="S60" i="13"/>
  <c r="U60" i="13" s="1"/>
  <c r="T53" i="13"/>
  <c r="Q24" i="7"/>
  <c r="Q25" i="2" s="1"/>
  <c r="P24" i="7"/>
  <c r="P25" i="2" s="1"/>
  <c r="S24" i="7"/>
  <c r="S25" i="2" s="1"/>
  <c r="R24" i="7"/>
  <c r="R25" i="2" s="1"/>
  <c r="O24" i="7"/>
  <c r="O25" i="2" s="1"/>
  <c r="N25" i="2"/>
  <c r="R52" i="22" l="1"/>
  <c r="T48" i="22"/>
  <c r="T51" i="22" s="1"/>
  <c r="S48" i="22"/>
  <c r="S51" i="22" s="1"/>
  <c r="T41" i="22"/>
  <c r="T38" i="22" s="1"/>
  <c r="T42" i="22" s="1"/>
  <c r="T52" i="22" s="1"/>
  <c r="S38" i="22"/>
  <c r="S42" i="22" s="1"/>
  <c r="S52" i="22" s="1"/>
  <c r="S106" i="4"/>
  <c r="N121" i="2"/>
  <c r="R135" i="2"/>
  <c r="S135" i="2" s="1"/>
  <c r="R107" i="4"/>
  <c r="S107" i="4"/>
  <c r="T107" i="4" s="1"/>
  <c r="R103" i="4"/>
  <c r="R100" i="4" s="1"/>
  <c r="T106" i="4"/>
  <c r="N123" i="5"/>
  <c r="N111" i="5" s="1"/>
  <c r="O111" i="5" s="1"/>
  <c r="N104" i="5"/>
  <c r="N128" i="5"/>
  <c r="Q135" i="5"/>
  <c r="V14" i="20"/>
  <c r="R128" i="2"/>
  <c r="P136" i="2"/>
  <c r="G129" i="2"/>
  <c r="O121" i="2"/>
  <c r="O115" i="2"/>
  <c r="U79" i="13"/>
  <c r="V79" i="13" s="1"/>
  <c r="T79" i="13"/>
  <c r="U77" i="13"/>
  <c r="V77" i="13"/>
  <c r="T73" i="13"/>
  <c r="U73" i="13"/>
  <c r="T78" i="13"/>
  <c r="U78" i="13" s="1"/>
  <c r="V78" i="13" s="1"/>
  <c r="U80" i="13"/>
  <c r="V80" i="13"/>
  <c r="V60" i="13"/>
  <c r="T61" i="13"/>
  <c r="U53" i="13"/>
  <c r="V53" i="13" s="1"/>
  <c r="V55" i="13"/>
  <c r="U67" i="13"/>
  <c r="V67" i="13" s="1"/>
  <c r="V68" i="13"/>
  <c r="U55" i="13"/>
  <c r="U56" i="13"/>
  <c r="V56" i="13" s="1"/>
  <c r="V59" i="13"/>
  <c r="G108" i="4" l="1"/>
  <c r="S108" i="4" s="1"/>
  <c r="S103" i="4" s="1"/>
  <c r="S100" i="4" s="1"/>
  <c r="R99" i="4"/>
  <c r="R92" i="4"/>
  <c r="R91" i="4" s="1"/>
  <c r="R78" i="4" s="1"/>
  <c r="R135" i="5"/>
  <c r="N127" i="5"/>
  <c r="N122" i="5" s="1"/>
  <c r="P128" i="5"/>
  <c r="P129" i="2"/>
  <c r="P127" i="2" s="1"/>
  <c r="P123" i="2" s="1"/>
  <c r="P111" i="2" s="1"/>
  <c r="P134" i="2"/>
  <c r="P124" i="2" s="1"/>
  <c r="P112" i="2" s="1"/>
  <c r="Q136" i="2"/>
  <c r="S128" i="2"/>
  <c r="T128" i="2" s="1"/>
  <c r="T135" i="2"/>
  <c r="P121" i="2"/>
  <c r="P115" i="2"/>
  <c r="V73" i="13"/>
  <c r="U61" i="13"/>
  <c r="V61" i="13" s="1"/>
  <c r="S99" i="4" l="1"/>
  <c r="S92" i="4"/>
  <c r="S91" i="4" s="1"/>
  <c r="S78" i="4" s="1"/>
  <c r="T108" i="4"/>
  <c r="Q128" i="5"/>
  <c r="R128" i="5" s="1"/>
  <c r="G129" i="5"/>
  <c r="P129" i="5" s="1"/>
  <c r="P127" i="5" s="1"/>
  <c r="P122" i="5" s="1"/>
  <c r="P110" i="5" s="1"/>
  <c r="N110" i="5"/>
  <c r="O110" i="5" s="1"/>
  <c r="S135" i="5"/>
  <c r="G137" i="2"/>
  <c r="R136" i="2"/>
  <c r="S136" i="2"/>
  <c r="Q129" i="2"/>
  <c r="Q115" i="2"/>
  <c r="Q129" i="5" l="1"/>
  <c r="R129" i="5" s="1"/>
  <c r="S129" i="5" s="1"/>
  <c r="G109" i="4"/>
  <c r="T135" i="5"/>
  <c r="G130" i="5"/>
  <c r="S128" i="5"/>
  <c r="T128" i="5"/>
  <c r="T129" i="5"/>
  <c r="G130" i="2"/>
  <c r="R129" i="2"/>
  <c r="S129" i="2"/>
  <c r="T136" i="2"/>
  <c r="Q137" i="2"/>
  <c r="Q134" i="2" s="1"/>
  <c r="Q124" i="2" s="1"/>
  <c r="Q112" i="2" s="1"/>
  <c r="S115" i="2"/>
  <c r="R115" i="2"/>
  <c r="R137" i="2" l="1"/>
  <c r="T109" i="4"/>
  <c r="T103" i="4" s="1"/>
  <c r="T100" i="4" s="1"/>
  <c r="P88" i="4" a="1"/>
  <c r="Q130" i="5"/>
  <c r="Q127" i="5" s="1"/>
  <c r="Q122" i="5" s="1"/>
  <c r="Q110" i="5" s="1"/>
  <c r="S137" i="2"/>
  <c r="G138" i="2"/>
  <c r="T129" i="2"/>
  <c r="Q130" i="2"/>
  <c r="Q127" i="2" s="1"/>
  <c r="Q123" i="2" s="1"/>
  <c r="R130" i="2" l="1"/>
  <c r="P88" i="4"/>
  <c r="P87" i="4" s="1"/>
  <c r="T87" i="4"/>
  <c r="S87" i="4"/>
  <c r="R87" i="4"/>
  <c r="Q87" i="4"/>
  <c r="T99" i="4"/>
  <c r="T92" i="4"/>
  <c r="T91" i="4" s="1"/>
  <c r="T78" i="4" s="1"/>
  <c r="R130" i="5"/>
  <c r="G131" i="5" s="1"/>
  <c r="S130" i="5"/>
  <c r="Q111" i="2"/>
  <c r="Q121" i="2"/>
  <c r="R138" i="2"/>
  <c r="R134" i="2" s="1"/>
  <c r="R124" i="2" s="1"/>
  <c r="R112" i="2" s="1"/>
  <c r="S138" i="2"/>
  <c r="T138" i="2" s="1"/>
  <c r="T137" i="2"/>
  <c r="S130" i="2" l="1"/>
  <c r="T130" i="2"/>
  <c r="G131" i="2"/>
  <c r="R131" i="2" s="1"/>
  <c r="G139" i="2"/>
  <c r="S139" i="2" s="1"/>
  <c r="T139" i="2" s="1"/>
  <c r="G140" i="2" s="1"/>
  <c r="T130" i="5"/>
  <c r="S134" i="2" l="1"/>
  <c r="S124" i="2" s="1"/>
  <c r="S112" i="2" s="1"/>
  <c r="R131" i="5"/>
  <c r="R127" i="5" s="1"/>
  <c r="R122" i="5" s="1"/>
  <c r="R110" i="5" s="1"/>
  <c r="T140" i="2"/>
  <c r="T134" i="2" s="1"/>
  <c r="T124" i="2" s="1"/>
  <c r="T112" i="2" s="1"/>
  <c r="P106" i="2" a="1"/>
  <c r="P106" i="2" s="1"/>
  <c r="S131" i="2"/>
  <c r="R127" i="2"/>
  <c r="R123" i="2" s="1"/>
  <c r="S131" i="5" l="1"/>
  <c r="G132" i="5" s="1"/>
  <c r="R111" i="2"/>
  <c r="R121" i="2"/>
  <c r="T131" i="2"/>
  <c r="G132" i="2"/>
  <c r="T131" i="5" l="1"/>
  <c r="S132" i="2"/>
  <c r="S127" i="2" s="1"/>
  <c r="S123" i="2" s="1"/>
  <c r="S132" i="5" l="1"/>
  <c r="S127" i="5" s="1"/>
  <c r="S122" i="5" s="1"/>
  <c r="S110" i="5" s="1"/>
  <c r="S111" i="2"/>
  <c r="S121" i="2"/>
  <c r="T132" i="2"/>
  <c r="T132" i="5" l="1"/>
  <c r="G133" i="5" s="1"/>
  <c r="G133" i="2"/>
  <c r="T133" i="2" l="1"/>
  <c r="T127" i="2" s="1"/>
  <c r="T123" i="2" s="1"/>
  <c r="P105" i="2" a="1"/>
  <c r="T133" i="5" l="1"/>
  <c r="T127" i="5" s="1"/>
  <c r="T122" i="5" s="1"/>
  <c r="T110" i="5" s="1"/>
  <c r="P104" i="5" a="1"/>
  <c r="P105" i="2"/>
  <c r="T103" i="2"/>
  <c r="T51" i="1" s="1"/>
  <c r="T121" i="2"/>
  <c r="T111" i="2"/>
  <c r="T109" i="2" s="1"/>
  <c r="P104" i="5" l="1"/>
  <c r="T91" i="2"/>
  <c r="T10" i="2"/>
  <c r="T50" i="1" l="1"/>
  <c r="T45" i="19"/>
  <c r="J180" i="1"/>
  <c r="J179" i="1" s="1"/>
  <c r="J175" i="1"/>
  <c r="J174" i="1"/>
  <c r="J182" i="1"/>
  <c r="Q167" i="1"/>
  <c r="N167" i="1"/>
  <c r="M125" i="4"/>
  <c r="M124" i="4" s="1"/>
  <c r="M121" i="4"/>
  <c r="M118" i="4"/>
  <c r="M117" i="4" s="1"/>
  <c r="M78" i="4"/>
  <c r="M81" i="4"/>
  <c r="N81" i="4" s="1"/>
  <c r="O81" i="4" s="1"/>
  <c r="M80" i="4"/>
  <c r="N80" i="4" s="1"/>
  <c r="O80" i="4" s="1"/>
  <c r="M79" i="4"/>
  <c r="N79" i="4" s="1"/>
  <c r="O79" i="4" s="1"/>
  <c r="M66" i="4"/>
  <c r="N61" i="4"/>
  <c r="M60" i="4"/>
  <c r="M58" i="4"/>
  <c r="I48" i="4"/>
  <c r="M43" i="4"/>
  <c r="M49" i="4"/>
  <c r="M45" i="4"/>
  <c r="M42" i="4"/>
  <c r="O23" i="4"/>
  <c r="P61" i="4" s="1"/>
  <c r="M20" i="4"/>
  <c r="V68" i="14"/>
  <c r="V67" i="14"/>
  <c r="V66" i="14"/>
  <c r="I70" i="5" s="1"/>
  <c r="I76" i="5" s="1"/>
  <c r="V65" i="14"/>
  <c r="V64" i="14"/>
  <c r="V63" i="14"/>
  <c r="V62" i="14"/>
  <c r="N62" i="14" s="1"/>
  <c r="O62" i="14" s="1"/>
  <c r="V61" i="14"/>
  <c r="N61" i="14" s="1"/>
  <c r="O61" i="14" s="1"/>
  <c r="V60" i="14"/>
  <c r="N60" i="14" s="1"/>
  <c r="O60" i="14" s="1"/>
  <c r="V59" i="14"/>
  <c r="N59" i="14" s="1"/>
  <c r="O59" i="14" s="1"/>
  <c r="V58" i="14"/>
  <c r="N58" i="14" s="1"/>
  <c r="O58" i="14" s="1"/>
  <c r="V57" i="14"/>
  <c r="N57" i="14" s="1"/>
  <c r="O57" i="14" s="1"/>
  <c r="V56" i="14"/>
  <c r="V55" i="14"/>
  <c r="N55" i="14" s="1"/>
  <c r="O55" i="14" s="1"/>
  <c r="V54" i="14"/>
  <c r="N54" i="14" s="1"/>
  <c r="O54" i="14" s="1"/>
  <c r="V53" i="14"/>
  <c r="V52" i="14"/>
  <c r="N52" i="14" s="1"/>
  <c r="O52" i="14" s="1"/>
  <c r="V51" i="14"/>
  <c r="V50" i="14"/>
  <c r="V49" i="14"/>
  <c r="N49" i="14" s="1"/>
  <c r="V48" i="14"/>
  <c r="V47" i="14"/>
  <c r="V46" i="14"/>
  <c r="V45" i="14"/>
  <c r="V44" i="14"/>
  <c r="V43" i="14"/>
  <c r="V42" i="14"/>
  <c r="V41" i="14"/>
  <c r="V40" i="14"/>
  <c r="V39" i="14"/>
  <c r="V38" i="14"/>
  <c r="V37" i="14"/>
  <c r="V36" i="14"/>
  <c r="V35" i="14"/>
  <c r="V34" i="14"/>
  <c r="V33" i="14"/>
  <c r="V32" i="14"/>
  <c r="V31" i="14"/>
  <c r="V30" i="14"/>
  <c r="V29" i="14"/>
  <c r="V28" i="14"/>
  <c r="V27" i="14"/>
  <c r="V26" i="14"/>
  <c r="V25" i="14"/>
  <c r="V24" i="14"/>
  <c r="V23" i="14"/>
  <c r="V22" i="14"/>
  <c r="V21" i="14"/>
  <c r="V69" i="14"/>
  <c r="N69" i="14" s="1"/>
  <c r="O69" i="14" s="1"/>
  <c r="Q68" i="14"/>
  <c r="Q67" i="14"/>
  <c r="Q66" i="14"/>
  <c r="Q65" i="14"/>
  <c r="Q64" i="14"/>
  <c r="Q63" i="14"/>
  <c r="Q62" i="14"/>
  <c r="Q61" i="14"/>
  <c r="Q60" i="14"/>
  <c r="Q59" i="14"/>
  <c r="Q58" i="14"/>
  <c r="Q57" i="14"/>
  <c r="Q56" i="14"/>
  <c r="Q55" i="14"/>
  <c r="Q54" i="14"/>
  <c r="Q53" i="14"/>
  <c r="Q52" i="14"/>
  <c r="Q51" i="14"/>
  <c r="Q50" i="14"/>
  <c r="Q49" i="14"/>
  <c r="Q48" i="14"/>
  <c r="Q47" i="14"/>
  <c r="Q46" i="14"/>
  <c r="Q45" i="14"/>
  <c r="Q44" i="14"/>
  <c r="Q43" i="14"/>
  <c r="Q42" i="14"/>
  <c r="Q41" i="14"/>
  <c r="Q40" i="14"/>
  <c r="Q39" i="14"/>
  <c r="Q38" i="14"/>
  <c r="Q37" i="14"/>
  <c r="Q36" i="14"/>
  <c r="Q35" i="14"/>
  <c r="Q34" i="14"/>
  <c r="Q33" i="14"/>
  <c r="Q32" i="14"/>
  <c r="Q31" i="14"/>
  <c r="Q30" i="14"/>
  <c r="Q29" i="14"/>
  <c r="Q28" i="14"/>
  <c r="Q27" i="14"/>
  <c r="Q26" i="14"/>
  <c r="Q25" i="14"/>
  <c r="Q24" i="14"/>
  <c r="Q23" i="14"/>
  <c r="Q22" i="14"/>
  <c r="Q21" i="14"/>
  <c r="Q69" i="14"/>
  <c r="P2" i="14"/>
  <c r="W1" i="18"/>
  <c r="S76" i="2"/>
  <c r="Z66" i="5" l="1"/>
  <c r="N2" i="14"/>
  <c r="M19" i="4"/>
  <c r="M6" i="4" s="1"/>
  <c r="M102" i="19" s="1"/>
  <c r="M77" i="4"/>
  <c r="M75" i="4" s="1"/>
  <c r="M76" i="4" s="1"/>
  <c r="M55" i="4"/>
  <c r="O49" i="14"/>
  <c r="M10" i="4"/>
  <c r="M117" i="19" s="1"/>
  <c r="M96" i="4"/>
  <c r="M140" i="19"/>
  <c r="O48" i="4"/>
  <c r="T48" i="4"/>
  <c r="M116" i="4"/>
  <c r="M115" i="4" s="1"/>
  <c r="M119" i="4"/>
  <c r="M120" i="4" s="1"/>
  <c r="M157" i="1"/>
  <c r="R167" i="1"/>
  <c r="S167" i="1" s="1"/>
  <c r="T167" i="1" s="1"/>
  <c r="V2" i="14"/>
  <c r="Q2" i="14"/>
  <c r="M57" i="4"/>
  <c r="S48" i="4"/>
  <c r="M59" i="4"/>
  <c r="M61" i="4"/>
  <c r="M62" i="4" s="1"/>
  <c r="M63" i="4" s="1"/>
  <c r="N63" i="4" s="1"/>
  <c r="M67" i="4"/>
  <c r="I67" i="4" s="1"/>
  <c r="M53" i="4"/>
  <c r="Q48" i="4"/>
  <c r="M44" i="4"/>
  <c r="N44" i="4" s="1"/>
  <c r="O44" i="4" s="1"/>
  <c r="R48" i="4"/>
  <c r="M40" i="4"/>
  <c r="P48" i="4"/>
  <c r="M50" i="4"/>
  <c r="M46" i="4"/>
  <c r="M48" i="4"/>
  <c r="M24" i="4"/>
  <c r="Q61" i="4"/>
  <c r="M21" i="4"/>
  <c r="M27" i="4" s="1"/>
  <c r="N27" i="4" s="1"/>
  <c r="O27" i="4" s="1"/>
  <c r="N62" i="4" l="1"/>
  <c r="N60" i="4" s="1"/>
  <c r="O60" i="4" s="1"/>
  <c r="O63" i="4"/>
  <c r="O61" i="4"/>
  <c r="M92" i="4"/>
  <c r="M91" i="4" s="1"/>
  <c r="M95" i="4"/>
  <c r="O96" i="4"/>
  <c r="M35" i="4"/>
  <c r="M104" i="19" s="1"/>
  <c r="M41" i="4"/>
  <c r="M36" i="4"/>
  <c r="M105" i="19" s="1"/>
  <c r="M54" i="4"/>
  <c r="M26" i="4"/>
  <c r="M39" i="7" s="1"/>
  <c r="I39" i="7" s="1"/>
  <c r="U167" i="1"/>
  <c r="S59" i="4"/>
  <c r="T59" i="4"/>
  <c r="S67" i="4"/>
  <c r="T67" i="4"/>
  <c r="O59" i="4"/>
  <c r="O78" i="4"/>
  <c r="N10" i="4"/>
  <c r="P67" i="4"/>
  <c r="R67" i="4"/>
  <c r="N77" i="4"/>
  <c r="N75" i="4" s="1"/>
  <c r="M37" i="4"/>
  <c r="Q67" i="4"/>
  <c r="N42" i="4"/>
  <c r="N49" i="4" s="1"/>
  <c r="O49" i="4" s="1"/>
  <c r="Q59" i="4"/>
  <c r="R59" i="4"/>
  <c r="P59" i="4"/>
  <c r="N59" i="4"/>
  <c r="N67" i="4"/>
  <c r="O67" i="4" s="1"/>
  <c r="R61" i="4"/>
  <c r="S2" i="14"/>
  <c r="R2" i="14"/>
  <c r="N88" i="2"/>
  <c r="L67" i="2"/>
  <c r="L64" i="2" l="1"/>
  <c r="L88" i="2" s="1"/>
  <c r="P63" i="4"/>
  <c r="O95" i="4"/>
  <c r="O91" i="4"/>
  <c r="O39" i="7"/>
  <c r="O26" i="4" s="1"/>
  <c r="T39" i="7"/>
  <c r="T26" i="4" s="1"/>
  <c r="R39" i="7"/>
  <c r="R26" i="4" s="1"/>
  <c r="P39" i="7"/>
  <c r="P26" i="4" s="1"/>
  <c r="S39" i="7"/>
  <c r="S26" i="4" s="1"/>
  <c r="Q39" i="7"/>
  <c r="Q26" i="4" s="1"/>
  <c r="N39" i="7"/>
  <c r="N26" i="4" s="1"/>
  <c r="N24" i="4" s="1"/>
  <c r="N22" i="4" s="1"/>
  <c r="N163" i="1"/>
  <c r="N164" i="1" s="1"/>
  <c r="N117" i="19"/>
  <c r="M33" i="4"/>
  <c r="M126" i="4" s="1"/>
  <c r="M127" i="4" s="1"/>
  <c r="I127" i="4" s="1"/>
  <c r="T127" i="4" s="1"/>
  <c r="T126" i="4" s="1"/>
  <c r="M106" i="19"/>
  <c r="M122" i="4"/>
  <c r="M123" i="4" s="1"/>
  <c r="I123" i="4" s="1"/>
  <c r="T123" i="4" s="1"/>
  <c r="T122" i="4" s="1"/>
  <c r="O10" i="4"/>
  <c r="O117" i="19" s="1"/>
  <c r="O42" i="4"/>
  <c r="O50" i="4" s="1"/>
  <c r="N45" i="4"/>
  <c r="O45" i="4" s="1"/>
  <c r="O46" i="4" s="1"/>
  <c r="I46" i="4" s="1"/>
  <c r="T46" i="4" s="1"/>
  <c r="O77" i="4"/>
  <c r="O75" i="4" s="1"/>
  <c r="N37" i="4"/>
  <c r="N106" i="19" s="1"/>
  <c r="O88" i="2"/>
  <c r="I50" i="4" l="1"/>
  <c r="Q63" i="4"/>
  <c r="S127" i="4"/>
  <c r="S126" i="4" s="1"/>
  <c r="U127" i="4"/>
  <c r="U126" i="4" s="1"/>
  <c r="O22" i="4"/>
  <c r="O24" i="4" s="1"/>
  <c r="O25" i="4" s="1"/>
  <c r="N21" i="4"/>
  <c r="P127" i="4"/>
  <c r="P126" i="4" s="1"/>
  <c r="Q127" i="4"/>
  <c r="Q126" i="4" s="1"/>
  <c r="N127" i="4"/>
  <c r="N126" i="4" s="1"/>
  <c r="O127" i="4"/>
  <c r="O126" i="4" s="1"/>
  <c r="R127" i="4"/>
  <c r="R126" i="4" s="1"/>
  <c r="T61" i="4"/>
  <c r="Q50" i="4"/>
  <c r="T50" i="4"/>
  <c r="M7" i="4"/>
  <c r="M103" i="19" s="1"/>
  <c r="M107" i="19" s="1"/>
  <c r="M118" i="19" s="1"/>
  <c r="M119" i="19" s="1"/>
  <c r="M34" i="4"/>
  <c r="U123" i="4"/>
  <c r="U122" i="4" s="1"/>
  <c r="S123" i="4"/>
  <c r="S122" i="4" s="1"/>
  <c r="R123" i="4"/>
  <c r="R122" i="4" s="1"/>
  <c r="P123" i="4"/>
  <c r="P122" i="4" s="1"/>
  <c r="O123" i="4"/>
  <c r="O122" i="4" s="1"/>
  <c r="Q123" i="4"/>
  <c r="Q122" i="4" s="1"/>
  <c r="N123" i="4"/>
  <c r="N122" i="4" s="1"/>
  <c r="O47" i="4"/>
  <c r="N47" i="4" s="1"/>
  <c r="N48" i="4" s="1"/>
  <c r="P10" i="4"/>
  <c r="P117" i="19" s="1"/>
  <c r="O43" i="4"/>
  <c r="S50" i="4"/>
  <c r="P50" i="4"/>
  <c r="O37" i="4"/>
  <c r="O106" i="19" s="1"/>
  <c r="R50" i="4"/>
  <c r="S61" i="4"/>
  <c r="S46" i="4"/>
  <c r="R46" i="4"/>
  <c r="Q46" i="4"/>
  <c r="P46" i="4"/>
  <c r="J74" i="1"/>
  <c r="J150" i="1"/>
  <c r="J147" i="1"/>
  <c r="J146" i="1" s="1"/>
  <c r="J149" i="1"/>
  <c r="Q134" i="1"/>
  <c r="R134" i="1" s="1"/>
  <c r="N134" i="1"/>
  <c r="H83" i="1"/>
  <c r="H82" i="1"/>
  <c r="H81" i="1"/>
  <c r="J114" i="1"/>
  <c r="J113" i="1"/>
  <c r="J30" i="1" s="1"/>
  <c r="J112" i="1"/>
  <c r="J68" i="1"/>
  <c r="J67" i="1"/>
  <c r="N99" i="1"/>
  <c r="J107" i="1"/>
  <c r="J106" i="1"/>
  <c r="J116" i="1"/>
  <c r="Q99" i="1"/>
  <c r="R99" i="1" s="1"/>
  <c r="U116" i="9"/>
  <c r="U115" i="9" s="1"/>
  <c r="S116" i="9"/>
  <c r="S115" i="9" s="1"/>
  <c r="R116" i="9"/>
  <c r="R115" i="9" s="1"/>
  <c r="Q116" i="9"/>
  <c r="Q115" i="9" s="1"/>
  <c r="P116" i="9"/>
  <c r="P115" i="9" s="1"/>
  <c r="O116" i="9"/>
  <c r="O115" i="9" s="1"/>
  <c r="N116" i="9"/>
  <c r="N115" i="9" s="1"/>
  <c r="M114" i="9"/>
  <c r="M113" i="9" s="1"/>
  <c r="M110" i="9"/>
  <c r="M109" i="9" s="1"/>
  <c r="J62" i="1"/>
  <c r="J142" i="1" s="1"/>
  <c r="T168" i="1" s="1"/>
  <c r="J61" i="1"/>
  <c r="M163" i="5"/>
  <c r="L163" i="5"/>
  <c r="M159" i="5"/>
  <c r="L159" i="5"/>
  <c r="M156" i="5"/>
  <c r="L156" i="5"/>
  <c r="M80" i="9"/>
  <c r="M71" i="9"/>
  <c r="M73" i="9"/>
  <c r="N73" i="9" s="1"/>
  <c r="O73" i="9" s="1"/>
  <c r="M72" i="9"/>
  <c r="N72" i="9" s="1"/>
  <c r="M64" i="9"/>
  <c r="R49" i="9"/>
  <c r="S49" i="9" s="1"/>
  <c r="T49" i="9" s="1"/>
  <c r="E56" i="10"/>
  <c r="D56" i="10"/>
  <c r="C56" i="10"/>
  <c r="B56" i="10"/>
  <c r="M49" i="9" s="1"/>
  <c r="M55" i="9"/>
  <c r="M51" i="9"/>
  <c r="M48" i="9"/>
  <c r="M54" i="9" s="1"/>
  <c r="L68" i="9"/>
  <c r="I54" i="9"/>
  <c r="T54" i="9" s="1"/>
  <c r="P22" i="9"/>
  <c r="N44" i="7"/>
  <c r="N2" i="15"/>
  <c r="M2" i="15"/>
  <c r="L2" i="15"/>
  <c r="N23" i="15"/>
  <c r="M23" i="15"/>
  <c r="L23" i="15"/>
  <c r="O22" i="9"/>
  <c r="O44" i="7" s="1"/>
  <c r="M44" i="7"/>
  <c r="K23" i="15"/>
  <c r="J23" i="15"/>
  <c r="I23" i="15"/>
  <c r="H23" i="15"/>
  <c r="G23" i="15"/>
  <c r="M45" i="7"/>
  <c r="M88" i="9" l="1"/>
  <c r="M68" i="9"/>
  <c r="O38" i="7"/>
  <c r="I38" i="7" s="1"/>
  <c r="S38" i="7" s="1"/>
  <c r="S25" i="4" s="1"/>
  <c r="O64" i="4"/>
  <c r="O62" i="4" s="1"/>
  <c r="O65" i="4" s="1"/>
  <c r="R63" i="4"/>
  <c r="M108" i="19"/>
  <c r="O21" i="4"/>
  <c r="O20" i="4" s="1"/>
  <c r="N20" i="4"/>
  <c r="M113" i="19"/>
  <c r="M115" i="19" s="1"/>
  <c r="M116" i="19" s="1"/>
  <c r="P38" i="7"/>
  <c r="P25" i="4" s="1"/>
  <c r="J31" i="1"/>
  <c r="P163" i="1"/>
  <c r="P164" i="1" s="1"/>
  <c r="M158" i="1"/>
  <c r="M159" i="1" s="1"/>
  <c r="M160" i="1" s="1"/>
  <c r="O40" i="4"/>
  <c r="M8" i="4"/>
  <c r="M11" i="4" s="1"/>
  <c r="M12" i="4" s="1"/>
  <c r="M87" i="9"/>
  <c r="M84" i="9" s="1"/>
  <c r="N88" i="9"/>
  <c r="M6" i="9"/>
  <c r="M108" i="9"/>
  <c r="M107" i="9" s="1"/>
  <c r="S54" i="9"/>
  <c r="O54" i="9"/>
  <c r="P168" i="1"/>
  <c r="N168" i="1"/>
  <c r="Q168" i="1"/>
  <c r="S168" i="1"/>
  <c r="R168" i="1"/>
  <c r="U168" i="1"/>
  <c r="J141" i="1"/>
  <c r="S22" i="9"/>
  <c r="R22" i="9"/>
  <c r="Q22" i="9"/>
  <c r="N40" i="4"/>
  <c r="Q10" i="4"/>
  <c r="Q117" i="19" s="1"/>
  <c r="R135" i="1"/>
  <c r="Q135" i="1"/>
  <c r="P135" i="1"/>
  <c r="N135" i="1"/>
  <c r="S134" i="1"/>
  <c r="J111" i="1"/>
  <c r="N100" i="1"/>
  <c r="P100" i="1"/>
  <c r="Q100" i="1"/>
  <c r="R100" i="1"/>
  <c r="S99" i="1"/>
  <c r="M83" i="9"/>
  <c r="M10" i="9" s="1"/>
  <c r="M93" i="19" s="1"/>
  <c r="M79" i="9"/>
  <c r="M52" i="9"/>
  <c r="M56" i="9"/>
  <c r="N56" i="9" s="1"/>
  <c r="O56" i="9" s="1"/>
  <c r="I56" i="9" s="1"/>
  <c r="T56" i="9" s="1"/>
  <c r="M155" i="5"/>
  <c r="L162" i="5"/>
  <c r="M162" i="5"/>
  <c r="L155" i="5"/>
  <c r="M59" i="9"/>
  <c r="M50" i="9"/>
  <c r="N50" i="9" s="1"/>
  <c r="N48" i="9" s="1"/>
  <c r="P54" i="9"/>
  <c r="Q54" i="9"/>
  <c r="R54" i="9"/>
  <c r="O72" i="9"/>
  <c r="O51" i="9"/>
  <c r="M46" i="9"/>
  <c r="M46" i="7"/>
  <c r="N46" i="7" s="1"/>
  <c r="O18" i="15"/>
  <c r="O17" i="15"/>
  <c r="O16" i="15"/>
  <c r="O15" i="15"/>
  <c r="O14" i="15"/>
  <c r="O13" i="15"/>
  <c r="O12" i="15"/>
  <c r="O11" i="15"/>
  <c r="N10" i="15"/>
  <c r="M10" i="15"/>
  <c r="L10" i="15"/>
  <c r="K10" i="15"/>
  <c r="J10" i="15"/>
  <c r="I10" i="15"/>
  <c r="H10" i="15"/>
  <c r="G10" i="15"/>
  <c r="F10" i="15"/>
  <c r="E10" i="15"/>
  <c r="D10" i="15"/>
  <c r="C10" i="15"/>
  <c r="O9" i="15"/>
  <c r="O8" i="15"/>
  <c r="O7" i="15"/>
  <c r="O6" i="15"/>
  <c r="O5" i="15"/>
  <c r="O4" i="15"/>
  <c r="O3" i="15"/>
  <c r="K2" i="15"/>
  <c r="J2" i="15"/>
  <c r="I2" i="15"/>
  <c r="H2" i="15"/>
  <c r="G2" i="15"/>
  <c r="F2" i="15"/>
  <c r="E2" i="15"/>
  <c r="D2" i="15"/>
  <c r="C2" i="15"/>
  <c r="O2" i="15" s="1"/>
  <c r="T38" i="7" l="1"/>
  <c r="T25" i="4" s="1"/>
  <c r="O58" i="4"/>
  <c r="N58" i="4" s="1"/>
  <c r="F113" i="31"/>
  <c r="F112" i="31" s="1"/>
  <c r="R38" i="7"/>
  <c r="R25" i="4" s="1"/>
  <c r="R64" i="4" s="1"/>
  <c r="R62" i="4" s="1"/>
  <c r="Q38" i="7"/>
  <c r="Q25" i="4" s="1"/>
  <c r="Q24" i="4" s="1"/>
  <c r="Q22" i="4" s="1"/>
  <c r="O10" i="15"/>
  <c r="Q64" i="4"/>
  <c r="Q62" i="4" s="1"/>
  <c r="R24" i="4"/>
  <c r="R22" i="4" s="1"/>
  <c r="S24" i="4"/>
  <c r="S22" i="4" s="1"/>
  <c r="S64" i="4"/>
  <c r="P24" i="4"/>
  <c r="P22" i="4" s="1"/>
  <c r="P64" i="4"/>
  <c r="P62" i="4" s="1"/>
  <c r="T24" i="4"/>
  <c r="T22" i="4" s="1"/>
  <c r="T64" i="4"/>
  <c r="S63" i="4"/>
  <c r="M9" i="4"/>
  <c r="O35" i="4"/>
  <c r="O104" i="19" s="1"/>
  <c r="N35" i="4"/>
  <c r="N104" i="19" s="1"/>
  <c r="N66" i="4"/>
  <c r="O66" i="4" s="1"/>
  <c r="N19" i="4"/>
  <c r="O19" i="4"/>
  <c r="M124" i="1"/>
  <c r="M78" i="19"/>
  <c r="S100" i="1"/>
  <c r="T99" i="1"/>
  <c r="S135" i="1"/>
  <c r="T134" i="1"/>
  <c r="Q163" i="1"/>
  <c r="Q164" i="1" s="1"/>
  <c r="O88" i="9"/>
  <c r="O87" i="9" s="1"/>
  <c r="N87" i="9"/>
  <c r="G96" i="9"/>
  <c r="M65" i="9"/>
  <c r="I65" i="9" s="1"/>
  <c r="T65" i="9" s="1"/>
  <c r="M111" i="9"/>
  <c r="M112" i="9" s="1"/>
  <c r="I112" i="9" s="1"/>
  <c r="N112" i="9" s="1"/>
  <c r="N111" i="9" s="1"/>
  <c r="T63" i="9"/>
  <c r="M47" i="9"/>
  <c r="M41" i="9"/>
  <c r="M80" i="19" s="1"/>
  <c r="M69" i="9"/>
  <c r="M43" i="9"/>
  <c r="M82" i="19" s="1"/>
  <c r="M60" i="9"/>
  <c r="M42" i="9"/>
  <c r="M81" i="19" s="1"/>
  <c r="R10" i="4"/>
  <c r="R117" i="19" s="1"/>
  <c r="L154" i="5"/>
  <c r="M154" i="5"/>
  <c r="Q63" i="9"/>
  <c r="R63" i="9"/>
  <c r="S63" i="9"/>
  <c r="N55" i="9"/>
  <c r="S56" i="9"/>
  <c r="P56" i="9"/>
  <c r="Q56" i="9"/>
  <c r="R56" i="9"/>
  <c r="O50" i="9"/>
  <c r="O48" i="9"/>
  <c r="N26" i="9"/>
  <c r="O46" i="7"/>
  <c r="P46" i="7" s="1"/>
  <c r="Q46" i="7" s="1"/>
  <c r="R46" i="7" s="1"/>
  <c r="S46" i="7" s="1"/>
  <c r="L10" i="5"/>
  <c r="L69" i="19" s="1"/>
  <c r="N31" i="5"/>
  <c r="N77" i="5" s="1"/>
  <c r="N24" i="5"/>
  <c r="N71" i="5" s="1"/>
  <c r="M105" i="5"/>
  <c r="O105" i="5" s="1"/>
  <c r="M104" i="5"/>
  <c r="M95" i="5"/>
  <c r="M94" i="5"/>
  <c r="M93" i="5"/>
  <c r="L97" i="5"/>
  <c r="L95" i="5"/>
  <c r="L94" i="5"/>
  <c r="L93" i="5"/>
  <c r="M69" i="5"/>
  <c r="L69" i="5"/>
  <c r="I57" i="5"/>
  <c r="G16" i="10"/>
  <c r="F16" i="10"/>
  <c r="E16" i="10"/>
  <c r="D16" i="10"/>
  <c r="C16" i="10"/>
  <c r="B16" i="10"/>
  <c r="S65" i="9" l="1"/>
  <c r="T63" i="4"/>
  <c r="T62" i="4" s="1"/>
  <c r="S62" i="4"/>
  <c r="O6" i="4"/>
  <c r="O76" i="4"/>
  <c r="N6" i="4"/>
  <c r="N76" i="4"/>
  <c r="N41" i="4"/>
  <c r="O41" i="4"/>
  <c r="R65" i="9"/>
  <c r="R112" i="9"/>
  <c r="R111" i="9" s="1"/>
  <c r="T112" i="9"/>
  <c r="T111" i="9" s="1"/>
  <c r="N65" i="9"/>
  <c r="Q112" i="9"/>
  <c r="Q111" i="9" s="1"/>
  <c r="S112" i="9"/>
  <c r="S111" i="9" s="1"/>
  <c r="T135" i="1"/>
  <c r="U134" i="1"/>
  <c r="U135" i="1" s="1"/>
  <c r="T100" i="1"/>
  <c r="U99" i="1"/>
  <c r="U100" i="1" s="1"/>
  <c r="R163" i="1"/>
  <c r="R164" i="1" s="1"/>
  <c r="S10" i="4"/>
  <c r="T10" i="4"/>
  <c r="T117" i="19" s="1"/>
  <c r="Q65" i="9"/>
  <c r="U112" i="9"/>
  <c r="U111" i="9" s="1"/>
  <c r="O112" i="9"/>
  <c r="O111" i="9" s="1"/>
  <c r="N80" i="9"/>
  <c r="N96" i="9"/>
  <c r="N95" i="9" s="1"/>
  <c r="N92" i="9" s="1"/>
  <c r="N91" i="9" s="1"/>
  <c r="N84" i="9" s="1"/>
  <c r="P112" i="9"/>
  <c r="P111" i="9" s="1"/>
  <c r="P65" i="9"/>
  <c r="M39" i="9"/>
  <c r="O57" i="5"/>
  <c r="T57" i="5"/>
  <c r="M106" i="5"/>
  <c r="M103" i="5" s="1"/>
  <c r="M118" i="5"/>
  <c r="L90" i="5"/>
  <c r="M90" i="5"/>
  <c r="M52" i="5"/>
  <c r="O52" i="9"/>
  <c r="O53" i="9"/>
  <c r="N53" i="9" s="1"/>
  <c r="N54" i="9" s="1"/>
  <c r="M70" i="5"/>
  <c r="M76" i="5" s="1"/>
  <c r="M153" i="5"/>
  <c r="O83" i="9"/>
  <c r="O10" i="9" s="1"/>
  <c r="O93" i="19" s="1"/>
  <c r="N93" i="5"/>
  <c r="L52" i="5"/>
  <c r="O49" i="9"/>
  <c r="P26" i="9"/>
  <c r="O104" i="5"/>
  <c r="N102" i="19" l="1"/>
  <c r="N157" i="1"/>
  <c r="O102" i="19"/>
  <c r="O157" i="1"/>
  <c r="S163" i="1"/>
  <c r="S164" i="1" s="1"/>
  <c r="S117" i="19"/>
  <c r="T163" i="1"/>
  <c r="P96" i="9"/>
  <c r="G97" i="9" s="1"/>
  <c r="N83" i="9"/>
  <c r="N10" i="9" s="1"/>
  <c r="N71" i="9"/>
  <c r="N68" i="9" s="1"/>
  <c r="N79" i="9"/>
  <c r="N131" i="1" s="1"/>
  <c r="O80" i="9"/>
  <c r="O79" i="9" s="1"/>
  <c r="M40" i="9"/>
  <c r="M115" i="9"/>
  <c r="M116" i="9" s="1"/>
  <c r="M37" i="9"/>
  <c r="M7" i="9"/>
  <c r="M79" i="19" s="1"/>
  <c r="M83" i="19" s="1"/>
  <c r="M112" i="5"/>
  <c r="M109" i="5" s="1"/>
  <c r="M10" i="5" s="1"/>
  <c r="M69" i="19" s="1"/>
  <c r="N118" i="5"/>
  <c r="M115" i="5"/>
  <c r="O93" i="5"/>
  <c r="Q26" i="9"/>
  <c r="O140" i="19" l="1"/>
  <c r="N140" i="19"/>
  <c r="Q96" i="9"/>
  <c r="N93" i="19"/>
  <c r="N130" i="1"/>
  <c r="T164" i="1"/>
  <c r="M94" i="19"/>
  <c r="M89" i="19"/>
  <c r="M91" i="19" s="1"/>
  <c r="M92" i="19" s="1"/>
  <c r="M84" i="19"/>
  <c r="P97" i="9"/>
  <c r="P95" i="9" s="1"/>
  <c r="P92" i="9" s="1"/>
  <c r="P91" i="9" s="1"/>
  <c r="P84" i="9" s="1"/>
  <c r="R96" i="9"/>
  <c r="N43" i="9"/>
  <c r="N82" i="19" s="1"/>
  <c r="O71" i="9"/>
  <c r="M125" i="1"/>
  <c r="M126" i="1" s="1"/>
  <c r="M127" i="1" s="1"/>
  <c r="M8" i="9"/>
  <c r="G142" i="5"/>
  <c r="N115" i="5"/>
  <c r="S26" i="9"/>
  <c r="R26" i="9"/>
  <c r="M95" i="19" l="1"/>
  <c r="M97" i="19" s="1"/>
  <c r="M96" i="19"/>
  <c r="O68" i="9"/>
  <c r="O43" i="9" s="1"/>
  <c r="O82" i="19" s="1"/>
  <c r="Q97" i="9"/>
  <c r="S96" i="9"/>
  <c r="P83" i="9"/>
  <c r="P10" i="9" s="1"/>
  <c r="P71" i="9"/>
  <c r="M11" i="9"/>
  <c r="M12" i="9" s="1"/>
  <c r="M9" i="9"/>
  <c r="N142" i="5"/>
  <c r="N141" i="5" s="1"/>
  <c r="N124" i="5" s="1"/>
  <c r="R142" i="5"/>
  <c r="Q142" i="5"/>
  <c r="P142" i="5"/>
  <c r="S142" i="5"/>
  <c r="N106" i="5"/>
  <c r="P93" i="19" l="1"/>
  <c r="P130" i="1"/>
  <c r="T142" i="5"/>
  <c r="R97" i="9"/>
  <c r="S97" i="9" s="1"/>
  <c r="T97" i="9" s="1"/>
  <c r="G98" i="9"/>
  <c r="T96" i="9"/>
  <c r="N103" i="5"/>
  <c r="N96" i="1" s="1"/>
  <c r="O106" i="5"/>
  <c r="O103" i="5" s="1"/>
  <c r="G143" i="5"/>
  <c r="N121" i="5"/>
  <c r="N112" i="5"/>
  <c r="O112" i="5" s="1"/>
  <c r="O109" i="5" s="1"/>
  <c r="O10" i="5" s="1"/>
  <c r="O69" i="19" s="1"/>
  <c r="Q98" i="9" l="1"/>
  <c r="Q95" i="9" s="1"/>
  <c r="Q92" i="9" s="1"/>
  <c r="Q91" i="9" s="1"/>
  <c r="Q84" i="9" s="1"/>
  <c r="R98" i="9"/>
  <c r="G99" i="9" s="1"/>
  <c r="N96" i="5"/>
  <c r="O96" i="5" s="1"/>
  <c r="N109" i="5"/>
  <c r="N10" i="5" s="1"/>
  <c r="T143" i="5"/>
  <c r="S143" i="5"/>
  <c r="R143" i="5"/>
  <c r="Q143" i="5"/>
  <c r="P143" i="5"/>
  <c r="P141" i="5" s="1"/>
  <c r="P124" i="5" s="1"/>
  <c r="P112" i="5" s="1"/>
  <c r="P96" i="5" s="1"/>
  <c r="M58" i="5"/>
  <c r="M56" i="5"/>
  <c r="M54" i="5"/>
  <c r="M51" i="5"/>
  <c r="M53" i="5" s="1"/>
  <c r="L58" i="5"/>
  <c r="L56" i="5"/>
  <c r="L54" i="5"/>
  <c r="L51" i="5"/>
  <c r="L53" i="5" s="1"/>
  <c r="N97" i="5"/>
  <c r="O97" i="5" s="1"/>
  <c r="N95" i="5"/>
  <c r="O95" i="5" s="1"/>
  <c r="N94" i="5"/>
  <c r="M46" i="5"/>
  <c r="M58" i="19" s="1"/>
  <c r="L46" i="5"/>
  <c r="L58" i="19" s="1"/>
  <c r="L62" i="5"/>
  <c r="L45" i="5" s="1"/>
  <c r="L57" i="19" s="1"/>
  <c r="M62" i="5"/>
  <c r="M45" i="5" s="1"/>
  <c r="M57" i="19" s="1"/>
  <c r="S98" i="9" l="1"/>
  <c r="T98" i="9" s="1"/>
  <c r="N95" i="1"/>
  <c r="N69" i="19"/>
  <c r="R99" i="9"/>
  <c r="R95" i="9" s="1"/>
  <c r="R92" i="9" s="1"/>
  <c r="R91" i="9" s="1"/>
  <c r="R84" i="9" s="1"/>
  <c r="S99" i="9"/>
  <c r="G100" i="9" s="1"/>
  <c r="T99" i="9"/>
  <c r="Q83" i="9"/>
  <c r="Q10" i="9" s="1"/>
  <c r="Q71" i="9"/>
  <c r="G144" i="5"/>
  <c r="O94" i="5"/>
  <c r="O90" i="5" s="1"/>
  <c r="N90" i="5"/>
  <c r="N46" i="5" s="1"/>
  <c r="N58" i="19" s="1"/>
  <c r="L160" i="5"/>
  <c r="L161" i="5" s="1"/>
  <c r="M160" i="5"/>
  <c r="M161" i="5" s="1"/>
  <c r="I161" i="5" s="1"/>
  <c r="T161" i="5" s="1"/>
  <c r="T160" i="5" s="1"/>
  <c r="L55" i="5"/>
  <c r="L57" i="5"/>
  <c r="M59" i="5"/>
  <c r="L59" i="5"/>
  <c r="M55" i="5"/>
  <c r="M57" i="5"/>
  <c r="M49" i="5"/>
  <c r="M44" i="5" s="1"/>
  <c r="N53" i="5"/>
  <c r="N51" i="5" s="1"/>
  <c r="O53" i="5"/>
  <c r="L49" i="5"/>
  <c r="O54" i="5"/>
  <c r="Q130" i="1" l="1"/>
  <c r="Q93" i="19"/>
  <c r="M42" i="5"/>
  <c r="M164" i="5" s="1"/>
  <c r="M165" i="5" s="1"/>
  <c r="I165" i="5" s="1"/>
  <c r="T165" i="5" s="1"/>
  <c r="T164" i="5" s="1"/>
  <c r="M56" i="19"/>
  <c r="S100" i="9"/>
  <c r="T100" i="9" s="1"/>
  <c r="G101" i="9" s="1"/>
  <c r="R71" i="9"/>
  <c r="R83" i="9"/>
  <c r="R10" i="9" s="1"/>
  <c r="S95" i="9"/>
  <c r="S92" i="9" s="1"/>
  <c r="S91" i="9" s="1"/>
  <c r="S84" i="9" s="1"/>
  <c r="R144" i="5"/>
  <c r="S144" i="5"/>
  <c r="T144" i="5"/>
  <c r="Q144" i="5"/>
  <c r="Q141" i="5" s="1"/>
  <c r="Q124" i="5" s="1"/>
  <c r="Q112" i="5" s="1"/>
  <c r="Q96" i="5" s="1"/>
  <c r="S165" i="5"/>
  <c r="S164" i="5" s="1"/>
  <c r="O161" i="5"/>
  <c r="O160" i="5" s="1"/>
  <c r="N161" i="5"/>
  <c r="N160" i="5" s="1"/>
  <c r="S161" i="5"/>
  <c r="S160" i="5" s="1"/>
  <c r="R161" i="5"/>
  <c r="R160" i="5" s="1"/>
  <c r="Q161" i="5"/>
  <c r="Q160" i="5" s="1"/>
  <c r="U161" i="5"/>
  <c r="U160" i="5" s="1"/>
  <c r="P161" i="5"/>
  <c r="P160" i="5" s="1"/>
  <c r="M40" i="5"/>
  <c r="M7" i="5"/>
  <c r="L44" i="5"/>
  <c r="O46" i="5"/>
  <c r="O58" i="19" s="1"/>
  <c r="O51" i="5"/>
  <c r="P165" i="5" l="1"/>
  <c r="P164" i="5" s="1"/>
  <c r="Q165" i="5"/>
  <c r="Q164" i="5" s="1"/>
  <c r="R93" i="19"/>
  <c r="R130" i="1"/>
  <c r="U165" i="5"/>
  <c r="U164" i="5" s="1"/>
  <c r="R165" i="5"/>
  <c r="R164" i="5" s="1"/>
  <c r="N165" i="5"/>
  <c r="N164" i="5" s="1"/>
  <c r="O165" i="5"/>
  <c r="O164" i="5" s="1"/>
  <c r="L42" i="5"/>
  <c r="L164" i="5" s="1"/>
  <c r="L165" i="5" s="1"/>
  <c r="L56" i="19"/>
  <c r="M90" i="1"/>
  <c r="M55" i="19"/>
  <c r="T101" i="9"/>
  <c r="T95" i="9" s="1"/>
  <c r="T92" i="9" s="1"/>
  <c r="T91" i="9" s="1"/>
  <c r="T84" i="9" s="1"/>
  <c r="P80" i="9" a="1"/>
  <c r="S71" i="9"/>
  <c r="S83" i="9"/>
  <c r="S10" i="9" s="1"/>
  <c r="G145" i="5"/>
  <c r="O52" i="5"/>
  <c r="O56" i="5"/>
  <c r="N56" i="5" s="1"/>
  <c r="O55" i="5"/>
  <c r="S93" i="19" l="1"/>
  <c r="S130" i="1"/>
  <c r="L40" i="5"/>
  <c r="L7" i="5"/>
  <c r="N57" i="5"/>
  <c r="L90" i="1"/>
  <c r="L55" i="19"/>
  <c r="P80" i="9"/>
  <c r="P79" i="9" s="1"/>
  <c r="P131" i="1" s="1"/>
  <c r="T79" i="9"/>
  <c r="T131" i="1" s="1"/>
  <c r="R79" i="9"/>
  <c r="R131" i="1" s="1"/>
  <c r="Q79" i="9"/>
  <c r="Q131" i="1" s="1"/>
  <c r="S79" i="9"/>
  <c r="S131" i="1" s="1"/>
  <c r="T83" i="9"/>
  <c r="T10" i="9" s="1"/>
  <c r="T71" i="9"/>
  <c r="R145" i="5"/>
  <c r="R141" i="5" s="1"/>
  <c r="R124" i="5" s="1"/>
  <c r="R112" i="5" s="1"/>
  <c r="R96" i="5" s="1"/>
  <c r="T145" i="5"/>
  <c r="S145" i="5"/>
  <c r="M31" i="5"/>
  <c r="M77" i="5" s="1"/>
  <c r="M78" i="5" s="1"/>
  <c r="M24" i="5"/>
  <c r="M71" i="5" s="1"/>
  <c r="M30" i="5"/>
  <c r="M23" i="5"/>
  <c r="V20" i="5"/>
  <c r="V19" i="5"/>
  <c r="M21" i="5"/>
  <c r="M87" i="5" s="1"/>
  <c r="L23" i="2"/>
  <c r="L31" i="2"/>
  <c r="L22" i="2"/>
  <c r="L30" i="2"/>
  <c r="V16" i="2"/>
  <c r="V15" i="2"/>
  <c r="L20" i="2"/>
  <c r="L83" i="2" s="1"/>
  <c r="AL2" i="14"/>
  <c r="AK2" i="14"/>
  <c r="AJ2" i="14"/>
  <c r="AI2" i="14"/>
  <c r="AH2" i="14"/>
  <c r="AG2" i="14"/>
  <c r="AF2" i="14"/>
  <c r="AE2" i="14"/>
  <c r="AD2" i="14"/>
  <c r="AC2" i="14"/>
  <c r="AB2" i="14"/>
  <c r="AA2" i="14"/>
  <c r="Z2" i="14"/>
  <c r="Y2" i="14"/>
  <c r="X2" i="14"/>
  <c r="W2" i="14"/>
  <c r="T2" i="14"/>
  <c r="T1" i="14" s="1"/>
  <c r="J77" i="1"/>
  <c r="J76" i="1" s="1"/>
  <c r="J69" i="1"/>
  <c r="J28" i="1" s="1"/>
  <c r="P55" i="1"/>
  <c r="Q54" i="1"/>
  <c r="N54" i="1"/>
  <c r="N66" i="5" l="1"/>
  <c r="N87" i="5"/>
  <c r="O87" i="5" s="1"/>
  <c r="M20" i="5"/>
  <c r="M43" i="5" s="1"/>
  <c r="T130" i="1"/>
  <c r="T93" i="19"/>
  <c r="M157" i="5"/>
  <c r="M158" i="5" s="1"/>
  <c r="I158" i="5" s="1"/>
  <c r="N158" i="5" s="1"/>
  <c r="N157" i="5" s="1"/>
  <c r="M68" i="5"/>
  <c r="M66" i="5"/>
  <c r="M72" i="5"/>
  <c r="O71" i="5"/>
  <c r="N55" i="1"/>
  <c r="N16" i="1"/>
  <c r="N17" i="1" s="1"/>
  <c r="Q55" i="1"/>
  <c r="Q16" i="1"/>
  <c r="Q17" i="1" s="1"/>
  <c r="G146" i="5"/>
  <c r="M32" i="7"/>
  <c r="O32" i="7" s="1"/>
  <c r="M80" i="5"/>
  <c r="M28" i="7"/>
  <c r="O28" i="7" s="1"/>
  <c r="M74" i="5"/>
  <c r="U158" i="5"/>
  <c r="U157" i="5" s="1"/>
  <c r="R158" i="5"/>
  <c r="R157" i="5" s="1"/>
  <c r="S158" i="5"/>
  <c r="S157" i="5" s="1"/>
  <c r="L73" i="2"/>
  <c r="L33" i="2"/>
  <c r="L70" i="2"/>
  <c r="L66" i="2"/>
  <c r="L68" i="2"/>
  <c r="M6" i="5"/>
  <c r="M54" i="19" s="1"/>
  <c r="M91" i="5"/>
  <c r="M63" i="5"/>
  <c r="M50" i="5"/>
  <c r="M28" i="5"/>
  <c r="N28" i="5" s="1"/>
  <c r="L157" i="5"/>
  <c r="L158" i="5" s="1"/>
  <c r="L32" i="2"/>
  <c r="M32" i="5"/>
  <c r="M34" i="5" s="1"/>
  <c r="M34" i="7" s="1"/>
  <c r="I34" i="7" s="1"/>
  <c r="M35" i="5"/>
  <c r="N35" i="5" s="1"/>
  <c r="O35" i="5" s="1"/>
  <c r="M25" i="5"/>
  <c r="M27" i="5" s="1"/>
  <c r="M30" i="7" s="1"/>
  <c r="I30" i="7" s="1"/>
  <c r="J30" i="7" s="1"/>
  <c r="T30" i="7" s="1"/>
  <c r="T27" i="5" s="1"/>
  <c r="L17" i="2"/>
  <c r="R54" i="1"/>
  <c r="R16" i="1" s="1"/>
  <c r="R17" i="1" s="1"/>
  <c r="I32" i="7" l="1"/>
  <c r="T32" i="7" s="1"/>
  <c r="P32" i="7" s="1"/>
  <c r="Q32" i="7" s="1"/>
  <c r="R32" i="7" s="1"/>
  <c r="S32" i="7" s="1"/>
  <c r="E28" i="31" a="1"/>
  <c r="E28" i="31" s="1"/>
  <c r="P28" i="7"/>
  <c r="Q28" i="7" s="1"/>
  <c r="R28" i="7" s="1"/>
  <c r="S28" i="7" s="1"/>
  <c r="E37" i="31" a="1"/>
  <c r="M83" i="5"/>
  <c r="I83" i="5" s="1"/>
  <c r="P158" i="5"/>
  <c r="P157" i="5" s="1"/>
  <c r="O158" i="5"/>
  <c r="O157" i="5" s="1"/>
  <c r="Q158" i="5"/>
  <c r="Q157" i="5" s="1"/>
  <c r="T158" i="5"/>
  <c r="T157" i="5" s="1"/>
  <c r="I120" i="4"/>
  <c r="S68" i="5"/>
  <c r="R68" i="5"/>
  <c r="Q68" i="5"/>
  <c r="P68" i="5"/>
  <c r="T68" i="5"/>
  <c r="T83" i="5"/>
  <c r="Q83" i="5"/>
  <c r="N83" i="5"/>
  <c r="P83" i="5"/>
  <c r="R83" i="5"/>
  <c r="S83" i="5"/>
  <c r="M59" i="19"/>
  <c r="T146" i="5"/>
  <c r="G147" i="5" s="1"/>
  <c r="T147" i="5" s="1"/>
  <c r="T141" i="5" s="1"/>
  <c r="T124" i="5" s="1"/>
  <c r="T112" i="5" s="1"/>
  <c r="T96" i="5" s="1"/>
  <c r="S146" i="5"/>
  <c r="S141" i="5" s="1"/>
  <c r="S124" i="5" s="1"/>
  <c r="S112" i="5" s="1"/>
  <c r="S96" i="5" s="1"/>
  <c r="M79" i="5"/>
  <c r="N79" i="5" s="1"/>
  <c r="M73" i="5"/>
  <c r="N73" i="5" s="1"/>
  <c r="O31" i="5"/>
  <c r="O77" i="5" s="1"/>
  <c r="O34" i="7"/>
  <c r="O34" i="5" s="1"/>
  <c r="T34" i="7"/>
  <c r="T34" i="5" s="1"/>
  <c r="S34" i="7"/>
  <c r="S34" i="5" s="1"/>
  <c r="R34" i="7"/>
  <c r="R34" i="5" s="1"/>
  <c r="Q34" i="7"/>
  <c r="Q34" i="5" s="1"/>
  <c r="P34" i="7"/>
  <c r="P34" i="5" s="1"/>
  <c r="N34" i="7"/>
  <c r="N34" i="5" s="1"/>
  <c r="N30" i="7"/>
  <c r="N27" i="5" s="1"/>
  <c r="O30" i="7"/>
  <c r="O27" i="5" s="1"/>
  <c r="O24" i="5"/>
  <c r="M8" i="5"/>
  <c r="M89" i="1"/>
  <c r="L6" i="5"/>
  <c r="L54" i="19" s="1"/>
  <c r="L43" i="5"/>
  <c r="O28" i="5"/>
  <c r="L83" i="5"/>
  <c r="L63" i="5"/>
  <c r="L91" i="5"/>
  <c r="L50" i="5"/>
  <c r="S54" i="1"/>
  <c r="R55" i="1"/>
  <c r="E37" i="31" l="1"/>
  <c r="M11" i="5"/>
  <c r="M12" i="5"/>
  <c r="M13" i="5"/>
  <c r="T120" i="4"/>
  <c r="T119" i="4" s="1"/>
  <c r="S120" i="4"/>
  <c r="S119" i="4" s="1"/>
  <c r="R120" i="4"/>
  <c r="R119" i="4" s="1"/>
  <c r="Q120" i="4"/>
  <c r="Q119" i="4" s="1"/>
  <c r="O120" i="4"/>
  <c r="O119" i="4" s="1"/>
  <c r="O118" i="4" s="1"/>
  <c r="N120" i="4"/>
  <c r="N119" i="4" s="1"/>
  <c r="P120" i="4"/>
  <c r="P119" i="4" s="1"/>
  <c r="U120" i="4"/>
  <c r="U119" i="4" s="1"/>
  <c r="P106" i="5" a="1"/>
  <c r="P106" i="5" s="1"/>
  <c r="L59" i="19"/>
  <c r="M65" i="19"/>
  <c r="M67" i="19" s="1"/>
  <c r="M68" i="19" s="1"/>
  <c r="M70" i="19"/>
  <c r="M71" i="19" s="1"/>
  <c r="M60" i="19"/>
  <c r="S16" i="1"/>
  <c r="S17" i="1" s="1"/>
  <c r="T54" i="1"/>
  <c r="O73" i="5"/>
  <c r="O79" i="5"/>
  <c r="T31" i="5"/>
  <c r="T77" i="5" s="1"/>
  <c r="S31" i="5"/>
  <c r="S77" i="5" s="1"/>
  <c r="T24" i="5"/>
  <c r="S24" i="5"/>
  <c r="S71" i="5" s="1"/>
  <c r="P24" i="5"/>
  <c r="P71" i="5" s="1"/>
  <c r="P30" i="7"/>
  <c r="P31" i="5"/>
  <c r="P77" i="5" s="1"/>
  <c r="M9" i="5"/>
  <c r="L8" i="5"/>
  <c r="L9" i="5" s="1"/>
  <c r="L89" i="1"/>
  <c r="L91" i="1" s="1"/>
  <c r="L92" i="1" s="1"/>
  <c r="M91" i="1"/>
  <c r="M92" i="1" s="1"/>
  <c r="R31" i="5"/>
  <c r="R77" i="5" s="1"/>
  <c r="Q31" i="5"/>
  <c r="Q77" i="5" s="1"/>
  <c r="R24" i="5"/>
  <c r="R71" i="5" s="1"/>
  <c r="Q24" i="5"/>
  <c r="Q71" i="5" s="1"/>
  <c r="S55" i="1"/>
  <c r="M72" i="19" l="1"/>
  <c r="M73" i="19" s="1"/>
  <c r="M14" i="5"/>
  <c r="N118" i="4"/>
  <c r="L65" i="19"/>
  <c r="L67" i="19" s="1"/>
  <c r="L68" i="19" s="1"/>
  <c r="L60" i="19"/>
  <c r="L70" i="19"/>
  <c r="L71" i="19" s="1"/>
  <c r="T55" i="1"/>
  <c r="T16" i="1"/>
  <c r="T17" i="1" s="1"/>
  <c r="U54" i="1"/>
  <c r="U55" i="1" s="1"/>
  <c r="T71" i="5"/>
  <c r="Q30" i="7"/>
  <c r="P27" i="5"/>
  <c r="L11" i="5"/>
  <c r="L46" i="2"/>
  <c r="M155" i="2"/>
  <c r="L156" i="2"/>
  <c r="L155" i="2" s="1"/>
  <c r="M152" i="2"/>
  <c r="L152" i="2"/>
  <c r="M149" i="2"/>
  <c r="L149" i="2"/>
  <c r="O104" i="2"/>
  <c r="M106" i="2"/>
  <c r="O106" i="2" s="1"/>
  <c r="M105" i="2"/>
  <c r="M97" i="2"/>
  <c r="N97" i="2" s="1"/>
  <c r="O97" i="2" s="1"/>
  <c r="L97" i="2"/>
  <c r="M94" i="2"/>
  <c r="N94" i="2" s="1"/>
  <c r="O94" i="2" s="1"/>
  <c r="L94" i="2"/>
  <c r="M96" i="2"/>
  <c r="N96" i="2" s="1"/>
  <c r="O96" i="2" s="1"/>
  <c r="M95" i="2"/>
  <c r="N95" i="2" s="1"/>
  <c r="O95" i="2" s="1"/>
  <c r="M93" i="2"/>
  <c r="N93" i="2" s="1"/>
  <c r="O93" i="2" s="1"/>
  <c r="M92" i="2"/>
  <c r="N92" i="2" s="1"/>
  <c r="O92" i="2" s="1"/>
  <c r="M91" i="2"/>
  <c r="M90" i="2"/>
  <c r="N90" i="2" s="1"/>
  <c r="O90" i="2" s="1"/>
  <c r="M89" i="2"/>
  <c r="L96" i="2"/>
  <c r="L95" i="2"/>
  <c r="L93" i="2"/>
  <c r="L92" i="2"/>
  <c r="L91" i="2"/>
  <c r="L90" i="2"/>
  <c r="L89" i="2"/>
  <c r="O34" i="2"/>
  <c r="M35" i="2"/>
  <c r="O35" i="2" s="1"/>
  <c r="L34" i="2"/>
  <c r="L12" i="5" l="1"/>
  <c r="L13" i="5"/>
  <c r="R30" i="7"/>
  <c r="Q27" i="5"/>
  <c r="N89" i="2"/>
  <c r="O89" i="2" s="1"/>
  <c r="M86" i="2"/>
  <c r="M45" i="2" s="1"/>
  <c r="L86" i="2"/>
  <c r="M148" i="2"/>
  <c r="M147" i="2" s="1"/>
  <c r="L148" i="2"/>
  <c r="L147" i="2" s="1"/>
  <c r="M103" i="2"/>
  <c r="L109" i="2"/>
  <c r="L10" i="2" s="1"/>
  <c r="L45" i="19" s="1"/>
  <c r="L21" i="19" s="1"/>
  <c r="N109" i="2"/>
  <c r="M109" i="2"/>
  <c r="M10" i="2" s="1"/>
  <c r="M45" i="19" s="1"/>
  <c r="M21" i="19" s="1"/>
  <c r="M12" i="23" s="1"/>
  <c r="N103" i="2"/>
  <c r="N51" i="1" s="1"/>
  <c r="N13" i="1" s="1"/>
  <c r="L19" i="2"/>
  <c r="L72" i="19" l="1"/>
  <c r="L73" i="19" s="1"/>
  <c r="L14" i="5"/>
  <c r="N17" i="23"/>
  <c r="O17" i="23" s="1"/>
  <c r="O16" i="23" s="1"/>
  <c r="S30" i="7"/>
  <c r="S27" i="5" s="1"/>
  <c r="R27" i="5"/>
  <c r="L87" i="2"/>
  <c r="M146" i="2"/>
  <c r="O105" i="2"/>
  <c r="O103" i="2" s="1"/>
  <c r="L150" i="2"/>
  <c r="L151" i="2" s="1"/>
  <c r="L6" i="2"/>
  <c r="L30" i="19" s="1"/>
  <c r="L45" i="2"/>
  <c r="N10" i="2"/>
  <c r="N91" i="2"/>
  <c r="N86" i="2" s="1"/>
  <c r="N45" i="2" s="1"/>
  <c r="O109" i="2"/>
  <c r="O10" i="2" s="1"/>
  <c r="O45" i="19" s="1"/>
  <c r="M21" i="2"/>
  <c r="M20" i="2" s="1"/>
  <c r="M60" i="2" l="1"/>
  <c r="M83" i="2"/>
  <c r="L6" i="19"/>
  <c r="M66" i="2"/>
  <c r="N50" i="1"/>
  <c r="N45" i="19"/>
  <c r="N21" i="19" s="1"/>
  <c r="N16" i="23"/>
  <c r="O21" i="19"/>
  <c r="M70" i="2"/>
  <c r="I70" i="2" s="1"/>
  <c r="T70" i="2" s="1"/>
  <c r="M19" i="2"/>
  <c r="M87" i="2" s="1"/>
  <c r="M68" i="2"/>
  <c r="L44" i="1"/>
  <c r="O91" i="2"/>
  <c r="P109" i="2"/>
  <c r="P103" i="2"/>
  <c r="P51" i="1" s="1"/>
  <c r="N66" i="2" l="1"/>
  <c r="N83" i="2"/>
  <c r="O83" i="2" s="1"/>
  <c r="O68" i="2"/>
  <c r="L6" i="1"/>
  <c r="N12" i="23"/>
  <c r="O12" i="23" s="1"/>
  <c r="N12" i="1"/>
  <c r="N14" i="22"/>
  <c r="M150" i="2"/>
  <c r="M151" i="2" s="1"/>
  <c r="I151" i="2" s="1"/>
  <c r="M6" i="2"/>
  <c r="O86" i="2"/>
  <c r="O45" i="2" s="1"/>
  <c r="S70" i="2"/>
  <c r="R70" i="2"/>
  <c r="Q70" i="2"/>
  <c r="N70" i="2"/>
  <c r="P70" i="2"/>
  <c r="Q68" i="2"/>
  <c r="P68" i="2"/>
  <c r="N68" i="2"/>
  <c r="S68" i="2"/>
  <c r="P10" i="2"/>
  <c r="P91" i="2"/>
  <c r="Q109" i="2"/>
  <c r="Q103" i="2"/>
  <c r="Q51" i="1" s="1"/>
  <c r="R68" i="2" l="1"/>
  <c r="T68" i="2"/>
  <c r="P50" i="1"/>
  <c r="P45" i="19"/>
  <c r="O14" i="22"/>
  <c r="N12" i="22"/>
  <c r="M44" i="1"/>
  <c r="M30" i="19"/>
  <c r="Q151" i="2"/>
  <c r="Q150" i="2" s="1"/>
  <c r="T151" i="2"/>
  <c r="T150" i="2" s="1"/>
  <c r="U151" i="2"/>
  <c r="U150" i="2" s="1"/>
  <c r="S151" i="2"/>
  <c r="S150" i="2" s="1"/>
  <c r="O151" i="2"/>
  <c r="O150" i="2" s="1"/>
  <c r="R151" i="2"/>
  <c r="R150" i="2" s="1"/>
  <c r="P151" i="2"/>
  <c r="P150" i="2" s="1"/>
  <c r="N151" i="2"/>
  <c r="N150" i="2" s="1"/>
  <c r="Q91" i="2"/>
  <c r="Q10" i="2"/>
  <c r="S109" i="2"/>
  <c r="R109" i="2"/>
  <c r="S103" i="2"/>
  <c r="S51" i="1" s="1"/>
  <c r="R103" i="2"/>
  <c r="R51" i="1" s="1"/>
  <c r="O12" i="22" l="1"/>
  <c r="M6" i="19"/>
  <c r="Q50" i="1"/>
  <c r="Q45" i="19"/>
  <c r="R10" i="2"/>
  <c r="R91" i="2"/>
  <c r="S10" i="2"/>
  <c r="S91" i="2"/>
  <c r="M6" i="1" l="1"/>
  <c r="S50" i="1"/>
  <c r="S45" i="19"/>
  <c r="R50" i="1"/>
  <c r="R45" i="19"/>
  <c r="M78" i="2"/>
  <c r="M79" i="2" s="1"/>
  <c r="I79" i="2" s="1"/>
  <c r="T79" i="2" s="1"/>
  <c r="M71" i="2"/>
  <c r="M80" i="2" s="1"/>
  <c r="S14" i="7"/>
  <c r="T14" i="7" s="1"/>
  <c r="R14" i="7"/>
  <c r="Q14" i="7"/>
  <c r="P14" i="7"/>
  <c r="S13" i="7"/>
  <c r="T13" i="7" s="1"/>
  <c r="R13" i="7"/>
  <c r="Q13" i="7"/>
  <c r="P13" i="7"/>
  <c r="S12" i="7"/>
  <c r="R12" i="7"/>
  <c r="Q12" i="7"/>
  <c r="P12" i="7"/>
  <c r="O14" i="7"/>
  <c r="O13" i="7"/>
  <c r="O12" i="7"/>
  <c r="P92" i="5" l="1"/>
  <c r="Q92" i="5" s="1"/>
  <c r="R92" i="5" s="1"/>
  <c r="S92" i="5" s="1"/>
  <c r="T92" i="5" s="1"/>
  <c r="P70" i="9"/>
  <c r="P44" i="4"/>
  <c r="P50" i="9"/>
  <c r="P53" i="5"/>
  <c r="P79" i="4"/>
  <c r="Q79" i="4" s="1"/>
  <c r="R79" i="4" s="1"/>
  <c r="S79" i="4" s="1"/>
  <c r="T79" i="4" s="1"/>
  <c r="P81" i="4"/>
  <c r="Q81" i="4" s="1"/>
  <c r="R81" i="4" s="1"/>
  <c r="S81" i="4" s="1"/>
  <c r="T81" i="4" s="1"/>
  <c r="P80" i="4"/>
  <c r="Q80" i="4" s="1"/>
  <c r="R80" i="4" s="1"/>
  <c r="S80" i="4" s="1"/>
  <c r="T80" i="4" s="1"/>
  <c r="P27" i="4"/>
  <c r="P60" i="4"/>
  <c r="P88" i="2"/>
  <c r="Q88" i="2" s="1"/>
  <c r="R88" i="2" s="1"/>
  <c r="S88" i="2" s="1"/>
  <c r="T88" i="2" s="1"/>
  <c r="P77" i="4"/>
  <c r="P73" i="9"/>
  <c r="Q73" i="9" s="1"/>
  <c r="R73" i="9" s="1"/>
  <c r="S73" i="9" s="1"/>
  <c r="T73" i="9" s="1"/>
  <c r="P72" i="9"/>
  <c r="P94" i="5"/>
  <c r="P95" i="5"/>
  <c r="Q95" i="5" s="1"/>
  <c r="R95" i="5" s="1"/>
  <c r="S95" i="5" s="1"/>
  <c r="T95" i="5" s="1"/>
  <c r="P97" i="5"/>
  <c r="Q97" i="5" s="1"/>
  <c r="R97" i="5" s="1"/>
  <c r="S97" i="5" s="1"/>
  <c r="T97" i="5" s="1"/>
  <c r="P35" i="5"/>
  <c r="P28" i="5"/>
  <c r="P73" i="5"/>
  <c r="P79" i="5"/>
  <c r="P92" i="2"/>
  <c r="Q92" i="2" s="1"/>
  <c r="R92" i="2" s="1"/>
  <c r="S92" i="2" s="1"/>
  <c r="T92" i="2" s="1"/>
  <c r="P95" i="2"/>
  <c r="Q95" i="2" s="1"/>
  <c r="R95" i="2" s="1"/>
  <c r="S95" i="2" s="1"/>
  <c r="T95" i="2" s="1"/>
  <c r="P96" i="2"/>
  <c r="Q96" i="2" s="1"/>
  <c r="R96" i="2" s="1"/>
  <c r="S96" i="2" s="1"/>
  <c r="T96" i="2" s="1"/>
  <c r="P94" i="2"/>
  <c r="Q94" i="2" s="1"/>
  <c r="R94" i="2" s="1"/>
  <c r="S94" i="2" s="1"/>
  <c r="T94" i="2" s="1"/>
  <c r="P90" i="2"/>
  <c r="Q90" i="2" s="1"/>
  <c r="R90" i="2" s="1"/>
  <c r="S90" i="2" s="1"/>
  <c r="T90" i="2" s="1"/>
  <c r="P93" i="2"/>
  <c r="Q93" i="2" s="1"/>
  <c r="R93" i="2" s="1"/>
  <c r="S93" i="2" s="1"/>
  <c r="T93" i="2" s="1"/>
  <c r="P97" i="2"/>
  <c r="Q97" i="2" s="1"/>
  <c r="R97" i="2" s="1"/>
  <c r="S97" i="2" s="1"/>
  <c r="T97" i="2" s="1"/>
  <c r="P89" i="2"/>
  <c r="M62" i="2"/>
  <c r="Q79" i="2"/>
  <c r="P79" i="2"/>
  <c r="S79" i="2"/>
  <c r="N79" i="2"/>
  <c r="R79" i="2"/>
  <c r="Q70" i="9" l="1"/>
  <c r="P68" i="9"/>
  <c r="Q94" i="5"/>
  <c r="Q72" i="9"/>
  <c r="Q60" i="4"/>
  <c r="Q28" i="5"/>
  <c r="P75" i="4"/>
  <c r="Q77" i="4"/>
  <c r="Q27" i="4"/>
  <c r="P21" i="4"/>
  <c r="P20" i="4" s="1"/>
  <c r="G113" i="31" s="1"/>
  <c r="G112" i="31" s="1"/>
  <c r="Q79" i="5"/>
  <c r="Q73" i="5"/>
  <c r="Q35" i="5"/>
  <c r="Q53" i="5"/>
  <c r="P51" i="5"/>
  <c r="Q50" i="9"/>
  <c r="P48" i="9"/>
  <c r="Q44" i="4"/>
  <c r="P42" i="4"/>
  <c r="P86" i="2"/>
  <c r="P45" i="2" s="1"/>
  <c r="Q89" i="2"/>
  <c r="Q86" i="2" s="1"/>
  <c r="Q45" i="2" s="1"/>
  <c r="M44" i="2"/>
  <c r="M33" i="19" s="1"/>
  <c r="M9" i="19" s="1"/>
  <c r="M63" i="2"/>
  <c r="L78" i="2"/>
  <c r="L79" i="2" s="1"/>
  <c r="L71" i="2"/>
  <c r="L80" i="2" s="1"/>
  <c r="L58" i="2"/>
  <c r="L56" i="2"/>
  <c r="L54" i="2"/>
  <c r="L51" i="2"/>
  <c r="M58" i="2"/>
  <c r="M56" i="2"/>
  <c r="M54" i="2"/>
  <c r="O54" i="2" s="1"/>
  <c r="M51" i="2"/>
  <c r="M52" i="2"/>
  <c r="P37" i="4" l="1"/>
  <c r="P106" i="19" s="1"/>
  <c r="R70" i="9"/>
  <c r="Q68" i="9"/>
  <c r="R50" i="9"/>
  <c r="Q48" i="9"/>
  <c r="P45" i="4"/>
  <c r="P49" i="4"/>
  <c r="P47" i="4"/>
  <c r="R35" i="5"/>
  <c r="P19" i="4"/>
  <c r="P6" i="4" s="1"/>
  <c r="P118" i="4"/>
  <c r="P58" i="4"/>
  <c r="P56" i="4" s="1"/>
  <c r="P66" i="4"/>
  <c r="R27" i="4"/>
  <c r="Q21" i="4"/>
  <c r="Q20" i="4" s="1"/>
  <c r="H113" i="31" s="1"/>
  <c r="H112" i="31" s="1"/>
  <c r="Q75" i="4"/>
  <c r="R77" i="4"/>
  <c r="R44" i="4"/>
  <c r="Q42" i="4"/>
  <c r="P53" i="9"/>
  <c r="P55" i="9"/>
  <c r="R28" i="5"/>
  <c r="R60" i="4"/>
  <c r="R53" i="5"/>
  <c r="Q51" i="5"/>
  <c r="P43" i="9"/>
  <c r="P82" i="19" s="1"/>
  <c r="R72" i="9"/>
  <c r="R73" i="5"/>
  <c r="R94" i="5"/>
  <c r="R79" i="5"/>
  <c r="L74" i="2"/>
  <c r="M153" i="2"/>
  <c r="M154" i="2" s="1"/>
  <c r="I154" i="2" s="1"/>
  <c r="T154" i="2" s="1"/>
  <c r="T153" i="2" s="1"/>
  <c r="R89" i="2"/>
  <c r="R86" i="2" s="1"/>
  <c r="R45" i="2" s="1"/>
  <c r="L62" i="2"/>
  <c r="L55" i="2"/>
  <c r="M49" i="2"/>
  <c r="M59" i="2"/>
  <c r="I59" i="2" s="1"/>
  <c r="T59" i="2" s="1"/>
  <c r="M55" i="2"/>
  <c r="M57" i="2"/>
  <c r="I57" i="2" s="1"/>
  <c r="L49" i="2"/>
  <c r="L43" i="2" s="1"/>
  <c r="L32" i="19" s="1"/>
  <c r="L8" i="19" s="1"/>
  <c r="M53" i="2"/>
  <c r="N53" i="2" s="1"/>
  <c r="L59" i="2"/>
  <c r="L57" i="2"/>
  <c r="M120" i="6"/>
  <c r="M119" i="6"/>
  <c r="M118" i="6"/>
  <c r="M117" i="6"/>
  <c r="M116" i="6"/>
  <c r="M115" i="6"/>
  <c r="M114" i="6"/>
  <c r="M113" i="6"/>
  <c r="M112" i="6"/>
  <c r="M111" i="6"/>
  <c r="M110" i="6"/>
  <c r="M109" i="6"/>
  <c r="M108" i="6"/>
  <c r="M107" i="6"/>
  <c r="M106" i="6"/>
  <c r="M105" i="6"/>
  <c r="M104" i="6"/>
  <c r="M103" i="6"/>
  <c r="M102" i="6"/>
  <c r="M101" i="6"/>
  <c r="M100" i="6"/>
  <c r="M99" i="6"/>
  <c r="M98" i="6"/>
  <c r="M97" i="6"/>
  <c r="M96" i="6"/>
  <c r="M95" i="6"/>
  <c r="M94" i="6"/>
  <c r="M93" i="6"/>
  <c r="M92" i="6"/>
  <c r="M91" i="6"/>
  <c r="M90" i="6"/>
  <c r="M89" i="6"/>
  <c r="M88" i="6"/>
  <c r="M87" i="6"/>
  <c r="M86" i="6"/>
  <c r="M85" i="6"/>
  <c r="M84" i="6"/>
  <c r="M83" i="6"/>
  <c r="M82" i="6"/>
  <c r="M81" i="6"/>
  <c r="M80" i="6"/>
  <c r="M79" i="6"/>
  <c r="M78" i="6"/>
  <c r="M77" i="6"/>
  <c r="M76" i="6"/>
  <c r="M75" i="6"/>
  <c r="M74" i="6"/>
  <c r="M73" i="6"/>
  <c r="M72" i="6"/>
  <c r="M71" i="6"/>
  <c r="M70" i="6"/>
  <c r="M69" i="6"/>
  <c r="M68" i="6"/>
  <c r="M67" i="6"/>
  <c r="M66" i="6"/>
  <c r="M65" i="6"/>
  <c r="M64" i="6"/>
  <c r="M63" i="6"/>
  <c r="M62" i="6"/>
  <c r="M61" i="6"/>
  <c r="M60" i="6"/>
  <c r="M59" i="6"/>
  <c r="M58" i="6"/>
  <c r="M57" i="6"/>
  <c r="M56" i="6"/>
  <c r="M55" i="6"/>
  <c r="M54" i="6"/>
  <c r="M53" i="6"/>
  <c r="M52" i="6"/>
  <c r="M51" i="6"/>
  <c r="M50" i="6"/>
  <c r="M49" i="6"/>
  <c r="M48" i="6"/>
  <c r="M47" i="6"/>
  <c r="M46" i="6"/>
  <c r="M45" i="6"/>
  <c r="M44" i="6"/>
  <c r="M43" i="6"/>
  <c r="M42" i="6"/>
  <c r="M41" i="6"/>
  <c r="M40" i="6"/>
  <c r="M39" i="6"/>
  <c r="M38" i="6"/>
  <c r="M37" i="6"/>
  <c r="M36" i="6"/>
  <c r="M35" i="6"/>
  <c r="M34" i="6"/>
  <c r="M33" i="6"/>
  <c r="M32" i="6"/>
  <c r="M31" i="6"/>
  <c r="M30" i="6"/>
  <c r="M29" i="6"/>
  <c r="M28" i="6"/>
  <c r="M27" i="6"/>
  <c r="M26" i="6"/>
  <c r="M25" i="6"/>
  <c r="M24" i="6"/>
  <c r="M23" i="6"/>
  <c r="M22" i="6"/>
  <c r="M21" i="6"/>
  <c r="M20" i="6"/>
  <c r="M19" i="6"/>
  <c r="M18" i="6"/>
  <c r="M17" i="6"/>
  <c r="M16" i="6"/>
  <c r="M15" i="6"/>
  <c r="M14" i="6"/>
  <c r="M13" i="6"/>
  <c r="M12" i="6"/>
  <c r="M11" i="6"/>
  <c r="M10" i="6"/>
  <c r="M9" i="6"/>
  <c r="M8" i="6"/>
  <c r="M7" i="6"/>
  <c r="M6" i="6"/>
  <c r="M5" i="6"/>
  <c r="M4" i="6"/>
  <c r="M121" i="6"/>
  <c r="P55" i="4" l="1"/>
  <c r="P53" i="4" s="1"/>
  <c r="M2" i="6"/>
  <c r="Q37" i="4"/>
  <c r="Q106" i="19" s="1"/>
  <c r="P76" i="4"/>
  <c r="P40" i="4"/>
  <c r="S70" i="9"/>
  <c r="R68" i="9"/>
  <c r="P157" i="1"/>
  <c r="P102" i="19"/>
  <c r="R57" i="2"/>
  <c r="T57" i="2"/>
  <c r="L75" i="2"/>
  <c r="L26" i="2" s="1"/>
  <c r="S94" i="5"/>
  <c r="Q43" i="9"/>
  <c r="Q82" i="19" s="1"/>
  <c r="R75" i="4"/>
  <c r="S77" i="4"/>
  <c r="S72" i="9"/>
  <c r="S60" i="4"/>
  <c r="Q19" i="4"/>
  <c r="Q6" i="4" s="1"/>
  <c r="Q118" i="4"/>
  <c r="Q58" i="4"/>
  <c r="Q56" i="4" s="1"/>
  <c r="Q66" i="4"/>
  <c r="Q53" i="9"/>
  <c r="Q55" i="9"/>
  <c r="S28" i="5"/>
  <c r="T28" i="5" s="1"/>
  <c r="S73" i="5"/>
  <c r="T73" i="5" s="1"/>
  <c r="Q47" i="4"/>
  <c r="Q49" i="4"/>
  <c r="Q45" i="4"/>
  <c r="S44" i="4"/>
  <c r="R42" i="4"/>
  <c r="S35" i="5"/>
  <c r="S79" i="5"/>
  <c r="T79" i="5" s="1"/>
  <c r="S27" i="4"/>
  <c r="R21" i="4"/>
  <c r="R20" i="4" s="1"/>
  <c r="I113" i="31" s="1"/>
  <c r="I112" i="31" s="1"/>
  <c r="S53" i="5"/>
  <c r="R51" i="5"/>
  <c r="S50" i="9"/>
  <c r="R48" i="9"/>
  <c r="U154" i="2"/>
  <c r="U153" i="2" s="1"/>
  <c r="P154" i="2"/>
  <c r="P153" i="2" s="1"/>
  <c r="Q154" i="2"/>
  <c r="Q153" i="2" s="1"/>
  <c r="N154" i="2"/>
  <c r="N153" i="2" s="1"/>
  <c r="S154" i="2"/>
  <c r="S153" i="2" s="1"/>
  <c r="O154" i="2"/>
  <c r="O153" i="2" s="1"/>
  <c r="R154" i="2"/>
  <c r="R153" i="2" s="1"/>
  <c r="P59" i="2"/>
  <c r="I59" i="5"/>
  <c r="S89" i="2"/>
  <c r="T89" i="2" s="1"/>
  <c r="T86" i="2" s="1"/>
  <c r="P57" i="2"/>
  <c r="Q57" i="2"/>
  <c r="S57" i="2"/>
  <c r="M43" i="2"/>
  <c r="M50" i="2"/>
  <c r="L44" i="2"/>
  <c r="L63" i="2"/>
  <c r="R59" i="2"/>
  <c r="N57" i="2"/>
  <c r="O57" i="2"/>
  <c r="S59" i="2"/>
  <c r="O59" i="2"/>
  <c r="Q59" i="2"/>
  <c r="N59" i="2"/>
  <c r="O53" i="2"/>
  <c r="P53" i="2" s="1"/>
  <c r="Q53" i="2" s="1"/>
  <c r="R53" i="2" s="1"/>
  <c r="S53" i="2" s="1"/>
  <c r="T53" i="2" s="1"/>
  <c r="T51" i="2" s="1"/>
  <c r="L53" i="2"/>
  <c r="L52" i="2" s="1"/>
  <c r="N51" i="2"/>
  <c r="P140" i="19" l="1"/>
  <c r="T59" i="5"/>
  <c r="O59" i="5"/>
  <c r="O58" i="5" s="1"/>
  <c r="N58" i="5" s="1"/>
  <c r="M41" i="2"/>
  <c r="M42" i="2" s="1"/>
  <c r="M32" i="19"/>
  <c r="M8" i="19" s="1"/>
  <c r="L41" i="2"/>
  <c r="L7" i="2" s="1"/>
  <c r="L31" i="19" s="1"/>
  <c r="L33" i="19"/>
  <c r="L9" i="19" s="1"/>
  <c r="Q55" i="4"/>
  <c r="Q53" i="4" s="1"/>
  <c r="P35" i="4"/>
  <c r="P104" i="19" s="1"/>
  <c r="P41" i="4"/>
  <c r="Q76" i="4"/>
  <c r="R37" i="4"/>
  <c r="R106" i="19" s="1"/>
  <c r="P36" i="4"/>
  <c r="P105" i="19" s="1"/>
  <c r="P54" i="4"/>
  <c r="Q40" i="4"/>
  <c r="T70" i="9"/>
  <c r="S68" i="9"/>
  <c r="S43" i="9" s="1"/>
  <c r="S82" i="19" s="1"/>
  <c r="S42" i="4"/>
  <c r="S49" i="4" s="1"/>
  <c r="T44" i="4"/>
  <c r="T42" i="4" s="1"/>
  <c r="S21" i="4"/>
  <c r="S20" i="4" s="1"/>
  <c r="J113" i="31" s="1"/>
  <c r="J112" i="31" s="1"/>
  <c r="T27" i="4"/>
  <c r="T21" i="4" s="1"/>
  <c r="T20" i="4" s="1"/>
  <c r="K113" i="31" s="1"/>
  <c r="K112" i="31" s="1"/>
  <c r="T60" i="4"/>
  <c r="S75" i="4"/>
  <c r="T77" i="4"/>
  <c r="T75" i="4" s="1"/>
  <c r="Q157" i="1"/>
  <c r="Q102" i="19"/>
  <c r="T72" i="9"/>
  <c r="S48" i="9"/>
  <c r="S53" i="9" s="1"/>
  <c r="T50" i="9"/>
  <c r="T48" i="9" s="1"/>
  <c r="S51" i="5"/>
  <c r="T53" i="5"/>
  <c r="T51" i="5" s="1"/>
  <c r="T56" i="5" s="1"/>
  <c r="T94" i="5"/>
  <c r="T35" i="5"/>
  <c r="T45" i="2"/>
  <c r="T58" i="2"/>
  <c r="T56" i="2"/>
  <c r="R43" i="9"/>
  <c r="R82" i="19" s="1"/>
  <c r="R118" i="4"/>
  <c r="R58" i="4"/>
  <c r="R56" i="4" s="1"/>
  <c r="R19" i="4"/>
  <c r="R6" i="4" s="1"/>
  <c r="R66" i="4"/>
  <c r="R53" i="9"/>
  <c r="R55" i="9"/>
  <c r="R45" i="4"/>
  <c r="R47" i="4"/>
  <c r="R49" i="4"/>
  <c r="S86" i="2"/>
  <c r="S45" i="2" s="1"/>
  <c r="M7" i="2"/>
  <c r="M157" i="2"/>
  <c r="M158" i="2" s="1"/>
  <c r="L45" i="1"/>
  <c r="L46" i="1" s="1"/>
  <c r="L47" i="1" s="1"/>
  <c r="L153" i="2"/>
  <c r="L154" i="2" s="1"/>
  <c r="O51" i="2"/>
  <c r="N55" i="2"/>
  <c r="N56" i="2"/>
  <c r="N58" i="2"/>
  <c r="O58" i="2" s="1"/>
  <c r="M23" i="2"/>
  <c r="M22" i="2"/>
  <c r="L50" i="2"/>
  <c r="L23" i="7"/>
  <c r="D36" i="31" s="1"/>
  <c r="D27" i="31" s="1"/>
  <c r="F27" i="31" s="1"/>
  <c r="I158" i="2" l="1"/>
  <c r="T158" i="2" s="1"/>
  <c r="T157" i="2" s="1"/>
  <c r="Q140" i="19"/>
  <c r="S118" i="4"/>
  <c r="L8" i="2"/>
  <c r="O56" i="2"/>
  <c r="O49" i="2" s="1"/>
  <c r="N11" i="23"/>
  <c r="L34" i="19"/>
  <c r="L10" i="19" s="1"/>
  <c r="L7" i="19" s="1"/>
  <c r="L7" i="1" s="1"/>
  <c r="L8" i="1" s="1"/>
  <c r="L9" i="1" s="1"/>
  <c r="L35" i="19"/>
  <c r="L46" i="19" s="1"/>
  <c r="L47" i="19" s="1"/>
  <c r="R55" i="4"/>
  <c r="R53" i="4" s="1"/>
  <c r="P121" i="4"/>
  <c r="P117" i="4" s="1"/>
  <c r="T37" i="4"/>
  <c r="T106" i="19" s="1"/>
  <c r="R76" i="4"/>
  <c r="Q36" i="4"/>
  <c r="Q105" i="19" s="1"/>
  <c r="Q54" i="4"/>
  <c r="S37" i="4"/>
  <c r="S106" i="19" s="1"/>
  <c r="Q35" i="4"/>
  <c r="Q104" i="19" s="1"/>
  <c r="Q41" i="4"/>
  <c r="P33" i="4"/>
  <c r="P34" i="4" s="1"/>
  <c r="S47" i="4"/>
  <c r="M45" i="1"/>
  <c r="M46" i="1" s="1"/>
  <c r="M47" i="1" s="1"/>
  <c r="M31" i="19"/>
  <c r="T68" i="9"/>
  <c r="T43" i="9" s="1"/>
  <c r="T82" i="19" s="1"/>
  <c r="S19" i="4"/>
  <c r="S6" i="4" s="1"/>
  <c r="S157" i="1" s="1"/>
  <c r="S58" i="4"/>
  <c r="S56" i="4" s="1"/>
  <c r="S55" i="4" s="1"/>
  <c r="S66" i="4"/>
  <c r="S45" i="4"/>
  <c r="T19" i="4"/>
  <c r="T6" i="4" s="1"/>
  <c r="T118" i="4"/>
  <c r="U118" i="4"/>
  <c r="T66" i="4"/>
  <c r="T58" i="4"/>
  <c r="T56" i="4" s="1"/>
  <c r="R40" i="4"/>
  <c r="T45" i="4"/>
  <c r="T47" i="4"/>
  <c r="T49" i="4"/>
  <c r="R157" i="1"/>
  <c r="R102" i="19"/>
  <c r="S55" i="9"/>
  <c r="T53" i="9"/>
  <c r="T55" i="9"/>
  <c r="T58" i="5"/>
  <c r="M73" i="2"/>
  <c r="M23" i="7"/>
  <c r="M8" i="2"/>
  <c r="M11" i="2" s="1"/>
  <c r="N23" i="2"/>
  <c r="U158" i="2"/>
  <c r="U157" i="2" s="1"/>
  <c r="R158" i="2"/>
  <c r="R157" i="2" s="1"/>
  <c r="Q158" i="2"/>
  <c r="Q157" i="2" s="1"/>
  <c r="P158" i="2"/>
  <c r="P157" i="2" s="1"/>
  <c r="O158" i="2"/>
  <c r="O157" i="2" s="1"/>
  <c r="N158" i="2"/>
  <c r="N157" i="2" s="1"/>
  <c r="S158" i="2"/>
  <c r="S157" i="2" s="1"/>
  <c r="L11" i="2"/>
  <c r="L9" i="2"/>
  <c r="L42" i="2"/>
  <c r="L157" i="2"/>
  <c r="L158" i="2" s="1"/>
  <c r="N49" i="2"/>
  <c r="N43" i="2" s="1"/>
  <c r="N32" i="19" s="1"/>
  <c r="O52" i="2"/>
  <c r="O55" i="2"/>
  <c r="I55" i="2" s="1"/>
  <c r="T55" i="2" s="1"/>
  <c r="T54" i="2" s="1"/>
  <c r="T49" i="2" s="1"/>
  <c r="M24" i="2"/>
  <c r="M27" i="2" s="1"/>
  <c r="M25" i="7" s="1"/>
  <c r="L24" i="2"/>
  <c r="L27" i="2" s="1"/>
  <c r="L25" i="7" s="1"/>
  <c r="L28" i="2"/>
  <c r="M28" i="2"/>
  <c r="N28" i="2" s="1"/>
  <c r="R140" i="19" l="1"/>
  <c r="S102" i="19"/>
  <c r="S76" i="4"/>
  <c r="L12" i="2"/>
  <c r="L13" i="2"/>
  <c r="M12" i="2"/>
  <c r="M13" i="2"/>
  <c r="T11" i="23"/>
  <c r="L41" i="19"/>
  <c r="L43" i="19" s="1"/>
  <c r="L44" i="19" s="1"/>
  <c r="L11" i="19"/>
  <c r="L22" i="19" s="1"/>
  <c r="L36" i="19"/>
  <c r="N24" i="22"/>
  <c r="O11" i="23"/>
  <c r="T55" i="4"/>
  <c r="T53" i="4" s="1"/>
  <c r="Q121" i="4"/>
  <c r="Q117" i="4" s="1"/>
  <c r="Q33" i="4"/>
  <c r="Q34" i="4" s="1"/>
  <c r="P7" i="4"/>
  <c r="P103" i="19" s="1"/>
  <c r="P107" i="19" s="1"/>
  <c r="P118" i="19" s="1"/>
  <c r="P119" i="19" s="1"/>
  <c r="P125" i="4"/>
  <c r="P124" i="4" s="1"/>
  <c r="P116" i="4" s="1"/>
  <c r="R36" i="4"/>
  <c r="R121" i="4" s="1"/>
  <c r="R117" i="4" s="1"/>
  <c r="R54" i="4"/>
  <c r="R35" i="4"/>
  <c r="R104" i="19" s="1"/>
  <c r="R41" i="4"/>
  <c r="T76" i="4"/>
  <c r="S53" i="4"/>
  <c r="S40" i="4"/>
  <c r="M35" i="19"/>
  <c r="M34" i="19"/>
  <c r="M10" i="19" s="1"/>
  <c r="M7" i="19" s="1"/>
  <c r="T157" i="1"/>
  <c r="U157" i="1" s="1"/>
  <c r="T102" i="19"/>
  <c r="T40" i="4"/>
  <c r="T43" i="2"/>
  <c r="T32" i="19" s="1"/>
  <c r="N25" i="7"/>
  <c r="I25" i="7"/>
  <c r="T25" i="7" s="1"/>
  <c r="T27" i="2" s="1"/>
  <c r="T24" i="2" s="1"/>
  <c r="N73" i="2"/>
  <c r="O23" i="2"/>
  <c r="M74" i="2"/>
  <c r="M75" i="2" s="1"/>
  <c r="N75" i="2" s="1"/>
  <c r="M9" i="2"/>
  <c r="O23" i="7"/>
  <c r="O43" i="2"/>
  <c r="O32" i="19" s="1"/>
  <c r="P51" i="2"/>
  <c r="O28" i="2"/>
  <c r="Q55" i="2"/>
  <c r="S55" i="2"/>
  <c r="R55" i="2"/>
  <c r="P55" i="2"/>
  <c r="P23" i="7" l="1"/>
  <c r="Q23" i="7" s="1"/>
  <c r="R23" i="7" s="1"/>
  <c r="S23" i="7" s="1"/>
  <c r="D37" i="31" a="1"/>
  <c r="L14" i="2"/>
  <c r="L48" i="19"/>
  <c r="M14" i="2"/>
  <c r="M48" i="19"/>
  <c r="S140" i="19"/>
  <c r="R105" i="19"/>
  <c r="Q7" i="4"/>
  <c r="Q103" i="19" s="1"/>
  <c r="Q107" i="19" s="1"/>
  <c r="Q118" i="19" s="1"/>
  <c r="Q119" i="19" s="1"/>
  <c r="L17" i="19"/>
  <c r="L19" i="19" s="1"/>
  <c r="L7" i="28" s="1"/>
  <c r="L6" i="28" s="1"/>
  <c r="L12" i="19"/>
  <c r="N22" i="22"/>
  <c r="O24" i="22"/>
  <c r="Q125" i="4"/>
  <c r="Q124" i="4" s="1"/>
  <c r="Q116" i="4" s="1"/>
  <c r="Q115" i="4" s="1"/>
  <c r="Q165" i="1" s="1"/>
  <c r="T23" i="2"/>
  <c r="P8" i="4"/>
  <c r="P11" i="4" s="1"/>
  <c r="P158" i="1"/>
  <c r="P159" i="1" s="1"/>
  <c r="P161" i="1" s="1"/>
  <c r="P162" i="1" s="1"/>
  <c r="L23" i="19"/>
  <c r="S36" i="4"/>
  <c r="S54" i="4"/>
  <c r="S35" i="4"/>
  <c r="S41" i="4"/>
  <c r="T36" i="4"/>
  <c r="T105" i="19" s="1"/>
  <c r="T54" i="4"/>
  <c r="T35" i="4"/>
  <c r="T104" i="19" s="1"/>
  <c r="T41" i="4"/>
  <c r="R33" i="4"/>
  <c r="R125" i="4" s="1"/>
  <c r="R124" i="4" s="1"/>
  <c r="R116" i="4" s="1"/>
  <c r="Q8" i="4"/>
  <c r="Q9" i="4" s="1"/>
  <c r="M7" i="1"/>
  <c r="M8" i="1" s="1"/>
  <c r="M9" i="1" s="1"/>
  <c r="M11" i="19"/>
  <c r="M22" i="19" s="1"/>
  <c r="M41" i="19"/>
  <c r="M43" i="19" s="1"/>
  <c r="M44" i="19" s="1"/>
  <c r="M46" i="19"/>
  <c r="M47" i="19" s="1"/>
  <c r="M36" i="19"/>
  <c r="T140" i="19"/>
  <c r="P108" i="19"/>
  <c r="P113" i="19"/>
  <c r="O75" i="2"/>
  <c r="P75" i="2" s="1"/>
  <c r="P25" i="7"/>
  <c r="P27" i="2" s="1"/>
  <c r="S25" i="7"/>
  <c r="S27" i="2" s="1"/>
  <c r="S24" i="2" s="1"/>
  <c r="R25" i="7"/>
  <c r="R27" i="2" s="1"/>
  <c r="Q25" i="7"/>
  <c r="Q27" i="2" s="1"/>
  <c r="N27" i="2"/>
  <c r="N24" i="2" s="1"/>
  <c r="O25" i="7"/>
  <c r="O27" i="2" s="1"/>
  <c r="N76" i="2"/>
  <c r="N74" i="2" s="1"/>
  <c r="N71" i="2" s="1"/>
  <c r="P54" i="2"/>
  <c r="P28" i="2"/>
  <c r="Q28" i="2" s="1"/>
  <c r="R28" i="2" s="1"/>
  <c r="S28" i="2" s="1"/>
  <c r="T28" i="2" s="1"/>
  <c r="P56" i="2"/>
  <c r="P58" i="2"/>
  <c r="Q51" i="2"/>
  <c r="O22" i="22" l="1"/>
  <c r="D37" i="31"/>
  <c r="D28" i="31" s="1"/>
  <c r="F28" i="31" s="1"/>
  <c r="D33" i="31"/>
  <c r="F33" i="31" s="1"/>
  <c r="D29" i="31"/>
  <c r="F29" i="31" s="1"/>
  <c r="D30" i="31"/>
  <c r="F30" i="31" s="1"/>
  <c r="D32" i="31"/>
  <c r="F32" i="31" s="1"/>
  <c r="D31" i="31"/>
  <c r="F31" i="31" s="1"/>
  <c r="Q108" i="19"/>
  <c r="R115" i="4"/>
  <c r="R165" i="1" s="1"/>
  <c r="Q113" i="19"/>
  <c r="Q114" i="19" s="1"/>
  <c r="Q115" i="19" s="1"/>
  <c r="Q116" i="19" s="1"/>
  <c r="Q158" i="1"/>
  <c r="Q159" i="1" s="1"/>
  <c r="Q161" i="1" s="1"/>
  <c r="Q162" i="1" s="1"/>
  <c r="Q166" i="1" s="1"/>
  <c r="Q169" i="1" s="1"/>
  <c r="L24" i="19"/>
  <c r="L25" i="19" s="1"/>
  <c r="L49" i="19"/>
  <c r="M49" i="19"/>
  <c r="P12" i="4"/>
  <c r="P13" i="4"/>
  <c r="P160" i="1"/>
  <c r="P9" i="4"/>
  <c r="L20" i="19"/>
  <c r="T22" i="2"/>
  <c r="T21" i="2" s="1"/>
  <c r="T20" i="2" s="1"/>
  <c r="K102" i="31" s="1"/>
  <c r="K101" i="31" s="1"/>
  <c r="T73" i="2"/>
  <c r="R7" i="4"/>
  <c r="R8" i="4" s="1"/>
  <c r="R9" i="4" s="1"/>
  <c r="R34" i="4"/>
  <c r="T33" i="4"/>
  <c r="T34" i="4" s="1"/>
  <c r="S104" i="19"/>
  <c r="S33" i="4"/>
  <c r="T121" i="4"/>
  <c r="T117" i="4" s="1"/>
  <c r="U121" i="4"/>
  <c r="U117" i="4" s="1"/>
  <c r="S105" i="19"/>
  <c r="S121" i="4"/>
  <c r="S117" i="4" s="1"/>
  <c r="Q160" i="1"/>
  <c r="Q11" i="4"/>
  <c r="M12" i="19"/>
  <c r="M17" i="19"/>
  <c r="M19" i="19" s="1"/>
  <c r="M7" i="28" s="1"/>
  <c r="M10" i="28" s="1"/>
  <c r="O10" i="28" s="1"/>
  <c r="P114" i="19"/>
  <c r="P115" i="19" s="1"/>
  <c r="P116" i="19" s="1"/>
  <c r="Q75" i="2"/>
  <c r="M26" i="2"/>
  <c r="N22" i="2"/>
  <c r="O22" i="2" s="1"/>
  <c r="P24" i="2"/>
  <c r="O76" i="2"/>
  <c r="O74" i="2" s="1"/>
  <c r="O73" i="2"/>
  <c r="P49" i="2"/>
  <c r="P43" i="2" s="1"/>
  <c r="P32" i="19" s="1"/>
  <c r="Q56" i="2"/>
  <c r="Q58" i="2"/>
  <c r="Q54" i="2"/>
  <c r="S51" i="2"/>
  <c r="R51" i="2"/>
  <c r="Q12" i="4" l="1"/>
  <c r="Q13" i="4"/>
  <c r="P14" i="4"/>
  <c r="P120" i="19"/>
  <c r="P121" i="19" s="1"/>
  <c r="T7" i="4"/>
  <c r="T103" i="19" s="1"/>
  <c r="T107" i="19" s="1"/>
  <c r="T108" i="19" s="1"/>
  <c r="U125" i="4"/>
  <c r="U124" i="4" s="1"/>
  <c r="U116" i="4" s="1"/>
  <c r="T125" i="4"/>
  <c r="T124" i="4" s="1"/>
  <c r="T116" i="4" s="1"/>
  <c r="R158" i="1"/>
  <c r="R159" i="1" s="1"/>
  <c r="R160" i="1" s="1"/>
  <c r="R103" i="19"/>
  <c r="R107" i="19" s="1"/>
  <c r="R118" i="19" s="1"/>
  <c r="R119" i="19" s="1"/>
  <c r="S34" i="4"/>
  <c r="S7" i="4"/>
  <c r="S125" i="4"/>
  <c r="S124" i="4" s="1"/>
  <c r="S116" i="4" s="1"/>
  <c r="S115" i="4" s="1"/>
  <c r="S165" i="1" s="1"/>
  <c r="M7" i="23"/>
  <c r="M6" i="23" s="1"/>
  <c r="M23" i="23" s="1"/>
  <c r="M25" i="23" s="1"/>
  <c r="N24" i="23" s="1"/>
  <c r="M20" i="19"/>
  <c r="M23" i="19"/>
  <c r="R11" i="4"/>
  <c r="T149" i="2"/>
  <c r="U149" i="2"/>
  <c r="T19" i="2"/>
  <c r="T78" i="2"/>
  <c r="R75" i="2"/>
  <c r="N21" i="2"/>
  <c r="N20" i="2" s="1"/>
  <c r="Q24" i="2"/>
  <c r="P76" i="2"/>
  <c r="P74" i="2" s="1"/>
  <c r="O21" i="2"/>
  <c r="O20" i="2" s="1"/>
  <c r="F102" i="31" s="1"/>
  <c r="F101" i="31" s="1"/>
  <c r="O24" i="2"/>
  <c r="Q49" i="2"/>
  <c r="Q43" i="2" s="1"/>
  <c r="Q32" i="19" s="1"/>
  <c r="R56" i="2"/>
  <c r="R58" i="2"/>
  <c r="R54" i="2"/>
  <c r="S56" i="2"/>
  <c r="S58" i="2"/>
  <c r="S54" i="2"/>
  <c r="T158" i="1" l="1"/>
  <c r="T8" i="4"/>
  <c r="T113" i="19"/>
  <c r="T114" i="19" s="1"/>
  <c r="T115" i="19" s="1"/>
  <c r="T116" i="19" s="1"/>
  <c r="T118" i="19"/>
  <c r="T119" i="19" s="1"/>
  <c r="R12" i="4"/>
  <c r="R13" i="4"/>
  <c r="Q14" i="4"/>
  <c r="Q120" i="19"/>
  <c r="Q121" i="19" s="1"/>
  <c r="R113" i="19"/>
  <c r="R114" i="19" s="1"/>
  <c r="R115" i="19" s="1"/>
  <c r="R116" i="19" s="1"/>
  <c r="R108" i="19"/>
  <c r="U115" i="4"/>
  <c r="U165" i="1" s="1"/>
  <c r="R161" i="1"/>
  <c r="R162" i="1" s="1"/>
  <c r="R166" i="1" s="1"/>
  <c r="R169" i="1" s="1"/>
  <c r="S103" i="19"/>
  <c r="S107" i="19" s="1"/>
  <c r="S8" i="4"/>
  <c r="S158" i="1"/>
  <c r="S159" i="1" s="1"/>
  <c r="S161" i="1" s="1"/>
  <c r="S162" i="1" s="1"/>
  <c r="S166" i="1" s="1"/>
  <c r="S169" i="1" s="1"/>
  <c r="T115" i="4"/>
  <c r="T165" i="1" s="1"/>
  <c r="U158" i="1"/>
  <c r="U159" i="1" s="1"/>
  <c r="U161" i="1" s="1"/>
  <c r="U162" i="1" s="1"/>
  <c r="T159" i="1"/>
  <c r="T9" i="4"/>
  <c r="T11" i="4"/>
  <c r="N78" i="2"/>
  <c r="O78" i="2" s="1"/>
  <c r="N19" i="2"/>
  <c r="N6" i="2" s="1"/>
  <c r="T6" i="2"/>
  <c r="T67" i="2"/>
  <c r="T65" i="2" s="1"/>
  <c r="T69" i="2"/>
  <c r="T87" i="2"/>
  <c r="T50" i="2"/>
  <c r="S75" i="2"/>
  <c r="O19" i="2"/>
  <c r="O67" i="2" s="1"/>
  <c r="O149" i="2"/>
  <c r="N149" i="2" s="1"/>
  <c r="R24" i="2"/>
  <c r="Q76" i="2"/>
  <c r="Q74" i="2" s="1"/>
  <c r="S49" i="2"/>
  <c r="R49" i="2"/>
  <c r="N67" i="2" l="1"/>
  <c r="S160" i="1"/>
  <c r="T12" i="4"/>
  <c r="T13" i="4"/>
  <c r="R14" i="4"/>
  <c r="R120" i="19"/>
  <c r="R121" i="19" s="1"/>
  <c r="T64" i="2"/>
  <c r="U166" i="1"/>
  <c r="U169" i="1" s="1"/>
  <c r="N171" i="1" s="1"/>
  <c r="U160" i="1"/>
  <c r="S11" i="4"/>
  <c r="S9" i="4"/>
  <c r="S118" i="19"/>
  <c r="S119" i="19" s="1"/>
  <c r="S108" i="19"/>
  <c r="S113" i="19"/>
  <c r="S114" i="19" s="1"/>
  <c r="S115" i="19" s="1"/>
  <c r="S116" i="19" s="1"/>
  <c r="N87" i="2"/>
  <c r="N44" i="1"/>
  <c r="N30" i="19"/>
  <c r="N69" i="2"/>
  <c r="O69" i="2" s="1"/>
  <c r="O70" i="2" s="1"/>
  <c r="N50" i="2"/>
  <c r="T44" i="1"/>
  <c r="U44" i="1" s="1"/>
  <c r="T30" i="19"/>
  <c r="T161" i="1"/>
  <c r="T162" i="1" s="1"/>
  <c r="T166" i="1" s="1"/>
  <c r="T169" i="1" s="1"/>
  <c r="T160" i="1"/>
  <c r="S74" i="2"/>
  <c r="T75" i="2"/>
  <c r="R76" i="2"/>
  <c r="R74" i="2" s="1"/>
  <c r="O6" i="2"/>
  <c r="O87" i="2"/>
  <c r="O50" i="2"/>
  <c r="O79" i="2"/>
  <c r="R43" i="2"/>
  <c r="R32" i="19" s="1"/>
  <c r="S43" i="2"/>
  <c r="S32" i="19" s="1"/>
  <c r="N80" i="2" l="1"/>
  <c r="N72" i="2"/>
  <c r="N65" i="2"/>
  <c r="O65" i="2" s="1"/>
  <c r="S12" i="4"/>
  <c r="S13" i="4"/>
  <c r="T120" i="19"/>
  <c r="T121" i="19" s="1"/>
  <c r="T14" i="4"/>
  <c r="O44" i="1"/>
  <c r="O30" i="19"/>
  <c r="T26" i="2"/>
  <c r="T74" i="2"/>
  <c r="T71" i="2" s="1"/>
  <c r="P57" i="5"/>
  <c r="P56" i="5" s="1"/>
  <c r="P11" i="23" s="1"/>
  <c r="P24" i="22" s="1"/>
  <c r="S57" i="5"/>
  <c r="S56" i="5" s="1"/>
  <c r="S11" i="23" s="1"/>
  <c r="R57" i="5"/>
  <c r="R56" i="5" s="1"/>
  <c r="R11" i="23" s="1"/>
  <c r="Q57" i="5"/>
  <c r="Q56" i="5" s="1"/>
  <c r="Q11" i="23" s="1"/>
  <c r="R59" i="5"/>
  <c r="R58" i="5" s="1"/>
  <c r="P59" i="5"/>
  <c r="P58" i="5" s="1"/>
  <c r="Q59" i="5"/>
  <c r="Q58" i="5" s="1"/>
  <c r="S59" i="5"/>
  <c r="S58" i="5" s="1"/>
  <c r="I55" i="5"/>
  <c r="T80" i="2" l="1"/>
  <c r="T72" i="2"/>
  <c r="O66" i="2"/>
  <c r="O82" i="2"/>
  <c r="N82" i="2"/>
  <c r="S14" i="4"/>
  <c r="S120" i="19"/>
  <c r="S121" i="19" s="1"/>
  <c r="Q24" i="22"/>
  <c r="P22" i="22"/>
  <c r="P55" i="5"/>
  <c r="T55" i="5"/>
  <c r="T54" i="5" s="1"/>
  <c r="T49" i="5" s="1"/>
  <c r="S55" i="5"/>
  <c r="S54" i="5" s="1"/>
  <c r="S49" i="5" s="1"/>
  <c r="P54" i="5"/>
  <c r="P49" i="5" s="1"/>
  <c r="R55" i="5"/>
  <c r="R54" i="5" s="1"/>
  <c r="Q55" i="5"/>
  <c r="Q54" i="5" s="1"/>
  <c r="Q49" i="5" s="1"/>
  <c r="O64" i="2" l="1"/>
  <c r="R24" i="22"/>
  <c r="Q22" i="22"/>
  <c r="T44" i="5"/>
  <c r="T56" i="19" s="1"/>
  <c r="S44" i="5"/>
  <c r="S56" i="19" s="1"/>
  <c r="Q44" i="5"/>
  <c r="Q56" i="19" s="1"/>
  <c r="P44" i="5"/>
  <c r="P56" i="19" s="1"/>
  <c r="R49" i="5"/>
  <c r="N49" i="5"/>
  <c r="P23" i="2"/>
  <c r="P73" i="2" s="1"/>
  <c r="S23" i="2"/>
  <c r="S73" i="2" s="1"/>
  <c r="S71" i="2" s="1"/>
  <c r="N64" i="2" l="1"/>
  <c r="S24" i="22"/>
  <c r="R22" i="22"/>
  <c r="O49" i="5"/>
  <c r="S22" i="2"/>
  <c r="S21" i="2" s="1"/>
  <c r="S20" i="2" s="1"/>
  <c r="J102" i="31" s="1"/>
  <c r="J101" i="31" s="1"/>
  <c r="P22" i="2"/>
  <c r="P21" i="2" s="1"/>
  <c r="P20" i="2" s="1"/>
  <c r="G102" i="31" s="1"/>
  <c r="G101" i="31" s="1"/>
  <c r="N44" i="5"/>
  <c r="N56" i="19" s="1"/>
  <c r="O44" i="5"/>
  <c r="O56" i="19" s="1"/>
  <c r="R44" i="5"/>
  <c r="R56" i="19" s="1"/>
  <c r="T24" i="22" l="1"/>
  <c r="S22" i="22"/>
  <c r="S149" i="2"/>
  <c r="S19" i="2"/>
  <c r="S50" i="2" s="1"/>
  <c r="P78" i="2"/>
  <c r="S78" i="2"/>
  <c r="T62" i="2"/>
  <c r="P19" i="2"/>
  <c r="P6" i="2" s="1"/>
  <c r="P30" i="19" s="1"/>
  <c r="P149" i="2"/>
  <c r="Q23" i="2"/>
  <c r="Q73" i="2" s="1"/>
  <c r="Q71" i="2" s="1"/>
  <c r="R23" i="2"/>
  <c r="R73" i="2" s="1"/>
  <c r="R71" i="2" s="1"/>
  <c r="T22" i="22" l="1"/>
  <c r="S87" i="2"/>
  <c r="S6" i="2"/>
  <c r="S30" i="19" s="1"/>
  <c r="S67" i="2"/>
  <c r="S72" i="2" s="1"/>
  <c r="S69" i="2"/>
  <c r="T63" i="2"/>
  <c r="T44" i="2"/>
  <c r="T33" i="19" s="1"/>
  <c r="P69" i="2"/>
  <c r="P67" i="2"/>
  <c r="P50" i="2"/>
  <c r="P87" i="2"/>
  <c r="Q22" i="2"/>
  <c r="Q21" i="2" s="1"/>
  <c r="Q20" i="2" s="1"/>
  <c r="H102" i="31" s="1"/>
  <c r="H101" i="31" s="1"/>
  <c r="R22" i="2"/>
  <c r="R21" i="2" s="1"/>
  <c r="R20" i="2" s="1"/>
  <c r="I102" i="31" s="1"/>
  <c r="I101" i="31" s="1"/>
  <c r="P44" i="1"/>
  <c r="S65" i="2" l="1"/>
  <c r="S80" i="2"/>
  <c r="P65" i="2"/>
  <c r="P64" i="2" s="1"/>
  <c r="S64" i="2"/>
  <c r="S44" i="1"/>
  <c r="R78" i="2"/>
  <c r="Q149" i="2"/>
  <c r="T41" i="2"/>
  <c r="T42" i="2" s="1"/>
  <c r="U152" i="2"/>
  <c r="T152" i="2"/>
  <c r="T148" i="2" s="1"/>
  <c r="R149" i="2"/>
  <c r="Q78" i="2"/>
  <c r="R19" i="2"/>
  <c r="Q19" i="2"/>
  <c r="T7" i="2" l="1"/>
  <c r="T31" i="19" s="1"/>
  <c r="T35" i="19" s="1"/>
  <c r="U156" i="2"/>
  <c r="T156" i="2"/>
  <c r="T155" i="2" s="1"/>
  <c r="R6" i="2"/>
  <c r="R69" i="2"/>
  <c r="R67" i="2"/>
  <c r="R72" i="2" s="1"/>
  <c r="Q6" i="2"/>
  <c r="Q69" i="2"/>
  <c r="Q67" i="2"/>
  <c r="Q72" i="2" s="1"/>
  <c r="R87" i="2"/>
  <c r="R50" i="2"/>
  <c r="Q50" i="2"/>
  <c r="Q87" i="2"/>
  <c r="Q65" i="2" l="1"/>
  <c r="Q80" i="2"/>
  <c r="R65" i="2"/>
  <c r="R80" i="2"/>
  <c r="Q64" i="2"/>
  <c r="R64" i="2"/>
  <c r="T45" i="1"/>
  <c r="U45" i="1" s="1"/>
  <c r="T8" i="2"/>
  <c r="T9" i="2" s="1"/>
  <c r="T34" i="19"/>
  <c r="T147" i="2"/>
  <c r="Q44" i="1"/>
  <c r="Q30" i="19"/>
  <c r="R44" i="1"/>
  <c r="R30" i="19"/>
  <c r="T36" i="19"/>
  <c r="T46" i="19"/>
  <c r="T47" i="19" s="1"/>
  <c r="T41" i="19"/>
  <c r="N22" i="9"/>
  <c r="I52" i="9"/>
  <c r="N23" i="9" l="1"/>
  <c r="T11" i="2"/>
  <c r="T46" i="1"/>
  <c r="T48" i="1" s="1"/>
  <c r="T42" i="19"/>
  <c r="T43" i="19" s="1"/>
  <c r="T44" i="19" s="1"/>
  <c r="S52" i="9"/>
  <c r="S51" i="9" s="1"/>
  <c r="S46" i="9" s="1"/>
  <c r="T52" i="9"/>
  <c r="T51" i="9" s="1"/>
  <c r="T46" i="9" s="1"/>
  <c r="S41" i="9"/>
  <c r="Q52" i="9"/>
  <c r="Q51" i="9" s="1"/>
  <c r="Q46" i="9" s="1"/>
  <c r="P52" i="9"/>
  <c r="P51" i="9" s="1"/>
  <c r="P46" i="9" s="1"/>
  <c r="R52" i="9"/>
  <c r="R51" i="9" s="1"/>
  <c r="R46" i="9" s="1"/>
  <c r="O55" i="9"/>
  <c r="T12" i="2" l="1"/>
  <c r="T13" i="2"/>
  <c r="N45" i="7"/>
  <c r="N24" i="9"/>
  <c r="O24" i="9" s="1"/>
  <c r="N21" i="9"/>
  <c r="T47" i="1"/>
  <c r="S80" i="19"/>
  <c r="S8" i="19" s="1"/>
  <c r="T49" i="1"/>
  <c r="T41" i="9"/>
  <c r="P41" i="9"/>
  <c r="Q41" i="9"/>
  <c r="R41" i="9"/>
  <c r="N46" i="9"/>
  <c r="O46" i="9"/>
  <c r="O21" i="9" l="1"/>
  <c r="N20" i="9"/>
  <c r="N19" i="9" s="1"/>
  <c r="N18" i="9" s="1"/>
  <c r="T14" i="2"/>
  <c r="T48" i="19"/>
  <c r="T49" i="19" s="1"/>
  <c r="N62" i="9"/>
  <c r="O62" i="9" s="1"/>
  <c r="O63" i="9" s="1"/>
  <c r="O23" i="9"/>
  <c r="O45" i="7" s="1"/>
  <c r="P45" i="7" s="1"/>
  <c r="P49" i="7" s="1"/>
  <c r="O20" i="9"/>
  <c r="O19" i="9" s="1"/>
  <c r="O18" i="9" s="1"/>
  <c r="O25" i="9"/>
  <c r="R80" i="19"/>
  <c r="R8" i="19" s="1"/>
  <c r="Q80" i="19"/>
  <c r="Q8" i="19" s="1"/>
  <c r="P80" i="19"/>
  <c r="P8" i="19" s="1"/>
  <c r="T80" i="19"/>
  <c r="T8" i="19" s="1"/>
  <c r="O41" i="9"/>
  <c r="N41" i="9"/>
  <c r="S25" i="9" l="1"/>
  <c r="S32" i="9" s="1"/>
  <c r="Q32" i="9"/>
  <c r="Q45" i="7"/>
  <c r="Q49" i="7" s="1"/>
  <c r="P23" i="9"/>
  <c r="P30" i="9"/>
  <c r="N80" i="19"/>
  <c r="N8" i="19" s="1"/>
  <c r="O80" i="19"/>
  <c r="O8" i="19" s="1"/>
  <c r="P24" i="9" l="1"/>
  <c r="P16" i="9"/>
  <c r="P31" i="9"/>
  <c r="P28" i="9" s="1"/>
  <c r="P27" i="9" s="1"/>
  <c r="Q30" i="9"/>
  <c r="Q23" i="9"/>
  <c r="Q16" i="9" s="1"/>
  <c r="R45" i="7"/>
  <c r="R49" i="7" s="1"/>
  <c r="N6" i="9"/>
  <c r="N69" i="9"/>
  <c r="N64" i="9"/>
  <c r="N47" i="9"/>
  <c r="O26" i="9"/>
  <c r="Q31" i="9" l="1"/>
  <c r="Q28" i="9"/>
  <c r="Q27" i="9" s="1"/>
  <c r="O6" i="9"/>
  <c r="O110" i="9"/>
  <c r="O69" i="9"/>
  <c r="O47" i="9"/>
  <c r="O64" i="9"/>
  <c r="N59" i="9"/>
  <c r="N78" i="19"/>
  <c r="N124" i="1"/>
  <c r="R30" i="9"/>
  <c r="S45" i="7"/>
  <c r="S49" i="7" s="1"/>
  <c r="R23" i="9"/>
  <c r="R16" i="9" s="1"/>
  <c r="Q24" i="9"/>
  <c r="Q21" i="9" s="1"/>
  <c r="R31" i="9" l="1"/>
  <c r="R28" i="9" s="1"/>
  <c r="R27" i="9" s="1"/>
  <c r="Q62" i="9"/>
  <c r="Q61" i="9" s="1"/>
  <c r="Q20" i="9"/>
  <c r="Q19" i="9" s="1"/>
  <c r="Q18" i="9" s="1"/>
  <c r="R24" i="9"/>
  <c r="R21" i="9" s="1"/>
  <c r="N110" i="9"/>
  <c r="N109" i="9" s="1"/>
  <c r="O109" i="9"/>
  <c r="S30" i="9"/>
  <c r="T45" i="7"/>
  <c r="T49" i="7" s="1"/>
  <c r="S23" i="9"/>
  <c r="S16" i="9" s="1"/>
  <c r="N42" i="9"/>
  <c r="N60" i="9"/>
  <c r="O65" i="9"/>
  <c r="O59" i="9"/>
  <c r="O124" i="1"/>
  <c r="O78" i="19"/>
  <c r="S62" i="2"/>
  <c r="S26" i="2"/>
  <c r="R62" i="2"/>
  <c r="R26" i="2"/>
  <c r="Q62" i="2"/>
  <c r="Q26" i="2"/>
  <c r="P26" i="2"/>
  <c r="O26" i="2"/>
  <c r="N26" i="2"/>
  <c r="S31" i="9" l="1"/>
  <c r="S28" i="9" s="1"/>
  <c r="S27" i="9" s="1"/>
  <c r="N81" i="19"/>
  <c r="N39" i="9"/>
  <c r="S24" i="9"/>
  <c r="S21" i="9" s="1"/>
  <c r="T30" i="9"/>
  <c r="T23" i="9"/>
  <c r="T16" i="9" s="1"/>
  <c r="O42" i="9"/>
  <c r="O60" i="9"/>
  <c r="R62" i="9"/>
  <c r="R61" i="9" s="1"/>
  <c r="R20" i="9"/>
  <c r="R19" i="9" s="1"/>
  <c r="R18" i="9" s="1"/>
  <c r="Q69" i="9"/>
  <c r="Q6" i="9"/>
  <c r="Q64" i="9"/>
  <c r="Q59" i="9" s="1"/>
  <c r="Q110" i="9"/>
  <c r="Q109" i="9" s="1"/>
  <c r="Q47" i="9"/>
  <c r="Q44" i="2"/>
  <c r="Q63" i="2"/>
  <c r="S63" i="2"/>
  <c r="S44" i="2"/>
  <c r="S33" i="19" s="1"/>
  <c r="R44" i="2"/>
  <c r="R33" i="19" s="1"/>
  <c r="R63" i="2"/>
  <c r="N62" i="2"/>
  <c r="O71" i="2"/>
  <c r="O72" i="2" s="1"/>
  <c r="O77" i="2" l="1"/>
  <c r="P77" i="2" s="1"/>
  <c r="O80" i="2"/>
  <c r="T31" i="9"/>
  <c r="T28" i="9" s="1"/>
  <c r="T27" i="9" s="1"/>
  <c r="Q42" i="9"/>
  <c r="Q60" i="9"/>
  <c r="Q78" i="19"/>
  <c r="Q124" i="1"/>
  <c r="R69" i="9"/>
  <c r="R6" i="9"/>
  <c r="R64" i="9"/>
  <c r="R59" i="9" s="1"/>
  <c r="R110" i="9"/>
  <c r="R109" i="9" s="1"/>
  <c r="R47" i="9"/>
  <c r="O81" i="19"/>
  <c r="O39" i="9"/>
  <c r="T24" i="9"/>
  <c r="T21" i="9" s="1"/>
  <c r="S62" i="9"/>
  <c r="S61" i="9" s="1"/>
  <c r="S20" i="9"/>
  <c r="S19" i="9" s="1"/>
  <c r="S18" i="9" s="1"/>
  <c r="N40" i="9"/>
  <c r="N7" i="9"/>
  <c r="Q152" i="2"/>
  <c r="Q148" i="2" s="1"/>
  <c r="Q33" i="19"/>
  <c r="Q41" i="2"/>
  <c r="Q42" i="2" s="1"/>
  <c r="O62" i="2"/>
  <c r="R41" i="2"/>
  <c r="R152" i="2"/>
  <c r="R148" i="2" s="1"/>
  <c r="N63" i="2"/>
  <c r="N44" i="2"/>
  <c r="U148" i="2"/>
  <c r="S152" i="2"/>
  <c r="S148" i="2" s="1"/>
  <c r="S41" i="2"/>
  <c r="R60" i="9" l="1"/>
  <c r="R42" i="9"/>
  <c r="R78" i="19"/>
  <c r="R124" i="1"/>
  <c r="N79" i="19"/>
  <c r="N83" i="19" s="1"/>
  <c r="N8" i="9"/>
  <c r="N125" i="1"/>
  <c r="N126" i="1" s="1"/>
  <c r="S110" i="9"/>
  <c r="S109" i="9" s="1"/>
  <c r="S6" i="9"/>
  <c r="S64" i="9"/>
  <c r="S59" i="9" s="1"/>
  <c r="S69" i="9"/>
  <c r="S47" i="9"/>
  <c r="T20" i="9"/>
  <c r="T19" i="9" s="1"/>
  <c r="T18" i="9" s="1"/>
  <c r="T62" i="9"/>
  <c r="T61" i="9" s="1"/>
  <c r="O40" i="9"/>
  <c r="O114" i="9"/>
  <c r="O7" i="9"/>
  <c r="Q81" i="19"/>
  <c r="Q39" i="9"/>
  <c r="Q7" i="2"/>
  <c r="Q31" i="19" s="1"/>
  <c r="Q35" i="19" s="1"/>
  <c r="Q156" i="2"/>
  <c r="Q155" i="2" s="1"/>
  <c r="Q147" i="2" s="1"/>
  <c r="N41" i="2"/>
  <c r="N7" i="2" s="1"/>
  <c r="N31" i="19" s="1"/>
  <c r="N33" i="19"/>
  <c r="O44" i="2"/>
  <c r="O33" i="19" s="1"/>
  <c r="O63" i="2"/>
  <c r="R156" i="2"/>
  <c r="R155" i="2" s="1"/>
  <c r="R7" i="2"/>
  <c r="R31" i="19" s="1"/>
  <c r="R42" i="2"/>
  <c r="S42" i="2"/>
  <c r="S156" i="2"/>
  <c r="S155" i="2" s="1"/>
  <c r="U155" i="2"/>
  <c r="U147" i="2" s="1"/>
  <c r="U146" i="2" s="1"/>
  <c r="S7" i="2"/>
  <c r="S31" i="19" s="1"/>
  <c r="N127" i="1" l="1"/>
  <c r="N128" i="1"/>
  <c r="N129" i="1" s="1"/>
  <c r="N89" i="19"/>
  <c r="N94" i="19"/>
  <c r="N84" i="19"/>
  <c r="O79" i="19"/>
  <c r="O83" i="19" s="1"/>
  <c r="O8" i="9"/>
  <c r="O125" i="1"/>
  <c r="O126" i="1" s="1"/>
  <c r="O127" i="1" s="1"/>
  <c r="N114" i="9"/>
  <c r="N113" i="9" s="1"/>
  <c r="N108" i="9" s="1"/>
  <c r="N107" i="9" s="1"/>
  <c r="N132" i="1" s="1"/>
  <c r="O113" i="9"/>
  <c r="O108" i="9" s="1"/>
  <c r="O107" i="9" s="1"/>
  <c r="S78" i="19"/>
  <c r="S124" i="1"/>
  <c r="N9" i="9"/>
  <c r="N11" i="9"/>
  <c r="N12" i="9" s="1"/>
  <c r="S60" i="9"/>
  <c r="S42" i="9"/>
  <c r="Q40" i="9"/>
  <c r="Q114" i="9"/>
  <c r="Q113" i="9" s="1"/>
  <c r="Q108" i="9" s="1"/>
  <c r="Q7" i="9"/>
  <c r="R81" i="19"/>
  <c r="R39" i="9"/>
  <c r="T110" i="9"/>
  <c r="T109" i="9" s="1"/>
  <c r="T69" i="9"/>
  <c r="U110" i="9"/>
  <c r="U109" i="9" s="1"/>
  <c r="T6" i="9"/>
  <c r="T64" i="9"/>
  <c r="T59" i="9" s="1"/>
  <c r="T47" i="9"/>
  <c r="N42" i="2"/>
  <c r="Q8" i="2"/>
  <c r="Q11" i="2" s="1"/>
  <c r="Q45" i="1"/>
  <c r="Q46" i="1" s="1"/>
  <c r="Q48" i="1" s="1"/>
  <c r="Q34" i="19"/>
  <c r="S147" i="2"/>
  <c r="T146" i="2" s="1"/>
  <c r="T52" i="1" s="1"/>
  <c r="T53" i="1" s="1"/>
  <c r="T56" i="1" s="1"/>
  <c r="R147" i="2"/>
  <c r="R146" i="2" s="1"/>
  <c r="R52" i="1" s="1"/>
  <c r="N34" i="19"/>
  <c r="N10" i="19" s="1"/>
  <c r="N35" i="19"/>
  <c r="Q46" i="19"/>
  <c r="Q47" i="19" s="1"/>
  <c r="Q41" i="19"/>
  <c r="Q36" i="19"/>
  <c r="S34" i="19"/>
  <c r="S35" i="19"/>
  <c r="R34" i="19"/>
  <c r="R35" i="19"/>
  <c r="U52" i="1"/>
  <c r="S45" i="1"/>
  <c r="S8" i="2"/>
  <c r="O152" i="2"/>
  <c r="O41" i="2"/>
  <c r="N8" i="2"/>
  <c r="N45" i="1"/>
  <c r="N46" i="1" s="1"/>
  <c r="R8" i="2"/>
  <c r="R45" i="1"/>
  <c r="R46" i="1" s="1"/>
  <c r="N95" i="19" l="1"/>
  <c r="N97" i="19" s="1"/>
  <c r="N96" i="19"/>
  <c r="Q12" i="2"/>
  <c r="Q13" i="2"/>
  <c r="T42" i="9"/>
  <c r="T60" i="9"/>
  <c r="T78" i="19"/>
  <c r="T124" i="1"/>
  <c r="Q79" i="19"/>
  <c r="Q83" i="19" s="1"/>
  <c r="Q125" i="1"/>
  <c r="Q126" i="1" s="1"/>
  <c r="Q8" i="9"/>
  <c r="R40" i="9"/>
  <c r="R7" i="9"/>
  <c r="R114" i="9"/>
  <c r="R113" i="9" s="1"/>
  <c r="R108" i="9" s="1"/>
  <c r="N133" i="1"/>
  <c r="N136" i="1" s="1"/>
  <c r="O11" i="9"/>
  <c r="O12" i="9" s="1"/>
  <c r="O9" i="9"/>
  <c r="O94" i="19"/>
  <c r="O89" i="19"/>
  <c r="O84" i="19"/>
  <c r="S81" i="19"/>
  <c r="S39" i="9"/>
  <c r="Q47" i="1"/>
  <c r="Q9" i="2"/>
  <c r="S146" i="2"/>
  <c r="S52" i="1" s="1"/>
  <c r="R41" i="19"/>
  <c r="R46" i="19"/>
  <c r="R47" i="19" s="1"/>
  <c r="R36" i="19"/>
  <c r="S41" i="19"/>
  <c r="S46" i="19"/>
  <c r="S47" i="19" s="1"/>
  <c r="S36" i="19"/>
  <c r="Q42" i="19"/>
  <c r="Q43" i="19" s="1"/>
  <c r="Q44" i="19" s="1"/>
  <c r="N41" i="19"/>
  <c r="N46" i="19"/>
  <c r="N47" i="19" s="1"/>
  <c r="N36" i="19"/>
  <c r="Q49" i="1"/>
  <c r="R47" i="1"/>
  <c r="R48" i="1"/>
  <c r="O156" i="2"/>
  <c r="O7" i="2"/>
  <c r="O31" i="19" s="1"/>
  <c r="O42" i="2"/>
  <c r="O148" i="2"/>
  <c r="N152" i="2"/>
  <c r="N148" i="2" s="1"/>
  <c r="S9" i="2"/>
  <c r="S11" i="2"/>
  <c r="S46" i="1"/>
  <c r="U46" i="1"/>
  <c r="R11" i="2"/>
  <c r="R9" i="2"/>
  <c r="N47" i="1"/>
  <c r="N48" i="1"/>
  <c r="N9" i="2"/>
  <c r="N11" i="2"/>
  <c r="Q14" i="2" l="1"/>
  <c r="Q48" i="19"/>
  <c r="Q49" i="19" s="1"/>
  <c r="O95" i="19"/>
  <c r="O97" i="19" s="1"/>
  <c r="O96" i="19"/>
  <c r="R12" i="2"/>
  <c r="R13" i="2"/>
  <c r="S12" i="2"/>
  <c r="S13" i="2"/>
  <c r="N12" i="2"/>
  <c r="N13" i="2"/>
  <c r="R107" i="9"/>
  <c r="R132" i="1" s="1"/>
  <c r="Q9" i="9"/>
  <c r="Q11" i="9"/>
  <c r="Q12" i="9" s="1"/>
  <c r="S114" i="9"/>
  <c r="S113" i="9" s="1"/>
  <c r="S108" i="9" s="1"/>
  <c r="S107" i="9" s="1"/>
  <c r="S132" i="1" s="1"/>
  <c r="S40" i="9"/>
  <c r="S7" i="9"/>
  <c r="R79" i="19"/>
  <c r="R83" i="19" s="1"/>
  <c r="R125" i="1"/>
  <c r="R126" i="1" s="1"/>
  <c r="R8" i="9"/>
  <c r="Q128" i="1"/>
  <c r="Q129" i="1" s="1"/>
  <c r="Q127" i="1"/>
  <c r="Q89" i="19"/>
  <c r="Q84" i="19"/>
  <c r="Q94" i="19"/>
  <c r="U124" i="1"/>
  <c r="O90" i="19"/>
  <c r="N90" i="19" s="1"/>
  <c r="N91" i="19" s="1"/>
  <c r="N92" i="19" s="1"/>
  <c r="T81" i="19"/>
  <c r="T39" i="9"/>
  <c r="O34" i="19"/>
  <c r="O10" i="19" s="1"/>
  <c r="F88" i="31" s="1"/>
  <c r="O35" i="19"/>
  <c r="S42" i="19"/>
  <c r="S43" i="19" s="1"/>
  <c r="S44" i="19" s="1"/>
  <c r="R42" i="19"/>
  <c r="R43" i="19" s="1"/>
  <c r="R44" i="19" s="1"/>
  <c r="N49" i="1"/>
  <c r="R49" i="1"/>
  <c r="R53" i="1" s="1"/>
  <c r="R56" i="1" s="1"/>
  <c r="U48" i="1"/>
  <c r="U49" i="1" s="1"/>
  <c r="U53" i="1" s="1"/>
  <c r="U56" i="1" s="1"/>
  <c r="N58" i="1" s="1"/>
  <c r="U47" i="1"/>
  <c r="O8" i="2"/>
  <c r="O45" i="1"/>
  <c r="O46" i="1" s="1"/>
  <c r="O47" i="1" s="1"/>
  <c r="O155" i="2"/>
  <c r="N156" i="2"/>
  <c r="N155" i="2" s="1"/>
  <c r="S48" i="1"/>
  <c r="S47" i="1"/>
  <c r="S14" i="2" l="1"/>
  <c r="S48" i="19"/>
  <c r="S49" i="19" s="1"/>
  <c r="R14" i="2"/>
  <c r="R48" i="19"/>
  <c r="R49" i="19" s="1"/>
  <c r="N14" i="2"/>
  <c r="N48" i="19"/>
  <c r="N49" i="19" s="1"/>
  <c r="Q95" i="19"/>
  <c r="Q97" i="19" s="1"/>
  <c r="Q96" i="19"/>
  <c r="O91" i="19"/>
  <c r="O92" i="19" s="1"/>
  <c r="Q90" i="19"/>
  <c r="Q91" i="19" s="1"/>
  <c r="Q92" i="19" s="1"/>
  <c r="R9" i="9"/>
  <c r="R11" i="9"/>
  <c r="R12" i="9" s="1"/>
  <c r="R127" i="1"/>
  <c r="R128" i="1"/>
  <c r="R129" i="1" s="1"/>
  <c r="R133" i="1" s="1"/>
  <c r="R136" i="1" s="1"/>
  <c r="R94" i="19"/>
  <c r="R89" i="19"/>
  <c r="R84" i="19"/>
  <c r="T40" i="9"/>
  <c r="T7" i="9"/>
  <c r="U114" i="9"/>
  <c r="U113" i="9" s="1"/>
  <c r="U108" i="9" s="1"/>
  <c r="T114" i="9"/>
  <c r="T113" i="9" s="1"/>
  <c r="T108" i="9" s="1"/>
  <c r="T107" i="9" s="1"/>
  <c r="T132" i="1" s="1"/>
  <c r="S79" i="19"/>
  <c r="S83" i="19" s="1"/>
  <c r="S125" i="1"/>
  <c r="S126" i="1" s="1"/>
  <c r="S8" i="9"/>
  <c r="O147" i="2"/>
  <c r="O146" i="2" s="1"/>
  <c r="N147" i="2"/>
  <c r="N146" i="2" s="1"/>
  <c r="N52" i="1" s="1"/>
  <c r="N53" i="1" s="1"/>
  <c r="N56" i="1" s="1"/>
  <c r="O41" i="19"/>
  <c r="O36" i="19"/>
  <c r="O46" i="19"/>
  <c r="O47" i="19" s="1"/>
  <c r="S49" i="1"/>
  <c r="S53" i="1" s="1"/>
  <c r="S56" i="1" s="1"/>
  <c r="O11" i="2"/>
  <c r="O9" i="2"/>
  <c r="R95" i="19" l="1"/>
  <c r="R97" i="19" s="1"/>
  <c r="R96" i="19"/>
  <c r="O12" i="2"/>
  <c r="O13" i="2"/>
  <c r="T125" i="1"/>
  <c r="T79" i="19"/>
  <c r="T83" i="19" s="1"/>
  <c r="T8" i="9"/>
  <c r="S94" i="19"/>
  <c r="S84" i="19"/>
  <c r="S89" i="19"/>
  <c r="U107" i="9"/>
  <c r="U132" i="1" s="1"/>
  <c r="R90" i="19"/>
  <c r="R91" i="19" s="1"/>
  <c r="R92" i="19" s="1"/>
  <c r="S9" i="9"/>
  <c r="S11" i="9"/>
  <c r="S12" i="9" s="1"/>
  <c r="S127" i="1"/>
  <c r="S128" i="1"/>
  <c r="S129" i="1" s="1"/>
  <c r="S133" i="1" s="1"/>
  <c r="S136" i="1" s="1"/>
  <c r="O42" i="19"/>
  <c r="N42" i="19" s="1"/>
  <c r="N43" i="19" s="1"/>
  <c r="N44" i="19" s="1"/>
  <c r="O14" i="2" l="1"/>
  <c r="O48" i="19"/>
  <c r="O49" i="19" s="1"/>
  <c r="S95" i="19"/>
  <c r="S97" i="19" s="1"/>
  <c r="S96" i="19"/>
  <c r="O43" i="19"/>
  <c r="O44" i="19" s="1"/>
  <c r="S90" i="19"/>
  <c r="S91" i="19" s="1"/>
  <c r="S92" i="19" s="1"/>
  <c r="T11" i="9"/>
  <c r="T12" i="9" s="1"/>
  <c r="T9" i="9"/>
  <c r="T94" i="19"/>
  <c r="T89" i="19"/>
  <c r="T84" i="19"/>
  <c r="U125" i="1"/>
  <c r="U126" i="1" s="1"/>
  <c r="T126" i="1"/>
  <c r="T95" i="19" l="1"/>
  <c r="T97" i="19" s="1"/>
  <c r="T96" i="19"/>
  <c r="T127" i="1"/>
  <c r="T128" i="1"/>
  <c r="T129" i="1" s="1"/>
  <c r="T133" i="1" s="1"/>
  <c r="T136" i="1" s="1"/>
  <c r="U128" i="1"/>
  <c r="U129" i="1" s="1"/>
  <c r="U133" i="1" s="1"/>
  <c r="U136" i="1" s="1"/>
  <c r="N138" i="1" s="1"/>
  <c r="U127" i="1"/>
  <c r="T90" i="19"/>
  <c r="T91" i="19" s="1"/>
  <c r="T92" i="19" s="1"/>
  <c r="P136" i="5"/>
  <c r="P134" i="5" s="1"/>
  <c r="P123" i="5" l="1"/>
  <c r="P111" i="5" s="1"/>
  <c r="Q136" i="5"/>
  <c r="G137" i="5" s="1"/>
  <c r="P109" i="5" l="1"/>
  <c r="P10" i="5" s="1"/>
  <c r="P93" i="5"/>
  <c r="P90" i="5" s="1"/>
  <c r="P121" i="5"/>
  <c r="R136" i="5"/>
  <c r="P95" i="1" l="1"/>
  <c r="P69" i="19"/>
  <c r="P21" i="19" s="1"/>
  <c r="P46" i="5"/>
  <c r="P58" i="19" s="1"/>
  <c r="S136" i="5"/>
  <c r="T136" i="5" s="1"/>
  <c r="Q137" i="5"/>
  <c r="Q134" i="5" s="1"/>
  <c r="P12" i="23" l="1"/>
  <c r="P12" i="1"/>
  <c r="Q123" i="5"/>
  <c r="Q111" i="5" s="1"/>
  <c r="R137" i="5"/>
  <c r="G138" i="5" s="1"/>
  <c r="S137" i="5" l="1"/>
  <c r="T137" i="5" s="1"/>
  <c r="Q109" i="5"/>
  <c r="Q10" i="5" s="1"/>
  <c r="Q69" i="19" s="1"/>
  <c r="Q21" i="19" s="1"/>
  <c r="Q93" i="5"/>
  <c r="Q90" i="5" s="1"/>
  <c r="Q121" i="5"/>
  <c r="R138" i="5"/>
  <c r="R134" i="5" s="1"/>
  <c r="Q12" i="23" l="1"/>
  <c r="Q12" i="1"/>
  <c r="Q46" i="5"/>
  <c r="Q58" i="19" s="1"/>
  <c r="Q10" i="19" s="1"/>
  <c r="H88" i="31" s="1"/>
  <c r="Q95" i="1"/>
  <c r="R123" i="5"/>
  <c r="R111" i="5" s="1"/>
  <c r="S138" i="5"/>
  <c r="G139" i="5" s="1"/>
  <c r="R109" i="5" l="1"/>
  <c r="R10" i="5" s="1"/>
  <c r="R93" i="5"/>
  <c r="R90" i="5" s="1"/>
  <c r="R121" i="5"/>
  <c r="T138" i="5"/>
  <c r="R95" i="1" l="1"/>
  <c r="R69" i="19"/>
  <c r="R21" i="19" s="1"/>
  <c r="R46" i="5"/>
  <c r="R58" i="19" s="1"/>
  <c r="R10" i="19" s="1"/>
  <c r="I88" i="31" s="1"/>
  <c r="S139" i="5"/>
  <c r="S134" i="5" s="1"/>
  <c r="R12" i="23" l="1"/>
  <c r="R12" i="1"/>
  <c r="S123" i="5"/>
  <c r="S111" i="5" s="1"/>
  <c r="T139" i="5"/>
  <c r="G140" i="5" s="1"/>
  <c r="P105" i="5" s="1" a="1"/>
  <c r="P105" i="5" l="1"/>
  <c r="P103" i="5" s="1"/>
  <c r="P96" i="1" s="1"/>
  <c r="T103" i="5"/>
  <c r="T96" i="1" s="1"/>
  <c r="T13" i="1" s="1"/>
  <c r="T17" i="23" s="1"/>
  <c r="T16" i="23" s="1"/>
  <c r="Q103" i="5"/>
  <c r="Q96" i="1" s="1"/>
  <c r="Q13" i="1" s="1"/>
  <c r="Q17" i="23" s="1"/>
  <c r="Q16" i="23" s="1"/>
  <c r="R103" i="5"/>
  <c r="R96" i="1" s="1"/>
  <c r="R13" i="1" s="1"/>
  <c r="R17" i="23" s="1"/>
  <c r="R16" i="23" s="1"/>
  <c r="S103" i="5"/>
  <c r="S96" i="1" s="1"/>
  <c r="S13" i="1" s="1"/>
  <c r="S17" i="23" s="1"/>
  <c r="S16" i="23" s="1"/>
  <c r="S93" i="5"/>
  <c r="S90" i="5" s="1"/>
  <c r="S109" i="5"/>
  <c r="S10" i="5" s="1"/>
  <c r="S69" i="19" s="1"/>
  <c r="S21" i="19" s="1"/>
  <c r="S121" i="5"/>
  <c r="T140" i="5"/>
  <c r="T134" i="5" s="1"/>
  <c r="S12" i="23" l="1"/>
  <c r="S12" i="1"/>
  <c r="P13" i="1"/>
  <c r="S95" i="1"/>
  <c r="S46" i="5"/>
  <c r="S58" i="19" s="1"/>
  <c r="S10" i="19" s="1"/>
  <c r="J88" i="31" s="1"/>
  <c r="T123" i="5"/>
  <c r="T111" i="5" s="1"/>
  <c r="P17" i="23" l="1"/>
  <c r="P16" i="23" s="1"/>
  <c r="P14" i="22"/>
  <c r="T109" i="5"/>
  <c r="T10" i="5" s="1"/>
  <c r="T93" i="5"/>
  <c r="T90" i="5" s="1"/>
  <c r="T121" i="5"/>
  <c r="P12" i="22" l="1"/>
  <c r="Q14" i="22"/>
  <c r="T69" i="19"/>
  <c r="T21" i="19" s="1"/>
  <c r="T95" i="1"/>
  <c r="T46" i="5"/>
  <c r="T58" i="19" s="1"/>
  <c r="T10" i="19" s="1"/>
  <c r="K88" i="31" s="1"/>
  <c r="S33" i="7"/>
  <c r="S33" i="5" s="1"/>
  <c r="N33" i="7"/>
  <c r="N33" i="5" s="1"/>
  <c r="Q29" i="7"/>
  <c r="Q26" i="5" s="1"/>
  <c r="Q25" i="5" s="1"/>
  <c r="Q23" i="5" s="1"/>
  <c r="Q22" i="5" s="1"/>
  <c r="R29" i="7"/>
  <c r="R26" i="5" s="1"/>
  <c r="S29" i="7"/>
  <c r="S26" i="5" s="1"/>
  <c r="T29" i="7"/>
  <c r="T26" i="5" s="1"/>
  <c r="P29" i="7"/>
  <c r="P26" i="5" s="1"/>
  <c r="N26" i="5"/>
  <c r="T12" i="23" l="1"/>
  <c r="T12" i="1"/>
  <c r="R14" i="22"/>
  <c r="Q12" i="22"/>
  <c r="R74" i="5"/>
  <c r="R72" i="5" s="1"/>
  <c r="R70" i="5" s="1"/>
  <c r="R25" i="5"/>
  <c r="R23" i="5" s="1"/>
  <c r="R22" i="5" s="1"/>
  <c r="S80" i="5"/>
  <c r="S78" i="5" s="1"/>
  <c r="S76" i="5" s="1"/>
  <c r="S32" i="5"/>
  <c r="S30" i="5" s="1"/>
  <c r="S29" i="5" s="1"/>
  <c r="N74" i="5"/>
  <c r="N72" i="5" s="1"/>
  <c r="N70" i="5" s="1"/>
  <c r="N25" i="5"/>
  <c r="N23" i="5" s="1"/>
  <c r="T25" i="5"/>
  <c r="T23" i="5" s="1"/>
  <c r="T22" i="5" s="1"/>
  <c r="T74" i="5"/>
  <c r="T72" i="5" s="1"/>
  <c r="T70" i="5" s="1"/>
  <c r="N80" i="5"/>
  <c r="N78" i="5" s="1"/>
  <c r="N76" i="5" s="1"/>
  <c r="O76" i="5" s="1"/>
  <c r="N32" i="5"/>
  <c r="N30" i="5" s="1"/>
  <c r="Q74" i="5"/>
  <c r="Q72" i="5" s="1"/>
  <c r="Q70" i="5" s="1"/>
  <c r="T33" i="7"/>
  <c r="T33" i="5" s="1"/>
  <c r="P33" i="7"/>
  <c r="P33" i="5" s="1"/>
  <c r="Q33" i="7"/>
  <c r="Q33" i="5" s="1"/>
  <c r="R33" i="7"/>
  <c r="R33" i="5" s="1"/>
  <c r="P74" i="5"/>
  <c r="P72" i="5" s="1"/>
  <c r="P70" i="5" s="1"/>
  <c r="P25" i="5"/>
  <c r="P23" i="5" s="1"/>
  <c r="P22" i="5" s="1"/>
  <c r="S74" i="5"/>
  <c r="S72" i="5" s="1"/>
  <c r="S70" i="5" s="1"/>
  <c r="S25" i="5"/>
  <c r="S23" i="5" s="1"/>
  <c r="S22" i="5" s="1"/>
  <c r="S69" i="5" l="1"/>
  <c r="S21" i="5"/>
  <c r="J106" i="31" s="1"/>
  <c r="S14" i="22"/>
  <c r="R12" i="22"/>
  <c r="P32" i="5"/>
  <c r="P30" i="5" s="1"/>
  <c r="P29" i="5" s="1"/>
  <c r="P21" i="5" s="1"/>
  <c r="G106" i="31" s="1"/>
  <c r="P80" i="5"/>
  <c r="P78" i="5" s="1"/>
  <c r="O23" i="5"/>
  <c r="O25" i="5" s="1"/>
  <c r="O26" i="5" s="1"/>
  <c r="N22" i="5"/>
  <c r="O70" i="5"/>
  <c r="N69" i="5"/>
  <c r="T80" i="5"/>
  <c r="T78" i="5" s="1"/>
  <c r="T76" i="5" s="1"/>
  <c r="T69" i="5" s="1"/>
  <c r="T32" i="5"/>
  <c r="T30" i="5" s="1"/>
  <c r="T29" i="5" s="1"/>
  <c r="T21" i="5" s="1"/>
  <c r="K106" i="31" s="1"/>
  <c r="O30" i="5"/>
  <c r="O32" i="5" s="1"/>
  <c r="O33" i="5" s="1"/>
  <c r="N29" i="5"/>
  <c r="O29" i="5" s="1"/>
  <c r="R80" i="5"/>
  <c r="R78" i="5" s="1"/>
  <c r="R76" i="5" s="1"/>
  <c r="R69" i="5" s="1"/>
  <c r="R32" i="5"/>
  <c r="R30" i="5" s="1"/>
  <c r="R29" i="5" s="1"/>
  <c r="R21" i="5" s="1"/>
  <c r="I106" i="31" s="1"/>
  <c r="Q80" i="5"/>
  <c r="Q78" i="5" s="1"/>
  <c r="Q76" i="5" s="1"/>
  <c r="Q69" i="5" s="1"/>
  <c r="Q32" i="5"/>
  <c r="Q30" i="5" s="1"/>
  <c r="Q29" i="5" s="1"/>
  <c r="Q21" i="5" s="1"/>
  <c r="H106" i="31" s="1"/>
  <c r="G105" i="31" l="1"/>
  <c r="G82" i="31"/>
  <c r="G81" i="31" s="1"/>
  <c r="J105" i="31"/>
  <c r="J82" i="31"/>
  <c r="J81" i="31" s="1"/>
  <c r="K82" i="31"/>
  <c r="K81" i="31" s="1"/>
  <c r="K105" i="31"/>
  <c r="H105" i="31"/>
  <c r="H82" i="31"/>
  <c r="H81" i="31" s="1"/>
  <c r="I82" i="31"/>
  <c r="I81" i="31" s="1"/>
  <c r="I105" i="31"/>
  <c r="T20" i="5"/>
  <c r="T67" i="5" s="1"/>
  <c r="T65" i="5" s="1"/>
  <c r="Q20" i="5"/>
  <c r="Q156" i="5" s="1"/>
  <c r="P20" i="5"/>
  <c r="P50" i="5" s="1"/>
  <c r="R20" i="5"/>
  <c r="R67" i="5" s="1"/>
  <c r="R65" i="5" s="1"/>
  <c r="S20" i="5"/>
  <c r="T14" i="22"/>
  <c r="S12" i="22"/>
  <c r="O33" i="7"/>
  <c r="O80" i="5"/>
  <c r="O78" i="5" s="1"/>
  <c r="O81" i="5" s="1"/>
  <c r="P81" i="5" s="1"/>
  <c r="P76" i="5" s="1"/>
  <c r="P69" i="5" s="1"/>
  <c r="O74" i="5"/>
  <c r="O72" i="5" s="1"/>
  <c r="O75" i="5" s="1"/>
  <c r="O29" i="7"/>
  <c r="O22" i="5"/>
  <c r="O21" i="5" s="1"/>
  <c r="N21" i="5"/>
  <c r="O69" i="5"/>
  <c r="T12" i="22" l="1"/>
  <c r="Q6" i="5"/>
  <c r="Q50" i="5"/>
  <c r="T82" i="5"/>
  <c r="T50" i="5"/>
  <c r="T6" i="5"/>
  <c r="T54" i="19" s="1"/>
  <c r="T156" i="5"/>
  <c r="P156" i="5"/>
  <c r="T91" i="5"/>
  <c r="P91" i="5"/>
  <c r="U156" i="5"/>
  <c r="P67" i="5"/>
  <c r="O67" i="5"/>
  <c r="N67" i="5" s="1"/>
  <c r="N65" i="5" s="1"/>
  <c r="O65" i="5" s="1"/>
  <c r="F106" i="31"/>
  <c r="P82" i="5"/>
  <c r="R82" i="5"/>
  <c r="R6" i="5"/>
  <c r="R54" i="19" s="1"/>
  <c r="R91" i="5"/>
  <c r="Q82" i="5"/>
  <c r="Q67" i="5"/>
  <c r="Q65" i="5" s="1"/>
  <c r="Q64" i="5" s="1"/>
  <c r="P6" i="5"/>
  <c r="P54" i="19" s="1"/>
  <c r="S50" i="5"/>
  <c r="S82" i="5"/>
  <c r="S91" i="5"/>
  <c r="S6" i="5"/>
  <c r="S67" i="5"/>
  <c r="S65" i="5" s="1"/>
  <c r="S64" i="5" s="1"/>
  <c r="S156" i="5"/>
  <c r="R156" i="5"/>
  <c r="Q91" i="5"/>
  <c r="R50" i="5"/>
  <c r="N20" i="5"/>
  <c r="O20" i="5"/>
  <c r="O6" i="5" s="1"/>
  <c r="T64" i="5"/>
  <c r="T62" i="5" s="1"/>
  <c r="T45" i="5" s="1"/>
  <c r="R64" i="5"/>
  <c r="Q54" i="19"/>
  <c r="Q89" i="1"/>
  <c r="T89" i="1" l="1"/>
  <c r="U89" i="1" s="1"/>
  <c r="R89" i="1"/>
  <c r="S62" i="5"/>
  <c r="S63" i="5" s="1"/>
  <c r="R62" i="5"/>
  <c r="R63" i="5" s="1"/>
  <c r="Q62" i="5"/>
  <c r="F82" i="31"/>
  <c r="F105" i="31"/>
  <c r="N68" i="5"/>
  <c r="P89" i="1"/>
  <c r="O66" i="5"/>
  <c r="P66" i="5" s="1"/>
  <c r="P65" i="5" s="1"/>
  <c r="P64" i="5" s="1"/>
  <c r="P62" i="5" s="1"/>
  <c r="N6" i="5"/>
  <c r="N54" i="19" s="1"/>
  <c r="N91" i="5"/>
  <c r="N82" i="5"/>
  <c r="O82" i="5" s="1"/>
  <c r="O83" i="5" s="1"/>
  <c r="O50" i="5"/>
  <c r="O156" i="5"/>
  <c r="N156" i="5" s="1"/>
  <c r="O91" i="5"/>
  <c r="S54" i="19"/>
  <c r="S89" i="1"/>
  <c r="N50" i="5"/>
  <c r="T63" i="5"/>
  <c r="Q63" i="5"/>
  <c r="Q45" i="5"/>
  <c r="Q6" i="19"/>
  <c r="H97" i="31" s="1"/>
  <c r="U159" i="5"/>
  <c r="U155" i="5" s="1"/>
  <c r="T159" i="5"/>
  <c r="T155" i="5" s="1"/>
  <c r="T57" i="19"/>
  <c r="T9" i="19" s="1"/>
  <c r="T42" i="5"/>
  <c r="T6" i="19"/>
  <c r="K97" i="31" s="1"/>
  <c r="R6" i="19"/>
  <c r="I97" i="31" s="1"/>
  <c r="O54" i="19"/>
  <c r="O89" i="1"/>
  <c r="S45" i="5" l="1"/>
  <c r="S159" i="5" s="1"/>
  <c r="S155" i="5" s="1"/>
  <c r="R45" i="5"/>
  <c r="P45" i="5"/>
  <c r="P42" i="5" s="1"/>
  <c r="P63" i="5"/>
  <c r="S9" i="22"/>
  <c r="S61" i="22"/>
  <c r="S60" i="22" s="1"/>
  <c r="T9" i="22"/>
  <c r="T61" i="22"/>
  <c r="T60" i="22" s="1"/>
  <c r="N89" i="1"/>
  <c r="D17" i="31" a="1"/>
  <c r="D17" i="31" s="1"/>
  <c r="F81" i="31"/>
  <c r="T7" i="19"/>
  <c r="T7" i="1" s="1"/>
  <c r="K115" i="31"/>
  <c r="K87" i="31" s="1"/>
  <c r="K85" i="31" s="1"/>
  <c r="K89" i="31" s="1"/>
  <c r="O64" i="5"/>
  <c r="O62" i="5" s="1"/>
  <c r="O45" i="5" s="1"/>
  <c r="S42" i="5"/>
  <c r="S163" i="5" s="1"/>
  <c r="S162" i="5" s="1"/>
  <c r="S57" i="19"/>
  <c r="S9" i="19" s="1"/>
  <c r="N86" i="5"/>
  <c r="S6" i="19"/>
  <c r="U163" i="5"/>
  <c r="U162" i="5" s="1"/>
  <c r="U154" i="5" s="1"/>
  <c r="T163" i="5"/>
  <c r="T162" i="5" s="1"/>
  <c r="T64" i="22" s="1"/>
  <c r="T7" i="5"/>
  <c r="T43" i="5"/>
  <c r="O63" i="5"/>
  <c r="Q42" i="5"/>
  <c r="Q57" i="19"/>
  <c r="Q9" i="19" s="1"/>
  <c r="Q159" i="5"/>
  <c r="Q155" i="5" s="1"/>
  <c r="O6" i="19"/>
  <c r="R159" i="5"/>
  <c r="R155" i="5" s="1"/>
  <c r="R57" i="19"/>
  <c r="R9" i="19" s="1"/>
  <c r="R42" i="5"/>
  <c r="Q6" i="1"/>
  <c r="N6" i="19"/>
  <c r="R6" i="1"/>
  <c r="P159" i="5"/>
  <c r="P155" i="5" s="1"/>
  <c r="P57" i="19"/>
  <c r="T6" i="1"/>
  <c r="T8" i="1" s="1"/>
  <c r="T11" i="19"/>
  <c r="T22" i="19" s="1"/>
  <c r="T59" i="22" l="1"/>
  <c r="S7" i="5"/>
  <c r="S19" i="22"/>
  <c r="S64" i="22"/>
  <c r="S59" i="22" s="1"/>
  <c r="T58" i="22" s="1"/>
  <c r="O86" i="5"/>
  <c r="S6" i="1"/>
  <c r="J97" i="31"/>
  <c r="K94" i="31"/>
  <c r="K90" i="31"/>
  <c r="R7" i="19"/>
  <c r="R7" i="1" s="1"/>
  <c r="R8" i="1" s="1"/>
  <c r="R9" i="1" s="1"/>
  <c r="I115" i="31"/>
  <c r="I87" i="31" s="1"/>
  <c r="I85" i="31" s="1"/>
  <c r="I89" i="31" s="1"/>
  <c r="R9" i="22"/>
  <c r="R61" i="22"/>
  <c r="R60" i="22" s="1"/>
  <c r="Q7" i="19"/>
  <c r="Q7" i="1" s="1"/>
  <c r="Q8" i="1" s="1"/>
  <c r="H115" i="31"/>
  <c r="H87" i="31" s="1"/>
  <c r="H85" i="31" s="1"/>
  <c r="H89" i="31" s="1"/>
  <c r="S7" i="19"/>
  <c r="S7" i="1" s="1"/>
  <c r="J115" i="31"/>
  <c r="J87" i="31" s="1"/>
  <c r="J85" i="31" s="1"/>
  <c r="J89" i="31" s="1"/>
  <c r="S43" i="5"/>
  <c r="Q9" i="22"/>
  <c r="Q61" i="22"/>
  <c r="Q60" i="22" s="1"/>
  <c r="F97" i="31"/>
  <c r="G17" i="31" a="1"/>
  <c r="G17" i="31" s="1"/>
  <c r="N64" i="5"/>
  <c r="N62" i="5" s="1"/>
  <c r="N45" i="5" s="1"/>
  <c r="S154" i="5"/>
  <c r="T154" i="5"/>
  <c r="U153" i="5" s="1"/>
  <c r="U97" i="1" s="1"/>
  <c r="T19" i="22"/>
  <c r="O6" i="1"/>
  <c r="Q163" i="5"/>
  <c r="Q162" i="5" s="1"/>
  <c r="Q64" i="22" s="1"/>
  <c r="Q7" i="5"/>
  <c r="Q43" i="5"/>
  <c r="T12" i="19"/>
  <c r="T17" i="19"/>
  <c r="T9" i="1"/>
  <c r="R7" i="5"/>
  <c r="R43" i="5"/>
  <c r="R163" i="5"/>
  <c r="R162" i="5" s="1"/>
  <c r="P7" i="5"/>
  <c r="P163" i="5"/>
  <c r="P162" i="5" s="1"/>
  <c r="P43" i="5"/>
  <c r="N6" i="1"/>
  <c r="O42" i="5"/>
  <c r="O57" i="19"/>
  <c r="O159" i="5"/>
  <c r="T55" i="19"/>
  <c r="T59" i="19" s="1"/>
  <c r="T90" i="1"/>
  <c r="T8" i="5"/>
  <c r="S55" i="19"/>
  <c r="S59" i="19" s="1"/>
  <c r="S90" i="1"/>
  <c r="S91" i="1" s="1"/>
  <c r="S8" i="5"/>
  <c r="S11" i="19" l="1"/>
  <c r="S22" i="19" s="1"/>
  <c r="R11" i="19"/>
  <c r="R17" i="19" s="1"/>
  <c r="Q11" i="19"/>
  <c r="Q22" i="19" s="1"/>
  <c r="S8" i="1"/>
  <c r="S9" i="1" s="1"/>
  <c r="K95" i="31"/>
  <c r="Q59" i="22"/>
  <c r="R19" i="22"/>
  <c r="R64" i="22"/>
  <c r="R59" i="22" s="1"/>
  <c r="I94" i="31"/>
  <c r="I90" i="31"/>
  <c r="J94" i="31"/>
  <c r="J90" i="31"/>
  <c r="H94" i="31"/>
  <c r="H90" i="31"/>
  <c r="N63" i="5"/>
  <c r="S12" i="19"/>
  <c r="S17" i="19"/>
  <c r="R12" i="19"/>
  <c r="R22" i="19"/>
  <c r="P154" i="5"/>
  <c r="R154" i="5"/>
  <c r="S153" i="5" s="1"/>
  <c r="S97" i="1" s="1"/>
  <c r="S14" i="1" s="1"/>
  <c r="S13" i="23" s="1"/>
  <c r="T153" i="5"/>
  <c r="T97" i="1" s="1"/>
  <c r="T14" i="1" s="1"/>
  <c r="T13" i="23" s="1"/>
  <c r="Q154" i="5"/>
  <c r="Q19" i="22"/>
  <c r="N57" i="19"/>
  <c r="N42" i="5"/>
  <c r="R55" i="19"/>
  <c r="R59" i="19" s="1"/>
  <c r="R90" i="1"/>
  <c r="R91" i="1" s="1"/>
  <c r="R8" i="5"/>
  <c r="N159" i="5"/>
  <c r="N155" i="5" s="1"/>
  <c r="O155" i="5"/>
  <c r="Q9" i="1"/>
  <c r="Q90" i="1"/>
  <c r="Q91" i="1" s="1"/>
  <c r="Q55" i="19"/>
  <c r="Q59" i="19" s="1"/>
  <c r="Q8" i="5"/>
  <c r="S11" i="5"/>
  <c r="S9" i="5"/>
  <c r="P90" i="1"/>
  <c r="P91" i="1" s="1"/>
  <c r="P55" i="19"/>
  <c r="P59" i="19" s="1"/>
  <c r="P8" i="5"/>
  <c r="S60" i="19"/>
  <c r="S65" i="19"/>
  <c r="S70" i="19"/>
  <c r="S71" i="19" s="1"/>
  <c r="T70" i="19"/>
  <c r="T71" i="19" s="1"/>
  <c r="T60" i="19"/>
  <c r="T65" i="19"/>
  <c r="T9" i="5"/>
  <c r="T11" i="5"/>
  <c r="O43" i="5"/>
  <c r="O7" i="5"/>
  <c r="O163" i="5"/>
  <c r="S93" i="1"/>
  <c r="S10" i="1" s="1"/>
  <c r="S11" i="1" s="1"/>
  <c r="S92" i="1"/>
  <c r="U90" i="1"/>
  <c r="U91" i="1" s="1"/>
  <c r="T91" i="1"/>
  <c r="Q17" i="19" l="1"/>
  <c r="Q12" i="19"/>
  <c r="R58" i="22"/>
  <c r="I95" i="31"/>
  <c r="J95" i="31"/>
  <c r="S58" i="22"/>
  <c r="H95" i="31"/>
  <c r="S12" i="5"/>
  <c r="S13" i="5"/>
  <c r="T12" i="5"/>
  <c r="T13" i="5"/>
  <c r="R153" i="5"/>
  <c r="R97" i="1" s="1"/>
  <c r="R14" i="1" s="1"/>
  <c r="R13" i="23" s="1"/>
  <c r="Q153" i="5"/>
  <c r="Q97" i="1" s="1"/>
  <c r="S94" i="1"/>
  <c r="S98" i="1" s="1"/>
  <c r="S101" i="1" s="1"/>
  <c r="O90" i="1"/>
  <c r="O91" i="1" s="1"/>
  <c r="O92" i="1" s="1"/>
  <c r="O55" i="19"/>
  <c r="O59" i="19" s="1"/>
  <c r="O8" i="5"/>
  <c r="P9" i="5"/>
  <c r="P11" i="5"/>
  <c r="P60" i="19"/>
  <c r="P65" i="19"/>
  <c r="P70" i="19"/>
  <c r="P71" i="19" s="1"/>
  <c r="P93" i="1"/>
  <c r="P92" i="1"/>
  <c r="T92" i="1"/>
  <c r="T93" i="1"/>
  <c r="T10" i="1" s="1"/>
  <c r="T11" i="1" s="1"/>
  <c r="T15" i="1" s="1"/>
  <c r="T18" i="1" s="1"/>
  <c r="R9" i="5"/>
  <c r="R11" i="5"/>
  <c r="U93" i="1"/>
  <c r="U94" i="1" s="1"/>
  <c r="U98" i="1" s="1"/>
  <c r="U101" i="1" s="1"/>
  <c r="N103" i="1" s="1"/>
  <c r="U92" i="1"/>
  <c r="R92" i="1"/>
  <c r="R93" i="1"/>
  <c r="R10" i="1" s="1"/>
  <c r="R11" i="1" s="1"/>
  <c r="Q9" i="5"/>
  <c r="Q11" i="5"/>
  <c r="R60" i="19"/>
  <c r="R65" i="19"/>
  <c r="R70" i="19"/>
  <c r="R71" i="19" s="1"/>
  <c r="Q65" i="19"/>
  <c r="Q70" i="19"/>
  <c r="Q71" i="19" s="1"/>
  <c r="Q60" i="19"/>
  <c r="N7" i="5"/>
  <c r="N43" i="5"/>
  <c r="T66" i="19"/>
  <c r="T18" i="19" s="1"/>
  <c r="K119" i="31" s="1"/>
  <c r="K91" i="31" s="1"/>
  <c r="K92" i="31" s="1"/>
  <c r="Q92" i="1"/>
  <c r="Q93" i="1"/>
  <c r="Q10" i="1" s="1"/>
  <c r="Q11" i="1" s="1"/>
  <c r="S15" i="1"/>
  <c r="S18" i="1" s="1"/>
  <c r="N163" i="5"/>
  <c r="N162" i="5" s="1"/>
  <c r="O162" i="5"/>
  <c r="S66" i="19"/>
  <c r="S18" i="19" s="1"/>
  <c r="J119" i="31" s="1"/>
  <c r="J91" i="31" s="1"/>
  <c r="J92" i="31" s="1"/>
  <c r="P12" i="5" l="1"/>
  <c r="P13" i="5"/>
  <c r="R12" i="5"/>
  <c r="R13" i="5"/>
  <c r="Q12" i="5"/>
  <c r="Q13" i="5"/>
  <c r="T14" i="5"/>
  <c r="T72" i="19"/>
  <c r="S14" i="5"/>
  <c r="S72" i="19"/>
  <c r="O154" i="5"/>
  <c r="O153" i="5" s="1"/>
  <c r="T94" i="1"/>
  <c r="T98" i="1" s="1"/>
  <c r="T101" i="1" s="1"/>
  <c r="P94" i="1"/>
  <c r="N154" i="5"/>
  <c r="N153" i="5" s="1"/>
  <c r="N97" i="1" s="1"/>
  <c r="R15" i="1"/>
  <c r="R18" i="1" s="1"/>
  <c r="Q94" i="1"/>
  <c r="Q98" i="1" s="1"/>
  <c r="Q101" i="1" s="1"/>
  <c r="T8" i="23"/>
  <c r="T19" i="19"/>
  <c r="T7" i="28" s="1"/>
  <c r="S67" i="19"/>
  <c r="S68" i="19" s="1"/>
  <c r="R94" i="1"/>
  <c r="R98" i="1" s="1"/>
  <c r="R101" i="1" s="1"/>
  <c r="T67" i="19"/>
  <c r="T68" i="19" s="1"/>
  <c r="N20" i="1"/>
  <c r="S8" i="23"/>
  <c r="T15" i="23" s="1"/>
  <c r="S19" i="19"/>
  <c r="S7" i="28" s="1"/>
  <c r="P66" i="19"/>
  <c r="O11" i="5"/>
  <c r="O9" i="5"/>
  <c r="Q66" i="19"/>
  <c r="Q18" i="19" s="1"/>
  <c r="H119" i="31" s="1"/>
  <c r="H91" i="31" s="1"/>
  <c r="H92" i="31" s="1"/>
  <c r="O65" i="19"/>
  <c r="O60" i="19"/>
  <c r="O70" i="19"/>
  <c r="O71" i="19" s="1"/>
  <c r="N90" i="1"/>
  <c r="N91" i="1" s="1"/>
  <c r="N55" i="19"/>
  <c r="N59" i="19" s="1"/>
  <c r="N8" i="5"/>
  <c r="R66" i="19"/>
  <c r="R18" i="19" s="1"/>
  <c r="I119" i="31" s="1"/>
  <c r="I91" i="31" s="1"/>
  <c r="I92" i="31" s="1"/>
  <c r="T24" i="19" l="1"/>
  <c r="T73" i="19"/>
  <c r="S24" i="19"/>
  <c r="S73" i="19"/>
  <c r="Q14" i="5"/>
  <c r="Q72" i="19"/>
  <c r="R14" i="5"/>
  <c r="R72" i="19"/>
  <c r="P14" i="5"/>
  <c r="P72" i="19"/>
  <c r="O12" i="5"/>
  <c r="O13" i="5"/>
  <c r="P153" i="5"/>
  <c r="P97" i="1" s="1"/>
  <c r="P98" i="1" s="1"/>
  <c r="P101" i="1" s="1"/>
  <c r="P67" i="19"/>
  <c r="P68" i="19" s="1"/>
  <c r="Q8" i="23"/>
  <c r="R15" i="23" s="1"/>
  <c r="Q19" i="19"/>
  <c r="Q7" i="28" s="1"/>
  <c r="R8" i="23"/>
  <c r="S15" i="23" s="1"/>
  <c r="R19" i="19"/>
  <c r="R7" i="28" s="1"/>
  <c r="S23" i="19"/>
  <c r="S7" i="23"/>
  <c r="S20" i="19"/>
  <c r="N93" i="1"/>
  <c r="N92" i="1"/>
  <c r="O66" i="19"/>
  <c r="O67" i="19" s="1"/>
  <c r="O68" i="19" s="1"/>
  <c r="Q67" i="19"/>
  <c r="Q68" i="19" s="1"/>
  <c r="T7" i="23"/>
  <c r="T6" i="23" s="1"/>
  <c r="T23" i="23" s="1"/>
  <c r="T20" i="19"/>
  <c r="T23" i="19"/>
  <c r="R67" i="19"/>
  <c r="R68" i="19" s="1"/>
  <c r="N9" i="5"/>
  <c r="N11" i="5"/>
  <c r="N60" i="19"/>
  <c r="N70" i="19"/>
  <c r="N71" i="19" s="1"/>
  <c r="N65" i="19"/>
  <c r="S25" i="19" l="1"/>
  <c r="J98" i="31"/>
  <c r="T25" i="19"/>
  <c r="K98" i="31"/>
  <c r="P73" i="19"/>
  <c r="R24" i="19"/>
  <c r="R73" i="19"/>
  <c r="Q24" i="19"/>
  <c r="Q73" i="19"/>
  <c r="N12" i="5"/>
  <c r="N13" i="5"/>
  <c r="O14" i="5"/>
  <c r="O72" i="19"/>
  <c r="S6" i="23"/>
  <c r="S23" i="23" s="1"/>
  <c r="N94" i="1"/>
  <c r="N98" i="1" s="1"/>
  <c r="N101" i="1" s="1"/>
  <c r="N102" i="1" s="1"/>
  <c r="N104" i="1" s="1"/>
  <c r="J110" i="1" s="1"/>
  <c r="J115" i="1" s="1"/>
  <c r="J118" i="1" s="1"/>
  <c r="R20" i="19"/>
  <c r="R7" i="23"/>
  <c r="R6" i="23" s="1"/>
  <c r="R23" i="23" s="1"/>
  <c r="R23" i="19"/>
  <c r="Q23" i="19"/>
  <c r="Q20" i="19"/>
  <c r="Q7" i="23"/>
  <c r="N66" i="19"/>
  <c r="Q25" i="19" l="1"/>
  <c r="H98" i="31"/>
  <c r="R25" i="19"/>
  <c r="I98" i="31"/>
  <c r="N14" i="5"/>
  <c r="N72" i="19"/>
  <c r="O73" i="19"/>
  <c r="N67" i="19"/>
  <c r="N68" i="19" s="1"/>
  <c r="J34" i="1"/>
  <c r="J81" i="1"/>
  <c r="J71" i="1" s="1"/>
  <c r="N73" i="19" l="1"/>
  <c r="P21" i="9" l="1"/>
  <c r="P62" i="9" l="1"/>
  <c r="P20" i="9"/>
  <c r="P19" i="9" s="1"/>
  <c r="P18" i="9" s="1"/>
  <c r="P6" i="9" s="1"/>
  <c r="P69" i="9" l="1"/>
  <c r="P47" i="9"/>
  <c r="P110" i="9"/>
  <c r="P109" i="9" s="1"/>
  <c r="P64" i="9"/>
  <c r="P61" i="9"/>
  <c r="P59" i="9" s="1"/>
  <c r="P78" i="19"/>
  <c r="P124" i="1"/>
  <c r="P60" i="9" l="1"/>
  <c r="P42" i="9"/>
  <c r="P81" i="19" s="1"/>
  <c r="P6" i="19"/>
  <c r="G97" i="31" s="1"/>
  <c r="P39" i="9" l="1"/>
  <c r="P40" i="9" s="1"/>
  <c r="P6" i="1"/>
  <c r="P114" i="9" l="1"/>
  <c r="P113" i="9" s="1"/>
  <c r="P108" i="9" s="1"/>
  <c r="P7" i="9"/>
  <c r="P125" i="1"/>
  <c r="P126" i="1" s="1"/>
  <c r="P79" i="19"/>
  <c r="P83" i="19" s="1"/>
  <c r="P8" i="9"/>
  <c r="P107" i="9" l="1"/>
  <c r="P132" i="1" s="1"/>
  <c r="Q107" i="9"/>
  <c r="Q132" i="1" s="1"/>
  <c r="P11" i="9"/>
  <c r="P12" i="9" s="1"/>
  <c r="P9" i="9"/>
  <c r="P89" i="19"/>
  <c r="P94" i="19"/>
  <c r="P84" i="19"/>
  <c r="P127" i="1"/>
  <c r="P128" i="1"/>
  <c r="P95" i="19" l="1"/>
  <c r="P97" i="19" s="1"/>
  <c r="P96" i="19"/>
  <c r="P90" i="19"/>
  <c r="P91" i="19" s="1"/>
  <c r="P92" i="19" s="1"/>
  <c r="P129" i="1"/>
  <c r="P133" i="1" s="1"/>
  <c r="P136" i="1" s="1"/>
  <c r="Q133" i="1"/>
  <c r="Q136" i="1" s="1"/>
  <c r="N137" i="1" l="1"/>
  <c r="N139" i="1" s="1"/>
  <c r="J145" i="1" s="1"/>
  <c r="J148" i="1" s="1"/>
  <c r="J151" i="1" s="1"/>
  <c r="J35" i="1" l="1"/>
  <c r="J82" i="1"/>
  <c r="J72" i="1" s="1"/>
  <c r="P71" i="2"/>
  <c r="P72" i="2" s="1"/>
  <c r="P62" i="2" l="1"/>
  <c r="P80" i="2"/>
  <c r="P44" i="2"/>
  <c r="P152" i="2" s="1"/>
  <c r="P148" i="2" s="1"/>
  <c r="P63" i="2"/>
  <c r="P9" i="22" l="1"/>
  <c r="P61" i="22"/>
  <c r="P60" i="22" s="1"/>
  <c r="P41" i="2"/>
  <c r="P156" i="2" s="1"/>
  <c r="P155" i="2" s="1"/>
  <c r="P33" i="19"/>
  <c r="P9" i="19" s="1"/>
  <c r="G115" i="31" s="1"/>
  <c r="G87" i="31" s="1"/>
  <c r="P42" i="2"/>
  <c r="P7" i="2"/>
  <c r="P8" i="2" s="1"/>
  <c r="P45" i="1" l="1"/>
  <c r="P46" i="1" s="1"/>
  <c r="P19" i="22"/>
  <c r="P64" i="22"/>
  <c r="P59" i="22" s="1"/>
  <c r="P147" i="2"/>
  <c r="P146" i="2" s="1"/>
  <c r="P52" i="1" s="1"/>
  <c r="P31" i="19"/>
  <c r="P35" i="19" s="1"/>
  <c r="P48" i="1"/>
  <c r="P10" i="1" s="1"/>
  <c r="P47" i="1"/>
  <c r="P9" i="2"/>
  <c r="P11" i="2"/>
  <c r="Q146" i="2" l="1"/>
  <c r="Q52" i="1" s="1"/>
  <c r="Q53" i="1" s="1"/>
  <c r="Q56" i="1" s="1"/>
  <c r="P34" i="19"/>
  <c r="P10" i="19" s="1"/>
  <c r="Q58" i="22"/>
  <c r="Q14" i="1"/>
  <c r="Q13" i="23" s="1"/>
  <c r="P13" i="2"/>
  <c r="P12" i="2"/>
  <c r="P36" i="19"/>
  <c r="P41" i="19"/>
  <c r="P46" i="19"/>
  <c r="P47" i="19" s="1"/>
  <c r="P49" i="1"/>
  <c r="P53" i="1" s="1"/>
  <c r="P56" i="1" s="1"/>
  <c r="N57" i="1" s="1"/>
  <c r="N59" i="1" s="1"/>
  <c r="J65" i="1" s="1"/>
  <c r="P7" i="19" l="1"/>
  <c r="G88" i="31"/>
  <c r="G85" i="31" s="1"/>
  <c r="G89" i="31" s="1"/>
  <c r="Q15" i="1"/>
  <c r="Q18" i="1" s="1"/>
  <c r="P42" i="19"/>
  <c r="P18" i="19" s="1"/>
  <c r="G119" i="31" s="1"/>
  <c r="G91" i="31" s="1"/>
  <c r="G92" i="31" s="1"/>
  <c r="P14" i="2"/>
  <c r="P48" i="19"/>
  <c r="G90" i="31" l="1"/>
  <c r="G94" i="31"/>
  <c r="G95" i="31" s="1"/>
  <c r="P11" i="19"/>
  <c r="P7" i="1"/>
  <c r="P8" i="1" s="1"/>
  <c r="P43" i="19"/>
  <c r="P44" i="19" s="1"/>
  <c r="P24" i="19"/>
  <c r="P49" i="19"/>
  <c r="P8" i="23"/>
  <c r="Q15" i="23" s="1"/>
  <c r="Q6" i="23" s="1"/>
  <c r="Q23" i="23" s="1"/>
  <c r="P9" i="1" l="1"/>
  <c r="P11" i="1"/>
  <c r="P17" i="19"/>
  <c r="P19" i="19" s="1"/>
  <c r="P7" i="23" s="1"/>
  <c r="P22" i="19"/>
  <c r="P23" i="19" s="1"/>
  <c r="P12" i="19"/>
  <c r="P25" i="19"/>
  <c r="G98" i="31"/>
  <c r="P20" i="19"/>
  <c r="M13" i="4"/>
  <c r="N57" i="4"/>
  <c r="N56" i="4"/>
  <c r="M72" i="4"/>
  <c r="P7" i="28" l="1"/>
  <c r="N55" i="4"/>
  <c r="N53" i="4" s="1"/>
  <c r="N70" i="4"/>
  <c r="O56" i="4"/>
  <c r="N72" i="4"/>
  <c r="O71" i="4"/>
  <c r="N36" i="4"/>
  <c r="N54" i="4"/>
  <c r="M120" i="19"/>
  <c r="M14" i="4"/>
  <c r="O72" i="4"/>
  <c r="O70" i="4" l="1"/>
  <c r="O55" i="4"/>
  <c r="O53" i="4" s="1"/>
  <c r="O57" i="4"/>
  <c r="M24" i="19"/>
  <c r="M25" i="19" s="1"/>
  <c r="M121" i="19"/>
  <c r="N33" i="4"/>
  <c r="N105" i="19"/>
  <c r="N9" i="19" s="1"/>
  <c r="N7" i="19" s="1"/>
  <c r="F116" i="31" l="1"/>
  <c r="O36" i="4"/>
  <c r="O54" i="4"/>
  <c r="N7" i="1"/>
  <c r="N8" i="1" s="1"/>
  <c r="N11" i="19"/>
  <c r="N34" i="4"/>
  <c r="N7" i="4"/>
  <c r="O33" i="4" l="1"/>
  <c r="O105" i="19"/>
  <c r="O9" i="19" s="1"/>
  <c r="O121" i="4"/>
  <c r="N158" i="1"/>
  <c r="N159" i="1" s="1"/>
  <c r="N103" i="19"/>
  <c r="N107" i="19" s="1"/>
  <c r="N8" i="4"/>
  <c r="N22" i="19"/>
  <c r="N23" i="19" s="1"/>
  <c r="N17" i="19"/>
  <c r="N12" i="19"/>
  <c r="N9" i="1"/>
  <c r="O7" i="19" l="1"/>
  <c r="F115" i="31"/>
  <c r="F87" i="31" s="1"/>
  <c r="F85" i="31" s="1"/>
  <c r="F89" i="31" s="1"/>
  <c r="N121" i="4"/>
  <c r="N117" i="4" s="1"/>
  <c r="N61" i="22" s="1"/>
  <c r="N60" i="22" s="1"/>
  <c r="O117" i="4"/>
  <c r="O61" i="22" s="1"/>
  <c r="O60" i="22" s="1"/>
  <c r="O11" i="19"/>
  <c r="O7" i="1"/>
  <c r="O8" i="1" s="1"/>
  <c r="O9" i="1" s="1"/>
  <c r="O125" i="4"/>
  <c r="O34" i="4"/>
  <c r="O7" i="4"/>
  <c r="N11" i="4"/>
  <c r="N9" i="4"/>
  <c r="N108" i="19"/>
  <c r="N118" i="19"/>
  <c r="N119" i="19" s="1"/>
  <c r="N113" i="19"/>
  <c r="N161" i="1"/>
  <c r="N10" i="1" s="1"/>
  <c r="N11" i="1" s="1"/>
  <c r="N160" i="1"/>
  <c r="F90" i="31" l="1"/>
  <c r="F94" i="31"/>
  <c r="O103" i="19"/>
  <c r="O107" i="19" s="1"/>
  <c r="O8" i="4"/>
  <c r="O158" i="1"/>
  <c r="O159" i="1" s="1"/>
  <c r="O160" i="1" s="1"/>
  <c r="N125" i="4"/>
  <c r="N124" i="4" s="1"/>
  <c r="N116" i="4" s="1"/>
  <c r="N115" i="4" s="1"/>
  <c r="N165" i="1" s="1"/>
  <c r="O124" i="4"/>
  <c r="O116" i="4" s="1"/>
  <c r="O22" i="19"/>
  <c r="O23" i="19" s="1"/>
  <c r="O12" i="19"/>
  <c r="O17" i="19"/>
  <c r="O9" i="22"/>
  <c r="N9" i="22"/>
  <c r="N12" i="4"/>
  <c r="N13" i="4"/>
  <c r="N162" i="1"/>
  <c r="N14" i="1" l="1"/>
  <c r="N13" i="23" s="1"/>
  <c r="O13" i="23" s="1"/>
  <c r="O19" i="22"/>
  <c r="O64" i="22"/>
  <c r="O59" i="22" s="1"/>
  <c r="N19" i="22"/>
  <c r="N64" i="22"/>
  <c r="N59" i="22" s="1"/>
  <c r="N58" i="22" s="1"/>
  <c r="F95" i="31"/>
  <c r="H17" i="31" s="1" a="1"/>
  <c r="H17" i="31" s="1"/>
  <c r="O115" i="4"/>
  <c r="P115" i="4"/>
  <c r="P165" i="1" s="1"/>
  <c r="N166" i="1"/>
  <c r="N169" i="1" s="1"/>
  <c r="O11" i="4"/>
  <c r="O9" i="4"/>
  <c r="O113" i="19"/>
  <c r="O114" i="19" s="1"/>
  <c r="N114" i="19" s="1"/>
  <c r="O108" i="19"/>
  <c r="O118" i="19"/>
  <c r="O119" i="19" s="1"/>
  <c r="N15" i="1"/>
  <c r="N18" i="1" s="1"/>
  <c r="N120" i="19"/>
  <c r="N14" i="4"/>
  <c r="P58" i="22" l="1"/>
  <c r="O13" i="4"/>
  <c r="O12" i="4"/>
  <c r="O115" i="19"/>
  <c r="O116" i="19" s="1"/>
  <c r="O18" i="19"/>
  <c r="P166" i="1"/>
  <c r="P169" i="1" s="1"/>
  <c r="N170" i="1" s="1"/>
  <c r="N172" i="1" s="1"/>
  <c r="J178" i="1" s="1"/>
  <c r="J181" i="1" s="1"/>
  <c r="J184" i="1" s="1"/>
  <c r="P14" i="1"/>
  <c r="N18" i="19"/>
  <c r="N115" i="19"/>
  <c r="N116" i="19" s="1"/>
  <c r="N24" i="19"/>
  <c r="N25" i="19" s="1"/>
  <c r="N121" i="19"/>
  <c r="O19" i="19" l="1"/>
  <c r="F119" i="31"/>
  <c r="F91" i="31" s="1"/>
  <c r="F92" i="31" s="1"/>
  <c r="J36" i="1"/>
  <c r="J33" i="1" s="1"/>
  <c r="J83" i="1"/>
  <c r="J73" i="1" s="1"/>
  <c r="J70" i="1" s="1"/>
  <c r="J66" i="1" s="1"/>
  <c r="J75" i="1" s="1"/>
  <c r="J78" i="1" s="1"/>
  <c r="P13" i="23"/>
  <c r="P15" i="1"/>
  <c r="P18" i="1" s="1"/>
  <c r="N19" i="1" s="1"/>
  <c r="N21" i="1" s="1"/>
  <c r="J27" i="1" s="1"/>
  <c r="J32" i="1" s="1"/>
  <c r="O120" i="19"/>
  <c r="O14" i="4"/>
  <c r="N8" i="23"/>
  <c r="O8" i="23" s="1"/>
  <c r="P15" i="23" s="1"/>
  <c r="N20" i="22"/>
  <c r="N19" i="19"/>
  <c r="J38" i="1" l="1"/>
  <c r="P6" i="23"/>
  <c r="P23" i="23" s="1"/>
  <c r="O20" i="19"/>
  <c r="O7" i="28"/>
  <c r="O11" i="28" s="1"/>
  <c r="P6" i="28" s="1"/>
  <c r="P11" i="28" s="1"/>
  <c r="Q6" i="28" s="1"/>
  <c r="Q11" i="28" s="1"/>
  <c r="K38" i="1"/>
  <c r="O121" i="19"/>
  <c r="O24" i="19"/>
  <c r="O20" i="22"/>
  <c r="N17" i="22"/>
  <c r="N25" i="22" s="1"/>
  <c r="N7" i="28"/>
  <c r="N11" i="28" s="1"/>
  <c r="N7" i="23"/>
  <c r="N20" i="19"/>
  <c r="O25" i="19" l="1"/>
  <c r="F98" i="31"/>
  <c r="O7" i="23"/>
  <c r="O6" i="23" s="1"/>
  <c r="N6" i="23"/>
  <c r="N23" i="23" s="1"/>
  <c r="R6" i="28"/>
  <c r="R11" i="28" s="1"/>
  <c r="P20" i="22"/>
  <c r="O17" i="22"/>
  <c r="O25" i="22" l="1"/>
  <c r="N25" i="23"/>
  <c r="N7" i="22" s="1"/>
  <c r="N6" i="22" s="1"/>
  <c r="N16" i="22" s="1"/>
  <c r="N26" i="22" s="1"/>
  <c r="N27" i="22" s="1"/>
  <c r="O23" i="23"/>
  <c r="O25" i="23" s="1"/>
  <c r="Q20" i="22"/>
  <c r="P17" i="22"/>
  <c r="S6" i="28"/>
  <c r="S11" i="28" s="1"/>
  <c r="P25" i="22" l="1"/>
  <c r="R20" i="22"/>
  <c r="Q17" i="22"/>
  <c r="P24" i="23"/>
  <c r="P25" i="23" s="1"/>
  <c r="O7" i="22"/>
  <c r="T6" i="28"/>
  <c r="T11" i="28" s="1"/>
  <c r="O6" i="22" l="1"/>
  <c r="Q25" i="22"/>
  <c r="Q24" i="23"/>
  <c r="Q25" i="23" s="1"/>
  <c r="P7" i="22"/>
  <c r="R17" i="22"/>
  <c r="S20" i="22"/>
  <c r="P6" i="22" l="1"/>
  <c r="R25" i="22"/>
  <c r="O16" i="22"/>
  <c r="T20" i="22"/>
  <c r="S17" i="22"/>
  <c r="Q7" i="22"/>
  <c r="R24" i="23"/>
  <c r="R25" i="23" s="1"/>
  <c r="S25" i="22" l="1"/>
  <c r="T17" i="22"/>
  <c r="O26" i="22"/>
  <c r="Q6" i="22"/>
  <c r="P16" i="22"/>
  <c r="R7" i="22"/>
  <c r="S24" i="23"/>
  <c r="S25" i="23" s="1"/>
  <c r="Q16" i="22" l="1"/>
  <c r="O27" i="22"/>
  <c r="T25" i="22"/>
  <c r="R6" i="22"/>
  <c r="P26" i="22"/>
  <c r="T24" i="23"/>
  <c r="T25" i="23" s="1"/>
  <c r="T7" i="22" s="1"/>
  <c r="S7" i="22"/>
  <c r="T6" i="22" l="1"/>
  <c r="R16" i="22"/>
  <c r="S6" i="22"/>
  <c r="P27" i="22"/>
  <c r="Q26" i="22"/>
  <c r="S16" i="22" l="1"/>
  <c r="R26" i="22"/>
  <c r="Q27" i="22"/>
  <c r="T16" i="22"/>
  <c r="T26" i="22" l="1"/>
  <c r="R27" i="22"/>
  <c r="S26" i="22"/>
  <c r="S27" i="22" l="1"/>
  <c r="T27" i="2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<sst xmlns="http://schemas.openxmlformats.org/spreadsheetml/2006/main" count="10158" uniqueCount="2778">
  <si>
    <t>DCF</t>
    <phoneticPr fontId="2" type="noConversion"/>
  </si>
  <si>
    <t>1. Consolidated</t>
    <phoneticPr fontId="2" type="noConversion"/>
  </si>
  <si>
    <t>2024A</t>
    <phoneticPr fontId="2" type="noConversion"/>
  </si>
  <si>
    <t>2025 1H</t>
    <phoneticPr fontId="2" type="noConversion"/>
  </si>
  <si>
    <t>2025 2H</t>
    <phoneticPr fontId="2" type="noConversion"/>
  </si>
  <si>
    <t>2025E</t>
    <phoneticPr fontId="2" type="noConversion"/>
  </si>
  <si>
    <t>2026F</t>
    <phoneticPr fontId="2" type="noConversion"/>
  </si>
  <si>
    <t>2027F</t>
    <phoneticPr fontId="2" type="noConversion"/>
  </si>
  <si>
    <t>2028F</t>
    <phoneticPr fontId="2" type="noConversion"/>
  </si>
  <si>
    <t>2029F</t>
    <phoneticPr fontId="2" type="noConversion"/>
  </si>
  <si>
    <t>Terminal</t>
    <phoneticPr fontId="2" type="noConversion"/>
  </si>
  <si>
    <t>Revenue</t>
    <phoneticPr fontId="2" type="noConversion"/>
  </si>
  <si>
    <t>Operating Expense</t>
    <phoneticPr fontId="2" type="noConversion"/>
  </si>
  <si>
    <t>EBIT</t>
    <phoneticPr fontId="2" type="noConversion"/>
  </si>
  <si>
    <t>margin %</t>
    <phoneticPr fontId="2" type="noConversion"/>
  </si>
  <si>
    <t>Income Tax</t>
    <phoneticPr fontId="2" type="noConversion"/>
  </si>
  <si>
    <t>EBIT after Tax</t>
    <phoneticPr fontId="2" type="noConversion"/>
  </si>
  <si>
    <t>(+) D&amp;A</t>
    <phoneticPr fontId="2" type="noConversion"/>
  </si>
  <si>
    <t>(-) CAPEX</t>
    <phoneticPr fontId="2" type="noConversion"/>
  </si>
  <si>
    <t>(+/-) NWC</t>
    <phoneticPr fontId="2" type="noConversion"/>
  </si>
  <si>
    <t>FCFF</t>
    <phoneticPr fontId="2" type="noConversion"/>
  </si>
  <si>
    <t>할인기간</t>
    <phoneticPr fontId="2" type="noConversion"/>
  </si>
  <si>
    <t>할인계수</t>
    <phoneticPr fontId="2" type="noConversion"/>
  </si>
  <si>
    <t>PV of FCFF</t>
    <phoneticPr fontId="2" type="noConversion"/>
  </si>
  <si>
    <t>대상기간 누적 현재가치</t>
  </si>
  <si>
    <t>Terminal Value의 현재가치</t>
  </si>
  <si>
    <t>영업가치</t>
  </si>
  <si>
    <t>영구성장률</t>
    <phoneticPr fontId="2" type="noConversion"/>
  </si>
  <si>
    <t>WACC</t>
    <phoneticPr fontId="2" type="noConversion"/>
  </si>
  <si>
    <t>영업가치</t>
    <phoneticPr fontId="2" type="noConversion"/>
  </si>
  <si>
    <t>비영업용자산</t>
    <phoneticPr fontId="2" type="noConversion"/>
  </si>
  <si>
    <t>기업가치</t>
    <phoneticPr fontId="2" type="noConversion"/>
  </si>
  <si>
    <t>IBD</t>
    <phoneticPr fontId="2" type="noConversion"/>
  </si>
  <si>
    <t>지분가치</t>
    <phoneticPr fontId="2" type="noConversion"/>
  </si>
  <si>
    <t>2. TITAN</t>
    <phoneticPr fontId="2" type="noConversion"/>
  </si>
  <si>
    <t>현금및현금성자산</t>
    <phoneticPr fontId="2" type="noConversion"/>
  </si>
  <si>
    <t>단기매매증권</t>
    <phoneticPr fontId="2" type="noConversion"/>
  </si>
  <si>
    <t>장단기대여금</t>
    <phoneticPr fontId="2" type="noConversion"/>
  </si>
  <si>
    <t>우모건 대여금</t>
    <phoneticPr fontId="2" type="noConversion"/>
  </si>
  <si>
    <t>투자주식</t>
    <phoneticPr fontId="2" type="noConversion"/>
  </si>
  <si>
    <t>우모건(클레스어라운드 50%, 타이탄 50%)</t>
  </si>
  <si>
    <t>차입금</t>
    <phoneticPr fontId="2" type="noConversion"/>
  </si>
  <si>
    <t>BV</t>
    <phoneticPr fontId="2" type="noConversion"/>
  </si>
  <si>
    <t>실질지분율</t>
    <phoneticPr fontId="2" type="noConversion"/>
  </si>
  <si>
    <t>FV</t>
    <phoneticPr fontId="2" type="noConversion"/>
  </si>
  <si>
    <t>클래스어라운드</t>
    <phoneticPr fontId="2" type="noConversion"/>
  </si>
  <si>
    <t>시스템노바</t>
    <phoneticPr fontId="2" type="noConversion"/>
  </si>
  <si>
    <t>티티에이</t>
    <phoneticPr fontId="2" type="noConversion"/>
  </si>
  <si>
    <t>3. CLASS</t>
    <phoneticPr fontId="2" type="noConversion"/>
  </si>
  <si>
    <t>투자부동산</t>
    <phoneticPr fontId="2" type="noConversion"/>
  </si>
  <si>
    <t>4. NOVA</t>
    <phoneticPr fontId="2" type="noConversion"/>
  </si>
  <si>
    <t>Key Assumption</t>
    <phoneticPr fontId="2" type="noConversion"/>
  </si>
  <si>
    <t>1. General</t>
    <phoneticPr fontId="2" type="noConversion"/>
  </si>
  <si>
    <t>Key Base Factors</t>
  </si>
  <si>
    <t>Valuation Date</t>
    <phoneticPr fontId="10" type="noConversion"/>
  </si>
  <si>
    <t>Market Data Date</t>
    <phoneticPr fontId="10" type="noConversion"/>
  </si>
  <si>
    <t>Year End after Valuation Date</t>
    <phoneticPr fontId="2" type="noConversion"/>
  </si>
  <si>
    <t>Partial Period Factor</t>
    <phoneticPr fontId="2" type="noConversion"/>
  </si>
  <si>
    <t>Macro Indicators(from EIU)</t>
  </si>
  <si>
    <t>소비자물가지수 (avg.)</t>
  </si>
  <si>
    <t>생산자물가지수 (avg.)</t>
  </si>
  <si>
    <t>평균명목임금상승률</t>
  </si>
  <si>
    <t>2. Key Assumption</t>
    <phoneticPr fontId="2" type="noConversion"/>
  </si>
  <si>
    <t>1. .강의 수 / 결제 건수</t>
    <phoneticPr fontId="2" type="noConversion"/>
  </si>
  <si>
    <t>TITAN</t>
    <phoneticPr fontId="2" type="noConversion"/>
  </si>
  <si>
    <t>부업</t>
    <phoneticPr fontId="2" type="noConversion"/>
  </si>
  <si>
    <t>강의수</t>
    <phoneticPr fontId="2" type="noConversion"/>
  </si>
  <si>
    <t>강의당 결제건수</t>
    <phoneticPr fontId="2" type="noConversion"/>
  </si>
  <si>
    <t>투자</t>
    <phoneticPr fontId="2" type="noConversion"/>
  </si>
  <si>
    <t>CLASS</t>
    <phoneticPr fontId="2" type="noConversion"/>
  </si>
  <si>
    <t>TTA</t>
    <phoneticPr fontId="2" type="noConversion"/>
  </si>
  <si>
    <t>강의수</t>
  </si>
  <si>
    <t>강의당 결제건수</t>
  </si>
  <si>
    <t>2. NOVA - 관리 플랫폼 수 / 플랫폼당 월 매출액 / 수수료율</t>
    <phoneticPr fontId="2" type="noConversion"/>
  </si>
  <si>
    <t>플랫폼당 월매출액</t>
    <phoneticPr fontId="2" type="noConversion"/>
  </si>
  <si>
    <t>수수료율</t>
    <phoneticPr fontId="2" type="noConversion"/>
  </si>
  <si>
    <t>1. Summary</t>
    <phoneticPr fontId="2" type="noConversion"/>
  </si>
  <si>
    <t>EBIT %</t>
    <phoneticPr fontId="2" type="noConversion"/>
  </si>
  <si>
    <t>D&amp;A</t>
    <phoneticPr fontId="2" type="noConversion"/>
  </si>
  <si>
    <t>EBITDA</t>
    <phoneticPr fontId="2" type="noConversion"/>
  </si>
  <si>
    <t>EBITDA %</t>
    <phoneticPr fontId="2" type="noConversion"/>
  </si>
  <si>
    <t>2. Revenue</t>
    <phoneticPr fontId="2" type="noConversion"/>
  </si>
  <si>
    <t>용역매출(강의매출)</t>
    <phoneticPr fontId="2" type="noConversion"/>
  </si>
  <si>
    <t>결제 건수</t>
    <phoneticPr fontId="2" type="noConversion"/>
  </si>
  <si>
    <t>강의 수</t>
    <phoneticPr fontId="2" type="noConversion"/>
  </si>
  <si>
    <t>건당결제액</t>
    <phoneticPr fontId="2" type="noConversion"/>
  </si>
  <si>
    <t>상품매출</t>
    <phoneticPr fontId="2" type="noConversion"/>
  </si>
  <si>
    <t>임대료매출</t>
    <phoneticPr fontId="2" type="noConversion"/>
  </si>
  <si>
    <t>3. Operating Expense</t>
    <phoneticPr fontId="2" type="noConversion"/>
  </si>
  <si>
    <t>% of Revenue</t>
    <phoneticPr fontId="2" type="noConversion"/>
  </si>
  <si>
    <t>인건비</t>
    <phoneticPr fontId="2" type="noConversion"/>
  </si>
  <si>
    <t>변동비</t>
    <phoneticPr fontId="2" type="noConversion"/>
  </si>
  <si>
    <t>고정비</t>
    <phoneticPr fontId="2" type="noConversion"/>
  </si>
  <si>
    <t>기타</t>
    <phoneticPr fontId="2" type="noConversion"/>
  </si>
  <si>
    <t>급여</t>
    <phoneticPr fontId="2" type="noConversion"/>
  </si>
  <si>
    <t>인원 수</t>
    <phoneticPr fontId="2" type="noConversion"/>
  </si>
  <si>
    <t>평균급여</t>
    <phoneticPr fontId="2" type="noConversion"/>
  </si>
  <si>
    <t>상여</t>
    <phoneticPr fontId="2" type="noConversion"/>
  </si>
  <si>
    <t>% of 급여</t>
  </si>
  <si>
    <t>퇴직급여</t>
    <phoneticPr fontId="2" type="noConversion"/>
  </si>
  <si>
    <t>복리후생비</t>
    <phoneticPr fontId="2" type="noConversion"/>
  </si>
  <si>
    <t>% of 급여</t>
    <phoneticPr fontId="2" type="noConversion"/>
  </si>
  <si>
    <t>지급수수료</t>
  </si>
  <si>
    <t>% of 매출액</t>
    <phoneticPr fontId="2" type="noConversion"/>
  </si>
  <si>
    <t>광고선전비</t>
  </si>
  <si>
    <t>외주용역비</t>
  </si>
  <si>
    <t>% of 매출액</t>
  </si>
  <si>
    <t>여비교통비</t>
  </si>
  <si>
    <t>접대비(기업업무추진비)</t>
  </si>
  <si>
    <t>감가상각비</t>
  </si>
  <si>
    <t>지급임차료</t>
  </si>
  <si>
    <t>보험료</t>
  </si>
  <si>
    <t>소모품비</t>
    <phoneticPr fontId="2" type="noConversion"/>
  </si>
  <si>
    <t>건물관리비</t>
  </si>
  <si>
    <t>리스료</t>
  </si>
  <si>
    <t>기타고정비</t>
    <phoneticPr fontId="2" type="noConversion"/>
  </si>
  <si>
    <t>4. D&amp;A</t>
    <phoneticPr fontId="2" type="noConversion"/>
  </si>
  <si>
    <t>CAPEX</t>
    <phoneticPr fontId="2" type="noConversion"/>
  </si>
  <si>
    <t>건물</t>
    <phoneticPr fontId="2" type="noConversion"/>
  </si>
  <si>
    <t>비품</t>
    <phoneticPr fontId="2" type="noConversion"/>
  </si>
  <si>
    <t>시설장치</t>
    <phoneticPr fontId="2" type="noConversion"/>
  </si>
  <si>
    <t>5. NWC</t>
    <phoneticPr fontId="2" type="noConversion"/>
  </si>
  <si>
    <t>NWC 변동</t>
    <phoneticPr fontId="2" type="noConversion"/>
  </si>
  <si>
    <t>NWC</t>
    <phoneticPr fontId="2" type="noConversion"/>
  </si>
  <si>
    <t>운전자산</t>
    <phoneticPr fontId="2" type="noConversion"/>
  </si>
  <si>
    <t>매출채권</t>
    <phoneticPr fontId="2" type="noConversion"/>
  </si>
  <si>
    <t>회전율</t>
    <phoneticPr fontId="2" type="noConversion"/>
  </si>
  <si>
    <t>회전기일</t>
    <phoneticPr fontId="2" type="noConversion"/>
  </si>
  <si>
    <t>선급금</t>
    <phoneticPr fontId="2" type="noConversion"/>
  </si>
  <si>
    <t>운전부채</t>
    <phoneticPr fontId="2" type="noConversion"/>
  </si>
  <si>
    <t>미지급금</t>
    <phoneticPr fontId="2" type="noConversion"/>
  </si>
  <si>
    <t>회전율</t>
  </si>
  <si>
    <t>회전기일</t>
  </si>
  <si>
    <t>용역매출</t>
    <phoneticPr fontId="2" type="noConversion"/>
  </si>
  <si>
    <t>부업</t>
  </si>
  <si>
    <t>결제 건수</t>
  </si>
  <si>
    <t>강의 수</t>
  </si>
  <si>
    <t>건당결제액</t>
  </si>
  <si>
    <t>투자</t>
  </si>
  <si>
    <t>무형자산상각비</t>
    <phoneticPr fontId="2" type="noConversion"/>
  </si>
  <si>
    <t>개발비</t>
    <phoneticPr fontId="2" type="noConversion"/>
  </si>
  <si>
    <t>비품</t>
  </si>
  <si>
    <t>시설장치</t>
  </si>
  <si>
    <t>NOVA</t>
    <phoneticPr fontId="2" type="noConversion"/>
  </si>
  <si>
    <t>정산대상결제액</t>
    <phoneticPr fontId="2" type="noConversion"/>
  </si>
  <si>
    <t>관리플랫폼수</t>
    <phoneticPr fontId="2" type="noConversion"/>
  </si>
  <si>
    <t>5월 개시</t>
    <phoneticPr fontId="2" type="noConversion"/>
  </si>
  <si>
    <t>4월부터 지급</t>
    <phoneticPr fontId="2" type="noConversion"/>
  </si>
  <si>
    <t>운전자산</t>
  </si>
  <si>
    <t>매출채권</t>
  </si>
  <si>
    <t>운전부채</t>
  </si>
  <si>
    <t>미지급금</t>
  </si>
  <si>
    <t>BS</t>
    <phoneticPr fontId="10" type="noConversion"/>
  </si>
  <si>
    <t>Level</t>
    <phoneticPr fontId="10" type="noConversion"/>
  </si>
  <si>
    <t>CODE</t>
    <phoneticPr fontId="10" type="noConversion"/>
  </si>
  <si>
    <t>FY24온기(제시)</t>
  </si>
  <si>
    <t>FY24온기(최종)</t>
    <phoneticPr fontId="11" type="noConversion"/>
  </si>
  <si>
    <t>FY24온기(최종)</t>
  </si>
  <si>
    <t>FY25반기(제시)</t>
  </si>
  <si>
    <t>FY25반기(최종)</t>
  </si>
  <si>
    <t>FY24기말(최종)</t>
    <phoneticPr fontId="11" type="noConversion"/>
  </si>
  <si>
    <t>클래스어라운드</t>
    <phoneticPr fontId="11" type="noConversion"/>
  </si>
  <si>
    <t>타이탄컴퍼니</t>
  </si>
  <si>
    <t>단순합</t>
    <phoneticPr fontId="11" type="noConversion"/>
  </si>
  <si>
    <t>연결최종</t>
  </si>
  <si>
    <t>우모건</t>
    <phoneticPr fontId="11" type="noConversion"/>
  </si>
  <si>
    <t>티티에이</t>
    <phoneticPr fontId="11" type="noConversion"/>
  </si>
  <si>
    <t>시스템노바</t>
    <phoneticPr fontId="11" type="noConversion"/>
  </si>
  <si>
    <t>연결 조정후</t>
    <phoneticPr fontId="11" type="noConversion"/>
  </si>
  <si>
    <t>1기 개별</t>
  </si>
  <si>
    <t>3기 개별</t>
    <phoneticPr fontId="11" type="noConversion"/>
  </si>
  <si>
    <t>3기 연결</t>
  </si>
  <si>
    <t>차</t>
    <phoneticPr fontId="10" type="noConversion"/>
  </si>
  <si>
    <t>대</t>
    <phoneticPr fontId="10" type="noConversion"/>
  </si>
  <si>
    <t>3기 연결</t>
    <phoneticPr fontId="11" type="noConversion"/>
  </si>
  <si>
    <t>1기 개별</t>
    <phoneticPr fontId="11" type="noConversion"/>
  </si>
  <si>
    <t>1기 개별(2/13설립)</t>
    <phoneticPr fontId="11" type="noConversion"/>
  </si>
  <si>
    <t>2기 개별</t>
  </si>
  <si>
    <t>4기 개별</t>
  </si>
  <si>
    <t>4기 연결</t>
  </si>
  <si>
    <t>4기 연결</t>
    <phoneticPr fontId="11" type="noConversion"/>
  </si>
  <si>
    <t>비교대상 기말</t>
    <phoneticPr fontId="10" type="noConversion"/>
  </si>
  <si>
    <t>비교대상 기초</t>
    <phoneticPr fontId="10" type="noConversion"/>
  </si>
  <si>
    <t>Ⅰ. 유동자산</t>
    <phoneticPr fontId="10" type="noConversion"/>
  </si>
  <si>
    <t>A</t>
    <phoneticPr fontId="10" type="noConversion"/>
  </si>
  <si>
    <t xml:space="preserve"> (1) 당좌자산</t>
    <phoneticPr fontId="10" type="noConversion"/>
  </si>
  <si>
    <t>A01</t>
    <phoneticPr fontId="10" type="noConversion"/>
  </si>
  <si>
    <t>현금</t>
  </si>
  <si>
    <t>A0101</t>
    <phoneticPr fontId="10" type="noConversion"/>
  </si>
  <si>
    <t>보통예금</t>
  </si>
  <si>
    <t>A0102</t>
  </si>
  <si>
    <t>외화보통예금</t>
  </si>
  <si>
    <t>A0103</t>
  </si>
  <si>
    <t>단기매매증권</t>
  </si>
  <si>
    <t>A0104</t>
  </si>
  <si>
    <t>매출채권</t>
    <phoneticPr fontId="11" type="noConversion"/>
  </si>
  <si>
    <t>A0105</t>
  </si>
  <si>
    <t>미수금</t>
  </si>
  <si>
    <t>A0106</t>
  </si>
  <si>
    <t>선급금</t>
  </si>
  <si>
    <t>A0107</t>
  </si>
  <si>
    <t>선급비용</t>
    <phoneticPr fontId="11" type="noConversion"/>
  </si>
  <si>
    <t>A0108</t>
  </si>
  <si>
    <t>가지급금</t>
    <phoneticPr fontId="11" type="noConversion"/>
  </si>
  <si>
    <t>A0109</t>
  </si>
  <si>
    <t>선급법인세</t>
    <phoneticPr fontId="11" type="noConversion"/>
  </si>
  <si>
    <t>A0110</t>
  </si>
  <si>
    <t>단기대여금</t>
  </si>
  <si>
    <t>A0111</t>
  </si>
  <si>
    <t>주.임.종단기채권</t>
  </si>
  <si>
    <t>A0112</t>
  </si>
  <si>
    <t xml:space="preserve"> (2) 재고자산</t>
    <phoneticPr fontId="10" type="noConversion"/>
  </si>
  <si>
    <t>A02</t>
    <phoneticPr fontId="10" type="noConversion"/>
  </si>
  <si>
    <t>…</t>
    <phoneticPr fontId="11" type="noConversion"/>
  </si>
  <si>
    <t>A0201</t>
    <phoneticPr fontId="10" type="noConversion"/>
  </si>
  <si>
    <t>Ⅱ. 비유동자산</t>
    <phoneticPr fontId="10" type="noConversion"/>
  </si>
  <si>
    <t xml:space="preserve"> (1) 매도가능증권</t>
    <phoneticPr fontId="10" type="noConversion"/>
  </si>
  <si>
    <t>A03</t>
    <phoneticPr fontId="10" type="noConversion"/>
  </si>
  <si>
    <t>매도가능증권</t>
    <phoneticPr fontId="11" type="noConversion"/>
  </si>
  <si>
    <t>A0302</t>
    <phoneticPr fontId="11" type="noConversion"/>
  </si>
  <si>
    <t>클래스어라운드(타이탄 39.0%)</t>
    <phoneticPr fontId="11" type="noConversion"/>
  </si>
  <si>
    <t>A030201</t>
    <phoneticPr fontId="11" type="noConversion"/>
  </si>
  <si>
    <t>시스템노바(타이탄 51.0%)</t>
    <phoneticPr fontId="11" type="noConversion"/>
  </si>
  <si>
    <t>A030202</t>
    <phoneticPr fontId="11" type="noConversion"/>
  </si>
  <si>
    <t>티티에이컴퍼니(타이탄 51.0%)</t>
    <phoneticPr fontId="11" type="noConversion"/>
  </si>
  <si>
    <t>A030203</t>
    <phoneticPr fontId="11" type="noConversion"/>
  </si>
  <si>
    <t>우모건(클레스어라운드 50%, 타이탄 50%)</t>
    <phoneticPr fontId="11" type="noConversion"/>
  </si>
  <si>
    <t>A030204</t>
    <phoneticPr fontId="11" type="noConversion"/>
  </si>
  <si>
    <t>작은거인들</t>
  </si>
  <si>
    <t>A030205</t>
  </si>
  <si>
    <t>㈜팩토리엑스아시아(클래스 50%, 개인 50%) 화장품 도매업</t>
  </si>
  <si>
    <t>A030206</t>
  </si>
  <si>
    <t>㈜리드팩토리(클래스 50%, 개인 50%) 광고대행업</t>
  </si>
  <si>
    <t>A030207</t>
  </si>
  <si>
    <t xml:space="preserve"> (2) 유형자산 </t>
    <phoneticPr fontId="10" type="noConversion"/>
  </si>
  <si>
    <t>A04</t>
    <phoneticPr fontId="10" type="noConversion"/>
  </si>
  <si>
    <t>토지</t>
  </si>
  <si>
    <t>A0401</t>
    <phoneticPr fontId="10" type="noConversion"/>
  </si>
  <si>
    <t>건물</t>
  </si>
  <si>
    <t>A0402</t>
    <phoneticPr fontId="10" type="noConversion"/>
  </si>
  <si>
    <t>감가상각누계액</t>
  </si>
  <si>
    <t>A0403</t>
  </si>
  <si>
    <t>A0404</t>
  </si>
  <si>
    <t>A0405</t>
  </si>
  <si>
    <t>A0406</t>
  </si>
  <si>
    <t>A0407</t>
  </si>
  <si>
    <t>건설중인자산</t>
  </si>
  <si>
    <t>A0408</t>
  </si>
  <si>
    <t xml:space="preserve"> (3) 무형자산 </t>
    <phoneticPr fontId="11" type="noConversion"/>
  </si>
  <si>
    <t>A05</t>
    <phoneticPr fontId="10" type="noConversion"/>
  </si>
  <si>
    <t>개발비(폰트개발)</t>
    <phoneticPr fontId="11" type="noConversion"/>
  </si>
  <si>
    <t>A0501</t>
    <phoneticPr fontId="10" type="noConversion"/>
  </si>
  <si>
    <t>소프트웨어</t>
    <phoneticPr fontId="11" type="noConversion"/>
  </si>
  <si>
    <t>A0502</t>
    <phoneticPr fontId="10" type="noConversion"/>
  </si>
  <si>
    <t xml:space="preserve"> (4) 투자부동산</t>
    <phoneticPr fontId="10" type="noConversion"/>
  </si>
  <si>
    <t>A06</t>
    <phoneticPr fontId="10" type="noConversion"/>
  </si>
  <si>
    <t>우모건 대여금</t>
    <phoneticPr fontId="11" type="noConversion"/>
  </si>
  <si>
    <t>A0601</t>
    <phoneticPr fontId="10" type="noConversion"/>
  </si>
  <si>
    <t>A0602</t>
  </si>
  <si>
    <t xml:space="preserve"> (4) 기타비유동자산</t>
    <phoneticPr fontId="10" type="noConversion"/>
  </si>
  <si>
    <t>A07</t>
    <phoneticPr fontId="10" type="noConversion"/>
  </si>
  <si>
    <t>임차보증금</t>
  </si>
  <si>
    <t>A0701</t>
    <phoneticPr fontId="10" type="noConversion"/>
  </si>
  <si>
    <t>기타보증금</t>
  </si>
  <si>
    <t>A0702</t>
  </si>
  <si>
    <t>이연법인세자산(비유동)</t>
    <phoneticPr fontId="11" type="noConversion"/>
  </si>
  <si>
    <t>A0703</t>
  </si>
  <si>
    <t>장기대여금</t>
    <phoneticPr fontId="10" type="noConversion"/>
  </si>
  <si>
    <t>A0704</t>
  </si>
  <si>
    <t>자산총계</t>
  </si>
  <si>
    <t xml:space="preserve">Ⅰ.유동부채 </t>
  </si>
  <si>
    <t>B01</t>
    <phoneticPr fontId="10" type="noConversion"/>
  </si>
  <si>
    <t>B0101</t>
    <phoneticPr fontId="10" type="noConversion"/>
  </si>
  <si>
    <t>매입채무</t>
    <phoneticPr fontId="11" type="noConversion"/>
  </si>
  <si>
    <t>B0102</t>
  </si>
  <si>
    <t>예수금</t>
  </si>
  <si>
    <t>B0103</t>
  </si>
  <si>
    <t>선수금</t>
    <phoneticPr fontId="11" type="noConversion"/>
  </si>
  <si>
    <t>B0104</t>
  </si>
  <si>
    <t>부가세예수금</t>
  </si>
  <si>
    <t>B0105</t>
  </si>
  <si>
    <t>단기차입금</t>
    <phoneticPr fontId="11" type="noConversion"/>
  </si>
  <si>
    <t>B0106</t>
  </si>
  <si>
    <t>주.임.종단기채무</t>
  </si>
  <si>
    <t>B0107</t>
  </si>
  <si>
    <t>미지급법인세</t>
    <phoneticPr fontId="11" type="noConversion"/>
  </si>
  <si>
    <t>B0108</t>
  </si>
  <si>
    <t>미지급비용</t>
  </si>
  <si>
    <t>B0109</t>
  </si>
  <si>
    <t>유동성장기차입금</t>
  </si>
  <si>
    <t>B0110</t>
  </si>
  <si>
    <t>Ⅱ. 비유동부채</t>
    <phoneticPr fontId="10" type="noConversion"/>
  </si>
  <si>
    <t>B02</t>
    <phoneticPr fontId="10" type="noConversion"/>
  </si>
  <si>
    <t>퇴직급여충당부채</t>
  </si>
  <si>
    <t>B0201</t>
    <phoneticPr fontId="10" type="noConversion"/>
  </si>
  <si>
    <t>퇴직연금운용자산</t>
  </si>
  <si>
    <t>B0202</t>
  </si>
  <si>
    <t>장기차입금</t>
  </si>
  <si>
    <t>B0203</t>
  </si>
  <si>
    <t>…</t>
  </si>
  <si>
    <t>B0204</t>
  </si>
  <si>
    <t>부채총계</t>
  </si>
  <si>
    <t>B</t>
    <phoneticPr fontId="10" type="noConversion"/>
  </si>
  <si>
    <t>Ⅰ.자본</t>
  </si>
  <si>
    <t>C</t>
    <phoneticPr fontId="10" type="noConversion"/>
  </si>
  <si>
    <t>(1) 자본금</t>
    <phoneticPr fontId="10" type="noConversion"/>
  </si>
  <si>
    <t>C01</t>
    <phoneticPr fontId="10" type="noConversion"/>
  </si>
  <si>
    <t>보통주자본금</t>
    <phoneticPr fontId="11" type="noConversion"/>
  </si>
  <si>
    <t>C0101</t>
    <phoneticPr fontId="10" type="noConversion"/>
  </si>
  <si>
    <t>(2) 자본잉여금</t>
    <phoneticPr fontId="10" type="noConversion"/>
  </si>
  <si>
    <t>C02</t>
    <phoneticPr fontId="10" type="noConversion"/>
  </si>
  <si>
    <t>주식발행초과금</t>
  </si>
  <si>
    <t>C0201</t>
    <phoneticPr fontId="10" type="noConversion"/>
  </si>
  <si>
    <t>C0202</t>
    <phoneticPr fontId="10" type="noConversion"/>
  </si>
  <si>
    <t>(3) 자본조정</t>
    <phoneticPr fontId="10" type="noConversion"/>
  </si>
  <si>
    <t>C03</t>
    <phoneticPr fontId="10" type="noConversion"/>
  </si>
  <si>
    <t>C0301</t>
    <phoneticPr fontId="10" type="noConversion"/>
  </si>
  <si>
    <t>(4) 기타포괄손익누계액</t>
    <phoneticPr fontId="10" type="noConversion"/>
  </si>
  <si>
    <t>C04</t>
    <phoneticPr fontId="10" type="noConversion"/>
  </si>
  <si>
    <t>지분법자본변동</t>
    <phoneticPr fontId="11" type="noConversion"/>
  </si>
  <si>
    <t>C0401</t>
    <phoneticPr fontId="10" type="noConversion"/>
  </si>
  <si>
    <t>매도가능증권평가손익</t>
    <phoneticPr fontId="11" type="noConversion"/>
  </si>
  <si>
    <t>C0402</t>
    <phoneticPr fontId="10" type="noConversion"/>
  </si>
  <si>
    <t>(5) 이익잉여금</t>
    <phoneticPr fontId="10" type="noConversion"/>
  </si>
  <si>
    <t>C05</t>
    <phoneticPr fontId="10" type="noConversion"/>
  </si>
  <si>
    <t>이익준비금</t>
  </si>
  <si>
    <t>C0501</t>
    <phoneticPr fontId="10" type="noConversion"/>
  </si>
  <si>
    <t>이월이익잉여금</t>
  </si>
  <si>
    <t>C0502</t>
    <phoneticPr fontId="11" type="noConversion"/>
  </si>
  <si>
    <t>배당금</t>
    <phoneticPr fontId="11" type="noConversion"/>
  </si>
  <si>
    <t>C0505</t>
    <phoneticPr fontId="11" type="noConversion"/>
  </si>
  <si>
    <t>전기오류수정(회사사용계정)</t>
    <phoneticPr fontId="11" type="noConversion"/>
  </si>
  <si>
    <t>C0504</t>
    <phoneticPr fontId="11" type="noConversion"/>
  </si>
  <si>
    <t>NI</t>
    <phoneticPr fontId="10" type="noConversion"/>
  </si>
  <si>
    <t>C0503</t>
  </si>
  <si>
    <t>Ⅱ. 비지배지분</t>
    <phoneticPr fontId="10" type="noConversion"/>
  </si>
  <si>
    <t>C06</t>
    <phoneticPr fontId="10" type="noConversion"/>
  </si>
  <si>
    <t>자본총계</t>
  </si>
  <si>
    <t>na</t>
  </si>
  <si>
    <t>na</t>
    <phoneticPr fontId="11" type="noConversion"/>
  </si>
  <si>
    <t>부채와자본총계</t>
  </si>
  <si>
    <t>강의플랫폼 제작업체 총액출의 15%를 수수료로 가짐</t>
    <phoneticPr fontId="11" type="noConversion"/>
  </si>
  <si>
    <t>IS</t>
    <phoneticPr fontId="10" type="noConversion"/>
  </si>
  <si>
    <t>Level</t>
  </si>
  <si>
    <t>CODE</t>
  </si>
  <si>
    <t>FY24반기(최종)</t>
    <phoneticPr fontId="11" type="noConversion"/>
  </si>
  <si>
    <t>클래스어라운드</t>
  </si>
  <si>
    <t>단순합</t>
  </si>
  <si>
    <t>우모건</t>
  </si>
  <si>
    <t>티티에이</t>
  </si>
  <si>
    <t>시스템노바</t>
  </si>
  <si>
    <t>연결 조정후</t>
  </si>
  <si>
    <t>비교대상 당기</t>
    <phoneticPr fontId="10" type="noConversion"/>
  </si>
  <si>
    <t>1기 개별(2/13설립)</t>
  </si>
  <si>
    <t>비교대상 전기</t>
    <phoneticPr fontId="10" type="noConversion"/>
  </si>
  <si>
    <t>영업수익</t>
    <phoneticPr fontId="10" type="noConversion"/>
  </si>
  <si>
    <t>D01</t>
    <phoneticPr fontId="10" type="noConversion"/>
  </si>
  <si>
    <t>상품매출</t>
  </si>
  <si>
    <t>D0101</t>
    <phoneticPr fontId="10" type="noConversion"/>
  </si>
  <si>
    <t>용역매출</t>
  </si>
  <si>
    <t>D0102</t>
  </si>
  <si>
    <t>수수료매출</t>
    <phoneticPr fontId="11" type="noConversion"/>
  </si>
  <si>
    <t>D0103</t>
  </si>
  <si>
    <t>임대료매출</t>
    <phoneticPr fontId="11" type="noConversion"/>
  </si>
  <si>
    <t>D0104</t>
    <phoneticPr fontId="11" type="noConversion"/>
  </si>
  <si>
    <t>매출원가</t>
    <phoneticPr fontId="10" type="noConversion"/>
  </si>
  <si>
    <t>D02</t>
    <phoneticPr fontId="10" type="noConversion"/>
  </si>
  <si>
    <t>상품매출원가</t>
    <phoneticPr fontId="10" type="noConversion"/>
  </si>
  <si>
    <t>D0201</t>
    <phoneticPr fontId="11" type="noConversion"/>
  </si>
  <si>
    <t>기초상품재고</t>
    <phoneticPr fontId="11" type="noConversion"/>
  </si>
  <si>
    <t>D020101</t>
    <phoneticPr fontId="11" type="noConversion"/>
  </si>
  <si>
    <t>당기상품매입</t>
    <phoneticPr fontId="11" type="noConversion"/>
  </si>
  <si>
    <t>D020102</t>
  </si>
  <si>
    <t>기말상품재고액</t>
  </si>
  <si>
    <t>D020103</t>
  </si>
  <si>
    <t>용역매출원가</t>
    <phoneticPr fontId="10" type="noConversion"/>
  </si>
  <si>
    <t>D0202</t>
    <phoneticPr fontId="11" type="noConversion"/>
  </si>
  <si>
    <t>매출총이익</t>
    <phoneticPr fontId="10" type="noConversion"/>
  </si>
  <si>
    <t>D</t>
    <phoneticPr fontId="10" type="noConversion"/>
  </si>
  <si>
    <t>판매관리비</t>
    <phoneticPr fontId="10" type="noConversion"/>
  </si>
  <si>
    <t>D03</t>
    <phoneticPr fontId="10" type="noConversion"/>
  </si>
  <si>
    <t>직원급여</t>
  </si>
  <si>
    <t>D0301</t>
    <phoneticPr fontId="10" type="noConversion"/>
  </si>
  <si>
    <t>상여금</t>
  </si>
  <si>
    <t>D0302</t>
  </si>
  <si>
    <t>잡급</t>
  </si>
  <si>
    <t>D0303</t>
  </si>
  <si>
    <t>퇴직급여</t>
  </si>
  <si>
    <t>D0304</t>
  </si>
  <si>
    <t>복리후생비</t>
  </si>
  <si>
    <t>D0305</t>
  </si>
  <si>
    <t>D0306</t>
  </si>
  <si>
    <t>D0307</t>
  </si>
  <si>
    <t>통신비</t>
  </si>
  <si>
    <t>D0308</t>
  </si>
  <si>
    <t>수도광열비</t>
  </si>
  <si>
    <t>D0309</t>
  </si>
  <si>
    <t>전력비</t>
    <phoneticPr fontId="11" type="noConversion"/>
  </si>
  <si>
    <t>D0310</t>
  </si>
  <si>
    <t>세금과공과금</t>
  </si>
  <si>
    <t>D0311</t>
  </si>
  <si>
    <t>D0312</t>
  </si>
  <si>
    <t>D0313</t>
  </si>
  <si>
    <t>수선비</t>
  </si>
  <si>
    <t>D0314</t>
  </si>
  <si>
    <t>D0315</t>
  </si>
  <si>
    <t>차량유지비</t>
  </si>
  <si>
    <t>D0316</t>
  </si>
  <si>
    <t>운반비</t>
  </si>
  <si>
    <t>D0317</t>
  </si>
  <si>
    <t>교육훈련비</t>
  </si>
  <si>
    <t>D0318</t>
  </si>
  <si>
    <t>도서인쇄비</t>
  </si>
  <si>
    <t>D0319</t>
  </si>
  <si>
    <t>사무용품비</t>
  </si>
  <si>
    <t>D0320</t>
  </si>
  <si>
    <t>소모품비</t>
  </si>
  <si>
    <t>D0321</t>
  </si>
  <si>
    <t>D0322</t>
  </si>
  <si>
    <t>D0323</t>
  </si>
  <si>
    <t>D0324</t>
  </si>
  <si>
    <t>무형고정자산상각</t>
  </si>
  <si>
    <t>D0325</t>
  </si>
  <si>
    <t>D0326</t>
  </si>
  <si>
    <t>D0327</t>
  </si>
  <si>
    <t>강사정산비</t>
    <phoneticPr fontId="11" type="noConversion"/>
  </si>
  <si>
    <t>D0328</t>
  </si>
  <si>
    <t>잡비</t>
  </si>
  <si>
    <t>D0329</t>
  </si>
  <si>
    <t>영업이익</t>
    <phoneticPr fontId="10" type="noConversion"/>
  </si>
  <si>
    <t>D</t>
  </si>
  <si>
    <t>영업외수익</t>
    <phoneticPr fontId="10" type="noConversion"/>
  </si>
  <si>
    <t>D04</t>
    <phoneticPr fontId="10" type="noConversion"/>
  </si>
  <si>
    <t>이자수익</t>
  </si>
  <si>
    <t>D0401</t>
    <phoneticPr fontId="10" type="noConversion"/>
  </si>
  <si>
    <t>배당금수익</t>
  </si>
  <si>
    <t>D0402</t>
    <phoneticPr fontId="10" type="noConversion"/>
  </si>
  <si>
    <t>유형자산처분이익</t>
    <phoneticPr fontId="11" type="noConversion"/>
  </si>
  <si>
    <t>D0403</t>
  </si>
  <si>
    <t>잡이익</t>
  </si>
  <si>
    <t>D0404</t>
  </si>
  <si>
    <t>단기매매증권평가이익</t>
  </si>
  <si>
    <t>D0405</t>
    <phoneticPr fontId="11" type="noConversion"/>
  </si>
  <si>
    <t>무형자산처분이익</t>
    <phoneticPr fontId="11" type="noConversion"/>
  </si>
  <si>
    <t>D0406</t>
    <phoneticPr fontId="11" type="noConversion"/>
  </si>
  <si>
    <t>영업외비용</t>
    <phoneticPr fontId="10" type="noConversion"/>
  </si>
  <si>
    <t>D05</t>
    <phoneticPr fontId="10" type="noConversion"/>
  </si>
  <si>
    <t>이자비용</t>
  </si>
  <si>
    <t>D0501</t>
    <phoneticPr fontId="10" type="noConversion"/>
  </si>
  <si>
    <t>외환차손</t>
  </si>
  <si>
    <t>D0502</t>
    <phoneticPr fontId="10" type="noConversion"/>
  </si>
  <si>
    <t>투자자산처분손실</t>
    <phoneticPr fontId="11" type="noConversion"/>
  </si>
  <si>
    <t>D0503</t>
  </si>
  <si>
    <t>매도가능주식처분손실</t>
    <phoneticPr fontId="11" type="noConversion"/>
  </si>
  <si>
    <t>D0504</t>
  </si>
  <si>
    <t>잡손실</t>
  </si>
  <si>
    <t>D0505</t>
    <phoneticPr fontId="11" type="noConversion"/>
  </si>
  <si>
    <t>무형자산손상차손</t>
    <phoneticPr fontId="11" type="noConversion"/>
  </si>
  <si>
    <t>D0506</t>
    <phoneticPr fontId="11" type="noConversion"/>
  </si>
  <si>
    <t>법인세비용차감전순이익</t>
    <phoneticPr fontId="10" type="noConversion"/>
  </si>
  <si>
    <t>법인세비용</t>
  </si>
  <si>
    <t>D0601</t>
    <phoneticPr fontId="10" type="noConversion"/>
  </si>
  <si>
    <t>계속영업당기순이익</t>
    <phoneticPr fontId="10" type="noConversion"/>
  </si>
  <si>
    <t>24' 기말 조정</t>
    <phoneticPr fontId="11" type="noConversion"/>
  </si>
  <si>
    <t>25' 반기 조정</t>
    <phoneticPr fontId="11" type="noConversion"/>
  </si>
  <si>
    <t>계정과목</t>
    <phoneticPr fontId="10" type="noConversion"/>
  </si>
  <si>
    <t>금액</t>
    <phoneticPr fontId="10" type="noConversion"/>
  </si>
  <si>
    <t>계정과목</t>
  </si>
  <si>
    <t>금액</t>
  </si>
  <si>
    <t>투자자본상계제거</t>
    <phoneticPr fontId="11" type="noConversion"/>
  </si>
  <si>
    <t>보통주자본금</t>
  </si>
  <si>
    <t>C0101</t>
  </si>
  <si>
    <t>A030201</t>
  </si>
  <si>
    <t>클래스어라운드 투자주식</t>
    <phoneticPr fontId="11" type="noConversion"/>
  </si>
  <si>
    <t>비지배지분</t>
    <phoneticPr fontId="11" type="noConversion"/>
  </si>
  <si>
    <t>C06</t>
  </si>
  <si>
    <t>채권채무/수익비용 상계</t>
    <phoneticPr fontId="11" type="noConversion"/>
  </si>
  <si>
    <t>N/A</t>
    <phoneticPr fontId="11" type="noConversion"/>
  </si>
  <si>
    <t>임대료매출(타이탄)</t>
    <phoneticPr fontId="11" type="noConversion"/>
  </si>
  <si>
    <t>D0104</t>
  </si>
  <si>
    <t>시스템노바 투자주식</t>
    <phoneticPr fontId="11" type="noConversion"/>
  </si>
  <si>
    <t>A030202</t>
  </si>
  <si>
    <t>비지배지분</t>
  </si>
  <si>
    <t>수수료매출</t>
  </si>
  <si>
    <t>지급수수료(타이탄)</t>
    <phoneticPr fontId="11" type="noConversion"/>
  </si>
  <si>
    <t>이자수익(타이탄)</t>
    <phoneticPr fontId="11" type="noConversion"/>
  </si>
  <si>
    <t>D0401</t>
  </si>
  <si>
    <t>이자비용</t>
    <phoneticPr fontId="11" type="noConversion"/>
  </si>
  <si>
    <t>D0501</t>
  </si>
  <si>
    <t>단기차입금</t>
  </si>
  <si>
    <t>단기대여금(타이탄)</t>
    <phoneticPr fontId="11" type="noConversion"/>
  </si>
  <si>
    <t>티티에이컴퍼니</t>
    <phoneticPr fontId="11" type="noConversion"/>
  </si>
  <si>
    <t>티티에이컴퍼니 투자주식</t>
    <phoneticPr fontId="11" type="noConversion"/>
  </si>
  <si>
    <t>A030203</t>
  </si>
  <si>
    <t>미지급금(타이탄)</t>
    <phoneticPr fontId="11" type="noConversion"/>
  </si>
  <si>
    <t>B0101</t>
  </si>
  <si>
    <t>선급비용</t>
  </si>
  <si>
    <t>우모건 투자주식</t>
    <phoneticPr fontId="11" type="noConversion"/>
  </si>
  <si>
    <t>A030204</t>
  </si>
  <si>
    <t>단기대여금(타이탄)</t>
  </si>
  <si>
    <t>자회사간거래 등</t>
    <phoneticPr fontId="11" type="noConversion"/>
  </si>
  <si>
    <t>수수료매출(시스템노바)</t>
    <phoneticPr fontId="11" type="noConversion"/>
  </si>
  <si>
    <t>개발비(클래스)</t>
    <phoneticPr fontId="11" type="noConversion"/>
  </si>
  <si>
    <t>A0501</t>
  </si>
  <si>
    <t>무형고정자산상각(클래스)</t>
    <phoneticPr fontId="11" type="noConversion"/>
  </si>
  <si>
    <t>단기차입금(우모건)</t>
    <phoneticPr fontId="11" type="noConversion"/>
  </si>
  <si>
    <t>주.임.종단기채권(클래스)</t>
    <phoneticPr fontId="11" type="noConversion"/>
  </si>
  <si>
    <t>기타 오류조정</t>
    <phoneticPr fontId="11" type="noConversion"/>
  </si>
  <si>
    <t>클레스어라운드 개발비 손상처리</t>
    <phoneticPr fontId="11" type="noConversion"/>
  </si>
  <si>
    <t>무형자산손상차손(클래스)</t>
    <phoneticPr fontId="11" type="noConversion"/>
  </si>
  <si>
    <t>D0506</t>
  </si>
  <si>
    <t>클래스어라운드 강사정산비 외주용역비 대체</t>
    <phoneticPr fontId="11" type="noConversion"/>
  </si>
  <si>
    <t>외주용역비(클래스)</t>
    <phoneticPr fontId="11" type="noConversion"/>
  </si>
  <si>
    <t>강사정산비(클래스)</t>
    <phoneticPr fontId="11" type="noConversion"/>
  </si>
  <si>
    <t>클래스어라운드 우모건 대여금의 주임종단기채권 대체(모두 대표이사 대여금임)</t>
    <phoneticPr fontId="11" type="noConversion"/>
  </si>
  <si>
    <t>우모건 대여금</t>
  </si>
  <si>
    <t>A0601</t>
  </si>
  <si>
    <t>클래스어라운드 판관잡비의 수선비 대체(시설장치 보수비)</t>
    <phoneticPr fontId="11" type="noConversion"/>
  </si>
  <si>
    <t>시스템노바 차입금 계정잔액 조정</t>
    <phoneticPr fontId="11" type="noConversion"/>
  </si>
  <si>
    <t>단기차입금(시스템노바)</t>
    <phoneticPr fontId="11" type="noConversion"/>
  </si>
  <si>
    <t>잡이익(시스템노바)</t>
    <phoneticPr fontId="11" type="noConversion"/>
  </si>
  <si>
    <t>티티에이 감가상각누락 조정</t>
    <phoneticPr fontId="11" type="noConversion"/>
  </si>
  <si>
    <t>감가상각비(티티에이)</t>
    <phoneticPr fontId="11" type="noConversion"/>
  </si>
  <si>
    <t>감가상각누계액(티티에이)</t>
    <phoneticPr fontId="11" type="noConversion"/>
  </si>
  <si>
    <t>티티에이 대표이사 대여금의 가지급금에서 주임종채권으로 대체</t>
    <phoneticPr fontId="11" type="noConversion"/>
  </si>
  <si>
    <t>가지급금</t>
  </si>
  <si>
    <t>티티에이 매입채무의 미지급금 대체</t>
    <phoneticPr fontId="11" type="noConversion"/>
  </si>
  <si>
    <t>매입채무</t>
  </si>
  <si>
    <t>타이탄</t>
    <phoneticPr fontId="2" type="noConversion"/>
  </si>
  <si>
    <t>직급명</t>
    <phoneticPr fontId="2" type="noConversion"/>
  </si>
  <si>
    <t>이름</t>
    <phoneticPr fontId="2" type="noConversion"/>
  </si>
  <si>
    <t>팀별 인원</t>
    <phoneticPr fontId="2" type="noConversion"/>
  </si>
  <si>
    <t>인원수</t>
    <phoneticPr fontId="2" type="noConversion"/>
  </si>
  <si>
    <t>8월 입사예정자</t>
    <phoneticPr fontId="2" type="noConversion"/>
  </si>
  <si>
    <t>총합</t>
    <phoneticPr fontId="2" type="noConversion"/>
  </si>
  <si>
    <t>인턴</t>
    <phoneticPr fontId="2" type="noConversion"/>
  </si>
  <si>
    <t>배현서</t>
    <phoneticPr fontId="2" type="noConversion"/>
  </si>
  <si>
    <t>장규빈</t>
    <phoneticPr fontId="2" type="noConversion"/>
  </si>
  <si>
    <t>이병주</t>
    <phoneticPr fontId="2" type="noConversion"/>
  </si>
  <si>
    <t>경영지원팀</t>
    <phoneticPr fontId="2" type="noConversion"/>
  </si>
  <si>
    <t>사원</t>
    <phoneticPr fontId="2" type="noConversion"/>
  </si>
  <si>
    <t>김율</t>
    <phoneticPr fontId="2" type="noConversion"/>
  </si>
  <si>
    <t>김유경</t>
    <phoneticPr fontId="2" type="noConversion"/>
  </si>
  <si>
    <t>박주연</t>
    <phoneticPr fontId="2" type="noConversion"/>
  </si>
  <si>
    <t>구도희</t>
    <phoneticPr fontId="2" type="noConversion"/>
  </si>
  <si>
    <t>김성수</t>
    <phoneticPr fontId="2" type="noConversion"/>
  </si>
  <si>
    <t>임채희</t>
    <phoneticPr fontId="2" type="noConversion"/>
  </si>
  <si>
    <t>박성호</t>
    <phoneticPr fontId="2" type="noConversion"/>
  </si>
  <si>
    <t>이철진</t>
    <phoneticPr fontId="2" type="noConversion"/>
  </si>
  <si>
    <t>교육팀</t>
    <phoneticPr fontId="2" type="noConversion"/>
  </si>
  <si>
    <t>주임</t>
    <phoneticPr fontId="2" type="noConversion"/>
  </si>
  <si>
    <t>콘텐츠팀</t>
    <phoneticPr fontId="2" type="noConversion"/>
  </si>
  <si>
    <t>대리</t>
    <phoneticPr fontId="2" type="noConversion"/>
  </si>
  <si>
    <t>홍의찬</t>
    <phoneticPr fontId="2" type="noConversion"/>
  </si>
  <si>
    <t>김진산</t>
    <phoneticPr fontId="2" type="noConversion"/>
  </si>
  <si>
    <t>김수화</t>
    <phoneticPr fontId="2" type="noConversion"/>
  </si>
  <si>
    <t>이석용</t>
    <phoneticPr fontId="2" type="noConversion"/>
  </si>
  <si>
    <t>주상하</t>
    <phoneticPr fontId="2" type="noConversion"/>
  </si>
  <si>
    <t>고강현</t>
    <phoneticPr fontId="2" type="noConversion"/>
  </si>
  <si>
    <t>김성규</t>
    <phoneticPr fontId="2" type="noConversion"/>
  </si>
  <si>
    <t>우승수</t>
    <phoneticPr fontId="2" type="noConversion"/>
  </si>
  <si>
    <t>오선재</t>
    <phoneticPr fontId="2" type="noConversion"/>
  </si>
  <si>
    <t>이사</t>
    <phoneticPr fontId="2" type="noConversion"/>
  </si>
  <si>
    <t>과장</t>
    <phoneticPr fontId="2" type="noConversion"/>
  </si>
  <si>
    <t>대표</t>
    <phoneticPr fontId="2" type="noConversion"/>
  </si>
  <si>
    <t>부장</t>
    <phoneticPr fontId="2" type="noConversion"/>
  </si>
  <si>
    <t>김태희</t>
    <phoneticPr fontId="2" type="noConversion"/>
  </si>
  <si>
    <t>박세진</t>
    <phoneticPr fontId="2" type="noConversion"/>
  </si>
  <si>
    <t>백승훈</t>
    <phoneticPr fontId="2" type="noConversion"/>
  </si>
  <si>
    <t>오윤록</t>
    <phoneticPr fontId="2" type="noConversion"/>
  </si>
  <si>
    <t>박세영</t>
  </si>
  <si>
    <t>임규리</t>
  </si>
  <si>
    <t>장민용</t>
  </si>
  <si>
    <t>진종범</t>
  </si>
  <si>
    <t>최유진</t>
  </si>
  <si>
    <t>황지유</t>
  </si>
  <si>
    <t>김예지</t>
  </si>
  <si>
    <t>이민정</t>
  </si>
  <si>
    <t>권혁진</t>
  </si>
  <si>
    <t>권혁진
(2개월 인턴)</t>
  </si>
  <si>
    <t>권혁진(2개월 인턴)</t>
  </si>
  <si>
    <t>구소희</t>
  </si>
  <si>
    <t>최지운</t>
  </si>
  <si>
    <t>김지현</t>
  </si>
  <si>
    <t>이지훈</t>
  </si>
  <si>
    <t>이지훈
(2개월 인턴)</t>
  </si>
  <si>
    <t>이지훈(2개월 인턴)</t>
  </si>
  <si>
    <t>최정우</t>
  </si>
  <si>
    <t>남민지</t>
  </si>
  <si>
    <t>남민지
(2개월 인턴)</t>
  </si>
  <si>
    <t>남민지(2개월 인턴)</t>
  </si>
  <si>
    <t>이원철</t>
  </si>
  <si>
    <t>송지현</t>
  </si>
  <si>
    <t>이채현</t>
  </si>
  <si>
    <t>김세림(2개월 인턴)</t>
  </si>
  <si>
    <t>서현준</t>
  </si>
  <si>
    <t>윤지원</t>
  </si>
  <si>
    <t>송한슬</t>
  </si>
  <si>
    <t>4월</t>
    <phoneticPr fontId="2" type="noConversion"/>
  </si>
  <si>
    <t>5월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</si>
  <si>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</si>
  <si>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</si>
  <si>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</si>
  <si>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</si>
  <si>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</si>
  <si>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</si>
  <si>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</si>
  <si>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박창욱</t>
    <phoneticPr fontId="2" type="noConversion"/>
  </si>
  <si>
    <t>천지인</t>
    <phoneticPr fontId="2" type="noConversion"/>
  </si>
  <si>
    <t>권혁진</t>
    <phoneticPr fontId="2" type="noConversion"/>
  </si>
  <si>
    <t>박신우</t>
    <phoneticPr fontId="2" type="noConversion"/>
  </si>
  <si>
    <t>양찬휘</t>
    <phoneticPr fontId="2" type="noConversion"/>
  </si>
  <si>
    <t>이가현</t>
    <phoneticPr fontId="2" type="noConversion"/>
  </si>
  <si>
    <t>황지유</t>
    <phoneticPr fontId="2" type="noConversion"/>
  </si>
  <si>
    <t>오후록</t>
    <phoneticPr fontId="2" type="noConversion"/>
  </si>
  <si>
    <t>최지운</t>
    <phoneticPr fontId="2" type="noConversion"/>
  </si>
  <si>
    <t>기간</t>
    <phoneticPr fontId="2" type="noConversion"/>
  </si>
  <si>
    <t>카테고리</t>
    <phoneticPr fontId="2" type="noConversion"/>
  </si>
  <si>
    <t>웨비나</t>
  </si>
  <si>
    <t>강사명</t>
  </si>
  <si>
    <t>기수</t>
  </si>
  <si>
    <t>강의주제</t>
  </si>
  <si>
    <t>결제수
(전환수)</t>
  </si>
  <si>
    <t>총 매출
(PG수수료제외 전)</t>
  </si>
  <si>
    <t>PG사
수수료</t>
  </si>
  <si>
    <t>매출
(수수료 제외)</t>
  </si>
  <si>
    <t>강사
정산금</t>
  </si>
  <si>
    <t>대포부대
정산금</t>
  </si>
  <si>
    <t>소총부대
정산금</t>
  </si>
  <si>
    <t>타이탄정산금</t>
  </si>
  <si>
    <t>GDN</t>
  </si>
  <si>
    <t>GDN 부가세</t>
  </si>
  <si>
    <t>메타/당근/틱톡</t>
  </si>
  <si>
    <t>대행비</t>
  </si>
  <si>
    <t>채널톡
/ 모먼트</t>
  </si>
  <si>
    <t>광고비
총계</t>
  </si>
  <si>
    <t>영상 외주</t>
  </si>
  <si>
    <t>전자책</t>
  </si>
  <si>
    <t>상페</t>
  </si>
  <si>
    <t>기타비용</t>
  </si>
  <si>
    <t>총 비용</t>
  </si>
  <si>
    <t>타클 순이익</t>
  </si>
  <si>
    <t>24.2.29 (목)</t>
  </si>
  <si>
    <t>어비, 유튜브훈련소</t>
  </si>
  <si>
    <t>1기</t>
  </si>
  <si>
    <t>유튜브 편집 마스터 클래스</t>
  </si>
  <si>
    <t>2024A</t>
  </si>
  <si>
    <t>24.3.5 (화)</t>
  </si>
  <si>
    <t>자사몰의 모든것</t>
  </si>
  <si>
    <t>24.3.26 (화)</t>
  </si>
  <si>
    <t>작은성공</t>
  </si>
  <si>
    <t>직원 한 명으로 월 7억 매출만들기</t>
  </si>
  <si>
    <t>24.4.8 (월)</t>
  </si>
  <si>
    <t>오션</t>
  </si>
  <si>
    <t>해외구매대행 끝장캐리</t>
  </si>
  <si>
    <t>24.4.16 (화)</t>
  </si>
  <si>
    <t>보부상</t>
  </si>
  <si>
    <t>건강식품 올인원</t>
  </si>
  <si>
    <t>24.4.24 (수)</t>
  </si>
  <si>
    <t>타이탄철물점</t>
  </si>
  <si>
    <t>_x0008_농수산물 위탁판매의 모든것</t>
  </si>
  <si>
    <t>24.4.30 (화)</t>
  </si>
  <si>
    <t>2기</t>
  </si>
  <si>
    <t>24.5.7 (화)</t>
  </si>
  <si>
    <t>24.5.14 (화)</t>
  </si>
  <si>
    <t>알파남 김지수</t>
  </si>
  <si>
    <t>에드센스 수익화의 모든것</t>
  </si>
  <si>
    <t>24.5.16 (목)</t>
  </si>
  <si>
    <t>로고 마스터클래스(VOD)</t>
  </si>
  <si>
    <t>24.5.23 (목)</t>
  </si>
  <si>
    <t>24.5.28 (화)</t>
  </si>
  <si>
    <t>농수산물 위탁판매의 모든것</t>
  </si>
  <si>
    <t>24.5.30 (목)</t>
  </si>
  <si>
    <t>어비</t>
  </si>
  <si>
    <t>유튜브 수익화의 모든것</t>
  </si>
  <si>
    <t>24.6.6 (목)</t>
  </si>
  <si>
    <t>24.6.11 (화)</t>
  </si>
  <si>
    <t>김해준</t>
  </si>
  <si>
    <t>_x0008_1:1 마케팅 밀착 컨설팅</t>
  </si>
  <si>
    <t>24.6.13 (목)</t>
  </si>
  <si>
    <t>3기</t>
  </si>
  <si>
    <t>24.6.18 (화)</t>
  </si>
  <si>
    <t>24.6.20 (목)</t>
  </si>
  <si>
    <t>상세페이지 라이브</t>
  </si>
  <si>
    <t>24.6.25 (화)</t>
  </si>
  <si>
    <t>노병곤</t>
  </si>
  <si>
    <t>쿠팡 농축산물 위탁판매</t>
  </si>
  <si>
    <t>24.7.4 (목)</t>
  </si>
  <si>
    <t>월 100만원 유튜브편집의 모든것</t>
  </si>
  <si>
    <t>24.7.11 (목)</t>
  </si>
  <si>
    <t>24.7.16 (화)</t>
  </si>
  <si>
    <t>24.7.25 (목)</t>
  </si>
  <si>
    <t>24.7.30 (화)</t>
  </si>
  <si>
    <t>영끌남</t>
  </si>
  <si>
    <t>소액으로 건물주 되기</t>
  </si>
  <si>
    <t>24.8.8 (목)</t>
  </si>
  <si>
    <t>네이버 플레이스 부업</t>
  </si>
  <si>
    <t>24.8.13 (화)</t>
  </si>
  <si>
    <t>4기</t>
  </si>
  <si>
    <t>쿠팡 로켓그로스</t>
  </si>
  <si>
    <t>24.8.20 (화)</t>
  </si>
  <si>
    <t>건강식품의 모든것</t>
  </si>
  <si>
    <t>24.8.22 (목)</t>
  </si>
  <si>
    <t>24.8.27 (화)</t>
  </si>
  <si>
    <t>24.9.3 (화)</t>
  </si>
  <si>
    <t>24.9.5 (목)</t>
  </si>
  <si>
    <t>24.9.10 (화)</t>
  </si>
  <si>
    <t>24.9.11 (수)</t>
  </si>
  <si>
    <t>김피비</t>
  </si>
  <si>
    <t>-</t>
  </si>
  <si>
    <t>100% 잃지 않는 주식투자</t>
  </si>
  <si>
    <t>24.9.12 (목)</t>
  </si>
  <si>
    <t>24.9.24 (화)</t>
  </si>
  <si>
    <t>24.9.26 (목)</t>
  </si>
  <si>
    <t>워드프레스 수익화</t>
  </si>
  <si>
    <t>24.10.1 (화)</t>
  </si>
  <si>
    <t>캡스톤팀</t>
  </si>
  <si>
    <t>글로벌쇼핑 쇼피파이</t>
  </si>
  <si>
    <t>24.10.8 (화)</t>
  </si>
  <si>
    <t>매필녀</t>
  </si>
  <si>
    <t>Chat gpt 사관학교</t>
  </si>
  <si>
    <t>24.10.14 (월)</t>
  </si>
  <si>
    <t>서과장, 홍시</t>
  </si>
  <si>
    <t>초보자도 고매출까지 해외구매대행</t>
  </si>
  <si>
    <t>24.10.17 (목)</t>
  </si>
  <si>
    <t>서블리원</t>
  </si>
  <si>
    <t>굿즈 창업의 모든것</t>
  </si>
  <si>
    <t>24.10.22 (화)</t>
  </si>
  <si>
    <t>5기</t>
  </si>
  <si>
    <t>24.10.24 (목)</t>
  </si>
  <si>
    <t>유튜브수익화의 모든것</t>
  </si>
  <si>
    <t>24.10.28 (월)</t>
  </si>
  <si>
    <t>24.10.29 (화)</t>
  </si>
  <si>
    <t>24.10.31 (목)</t>
  </si>
  <si>
    <t>아마다군</t>
  </si>
  <si>
    <t>1억으로 시작하는 꼬마빌딩 투자</t>
  </si>
  <si>
    <t>24.11.7 (목)</t>
  </si>
  <si>
    <t>24.11.12 (화)</t>
  </si>
  <si>
    <t>비즈니스 해킹스쿨</t>
  </si>
  <si>
    <t>24.11.14 (목)</t>
  </si>
  <si>
    <t>주노정 &amp; 박세영</t>
  </si>
  <si>
    <t>자사몰 + 건기식 올인원</t>
  </si>
  <si>
    <t>24.11.19 (화)</t>
  </si>
  <si>
    <t>24.11.21 (목)</t>
  </si>
  <si>
    <t>로고디자인 + 편집디자인</t>
  </si>
  <si>
    <t>24.11.26 (화)</t>
  </si>
  <si>
    <t>6기</t>
  </si>
  <si>
    <t>로켓그로스</t>
  </si>
  <si>
    <t>24.11.28 (목)</t>
  </si>
  <si>
    <t>선우의성</t>
  </si>
  <si>
    <t>유튜브 기획의 모든 것</t>
  </si>
  <si>
    <t>24.12.3 (화)</t>
  </si>
  <si>
    <t>강미정</t>
  </si>
  <si>
    <t>화장품 창업의 모든 것</t>
  </si>
  <si>
    <t>24.12.9 (월)</t>
  </si>
  <si>
    <t>24.12.12 (목)</t>
  </si>
  <si>
    <t>어비x유훈</t>
  </si>
  <si>
    <t>영상편집 부업 수익화</t>
  </si>
  <si>
    <t>24.12.16 (월)</t>
  </si>
  <si>
    <t>신재식x보부상</t>
  </si>
  <si>
    <t>정부지원사업 1:1 컨설팅</t>
  </si>
  <si>
    <t>24.12.17 (화)</t>
  </si>
  <si>
    <t>타철, 백행동</t>
  </si>
  <si>
    <t>농축수산물 마스터클래스</t>
  </si>
  <si>
    <t>24.12.19 (목)</t>
  </si>
  <si>
    <t>24.12.26 (목)</t>
  </si>
  <si>
    <t>타철</t>
  </si>
  <si>
    <t>상세페이지 디자인 부업</t>
  </si>
  <si>
    <t>25.1.7 (화)</t>
  </si>
  <si>
    <t>자생법</t>
  </si>
  <si>
    <t>유튜브 멱살캐리반</t>
  </si>
  <si>
    <t>2025 1H</t>
  </si>
  <si>
    <t>25.1.8 (수)</t>
  </si>
  <si>
    <t>7기</t>
  </si>
  <si>
    <t>25.1.9 (목)</t>
  </si>
  <si>
    <t>25.1.14 (화)</t>
  </si>
  <si>
    <t>건강식품 _x0008_올인원</t>
  </si>
  <si>
    <t>25.1.16 (목)</t>
  </si>
  <si>
    <t>알파남</t>
  </si>
  <si>
    <t>초보자 구글 블로그 월200 프로젝트</t>
  </si>
  <si>
    <t>25.1.21 (화)</t>
  </si>
  <si>
    <t>25.1.23 (목)</t>
  </si>
  <si>
    <t>25.2.4 (화)</t>
  </si>
  <si>
    <t>노트북 하나로 시작하는 광고대행 부업의 정석</t>
  </si>
  <si>
    <t>25.2.6 (목)</t>
  </si>
  <si>
    <t>엘플랑</t>
  </si>
  <si>
    <t>경단녀, 주부도 가능한 SNS공동구매 수익화</t>
  </si>
  <si>
    <t>25.2.11 (화)</t>
  </si>
  <si>
    <t>디노</t>
  </si>
  <si>
    <t>구매대행부터 사입까지! 디노의 이커머스 올인원 마스터 클래스</t>
  </si>
  <si>
    <t>25.2.13 (목)</t>
  </si>
  <si>
    <t>노트북 한 대로 월 200만원 영상편집 부업</t>
  </si>
  <si>
    <t>25.2.18 (화)</t>
  </si>
  <si>
    <t>하백상단</t>
  </si>
  <si>
    <t>No리스크, 초보자도 잘 팔리는 농축수산물 위탁판매</t>
  </si>
  <si>
    <t>25.2.20 (목)</t>
  </si>
  <si>
    <t>깡대표의 경쟁없는 나만의 커스텀 화장품 제조하기</t>
  </si>
  <si>
    <t>25.2.25 (화)</t>
  </si>
  <si>
    <t>8기</t>
  </si>
  <si>
    <t>[작은성공] 로켓그로스로 월 13억 따라잡기</t>
  </si>
  <si>
    <t>25.3.4 (화)</t>
  </si>
  <si>
    <t>원현우</t>
  </si>
  <si>
    <t>제휴마케팅 수익화 프로젝트</t>
  </si>
  <si>
    <t>25.3.6 (목)</t>
  </si>
  <si>
    <t>월 100만원 버는 애드센스 부업</t>
  </si>
  <si>
    <t>25.3.11 (화)</t>
  </si>
  <si>
    <t>오날x광마</t>
  </si>
  <si>
    <t>노베이스 로켓배송 수익화 프로젝트</t>
  </si>
  <si>
    <t>_x0008_옆집 CEO</t>
  </si>
  <si>
    <t>유튜브로 월급벌기 프로젝트</t>
  </si>
  <si>
    <t>25.3.17 (월)</t>
  </si>
  <si>
    <t>25.3.18 (화)</t>
  </si>
  <si>
    <t>서과장 홍시</t>
  </si>
  <si>
    <t>해외구매대행 올인원</t>
  </si>
  <si>
    <t>25.3.20 (목)</t>
  </si>
  <si>
    <t>뱀비</t>
  </si>
  <si>
    <t>인스타툰 수익화</t>
  </si>
  <si>
    <t>25.3.25 (화)</t>
  </si>
  <si>
    <t>25.3.27 (목)</t>
  </si>
  <si>
    <t>광고대행 부업의 정석</t>
  </si>
  <si>
    <t>25.4.1 (화)</t>
  </si>
  <si>
    <t>굿즈창업의 모든것</t>
  </si>
  <si>
    <t>25.4.3 (목)</t>
  </si>
  <si>
    <t>떵이작가</t>
  </si>
  <si>
    <t>미리캔버스로 월 30만원 벌기</t>
  </si>
  <si>
    <t>25.4.8 (화)</t>
  </si>
  <si>
    <t>백행동 x 하지혜</t>
  </si>
  <si>
    <t>하백상단 2기</t>
  </si>
  <si>
    <t>25.4.10 (목)</t>
  </si>
  <si>
    <t>_x0008_로사장x타철</t>
  </si>
  <si>
    <t>상세페이지 AI 수익화</t>
  </si>
  <si>
    <t>25.4.15 (화)</t>
  </si>
  <si>
    <t>9기</t>
  </si>
  <si>
    <t>로켓그로스 9기</t>
  </si>
  <si>
    <t>25.4.22 (화)</t>
  </si>
  <si>
    <t>chat gpt 수익화</t>
  </si>
  <si>
    <t>25.4.24 (목)</t>
  </si>
  <si>
    <t>나만의 유튜브 채널로 수익화하기</t>
  </si>
  <si>
    <t>25.4.29 (화)</t>
  </si>
  <si>
    <t>제휴마케팅 월 100</t>
  </si>
  <si>
    <t>25.5.1 (목)</t>
  </si>
  <si>
    <t>SNS 공동구매</t>
  </si>
  <si>
    <t>25.5.6 (화)</t>
  </si>
  <si>
    <t>숏츠아재</t>
  </si>
  <si>
    <t>숏츠아재님 AI 수익화 강의</t>
  </si>
  <si>
    <t>25.5.8 (목)</t>
  </si>
  <si>
    <t>김지수</t>
  </si>
  <si>
    <t>25.5.13 (화)</t>
  </si>
  <si>
    <t>10기</t>
  </si>
  <si>
    <t>로켓그로스 10기</t>
  </si>
  <si>
    <t>25.5.15 (목)</t>
  </si>
  <si>
    <t>플레이스 마케팅_수강생</t>
  </si>
  <si>
    <t>25.5.20 (화)</t>
  </si>
  <si>
    <t>진대표님</t>
  </si>
  <si>
    <t>브랜딩 강의</t>
  </si>
  <si>
    <t>25.5.22 (목)</t>
  </si>
  <si>
    <t>박준휘</t>
  </si>
  <si>
    <t>유튜브 쇼츠 수익화</t>
  </si>
  <si>
    <t>25.5.27 (화)</t>
  </si>
  <si>
    <t>하백상단 3기</t>
  </si>
  <si>
    <t>25.5.29 (목)</t>
  </si>
  <si>
    <t>유튜브 수익</t>
  </si>
  <si>
    <t>25.6.10 (화)</t>
  </si>
  <si>
    <t>쿠팡 로켓배송 수익화</t>
  </si>
  <si>
    <t>25.6.18 (수)</t>
  </si>
  <si>
    <t>박세진</t>
  </si>
  <si>
    <t>유튜브 PD 부트캠프</t>
  </si>
  <si>
    <t>25.6.17 (화)</t>
  </si>
  <si>
    <t>플랫폼트리</t>
  </si>
  <si>
    <t>AI 부업 수익 부스팅 캠프(?)</t>
  </si>
  <si>
    <t>25.6.19 (목)</t>
  </si>
  <si>
    <t>광고대행 부업의 모든것</t>
  </si>
  <si>
    <t>25.6.24 (화)</t>
  </si>
  <si>
    <t>11기</t>
  </si>
  <si>
    <t>로켓그로스 11기</t>
  </si>
  <si>
    <t>25.6.26 (목)</t>
  </si>
  <si>
    <t>영상편집 수익화 7기</t>
  </si>
  <si>
    <t>2025년 7월</t>
    <phoneticPr fontId="2" type="noConversion"/>
  </si>
  <si>
    <t>25.7.3 (목)</t>
  </si>
  <si>
    <t>유튜브탄광</t>
  </si>
  <si>
    <t>유튜브 수익화 강의(숏폼 쇼핑)</t>
  </si>
  <si>
    <t>25.7.8 (화)</t>
  </si>
  <si>
    <t>당근 제휴마케팅으로 월 100만원 벌기</t>
  </si>
  <si>
    <t>25.7.9 (수)</t>
  </si>
  <si>
    <t>유튜브 브랜딩 수익화(광고)</t>
  </si>
  <si>
    <t>25.7.10 (목)</t>
  </si>
  <si>
    <t>알파남 김지수 애드센스</t>
  </si>
  <si>
    <t>25.7.15 (화)</t>
  </si>
  <si>
    <t>25.7.16 (수)</t>
  </si>
  <si>
    <t>내일은영업왕</t>
  </si>
  <si>
    <t>내일은영업왕 1기</t>
  </si>
  <si>
    <t>25.7.17 (목)</t>
  </si>
  <si>
    <t>한수창x정채연</t>
  </si>
  <si>
    <t>집에서 월 1000버는 로고디자인</t>
  </si>
  <si>
    <t>25.7.22 (화)</t>
  </si>
  <si>
    <t>정인섭</t>
  </si>
  <si>
    <t>유튜브 수익화 4기</t>
  </si>
  <si>
    <t>25.7.23 (수)</t>
  </si>
  <si>
    <t>파파준스</t>
  </si>
  <si>
    <t>AI 생성형 이미지, 동영상 강의</t>
  </si>
  <si>
    <t>25.7.24 (목)</t>
  </si>
  <si>
    <t>노트북 한대로 월 300버는 광고중개사 8기</t>
  </si>
  <si>
    <t>25.7.29 (화)</t>
  </si>
  <si>
    <t>영상편집 수익화 8기</t>
  </si>
  <si>
    <t>25.7.30 (수)</t>
  </si>
  <si>
    <t>당근마켓 사주 부업으로 월 300만원 벌기</t>
  </si>
  <si>
    <t>25.7.31 (목)</t>
  </si>
  <si>
    <t>잰수성가</t>
  </si>
  <si>
    <t>공동구매 중개 1기</t>
  </si>
  <si>
    <t>2025년 8월</t>
    <phoneticPr fontId="2" type="noConversion"/>
  </si>
  <si>
    <t>25.8.5 (화)</t>
  </si>
  <si>
    <t>2차 활용 유튜브 쇼츠 수익화 2기</t>
  </si>
  <si>
    <t>25.8.12 (화)</t>
  </si>
  <si>
    <t>진대표</t>
  </si>
  <si>
    <t>나만의 제품 1개로 월천 버는 브랜딩 2기</t>
  </si>
  <si>
    <t>25.8.13 (수)</t>
  </si>
  <si>
    <t>로사장</t>
  </si>
  <si>
    <t>AI 상세페이지 수익화 2기</t>
  </si>
  <si>
    <t>25.8.14 (목)</t>
  </si>
  <si>
    <t>영스타</t>
  </si>
  <si>
    <t>[영스타]얼굴노출 NO, 콘텐츠 몰라도 가능! 인스타그램 무자본 수익화 무료강의</t>
  </si>
  <si>
    <t>25.8.19 (화)</t>
  </si>
  <si>
    <t>12기</t>
  </si>
  <si>
    <t>로켓그로스 12기</t>
  </si>
  <si>
    <t>25.8.20 (수)</t>
  </si>
  <si>
    <t>해디</t>
  </si>
  <si>
    <t>AI 아임웹 홈페이지 제작 수익화 1기</t>
  </si>
  <si>
    <t>25.8.21 (목)</t>
  </si>
  <si>
    <t>나만의 기획 화장품 창업 3기</t>
  </si>
  <si>
    <t>25.8.26 (화)</t>
  </si>
  <si>
    <t>지온서</t>
  </si>
  <si>
    <t>먹스타그램 수익화 1기</t>
  </si>
  <si>
    <t>25.8.27 (수)</t>
  </si>
  <si>
    <t>한윤성</t>
  </si>
  <si>
    <t>남성 쇼핑몰 버티컬 커머스</t>
  </si>
  <si>
    <t>25.8.28 (목)</t>
  </si>
  <si>
    <t>인스타그램 툰 수익화 2기</t>
  </si>
  <si>
    <t>카테고리2</t>
    <phoneticPr fontId="2" type="noConversion"/>
  </si>
  <si>
    <t>시기</t>
    <phoneticPr fontId="2" type="noConversion"/>
  </si>
  <si>
    <t>단가</t>
  </si>
  <si>
    <t>최종 매출액</t>
  </si>
  <si>
    <t>결제건수</t>
  </si>
  <si>
    <t>전환율</t>
  </si>
  <si>
    <t>광고비
(채널톡+토스+밸류맵
+문자+판다)</t>
  </si>
  <si>
    <t>광고
(메타)</t>
  </si>
  <si>
    <t>광고
(gdn)</t>
  </si>
  <si>
    <t>광고
(틱톡)</t>
  </si>
  <si>
    <t>광고
(당근)</t>
  </si>
  <si>
    <t>메타
유입단가</t>
  </si>
  <si>
    <t>구글
유입단가</t>
  </si>
  <si>
    <t>틱톡
유입단가</t>
  </si>
  <si>
    <t>당근
유입단가</t>
  </si>
  <si>
    <t>릴스 외주</t>
  </si>
  <si>
    <t>기타 비용
(식비 등)</t>
  </si>
  <si>
    <t>촬영 &amp; 광고 편집
&amp; 광고 수수료</t>
  </si>
  <si>
    <t>유튜브 촬영비</t>
  </si>
  <si>
    <t>대관비</t>
  </si>
  <si>
    <t>부동산</t>
    <phoneticPr fontId="2" type="noConversion"/>
  </si>
  <si>
    <t>7/30(화)</t>
  </si>
  <si>
    <t>소액으로 빌딩사기</t>
  </si>
  <si>
    <t>주식</t>
    <phoneticPr fontId="2" type="noConversion"/>
  </si>
  <si>
    <t>9/11(수)</t>
  </si>
  <si>
    <t>100% 성공하는 주식 투자 방법</t>
  </si>
  <si>
    <t>10/2(수)</t>
  </si>
  <si>
    <t>커머스의 신 1기</t>
  </si>
  <si>
    <t>하지혜</t>
  </si>
  <si>
    <t>10/7(월)</t>
  </si>
  <si>
    <t>공간대여 올인원 코스</t>
  </si>
  <si>
    <t>정이슬</t>
  </si>
  <si>
    <t>10/10(목)</t>
  </si>
  <si>
    <t>소액으로 빌딩사기 2기</t>
  </si>
  <si>
    <t>10/21(월)</t>
  </si>
  <si>
    <t>부동산</t>
  </si>
  <si>
    <t>부토리</t>
  </si>
  <si>
    <t>10/30(수)</t>
  </si>
  <si>
    <t>안마의자</t>
  </si>
  <si>
    <t>주부투잡</t>
  </si>
  <si>
    <t>11/4(월)</t>
  </si>
  <si>
    <t>부동산(청약)</t>
  </si>
  <si>
    <t>소나무우유</t>
  </si>
  <si>
    <t>11/11(월)</t>
  </si>
  <si>
    <t>해외구매대행</t>
  </si>
  <si>
    <t>11/13(수)</t>
  </si>
  <si>
    <t>부동산 경공매 자동화 전략</t>
  </si>
  <si>
    <t>부자친구들</t>
  </si>
  <si>
    <t>11/18(월)</t>
  </si>
  <si>
    <t>커머스의 신 2기</t>
  </si>
  <si>
    <t>코인</t>
    <phoneticPr fontId="2" type="noConversion"/>
  </si>
  <si>
    <t>11/20(수)</t>
  </si>
  <si>
    <t>코인투자</t>
  </si>
  <si>
    <t>돈복남</t>
  </si>
  <si>
    <t>11/25(월)</t>
  </si>
  <si>
    <t>소액으로 빌딩사기 3기</t>
  </si>
  <si>
    <t>11/27(수)</t>
  </si>
  <si>
    <t>단기임대 2기</t>
  </si>
  <si>
    <t>12/2(월)</t>
  </si>
  <si>
    <t>해외주식 ETF 1기</t>
  </si>
  <si>
    <t>스탁워커</t>
  </si>
  <si>
    <t>12/5(목)</t>
  </si>
  <si>
    <t>사업개발캠프 무료강의</t>
  </si>
  <si>
    <t>이한별 대표님</t>
  </si>
  <si>
    <t>12/23(월)</t>
  </si>
  <si>
    <t>돈복남 2기</t>
  </si>
  <si>
    <t>1/2(목)</t>
  </si>
  <si>
    <t>커머스의신 3기</t>
  </si>
  <si>
    <t>1/6(월)</t>
  </si>
  <si>
    <t>오션 2기</t>
  </si>
  <si>
    <t>13기</t>
  </si>
  <si>
    <t>1/13(월)</t>
  </si>
  <si>
    <t>1/15(수)</t>
  </si>
  <si>
    <t>영끌남 4기 (신규 톡방 3000명)</t>
  </si>
  <si>
    <t>1/20(월)</t>
  </si>
  <si>
    <t>코인 트레이딩!!!! 1기</t>
  </si>
  <si>
    <t>케이웨일즈</t>
  </si>
  <si>
    <t>1/22(수)</t>
  </si>
  <si>
    <t>8주 경매코스 1기</t>
  </si>
  <si>
    <t>월세부자</t>
  </si>
  <si>
    <t>2/3(월)</t>
  </si>
  <si>
    <t>차밍슬 3기</t>
  </si>
  <si>
    <t>2/10(월)</t>
  </si>
  <si>
    <t>경매 풀코스 1기</t>
  </si>
  <si>
    <t>나땅</t>
  </si>
  <si>
    <t>2/12(수)</t>
  </si>
  <si>
    <t>커머스의 신 4기</t>
  </si>
  <si>
    <t>2/17(월)</t>
  </si>
  <si>
    <t>주부투잡 2기</t>
  </si>
  <si>
    <t>2/19(수)</t>
  </si>
  <si>
    <t>아임해피 1기</t>
  </si>
  <si>
    <t>아임해피</t>
  </si>
  <si>
    <t>2/26(수)</t>
  </si>
  <si>
    <t>소나무우유 2기</t>
  </si>
  <si>
    <t>2/27(목)</t>
  </si>
  <si>
    <t>상세페이지</t>
  </si>
  <si>
    <t>3/3(월)</t>
  </si>
  <si>
    <t>오션 3기</t>
  </si>
  <si>
    <t>14기</t>
  </si>
  <si>
    <t>3/5(수)</t>
  </si>
  <si>
    <t>영끌남 5기</t>
  </si>
  <si>
    <t>3/10(월)</t>
  </si>
  <si>
    <t>철거 마케팅</t>
  </si>
  <si>
    <t>철거왕</t>
  </si>
  <si>
    <t>3/12(수)</t>
  </si>
  <si>
    <t>스탁워커 2기</t>
  </si>
  <si>
    <t>3/24(월)</t>
  </si>
  <si>
    <t>커머스의 신 5기</t>
  </si>
  <si>
    <t>3/26(수)</t>
  </si>
  <si>
    <t>내일은 영업왕</t>
  </si>
  <si>
    <t>3/31(월)</t>
  </si>
  <si>
    <t>8주 경매코스 2기</t>
  </si>
  <si>
    <t>4/2(수)</t>
  </si>
  <si>
    <t>해외구매대행 디노 2기</t>
  </si>
  <si>
    <t>디노 해구대</t>
  </si>
  <si>
    <t>4/7(월)</t>
  </si>
  <si>
    <t>이현정 대표님</t>
  </si>
  <si>
    <t>4/9(수)</t>
  </si>
  <si>
    <t>공간대여 단기임대</t>
  </si>
  <si>
    <t>최행부</t>
  </si>
  <si>
    <t>4/14(월)</t>
  </si>
  <si>
    <t>케이웨일즈 2기</t>
  </si>
  <si>
    <t>4/21(월)</t>
  </si>
  <si>
    <t>영끌남 6기</t>
  </si>
  <si>
    <t>4/23(수)</t>
  </si>
  <si>
    <t>_x0008_유튜브 ai 숏폼 수익화</t>
  </si>
  <si>
    <t>미큐</t>
  </si>
  <si>
    <t>4/24(목)</t>
  </si>
  <si>
    <t>타로 사주 마케팅</t>
  </si>
  <si>
    <t>디앤써</t>
  </si>
  <si>
    <t>4/28(월)</t>
  </si>
  <si>
    <t>철거왕 2기</t>
  </si>
  <si>
    <t>5/7 (수)</t>
  </si>
  <si>
    <t xml:space="preserve">해외구매대행 끝장캐리 4기 </t>
  </si>
  <si>
    <t>15기</t>
  </si>
  <si>
    <t>5/8 (목)</t>
  </si>
  <si>
    <t>토스&amp;올웨이즈</t>
  </si>
  <si>
    <t>황금코볼트</t>
  </si>
  <si>
    <t>5/12 (월)</t>
  </si>
  <si>
    <t>부투만 1기</t>
  </si>
  <si>
    <t>휘파람쌤</t>
  </si>
  <si>
    <t>5/14 (수)</t>
  </si>
  <si>
    <t>주부투잡 3기</t>
  </si>
  <si>
    <t>5/19 (월)</t>
  </si>
  <si>
    <t>사업부트캠프_덕영</t>
  </si>
  <si>
    <t>김성공</t>
  </si>
  <si>
    <t>디노 쿠팡 1기</t>
  </si>
  <si>
    <t>5/21 (수)</t>
  </si>
  <si>
    <t>호스텔 공간대여</t>
  </si>
  <si>
    <t>숙사장님</t>
  </si>
  <si>
    <t>5/26 (월)</t>
  </si>
  <si>
    <t>5/27 (화)</t>
  </si>
  <si>
    <t>타임투쇼츠</t>
  </si>
  <si>
    <t>6/4 (수)</t>
  </si>
  <si>
    <t>내일은 영업왕 2기</t>
  </si>
  <si>
    <t>조상완</t>
  </si>
  <si>
    <t>6/9 (월)</t>
  </si>
  <si>
    <t>해외구대 2기 디노</t>
  </si>
  <si>
    <t>6/10 (화)</t>
  </si>
  <si>
    <t>안레토 워드프레스 수익화 1기</t>
  </si>
  <si>
    <t>안레토</t>
  </si>
  <si>
    <t>6/11 (수)</t>
  </si>
  <si>
    <t>내집마련</t>
  </si>
  <si>
    <t>6/12 (목)</t>
  </si>
  <si>
    <t>마케터c 블로그 역제안</t>
  </si>
  <si>
    <t>마케터c</t>
  </si>
  <si>
    <t>6/16 (월)</t>
  </si>
  <si>
    <t>ai 숏폼 수익화</t>
  </si>
  <si>
    <t>6/17 (화)</t>
  </si>
  <si>
    <t>권동동 쿠팡 로켓 그로스</t>
  </si>
  <si>
    <t>권동동</t>
  </si>
  <si>
    <t>6/18 (수)</t>
  </si>
  <si>
    <t>신탁공매</t>
  </si>
  <si>
    <t>6/19 (목)</t>
  </si>
  <si>
    <t>공간대여</t>
  </si>
  <si>
    <t>6/23 (월)</t>
  </si>
  <si>
    <t>철거마케팅 3기</t>
  </si>
  <si>
    <t>6/25 (수)</t>
  </si>
  <si>
    <t>경매 2기</t>
  </si>
  <si>
    <t>이현정</t>
  </si>
  <si>
    <t>6/30 (월)</t>
  </si>
  <si>
    <t>해외구매대행 끝장캐리 16기</t>
  </si>
  <si>
    <t>16기</t>
  </si>
  <si>
    <t>7/1 (화)</t>
  </si>
  <si>
    <t>독보적 AI 위탁판매</t>
  </si>
  <si>
    <t>7/2 (수)</t>
  </si>
  <si>
    <t>7/7 (월)</t>
  </si>
  <si>
    <t>쿠팡 디노 2기</t>
  </si>
  <si>
    <t>7/8 (화)</t>
  </si>
  <si>
    <t>김아키 이모티콘 수익화</t>
  </si>
  <si>
    <t>김아키</t>
  </si>
  <si>
    <t>7/9 (수)</t>
  </si>
  <si>
    <t>미리캔버스로 월세 벌기</t>
  </si>
  <si>
    <t>떵이자까</t>
  </si>
  <si>
    <t>7/10 (목)</t>
  </si>
  <si>
    <t>NFM 상세페이지 디자인</t>
  </si>
  <si>
    <t>NFM</t>
  </si>
  <si>
    <t>7/14 (월)</t>
  </si>
  <si>
    <t>로켓 강의</t>
  </si>
  <si>
    <t>오날-조아라님(셀라라)</t>
  </si>
  <si>
    <t>7/16 (수)</t>
  </si>
  <si>
    <t>마케팅하는 건물주</t>
  </si>
  <si>
    <t>마건</t>
  </si>
  <si>
    <t>7/23 (수)</t>
  </si>
  <si>
    <t>숏폼 쇼핑 수익화</t>
  </si>
  <si>
    <t>손프로(방구석농부)</t>
  </si>
  <si>
    <t>7/28 (월)</t>
  </si>
  <si>
    <t>ai를 활용한 제휴마케팅</t>
  </si>
  <si>
    <t>에어</t>
  </si>
  <si>
    <t>7/30 (수)</t>
  </si>
  <si>
    <t>제이파트너 + 타철</t>
  </si>
  <si>
    <t>총계</t>
    <phoneticPr fontId="11" type="noConversion"/>
  </si>
  <si>
    <t>총매출</t>
    <phoneticPr fontId="2" type="noConversion"/>
  </si>
  <si>
    <t>합계</t>
    <phoneticPr fontId="11" type="noConversion"/>
  </si>
  <si>
    <t>마브스쿨</t>
    <phoneticPr fontId="2" type="noConversion"/>
  </si>
  <si>
    <t>부업의정석</t>
    <phoneticPr fontId="2" type="noConversion"/>
  </si>
  <si>
    <t>부투스쿨</t>
    <phoneticPr fontId="2" type="noConversion"/>
  </si>
  <si>
    <t>에센셜아카데미</t>
    <phoneticPr fontId="2" type="noConversion"/>
  </si>
  <si>
    <t>온부자</t>
    <phoneticPr fontId="11" type="noConversion"/>
  </si>
  <si>
    <t>인베이더스쿨</t>
    <phoneticPr fontId="11" type="noConversion"/>
  </si>
  <si>
    <t>트렌더스</t>
    <phoneticPr fontId="2" type="noConversion"/>
  </si>
  <si>
    <t>이익</t>
    <phoneticPr fontId="2" type="noConversion"/>
  </si>
  <si>
    <t>PG이익</t>
    <phoneticPr fontId="11" type="noConversion"/>
  </si>
  <si>
    <t>결산기준감가상각계상명세서</t>
  </si>
  <si>
    <t>결산월 2024년 12월 31일 까지</t>
  </si>
  <si>
    <t xml:space="preserve">회사명 : </t>
  </si>
  <si>
    <t>주식회사 타이탄컴퍼니</t>
  </si>
  <si>
    <t>(단위 : 원)</t>
  </si>
  <si>
    <t>계정코드</t>
  </si>
  <si>
    <t>과목명</t>
  </si>
  <si>
    <t>자산코드</t>
  </si>
  <si>
    <t>자산명</t>
  </si>
  <si>
    <t>취득일자</t>
  </si>
  <si>
    <t>상각완료월</t>
  </si>
  <si>
    <t>기초가액</t>
  </si>
  <si>
    <t>당기증감</t>
  </si>
  <si>
    <t>기말잔액</t>
  </si>
  <si>
    <t>전기말상각누계액</t>
  </si>
  <si>
    <t>당기감가상각범위액</t>
  </si>
  <si>
    <t>12월누적감가상각범위액</t>
  </si>
  <si>
    <t>12월누적감가상각비</t>
  </si>
  <si>
    <t>미상각잔액</t>
  </si>
  <si>
    <t>202</t>
  </si>
  <si>
    <t>000001</t>
  </si>
  <si>
    <t>건물취득</t>
  </si>
  <si>
    <t>2023/07/31</t>
  </si>
  <si>
    <t xml:space="preserve"> </t>
  </si>
  <si>
    <t>소계</t>
  </si>
  <si>
    <t>800번대</t>
  </si>
  <si>
    <t/>
  </si>
  <si>
    <t>정액법</t>
  </si>
  <si>
    <t>212</t>
  </si>
  <si>
    <t>집기비품외</t>
  </si>
  <si>
    <t>2023/07/20</t>
  </si>
  <si>
    <t>000002</t>
  </si>
  <si>
    <t>에어컨</t>
  </si>
  <si>
    <t>2023/09/10</t>
  </si>
  <si>
    <t>000003</t>
  </si>
  <si>
    <t>제작가구</t>
  </si>
  <si>
    <t>2023/09/11</t>
  </si>
  <si>
    <t>000004</t>
  </si>
  <si>
    <t>스탠다드글래스</t>
  </si>
  <si>
    <t>2023/10/04</t>
  </si>
  <si>
    <t>000005</t>
  </si>
  <si>
    <t>제빙기</t>
  </si>
  <si>
    <t>2023/10/06</t>
  </si>
  <si>
    <t>000006</t>
  </si>
  <si>
    <t>공기청정기</t>
  </si>
  <si>
    <t>2023/10/09</t>
  </si>
  <si>
    <t>000007</t>
  </si>
  <si>
    <t>나노-텍튜레 글래스</t>
  </si>
  <si>
    <t>000008</t>
  </si>
  <si>
    <t>온풍기</t>
  </si>
  <si>
    <t>2023/12/11</t>
  </si>
  <si>
    <t>000009</t>
  </si>
  <si>
    <t>사무가구 외</t>
  </si>
  <si>
    <t>2024/05/08</t>
  </si>
  <si>
    <t>000010</t>
  </si>
  <si>
    <t>컴퓨터 및 주변기기</t>
  </si>
  <si>
    <t>2024/06/19</t>
  </si>
  <si>
    <t>000014</t>
  </si>
  <si>
    <t>2024/07/22</t>
  </si>
  <si>
    <t>000015</t>
  </si>
  <si>
    <t>사무용 가구</t>
  </si>
  <si>
    <t>2024/08/09</t>
  </si>
  <si>
    <t>000016</t>
  </si>
  <si>
    <t>의자</t>
  </si>
  <si>
    <t>2024/08/19</t>
  </si>
  <si>
    <t>정률법</t>
  </si>
  <si>
    <t>219</t>
  </si>
  <si>
    <t>인테리어공사</t>
  </si>
  <si>
    <t>2023/08/02</t>
  </si>
  <si>
    <t>2023/08/30</t>
  </si>
  <si>
    <t>음향기기외설치</t>
  </si>
  <si>
    <t>내장 인테리어공사</t>
  </si>
  <si>
    <t>2023/11/15</t>
  </si>
  <si>
    <t>커텐 및 브라인드</t>
  </si>
  <si>
    <t>2024/07/02</t>
  </si>
  <si>
    <t>빔프로젝터</t>
  </si>
  <si>
    <t>2024/07/19</t>
  </si>
  <si>
    <t>빔프로젝터 설치</t>
  </si>
  <si>
    <t>2024/08/26</t>
  </si>
  <si>
    <t>2024/09/02</t>
  </si>
  <si>
    <t>241</t>
  </si>
  <si>
    <t>폰트개발</t>
  </si>
  <si>
    <t>전용서체개발</t>
  </si>
  <si>
    <t>2023/08/18</t>
  </si>
  <si>
    <t>&lt;경비합계&gt;</t>
  </si>
  <si>
    <t>&lt;총계&gt;</t>
  </si>
  <si>
    <t>South Korea</t>
  </si>
  <si>
    <t>Copyright © 2025 The Economist Intelligence Unit.</t>
  </si>
  <si>
    <t>Legends</t>
  </si>
  <si>
    <t>Actuals in Black</t>
  </si>
  <si>
    <t>Estimates in Blue</t>
  </si>
  <si>
    <t>Forecasts in light blue background</t>
  </si>
  <si>
    <t>Review months (applicable only for risk products)</t>
  </si>
  <si>
    <t>Series</t>
  </si>
  <si>
    <t>Code</t>
  </si>
  <si>
    <t>Currency</t>
  </si>
  <si>
    <t>Units</t>
  </si>
  <si>
    <t>Source</t>
  </si>
  <si>
    <t>Definition</t>
  </si>
  <si>
    <t>Note</t>
  </si>
  <si>
    <t>Published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</si>
  <si>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</si>
  <si>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</si>
  <si>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</si>
  <si>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</si>
  <si>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</si>
  <si>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</si>
  <si>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</si>
  <si>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</si>
  <si>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</si>
  <si>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</si>
  <si>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</si>
  <si>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</si>
  <si>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</si>
  <si>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</si>
  <si>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</si>
  <si>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Average wage (% change period-on-period)</t>
  </si>
  <si>
    <t>DAWA</t>
  </si>
  <si>
    <t>EIU calculation</t>
  </si>
  <si>
    <t>Percentage change in hourly wages in local currency, over previous year.</t>
  </si>
  <si>
    <t>30-09-2025</t>
  </si>
  <si>
    <t>–</t>
  </si>
  <si>
    <t>Consumer prices (% change period-on-period; av)</t>
  </si>
  <si>
    <t>DCPI</t>
  </si>
  <si>
    <t>Percentage change in consumer price index in local currency (period average), over previous year.</t>
  </si>
  <si>
    <t>Producer prices (% change period-on-period; av)</t>
  </si>
  <si>
    <t>DPPI</t>
  </si>
  <si>
    <t>Percentage change in producer price index, period average</t>
  </si>
  <si>
    <t>행 레이블</t>
  </si>
  <si>
    <t>PG수수료</t>
  </si>
  <si>
    <t>강의료</t>
  </si>
  <si>
    <t>고정비</t>
  </si>
  <si>
    <t>컨설팅</t>
  </si>
  <si>
    <t>총합계</t>
  </si>
  <si>
    <t>월/일</t>
  </si>
  <si>
    <t>번호</t>
  </si>
  <si>
    <t>계 정 과 목</t>
  </si>
  <si>
    <t>03/07</t>
  </si>
  <si>
    <t>00007</t>
  </si>
  <si>
    <t>주. 임. 종 단기채권</t>
  </si>
  <si>
    <t>주식회사 티티에이컴퍼니</t>
  </si>
  <si>
    <t>주식회사 티티에</t>
  </si>
  <si>
    <t>00008</t>
  </si>
  <si>
    <t>매도가능증권</t>
  </si>
  <si>
    <t>주식회사 시스템노바</t>
  </si>
  <si>
    <t>주식회사 시스템_법인 출자금</t>
  </si>
  <si>
    <t>03/20</t>
  </si>
  <si>
    <t>00010</t>
  </si>
  <si>
    <t>주식회사티티에이컴</t>
  </si>
  <si>
    <t>03/21</t>
  </si>
  <si>
    <t>50009</t>
  </si>
  <si>
    <t>(주)클래스어라운드</t>
  </si>
  <si>
    <t>카메라 렌즈 1</t>
  </si>
  <si>
    <t>05/01</t>
  </si>
  <si>
    <t>외상매출금</t>
  </si>
  <si>
    <t>관리비 1 X 3,772,727</t>
  </si>
  <si>
    <t>임대료수입</t>
  </si>
  <si>
    <t>05/09</t>
  </si>
  <si>
    <t>00012</t>
  </si>
  <si>
    <t>50007</t>
  </si>
  <si>
    <t>지급수수료(판)</t>
  </si>
  <si>
    <t>개발 1 X 20,250,000</t>
  </si>
  <si>
    <t>05/30</t>
  </si>
  <si>
    <t>00023</t>
  </si>
  <si>
    <t>주식회사시스템노바</t>
  </si>
  <si>
    <t>차</t>
    <phoneticPr fontId="56" type="noConversion"/>
  </si>
  <si>
    <t>대</t>
    <phoneticPr fontId="56" type="noConversion"/>
  </si>
  <si>
    <t>거래처</t>
    <phoneticPr fontId="56" type="noConversion"/>
  </si>
  <si>
    <t>적요</t>
    <phoneticPr fontId="56" type="noConversion"/>
  </si>
  <si>
    <t>2025년 타이탄</t>
    <phoneticPr fontId="2" type="noConversion"/>
  </si>
  <si>
    <t>강의료</t>
    <phoneticPr fontId="2" type="noConversion"/>
  </si>
  <si>
    <t>PG수수료</t>
    <phoneticPr fontId="2" type="noConversion"/>
  </si>
  <si>
    <t>지급수수료(고정)</t>
    <phoneticPr fontId="2" type="noConversion"/>
  </si>
  <si>
    <t>톡방인원</t>
    <phoneticPr fontId="2" type="noConversion"/>
  </si>
  <si>
    <t>최고동접자</t>
    <phoneticPr fontId="2" type="noConversion"/>
  </si>
  <si>
    <t>톡방인원수</t>
    <phoneticPr fontId="2" type="noConversion"/>
  </si>
  <si>
    <t>강의당 광고비</t>
    <phoneticPr fontId="2" type="noConversion"/>
  </si>
  <si>
    <t>CPM</t>
    <phoneticPr fontId="2" type="noConversion"/>
  </si>
  <si>
    <t>유료 전환율</t>
    <phoneticPr fontId="2" type="noConversion"/>
  </si>
  <si>
    <t>노출</t>
    <phoneticPr fontId="2" type="noConversion"/>
  </si>
  <si>
    <t>기획</t>
  </si>
  <si>
    <t>운영</t>
  </si>
  <si>
    <t>어시</t>
  </si>
  <si>
    <t>컨텐츠</t>
  </si>
  <si>
    <t>DB</t>
  </si>
  <si>
    <t>톡방 목표량</t>
  </si>
  <si>
    <t>톡방인원</t>
  </si>
  <si>
    <t>최고 동시 목표량</t>
  </si>
  <si>
    <t>최고동시
접속자</t>
  </si>
  <si>
    <t>매출</t>
  </si>
  <si>
    <t>오프라인 매출</t>
  </si>
  <si>
    <t>온라인 매출</t>
  </si>
  <si>
    <t>챌린지 매출</t>
  </si>
  <si>
    <t>중도환불금</t>
  </si>
  <si>
    <t>예상 단가(작성)</t>
  </si>
  <si>
    <t>목표 매출(작성)</t>
  </si>
  <si>
    <t>중도
환불율</t>
  </si>
  <si>
    <t>PG사
수수료율</t>
  </si>
  <si>
    <t>정산</t>
  </si>
  <si>
    <t>종강일</t>
  </si>
  <si>
    <t>정산월</t>
  </si>
  <si>
    <t>강사
배율</t>
  </si>
  <si>
    <t>계약서 작성여부</t>
  </si>
  <si>
    <t>멘토 TM</t>
  </si>
  <si>
    <t>멘토
정산금</t>
  </si>
  <si>
    <t>대포부대</t>
  </si>
  <si>
    <t>소총부대</t>
  </si>
  <si>
    <t>광고</t>
  </si>
  <si>
    <t>광고대행사</t>
  </si>
  <si>
    <t>채널톡 / 모먼트</t>
  </si>
  <si>
    <t>알림톡(vat별도)</t>
  </si>
  <si>
    <t>문자(vat별도)</t>
  </si>
  <si>
    <t>LMS(vat별도)</t>
  </si>
  <si>
    <t>광고비 총계</t>
  </si>
  <si>
    <t>비용</t>
  </si>
  <si>
    <t>강사 마진율</t>
  </si>
  <si>
    <t>타클 마진율</t>
  </si>
  <si>
    <t>광고비 비율</t>
  </si>
  <si>
    <t>ROAS</t>
  </si>
  <si>
    <t>ROI</t>
  </si>
  <si>
    <t>씨오 1기</t>
  </si>
  <si>
    <t>경쟁없이 나만의 제품으로 월 1000만원 번 노하우</t>
  </si>
  <si>
    <t xml:space="preserve">50.00%					</t>
  </si>
  <si>
    <t xml:space="preserve">₩138,354,496					</t>
  </si>
  <si>
    <t>잰수성가 1기</t>
  </si>
  <si>
    <t xml:space="preserve"> 5일만에 5.1억 매출 나오는 공동구매중개의 모든 것</t>
  </si>
  <si>
    <t xml:space="preserve">₩174,957,641					</t>
  </si>
  <si>
    <t>노바작가 1기</t>
  </si>
  <si>
    <t>알고리즘 100% 터지는 숏폼 만든 방법</t>
  </si>
  <si>
    <t xml:space="preserve">₩359,623,053					</t>
  </si>
  <si>
    <t>타철 1기</t>
  </si>
  <si>
    <t>상세페이지로 집에서 돈 잘 버는 노하우 1기</t>
  </si>
  <si>
    <t>보부상 1기</t>
  </si>
  <si>
    <t>건강식품으로 월 수익 천만원 번 노하우</t>
  </si>
  <si>
    <t>홍시삼분 1기</t>
  </si>
  <si>
    <t>노베이스 초보자도 고매출까지 수동해외구매대행 올인원</t>
  </si>
  <si>
    <t xml:space="preserve">60%					</t>
  </si>
  <si>
    <t xml:space="preserve">₩185,715,826					</t>
  </si>
  <si>
    <t>온비전 1기</t>
  </si>
  <si>
    <t>광고, 브랜딩 없이 월 2억 매출 노하우</t>
  </si>
  <si>
    <t xml:space="preserve">50%					</t>
  </si>
  <si>
    <t xml:space="preserve">₩56,883,521					</t>
  </si>
  <si>
    <t>씨오 2기</t>
  </si>
  <si>
    <t xml:space="preserve"> 경쟁없이 나만의 제품으로 월 1000만원 번 노하우</t>
  </si>
  <si>
    <t xml:space="preserve">₩81,662,517					</t>
  </si>
  <si>
    <t>최사장</t>
  </si>
  <si>
    <t>하루 30분 일하고 300만원 월세받는 삼삼엠투 노하우</t>
  </si>
  <si>
    <t>사뚜 1기</t>
  </si>
  <si>
    <t>하루 1시간 일하고 월3억 로켓그로스 완벽가이드</t>
  </si>
  <si>
    <t>에어 1기</t>
  </si>
  <si>
    <t>초보자도 돈 버는 AI 컨텐츠 부업 노하우</t>
  </si>
  <si>
    <t>잰수성가 2기</t>
  </si>
  <si>
    <t>타철 2기</t>
  </si>
  <si>
    <t>옆집CEO</t>
  </si>
  <si>
    <t>영상 4개, 구독자 1만! 시니어 유튜브로 돈 버는 시크릿 노하우</t>
  </si>
  <si>
    <t xml:space="preserve">₩685,135,516					</t>
  </si>
  <si>
    <t>사뚜 2기</t>
  </si>
  <si>
    <t>콘텐츠농부 1기</t>
  </si>
  <si>
    <t>AI 활용 컨텐츠 제작 방법</t>
  </si>
  <si>
    <t>토리맘 1기</t>
  </si>
  <si>
    <t>45살 육아맘도 하루 3시간으로 월 1000만원 벌었던 유튜브 노하우</t>
  </si>
  <si>
    <t>홍시 2기</t>
  </si>
  <si>
    <t>보부상 2기</t>
  </si>
  <si>
    <t xml:space="preserve"> 건강식품으로 월 수익 천만원 번 노하우                                        </t>
  </si>
  <si>
    <t>하백상단 1기</t>
  </si>
  <si>
    <t>농수산물 위탁판매의 모든 것</t>
  </si>
  <si>
    <t>홍시삼분 3기</t>
  </si>
  <si>
    <t>온비전 2기</t>
  </si>
  <si>
    <t>콘텐츠농부 2기</t>
  </si>
  <si>
    <t>에어 2기</t>
  </si>
  <si>
    <t>씨오 3기</t>
  </si>
  <si>
    <t>얼굴 없이 수익내는 AI+공동구매 전략</t>
  </si>
  <si>
    <t>토리맘 2기</t>
  </si>
  <si>
    <t>디유</t>
  </si>
  <si>
    <t>AI 디자인 부업으로 월 천만원 번 노하우</t>
  </si>
  <si>
    <t>보부상 3기</t>
  </si>
  <si>
    <t>안정필 대표님</t>
  </si>
  <si>
    <t>영보스</t>
  </si>
  <si>
    <t>이시헌실장님</t>
  </si>
  <si>
    <t>노출</t>
    <phoneticPr fontId="2" type="noConversion"/>
  </si>
  <si>
    <t>유료 전환율</t>
  </si>
  <si>
    <t>톡방인원수_조정</t>
    <phoneticPr fontId="2" type="noConversion"/>
  </si>
  <si>
    <t>지급수수료(변동)</t>
  </si>
  <si>
    <t>지급수수료(변동)</t>
    <phoneticPr fontId="2" type="noConversion"/>
  </si>
  <si>
    <t>총 광고비</t>
    <phoneticPr fontId="2" type="noConversion"/>
  </si>
  <si>
    <t>구분</t>
    <phoneticPr fontId="2" type="noConversion"/>
  </si>
  <si>
    <t>용역매출(강의매출)</t>
  </si>
  <si>
    <t>인건비</t>
  </si>
  <si>
    <t>% of Revenue</t>
  </si>
  <si>
    <t>급여</t>
  </si>
  <si>
    <t>인원 수</t>
  </si>
  <si>
    <t>평균급여</t>
  </si>
  <si>
    <t>상여</t>
  </si>
  <si>
    <t>변동비</t>
  </si>
  <si>
    <t>강의당 광고비</t>
  </si>
  <si>
    <t>지급수수료(고정)</t>
  </si>
  <si>
    <t>기타고정비</t>
  </si>
  <si>
    <t>3월</t>
    <phoneticPr fontId="2" type="noConversion"/>
  </si>
  <si>
    <t>양승주</t>
    <phoneticPr fontId="2" type="noConversion"/>
  </si>
  <si>
    <t>이진우</t>
    <phoneticPr fontId="2" type="noConversion"/>
  </si>
  <si>
    <t>정준호</t>
    <phoneticPr fontId="2" type="noConversion"/>
  </si>
  <si>
    <t>기타</t>
  </si>
  <si>
    <t>감가상각비</t>
    <phoneticPr fontId="2" type="noConversion"/>
  </si>
  <si>
    <t>5. TTA</t>
    <phoneticPr fontId="2" type="noConversion"/>
  </si>
  <si>
    <t>Pro forma PL</t>
    <phoneticPr fontId="2" type="noConversion"/>
  </si>
  <si>
    <t>강의당 유입 인원 수(톡방)</t>
    <phoneticPr fontId="2" type="noConversion"/>
  </si>
  <si>
    <t>유료전환율</t>
    <phoneticPr fontId="2" type="noConversion"/>
  </si>
  <si>
    <t>향후 미발생</t>
    <phoneticPr fontId="2" type="noConversion"/>
  </si>
  <si>
    <t>1월</t>
    <phoneticPr fontId="2" type="noConversion"/>
  </si>
  <si>
    <t>2026년초까지 41명까지 채용</t>
    <phoneticPr fontId="2" type="noConversion"/>
  </si>
  <si>
    <t>레드락</t>
    <phoneticPr fontId="2" type="noConversion"/>
  </si>
  <si>
    <t>유튜브RS</t>
    <phoneticPr fontId="2" type="noConversion"/>
  </si>
  <si>
    <t>강의당 톡방 유입 수</t>
    <phoneticPr fontId="2" type="noConversion"/>
  </si>
  <si>
    <t>강의당 신규 유입 수(톡방)</t>
    <phoneticPr fontId="2" type="noConversion"/>
  </si>
  <si>
    <t>CPM(백만원)</t>
    <phoneticPr fontId="2" type="noConversion"/>
  </si>
  <si>
    <t>레드락컴퍼니</t>
    <phoneticPr fontId="2" type="noConversion"/>
  </si>
  <si>
    <t>2027F</t>
  </si>
  <si>
    <t>2028F</t>
  </si>
  <si>
    <t>2029F</t>
  </si>
  <si>
    <t>2030F</t>
  </si>
  <si>
    <t>2030F</t>
    <phoneticPr fontId="2" type="noConversion"/>
  </si>
  <si>
    <t>취득금액</t>
    <phoneticPr fontId="2" type="noConversion"/>
  </si>
  <si>
    <t>내용연수</t>
    <phoneticPr fontId="2" type="noConversion"/>
  </si>
  <si>
    <t>상각법</t>
    <phoneticPr fontId="2" type="noConversion"/>
  </si>
  <si>
    <t>상각률</t>
  </si>
  <si>
    <t>상각률</t>
    <phoneticPr fontId="2" type="noConversion"/>
  </si>
  <si>
    <t>06월누적감가상각범위액</t>
  </si>
  <si>
    <t>06월누적감가상각비</t>
  </si>
  <si>
    <t>000017</t>
  </si>
  <si>
    <t>컴퓨터 및 주변장치</t>
  </si>
  <si>
    <t>2024/10/04</t>
  </si>
  <si>
    <t>000018</t>
  </si>
  <si>
    <t>사무가구</t>
  </si>
  <si>
    <t>2024/11/12</t>
  </si>
  <si>
    <t>000019</t>
  </si>
  <si>
    <t>2024/11/18</t>
  </si>
  <si>
    <t>000020</t>
  </si>
  <si>
    <t>2024/11/27</t>
  </si>
  <si>
    <t>000021</t>
  </si>
  <si>
    <t>2024/12/13</t>
  </si>
  <si>
    <t>000022</t>
  </si>
  <si>
    <t>2024/12/18</t>
  </si>
  <si>
    <t>D&amp;A_기존자산</t>
    <phoneticPr fontId="2" type="noConversion"/>
  </si>
  <si>
    <t>D&amp;A_신규자산</t>
    <phoneticPr fontId="2" type="noConversion"/>
  </si>
  <si>
    <t>정률법</t>
    <phoneticPr fontId="2" type="noConversion"/>
  </si>
  <si>
    <t>클래스 일부 타이탄 인식</t>
    <phoneticPr fontId="2" type="noConversion"/>
  </si>
  <si>
    <t>분담률</t>
    <phoneticPr fontId="2" type="noConversion"/>
  </si>
  <si>
    <t>33명 채용 완료 및 현 수준 유지</t>
    <phoneticPr fontId="2" type="noConversion"/>
  </si>
  <si>
    <t>클래스</t>
    <phoneticPr fontId="2" type="noConversion"/>
  </si>
  <si>
    <t>지급수수료</t>
    <phoneticPr fontId="2" type="noConversion"/>
  </si>
  <si>
    <t>취득일</t>
  </si>
  <si>
    <t>업종코드/명</t>
  </si>
  <si>
    <t>상각대상금액</t>
  </si>
  <si>
    <t>년수</t>
  </si>
  <si>
    <t>월수</t>
  </si>
  <si>
    <t>당기상각비</t>
  </si>
  <si>
    <t>특별상각비</t>
  </si>
  <si>
    <t>당기말상각누계액</t>
  </si>
  <si>
    <t>사무실기기</t>
  </si>
  <si>
    <t>2025-01-15</t>
  </si>
  <si>
    <t>2025-03-04</t>
  </si>
  <si>
    <t>2025-03-10</t>
  </si>
  <si>
    <t>2025-05-27</t>
  </si>
  <si>
    <t>2025-03-11</t>
  </si>
  <si>
    <t>중고가구</t>
  </si>
  <si>
    <t>2025-03-12</t>
  </si>
  <si>
    <t>LG 전자칠판</t>
  </si>
  <si>
    <t>2025-03-18</t>
  </si>
  <si>
    <t>2025-03-24</t>
  </si>
  <si>
    <t>2025-04-01</t>
  </si>
  <si>
    <t>2025-04-25</t>
  </si>
  <si>
    <t>2025-05-13</t>
  </si>
  <si>
    <t>PC 조립 외 4건</t>
  </si>
  <si>
    <t>2025-06-16</t>
  </si>
  <si>
    <t>PC 조립 사무용</t>
  </si>
  <si>
    <t>2025-06-24</t>
  </si>
  <si>
    <t>PC 조립 사무용 외 4건</t>
  </si>
  <si>
    <t>2025-06-27</t>
  </si>
  <si>
    <t>[소계] 비품</t>
  </si>
  <si>
    <t>내부인테리어</t>
  </si>
  <si>
    <t>2025-03-31</t>
  </si>
  <si>
    <t>2025-04-02</t>
  </si>
  <si>
    <t>2025-04-14</t>
  </si>
  <si>
    <t>[소계] 시설장치</t>
  </si>
  <si>
    <t>합계</t>
  </si>
  <si>
    <t>웹 소프트웨어</t>
  </si>
  <si>
    <t>2025-03-01</t>
  </si>
  <si>
    <t>2025-03-13</t>
  </si>
  <si>
    <t>2025-05-09</t>
  </si>
  <si>
    <t>웹 플랫폼</t>
  </si>
  <si>
    <t>2025-06-04</t>
  </si>
  <si>
    <t>[소계] 개발비</t>
  </si>
  <si>
    <t>정액법</t>
    <phoneticPr fontId="2" type="noConversion"/>
  </si>
  <si>
    <t>2026년 하반기까지 20명 계획</t>
    <phoneticPr fontId="2" type="noConversion"/>
  </si>
  <si>
    <t>구축형</t>
  </si>
  <si>
    <t>구축형</t>
    <phoneticPr fontId="2" type="noConversion"/>
  </si>
  <si>
    <t>플랫폼당 월매출액</t>
  </si>
  <si>
    <t>구축관리형</t>
    <phoneticPr fontId="2" type="noConversion"/>
  </si>
  <si>
    <t>평균 플랫폼 수</t>
  </si>
  <si>
    <t>수수료율</t>
  </si>
  <si>
    <t>합계 : 차    변</t>
  </si>
  <si>
    <t>노바</t>
    <phoneticPr fontId="2" type="noConversion"/>
  </si>
  <si>
    <t>% of 플랫폼매출액</t>
    <phoneticPr fontId="2" type="noConversion"/>
  </si>
  <si>
    <t>플랫폼매출액</t>
    <phoneticPr fontId="2" type="noConversion"/>
  </si>
  <si>
    <t>고유번호</t>
    <phoneticPr fontId="2" type="noConversion"/>
  </si>
  <si>
    <t>장비명</t>
    <phoneticPr fontId="2" type="noConversion"/>
  </si>
  <si>
    <t>장비분류</t>
    <phoneticPr fontId="2" type="noConversion"/>
  </si>
  <si>
    <t>구매일자</t>
    <phoneticPr fontId="2" type="noConversion"/>
  </si>
  <si>
    <t>구매금액</t>
    <phoneticPr fontId="2" type="noConversion"/>
  </si>
  <si>
    <t>사용월수</t>
    <phoneticPr fontId="2" type="noConversion"/>
  </si>
  <si>
    <t>상각액</t>
    <phoneticPr fontId="2" type="noConversion"/>
  </si>
  <si>
    <t>CHR-MU-250317-LMT-001</t>
  </si>
  <si>
    <t>시디즈 T50라이트 베이직 사무의자</t>
    <phoneticPr fontId="2" type="noConversion"/>
  </si>
  <si>
    <t>PC-WH-250318-2Y-001</t>
  </si>
  <si>
    <t>벡스컴 사무용 컴퓨터</t>
  </si>
  <si>
    <t>데스트탑</t>
  </si>
  <si>
    <t>MOU-BK-250401-1Y-001</t>
  </si>
  <si>
    <t>로지텍 MX master 3s 무선 마우스</t>
  </si>
  <si>
    <t>마우스</t>
  </si>
  <si>
    <t>KBD-BK-250401-1Y-001</t>
  </si>
  <si>
    <t>로지텍 K650 무선 키보드</t>
  </si>
  <si>
    <t>키보드</t>
  </si>
  <si>
    <t>MOU-BK-250403-1Y-001</t>
  </si>
  <si>
    <t>MX Master 3S 무선 마우스</t>
  </si>
  <si>
    <t>DSK-WH-250403-LMT-001</t>
  </si>
  <si>
    <t>데스커1400*700 사무실데스크</t>
  </si>
  <si>
    <t>책상</t>
  </si>
  <si>
    <t>CHR-MU-250403-LMT-001</t>
  </si>
  <si>
    <t>허먼밀러 뉴 에어론 풀</t>
  </si>
  <si>
    <t>KBD-BK-250403-1Y-001</t>
  </si>
  <si>
    <t>MX Keys for mac 무선 키보드</t>
  </si>
  <si>
    <t>PC-GR-250403-2Y-001</t>
  </si>
  <si>
    <t>맥미니 m4 pro 12코어 24GB램</t>
  </si>
  <si>
    <t>MOU-BK-250407-1Y-001</t>
  </si>
  <si>
    <t>MK295 블랙 키보드/마우스 세트-마우스</t>
  </si>
  <si>
    <t>MOU-BK-250407-1Y-002</t>
  </si>
  <si>
    <t>DSK-WH-250407-LMT-001</t>
  </si>
  <si>
    <t>데스커1200*700 사무실데스크</t>
  </si>
  <si>
    <t>DSK-WH-250407-LMT-002</t>
  </si>
  <si>
    <t>DSK-WH-250407-LMT-003</t>
  </si>
  <si>
    <t>CHR-MU-250407-LMT-001</t>
  </si>
  <si>
    <t>시디즈 T50라이트 베이직 사무의자</t>
  </si>
  <si>
    <t>CHR-MU-250407-LMT-002</t>
  </si>
  <si>
    <t>CHR-MU-250407-LMT-003</t>
  </si>
  <si>
    <t>KBD-BK-250407-1Y-001</t>
  </si>
  <si>
    <t>MK295 블랙 키보드/마우스 세트-키보드</t>
  </si>
  <si>
    <t>KBD-BK-250407-1Y-002</t>
  </si>
  <si>
    <t>MON-MU-250407-2Y-001</t>
  </si>
  <si>
    <t>DELL 27인치 UHD 4K 모니터</t>
  </si>
  <si>
    <t>모니터</t>
  </si>
  <si>
    <t>MON-MU-250407-2Y-002</t>
  </si>
  <si>
    <t>MOU-BK-250407-1Y-003</t>
  </si>
  <si>
    <t>KBD-BK-250407-1Y-003</t>
  </si>
  <si>
    <t>PC-BK-250408-2Y-001</t>
  </si>
  <si>
    <t>벡스컴 개발자용 컴퓨터</t>
  </si>
  <si>
    <t>FUR-GR-250422-LMT-001</t>
  </si>
  <si>
    <t>W700 펠트 엔드스크린(파티션)</t>
    <phoneticPr fontId="2" type="noConversion"/>
  </si>
  <si>
    <t>FUR-GR-250422-LMT-002</t>
  </si>
  <si>
    <t>FUR-GR-250422-LMT-003</t>
  </si>
  <si>
    <t>FUR-GR-250422-LMT-004</t>
  </si>
  <si>
    <t>FUR-GR-250422-LMT-005</t>
  </si>
  <si>
    <t>FUR-GR-250422-LMT-006</t>
  </si>
  <si>
    <t>PHN-MU-250425-2Y-001</t>
  </si>
  <si>
    <t>핸드폰 삼성 갤럭시 A13 (64GB)</t>
  </si>
  <si>
    <t>휴대폰</t>
  </si>
  <si>
    <t>OFF-MU-250428-N/A-001</t>
  </si>
  <si>
    <t>스케줄 달력</t>
  </si>
  <si>
    <t>사무용품</t>
  </si>
  <si>
    <t>MON-MU-250527-2Y-001</t>
  </si>
  <si>
    <t>델 모니터 S2725DS</t>
  </si>
  <si>
    <t>MON-MU-250527-2Y-002</t>
  </si>
  <si>
    <t>MON-MU-250527-2Y-003</t>
  </si>
  <si>
    <t>MON-MU-250527-2Y-004</t>
  </si>
  <si>
    <t>LPT-WH-250527-2Y-001</t>
  </si>
  <si>
    <t>LG 2024 그램 16 </t>
  </si>
  <si>
    <t>노트북</t>
  </si>
  <si>
    <t>MON-MU-000100-2Y-001</t>
  </si>
  <si>
    <t>MON-MU-000100-2Y-002</t>
  </si>
  <si>
    <t>MON-MU-000100-2Y-003</t>
  </si>
  <si>
    <t>MON-MU-000100-2Y-004</t>
  </si>
  <si>
    <t>DSK-WH-250528-LMT-001</t>
  </si>
  <si>
    <t>DSK-WH-250528-LMT-002</t>
  </si>
  <si>
    <t>DSK-WH-250528-LMT-003</t>
  </si>
  <si>
    <t>DSK-WH-250528-LMT-004</t>
  </si>
  <si>
    <t>CHR-MU-250528-LMT-001</t>
  </si>
  <si>
    <t>CHR-MU-250528-LMT-002</t>
  </si>
  <si>
    <t>CHR-MU-250528-LMT-003</t>
  </si>
  <si>
    <t>CHR-MU-250528-LMT-004</t>
  </si>
  <si>
    <t>PC-WH-250528-2Y-001</t>
  </si>
  <si>
    <t>LPT-GR-250528-2Y-001</t>
  </si>
  <si>
    <t>MacBook Pro 14</t>
  </si>
  <si>
    <t>LPT-GR-250528-2Y-002</t>
  </si>
  <si>
    <t>MacBook Air 15</t>
    <phoneticPr fontId="2" type="noConversion"/>
  </si>
  <si>
    <t>MON-MU-250530-2Y-001</t>
  </si>
  <si>
    <t>LG전자 4K UHD 모니터</t>
  </si>
  <si>
    <t>MON-MU-250530-2Y-002</t>
  </si>
  <si>
    <t>MON-MU-250530-2Y-003</t>
  </si>
  <si>
    <t>MON-MU-250530-2Y-004</t>
  </si>
  <si>
    <t>MOU-WH-250618-1Y-001</t>
  </si>
  <si>
    <t>로이체 버티컬 무선 마우스</t>
    <phoneticPr fontId="2" type="noConversion"/>
  </si>
  <si>
    <t>LPT-WH-250618-2Y-001</t>
  </si>
  <si>
    <t>LG 2025 그램 16 </t>
    <phoneticPr fontId="2" type="noConversion"/>
  </si>
  <si>
    <t>FUR-WH-250618-LMT-001</t>
  </si>
  <si>
    <t>사무용 수납형 모니터 받침대</t>
    <phoneticPr fontId="2" type="noConversion"/>
  </si>
  <si>
    <t>FUR-WH-250618-LMT-002</t>
  </si>
  <si>
    <t>듀얼 모니터 받침대</t>
    <phoneticPr fontId="2" type="noConversion"/>
  </si>
  <si>
    <t>FUR-WH-250618-LMT-003</t>
  </si>
  <si>
    <t>EPH-BK-250618-1Y-001</t>
  </si>
  <si>
    <t>유선 이어폰</t>
    <phoneticPr fontId="2" type="noConversion"/>
  </si>
  <si>
    <t>이어폰</t>
  </si>
  <si>
    <t>EPH-BK-250618-1Y-002</t>
  </si>
  <si>
    <t>ACC-GR-250618-1Y-001</t>
  </si>
  <si>
    <t>USB</t>
    <phoneticPr fontId="2" type="noConversion"/>
  </si>
  <si>
    <t>전자기기 부속</t>
  </si>
  <si>
    <t>ACC-GR-250618-1Y-002</t>
  </si>
  <si>
    <t>OFF-BK-250618-N/A-001</t>
  </si>
  <si>
    <t>마우스패드</t>
    <phoneticPr fontId="2" type="noConversion"/>
  </si>
  <si>
    <t>OFF-BK-250618-N/A-002</t>
  </si>
  <si>
    <t>OFF-BK-250618-N/A-003</t>
  </si>
  <si>
    <t>OFF-BK-250618-N/A-004</t>
  </si>
  <si>
    <t>MOU-BK-250618-1Y-001</t>
  </si>
  <si>
    <t>로지텍 버티컬 무선 마우스</t>
    <phoneticPr fontId="2" type="noConversion"/>
  </si>
  <si>
    <t>MOU-BK-250618-1Y-002</t>
  </si>
  <si>
    <t>ACC-MU-250618-1Y-001</t>
  </si>
  <si>
    <t>멀티 고속충전 케이블</t>
    <phoneticPr fontId="2" type="noConversion"/>
  </si>
  <si>
    <t>ACC-MU-250618-1Y-002</t>
  </si>
  <si>
    <t>ACC-BK-250618-1Y-001</t>
  </si>
  <si>
    <t>웹캠</t>
    <phoneticPr fontId="2" type="noConversion"/>
  </si>
  <si>
    <t>KBD-BK-250618-1Y-001</t>
  </si>
  <si>
    <t>ACC-WH-250618-1Y-001</t>
  </si>
  <si>
    <t>멀티 충전 어댑터</t>
    <phoneticPr fontId="2" type="noConversion"/>
  </si>
  <si>
    <t>ACC-WH-250618-1Y-002</t>
  </si>
  <si>
    <t>ACC-GR-250618-1Y-003</t>
  </si>
  <si>
    <t>멀티 HUB C타입</t>
    <phoneticPr fontId="2" type="noConversion"/>
  </si>
  <si>
    <t>ACC-GR-250618-1Y-004</t>
  </si>
  <si>
    <t>KBD-MU-250618-1Y-001</t>
  </si>
  <si>
    <t>AURA 독거미 유무선 키보드</t>
    <phoneticPr fontId="2" type="noConversion"/>
  </si>
  <si>
    <t>KBD-MU-250618-1Y-002</t>
  </si>
  <si>
    <t>MON-MU-250618-2Y-001</t>
  </si>
  <si>
    <t>MON-MU-250618-2Y-002</t>
  </si>
  <si>
    <t>MOU-BK-250619-1Y-001</t>
  </si>
  <si>
    <t>OFF-BK-250619-N/A-001</t>
  </si>
  <si>
    <t>ACC-GR-250619-1Y-001</t>
  </si>
  <si>
    <t>ACC-MU-250619-1Y-001</t>
  </si>
  <si>
    <t>ACC-MU-250619-1Y-002</t>
  </si>
  <si>
    <t>EPH-BK-250619-1Y-001</t>
  </si>
  <si>
    <t>EPH-BK-250619-1Y-002</t>
  </si>
  <si>
    <t>MON-MU-250625-2Y-001</t>
  </si>
  <si>
    <t>MON-MU-250625-2Y-002</t>
  </si>
  <si>
    <t>LPT-GR-250625-2Y-001</t>
  </si>
  <si>
    <t>MacBook Air 15_16GB</t>
    <phoneticPr fontId="2" type="noConversion"/>
  </si>
  <si>
    <t>LPT-GR-250625-2Y-002</t>
  </si>
  <si>
    <t>MacBook Air 15_24GB</t>
    <phoneticPr fontId="2" type="noConversion"/>
  </si>
  <si>
    <t>OFF-WH-250625-N/A-001</t>
  </si>
  <si>
    <t>폼텍 라벨지_3622</t>
    <phoneticPr fontId="2" type="noConversion"/>
  </si>
  <si>
    <t>PC-WH-250626-2Y-001</t>
  </si>
  <si>
    <t>MON-MU-250626-2Y-001</t>
  </si>
  <si>
    <t>MON-MU-250626-2Y-002</t>
  </si>
  <si>
    <t>MOU-BK-250626-1Y-001</t>
  </si>
  <si>
    <t>MK295 블랙 키보드/마우스 세트-마우스</t>
    <phoneticPr fontId="2" type="noConversion"/>
  </si>
  <si>
    <t>KBD-BK-250626-1Y-001</t>
  </si>
  <si>
    <t>MON-MU-250630-2Y-001</t>
  </si>
  <si>
    <t>LG전자 4K UHD 모니터_27in=68.4cm</t>
    <phoneticPr fontId="2" type="noConversion"/>
  </si>
  <si>
    <t>MON-MU-250630-2Y-002</t>
  </si>
  <si>
    <t>2025 1H</t>
    <phoneticPr fontId="2" type="noConversion"/>
  </si>
  <si>
    <t>2025 2H</t>
    <phoneticPr fontId="2" type="noConversion"/>
  </si>
  <si>
    <t>매출액</t>
    <phoneticPr fontId="2" type="noConversion"/>
  </si>
  <si>
    <t>영업비용</t>
    <phoneticPr fontId="2" type="noConversion"/>
  </si>
  <si>
    <t>영업이익</t>
    <phoneticPr fontId="2" type="noConversion"/>
  </si>
  <si>
    <t>영업이익률%</t>
    <phoneticPr fontId="2" type="noConversion"/>
  </si>
  <si>
    <t>영업외손익</t>
    <phoneticPr fontId="2" type="noConversion"/>
  </si>
  <si>
    <t>이자수익</t>
    <phoneticPr fontId="2" type="noConversion"/>
  </si>
  <si>
    <t>이자비용</t>
    <phoneticPr fontId="2" type="noConversion"/>
  </si>
  <si>
    <t>법인세차감전순이익</t>
    <phoneticPr fontId="2" type="noConversion"/>
  </si>
  <si>
    <t>법인세비용</t>
    <phoneticPr fontId="2" type="noConversion"/>
  </si>
  <si>
    <t>당기순이익</t>
    <phoneticPr fontId="2" type="noConversion"/>
  </si>
  <si>
    <t>당기순이익률%</t>
    <phoneticPr fontId="2" type="noConversion"/>
  </si>
  <si>
    <t>EBITDA%</t>
    <phoneticPr fontId="2" type="noConversion"/>
  </si>
  <si>
    <t>6. 내부거래</t>
    <phoneticPr fontId="2" type="noConversion"/>
  </si>
  <si>
    <t>현금및현금성자산등</t>
    <phoneticPr fontId="2" type="noConversion"/>
  </si>
  <si>
    <t>비지배지분</t>
    <phoneticPr fontId="2" type="noConversion"/>
  </si>
  <si>
    <t>티티에이컴퍼니</t>
    <phoneticPr fontId="2" type="noConversion"/>
  </si>
  <si>
    <t>박세영 40%, 타이탄 39%, 오윤록 11%</t>
    <phoneticPr fontId="2" type="noConversion"/>
  </si>
  <si>
    <t>타이탄 51%, 박세영 25%, 오윤록 9%, 박창욱(임직원) 15%</t>
    <phoneticPr fontId="2" type="noConversion"/>
  </si>
  <si>
    <t>타이탄 51%, 어베러라이프 49%</t>
    <phoneticPr fontId="2" type="noConversion"/>
  </si>
  <si>
    <t>타이탄 50%, 클래스 50%</t>
    <phoneticPr fontId="2" type="noConversion"/>
  </si>
  <si>
    <t>Pro forma BS</t>
    <phoneticPr fontId="2" type="noConversion"/>
  </si>
  <si>
    <t>유동자산</t>
    <phoneticPr fontId="2" type="noConversion"/>
  </si>
  <si>
    <t>단기대여금</t>
    <phoneticPr fontId="2" type="noConversion"/>
  </si>
  <si>
    <t>기타유동자산</t>
    <phoneticPr fontId="2" type="noConversion"/>
  </si>
  <si>
    <t>비유동자산</t>
    <phoneticPr fontId="2" type="noConversion"/>
  </si>
  <si>
    <t>유무형자산</t>
    <phoneticPr fontId="2" type="noConversion"/>
  </si>
  <si>
    <t>기타비유동자산</t>
    <phoneticPr fontId="2" type="noConversion"/>
  </si>
  <si>
    <t>자산총계</t>
    <phoneticPr fontId="2" type="noConversion"/>
  </si>
  <si>
    <t>유동부채</t>
    <phoneticPr fontId="2" type="noConversion"/>
  </si>
  <si>
    <t>단기차입금</t>
    <phoneticPr fontId="2" type="noConversion"/>
  </si>
  <si>
    <t>비유동부채</t>
    <phoneticPr fontId="2" type="noConversion"/>
  </si>
  <si>
    <t>장기차입금</t>
    <phoneticPr fontId="2" type="noConversion"/>
  </si>
  <si>
    <t>기타비유동부채</t>
    <phoneticPr fontId="2" type="noConversion"/>
  </si>
  <si>
    <t>부채총계</t>
    <phoneticPr fontId="2" type="noConversion"/>
  </si>
  <si>
    <t>자본총계</t>
    <phoneticPr fontId="2" type="noConversion"/>
  </si>
  <si>
    <t>미지급법인세</t>
    <phoneticPr fontId="2" type="noConversion"/>
  </si>
  <si>
    <t>기타유동부채</t>
    <phoneticPr fontId="2" type="noConversion"/>
  </si>
  <si>
    <t>Pro forma CF</t>
    <phoneticPr fontId="2" type="noConversion"/>
  </si>
  <si>
    <t>영업활동현금흐름</t>
    <phoneticPr fontId="2" type="noConversion"/>
  </si>
  <si>
    <t>운전자본변동</t>
    <phoneticPr fontId="2" type="noConversion"/>
  </si>
  <si>
    <t>법인세납부</t>
    <phoneticPr fontId="2" type="noConversion"/>
  </si>
  <si>
    <t>투자활동현금흐름</t>
    <phoneticPr fontId="2" type="noConversion"/>
  </si>
  <si>
    <t>재무활동현금흐름</t>
    <phoneticPr fontId="2" type="noConversion"/>
  </si>
  <si>
    <t>차입금변동</t>
    <phoneticPr fontId="2" type="noConversion"/>
  </si>
  <si>
    <t>매도가능주식처분손실</t>
  </si>
  <si>
    <t>무형자산처분이익</t>
  </si>
  <si>
    <t>무형자산손상차손</t>
  </si>
  <si>
    <t>매출채권의 증감</t>
  </si>
  <si>
    <t>미수금의 증감</t>
  </si>
  <si>
    <t>선급금의 증감</t>
  </si>
  <si>
    <t>선급비용의 증감</t>
  </si>
  <si>
    <t>가지급금의 증감</t>
  </si>
  <si>
    <t>선급법인세의 증감</t>
  </si>
  <si>
    <t>미지급금의 증감</t>
  </si>
  <si>
    <t>매입채무의 증감</t>
  </si>
  <si>
    <t>예수금의 증감</t>
  </si>
  <si>
    <t>선수금의 증감</t>
  </si>
  <si>
    <t>부가세예수금의 증감</t>
  </si>
  <si>
    <t>미지급법인세의 증감</t>
  </si>
  <si>
    <t>미지급비용의 증감</t>
  </si>
  <si>
    <t>퇴직급여충당부채의 증감</t>
  </si>
  <si>
    <t>대여금의 회수</t>
  </si>
  <si>
    <t>매도가능증권의 처분</t>
  </si>
  <si>
    <t>소프트웨어의 처분</t>
  </si>
  <si>
    <t>보증금의 감소</t>
  </si>
  <si>
    <t>종속기업의 취득</t>
  </si>
  <si>
    <t>대여금의 지급</t>
  </si>
  <si>
    <t>매도가능증권의 취득</t>
  </si>
  <si>
    <t>비품의 취득</t>
  </si>
  <si>
    <t>시설장치의 취득</t>
  </si>
  <si>
    <t>소프트웨어의 취득</t>
  </si>
  <si>
    <t>보증금의 증가</t>
  </si>
  <si>
    <t>단기매매증권의 취득</t>
  </si>
  <si>
    <t>건설중인자산의 취득</t>
  </si>
  <si>
    <t>배당금의 지급</t>
  </si>
  <si>
    <t>Ⅰ. 영업활동으로 인한 현금흐름</t>
    <phoneticPr fontId="10" type="noConversion"/>
  </si>
  <si>
    <t>(1) 당기순이익</t>
    <phoneticPr fontId="10" type="noConversion"/>
  </si>
  <si>
    <t>(2) 현금의 유출이 없는 비용 등의 가산</t>
    <phoneticPr fontId="10" type="noConversion"/>
  </si>
  <si>
    <t>퇴직급여</t>
    <phoneticPr fontId="10" type="noConversion"/>
  </si>
  <si>
    <t>감가상각비</t>
    <phoneticPr fontId="10" type="noConversion"/>
  </si>
  <si>
    <t>무형자산상각비</t>
    <phoneticPr fontId="10" type="noConversion"/>
  </si>
  <si>
    <t>(3) 자산부채조정</t>
    <phoneticPr fontId="10" type="noConversion"/>
  </si>
  <si>
    <t>Ⅱ. 투자활동으로 인한 현금흐름</t>
    <phoneticPr fontId="10" type="noConversion"/>
  </si>
  <si>
    <t>(1) 투자활동으로 인한 현금유입액</t>
    <phoneticPr fontId="10" type="noConversion"/>
  </si>
  <si>
    <t>(2) 투자활동으로 인한 현금유출액</t>
    <phoneticPr fontId="10" type="noConversion"/>
  </si>
  <si>
    <t>Ⅲ. 재무활동으로 인한 현금흐름</t>
    <phoneticPr fontId="10" type="noConversion"/>
  </si>
  <si>
    <t>(1) 재무활동으로 인한 현금유입액</t>
    <phoneticPr fontId="10" type="noConversion"/>
  </si>
  <si>
    <t>차입금의 차입</t>
    <phoneticPr fontId="11" type="noConversion"/>
  </si>
  <si>
    <t>(2) 재무활동으로 인한 현금유출액</t>
    <phoneticPr fontId="10" type="noConversion"/>
  </si>
  <si>
    <t>차입금의 상환</t>
    <phoneticPr fontId="11" type="noConversion"/>
  </si>
  <si>
    <t>현금증감</t>
    <phoneticPr fontId="11" type="noConversion"/>
  </si>
  <si>
    <t>기초현금</t>
    <phoneticPr fontId="11" type="noConversion"/>
  </si>
  <si>
    <t>기말현금</t>
    <phoneticPr fontId="11" type="noConversion"/>
  </si>
  <si>
    <t>기타자산부채증감</t>
    <phoneticPr fontId="2" type="noConversion"/>
  </si>
  <si>
    <t>단기매매증권평가이익</t>
    <phoneticPr fontId="2" type="noConversion"/>
  </si>
  <si>
    <t>무형자산처분이익</t>
    <phoneticPr fontId="2" type="noConversion"/>
  </si>
  <si>
    <t>(-)</t>
  </si>
  <si>
    <t>현금증가</t>
  </si>
  <si>
    <t>+</t>
  </si>
  <si>
    <t>현금및현금성자산</t>
  </si>
  <si>
    <t>단기금융상품</t>
  </si>
  <si>
    <t>증가</t>
  </si>
  <si>
    <t>감소</t>
  </si>
  <si>
    <t>종속기업투자주식</t>
  </si>
  <si>
    <t>감가상각누계액_건물</t>
  </si>
  <si>
    <t>자본금</t>
  </si>
  <si>
    <t>미처분이익잉여금</t>
  </si>
  <si>
    <t>기타매출</t>
  </si>
  <si>
    <t>판매비와관리비</t>
  </si>
  <si>
    <t>전력비</t>
  </si>
  <si>
    <t>세금과공과</t>
  </si>
  <si>
    <t>강사정산비</t>
  </si>
  <si>
    <t>OM</t>
    <phoneticPr fontId="11" type="noConversion"/>
  </si>
  <si>
    <t>현금흐름표</t>
    <phoneticPr fontId="11" type="noConversion"/>
  </si>
  <si>
    <t>PM</t>
    <phoneticPr fontId="11" type="noConversion"/>
  </si>
  <si>
    <t>DM</t>
    <phoneticPr fontId="11" type="noConversion"/>
  </si>
  <si>
    <t>영업활동</t>
    <phoneticPr fontId="10" type="noConversion"/>
  </si>
  <si>
    <t>투자활동</t>
    <phoneticPr fontId="10" type="noConversion"/>
  </si>
  <si>
    <t>재무활동</t>
    <phoneticPr fontId="10" type="noConversion"/>
  </si>
  <si>
    <t>FS공시계정과목</t>
    <phoneticPr fontId="10" type="noConversion"/>
  </si>
  <si>
    <t>PL주석</t>
    <phoneticPr fontId="10" type="noConversion"/>
  </si>
  <si>
    <t>성격별분류</t>
    <phoneticPr fontId="10" type="noConversion"/>
  </si>
  <si>
    <t>증 감 표</t>
    <phoneticPr fontId="10" type="noConversion"/>
  </si>
  <si>
    <t>변동</t>
    <phoneticPr fontId="11" type="noConversion"/>
  </si>
  <si>
    <t>검증</t>
    <phoneticPr fontId="11" type="noConversion"/>
  </si>
  <si>
    <t>당기순이익</t>
    <phoneticPr fontId="10" type="noConversion"/>
  </si>
  <si>
    <t>비용가산</t>
    <phoneticPr fontId="10" type="noConversion"/>
  </si>
  <si>
    <t>(+)</t>
    <phoneticPr fontId="10" type="noConversion"/>
  </si>
  <si>
    <t>수익차감</t>
    <phoneticPr fontId="10" type="noConversion"/>
  </si>
  <si>
    <t>(-)</t>
    <phoneticPr fontId="10" type="noConversion"/>
  </si>
  <si>
    <t>자산/부채 변동</t>
    <phoneticPr fontId="10" type="noConversion"/>
  </si>
  <si>
    <t>△</t>
    <phoneticPr fontId="10" type="noConversion"/>
  </si>
  <si>
    <t>현금감소</t>
    <phoneticPr fontId="11" type="noConversion"/>
  </si>
  <si>
    <t>대체</t>
    <phoneticPr fontId="11" type="noConversion"/>
  </si>
  <si>
    <t>주임종단기채권</t>
    <phoneticPr fontId="2" type="noConversion"/>
  </si>
  <si>
    <t>유무형자산취득처분</t>
    <phoneticPr fontId="2" type="noConversion"/>
  </si>
  <si>
    <t>대여금증감</t>
    <phoneticPr fontId="2" type="noConversion"/>
  </si>
  <si>
    <t>웨비나/일자</t>
  </si>
  <si>
    <t>순이익</t>
  </si>
  <si>
    <t>2025.04.02</t>
  </si>
  <si>
    <t>씨오</t>
  </si>
  <si>
    <t>2025.04.09</t>
  </si>
  <si>
    <t xml:space="preserve">20.00%					</t>
  </si>
  <si>
    <t>2025.04.16</t>
  </si>
  <si>
    <t>노바작가</t>
  </si>
  <si>
    <t xml:space="preserve">60.00%					</t>
  </si>
  <si>
    <t>2025.04.23</t>
  </si>
  <si>
    <t>상세페이지로 집에서 돈 잘 버는 노하우</t>
  </si>
  <si>
    <t>2025.05.07</t>
  </si>
  <si>
    <t>2025.05.14</t>
  </si>
  <si>
    <t>홍시삼분</t>
  </si>
  <si>
    <t>2025.05.21</t>
  </si>
  <si>
    <t>온비전</t>
  </si>
  <si>
    <t>2025.05.22</t>
  </si>
  <si>
    <t>2025.05.26</t>
  </si>
  <si>
    <t>2025.05.28</t>
  </si>
  <si>
    <t xml:space="preserve">사뚜 </t>
  </si>
  <si>
    <t>2025.06.04</t>
  </si>
  <si>
    <t xml:space="preserve">에어 </t>
  </si>
  <si>
    <t>2025.06.09</t>
  </si>
  <si>
    <t xml:space="preserve">잰수성가 </t>
  </si>
  <si>
    <t>2025.06.11</t>
  </si>
  <si>
    <t>2025.06.25</t>
  </si>
  <si>
    <t>2025.06.30</t>
  </si>
  <si>
    <t>2025.07.02</t>
  </si>
  <si>
    <t>콘텐츠농부</t>
  </si>
  <si>
    <t>2025.07.07</t>
  </si>
  <si>
    <t>토리맘</t>
  </si>
  <si>
    <t>2025.07.09</t>
  </si>
  <si>
    <t>홍시</t>
  </si>
  <si>
    <t>2025.07.16</t>
  </si>
  <si>
    <t>2025.07.21</t>
  </si>
  <si>
    <t>2025.08.18</t>
  </si>
  <si>
    <t>1512명</t>
  </si>
  <si>
    <t>2025.08.20</t>
  </si>
  <si>
    <t>820명</t>
  </si>
  <si>
    <t>2025.08.25</t>
  </si>
  <si>
    <t>1821명</t>
  </si>
  <si>
    <t>2025.08.27</t>
  </si>
  <si>
    <t>1299명</t>
  </si>
  <si>
    <t>2025.09.01</t>
  </si>
  <si>
    <t xml:space="preserve">씨오 </t>
  </si>
  <si>
    <t>1345명</t>
  </si>
  <si>
    <t>2025.09.10</t>
  </si>
  <si>
    <t>358명</t>
  </si>
  <si>
    <t>2590만원</t>
  </si>
  <si>
    <t>2025.09.15</t>
  </si>
  <si>
    <t>2703명</t>
  </si>
  <si>
    <t>2025.09.17</t>
  </si>
  <si>
    <t>748명</t>
  </si>
  <si>
    <t>9500만원</t>
  </si>
  <si>
    <t>2025.09.22</t>
  </si>
  <si>
    <t>528명</t>
  </si>
  <si>
    <t>2025.09.24</t>
  </si>
  <si>
    <t>영상 하나로 5억뷰 만든 시니어 유튜브 노하우</t>
  </si>
  <si>
    <t>378명</t>
  </si>
  <si>
    <t>777만원</t>
  </si>
  <si>
    <t>2025.09.25</t>
  </si>
  <si>
    <t>하루 30분으로 월2억 버는 유튜브 쇼츠 노하우</t>
  </si>
  <si>
    <t>591명</t>
  </si>
  <si>
    <t>2025.09.29</t>
  </si>
  <si>
    <t>션</t>
  </si>
  <si>
    <t>누구나 할 수 있는 유튜브 해외 쇼츠</t>
  </si>
  <si>
    <t>842명</t>
  </si>
  <si>
    <t>2.1억</t>
  </si>
  <si>
    <t>2025.09.30</t>
  </si>
  <si>
    <t>AI활용 컨텐츠 부업노하우</t>
  </si>
  <si>
    <t>902명</t>
  </si>
  <si>
    <t>2025.10.01</t>
  </si>
  <si>
    <t>원현우 대표님</t>
  </si>
  <si>
    <t>사주풀이 자동화로 월4천 버는법</t>
  </si>
  <si>
    <t>834명</t>
  </si>
  <si>
    <t>2.09억</t>
  </si>
  <si>
    <t>2025.10.13</t>
  </si>
  <si>
    <t>파타이준</t>
  </si>
  <si>
    <t> AI가 다 해주는 시니어 유튜브로 월 6천 버는 노하우</t>
  </si>
  <si>
    <t>1499명</t>
  </si>
  <si>
    <t>2025.10.15</t>
  </si>
  <si>
    <t>1104명</t>
  </si>
  <si>
    <t>2025.10.16</t>
  </si>
  <si>
    <t>릴리</t>
  </si>
  <si>
    <t>광고비 0원! 숏폼으로 월 300 더 벌기 프로젝트</t>
  </si>
  <si>
    <t>783명</t>
  </si>
  <si>
    <t>2025.10.22</t>
  </si>
  <si>
    <t> 5일만에 5.1억 매출 나오는 공동구매중개의 모든 것</t>
  </si>
  <si>
    <t>422명</t>
  </si>
  <si>
    <t>2025.10.27</t>
  </si>
  <si>
    <t>황대표</t>
  </si>
  <si>
    <t>연매출 150억 만든 쇼핑몰 수익화 노하우</t>
  </si>
  <si>
    <t>504명</t>
  </si>
  <si>
    <t>2025.10.28</t>
  </si>
  <si>
    <t>790명</t>
  </si>
  <si>
    <t>2025.10.30</t>
  </si>
  <si>
    <t xml:space="preserve">디유 </t>
  </si>
  <si>
    <t>698명</t>
  </si>
  <si>
    <t>2025.11.02</t>
  </si>
  <si>
    <t xml:space="preserve">토리맘 </t>
  </si>
  <si>
    <t>1105명</t>
  </si>
  <si>
    <t>2025.11.03</t>
  </si>
  <si>
    <t xml:space="preserve">콘텐츠농부 </t>
  </si>
  <si>
    <t>1년 안에 5억 버는 AI 활용 컨텐츠 제작 방법</t>
  </si>
  <si>
    <t>788명</t>
  </si>
  <si>
    <t>2025.11.05</t>
  </si>
  <si>
    <t>에스더</t>
  </si>
  <si>
    <t>아이둘 컴맹 육아맘도 월 4천 버는 AI쿠팡 수익화 노하우</t>
  </si>
  <si>
    <t>강의당 신규유입수(톡방)</t>
    <phoneticPr fontId="2" type="noConversion"/>
  </si>
  <si>
    <t>자산</t>
  </si>
  <si>
    <t>No</t>
  </si>
  <si>
    <t>업종명</t>
  </si>
  <si>
    <t>카메라</t>
  </si>
  <si>
    <t>2025-05-12</t>
  </si>
  <si>
    <t>24</t>
  </si>
  <si>
    <t>교육서비스업</t>
  </si>
  <si>
    <t>2025-05-15</t>
  </si>
  <si>
    <t>10,438,546</t>
  </si>
  <si>
    <t>918,592</t>
  </si>
  <si>
    <t>9,519,954</t>
  </si>
  <si>
    <t>CPM(백만원)</t>
  </si>
  <si>
    <t>강의당 톡방 유입 수</t>
  </si>
  <si>
    <t>기초</t>
  </si>
  <si>
    <t>취득</t>
  </si>
  <si>
    <t>처분</t>
  </si>
  <si>
    <t>평가</t>
  </si>
  <si>
    <t>기말</t>
  </si>
  <si>
    <t>토스페이먼츠. 1달 주기로 회수</t>
  </si>
  <si>
    <t>주임종단기대여금</t>
  </si>
  <si>
    <t>상각</t>
  </si>
  <si>
    <t>대체</t>
  </si>
  <si>
    <t>감가상각누계액_비품</t>
  </si>
  <si>
    <t>감가상각누계액_시설장치</t>
  </si>
  <si>
    <t>선수금</t>
  </si>
  <si>
    <t>지급</t>
  </si>
  <si>
    <t>기초 잉여금</t>
  </si>
  <si>
    <t>NI</t>
  </si>
  <si>
    <t>배당</t>
  </si>
  <si>
    <t>준비금적립</t>
  </si>
  <si>
    <t>기말 잉여금</t>
  </si>
  <si>
    <t>강의플랫폼 제작업체 총액출의 15%를 수수료로 가짐</t>
  </si>
  <si>
    <t>FY24반기(최종)</t>
  </si>
  <si>
    <t>Ⅰ. 영업활동으로 인한 현금흐름</t>
  </si>
  <si>
    <t>(1) 당기순이익</t>
  </si>
  <si>
    <t>비교대상 당기</t>
  </si>
  <si>
    <t>비교대상 전기</t>
  </si>
  <si>
    <t>(2) 현금의 유출이 없는 비용 등의 가산</t>
  </si>
  <si>
    <t>평생교육 기준. 2/3이하 강의는 환불</t>
  </si>
  <si>
    <t>무형자산상각비</t>
  </si>
  <si>
    <t>(3) 자산부채조정</t>
  </si>
  <si>
    <t>접대비</t>
  </si>
  <si>
    <t>Ⅱ. 투자활동으로 인한 현금흐름</t>
  </si>
  <si>
    <t>(1) 투자활동으로 인한 현금유입액</t>
  </si>
  <si>
    <t>(2) 투자활동으로 인한 현금유출액</t>
  </si>
  <si>
    <t>Ⅲ. 재무활동으로 인한 현금흐름</t>
  </si>
  <si>
    <t>컨텐츠, 페이지 제작</t>
  </si>
  <si>
    <t>(1) 재무활동으로 인한 현금유입액</t>
  </si>
  <si>
    <t>차입금의 차입</t>
  </si>
  <si>
    <t>(2) 재무활동으로 인한 현금유출액</t>
  </si>
  <si>
    <t>영업외수익</t>
  </si>
  <si>
    <t>차입금의 상환</t>
  </si>
  <si>
    <t>현금증감</t>
  </si>
  <si>
    <t>기초현금</t>
  </si>
  <si>
    <t>단기금융상품평가이익</t>
  </si>
  <si>
    <t>기말현금</t>
  </si>
  <si>
    <t>영업외비용</t>
  </si>
  <si>
    <t>종속기업투자주식처분손실</t>
  </si>
  <si>
    <t>24년, 22. 23 부가가치세 수정납부액 잡손실 처리</t>
  </si>
  <si>
    <t>24년, 22, 23 법인세 수정납부액 법인세 조정</t>
  </si>
  <si>
    <t>배당금지급</t>
    <phoneticPr fontId="2" type="noConversion"/>
  </si>
  <si>
    <t>기초현금</t>
    <phoneticPr fontId="2" type="noConversion"/>
  </si>
  <si>
    <t>현금증감</t>
    <phoneticPr fontId="2" type="noConversion"/>
  </si>
  <si>
    <t>기말현금</t>
    <phoneticPr fontId="2" type="noConversion"/>
  </si>
  <si>
    <t>배분율</t>
    <phoneticPr fontId="2" type="noConversion"/>
  </si>
  <si>
    <t>강사정산금</t>
    <phoneticPr fontId="2" type="noConversion"/>
  </si>
  <si>
    <t>외주용역비</t>
    <phoneticPr fontId="2" type="noConversion"/>
  </si>
  <si>
    <t>Pro forma CE</t>
    <phoneticPr fontId="2" type="noConversion"/>
  </si>
  <si>
    <t>기초</t>
    <phoneticPr fontId="2" type="noConversion"/>
  </si>
  <si>
    <t>기말</t>
    <phoneticPr fontId="2" type="noConversion"/>
  </si>
  <si>
    <t>배당</t>
    <phoneticPr fontId="2" type="noConversion"/>
  </si>
  <si>
    <t>전기오류수정</t>
    <phoneticPr fontId="2" type="noConversion"/>
  </si>
  <si>
    <t>8/4 (월)</t>
  </si>
  <si>
    <t>8/11 (월)</t>
  </si>
  <si>
    <t>8/12 (화)</t>
  </si>
  <si>
    <t>8/13 (수)</t>
  </si>
  <si>
    <t>8/14 (목)</t>
  </si>
  <si>
    <t>8/18 (월)</t>
  </si>
  <si>
    <t>8/19 (화)</t>
  </si>
  <si>
    <t>8/25 (월)</t>
  </si>
  <si>
    <t>8/26 (화)</t>
  </si>
  <si>
    <t>8/27 (수)</t>
  </si>
  <si>
    <t>9/1 (월)</t>
  </si>
  <si>
    <t>9/2 (화)</t>
  </si>
  <si>
    <t>9/3 (수)</t>
  </si>
  <si>
    <t>9/8 (월)</t>
  </si>
  <si>
    <t>9/10 (수)</t>
  </si>
  <si>
    <t>9/11 (목)</t>
  </si>
  <si>
    <t>9/14 (일)</t>
  </si>
  <si>
    <t>9/16 (화)</t>
  </si>
  <si>
    <t>9/21 (일)</t>
  </si>
  <si>
    <t>9/23 (화)</t>
  </si>
  <si>
    <t>9/24 (수)</t>
  </si>
  <si>
    <t>9/29 (월)</t>
  </si>
  <si>
    <t>10/14 (화)</t>
  </si>
  <si>
    <t>10/15 (수)</t>
  </si>
  <si>
    <t>10/20 (월)</t>
  </si>
  <si>
    <t>10/21 (화)</t>
  </si>
  <si>
    <t>10/22 (수)</t>
  </si>
  <si>
    <t>10/26 (일)</t>
  </si>
  <si>
    <t>10/27 (월)</t>
  </si>
  <si>
    <t>10/28 (화)</t>
  </si>
  <si>
    <t>10/29 (수)</t>
  </si>
  <si>
    <t>11/3 (월)</t>
  </si>
  <si>
    <t>11/4 (화)</t>
  </si>
  <si>
    <t>11/5 (수)</t>
  </si>
  <si>
    <t>11/11 (화)</t>
  </si>
  <si>
    <t>쇼핑 숏폼 수익화</t>
  </si>
  <si>
    <t>해외구매대행 4기</t>
  </si>
  <si>
    <t>숏폼 쇼핑 수익화 2기</t>
  </si>
  <si>
    <t>아파트 경매 단타 수익화</t>
  </si>
  <si>
    <t>쿠팡 로켓그로스 2기</t>
  </si>
  <si>
    <t>숏폼 대행 수익화</t>
  </si>
  <si>
    <t>홈페이지 수익화 외주</t>
  </si>
  <si>
    <t>유튜브 롱폼 강의</t>
  </si>
  <si>
    <t>철거왕 4기</t>
  </si>
  <si>
    <t>경매 3기</t>
  </si>
  <si>
    <t>스터디카페 창업</t>
  </si>
  <si>
    <t>쿠팡 로켓그로스 디노 3기</t>
  </si>
  <si>
    <t>영끌남 7기 컴백</t>
  </si>
  <si>
    <t>ppt강의</t>
  </si>
  <si>
    <t>방구석농부 쇼핑쇼츠 2기</t>
  </si>
  <si>
    <t>해외구매대행 디노 4기</t>
  </si>
  <si>
    <t>쿠팡 로켓그로스 3기</t>
  </si>
  <si>
    <t>콘텐츠 마케팅</t>
  </si>
  <si>
    <t>하대표2기</t>
  </si>
  <si>
    <t>미리캔버스 수익화</t>
  </si>
  <si>
    <t>AI를 활용한 PPT 수익화</t>
  </si>
  <si>
    <t>미큐 &amp; 미큐님 수강생</t>
  </si>
  <si>
    <t>해외구매대행 끝장캐리 18기</t>
  </si>
  <si>
    <t>레민</t>
  </si>
  <si>
    <t>하대표</t>
  </si>
  <si>
    <t>긍정필터</t>
  </si>
  <si>
    <t>유튜브훈련소</t>
  </si>
  <si>
    <t>스카남</t>
  </si>
  <si>
    <t>디노 쿠팡</t>
  </si>
  <si>
    <t>누워서돈버는 제로</t>
  </si>
  <si>
    <t>방구석농부</t>
  </si>
  <si>
    <t>안혜빈</t>
  </si>
  <si>
    <t>페이퍼로지</t>
  </si>
  <si>
    <t>인비남(박기만)</t>
  </si>
  <si>
    <t>투자</t>
    <phoneticPr fontId="2" type="noConversion"/>
  </si>
  <si>
    <t>부업</t>
    <phoneticPr fontId="2" type="noConversion"/>
  </si>
  <si>
    <t>고객획득비용 물가상승률 수준 상승 가정</t>
    <phoneticPr fontId="2" type="noConversion"/>
  </si>
  <si>
    <t>클래스어라운드 정산기일 준용</t>
    <phoneticPr fontId="2" type="noConversion"/>
  </si>
  <si>
    <t>타이탄 수준 발생 가정</t>
    <phoneticPr fontId="2" type="noConversion"/>
  </si>
  <si>
    <t>플랫폼 추가 및 확장하며 2030년까지 강의 120개 오픈</t>
    <phoneticPr fontId="2" type="noConversion"/>
  </si>
  <si>
    <t>현수준 유지 가정(부업 주력)</t>
    <phoneticPr fontId="2" type="noConversion"/>
  </si>
  <si>
    <t>물가상승률 수준 상승 가정</t>
    <phoneticPr fontId="2" type="noConversion"/>
  </si>
  <si>
    <t>구축관리형 수준 준용 / 물가상승률 수준 상승 가정</t>
    <phoneticPr fontId="2" type="noConversion"/>
  </si>
  <si>
    <t>&gt;&gt;&gt; 박창욱 보유 지분 매각 대상 여부 확인 필요</t>
    <phoneticPr fontId="2" type="noConversion"/>
  </si>
  <si>
    <t>3% 타겟</t>
    <phoneticPr fontId="2" type="noConversion"/>
  </si>
  <si>
    <t>pg수수료 제외한 50%</t>
    <phoneticPr fontId="2" type="noConversion"/>
  </si>
  <si>
    <t>pg수수료를 대납하고, 얹어서 청구</t>
    <phoneticPr fontId="2" type="noConversion"/>
  </si>
  <si>
    <t>자체 유투브 --&gt; 광고비 적음</t>
    <phoneticPr fontId="2" type="noConversion"/>
  </si>
  <si>
    <t>2025년 하반기 7명, 2026년까지 30명 수준 채용 가정</t>
    <phoneticPr fontId="2" type="noConversion"/>
  </si>
  <si>
    <t>PG수수료율</t>
    <phoneticPr fontId="2" type="noConversion"/>
  </si>
  <si>
    <t>전자지불수수료(systemewfo 2025/05)(토스페이먼츠 주식회사)</t>
  </si>
  <si>
    <t>전자지불수수료(systemewfo 2025/06)(토스페이먼츠 주식회사)</t>
  </si>
  <si>
    <t>전자지불수수료(trendersclass 2025/06)(토스페이먼츠 주식회사)</t>
  </si>
  <si>
    <t>기타(내부거래)</t>
    <phoneticPr fontId="2" type="noConversion"/>
  </si>
  <si>
    <t>계  정  과  목</t>
  </si>
  <si>
    <t>적       요</t>
  </si>
  <si>
    <t>차    변</t>
  </si>
  <si>
    <t>대    변</t>
  </si>
  <si>
    <t>개발 1 X 20,250,000(주식회사 타이탄컴퍼니)</t>
  </si>
  <si>
    <t>개발 1 X 20,250,000((주)클래스어라운드)</t>
  </si>
  <si>
    <t>5월토스카드(토스페이먼츠 주식회사)</t>
  </si>
  <si>
    <t>5월토스현금영수증(토스페이먼츠 주식회사)</t>
  </si>
  <si>
    <t>6월토스카드(토스페이먼츠 주식회사)</t>
  </si>
  <si>
    <t>6월토스현금영수증(토스페이먼츠 주식회사)</t>
  </si>
  <si>
    <t>PG수수료율</t>
    <phoneticPr fontId="2" type="noConversion"/>
  </si>
  <si>
    <t>Normalization_강의료</t>
    <phoneticPr fontId="2" type="noConversion"/>
  </si>
  <si>
    <t>차이</t>
    <phoneticPr fontId="2" type="noConversion"/>
  </si>
  <si>
    <t>Normalized EBITDA</t>
    <phoneticPr fontId="2" type="noConversion"/>
  </si>
  <si>
    <t>Norm EBITDA %</t>
    <phoneticPr fontId="2" type="noConversion"/>
  </si>
  <si>
    <t>EBITDA %</t>
  </si>
  <si>
    <t>Norm. EBITDA%</t>
    <phoneticPr fontId="2" type="noConversion"/>
  </si>
  <si>
    <t>2월</t>
  </si>
  <si>
    <t>2월</t>
    <phoneticPr fontId="2" type="noConversion"/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</si>
  <si>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</si>
  <si>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</si>
  <si>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</si>
  <si>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</si>
  <si>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</si>
  <si>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</si>
  <si>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</si>
  <si>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</si>
  <si>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</si>
  <si>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</si>
  <si>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매출액(수수료포함)_v2</t>
    <phoneticPr fontId="2" type="noConversion"/>
  </si>
  <si>
    <t>PG수수료_v2</t>
    <phoneticPr fontId="2" type="noConversion"/>
  </si>
  <si>
    <t>정산금_v2</t>
    <phoneticPr fontId="2" type="noConversion"/>
  </si>
  <si>
    <t>정산월</t>
    <phoneticPr fontId="2" type="noConversion"/>
  </si>
  <si>
    <t>강의</t>
  </si>
  <si>
    <t>강의명</t>
  </si>
  <si>
    <t>종류</t>
  </si>
  <si>
    <t>진도</t>
  </si>
  <si>
    <t>강의일</t>
  </si>
  <si>
    <t>업로드일</t>
  </si>
  <si>
    <t>업로드 담당자</t>
  </si>
  <si>
    <t>진행상태</t>
  </si>
  <si>
    <t>작은성공 로켓그로스 8기</t>
  </si>
  <si>
    <t>정규강의</t>
  </si>
  <si>
    <t>양찬휘</t>
  </si>
  <si>
    <t>업로드 완료</t>
  </si>
  <si>
    <t>챌린지</t>
  </si>
  <si>
    <t>업로드 미대상</t>
  </si>
  <si>
    <t>강미정 2기</t>
  </si>
  <si>
    <t>원현우 제휴마케팅 1기</t>
  </si>
  <si>
    <t>주상하</t>
  </si>
  <si>
    <t>오날x광마 로켓배송 수익화 1기</t>
  </si>
  <si>
    <t>1강</t>
  </si>
  <si>
    <t>03.17. 월</t>
  </si>
  <si>
    <t>이석용</t>
  </si>
  <si>
    <t>2강</t>
  </si>
  <si>
    <t>03.31. 월</t>
  </si>
  <si>
    <t>3강</t>
  </si>
  <si>
    <t>04.03. 목</t>
  </si>
  <si>
    <t>4강</t>
  </si>
  <si>
    <t>04.07. 월</t>
  </si>
  <si>
    <t>5강</t>
  </si>
  <si>
    <t>04.10. 목</t>
  </si>
  <si>
    <t>6강</t>
  </si>
  <si>
    <t>04.14. 월</t>
  </si>
  <si>
    <t>04. 16. 수</t>
  </si>
  <si>
    <t>7강</t>
  </si>
  <si>
    <t>04.17. 목</t>
  </si>
  <si>
    <t>04. 21. 월</t>
  </si>
  <si>
    <t>8강</t>
  </si>
  <si>
    <t>04. 23. 수</t>
  </si>
  <si>
    <t>미정</t>
  </si>
  <si>
    <t>업로드 전</t>
  </si>
  <si>
    <t>옆집CEO 1기</t>
  </si>
  <si>
    <t>03. 19. 수</t>
  </si>
  <si>
    <t>03. 20. 목</t>
  </si>
  <si>
    <t>03. 26. 수</t>
  </si>
  <si>
    <t>04. 02. 수</t>
  </si>
  <si>
    <t>04. 03. 목</t>
  </si>
  <si>
    <t>04. 09. 수</t>
  </si>
  <si>
    <t>04. 10. 목</t>
  </si>
  <si>
    <t>03. 27. 목</t>
  </si>
  <si>
    <t>04. 16. 목</t>
  </si>
  <si>
    <t>어비x유훈 6기</t>
  </si>
  <si>
    <t>3. 21. 금</t>
  </si>
  <si>
    <t>3. 22. 토</t>
  </si>
  <si>
    <t>종강</t>
  </si>
  <si>
    <t>3. 24. 월</t>
  </si>
  <si>
    <t>3. 25. 화</t>
  </si>
  <si>
    <t>3-1강</t>
  </si>
  <si>
    <t>3. 31. 월</t>
  </si>
  <si>
    <t>4. 1. 화</t>
  </si>
  <si>
    <t>3-2강</t>
  </si>
  <si>
    <t>4. 4. 금</t>
  </si>
  <si>
    <t>4. 5. 토</t>
  </si>
  <si>
    <t>4. 7. 월</t>
  </si>
  <si>
    <t>4. 8. 화</t>
  </si>
  <si>
    <t>4. 11. 금</t>
  </si>
  <si>
    <t>4. 12. 토</t>
  </si>
  <si>
    <t>뱀비 1기</t>
  </si>
  <si>
    <t>3. 26. 수</t>
  </si>
  <si>
    <t>3. 27. 목</t>
  </si>
  <si>
    <t>홍의찬</t>
  </si>
  <si>
    <t>서과장X홍시 해외구매대행 3기</t>
  </si>
  <si>
    <t>03. 22. 토</t>
  </si>
  <si>
    <t>03. 25. 화</t>
  </si>
  <si>
    <t>03. 29. 토</t>
  </si>
  <si>
    <t>04. 01. 화</t>
  </si>
  <si>
    <t>04. 05. 토</t>
  </si>
  <si>
    <t>04. 08. 화</t>
  </si>
  <si>
    <t>04. 12. 토</t>
  </si>
  <si>
    <t>04. 15. 화</t>
  </si>
  <si>
    <t>04. 19. 토</t>
  </si>
  <si>
    <t>04. 22. 화</t>
  </si>
  <si>
    <t>04. 26. 토</t>
  </si>
  <si>
    <t>04. 17. 목</t>
  </si>
  <si>
    <t>05. 01. 목</t>
  </si>
  <si>
    <t>05. 07. 수</t>
  </si>
  <si>
    <t>05. 08. 목</t>
  </si>
  <si>
    <t>05. 12. 월</t>
  </si>
  <si>
    <t>자생법 2기</t>
  </si>
  <si>
    <t>03. 28. 금</t>
  </si>
  <si>
    <t>04. 14. 월</t>
  </si>
  <si>
    <t>9강</t>
  </si>
  <si>
    <t>10강</t>
  </si>
  <si>
    <t>04. 29. 화</t>
  </si>
  <si>
    <t>04. 30. 월</t>
  </si>
  <si>
    <t>김해준 5기</t>
  </si>
  <si>
    <t>03. 31. 월</t>
  </si>
  <si>
    <t>04. 04. 금</t>
  </si>
  <si>
    <t>04. 11. 금</t>
  </si>
  <si>
    <t>04. 18. 금</t>
  </si>
  <si>
    <t>떵이자까 1기</t>
  </si>
  <si>
    <t>04. 07. 월</t>
  </si>
  <si>
    <t>04. 28. 월</t>
  </si>
  <si>
    <t>04. 30. 수</t>
  </si>
  <si>
    <t>05. 09. 금</t>
  </si>
  <si>
    <t>05. 13. 화</t>
  </si>
  <si>
    <t>05. 14. 수</t>
  </si>
  <si>
    <t>보너스 혜택 강의</t>
  </si>
  <si>
    <t>05. 03. 토</t>
  </si>
  <si>
    <t>05. 06. 화</t>
  </si>
  <si>
    <t>05. 10. 토</t>
  </si>
  <si>
    <t>05. 12. 화</t>
  </si>
  <si>
    <t>어비 4기</t>
  </si>
  <si>
    <t>05. 20. 화</t>
  </si>
  <si>
    <t>05. 21. 수</t>
  </si>
  <si>
    <t>구도희</t>
  </si>
  <si>
    <t>매필녀 3기</t>
  </si>
  <si>
    <t>05. 05. 월</t>
  </si>
  <si>
    <t>05. 19. 월</t>
  </si>
  <si>
    <t>05. 26. 월</t>
  </si>
  <si>
    <t>05. 28. 수</t>
  </si>
  <si>
    <t>05. 30. 금</t>
  </si>
  <si>
    <t>06. 02. 월</t>
  </si>
  <si>
    <t>라이브 1강</t>
  </si>
  <si>
    <t>05. 02. 금</t>
  </si>
  <si>
    <t>라이브 2강</t>
  </si>
  <si>
    <t>라이브 3강</t>
  </si>
  <si>
    <t>05. 16. 금</t>
  </si>
  <si>
    <t>라이브 4강</t>
  </si>
  <si>
    <t>쇼츠아재</t>
  </si>
  <si>
    <t>05. 23. 금</t>
  </si>
  <si>
    <t>06. 06. 금</t>
  </si>
  <si>
    <t>보조1강</t>
  </si>
  <si>
    <t>보조2강</t>
  </si>
  <si>
    <t>보조3강</t>
  </si>
  <si>
    <t>보조4강</t>
  </si>
  <si>
    <t>보조5강</t>
  </si>
  <si>
    <t>06. 11. 수</t>
  </si>
  <si>
    <t>작은성공 10기</t>
  </si>
  <si>
    <t>05. 17. 토</t>
  </si>
  <si>
    <t>05. 24. 토</t>
  </si>
  <si>
    <t>05. 31. 토</t>
  </si>
  <si>
    <t>06. 07. 토</t>
  </si>
  <si>
    <t>원현우 2기</t>
  </si>
  <si>
    <t>05. 04. 일</t>
  </si>
  <si>
    <t>05. 06. 월</t>
  </si>
  <si>
    <t>05. 11. 일</t>
  </si>
  <si>
    <t>05. 15. 목</t>
  </si>
  <si>
    <t>05. 22. 목</t>
  </si>
  <si>
    <t>05. 27. 화</t>
  </si>
  <si>
    <t>05. 29. 목</t>
  </si>
  <si>
    <t>엘플랑 2기</t>
  </si>
  <si>
    <t>06. 06. 목</t>
  </si>
  <si>
    <t>06. 07. 금</t>
  </si>
  <si>
    <t>06. 12. 목</t>
  </si>
  <si>
    <t>06. 14. 금</t>
  </si>
  <si>
    <t>06. 10. 화</t>
  </si>
  <si>
    <t>김해준 6기</t>
  </si>
  <si>
    <t>진대표 1기</t>
  </si>
  <si>
    <t>06. 08. 일</t>
  </si>
  <si>
    <t>06. 15. 일</t>
  </si>
  <si>
    <t>06. 17. 화</t>
  </si>
  <si>
    <t>06. 22. 일</t>
  </si>
  <si>
    <t>06. 24. 화</t>
  </si>
  <si>
    <t>06. 29. 일</t>
  </si>
  <si>
    <t>07. 01. 화</t>
  </si>
  <si>
    <t>박준휘 1기</t>
  </si>
  <si>
    <t>06. 03. 화</t>
  </si>
  <si>
    <t>06. 09. 월</t>
  </si>
  <si>
    <t>06. 16. 월</t>
  </si>
  <si>
    <t>06. 14. 토</t>
  </si>
  <si>
    <t>06. 21. 토</t>
  </si>
  <si>
    <t>자생법 3기</t>
  </si>
  <si>
    <t>1강(zoom)</t>
  </si>
  <si>
    <t>2강(오프라인)</t>
  </si>
  <si>
    <t>3강(zoom)</t>
  </si>
  <si>
    <t>4강(오프라인)</t>
  </si>
  <si>
    <t>5강(zoom)</t>
  </si>
  <si>
    <t>06. 18. 수</t>
  </si>
  <si>
    <t>06. 19. 목</t>
  </si>
  <si>
    <t>오날광마 2기</t>
  </si>
  <si>
    <t>06. 23. 월</t>
  </si>
  <si>
    <t>06. 25. 수</t>
  </si>
  <si>
    <t>06. 30. 월</t>
  </si>
  <si>
    <t>07. 02. 수</t>
  </si>
  <si>
    <t>07. 03. 목</t>
  </si>
  <si>
    <t>07. 04. 금</t>
  </si>
  <si>
    <t>07. 07. 월</t>
  </si>
  <si>
    <t>07. 09. 수</t>
  </si>
  <si>
    <t>07. 10. 목</t>
  </si>
  <si>
    <t>07. 11. 금</t>
  </si>
  <si>
    <t>07. 14. 월</t>
  </si>
  <si>
    <t>07. 16. 수</t>
  </si>
  <si>
    <t>07. 17. 목</t>
  </si>
  <si>
    <t>07. 18. 금</t>
  </si>
  <si>
    <t>비즈니스 해킹스쿨 2기</t>
  </si>
  <si>
    <t>06. 28. 토</t>
  </si>
  <si>
    <t>07. 15. 화</t>
  </si>
  <si>
    <t>박세진 1기</t>
  </si>
  <si>
    <t>OT</t>
  </si>
  <si>
    <t>06. 26. 목</t>
  </si>
  <si>
    <t>06. 27. 금</t>
  </si>
  <si>
    <t>07. 24. 목</t>
  </si>
  <si>
    <t>보너스 강의</t>
  </si>
  <si>
    <t>07. 31. 목</t>
  </si>
  <si>
    <t>07. 21. 월</t>
  </si>
  <si>
    <t>김해준 7기</t>
  </si>
  <si>
    <t>작은성공 11기</t>
  </si>
  <si>
    <t>07. 05. 토</t>
  </si>
  <si>
    <t>07. 08. 화</t>
  </si>
  <si>
    <t>07. 12. 토</t>
  </si>
  <si>
    <t>07. 19. 토</t>
  </si>
  <si>
    <t>07. 22. 화</t>
  </si>
  <si>
    <t>어비유훈 7기</t>
  </si>
  <si>
    <t>07. 23. 수</t>
  </si>
  <si>
    <t>유튜브탄광 1기</t>
  </si>
  <si>
    <t>현우 3기</t>
  </si>
  <si>
    <t>07. 25. 월</t>
  </si>
  <si>
    <t>08. 01. 금</t>
  </si>
  <si>
    <t>08. 02. 토</t>
  </si>
  <si>
    <t>08. 04. 월</t>
  </si>
  <si>
    <t>08. 03. 일</t>
  </si>
  <si>
    <t>08. 05. 화</t>
  </si>
  <si>
    <t>어비 6기</t>
  </si>
  <si>
    <t>07. 28. 월</t>
  </si>
  <si>
    <t>07. 29. 화</t>
  </si>
  <si>
    <t>추가강의 1강</t>
  </si>
  <si>
    <t>07. 22. 월</t>
  </si>
  <si>
    <t>추가강의 2강</t>
  </si>
  <si>
    <t>내일은 편리하게 1기</t>
  </si>
  <si>
    <t>07.21 월</t>
  </si>
  <si>
    <t>07.22 화</t>
  </si>
  <si>
    <t>07.28 월</t>
  </si>
  <si>
    <t>07.29 화</t>
  </si>
  <si>
    <t>08.04 월</t>
  </si>
  <si>
    <t>08.05 화</t>
  </si>
  <si>
    <t>08.11 월</t>
  </si>
  <si>
    <t>08.12 화</t>
  </si>
  <si>
    <t>쇼츠아재 2기</t>
  </si>
  <si>
    <t>07. 25. 금</t>
  </si>
  <si>
    <t>우승수</t>
  </si>
  <si>
    <t>07. 30. 수</t>
  </si>
  <si>
    <t>08. 06. 수</t>
  </si>
  <si>
    <t>08. 07. 목</t>
  </si>
  <si>
    <t>08. 13. 수</t>
  </si>
  <si>
    <t>08. 14. 목</t>
  </si>
  <si>
    <t>08. 20. 수</t>
  </si>
  <si>
    <t>08. 21. 목</t>
  </si>
  <si>
    <t>추가강의 3강</t>
  </si>
  <si>
    <t>추가강의 4강</t>
  </si>
  <si>
    <t>추가강의 5강</t>
  </si>
  <si>
    <t>08. 11. 월</t>
  </si>
  <si>
    <t>추가강의 6강</t>
  </si>
  <si>
    <t>08. 17. 일</t>
  </si>
  <si>
    <t>08. 18. 월</t>
  </si>
  <si>
    <t>추가강의 7강</t>
  </si>
  <si>
    <t>08. 19. 화</t>
  </si>
  <si>
    <t>추가강의 8강</t>
  </si>
  <si>
    <t>08. 25. 월</t>
  </si>
  <si>
    <t>08. 26. 수</t>
  </si>
  <si>
    <t>자생법 4기</t>
  </si>
  <si>
    <t>1강(ZOOM강의)</t>
  </si>
  <si>
    <t>07. 26. 토</t>
  </si>
  <si>
    <t>배현서</t>
  </si>
  <si>
    <t>2강(현장강의)</t>
  </si>
  <si>
    <t>07. 27. 일</t>
  </si>
  <si>
    <t>3강(ZOOM강의)</t>
  </si>
  <si>
    <t>4강(현장강의)</t>
  </si>
  <si>
    <t>5강(ZOOM강의)</t>
  </si>
  <si>
    <t>6강(현장강의)</t>
  </si>
  <si>
    <t>08. 09. 토</t>
  </si>
  <si>
    <t>08. 10. 일</t>
  </si>
  <si>
    <t>7강(ZOOM강의)</t>
  </si>
  <si>
    <t>8강(현장강의)</t>
  </si>
  <si>
    <t>08. 16. 토</t>
  </si>
  <si>
    <t>9강(ZOOM강의)</t>
  </si>
  <si>
    <t>10강(ZOOM강의)</t>
  </si>
  <si>
    <t>08. 23. 토</t>
  </si>
  <si>
    <t>파파준스 1기</t>
  </si>
  <si>
    <t>김해준 8기</t>
  </si>
  <si>
    <t>이병주</t>
  </si>
  <si>
    <t>08.01 금</t>
  </si>
  <si>
    <t>08.06 수</t>
  </si>
  <si>
    <t>08. 08. 금</t>
  </si>
  <si>
    <t>08.08 금</t>
  </si>
  <si>
    <t>어비유훈 8기</t>
  </si>
  <si>
    <t>08.13 수</t>
  </si>
  <si>
    <t>08.15 금</t>
  </si>
  <si>
    <t>08.19 화</t>
  </si>
  <si>
    <t>08.20 수</t>
  </si>
  <si>
    <t>08.21 토</t>
  </si>
  <si>
    <t>08.26 화</t>
  </si>
  <si>
    <t>08.27 수</t>
  </si>
  <si>
    <t>08.29 금</t>
  </si>
  <si>
    <t>08.31 일</t>
  </si>
  <si>
    <t>09.05 금</t>
  </si>
  <si>
    <t>09.06 토</t>
  </si>
  <si>
    <t>09.13 토</t>
  </si>
  <si>
    <t>현우 사주 1기</t>
  </si>
  <si>
    <t>추가특강 1차</t>
  </si>
  <si>
    <t>추가특강 2차</t>
  </si>
  <si>
    <t>박준휘 2기</t>
  </si>
  <si>
    <t>08.11월</t>
  </si>
  <si>
    <t>08.18월</t>
  </si>
  <si>
    <t>08.25월</t>
  </si>
  <si>
    <t>09.01 월</t>
  </si>
  <si>
    <t>09.08 월</t>
  </si>
  <si>
    <t>특강 1강</t>
  </si>
  <si>
    <t>특강 2강</t>
  </si>
  <si>
    <t>08.22 금</t>
  </si>
  <si>
    <t>특강 3강</t>
  </si>
  <si>
    <t>특강 4강</t>
  </si>
  <si>
    <t>특강 5강</t>
  </si>
  <si>
    <t>09.12 금</t>
  </si>
  <si>
    <t>진대표 2기</t>
  </si>
  <si>
    <t>08. 30. 토</t>
  </si>
  <si>
    <t>09. 01. 월</t>
  </si>
  <si>
    <t>09. 06. 토</t>
  </si>
  <si>
    <t>09. 09. 월</t>
  </si>
  <si>
    <t>영스타 1기</t>
  </si>
  <si>
    <t>08.18 월</t>
  </si>
  <si>
    <t>08.25 월</t>
  </si>
  <si>
    <t>09.02 화</t>
  </si>
  <si>
    <t>09.09 화</t>
  </si>
  <si>
    <t>09.16 화</t>
  </si>
  <si>
    <t>08.23 토</t>
  </si>
  <si>
    <t>08.30 토</t>
  </si>
  <si>
    <t>로사장 2기</t>
  </si>
  <si>
    <t>08. 26. 화</t>
  </si>
  <si>
    <t>09. 02. 화</t>
  </si>
  <si>
    <t>09. 03. 수</t>
  </si>
  <si>
    <t>09. 09. 화</t>
  </si>
  <si>
    <t>09. 10. 수</t>
  </si>
  <si>
    <t>VOD 1강</t>
  </si>
  <si>
    <t>08. 22. 금</t>
  </si>
  <si>
    <t>VOD 2강</t>
  </si>
  <si>
    <t>VOD 3강</t>
  </si>
  <si>
    <t>09. 05. 금</t>
  </si>
  <si>
    <t>VOD 4강</t>
  </si>
  <si>
    <t>09. 12. 금</t>
  </si>
  <si>
    <t>1주차</t>
  </si>
  <si>
    <t>09. 11. 목</t>
  </si>
  <si>
    <t>2주차</t>
  </si>
  <si>
    <t>09. 18. 목</t>
  </si>
  <si>
    <t>09. 19. 금</t>
  </si>
  <si>
    <t>3주차</t>
  </si>
  <si>
    <t>09. 25. 목</t>
  </si>
  <si>
    <t>09. 26. 금</t>
  </si>
  <si>
    <t>4주차</t>
  </si>
  <si>
    <t>10. 02. 목</t>
  </si>
  <si>
    <t>10. 03. 금</t>
  </si>
  <si>
    <t>작은성공 12기</t>
  </si>
  <si>
    <t>09. 08. 월</t>
  </si>
  <si>
    <t>09. 13. 토</t>
  </si>
  <si>
    <t>09. 15. 월</t>
  </si>
  <si>
    <t>깡대표 3기</t>
  </si>
  <si>
    <t>10. 07. 화</t>
  </si>
  <si>
    <t>09. 17. 수</t>
  </si>
  <si>
    <t>10. 15. 수</t>
  </si>
  <si>
    <t>지온서 1기</t>
  </si>
  <si>
    <t>09. 16. 화</t>
  </si>
  <si>
    <t>09. 22. 월</t>
  </si>
  <si>
    <t>09. 23. 화</t>
  </si>
  <si>
    <t>09. 29. 월</t>
  </si>
  <si>
    <t>09. 30. 화</t>
  </si>
  <si>
    <t>10. 13. 월</t>
  </si>
  <si>
    <t>10. 14. 화</t>
  </si>
  <si>
    <t>10. 20. 월</t>
  </si>
  <si>
    <t>10. 21. 화</t>
  </si>
  <si>
    <t>10. 27. 월</t>
  </si>
  <si>
    <t>10. 28. 화</t>
  </si>
  <si>
    <t>해디 1기</t>
  </si>
  <si>
    <t>09.29 월</t>
  </si>
  <si>
    <t>10. 11. 토</t>
  </si>
  <si>
    <t>10.16 목</t>
  </si>
  <si>
    <t>대학생 윤사장 1기</t>
  </si>
  <si>
    <t>09. 04. 목</t>
  </si>
  <si>
    <t>10. 06. 월</t>
  </si>
  <si>
    <t>10. 04. 토</t>
  </si>
  <si>
    <t>5주차</t>
  </si>
  <si>
    <t>10. 10. 금</t>
  </si>
  <si>
    <t>6주차</t>
  </si>
  <si>
    <t>뱀비 2기</t>
  </si>
  <si>
    <t>09.25 목</t>
  </si>
  <si>
    <t>하지혜 5기</t>
  </si>
  <si>
    <t>09. 20. 토</t>
  </si>
  <si>
    <t>09. 27. 토</t>
  </si>
  <si>
    <t>김해준 9기</t>
  </si>
  <si>
    <t>유탄광 2기</t>
  </si>
  <si>
    <t>셀콘 1기</t>
  </si>
  <si>
    <t>09.15 월</t>
  </si>
  <si>
    <t>어비 7기</t>
  </si>
  <si>
    <t>09.27 토</t>
  </si>
  <si>
    <t>09.30 화</t>
  </si>
  <si>
    <t>VOD</t>
  </si>
  <si>
    <t>10.04 토</t>
  </si>
  <si>
    <t>현우 4기</t>
  </si>
  <si>
    <t>09. 24. 수</t>
  </si>
  <si>
    <t>10. 01. 수</t>
  </si>
  <si>
    <t>10. 16. 목</t>
  </si>
  <si>
    <t>10. 17. 금</t>
  </si>
  <si>
    <t>자생법 5기</t>
  </si>
  <si>
    <t>10. 09. 목</t>
  </si>
  <si>
    <t>10.20월</t>
  </si>
  <si>
    <t>10.26일</t>
  </si>
  <si>
    <t>파파준스 2기</t>
  </si>
  <si>
    <t>10. 22. 수</t>
  </si>
  <si>
    <t>10. 23. 목</t>
  </si>
  <si>
    <t>10. 29. 수</t>
  </si>
  <si>
    <t>내일은 편리하게 2기</t>
  </si>
  <si>
    <t>10.14 화</t>
  </si>
  <si>
    <t>오날광마  3기</t>
  </si>
  <si>
    <t>10. 24. 금</t>
  </si>
  <si>
    <t>10. 31. 금</t>
  </si>
  <si>
    <t>11. 03. 월</t>
  </si>
  <si>
    <t>10.19 일</t>
  </si>
  <si>
    <t>10.26 일</t>
  </si>
  <si>
    <t>11. 10. 월</t>
  </si>
  <si>
    <t>정하석</t>
  </si>
  <si>
    <t>11. 14. 금</t>
  </si>
  <si>
    <t>박준휘 3기</t>
  </si>
  <si>
    <t>10. 30. 목</t>
  </si>
  <si>
    <t>11. 04. 화</t>
  </si>
  <si>
    <t>11. 06. 목</t>
  </si>
  <si>
    <t>11. 07. 금</t>
  </si>
  <si>
    <t>11. 11. 화</t>
  </si>
  <si>
    <t>11. 13. 목</t>
  </si>
  <si>
    <t>11. 17. 월</t>
  </si>
  <si>
    <t>11. 18. 화</t>
  </si>
  <si>
    <t>11. 20. 목</t>
  </si>
  <si>
    <t>11. 21. 금</t>
  </si>
  <si>
    <t>11. 24. 월</t>
  </si>
  <si>
    <t>11. 25. 화</t>
  </si>
  <si>
    <t>11. 27. 목</t>
  </si>
  <si>
    <t>11. 28. 금</t>
  </si>
  <si>
    <t>김해준 10기</t>
  </si>
  <si>
    <t>11. 01. 토</t>
  </si>
  <si>
    <t>11. 05. 수</t>
  </si>
  <si>
    <t>11. 17. 화</t>
  </si>
  <si>
    <t>윤선애</t>
  </si>
  <si>
    <t>어비X유훈 9기</t>
  </si>
  <si>
    <t>10.31 금</t>
  </si>
  <si>
    <t>11.04 화</t>
  </si>
  <si>
    <t>11.07 금</t>
  </si>
  <si>
    <t>11. 08. 토</t>
  </si>
  <si>
    <t>11.11 화</t>
  </si>
  <si>
    <t>11. 12. 수</t>
  </si>
  <si>
    <t>11.14 금</t>
  </si>
  <si>
    <t>11. 15. 토</t>
  </si>
  <si>
    <t>11.19 수</t>
  </si>
  <si>
    <t>11.21 금</t>
  </si>
  <si>
    <t>11.25 화</t>
  </si>
  <si>
    <t>11.28 금</t>
  </si>
  <si>
    <t>12.05 금</t>
  </si>
  <si>
    <t>11강</t>
  </si>
  <si>
    <t>12.12 금</t>
  </si>
  <si>
    <t>11.02 일</t>
  </si>
  <si>
    <t>강사님 직접</t>
  </si>
  <si>
    <t>11.09 일</t>
  </si>
  <si>
    <t>11.16 일</t>
  </si>
  <si>
    <t>11.23 일</t>
  </si>
  <si>
    <t>포폴1강</t>
  </si>
  <si>
    <t>11.30 일</t>
  </si>
  <si>
    <t>포폴2강</t>
  </si>
  <si>
    <t>12.07 일</t>
  </si>
  <si>
    <t>코너 1기</t>
  </si>
  <si>
    <t>11.01 토</t>
  </si>
  <si>
    <t>11. 06. 금</t>
  </si>
  <si>
    <t>11.08 토</t>
  </si>
  <si>
    <t>11. 09. 일</t>
  </si>
  <si>
    <t>11.15 토</t>
  </si>
  <si>
    <t>11.22 토</t>
  </si>
  <si>
    <t>11.29 토</t>
  </si>
  <si>
    <t>12.06 토</t>
  </si>
  <si>
    <t>12.13 토</t>
  </si>
  <si>
    <t>12.20 화</t>
  </si>
  <si>
    <t>로고언니 2기</t>
  </si>
  <si>
    <t>11.06 목</t>
  </si>
  <si>
    <t>11.12 수</t>
  </si>
  <si>
    <t>11.13 목</t>
  </si>
  <si>
    <t>11.20 목</t>
  </si>
  <si>
    <t>11.26 수</t>
  </si>
  <si>
    <t>11.27 목</t>
  </si>
  <si>
    <t>12.03 수</t>
  </si>
  <si>
    <t>12.04 목</t>
  </si>
  <si>
    <t>12.10 수</t>
  </si>
  <si>
    <t>12.11 목</t>
  </si>
  <si>
    <t>해디 2기</t>
  </si>
  <si>
    <t>11.10 월</t>
  </si>
  <si>
    <t>12.09 화</t>
  </si>
  <si>
    <t>12.16 화</t>
  </si>
  <si>
    <t>12.23 화</t>
  </si>
  <si>
    <t>12.30 화</t>
  </si>
  <si>
    <t>쇼츠아재 3기</t>
  </si>
  <si>
    <t>11.14. 금</t>
  </si>
  <si>
    <t>11.18 화</t>
  </si>
  <si>
    <t>11.19. 수</t>
  </si>
  <si>
    <t>12.17 수</t>
  </si>
  <si>
    <t>매필녀 4기</t>
  </si>
  <si>
    <t>OT 겸 1강</t>
  </si>
  <si>
    <t>11.17. 월</t>
  </si>
  <si>
    <t>보강</t>
  </si>
  <si>
    <t>멘토라이브</t>
  </si>
  <si>
    <t>11.24 월</t>
  </si>
  <si>
    <t>12.02 화</t>
  </si>
  <si>
    <t>12.01 월</t>
  </si>
  <si>
    <t>12.08 월</t>
  </si>
  <si>
    <t>12.15 월</t>
  </si>
  <si>
    <t>12.19 금</t>
  </si>
  <si>
    <t>12.22 월</t>
  </si>
  <si>
    <t>12.26 금</t>
  </si>
  <si>
    <t>어비 8기</t>
  </si>
  <si>
    <t>1,2강</t>
  </si>
  <si>
    <t>3,4강</t>
  </si>
  <si>
    <t>5,6강</t>
  </si>
  <si>
    <t>7,8,9,10강</t>
  </si>
  <si>
    <t>11,12,13강</t>
  </si>
  <si>
    <t>현우 5기</t>
  </si>
  <si>
    <t>배분율_v2</t>
    <phoneticPr fontId="2" type="noConversion"/>
  </si>
  <si>
    <t>강사정산금_v2</t>
    <phoneticPr fontId="2" type="noConversion"/>
  </si>
  <si>
    <t>광고비분담률</t>
    <phoneticPr fontId="2" type="noConversion"/>
  </si>
  <si>
    <t>강의월</t>
  </si>
  <si>
    <t>강사</t>
  </si>
  <si>
    <t>2024년 11월</t>
  </si>
  <si>
    <t>작은성공6기</t>
  </si>
  <si>
    <t>2025년 1월</t>
  </si>
  <si>
    <t>2024년 10월</t>
  </si>
  <si>
    <t>아마다군1기</t>
  </si>
  <si>
    <t>비즈니스해킹스쿨</t>
  </si>
  <si>
    <t>주노정 1기</t>
  </si>
  <si>
    <t>보부상 5기</t>
  </si>
  <si>
    <t>선우의성 1기</t>
  </si>
  <si>
    <t>2024년 12월</t>
  </si>
  <si>
    <t>타철 상페4기</t>
  </si>
  <si>
    <t>2025년 2월</t>
  </si>
  <si>
    <t>타백상단 4기</t>
  </si>
  <si>
    <t>어비유훈 3기</t>
  </si>
  <si>
    <t>신재식보부상</t>
  </si>
  <si>
    <t>서과정홍시2기</t>
  </si>
  <si>
    <t>강미정 1기</t>
  </si>
  <si>
    <t>티티에이컴퍼니</t>
  </si>
  <si>
    <t>이재만</t>
  </si>
  <si>
    <t>숙사장</t>
  </si>
  <si>
    <t>오날X광마스터</t>
  </si>
  <si>
    <t>하지혜x백행동</t>
  </si>
  <si>
    <t>마케터씨</t>
  </si>
  <si>
    <t>어비X유훈</t>
  </si>
  <si>
    <t>Normalized 정산율</t>
    <phoneticPr fontId="2" type="noConversion"/>
  </si>
  <si>
    <t>정산률 5대5 -&gt; 6대4 변경(27년부터 하반기부터 전체 변경)</t>
  </si>
  <si>
    <t>정산률 5대5 -&gt; 6대4 변경(27년부터 하반기부터 전체 변경)</t>
    <phoneticPr fontId="2" type="noConversion"/>
  </si>
  <si>
    <t>50% 광고비 강사 분담 체제 전환(2027년부터 전체적용))</t>
  </si>
  <si>
    <t>50% 광고비 강사 분담 체제 전환(2027년부터 전체적용))</t>
    <phoneticPr fontId="2" type="noConversion"/>
  </si>
  <si>
    <t>Reported</t>
    <phoneticPr fontId="2" type="noConversion"/>
  </si>
  <si>
    <t>Normalization</t>
    <phoneticPr fontId="2" type="noConversion"/>
  </si>
  <si>
    <t>매출액</t>
  </si>
  <si>
    <t>영업비용</t>
  </si>
  <si>
    <t>EBITDA</t>
  </si>
  <si>
    <t>△NWC</t>
    <phoneticPr fontId="2" type="noConversion"/>
  </si>
  <si>
    <t>FCF</t>
    <phoneticPr fontId="2" type="noConversion"/>
  </si>
  <si>
    <t>25H1</t>
    <phoneticPr fontId="2" type="noConversion"/>
  </si>
  <si>
    <t>Titan</t>
    <phoneticPr fontId="2" type="noConversion"/>
  </si>
  <si>
    <t>Class</t>
    <phoneticPr fontId="2" type="noConversion"/>
  </si>
  <si>
    <t>Nova</t>
    <phoneticPr fontId="2" type="noConversion"/>
  </si>
  <si>
    <t>유동자산</t>
  </si>
  <si>
    <t>기타유동자산</t>
  </si>
  <si>
    <t>비유동자산</t>
  </si>
  <si>
    <t>유무형자산</t>
  </si>
  <si>
    <t>기타비유동자산</t>
  </si>
  <si>
    <t>유동부채</t>
  </si>
  <si>
    <t>미지급법인세</t>
  </si>
  <si>
    <t>기타유동부채</t>
  </si>
  <si>
    <t>비유동부채</t>
  </si>
  <si>
    <t>기타비유동부채</t>
  </si>
  <si>
    <t>Pro-Forma BS</t>
    <phoneticPr fontId="2" type="noConversion"/>
  </si>
  <si>
    <t>2025E</t>
  </si>
  <si>
    <t>(단위: 백만원)</t>
  </si>
  <si>
    <t>2025 H1</t>
  </si>
  <si>
    <t>2026F</t>
  </si>
  <si>
    <t>Pro-Forma PL</t>
    <phoneticPr fontId="2" type="noConversion"/>
  </si>
  <si>
    <t>강의매출</t>
  </si>
  <si>
    <t>솔루션매출</t>
  </si>
  <si>
    <t>영업이익</t>
  </si>
  <si>
    <t>영업이익률</t>
  </si>
  <si>
    <t>당기순이익</t>
  </si>
  <si>
    <t>당기순이익률</t>
  </si>
  <si>
    <t>EBITDA율</t>
  </si>
  <si>
    <t>강의매출</t>
    <phoneticPr fontId="2" type="noConversion"/>
  </si>
  <si>
    <t>기타매출</t>
    <phoneticPr fontId="2" type="noConversion"/>
  </si>
  <si>
    <t>솔루션매출</t>
    <phoneticPr fontId="2" type="noConversion"/>
  </si>
  <si>
    <t>&gt;&gt;내부거래</t>
    <phoneticPr fontId="2" type="noConversion"/>
  </si>
  <si>
    <t>Normalize 변동비 (추가분)</t>
    <phoneticPr fontId="2" type="noConversion"/>
  </si>
  <si>
    <t>매출</t>
    <phoneticPr fontId="2" type="noConversion"/>
  </si>
  <si>
    <t>25H1 내부거래</t>
    <phoneticPr fontId="2" type="noConversion"/>
  </si>
  <si>
    <t>내부거래</t>
    <phoneticPr fontId="2" type="noConversion"/>
  </si>
  <si>
    <t>조정EBITDA</t>
    <phoneticPr fontId="2" type="noConversion"/>
  </si>
  <si>
    <t>Business Plan Overview</t>
    <phoneticPr fontId="2" type="noConversion"/>
  </si>
  <si>
    <t>Year</t>
  </si>
  <si>
    <t>Year</t>
    <phoneticPr fontId="2" type="noConversion"/>
  </si>
  <si>
    <t>합계</t>
    <phoneticPr fontId="2" type="noConversion"/>
  </si>
  <si>
    <t>EBITDA율</t>
    <phoneticPr fontId="2" type="noConversion"/>
  </si>
  <si>
    <t>&gt;&gt; 값복사</t>
    <phoneticPr fontId="2" type="noConversion"/>
  </si>
  <si>
    <t>KPI</t>
    <phoneticPr fontId="2" type="noConversion"/>
  </si>
  <si>
    <t>부업 강의</t>
    <phoneticPr fontId="2" type="noConversion"/>
  </si>
  <si>
    <t>투자 강의</t>
    <phoneticPr fontId="2" type="noConversion"/>
  </si>
  <si>
    <t>부업-Titan</t>
    <phoneticPr fontId="2" type="noConversion"/>
  </si>
  <si>
    <t>부업-Class</t>
    <phoneticPr fontId="2" type="noConversion"/>
  </si>
  <si>
    <t>부업-TTA</t>
    <phoneticPr fontId="2" type="noConversion"/>
  </si>
  <si>
    <t>구축관리형 플랫폼</t>
    <phoneticPr fontId="2" type="noConversion"/>
  </si>
  <si>
    <t>구축형 플랫폼</t>
    <phoneticPr fontId="2" type="noConversion"/>
  </si>
  <si>
    <t>억환산</t>
    <phoneticPr fontId="2" type="noConversion"/>
  </si>
  <si>
    <t>FCF Conversion</t>
    <phoneticPr fontId="2" type="noConversion"/>
  </si>
  <si>
    <t>2. Nomalization 기준</t>
    <phoneticPr fontId="2" type="noConversion"/>
  </si>
  <si>
    <t>3. Normalization 기준 NWC</t>
    <phoneticPr fontId="2" type="noConversion"/>
  </si>
  <si>
    <t>2. Normalization 기준 BS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</si>
</sst>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6" formatCode="&quot;₩&quot;#,##0;[Red]\-&quot;₩&quot;#,##0"/>
    <numFmt numFmtId="41" formatCode="_-* #,##0_-;\-* #,##0_-;_-* &quot;-&quot;_-;_-@_-"/>
    <numFmt numFmtId="176" formatCode="#,##0;\(#,##0\);\-"/>
    <numFmt numFmtId="177" formatCode="#,##0.0;\(#,##0.0\);\-"/>
    <numFmt numFmtId="178" formatCode="#,##0\ ;[Red]\(#,##0\);\-\ "/>
    <numFmt numFmtId="179" formatCode="#,###\ ;[Red]\(#,###\);[Blue]\-\ "/>
    <numFmt numFmtId="180" formatCode="0.00_);[Red]\(0.00\)"/>
    <numFmt numFmtId="181" formatCode="0.0%"/>
    <numFmt numFmtId="182" formatCode="###,##0"/>
    <numFmt numFmtId="183" formatCode="0.\x\x"/>
    <numFmt numFmtId="184" formatCode="yyyy/mm"/>
    <numFmt numFmtId="185" formatCode="#,##0.000"/>
    <numFmt numFmtId="186" formatCode="###,###"/>
    <numFmt numFmtId="187" formatCode="###,##0.###"/>
    <numFmt numFmtId="188" formatCode="#,##0_);[Red]\(#,##0\);\-_)"/>
    <numFmt numFmtId="189" formatCode="#,##0.000000"/>
    <numFmt numFmtId="190" formatCode="#,##0_);\(#,##0\)"/>
    <numFmt numFmtId="191" formatCode="#,##0.0"/>
    <numFmt numFmtId="192" formatCode="mm&quot;. &quot;dd&quot;. &quot;ddd"/>
    <numFmt numFmtId="193" formatCode="#&quot;강&quot;"/>
    <numFmt numFmtId="194" formatCode="mm\.\ dd\ ddd"/>
    <numFmt numFmtId="195" formatCode="m\.\ d\ ddd"/>
    <numFmt numFmtId="196" formatCode="yyyy\-mm"/>
    <numFmt numFmtId="197" formatCode="yyyy\/mm"/>
    <numFmt numFmtId="198" formatCode="#,##0;\(#,##0\);&quot;-&quot;"/>
  </numFmts>
  <fonts count="98" x14ac:knownFonts="1"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i/>
      <sz val="10"/>
      <color theme="1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</font>
    <font>
      <sz val="9"/>
      <color rgb="FF000000"/>
      <name val="맑은 고딕"/>
      <family val="2"/>
      <scheme val="minor"/>
    </font>
    <font>
      <sz val="8"/>
      <name val="맑은 고딕"/>
      <family val="2"/>
      <charset val="129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</font>
    <font>
      <b/>
      <sz val="9"/>
      <color theme="1"/>
      <name val="맑은 고딕"/>
      <family val="3"/>
      <charset val="129"/>
      <scheme val="major"/>
    </font>
    <font>
      <sz val="9"/>
      <color theme="1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theme="1"/>
      <name val="맑은 고딕"/>
      <family val="3"/>
      <charset val="129"/>
      <scheme val="major"/>
    </font>
    <font>
      <sz val="9"/>
      <color rgb="FF000000"/>
      <name val="맑은 고딕"/>
      <family val="3"/>
      <charset val="129"/>
    </font>
    <font>
      <i/>
      <sz val="9"/>
      <color rgb="FF000000"/>
      <name val="맑은 고딕"/>
      <family val="3"/>
      <charset val="129"/>
    </font>
    <font>
      <i/>
      <sz val="9"/>
      <color theme="1"/>
      <name val="맑은 고딕"/>
      <family val="3"/>
      <charset val="129"/>
      <scheme val="major"/>
    </font>
    <font>
      <sz val="9"/>
      <color rgb="FFFF0000"/>
      <name val="맑은 고딕"/>
      <family val="3"/>
      <charset val="129"/>
      <scheme val="major"/>
    </font>
    <font>
      <sz val="9"/>
      <color rgb="FFFF0000"/>
      <name val="맑은 고딕"/>
      <family val="3"/>
      <charset val="129"/>
    </font>
    <font>
      <b/>
      <sz val="9"/>
      <color rgb="FFFF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rgb="FF0070C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sz val="8"/>
      <color theme="1"/>
      <name val="Verdana"/>
      <family val="2"/>
    </font>
    <font>
      <b/>
      <sz val="16"/>
      <color rgb="FF969696"/>
      <name val="Tahoma"/>
      <family val="2"/>
      <charset val="1"/>
    </font>
    <font>
      <sz val="8"/>
      <name val="Verdana"/>
      <family val="2"/>
      <charset val="1"/>
    </font>
    <font>
      <b/>
      <sz val="8"/>
      <name val="Verdana"/>
      <family val="2"/>
      <charset val="1"/>
    </font>
    <font>
      <sz val="8"/>
      <color rgb="FF121212"/>
      <name val="Verdana"/>
      <family val="2"/>
      <charset val="1"/>
    </font>
    <font>
      <sz val="8"/>
      <color rgb="FF00588D"/>
      <name val="Verdana"/>
      <family val="2"/>
      <charset val="1"/>
    </font>
    <font>
      <b/>
      <sz val="8"/>
      <color rgb="FF121212"/>
      <name val="Verdana"/>
      <family val="2"/>
    </font>
    <font>
      <b/>
      <sz val="8"/>
      <color theme="1"/>
      <name val="Verdana"/>
      <family val="2"/>
    </font>
    <font>
      <sz val="8"/>
      <color rgb="FF121212"/>
      <name val="Verdana"/>
      <family val="2"/>
    </font>
    <font>
      <sz val="8"/>
      <color rgb="FF00000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</font>
    <font>
      <b/>
      <sz val="8"/>
      <color rgb="FFFF0000"/>
      <name val="맑은 고딕"/>
      <family val="3"/>
      <charset val="129"/>
    </font>
    <font>
      <b/>
      <sz val="8"/>
      <color rgb="FF00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i/>
      <sz val="10"/>
      <color theme="1"/>
      <name val="맑은 고딕"/>
      <family val="3"/>
      <charset val="129"/>
      <scheme val="minor"/>
    </font>
    <font>
      <b/>
      <sz val="9"/>
      <color indexed="8"/>
      <name val="돋움체"/>
      <family val="3"/>
      <charset val="129"/>
    </font>
    <font>
      <b/>
      <sz val="9"/>
      <color indexed="8"/>
      <name val="바탕체"/>
      <family val="1"/>
      <charset val="129"/>
    </font>
    <font>
      <sz val="9"/>
      <color indexed="8"/>
      <name val="바탕체"/>
      <family val="1"/>
      <charset val="129"/>
    </font>
    <font>
      <sz val="9"/>
      <color theme="1"/>
      <name val="맑은 고딕"/>
      <family val="2"/>
      <charset val="129"/>
      <scheme val="minor"/>
    </font>
    <font>
      <sz val="9"/>
      <color indexed="8"/>
      <name val="돋움체"/>
      <family val="3"/>
      <charset val="129"/>
    </font>
    <font>
      <sz val="10"/>
      <name val="맑은 고딕"/>
      <family val="3"/>
      <charset val="129"/>
      <scheme val="minor"/>
    </font>
    <font>
      <sz val="10"/>
      <color theme="2" tint="-9.9978637043366805E-2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10"/>
      <color rgb="FFFF0000"/>
      <name val="맑은 고딕"/>
      <family val="3"/>
      <charset val="129"/>
      <scheme val="minor"/>
    </font>
    <font>
      <b/>
      <i/>
      <sz val="10"/>
      <color rgb="FFFF0000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i/>
      <sz val="10"/>
      <color theme="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b/>
      <sz val="8"/>
      <color indexed="8"/>
      <name val="돋움체"/>
      <family val="3"/>
      <charset val="129"/>
    </font>
    <font>
      <sz val="8"/>
      <color indexed="8"/>
      <name val="바탕체"/>
      <family val="1"/>
      <charset val="129"/>
    </font>
    <font>
      <sz val="8"/>
      <color indexed="8"/>
      <name val="돋움체"/>
      <family val="3"/>
      <charset val="129"/>
    </font>
    <font>
      <sz val="10"/>
      <name val="맑은 고딕"/>
      <family val="2"/>
      <charset val="129"/>
      <scheme val="minor"/>
    </font>
    <font>
      <sz val="10"/>
      <color rgb="FFEE000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8"/>
      <color rgb="FF2D2D2D"/>
      <name val="맑은 고딕"/>
      <family val="3"/>
      <charset val="129"/>
    </font>
    <font>
      <b/>
      <sz val="8"/>
      <color theme="0"/>
      <name val="맑은 고딕"/>
      <family val="3"/>
      <charset val="129"/>
    </font>
    <font>
      <sz val="8"/>
      <color theme="1"/>
      <name val="맑은 고딕"/>
      <family val="3"/>
      <charset val="129"/>
    </font>
    <font>
      <b/>
      <sz val="8"/>
      <color theme="1"/>
      <name val="맑은 고딕"/>
      <family val="3"/>
      <charset val="129"/>
      <scheme val="major"/>
    </font>
    <font>
      <b/>
      <sz val="8"/>
      <color theme="0"/>
      <name val="맑은 고딕"/>
      <family val="3"/>
      <charset val="129"/>
      <scheme val="major"/>
    </font>
    <font>
      <b/>
      <sz val="8"/>
      <name val="맑은 고딕"/>
      <family val="3"/>
      <charset val="129"/>
    </font>
    <font>
      <b/>
      <sz val="8"/>
      <name val="맑은 고딕"/>
      <family val="3"/>
      <charset val="129"/>
      <scheme val="major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i/>
      <sz val="8"/>
      <color rgb="FF000000"/>
      <name val="맑은 고딕"/>
      <family val="3"/>
      <charset val="129"/>
    </font>
    <font>
      <i/>
      <sz val="8"/>
      <color theme="1"/>
      <name val="맑은 고딕"/>
      <family val="3"/>
      <charset val="129"/>
      <scheme val="major"/>
    </font>
    <font>
      <sz val="8"/>
      <color rgb="FFFF0000"/>
      <name val="맑은 고딕"/>
      <family val="3"/>
      <charset val="129"/>
      <scheme val="major"/>
    </font>
    <font>
      <sz val="8"/>
      <color rgb="FFFF0000"/>
      <name val="맑은 고딕"/>
      <family val="3"/>
      <charset val="129"/>
    </font>
    <font>
      <b/>
      <sz val="10"/>
      <color indexed="8"/>
      <name val="돋움체"/>
      <family val="3"/>
      <charset val="129"/>
    </font>
    <font>
      <sz val="10"/>
      <color indexed="8"/>
      <name val="바탕체"/>
      <family val="1"/>
      <charset val="129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1A1A1A"/>
      <name val="Arial"/>
      <family val="2"/>
    </font>
    <font>
      <sz val="10"/>
      <color theme="1"/>
      <name val="맑은 고딕"/>
      <family val="2"/>
      <scheme val="minor"/>
    </font>
    <font>
      <b/>
      <sz val="10"/>
      <color theme="1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b/>
      <sz val="10"/>
      <color rgb="FF000000"/>
      <name val="맑은 고딕"/>
      <family val="2"/>
      <scheme val="minor"/>
    </font>
    <font>
      <sz val="11"/>
      <color rgb="FF9C0006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</font>
    <font>
      <sz val="10"/>
      <color rgb="FF000000"/>
      <name val="Arial"/>
      <family val="2"/>
    </font>
    <font>
      <b/>
      <sz val="10"/>
      <color rgb="FFFFFFFF"/>
      <name val="Pretendard"/>
      <family val="3"/>
      <charset val="129"/>
    </font>
    <font>
      <b/>
      <sz val="10"/>
      <color rgb="FF000000"/>
      <name val="Pretendard"/>
      <family val="3"/>
      <charset val="129"/>
    </font>
    <font>
      <sz val="10"/>
      <color rgb="FF000000"/>
      <name val="Pretendard"/>
      <family val="3"/>
      <charset val="129"/>
    </font>
    <font>
      <i/>
      <sz val="10"/>
      <color rgb="FF539DFF"/>
      <name val="Pretendard"/>
      <family val="3"/>
      <charset val="129"/>
    </font>
  </fonts>
  <fills count="49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D9E8F2"/>
        <bgColor rgb="FFCCFFFF"/>
      </patternFill>
    </fill>
    <fill>
      <patternFill patternType="solid">
        <fgColor rgb="FFB381B3"/>
        <bgColor indexed="64"/>
      </patternFill>
    </fill>
    <fill>
      <patternFill patternType="solid">
        <fgColor rgb="FFC8D2D8"/>
        <bgColor rgb="FFC0C0C0"/>
      </patternFill>
    </fill>
    <fill>
      <patternFill patternType="solid">
        <fgColor rgb="FFE9EDF0"/>
        <bgColor rgb="FFD9E8F2"/>
      </patternFill>
    </fill>
    <fill>
      <patternFill patternType="solid">
        <fgColor rgb="FFD9E8F2"/>
      </patternFill>
    </fill>
    <fill>
      <patternFill patternType="solid">
        <fgColor rgb="FF00B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indexed="22"/>
        <bgColor indexed="64"/>
      </patternFill>
    </fill>
    <fill>
      <patternFill patternType="lightUp"/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F0F0"/>
      </patternFill>
    </fill>
    <fill>
      <patternFill patternType="solid">
        <fgColor rgb="FFF9FEF0"/>
      </patternFill>
    </fill>
    <fill>
      <patternFill patternType="solid">
        <fgColor rgb="FFFFFFFF"/>
      </patternFill>
    </fill>
    <fill>
      <patternFill patternType="solid">
        <fgColor rgb="FFE0F2FF"/>
      </patternFill>
    </fill>
    <fill>
      <patternFill patternType="solid">
        <fgColor rgb="FFABCCF8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</patternFill>
    </fill>
    <fill>
      <patternFill patternType="solid">
        <fgColor rgb="FFD9E9FA"/>
        <bgColor indexed="64"/>
      </patternFill>
    </fill>
    <fill>
      <patternFill patternType="solid">
        <fgColor rgb="FF11244A"/>
        <bgColor indexed="64"/>
      </patternFill>
    </fill>
  </fills>
  <borders count="12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/>
      <bottom style="dotted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theme="0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rgb="FFFF0000"/>
      </left>
      <right/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 style="thin">
        <color auto="1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auto="1"/>
      </top>
      <bottom style="medium">
        <color rgb="FFFF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rgb="FFB3B3B3"/>
      </left>
      <right style="thin">
        <color rgb="FFB3B3B3"/>
      </right>
      <top style="thin">
        <color rgb="FF000000"/>
      </top>
      <bottom style="thin">
        <color rgb="FFB3B3B3"/>
      </bottom>
      <diagonal/>
    </border>
    <border>
      <left/>
      <right style="thin">
        <color rgb="FFB3B3B3"/>
      </right>
      <top/>
      <bottom style="thin">
        <color rgb="FFB3B3B3"/>
      </bottom>
      <diagonal/>
    </border>
    <border>
      <left style="thin">
        <color rgb="FFB3B3B3"/>
      </left>
      <right style="thin">
        <color rgb="FFB3B3B3"/>
      </right>
      <top style="thin">
        <color rgb="FFFFFFFF"/>
      </top>
      <bottom style="thin">
        <color rgb="FFB3B3B3"/>
      </bottom>
      <diagonal/>
    </border>
    <border>
      <left style="thin">
        <color rgb="FF96BBED"/>
      </left>
      <right style="thin">
        <color rgb="FF96BBED"/>
      </right>
      <top style="thin">
        <color rgb="FF96BBED"/>
      </top>
      <bottom style="thin">
        <color rgb="FFFFFFFF"/>
      </bottom>
      <diagonal/>
    </border>
    <border>
      <left style="thin">
        <color rgb="FFB3B3B3"/>
      </left>
      <right/>
      <top/>
      <bottom/>
      <diagonal/>
    </border>
    <border>
      <left style="thin">
        <color indexed="8"/>
      </left>
      <right style="thin">
        <color indexed="8"/>
      </right>
      <top style="medium">
        <color indexed="8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thin">
        <color rgb="FF3D3D3D"/>
      </top>
      <bottom style="thin">
        <color rgb="FF3D3D3D"/>
      </bottom>
      <diagonal/>
    </border>
    <border>
      <left/>
      <right/>
      <top style="thin">
        <color rgb="FF3D3D3D"/>
      </top>
      <bottom/>
      <diagonal/>
    </border>
    <border>
      <left/>
      <right/>
      <top/>
      <bottom style="dashed">
        <color rgb="FF3D3D3D"/>
      </bottom>
      <diagonal/>
    </border>
    <border>
      <left/>
      <right/>
      <top style="dashed">
        <color rgb="FF3D3D3D"/>
      </top>
      <bottom style="thin">
        <color rgb="FF3D3D3D"/>
      </bottom>
      <diagonal/>
    </border>
    <border>
      <left style="dashed">
        <color rgb="FF3D3D3D"/>
      </left>
      <right/>
      <top/>
      <bottom style="dashed">
        <color rgb="FF3D3D3D"/>
      </bottom>
      <diagonal/>
    </border>
    <border>
      <left style="dashed">
        <color rgb="FF3D3D3D"/>
      </left>
      <right/>
      <top style="thin">
        <color rgb="FF3D3D3D"/>
      </top>
      <bottom style="thin">
        <color rgb="FF3D3D3D"/>
      </bottom>
      <diagonal/>
    </border>
    <border>
      <left style="dashed">
        <color rgb="FF3D3D3D"/>
      </left>
      <right/>
      <top style="thin">
        <color rgb="FF3D3D3D"/>
      </top>
      <bottom/>
      <diagonal/>
    </border>
    <border>
      <left style="dashed">
        <color rgb="FF3D3D3D"/>
      </left>
      <right/>
      <top/>
      <bottom/>
      <diagonal/>
    </border>
    <border>
      <left style="dashed">
        <color rgb="FF3D3D3D"/>
      </left>
      <right/>
      <top style="dashed">
        <color rgb="FF3D3D3D"/>
      </top>
      <bottom style="thin">
        <color rgb="FF3D3D3D"/>
      </bottom>
      <diagonal/>
    </border>
    <border>
      <left/>
      <right style="dashed">
        <color rgb="FF3D3D3D"/>
      </right>
      <top style="thin">
        <color rgb="FF3D3D3D"/>
      </top>
      <bottom style="thin">
        <color rgb="FF3D3D3D"/>
      </bottom>
      <diagonal/>
    </border>
    <border>
      <left/>
      <right style="dashed">
        <color rgb="FF3D3D3D"/>
      </right>
      <top style="thin">
        <color rgb="FF3D3D3D"/>
      </top>
      <bottom/>
      <diagonal/>
    </border>
    <border>
      <left/>
      <right style="dashed">
        <color rgb="FF3D3D3D"/>
      </right>
      <top/>
      <bottom/>
      <diagonal/>
    </border>
    <border>
      <left/>
      <right style="dashed">
        <color rgb="FF3D3D3D"/>
      </right>
      <top/>
      <bottom style="dashed">
        <color rgb="FF3D3D3D"/>
      </bottom>
      <diagonal/>
    </border>
    <border>
      <left/>
      <right/>
      <top style="dashed">
        <color rgb="FF3D3D3D"/>
      </top>
      <bottom/>
      <diagonal/>
    </border>
    <border>
      <left/>
      <right style="dashed">
        <color rgb="FF3D3D3D"/>
      </right>
      <top style="dashed">
        <color rgb="FF3D3D3D"/>
      </top>
      <bottom/>
      <diagonal/>
    </border>
    <border>
      <left style="dashed">
        <color rgb="FF3D3D3D"/>
      </left>
      <right/>
      <top style="dashed">
        <color rgb="FF3D3D3D"/>
      </top>
      <bottom/>
      <diagonal/>
    </border>
    <border>
      <left/>
      <right/>
      <top style="dashed">
        <color rgb="FF3D3D3D"/>
      </top>
      <bottom style="dashed">
        <color rgb="FF3D3D3D"/>
      </bottom>
      <diagonal/>
    </border>
    <border>
      <left/>
      <right style="dashed">
        <color rgb="FF3D3D3D"/>
      </right>
      <top style="dashed">
        <color rgb="FF3D3D3D"/>
      </top>
      <bottom style="dashed">
        <color rgb="FF3D3D3D"/>
      </bottom>
      <diagonal/>
    </border>
    <border>
      <left style="dashed">
        <color rgb="FF3D3D3D"/>
      </left>
      <right/>
      <top style="dashed">
        <color rgb="FF3D3D3D"/>
      </top>
      <bottom style="dashed">
        <color rgb="FF3D3D3D"/>
      </bottom>
      <diagonal/>
    </border>
    <border>
      <left/>
      <right/>
      <top/>
      <bottom style="thin">
        <color rgb="FF3D3D3D"/>
      </bottom>
      <diagonal/>
    </border>
    <border>
      <left/>
      <right style="dashed">
        <color rgb="FF3D3D3D"/>
      </right>
      <top/>
      <bottom style="thin">
        <color rgb="FF3D3D3D"/>
      </bottom>
      <diagonal/>
    </border>
    <border>
      <left style="dashed">
        <color rgb="FF3D3D3D"/>
      </left>
      <right/>
      <top/>
      <bottom style="thin">
        <color rgb="FF3D3D3D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center"/>
    </xf>
    <xf numFmtId="0" fontId="9" fillId="0" borderId="0">
      <alignment vertical="center"/>
    </xf>
    <xf numFmtId="41" fontId="26" fillId="0" borderId="0" applyFont="0" applyFill="0" applyBorder="0" applyAlignment="0" applyProtection="0">
      <alignment vertical="center"/>
    </xf>
    <xf numFmtId="41" fontId="54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91" fillId="46" borderId="0" applyNumberFormat="0" applyBorder="0" applyAlignment="0" applyProtection="0">
      <alignment vertical="center"/>
    </xf>
  </cellStyleXfs>
  <cellXfs count="983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4" fillId="0" borderId="0" xfId="0" applyFont="1">
      <alignment vertical="center"/>
    </xf>
    <xf numFmtId="0" fontId="4" fillId="0" borderId="3" xfId="0" applyFont="1" applyBorder="1">
      <alignment vertical="center"/>
    </xf>
    <xf numFmtId="0" fontId="5" fillId="0" borderId="4" xfId="0" applyFont="1" applyBorder="1">
      <alignment vertical="center"/>
    </xf>
    <xf numFmtId="0" fontId="4" fillId="0" borderId="2" xfId="0" applyFont="1" applyBorder="1">
      <alignment vertical="center"/>
    </xf>
    <xf numFmtId="0" fontId="1" fillId="0" borderId="3" xfId="0" applyFont="1" applyBorder="1">
      <alignment vertical="center"/>
    </xf>
    <xf numFmtId="0" fontId="1" fillId="0" borderId="4" xfId="0" applyFont="1" applyBorder="1">
      <alignment vertical="center"/>
    </xf>
    <xf numFmtId="0" fontId="7" fillId="0" borderId="0" xfId="0" applyFont="1">
      <alignment vertical="center"/>
    </xf>
    <xf numFmtId="0" fontId="8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6" fillId="0" borderId="0" xfId="0" applyFont="1">
      <alignment vertical="center"/>
    </xf>
    <xf numFmtId="0" fontId="7" fillId="0" borderId="5" xfId="0" applyFont="1" applyBorder="1">
      <alignment vertical="center"/>
    </xf>
    <xf numFmtId="0" fontId="1" fillId="0" borderId="5" xfId="0" applyFont="1" applyBorder="1">
      <alignment vertical="center"/>
    </xf>
    <xf numFmtId="0" fontId="4" fillId="0" borderId="5" xfId="0" applyFont="1" applyBorder="1">
      <alignment vertical="center"/>
    </xf>
    <xf numFmtId="0" fontId="5" fillId="0" borderId="5" xfId="0" applyFont="1" applyBorder="1">
      <alignment vertical="center"/>
    </xf>
    <xf numFmtId="176" fontId="4" fillId="0" borderId="6" xfId="0" applyNumberFormat="1" applyFont="1" applyBorder="1">
      <alignment vertical="center"/>
    </xf>
    <xf numFmtId="176" fontId="1" fillId="0" borderId="0" xfId="0" applyNumberFormat="1" applyFont="1">
      <alignment vertical="center"/>
    </xf>
    <xf numFmtId="176" fontId="4" fillId="0" borderId="3" xfId="0" applyNumberFormat="1" applyFont="1" applyBorder="1">
      <alignment vertical="center"/>
    </xf>
    <xf numFmtId="176" fontId="5" fillId="0" borderId="4" xfId="0" applyNumberFormat="1" applyFont="1" applyBorder="1">
      <alignment vertical="center"/>
    </xf>
    <xf numFmtId="176" fontId="5" fillId="0" borderId="5" xfId="0" applyNumberFormat="1" applyFont="1" applyBorder="1">
      <alignment vertical="center"/>
    </xf>
    <xf numFmtId="176" fontId="4" fillId="0" borderId="0" xfId="0" applyNumberFormat="1" applyFont="1">
      <alignment vertical="center"/>
    </xf>
    <xf numFmtId="176" fontId="7" fillId="0" borderId="0" xfId="0" applyNumberFormat="1" applyFont="1">
      <alignment vertical="center"/>
    </xf>
    <xf numFmtId="176" fontId="5" fillId="0" borderId="0" xfId="0" applyNumberFormat="1" applyFont="1">
      <alignment vertical="center"/>
    </xf>
    <xf numFmtId="176" fontId="7" fillId="0" borderId="5" xfId="0" applyNumberFormat="1" applyFont="1" applyBorder="1">
      <alignment vertical="center"/>
    </xf>
    <xf numFmtId="0" fontId="7" fillId="0" borderId="0" xfId="0" applyFont="1" applyAlignment="1">
      <alignment horizontal="center" vertical="center"/>
    </xf>
    <xf numFmtId="3" fontId="7" fillId="0" borderId="0" xfId="0" applyNumberFormat="1" applyFont="1">
      <alignment vertical="center"/>
    </xf>
    <xf numFmtId="177" fontId="7" fillId="0" borderId="0" xfId="0" applyNumberFormat="1" applyFont="1">
      <alignment vertical="center"/>
    </xf>
    <xf numFmtId="3" fontId="0" fillId="0" borderId="0" xfId="0" applyNumberFormat="1">
      <alignment vertical="center"/>
    </xf>
    <xf numFmtId="9" fontId="7" fillId="0" borderId="0" xfId="0" applyNumberFormat="1" applyFont="1">
      <alignment vertical="center"/>
    </xf>
    <xf numFmtId="0" fontId="12" fillId="0" borderId="0" xfId="0" applyFont="1">
      <alignment vertical="center"/>
    </xf>
    <xf numFmtId="178" fontId="13" fillId="3" borderId="7" xfId="1" applyNumberFormat="1" applyFont="1" applyFill="1" applyBorder="1" applyAlignment="1">
      <alignment horizontal="center" vertical="center"/>
    </xf>
    <xf numFmtId="178" fontId="13" fillId="3" borderId="5" xfId="1" applyNumberFormat="1" applyFont="1" applyFill="1" applyBorder="1" applyAlignment="1">
      <alignment horizontal="center" vertical="center"/>
    </xf>
    <xf numFmtId="179" fontId="13" fillId="3" borderId="8" xfId="1" applyNumberFormat="1" applyFont="1" applyFill="1" applyBorder="1" applyAlignment="1">
      <alignment horizontal="center" vertical="center" wrapText="1"/>
    </xf>
    <xf numFmtId="179" fontId="13" fillId="3" borderId="9" xfId="1" applyNumberFormat="1" applyFont="1" applyFill="1" applyBorder="1" applyAlignment="1">
      <alignment horizontal="center" vertical="center" wrapText="1"/>
    </xf>
    <xf numFmtId="179" fontId="13" fillId="3" borderId="10" xfId="1" applyNumberFormat="1" applyFont="1" applyFill="1" applyBorder="1" applyAlignment="1">
      <alignment horizontal="center" vertical="center" wrapText="1"/>
    </xf>
    <xf numFmtId="179" fontId="14" fillId="2" borderId="11" xfId="1" applyNumberFormat="1" applyFont="1" applyFill="1" applyBorder="1" applyAlignment="1">
      <alignment horizontal="center" vertical="center" wrapText="1"/>
    </xf>
    <xf numFmtId="14" fontId="14" fillId="2" borderId="12" xfId="1" applyNumberFormat="1" applyFont="1" applyFill="1" applyBorder="1" applyAlignment="1">
      <alignment horizontal="center" vertical="center" wrapText="1"/>
    </xf>
    <xf numFmtId="178" fontId="15" fillId="0" borderId="0" xfId="1" applyNumberFormat="1" applyFont="1" applyAlignment="1">
      <alignment horizontal="center" vertical="center"/>
    </xf>
    <xf numFmtId="14" fontId="14" fillId="4" borderId="13" xfId="1" applyNumberFormat="1" applyFont="1" applyFill="1" applyBorder="1" applyAlignment="1">
      <alignment horizontal="center" vertical="center" wrapText="1"/>
    </xf>
    <xf numFmtId="179" fontId="13" fillId="3" borderId="34" xfId="1" applyNumberFormat="1" applyFont="1" applyFill="1" applyBorder="1" applyAlignment="1">
      <alignment horizontal="center" vertical="center" wrapText="1"/>
    </xf>
    <xf numFmtId="179" fontId="13" fillId="3" borderId="5" xfId="1" applyNumberFormat="1" applyFont="1" applyFill="1" applyBorder="1" applyAlignment="1">
      <alignment horizontal="center" vertical="center" wrapText="1"/>
    </xf>
    <xf numFmtId="14" fontId="14" fillId="4" borderId="35" xfId="1" applyNumberFormat="1" applyFont="1" applyFill="1" applyBorder="1" applyAlignment="1">
      <alignment horizontal="center" vertical="center" wrapText="1"/>
    </xf>
    <xf numFmtId="179" fontId="13" fillId="3" borderId="14" xfId="1" applyNumberFormat="1" applyFont="1" applyFill="1" applyBorder="1" applyAlignment="1">
      <alignment horizontal="center" vertical="center" wrapText="1"/>
    </xf>
    <xf numFmtId="179" fontId="13" fillId="3" borderId="15" xfId="1" applyNumberFormat="1" applyFont="1" applyFill="1" applyBorder="1" applyAlignment="1">
      <alignment horizontal="center" vertical="center" wrapText="1"/>
    </xf>
    <xf numFmtId="179" fontId="14" fillId="2" borderId="16" xfId="1" applyNumberFormat="1" applyFont="1" applyFill="1" applyBorder="1" applyAlignment="1">
      <alignment horizontal="center" vertical="center" wrapText="1"/>
    </xf>
    <xf numFmtId="179" fontId="14" fillId="2" borderId="0" xfId="1" applyNumberFormat="1" applyFont="1" applyFill="1" applyAlignment="1">
      <alignment horizontal="center" vertical="center" wrapText="1"/>
    </xf>
    <xf numFmtId="14" fontId="14" fillId="4" borderId="17" xfId="1" applyNumberFormat="1" applyFont="1" applyFill="1" applyBorder="1" applyAlignment="1">
      <alignment horizontal="center" vertical="center" wrapText="1"/>
    </xf>
    <xf numFmtId="179" fontId="14" fillId="2" borderId="26" xfId="1" applyNumberFormat="1" applyFont="1" applyFill="1" applyBorder="1" applyAlignment="1">
      <alignment horizontal="center" vertical="center" wrapText="1"/>
    </xf>
    <xf numFmtId="14" fontId="14" fillId="4" borderId="36" xfId="1" applyNumberFormat="1" applyFont="1" applyFill="1" applyBorder="1" applyAlignment="1">
      <alignment horizontal="center" vertical="center" wrapText="1"/>
    </xf>
    <xf numFmtId="178" fontId="13" fillId="3" borderId="5" xfId="1" applyNumberFormat="1" applyFont="1" applyFill="1" applyBorder="1">
      <alignment vertical="center"/>
    </xf>
    <xf numFmtId="179" fontId="13" fillId="3" borderId="18" xfId="1" applyNumberFormat="1" applyFont="1" applyFill="1" applyBorder="1" applyAlignment="1">
      <alignment horizontal="center" vertical="center"/>
    </xf>
    <xf numFmtId="179" fontId="13" fillId="3" borderId="19" xfId="1" applyNumberFormat="1" applyFont="1" applyFill="1" applyBorder="1" applyAlignment="1">
      <alignment horizontal="center" vertical="center"/>
    </xf>
    <xf numFmtId="179" fontId="13" fillId="3" borderId="20" xfId="1" applyNumberFormat="1" applyFont="1" applyFill="1" applyBorder="1" applyAlignment="1">
      <alignment horizontal="center" vertical="center"/>
    </xf>
    <xf numFmtId="14" fontId="14" fillId="2" borderId="21" xfId="1" applyNumberFormat="1" applyFont="1" applyFill="1" applyBorder="1" applyAlignment="1">
      <alignment horizontal="center" vertical="center"/>
    </xf>
    <xf numFmtId="14" fontId="14" fillId="2" borderId="22" xfId="1" applyNumberFormat="1" applyFont="1" applyFill="1" applyBorder="1" applyAlignment="1">
      <alignment horizontal="center" vertical="center"/>
    </xf>
    <xf numFmtId="14" fontId="13" fillId="3" borderId="23" xfId="1" applyNumberFormat="1" applyFont="1" applyFill="1" applyBorder="1" applyAlignment="1">
      <alignment horizontal="center" vertical="center"/>
    </xf>
    <xf numFmtId="14" fontId="14" fillId="4" borderId="24" xfId="1" applyNumberFormat="1" applyFont="1" applyFill="1" applyBorder="1" applyAlignment="1">
      <alignment horizontal="center" vertical="center"/>
    </xf>
    <xf numFmtId="179" fontId="13" fillId="3" borderId="27" xfId="1" applyNumberFormat="1" applyFont="1" applyFill="1" applyBorder="1" applyAlignment="1">
      <alignment horizontal="center" vertical="center"/>
    </xf>
    <xf numFmtId="14" fontId="14" fillId="4" borderId="37" xfId="1" applyNumberFormat="1" applyFont="1" applyFill="1" applyBorder="1" applyAlignment="1">
      <alignment horizontal="center" vertical="center"/>
    </xf>
    <xf numFmtId="178" fontId="16" fillId="5" borderId="20" xfId="1" applyNumberFormat="1" applyFont="1" applyFill="1" applyBorder="1" applyAlignment="1">
      <alignment vertical="center" wrapText="1"/>
    </xf>
    <xf numFmtId="178" fontId="17" fillId="5" borderId="20" xfId="1" applyNumberFormat="1" applyFont="1" applyFill="1" applyBorder="1" applyAlignment="1">
      <alignment horizontal="center" vertical="center" wrapText="1"/>
    </xf>
    <xf numFmtId="178" fontId="16" fillId="5" borderId="25" xfId="1" applyNumberFormat="1" applyFont="1" applyFill="1" applyBorder="1" applyAlignment="1">
      <alignment vertical="center" wrapText="1"/>
    </xf>
    <xf numFmtId="179" fontId="16" fillId="5" borderId="18" xfId="1" applyNumberFormat="1" applyFont="1" applyFill="1" applyBorder="1" applyAlignment="1">
      <alignment vertical="center" wrapText="1"/>
    </xf>
    <xf numFmtId="179" fontId="16" fillId="5" borderId="19" xfId="1" applyNumberFormat="1" applyFont="1" applyFill="1" applyBorder="1" applyAlignment="1">
      <alignment vertical="center" wrapText="1"/>
    </xf>
    <xf numFmtId="179" fontId="16" fillId="5" borderId="20" xfId="1" applyNumberFormat="1" applyFont="1" applyFill="1" applyBorder="1" applyAlignment="1">
      <alignment vertical="center" wrapText="1"/>
    </xf>
    <xf numFmtId="178" fontId="18" fillId="2" borderId="16" xfId="1" applyNumberFormat="1" applyFont="1" applyFill="1" applyBorder="1" applyAlignment="1">
      <alignment vertical="center" wrapText="1"/>
    </xf>
    <xf numFmtId="178" fontId="18" fillId="2" borderId="26" xfId="1" applyNumberFormat="1" applyFont="1" applyFill="1" applyBorder="1" applyAlignment="1">
      <alignment vertical="center" wrapText="1"/>
    </xf>
    <xf numFmtId="178" fontId="16" fillId="5" borderId="27" xfId="1" applyNumberFormat="1" applyFont="1" applyFill="1" applyBorder="1" applyAlignment="1">
      <alignment vertical="center" wrapText="1"/>
    </xf>
    <xf numFmtId="178" fontId="15" fillId="0" borderId="0" xfId="1" applyNumberFormat="1" applyFont="1">
      <alignment vertical="center"/>
    </xf>
    <xf numFmtId="178" fontId="16" fillId="5" borderId="24" xfId="1" applyNumberFormat="1" applyFont="1" applyFill="1" applyBorder="1" applyAlignment="1">
      <alignment vertical="center" wrapText="1"/>
    </xf>
    <xf numFmtId="179" fontId="16" fillId="5" borderId="27" xfId="1" applyNumberFormat="1" applyFont="1" applyFill="1" applyBorder="1" applyAlignment="1">
      <alignment vertical="center" wrapText="1"/>
    </xf>
    <xf numFmtId="178" fontId="16" fillId="5" borderId="37" xfId="1" applyNumberFormat="1" applyFont="1" applyFill="1" applyBorder="1" applyAlignment="1">
      <alignment vertical="center" wrapText="1"/>
    </xf>
    <xf numFmtId="178" fontId="18" fillId="6" borderId="20" xfId="1" applyNumberFormat="1" applyFont="1" applyFill="1" applyBorder="1" applyAlignment="1">
      <alignment vertical="center" wrapText="1"/>
    </xf>
    <xf numFmtId="178" fontId="17" fillId="6" borderId="20" xfId="1" applyNumberFormat="1" applyFont="1" applyFill="1" applyBorder="1" applyAlignment="1">
      <alignment horizontal="center" vertical="center" wrapText="1"/>
    </xf>
    <xf numFmtId="178" fontId="18" fillId="6" borderId="25" xfId="1" applyNumberFormat="1" applyFont="1" applyFill="1" applyBorder="1" applyAlignment="1">
      <alignment vertical="center" wrapText="1"/>
    </xf>
    <xf numFmtId="179" fontId="18" fillId="6" borderId="18" xfId="1" applyNumberFormat="1" applyFont="1" applyFill="1" applyBorder="1" applyAlignment="1">
      <alignment vertical="center" wrapText="1"/>
    </xf>
    <xf numFmtId="179" fontId="18" fillId="6" borderId="19" xfId="1" applyNumberFormat="1" applyFont="1" applyFill="1" applyBorder="1" applyAlignment="1">
      <alignment vertical="center" wrapText="1"/>
    </xf>
    <xf numFmtId="179" fontId="18" fillId="6" borderId="20" xfId="1" applyNumberFormat="1" applyFont="1" applyFill="1" applyBorder="1" applyAlignment="1">
      <alignment vertical="center" wrapText="1"/>
    </xf>
    <xf numFmtId="178" fontId="18" fillId="6" borderId="27" xfId="1" applyNumberFormat="1" applyFont="1" applyFill="1" applyBorder="1" applyAlignment="1">
      <alignment vertical="center" wrapText="1"/>
    </xf>
    <xf numFmtId="178" fontId="18" fillId="6" borderId="24" xfId="1" applyNumberFormat="1" applyFont="1" applyFill="1" applyBorder="1" applyAlignment="1">
      <alignment vertical="center" wrapText="1"/>
    </xf>
    <xf numFmtId="179" fontId="18" fillId="6" borderId="27" xfId="1" applyNumberFormat="1" applyFont="1" applyFill="1" applyBorder="1" applyAlignment="1">
      <alignment vertical="center" wrapText="1"/>
    </xf>
    <xf numFmtId="178" fontId="18" fillId="6" borderId="37" xfId="1" applyNumberFormat="1" applyFont="1" applyFill="1" applyBorder="1" applyAlignment="1">
      <alignment vertical="center" wrapText="1"/>
    </xf>
    <xf numFmtId="0" fontId="18" fillId="7" borderId="20" xfId="1" applyFont="1" applyFill="1" applyBorder="1" applyAlignment="1">
      <alignment horizontal="left" vertical="center" wrapText="1" indent="1"/>
    </xf>
    <xf numFmtId="0" fontId="17" fillId="7" borderId="20" xfId="1" applyFont="1" applyFill="1" applyBorder="1" applyAlignment="1">
      <alignment horizontal="center" vertical="center" wrapText="1"/>
    </xf>
    <xf numFmtId="0" fontId="18" fillId="7" borderId="25" xfId="1" applyFont="1" applyFill="1" applyBorder="1" applyAlignment="1">
      <alignment vertical="center" wrapText="1"/>
    </xf>
    <xf numFmtId="179" fontId="18" fillId="0" borderId="18" xfId="1" applyNumberFormat="1" applyFont="1" applyBorder="1" applyAlignment="1">
      <alignment vertical="center" wrapText="1"/>
    </xf>
    <xf numFmtId="179" fontId="18" fillId="0" borderId="19" xfId="1" applyNumberFormat="1" applyFont="1" applyBorder="1" applyAlignment="1">
      <alignment vertical="center" wrapText="1"/>
    </xf>
    <xf numFmtId="179" fontId="18" fillId="0" borderId="20" xfId="1" applyNumberFormat="1" applyFont="1" applyBorder="1" applyAlignment="1">
      <alignment vertical="center" wrapText="1"/>
    </xf>
    <xf numFmtId="178" fontId="18" fillId="7" borderId="27" xfId="1" applyNumberFormat="1" applyFont="1" applyFill="1" applyBorder="1" applyAlignment="1">
      <alignment vertical="center" wrapText="1"/>
    </xf>
    <xf numFmtId="178" fontId="18" fillId="0" borderId="24" xfId="1" applyNumberFormat="1" applyFont="1" applyBorder="1" applyAlignment="1">
      <alignment vertical="center" wrapText="1"/>
    </xf>
    <xf numFmtId="0" fontId="18" fillId="7" borderId="20" xfId="1" applyFont="1" applyFill="1" applyBorder="1" applyAlignment="1">
      <alignment vertical="center" wrapText="1"/>
    </xf>
    <xf numFmtId="179" fontId="18" fillId="0" borderId="27" xfId="1" applyNumberFormat="1" applyFont="1" applyBorder="1" applyAlignment="1">
      <alignment vertical="center" wrapText="1"/>
    </xf>
    <xf numFmtId="178" fontId="18" fillId="7" borderId="37" xfId="1" applyNumberFormat="1" applyFont="1" applyFill="1" applyBorder="1" applyAlignment="1">
      <alignment vertical="center" wrapText="1"/>
    </xf>
    <xf numFmtId="179" fontId="17" fillId="0" borderId="20" xfId="1" applyNumberFormat="1" applyFont="1" applyBorder="1" applyAlignment="1">
      <alignment vertical="center" wrapText="1"/>
    </xf>
    <xf numFmtId="179" fontId="17" fillId="0" borderId="27" xfId="1" applyNumberFormat="1" applyFont="1" applyBorder="1" applyAlignment="1">
      <alignment vertical="center" wrapText="1"/>
    </xf>
    <xf numFmtId="0" fontId="17" fillId="7" borderId="20" xfId="1" applyFont="1" applyFill="1" applyBorder="1" applyAlignment="1">
      <alignment horizontal="left" vertical="center" wrapText="1" indent="1"/>
    </xf>
    <xf numFmtId="0" fontId="18" fillId="0" borderId="20" xfId="1" applyFont="1" applyBorder="1" applyAlignment="1">
      <alignment horizontal="left" vertical="center" wrapText="1" indent="1"/>
    </xf>
    <xf numFmtId="0" fontId="17" fillId="0" borderId="20" xfId="1" applyFont="1" applyBorder="1" applyAlignment="1">
      <alignment horizontal="center" vertical="center" wrapText="1"/>
    </xf>
    <xf numFmtId="178" fontId="18" fillId="0" borderId="27" xfId="1" applyNumberFormat="1" applyFont="1" applyBorder="1" applyAlignment="1">
      <alignment vertical="center" wrapText="1"/>
    </xf>
    <xf numFmtId="178" fontId="18" fillId="0" borderId="37" xfId="1" applyNumberFormat="1" applyFont="1" applyBorder="1" applyAlignment="1">
      <alignment vertical="center" wrapText="1"/>
    </xf>
    <xf numFmtId="0" fontId="17" fillId="0" borderId="20" xfId="1" applyFont="1" applyBorder="1" applyAlignment="1">
      <alignment horizontal="left" vertical="center" indent="1"/>
    </xf>
    <xf numFmtId="0" fontId="17" fillId="0" borderId="20" xfId="1" applyFont="1" applyBorder="1" applyAlignment="1">
      <alignment horizontal="left" vertical="center" wrapText="1" indent="1"/>
    </xf>
    <xf numFmtId="179" fontId="18" fillId="13" borderId="20" xfId="1" applyNumberFormat="1" applyFont="1" applyFill="1" applyBorder="1" applyAlignment="1">
      <alignment vertical="center" wrapText="1"/>
    </xf>
    <xf numFmtId="0" fontId="17" fillId="7" borderId="25" xfId="1" applyFont="1" applyFill="1" applyBorder="1" applyAlignment="1">
      <alignment vertical="center" wrapText="1"/>
    </xf>
    <xf numFmtId="179" fontId="18" fillId="7" borderId="18" xfId="1" applyNumberFormat="1" applyFont="1" applyFill="1" applyBorder="1" applyAlignment="1">
      <alignment vertical="center" wrapText="1"/>
    </xf>
    <xf numFmtId="179" fontId="18" fillId="7" borderId="19" xfId="1" applyNumberFormat="1" applyFont="1" applyFill="1" applyBorder="1" applyAlignment="1">
      <alignment vertical="center" wrapText="1"/>
    </xf>
    <xf numFmtId="179" fontId="18" fillId="7" borderId="20" xfId="1" applyNumberFormat="1" applyFont="1" applyFill="1" applyBorder="1" applyAlignment="1">
      <alignment vertical="center" wrapText="1"/>
    </xf>
    <xf numFmtId="178" fontId="18" fillId="7" borderId="24" xfId="1" applyNumberFormat="1" applyFont="1" applyFill="1" applyBorder="1" applyAlignment="1">
      <alignment vertical="center" wrapText="1"/>
    </xf>
    <xf numFmtId="0" fontId="17" fillId="7" borderId="20" xfId="1" applyFont="1" applyFill="1" applyBorder="1" applyAlignment="1">
      <alignment vertical="center" wrapText="1"/>
    </xf>
    <xf numFmtId="179" fontId="18" fillId="7" borderId="27" xfId="1" applyNumberFormat="1" applyFont="1" applyFill="1" applyBorder="1" applyAlignment="1">
      <alignment vertical="center" wrapText="1"/>
    </xf>
    <xf numFmtId="0" fontId="18" fillId="8" borderId="20" xfId="1" applyFont="1" applyFill="1" applyBorder="1" applyAlignment="1">
      <alignment horizontal="left" vertical="center" wrapText="1" indent="1"/>
    </xf>
    <xf numFmtId="0" fontId="17" fillId="8" borderId="20" xfId="1" applyFont="1" applyFill="1" applyBorder="1" applyAlignment="1">
      <alignment horizontal="center" vertical="center" wrapText="1"/>
    </xf>
    <xf numFmtId="0" fontId="18" fillId="8" borderId="25" xfId="1" applyFont="1" applyFill="1" applyBorder="1" applyAlignment="1">
      <alignment vertical="center" wrapText="1"/>
    </xf>
    <xf numFmtId="179" fontId="18" fillId="8" borderId="18" xfId="1" applyNumberFormat="1" applyFont="1" applyFill="1" applyBorder="1" applyAlignment="1">
      <alignment vertical="center" wrapText="1"/>
    </xf>
    <xf numFmtId="179" fontId="18" fillId="8" borderId="19" xfId="1" applyNumberFormat="1" applyFont="1" applyFill="1" applyBorder="1" applyAlignment="1">
      <alignment vertical="center" wrapText="1"/>
    </xf>
    <xf numFmtId="179" fontId="18" fillId="8" borderId="20" xfId="1" applyNumberFormat="1" applyFont="1" applyFill="1" applyBorder="1" applyAlignment="1">
      <alignment vertical="center" wrapText="1"/>
    </xf>
    <xf numFmtId="178" fontId="18" fillId="8" borderId="20" xfId="1" applyNumberFormat="1" applyFont="1" applyFill="1" applyBorder="1" applyAlignment="1">
      <alignment vertical="center" wrapText="1"/>
    </xf>
    <xf numFmtId="178" fontId="18" fillId="8" borderId="24" xfId="1" applyNumberFormat="1" applyFont="1" applyFill="1" applyBorder="1" applyAlignment="1">
      <alignment vertical="center" wrapText="1"/>
    </xf>
    <xf numFmtId="0" fontId="18" fillId="8" borderId="20" xfId="1" applyFont="1" applyFill="1" applyBorder="1" applyAlignment="1">
      <alignment vertical="center" wrapText="1"/>
    </xf>
    <xf numFmtId="179" fontId="18" fillId="8" borderId="27" xfId="1" applyNumberFormat="1" applyFont="1" applyFill="1" applyBorder="1" applyAlignment="1">
      <alignment vertical="center" wrapText="1"/>
    </xf>
    <xf numFmtId="178" fontId="18" fillId="8" borderId="37" xfId="1" applyNumberFormat="1" applyFont="1" applyFill="1" applyBorder="1" applyAlignment="1">
      <alignment vertical="center" wrapText="1"/>
    </xf>
    <xf numFmtId="0" fontId="19" fillId="9" borderId="20" xfId="1" applyFont="1" applyFill="1" applyBorder="1" applyAlignment="1">
      <alignment horizontal="left" vertical="center" indent="1"/>
    </xf>
    <xf numFmtId="0" fontId="20" fillId="9" borderId="20" xfId="1" applyFont="1" applyFill="1" applyBorder="1" applyAlignment="1">
      <alignment horizontal="center" vertical="center" wrapText="1"/>
    </xf>
    <xf numFmtId="0" fontId="19" fillId="9" borderId="25" xfId="1" applyFont="1" applyFill="1" applyBorder="1" applyAlignment="1">
      <alignment vertical="center" wrapText="1"/>
    </xf>
    <xf numFmtId="179" fontId="19" fillId="9" borderId="18" xfId="1" applyNumberFormat="1" applyFont="1" applyFill="1" applyBorder="1" applyAlignment="1">
      <alignment vertical="center" wrapText="1"/>
    </xf>
    <xf numFmtId="179" fontId="19" fillId="9" borderId="19" xfId="1" applyNumberFormat="1" applyFont="1" applyFill="1" applyBorder="1" applyAlignment="1">
      <alignment vertical="center" wrapText="1"/>
    </xf>
    <xf numFmtId="179" fontId="19" fillId="9" borderId="20" xfId="1" applyNumberFormat="1" applyFont="1" applyFill="1" applyBorder="1" applyAlignment="1">
      <alignment vertical="center" wrapText="1"/>
    </xf>
    <xf numFmtId="178" fontId="19" fillId="9" borderId="27" xfId="1" applyNumberFormat="1" applyFont="1" applyFill="1" applyBorder="1" applyAlignment="1">
      <alignment vertical="center" wrapText="1"/>
    </xf>
    <xf numFmtId="178" fontId="19" fillId="9" borderId="24" xfId="1" applyNumberFormat="1" applyFont="1" applyFill="1" applyBorder="1" applyAlignment="1">
      <alignment vertical="center" wrapText="1"/>
    </xf>
    <xf numFmtId="0" fontId="19" fillId="9" borderId="20" xfId="1" applyFont="1" applyFill="1" applyBorder="1" applyAlignment="1">
      <alignment vertical="center" wrapText="1"/>
    </xf>
    <xf numFmtId="179" fontId="19" fillId="9" borderId="27" xfId="1" applyNumberFormat="1" applyFont="1" applyFill="1" applyBorder="1" applyAlignment="1">
      <alignment vertical="center" wrapText="1"/>
    </xf>
    <xf numFmtId="178" fontId="19" fillId="9" borderId="37" xfId="1" applyNumberFormat="1" applyFont="1" applyFill="1" applyBorder="1" applyAlignment="1">
      <alignment vertical="center" wrapText="1"/>
    </xf>
    <xf numFmtId="0" fontId="19" fillId="9" borderId="20" xfId="1" applyFont="1" applyFill="1" applyBorder="1" applyAlignment="1">
      <alignment horizontal="left" vertical="center" wrapText="1" indent="1"/>
    </xf>
    <xf numFmtId="0" fontId="20" fillId="9" borderId="20" xfId="1" applyFont="1" applyFill="1" applyBorder="1" applyAlignment="1">
      <alignment horizontal="center" vertical="center"/>
    </xf>
    <xf numFmtId="0" fontId="19" fillId="9" borderId="20" xfId="1" applyFont="1" applyFill="1" applyBorder="1">
      <alignment vertical="center"/>
    </xf>
    <xf numFmtId="178" fontId="18" fillId="6" borderId="20" xfId="1" applyNumberFormat="1" applyFont="1" applyFill="1" applyBorder="1" applyAlignment="1">
      <alignment horizontal="left" vertical="center" wrapText="1"/>
    </xf>
    <xf numFmtId="179" fontId="17" fillId="7" borderId="18" xfId="1" applyNumberFormat="1" applyFont="1" applyFill="1" applyBorder="1" applyAlignment="1">
      <alignment vertical="center" wrapText="1"/>
    </xf>
    <xf numFmtId="179" fontId="17" fillId="7" borderId="19" xfId="1" applyNumberFormat="1" applyFont="1" applyFill="1" applyBorder="1" applyAlignment="1">
      <alignment vertical="center" wrapText="1"/>
    </xf>
    <xf numFmtId="179" fontId="17" fillId="7" borderId="20" xfId="1" applyNumberFormat="1" applyFont="1" applyFill="1" applyBorder="1" applyAlignment="1">
      <alignment vertical="center" wrapText="1"/>
    </xf>
    <xf numFmtId="179" fontId="17" fillId="7" borderId="27" xfId="1" applyNumberFormat="1" applyFont="1" applyFill="1" applyBorder="1" applyAlignment="1">
      <alignment vertical="center" wrapText="1"/>
    </xf>
    <xf numFmtId="0" fontId="21" fillId="7" borderId="20" xfId="1" applyFont="1" applyFill="1" applyBorder="1" applyAlignment="1">
      <alignment horizontal="left" vertical="center" wrapText="1" indent="1"/>
    </xf>
    <xf numFmtId="0" fontId="18" fillId="0" borderId="25" xfId="1" applyFont="1" applyBorder="1" applyAlignment="1">
      <alignment vertical="center" wrapText="1"/>
    </xf>
    <xf numFmtId="0" fontId="18" fillId="0" borderId="20" xfId="1" applyFont="1" applyBorder="1" applyAlignment="1">
      <alignment vertical="center" wrapText="1"/>
    </xf>
    <xf numFmtId="178" fontId="16" fillId="10" borderId="20" xfId="1" applyNumberFormat="1" applyFont="1" applyFill="1" applyBorder="1" applyAlignment="1">
      <alignment horizontal="center" vertical="center" wrapText="1"/>
    </xf>
    <xf numFmtId="178" fontId="17" fillId="10" borderId="20" xfId="1" applyNumberFormat="1" applyFont="1" applyFill="1" applyBorder="1" applyAlignment="1">
      <alignment horizontal="center" vertical="center" wrapText="1"/>
    </xf>
    <xf numFmtId="178" fontId="16" fillId="10" borderId="25" xfId="1" applyNumberFormat="1" applyFont="1" applyFill="1" applyBorder="1" applyAlignment="1">
      <alignment vertical="center" wrapText="1"/>
    </xf>
    <xf numFmtId="179" fontId="16" fillId="10" borderId="18" xfId="1" applyNumberFormat="1" applyFont="1" applyFill="1" applyBorder="1" applyAlignment="1">
      <alignment vertical="center" wrapText="1"/>
    </xf>
    <xf numFmtId="179" fontId="16" fillId="10" borderId="19" xfId="1" applyNumberFormat="1" applyFont="1" applyFill="1" applyBorder="1" applyAlignment="1">
      <alignment vertical="center" wrapText="1"/>
    </xf>
    <xf numFmtId="179" fontId="16" fillId="10" borderId="20" xfId="1" applyNumberFormat="1" applyFont="1" applyFill="1" applyBorder="1" applyAlignment="1">
      <alignment vertical="center" wrapText="1"/>
    </xf>
    <xf numFmtId="178" fontId="16" fillId="10" borderId="27" xfId="1" applyNumberFormat="1" applyFont="1" applyFill="1" applyBorder="1" applyAlignment="1">
      <alignment vertical="center" wrapText="1"/>
    </xf>
    <xf numFmtId="178" fontId="16" fillId="10" borderId="24" xfId="1" applyNumberFormat="1" applyFont="1" applyFill="1" applyBorder="1" applyAlignment="1">
      <alignment vertical="center" wrapText="1"/>
    </xf>
    <xf numFmtId="178" fontId="16" fillId="10" borderId="20" xfId="1" applyNumberFormat="1" applyFont="1" applyFill="1" applyBorder="1" applyAlignment="1">
      <alignment vertical="center" wrapText="1"/>
    </xf>
    <xf numFmtId="179" fontId="16" fillId="10" borderId="27" xfId="1" applyNumberFormat="1" applyFont="1" applyFill="1" applyBorder="1" applyAlignment="1">
      <alignment vertical="center" wrapText="1"/>
    </xf>
    <xf numFmtId="178" fontId="16" fillId="10" borderId="37" xfId="1" applyNumberFormat="1" applyFont="1" applyFill="1" applyBorder="1" applyAlignment="1">
      <alignment vertical="center" wrapText="1"/>
    </xf>
    <xf numFmtId="179" fontId="18" fillId="7" borderId="18" xfId="1" applyNumberFormat="1" applyFont="1" applyFill="1" applyBorder="1" applyAlignment="1">
      <alignment horizontal="right" vertical="center" wrapText="1"/>
    </xf>
    <xf numFmtId="179" fontId="18" fillId="7" borderId="19" xfId="1" applyNumberFormat="1" applyFont="1" applyFill="1" applyBorder="1" applyAlignment="1">
      <alignment horizontal="right" vertical="center" wrapText="1"/>
    </xf>
    <xf numFmtId="179" fontId="18" fillId="7" borderId="20" xfId="1" applyNumberFormat="1" applyFont="1" applyFill="1" applyBorder="1" applyAlignment="1">
      <alignment horizontal="right" vertical="center" wrapText="1"/>
    </xf>
    <xf numFmtId="179" fontId="18" fillId="0" borderId="20" xfId="1" applyNumberFormat="1" applyFont="1" applyBorder="1" applyAlignment="1">
      <alignment horizontal="right" vertical="center" wrapText="1"/>
    </xf>
    <xf numFmtId="179" fontId="18" fillId="0" borderId="19" xfId="1" applyNumberFormat="1" applyFont="1" applyBorder="1" applyAlignment="1">
      <alignment horizontal="right" vertical="center" wrapText="1"/>
    </xf>
    <xf numFmtId="179" fontId="18" fillId="7" borderId="27" xfId="1" applyNumberFormat="1" applyFont="1" applyFill="1" applyBorder="1" applyAlignment="1">
      <alignment horizontal="right" vertical="center" wrapText="1"/>
    </xf>
    <xf numFmtId="179" fontId="15" fillId="0" borderId="18" xfId="1" applyNumberFormat="1" applyFont="1" applyBorder="1">
      <alignment vertical="center"/>
    </xf>
    <xf numFmtId="179" fontId="15" fillId="0" borderId="19" xfId="1" applyNumberFormat="1" applyFont="1" applyBorder="1">
      <alignment vertical="center"/>
    </xf>
    <xf numFmtId="179" fontId="15" fillId="0" borderId="20" xfId="1" applyNumberFormat="1" applyFont="1" applyBorder="1">
      <alignment vertical="center"/>
    </xf>
    <xf numFmtId="179" fontId="15" fillId="0" borderId="27" xfId="1" applyNumberFormat="1" applyFont="1" applyBorder="1">
      <alignment vertical="center"/>
    </xf>
    <xf numFmtId="0" fontId="22" fillId="7" borderId="20" xfId="1" applyFont="1" applyFill="1" applyBorder="1" applyAlignment="1">
      <alignment horizontal="left" vertical="center" wrapText="1" indent="1"/>
    </xf>
    <xf numFmtId="0" fontId="17" fillId="0" borderId="20" xfId="1" applyFont="1" applyBorder="1" applyAlignment="1">
      <alignment horizontal="center" vertical="center"/>
    </xf>
    <xf numFmtId="178" fontId="16" fillId="10" borderId="28" xfId="1" applyNumberFormat="1" applyFont="1" applyFill="1" applyBorder="1" applyAlignment="1">
      <alignment vertical="center" wrapText="1"/>
    </xf>
    <xf numFmtId="0" fontId="18" fillId="6" borderId="20" xfId="1" applyFont="1" applyFill="1" applyBorder="1" applyAlignment="1">
      <alignment vertical="center" wrapText="1"/>
    </xf>
    <xf numFmtId="0" fontId="17" fillId="6" borderId="20" xfId="1" applyFont="1" applyFill="1" applyBorder="1" applyAlignment="1">
      <alignment horizontal="center" vertical="center" wrapText="1"/>
    </xf>
    <xf numFmtId="0" fontId="18" fillId="6" borderId="25" xfId="1" applyFont="1" applyFill="1" applyBorder="1" applyAlignment="1">
      <alignment vertical="center" wrapText="1"/>
    </xf>
    <xf numFmtId="0" fontId="18" fillId="7" borderId="20" xfId="1" applyFont="1" applyFill="1" applyBorder="1" applyAlignment="1">
      <alignment horizontal="left" vertical="center" indent="1"/>
    </xf>
    <xf numFmtId="0" fontId="17" fillId="7" borderId="20" xfId="1" applyFont="1" applyFill="1" applyBorder="1" applyAlignment="1">
      <alignment horizontal="center" vertical="center"/>
    </xf>
    <xf numFmtId="0" fontId="18" fillId="7" borderId="25" xfId="1" applyFont="1" applyFill="1" applyBorder="1">
      <alignment vertical="center"/>
    </xf>
    <xf numFmtId="0" fontId="18" fillId="7" borderId="20" xfId="1" applyFont="1" applyFill="1" applyBorder="1">
      <alignment vertical="center"/>
    </xf>
    <xf numFmtId="179" fontId="16" fillId="10" borderId="29" xfId="1" applyNumberFormat="1" applyFont="1" applyFill="1" applyBorder="1" applyAlignment="1">
      <alignment vertical="center" wrapText="1"/>
    </xf>
    <xf numFmtId="179" fontId="16" fillId="10" borderId="30" xfId="1" applyNumberFormat="1" applyFont="1" applyFill="1" applyBorder="1" applyAlignment="1">
      <alignment vertical="center" wrapText="1"/>
    </xf>
    <xf numFmtId="178" fontId="16" fillId="10" borderId="31" xfId="1" applyNumberFormat="1" applyFont="1" applyFill="1" applyBorder="1" applyAlignment="1">
      <alignment vertical="center" wrapText="1"/>
    </xf>
    <xf numFmtId="179" fontId="16" fillId="10" borderId="38" xfId="1" applyNumberFormat="1" applyFont="1" applyFill="1" applyBorder="1" applyAlignment="1">
      <alignment vertical="center" wrapText="1"/>
    </xf>
    <xf numFmtId="178" fontId="16" fillId="10" borderId="39" xfId="1" applyNumberFormat="1" applyFont="1" applyFill="1" applyBorder="1" applyAlignment="1">
      <alignment vertical="center" wrapText="1"/>
    </xf>
    <xf numFmtId="178" fontId="17" fillId="0" borderId="0" xfId="1" applyNumberFormat="1" applyFont="1" applyAlignment="1">
      <alignment horizontal="center" vertical="center"/>
    </xf>
    <xf numFmtId="179" fontId="23" fillId="11" borderId="0" xfId="1" applyNumberFormat="1" applyFont="1" applyFill="1">
      <alignment vertical="center"/>
    </xf>
    <xf numFmtId="178" fontId="14" fillId="11" borderId="0" xfId="1" applyNumberFormat="1" applyFont="1" applyFill="1">
      <alignment vertical="center"/>
    </xf>
    <xf numFmtId="179" fontId="15" fillId="11" borderId="0" xfId="1" applyNumberFormat="1" applyFont="1" applyFill="1">
      <alignment vertical="center"/>
    </xf>
    <xf numFmtId="0" fontId="13" fillId="3" borderId="20" xfId="1" applyFont="1" applyFill="1" applyBorder="1" applyAlignment="1">
      <alignment horizontal="center" vertical="center"/>
    </xf>
    <xf numFmtId="0" fontId="13" fillId="3" borderId="25" xfId="1" applyFont="1" applyFill="1" applyBorder="1" applyAlignment="1">
      <alignment horizontal="center" vertical="center"/>
    </xf>
    <xf numFmtId="179" fontId="13" fillId="3" borderId="32" xfId="1" applyNumberFormat="1" applyFont="1" applyFill="1" applyBorder="1" applyAlignment="1">
      <alignment horizontal="center" vertical="center" wrapText="1"/>
    </xf>
    <xf numFmtId="179" fontId="13" fillId="3" borderId="20" xfId="1" applyNumberFormat="1" applyFont="1" applyFill="1" applyBorder="1" applyAlignment="1">
      <alignment horizontal="center" vertical="center" wrapText="1"/>
    </xf>
    <xf numFmtId="178" fontId="13" fillId="3" borderId="27" xfId="1" applyNumberFormat="1" applyFont="1" applyFill="1" applyBorder="1" applyAlignment="1">
      <alignment horizontal="center" vertical="center" wrapText="1"/>
    </xf>
    <xf numFmtId="179" fontId="13" fillId="3" borderId="40" xfId="1" applyNumberFormat="1" applyFont="1" applyFill="1" applyBorder="1" applyAlignment="1">
      <alignment horizontal="center" vertical="center" wrapText="1"/>
    </xf>
    <xf numFmtId="179" fontId="13" fillId="3" borderId="27" xfId="1" applyNumberFormat="1" applyFont="1" applyFill="1" applyBorder="1" applyAlignment="1">
      <alignment horizontal="center" vertical="center" wrapText="1"/>
    </xf>
    <xf numFmtId="179" fontId="13" fillId="3" borderId="18" xfId="1" applyNumberFormat="1" applyFont="1" applyFill="1" applyBorder="1" applyAlignment="1">
      <alignment horizontal="center" vertical="center" wrapText="1"/>
    </xf>
    <xf numFmtId="179" fontId="13" fillId="3" borderId="19" xfId="1" applyNumberFormat="1" applyFont="1" applyFill="1" applyBorder="1" applyAlignment="1">
      <alignment horizontal="center" vertical="center" wrapText="1"/>
    </xf>
    <xf numFmtId="0" fontId="17" fillId="3" borderId="20" xfId="1" applyFont="1" applyFill="1" applyBorder="1" applyAlignment="1">
      <alignment horizontal="center" vertical="center"/>
    </xf>
    <xf numFmtId="14" fontId="14" fillId="4" borderId="24" xfId="1" applyNumberFormat="1" applyFont="1" applyFill="1" applyBorder="1" applyAlignment="1">
      <alignment horizontal="center" vertical="center" wrapText="1"/>
    </xf>
    <xf numFmtId="14" fontId="14" fillId="4" borderId="37" xfId="1" applyNumberFormat="1" applyFont="1" applyFill="1" applyBorder="1" applyAlignment="1">
      <alignment horizontal="center" vertical="center" wrapText="1"/>
    </xf>
    <xf numFmtId="0" fontId="16" fillId="5" borderId="20" xfId="1" applyFont="1" applyFill="1" applyBorder="1" applyAlignment="1">
      <alignment vertical="center" wrapText="1"/>
    </xf>
    <xf numFmtId="0" fontId="17" fillId="5" borderId="20" xfId="1" applyFont="1" applyFill="1" applyBorder="1" applyAlignment="1">
      <alignment horizontal="center" vertical="center" wrapText="1"/>
    </xf>
    <xf numFmtId="0" fontId="16" fillId="5" borderId="25" xfId="1" applyFont="1" applyFill="1" applyBorder="1" applyAlignment="1">
      <alignment vertical="center" wrapText="1"/>
    </xf>
    <xf numFmtId="179" fontId="18" fillId="8" borderId="20" xfId="1" applyNumberFormat="1" applyFont="1" applyFill="1" applyBorder="1" applyAlignment="1">
      <alignment horizontal="left" vertical="center" wrapText="1" indent="1"/>
    </xf>
    <xf numFmtId="179" fontId="17" fillId="8" borderId="20" xfId="1" applyNumberFormat="1" applyFont="1" applyFill="1" applyBorder="1" applyAlignment="1">
      <alignment horizontal="center" vertical="center" wrapText="1"/>
    </xf>
    <xf numFmtId="179" fontId="18" fillId="8" borderId="25" xfId="1" applyNumberFormat="1" applyFont="1" applyFill="1" applyBorder="1" applyAlignment="1">
      <alignment vertical="center" wrapText="1"/>
    </xf>
    <xf numFmtId="179" fontId="18" fillId="2" borderId="16" xfId="1" applyNumberFormat="1" applyFont="1" applyFill="1" applyBorder="1" applyAlignment="1">
      <alignment vertical="center" wrapText="1"/>
    </xf>
    <xf numFmtId="179" fontId="18" fillId="2" borderId="26" xfId="1" applyNumberFormat="1" applyFont="1" applyFill="1" applyBorder="1" applyAlignment="1">
      <alignment vertical="center" wrapText="1"/>
    </xf>
    <xf numFmtId="179" fontId="15" fillId="0" borderId="0" xfId="1" applyNumberFormat="1" applyFont="1">
      <alignment vertical="center"/>
    </xf>
    <xf numFmtId="179" fontId="18" fillId="8" borderId="24" xfId="1" applyNumberFormat="1" applyFont="1" applyFill="1" applyBorder="1" applyAlignment="1">
      <alignment vertical="center" wrapText="1"/>
    </xf>
    <xf numFmtId="179" fontId="18" fillId="8" borderId="37" xfId="1" applyNumberFormat="1" applyFont="1" applyFill="1" applyBorder="1" applyAlignment="1">
      <alignment vertical="center" wrapText="1"/>
    </xf>
    <xf numFmtId="179" fontId="18" fillId="7" borderId="20" xfId="1" applyNumberFormat="1" applyFont="1" applyFill="1" applyBorder="1" applyAlignment="1">
      <alignment horizontal="left" vertical="center" wrapText="1" indent="1"/>
    </xf>
    <xf numFmtId="179" fontId="17" fillId="7" borderId="20" xfId="1" applyNumberFormat="1" applyFont="1" applyFill="1" applyBorder="1" applyAlignment="1">
      <alignment horizontal="center" vertical="center" wrapText="1"/>
    </xf>
    <xf numFmtId="179" fontId="18" fillId="7" borderId="25" xfId="1" applyNumberFormat="1" applyFont="1" applyFill="1" applyBorder="1" applyAlignment="1">
      <alignment vertical="center" wrapText="1"/>
    </xf>
    <xf numFmtId="179" fontId="18" fillId="7" borderId="24" xfId="1" applyNumberFormat="1" applyFont="1" applyFill="1" applyBorder="1" applyAlignment="1">
      <alignment vertical="center" wrapText="1"/>
    </xf>
    <xf numFmtId="179" fontId="18" fillId="0" borderId="37" xfId="1" applyNumberFormat="1" applyFont="1" applyBorder="1" applyAlignment="1">
      <alignment vertical="center" wrapText="1"/>
    </xf>
    <xf numFmtId="179" fontId="16" fillId="5" borderId="25" xfId="1" applyNumberFormat="1" applyFont="1" applyFill="1" applyBorder="1" applyAlignment="1">
      <alignment vertical="center" wrapText="1"/>
    </xf>
    <xf numFmtId="179" fontId="16" fillId="5" borderId="24" xfId="1" applyNumberFormat="1" applyFont="1" applyFill="1" applyBorder="1" applyAlignment="1">
      <alignment vertical="center" wrapText="1"/>
    </xf>
    <xf numFmtId="179" fontId="16" fillId="5" borderId="37" xfId="1" applyNumberFormat="1" applyFont="1" applyFill="1" applyBorder="1" applyAlignment="1">
      <alignment vertical="center" wrapText="1"/>
    </xf>
    <xf numFmtId="179" fontId="18" fillId="7" borderId="37" xfId="1" applyNumberFormat="1" applyFont="1" applyFill="1" applyBorder="1" applyAlignment="1">
      <alignment vertical="center" wrapText="1"/>
    </xf>
    <xf numFmtId="179" fontId="18" fillId="0" borderId="24" xfId="1" applyNumberFormat="1" applyFont="1" applyBorder="1" applyAlignment="1">
      <alignment vertical="center" wrapText="1"/>
    </xf>
    <xf numFmtId="179" fontId="18" fillId="12" borderId="24" xfId="1" applyNumberFormat="1" applyFont="1" applyFill="1" applyBorder="1" applyAlignment="1">
      <alignment vertical="center" wrapText="1"/>
    </xf>
    <xf numFmtId="179" fontId="18" fillId="12" borderId="37" xfId="1" applyNumberFormat="1" applyFont="1" applyFill="1" applyBorder="1" applyAlignment="1">
      <alignment vertical="center" wrapText="1"/>
    </xf>
    <xf numFmtId="179" fontId="18" fillId="6" borderId="25" xfId="1" applyNumberFormat="1" applyFont="1" applyFill="1" applyBorder="1" applyAlignment="1">
      <alignment vertical="center" wrapText="1"/>
    </xf>
    <xf numFmtId="179" fontId="18" fillId="6" borderId="24" xfId="1" applyNumberFormat="1" applyFont="1" applyFill="1" applyBorder="1" applyAlignment="1">
      <alignment vertical="center" wrapText="1"/>
    </xf>
    <xf numFmtId="179" fontId="18" fillId="6" borderId="37" xfId="1" applyNumberFormat="1" applyFont="1" applyFill="1" applyBorder="1" applyAlignment="1">
      <alignment vertical="center" wrapText="1"/>
    </xf>
    <xf numFmtId="38" fontId="18" fillId="7" borderId="20" xfId="1" applyNumberFormat="1" applyFont="1" applyFill="1" applyBorder="1" applyAlignment="1">
      <alignment horizontal="left" vertical="center" wrapText="1" indent="1"/>
    </xf>
    <xf numFmtId="38" fontId="17" fillId="7" borderId="20" xfId="1" applyNumberFormat="1" applyFont="1" applyFill="1" applyBorder="1" applyAlignment="1">
      <alignment horizontal="center" vertical="center" wrapText="1"/>
    </xf>
    <xf numFmtId="179" fontId="16" fillId="5" borderId="29" xfId="1" applyNumberFormat="1" applyFont="1" applyFill="1" applyBorder="1" applyAlignment="1">
      <alignment vertical="center" wrapText="1"/>
    </xf>
    <xf numFmtId="179" fontId="16" fillId="5" borderId="30" xfId="1" applyNumberFormat="1" applyFont="1" applyFill="1" applyBorder="1" applyAlignment="1">
      <alignment vertical="center" wrapText="1"/>
    </xf>
    <xf numFmtId="179" fontId="16" fillId="5" borderId="38" xfId="1" applyNumberFormat="1" applyFont="1" applyFill="1" applyBorder="1" applyAlignment="1">
      <alignment vertical="center" wrapText="1"/>
    </xf>
    <xf numFmtId="179" fontId="15" fillId="2" borderId="33" xfId="1" applyNumberFormat="1" applyFont="1" applyFill="1" applyBorder="1">
      <alignment vertical="center"/>
    </xf>
    <xf numFmtId="179" fontId="23" fillId="0" borderId="0" xfId="1" applyNumberFormat="1" applyFont="1">
      <alignment vertical="center"/>
    </xf>
    <xf numFmtId="9" fontId="5" fillId="0" borderId="5" xfId="0" applyNumberFormat="1" applyFont="1" applyBorder="1">
      <alignment vertical="center"/>
    </xf>
    <xf numFmtId="9" fontId="5" fillId="0" borderId="0" xfId="0" applyNumberFormat="1" applyFont="1">
      <alignment vertical="center"/>
    </xf>
    <xf numFmtId="0" fontId="24" fillId="0" borderId="20" xfId="0" applyFont="1" applyBorder="1">
      <alignment vertical="center"/>
    </xf>
    <xf numFmtId="0" fontId="25" fillId="0" borderId="20" xfId="0" applyFont="1" applyBorder="1">
      <alignment vertical="center"/>
    </xf>
    <xf numFmtId="0" fontId="0" fillId="0" borderId="20" xfId="0" applyBorder="1">
      <alignment vertical="center"/>
    </xf>
    <xf numFmtId="9" fontId="5" fillId="0" borderId="20" xfId="0" applyNumberFormat="1" applyFont="1" applyBorder="1">
      <alignment vertical="center"/>
    </xf>
    <xf numFmtId="0" fontId="18" fillId="14" borderId="20" xfId="1" applyFont="1" applyFill="1" applyBorder="1" applyAlignment="1">
      <alignment horizontal="left" vertical="center" wrapText="1" indent="1"/>
    </xf>
    <xf numFmtId="176" fontId="17" fillId="0" borderId="0" xfId="0" applyNumberFormat="1" applyFont="1">
      <alignment vertical="center"/>
    </xf>
    <xf numFmtId="14" fontId="27" fillId="0" borderId="0" xfId="0" applyNumberFormat="1" applyFont="1" applyAlignment="1">
      <alignment horizontal="right" vertical="center"/>
    </xf>
    <xf numFmtId="14" fontId="17" fillId="0" borderId="0" xfId="0" applyNumberFormat="1" applyFont="1" applyAlignment="1">
      <alignment horizontal="right" vertical="center"/>
    </xf>
    <xf numFmtId="176" fontId="17" fillId="0" borderId="5" xfId="0" applyNumberFormat="1" applyFont="1" applyBorder="1">
      <alignment vertical="center"/>
    </xf>
    <xf numFmtId="180" fontId="28" fillId="0" borderId="5" xfId="0" applyNumberFormat="1" applyFont="1" applyBorder="1" applyAlignment="1">
      <alignment horizontal="right" vertical="center"/>
    </xf>
    <xf numFmtId="180" fontId="17" fillId="0" borderId="5" xfId="0" applyNumberFormat="1" applyFont="1" applyBorder="1" applyAlignment="1">
      <alignment horizontal="right" vertical="center"/>
    </xf>
    <xf numFmtId="0" fontId="7" fillId="0" borderId="6" xfId="0" applyFont="1" applyBorder="1">
      <alignment vertical="center"/>
    </xf>
    <xf numFmtId="176" fontId="7" fillId="0" borderId="6" xfId="0" applyNumberFormat="1" applyFont="1" applyBorder="1">
      <alignment vertical="center"/>
    </xf>
    <xf numFmtId="0" fontId="29" fillId="15" borderId="0" xfId="0" applyFont="1" applyFill="1" applyAlignment="1"/>
    <xf numFmtId="0" fontId="0" fillId="16" borderId="0" xfId="0" applyFill="1" applyAlignment="1"/>
    <xf numFmtId="0" fontId="30" fillId="16" borderId="0" xfId="0" applyFont="1" applyFill="1" applyAlignment="1">
      <alignment horizontal="left"/>
    </xf>
    <xf numFmtId="0" fontId="31" fillId="16" borderId="0" xfId="0" applyFont="1" applyFill="1" applyAlignment="1">
      <alignment horizontal="left"/>
    </xf>
    <xf numFmtId="0" fontId="32" fillId="16" borderId="0" xfId="0" applyFont="1" applyFill="1" applyAlignment="1"/>
    <xf numFmtId="0" fontId="33" fillId="16" borderId="0" xfId="0" applyFont="1" applyFill="1" applyAlignment="1"/>
    <xf numFmtId="0" fontId="34" fillId="16" borderId="0" xfId="0" applyFont="1" applyFill="1" applyAlignment="1"/>
    <xf numFmtId="0" fontId="33" fillId="17" borderId="0" xfId="0" applyFont="1" applyFill="1" applyAlignment="1"/>
    <xf numFmtId="0" fontId="29" fillId="18" borderId="0" xfId="0" applyFont="1" applyFill="1" applyAlignment="1"/>
    <xf numFmtId="0" fontId="35" fillId="19" borderId="0" xfId="0" applyFont="1" applyFill="1" applyAlignment="1">
      <alignment horizontal="left"/>
    </xf>
    <xf numFmtId="0" fontId="35" fillId="19" borderId="0" xfId="0" applyFont="1" applyFill="1" applyAlignment="1"/>
    <xf numFmtId="0" fontId="36" fillId="20" borderId="0" xfId="0" applyFont="1" applyFill="1" applyAlignment="1">
      <alignment horizontal="left" vertical="top" wrapText="1"/>
    </xf>
    <xf numFmtId="0" fontId="29" fillId="20" borderId="0" xfId="0" applyFont="1" applyFill="1" applyAlignment="1">
      <alignment horizontal="left" vertical="top" wrapText="1"/>
    </xf>
    <xf numFmtId="0" fontId="37" fillId="20" borderId="0" xfId="0" applyFont="1" applyFill="1" applyAlignment="1">
      <alignment horizontal="right"/>
    </xf>
    <xf numFmtId="0" fontId="37" fillId="21" borderId="0" xfId="0" applyFont="1" applyFill="1" applyAlignment="1">
      <alignment horizontal="right"/>
    </xf>
    <xf numFmtId="181" fontId="5" fillId="0" borderId="6" xfId="0" applyNumberFormat="1" applyFont="1" applyBorder="1">
      <alignment vertical="center"/>
    </xf>
    <xf numFmtId="181" fontId="5" fillId="0" borderId="0" xfId="0" applyNumberFormat="1" applyFont="1">
      <alignment vertical="center"/>
    </xf>
    <xf numFmtId="181" fontId="5" fillId="0" borderId="5" xfId="0" applyNumberFormat="1" applyFont="1" applyBorder="1">
      <alignment vertical="center"/>
    </xf>
    <xf numFmtId="0" fontId="18" fillId="22" borderId="20" xfId="1" applyFont="1" applyFill="1" applyBorder="1" applyAlignment="1">
      <alignment horizontal="left" vertical="center" wrapText="1" indent="1"/>
    </xf>
    <xf numFmtId="179" fontId="38" fillId="0" borderId="0" xfId="1" applyNumberFormat="1" applyFont="1" applyAlignment="1">
      <alignment horizontal="right" vertical="center"/>
    </xf>
    <xf numFmtId="179" fontId="38" fillId="0" borderId="0" xfId="1" applyNumberFormat="1" applyFont="1">
      <alignment vertical="center"/>
    </xf>
    <xf numFmtId="179" fontId="38" fillId="0" borderId="0" xfId="1" applyNumberFormat="1" applyFont="1" applyAlignment="1">
      <alignment horizontal="center" vertical="center"/>
    </xf>
    <xf numFmtId="179" fontId="39" fillId="8" borderId="0" xfId="1" applyNumberFormat="1" applyFont="1" applyFill="1">
      <alignment vertical="center"/>
    </xf>
    <xf numFmtId="179" fontId="40" fillId="0" borderId="0" xfId="1" applyNumberFormat="1" applyFont="1">
      <alignment vertical="center"/>
    </xf>
    <xf numFmtId="179" fontId="39" fillId="0" borderId="0" xfId="1" applyNumberFormat="1" applyFont="1" applyAlignment="1">
      <alignment horizontal="center" vertical="center"/>
    </xf>
    <xf numFmtId="179" fontId="39" fillId="23" borderId="41" xfId="1" applyNumberFormat="1" applyFont="1" applyFill="1" applyBorder="1" applyAlignment="1">
      <alignment horizontal="center" vertical="center"/>
    </xf>
    <xf numFmtId="179" fontId="39" fillId="23" borderId="42" xfId="1" applyNumberFormat="1" applyFont="1" applyFill="1" applyBorder="1" applyAlignment="1">
      <alignment horizontal="center" vertical="center"/>
    </xf>
    <xf numFmtId="179" fontId="39" fillId="23" borderId="43" xfId="1" applyNumberFormat="1" applyFont="1" applyFill="1" applyBorder="1" applyAlignment="1">
      <alignment horizontal="center" vertical="center"/>
    </xf>
    <xf numFmtId="179" fontId="39" fillId="23" borderId="44" xfId="1" applyNumberFormat="1" applyFont="1" applyFill="1" applyBorder="1" applyAlignment="1">
      <alignment horizontal="center" vertical="center"/>
    </xf>
    <xf numFmtId="179" fontId="41" fillId="24" borderId="16" xfId="1" applyNumberFormat="1" applyFont="1" applyFill="1" applyBorder="1">
      <alignment vertical="center"/>
    </xf>
    <xf numFmtId="179" fontId="38" fillId="24" borderId="0" xfId="1" applyNumberFormat="1" applyFont="1" applyFill="1" applyAlignment="1">
      <alignment horizontal="center" vertical="center"/>
    </xf>
    <xf numFmtId="179" fontId="38" fillId="24" borderId="0" xfId="1" applyNumberFormat="1" applyFont="1" applyFill="1">
      <alignment vertical="center"/>
    </xf>
    <xf numFmtId="179" fontId="38" fillId="24" borderId="45" xfId="1" applyNumberFormat="1" applyFont="1" applyFill="1" applyBorder="1">
      <alignment vertical="center"/>
    </xf>
    <xf numFmtId="179" fontId="38" fillId="24" borderId="26" xfId="1" applyNumberFormat="1" applyFont="1" applyFill="1" applyBorder="1">
      <alignment vertical="center"/>
    </xf>
    <xf numFmtId="179" fontId="41" fillId="6" borderId="16" xfId="1" applyNumberFormat="1" applyFont="1" applyFill="1" applyBorder="1">
      <alignment vertical="center"/>
    </xf>
    <xf numFmtId="179" fontId="38" fillId="6" borderId="0" xfId="1" applyNumberFormat="1" applyFont="1" applyFill="1" applyAlignment="1">
      <alignment horizontal="center" vertical="center"/>
    </xf>
    <xf numFmtId="179" fontId="38" fillId="6" borderId="0" xfId="1" applyNumberFormat="1" applyFont="1" applyFill="1">
      <alignment vertical="center"/>
    </xf>
    <xf numFmtId="179" fontId="38" fillId="6" borderId="45" xfId="1" applyNumberFormat="1" applyFont="1" applyFill="1" applyBorder="1">
      <alignment vertical="center"/>
    </xf>
    <xf numFmtId="179" fontId="38" fillId="6" borderId="26" xfId="1" applyNumberFormat="1" applyFont="1" applyFill="1" applyBorder="1">
      <alignment vertical="center"/>
    </xf>
    <xf numFmtId="179" fontId="38" fillId="6" borderId="16" xfId="1" applyNumberFormat="1" applyFont="1" applyFill="1" applyBorder="1">
      <alignment vertical="center"/>
    </xf>
    <xf numFmtId="179" fontId="38" fillId="6" borderId="21" xfId="1" applyNumberFormat="1" applyFont="1" applyFill="1" applyBorder="1">
      <alignment vertical="center"/>
    </xf>
    <xf numFmtId="179" fontId="38" fillId="6" borderId="46" xfId="1" applyNumberFormat="1" applyFont="1" applyFill="1" applyBorder="1" applyAlignment="1">
      <alignment horizontal="center" vertical="center"/>
    </xf>
    <xf numFmtId="179" fontId="38" fillId="6" borderId="46" xfId="1" applyNumberFormat="1" applyFont="1" applyFill="1" applyBorder="1">
      <alignment vertical="center"/>
    </xf>
    <xf numFmtId="179" fontId="38" fillId="6" borderId="47" xfId="1" applyNumberFormat="1" applyFont="1" applyFill="1" applyBorder="1">
      <alignment vertical="center"/>
    </xf>
    <xf numFmtId="179" fontId="38" fillId="6" borderId="22" xfId="1" applyNumberFormat="1" applyFont="1" applyFill="1" applyBorder="1">
      <alignment vertical="center"/>
    </xf>
    <xf numFmtId="0" fontId="42" fillId="0" borderId="0" xfId="0" applyFont="1">
      <alignment vertical="center"/>
    </xf>
    <xf numFmtId="179" fontId="41" fillId="0" borderId="0" xfId="1" applyNumberFormat="1" applyFont="1">
      <alignment vertical="center"/>
    </xf>
    <xf numFmtId="179" fontId="38" fillId="22" borderId="45" xfId="1" applyNumberFormat="1" applyFont="1" applyFill="1" applyBorder="1">
      <alignment vertical="center"/>
    </xf>
    <xf numFmtId="179" fontId="38" fillId="22" borderId="0" xfId="1" applyNumberFormat="1" applyFont="1" applyFill="1" applyAlignment="1">
      <alignment horizontal="center" vertical="center"/>
    </xf>
    <xf numFmtId="179" fontId="38" fillId="22" borderId="26" xfId="1" applyNumberFormat="1" applyFont="1" applyFill="1" applyBorder="1">
      <alignment vertical="center"/>
    </xf>
    <xf numFmtId="0" fontId="7" fillId="14" borderId="0" xfId="0" applyFont="1" applyFill="1">
      <alignment vertical="center"/>
    </xf>
    <xf numFmtId="177" fontId="7" fillId="0" borderId="5" xfId="0" applyNumberFormat="1" applyFont="1" applyBorder="1">
      <alignment vertical="center"/>
    </xf>
    <xf numFmtId="9" fontId="1" fillId="0" borderId="5" xfId="0" applyNumberFormat="1" applyFont="1" applyBorder="1">
      <alignment vertical="center"/>
    </xf>
    <xf numFmtId="0" fontId="43" fillId="0" borderId="0" xfId="0" applyFont="1">
      <alignment vertical="center"/>
    </xf>
    <xf numFmtId="3" fontId="1" fillId="0" borderId="5" xfId="0" applyNumberFormat="1" applyFont="1" applyBorder="1">
      <alignment vertical="center"/>
    </xf>
    <xf numFmtId="176" fontId="1" fillId="0" borderId="5" xfId="0" applyNumberFormat="1" applyFont="1" applyBorder="1">
      <alignment vertical="center"/>
    </xf>
    <xf numFmtId="176" fontId="4" fillId="26" borderId="6" xfId="0" applyNumberFormat="1" applyFont="1" applyFill="1" applyBorder="1">
      <alignment vertical="center"/>
    </xf>
    <xf numFmtId="176" fontId="7" fillId="26" borderId="0" xfId="0" applyNumberFormat="1" applyFont="1" applyFill="1">
      <alignment vertical="center"/>
    </xf>
    <xf numFmtId="176" fontId="7" fillId="26" borderId="5" xfId="0" applyNumberFormat="1" applyFont="1" applyFill="1" applyBorder="1">
      <alignment vertical="center"/>
    </xf>
    <xf numFmtId="0" fontId="47" fillId="0" borderId="0" xfId="0" applyFont="1" applyAlignment="1"/>
    <xf numFmtId="0" fontId="44" fillId="27" borderId="0" xfId="0" applyFont="1" applyFill="1" applyAlignment="1">
      <alignment horizontal="center" vertical="center"/>
    </xf>
    <xf numFmtId="0" fontId="46" fillId="27" borderId="0" xfId="0" applyFont="1" applyFill="1" applyAlignment="1">
      <alignment horizontal="center" vertical="center"/>
    </xf>
    <xf numFmtId="0" fontId="46" fillId="27" borderId="0" xfId="0" applyFont="1" applyFill="1" applyAlignment="1">
      <alignment horizontal="left" vertical="center"/>
    </xf>
    <xf numFmtId="179" fontId="38" fillId="14" borderId="45" xfId="1" applyNumberFormat="1" applyFont="1" applyFill="1" applyBorder="1">
      <alignment vertical="center"/>
    </xf>
    <xf numFmtId="179" fontId="38" fillId="14" borderId="0" xfId="1" applyNumberFormat="1" applyFont="1" applyFill="1" applyAlignment="1">
      <alignment horizontal="center" vertical="center"/>
    </xf>
    <xf numFmtId="179" fontId="38" fillId="14" borderId="26" xfId="1" applyNumberFormat="1" applyFont="1" applyFill="1" applyBorder="1">
      <alignment vertical="center"/>
    </xf>
    <xf numFmtId="183" fontId="7" fillId="0" borderId="0" xfId="0" applyNumberFormat="1" applyFont="1">
      <alignment vertical="center"/>
    </xf>
    <xf numFmtId="0" fontId="1" fillId="14" borderId="0" xfId="0" applyFont="1" applyFill="1">
      <alignment vertical="center"/>
    </xf>
    <xf numFmtId="3" fontId="5" fillId="0" borderId="20" xfId="0" applyNumberFormat="1" applyFont="1" applyBorder="1">
      <alignment vertical="center"/>
    </xf>
    <xf numFmtId="3" fontId="1" fillId="0" borderId="0" xfId="0" applyNumberFormat="1" applyFont="1">
      <alignment vertical="center"/>
    </xf>
    <xf numFmtId="0" fontId="7" fillId="0" borderId="4" xfId="0" applyFont="1" applyBorder="1">
      <alignment vertical="center"/>
    </xf>
    <xf numFmtId="176" fontId="7" fillId="0" borderId="4" xfId="0" applyNumberFormat="1" applyFont="1" applyBorder="1">
      <alignment vertical="center"/>
    </xf>
    <xf numFmtId="9" fontId="5" fillId="0" borderId="4" xfId="0" applyNumberFormat="1" applyFont="1" applyBorder="1">
      <alignment vertical="center"/>
    </xf>
    <xf numFmtId="181" fontId="5" fillId="0" borderId="4" xfId="0" applyNumberFormat="1" applyFont="1" applyBorder="1">
      <alignment vertical="center"/>
    </xf>
    <xf numFmtId="3" fontId="4" fillId="0" borderId="6" xfId="0" applyNumberFormat="1" applyFont="1" applyBorder="1">
      <alignment vertical="center"/>
    </xf>
    <xf numFmtId="3" fontId="4" fillId="0" borderId="3" xfId="0" applyNumberFormat="1" applyFont="1" applyBorder="1">
      <alignment vertical="center"/>
    </xf>
    <xf numFmtId="0" fontId="1" fillId="26" borderId="0" xfId="0" applyFont="1" applyFill="1">
      <alignment vertical="center"/>
    </xf>
    <xf numFmtId="0" fontId="4" fillId="26" borderId="2" xfId="0" applyFont="1" applyFill="1" applyBorder="1">
      <alignment vertical="center"/>
    </xf>
    <xf numFmtId="0" fontId="1" fillId="26" borderId="3" xfId="0" applyFont="1" applyFill="1" applyBorder="1">
      <alignment vertical="center"/>
    </xf>
    <xf numFmtId="0" fontId="1" fillId="26" borderId="4" xfId="0" applyFont="1" applyFill="1" applyBorder="1">
      <alignment vertical="center"/>
    </xf>
    <xf numFmtId="0" fontId="7" fillId="26" borderId="0" xfId="0" applyFont="1" applyFill="1">
      <alignment vertical="center"/>
    </xf>
    <xf numFmtId="0" fontId="7" fillId="26" borderId="5" xfId="0" applyFont="1" applyFill="1" applyBorder="1">
      <alignment vertical="center"/>
    </xf>
    <xf numFmtId="3" fontId="4" fillId="0" borderId="2" xfId="0" applyNumberFormat="1" applyFont="1" applyBorder="1">
      <alignment vertical="center"/>
    </xf>
    <xf numFmtId="176" fontId="1" fillId="26" borderId="0" xfId="0" applyNumberFormat="1" applyFont="1" applyFill="1">
      <alignment vertical="center"/>
    </xf>
    <xf numFmtId="176" fontId="4" fillId="0" borderId="2" xfId="0" applyNumberFormat="1" applyFont="1" applyBorder="1">
      <alignment vertical="center"/>
    </xf>
    <xf numFmtId="2" fontId="1" fillId="0" borderId="3" xfId="0" applyNumberFormat="1" applyFont="1" applyBorder="1">
      <alignment vertical="center"/>
    </xf>
    <xf numFmtId="9" fontId="1" fillId="0" borderId="6" xfId="0" applyNumberFormat="1" applyFont="1" applyBorder="1">
      <alignment vertical="center"/>
    </xf>
    <xf numFmtId="2" fontId="1" fillId="0" borderId="4" xfId="0" applyNumberFormat="1" applyFont="1" applyBorder="1">
      <alignment vertical="center"/>
    </xf>
    <xf numFmtId="3" fontId="4" fillId="0" borderId="5" xfId="0" applyNumberFormat="1" applyFont="1" applyBorder="1">
      <alignment vertical="center"/>
    </xf>
    <xf numFmtId="9" fontId="1" fillId="0" borderId="0" xfId="0" applyNumberFormat="1" applyFont="1">
      <alignment vertical="center"/>
    </xf>
    <xf numFmtId="177" fontId="7" fillId="26" borderId="0" xfId="0" applyNumberFormat="1" applyFont="1" applyFill="1">
      <alignment vertical="center"/>
    </xf>
    <xf numFmtId="0" fontId="49" fillId="0" borderId="0" xfId="0" applyFont="1" applyAlignment="1">
      <alignment horizontal="center" vertical="center"/>
    </xf>
    <xf numFmtId="184" fontId="50" fillId="0" borderId="0" xfId="0" applyNumberFormat="1" applyFont="1">
      <alignment vertical="center"/>
    </xf>
    <xf numFmtId="184" fontId="51" fillId="0" borderId="0" xfId="0" applyNumberFormat="1" applyFont="1">
      <alignment vertical="center"/>
    </xf>
    <xf numFmtId="0" fontId="52" fillId="0" borderId="0" xfId="0" applyFont="1" applyAlignment="1">
      <alignment horizontal="center" vertical="center"/>
    </xf>
    <xf numFmtId="0" fontId="53" fillId="28" borderId="0" xfId="0" applyFont="1" applyFill="1" applyAlignment="1">
      <alignment horizontal="center" vertical="center"/>
    </xf>
    <xf numFmtId="41" fontId="52" fillId="28" borderId="0" xfId="2" applyFont="1" applyFill="1">
      <alignment vertical="center"/>
    </xf>
    <xf numFmtId="0" fontId="49" fillId="0" borderId="0" xfId="0" applyFont="1">
      <alignment vertical="center"/>
    </xf>
    <xf numFmtId="41" fontId="51" fillId="0" borderId="0" xfId="2" applyFont="1">
      <alignment vertical="center"/>
    </xf>
    <xf numFmtId="41" fontId="49" fillId="0" borderId="0" xfId="2" applyFont="1" applyFill="1" applyBorder="1" applyAlignment="1">
      <alignment horizontal="left" vertical="center"/>
    </xf>
    <xf numFmtId="41" fontId="51" fillId="0" borderId="0" xfId="0" applyNumberFormat="1" applyFont="1">
      <alignment vertical="center"/>
    </xf>
    <xf numFmtId="41" fontId="49" fillId="0" borderId="0" xfId="3" applyFont="1" applyFill="1" applyBorder="1" applyAlignment="1">
      <alignment horizontal="center" vertical="center"/>
    </xf>
    <xf numFmtId="41" fontId="49" fillId="0" borderId="0" xfId="2" applyFont="1" applyFill="1" applyBorder="1" applyAlignment="1">
      <alignment horizontal="center" vertical="center"/>
    </xf>
    <xf numFmtId="0" fontId="53" fillId="28" borderId="48" xfId="0" applyFont="1" applyFill="1" applyBorder="1" applyAlignment="1">
      <alignment horizontal="center" vertical="center"/>
    </xf>
    <xf numFmtId="0" fontId="49" fillId="0" borderId="48" xfId="0" applyFont="1" applyBorder="1">
      <alignment vertical="center"/>
    </xf>
    <xf numFmtId="41" fontId="51" fillId="0" borderId="48" xfId="2" applyFont="1" applyBorder="1">
      <alignment vertical="center"/>
    </xf>
    <xf numFmtId="41" fontId="51" fillId="0" borderId="48" xfId="0" applyNumberFormat="1" applyFont="1" applyBorder="1">
      <alignment vertical="center"/>
    </xf>
    <xf numFmtId="41" fontId="52" fillId="28" borderId="0" xfId="2" applyFont="1" applyFill="1" applyBorder="1">
      <alignment vertical="center"/>
    </xf>
    <xf numFmtId="41" fontId="7" fillId="0" borderId="0" xfId="2" applyFont="1" applyBorder="1" applyAlignment="1">
      <alignment horizontal="left" vertical="center" indent="1"/>
    </xf>
    <xf numFmtId="41" fontId="7" fillId="0" borderId="0" xfId="3" applyFont="1" applyFill="1" applyBorder="1" applyAlignment="1">
      <alignment horizontal="center" vertical="center"/>
    </xf>
    <xf numFmtId="41" fontId="7" fillId="0" borderId="0" xfId="2" applyFont="1" applyFill="1" applyBorder="1" applyAlignment="1">
      <alignment horizontal="center" vertical="center"/>
    </xf>
    <xf numFmtId="41" fontId="7" fillId="0" borderId="48" xfId="3" applyFont="1" applyFill="1" applyBorder="1" applyAlignment="1">
      <alignment horizontal="center" vertical="center"/>
    </xf>
    <xf numFmtId="41" fontId="7" fillId="0" borderId="0" xfId="2" applyFont="1" applyBorder="1" applyAlignment="1">
      <alignment horizontal="center" vertical="center"/>
    </xf>
    <xf numFmtId="41" fontId="7" fillId="0" borderId="48" xfId="2" applyFont="1" applyBorder="1" applyAlignment="1">
      <alignment horizontal="center" vertical="center"/>
    </xf>
    <xf numFmtId="41" fontId="7" fillId="0" borderId="48" xfId="2" applyFont="1" applyFill="1" applyBorder="1" applyAlignment="1">
      <alignment horizontal="center" vertical="center"/>
    </xf>
    <xf numFmtId="181" fontId="0" fillId="0" borderId="0" xfId="0" applyNumberFormat="1">
      <alignment vertical="center"/>
    </xf>
    <xf numFmtId="176" fontId="5" fillId="26" borderId="5" xfId="0" applyNumberFormat="1" applyFont="1" applyFill="1" applyBorder="1">
      <alignment vertical="center"/>
    </xf>
    <xf numFmtId="41" fontId="52" fillId="14" borderId="0" xfId="2" applyFont="1" applyFill="1">
      <alignment vertical="center"/>
    </xf>
    <xf numFmtId="41" fontId="51" fillId="14" borderId="0" xfId="2" applyFont="1" applyFill="1">
      <alignment vertical="center"/>
    </xf>
    <xf numFmtId="41" fontId="51" fillId="14" borderId="48" xfId="2" applyFont="1" applyFill="1" applyBorder="1">
      <alignment vertical="center"/>
    </xf>
    <xf numFmtId="3" fontId="0" fillId="14" borderId="0" xfId="0" applyNumberFormat="1" applyFill="1">
      <alignment vertical="center"/>
    </xf>
    <xf numFmtId="0" fontId="0" fillId="14" borderId="0" xfId="0" applyFill="1">
      <alignment vertical="center"/>
    </xf>
    <xf numFmtId="3" fontId="52" fillId="14" borderId="0" xfId="2" applyNumberFormat="1" applyFont="1" applyFill="1">
      <alignment vertical="center"/>
    </xf>
    <xf numFmtId="9" fontId="5" fillId="26" borderId="0" xfId="0" applyNumberFormat="1" applyFont="1" applyFill="1">
      <alignment vertical="center"/>
    </xf>
    <xf numFmtId="9" fontId="5" fillId="26" borderId="5" xfId="0" applyNumberFormat="1" applyFont="1" applyFill="1" applyBorder="1">
      <alignment vertical="center"/>
    </xf>
    <xf numFmtId="176" fontId="4" fillId="26" borderId="0" xfId="0" applyNumberFormat="1" applyFont="1" applyFill="1">
      <alignment vertical="center"/>
    </xf>
    <xf numFmtId="3" fontId="1" fillId="26" borderId="5" xfId="0" applyNumberFormat="1" applyFont="1" applyFill="1" applyBorder="1">
      <alignment vertical="center"/>
    </xf>
    <xf numFmtId="0" fontId="25" fillId="0" borderId="0" xfId="0" applyFont="1">
      <alignment vertical="center"/>
    </xf>
    <xf numFmtId="0" fontId="0" fillId="2" borderId="0" xfId="0" applyFill="1">
      <alignment vertical="center"/>
    </xf>
    <xf numFmtId="0" fontId="0" fillId="13" borderId="0" xfId="0" applyFill="1">
      <alignment vertical="center"/>
    </xf>
    <xf numFmtId="176" fontId="4" fillId="26" borderId="3" xfId="0" applyNumberFormat="1" applyFont="1" applyFill="1" applyBorder="1">
      <alignment vertical="center"/>
    </xf>
    <xf numFmtId="0" fontId="4" fillId="0" borderId="49" xfId="0" applyFont="1" applyBorder="1">
      <alignment vertical="center"/>
    </xf>
    <xf numFmtId="3" fontId="4" fillId="0" borderId="49" xfId="0" applyNumberFormat="1" applyFont="1" applyBorder="1">
      <alignment vertical="center"/>
    </xf>
    <xf numFmtId="3" fontId="4" fillId="26" borderId="6" xfId="0" applyNumberFormat="1" applyFont="1" applyFill="1" applyBorder="1">
      <alignment vertical="center"/>
    </xf>
    <xf numFmtId="3" fontId="1" fillId="26" borderId="0" xfId="0" applyNumberFormat="1" applyFont="1" applyFill="1">
      <alignment vertical="center"/>
    </xf>
    <xf numFmtId="3" fontId="4" fillId="26" borderId="3" xfId="0" applyNumberFormat="1" applyFont="1" applyFill="1" applyBorder="1">
      <alignment vertical="center"/>
    </xf>
    <xf numFmtId="9" fontId="5" fillId="26" borderId="4" xfId="0" applyNumberFormat="1" applyFont="1" applyFill="1" applyBorder="1">
      <alignment vertical="center"/>
    </xf>
    <xf numFmtId="0" fontId="48" fillId="27" borderId="50" xfId="0" applyFont="1" applyFill="1" applyBorder="1" applyAlignment="1">
      <alignment horizontal="center" vertical="center"/>
    </xf>
    <xf numFmtId="0" fontId="44" fillId="25" borderId="51" xfId="0" applyFont="1" applyFill="1" applyBorder="1" applyAlignment="1">
      <alignment horizontal="center" vertical="center"/>
    </xf>
    <xf numFmtId="0" fontId="45" fillId="25" borderId="51" xfId="0" applyFont="1" applyFill="1" applyBorder="1" applyAlignment="1">
      <alignment horizontal="center" vertical="center"/>
    </xf>
    <xf numFmtId="0" fontId="46" fillId="0" borderId="51" xfId="0" applyFont="1" applyBorder="1" applyAlignment="1">
      <alignment horizontal="center" vertical="center"/>
    </xf>
    <xf numFmtId="0" fontId="46" fillId="0" borderId="51" xfId="0" applyFont="1" applyBorder="1" applyAlignment="1">
      <alignment horizontal="left" vertical="center"/>
    </xf>
    <xf numFmtId="182" fontId="46" fillId="0" borderId="51" xfId="0" applyNumberFormat="1" applyFont="1" applyBorder="1" applyAlignment="1">
      <alignment horizontal="right" vertical="center"/>
    </xf>
    <xf numFmtId="0" fontId="45" fillId="25" borderId="51" xfId="0" applyFont="1" applyFill="1" applyBorder="1" applyAlignment="1">
      <alignment horizontal="left" vertical="center"/>
    </xf>
    <xf numFmtId="182" fontId="45" fillId="25" borderId="51" xfId="0" applyNumberFormat="1" applyFont="1" applyFill="1" applyBorder="1" applyAlignment="1">
      <alignment horizontal="right" vertical="center"/>
    </xf>
    <xf numFmtId="0" fontId="4" fillId="0" borderId="53" xfId="0" applyFont="1" applyBorder="1">
      <alignment vertical="center"/>
    </xf>
    <xf numFmtId="176" fontId="4" fillId="0" borderId="53" xfId="0" applyNumberFormat="1" applyFont="1" applyBorder="1">
      <alignment vertical="center"/>
    </xf>
    <xf numFmtId="181" fontId="4" fillId="0" borderId="0" xfId="4" applyNumberFormat="1" applyFont="1">
      <alignment vertical="center"/>
    </xf>
    <xf numFmtId="181" fontId="1" fillId="0" borderId="0" xfId="4" applyNumberFormat="1" applyFont="1">
      <alignment vertical="center"/>
    </xf>
    <xf numFmtId="183" fontId="5" fillId="0" borderId="0" xfId="0" applyNumberFormat="1" applyFont="1">
      <alignment vertical="center"/>
    </xf>
    <xf numFmtId="0" fontId="55" fillId="29" borderId="54" xfId="0" applyFont="1" applyFill="1" applyBorder="1">
      <alignment vertical="center"/>
    </xf>
    <xf numFmtId="0" fontId="0" fillId="0" borderId="0" xfId="0" applyAlignment="1">
      <alignment horizontal="left" vertical="center"/>
    </xf>
    <xf numFmtId="0" fontId="55" fillId="29" borderId="55" xfId="0" applyFont="1" applyFill="1" applyBorder="1" applyAlignment="1">
      <alignment horizontal="left" vertical="center"/>
    </xf>
    <xf numFmtId="3" fontId="55" fillId="29" borderId="55" xfId="0" applyNumberFormat="1" applyFont="1" applyFill="1" applyBorder="1">
      <alignment vertical="center"/>
    </xf>
    <xf numFmtId="179" fontId="14" fillId="8" borderId="46" xfId="0" applyNumberFormat="1" applyFont="1" applyFill="1" applyBorder="1" applyAlignment="1">
      <alignment horizontal="center" vertical="center"/>
    </xf>
    <xf numFmtId="179" fontId="17" fillId="14" borderId="0" xfId="0" applyNumberFormat="1" applyFont="1" applyFill="1" applyAlignment="1"/>
    <xf numFmtId="179" fontId="17" fillId="0" borderId="0" xfId="0" applyNumberFormat="1" applyFont="1" applyAlignment="1"/>
    <xf numFmtId="3" fontId="55" fillId="29" borderId="54" xfId="0" applyNumberFormat="1" applyFont="1" applyFill="1" applyBorder="1">
      <alignment vertical="center"/>
    </xf>
    <xf numFmtId="9" fontId="0" fillId="0" borderId="0" xfId="0" applyNumberFormat="1">
      <alignment vertical="center"/>
    </xf>
    <xf numFmtId="3" fontId="5" fillId="0" borderId="0" xfId="0" applyNumberFormat="1" applyFont="1">
      <alignment vertical="center"/>
    </xf>
    <xf numFmtId="9" fontId="1" fillId="14" borderId="0" xfId="0" applyNumberFormat="1" applyFont="1" applyFill="1">
      <alignment vertical="center"/>
    </xf>
    <xf numFmtId="177" fontId="5" fillId="26" borderId="5" xfId="0" applyNumberFormat="1" applyFont="1" applyFill="1" applyBorder="1">
      <alignment vertical="center"/>
    </xf>
    <xf numFmtId="176" fontId="4" fillId="26" borderId="53" xfId="0" applyNumberFormat="1" applyFont="1" applyFill="1" applyBorder="1">
      <alignment vertical="center"/>
    </xf>
    <xf numFmtId="3" fontId="7" fillId="26" borderId="0" xfId="0" applyNumberFormat="1" applyFont="1" applyFill="1">
      <alignment vertical="center"/>
    </xf>
    <xf numFmtId="176" fontId="7" fillId="26" borderId="4" xfId="0" applyNumberFormat="1" applyFont="1" applyFill="1" applyBorder="1">
      <alignment vertical="center"/>
    </xf>
    <xf numFmtId="183" fontId="7" fillId="26" borderId="0" xfId="0" applyNumberFormat="1" applyFont="1" applyFill="1">
      <alignment vertical="center"/>
    </xf>
    <xf numFmtId="181" fontId="7" fillId="0" borderId="0" xfId="0" applyNumberFormat="1" applyFont="1">
      <alignment vertical="center"/>
    </xf>
    <xf numFmtId="181" fontId="5" fillId="0" borderId="20" xfId="0" applyNumberFormat="1" applyFont="1" applyBorder="1">
      <alignment vertical="center"/>
    </xf>
    <xf numFmtId="3" fontId="7" fillId="0" borderId="20" xfId="0" applyNumberFormat="1" applyFont="1" applyBorder="1">
      <alignment vertical="center"/>
    </xf>
    <xf numFmtId="0" fontId="57" fillId="0" borderId="0" xfId="0" applyFont="1">
      <alignment vertical="center"/>
    </xf>
    <xf numFmtId="0" fontId="58" fillId="0" borderId="0" xfId="0" applyFont="1">
      <alignment vertical="center"/>
    </xf>
    <xf numFmtId="0" fontId="59" fillId="0" borderId="0" xfId="0" applyFont="1">
      <alignment vertical="center"/>
    </xf>
    <xf numFmtId="181" fontId="59" fillId="0" borderId="0" xfId="0" applyNumberFormat="1" applyFont="1">
      <alignment vertical="center"/>
    </xf>
    <xf numFmtId="0" fontId="60" fillId="0" borderId="0" xfId="0" applyFont="1">
      <alignment vertical="center"/>
    </xf>
    <xf numFmtId="0" fontId="7" fillId="0" borderId="0" xfId="0" applyFont="1" applyAlignment="1">
      <alignment horizontal="left" vertical="center" indent="1"/>
    </xf>
    <xf numFmtId="0" fontId="45" fillId="25" borderId="56" xfId="0" applyFont="1" applyFill="1" applyBorder="1" applyAlignment="1">
      <alignment horizontal="center" vertical="center"/>
    </xf>
    <xf numFmtId="0" fontId="45" fillId="25" borderId="56" xfId="0" applyFont="1" applyFill="1" applyBorder="1" applyAlignment="1">
      <alignment horizontal="left" vertical="center"/>
    </xf>
    <xf numFmtId="182" fontId="45" fillId="25" borderId="56" xfId="0" applyNumberFormat="1" applyFont="1" applyFill="1" applyBorder="1" applyAlignment="1">
      <alignment horizontal="right" vertical="center"/>
    </xf>
    <xf numFmtId="182" fontId="0" fillId="0" borderId="0" xfId="0" applyNumberFormat="1">
      <alignment vertical="center"/>
    </xf>
    <xf numFmtId="185" fontId="0" fillId="0" borderId="0" xfId="0" applyNumberFormat="1">
      <alignment vertical="center"/>
    </xf>
    <xf numFmtId="0" fontId="1" fillId="0" borderId="5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26" borderId="0" xfId="0" applyFont="1" applyFill="1">
      <alignment vertical="center"/>
    </xf>
    <xf numFmtId="0" fontId="1" fillId="0" borderId="5" xfId="0" applyFont="1" applyBorder="1" applyAlignment="1">
      <alignment horizontal="center" vertical="center"/>
    </xf>
    <xf numFmtId="0" fontId="1" fillId="26" borderId="5" xfId="0" applyFont="1" applyFill="1" applyBorder="1">
      <alignment vertical="center"/>
    </xf>
    <xf numFmtId="0" fontId="61" fillId="0" borderId="0" xfId="0" applyFont="1">
      <alignment vertical="center"/>
    </xf>
    <xf numFmtId="0" fontId="62" fillId="0" borderId="0" xfId="0" applyFont="1">
      <alignment vertical="center"/>
    </xf>
    <xf numFmtId="3" fontId="62" fillId="0" borderId="0" xfId="0" applyNumberFormat="1" applyFont="1">
      <alignment vertical="center"/>
    </xf>
    <xf numFmtId="181" fontId="5" fillId="26" borderId="0" xfId="0" applyNumberFormat="1" applyFont="1" applyFill="1">
      <alignment vertical="center"/>
    </xf>
    <xf numFmtId="179" fontId="0" fillId="0" borderId="0" xfId="0" applyNumberFormat="1">
      <alignment vertical="center"/>
    </xf>
    <xf numFmtId="179" fontId="55" fillId="29" borderId="55" xfId="0" applyNumberFormat="1" applyFont="1" applyFill="1" applyBorder="1">
      <alignment vertical="center"/>
    </xf>
    <xf numFmtId="9" fontId="7" fillId="26" borderId="0" xfId="0" applyNumberFormat="1" applyFont="1" applyFill="1">
      <alignment vertical="center"/>
    </xf>
    <xf numFmtId="0" fontId="63" fillId="25" borderId="51" xfId="0" applyFont="1" applyFill="1" applyBorder="1" applyAlignment="1">
      <alignment horizontal="center" vertical="center"/>
    </xf>
    <xf numFmtId="0" fontId="64" fillId="27" borderId="51" xfId="0" applyFont="1" applyFill="1" applyBorder="1" applyAlignment="1">
      <alignment horizontal="left" vertical="center"/>
    </xf>
    <xf numFmtId="0" fontId="64" fillId="27" borderId="51" xfId="0" applyFont="1" applyFill="1" applyBorder="1" applyAlignment="1">
      <alignment horizontal="center" vertical="center"/>
    </xf>
    <xf numFmtId="0" fontId="64" fillId="27" borderId="57" xfId="0" applyFont="1" applyFill="1" applyBorder="1" applyAlignment="1">
      <alignment horizontal="center" vertical="center"/>
    </xf>
    <xf numFmtId="0" fontId="64" fillId="27" borderId="58" xfId="0" applyFont="1" applyFill="1" applyBorder="1" applyAlignment="1">
      <alignment horizontal="left" vertical="center"/>
    </xf>
    <xf numFmtId="186" fontId="64" fillId="27" borderId="51" xfId="0" applyNumberFormat="1" applyFont="1" applyFill="1" applyBorder="1" applyAlignment="1">
      <alignment horizontal="right" vertical="center"/>
    </xf>
    <xf numFmtId="186" fontId="64" fillId="27" borderId="51" xfId="0" applyNumberFormat="1" applyFont="1" applyFill="1" applyBorder="1" applyAlignment="1">
      <alignment horizontal="center" vertical="center"/>
    </xf>
    <xf numFmtId="187" fontId="64" fillId="27" borderId="51" xfId="0" applyNumberFormat="1" applyFont="1" applyFill="1" applyBorder="1" applyAlignment="1">
      <alignment horizontal="right" vertical="center"/>
    </xf>
    <xf numFmtId="0" fontId="64" fillId="25" borderId="51" xfId="0" applyFont="1" applyFill="1" applyBorder="1" applyAlignment="1">
      <alignment horizontal="left" vertical="center"/>
    </xf>
    <xf numFmtId="0" fontId="64" fillId="25" borderId="51" xfId="0" applyFont="1" applyFill="1" applyBorder="1" applyAlignment="1">
      <alignment horizontal="center" vertical="center"/>
    </xf>
    <xf numFmtId="0" fontId="64" fillId="25" borderId="57" xfId="0" applyFont="1" applyFill="1" applyBorder="1" applyAlignment="1">
      <alignment horizontal="center" vertical="center"/>
    </xf>
    <xf numFmtId="0" fontId="64" fillId="25" borderId="58" xfId="0" applyFont="1" applyFill="1" applyBorder="1" applyAlignment="1">
      <alignment horizontal="left" vertical="center"/>
    </xf>
    <xf numFmtId="186" fontId="64" fillId="25" borderId="51" xfId="0" applyNumberFormat="1" applyFont="1" applyFill="1" applyBorder="1" applyAlignment="1">
      <alignment horizontal="right" vertical="center"/>
    </xf>
    <xf numFmtId="0" fontId="64" fillId="25" borderId="51" xfId="0" applyFont="1" applyFill="1" applyBorder="1" applyAlignment="1">
      <alignment horizontal="right" vertical="center"/>
    </xf>
    <xf numFmtId="0" fontId="65" fillId="25" borderId="51" xfId="0" applyFont="1" applyFill="1" applyBorder="1" applyAlignment="1">
      <alignment horizontal="center" vertical="center"/>
    </xf>
    <xf numFmtId="0" fontId="65" fillId="25" borderId="51" xfId="0" applyFont="1" applyFill="1" applyBorder="1" applyAlignment="1">
      <alignment horizontal="right" vertical="center"/>
    </xf>
    <xf numFmtId="0" fontId="7" fillId="0" borderId="53" xfId="0" applyFont="1" applyBorder="1">
      <alignment vertical="center"/>
    </xf>
    <xf numFmtId="176" fontId="7" fillId="26" borderId="53" xfId="0" applyNumberFormat="1" applyFont="1" applyFill="1" applyBorder="1">
      <alignment vertical="center"/>
    </xf>
    <xf numFmtId="176" fontId="7" fillId="0" borderId="53" xfId="0" applyNumberFormat="1" applyFont="1" applyBorder="1">
      <alignment vertical="center"/>
    </xf>
    <xf numFmtId="176" fontId="5" fillId="26" borderId="0" xfId="0" applyNumberFormat="1" applyFont="1" applyFill="1">
      <alignment vertical="center"/>
    </xf>
    <xf numFmtId="186" fontId="0" fillId="0" borderId="0" xfId="0" applyNumberFormat="1">
      <alignment vertical="center"/>
    </xf>
    <xf numFmtId="186" fontId="55" fillId="29" borderId="55" xfId="0" applyNumberFormat="1" applyFont="1" applyFill="1" applyBorder="1">
      <alignment vertical="center"/>
    </xf>
    <xf numFmtId="0" fontId="3" fillId="30" borderId="0" xfId="0" applyFont="1" applyFill="1">
      <alignment vertical="center"/>
    </xf>
    <xf numFmtId="0" fontId="3" fillId="31" borderId="0" xfId="0" applyFont="1" applyFill="1">
      <alignment vertical="center"/>
    </xf>
    <xf numFmtId="0" fontId="4" fillId="32" borderId="0" xfId="0" applyFont="1" applyFill="1">
      <alignment vertical="center"/>
    </xf>
    <xf numFmtId="0" fontId="1" fillId="33" borderId="0" xfId="0" applyFont="1" applyFill="1">
      <alignment vertical="center"/>
    </xf>
    <xf numFmtId="14" fontId="1" fillId="33" borderId="0" xfId="0" applyNumberFormat="1" applyFont="1" applyFill="1">
      <alignment vertical="center"/>
    </xf>
    <xf numFmtId="41" fontId="66" fillId="33" borderId="0" xfId="2" applyFont="1" applyFill="1">
      <alignment vertical="center"/>
    </xf>
    <xf numFmtId="9" fontId="66" fillId="33" borderId="0" xfId="4" applyFont="1" applyFill="1">
      <alignment vertical="center"/>
    </xf>
    <xf numFmtId="0" fontId="53" fillId="32" borderId="0" xfId="0" applyFont="1" applyFill="1">
      <alignment vertical="center"/>
    </xf>
    <xf numFmtId="0" fontId="49" fillId="33" borderId="0" xfId="0" applyFont="1" applyFill="1">
      <alignment vertical="center"/>
    </xf>
    <xf numFmtId="14" fontId="49" fillId="33" borderId="0" xfId="0" applyNumberFormat="1" applyFont="1" applyFill="1">
      <alignment vertical="center"/>
    </xf>
    <xf numFmtId="41" fontId="49" fillId="33" borderId="0" xfId="2" applyFont="1" applyFill="1">
      <alignment vertical="center"/>
    </xf>
    <xf numFmtId="41" fontId="66" fillId="33" borderId="0" xfId="2" applyFont="1" applyFill="1" applyBorder="1">
      <alignment vertical="center"/>
    </xf>
    <xf numFmtId="9" fontId="66" fillId="33" borderId="0" xfId="4" applyFont="1" applyFill="1" applyBorder="1">
      <alignment vertical="center"/>
    </xf>
    <xf numFmtId="41" fontId="1" fillId="33" borderId="0" xfId="2" applyFont="1" applyFill="1" applyBorder="1">
      <alignment vertical="center"/>
    </xf>
    <xf numFmtId="41" fontId="1" fillId="33" borderId="0" xfId="2" applyFont="1" applyFill="1">
      <alignment vertical="center"/>
    </xf>
    <xf numFmtId="3" fontId="12" fillId="0" borderId="0" xfId="0" applyNumberFormat="1" applyFont="1">
      <alignment vertical="center"/>
    </xf>
    <xf numFmtId="0" fontId="67" fillId="0" borderId="0" xfId="0" applyFont="1">
      <alignment vertical="center"/>
    </xf>
    <xf numFmtId="0" fontId="4" fillId="26" borderId="5" xfId="0" applyFont="1" applyFill="1" applyBorder="1">
      <alignment vertical="center"/>
    </xf>
    <xf numFmtId="179" fontId="38" fillId="14" borderId="16" xfId="1" applyNumberFormat="1" applyFont="1" applyFill="1" applyBorder="1">
      <alignment vertical="center"/>
    </xf>
    <xf numFmtId="179" fontId="38" fillId="14" borderId="0" xfId="1" applyNumberFormat="1" applyFont="1" applyFill="1">
      <alignment vertical="center"/>
    </xf>
    <xf numFmtId="3" fontId="4" fillId="0" borderId="53" xfId="0" applyNumberFormat="1" applyFont="1" applyBorder="1">
      <alignment vertical="center"/>
    </xf>
    <xf numFmtId="176" fontId="4" fillId="0" borderId="5" xfId="0" applyNumberFormat="1" applyFont="1" applyBorder="1">
      <alignment vertical="center"/>
    </xf>
    <xf numFmtId="0" fontId="4" fillId="0" borderId="52" xfId="0" applyFont="1" applyBorder="1">
      <alignment vertical="center"/>
    </xf>
    <xf numFmtId="176" fontId="4" fillId="0" borderId="52" xfId="0" applyNumberFormat="1" applyFont="1" applyBorder="1">
      <alignment vertical="center"/>
    </xf>
    <xf numFmtId="179" fontId="12" fillId="0" borderId="0" xfId="0" applyNumberFormat="1" applyFont="1">
      <alignment vertical="center"/>
    </xf>
    <xf numFmtId="179" fontId="38" fillId="34" borderId="45" xfId="1" applyNumberFormat="1" applyFont="1" applyFill="1" applyBorder="1">
      <alignment vertical="center"/>
    </xf>
    <xf numFmtId="179" fontId="38" fillId="34" borderId="0" xfId="1" applyNumberFormat="1" applyFont="1" applyFill="1" applyAlignment="1">
      <alignment horizontal="center" vertical="center"/>
    </xf>
    <xf numFmtId="179" fontId="38" fillId="34" borderId="26" xfId="1" applyNumberFormat="1" applyFont="1" applyFill="1" applyBorder="1">
      <alignment vertical="center"/>
    </xf>
    <xf numFmtId="178" fontId="12" fillId="0" borderId="0" xfId="0" applyNumberFormat="1" applyFont="1">
      <alignment vertical="center"/>
    </xf>
    <xf numFmtId="176" fontId="4" fillId="0" borderId="49" xfId="0" applyNumberFormat="1" applyFont="1" applyBorder="1">
      <alignment vertical="center"/>
    </xf>
    <xf numFmtId="0" fontId="68" fillId="8" borderId="59" xfId="1" applyFont="1" applyFill="1" applyBorder="1">
      <alignment vertical="center"/>
    </xf>
    <xf numFmtId="188" fontId="69" fillId="8" borderId="59" xfId="1" applyNumberFormat="1" applyFont="1" applyFill="1" applyBorder="1" applyAlignment="1">
      <alignment horizontal="right" vertical="center"/>
    </xf>
    <xf numFmtId="179" fontId="68" fillId="8" borderId="59" xfId="1" applyNumberFormat="1" applyFont="1" applyFill="1" applyBorder="1" applyAlignment="1">
      <alignment horizontal="right" vertical="center"/>
    </xf>
    <xf numFmtId="0" fontId="68" fillId="6" borderId="60" xfId="1" applyFont="1" applyFill="1" applyBorder="1">
      <alignment vertical="center"/>
    </xf>
    <xf numFmtId="0" fontId="68" fillId="6" borderId="61" xfId="1" applyFont="1" applyFill="1" applyBorder="1">
      <alignment vertical="center"/>
    </xf>
    <xf numFmtId="188" fontId="69" fillId="6" borderId="59" xfId="1" applyNumberFormat="1" applyFont="1" applyFill="1" applyBorder="1" applyAlignment="1">
      <alignment horizontal="right" vertical="center"/>
    </xf>
    <xf numFmtId="179" fontId="68" fillId="6" borderId="59" xfId="1" applyNumberFormat="1" applyFont="1" applyFill="1" applyBorder="1" applyAlignment="1">
      <alignment horizontal="right" vertical="center"/>
    </xf>
    <xf numFmtId="0" fontId="68" fillId="0" borderId="60" xfId="1" applyFont="1" applyBorder="1">
      <alignment vertical="center"/>
    </xf>
    <xf numFmtId="0" fontId="68" fillId="0" borderId="61" xfId="1" applyFont="1" applyBorder="1">
      <alignment vertical="center"/>
    </xf>
    <xf numFmtId="188" fontId="69" fillId="0" borderId="59" xfId="1" applyNumberFormat="1" applyFont="1" applyBorder="1" applyAlignment="1">
      <alignment horizontal="right" vertical="center"/>
    </xf>
    <xf numFmtId="179" fontId="68" fillId="0" borderId="59" xfId="1" applyNumberFormat="1" applyFont="1" applyBorder="1" applyAlignment="1">
      <alignment horizontal="right" vertical="center"/>
    </xf>
    <xf numFmtId="0" fontId="68" fillId="8" borderId="60" xfId="1" applyFont="1" applyFill="1" applyBorder="1">
      <alignment vertical="center"/>
    </xf>
    <xf numFmtId="0" fontId="68" fillId="8" borderId="61" xfId="1" applyFont="1" applyFill="1" applyBorder="1">
      <alignment vertical="center"/>
    </xf>
    <xf numFmtId="178" fontId="70" fillId="0" borderId="0" xfId="1" applyNumberFormat="1" applyFont="1">
      <alignment vertical="center"/>
    </xf>
    <xf numFmtId="179" fontId="71" fillId="0" borderId="0" xfId="1" applyNumberFormat="1" applyFont="1">
      <alignment vertical="center"/>
    </xf>
    <xf numFmtId="178" fontId="71" fillId="0" borderId="0" xfId="1" applyNumberFormat="1" applyFont="1">
      <alignment vertical="center"/>
    </xf>
    <xf numFmtId="178" fontId="71" fillId="11" borderId="62" xfId="1" applyNumberFormat="1" applyFont="1" applyFill="1" applyBorder="1">
      <alignment vertical="center"/>
    </xf>
    <xf numFmtId="178" fontId="40" fillId="0" borderId="0" xfId="1" applyNumberFormat="1" applyFont="1">
      <alignment vertical="center"/>
    </xf>
    <xf numFmtId="178" fontId="39" fillId="9" borderId="13" xfId="1" applyNumberFormat="1" applyFont="1" applyFill="1" applyBorder="1">
      <alignment vertical="center"/>
    </xf>
    <xf numFmtId="178" fontId="39" fillId="9" borderId="35" xfId="1" applyNumberFormat="1" applyFont="1" applyFill="1" applyBorder="1">
      <alignment vertical="center"/>
    </xf>
    <xf numFmtId="3" fontId="9" fillId="0" borderId="0" xfId="1" applyNumberFormat="1" applyAlignment="1">
      <alignment vertical="center" wrapText="1"/>
    </xf>
    <xf numFmtId="178" fontId="39" fillId="35" borderId="0" xfId="1" applyNumberFormat="1" applyFont="1" applyFill="1" applyAlignment="1">
      <alignment horizontal="center" vertical="center"/>
    </xf>
    <xf numFmtId="178" fontId="71" fillId="35" borderId="0" xfId="1" applyNumberFormat="1" applyFont="1" applyFill="1">
      <alignment vertical="center"/>
    </xf>
    <xf numFmtId="179" fontId="40" fillId="11" borderId="0" xfId="1" applyNumberFormat="1" applyFont="1" applyFill="1">
      <alignment vertical="center"/>
    </xf>
    <xf numFmtId="178" fontId="39" fillId="9" borderId="24" xfId="1" applyNumberFormat="1" applyFont="1" applyFill="1" applyBorder="1">
      <alignment vertical="center"/>
    </xf>
    <xf numFmtId="178" fontId="39" fillId="9" borderId="37" xfId="1" applyNumberFormat="1" applyFont="1" applyFill="1" applyBorder="1">
      <alignment vertical="center"/>
    </xf>
    <xf numFmtId="178" fontId="39" fillId="0" borderId="0" xfId="1" applyNumberFormat="1" applyFont="1">
      <alignment vertical="center"/>
    </xf>
    <xf numFmtId="178" fontId="71" fillId="0" borderId="0" xfId="1" applyNumberFormat="1" applyFont="1" applyAlignment="1">
      <alignment horizontal="center" vertical="center"/>
    </xf>
    <xf numFmtId="178" fontId="70" fillId="3" borderId="7" xfId="1" applyNumberFormat="1" applyFont="1" applyFill="1" applyBorder="1" applyAlignment="1">
      <alignment horizontal="center" vertical="center"/>
    </xf>
    <xf numFmtId="178" fontId="70" fillId="3" borderId="5" xfId="1" applyNumberFormat="1" applyFont="1" applyFill="1" applyBorder="1" applyAlignment="1">
      <alignment horizontal="center" vertical="center"/>
    </xf>
    <xf numFmtId="179" fontId="70" fillId="3" borderId="8" xfId="1" applyNumberFormat="1" applyFont="1" applyFill="1" applyBorder="1" applyAlignment="1">
      <alignment horizontal="center" vertical="center" wrapText="1"/>
    </xf>
    <xf numFmtId="179" fontId="70" fillId="3" borderId="34" xfId="1" applyNumberFormat="1" applyFont="1" applyFill="1" applyBorder="1" applyAlignment="1">
      <alignment horizontal="center" vertical="center" wrapText="1"/>
    </xf>
    <xf numFmtId="179" fontId="70" fillId="3" borderId="9" xfId="1" applyNumberFormat="1" applyFont="1" applyFill="1" applyBorder="1" applyAlignment="1">
      <alignment horizontal="center" vertical="center" wrapText="1"/>
    </xf>
    <xf numFmtId="179" fontId="70" fillId="3" borderId="5" xfId="1" applyNumberFormat="1" applyFont="1" applyFill="1" applyBorder="1" applyAlignment="1">
      <alignment horizontal="center" vertical="center" wrapText="1"/>
    </xf>
    <xf numFmtId="179" fontId="72" fillId="2" borderId="11" xfId="1" applyNumberFormat="1" applyFont="1" applyFill="1" applyBorder="1" applyAlignment="1">
      <alignment horizontal="center" vertical="center" wrapText="1"/>
    </xf>
    <xf numFmtId="14" fontId="72" fillId="2" borderId="12" xfId="1" applyNumberFormat="1" applyFont="1" applyFill="1" applyBorder="1" applyAlignment="1">
      <alignment horizontal="center" vertical="center" wrapText="1"/>
    </xf>
    <xf numFmtId="14" fontId="72" fillId="4" borderId="13" xfId="1" applyNumberFormat="1" applyFont="1" applyFill="1" applyBorder="1" applyAlignment="1">
      <alignment horizontal="center" vertical="center" wrapText="1"/>
    </xf>
    <xf numFmtId="14" fontId="72" fillId="4" borderId="35" xfId="1" applyNumberFormat="1" applyFont="1" applyFill="1" applyBorder="1" applyAlignment="1">
      <alignment horizontal="center" vertical="center" wrapText="1"/>
    </xf>
    <xf numFmtId="181" fontId="71" fillId="0" borderId="0" xfId="1" applyNumberFormat="1" applyFont="1" applyAlignment="1">
      <alignment horizontal="center" vertical="center"/>
    </xf>
    <xf numFmtId="178" fontId="39" fillId="9" borderId="31" xfId="1" applyNumberFormat="1" applyFont="1" applyFill="1" applyBorder="1">
      <alignment vertical="center"/>
    </xf>
    <xf numFmtId="178" fontId="39" fillId="9" borderId="39" xfId="1" applyNumberFormat="1" applyFont="1" applyFill="1" applyBorder="1">
      <alignment vertical="center"/>
    </xf>
    <xf numFmtId="179" fontId="71" fillId="0" borderId="0" xfId="1" applyNumberFormat="1" applyFont="1" applyAlignment="1">
      <alignment horizontal="center" vertical="center"/>
    </xf>
    <xf numFmtId="179" fontId="70" fillId="3" borderId="14" xfId="1" applyNumberFormat="1" applyFont="1" applyFill="1" applyBorder="1" applyAlignment="1">
      <alignment horizontal="center" vertical="center" wrapText="1"/>
    </xf>
    <xf numFmtId="179" fontId="70" fillId="3" borderId="10" xfId="1" applyNumberFormat="1" applyFont="1" applyFill="1" applyBorder="1" applyAlignment="1">
      <alignment horizontal="center" vertical="center" wrapText="1"/>
    </xf>
    <xf numFmtId="179" fontId="70" fillId="3" borderId="15" xfId="1" applyNumberFormat="1" applyFont="1" applyFill="1" applyBorder="1" applyAlignment="1">
      <alignment horizontal="center" vertical="center" wrapText="1"/>
    </xf>
    <xf numFmtId="179" fontId="72" fillId="2" borderId="16" xfId="1" applyNumberFormat="1" applyFont="1" applyFill="1" applyBorder="1" applyAlignment="1">
      <alignment horizontal="center" vertical="center" wrapText="1"/>
    </xf>
    <xf numFmtId="179" fontId="72" fillId="2" borderId="26" xfId="1" applyNumberFormat="1" applyFont="1" applyFill="1" applyBorder="1" applyAlignment="1">
      <alignment horizontal="center" vertical="center" wrapText="1"/>
    </xf>
    <xf numFmtId="14" fontId="72" fillId="4" borderId="17" xfId="1" applyNumberFormat="1" applyFont="1" applyFill="1" applyBorder="1" applyAlignment="1">
      <alignment horizontal="center" vertical="center" wrapText="1"/>
    </xf>
    <xf numFmtId="14" fontId="72" fillId="4" borderId="36" xfId="1" applyNumberFormat="1" applyFont="1" applyFill="1" applyBorder="1" applyAlignment="1">
      <alignment horizontal="center" vertical="center" wrapText="1"/>
    </xf>
    <xf numFmtId="178" fontId="71" fillId="36" borderId="62" xfId="1" applyNumberFormat="1" applyFont="1" applyFill="1" applyBorder="1">
      <alignment vertical="center"/>
    </xf>
    <xf numFmtId="179" fontId="71" fillId="36" borderId="0" xfId="1" applyNumberFormat="1" applyFont="1" applyFill="1">
      <alignment vertical="center"/>
    </xf>
    <xf numFmtId="178" fontId="70" fillId="3" borderId="5" xfId="1" applyNumberFormat="1" applyFont="1" applyFill="1" applyBorder="1">
      <alignment vertical="center"/>
    </xf>
    <xf numFmtId="179" fontId="70" fillId="3" borderId="18" xfId="1" applyNumberFormat="1" applyFont="1" applyFill="1" applyBorder="1" applyAlignment="1">
      <alignment horizontal="center" vertical="center"/>
    </xf>
    <xf numFmtId="179" fontId="70" fillId="3" borderId="59" xfId="1" applyNumberFormat="1" applyFont="1" applyFill="1" applyBorder="1" applyAlignment="1">
      <alignment horizontal="center" vertical="center"/>
    </xf>
    <xf numFmtId="179" fontId="70" fillId="3" borderId="19" xfId="1" applyNumberFormat="1" applyFont="1" applyFill="1" applyBorder="1" applyAlignment="1">
      <alignment horizontal="center" vertical="center"/>
    </xf>
    <xf numFmtId="179" fontId="70" fillId="3" borderId="61" xfId="1" applyNumberFormat="1" applyFont="1" applyFill="1" applyBorder="1" applyAlignment="1">
      <alignment horizontal="center" vertical="center"/>
    </xf>
    <xf numFmtId="14" fontId="72" fillId="2" borderId="21" xfId="1" applyNumberFormat="1" applyFont="1" applyFill="1" applyBorder="1" applyAlignment="1">
      <alignment horizontal="center" vertical="center"/>
    </xf>
    <xf numFmtId="14" fontId="72" fillId="2" borderId="22" xfId="1" applyNumberFormat="1" applyFont="1" applyFill="1" applyBorder="1" applyAlignment="1">
      <alignment horizontal="center" vertical="center"/>
    </xf>
    <xf numFmtId="14" fontId="70" fillId="3" borderId="23" xfId="1" applyNumberFormat="1" applyFont="1" applyFill="1" applyBorder="1" applyAlignment="1">
      <alignment horizontal="center" vertical="center"/>
    </xf>
    <xf numFmtId="14" fontId="72" fillId="4" borderId="24" xfId="1" applyNumberFormat="1" applyFont="1" applyFill="1" applyBorder="1" applyAlignment="1">
      <alignment horizontal="center" vertical="center"/>
    </xf>
    <xf numFmtId="14" fontId="72" fillId="4" borderId="37" xfId="1" applyNumberFormat="1" applyFont="1" applyFill="1" applyBorder="1" applyAlignment="1">
      <alignment horizontal="center" vertical="center"/>
    </xf>
    <xf numFmtId="14" fontId="72" fillId="4" borderId="61" xfId="1" applyNumberFormat="1" applyFont="1" applyFill="1" applyBorder="1" applyAlignment="1">
      <alignment horizontal="center" vertical="center"/>
    </xf>
    <xf numFmtId="14" fontId="72" fillId="4" borderId="59" xfId="1" applyNumberFormat="1" applyFont="1" applyFill="1" applyBorder="1" applyAlignment="1">
      <alignment horizontal="center" vertical="center"/>
    </xf>
    <xf numFmtId="178" fontId="71" fillId="4" borderId="60" xfId="1" applyNumberFormat="1" applyFont="1" applyFill="1" applyBorder="1" applyAlignment="1">
      <alignment horizontal="center" vertical="center"/>
    </xf>
    <xf numFmtId="178" fontId="71" fillId="4" borderId="71" xfId="1" applyNumberFormat="1" applyFont="1" applyFill="1" applyBorder="1" applyAlignment="1">
      <alignment horizontal="center" vertical="center"/>
    </xf>
    <xf numFmtId="178" fontId="39" fillId="4" borderId="71" xfId="1" applyNumberFormat="1" applyFont="1" applyFill="1" applyBorder="1" applyAlignment="1">
      <alignment horizontal="center" vertical="center"/>
    </xf>
    <xf numFmtId="178" fontId="71" fillId="4" borderId="71" xfId="1" applyNumberFormat="1" applyFont="1" applyFill="1" applyBorder="1" applyAlignment="1">
      <alignment horizontal="centerContinuous" vertical="center"/>
    </xf>
    <xf numFmtId="178" fontId="71" fillId="4" borderId="61" xfId="1" applyNumberFormat="1" applyFont="1" applyFill="1" applyBorder="1" applyAlignment="1">
      <alignment horizontal="center" vertical="center"/>
    </xf>
    <xf numFmtId="178" fontId="74" fillId="4" borderId="59" xfId="1" applyNumberFormat="1" applyFont="1" applyFill="1" applyBorder="1" applyAlignment="1">
      <alignment horizontal="center" vertical="center"/>
    </xf>
    <xf numFmtId="179" fontId="39" fillId="38" borderId="72" xfId="1" applyNumberFormat="1" applyFont="1" applyFill="1" applyBorder="1" applyAlignment="1">
      <alignment horizontal="center" vertical="center"/>
    </xf>
    <xf numFmtId="179" fontId="39" fillId="38" borderId="73" xfId="1" applyNumberFormat="1" applyFont="1" applyFill="1" applyBorder="1" applyAlignment="1">
      <alignment horizontal="center" vertical="center"/>
    </xf>
    <xf numFmtId="179" fontId="39" fillId="38" borderId="74" xfId="1" applyNumberFormat="1" applyFont="1" applyFill="1" applyBorder="1" applyAlignment="1">
      <alignment horizontal="center" vertical="center"/>
    </xf>
    <xf numFmtId="179" fontId="39" fillId="38" borderId="75" xfId="1" applyNumberFormat="1" applyFont="1" applyFill="1" applyBorder="1" applyAlignment="1">
      <alignment horizontal="center" vertical="center"/>
    </xf>
    <xf numFmtId="179" fontId="39" fillId="38" borderId="76" xfId="1" applyNumberFormat="1" applyFont="1" applyFill="1" applyBorder="1" applyAlignment="1">
      <alignment horizontal="center" vertical="center"/>
    </xf>
    <xf numFmtId="179" fontId="39" fillId="38" borderId="77" xfId="1" applyNumberFormat="1" applyFont="1" applyFill="1" applyBorder="1" applyAlignment="1">
      <alignment horizontal="center" vertical="center"/>
    </xf>
    <xf numFmtId="179" fontId="75" fillId="38" borderId="78" xfId="1" applyNumberFormat="1" applyFont="1" applyFill="1" applyBorder="1" applyAlignment="1">
      <alignment horizontal="center" vertical="center"/>
    </xf>
    <xf numFmtId="179" fontId="75" fillId="38" borderId="79" xfId="1" applyNumberFormat="1" applyFont="1" applyFill="1" applyBorder="1" applyAlignment="1">
      <alignment horizontal="center" vertical="center"/>
    </xf>
    <xf numFmtId="179" fontId="75" fillId="38" borderId="77" xfId="1" applyNumberFormat="1" applyFont="1" applyFill="1" applyBorder="1" applyAlignment="1">
      <alignment horizontal="center" vertical="center"/>
    </xf>
    <xf numFmtId="179" fontId="39" fillId="38" borderId="80" xfId="1" applyNumberFormat="1" applyFont="1" applyFill="1" applyBorder="1" applyAlignment="1">
      <alignment horizontal="center" vertical="center"/>
    </xf>
    <xf numFmtId="179" fontId="39" fillId="38" borderId="81" xfId="1" applyNumberFormat="1" applyFont="1" applyFill="1" applyBorder="1" applyAlignment="1">
      <alignment horizontal="center" vertical="center"/>
    </xf>
    <xf numFmtId="178" fontId="76" fillId="5" borderId="59" xfId="1" applyNumberFormat="1" applyFont="1" applyFill="1" applyBorder="1" applyAlignment="1">
      <alignment vertical="center" wrapText="1"/>
    </xf>
    <xf numFmtId="178" fontId="68" fillId="5" borderId="59" xfId="1" applyNumberFormat="1" applyFont="1" applyFill="1" applyBorder="1" applyAlignment="1">
      <alignment horizontal="center" vertical="center" wrapText="1"/>
    </xf>
    <xf numFmtId="179" fontId="76" fillId="5" borderId="18" xfId="1" applyNumberFormat="1" applyFont="1" applyFill="1" applyBorder="1" applyAlignment="1">
      <alignment vertical="center" wrapText="1"/>
    </xf>
    <xf numFmtId="179" fontId="76" fillId="5" borderId="59" xfId="1" applyNumberFormat="1" applyFont="1" applyFill="1" applyBorder="1" applyAlignment="1">
      <alignment vertical="center" wrapText="1"/>
    </xf>
    <xf numFmtId="179" fontId="76" fillId="5" borderId="19" xfId="1" applyNumberFormat="1" applyFont="1" applyFill="1" applyBorder="1" applyAlignment="1">
      <alignment vertical="center" wrapText="1"/>
    </xf>
    <xf numFmtId="179" fontId="76" fillId="5" borderId="61" xfId="1" applyNumberFormat="1" applyFont="1" applyFill="1" applyBorder="1" applyAlignment="1">
      <alignment vertical="center" wrapText="1"/>
    </xf>
    <xf numFmtId="178" fontId="77" fillId="2" borderId="16" xfId="1" applyNumberFormat="1" applyFont="1" applyFill="1" applyBorder="1" applyAlignment="1">
      <alignment vertical="center" wrapText="1"/>
    </xf>
    <xf numFmtId="178" fontId="77" fillId="2" borderId="26" xfId="1" applyNumberFormat="1" applyFont="1" applyFill="1" applyBorder="1" applyAlignment="1">
      <alignment vertical="center" wrapText="1"/>
    </xf>
    <xf numFmtId="178" fontId="76" fillId="5" borderId="61" xfId="1" applyNumberFormat="1" applyFont="1" applyFill="1" applyBorder="1" applyAlignment="1">
      <alignment vertical="center" wrapText="1"/>
    </xf>
    <xf numFmtId="178" fontId="76" fillId="5" borderId="24" xfId="1" applyNumberFormat="1" applyFont="1" applyFill="1" applyBorder="1" applyAlignment="1">
      <alignment vertical="center" wrapText="1"/>
    </xf>
    <xf numFmtId="178" fontId="76" fillId="5" borderId="37" xfId="1" applyNumberFormat="1" applyFont="1" applyFill="1" applyBorder="1" applyAlignment="1">
      <alignment vertical="center" wrapText="1"/>
    </xf>
    <xf numFmtId="178" fontId="71" fillId="8" borderId="82" xfId="1" applyNumberFormat="1" applyFont="1" applyFill="1" applyBorder="1">
      <alignment vertical="center"/>
    </xf>
    <xf numFmtId="178" fontId="71" fillId="8" borderId="83" xfId="1" applyNumberFormat="1" applyFont="1" applyFill="1" applyBorder="1">
      <alignment vertical="center"/>
    </xf>
    <xf numFmtId="178" fontId="71" fillId="38" borderId="0" xfId="1" applyNumberFormat="1" applyFont="1" applyFill="1">
      <alignment vertical="center"/>
    </xf>
    <xf numFmtId="178" fontId="71" fillId="0" borderId="59" xfId="1" applyNumberFormat="1" applyFont="1" applyBorder="1">
      <alignment vertical="center"/>
    </xf>
    <xf numFmtId="178" fontId="71" fillId="33" borderId="45" xfId="1" applyNumberFormat="1" applyFont="1" applyFill="1" applyBorder="1">
      <alignment vertical="center"/>
    </xf>
    <xf numFmtId="178" fontId="71" fillId="0" borderId="45" xfId="1" applyNumberFormat="1" applyFont="1" applyBorder="1">
      <alignment vertical="center"/>
    </xf>
    <xf numFmtId="178" fontId="71" fillId="33" borderId="0" xfId="1" applyNumberFormat="1" applyFont="1" applyFill="1">
      <alignment vertical="center"/>
    </xf>
    <xf numFmtId="178" fontId="71" fillId="33" borderId="82" xfId="1" applyNumberFormat="1" applyFont="1" applyFill="1" applyBorder="1">
      <alignment vertical="center"/>
    </xf>
    <xf numFmtId="178" fontId="71" fillId="0" borderId="84" xfId="1" applyNumberFormat="1" applyFont="1" applyBorder="1">
      <alignment vertical="center"/>
    </xf>
    <xf numFmtId="178" fontId="71" fillId="0" borderId="85" xfId="1" applyNumberFormat="1" applyFont="1" applyBorder="1">
      <alignment vertical="center"/>
    </xf>
    <xf numFmtId="178" fontId="77" fillId="6" borderId="59" xfId="1" applyNumberFormat="1" applyFont="1" applyFill="1" applyBorder="1" applyAlignment="1">
      <alignment vertical="center" wrapText="1"/>
    </xf>
    <xf numFmtId="178" fontId="68" fillId="6" borderId="59" xfId="1" applyNumberFormat="1" applyFont="1" applyFill="1" applyBorder="1" applyAlignment="1">
      <alignment horizontal="center" vertical="center" wrapText="1"/>
    </xf>
    <xf numFmtId="179" fontId="77" fillId="6" borderId="18" xfId="1" applyNumberFormat="1" applyFont="1" applyFill="1" applyBorder="1" applyAlignment="1">
      <alignment vertical="center" wrapText="1"/>
    </xf>
    <xf numFmtId="179" fontId="77" fillId="6" borderId="59" xfId="1" applyNumberFormat="1" applyFont="1" applyFill="1" applyBorder="1" applyAlignment="1">
      <alignment vertical="center" wrapText="1"/>
    </xf>
    <xf numFmtId="179" fontId="77" fillId="6" borderId="19" xfId="1" applyNumberFormat="1" applyFont="1" applyFill="1" applyBorder="1" applyAlignment="1">
      <alignment vertical="center" wrapText="1"/>
    </xf>
    <xf numFmtId="179" fontId="77" fillId="6" borderId="61" xfId="1" applyNumberFormat="1" applyFont="1" applyFill="1" applyBorder="1" applyAlignment="1">
      <alignment vertical="center" wrapText="1"/>
    </xf>
    <xf numFmtId="178" fontId="77" fillId="6" borderId="61" xfId="1" applyNumberFormat="1" applyFont="1" applyFill="1" applyBorder="1" applyAlignment="1">
      <alignment vertical="center" wrapText="1"/>
    </xf>
    <xf numFmtId="178" fontId="77" fillId="6" borderId="24" xfId="1" applyNumberFormat="1" applyFont="1" applyFill="1" applyBorder="1" applyAlignment="1">
      <alignment vertical="center" wrapText="1"/>
    </xf>
    <xf numFmtId="178" fontId="77" fillId="6" borderId="37" xfId="1" applyNumberFormat="1" applyFont="1" applyFill="1" applyBorder="1" applyAlignment="1">
      <alignment vertical="center" wrapText="1"/>
    </xf>
    <xf numFmtId="0" fontId="77" fillId="7" borderId="59" xfId="1" applyFont="1" applyFill="1" applyBorder="1" applyAlignment="1">
      <alignment horizontal="left" vertical="center" wrapText="1" indent="1"/>
    </xf>
    <xf numFmtId="0" fontId="68" fillId="7" borderId="59" xfId="1" applyFont="1" applyFill="1" applyBorder="1" applyAlignment="1">
      <alignment horizontal="center" vertical="center" wrapText="1"/>
    </xf>
    <xf numFmtId="0" fontId="77" fillId="7" borderId="59" xfId="1" applyFont="1" applyFill="1" applyBorder="1" applyAlignment="1">
      <alignment vertical="center" wrapText="1"/>
    </xf>
    <xf numFmtId="179" fontId="77" fillId="0" borderId="18" xfId="1" applyNumberFormat="1" applyFont="1" applyBorder="1" applyAlignment="1">
      <alignment vertical="center" wrapText="1"/>
    </xf>
    <xf numFmtId="179" fontId="77" fillId="0" borderId="59" xfId="1" applyNumberFormat="1" applyFont="1" applyBorder="1" applyAlignment="1">
      <alignment vertical="center" wrapText="1"/>
    </xf>
    <xf numFmtId="179" fontId="77" fillId="0" borderId="19" xfId="1" applyNumberFormat="1" applyFont="1" applyBorder="1" applyAlignment="1">
      <alignment vertical="center" wrapText="1"/>
    </xf>
    <xf numFmtId="179" fontId="77" fillId="0" borderId="61" xfId="1" applyNumberFormat="1" applyFont="1" applyBorder="1" applyAlignment="1">
      <alignment vertical="center" wrapText="1"/>
    </xf>
    <xf numFmtId="178" fontId="77" fillId="7" borderId="61" xfId="1" applyNumberFormat="1" applyFont="1" applyFill="1" applyBorder="1" applyAlignment="1">
      <alignment vertical="center" wrapText="1"/>
    </xf>
    <xf numFmtId="178" fontId="77" fillId="0" borderId="24" xfId="1" applyNumberFormat="1" applyFont="1" applyBorder="1" applyAlignment="1">
      <alignment vertical="center" wrapText="1"/>
    </xf>
    <xf numFmtId="178" fontId="77" fillId="7" borderId="37" xfId="1" applyNumberFormat="1" applyFont="1" applyFill="1" applyBorder="1" applyAlignment="1">
      <alignment vertical="center" wrapText="1"/>
    </xf>
    <xf numFmtId="179" fontId="77" fillId="8" borderId="60" xfId="1" applyNumberFormat="1" applyFont="1" applyFill="1" applyBorder="1">
      <alignment vertical="center"/>
    </xf>
    <xf numFmtId="179" fontId="68" fillId="0" borderId="61" xfId="1" applyNumberFormat="1" applyFont="1" applyBorder="1" applyAlignment="1">
      <alignment vertical="center" wrapText="1"/>
    </xf>
    <xf numFmtId="0" fontId="68" fillId="7" borderId="59" xfId="1" applyFont="1" applyFill="1" applyBorder="1" applyAlignment="1">
      <alignment horizontal="left" vertical="center" wrapText="1" indent="1"/>
    </xf>
    <xf numFmtId="178" fontId="71" fillId="6" borderId="86" xfId="1" applyNumberFormat="1" applyFont="1" applyFill="1" applyBorder="1" applyAlignment="1">
      <alignment horizontal="center" vertical="center"/>
    </xf>
    <xf numFmtId="178" fontId="71" fillId="6" borderId="87" xfId="1" applyNumberFormat="1" applyFont="1" applyFill="1" applyBorder="1" applyAlignment="1">
      <alignment horizontal="center" vertical="center"/>
    </xf>
    <xf numFmtId="178" fontId="71" fillId="6" borderId="88" xfId="1" applyNumberFormat="1" applyFont="1" applyFill="1" applyBorder="1" applyAlignment="1">
      <alignment horizontal="center" vertical="center"/>
    </xf>
    <xf numFmtId="0" fontId="77" fillId="0" borderId="59" xfId="1" applyFont="1" applyBorder="1" applyAlignment="1">
      <alignment horizontal="left" vertical="center" wrapText="1" indent="1"/>
    </xf>
    <xf numFmtId="0" fontId="68" fillId="0" borderId="59" xfId="1" applyFont="1" applyBorder="1" applyAlignment="1">
      <alignment horizontal="center" vertical="center" wrapText="1"/>
    </xf>
    <xf numFmtId="178" fontId="77" fillId="0" borderId="61" xfId="1" applyNumberFormat="1" applyFont="1" applyBorder="1" applyAlignment="1">
      <alignment vertical="center" wrapText="1"/>
    </xf>
    <xf numFmtId="178" fontId="77" fillId="0" borderId="37" xfId="1" applyNumberFormat="1" applyFont="1" applyBorder="1" applyAlignment="1">
      <alignment vertical="center" wrapText="1"/>
    </xf>
    <xf numFmtId="178" fontId="71" fillId="8" borderId="45" xfId="1" applyNumberFormat="1" applyFont="1" applyFill="1" applyBorder="1">
      <alignment vertical="center"/>
    </xf>
    <xf numFmtId="178" fontId="71" fillId="6" borderId="21" xfId="1" applyNumberFormat="1" applyFont="1" applyFill="1" applyBorder="1" applyAlignment="1">
      <alignment horizontal="right" vertical="center"/>
    </xf>
    <xf numFmtId="178" fontId="71" fillId="6" borderId="46" xfId="1" applyNumberFormat="1" applyFont="1" applyFill="1" applyBorder="1" applyAlignment="1">
      <alignment horizontal="right" vertical="center"/>
    </xf>
    <xf numFmtId="178" fontId="71" fillId="6" borderId="22" xfId="1" applyNumberFormat="1" applyFont="1" applyFill="1" applyBorder="1" applyAlignment="1">
      <alignment horizontal="right" vertical="center"/>
    </xf>
    <xf numFmtId="179" fontId="71" fillId="11" borderId="0" xfId="1" applyNumberFormat="1" applyFont="1" applyFill="1">
      <alignment vertical="center"/>
    </xf>
    <xf numFmtId="179" fontId="42" fillId="0" borderId="59" xfId="1" applyNumberFormat="1" applyFont="1" applyBorder="1">
      <alignment vertical="center"/>
    </xf>
    <xf numFmtId="0" fontId="68" fillId="0" borderId="59" xfId="1" applyFont="1" applyBorder="1" applyAlignment="1">
      <alignment horizontal="left" vertical="center" indent="1"/>
    </xf>
    <xf numFmtId="178" fontId="71" fillId="6" borderId="16" xfId="1" applyNumberFormat="1" applyFont="1" applyFill="1" applyBorder="1" applyAlignment="1">
      <alignment horizontal="right" vertical="center"/>
    </xf>
    <xf numFmtId="178" fontId="71" fillId="6" borderId="0" xfId="1" applyNumberFormat="1" applyFont="1" applyFill="1" applyAlignment="1">
      <alignment horizontal="right" vertical="center"/>
    </xf>
    <xf numFmtId="178" fontId="71" fillId="6" borderId="26" xfId="1" applyNumberFormat="1" applyFont="1" applyFill="1" applyBorder="1" applyAlignment="1">
      <alignment horizontal="right" vertical="center"/>
    </xf>
    <xf numFmtId="0" fontId="68" fillId="0" borderId="59" xfId="1" applyFont="1" applyBorder="1" applyAlignment="1">
      <alignment horizontal="left" vertical="center" wrapText="1" indent="1"/>
    </xf>
    <xf numFmtId="179" fontId="77" fillId="13" borderId="59" xfId="1" applyNumberFormat="1" applyFont="1" applyFill="1" applyBorder="1" applyAlignment="1">
      <alignment vertical="center" wrapText="1"/>
    </xf>
    <xf numFmtId="0" fontId="68" fillId="7" borderId="59" xfId="1" applyFont="1" applyFill="1" applyBorder="1" applyAlignment="1">
      <alignment vertical="center" wrapText="1"/>
    </xf>
    <xf numFmtId="179" fontId="77" fillId="7" borderId="18" xfId="1" applyNumberFormat="1" applyFont="1" applyFill="1" applyBorder="1" applyAlignment="1">
      <alignment vertical="center" wrapText="1"/>
    </xf>
    <xf numFmtId="179" fontId="77" fillId="7" borderId="59" xfId="1" applyNumberFormat="1" applyFont="1" applyFill="1" applyBorder="1" applyAlignment="1">
      <alignment vertical="center" wrapText="1"/>
    </xf>
    <xf numFmtId="179" fontId="77" fillId="7" borderId="19" xfId="1" applyNumberFormat="1" applyFont="1" applyFill="1" applyBorder="1" applyAlignment="1">
      <alignment vertical="center" wrapText="1"/>
    </xf>
    <xf numFmtId="179" fontId="77" fillId="7" borderId="61" xfId="1" applyNumberFormat="1" applyFont="1" applyFill="1" applyBorder="1" applyAlignment="1">
      <alignment vertical="center" wrapText="1"/>
    </xf>
    <xf numFmtId="178" fontId="77" fillId="7" borderId="24" xfId="1" applyNumberFormat="1" applyFont="1" applyFill="1" applyBorder="1" applyAlignment="1">
      <alignment vertical="center" wrapText="1"/>
    </xf>
    <xf numFmtId="0" fontId="77" fillId="8" borderId="59" xfId="1" applyFont="1" applyFill="1" applyBorder="1" applyAlignment="1">
      <alignment horizontal="left" vertical="center" wrapText="1" indent="1"/>
    </xf>
    <xf numFmtId="0" fontId="68" fillId="8" borderId="59" xfId="1" applyFont="1" applyFill="1" applyBorder="1" applyAlignment="1">
      <alignment horizontal="center" vertical="center" wrapText="1"/>
    </xf>
    <xf numFmtId="0" fontId="77" fillId="8" borderId="59" xfId="1" applyFont="1" applyFill="1" applyBorder="1" applyAlignment="1">
      <alignment vertical="center" wrapText="1"/>
    </xf>
    <xf numFmtId="179" fontId="77" fillId="8" borderId="18" xfId="1" applyNumberFormat="1" applyFont="1" applyFill="1" applyBorder="1" applyAlignment="1">
      <alignment vertical="center" wrapText="1"/>
    </xf>
    <xf numFmtId="179" fontId="77" fillId="8" borderId="59" xfId="1" applyNumberFormat="1" applyFont="1" applyFill="1" applyBorder="1" applyAlignment="1">
      <alignment vertical="center" wrapText="1"/>
    </xf>
    <xf numFmtId="179" fontId="77" fillId="8" borderId="19" xfId="1" applyNumberFormat="1" applyFont="1" applyFill="1" applyBorder="1" applyAlignment="1">
      <alignment vertical="center" wrapText="1"/>
    </xf>
    <xf numFmtId="179" fontId="77" fillId="8" borderId="61" xfId="1" applyNumberFormat="1" applyFont="1" applyFill="1" applyBorder="1" applyAlignment="1">
      <alignment vertical="center" wrapText="1"/>
    </xf>
    <xf numFmtId="178" fontId="77" fillId="8" borderId="59" xfId="1" applyNumberFormat="1" applyFont="1" applyFill="1" applyBorder="1" applyAlignment="1">
      <alignment vertical="center" wrapText="1"/>
    </xf>
    <xf numFmtId="178" fontId="77" fillId="8" borderId="24" xfId="1" applyNumberFormat="1" applyFont="1" applyFill="1" applyBorder="1" applyAlignment="1">
      <alignment vertical="center" wrapText="1"/>
    </xf>
    <xf numFmtId="178" fontId="77" fillId="8" borderId="37" xfId="1" applyNumberFormat="1" applyFont="1" applyFill="1" applyBorder="1" applyAlignment="1">
      <alignment vertical="center" wrapText="1"/>
    </xf>
    <xf numFmtId="0" fontId="78" fillId="9" borderId="59" xfId="1" applyFont="1" applyFill="1" applyBorder="1" applyAlignment="1">
      <alignment horizontal="left" vertical="center" indent="1"/>
    </xf>
    <xf numFmtId="0" fontId="79" fillId="9" borderId="59" xfId="1" applyFont="1" applyFill="1" applyBorder="1" applyAlignment="1">
      <alignment horizontal="center" vertical="center" wrapText="1"/>
    </xf>
    <xf numFmtId="0" fontId="78" fillId="9" borderId="59" xfId="1" applyFont="1" applyFill="1" applyBorder="1" applyAlignment="1">
      <alignment vertical="center" wrapText="1"/>
    </xf>
    <xf numFmtId="179" fontId="78" fillId="9" borderId="18" xfId="1" applyNumberFormat="1" applyFont="1" applyFill="1" applyBorder="1" applyAlignment="1">
      <alignment vertical="center" wrapText="1"/>
    </xf>
    <xf numFmtId="179" fontId="78" fillId="9" borderId="59" xfId="1" applyNumberFormat="1" applyFont="1" applyFill="1" applyBorder="1" applyAlignment="1">
      <alignment vertical="center" wrapText="1"/>
    </xf>
    <xf numFmtId="179" fontId="78" fillId="9" borderId="19" xfId="1" applyNumberFormat="1" applyFont="1" applyFill="1" applyBorder="1" applyAlignment="1">
      <alignment vertical="center" wrapText="1"/>
    </xf>
    <xf numFmtId="179" fontId="78" fillId="9" borderId="61" xfId="1" applyNumberFormat="1" applyFont="1" applyFill="1" applyBorder="1" applyAlignment="1">
      <alignment vertical="center" wrapText="1"/>
    </xf>
    <xf numFmtId="178" fontId="78" fillId="9" borderId="61" xfId="1" applyNumberFormat="1" applyFont="1" applyFill="1" applyBorder="1" applyAlignment="1">
      <alignment vertical="center" wrapText="1"/>
    </xf>
    <xf numFmtId="178" fontId="78" fillId="9" borderId="24" xfId="1" applyNumberFormat="1" applyFont="1" applyFill="1" applyBorder="1" applyAlignment="1">
      <alignment vertical="center" wrapText="1"/>
    </xf>
    <xf numFmtId="178" fontId="78" fillId="9" borderId="37" xfId="1" applyNumberFormat="1" applyFont="1" applyFill="1" applyBorder="1" applyAlignment="1">
      <alignment vertical="center" wrapText="1"/>
    </xf>
    <xf numFmtId="178" fontId="71" fillId="6" borderId="16" xfId="1" applyNumberFormat="1" applyFont="1" applyFill="1" applyBorder="1">
      <alignment vertical="center"/>
    </xf>
    <xf numFmtId="178" fontId="71" fillId="6" borderId="0" xfId="1" applyNumberFormat="1" applyFont="1" applyFill="1">
      <alignment vertical="center"/>
    </xf>
    <xf numFmtId="178" fontId="71" fillId="6" borderId="26" xfId="1" applyNumberFormat="1" applyFont="1" applyFill="1" applyBorder="1">
      <alignment vertical="center"/>
    </xf>
    <xf numFmtId="0" fontId="78" fillId="9" borderId="59" xfId="1" applyFont="1" applyFill="1" applyBorder="1" applyAlignment="1">
      <alignment horizontal="left" vertical="center" wrapText="1" indent="1"/>
    </xf>
    <xf numFmtId="0" fontId="79" fillId="9" borderId="59" xfId="1" applyFont="1" applyFill="1" applyBorder="1" applyAlignment="1">
      <alignment horizontal="center" vertical="center"/>
    </xf>
    <xf numFmtId="0" fontId="78" fillId="9" borderId="59" xfId="1" applyFont="1" applyFill="1" applyBorder="1">
      <alignment vertical="center"/>
    </xf>
    <xf numFmtId="178" fontId="77" fillId="6" borderId="59" xfId="1" applyNumberFormat="1" applyFont="1" applyFill="1" applyBorder="1" applyAlignment="1">
      <alignment horizontal="left" vertical="center" wrapText="1"/>
    </xf>
    <xf numFmtId="179" fontId="68" fillId="7" borderId="18" xfId="1" applyNumberFormat="1" applyFont="1" applyFill="1" applyBorder="1" applyAlignment="1">
      <alignment vertical="center" wrapText="1"/>
    </xf>
    <xf numFmtId="179" fontId="68" fillId="7" borderId="59" xfId="1" applyNumberFormat="1" applyFont="1" applyFill="1" applyBorder="1" applyAlignment="1">
      <alignment vertical="center" wrapText="1"/>
    </xf>
    <xf numFmtId="179" fontId="68" fillId="7" borderId="19" xfId="1" applyNumberFormat="1" applyFont="1" applyFill="1" applyBorder="1" applyAlignment="1">
      <alignment vertical="center" wrapText="1"/>
    </xf>
    <xf numFmtId="179" fontId="68" fillId="7" borderId="61" xfId="1" applyNumberFormat="1" applyFont="1" applyFill="1" applyBorder="1" applyAlignment="1">
      <alignment vertical="center" wrapText="1"/>
    </xf>
    <xf numFmtId="0" fontId="80" fillId="7" borderId="59" xfId="1" applyFont="1" applyFill="1" applyBorder="1" applyAlignment="1">
      <alignment horizontal="left" vertical="center" wrapText="1" indent="1"/>
    </xf>
    <xf numFmtId="178" fontId="71" fillId="0" borderId="0" xfId="1" applyNumberFormat="1" applyFont="1" applyAlignment="1">
      <alignment horizontal="left" vertical="center"/>
    </xf>
    <xf numFmtId="178" fontId="71" fillId="6" borderId="21" xfId="1" applyNumberFormat="1" applyFont="1" applyFill="1" applyBorder="1">
      <alignment vertical="center"/>
    </xf>
    <xf numFmtId="178" fontId="71" fillId="6" borderId="46" xfId="1" applyNumberFormat="1" applyFont="1" applyFill="1" applyBorder="1">
      <alignment vertical="center"/>
    </xf>
    <xf numFmtId="178" fontId="71" fillId="6" borderId="22" xfId="1" applyNumberFormat="1" applyFont="1" applyFill="1" applyBorder="1">
      <alignment vertical="center"/>
    </xf>
    <xf numFmtId="0" fontId="77" fillId="0" borderId="59" xfId="1" applyFont="1" applyBorder="1" applyAlignment="1">
      <alignment vertical="center" wrapText="1"/>
    </xf>
    <xf numFmtId="178" fontId="76" fillId="10" borderId="59" xfId="1" applyNumberFormat="1" applyFont="1" applyFill="1" applyBorder="1" applyAlignment="1">
      <alignment horizontal="center" vertical="center" wrapText="1"/>
    </xf>
    <xf numFmtId="178" fontId="68" fillId="10" borderId="59" xfId="1" applyNumberFormat="1" applyFont="1" applyFill="1" applyBorder="1" applyAlignment="1">
      <alignment horizontal="center" vertical="center" wrapText="1"/>
    </xf>
    <xf numFmtId="178" fontId="76" fillId="10" borderId="59" xfId="1" applyNumberFormat="1" applyFont="1" applyFill="1" applyBorder="1" applyAlignment="1">
      <alignment vertical="center" wrapText="1"/>
    </xf>
    <xf numFmtId="179" fontId="76" fillId="10" borderId="18" xfId="1" applyNumberFormat="1" applyFont="1" applyFill="1" applyBorder="1" applyAlignment="1">
      <alignment vertical="center" wrapText="1"/>
    </xf>
    <xf numFmtId="179" fontId="76" fillId="10" borderId="59" xfId="1" applyNumberFormat="1" applyFont="1" applyFill="1" applyBorder="1" applyAlignment="1">
      <alignment vertical="center" wrapText="1"/>
    </xf>
    <xf numFmtId="179" fontId="76" fillId="10" borderId="19" xfId="1" applyNumberFormat="1" applyFont="1" applyFill="1" applyBorder="1" applyAlignment="1">
      <alignment vertical="center" wrapText="1"/>
    </xf>
    <xf numFmtId="179" fontId="76" fillId="10" borderId="61" xfId="1" applyNumberFormat="1" applyFont="1" applyFill="1" applyBorder="1" applyAlignment="1">
      <alignment vertical="center" wrapText="1"/>
    </xf>
    <xf numFmtId="178" fontId="76" fillId="10" borderId="61" xfId="1" applyNumberFormat="1" applyFont="1" applyFill="1" applyBorder="1" applyAlignment="1">
      <alignment vertical="center" wrapText="1"/>
    </xf>
    <xf numFmtId="178" fontId="76" fillId="10" borderId="24" xfId="1" applyNumberFormat="1" applyFont="1" applyFill="1" applyBorder="1" applyAlignment="1">
      <alignment vertical="center" wrapText="1"/>
    </xf>
    <xf numFmtId="178" fontId="76" fillId="10" borderId="37" xfId="1" applyNumberFormat="1" applyFont="1" applyFill="1" applyBorder="1" applyAlignment="1">
      <alignment vertical="center" wrapText="1"/>
    </xf>
    <xf numFmtId="179" fontId="77" fillId="7" borderId="18" xfId="1" applyNumberFormat="1" applyFont="1" applyFill="1" applyBorder="1" applyAlignment="1">
      <alignment horizontal="right" vertical="center" wrapText="1"/>
    </xf>
    <xf numFmtId="179" fontId="77" fillId="0" borderId="59" xfId="1" applyNumberFormat="1" applyFont="1" applyBorder="1" applyAlignment="1">
      <alignment horizontal="right" vertical="center" wrapText="1"/>
    </xf>
    <xf numFmtId="179" fontId="77" fillId="0" borderId="19" xfId="1" applyNumberFormat="1" applyFont="1" applyBorder="1" applyAlignment="1">
      <alignment horizontal="right" vertical="center" wrapText="1"/>
    </xf>
    <xf numFmtId="179" fontId="77" fillId="7" borderId="61" xfId="1" applyNumberFormat="1" applyFont="1" applyFill="1" applyBorder="1" applyAlignment="1">
      <alignment horizontal="right" vertical="center" wrapText="1"/>
    </xf>
    <xf numFmtId="178" fontId="81" fillId="0" borderId="0" xfId="1" applyNumberFormat="1" applyFont="1">
      <alignment vertical="center"/>
    </xf>
    <xf numFmtId="179" fontId="71" fillId="0" borderId="18" xfId="1" applyNumberFormat="1" applyFont="1" applyBorder="1">
      <alignment vertical="center"/>
    </xf>
    <xf numFmtId="179" fontId="71" fillId="0" borderId="59" xfId="1" applyNumberFormat="1" applyFont="1" applyBorder="1">
      <alignment vertical="center"/>
    </xf>
    <xf numFmtId="179" fontId="71" fillId="0" borderId="19" xfId="1" applyNumberFormat="1" applyFont="1" applyBorder="1">
      <alignment vertical="center"/>
    </xf>
    <xf numFmtId="179" fontId="71" fillId="0" borderId="61" xfId="1" applyNumberFormat="1" applyFont="1" applyBorder="1">
      <alignment vertical="center"/>
    </xf>
    <xf numFmtId="0" fontId="81" fillId="7" borderId="59" xfId="1" applyFont="1" applyFill="1" applyBorder="1" applyAlignment="1">
      <alignment horizontal="left" vertical="center" wrapText="1" indent="1"/>
    </xf>
    <xf numFmtId="178" fontId="71" fillId="15" borderId="0" xfId="1" applyNumberFormat="1" applyFont="1" applyFill="1">
      <alignment vertical="center"/>
    </xf>
    <xf numFmtId="0" fontId="68" fillId="0" borderId="59" xfId="1" applyFont="1" applyBorder="1" applyAlignment="1">
      <alignment horizontal="center" vertical="center"/>
    </xf>
    <xf numFmtId="178" fontId="76" fillId="10" borderId="28" xfId="1" applyNumberFormat="1" applyFont="1" applyFill="1" applyBorder="1" applyAlignment="1">
      <alignment vertical="center" wrapText="1"/>
    </xf>
    <xf numFmtId="0" fontId="77" fillId="6" borderId="59" xfId="1" applyFont="1" applyFill="1" applyBorder="1" applyAlignment="1">
      <alignment vertical="center" wrapText="1"/>
    </xf>
    <xf numFmtId="0" fontId="68" fillId="6" borderId="59" xfId="1" applyFont="1" applyFill="1" applyBorder="1" applyAlignment="1">
      <alignment horizontal="center" vertical="center" wrapText="1"/>
    </xf>
    <xf numFmtId="178" fontId="71" fillId="6" borderId="63" xfId="1" applyNumberFormat="1" applyFont="1" applyFill="1" applyBorder="1">
      <alignment vertical="center"/>
    </xf>
    <xf numFmtId="178" fontId="71" fillId="6" borderId="64" xfId="1" applyNumberFormat="1" applyFont="1" applyFill="1" applyBorder="1">
      <alignment vertical="center"/>
    </xf>
    <xf numFmtId="178" fontId="71" fillId="6" borderId="89" xfId="1" applyNumberFormat="1" applyFont="1" applyFill="1" applyBorder="1">
      <alignment vertical="center"/>
    </xf>
    <xf numFmtId="0" fontId="77" fillId="7" borderId="59" xfId="1" applyFont="1" applyFill="1" applyBorder="1" applyAlignment="1">
      <alignment horizontal="left" vertical="center" indent="1"/>
    </xf>
    <xf numFmtId="0" fontId="68" fillId="7" borderId="59" xfId="1" applyFont="1" applyFill="1" applyBorder="1" applyAlignment="1">
      <alignment horizontal="center" vertical="center"/>
    </xf>
    <xf numFmtId="0" fontId="77" fillId="7" borderId="59" xfId="1" applyFont="1" applyFill="1" applyBorder="1">
      <alignment vertical="center"/>
    </xf>
    <xf numFmtId="178" fontId="76" fillId="5" borderId="60" xfId="1" applyNumberFormat="1" applyFont="1" applyFill="1" applyBorder="1" applyAlignment="1">
      <alignment vertical="center" wrapText="1"/>
    </xf>
    <xf numFmtId="178" fontId="71" fillId="0" borderId="10" xfId="1" applyNumberFormat="1" applyFont="1" applyBorder="1">
      <alignment vertical="center"/>
    </xf>
    <xf numFmtId="178" fontId="71" fillId="33" borderId="5" xfId="1" applyNumberFormat="1" applyFont="1" applyFill="1" applyBorder="1">
      <alignment vertical="center"/>
    </xf>
    <xf numFmtId="178" fontId="71" fillId="0" borderId="5" xfId="1" applyNumberFormat="1" applyFont="1" applyBorder="1">
      <alignment vertical="center"/>
    </xf>
    <xf numFmtId="178" fontId="71" fillId="33" borderId="23" xfId="1" applyNumberFormat="1" applyFont="1" applyFill="1" applyBorder="1">
      <alignment vertical="center"/>
    </xf>
    <xf numFmtId="178" fontId="71" fillId="0" borderId="90" xfId="1" applyNumberFormat="1" applyFont="1" applyBorder="1">
      <alignment vertical="center"/>
    </xf>
    <xf numFmtId="178" fontId="39" fillId="0" borderId="91" xfId="1" applyNumberFormat="1" applyFont="1" applyBorder="1">
      <alignment vertical="center"/>
    </xf>
    <xf numFmtId="179" fontId="76" fillId="10" borderId="29" xfId="1" applyNumberFormat="1" applyFont="1" applyFill="1" applyBorder="1" applyAlignment="1">
      <alignment vertical="center" wrapText="1"/>
    </xf>
    <xf numFmtId="179" fontId="76" fillId="10" borderId="38" xfId="1" applyNumberFormat="1" applyFont="1" applyFill="1" applyBorder="1" applyAlignment="1">
      <alignment vertical="center" wrapText="1"/>
    </xf>
    <xf numFmtId="179" fontId="76" fillId="10" borderId="30" xfId="1" applyNumberFormat="1" applyFont="1" applyFill="1" applyBorder="1" applyAlignment="1">
      <alignment vertical="center" wrapText="1"/>
    </xf>
    <xf numFmtId="178" fontId="76" fillId="10" borderId="31" xfId="1" applyNumberFormat="1" applyFont="1" applyFill="1" applyBorder="1" applyAlignment="1">
      <alignment vertical="center" wrapText="1"/>
    </xf>
    <xf numFmtId="178" fontId="76" fillId="10" borderId="39" xfId="1" applyNumberFormat="1" applyFont="1" applyFill="1" applyBorder="1" applyAlignment="1">
      <alignment vertical="center" wrapText="1"/>
    </xf>
    <xf numFmtId="178" fontId="71" fillId="38" borderId="45" xfId="1" applyNumberFormat="1" applyFont="1" applyFill="1" applyBorder="1">
      <alignment vertical="center"/>
    </xf>
    <xf numFmtId="178" fontId="68" fillId="0" borderId="0" xfId="1" applyNumberFormat="1" applyFont="1" applyAlignment="1">
      <alignment horizontal="center" vertical="center"/>
    </xf>
    <xf numFmtId="178" fontId="72" fillId="11" borderId="0" xfId="1" applyNumberFormat="1" applyFont="1" applyFill="1">
      <alignment vertical="center"/>
    </xf>
    <xf numFmtId="10" fontId="71" fillId="38" borderId="0" xfId="1" applyNumberFormat="1" applyFont="1" applyFill="1">
      <alignment vertical="center"/>
    </xf>
    <xf numFmtId="0" fontId="70" fillId="3" borderId="59" xfId="1" applyFont="1" applyFill="1" applyBorder="1" applyAlignment="1">
      <alignment horizontal="center" vertical="center"/>
    </xf>
    <xf numFmtId="179" fontId="70" fillId="3" borderId="32" xfId="1" applyNumberFormat="1" applyFont="1" applyFill="1" applyBorder="1" applyAlignment="1">
      <alignment horizontal="center" vertical="center" wrapText="1"/>
    </xf>
    <xf numFmtId="179" fontId="70" fillId="3" borderId="40" xfId="1" applyNumberFormat="1" applyFont="1" applyFill="1" applyBorder="1" applyAlignment="1">
      <alignment horizontal="center" vertical="center" wrapText="1"/>
    </xf>
    <xf numFmtId="179" fontId="70" fillId="3" borderId="61" xfId="1" applyNumberFormat="1" applyFont="1" applyFill="1" applyBorder="1" applyAlignment="1">
      <alignment horizontal="center" vertical="center" wrapText="1"/>
    </xf>
    <xf numFmtId="178" fontId="70" fillId="3" borderId="61" xfId="1" applyNumberFormat="1" applyFont="1" applyFill="1" applyBorder="1" applyAlignment="1">
      <alignment horizontal="center" vertical="center" wrapText="1"/>
    </xf>
    <xf numFmtId="178" fontId="71" fillId="11" borderId="0" xfId="1" applyNumberFormat="1" applyFont="1" applyFill="1">
      <alignment vertical="center"/>
    </xf>
    <xf numFmtId="179" fontId="70" fillId="3" borderId="18" xfId="1" applyNumberFormat="1" applyFont="1" applyFill="1" applyBorder="1" applyAlignment="1">
      <alignment horizontal="center" vertical="center" wrapText="1"/>
    </xf>
    <xf numFmtId="179" fontId="70" fillId="3" borderId="59" xfId="1" applyNumberFormat="1" applyFont="1" applyFill="1" applyBorder="1" applyAlignment="1">
      <alignment horizontal="center" vertical="center" wrapText="1"/>
    </xf>
    <xf numFmtId="179" fontId="70" fillId="3" borderId="19" xfId="1" applyNumberFormat="1" applyFont="1" applyFill="1" applyBorder="1" applyAlignment="1">
      <alignment horizontal="center" vertical="center" wrapText="1"/>
    </xf>
    <xf numFmtId="0" fontId="68" fillId="3" borderId="59" xfId="1" applyFont="1" applyFill="1" applyBorder="1" applyAlignment="1">
      <alignment horizontal="center" vertical="center"/>
    </xf>
    <xf numFmtId="14" fontId="72" fillId="4" borderId="24" xfId="1" applyNumberFormat="1" applyFont="1" applyFill="1" applyBorder="1" applyAlignment="1">
      <alignment horizontal="center" vertical="center" wrapText="1"/>
    </xf>
    <xf numFmtId="14" fontId="72" fillId="4" borderId="37" xfId="1" applyNumberFormat="1" applyFont="1" applyFill="1" applyBorder="1" applyAlignment="1">
      <alignment horizontal="center" vertical="center" wrapText="1"/>
    </xf>
    <xf numFmtId="0" fontId="76" fillId="5" borderId="59" xfId="1" applyFont="1" applyFill="1" applyBorder="1" applyAlignment="1">
      <alignment vertical="center" wrapText="1"/>
    </xf>
    <xf numFmtId="0" fontId="68" fillId="5" borderId="59" xfId="1" applyFont="1" applyFill="1" applyBorder="1" applyAlignment="1">
      <alignment horizontal="center" vertical="center" wrapText="1"/>
    </xf>
    <xf numFmtId="178" fontId="71" fillId="9" borderId="0" xfId="1" applyNumberFormat="1" applyFont="1" applyFill="1">
      <alignment vertical="center"/>
    </xf>
    <xf numFmtId="178" fontId="68" fillId="8" borderId="83" xfId="1" applyNumberFormat="1" applyFont="1" applyFill="1" applyBorder="1">
      <alignment vertical="center"/>
    </xf>
    <xf numFmtId="178" fontId="68" fillId="8" borderId="45" xfId="1" applyNumberFormat="1" applyFont="1" applyFill="1" applyBorder="1">
      <alignment vertical="center"/>
    </xf>
    <xf numFmtId="179" fontId="77" fillId="8" borderId="59" xfId="1" applyNumberFormat="1" applyFont="1" applyFill="1" applyBorder="1" applyAlignment="1">
      <alignment horizontal="left" vertical="center" wrapText="1" indent="1"/>
    </xf>
    <xf numFmtId="179" fontId="68" fillId="8" borderId="59" xfId="1" applyNumberFormat="1" applyFont="1" applyFill="1" applyBorder="1" applyAlignment="1">
      <alignment horizontal="center" vertical="center" wrapText="1"/>
    </xf>
    <xf numFmtId="179" fontId="77" fillId="2" borderId="16" xfId="1" applyNumberFormat="1" applyFont="1" applyFill="1" applyBorder="1" applyAlignment="1">
      <alignment vertical="center" wrapText="1"/>
    </xf>
    <xf numFmtId="179" fontId="77" fillId="2" borderId="26" xfId="1" applyNumberFormat="1" applyFont="1" applyFill="1" applyBorder="1" applyAlignment="1">
      <alignment vertical="center" wrapText="1"/>
    </xf>
    <xf numFmtId="179" fontId="77" fillId="8" borderId="24" xfId="1" applyNumberFormat="1" applyFont="1" applyFill="1" applyBorder="1" applyAlignment="1">
      <alignment vertical="center" wrapText="1"/>
    </xf>
    <xf numFmtId="179" fontId="77" fillId="8" borderId="37" xfId="1" applyNumberFormat="1" applyFont="1" applyFill="1" applyBorder="1" applyAlignment="1">
      <alignment vertical="center" wrapText="1"/>
    </xf>
    <xf numFmtId="179" fontId="71" fillId="8" borderId="82" xfId="1" applyNumberFormat="1" applyFont="1" applyFill="1" applyBorder="1">
      <alignment vertical="center"/>
    </xf>
    <xf numFmtId="179" fontId="71" fillId="8" borderId="83" xfId="1" applyNumberFormat="1" applyFont="1" applyFill="1" applyBorder="1">
      <alignment vertical="center"/>
    </xf>
    <xf numFmtId="179" fontId="68" fillId="8" borderId="83" xfId="1" applyNumberFormat="1" applyFont="1" applyFill="1" applyBorder="1">
      <alignment vertical="center"/>
    </xf>
    <xf numFmtId="179" fontId="77" fillId="7" borderId="59" xfId="1" applyNumberFormat="1" applyFont="1" applyFill="1" applyBorder="1" applyAlignment="1">
      <alignment horizontal="left" vertical="center" wrapText="1" indent="1"/>
    </xf>
    <xf numFmtId="179" fontId="68" fillId="7" borderId="59" xfId="1" applyNumberFormat="1" applyFont="1" applyFill="1" applyBorder="1" applyAlignment="1">
      <alignment horizontal="center" vertical="center" wrapText="1"/>
    </xf>
    <xf numFmtId="179" fontId="77" fillId="7" borderId="24" xfId="1" applyNumberFormat="1" applyFont="1" applyFill="1" applyBorder="1" applyAlignment="1">
      <alignment vertical="center" wrapText="1"/>
    </xf>
    <xf numFmtId="179" fontId="77" fillId="0" borderId="37" xfId="1" applyNumberFormat="1" applyFont="1" applyBorder="1" applyAlignment="1">
      <alignment vertical="center" wrapText="1"/>
    </xf>
    <xf numFmtId="179" fontId="76" fillId="5" borderId="24" xfId="1" applyNumberFormat="1" applyFont="1" applyFill="1" applyBorder="1" applyAlignment="1">
      <alignment vertical="center" wrapText="1"/>
    </xf>
    <xf numFmtId="179" fontId="76" fillId="5" borderId="37" xfId="1" applyNumberFormat="1" applyFont="1" applyFill="1" applyBorder="1" applyAlignment="1">
      <alignment vertical="center" wrapText="1"/>
    </xf>
    <xf numFmtId="179" fontId="77" fillId="7" borderId="37" xfId="1" applyNumberFormat="1" applyFont="1" applyFill="1" applyBorder="1" applyAlignment="1">
      <alignment vertical="center" wrapText="1"/>
    </xf>
    <xf numFmtId="179" fontId="77" fillId="0" borderId="24" xfId="1" applyNumberFormat="1" applyFont="1" applyBorder="1" applyAlignment="1">
      <alignment vertical="center" wrapText="1"/>
    </xf>
    <xf numFmtId="179" fontId="77" fillId="12" borderId="24" xfId="1" applyNumberFormat="1" applyFont="1" applyFill="1" applyBorder="1" applyAlignment="1">
      <alignment vertical="center" wrapText="1"/>
    </xf>
    <xf numFmtId="179" fontId="77" fillId="12" borderId="37" xfId="1" applyNumberFormat="1" applyFont="1" applyFill="1" applyBorder="1" applyAlignment="1">
      <alignment vertical="center" wrapText="1"/>
    </xf>
    <xf numFmtId="179" fontId="77" fillId="6" borderId="24" xfId="1" applyNumberFormat="1" applyFont="1" applyFill="1" applyBorder="1" applyAlignment="1">
      <alignment vertical="center" wrapText="1"/>
    </xf>
    <xf numFmtId="179" fontId="77" fillId="6" borderId="37" xfId="1" applyNumberFormat="1" applyFont="1" applyFill="1" applyBorder="1" applyAlignment="1">
      <alignment vertical="center" wrapText="1"/>
    </xf>
    <xf numFmtId="178" fontId="68" fillId="8" borderId="82" xfId="1" applyNumberFormat="1" applyFont="1" applyFill="1" applyBorder="1">
      <alignment vertical="center"/>
    </xf>
    <xf numFmtId="178" fontId="68" fillId="0" borderId="0" xfId="1" applyNumberFormat="1" applyFont="1">
      <alignment vertical="center"/>
    </xf>
    <xf numFmtId="179" fontId="68" fillId="11" borderId="0" xfId="1" applyNumberFormat="1" applyFont="1" applyFill="1">
      <alignment vertical="center"/>
    </xf>
    <xf numFmtId="179" fontId="68" fillId="0" borderId="0" xfId="1" applyNumberFormat="1" applyFont="1">
      <alignment vertical="center"/>
    </xf>
    <xf numFmtId="38" fontId="77" fillId="7" borderId="59" xfId="1" applyNumberFormat="1" applyFont="1" applyFill="1" applyBorder="1" applyAlignment="1">
      <alignment horizontal="left" vertical="center" wrapText="1" indent="1"/>
    </xf>
    <xf numFmtId="38" fontId="68" fillId="7" borderId="59" xfId="1" applyNumberFormat="1" applyFont="1" applyFill="1" applyBorder="1" applyAlignment="1">
      <alignment horizontal="center" vertical="center" wrapText="1"/>
    </xf>
    <xf numFmtId="179" fontId="76" fillId="5" borderId="29" xfId="1" applyNumberFormat="1" applyFont="1" applyFill="1" applyBorder="1" applyAlignment="1">
      <alignment vertical="center" wrapText="1"/>
    </xf>
    <xf numFmtId="179" fontId="76" fillId="5" borderId="38" xfId="1" applyNumberFormat="1" applyFont="1" applyFill="1" applyBorder="1" applyAlignment="1">
      <alignment vertical="center" wrapText="1"/>
    </xf>
    <xf numFmtId="179" fontId="76" fillId="5" borderId="30" xfId="1" applyNumberFormat="1" applyFont="1" applyFill="1" applyBorder="1" applyAlignment="1">
      <alignment vertical="center" wrapText="1"/>
    </xf>
    <xf numFmtId="178" fontId="71" fillId="8" borderId="17" xfId="1" applyNumberFormat="1" applyFont="1" applyFill="1" applyBorder="1">
      <alignment vertical="center"/>
    </xf>
    <xf numFmtId="178" fontId="71" fillId="8" borderId="90" xfId="1" applyNumberFormat="1" applyFont="1" applyFill="1" applyBorder="1">
      <alignment vertical="center"/>
    </xf>
    <xf numFmtId="179" fontId="71" fillId="2" borderId="33" xfId="1" applyNumberFormat="1" applyFont="1" applyFill="1" applyBorder="1">
      <alignment vertical="center"/>
    </xf>
    <xf numFmtId="0" fontId="9" fillId="0" borderId="0" xfId="1" applyAlignment="1">
      <alignment vertical="center" wrapText="1"/>
    </xf>
    <xf numFmtId="179" fontId="42" fillId="0" borderId="0" xfId="0" applyNumberFormat="1" applyFont="1">
      <alignment vertical="center"/>
    </xf>
    <xf numFmtId="3" fontId="4" fillId="0" borderId="0" xfId="0" applyNumberFormat="1" applyFont="1">
      <alignment vertical="center"/>
    </xf>
    <xf numFmtId="3" fontId="1" fillId="14" borderId="0" xfId="0" applyNumberFormat="1" applyFont="1" applyFill="1">
      <alignment vertical="center"/>
    </xf>
    <xf numFmtId="181" fontId="1" fillId="0" borderId="0" xfId="0" applyNumberFormat="1" applyFont="1">
      <alignment vertical="center"/>
    </xf>
    <xf numFmtId="181" fontId="7" fillId="26" borderId="5" xfId="0" applyNumberFormat="1" applyFont="1" applyFill="1" applyBorder="1">
      <alignment vertical="center"/>
    </xf>
    <xf numFmtId="0" fontId="16" fillId="39" borderId="92" xfId="0" applyFont="1" applyFill="1" applyBorder="1" applyAlignment="1">
      <alignment horizontal="center" vertical="center"/>
    </xf>
    <xf numFmtId="49" fontId="18" fillId="40" borderId="93" xfId="0" applyNumberFormat="1" applyFont="1" applyFill="1" applyBorder="1" applyAlignment="1">
      <alignment horizontal="center" vertical="center"/>
    </xf>
    <xf numFmtId="49" fontId="18" fillId="40" borderId="93" xfId="0" applyNumberFormat="1" applyFont="1" applyFill="1" applyBorder="1" applyAlignment="1">
      <alignment horizontal="left" vertical="center"/>
    </xf>
    <xf numFmtId="49" fontId="18" fillId="41" borderId="94" xfId="0" applyNumberFormat="1" applyFont="1" applyFill="1" applyBorder="1" applyAlignment="1">
      <alignment horizontal="center" vertical="center"/>
    </xf>
    <xf numFmtId="49" fontId="18" fillId="41" borderId="94" xfId="0" applyNumberFormat="1" applyFont="1" applyFill="1" applyBorder="1" applyAlignment="1">
      <alignment horizontal="left" vertical="center"/>
    </xf>
    <xf numFmtId="3" fontId="18" fillId="41" borderId="94" xfId="0" applyNumberFormat="1" applyFont="1" applyFill="1" applyBorder="1" applyAlignment="1">
      <alignment horizontal="right" vertical="center"/>
    </xf>
    <xf numFmtId="0" fontId="18" fillId="41" borderId="94" xfId="0" applyFont="1" applyFill="1" applyBorder="1" applyAlignment="1">
      <alignment horizontal="center" vertical="center"/>
    </xf>
    <xf numFmtId="0" fontId="18" fillId="42" borderId="93" xfId="0" applyFont="1" applyFill="1" applyBorder="1" applyAlignment="1">
      <alignment horizontal="center" vertical="center"/>
    </xf>
    <xf numFmtId="0" fontId="18" fillId="42" borderId="93" xfId="0" applyFont="1" applyFill="1" applyBorder="1" applyAlignment="1">
      <alignment horizontal="left" vertical="center"/>
    </xf>
    <xf numFmtId="0" fontId="18" fillId="42" borderId="94" xfId="0" applyFont="1" applyFill="1" applyBorder="1" applyAlignment="1">
      <alignment horizontal="center" vertical="center"/>
    </xf>
    <xf numFmtId="0" fontId="18" fillId="42" borderId="94" xfId="0" applyFont="1" applyFill="1" applyBorder="1" applyAlignment="1">
      <alignment horizontal="left" vertical="center"/>
    </xf>
    <xf numFmtId="3" fontId="18" fillId="42" borderId="94" xfId="0" applyNumberFormat="1" applyFont="1" applyFill="1" applyBorder="1" applyAlignment="1">
      <alignment horizontal="right" vertical="center"/>
    </xf>
    <xf numFmtId="0" fontId="16" fillId="43" borderId="95" xfId="0" applyFont="1" applyFill="1" applyBorder="1" applyAlignment="1">
      <alignment horizontal="left" vertical="center"/>
    </xf>
    <xf numFmtId="0" fontId="16" fillId="43" borderId="95" xfId="0" applyFont="1" applyFill="1" applyBorder="1" applyAlignment="1">
      <alignment horizontal="right" vertical="center"/>
    </xf>
    <xf numFmtId="3" fontId="16" fillId="39" borderId="96" xfId="0" applyNumberFormat="1" applyFont="1" applyFill="1" applyBorder="1" applyAlignment="1">
      <alignment horizontal="center" vertical="center"/>
    </xf>
    <xf numFmtId="177" fontId="57" fillId="0" borderId="0" xfId="0" applyNumberFormat="1" applyFont="1">
      <alignment vertical="center"/>
    </xf>
    <xf numFmtId="181" fontId="7" fillId="26" borderId="0" xfId="0" applyNumberFormat="1" applyFont="1" applyFill="1">
      <alignment vertical="center"/>
    </xf>
    <xf numFmtId="0" fontId="68" fillId="14" borderId="60" xfId="1" applyFont="1" applyFill="1" applyBorder="1">
      <alignment vertical="center"/>
    </xf>
    <xf numFmtId="0" fontId="64" fillId="14" borderId="51" xfId="0" applyFont="1" applyFill="1" applyBorder="1" applyAlignment="1">
      <alignment horizontal="left" vertical="center"/>
    </xf>
    <xf numFmtId="0" fontId="64" fillId="14" borderId="51" xfId="0" applyFont="1" applyFill="1" applyBorder="1" applyAlignment="1">
      <alignment horizontal="center" vertical="center"/>
    </xf>
    <xf numFmtId="0" fontId="64" fillId="14" borderId="57" xfId="0" applyFont="1" applyFill="1" applyBorder="1" applyAlignment="1">
      <alignment horizontal="center" vertical="center"/>
    </xf>
    <xf numFmtId="0" fontId="64" fillId="14" borderId="58" xfId="0" applyFont="1" applyFill="1" applyBorder="1" applyAlignment="1">
      <alignment horizontal="left" vertical="center"/>
    </xf>
    <xf numFmtId="186" fontId="64" fillId="14" borderId="51" xfId="0" applyNumberFormat="1" applyFont="1" applyFill="1" applyBorder="1" applyAlignment="1">
      <alignment horizontal="right" vertical="center"/>
    </xf>
    <xf numFmtId="186" fontId="64" fillId="14" borderId="51" xfId="0" applyNumberFormat="1" applyFont="1" applyFill="1" applyBorder="1" applyAlignment="1">
      <alignment horizontal="center" vertical="center"/>
    </xf>
    <xf numFmtId="187" fontId="64" fillId="14" borderId="51" xfId="0" applyNumberFormat="1" applyFont="1" applyFill="1" applyBorder="1" applyAlignment="1">
      <alignment horizontal="right" vertical="center"/>
    </xf>
    <xf numFmtId="9" fontId="4" fillId="0" borderId="0" xfId="0" applyNumberFormat="1" applyFont="1">
      <alignment vertical="center"/>
    </xf>
    <xf numFmtId="189" fontId="1" fillId="0" borderId="0" xfId="0" applyNumberFormat="1" applyFont="1">
      <alignment vertical="center"/>
    </xf>
    <xf numFmtId="190" fontId="1" fillId="14" borderId="0" xfId="0" applyNumberFormat="1" applyFont="1" applyFill="1">
      <alignment vertical="center"/>
    </xf>
    <xf numFmtId="190" fontId="1" fillId="0" borderId="0" xfId="0" applyNumberFormat="1" applyFont="1">
      <alignment vertical="center"/>
    </xf>
    <xf numFmtId="190" fontId="0" fillId="0" borderId="0" xfId="0" applyNumberFormat="1">
      <alignment vertical="center"/>
    </xf>
    <xf numFmtId="177" fontId="5" fillId="0" borderId="0" xfId="0" applyNumberFormat="1" applyFont="1">
      <alignment vertical="center"/>
    </xf>
    <xf numFmtId="176" fontId="43" fillId="0" borderId="6" xfId="0" applyNumberFormat="1" applyFont="1" applyBorder="1">
      <alignment vertical="center"/>
    </xf>
    <xf numFmtId="181" fontId="5" fillId="26" borderId="4" xfId="0" applyNumberFormat="1" applyFont="1" applyFill="1" applyBorder="1">
      <alignment vertical="center"/>
    </xf>
    <xf numFmtId="0" fontId="82" fillId="25" borderId="97" xfId="0" applyFont="1" applyFill="1" applyBorder="1" applyAlignment="1">
      <alignment horizontal="center" vertical="center"/>
    </xf>
    <xf numFmtId="0" fontId="83" fillId="14" borderId="0" xfId="0" applyFont="1" applyFill="1" applyAlignment="1">
      <alignment horizontal="left" vertical="center"/>
    </xf>
    <xf numFmtId="186" fontId="83" fillId="14" borderId="0" xfId="0" applyNumberFormat="1" applyFont="1" applyFill="1" applyAlignment="1">
      <alignment horizontal="right" vertical="center"/>
    </xf>
    <xf numFmtId="0" fontId="83" fillId="0" borderId="0" xfId="0" applyFont="1" applyAlignment="1">
      <alignment horizontal="left" vertical="center"/>
    </xf>
    <xf numFmtId="186" fontId="83" fillId="0" borderId="0" xfId="0" applyNumberFormat="1" applyFont="1" applyAlignment="1">
      <alignment horizontal="right" vertical="center"/>
    </xf>
    <xf numFmtId="176" fontId="7" fillId="14" borderId="0" xfId="0" applyNumberFormat="1" applyFont="1" applyFill="1">
      <alignment vertical="center"/>
    </xf>
    <xf numFmtId="191" fontId="7" fillId="0" borderId="0" xfId="0" applyNumberFormat="1" applyFont="1">
      <alignment vertical="center"/>
    </xf>
    <xf numFmtId="176" fontId="53" fillId="0" borderId="6" xfId="0" applyNumberFormat="1" applyFont="1" applyBorder="1">
      <alignment vertical="center"/>
    </xf>
    <xf numFmtId="176" fontId="49" fillId="0" borderId="4" xfId="0" applyNumberFormat="1" applyFont="1" applyBorder="1">
      <alignment vertical="center"/>
    </xf>
    <xf numFmtId="176" fontId="49" fillId="0" borderId="0" xfId="0" applyNumberFormat="1" applyFont="1">
      <alignment vertical="center"/>
    </xf>
    <xf numFmtId="183" fontId="49" fillId="0" borderId="0" xfId="0" applyNumberFormat="1" applyFont="1">
      <alignment vertical="center"/>
    </xf>
    <xf numFmtId="176" fontId="49" fillId="0" borderId="5" xfId="0" applyNumberFormat="1" applyFont="1" applyBorder="1">
      <alignment vertical="center"/>
    </xf>
    <xf numFmtId="3" fontId="7" fillId="0" borderId="5" xfId="0" applyNumberFormat="1" applyFont="1" applyBorder="1">
      <alignment vertical="center"/>
    </xf>
    <xf numFmtId="9" fontId="7" fillId="26" borderId="64" xfId="0" applyNumberFormat="1" applyFont="1" applyFill="1" applyBorder="1">
      <alignment vertical="center"/>
    </xf>
    <xf numFmtId="9" fontId="7" fillId="26" borderId="5" xfId="0" applyNumberFormat="1" applyFont="1" applyFill="1" applyBorder="1">
      <alignment vertical="center"/>
    </xf>
    <xf numFmtId="9" fontId="7" fillId="0" borderId="5" xfId="0" applyNumberFormat="1" applyFont="1" applyBorder="1">
      <alignment vertical="center"/>
    </xf>
    <xf numFmtId="0" fontId="5" fillId="0" borderId="3" xfId="0" applyFont="1" applyBorder="1">
      <alignment vertical="center"/>
    </xf>
    <xf numFmtId="0" fontId="43" fillId="0" borderId="3" xfId="0" applyFont="1" applyBorder="1">
      <alignment vertical="center"/>
    </xf>
    <xf numFmtId="9" fontId="5" fillId="26" borderId="3" xfId="0" applyNumberFormat="1" applyFont="1" applyFill="1" applyBorder="1">
      <alignment vertical="center"/>
    </xf>
    <xf numFmtId="9" fontId="71" fillId="0" borderId="0" xfId="1" applyNumberFormat="1" applyFont="1">
      <alignment vertical="center"/>
    </xf>
    <xf numFmtId="9" fontId="7" fillId="0" borderId="20" xfId="0" applyNumberFormat="1" applyFont="1" applyBorder="1" applyAlignment="1">
      <alignment horizontal="center" vertical="center"/>
    </xf>
    <xf numFmtId="9" fontId="5" fillId="14" borderId="0" xfId="0" applyNumberFormat="1" applyFont="1" applyFill="1">
      <alignment vertical="center"/>
    </xf>
    <xf numFmtId="3" fontId="57" fillId="0" borderId="0" xfId="0" applyNumberFormat="1" applyFont="1">
      <alignment vertical="center"/>
    </xf>
    <xf numFmtId="0" fontId="24" fillId="0" borderId="0" xfId="0" applyFont="1">
      <alignment vertical="center"/>
    </xf>
    <xf numFmtId="3" fontId="25" fillId="0" borderId="0" xfId="0" applyNumberFormat="1" applyFont="1">
      <alignment vertical="center"/>
    </xf>
    <xf numFmtId="0" fontId="1" fillId="31" borderId="0" xfId="0" applyFont="1" applyFill="1">
      <alignment vertical="center"/>
    </xf>
    <xf numFmtId="3" fontId="1" fillId="31" borderId="0" xfId="0" applyNumberFormat="1" applyFont="1" applyFill="1">
      <alignment vertical="center"/>
    </xf>
    <xf numFmtId="181" fontId="5" fillId="31" borderId="0" xfId="0" applyNumberFormat="1" applyFont="1" applyFill="1">
      <alignment vertical="center"/>
    </xf>
    <xf numFmtId="0" fontId="3" fillId="37" borderId="0" xfId="0" applyFont="1" applyFill="1">
      <alignment vertical="center"/>
    </xf>
    <xf numFmtId="0" fontId="3" fillId="34" borderId="0" xfId="0" applyFont="1" applyFill="1">
      <alignment vertical="center"/>
    </xf>
    <xf numFmtId="0" fontId="62" fillId="34" borderId="0" xfId="0" applyFont="1" applyFill="1">
      <alignment vertical="center"/>
    </xf>
    <xf numFmtId="9" fontId="62" fillId="34" borderId="0" xfId="0" applyNumberFormat="1" applyFont="1" applyFill="1">
      <alignment vertical="center"/>
    </xf>
    <xf numFmtId="0" fontId="1" fillId="8" borderId="1" xfId="0" applyFont="1" applyFill="1" applyBorder="1">
      <alignment vertical="center"/>
    </xf>
    <xf numFmtId="0" fontId="4" fillId="8" borderId="1" xfId="0" applyFont="1" applyFill="1" applyBorder="1" applyAlignment="1">
      <alignment horizontal="right" vertical="center"/>
    </xf>
    <xf numFmtId="0" fontId="4" fillId="8" borderId="52" xfId="0" applyFont="1" applyFill="1" applyBorder="1" applyAlignment="1">
      <alignment horizontal="right" vertical="center"/>
    </xf>
    <xf numFmtId="0" fontId="4" fillId="8" borderId="6" xfId="0" applyFont="1" applyFill="1" applyBorder="1">
      <alignment vertical="center"/>
    </xf>
    <xf numFmtId="0" fontId="1" fillId="8" borderId="6" xfId="0" applyFont="1" applyFill="1" applyBorder="1">
      <alignment vertical="center"/>
    </xf>
    <xf numFmtId="0" fontId="4" fillId="8" borderId="5" xfId="0" applyFont="1" applyFill="1" applyBorder="1">
      <alignment vertical="center"/>
    </xf>
    <xf numFmtId="0" fontId="1" fillId="8" borderId="5" xfId="0" applyFont="1" applyFill="1" applyBorder="1">
      <alignment vertical="center"/>
    </xf>
    <xf numFmtId="0" fontId="4" fillId="8" borderId="1" xfId="0" applyFont="1" applyFill="1" applyBorder="1" applyAlignment="1">
      <alignment horizontal="center" vertical="center"/>
    </xf>
    <xf numFmtId="0" fontId="7" fillId="34" borderId="0" xfId="0" applyFont="1" applyFill="1">
      <alignment vertical="center"/>
    </xf>
    <xf numFmtId="0" fontId="7" fillId="8" borderId="1" xfId="0" applyFont="1" applyFill="1" applyBorder="1">
      <alignment vertical="center"/>
    </xf>
    <xf numFmtId="0" fontId="4" fillId="8" borderId="1" xfId="0" applyFont="1" applyFill="1" applyBorder="1">
      <alignment vertical="center"/>
    </xf>
    <xf numFmtId="0" fontId="84" fillId="44" borderId="0" xfId="0" applyFont="1" applyFill="1" applyAlignment="1">
      <alignment horizontal="center" vertical="center"/>
    </xf>
    <xf numFmtId="0" fontId="8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192" fontId="85" fillId="0" borderId="0" xfId="0" applyNumberFormat="1" applyFont="1" applyAlignment="1">
      <alignment horizontal="center" vertical="center"/>
    </xf>
    <xf numFmtId="192" fontId="84" fillId="0" borderId="0" xfId="0" applyNumberFormat="1" applyFont="1" applyAlignment="1">
      <alignment horizontal="center" vertical="center"/>
    </xf>
    <xf numFmtId="0" fontId="86" fillId="0" borderId="0" xfId="0" applyFont="1" applyAlignment="1">
      <alignment horizontal="center" vertical="center"/>
    </xf>
    <xf numFmtId="0" fontId="87" fillId="44" borderId="0" xfId="0" applyFont="1" applyFill="1" applyAlignment="1">
      <alignment horizontal="center"/>
    </xf>
    <xf numFmtId="193" fontId="87" fillId="0" borderId="0" xfId="0" applyNumberFormat="1" applyFont="1" applyAlignment="1">
      <alignment horizontal="center"/>
    </xf>
    <xf numFmtId="192" fontId="87" fillId="0" borderId="0" xfId="0" applyNumberFormat="1" applyFont="1" applyAlignment="1">
      <alignment horizontal="center"/>
    </xf>
    <xf numFmtId="0" fontId="87" fillId="0" borderId="0" xfId="0" applyFont="1" applyAlignment="1">
      <alignment horizontal="center" vertical="center"/>
    </xf>
    <xf numFmtId="0" fontId="87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192" fontId="88" fillId="0" borderId="0" xfId="0" applyNumberFormat="1" applyFont="1" applyAlignment="1">
      <alignment horizontal="center"/>
    </xf>
    <xf numFmtId="193" fontId="87" fillId="44" borderId="0" xfId="0" applyNumberFormat="1" applyFont="1" applyFill="1" applyAlignment="1">
      <alignment horizontal="center"/>
    </xf>
    <xf numFmtId="193" fontId="87" fillId="14" borderId="0" xfId="0" applyNumberFormat="1" applyFont="1" applyFill="1" applyAlignment="1">
      <alignment horizontal="center"/>
    </xf>
    <xf numFmtId="193" fontId="87" fillId="45" borderId="0" xfId="0" applyNumberFormat="1" applyFont="1" applyFill="1" applyAlignment="1">
      <alignment horizontal="center"/>
    </xf>
    <xf numFmtId="0" fontId="87" fillId="45" borderId="0" xfId="0" applyFont="1" applyFill="1" applyAlignment="1">
      <alignment horizontal="center"/>
    </xf>
    <xf numFmtId="194" fontId="88" fillId="0" borderId="0" xfId="0" applyNumberFormat="1" applyFont="1" applyAlignment="1">
      <alignment horizontal="center"/>
    </xf>
    <xf numFmtId="192" fontId="89" fillId="0" borderId="0" xfId="0" applyNumberFormat="1" applyFont="1" applyAlignment="1">
      <alignment horizontal="center"/>
    </xf>
    <xf numFmtId="0" fontId="89" fillId="0" borderId="0" xfId="0" applyFont="1" applyAlignment="1">
      <alignment horizontal="center"/>
    </xf>
    <xf numFmtId="0" fontId="90" fillId="0" borderId="0" xfId="0" applyFont="1" applyAlignment="1">
      <alignment horizontal="center"/>
    </xf>
    <xf numFmtId="194" fontId="87" fillId="0" borderId="0" xfId="0" applyNumberFormat="1" applyFont="1" applyAlignment="1">
      <alignment horizontal="center"/>
    </xf>
    <xf numFmtId="194" fontId="89" fillId="0" borderId="0" xfId="0" applyNumberFormat="1" applyFont="1" applyAlignment="1">
      <alignment horizontal="center"/>
    </xf>
    <xf numFmtId="195" fontId="87" fillId="0" borderId="0" xfId="0" applyNumberFormat="1" applyFont="1" applyAlignment="1">
      <alignment horizontal="center"/>
    </xf>
    <xf numFmtId="0" fontId="88" fillId="14" borderId="0" xfId="0" applyFont="1" applyFill="1" applyAlignment="1">
      <alignment horizontal="center" vertical="center"/>
    </xf>
    <xf numFmtId="176" fontId="4" fillId="14" borderId="3" xfId="0" applyNumberFormat="1" applyFont="1" applyFill="1" applyBorder="1">
      <alignment vertical="center"/>
    </xf>
    <xf numFmtId="0" fontId="7" fillId="31" borderId="0" xfId="0" applyFont="1" applyFill="1">
      <alignment vertical="center"/>
    </xf>
    <xf numFmtId="3" fontId="7" fillId="31" borderId="0" xfId="0" applyNumberFormat="1" applyFont="1" applyFill="1">
      <alignment vertical="center"/>
    </xf>
    <xf numFmtId="0" fontId="0" fillId="0" borderId="0" xfId="2" applyNumberFormat="1" applyFont="1" applyAlignment="1">
      <alignment horizontal="center" vertical="center"/>
    </xf>
    <xf numFmtId="0" fontId="92" fillId="47" borderId="0" xfId="0" applyFont="1" applyFill="1" applyAlignment="1">
      <alignment horizontal="center" vertical="center"/>
    </xf>
    <xf numFmtId="41" fontId="26" fillId="0" borderId="0" xfId="2" applyAlignment="1">
      <alignment horizontal="center" vertical="center"/>
    </xf>
    <xf numFmtId="6" fontId="93" fillId="0" borderId="0" xfId="0" applyNumberFormat="1" applyFont="1" applyAlignment="1">
      <alignment horizontal="center" vertical="center"/>
    </xf>
    <xf numFmtId="41" fontId="92" fillId="47" borderId="0" xfId="2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196" fontId="0" fillId="0" borderId="20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3" fontId="93" fillId="0" borderId="98" xfId="0" applyNumberFormat="1" applyFont="1" applyBorder="1" applyAlignment="1">
      <alignment horizontal="center" vertical="center" wrapText="1"/>
    </xf>
    <xf numFmtId="197" fontId="0" fillId="0" borderId="20" xfId="0" applyNumberFormat="1" applyBorder="1" applyAlignment="1">
      <alignment horizontal="center" vertical="center"/>
    </xf>
    <xf numFmtId="3" fontId="93" fillId="0" borderId="99" xfId="0" applyNumberFormat="1" applyFont="1" applyBorder="1" applyAlignment="1">
      <alignment horizontal="center" vertical="center" wrapText="1"/>
    </xf>
    <xf numFmtId="197" fontId="0" fillId="0" borderId="69" xfId="0" applyNumberFormat="1" applyBorder="1" applyAlignment="1">
      <alignment horizontal="center" vertical="center"/>
    </xf>
    <xf numFmtId="41" fontId="54" fillId="0" borderId="20" xfId="3" applyBorder="1" applyAlignment="1">
      <alignment horizontal="center" vertical="center"/>
    </xf>
    <xf numFmtId="0" fontId="0" fillId="0" borderId="20" xfId="5" applyFont="1" applyFill="1" applyBorder="1" applyAlignment="1">
      <alignment horizontal="center" vertical="center"/>
    </xf>
    <xf numFmtId="41" fontId="0" fillId="0" borderId="20" xfId="0" applyNumberFormat="1" applyBorder="1" applyAlignment="1">
      <alignment horizontal="center" vertical="center"/>
    </xf>
    <xf numFmtId="3" fontId="93" fillId="0" borderId="100" xfId="0" applyNumberFormat="1" applyFont="1" applyBorder="1" applyAlignment="1">
      <alignment horizontal="center" vertical="center" wrapText="1"/>
    </xf>
    <xf numFmtId="9" fontId="7" fillId="14" borderId="0" xfId="0" applyNumberFormat="1" applyFont="1" applyFill="1">
      <alignment vertical="center"/>
    </xf>
    <xf numFmtId="181" fontId="5" fillId="14" borderId="0" xfId="0" applyNumberFormat="1" applyFont="1" applyFill="1">
      <alignment vertical="center"/>
    </xf>
    <xf numFmtId="0" fontId="4" fillId="0" borderId="64" xfId="0" applyFont="1" applyBorder="1">
      <alignment vertical="center"/>
    </xf>
    <xf numFmtId="176" fontId="4" fillId="0" borderId="64" xfId="0" applyNumberFormat="1" applyFont="1" applyBorder="1">
      <alignment vertical="center"/>
    </xf>
    <xf numFmtId="0" fontId="1" fillId="0" borderId="64" xfId="0" applyFont="1" applyBorder="1">
      <alignment vertical="center"/>
    </xf>
    <xf numFmtId="176" fontId="1" fillId="0" borderId="64" xfId="0" applyNumberFormat="1" applyFont="1" applyBorder="1">
      <alignment vertical="center"/>
    </xf>
    <xf numFmtId="176" fontId="7" fillId="0" borderId="0" xfId="0" applyNumberFormat="1" applyFont="1" applyAlignment="1">
      <alignment horizontal="right" vertical="center"/>
    </xf>
    <xf numFmtId="0" fontId="94" fillId="48" borderId="101" xfId="0" applyFont="1" applyFill="1" applyBorder="1" applyAlignment="1">
      <alignment horizontal="left" vertical="center" wrapText="1" readingOrder="1"/>
    </xf>
    <xf numFmtId="0" fontId="94" fillId="48" borderId="101" xfId="0" applyFont="1" applyFill="1" applyBorder="1" applyAlignment="1">
      <alignment horizontal="right" vertical="center" wrapText="1" readingOrder="1"/>
    </xf>
    <xf numFmtId="0" fontId="95" fillId="0" borderId="102" xfId="0" applyFont="1" applyBorder="1" applyAlignment="1">
      <alignment horizontal="left" vertical="center" wrapText="1" readingOrder="1"/>
    </xf>
    <xf numFmtId="0" fontId="96" fillId="0" borderId="0" xfId="0" applyFont="1" applyAlignment="1">
      <alignment horizontal="left" vertical="center" wrapText="1" indent="1" readingOrder="1"/>
    </xf>
    <xf numFmtId="0" fontId="95" fillId="0" borderId="0" xfId="0" applyFont="1" applyAlignment="1">
      <alignment horizontal="left" vertical="center" wrapText="1" readingOrder="1"/>
    </xf>
    <xf numFmtId="0" fontId="96" fillId="0" borderId="103" xfId="0" applyFont="1" applyBorder="1" applyAlignment="1">
      <alignment horizontal="left" vertical="center" wrapText="1" indent="1" readingOrder="1"/>
    </xf>
    <xf numFmtId="0" fontId="95" fillId="0" borderId="104" xfId="0" applyFont="1" applyBorder="1" applyAlignment="1">
      <alignment horizontal="left" vertical="center" wrapText="1" readingOrder="1"/>
    </xf>
    <xf numFmtId="0" fontId="95" fillId="0" borderId="101" xfId="0" applyFont="1" applyBorder="1" applyAlignment="1">
      <alignment horizontal="left" vertical="center" wrapText="1" readingOrder="1"/>
    </xf>
    <xf numFmtId="198" fontId="95" fillId="0" borderId="102" xfId="0" applyNumberFormat="1" applyFont="1" applyBorder="1" applyAlignment="1">
      <alignment horizontal="right" vertical="center" wrapText="1" readingOrder="1"/>
    </xf>
    <xf numFmtId="198" fontId="96" fillId="0" borderId="0" xfId="0" applyNumberFormat="1" applyFont="1" applyAlignment="1">
      <alignment horizontal="right" vertical="center" wrapText="1" readingOrder="1"/>
    </xf>
    <xf numFmtId="198" fontId="95" fillId="0" borderId="0" xfId="0" applyNumberFormat="1" applyFont="1" applyAlignment="1">
      <alignment horizontal="right" vertical="center" wrapText="1" readingOrder="1"/>
    </xf>
    <xf numFmtId="198" fontId="96" fillId="0" borderId="103" xfId="0" applyNumberFormat="1" applyFont="1" applyBorder="1" applyAlignment="1">
      <alignment horizontal="right" vertical="center" wrapText="1" readingOrder="1"/>
    </xf>
    <xf numFmtId="198" fontId="95" fillId="0" borderId="104" xfId="0" applyNumberFormat="1" applyFont="1" applyBorder="1" applyAlignment="1">
      <alignment horizontal="right" vertical="center" wrapText="1" readingOrder="1"/>
    </xf>
    <xf numFmtId="198" fontId="95" fillId="0" borderId="101" xfId="0" applyNumberFormat="1" applyFont="1" applyBorder="1" applyAlignment="1">
      <alignment horizontal="right" vertical="center" wrapText="1" readingOrder="1"/>
    </xf>
    <xf numFmtId="198" fontId="96" fillId="0" borderId="105" xfId="0" applyNumberFormat="1" applyFont="1" applyBorder="1" applyAlignment="1">
      <alignment horizontal="right" vertical="center" wrapText="1" readingOrder="1"/>
    </xf>
    <xf numFmtId="0" fontId="94" fillId="48" borderId="106" xfId="0" applyFont="1" applyFill="1" applyBorder="1" applyAlignment="1">
      <alignment horizontal="right" vertical="center" wrapText="1" readingOrder="1"/>
    </xf>
    <xf numFmtId="198" fontId="95" fillId="0" borderId="107" xfId="0" applyNumberFormat="1" applyFont="1" applyBorder="1" applyAlignment="1">
      <alignment horizontal="right" vertical="center" wrapText="1" readingOrder="1"/>
    </xf>
    <xf numFmtId="198" fontId="96" fillId="0" borderId="108" xfId="0" applyNumberFormat="1" applyFont="1" applyBorder="1" applyAlignment="1">
      <alignment horizontal="right" vertical="center" wrapText="1" readingOrder="1"/>
    </xf>
    <xf numFmtId="198" fontId="95" fillId="0" borderId="108" xfId="0" applyNumberFormat="1" applyFont="1" applyBorder="1" applyAlignment="1">
      <alignment horizontal="right" vertical="center" wrapText="1" readingOrder="1"/>
    </xf>
    <xf numFmtId="198" fontId="95" fillId="0" borderId="109" xfId="0" applyNumberFormat="1" applyFont="1" applyBorder="1" applyAlignment="1">
      <alignment horizontal="right" vertical="center" wrapText="1" readingOrder="1"/>
    </xf>
    <xf numFmtId="198" fontId="95" fillId="0" borderId="106" xfId="0" applyNumberFormat="1" applyFont="1" applyBorder="1" applyAlignment="1">
      <alignment horizontal="right" vertical="center" wrapText="1" readingOrder="1"/>
    </xf>
    <xf numFmtId="0" fontId="94" fillId="48" borderId="110" xfId="0" applyFont="1" applyFill="1" applyBorder="1" applyAlignment="1">
      <alignment horizontal="right" vertical="center" wrapText="1" readingOrder="1"/>
    </xf>
    <xf numFmtId="0" fontId="95" fillId="0" borderId="114" xfId="0" applyFont="1" applyBorder="1" applyAlignment="1">
      <alignment horizontal="left" vertical="center" wrapText="1" readingOrder="1"/>
    </xf>
    <xf numFmtId="0" fontId="96" fillId="0" borderId="117" xfId="0" applyFont="1" applyBorder="1" applyAlignment="1">
      <alignment horizontal="left" vertical="center" wrapText="1" readingOrder="1"/>
    </xf>
    <xf numFmtId="198" fontId="95" fillId="0" borderId="111" xfId="0" applyNumberFormat="1" applyFont="1" applyBorder="1" applyAlignment="1">
      <alignment horizontal="right" vertical="center" wrapText="1" readingOrder="1"/>
    </xf>
    <xf numFmtId="198" fontId="96" fillId="0" borderId="112" xfId="0" applyNumberFormat="1" applyFont="1" applyBorder="1" applyAlignment="1">
      <alignment horizontal="right" vertical="center" wrapText="1" readingOrder="1"/>
    </xf>
    <xf numFmtId="198" fontId="96" fillId="0" borderId="113" xfId="0" applyNumberFormat="1" applyFont="1" applyBorder="1" applyAlignment="1">
      <alignment horizontal="right" vertical="center" wrapText="1" readingOrder="1"/>
    </xf>
    <xf numFmtId="198" fontId="95" fillId="0" borderId="114" xfId="0" applyNumberFormat="1" applyFont="1" applyBorder="1" applyAlignment="1">
      <alignment horizontal="right" vertical="center" wrapText="1" readingOrder="1"/>
    </xf>
    <xf numFmtId="198" fontId="95" fillId="0" borderId="115" xfId="0" applyNumberFormat="1" applyFont="1" applyBorder="1" applyAlignment="1">
      <alignment horizontal="right" vertical="center" wrapText="1" readingOrder="1"/>
    </xf>
    <xf numFmtId="198" fontId="95" fillId="0" borderId="116" xfId="0" applyNumberFormat="1" applyFont="1" applyBorder="1" applyAlignment="1">
      <alignment horizontal="right" vertical="center" wrapText="1" readingOrder="1"/>
    </xf>
    <xf numFmtId="198" fontId="96" fillId="0" borderId="117" xfId="0" applyNumberFormat="1" applyFont="1" applyBorder="1" applyAlignment="1">
      <alignment horizontal="right" vertical="center" wrapText="1" readingOrder="1"/>
    </xf>
    <xf numFmtId="198" fontId="96" fillId="0" borderId="118" xfId="0" applyNumberFormat="1" applyFont="1" applyBorder="1" applyAlignment="1">
      <alignment horizontal="right" vertical="center" wrapText="1" readingOrder="1"/>
    </xf>
    <xf numFmtId="198" fontId="96" fillId="0" borderId="119" xfId="0" applyNumberFormat="1" applyFont="1" applyBorder="1" applyAlignment="1">
      <alignment horizontal="right" vertical="center" wrapText="1" readingOrder="1"/>
    </xf>
    <xf numFmtId="0" fontId="97" fillId="0" borderId="103" xfId="0" applyFont="1" applyBorder="1" applyAlignment="1">
      <alignment horizontal="left" vertical="center" wrapText="1" readingOrder="1"/>
    </xf>
    <xf numFmtId="9" fontId="97" fillId="0" borderId="103" xfId="0" applyNumberFormat="1" applyFont="1" applyBorder="1" applyAlignment="1">
      <alignment horizontal="right" vertical="center" wrapText="1" readingOrder="1"/>
    </xf>
    <xf numFmtId="9" fontId="97" fillId="0" borderId="113" xfId="0" applyNumberFormat="1" applyFont="1" applyBorder="1" applyAlignment="1">
      <alignment horizontal="right" vertical="center" wrapText="1" readingOrder="1"/>
    </xf>
    <xf numFmtId="9" fontId="97" fillId="0" borderId="105" xfId="0" applyNumberFormat="1" applyFont="1" applyBorder="1" applyAlignment="1">
      <alignment horizontal="right" vertical="center" wrapText="1" readingOrder="1"/>
    </xf>
    <xf numFmtId="0" fontId="97" fillId="0" borderId="120" xfId="0" applyFont="1" applyBorder="1" applyAlignment="1">
      <alignment horizontal="left" vertical="center" wrapText="1" readingOrder="1"/>
    </xf>
    <xf numFmtId="9" fontId="97" fillId="0" borderId="120" xfId="0" applyNumberFormat="1" applyFont="1" applyBorder="1" applyAlignment="1">
      <alignment horizontal="right" vertical="center" wrapText="1" readingOrder="1"/>
    </xf>
    <xf numFmtId="9" fontId="97" fillId="0" borderId="121" xfId="0" applyNumberFormat="1" applyFont="1" applyBorder="1" applyAlignment="1">
      <alignment horizontal="right" vertical="center" wrapText="1" readingOrder="1"/>
    </xf>
    <xf numFmtId="9" fontId="97" fillId="0" borderId="122" xfId="0" applyNumberFormat="1" applyFont="1" applyBorder="1" applyAlignment="1">
      <alignment horizontal="right" vertical="center" wrapText="1" readingOrder="1"/>
    </xf>
    <xf numFmtId="179" fontId="38" fillId="36" borderId="0" xfId="1" applyNumberFormat="1" applyFont="1" applyFill="1">
      <alignment vertical="center"/>
    </xf>
    <xf numFmtId="0" fontId="1" fillId="0" borderId="0" xfId="0" applyFont="1" applyAlignment="1">
      <alignment horizontal="right" vertical="center"/>
    </xf>
    <xf numFmtId="198" fontId="1" fillId="0" borderId="0" xfId="0" applyNumberFormat="1" applyFont="1">
      <alignment vertical="center"/>
    </xf>
    <xf numFmtId="0" fontId="1" fillId="0" borderId="70" xfId="0" applyFont="1" applyBorder="1">
      <alignment vertical="center"/>
    </xf>
    <xf numFmtId="0" fontId="1" fillId="0" borderId="123" xfId="0" applyFont="1" applyBorder="1">
      <alignment vertical="center"/>
    </xf>
    <xf numFmtId="0" fontId="1" fillId="0" borderId="45" xfId="0" applyFont="1" applyBorder="1">
      <alignment vertical="center"/>
    </xf>
    <xf numFmtId="9" fontId="1" fillId="0" borderId="82" xfId="0" applyNumberFormat="1" applyFont="1" applyBorder="1">
      <alignment vertical="center"/>
    </xf>
    <xf numFmtId="0" fontId="1" fillId="0" borderId="10" xfId="0" applyFont="1" applyBorder="1">
      <alignment vertical="center"/>
    </xf>
    <xf numFmtId="176" fontId="7" fillId="0" borderId="5" xfId="0" applyNumberFormat="1" applyFont="1" applyBorder="1" applyAlignment="1">
      <alignment horizontal="right" vertical="center"/>
    </xf>
    <xf numFmtId="9" fontId="1" fillId="0" borderId="23" xfId="0" applyNumberFormat="1" applyFont="1" applyBorder="1">
      <alignment vertical="center"/>
    </xf>
    <xf numFmtId="176" fontId="7" fillId="0" borderId="82" xfId="0" applyNumberFormat="1" applyFont="1" applyBorder="1" applyAlignment="1">
      <alignment horizontal="right" vertical="center"/>
    </xf>
    <xf numFmtId="176" fontId="7" fillId="0" borderId="23" xfId="0" applyNumberFormat="1" applyFont="1" applyBorder="1" applyAlignment="1">
      <alignment horizontal="right" vertical="center"/>
    </xf>
    <xf numFmtId="9" fontId="1" fillId="0" borderId="0" xfId="4" applyFont="1">
      <alignment vertical="center"/>
    </xf>
    <xf numFmtId="176" fontId="7" fillId="0" borderId="64" xfId="0" applyNumberFormat="1" applyFont="1" applyBorder="1" applyAlignment="1">
      <alignment horizontal="right" vertical="center"/>
    </xf>
    <xf numFmtId="176" fontId="7" fillId="0" borderId="123" xfId="0" applyNumberFormat="1" applyFont="1" applyBorder="1" applyAlignment="1">
      <alignment horizontal="right" vertical="center"/>
    </xf>
    <xf numFmtId="181" fontId="60" fillId="0" borderId="0" xfId="4" applyNumberFormat="1" applyFont="1">
      <alignment vertical="center"/>
    </xf>
    <xf numFmtId="176" fontId="1" fillId="14" borderId="0" xfId="0" applyNumberFormat="1" applyFont="1" applyFill="1">
      <alignment vertical="center"/>
    </xf>
    <xf numFmtId="183" fontId="1" fillId="0" borderId="0" xfId="0" applyNumberFormat="1" applyFont="1">
      <alignment vertical="center"/>
    </xf>
    <xf numFmtId="176" fontId="57" fillId="0" borderId="0" xfId="0" applyNumberFormat="1" applyFont="1">
      <alignment vertical="center"/>
    </xf>
    <xf numFmtId="0" fontId="92" fillId="47" borderId="0" xfId="0" applyFont="1" applyFill="1" applyAlignment="1">
      <alignment horizontal="center" vertical="center"/>
    </xf>
    <xf numFmtId="0" fontId="88" fillId="14" borderId="0" xfId="0" applyFont="1" applyFill="1" applyAlignment="1">
      <alignment horizontal="center" vertical="center"/>
    </xf>
    <xf numFmtId="0" fontId="0" fillId="14" borderId="0" xfId="0" applyFill="1" applyAlignment="1"/>
    <xf numFmtId="0" fontId="88" fillId="0" borderId="0" xfId="0" applyFont="1" applyAlignment="1">
      <alignment horizontal="center" vertical="center"/>
    </xf>
    <xf numFmtId="0" fontId="0" fillId="0" borderId="0" xfId="0" applyAlignment="1"/>
    <xf numFmtId="179" fontId="73" fillId="3" borderId="63" xfId="1" applyNumberFormat="1" applyFont="1" applyFill="1" applyBorder="1" applyAlignment="1">
      <alignment horizontal="center" vertical="center"/>
    </xf>
    <xf numFmtId="179" fontId="73" fillId="3" borderId="64" xfId="1" applyNumberFormat="1" applyFont="1" applyFill="1" applyBorder="1" applyAlignment="1">
      <alignment horizontal="center" vertical="center"/>
    </xf>
    <xf numFmtId="179" fontId="73" fillId="3" borderId="65" xfId="1" applyNumberFormat="1" applyFont="1" applyFill="1" applyBorder="1" applyAlignment="1">
      <alignment horizontal="center" vertical="center"/>
    </xf>
    <xf numFmtId="179" fontId="73" fillId="37" borderId="66" xfId="1" applyNumberFormat="1" applyFont="1" applyFill="1" applyBorder="1" applyAlignment="1">
      <alignment horizontal="center" vertical="center"/>
    </xf>
    <xf numFmtId="179" fontId="73" fillId="37" borderId="67" xfId="1" applyNumberFormat="1" applyFont="1" applyFill="1" applyBorder="1" applyAlignment="1">
      <alignment horizontal="center" vertical="center"/>
    </xf>
    <xf numFmtId="179" fontId="73" fillId="37" borderId="68" xfId="1" applyNumberFormat="1" applyFont="1" applyFill="1" applyBorder="1" applyAlignment="1">
      <alignment horizontal="center" vertical="center"/>
    </xf>
    <xf numFmtId="179" fontId="73" fillId="37" borderId="69" xfId="1" applyNumberFormat="1" applyFont="1" applyFill="1" applyBorder="1" applyAlignment="1">
      <alignment horizontal="center" vertical="center"/>
    </xf>
    <xf numFmtId="179" fontId="73" fillId="37" borderId="70" xfId="1" applyNumberFormat="1" applyFont="1" applyFill="1" applyBorder="1" applyAlignment="1">
      <alignment horizontal="center" vertical="center"/>
    </xf>
    <xf numFmtId="0" fontId="16" fillId="43" borderId="95" xfId="0" applyFont="1" applyFill="1" applyBorder="1" applyAlignment="1">
      <alignment horizontal="center" vertical="center"/>
    </xf>
    <xf numFmtId="0" fontId="16" fillId="43" borderId="95" xfId="0" applyFont="1" applyFill="1" applyBorder="1" applyAlignment="1">
      <alignment horizontal="left" vertical="center"/>
    </xf>
    <xf numFmtId="0" fontId="63" fillId="25" borderId="51" xfId="0" applyFont="1" applyFill="1" applyBorder="1" applyAlignment="1">
      <alignment horizontal="center" vertical="center"/>
    </xf>
    <xf numFmtId="0" fontId="65" fillId="25" borderId="51" xfId="0" applyFont="1" applyFill="1" applyBorder="1" applyAlignment="1">
      <alignment horizontal="center" vertical="center"/>
    </xf>
  </cellXfs>
  <cellStyles count="6">
    <cellStyle name="나쁨" xfId="5" builtinId="27"/>
    <cellStyle name="백분율" xfId="4" builtinId="5"/>
    <cellStyle name="쉼표 [0]" xfId="2" builtinId="6"/>
    <cellStyle name="쉼표 [0] 2" xfId="3" xr:uid="{4D2C255D-8FE4-4C92-92C1-B56814209CA6}"/>
    <cellStyle name="표준" xfId="0" builtinId="0"/>
    <cellStyle name="표준 2" xfId="1" xr:uid="{0F6CC03A-D46E-4116-92FE-DCF9C170B059}"/>
  </cellStyles>
  <dxfs count="4">
    <dxf>
      <font>
        <b/>
        <color rgb="FF980000"/>
      </font>
      <fill>
        <patternFill patternType="solid">
          <fgColor rgb="FFF4CCCC"/>
          <bgColor rgb="FFF4CCCC"/>
        </patternFill>
      </fill>
    </dxf>
    <dxf>
      <font>
        <color rgb="FFB7B7B7"/>
      </font>
      <fill>
        <patternFill patternType="solid">
          <fgColor rgb="FFFFFFFF"/>
          <bgColor rgb="FFFFFFFF"/>
        </patternFill>
      </fill>
    </dxf>
    <dxf>
      <font>
        <b/>
        <color theme="1"/>
      </font>
      <fill>
        <patternFill patternType="solid">
          <fgColor rgb="FFFFE599"/>
          <bgColor rgb="FFFFE599"/>
        </patternFill>
      </fill>
    </dxf>
    <dxf>
      <font>
        <color rgb="FF434343"/>
      </font>
      <fill>
        <patternFill patternType="solid">
          <fgColor rgb="FFEFEFEF"/>
          <bgColor rgb="FFEFEFEF"/>
        </patternFill>
      </fill>
    </dxf>
  </dxfs>
  <tableStyles count="0" defaultTableStyle="TableStyleMedium2" defaultPivotStyle="PivotStyleLight16"/>
  <colors>
    <mruColors>
      <color rgb="FF539D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466725</xdr:colOff>
      <xdr:row>67</xdr:row>
      <xdr:rowOff>43522</xdr:rowOff>
    </xdr:from>
    <xdr:to>
      <xdr:col>7</xdr:col>
      <xdr:colOff>496538</xdr:colOff>
      <xdr:row>82</xdr:row>
      <xdr:rowOff>766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0C0E6D6-1B2C-133F-6331-CAF9887BBB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76875" y="2767672"/>
          <a:ext cx="5011388" cy="310049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32</xdr:row>
      <xdr:rowOff>142876</xdr:rowOff>
    </xdr:from>
    <xdr:to>
      <xdr:col>13</xdr:col>
      <xdr:colOff>400162</xdr:colOff>
      <xdr:row>54</xdr:row>
      <xdr:rowOff>10136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B08AA65-E7C1-A600-2F85-9248B9262C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858001"/>
          <a:ext cx="13763737" cy="447736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7504</xdr:rowOff>
    </xdr:from>
    <xdr:to>
      <xdr:col>0</xdr:col>
      <xdr:colOff>1850910</xdr:colOff>
      <xdr:row>2</xdr:row>
      <xdr:rowOff>51131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7A1463-D94A-44E1-A270-40D9B45AF4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7504"/>
          <a:ext cx="1850910" cy="4627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B097D-5DDC-44FA-B194-1A02921AC4D7}">
  <sheetPr>
    <tabColor rgb="FFFFC000"/>
  </sheetPr>
  <dimension ref="B2:O119"/>
  <sheetViews>
    <sheetView tabSelected="1" topLeftCell="A43" workbookViewId="0">
      <selection activeCell="C57" sqref="C57:K76"/>
    </sheetView>
  </sheetViews>
  <sheetFormatPr defaultColWidth="9.140625" defaultRowHeight="15" x14ac:dyDescent="0.55000000000000004"/>
  <cols>
    <col min="1" max="1" width="2.640625" style="1" customWidth="1"/>
    <col min="2" max="2" width="1.640625" style="1" customWidth="1"/>
    <col min="3" max="3" width="20.640625" style="1" customWidth="1"/>
    <col min="4" max="16384" width="9.140625" style="1"/>
  </cols>
  <sheetData>
    <row r="2" spans="2:15" x14ac:dyDescent="0.55000000000000004">
      <c r="B2" s="4" t="s">
        <v>2774</v>
      </c>
    </row>
    <row r="4" spans="2:15" x14ac:dyDescent="0.55000000000000004">
      <c r="C4" s="950" t="s">
        <v>1445</v>
      </c>
      <c r="D4" s="960" t="s">
        <v>2723</v>
      </c>
      <c r="E4" s="961" t="s">
        <v>2773</v>
      </c>
      <c r="H4" s="1" t="s">
        <v>117</v>
      </c>
      <c r="I4" s="905" t="s">
        <v>2723</v>
      </c>
    </row>
    <row r="5" spans="2:15" x14ac:dyDescent="0.55000000000000004">
      <c r="C5" s="952" t="s">
        <v>1726</v>
      </c>
      <c r="D5" s="905">
        <f>E81</f>
        <v>33392.893259999997</v>
      </c>
      <c r="E5" s="957">
        <f t="shared" ref="E5:E11" si="0">D5/100</f>
        <v>333.9289326</v>
      </c>
      <c r="H5" s="1" t="s">
        <v>2724</v>
      </c>
      <c r="I5" s="905">
        <f>TITAN!M103</f>
        <v>42.703800000000001</v>
      </c>
    </row>
    <row r="6" spans="2:15" x14ac:dyDescent="0.55000000000000004">
      <c r="C6" s="952" t="s">
        <v>1727</v>
      </c>
      <c r="D6" s="905">
        <f>-E85</f>
        <v>-24315.748490161244</v>
      </c>
      <c r="E6" s="957">
        <f t="shared" si="0"/>
        <v>-243.15748490161243</v>
      </c>
      <c r="H6" s="1" t="s">
        <v>2725</v>
      </c>
      <c r="I6" s="905">
        <f>CLASS!M103</f>
        <v>115.62390099999999</v>
      </c>
    </row>
    <row r="7" spans="2:15" x14ac:dyDescent="0.55000000000000004">
      <c r="C7" s="952" t="s">
        <v>78</v>
      </c>
      <c r="D7" s="905">
        <f>E93</f>
        <v>57.174701999999996</v>
      </c>
      <c r="E7" s="957">
        <f t="shared" si="0"/>
        <v>0.57174701999999999</v>
      </c>
      <c r="H7" s="1" t="s">
        <v>2726</v>
      </c>
      <c r="I7" s="905">
        <f>NOVA!M79</f>
        <v>28.309429000000002</v>
      </c>
    </row>
    <row r="8" spans="2:15" x14ac:dyDescent="0.55000000000000004">
      <c r="C8" s="952" t="s">
        <v>79</v>
      </c>
      <c r="D8" s="905">
        <f>E94</f>
        <v>9134.3194718387531</v>
      </c>
      <c r="E8" s="957">
        <f t="shared" si="0"/>
        <v>91.343194718387537</v>
      </c>
      <c r="F8" s="962">
        <f>E8/E5</f>
        <v>0.27354082201617391</v>
      </c>
      <c r="H8" s="1" t="s">
        <v>70</v>
      </c>
      <c r="I8" s="905">
        <f>TTA!M87</f>
        <v>10.438546000000001</v>
      </c>
    </row>
    <row r="9" spans="2:15" x14ac:dyDescent="0.55000000000000004">
      <c r="C9" s="952" t="s">
        <v>117</v>
      </c>
      <c r="D9" s="905">
        <f>-SUM(I5:I8)</f>
        <v>-197.07567599999999</v>
      </c>
      <c r="E9" s="957">
        <f t="shared" si="0"/>
        <v>-1.9707567599999998</v>
      </c>
    </row>
    <row r="10" spans="2:15" x14ac:dyDescent="0.55000000000000004">
      <c r="C10" s="952" t="s">
        <v>2721</v>
      </c>
      <c r="D10" s="905">
        <f>-'Pro forma BS'!M58</f>
        <v>-2408.5126408387496</v>
      </c>
      <c r="E10" s="957">
        <f t="shared" si="0"/>
        <v>-24.085126408387495</v>
      </c>
    </row>
    <row r="11" spans="2:15" x14ac:dyDescent="0.55000000000000004">
      <c r="C11" s="954" t="s">
        <v>2722</v>
      </c>
      <c r="D11" s="955">
        <f>D8+D9+D10</f>
        <v>6528.7311550000031</v>
      </c>
      <c r="E11" s="958">
        <f t="shared" si="0"/>
        <v>65.287311550000027</v>
      </c>
      <c r="F11" s="962">
        <f>E11/E8</f>
        <v>0.71474740675845427</v>
      </c>
    </row>
    <row r="13" spans="2:15" x14ac:dyDescent="0.55000000000000004">
      <c r="B13" s="4" t="s">
        <v>2759</v>
      </c>
    </row>
    <row r="14" spans="2:15" x14ac:dyDescent="0.55000000000000004">
      <c r="J14" s="3" t="s">
        <v>2764</v>
      </c>
    </row>
    <row r="15" spans="2:15" x14ac:dyDescent="0.55000000000000004">
      <c r="C15" s="950" t="s">
        <v>2761</v>
      </c>
      <c r="D15" s="903" t="s">
        <v>2750</v>
      </c>
      <c r="E15" s="903" t="s">
        <v>2752</v>
      </c>
      <c r="F15" s="903" t="s">
        <v>2751</v>
      </c>
      <c r="G15" s="903" t="s">
        <v>2762</v>
      </c>
      <c r="H15" s="951" t="s">
        <v>2763</v>
      </c>
      <c r="J15" s="950" t="s">
        <v>2760</v>
      </c>
      <c r="K15" s="903" t="s">
        <v>2743</v>
      </c>
      <c r="L15" s="903" t="s">
        <v>2744</v>
      </c>
      <c r="M15" s="903" t="s">
        <v>1833</v>
      </c>
      <c r="N15" s="903" t="s">
        <v>1544</v>
      </c>
      <c r="O15" s="951" t="s">
        <v>2749</v>
      </c>
    </row>
    <row r="16" spans="2:15" x14ac:dyDescent="0.55000000000000004">
      <c r="C16" s="952" t="s">
        <v>2</v>
      </c>
      <c r="D16" s="905">
        <f>D82/100</f>
        <v>111.92304433</v>
      </c>
      <c r="E16" s="905"/>
      <c r="F16" s="905">
        <f>D84</f>
        <v>31.054544</v>
      </c>
      <c r="G16" s="905">
        <f>D81/100</f>
        <v>112.23358976999999</v>
      </c>
      <c r="H16" s="953">
        <f>D95</f>
        <v>0.19212932887729747</v>
      </c>
      <c r="J16" s="952" t="s">
        <v>646</v>
      </c>
      <c r="K16" s="905">
        <v>111.92304433</v>
      </c>
      <c r="L16" s="905"/>
      <c r="M16" s="905">
        <v>31.054544</v>
      </c>
      <c r="N16" s="905">
        <v>112.23358976999999</v>
      </c>
      <c r="O16" s="953">
        <v>0.19212932887729747</v>
      </c>
    </row>
    <row r="17" spans="2:15" x14ac:dyDescent="0.55000000000000004">
      <c r="C17" s="952" t="s">
        <v>5</v>
      </c>
      <c r="D17" s="905" cm="1">
        <f t="array" ref="D17:E22">TRANSPOSE(F82:K83)/100</f>
        <v>747.53703380908803</v>
      </c>
      <c r="E17" s="905">
        <v>25.707433011021557</v>
      </c>
      <c r="F17" s="905"/>
      <c r="G17" s="905" cm="1">
        <f t="array" ref="G17:G22">TRANSPOSE(F81:K81)/100</f>
        <v>773.24446682010955</v>
      </c>
      <c r="H17" s="953" cm="1">
        <f t="array" ref="H17:H22">TRANSPOSE(F95:K95)</f>
        <v>0.29740086514332237</v>
      </c>
      <c r="J17" s="952" t="s">
        <v>2738</v>
      </c>
      <c r="K17" s="905">
        <v>747.53703380908803</v>
      </c>
      <c r="L17" s="905">
        <v>25.707433011021557</v>
      </c>
      <c r="M17" s="905"/>
      <c r="N17" s="905">
        <v>773.24446682010955</v>
      </c>
      <c r="O17" s="953">
        <v>0.29740086514332237</v>
      </c>
    </row>
    <row r="18" spans="2:15" x14ac:dyDescent="0.55000000000000004">
      <c r="C18" s="952" t="s">
        <v>6</v>
      </c>
      <c r="D18" s="905">
        <v>860.73300804946689</v>
      </c>
      <c r="E18" s="905">
        <v>71.962765716801172</v>
      </c>
      <c r="F18" s="905"/>
      <c r="G18" s="905">
        <v>932.69577376626808</v>
      </c>
      <c r="H18" s="953">
        <v>0.37983295507939463</v>
      </c>
      <c r="J18" s="952" t="s">
        <v>2741</v>
      </c>
      <c r="K18" s="905">
        <v>860.73300804946689</v>
      </c>
      <c r="L18" s="905">
        <v>71.962765716801172</v>
      </c>
      <c r="M18" s="905"/>
      <c r="N18" s="905">
        <v>932.69577376626808</v>
      </c>
      <c r="O18" s="953">
        <v>0.37983295507939463</v>
      </c>
    </row>
    <row r="19" spans="2:15" x14ac:dyDescent="0.55000000000000004">
      <c r="C19" s="952" t="s">
        <v>7</v>
      </c>
      <c r="D19" s="905">
        <v>941.09020751089599</v>
      </c>
      <c r="E19" s="905">
        <v>94.26139058758892</v>
      </c>
      <c r="F19" s="905"/>
      <c r="G19" s="905">
        <v>1035.3515980984851</v>
      </c>
      <c r="H19" s="953">
        <v>0.42053463004303521</v>
      </c>
      <c r="J19" s="952" t="s">
        <v>1476</v>
      </c>
      <c r="K19" s="905">
        <v>941.09020751089599</v>
      </c>
      <c r="L19" s="905">
        <v>94.26139058758892</v>
      </c>
      <c r="M19" s="905"/>
      <c r="N19" s="905">
        <v>1035.3515980984851</v>
      </c>
      <c r="O19" s="953">
        <v>0.42053463004303521</v>
      </c>
    </row>
    <row r="20" spans="2:15" x14ac:dyDescent="0.55000000000000004">
      <c r="C20" s="952" t="s">
        <v>8</v>
      </c>
      <c r="D20" s="905">
        <v>1027.0792512968108</v>
      </c>
      <c r="E20" s="905">
        <v>119.24422935018569</v>
      </c>
      <c r="F20" s="905"/>
      <c r="G20" s="905">
        <v>1146.3234806469964</v>
      </c>
      <c r="H20" s="953">
        <v>0.42991681046721819</v>
      </c>
      <c r="J20" s="952" t="s">
        <v>1477</v>
      </c>
      <c r="K20" s="905">
        <v>1027.0792512968108</v>
      </c>
      <c r="L20" s="905">
        <v>119.24422935018569</v>
      </c>
      <c r="M20" s="905"/>
      <c r="N20" s="905">
        <v>1146.3234806469964</v>
      </c>
      <c r="O20" s="953">
        <v>0.42991681046721819</v>
      </c>
    </row>
    <row r="21" spans="2:15" x14ac:dyDescent="0.55000000000000004">
      <c r="C21" s="952" t="s">
        <v>9</v>
      </c>
      <c r="D21" s="905">
        <v>1114.0782033387713</v>
      </c>
      <c r="E21" s="905">
        <v>146.53888890550294</v>
      </c>
      <c r="F21" s="905"/>
      <c r="G21" s="905">
        <v>1260.6170922442743</v>
      </c>
      <c r="H21" s="953">
        <v>0.43864079154639662</v>
      </c>
      <c r="J21" s="952" t="s">
        <v>1478</v>
      </c>
      <c r="K21" s="905">
        <v>1114.0782033387713</v>
      </c>
      <c r="L21" s="905">
        <v>146.53888890550294</v>
      </c>
      <c r="M21" s="905"/>
      <c r="N21" s="905">
        <v>1260.6170922442743</v>
      </c>
      <c r="O21" s="953">
        <v>0.43864079154639662</v>
      </c>
    </row>
    <row r="22" spans="2:15" x14ac:dyDescent="0.55000000000000004">
      <c r="C22" s="954" t="s">
        <v>1480</v>
      </c>
      <c r="D22" s="955">
        <v>1204.6788925584526</v>
      </c>
      <c r="E22" s="955">
        <v>176.54417030998815</v>
      </c>
      <c r="F22" s="955"/>
      <c r="G22" s="955">
        <v>1381.2230628684408</v>
      </c>
      <c r="H22" s="956">
        <v>0.44670162310095346</v>
      </c>
      <c r="J22" s="954" t="s">
        <v>1479</v>
      </c>
      <c r="K22" s="955">
        <v>1204.6788925584526</v>
      </c>
      <c r="L22" s="955">
        <v>176.54417030998815</v>
      </c>
      <c r="M22" s="955"/>
      <c r="N22" s="955">
        <v>1381.2230628684408</v>
      </c>
      <c r="O22" s="956">
        <v>0.44670162310095346</v>
      </c>
    </row>
    <row r="24" spans="2:15" x14ac:dyDescent="0.55000000000000004">
      <c r="B24" s="4" t="s">
        <v>2765</v>
      </c>
    </row>
    <row r="25" spans="2:15" x14ac:dyDescent="0.55000000000000004">
      <c r="H25" s="3" t="s">
        <v>2764</v>
      </c>
    </row>
    <row r="26" spans="2:15" x14ac:dyDescent="0.55000000000000004">
      <c r="C26" s="950" t="s">
        <v>2761</v>
      </c>
      <c r="D26" s="903" t="s">
        <v>2766</v>
      </c>
      <c r="E26" s="903" t="s">
        <v>2767</v>
      </c>
      <c r="F26" s="951" t="s">
        <v>2762</v>
      </c>
      <c r="H26" s="950" t="s">
        <v>2761</v>
      </c>
      <c r="I26" s="903" t="s">
        <v>2766</v>
      </c>
      <c r="J26" s="903" t="s">
        <v>2767</v>
      </c>
      <c r="K26" s="951" t="s">
        <v>2762</v>
      </c>
    </row>
    <row r="27" spans="2:15" x14ac:dyDescent="0.55000000000000004">
      <c r="C27" s="952" t="s">
        <v>2</v>
      </c>
      <c r="D27" s="905">
        <f>SUM(D36:F36)</f>
        <v>65</v>
      </c>
      <c r="E27" s="905"/>
      <c r="F27" s="957">
        <f>D27+E27</f>
        <v>65</v>
      </c>
      <c r="H27" s="952" t="s">
        <v>2</v>
      </c>
      <c r="I27" s="905">
        <v>65</v>
      </c>
      <c r="J27" s="905"/>
      <c r="K27" s="957">
        <v>65</v>
      </c>
    </row>
    <row r="28" spans="2:15" x14ac:dyDescent="0.55000000000000004">
      <c r="C28" s="952" t="s">
        <v>5</v>
      </c>
      <c r="D28" s="905">
        <f t="shared" ref="D28:D33" si="1">SUM(D37:F37)</f>
        <v>235.1</v>
      </c>
      <c r="E28" s="905" cm="1">
        <f t="array" ref="E28:E33">TRANSPOSE('Key Assumption'!O32:T32)</f>
        <v>11</v>
      </c>
      <c r="F28" s="957">
        <f t="shared" ref="F28:F33" si="2">D28+E28</f>
        <v>246.1</v>
      </c>
      <c r="H28" s="952" t="s">
        <v>5</v>
      </c>
      <c r="I28" s="905">
        <v>235.1</v>
      </c>
      <c r="J28" s="905">
        <v>11</v>
      </c>
      <c r="K28" s="957">
        <v>246.1</v>
      </c>
    </row>
    <row r="29" spans="2:15" x14ac:dyDescent="0.55000000000000004">
      <c r="C29" s="952" t="s">
        <v>6</v>
      </c>
      <c r="D29" s="905">
        <f t="shared" si="1"/>
        <v>256.08</v>
      </c>
      <c r="E29" s="905">
        <v>11</v>
      </c>
      <c r="F29" s="957">
        <f t="shared" si="2"/>
        <v>267.08</v>
      </c>
      <c r="H29" s="952" t="s">
        <v>6</v>
      </c>
      <c r="I29" s="905">
        <v>256.08</v>
      </c>
      <c r="J29" s="905">
        <v>11</v>
      </c>
      <c r="K29" s="957">
        <v>267.08</v>
      </c>
    </row>
    <row r="30" spans="2:15" x14ac:dyDescent="0.55000000000000004">
      <c r="C30" s="952" t="s">
        <v>7</v>
      </c>
      <c r="D30" s="905">
        <f t="shared" si="1"/>
        <v>277.06</v>
      </c>
      <c r="E30" s="905">
        <v>11</v>
      </c>
      <c r="F30" s="957">
        <f t="shared" si="2"/>
        <v>288.06</v>
      </c>
      <c r="H30" s="952" t="s">
        <v>7</v>
      </c>
      <c r="I30" s="905">
        <v>277.06</v>
      </c>
      <c r="J30" s="905">
        <v>11</v>
      </c>
      <c r="K30" s="957">
        <v>288.06</v>
      </c>
    </row>
    <row r="31" spans="2:15" x14ac:dyDescent="0.55000000000000004">
      <c r="C31" s="952" t="s">
        <v>8</v>
      </c>
      <c r="D31" s="905">
        <f t="shared" si="1"/>
        <v>298.03999999999996</v>
      </c>
      <c r="E31" s="905">
        <v>11</v>
      </c>
      <c r="F31" s="957">
        <f t="shared" si="2"/>
        <v>309.03999999999996</v>
      </c>
      <c r="H31" s="952" t="s">
        <v>8</v>
      </c>
      <c r="I31" s="905">
        <v>298.03999999999996</v>
      </c>
      <c r="J31" s="905">
        <v>11</v>
      </c>
      <c r="K31" s="957">
        <v>309.03999999999996</v>
      </c>
    </row>
    <row r="32" spans="2:15" x14ac:dyDescent="0.55000000000000004">
      <c r="C32" s="952" t="s">
        <v>9</v>
      </c>
      <c r="D32" s="905">
        <f t="shared" si="1"/>
        <v>319.02</v>
      </c>
      <c r="E32" s="905">
        <v>11</v>
      </c>
      <c r="F32" s="957">
        <f t="shared" si="2"/>
        <v>330.02</v>
      </c>
      <c r="H32" s="952" t="s">
        <v>9</v>
      </c>
      <c r="I32" s="905">
        <v>319.02</v>
      </c>
      <c r="J32" s="905">
        <v>11</v>
      </c>
      <c r="K32" s="957">
        <v>330.02</v>
      </c>
    </row>
    <row r="33" spans="3:11" x14ac:dyDescent="0.55000000000000004">
      <c r="C33" s="954" t="s">
        <v>1480</v>
      </c>
      <c r="D33" s="955">
        <f t="shared" si="1"/>
        <v>340</v>
      </c>
      <c r="E33" s="955">
        <v>11</v>
      </c>
      <c r="F33" s="958">
        <f t="shared" si="2"/>
        <v>351</v>
      </c>
      <c r="H33" s="954" t="s">
        <v>1480</v>
      </c>
      <c r="I33" s="955">
        <v>340</v>
      </c>
      <c r="J33" s="955">
        <v>11</v>
      </c>
      <c r="K33" s="958">
        <v>351</v>
      </c>
    </row>
    <row r="35" spans="3:11" x14ac:dyDescent="0.55000000000000004">
      <c r="D35" s="1" t="s">
        <v>2768</v>
      </c>
      <c r="E35" s="1" t="s">
        <v>2769</v>
      </c>
      <c r="F35" s="1" t="s">
        <v>2770</v>
      </c>
    </row>
    <row r="36" spans="3:11" x14ac:dyDescent="0.55000000000000004">
      <c r="C36" s="1" t="s">
        <v>646</v>
      </c>
      <c r="D36" s="905">
        <f>'Key Assumption'!L23</f>
        <v>65</v>
      </c>
      <c r="E36" s="905"/>
      <c r="F36" s="905"/>
    </row>
    <row r="37" spans="3:11" x14ac:dyDescent="0.55000000000000004">
      <c r="C37" s="1" t="s">
        <v>2738</v>
      </c>
      <c r="D37" s="905" cm="1">
        <f t="array" ref="D37:D42">TRANSPOSE('Key Assumption'!O23:T23)</f>
        <v>92.199999999999989</v>
      </c>
      <c r="E37" s="905" cm="1">
        <f t="array" ref="E37:E42">TRANSPOSE('Key Assumption'!O28:T28)</f>
        <v>93.4</v>
      </c>
      <c r="F37" s="905" cm="1">
        <f t="array" ref="F37:F42">TRANSPOSE('Key Assumption'!O37:T37)</f>
        <v>49.5</v>
      </c>
    </row>
    <row r="38" spans="3:11" x14ac:dyDescent="0.55000000000000004">
      <c r="C38" s="1" t="s">
        <v>2741</v>
      </c>
      <c r="D38" s="905">
        <v>97.759999999999991</v>
      </c>
      <c r="E38" s="905">
        <v>98.72</v>
      </c>
      <c r="F38" s="905">
        <v>59.6</v>
      </c>
    </row>
    <row r="39" spans="3:11" x14ac:dyDescent="0.55000000000000004">
      <c r="C39" s="1" t="s">
        <v>1476</v>
      </c>
      <c r="D39" s="905">
        <v>103.32</v>
      </c>
      <c r="E39" s="905">
        <v>104.03999999999999</v>
      </c>
      <c r="F39" s="905">
        <v>69.7</v>
      </c>
    </row>
    <row r="40" spans="3:11" x14ac:dyDescent="0.55000000000000004">
      <c r="C40" s="1" t="s">
        <v>1477</v>
      </c>
      <c r="D40" s="905">
        <v>108.88</v>
      </c>
      <c r="E40" s="905">
        <v>109.35999999999999</v>
      </c>
      <c r="F40" s="905">
        <v>79.8</v>
      </c>
    </row>
    <row r="41" spans="3:11" x14ac:dyDescent="0.55000000000000004">
      <c r="C41" s="1" t="s">
        <v>1478</v>
      </c>
      <c r="D41" s="905">
        <v>114.44</v>
      </c>
      <c r="E41" s="905">
        <v>114.67999999999998</v>
      </c>
      <c r="F41" s="905">
        <v>89.899999999999991</v>
      </c>
    </row>
    <row r="42" spans="3:11" x14ac:dyDescent="0.55000000000000004">
      <c r="C42" s="1" t="s">
        <v>1479</v>
      </c>
      <c r="D42" s="905">
        <v>120</v>
      </c>
      <c r="E42" s="905">
        <v>120</v>
      </c>
      <c r="F42" s="905">
        <v>100</v>
      </c>
    </row>
    <row r="44" spans="3:11" x14ac:dyDescent="0.55000000000000004">
      <c r="H44" s="3" t="s">
        <v>2764</v>
      </c>
    </row>
    <row r="45" spans="3:11" x14ac:dyDescent="0.55000000000000004">
      <c r="C45" s="950" t="s">
        <v>2761</v>
      </c>
      <c r="D45" s="903" t="s">
        <v>2771</v>
      </c>
      <c r="E45" s="903" t="s">
        <v>2772</v>
      </c>
      <c r="F45" s="951" t="s">
        <v>2762</v>
      </c>
      <c r="H45" s="950" t="s">
        <v>2761</v>
      </c>
      <c r="I45" s="903" t="s">
        <v>2766</v>
      </c>
      <c r="J45" s="903" t="s">
        <v>2767</v>
      </c>
      <c r="K45" s="951" t="s">
        <v>2762</v>
      </c>
    </row>
    <row r="46" spans="3:11" x14ac:dyDescent="0.55000000000000004">
      <c r="C46" s="952" t="s">
        <v>2</v>
      </c>
      <c r="D46" s="905"/>
      <c r="E46" s="905"/>
      <c r="F46" s="957"/>
      <c r="H46" s="952" t="s">
        <v>2</v>
      </c>
      <c r="I46" s="905"/>
      <c r="J46" s="905"/>
      <c r="K46" s="957"/>
    </row>
    <row r="47" spans="3:11" x14ac:dyDescent="0.55000000000000004">
      <c r="C47" s="952" t="s">
        <v>5</v>
      </c>
      <c r="D47" s="905" cm="1">
        <f t="array" ref="D47:D52">TRANSPOSE('Key Assumption'!O44:T44)</f>
        <v>5.25</v>
      </c>
      <c r="E47" s="905"/>
      <c r="F47" s="957">
        <f t="shared" ref="F47:F52" si="3">D47+E47</f>
        <v>5.25</v>
      </c>
      <c r="H47" s="952" t="s">
        <v>5</v>
      </c>
      <c r="I47" s="905">
        <v>5.25</v>
      </c>
      <c r="J47" s="905"/>
      <c r="K47" s="957">
        <v>5.25</v>
      </c>
    </row>
    <row r="48" spans="3:11" x14ac:dyDescent="0.55000000000000004">
      <c r="C48" s="952" t="s">
        <v>6</v>
      </c>
      <c r="D48" s="905">
        <v>8</v>
      </c>
      <c r="E48" s="905" cm="1">
        <f t="array" ref="E48:E52">TRANSPOSE('Key Assumption'!P48:T48)</f>
        <v>3</v>
      </c>
      <c r="F48" s="957">
        <f t="shared" si="3"/>
        <v>11</v>
      </c>
      <c r="H48" s="952" t="s">
        <v>6</v>
      </c>
      <c r="I48" s="905">
        <v>8</v>
      </c>
      <c r="J48" s="905">
        <v>3</v>
      </c>
      <c r="K48" s="957">
        <v>11</v>
      </c>
    </row>
    <row r="49" spans="2:11" x14ac:dyDescent="0.55000000000000004">
      <c r="C49" s="952" t="s">
        <v>7</v>
      </c>
      <c r="D49" s="905">
        <v>9</v>
      </c>
      <c r="E49" s="905">
        <v>4.75</v>
      </c>
      <c r="F49" s="957">
        <f t="shared" si="3"/>
        <v>13.75</v>
      </c>
      <c r="H49" s="952" t="s">
        <v>7</v>
      </c>
      <c r="I49" s="905">
        <v>9</v>
      </c>
      <c r="J49" s="905">
        <v>4.75</v>
      </c>
      <c r="K49" s="957">
        <v>13.75</v>
      </c>
    </row>
    <row r="50" spans="2:11" x14ac:dyDescent="0.55000000000000004">
      <c r="C50" s="952" t="s">
        <v>8</v>
      </c>
      <c r="D50" s="905">
        <v>10</v>
      </c>
      <c r="E50" s="905">
        <v>6.5</v>
      </c>
      <c r="F50" s="957">
        <f t="shared" si="3"/>
        <v>16.5</v>
      </c>
      <c r="H50" s="952" t="s">
        <v>8</v>
      </c>
      <c r="I50" s="905">
        <v>10</v>
      </c>
      <c r="J50" s="905">
        <v>6.5</v>
      </c>
      <c r="K50" s="957">
        <v>16.5</v>
      </c>
    </row>
    <row r="51" spans="2:11" x14ac:dyDescent="0.55000000000000004">
      <c r="C51" s="952" t="s">
        <v>9</v>
      </c>
      <c r="D51" s="905">
        <v>11</v>
      </c>
      <c r="E51" s="905">
        <v>8.25</v>
      </c>
      <c r="F51" s="957">
        <f t="shared" si="3"/>
        <v>19.25</v>
      </c>
      <c r="H51" s="952" t="s">
        <v>9</v>
      </c>
      <c r="I51" s="905">
        <v>11</v>
      </c>
      <c r="J51" s="905">
        <v>8.25</v>
      </c>
      <c r="K51" s="957">
        <v>19.25</v>
      </c>
    </row>
    <row r="52" spans="2:11" x14ac:dyDescent="0.55000000000000004">
      <c r="C52" s="954" t="s">
        <v>1480</v>
      </c>
      <c r="D52" s="955">
        <v>12</v>
      </c>
      <c r="E52" s="955">
        <v>10</v>
      </c>
      <c r="F52" s="958">
        <f t="shared" si="3"/>
        <v>22</v>
      </c>
      <c r="H52" s="954" t="s">
        <v>1480</v>
      </c>
      <c r="I52" s="955">
        <v>12</v>
      </c>
      <c r="J52" s="955">
        <v>10</v>
      </c>
      <c r="K52" s="958">
        <v>22</v>
      </c>
    </row>
    <row r="55" spans="2:11" x14ac:dyDescent="0.55000000000000004">
      <c r="B55" s="4" t="s">
        <v>2737</v>
      </c>
    </row>
    <row r="57" spans="2:11" x14ac:dyDescent="0.55000000000000004">
      <c r="C57" s="906" t="s">
        <v>2739</v>
      </c>
      <c r="D57" s="907" t="s">
        <v>646</v>
      </c>
      <c r="E57" s="907" t="s">
        <v>2740</v>
      </c>
      <c r="F57" s="921" t="s">
        <v>2738</v>
      </c>
      <c r="G57" s="907" t="s">
        <v>2741</v>
      </c>
      <c r="H57" s="907" t="s">
        <v>1476</v>
      </c>
      <c r="I57" s="907" t="s">
        <v>1477</v>
      </c>
      <c r="J57" s="907" t="s">
        <v>1478</v>
      </c>
      <c r="K57" s="907" t="s">
        <v>1479</v>
      </c>
    </row>
    <row r="58" spans="2:11" x14ac:dyDescent="0.55000000000000004">
      <c r="C58" s="908" t="s">
        <v>2727</v>
      </c>
      <c r="D58" s="914">
        <f>'Pro forma BS'!L32</f>
        <v>3393.8403830000002</v>
      </c>
      <c r="E58" s="914">
        <f>'Pro forma BS'!M32</f>
        <v>15473.030650000006</v>
      </c>
      <c r="F58" s="922">
        <f>'Pro forma BS'!O32</f>
        <v>23214.43431133682</v>
      </c>
      <c r="G58" s="914">
        <f>'Pro forma BS'!P32</f>
        <v>42605.176483471718</v>
      </c>
      <c r="H58" s="914">
        <f>'Pro forma BS'!Q32</f>
        <v>59586.579254078017</v>
      </c>
      <c r="I58" s="914">
        <f>'Pro forma BS'!R32</f>
        <v>77108.596138196255</v>
      </c>
      <c r="J58" s="914">
        <f>'Pro forma BS'!S32</f>
        <v>95870.899652574721</v>
      </c>
      <c r="K58" s="914">
        <f>'Pro forma BS'!T32</f>
        <v>115971.17473424807</v>
      </c>
    </row>
    <row r="59" spans="2:11" x14ac:dyDescent="0.55000000000000004">
      <c r="C59" s="909" t="s">
        <v>1825</v>
      </c>
      <c r="D59" s="915">
        <f>'Pro forma BS'!L33</f>
        <v>1161.776233</v>
      </c>
      <c r="E59" s="915">
        <f>'Pro forma BS'!M33</f>
        <v>3776.9549110000066</v>
      </c>
      <c r="F59" s="923">
        <f>'Pro forma BS'!O33</f>
        <v>12536.877577649579</v>
      </c>
      <c r="G59" s="915">
        <f>'Pro forma BS'!P33</f>
        <v>30525.740342200064</v>
      </c>
      <c r="H59" s="915">
        <f>'Pro forma BS'!Q33</f>
        <v>46754.785591571395</v>
      </c>
      <c r="I59" s="915">
        <f>'Pro forma BS'!R33</f>
        <v>63289.257896144569</v>
      </c>
      <c r="J59" s="915">
        <f>'Pro forma BS'!S33</f>
        <v>81036.882234534423</v>
      </c>
      <c r="K59" s="915">
        <f>'Pro forma BS'!T33</f>
        <v>100068.75449767995</v>
      </c>
    </row>
    <row r="60" spans="2:11" x14ac:dyDescent="0.55000000000000004">
      <c r="C60" s="909" t="s">
        <v>148</v>
      </c>
      <c r="D60" s="915">
        <f>'Pro forma BS'!L35</f>
        <v>1641.1379280000001</v>
      </c>
      <c r="E60" s="915">
        <f>'Pro forma BS'!M35</f>
        <v>8174.6202400000002</v>
      </c>
      <c r="F60" s="923">
        <f>'Pro forma BS'!O35</f>
        <v>7156.1012346872412</v>
      </c>
      <c r="G60" s="915">
        <f>'Pro forma BS'!P35</f>
        <v>8557.9806422716556</v>
      </c>
      <c r="H60" s="915">
        <f>'Pro forma BS'!Q35</f>
        <v>9310.3381635066289</v>
      </c>
      <c r="I60" s="915">
        <f>'Pro forma BS'!R35</f>
        <v>10297.882743051689</v>
      </c>
      <c r="J60" s="915">
        <f>'Pro forma BS'!S35</f>
        <v>11312.561919040294</v>
      </c>
      <c r="K60" s="915">
        <f>'Pro forma BS'!T35</f>
        <v>12380.964737568105</v>
      </c>
    </row>
    <row r="61" spans="2:11" x14ac:dyDescent="0.55000000000000004">
      <c r="C61" s="909" t="s">
        <v>2728</v>
      </c>
      <c r="D61" s="915">
        <f>D58-D59-D60</f>
        <v>590.92622200000005</v>
      </c>
      <c r="E61" s="915">
        <f t="shared" ref="E61:K61" si="4">E58-E59-E60</f>
        <v>3521.4554989999997</v>
      </c>
      <c r="F61" s="923">
        <f t="shared" si="4"/>
        <v>3521.4554989999997</v>
      </c>
      <c r="G61" s="915">
        <f t="shared" ref="G61:K61" si="5">G58-G59-G60</f>
        <v>3521.4554989999979</v>
      </c>
      <c r="H61" s="915">
        <f t="shared" si="5"/>
        <v>3521.4554989999924</v>
      </c>
      <c r="I61" s="915">
        <f t="shared" si="5"/>
        <v>3521.4554989999979</v>
      </c>
      <c r="J61" s="915">
        <f t="shared" si="5"/>
        <v>3521.4554990000033</v>
      </c>
      <c r="K61" s="915">
        <f t="shared" si="5"/>
        <v>3521.455499000007</v>
      </c>
    </row>
    <row r="62" spans="2:11" x14ac:dyDescent="0.55000000000000004">
      <c r="C62" s="910" t="s">
        <v>2729</v>
      </c>
      <c r="D62" s="916">
        <f>'Pro forma BS'!L38</f>
        <v>1137.226144</v>
      </c>
      <c r="E62" s="916">
        <f>'Pro forma BS'!M38</f>
        <v>1856.459208</v>
      </c>
      <c r="F62" s="924">
        <f>'Pro forma BS'!O38</f>
        <v>1849.4094036925146</v>
      </c>
      <c r="G62" s="916">
        <f>'Pro forma BS'!P38</f>
        <v>1827.5493562457561</v>
      </c>
      <c r="H62" s="916">
        <f>'Pro forma BS'!Q38</f>
        <v>1810.1559502473337</v>
      </c>
      <c r="I62" s="916">
        <f>'Pro forma BS'!R38</f>
        <v>1797.3912217200691</v>
      </c>
      <c r="J62" s="916">
        <f>'Pro forma BS'!S38</f>
        <v>1789.5239866805321</v>
      </c>
      <c r="K62" s="916">
        <f>'Pro forma BS'!T38</f>
        <v>1780.2846868379452</v>
      </c>
    </row>
    <row r="63" spans="2:11" x14ac:dyDescent="0.55000000000000004">
      <c r="C63" s="909" t="s">
        <v>2730</v>
      </c>
      <c r="D63" s="915">
        <f>'Pro forma BS'!L40</f>
        <v>987.43582400000003</v>
      </c>
      <c r="E63" s="915">
        <f>'Pro forma BS'!M40</f>
        <v>1080.9108880000001</v>
      </c>
      <c r="F63" s="923">
        <f>'Pro forma BS'!O40</f>
        <v>1073.8610836925147</v>
      </c>
      <c r="G63" s="915">
        <f>'Pro forma BS'!P40</f>
        <v>1052.0010362457563</v>
      </c>
      <c r="H63" s="915">
        <f>'Pro forma BS'!Q40</f>
        <v>1034.6076302473339</v>
      </c>
      <c r="I63" s="915">
        <f>'Pro forma BS'!R40</f>
        <v>1021.8429017200691</v>
      </c>
      <c r="J63" s="915">
        <f>'Pro forma BS'!S40</f>
        <v>1013.9756666805322</v>
      </c>
      <c r="K63" s="915">
        <f>'Pro forma BS'!T40</f>
        <v>1004.7363668379452</v>
      </c>
    </row>
    <row r="64" spans="2:11" x14ac:dyDescent="0.55000000000000004">
      <c r="C64" s="911" t="s">
        <v>2731</v>
      </c>
      <c r="D64" s="917">
        <f>D62-D63</f>
        <v>149.79031999999995</v>
      </c>
      <c r="E64" s="917">
        <f t="shared" ref="E64:K64" si="6">E62-E63</f>
        <v>775.54831999999988</v>
      </c>
      <c r="F64" s="920">
        <f t="shared" si="6"/>
        <v>775.54831999999988</v>
      </c>
      <c r="G64" s="917">
        <f t="shared" ref="G64:K64" si="7">G62-G63</f>
        <v>775.54831999999988</v>
      </c>
      <c r="H64" s="917">
        <f t="shared" si="7"/>
        <v>775.54831999999988</v>
      </c>
      <c r="I64" s="917">
        <f t="shared" si="7"/>
        <v>775.54831999999999</v>
      </c>
      <c r="J64" s="917">
        <f t="shared" si="7"/>
        <v>775.54831999999988</v>
      </c>
      <c r="K64" s="917">
        <f t="shared" si="7"/>
        <v>775.54831999999999</v>
      </c>
    </row>
    <row r="65" spans="2:11" x14ac:dyDescent="0.55000000000000004">
      <c r="C65" s="912" t="s">
        <v>269</v>
      </c>
      <c r="D65" s="918">
        <f>D62+D58</f>
        <v>4531.066527</v>
      </c>
      <c r="E65" s="918">
        <f t="shared" ref="E65:K65" si="8">E62+E58</f>
        <v>17329.489858000004</v>
      </c>
      <c r="F65" s="925">
        <f t="shared" si="8"/>
        <v>25063.843715029336</v>
      </c>
      <c r="G65" s="918">
        <f t="shared" ref="G65:K65" si="9">G62+G58</f>
        <v>44432.725839717474</v>
      </c>
      <c r="H65" s="918">
        <f t="shared" si="9"/>
        <v>61396.735204325349</v>
      </c>
      <c r="I65" s="918">
        <f t="shared" si="9"/>
        <v>78905.987359916326</v>
      </c>
      <c r="J65" s="918">
        <f t="shared" si="9"/>
        <v>97660.423639255256</v>
      </c>
      <c r="K65" s="918">
        <f t="shared" si="9"/>
        <v>117751.45942108601</v>
      </c>
    </row>
    <row r="66" spans="2:11" x14ac:dyDescent="0.55000000000000004">
      <c r="C66" s="908" t="s">
        <v>2732</v>
      </c>
      <c r="D66" s="914">
        <f>'Pro forma BS'!L43</f>
        <v>1203.7291959999998</v>
      </c>
      <c r="E66" s="914">
        <f>'Pro forma BS'!M43</f>
        <v>6466.7597131612501</v>
      </c>
      <c r="F66" s="922">
        <f>'Pro forma BS'!O43</f>
        <v>7266.7159997614017</v>
      </c>
      <c r="G66" s="914">
        <f>'Pro forma BS'!P43</f>
        <v>7841.884012899237</v>
      </c>
      <c r="H66" s="914">
        <f>'Pro forma BS'!Q43</f>
        <v>8226.6175556911021</v>
      </c>
      <c r="I66" s="914">
        <f>'Pro forma BS'!R43</f>
        <v>9012.982643158728</v>
      </c>
      <c r="J66" s="914">
        <f>'Pro forma BS'!S43</f>
        <v>9811.4642625396755</v>
      </c>
      <c r="K66" s="914">
        <f>'Pro forma BS'!T43</f>
        <v>10643.901441613798</v>
      </c>
    </row>
    <row r="67" spans="2:11" x14ac:dyDescent="0.55000000000000004">
      <c r="C67" s="909" t="s">
        <v>489</v>
      </c>
      <c r="D67" s="915">
        <f>'Pro forma BS'!L44</f>
        <v>100</v>
      </c>
      <c r="E67" s="915">
        <f>'Pro forma BS'!M44</f>
        <v>100</v>
      </c>
      <c r="F67" s="923">
        <f>'Pro forma BS'!O44</f>
        <v>100</v>
      </c>
      <c r="G67" s="915">
        <f>'Pro forma BS'!P44</f>
        <v>100</v>
      </c>
      <c r="H67" s="915">
        <f>'Pro forma BS'!Q44</f>
        <v>100</v>
      </c>
      <c r="I67" s="915">
        <f>'Pro forma BS'!R44</f>
        <v>100</v>
      </c>
      <c r="J67" s="915">
        <f>'Pro forma BS'!S44</f>
        <v>100</v>
      </c>
      <c r="K67" s="915">
        <f>'Pro forma BS'!T44</f>
        <v>100</v>
      </c>
    </row>
    <row r="68" spans="2:11" x14ac:dyDescent="0.55000000000000004">
      <c r="C68" s="909" t="s">
        <v>150</v>
      </c>
      <c r="D68" s="915">
        <f>'Pro forma BS'!L45</f>
        <v>437.91272800000002</v>
      </c>
      <c r="E68" s="915">
        <f>'Pro forma BS'!M45</f>
        <v>5875.5801911612507</v>
      </c>
      <c r="F68" s="923">
        <f>'Pro forma BS'!O45</f>
        <v>6675.425614969331</v>
      </c>
      <c r="G68" s="915">
        <f>'Pro forma BS'!P45</f>
        <v>7250.3617753595236</v>
      </c>
      <c r="H68" s="915">
        <f>'Pro forma BS'!Q45</f>
        <v>7634.8318058428758</v>
      </c>
      <c r="I68" s="915">
        <f>'Pro forma BS'!R45</f>
        <v>8420.9316466109522</v>
      </c>
      <c r="J68" s="915">
        <f>'Pro forma BS'!S45</f>
        <v>9219.1463988160103</v>
      </c>
      <c r="K68" s="915">
        <f>'Pro forma BS'!T45</f>
        <v>10051.315261786829</v>
      </c>
    </row>
    <row r="69" spans="2:11" x14ac:dyDescent="0.55000000000000004">
      <c r="C69" s="909" t="s">
        <v>2733</v>
      </c>
      <c r="D69" s="915">
        <f>'Pro forma BS'!L46</f>
        <v>596.78793299999995</v>
      </c>
      <c r="E69" s="915">
        <f>'Pro forma BS'!M46</f>
        <v>336.46338100000003</v>
      </c>
      <c r="F69" s="923">
        <f>'Pro forma BS'!O46</f>
        <v>336.57424379207072</v>
      </c>
      <c r="G69" s="915">
        <f>'Pro forma BS'!P46</f>
        <v>336.80609653971322</v>
      </c>
      <c r="H69" s="915">
        <f>'Pro forma BS'!Q46</f>
        <v>337.06960884822638</v>
      </c>
      <c r="I69" s="915">
        <f>'Pro forma BS'!R46</f>
        <v>337.3348555477757</v>
      </c>
      <c r="J69" s="915">
        <f>'Pro forma BS'!S46</f>
        <v>337.6017227236652</v>
      </c>
      <c r="K69" s="915">
        <f>'Pro forma BS'!T46</f>
        <v>337.87003882696894</v>
      </c>
    </row>
    <row r="70" spans="2:11" x14ac:dyDescent="0.55000000000000004">
      <c r="C70" s="909" t="s">
        <v>2734</v>
      </c>
      <c r="D70" s="915">
        <f>D66-D67-D68-D69</f>
        <v>69.028534999999806</v>
      </c>
      <c r="E70" s="915">
        <f t="shared" ref="E70:K70" si="10">E66-E67-E68-E69</f>
        <v>154.71614099999942</v>
      </c>
      <c r="F70" s="923">
        <f t="shared" si="10"/>
        <v>154.71614099999994</v>
      </c>
      <c r="G70" s="915">
        <f t="shared" ref="G70:K70" si="11">G66-G67-G68-G69</f>
        <v>154.71614100000016</v>
      </c>
      <c r="H70" s="915">
        <f t="shared" si="11"/>
        <v>154.71614099999988</v>
      </c>
      <c r="I70" s="915">
        <f t="shared" si="11"/>
        <v>154.71614100000016</v>
      </c>
      <c r="J70" s="915">
        <f t="shared" si="11"/>
        <v>154.71614099999994</v>
      </c>
      <c r="K70" s="915">
        <f t="shared" si="11"/>
        <v>154.71614099999994</v>
      </c>
    </row>
    <row r="71" spans="2:11" x14ac:dyDescent="0.55000000000000004">
      <c r="C71" s="910" t="s">
        <v>2735</v>
      </c>
      <c r="D71" s="916">
        <f>'Pro forma BS'!L48</f>
        <v>575.19027800000003</v>
      </c>
      <c r="E71" s="916">
        <f>'Pro forma BS'!M48</f>
        <v>611.75831000000005</v>
      </c>
      <c r="F71" s="924">
        <f>'Pro forma BS'!O48</f>
        <v>773.11313481191723</v>
      </c>
      <c r="G71" s="916">
        <f>'Pro forma BS'!P48</f>
        <v>1183.8449498120506</v>
      </c>
      <c r="H71" s="916">
        <f>'Pro forma BS'!Q48</f>
        <v>1632.4845325257504</v>
      </c>
      <c r="I71" s="916">
        <f>'Pro forma BS'!R48</f>
        <v>2121.523984009169</v>
      </c>
      <c r="J71" s="916">
        <f>'Pro forma BS'!S48</f>
        <v>2650.5397163674961</v>
      </c>
      <c r="K71" s="916">
        <f>'Pro forma BS'!T48</f>
        <v>3221.395968946033</v>
      </c>
    </row>
    <row r="72" spans="2:11" x14ac:dyDescent="0.55000000000000004">
      <c r="C72" s="909" t="s">
        <v>297</v>
      </c>
      <c r="D72" s="915">
        <f>'Pro forma BS'!L49</f>
        <v>542</v>
      </c>
      <c r="E72" s="915">
        <f>'Pro forma BS'!M49</f>
        <v>542</v>
      </c>
      <c r="F72" s="923">
        <f>'Pro forma BS'!O49</f>
        <v>542</v>
      </c>
      <c r="G72" s="915">
        <f>'Pro forma BS'!P49</f>
        <v>542</v>
      </c>
      <c r="H72" s="915">
        <f>'Pro forma BS'!Q49</f>
        <v>542</v>
      </c>
      <c r="I72" s="915">
        <f>'Pro forma BS'!R49</f>
        <v>542</v>
      </c>
      <c r="J72" s="915">
        <f>'Pro forma BS'!S49</f>
        <v>542</v>
      </c>
      <c r="K72" s="915">
        <f>'Pro forma BS'!T49</f>
        <v>542</v>
      </c>
    </row>
    <row r="73" spans="2:11" x14ac:dyDescent="0.55000000000000004">
      <c r="C73" s="911" t="s">
        <v>2736</v>
      </c>
      <c r="D73" s="917">
        <f>'Pro forma BS'!L50</f>
        <v>33.190278000000035</v>
      </c>
      <c r="E73" s="917">
        <f>'Pro forma BS'!M50</f>
        <v>69.758310000000051</v>
      </c>
      <c r="F73" s="920">
        <f>'Pro forma BS'!O50</f>
        <v>231.11313481191729</v>
      </c>
      <c r="G73" s="917">
        <f>'Pro forma BS'!P50</f>
        <v>641.84494981205057</v>
      </c>
      <c r="H73" s="917">
        <f>'Pro forma BS'!Q50</f>
        <v>1090.4845325257504</v>
      </c>
      <c r="I73" s="917">
        <f>'Pro forma BS'!R50</f>
        <v>1579.523984009169</v>
      </c>
      <c r="J73" s="917">
        <f>'Pro forma BS'!S50</f>
        <v>2108.5397163674961</v>
      </c>
      <c r="K73" s="917">
        <f>'Pro forma BS'!T50</f>
        <v>2679.395968946033</v>
      </c>
    </row>
    <row r="74" spans="2:11" x14ac:dyDescent="0.55000000000000004">
      <c r="C74" s="912" t="s">
        <v>301</v>
      </c>
      <c r="D74" s="918">
        <f>D71+D66</f>
        <v>1778.9194739999998</v>
      </c>
      <c r="E74" s="918">
        <f t="shared" ref="E74:K74" si="12">E71+E66</f>
        <v>7078.5180231612503</v>
      </c>
      <c r="F74" s="925">
        <f t="shared" si="12"/>
        <v>8039.8291345733187</v>
      </c>
      <c r="G74" s="918">
        <f t="shared" ref="G74:K74" si="13">G71+G66</f>
        <v>9025.7289627112877</v>
      </c>
      <c r="H74" s="918">
        <f t="shared" si="13"/>
        <v>9859.1020882168523</v>
      </c>
      <c r="I74" s="918">
        <f t="shared" si="13"/>
        <v>11134.506627167897</v>
      </c>
      <c r="J74" s="918">
        <f t="shared" si="13"/>
        <v>12462.003978907171</v>
      </c>
      <c r="K74" s="918">
        <f t="shared" si="13"/>
        <v>13865.297410559831</v>
      </c>
    </row>
    <row r="75" spans="2:11" x14ac:dyDescent="0.55000000000000004">
      <c r="C75" s="913" t="s">
        <v>337</v>
      </c>
      <c r="D75" s="919">
        <f>D65-D74</f>
        <v>2752.1470530000001</v>
      </c>
      <c r="E75" s="919">
        <f t="shared" ref="E75:K75" si="14">E65-E74</f>
        <v>10250.971834838754</v>
      </c>
      <c r="F75" s="926">
        <f t="shared" si="14"/>
        <v>17024.014580456016</v>
      </c>
      <c r="G75" s="919">
        <f t="shared" ref="G75:K75" si="15">G65-G74</f>
        <v>35406.996877006182</v>
      </c>
      <c r="H75" s="919">
        <f t="shared" si="15"/>
        <v>51537.633116108496</v>
      </c>
      <c r="I75" s="919">
        <f t="shared" si="15"/>
        <v>67771.48073274843</v>
      </c>
      <c r="J75" s="919">
        <f t="shared" si="15"/>
        <v>85198.419660348081</v>
      </c>
      <c r="K75" s="919">
        <f t="shared" si="15"/>
        <v>103886.16201052618</v>
      </c>
    </row>
    <row r="76" spans="2:11" x14ac:dyDescent="0.55000000000000004">
      <c r="D76" s="1" t="b">
        <f>'Pro forma BS'!L52=D75</f>
        <v>1</v>
      </c>
      <c r="E76" s="1" t="b">
        <f>'Pro forma BS'!M52=E75</f>
        <v>1</v>
      </c>
      <c r="F76" s="1" t="b">
        <f>'Pro forma BS'!N52=F75</f>
        <v>1</v>
      </c>
      <c r="G76" s="1" t="b">
        <f>'Pro forma BS'!P52=G75</f>
        <v>1</v>
      </c>
      <c r="H76" s="1" t="b">
        <f>'Pro forma BS'!Q52=H75</f>
        <v>1</v>
      </c>
      <c r="I76" s="1" t="b">
        <f>'Pro forma BS'!R52=I75</f>
        <v>1</v>
      </c>
      <c r="J76" s="1" t="b">
        <f>'Pro forma BS'!S52=J75</f>
        <v>1</v>
      </c>
      <c r="K76" s="1" t="b">
        <f>'Pro forma BS'!T52=K75</f>
        <v>1</v>
      </c>
    </row>
    <row r="78" spans="2:11" x14ac:dyDescent="0.55000000000000004">
      <c r="B78" s="4" t="s">
        <v>2742</v>
      </c>
    </row>
    <row r="80" spans="2:11" x14ac:dyDescent="0.55000000000000004">
      <c r="C80" s="906" t="s">
        <v>2739</v>
      </c>
      <c r="D80" s="907" t="s">
        <v>646</v>
      </c>
      <c r="E80" s="927" t="s">
        <v>2740</v>
      </c>
      <c r="F80" s="921" t="s">
        <v>2738</v>
      </c>
      <c r="G80" s="907" t="s">
        <v>2741</v>
      </c>
      <c r="H80" s="907" t="s">
        <v>1476</v>
      </c>
      <c r="I80" s="907" t="s">
        <v>1477</v>
      </c>
      <c r="J80" s="907" t="s">
        <v>1478</v>
      </c>
      <c r="K80" s="907" t="s">
        <v>1479</v>
      </c>
    </row>
    <row r="81" spans="3:11" x14ac:dyDescent="0.55000000000000004">
      <c r="C81" s="908" t="s">
        <v>2718</v>
      </c>
      <c r="D81" s="914">
        <f>SUM(D82:D84)</f>
        <v>11223.358977</v>
      </c>
      <c r="E81" s="930">
        <f t="shared" ref="E81:K81" si="16">SUM(E82:E84)</f>
        <v>33392.893259999997</v>
      </c>
      <c r="F81" s="922">
        <f t="shared" si="16"/>
        <v>77324.446682010952</v>
      </c>
      <c r="G81" s="914">
        <f t="shared" si="16"/>
        <v>93269.57737662681</v>
      </c>
      <c r="H81" s="914">
        <f t="shared" si="16"/>
        <v>103535.1598098485</v>
      </c>
      <c r="I81" s="914">
        <f t="shared" si="16"/>
        <v>114632.34806469963</v>
      </c>
      <c r="J81" s="914">
        <f t="shared" si="16"/>
        <v>126061.70922442742</v>
      </c>
      <c r="K81" s="914">
        <f t="shared" si="16"/>
        <v>138122.30628684408</v>
      </c>
    </row>
    <row r="82" spans="3:11" x14ac:dyDescent="0.55000000000000004">
      <c r="C82" s="909" t="s">
        <v>2743</v>
      </c>
      <c r="D82" s="915">
        <f>D102+D106+D113</f>
        <v>11192.304432999999</v>
      </c>
      <c r="E82" s="931">
        <f t="shared" ref="E82:K82" si="17">E102+E106+E113</f>
        <v>33173.573083999996</v>
      </c>
      <c r="F82" s="923">
        <f t="shared" si="17"/>
        <v>74753.703380908803</v>
      </c>
      <c r="G82" s="915">
        <f t="shared" si="17"/>
        <v>86073.300804946688</v>
      </c>
      <c r="H82" s="915">
        <f t="shared" si="17"/>
        <v>94109.0207510896</v>
      </c>
      <c r="I82" s="915">
        <f t="shared" si="17"/>
        <v>102707.92512968107</v>
      </c>
      <c r="J82" s="915">
        <f t="shared" si="17"/>
        <v>111407.82033387713</v>
      </c>
      <c r="K82" s="915">
        <f t="shared" si="17"/>
        <v>120467.88925584526</v>
      </c>
    </row>
    <row r="83" spans="3:11" x14ac:dyDescent="0.55000000000000004">
      <c r="C83" s="909" t="s">
        <v>2744</v>
      </c>
      <c r="D83" s="915">
        <f>D108-D111</f>
        <v>0</v>
      </c>
      <c r="E83" s="931">
        <f t="shared" ref="E83:K83" si="18">E108-E111</f>
        <v>219.32017599999998</v>
      </c>
      <c r="F83" s="923">
        <f t="shared" si="18"/>
        <v>2570.7433011021558</v>
      </c>
      <c r="G83" s="915">
        <f t="shared" si="18"/>
        <v>7196.2765716801168</v>
      </c>
      <c r="H83" s="915">
        <f t="shared" si="18"/>
        <v>9426.1390587588921</v>
      </c>
      <c r="I83" s="915">
        <f t="shared" si="18"/>
        <v>11924.422935018569</v>
      </c>
      <c r="J83" s="915">
        <f t="shared" si="18"/>
        <v>14653.888890550295</v>
      </c>
      <c r="K83" s="915">
        <f t="shared" si="18"/>
        <v>17654.417030998815</v>
      </c>
    </row>
    <row r="84" spans="3:11" x14ac:dyDescent="0.55000000000000004">
      <c r="C84" s="911" t="s">
        <v>1833</v>
      </c>
      <c r="D84" s="917">
        <f>D103+D107</f>
        <v>31.054544</v>
      </c>
      <c r="E84" s="932">
        <f t="shared" ref="E84:K84" si="19">E103+E107</f>
        <v>0</v>
      </c>
      <c r="F84" s="920">
        <f t="shared" si="19"/>
        <v>0</v>
      </c>
      <c r="G84" s="917">
        <f t="shared" si="19"/>
        <v>0</v>
      </c>
      <c r="H84" s="917">
        <f t="shared" si="19"/>
        <v>0</v>
      </c>
      <c r="I84" s="917">
        <f t="shared" si="19"/>
        <v>0</v>
      </c>
      <c r="J84" s="917">
        <f t="shared" si="19"/>
        <v>0</v>
      </c>
      <c r="K84" s="917">
        <f t="shared" si="19"/>
        <v>0</v>
      </c>
    </row>
    <row r="85" spans="3:11" x14ac:dyDescent="0.55000000000000004">
      <c r="C85" s="928" t="s">
        <v>2719</v>
      </c>
      <c r="D85" s="933">
        <f>SUM(D86:D88)</f>
        <v>9194.9006079999981</v>
      </c>
      <c r="E85" s="934">
        <f t="shared" ref="E85:K85" si="20">SUM(E86:E88)</f>
        <v>24315.748490161244</v>
      </c>
      <c r="F85" s="935">
        <f t="shared" si="20"/>
        <v>54467.236796483347</v>
      </c>
      <c r="G85" s="933">
        <f t="shared" si="20"/>
        <v>57986.595478227428</v>
      </c>
      <c r="H85" s="933">
        <f t="shared" si="20"/>
        <v>60124.892276154482</v>
      </c>
      <c r="I85" s="933">
        <f t="shared" si="20"/>
        <v>65467.260924113652</v>
      </c>
      <c r="J85" s="933">
        <f t="shared" si="20"/>
        <v>70872.351327237688</v>
      </c>
      <c r="K85" s="933">
        <f t="shared" si="20"/>
        <v>76518.722736914729</v>
      </c>
    </row>
    <row r="86" spans="3:11" x14ac:dyDescent="0.55000000000000004">
      <c r="C86" s="909" t="s">
        <v>1447</v>
      </c>
      <c r="D86" s="915">
        <f>'Pro forma PL'!L8</f>
        <v>664.8944919999999</v>
      </c>
      <c r="E86" s="931">
        <f>'Pro forma PL'!M8</f>
        <v>988.67774500000007</v>
      </c>
      <c r="F86" s="923">
        <f>'Pro forma PL'!O8</f>
        <v>2794.906035656727</v>
      </c>
      <c r="G86" s="915">
        <f>'Pro forma PL'!P8</f>
        <v>5597.9334602737117</v>
      </c>
      <c r="H86" s="915">
        <f>'Pro forma PL'!Q8</f>
        <v>6113.6150982846411</v>
      </c>
      <c r="I86" s="915">
        <f>'Pro forma PL'!R8</f>
        <v>6662.5778425886456</v>
      </c>
      <c r="J86" s="915">
        <f>'Pro forma PL'!S8</f>
        <v>7205.6800869209901</v>
      </c>
      <c r="K86" s="915">
        <f>'Pro forma PL'!T8</f>
        <v>7774.0943412090601</v>
      </c>
    </row>
    <row r="87" spans="3:11" x14ac:dyDescent="0.55000000000000004">
      <c r="C87" s="909" t="s">
        <v>1453</v>
      </c>
      <c r="D87" s="915">
        <f>D115+D116</f>
        <v>7603.482727999999</v>
      </c>
      <c r="E87" s="931">
        <f t="shared" ref="E87:K87" si="21">E115+E116</f>
        <v>21864.136013161246</v>
      </c>
      <c r="F87" s="923">
        <f t="shared" si="21"/>
        <v>48716.111890795466</v>
      </c>
      <c r="G87" s="915">
        <f t="shared" si="21"/>
        <v>49380.843771835469</v>
      </c>
      <c r="H87" s="915">
        <f t="shared" si="21"/>
        <v>50965.932696825621</v>
      </c>
      <c r="I87" s="915">
        <f t="shared" si="21"/>
        <v>55710.679548469467</v>
      </c>
      <c r="J87" s="915">
        <f t="shared" si="21"/>
        <v>60526.946375185376</v>
      </c>
      <c r="K87" s="915">
        <f t="shared" si="21"/>
        <v>65556.135319021676</v>
      </c>
    </row>
    <row r="88" spans="3:11" x14ac:dyDescent="0.55000000000000004">
      <c r="C88" s="911" t="s">
        <v>1291</v>
      </c>
      <c r="D88" s="917">
        <f>'Pro forma PL'!L10</f>
        <v>926.52338799999973</v>
      </c>
      <c r="E88" s="932">
        <f>'Pro forma PL'!M10</f>
        <v>1462.9347319999995</v>
      </c>
      <c r="F88" s="920">
        <f>'Pro forma PL'!O10</f>
        <v>2956.2188700311522</v>
      </c>
      <c r="G88" s="917">
        <f>'Pro forma PL'!P10</f>
        <v>3007.8182461182469</v>
      </c>
      <c r="H88" s="917">
        <f>'Pro forma PL'!Q10</f>
        <v>3045.3444810442152</v>
      </c>
      <c r="I88" s="917">
        <f>'Pro forma PL'!R10</f>
        <v>3094.0035330555424</v>
      </c>
      <c r="J88" s="917">
        <f>'Pro forma PL'!S10</f>
        <v>3139.7248651313207</v>
      </c>
      <c r="K88" s="917">
        <f>'Pro forma PL'!T10</f>
        <v>3188.4930766839962</v>
      </c>
    </row>
    <row r="89" spans="3:11" x14ac:dyDescent="0.55000000000000004">
      <c r="C89" s="928" t="s">
        <v>2745</v>
      </c>
      <c r="D89" s="933">
        <f>D81-D85</f>
        <v>2028.4583690000018</v>
      </c>
      <c r="E89" s="934">
        <f t="shared" ref="E89:K89" si="22">E81-E85</f>
        <v>9077.1447698387528</v>
      </c>
      <c r="F89" s="935">
        <f t="shared" si="22"/>
        <v>22857.209885527605</v>
      </c>
      <c r="G89" s="933">
        <f t="shared" si="22"/>
        <v>35282.981898399383</v>
      </c>
      <c r="H89" s="933">
        <f t="shared" si="22"/>
        <v>43410.267533694016</v>
      </c>
      <c r="I89" s="933">
        <f t="shared" si="22"/>
        <v>49165.08714058598</v>
      </c>
      <c r="J89" s="933">
        <f t="shared" si="22"/>
        <v>55189.357897189737</v>
      </c>
      <c r="K89" s="933">
        <f t="shared" si="22"/>
        <v>61603.583549929346</v>
      </c>
    </row>
    <row r="90" spans="3:11" x14ac:dyDescent="0.55000000000000004">
      <c r="C90" s="939" t="s">
        <v>2746</v>
      </c>
      <c r="D90" s="940">
        <f t="shared" ref="D90:K90" si="23">D89/D$81</f>
        <v>0.18073540845988409</v>
      </c>
      <c r="E90" s="941">
        <f t="shared" si="23"/>
        <v>0.27182864027873554</v>
      </c>
      <c r="F90" s="942">
        <f t="shared" si="23"/>
        <v>0.29560133782173176</v>
      </c>
      <c r="G90" s="940">
        <f t="shared" si="23"/>
        <v>0.37829035888009971</v>
      </c>
      <c r="H90" s="940">
        <f t="shared" si="23"/>
        <v>0.41928044167238282</v>
      </c>
      <c r="I90" s="940">
        <f t="shared" si="23"/>
        <v>0.42889365847096422</v>
      </c>
      <c r="J90" s="940">
        <f t="shared" si="23"/>
        <v>0.43779636367563624</v>
      </c>
      <c r="K90" s="940">
        <f t="shared" si="23"/>
        <v>0.44600749296782477</v>
      </c>
    </row>
    <row r="91" spans="3:11" x14ac:dyDescent="0.55000000000000004">
      <c r="C91" s="928" t="s">
        <v>2747</v>
      </c>
      <c r="D91" s="933">
        <f>D89+D118-D119</f>
        <v>1063.1242290000018</v>
      </c>
      <c r="E91" s="934">
        <f t="shared" ref="E91:K91" si="24">E89+E118-E119</f>
        <v>8805.7940028387529</v>
      </c>
      <c r="F91" s="935">
        <f t="shared" si="24"/>
        <v>15404.995806584329</v>
      </c>
      <c r="G91" s="933">
        <f t="shared" si="24"/>
        <v>25971.240735760028</v>
      </c>
      <c r="H91" s="933">
        <f t="shared" si="24"/>
        <v>31953.51617504449</v>
      </c>
      <c r="I91" s="933">
        <f t="shared" si="24"/>
        <v>36189.775259766117</v>
      </c>
      <c r="J91" s="933">
        <f t="shared" si="24"/>
        <v>40624.492761485453</v>
      </c>
      <c r="K91" s="933">
        <f t="shared" si="24"/>
        <v>45344.454153654442</v>
      </c>
    </row>
    <row r="92" spans="3:11" x14ac:dyDescent="0.55000000000000004">
      <c r="C92" s="939" t="s">
        <v>2748</v>
      </c>
      <c r="D92" s="940">
        <f t="shared" ref="D92:K92" si="25">D91/D$81</f>
        <v>9.4724247097384973E-2</v>
      </c>
      <c r="E92" s="941">
        <f t="shared" si="25"/>
        <v>0.26370263679388511</v>
      </c>
      <c r="F92" s="942">
        <f t="shared" si="25"/>
        <v>0.19922542569151297</v>
      </c>
      <c r="G92" s="940">
        <f t="shared" si="25"/>
        <v>0.2784535050575706</v>
      </c>
      <c r="H92" s="940">
        <f t="shared" si="25"/>
        <v>0.30862478247708269</v>
      </c>
      <c r="I92" s="940">
        <f t="shared" si="25"/>
        <v>0.31570299196296886</v>
      </c>
      <c r="J92" s="940">
        <f t="shared" si="25"/>
        <v>0.32225878112727907</v>
      </c>
      <c r="K92" s="940">
        <f t="shared" si="25"/>
        <v>0.32829204328145095</v>
      </c>
    </row>
    <row r="93" spans="3:11" x14ac:dyDescent="0.55000000000000004">
      <c r="C93" s="929" t="s">
        <v>109</v>
      </c>
      <c r="D93" s="936">
        <f>'Pro forma PL'!L21</f>
        <v>127.87805900000001</v>
      </c>
      <c r="E93" s="937">
        <f>'Pro forma PL'!M21</f>
        <v>57.174701999999996</v>
      </c>
      <c r="F93" s="938">
        <f>'Pro forma PL'!O21</f>
        <v>139.14745443115208</v>
      </c>
      <c r="G93" s="936">
        <f>'Pro forma PL'!P21</f>
        <v>143.8772955710333</v>
      </c>
      <c r="H93" s="936">
        <f>'Pro forma PL'!Q21</f>
        <v>129.85259338714971</v>
      </c>
      <c r="I93" s="936">
        <f>'Pro forma PL'!R21</f>
        <v>117.28631575767835</v>
      </c>
      <c r="J93" s="936">
        <f>'Pro forma PL'!S21</f>
        <v>106.45002070479691</v>
      </c>
      <c r="K93" s="936">
        <f>'Pro forma PL'!T21</f>
        <v>95.874854850933119</v>
      </c>
    </row>
    <row r="94" spans="3:11" x14ac:dyDescent="0.55000000000000004">
      <c r="C94" s="928" t="s">
        <v>2720</v>
      </c>
      <c r="D94" s="933">
        <f>D89+D93</f>
        <v>2156.3364280000019</v>
      </c>
      <c r="E94" s="934">
        <f t="shared" ref="E94:K94" si="26">E89+E93</f>
        <v>9134.3194718387531</v>
      </c>
      <c r="F94" s="935">
        <f t="shared" si="26"/>
        <v>22996.357339958759</v>
      </c>
      <c r="G94" s="933">
        <f t="shared" si="26"/>
        <v>35426.859193970413</v>
      </c>
      <c r="H94" s="933">
        <f t="shared" si="26"/>
        <v>43540.120127081165</v>
      </c>
      <c r="I94" s="933">
        <f t="shared" si="26"/>
        <v>49282.373456343659</v>
      </c>
      <c r="J94" s="933">
        <f t="shared" si="26"/>
        <v>55295.807917894534</v>
      </c>
      <c r="K94" s="933">
        <f t="shared" si="26"/>
        <v>61699.458404780278</v>
      </c>
    </row>
    <row r="95" spans="3:11" x14ac:dyDescent="0.55000000000000004">
      <c r="C95" s="943" t="s">
        <v>2749</v>
      </c>
      <c r="D95" s="944">
        <f t="shared" ref="D95:K95" si="27">D94/D$81</f>
        <v>0.19212932887729747</v>
      </c>
      <c r="E95" s="945">
        <f t="shared" si="27"/>
        <v>0.27354082201617391</v>
      </c>
      <c r="F95" s="946">
        <f t="shared" si="27"/>
        <v>0.29740086514332237</v>
      </c>
      <c r="G95" s="944">
        <f t="shared" si="27"/>
        <v>0.37983295507939463</v>
      </c>
      <c r="H95" s="944">
        <f t="shared" si="27"/>
        <v>0.42053463004303521</v>
      </c>
      <c r="I95" s="944">
        <f t="shared" si="27"/>
        <v>0.42991681046721819</v>
      </c>
      <c r="J95" s="944">
        <f t="shared" si="27"/>
        <v>0.43864079154639662</v>
      </c>
      <c r="K95" s="944">
        <f t="shared" si="27"/>
        <v>0.44670162310095346</v>
      </c>
    </row>
    <row r="97" spans="3:14" x14ac:dyDescent="0.55000000000000004">
      <c r="C97" s="1" t="s">
        <v>2755</v>
      </c>
      <c r="D97" s="948" t="b">
        <f>D81='Pro forma PL'!L6</f>
        <v>1</v>
      </c>
      <c r="E97" s="948" t="b">
        <f>E81='Pro forma PL'!M6</f>
        <v>1</v>
      </c>
      <c r="F97" s="948" t="b">
        <f>F81='Pro forma PL'!O6</f>
        <v>1</v>
      </c>
      <c r="G97" s="948" t="b">
        <f>G81='Pro forma PL'!P6</f>
        <v>1</v>
      </c>
      <c r="H97" s="948" t="b">
        <f>H81='Pro forma PL'!Q6</f>
        <v>1</v>
      </c>
      <c r="I97" s="948" t="b">
        <f>I81='Pro forma PL'!R6</f>
        <v>1</v>
      </c>
      <c r="J97" s="948" t="b">
        <f>J81='Pro forma PL'!S6</f>
        <v>1</v>
      </c>
      <c r="K97" s="948" t="b">
        <f>K81='Pro forma PL'!T6</f>
        <v>1</v>
      </c>
    </row>
    <row r="98" spans="3:14" x14ac:dyDescent="0.55000000000000004">
      <c r="C98" s="1" t="s">
        <v>2758</v>
      </c>
      <c r="D98" s="948" t="b">
        <f>D94='Pro forma PL'!L24</f>
        <v>1</v>
      </c>
      <c r="E98" s="948" t="b">
        <f>E94='Pro forma PL'!M24</f>
        <v>1</v>
      </c>
      <c r="F98" s="948" t="b">
        <f>F94='Pro forma PL'!O24</f>
        <v>1</v>
      </c>
      <c r="G98" s="948" t="b">
        <f>G94='Pro forma PL'!P24</f>
        <v>1</v>
      </c>
      <c r="H98" s="948" t="b">
        <f>H94='Pro forma PL'!Q24</f>
        <v>1</v>
      </c>
      <c r="I98" s="948" t="b">
        <f>I94='Pro forma PL'!R24</f>
        <v>0</v>
      </c>
      <c r="J98" s="948" t="b">
        <f>J94='Pro forma PL'!S24</f>
        <v>1</v>
      </c>
      <c r="K98" s="948" t="b">
        <f>K94='Pro forma PL'!T24</f>
        <v>1</v>
      </c>
    </row>
    <row r="99" spans="3:14" x14ac:dyDescent="0.55000000000000004">
      <c r="I99" s="949"/>
    </row>
    <row r="101" spans="3:14" x14ac:dyDescent="0.55000000000000004">
      <c r="C101" s="4" t="s">
        <v>2724</v>
      </c>
      <c r="D101" s="19">
        <f>SUM(D102:D104)</f>
        <v>11203.458977</v>
      </c>
      <c r="E101" s="19">
        <f t="shared" ref="E101:K101" si="28">SUM(E102:E104)</f>
        <v>17504.878433999998</v>
      </c>
      <c r="F101" s="19">
        <f t="shared" si="28"/>
        <v>35082.075903939134</v>
      </c>
      <c r="G101" s="19">
        <f t="shared" si="28"/>
        <v>37812.470359291983</v>
      </c>
      <c r="H101" s="19">
        <f t="shared" si="28"/>
        <v>40682.350218877298</v>
      </c>
      <c r="I101" s="19">
        <f t="shared" si="28"/>
        <v>43771.909329847258</v>
      </c>
      <c r="J101" s="19">
        <f t="shared" si="28"/>
        <v>46881.274728858982</v>
      </c>
      <c r="K101" s="19">
        <f t="shared" si="28"/>
        <v>50120.726308840254</v>
      </c>
      <c r="N101" s="1" t="s">
        <v>2756</v>
      </c>
    </row>
    <row r="102" spans="3:14" x14ac:dyDescent="0.55000000000000004">
      <c r="C102" s="1" t="s">
        <v>2750</v>
      </c>
      <c r="D102" s="905">
        <f>TITAN!L20</f>
        <v>11192.304432999999</v>
      </c>
      <c r="E102" s="905">
        <f>TITAN!M20</f>
        <v>17501.105705999998</v>
      </c>
      <c r="F102" s="905">
        <f>TITAN!O20</f>
        <v>35078.303175939131</v>
      </c>
      <c r="G102" s="905">
        <f>TITAN!P20</f>
        <v>37812.470359291983</v>
      </c>
      <c r="H102" s="905">
        <f>TITAN!Q20</f>
        <v>40682.350218877298</v>
      </c>
      <c r="I102" s="905">
        <f>TITAN!R20</f>
        <v>43771.909329847258</v>
      </c>
      <c r="J102" s="905">
        <f>TITAN!S20</f>
        <v>46881.274728858982</v>
      </c>
      <c r="K102" s="905">
        <f>TITAN!T20</f>
        <v>50120.726308840254</v>
      </c>
    </row>
    <row r="103" spans="3:14" x14ac:dyDescent="0.55000000000000004">
      <c r="C103" s="1" t="s">
        <v>86</v>
      </c>
      <c r="D103" s="905">
        <f>TITAN!L34</f>
        <v>11.154544</v>
      </c>
      <c r="E103" s="905">
        <f>TITAN!M34</f>
        <v>0</v>
      </c>
      <c r="F103" s="905">
        <f>TITAN!O34</f>
        <v>0</v>
      </c>
      <c r="G103" s="905">
        <f>TITAN!P34</f>
        <v>0</v>
      </c>
      <c r="H103" s="905">
        <f>TITAN!Q34</f>
        <v>0</v>
      </c>
      <c r="I103" s="905">
        <f>TITAN!R34</f>
        <v>0</v>
      </c>
      <c r="J103" s="905">
        <f>TITAN!S34</f>
        <v>0</v>
      </c>
      <c r="K103" s="905">
        <f>TITAN!T34</f>
        <v>0</v>
      </c>
      <c r="N103" s="1">
        <f>조정!$J$19</f>
        <v>22275000</v>
      </c>
    </row>
    <row r="104" spans="3:14" x14ac:dyDescent="0.55000000000000004">
      <c r="C104" s="1" t="s">
        <v>87</v>
      </c>
      <c r="D104" s="905">
        <f>TITAN!L35</f>
        <v>0</v>
      </c>
      <c r="E104" s="905">
        <f>TITAN!M35</f>
        <v>3.7727279999999999</v>
      </c>
      <c r="F104" s="905">
        <f>TITAN!O35</f>
        <v>3.7727279999999999</v>
      </c>
      <c r="G104" s="905">
        <f>TITAN!P35</f>
        <v>0</v>
      </c>
      <c r="H104" s="905">
        <f>TITAN!Q35</f>
        <v>0</v>
      </c>
      <c r="I104" s="905">
        <f>TITAN!R35</f>
        <v>0</v>
      </c>
      <c r="J104" s="905">
        <f>TITAN!S35</f>
        <v>0</v>
      </c>
      <c r="K104" s="905">
        <f>TITAN!T35</f>
        <v>0</v>
      </c>
      <c r="L104" s="417" t="s">
        <v>2753</v>
      </c>
      <c r="N104" s="1">
        <f>조정!$J$42</f>
        <v>20250000</v>
      </c>
    </row>
    <row r="105" spans="3:14" x14ac:dyDescent="0.55000000000000004">
      <c r="C105" s="4" t="s">
        <v>2725</v>
      </c>
      <c r="D105" s="905">
        <f>SUM(D106:D107)</f>
        <v>19.899999999999999</v>
      </c>
      <c r="E105" s="905">
        <f t="shared" ref="E105:K105" si="29">SUM(E106:E107)</f>
        <v>10266.381020999999</v>
      </c>
      <c r="F105" s="905">
        <f t="shared" si="29"/>
        <v>26835.388161384813</v>
      </c>
      <c r="G105" s="905">
        <f t="shared" si="29"/>
        <v>32543.72038738053</v>
      </c>
      <c r="H105" s="905">
        <f t="shared" si="29"/>
        <v>34715.240039916651</v>
      </c>
      <c r="I105" s="905">
        <f t="shared" si="29"/>
        <v>37063.293152714985</v>
      </c>
      <c r="J105" s="905">
        <f t="shared" si="29"/>
        <v>39417.290422943901</v>
      </c>
      <c r="K105" s="905">
        <f t="shared" si="29"/>
        <v>41870.526834441829</v>
      </c>
    </row>
    <row r="106" spans="3:14" x14ac:dyDescent="0.55000000000000004">
      <c r="C106" s="1" t="s">
        <v>2750</v>
      </c>
      <c r="D106" s="905">
        <f>CLASS!L21</f>
        <v>0</v>
      </c>
      <c r="E106" s="905">
        <f>CLASS!M21</f>
        <v>10266.381020999999</v>
      </c>
      <c r="F106" s="905">
        <f>CLASS!O21</f>
        <v>26835.388161384813</v>
      </c>
      <c r="G106" s="905">
        <f>CLASS!P21</f>
        <v>32543.72038738053</v>
      </c>
      <c r="H106" s="905">
        <f>CLASS!Q21</f>
        <v>34715.240039916651</v>
      </c>
      <c r="I106" s="905">
        <f>CLASS!R21</f>
        <v>37063.293152714985</v>
      </c>
      <c r="J106" s="905">
        <f>CLASS!S21</f>
        <v>39417.290422943901</v>
      </c>
      <c r="K106" s="905">
        <f>CLASS!T21</f>
        <v>41870.526834441829</v>
      </c>
    </row>
    <row r="107" spans="3:14" x14ac:dyDescent="0.55000000000000004">
      <c r="C107" s="1" t="s">
        <v>2751</v>
      </c>
      <c r="D107" s="905">
        <f>CLASS!L36</f>
        <v>19.899999999999999</v>
      </c>
      <c r="E107" s="905">
        <f>CLASS!M36</f>
        <v>0</v>
      </c>
      <c r="F107" s="905">
        <f>CLASS!O36</f>
        <v>0</v>
      </c>
      <c r="G107" s="905">
        <f>CLASS!P36</f>
        <v>0</v>
      </c>
      <c r="H107" s="905">
        <f>CLASS!Q36</f>
        <v>0</v>
      </c>
      <c r="I107" s="905">
        <f>CLASS!R36</f>
        <v>0</v>
      </c>
      <c r="J107" s="905">
        <f>CLASS!S36</f>
        <v>0</v>
      </c>
      <c r="K107" s="905">
        <f>CLASS!T36</f>
        <v>0</v>
      </c>
    </row>
    <row r="108" spans="3:14" x14ac:dyDescent="0.55000000000000004">
      <c r="C108" s="4" t="s">
        <v>2726</v>
      </c>
      <c r="D108" s="19">
        <f>SUM(D109:D110)</f>
        <v>0</v>
      </c>
      <c r="E108" s="19">
        <f t="shared" ref="E108:K108" si="30">SUM(E109:E110)</f>
        <v>261.84517599999998</v>
      </c>
      <c r="F108" s="19">
        <f t="shared" si="30"/>
        <v>2613.2683011021559</v>
      </c>
      <c r="G108" s="19">
        <f t="shared" si="30"/>
        <v>7196.2765716801168</v>
      </c>
      <c r="H108" s="19">
        <f t="shared" si="30"/>
        <v>9426.1390587588921</v>
      </c>
      <c r="I108" s="19">
        <f t="shared" si="30"/>
        <v>11924.422935018569</v>
      </c>
      <c r="J108" s="19">
        <f t="shared" si="30"/>
        <v>14653.888890550295</v>
      </c>
      <c r="K108" s="19">
        <f t="shared" si="30"/>
        <v>17654.417030998815</v>
      </c>
    </row>
    <row r="109" spans="3:14" x14ac:dyDescent="0.55000000000000004">
      <c r="C109" s="1" t="s">
        <v>2752</v>
      </c>
      <c r="D109" s="905">
        <f>NOVA!L19</f>
        <v>0</v>
      </c>
      <c r="E109" s="905">
        <f>NOVA!M19</f>
        <v>221.34517599999998</v>
      </c>
      <c r="F109" s="905">
        <f>NOVA!O19</f>
        <v>2572.7683011021559</v>
      </c>
      <c r="G109" s="905">
        <f>NOVA!P19</f>
        <v>7196.2765716801168</v>
      </c>
      <c r="H109" s="905">
        <f>NOVA!Q19</f>
        <v>9426.1390587588921</v>
      </c>
      <c r="I109" s="905">
        <f>NOVA!R19</f>
        <v>11924.422935018569</v>
      </c>
      <c r="J109" s="905">
        <f>NOVA!S19</f>
        <v>14653.888890550295</v>
      </c>
      <c r="K109" s="905">
        <f>NOVA!T19</f>
        <v>17654.417030998815</v>
      </c>
    </row>
    <row r="110" spans="3:14" x14ac:dyDescent="0.55000000000000004">
      <c r="C110" s="1" t="s">
        <v>2751</v>
      </c>
      <c r="D110" s="905">
        <f>NOVA!L34</f>
        <v>0</v>
      </c>
      <c r="E110" s="905">
        <f>NOVA!M34</f>
        <v>40.5</v>
      </c>
      <c r="F110" s="905">
        <f>NOVA!O34</f>
        <v>40.5</v>
      </c>
      <c r="G110" s="905">
        <f>NOVA!P34</f>
        <v>0</v>
      </c>
      <c r="H110" s="905">
        <f>NOVA!Q34</f>
        <v>0</v>
      </c>
      <c r="I110" s="905">
        <f>NOVA!R34</f>
        <v>0</v>
      </c>
      <c r="J110" s="905">
        <f>NOVA!S34</f>
        <v>0</v>
      </c>
      <c r="K110" s="905">
        <f>NOVA!T34</f>
        <v>0</v>
      </c>
    </row>
    <row r="111" spans="3:14" x14ac:dyDescent="0.55000000000000004">
      <c r="C111" s="1" t="s">
        <v>2757</v>
      </c>
      <c r="D111" s="905"/>
      <c r="E111" s="905">
        <f>(조정!$J$19+조정!$J$42)/10^6</f>
        <v>42.524999999999999</v>
      </c>
      <c r="F111" s="905">
        <f>E111</f>
        <v>42.524999999999999</v>
      </c>
      <c r="G111" s="905"/>
      <c r="H111" s="905"/>
      <c r="I111" s="905"/>
      <c r="J111" s="905"/>
      <c r="K111" s="905"/>
      <c r="L111" s="417" t="s">
        <v>2753</v>
      </c>
    </row>
    <row r="112" spans="3:14" x14ac:dyDescent="0.55000000000000004">
      <c r="C112" s="4" t="s">
        <v>70</v>
      </c>
      <c r="D112" s="19">
        <f>SUM(D113)</f>
        <v>0</v>
      </c>
      <c r="E112" s="19">
        <f t="shared" ref="E112:K112" si="31">SUM(E113)</f>
        <v>5406.0863570000001</v>
      </c>
      <c r="F112" s="19">
        <f t="shared" si="31"/>
        <v>12840.012043584858</v>
      </c>
      <c r="G112" s="19">
        <f t="shared" si="31"/>
        <v>15717.110058274176</v>
      </c>
      <c r="H112" s="19">
        <f t="shared" si="31"/>
        <v>18711.430492295651</v>
      </c>
      <c r="I112" s="19">
        <f t="shared" si="31"/>
        <v>21872.722647118819</v>
      </c>
      <c r="J112" s="19">
        <f t="shared" si="31"/>
        <v>25109.255182074252</v>
      </c>
      <c r="K112" s="19">
        <f t="shared" si="31"/>
        <v>28476.636112563181</v>
      </c>
    </row>
    <row r="113" spans="3:11" x14ac:dyDescent="0.55000000000000004">
      <c r="C113" s="1" t="s">
        <v>2750</v>
      </c>
      <c r="D113" s="905">
        <f>TTA!L20</f>
        <v>0</v>
      </c>
      <c r="E113" s="905">
        <f>TTA!M20</f>
        <v>5406.0863570000001</v>
      </c>
      <c r="F113" s="905">
        <f>TTA!O20</f>
        <v>12840.012043584858</v>
      </c>
      <c r="G113" s="905">
        <f>TTA!P20</f>
        <v>15717.110058274176</v>
      </c>
      <c r="H113" s="905">
        <f>TTA!Q20</f>
        <v>18711.430492295651</v>
      </c>
      <c r="I113" s="905">
        <f>TTA!R20</f>
        <v>21872.722647118819</v>
      </c>
      <c r="J113" s="905">
        <f>TTA!S20</f>
        <v>25109.255182074252</v>
      </c>
      <c r="K113" s="905">
        <f>TTA!T20</f>
        <v>28476.636112563181</v>
      </c>
    </row>
    <row r="114" spans="3:11" x14ac:dyDescent="0.55000000000000004">
      <c r="D114" s="905"/>
      <c r="E114" s="905"/>
      <c r="F114" s="905"/>
      <c r="G114" s="905"/>
      <c r="H114" s="905"/>
      <c r="I114" s="905"/>
      <c r="J114" s="905"/>
      <c r="K114" s="905"/>
    </row>
    <row r="115" spans="3:11" x14ac:dyDescent="0.55000000000000004">
      <c r="C115" s="1" t="s">
        <v>91</v>
      </c>
      <c r="D115" s="905">
        <f>'Pro forma PL'!L9</f>
        <v>6290.7849359999991</v>
      </c>
      <c r="E115" s="905">
        <f>'Pro forma PL'!M9</f>
        <v>17029.244963999998</v>
      </c>
      <c r="F115" s="905">
        <f>'Pro forma PL'!O9</f>
        <v>43881.220841634211</v>
      </c>
      <c r="G115" s="905">
        <f>'Pro forma PL'!P9</f>
        <v>49380.843771835469</v>
      </c>
      <c r="H115" s="905">
        <f>'Pro forma PL'!Q9</f>
        <v>50965.932696825621</v>
      </c>
      <c r="I115" s="905">
        <f>'Pro forma PL'!R9</f>
        <v>55710.679548469467</v>
      </c>
      <c r="J115" s="905">
        <f>'Pro forma PL'!S9</f>
        <v>60526.946375185376</v>
      </c>
      <c r="K115" s="905">
        <f>'Pro forma PL'!T9</f>
        <v>65556.135319021676</v>
      </c>
    </row>
    <row r="116" spans="3:11" x14ac:dyDescent="0.55000000000000004">
      <c r="C116" s="1" t="s">
        <v>2754</v>
      </c>
      <c r="D116" s="905">
        <f>TITAN!L82+CLASS!L86+TTA!L70</f>
        <v>1312.6977919999999</v>
      </c>
      <c r="E116" s="905">
        <f>TITAN!M82+CLASS!M86+TTA!M70</f>
        <v>4834.8910491612496</v>
      </c>
      <c r="F116" s="905">
        <f>TITAN!O82+CLASS!O86+TTA!O70</f>
        <v>4834.8910491612514</v>
      </c>
      <c r="G116" s="905">
        <f>TITAN!P82+CLASS!P86+TTA!P70</f>
        <v>0</v>
      </c>
      <c r="H116" s="905">
        <f>TITAN!Q82+CLASS!Q86+TTA!Q70</f>
        <v>0</v>
      </c>
      <c r="I116" s="905">
        <f>TITAN!R82+CLASS!R86+TTA!R70</f>
        <v>0</v>
      </c>
      <c r="J116" s="905">
        <f>TITAN!S82+CLASS!S86+TTA!S70</f>
        <v>0</v>
      </c>
      <c r="K116" s="905">
        <f>TITAN!T82+CLASS!T86+TTA!T70</f>
        <v>0</v>
      </c>
    </row>
    <row r="118" spans="3:11" x14ac:dyDescent="0.55000000000000004">
      <c r="C118" s="1" t="s">
        <v>1730</v>
      </c>
      <c r="D118" s="905">
        <f>'Pro forma PL'!L13</f>
        <v>-159.16173699999999</v>
      </c>
      <c r="E118" s="905">
        <f>'Pro forma PL'!M13</f>
        <v>-271.35076700000008</v>
      </c>
      <c r="F118" s="905">
        <f>'Pro forma PL'!O13</f>
        <v>-271.35076700000008</v>
      </c>
      <c r="G118" s="905">
        <f>'Pro forma PL'!P13</f>
        <v>0</v>
      </c>
      <c r="H118" s="905">
        <f>'Pro forma PL'!Q13</f>
        <v>0</v>
      </c>
      <c r="I118" s="905">
        <f>'Pro forma PL'!R13</f>
        <v>0</v>
      </c>
      <c r="J118" s="905">
        <f>'Pro forma PL'!S13</f>
        <v>0</v>
      </c>
      <c r="K118" s="905">
        <f>'Pro forma PL'!T13</f>
        <v>0</v>
      </c>
    </row>
    <row r="119" spans="3:11" x14ac:dyDescent="0.55000000000000004">
      <c r="C119" s="1" t="s">
        <v>1734</v>
      </c>
      <c r="D119" s="905">
        <f>'Pro forma PL'!L18</f>
        <v>806.17240300000003</v>
      </c>
      <c r="E119" s="905">
        <f>'Pro forma PL'!M18</f>
        <v>0</v>
      </c>
      <c r="F119" s="905">
        <f>'Pro forma PL'!O18</f>
        <v>7180.8633119432761</v>
      </c>
      <c r="G119" s="905">
        <f>'Pro forma PL'!P18</f>
        <v>9311.741162639355</v>
      </c>
      <c r="H119" s="905">
        <f>'Pro forma PL'!Q18</f>
        <v>11456.751358649524</v>
      </c>
      <c r="I119" s="905">
        <f>'Pro forma PL'!R18</f>
        <v>12975.311880819861</v>
      </c>
      <c r="J119" s="905">
        <f>'Pro forma PL'!S18</f>
        <v>14564.865135704287</v>
      </c>
      <c r="K119" s="905">
        <f>'Pro forma PL'!T18</f>
        <v>16259.129396274906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A0429-CF92-4821-BECA-45E4B7A0060E}">
  <sheetPr>
    <tabColor rgb="FF00B050"/>
  </sheetPr>
  <dimension ref="A1:AA184"/>
  <sheetViews>
    <sheetView showGridLines="0" zoomScale="85" zoomScaleNormal="85" workbookViewId="0"/>
  </sheetViews>
  <sheetFormatPr defaultColWidth="9" defaultRowHeight="15" x14ac:dyDescent="0.55000000000000004"/>
  <cols>
    <col min="1" max="1" width="3.5" style="1" customWidth="1"/>
    <col min="2" max="6" width="1.640625" style="1" customWidth="1"/>
    <col min="7" max="25" width="9" style="1"/>
    <col min="26" max="26" width="11.640625" style="1" bestFit="1" customWidth="1"/>
    <col min="27" max="16384" width="9" style="1"/>
  </cols>
  <sheetData>
    <row r="1" spans="1:27" s="2" customFormat="1" x14ac:dyDescent="0.55000000000000004">
      <c r="A1" s="840" t="s">
        <v>0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  <c r="U1" s="840"/>
    </row>
    <row r="3" spans="1:27" x14ac:dyDescent="0.55000000000000004">
      <c r="A3" s="841" t="s">
        <v>1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  <c r="U3" s="842"/>
    </row>
    <row r="4" spans="1:27" x14ac:dyDescent="0.55000000000000004">
      <c r="O4" s="959">
        <f>O6/L6</f>
        <v>6.8895993472606323</v>
      </c>
    </row>
    <row r="5" spans="1:27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6" t="s">
        <v>1480</v>
      </c>
    </row>
    <row r="6" spans="1:27" s="4" customFormat="1" x14ac:dyDescent="0.55000000000000004">
      <c r="B6" s="12" t="s">
        <v>11</v>
      </c>
      <c r="C6" s="12"/>
      <c r="D6" s="12"/>
      <c r="E6" s="12"/>
      <c r="F6" s="12"/>
      <c r="G6" s="12"/>
      <c r="H6" s="12"/>
      <c r="I6" s="12"/>
      <c r="J6" s="12"/>
      <c r="K6" s="12"/>
      <c r="L6" s="320">
        <f>'Pro forma PL'!L6</f>
        <v>11223.358977</v>
      </c>
      <c r="M6" s="320">
        <f>'Pro forma PL'!M6</f>
        <v>33392.893260000004</v>
      </c>
      <c r="N6" s="320">
        <f>'Pro forma PL'!N6</f>
        <v>43931.553422010955</v>
      </c>
      <c r="O6" s="320">
        <f>'Pro forma PL'!O6</f>
        <v>77324.446682010952</v>
      </c>
      <c r="P6" s="320">
        <f>'Pro forma PL'!P6</f>
        <v>93269.57737662681</v>
      </c>
      <c r="Q6" s="320">
        <f>'Pro forma PL'!Q6</f>
        <v>103535.1598098485</v>
      </c>
      <c r="R6" s="320">
        <f>'Pro forma PL'!R6</f>
        <v>114632.34806469963</v>
      </c>
      <c r="S6" s="320">
        <f>'Pro forma PL'!S6</f>
        <v>126061.70922442742</v>
      </c>
      <c r="T6" s="481">
        <f>'Pro forma PL'!T6</f>
        <v>138122.30628684408</v>
      </c>
    </row>
    <row r="7" spans="1:27" x14ac:dyDescent="0.55000000000000004">
      <c r="B7" s="1" t="s">
        <v>12</v>
      </c>
      <c r="L7" s="315">
        <f>'Pro forma PL'!L7</f>
        <v>7882.2028159999991</v>
      </c>
      <c r="M7" s="315">
        <f>'Pro forma PL'!M7</f>
        <v>19480.857440999996</v>
      </c>
      <c r="N7" s="315">
        <f>'Pro forma PL'!N7</f>
        <v>30151.488306322091</v>
      </c>
      <c r="O7" s="315">
        <f>'Pro forma PL'!O7</f>
        <v>49632.345747322091</v>
      </c>
      <c r="P7" s="315">
        <f>'Pro forma PL'!P7</f>
        <v>57986.595478227428</v>
      </c>
      <c r="Q7" s="315">
        <f>'Pro forma PL'!Q7</f>
        <v>60124.892276154482</v>
      </c>
      <c r="R7" s="315">
        <f>'Pro forma PL'!R7</f>
        <v>65467.260924113652</v>
      </c>
      <c r="S7" s="315">
        <f>'Pro forma PL'!S7</f>
        <v>70872.351327237688</v>
      </c>
      <c r="T7" s="315">
        <f>'Pro forma PL'!T7</f>
        <v>76518.722736914729</v>
      </c>
    </row>
    <row r="8" spans="1:27" s="4" customFormat="1" x14ac:dyDescent="0.55000000000000004"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321">
        <f>L6-L7</f>
        <v>3341.1561610000008</v>
      </c>
      <c r="M8" s="321">
        <f t="shared" ref="M8:T8" si="0">M6-M7</f>
        <v>13912.035819000008</v>
      </c>
      <c r="N8" s="321">
        <f t="shared" si="0"/>
        <v>13780.065115688863</v>
      </c>
      <c r="O8" s="321">
        <f t="shared" si="0"/>
        <v>27692.10093468886</v>
      </c>
      <c r="P8" s="321">
        <f t="shared" si="0"/>
        <v>35282.981898399383</v>
      </c>
      <c r="Q8" s="321">
        <f t="shared" si="0"/>
        <v>43410.267533694016</v>
      </c>
      <c r="R8" s="321">
        <f t="shared" si="0"/>
        <v>49165.08714058598</v>
      </c>
      <c r="S8" s="321">
        <f t="shared" si="0"/>
        <v>55189.357897189737</v>
      </c>
      <c r="T8" s="321">
        <f t="shared" si="0"/>
        <v>61603.583549929346</v>
      </c>
    </row>
    <row r="9" spans="1:27" s="3" customFormat="1" x14ac:dyDescent="0.55000000000000004">
      <c r="B9" s="6" t="s">
        <v>14</v>
      </c>
      <c r="C9" s="6"/>
      <c r="D9" s="6"/>
      <c r="E9" s="6"/>
      <c r="F9" s="6"/>
      <c r="G9" s="6"/>
      <c r="H9" s="6"/>
      <c r="I9" s="6"/>
      <c r="J9" s="6"/>
      <c r="K9" s="6"/>
      <c r="L9" s="319">
        <f>L8/L$6</f>
        <v>0.29769663144937475</v>
      </c>
      <c r="M9" s="319">
        <f t="shared" ref="M9:T9" si="1">M8/M$6</f>
        <v>0.41661666482983889</v>
      </c>
      <c r="N9" s="319">
        <f t="shared" si="1"/>
        <v>0.31367124634351445</v>
      </c>
      <c r="O9" s="319">
        <f t="shared" si="1"/>
        <v>0.358128665938857</v>
      </c>
      <c r="P9" s="319">
        <f t="shared" si="1"/>
        <v>0.37829035888009971</v>
      </c>
      <c r="Q9" s="319">
        <f t="shared" si="1"/>
        <v>0.41928044167238282</v>
      </c>
      <c r="R9" s="319">
        <f t="shared" si="1"/>
        <v>0.42889365847096422</v>
      </c>
      <c r="S9" s="319">
        <f t="shared" si="1"/>
        <v>0.43779636367563624</v>
      </c>
      <c r="T9" s="319">
        <f t="shared" si="1"/>
        <v>0.44600749296782477</v>
      </c>
    </row>
    <row r="10" spans="1:27" x14ac:dyDescent="0.55000000000000004">
      <c r="B10" s="1" t="s">
        <v>15</v>
      </c>
      <c r="L10" s="322"/>
      <c r="M10" s="322"/>
      <c r="N10" s="19">
        <f>SUM(N48,N93,N128,N161)</f>
        <v>3485.8774611287436</v>
      </c>
      <c r="O10" s="322"/>
      <c r="P10" s="19">
        <f t="shared" ref="P10:T10" si="2">SUM(P48,P93,P128,P161)</f>
        <v>9311.741162639355</v>
      </c>
      <c r="Q10" s="19">
        <f t="shared" si="2"/>
        <v>11456.751358649524</v>
      </c>
      <c r="R10" s="19">
        <f t="shared" si="2"/>
        <v>12975.311880819861</v>
      </c>
      <c r="S10" s="19">
        <f t="shared" si="2"/>
        <v>14564.865135704287</v>
      </c>
      <c r="T10" s="19">
        <f t="shared" si="2"/>
        <v>16259.129396274906</v>
      </c>
    </row>
    <row r="11" spans="1:27" s="4" customFormat="1" x14ac:dyDescent="0.55000000000000004">
      <c r="B11" s="7" t="s">
        <v>16</v>
      </c>
      <c r="C11" s="7"/>
      <c r="D11" s="7"/>
      <c r="E11" s="7"/>
      <c r="F11" s="7"/>
      <c r="G11" s="7"/>
      <c r="H11" s="7"/>
      <c r="I11" s="7"/>
      <c r="J11" s="7"/>
      <c r="K11" s="7"/>
      <c r="L11" s="323"/>
      <c r="M11" s="323"/>
      <c r="N11" s="328">
        <f>N8-N10</f>
        <v>10294.187654560119</v>
      </c>
      <c r="O11" s="323"/>
      <c r="P11" s="328">
        <f t="shared" ref="P11:T11" si="3">P8-P10</f>
        <v>25971.240735760028</v>
      </c>
      <c r="Q11" s="328">
        <f t="shared" si="3"/>
        <v>31953.51617504449</v>
      </c>
      <c r="R11" s="328">
        <f t="shared" si="3"/>
        <v>36189.775259766117</v>
      </c>
      <c r="S11" s="328">
        <f t="shared" si="3"/>
        <v>40624.492761485453</v>
      </c>
      <c r="T11" s="328">
        <f t="shared" si="3"/>
        <v>45344.454153654442</v>
      </c>
      <c r="Z11" s="393"/>
      <c r="AA11" s="393"/>
    </row>
    <row r="12" spans="1:27" x14ac:dyDescent="0.55000000000000004">
      <c r="B12" s="1" t="s">
        <v>17</v>
      </c>
      <c r="L12" s="322"/>
      <c r="M12" s="322"/>
      <c r="N12" s="19">
        <f>'Pro forma PL'!N21</f>
        <v>81.972752431152088</v>
      </c>
      <c r="O12" s="322"/>
      <c r="P12" s="19">
        <f>'Pro forma PL'!P21</f>
        <v>143.8772955710333</v>
      </c>
      <c r="Q12" s="19">
        <f>'Pro forma PL'!Q21</f>
        <v>129.85259338714971</v>
      </c>
      <c r="R12" s="19">
        <f>'Pro forma PL'!R21</f>
        <v>117.28631575767835</v>
      </c>
      <c r="S12" s="19">
        <f>'Pro forma PL'!S21</f>
        <v>106.45002070479691</v>
      </c>
      <c r="T12" s="19">
        <f>'Pro forma PL'!T21</f>
        <v>95.874854850933119</v>
      </c>
      <c r="AA12" s="394"/>
    </row>
    <row r="13" spans="1:27" x14ac:dyDescent="0.55000000000000004">
      <c r="B13" s="1" t="s">
        <v>18</v>
      </c>
      <c r="L13" s="322"/>
      <c r="M13" s="322"/>
      <c r="N13" s="19">
        <f t="shared" ref="N13" si="4">SUM(N51,N96,N131,N164)</f>
        <v>-74.922948123666657</v>
      </c>
      <c r="O13" s="322"/>
      <c r="P13" s="19">
        <f t="shared" ref="P13:T13" si="5">SUM(P51,P96,P131,P164)</f>
        <v>-122.01724812427473</v>
      </c>
      <c r="Q13" s="19">
        <f t="shared" si="5"/>
        <v>-112.45918738872732</v>
      </c>
      <c r="R13" s="19">
        <f t="shared" si="5"/>
        <v>-104.5215872304136</v>
      </c>
      <c r="S13" s="19">
        <f t="shared" si="5"/>
        <v>-98.582785665260005</v>
      </c>
      <c r="T13" s="19">
        <f t="shared" si="5"/>
        <v>-86.635555008346145</v>
      </c>
      <c r="AA13" s="394"/>
    </row>
    <row r="14" spans="1:27" x14ac:dyDescent="0.55000000000000004">
      <c r="B14" s="1" t="s">
        <v>19</v>
      </c>
      <c r="L14" s="322"/>
      <c r="M14" s="322"/>
      <c r="N14" s="19">
        <f>SUM(N52,N97,N132,N165)</f>
        <v>1487.657076801876</v>
      </c>
      <c r="O14" s="322"/>
      <c r="P14" s="19">
        <f t="shared" ref="P14:T14" si="6">SUM(P52,P97,P132,P165)</f>
        <v>-1004.2223046201864</v>
      </c>
      <c r="Q14" s="19">
        <f t="shared" si="6"/>
        <v>-620.98453175153077</v>
      </c>
      <c r="R14" s="19">
        <f t="shared" si="6"/>
        <v>-760.89674816517368</v>
      </c>
      <c r="S14" s="19">
        <f t="shared" si="6"/>
        <v>-782.99138580839667</v>
      </c>
      <c r="T14" s="19">
        <f t="shared" si="6"/>
        <v>-825.5848720860638</v>
      </c>
      <c r="AA14" s="394"/>
    </row>
    <row r="15" spans="1:27" s="4" customFormat="1" x14ac:dyDescent="0.55000000000000004">
      <c r="B15" s="7" t="s">
        <v>20</v>
      </c>
      <c r="C15" s="7"/>
      <c r="D15" s="7"/>
      <c r="E15" s="7"/>
      <c r="F15" s="7"/>
      <c r="G15" s="7"/>
      <c r="H15" s="7"/>
      <c r="I15" s="7"/>
      <c r="J15" s="7"/>
      <c r="K15" s="7"/>
      <c r="L15" s="323"/>
      <c r="M15" s="323"/>
      <c r="N15" s="330">
        <f>SUM(N11:N14)</f>
        <v>11788.89453566948</v>
      </c>
      <c r="O15" s="323"/>
      <c r="P15" s="330">
        <f t="shared" ref="P15:T15" si="7">SUM(P11:P14)</f>
        <v>24988.878478586601</v>
      </c>
      <c r="Q15" s="330">
        <f t="shared" si="7"/>
        <v>31349.925049291382</v>
      </c>
      <c r="R15" s="330">
        <f t="shared" si="7"/>
        <v>35441.643240128215</v>
      </c>
      <c r="S15" s="330">
        <f t="shared" si="7"/>
        <v>39849.368610716592</v>
      </c>
      <c r="T15" s="330">
        <f t="shared" si="7"/>
        <v>44528.108581410961</v>
      </c>
    </row>
    <row r="16" spans="1:27" x14ac:dyDescent="0.55000000000000004">
      <c r="B16" s="8" t="s">
        <v>21</v>
      </c>
      <c r="C16" s="8"/>
      <c r="D16" s="8"/>
      <c r="E16" s="8"/>
      <c r="F16" s="8"/>
      <c r="G16" s="8"/>
      <c r="H16" s="8"/>
      <c r="I16" s="8"/>
      <c r="J16" s="8"/>
      <c r="K16" s="8"/>
      <c r="L16" s="324"/>
      <c r="M16" s="324"/>
      <c r="N16" s="331">
        <f>N54</f>
        <v>0.25205479452054796</v>
      </c>
      <c r="O16" s="324"/>
      <c r="P16" s="331">
        <f t="shared" ref="P16:T16" si="8">P54</f>
        <v>1</v>
      </c>
      <c r="Q16" s="331">
        <f t="shared" si="8"/>
        <v>2</v>
      </c>
      <c r="R16" s="331">
        <f t="shared" si="8"/>
        <v>3</v>
      </c>
      <c r="S16" s="331">
        <f t="shared" si="8"/>
        <v>4</v>
      </c>
      <c r="T16" s="331">
        <f t="shared" si="8"/>
        <v>5</v>
      </c>
    </row>
    <row r="17" spans="2:20" x14ac:dyDescent="0.55000000000000004">
      <c r="B17" s="9" t="s">
        <v>22</v>
      </c>
      <c r="C17" s="9"/>
      <c r="D17" s="9"/>
      <c r="E17" s="9"/>
      <c r="F17" s="9"/>
      <c r="G17" s="9"/>
      <c r="H17" s="9"/>
      <c r="I17" s="9"/>
      <c r="J17" s="9"/>
      <c r="K17" s="9"/>
      <c r="L17" s="325"/>
      <c r="M17" s="325"/>
      <c r="N17" s="333">
        <f>1/(1+$J$24)^N16</f>
        <v>0.9653856041480513</v>
      </c>
      <c r="O17" s="325"/>
      <c r="P17" s="333">
        <f t="shared" ref="P17:T17" si="9">1/(1+$J$24)^P16</f>
        <v>0.86956521739130443</v>
      </c>
      <c r="Q17" s="333">
        <f t="shared" si="9"/>
        <v>0.7561436672967865</v>
      </c>
      <c r="R17" s="333">
        <f t="shared" si="9"/>
        <v>0.65751623243198831</v>
      </c>
      <c r="S17" s="333">
        <f t="shared" si="9"/>
        <v>0.57175324559303342</v>
      </c>
      <c r="T17" s="333">
        <f t="shared" si="9"/>
        <v>0.49717673529828987</v>
      </c>
    </row>
    <row r="18" spans="2:20" s="4" customFormat="1" x14ac:dyDescent="0.55000000000000004">
      <c r="B18" s="7" t="s">
        <v>23</v>
      </c>
      <c r="C18" s="7"/>
      <c r="D18" s="7"/>
      <c r="E18" s="7"/>
      <c r="F18" s="7"/>
      <c r="G18" s="7"/>
      <c r="H18" s="7"/>
      <c r="I18" s="7"/>
      <c r="J18" s="7"/>
      <c r="K18" s="7"/>
      <c r="L18" s="323"/>
      <c r="M18" s="323"/>
      <c r="N18" s="328">
        <f>N17*N15</f>
        <v>11380.829073554942</v>
      </c>
      <c r="O18" s="323"/>
      <c r="P18" s="328">
        <f t="shared" ref="P18:T18" si="10">P17*P15</f>
        <v>21729.459546597045</v>
      </c>
      <c r="Q18" s="328">
        <f t="shared" si="10"/>
        <v>23705.047296250577</v>
      </c>
      <c r="R18" s="328">
        <f t="shared" si="10"/>
        <v>23303.455734447751</v>
      </c>
      <c r="S18" s="328">
        <f t="shared" si="10"/>
        <v>22784.005838010362</v>
      </c>
      <c r="T18" s="328">
        <f t="shared" si="10"/>
        <v>22138.339653513667</v>
      </c>
    </row>
    <row r="19" spans="2:20" s="10" customFormat="1" x14ac:dyDescent="0.55000000000000004">
      <c r="B19" s="13" t="s">
        <v>24</v>
      </c>
      <c r="L19" s="326"/>
      <c r="M19" s="326"/>
      <c r="N19" s="28">
        <f>SUM(N18:T18)</f>
        <v>125041.13714237434</v>
      </c>
      <c r="O19" s="326"/>
    </row>
    <row r="20" spans="2:20" s="10" customFormat="1" x14ac:dyDescent="0.55000000000000004">
      <c r="B20" s="13" t="s">
        <v>25</v>
      </c>
      <c r="L20" s="326"/>
      <c r="M20" s="326"/>
      <c r="N20" s="28">
        <f>SUM(N58,N103,N138,N171)</f>
        <v>162240.69114721107</v>
      </c>
      <c r="O20" s="326"/>
    </row>
    <row r="21" spans="2:20" s="10" customFormat="1" x14ac:dyDescent="0.55000000000000004">
      <c r="B21" s="11" t="s">
        <v>26</v>
      </c>
      <c r="C21" s="14"/>
      <c r="D21" s="14"/>
      <c r="E21" s="14"/>
      <c r="F21" s="14"/>
      <c r="G21" s="14"/>
      <c r="H21" s="14"/>
      <c r="I21" s="14"/>
      <c r="J21" s="14"/>
      <c r="K21" s="14"/>
      <c r="L21" s="327"/>
      <c r="M21" s="327"/>
      <c r="N21" s="334">
        <f>SUM(N19:N20)</f>
        <v>287281.82828958542</v>
      </c>
      <c r="O21" s="327"/>
      <c r="P21" s="14"/>
      <c r="Q21" s="14"/>
      <c r="R21" s="14"/>
      <c r="S21" s="14"/>
      <c r="T21" s="14"/>
    </row>
    <row r="22" spans="2:20" s="10" customFormat="1" x14ac:dyDescent="0.55000000000000004"/>
    <row r="23" spans="2:20" x14ac:dyDescent="0.55000000000000004">
      <c r="B23" s="847" t="s">
        <v>27</v>
      </c>
      <c r="C23" s="848"/>
      <c r="D23" s="848"/>
      <c r="E23" s="848"/>
      <c r="F23" s="848"/>
      <c r="G23" s="848"/>
      <c r="H23" s="848"/>
      <c r="I23" s="848"/>
      <c r="J23" s="332">
        <v>0.01</v>
      </c>
    </row>
    <row r="24" spans="2:20" x14ac:dyDescent="0.55000000000000004">
      <c r="B24" s="849" t="s">
        <v>28</v>
      </c>
      <c r="C24" s="850"/>
      <c r="D24" s="850"/>
      <c r="E24" s="850"/>
      <c r="F24" s="850"/>
      <c r="G24" s="850"/>
      <c r="H24" s="850"/>
      <c r="I24" s="850"/>
      <c r="J24" s="298">
        <v>0.15</v>
      </c>
    </row>
    <row r="26" spans="2:20" x14ac:dyDescent="0.55000000000000004">
      <c r="B26" s="844"/>
      <c r="C26" s="844"/>
      <c r="D26" s="844"/>
      <c r="E26" s="844"/>
      <c r="F26" s="844"/>
      <c r="G26" s="844"/>
      <c r="H26" s="844"/>
      <c r="I26" s="844"/>
      <c r="J26" s="844"/>
    </row>
    <row r="27" spans="2:20" s="4" customFormat="1" x14ac:dyDescent="0.55000000000000004">
      <c r="B27" s="12" t="s">
        <v>29</v>
      </c>
      <c r="C27" s="12"/>
      <c r="D27" s="12"/>
      <c r="E27" s="12"/>
      <c r="F27" s="12"/>
      <c r="G27" s="12"/>
      <c r="H27" s="12"/>
      <c r="I27" s="12"/>
      <c r="J27" s="18">
        <f>N21</f>
        <v>287281.82828958542</v>
      </c>
    </row>
    <row r="28" spans="2:20" x14ac:dyDescent="0.55000000000000004">
      <c r="B28" s="1" t="s">
        <v>30</v>
      </c>
      <c r="J28" s="19">
        <f>SUM(J29:J31)</f>
        <v>7516.3068910000002</v>
      </c>
    </row>
    <row r="29" spans="2:20" x14ac:dyDescent="0.55000000000000004">
      <c r="C29" s="1" t="s">
        <v>1739</v>
      </c>
      <c r="J29" s="19">
        <f>SUM(J67,J68,J69,J112,J147,J180)</f>
        <v>6556.3068910000002</v>
      </c>
    </row>
    <row r="30" spans="2:20" x14ac:dyDescent="0.55000000000000004">
      <c r="C30" s="1" t="s">
        <v>49</v>
      </c>
      <c r="J30" s="19">
        <f>J113</f>
        <v>650</v>
      </c>
    </row>
    <row r="31" spans="2:20" x14ac:dyDescent="0.55000000000000004">
      <c r="C31" s="1" t="s">
        <v>39</v>
      </c>
      <c r="J31" s="19">
        <f>J114+J74</f>
        <v>310</v>
      </c>
    </row>
    <row r="32" spans="2:20" s="4" customFormat="1" x14ac:dyDescent="0.55000000000000004">
      <c r="B32" s="483" t="s">
        <v>31</v>
      </c>
      <c r="C32" s="483"/>
      <c r="D32" s="483"/>
      <c r="E32" s="483"/>
      <c r="F32" s="483"/>
      <c r="G32" s="483"/>
      <c r="H32" s="483"/>
      <c r="I32" s="483"/>
      <c r="J32" s="484">
        <f>J28+J27</f>
        <v>294798.13518058544</v>
      </c>
    </row>
    <row r="33" spans="1:21" s="10" customFormat="1" x14ac:dyDescent="0.55000000000000004">
      <c r="B33" s="10" t="s">
        <v>1740</v>
      </c>
      <c r="J33" s="24">
        <f>SUM(J34:J36)</f>
        <v>9435.2176772803905</v>
      </c>
    </row>
    <row r="34" spans="1:21" s="10" customFormat="1" x14ac:dyDescent="0.55000000000000004">
      <c r="C34" s="10" t="s">
        <v>45</v>
      </c>
      <c r="J34" s="24">
        <f>J118*(1-I81)</f>
        <v>0</v>
      </c>
    </row>
    <row r="35" spans="1:21" s="10" customFormat="1" x14ac:dyDescent="0.55000000000000004">
      <c r="C35" s="10" t="s">
        <v>46</v>
      </c>
      <c r="J35" s="24">
        <f>J151*(1-I82)</f>
        <v>9435.2176772803905</v>
      </c>
    </row>
    <row r="36" spans="1:21" s="10" customFormat="1" x14ac:dyDescent="0.55000000000000004">
      <c r="C36" s="10" t="s">
        <v>1741</v>
      </c>
      <c r="J36" s="24">
        <f>J184*(1-I83)</f>
        <v>0</v>
      </c>
    </row>
    <row r="37" spans="1:21" x14ac:dyDescent="0.55000000000000004">
      <c r="B37" s="1" t="s">
        <v>32</v>
      </c>
      <c r="J37" s="19">
        <f>SUM(J77,J117,J150,J183)</f>
        <v>692.29700000000003</v>
      </c>
    </row>
    <row r="38" spans="1:21" s="4" customFormat="1" x14ac:dyDescent="0.55000000000000004">
      <c r="B38" s="483" t="s">
        <v>33</v>
      </c>
      <c r="C38" s="483"/>
      <c r="D38" s="483"/>
      <c r="E38" s="483"/>
      <c r="F38" s="483"/>
      <c r="G38" s="483"/>
      <c r="H38" s="483"/>
      <c r="I38" s="483"/>
      <c r="J38" s="484">
        <f>J32-J33-J37</f>
        <v>284670.62050330505</v>
      </c>
      <c r="K38" s="23" t="b">
        <f>ROUND(J38,)=ROUND(J78,)</f>
        <v>1</v>
      </c>
    </row>
    <row r="41" spans="1:21" x14ac:dyDescent="0.55000000000000004">
      <c r="A41" s="841" t="s">
        <v>34</v>
      </c>
      <c r="B41" s="842"/>
      <c r="C41" s="842"/>
      <c r="D41" s="842"/>
      <c r="E41" s="842"/>
      <c r="F41" s="842"/>
      <c r="G41" s="842"/>
      <c r="H41" s="842"/>
      <c r="I41" s="842"/>
      <c r="J41" s="842"/>
      <c r="K41" s="842"/>
      <c r="L41" s="842"/>
      <c r="M41" s="842"/>
      <c r="N41" s="842"/>
      <c r="O41" s="842"/>
      <c r="P41" s="842"/>
      <c r="Q41" s="842"/>
      <c r="R41" s="842"/>
      <c r="S41" s="842"/>
      <c r="T41" s="842"/>
      <c r="U41" s="842"/>
    </row>
    <row r="43" spans="1:21" x14ac:dyDescent="0.55000000000000004">
      <c r="B43" s="844"/>
      <c r="C43" s="844"/>
      <c r="D43" s="844"/>
      <c r="E43" s="844"/>
      <c r="F43" s="844"/>
      <c r="G43" s="844"/>
      <c r="H43" s="844"/>
      <c r="I43" s="844"/>
      <c r="J43" s="844"/>
      <c r="K43" s="844"/>
      <c r="L43" s="845" t="s">
        <v>2</v>
      </c>
      <c r="M43" s="845" t="s">
        <v>3</v>
      </c>
      <c r="N43" s="845" t="s">
        <v>4</v>
      </c>
      <c r="O43" s="845" t="s">
        <v>5</v>
      </c>
      <c r="P43" s="845" t="s">
        <v>6</v>
      </c>
      <c r="Q43" s="845" t="s">
        <v>7</v>
      </c>
      <c r="R43" s="845" t="s">
        <v>8</v>
      </c>
      <c r="S43" s="845" t="s">
        <v>9</v>
      </c>
      <c r="T43" s="846" t="s">
        <v>1480</v>
      </c>
      <c r="U43" s="845" t="s">
        <v>10</v>
      </c>
    </row>
    <row r="44" spans="1:21" x14ac:dyDescent="0.55000000000000004">
      <c r="A44" s="4"/>
      <c r="B44" s="12" t="s">
        <v>11</v>
      </c>
      <c r="C44" s="12"/>
      <c r="D44" s="12"/>
      <c r="E44" s="12"/>
      <c r="F44" s="12"/>
      <c r="G44" s="12"/>
      <c r="H44" s="12"/>
      <c r="I44" s="12"/>
      <c r="J44" s="12"/>
      <c r="K44" s="12"/>
      <c r="L44" s="320">
        <f>TITAN!L6</f>
        <v>11203.458977</v>
      </c>
      <c r="M44" s="320">
        <f>TITAN!M6</f>
        <v>17504.878433999998</v>
      </c>
      <c r="N44" s="320">
        <f>TITAN!N6</f>
        <v>17577.197469939128</v>
      </c>
      <c r="O44" s="320">
        <f>TITAN!O6</f>
        <v>35082.075903939134</v>
      </c>
      <c r="P44" s="320">
        <f>TITAN!P6</f>
        <v>37812.470359291983</v>
      </c>
      <c r="Q44" s="320">
        <f>TITAN!Q6</f>
        <v>40682.350218877298</v>
      </c>
      <c r="R44" s="320">
        <f>TITAN!R6</f>
        <v>43771.909329847258</v>
      </c>
      <c r="S44" s="320">
        <f>TITAN!S6</f>
        <v>46881.274728858982</v>
      </c>
      <c r="T44" s="320">
        <f>TITAN!T6</f>
        <v>50120.726308840254</v>
      </c>
      <c r="U44" s="320">
        <f>T44*(1+$J$61)</f>
        <v>50621.933571928654</v>
      </c>
    </row>
    <row r="45" spans="1:21" x14ac:dyDescent="0.55000000000000004">
      <c r="B45" s="1" t="s">
        <v>12</v>
      </c>
      <c r="L45" s="315">
        <f>TITAN!L7</f>
        <v>7805.3692439999995</v>
      </c>
      <c r="M45" s="315">
        <f>TITAN!M7</f>
        <v>10871.796025</v>
      </c>
      <c r="N45" s="315">
        <f>TITAN!N7</f>
        <v>12636.465532712071</v>
      </c>
      <c r="O45" s="315">
        <f>TITAN!O7</f>
        <v>23508.26155771207</v>
      </c>
      <c r="P45" s="315">
        <f>TITAN!P7</f>
        <v>25900.887277834296</v>
      </c>
      <c r="Q45" s="315">
        <f>TITAN!Q7</f>
        <v>26116.725189098168</v>
      </c>
      <c r="R45" s="315">
        <f>TITAN!R7</f>
        <v>27996.971173985647</v>
      </c>
      <c r="S45" s="315">
        <f>TITAN!S7</f>
        <v>29882.533711209235</v>
      </c>
      <c r="T45" s="315">
        <f>TITAN!T7</f>
        <v>31848.718186638347</v>
      </c>
      <c r="U45" s="315">
        <f>T45*(1+$J$61)</f>
        <v>32167.205368504732</v>
      </c>
    </row>
    <row r="46" spans="1:21" x14ac:dyDescent="0.55000000000000004">
      <c r="A46" s="4"/>
      <c r="B46" s="5" t="s">
        <v>13</v>
      </c>
      <c r="C46" s="5"/>
      <c r="D46" s="5"/>
      <c r="E46" s="5"/>
      <c r="F46" s="5"/>
      <c r="G46" s="5"/>
      <c r="H46" s="5"/>
      <c r="I46" s="5"/>
      <c r="J46" s="5"/>
      <c r="K46" s="5"/>
      <c r="L46" s="321">
        <f>L44-L45</f>
        <v>3398.0897330000007</v>
      </c>
      <c r="M46" s="321">
        <f t="shared" ref="M46:S46" si="11">M44-M45</f>
        <v>6633.0824089999987</v>
      </c>
      <c r="N46" s="321">
        <f t="shared" si="11"/>
        <v>4940.7319372270576</v>
      </c>
      <c r="O46" s="321">
        <f t="shared" si="11"/>
        <v>11573.814346227064</v>
      </c>
      <c r="P46" s="321">
        <f t="shared" si="11"/>
        <v>11911.583081457688</v>
      </c>
      <c r="Q46" s="321">
        <f t="shared" si="11"/>
        <v>14565.62502977913</v>
      </c>
      <c r="R46" s="321">
        <f t="shared" si="11"/>
        <v>15774.938155861611</v>
      </c>
      <c r="S46" s="321">
        <f t="shared" si="11"/>
        <v>16998.741017649747</v>
      </c>
      <c r="T46" s="321">
        <f t="shared" ref="T46" si="12">T44-T45</f>
        <v>18272.008122201907</v>
      </c>
      <c r="U46" s="321">
        <f t="shared" ref="U46" si="13">U44-U45</f>
        <v>18454.728203423922</v>
      </c>
    </row>
    <row r="47" spans="1:21" x14ac:dyDescent="0.55000000000000004">
      <c r="A47" s="3"/>
      <c r="B47" s="6" t="s">
        <v>14</v>
      </c>
      <c r="C47" s="6"/>
      <c r="D47" s="6"/>
      <c r="E47" s="6"/>
      <c r="F47" s="6"/>
      <c r="G47" s="6"/>
      <c r="H47" s="6"/>
      <c r="I47" s="6"/>
      <c r="J47" s="6"/>
      <c r="K47" s="6"/>
      <c r="L47" s="318">
        <f>L46/L44</f>
        <v>0.30330719646281262</v>
      </c>
      <c r="M47" s="318">
        <f t="shared" ref="M47:S47" si="14">M46/M44</f>
        <v>0.37892764774169807</v>
      </c>
      <c r="N47" s="318">
        <f t="shared" si="14"/>
        <v>0.28108758211750168</v>
      </c>
      <c r="O47" s="318">
        <f t="shared" si="14"/>
        <v>0.32990676999611407</v>
      </c>
      <c r="P47" s="318">
        <f t="shared" si="14"/>
        <v>0.31501732016645539</v>
      </c>
      <c r="Q47" s="318">
        <f t="shared" si="14"/>
        <v>0.35803302787114877</v>
      </c>
      <c r="R47" s="318">
        <f t="shared" si="14"/>
        <v>0.3603895374311436</v>
      </c>
      <c r="S47" s="318">
        <f t="shared" si="14"/>
        <v>0.36259127158898968</v>
      </c>
      <c r="T47" s="318">
        <f t="shared" ref="T47" si="15">T46/T44</f>
        <v>0.36455992296702022</v>
      </c>
      <c r="U47" s="318">
        <f t="shared" ref="U47" si="16">U46/U44</f>
        <v>0.36455992296702017</v>
      </c>
    </row>
    <row r="48" spans="1:21" x14ac:dyDescent="0.55000000000000004">
      <c r="B48" s="1" t="s">
        <v>15</v>
      </c>
      <c r="L48" s="322"/>
      <c r="M48" s="322"/>
      <c r="N48" s="19">
        <f>IF(N46&lt;0,0,IF(N46&lt;2,N46*9%*1.1,IF(N46&lt;200,N46*19%*1.1,IF(N46&lt;3000,N46*21%*1.1,N46*24%*1.1))))</f>
        <v>1304.3532314279432</v>
      </c>
      <c r="O48" s="322"/>
      <c r="P48" s="19">
        <f t="shared" ref="P48:U48" si="17">IF(P46&lt;0,0,IF(P46&lt;2,P46*9%*1.1,IF(P46&lt;200,P46*19%*1.1,IF(P46&lt;3000,P46*21%*1.1,P46*24%*1.1))))</f>
        <v>3144.65793350483</v>
      </c>
      <c r="Q48" s="19">
        <f t="shared" si="17"/>
        <v>3845.3250078616907</v>
      </c>
      <c r="R48" s="19">
        <f t="shared" si="17"/>
        <v>4164.5836731474656</v>
      </c>
      <c r="S48" s="19">
        <f t="shared" si="17"/>
        <v>4487.667628659533</v>
      </c>
      <c r="T48" s="19">
        <f t="shared" ref="T48" si="18">IF(T46&lt;0,0,IF(T46&lt;2,T46*9%*1.1,IF(T46&lt;200,T46*19%*1.1,IF(T46&lt;3000,T46*21%*1.1,T46*24%*1.1))))</f>
        <v>4823.8101442613042</v>
      </c>
      <c r="U48" s="19">
        <f t="shared" si="17"/>
        <v>4872.0482457039152</v>
      </c>
    </row>
    <row r="49" spans="1:21" x14ac:dyDescent="0.55000000000000004">
      <c r="A49" s="4"/>
      <c r="B49" s="7" t="s">
        <v>16</v>
      </c>
      <c r="C49" s="7"/>
      <c r="D49" s="7"/>
      <c r="E49" s="7"/>
      <c r="F49" s="7"/>
      <c r="G49" s="7"/>
      <c r="H49" s="7"/>
      <c r="I49" s="7"/>
      <c r="J49" s="7"/>
      <c r="K49" s="7"/>
      <c r="L49" s="323"/>
      <c r="M49" s="323"/>
      <c r="N49" s="328">
        <f>N46-N48</f>
        <v>3636.3787057991144</v>
      </c>
      <c r="O49" s="323"/>
      <c r="P49" s="328">
        <f t="shared" ref="P49:U49" si="19">P46-P48</f>
        <v>8766.9251479528575</v>
      </c>
      <c r="Q49" s="328">
        <f t="shared" si="19"/>
        <v>10720.300021917439</v>
      </c>
      <c r="R49" s="328">
        <f t="shared" si="19"/>
        <v>11610.354482714145</v>
      </c>
      <c r="S49" s="328">
        <f t="shared" si="19"/>
        <v>12511.073388990215</v>
      </c>
      <c r="T49" s="328">
        <f t="shared" ref="T49" si="20">T46-T48</f>
        <v>13448.197977940603</v>
      </c>
      <c r="U49" s="328">
        <f t="shared" si="19"/>
        <v>13582.679957720007</v>
      </c>
    </row>
    <row r="50" spans="1:21" x14ac:dyDescent="0.55000000000000004">
      <c r="B50" s="1" t="s">
        <v>17</v>
      </c>
      <c r="L50" s="322"/>
      <c r="M50" s="322"/>
      <c r="N50" s="19">
        <f>TITAN!N10</f>
        <v>50.626288725500004</v>
      </c>
      <c r="O50" s="329"/>
      <c r="P50" s="19">
        <f>TITAN!P10</f>
        <v>84.973117881637307</v>
      </c>
      <c r="Q50" s="19">
        <f>TITAN!Q10</f>
        <v>77.169324070728834</v>
      </c>
      <c r="R50" s="19">
        <f>TITAN!R10</f>
        <v>70.159179992286681</v>
      </c>
      <c r="S50" s="19">
        <f>TITAN!S10</f>
        <v>63.861971071694128</v>
      </c>
      <c r="T50" s="19">
        <f>TITAN!T10</f>
        <v>58.2051914469303</v>
      </c>
      <c r="U50" s="19"/>
    </row>
    <row r="51" spans="1:21" x14ac:dyDescent="0.55000000000000004">
      <c r="B51" s="1" t="s">
        <v>18</v>
      </c>
      <c r="L51" s="322"/>
      <c r="M51" s="322"/>
      <c r="N51" s="19">
        <f>-TITAN!N103</f>
        <v>-41.794001999999999</v>
      </c>
      <c r="O51" s="329"/>
      <c r="P51" s="19">
        <f>-TITAN!P103</f>
        <v>-62.613702065799501</v>
      </c>
      <c r="Q51" s="19">
        <f>-TITAN!Q103</f>
        <v>-56.24585725885666</v>
      </c>
      <c r="R51" s="19">
        <f>-TITAN!R103</f>
        <v>-50.525625452702315</v>
      </c>
      <c r="S51" s="19">
        <f>-TITAN!S103</f>
        <v>-45.387144081349753</v>
      </c>
      <c r="T51" s="19">
        <f>-TITAN!T103</f>
        <v>-40.771248834704451</v>
      </c>
      <c r="U51" s="19"/>
    </row>
    <row r="52" spans="1:21" x14ac:dyDescent="0.55000000000000004">
      <c r="B52" s="1" t="s">
        <v>19</v>
      </c>
      <c r="L52" s="322"/>
      <c r="M52" s="322"/>
      <c r="N52" s="19">
        <f>-TITAN!N146</f>
        <v>-127.23847897886344</v>
      </c>
      <c r="O52" s="329"/>
      <c r="P52" s="19">
        <f>-TITAN!P146</f>
        <v>-241.88511325586478</v>
      </c>
      <c r="Q52" s="19">
        <f>-TITAN!Q146</f>
        <v>-140.65420476532654</v>
      </c>
      <c r="R52" s="19">
        <f>-TITAN!R146</f>
        <v>-271.03893369163006</v>
      </c>
      <c r="S52" s="19">
        <f>-TITAN!S146</f>
        <v>-272.64896852156653</v>
      </c>
      <c r="T52" s="19">
        <f>-TITAN!T146</f>
        <v>-284.1350502440373</v>
      </c>
      <c r="U52" s="19">
        <f>-TITAN!U146</f>
        <v>-45.036442054572944</v>
      </c>
    </row>
    <row r="53" spans="1:21" x14ac:dyDescent="0.55000000000000004">
      <c r="A53" s="4"/>
      <c r="B53" s="7" t="s">
        <v>20</v>
      </c>
      <c r="C53" s="7"/>
      <c r="D53" s="7"/>
      <c r="E53" s="7"/>
      <c r="F53" s="7"/>
      <c r="G53" s="7"/>
      <c r="H53" s="7"/>
      <c r="I53" s="7"/>
      <c r="J53" s="7"/>
      <c r="K53" s="7"/>
      <c r="L53" s="323"/>
      <c r="M53" s="323"/>
      <c r="N53" s="330">
        <f>N52+N51+N50+N49</f>
        <v>3517.9725135457511</v>
      </c>
      <c r="O53" s="323"/>
      <c r="P53" s="330">
        <f t="shared" ref="P53:U53" si="21">P52+P51+P50+P49</f>
        <v>8547.3994505128303</v>
      </c>
      <c r="Q53" s="330">
        <f t="shared" si="21"/>
        <v>10600.569283963985</v>
      </c>
      <c r="R53" s="330">
        <f t="shared" si="21"/>
        <v>11358.949103562099</v>
      </c>
      <c r="S53" s="330">
        <f t="shared" si="21"/>
        <v>12256.899247458992</v>
      </c>
      <c r="T53" s="330">
        <f t="shared" ref="T53" si="22">T52+T51+T50+T49</f>
        <v>13181.496870308791</v>
      </c>
      <c r="U53" s="330">
        <f t="shared" si="21"/>
        <v>13537.643515665433</v>
      </c>
    </row>
    <row r="54" spans="1:21" x14ac:dyDescent="0.55000000000000004">
      <c r="B54" s="8" t="s">
        <v>21</v>
      </c>
      <c r="C54" s="8"/>
      <c r="D54" s="8"/>
      <c r="E54" s="8"/>
      <c r="F54" s="8"/>
      <c r="G54" s="8"/>
      <c r="H54" s="8"/>
      <c r="I54" s="8"/>
      <c r="J54" s="8"/>
      <c r="K54" s="8"/>
      <c r="L54" s="324"/>
      <c r="M54" s="324"/>
      <c r="N54" s="331">
        <f>'Key Assumption'!L9/2</f>
        <v>0.25205479452054796</v>
      </c>
      <c r="O54" s="324"/>
      <c r="P54" s="8">
        <v>1</v>
      </c>
      <c r="Q54" s="8">
        <f>P54+1</f>
        <v>2</v>
      </c>
      <c r="R54" s="8">
        <f t="shared" ref="R54:S54" si="23">Q54+1</f>
        <v>3</v>
      </c>
      <c r="S54" s="8">
        <f t="shared" si="23"/>
        <v>4</v>
      </c>
      <c r="T54" s="8">
        <f t="shared" ref="T54" si="24">S54+1</f>
        <v>5</v>
      </c>
      <c r="U54" s="8">
        <f>T54</f>
        <v>5</v>
      </c>
    </row>
    <row r="55" spans="1:21" x14ac:dyDescent="0.55000000000000004">
      <c r="B55" s="9" t="s">
        <v>22</v>
      </c>
      <c r="C55" s="9"/>
      <c r="D55" s="9"/>
      <c r="E55" s="9"/>
      <c r="F55" s="9"/>
      <c r="G55" s="9"/>
      <c r="H55" s="9"/>
      <c r="I55" s="9"/>
      <c r="J55" s="9"/>
      <c r="K55" s="9"/>
      <c r="L55" s="325"/>
      <c r="M55" s="325"/>
      <c r="N55" s="333">
        <f>1/(1+$J$62)^N54</f>
        <v>0.9653856041480513</v>
      </c>
      <c r="O55" s="325"/>
      <c r="P55" s="333">
        <f t="shared" ref="P55:U55" si="25">1/(1+$J$62)^P54</f>
        <v>0.86956521739130443</v>
      </c>
      <c r="Q55" s="333">
        <f t="shared" si="25"/>
        <v>0.7561436672967865</v>
      </c>
      <c r="R55" s="333">
        <f t="shared" si="25"/>
        <v>0.65751623243198831</v>
      </c>
      <c r="S55" s="333">
        <f t="shared" si="25"/>
        <v>0.57175324559303342</v>
      </c>
      <c r="T55" s="333">
        <f t="shared" ref="T55" si="26">1/(1+$J$62)^T54</f>
        <v>0.49717673529828987</v>
      </c>
      <c r="U55" s="333">
        <f t="shared" si="25"/>
        <v>0.49717673529828987</v>
      </c>
    </row>
    <row r="56" spans="1:21" x14ac:dyDescent="0.55000000000000004">
      <c r="A56" s="4"/>
      <c r="B56" s="7" t="s">
        <v>23</v>
      </c>
      <c r="C56" s="7"/>
      <c r="D56" s="7"/>
      <c r="E56" s="7"/>
      <c r="F56" s="7"/>
      <c r="G56" s="7"/>
      <c r="H56" s="7"/>
      <c r="I56" s="7"/>
      <c r="J56" s="7"/>
      <c r="K56" s="7"/>
      <c r="L56" s="323"/>
      <c r="M56" s="323"/>
      <c r="N56" s="328">
        <f>N55*N53</f>
        <v>3396.2000203656035</v>
      </c>
      <c r="O56" s="323"/>
      <c r="P56" s="328">
        <f t="shared" ref="P56:S56" si="27">P55*P53</f>
        <v>7432.5212613155054</v>
      </c>
      <c r="Q56" s="328">
        <f t="shared" si="27"/>
        <v>8015.5533338101977</v>
      </c>
      <c r="R56" s="328">
        <f t="shared" si="27"/>
        <v>7468.6934189608628</v>
      </c>
      <c r="S56" s="328">
        <f t="shared" si="27"/>
        <v>7007.9219256414881</v>
      </c>
      <c r="T56" s="328">
        <f t="shared" ref="T56" si="28">T55*T53</f>
        <v>6553.5335803247499</v>
      </c>
      <c r="U56" s="328">
        <f>U55*U53/(J62-J61)</f>
        <v>48075.724333932892</v>
      </c>
    </row>
    <row r="57" spans="1:21" x14ac:dyDescent="0.55000000000000004">
      <c r="A57" s="10"/>
      <c r="B57" s="13" t="s">
        <v>24</v>
      </c>
      <c r="C57" s="10"/>
      <c r="D57" s="10"/>
      <c r="E57" s="10"/>
      <c r="F57" s="10"/>
      <c r="G57" s="10"/>
      <c r="H57" s="10"/>
      <c r="I57" s="10"/>
      <c r="J57" s="10"/>
      <c r="K57" s="10"/>
      <c r="L57" s="326"/>
      <c r="M57" s="326"/>
      <c r="N57" s="28">
        <f>SUM(N56:T56)</f>
        <v>39874.423540418407</v>
      </c>
      <c r="O57" s="326"/>
      <c r="P57" s="10"/>
      <c r="Q57" s="10"/>
      <c r="R57" s="10"/>
      <c r="S57" s="10"/>
      <c r="T57" s="10"/>
      <c r="U57" s="10"/>
    </row>
    <row r="58" spans="1:21" x14ac:dyDescent="0.55000000000000004">
      <c r="A58" s="10"/>
      <c r="B58" s="13" t="s">
        <v>25</v>
      </c>
      <c r="C58" s="10"/>
      <c r="D58" s="10"/>
      <c r="E58" s="10"/>
      <c r="F58" s="10"/>
      <c r="G58" s="10"/>
      <c r="H58" s="10"/>
      <c r="I58" s="10"/>
      <c r="J58" s="10"/>
      <c r="K58" s="10"/>
      <c r="L58" s="326"/>
      <c r="M58" s="326"/>
      <c r="N58" s="28">
        <f>U56</f>
        <v>48075.724333932892</v>
      </c>
      <c r="O58" s="326"/>
      <c r="P58" s="10"/>
      <c r="Q58" s="10"/>
      <c r="R58" s="10"/>
      <c r="S58" s="10"/>
      <c r="T58" s="10"/>
      <c r="U58" s="10"/>
    </row>
    <row r="59" spans="1:21" x14ac:dyDescent="0.55000000000000004">
      <c r="A59" s="10"/>
      <c r="B59" s="11" t="s">
        <v>26</v>
      </c>
      <c r="C59" s="14"/>
      <c r="D59" s="14"/>
      <c r="E59" s="14"/>
      <c r="F59" s="14"/>
      <c r="G59" s="14"/>
      <c r="H59" s="14"/>
      <c r="I59" s="14"/>
      <c r="J59" s="14"/>
      <c r="K59" s="14"/>
      <c r="L59" s="327"/>
      <c r="M59" s="327"/>
      <c r="N59" s="334">
        <f>N58+N57</f>
        <v>87950.1478743513</v>
      </c>
      <c r="O59" s="327"/>
      <c r="P59" s="14"/>
      <c r="Q59" s="14"/>
      <c r="R59" s="14"/>
      <c r="S59" s="14"/>
      <c r="T59" s="14"/>
      <c r="U59" s="14"/>
    </row>
    <row r="60" spans="1:21" x14ac:dyDescent="0.55000000000000004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</row>
    <row r="61" spans="1:21" x14ac:dyDescent="0.55000000000000004">
      <c r="B61" s="847" t="s">
        <v>27</v>
      </c>
      <c r="C61" s="848"/>
      <c r="D61" s="848"/>
      <c r="E61" s="848"/>
      <c r="F61" s="848"/>
      <c r="G61" s="848"/>
      <c r="H61" s="848"/>
      <c r="I61" s="848"/>
      <c r="J61" s="332">
        <f>J23</f>
        <v>0.01</v>
      </c>
    </row>
    <row r="62" spans="1:21" x14ac:dyDescent="0.55000000000000004">
      <c r="B62" s="849" t="s">
        <v>28</v>
      </c>
      <c r="C62" s="850"/>
      <c r="D62" s="850"/>
      <c r="E62" s="850"/>
      <c r="F62" s="850"/>
      <c r="G62" s="850"/>
      <c r="H62" s="850"/>
      <c r="I62" s="850"/>
      <c r="J62" s="298">
        <f>J24</f>
        <v>0.15</v>
      </c>
    </row>
    <row r="64" spans="1:21" x14ac:dyDescent="0.55000000000000004">
      <c r="B64" s="844"/>
      <c r="C64" s="844"/>
      <c r="D64" s="844"/>
      <c r="E64" s="844"/>
      <c r="F64" s="844"/>
      <c r="G64" s="844"/>
      <c r="H64" s="844"/>
      <c r="I64" s="844"/>
      <c r="J64" s="844"/>
    </row>
    <row r="65" spans="1:21" x14ac:dyDescent="0.55000000000000004">
      <c r="A65" s="4"/>
      <c r="B65" s="12" t="s">
        <v>29</v>
      </c>
      <c r="C65" s="12"/>
      <c r="D65" s="12"/>
      <c r="E65" s="12"/>
      <c r="F65" s="12"/>
      <c r="G65" s="12"/>
      <c r="H65" s="12"/>
      <c r="I65" s="12"/>
      <c r="J65" s="320">
        <f>N59</f>
        <v>87950.1478743513</v>
      </c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x14ac:dyDescent="0.55000000000000004">
      <c r="B66" s="1" t="s">
        <v>30</v>
      </c>
      <c r="J66" s="315">
        <f>J69+J70+J67+J68</f>
        <v>197362.47262895369</v>
      </c>
    </row>
    <row r="67" spans="1:21" x14ac:dyDescent="0.55000000000000004">
      <c r="C67" s="1" t="s">
        <v>35</v>
      </c>
      <c r="J67" s="315">
        <f>연결정산표!U8/10^6+연결정산표!U9/10^6</f>
        <v>3359.0177280000003</v>
      </c>
    </row>
    <row r="68" spans="1:21" x14ac:dyDescent="0.55000000000000004">
      <c r="C68" s="1" t="s">
        <v>36</v>
      </c>
      <c r="J68" s="315">
        <f>연결정산표!U10/10^6</f>
        <v>216.654188</v>
      </c>
    </row>
    <row r="69" spans="1:21" x14ac:dyDescent="0.55000000000000004">
      <c r="C69" s="1" t="s">
        <v>37</v>
      </c>
      <c r="J69" s="315">
        <f>연결정산표!U17/10^6</f>
        <v>1250</v>
      </c>
      <c r="K69" s="3" t="s">
        <v>38</v>
      </c>
    </row>
    <row r="70" spans="1:21" x14ac:dyDescent="0.55000000000000004">
      <c r="C70" s="1" t="s">
        <v>39</v>
      </c>
      <c r="J70" s="315">
        <f>J71+J72+J73+J74</f>
        <v>192536.8007129537</v>
      </c>
    </row>
    <row r="71" spans="1:21" x14ac:dyDescent="0.55000000000000004">
      <c r="D71" s="1" t="s">
        <v>45</v>
      </c>
      <c r="J71" s="315">
        <f>J81</f>
        <v>80913.234162159744</v>
      </c>
      <c r="K71" s="335"/>
    </row>
    <row r="72" spans="1:21" x14ac:dyDescent="0.55000000000000004">
      <c r="D72" s="1" t="s">
        <v>46</v>
      </c>
      <c r="J72" s="315">
        <f>J82</f>
        <v>53466.233504588869</v>
      </c>
      <c r="K72" s="335"/>
    </row>
    <row r="73" spans="1:21" x14ac:dyDescent="0.55000000000000004">
      <c r="D73" s="1" t="s">
        <v>1741</v>
      </c>
      <c r="J73" s="315">
        <f>J83</f>
        <v>58007.333046205087</v>
      </c>
      <c r="K73" s="335"/>
    </row>
    <row r="74" spans="1:21" x14ac:dyDescent="0.55000000000000004">
      <c r="D74" s="1" t="s">
        <v>40</v>
      </c>
      <c r="J74" s="1">
        <f>연결정산표!U27/10^6</f>
        <v>150</v>
      </c>
      <c r="K74" s="335" t="s">
        <v>1745</v>
      </c>
    </row>
    <row r="75" spans="1:21" x14ac:dyDescent="0.55000000000000004">
      <c r="A75" s="4"/>
      <c r="B75" s="7" t="s">
        <v>31</v>
      </c>
      <c r="C75" s="7"/>
      <c r="D75" s="7"/>
      <c r="E75" s="7"/>
      <c r="F75" s="7"/>
      <c r="G75" s="7"/>
      <c r="H75" s="7"/>
      <c r="I75" s="7"/>
      <c r="J75" s="328">
        <f>J65+J66</f>
        <v>285312.62050330499</v>
      </c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spans="1:21" x14ac:dyDescent="0.55000000000000004">
      <c r="B76" s="1" t="s">
        <v>32</v>
      </c>
      <c r="J76" s="1">
        <f>J77</f>
        <v>642</v>
      </c>
    </row>
    <row r="77" spans="1:21" x14ac:dyDescent="0.55000000000000004">
      <c r="C77" s="1" t="s">
        <v>41</v>
      </c>
      <c r="J77" s="1">
        <f>연결정산표!U66/10^6+연결정산표!U62/10^6</f>
        <v>642</v>
      </c>
    </row>
    <row r="78" spans="1:21" x14ac:dyDescent="0.55000000000000004">
      <c r="A78" s="4"/>
      <c r="B78" s="377" t="s">
        <v>33</v>
      </c>
      <c r="C78" s="377"/>
      <c r="D78" s="377"/>
      <c r="E78" s="377"/>
      <c r="F78" s="377"/>
      <c r="G78" s="377"/>
      <c r="H78" s="377"/>
      <c r="I78" s="377"/>
      <c r="J78" s="378">
        <f>J75-J76</f>
        <v>284670.62050330499</v>
      </c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80" spans="1:21" x14ac:dyDescent="0.55000000000000004">
      <c r="B80" s="844"/>
      <c r="C80" s="844"/>
      <c r="D80" s="844"/>
      <c r="E80" s="844"/>
      <c r="F80" s="844"/>
      <c r="G80" s="844"/>
      <c r="H80" s="851" t="s">
        <v>42</v>
      </c>
      <c r="I80" s="851" t="s">
        <v>43</v>
      </c>
      <c r="J80" s="851" t="s">
        <v>44</v>
      </c>
    </row>
    <row r="81" spans="1:21" x14ac:dyDescent="0.55000000000000004">
      <c r="B81" s="1" t="s">
        <v>45</v>
      </c>
      <c r="H81" s="1">
        <f>연결정산표!U24/10^6</f>
        <v>39</v>
      </c>
      <c r="I81" s="335">
        <v>1</v>
      </c>
      <c r="J81" s="315">
        <f>J118*I81</f>
        <v>80913.234162159744</v>
      </c>
      <c r="K81" s="232" t="s">
        <v>1742</v>
      </c>
    </row>
    <row r="82" spans="1:21" x14ac:dyDescent="0.55000000000000004">
      <c r="B82" s="1" t="s">
        <v>46</v>
      </c>
      <c r="H82" s="315">
        <f>연결정산표!U25/10^6</f>
        <v>5.0999999999999996</v>
      </c>
      <c r="I82" s="335">
        <v>0.85</v>
      </c>
      <c r="J82" s="315">
        <f>J151*I82</f>
        <v>53466.233504588869</v>
      </c>
      <c r="K82" s="232" t="s">
        <v>1743</v>
      </c>
      <c r="P82" s="3" t="s">
        <v>2122</v>
      </c>
    </row>
    <row r="83" spans="1:21" x14ac:dyDescent="0.55000000000000004">
      <c r="B83" s="15" t="s">
        <v>47</v>
      </c>
      <c r="C83" s="15"/>
      <c r="D83" s="15"/>
      <c r="E83" s="15"/>
      <c r="F83" s="15"/>
      <c r="G83" s="15"/>
      <c r="H83" s="300">
        <f>연결정산표!U26/10^6</f>
        <v>30.6</v>
      </c>
      <c r="I83" s="298">
        <v>1</v>
      </c>
      <c r="J83" s="300">
        <f>J184*I83</f>
        <v>58007.333046205087</v>
      </c>
      <c r="K83" s="232" t="s">
        <v>1744</v>
      </c>
    </row>
    <row r="86" spans="1:21" x14ac:dyDescent="0.55000000000000004">
      <c r="A86" s="841" t="s">
        <v>48</v>
      </c>
      <c r="B86" s="842"/>
      <c r="C86" s="842"/>
      <c r="D86" s="842"/>
      <c r="E86" s="842"/>
      <c r="F86" s="842"/>
      <c r="G86" s="842"/>
      <c r="H86" s="842"/>
      <c r="I86" s="842"/>
      <c r="J86" s="842"/>
      <c r="K86" s="842"/>
      <c r="L86" s="842"/>
      <c r="M86" s="842"/>
      <c r="N86" s="842"/>
      <c r="O86" s="842"/>
      <c r="P86" s="842"/>
      <c r="Q86" s="842"/>
      <c r="R86" s="842"/>
      <c r="S86" s="842"/>
      <c r="T86" s="842"/>
      <c r="U86" s="842"/>
    </row>
    <row r="88" spans="1:21" x14ac:dyDescent="0.55000000000000004">
      <c r="B88" s="844"/>
      <c r="C88" s="844"/>
      <c r="D88" s="844"/>
      <c r="E88" s="844"/>
      <c r="F88" s="844"/>
      <c r="G88" s="844"/>
      <c r="H88" s="844"/>
      <c r="I88" s="844"/>
      <c r="J88" s="844"/>
      <c r="K88" s="844"/>
      <c r="L88" s="845" t="s">
        <v>2</v>
      </c>
      <c r="M88" s="845" t="s">
        <v>3</v>
      </c>
      <c r="N88" s="845" t="s">
        <v>4</v>
      </c>
      <c r="O88" s="845" t="s">
        <v>5</v>
      </c>
      <c r="P88" s="845" t="s">
        <v>6</v>
      </c>
      <c r="Q88" s="845" t="s">
        <v>7</v>
      </c>
      <c r="R88" s="845" t="s">
        <v>8</v>
      </c>
      <c r="S88" s="845" t="s">
        <v>9</v>
      </c>
      <c r="T88" s="846" t="s">
        <v>1480</v>
      </c>
      <c r="U88" s="845" t="s">
        <v>10</v>
      </c>
    </row>
    <row r="89" spans="1:21" x14ac:dyDescent="0.55000000000000004">
      <c r="A89" s="4"/>
      <c r="B89" s="12" t="s">
        <v>11</v>
      </c>
      <c r="C89" s="12"/>
      <c r="D89" s="12"/>
      <c r="E89" s="12"/>
      <c r="F89" s="12"/>
      <c r="G89" s="12"/>
      <c r="H89" s="12"/>
      <c r="I89" s="12"/>
      <c r="J89" s="12"/>
      <c r="K89" s="12"/>
      <c r="L89" s="320">
        <f>CLASS!L6</f>
        <v>19.899999999999999</v>
      </c>
      <c r="M89" s="320">
        <f>CLASS!M6</f>
        <v>10266.381020999999</v>
      </c>
      <c r="N89" s="320">
        <f>CLASS!N6</f>
        <v>16569.007140384816</v>
      </c>
      <c r="O89" s="320">
        <f>CLASS!O6</f>
        <v>26835.388161384813</v>
      </c>
      <c r="P89" s="320">
        <f>CLASS!P6</f>
        <v>32543.72038738053</v>
      </c>
      <c r="Q89" s="320">
        <f>CLASS!Q6</f>
        <v>34715.240039916651</v>
      </c>
      <c r="R89" s="320">
        <f>CLASS!R6</f>
        <v>37063.293152714985</v>
      </c>
      <c r="S89" s="320">
        <f>CLASS!S6</f>
        <v>39417.290422943901</v>
      </c>
      <c r="T89" s="320">
        <f>CLASS!T6</f>
        <v>41870.526834441829</v>
      </c>
      <c r="U89" s="320">
        <f>T89*(1+$J$106)</f>
        <v>42289.232102786249</v>
      </c>
    </row>
    <row r="90" spans="1:21" x14ac:dyDescent="0.55000000000000004">
      <c r="B90" s="1" t="s">
        <v>12</v>
      </c>
      <c r="L90" s="315">
        <f>CLASS!L7</f>
        <v>76.833572000000004</v>
      </c>
      <c r="M90" s="315">
        <f>CLASS!M7</f>
        <v>6468.4950120000003</v>
      </c>
      <c r="N90" s="315">
        <f>CLASS!N7</f>
        <v>12303.421506349297</v>
      </c>
      <c r="O90" s="315">
        <f>CLASS!O7</f>
        <v>18771.916518349295</v>
      </c>
      <c r="P90" s="315">
        <f>CLASS!P7</f>
        <v>20780.480507633973</v>
      </c>
      <c r="Q90" s="315">
        <f>CLASS!Q7</f>
        <v>21363.141922694984</v>
      </c>
      <c r="R90" s="315">
        <f>CLASS!R7</f>
        <v>22769.726989788764</v>
      </c>
      <c r="S90" s="315">
        <f>CLASS!S7</f>
        <v>24174.579844167001</v>
      </c>
      <c r="T90" s="315">
        <f>CLASS!T7</f>
        <v>25632.358913492753</v>
      </c>
      <c r="U90" s="315">
        <f>T90*(1+$J$106)</f>
        <v>25888.682502627682</v>
      </c>
    </row>
    <row r="91" spans="1:21" x14ac:dyDescent="0.55000000000000004">
      <c r="A91" s="4"/>
      <c r="B91" s="5" t="s">
        <v>13</v>
      </c>
      <c r="C91" s="5"/>
      <c r="D91" s="5"/>
      <c r="E91" s="5"/>
      <c r="F91" s="5"/>
      <c r="G91" s="5"/>
      <c r="H91" s="5"/>
      <c r="I91" s="5"/>
      <c r="J91" s="5"/>
      <c r="K91" s="5"/>
      <c r="L91" s="321">
        <f>L89-L90</f>
        <v>-56.933572000000005</v>
      </c>
      <c r="M91" s="321">
        <f t="shared" ref="M91:S91" si="29">M89-M90</f>
        <v>3797.8860089999989</v>
      </c>
      <c r="N91" s="321">
        <f t="shared" si="29"/>
        <v>4265.5856340355185</v>
      </c>
      <c r="O91" s="321">
        <f t="shared" si="29"/>
        <v>8063.4716430355184</v>
      </c>
      <c r="P91" s="321">
        <f t="shared" si="29"/>
        <v>11763.239879746558</v>
      </c>
      <c r="Q91" s="321">
        <f t="shared" si="29"/>
        <v>13352.098117221667</v>
      </c>
      <c r="R91" s="321">
        <f t="shared" si="29"/>
        <v>14293.566162926221</v>
      </c>
      <c r="S91" s="321">
        <f t="shared" si="29"/>
        <v>15242.7105787769</v>
      </c>
      <c r="T91" s="321">
        <f t="shared" ref="T91" si="30">T89-T90</f>
        <v>16238.167920949076</v>
      </c>
      <c r="U91" s="321">
        <f t="shared" ref="U91" si="31">U89-U90</f>
        <v>16400.549600158567</v>
      </c>
    </row>
    <row r="92" spans="1:21" x14ac:dyDescent="0.55000000000000004">
      <c r="A92" s="3"/>
      <c r="B92" s="6" t="s">
        <v>14</v>
      </c>
      <c r="C92" s="6"/>
      <c r="D92" s="6"/>
      <c r="E92" s="6"/>
      <c r="F92" s="6"/>
      <c r="G92" s="6"/>
      <c r="H92" s="6"/>
      <c r="I92" s="6"/>
      <c r="J92" s="6"/>
      <c r="K92" s="6"/>
      <c r="L92" s="318">
        <f>L91/L89</f>
        <v>-2.8609835175879401</v>
      </c>
      <c r="M92" s="318">
        <f t="shared" ref="M92:U92" si="32">M91/M89</f>
        <v>0.36993425445942246</v>
      </c>
      <c r="N92" s="318">
        <f t="shared" si="32"/>
        <v>0.25744364752180621</v>
      </c>
      <c r="O92" s="318">
        <f t="shared" si="32"/>
        <v>0.30047903889232996</v>
      </c>
      <c r="P92" s="318">
        <f t="shared" si="32"/>
        <v>0.36145959158093016</v>
      </c>
      <c r="Q92" s="318">
        <f t="shared" si="32"/>
        <v>0.38461776735142877</v>
      </c>
      <c r="R92" s="318">
        <f t="shared" si="32"/>
        <v>0.38565289123206742</v>
      </c>
      <c r="S92" s="318">
        <f t="shared" si="32"/>
        <v>0.38670112570458337</v>
      </c>
      <c r="T92" s="318">
        <f t="shared" ref="T92" si="33">T91/T89</f>
        <v>0.38781857188364527</v>
      </c>
      <c r="U92" s="318">
        <f t="shared" si="32"/>
        <v>0.38781857188364527</v>
      </c>
    </row>
    <row r="93" spans="1:21" x14ac:dyDescent="0.55000000000000004">
      <c r="B93" s="1" t="s">
        <v>15</v>
      </c>
      <c r="L93" s="322"/>
      <c r="M93" s="322"/>
      <c r="N93" s="19">
        <f>IF(N91&lt;0,0,IF(N91&lt;2,N91*9%*1.1,IF(N91&lt;200,N91*19%*1.1,IF(N91&lt;3000,N91*21%*1.1,N91*24%*1.1))))</f>
        <v>1126.114607385377</v>
      </c>
      <c r="O93" s="322"/>
      <c r="P93" s="19">
        <f t="shared" ref="P93:U93" si="34">IF(P91&lt;0,0,IF(P91&lt;2,P91*9%*1.1,IF(P91&lt;200,P91*19%*1.1,IF(P91&lt;3000,P91*21%*1.1,P91*24%*1.1))))</f>
        <v>3105.4953282530914</v>
      </c>
      <c r="Q93" s="19">
        <f t="shared" si="34"/>
        <v>3524.9539029465204</v>
      </c>
      <c r="R93" s="19">
        <f t="shared" si="34"/>
        <v>3773.5014670125224</v>
      </c>
      <c r="S93" s="19">
        <f t="shared" si="34"/>
        <v>4024.0755927971018</v>
      </c>
      <c r="T93" s="19">
        <f t="shared" ref="T93" si="35">IF(T91&lt;0,0,IF(T91&lt;2,T91*9%*1.1,IF(T91&lt;200,T91*19%*1.1,IF(T91&lt;3000,T91*21%*1.1,T91*24%*1.1))))</f>
        <v>4286.8763311305565</v>
      </c>
      <c r="U93" s="19">
        <f t="shared" si="34"/>
        <v>4329.7450944418615</v>
      </c>
    </row>
    <row r="94" spans="1:21" x14ac:dyDescent="0.55000000000000004">
      <c r="A94" s="4"/>
      <c r="B94" s="7" t="s">
        <v>16</v>
      </c>
      <c r="C94" s="7"/>
      <c r="D94" s="7"/>
      <c r="E94" s="7"/>
      <c r="F94" s="7"/>
      <c r="G94" s="7"/>
      <c r="H94" s="7"/>
      <c r="I94" s="7"/>
      <c r="J94" s="7"/>
      <c r="K94" s="7"/>
      <c r="L94" s="323"/>
      <c r="M94" s="323"/>
      <c r="N94" s="328">
        <f>N91-N93</f>
        <v>3139.4710266501415</v>
      </c>
      <c r="O94" s="323"/>
      <c r="P94" s="328">
        <f t="shared" ref="P94:U94" si="36">P91-P93</f>
        <v>8657.7445514934661</v>
      </c>
      <c r="Q94" s="328">
        <f t="shared" si="36"/>
        <v>9827.1442142751475</v>
      </c>
      <c r="R94" s="328">
        <f t="shared" si="36"/>
        <v>10520.064695913699</v>
      </c>
      <c r="S94" s="328">
        <f t="shared" si="36"/>
        <v>11218.634985979797</v>
      </c>
      <c r="T94" s="328">
        <f t="shared" ref="T94" si="37">T91-T93</f>
        <v>11951.29158981852</v>
      </c>
      <c r="U94" s="328">
        <f t="shared" si="36"/>
        <v>12070.804505716706</v>
      </c>
    </row>
    <row r="95" spans="1:21" x14ac:dyDescent="0.55000000000000004">
      <c r="B95" s="1" t="s">
        <v>17</v>
      </c>
      <c r="L95" s="322"/>
      <c r="M95" s="322"/>
      <c r="N95" s="19">
        <f>CLASS!N10</f>
        <v>22.238234011500001</v>
      </c>
      <c r="O95" s="329"/>
      <c r="P95" s="19">
        <f>CLASS!P10</f>
        <v>43.978482948127223</v>
      </c>
      <c r="Q95" s="19">
        <f>CLASS!Q10</f>
        <v>42.895475545970314</v>
      </c>
      <c r="R95" s="19">
        <f>CLASS!R10</f>
        <v>42.600535798698296</v>
      </c>
      <c r="S95" s="19">
        <f>CLASS!S10</f>
        <v>43.149101883891902</v>
      </c>
      <c r="T95" s="19">
        <f>CLASS!T10</f>
        <v>37.293249694176097</v>
      </c>
      <c r="U95" s="19"/>
    </row>
    <row r="96" spans="1:21" x14ac:dyDescent="0.55000000000000004">
      <c r="B96" s="1" t="s">
        <v>18</v>
      </c>
      <c r="L96" s="322"/>
      <c r="M96" s="322"/>
      <c r="N96" s="19">
        <f>-CLASS!N103</f>
        <v>-20.246737</v>
      </c>
      <c r="O96" s="329"/>
      <c r="P96" s="19">
        <f>-CLASS!P103</f>
        <v>-36.932111238863499</v>
      </c>
      <c r="Q96" s="19">
        <f>-CLASS!Q103</f>
        <v>-36.257575517005563</v>
      </c>
      <c r="R96" s="19">
        <f>-CLASS!R103</f>
        <v>-36.267936106766456</v>
      </c>
      <c r="S96" s="19">
        <f>-CLASS!S103</f>
        <v>-37.016797849094004</v>
      </c>
      <c r="T96" s="19">
        <f>-CLASS!T103</f>
        <v>-31.918019223466708</v>
      </c>
      <c r="U96" s="19"/>
    </row>
    <row r="97" spans="1:21" x14ac:dyDescent="0.55000000000000004">
      <c r="B97" s="1" t="s">
        <v>19</v>
      </c>
      <c r="L97" s="322"/>
      <c r="M97" s="322"/>
      <c r="N97" s="19">
        <f>-CLASS!N153</f>
        <v>-260.3314203794871</v>
      </c>
      <c r="O97" s="329"/>
      <c r="P97" s="19">
        <f>-CLASS!P153</f>
        <v>-354.5898989837151</v>
      </c>
      <c r="Q97" s="19">
        <f>-CLASS!Q153</f>
        <v>-142.52162205240302</v>
      </c>
      <c r="R97" s="19">
        <f>-CLASS!R153</f>
        <v>-125.42566621172637</v>
      </c>
      <c r="S97" s="19">
        <f>-CLASS!S153</f>
        <v>-125.96142295648315</v>
      </c>
      <c r="T97" s="19">
        <f>-CLASS!T153</f>
        <v>-131.50374735369542</v>
      </c>
      <c r="U97" s="19">
        <f>-CLASS!U153</f>
        <v>-22.158283689374912</v>
      </c>
    </row>
    <row r="98" spans="1:21" x14ac:dyDescent="0.55000000000000004">
      <c r="A98" s="4"/>
      <c r="B98" s="7" t="s">
        <v>20</v>
      </c>
      <c r="C98" s="7"/>
      <c r="D98" s="7"/>
      <c r="E98" s="7"/>
      <c r="F98" s="7"/>
      <c r="G98" s="7"/>
      <c r="H98" s="7"/>
      <c r="I98" s="7"/>
      <c r="J98" s="7"/>
      <c r="K98" s="7"/>
      <c r="L98" s="323"/>
      <c r="M98" s="323"/>
      <c r="N98" s="330">
        <f>N97+N96+N95+N94</f>
        <v>2881.1311032821545</v>
      </c>
      <c r="O98" s="323"/>
      <c r="P98" s="330">
        <f t="shared" ref="P98:U98" si="38">P97+P96+P95+P94</f>
        <v>8310.2010242190154</v>
      </c>
      <c r="Q98" s="330">
        <f t="shared" si="38"/>
        <v>9691.2604922517094</v>
      </c>
      <c r="R98" s="330">
        <f t="shared" si="38"/>
        <v>10400.971629393905</v>
      </c>
      <c r="S98" s="330">
        <f t="shared" si="38"/>
        <v>11098.805867058112</v>
      </c>
      <c r="T98" s="330">
        <f t="shared" ref="T98" si="39">T97+T96+T95+T94</f>
        <v>11825.163072935535</v>
      </c>
      <c r="U98" s="330">
        <f t="shared" si="38"/>
        <v>12048.646222027332</v>
      </c>
    </row>
    <row r="99" spans="1:21" x14ac:dyDescent="0.55000000000000004">
      <c r="B99" s="8" t="s">
        <v>21</v>
      </c>
      <c r="C99" s="8"/>
      <c r="D99" s="8"/>
      <c r="E99" s="8"/>
      <c r="F99" s="8"/>
      <c r="G99" s="8"/>
      <c r="H99" s="8"/>
      <c r="I99" s="8"/>
      <c r="J99" s="8"/>
      <c r="K99" s="8"/>
      <c r="L99" s="324"/>
      <c r="M99" s="324"/>
      <c r="N99" s="331">
        <f>'Key Assumption'!$L$9/2</f>
        <v>0.25205479452054796</v>
      </c>
      <c r="O99" s="324"/>
      <c r="P99" s="8">
        <v>1</v>
      </c>
      <c r="Q99" s="8">
        <f>P99+1</f>
        <v>2</v>
      </c>
      <c r="R99" s="8">
        <f t="shared" ref="R99" si="40">Q99+1</f>
        <v>3</v>
      </c>
      <c r="S99" s="8">
        <f t="shared" ref="S99" si="41">R99+1</f>
        <v>4</v>
      </c>
      <c r="T99" s="8">
        <f t="shared" ref="T99" si="42">S99+1</f>
        <v>5</v>
      </c>
      <c r="U99" s="8">
        <f>T99</f>
        <v>5</v>
      </c>
    </row>
    <row r="100" spans="1:21" x14ac:dyDescent="0.55000000000000004">
      <c r="B100" s="9" t="s">
        <v>22</v>
      </c>
      <c r="C100" s="9"/>
      <c r="D100" s="9"/>
      <c r="E100" s="9"/>
      <c r="F100" s="9"/>
      <c r="G100" s="9"/>
      <c r="H100" s="9"/>
      <c r="I100" s="9"/>
      <c r="J100" s="9"/>
      <c r="K100" s="9"/>
      <c r="L100" s="325"/>
      <c r="M100" s="325"/>
      <c r="N100" s="333">
        <f>1/(1+$J$107)^N99</f>
        <v>0.9653856041480513</v>
      </c>
      <c r="O100" s="325"/>
      <c r="P100" s="333">
        <f t="shared" ref="P100:U100" si="43">1/(1+$J$107)^P99</f>
        <v>0.86956521739130443</v>
      </c>
      <c r="Q100" s="333">
        <f t="shared" si="43"/>
        <v>0.7561436672967865</v>
      </c>
      <c r="R100" s="333">
        <f t="shared" si="43"/>
        <v>0.65751623243198831</v>
      </c>
      <c r="S100" s="333">
        <f t="shared" si="43"/>
        <v>0.57175324559303342</v>
      </c>
      <c r="T100" s="333">
        <f t="shared" ref="T100" si="44">1/(1+$J$107)^T99</f>
        <v>0.49717673529828987</v>
      </c>
      <c r="U100" s="333">
        <f t="shared" si="43"/>
        <v>0.49717673529828987</v>
      </c>
    </row>
    <row r="101" spans="1:21" x14ac:dyDescent="0.55000000000000004">
      <c r="A101" s="4"/>
      <c r="B101" s="7" t="s">
        <v>23</v>
      </c>
      <c r="C101" s="7"/>
      <c r="D101" s="7"/>
      <c r="E101" s="7"/>
      <c r="F101" s="7"/>
      <c r="G101" s="7"/>
      <c r="H101" s="7"/>
      <c r="I101" s="7"/>
      <c r="J101" s="7"/>
      <c r="K101" s="7"/>
      <c r="L101" s="323"/>
      <c r="M101" s="323"/>
      <c r="N101" s="328">
        <f>N100*N98</f>
        <v>2781.4024907717844</v>
      </c>
      <c r="O101" s="323"/>
      <c r="P101" s="328">
        <f t="shared" ref="P101:S101" si="45">P100*P98</f>
        <v>7226.2617601904485</v>
      </c>
      <c r="Q101" s="328">
        <f t="shared" si="45"/>
        <v>7327.9852493396684</v>
      </c>
      <c r="R101" s="328">
        <f t="shared" si="45"/>
        <v>6838.8076793910795</v>
      </c>
      <c r="S101" s="328">
        <f t="shared" si="45"/>
        <v>6345.7782766974769</v>
      </c>
      <c r="T101" s="328">
        <f t="shared" ref="T101" si="46">T100*T98</f>
        <v>5879.1959709719822</v>
      </c>
      <c r="U101" s="328">
        <f>U100*U98/(J107-J106)</f>
        <v>42787.90423879731</v>
      </c>
    </row>
    <row r="102" spans="1:21" x14ac:dyDescent="0.55000000000000004">
      <c r="A102" s="10"/>
      <c r="B102" s="13" t="s">
        <v>24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326"/>
      <c r="M102" s="326"/>
      <c r="N102" s="28">
        <f>SUM(N101:T101)</f>
        <v>36399.43142736244</v>
      </c>
      <c r="O102" s="326"/>
      <c r="P102" s="10"/>
      <c r="Q102" s="10"/>
      <c r="R102" s="10"/>
      <c r="S102" s="10"/>
      <c r="T102" s="10"/>
      <c r="U102" s="10"/>
    </row>
    <row r="103" spans="1:21" x14ac:dyDescent="0.55000000000000004">
      <c r="A103" s="10"/>
      <c r="B103" s="13" t="s">
        <v>25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326"/>
      <c r="M103" s="326"/>
      <c r="N103" s="28">
        <f>U101</f>
        <v>42787.90423879731</v>
      </c>
      <c r="O103" s="326"/>
      <c r="P103" s="10"/>
      <c r="Q103" s="10"/>
      <c r="R103" s="10"/>
      <c r="S103" s="10"/>
      <c r="T103" s="10"/>
      <c r="U103" s="10"/>
    </row>
    <row r="104" spans="1:21" x14ac:dyDescent="0.55000000000000004">
      <c r="A104" s="10"/>
      <c r="B104" s="11" t="s">
        <v>26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327"/>
      <c r="M104" s="327"/>
      <c r="N104" s="334">
        <f>N103+N102</f>
        <v>79187.33566615975</v>
      </c>
      <c r="O104" s="327"/>
      <c r="P104" s="14"/>
      <c r="Q104" s="14"/>
      <c r="R104" s="14"/>
      <c r="S104" s="14"/>
      <c r="T104" s="14"/>
      <c r="U104" s="14"/>
    </row>
    <row r="105" spans="1:21" x14ac:dyDescent="0.55000000000000004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</row>
    <row r="106" spans="1:21" x14ac:dyDescent="0.55000000000000004">
      <c r="B106" s="847" t="s">
        <v>27</v>
      </c>
      <c r="C106" s="848"/>
      <c r="D106" s="848"/>
      <c r="E106" s="848"/>
      <c r="F106" s="848"/>
      <c r="G106" s="848"/>
      <c r="H106" s="848"/>
      <c r="I106" s="848"/>
      <c r="J106" s="332">
        <f>J23</f>
        <v>0.01</v>
      </c>
    </row>
    <row r="107" spans="1:21" x14ac:dyDescent="0.55000000000000004">
      <c r="B107" s="849" t="s">
        <v>28</v>
      </c>
      <c r="C107" s="850"/>
      <c r="D107" s="850"/>
      <c r="E107" s="850"/>
      <c r="F107" s="850"/>
      <c r="G107" s="850"/>
      <c r="H107" s="850"/>
      <c r="I107" s="850"/>
      <c r="J107" s="298">
        <f>J24</f>
        <v>0.15</v>
      </c>
    </row>
    <row r="109" spans="1:21" x14ac:dyDescent="0.55000000000000004">
      <c r="B109" s="844"/>
      <c r="C109" s="844"/>
      <c r="D109" s="844"/>
      <c r="E109" s="844"/>
      <c r="F109" s="844"/>
      <c r="G109" s="844"/>
      <c r="H109" s="844"/>
      <c r="I109" s="844"/>
      <c r="J109" s="844"/>
    </row>
    <row r="110" spans="1:21" x14ac:dyDescent="0.55000000000000004">
      <c r="A110" s="4"/>
      <c r="B110" s="12" t="s">
        <v>29</v>
      </c>
      <c r="C110" s="12"/>
      <c r="D110" s="12"/>
      <c r="E110" s="12"/>
      <c r="F110" s="12"/>
      <c r="G110" s="12"/>
      <c r="H110" s="12"/>
      <c r="I110" s="12"/>
      <c r="J110" s="18">
        <f>N104</f>
        <v>79187.33566615975</v>
      </c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spans="1:21" x14ac:dyDescent="0.55000000000000004">
      <c r="B111" s="1" t="s">
        <v>30</v>
      </c>
      <c r="J111" s="19">
        <f>J113+J114+J112</f>
        <v>1725.898496</v>
      </c>
    </row>
    <row r="112" spans="1:21" x14ac:dyDescent="0.55000000000000004">
      <c r="C112" s="1" t="s">
        <v>35</v>
      </c>
      <c r="J112" s="19">
        <f>연결정산표!T8/10^6</f>
        <v>915.89849600000002</v>
      </c>
    </row>
    <row r="113" spans="1:21" x14ac:dyDescent="0.55000000000000004">
      <c r="C113" s="1" t="s">
        <v>49</v>
      </c>
      <c r="J113" s="19">
        <f>연결정산표!T44/10^6</f>
        <v>650</v>
      </c>
      <c r="K113" s="3" t="s">
        <v>38</v>
      </c>
    </row>
    <row r="114" spans="1:21" x14ac:dyDescent="0.55000000000000004">
      <c r="C114" s="1" t="s">
        <v>39</v>
      </c>
      <c r="J114" s="19">
        <f>연결정산표!T27/10^6+연결정산표!T29/10^6+연결정산표!T30/10^6</f>
        <v>160</v>
      </c>
    </row>
    <row r="115" spans="1:21" x14ac:dyDescent="0.55000000000000004">
      <c r="A115" s="4"/>
      <c r="B115" s="7" t="s">
        <v>31</v>
      </c>
      <c r="C115" s="7"/>
      <c r="D115" s="7"/>
      <c r="E115" s="7"/>
      <c r="F115" s="7"/>
      <c r="G115" s="7"/>
      <c r="H115" s="7"/>
      <c r="I115" s="7"/>
      <c r="J115" s="330">
        <f>J110+J111</f>
        <v>80913.234162159744</v>
      </c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spans="1:21" x14ac:dyDescent="0.55000000000000004">
      <c r="B116" s="1" t="s">
        <v>32</v>
      </c>
      <c r="J116" s="19">
        <f>J117</f>
        <v>0</v>
      </c>
    </row>
    <row r="117" spans="1:21" x14ac:dyDescent="0.55000000000000004">
      <c r="C117" s="1" t="s">
        <v>41</v>
      </c>
      <c r="J117" s="19">
        <v>0</v>
      </c>
    </row>
    <row r="118" spans="1:21" x14ac:dyDescent="0.55000000000000004">
      <c r="A118" s="4"/>
      <c r="B118" s="16" t="s">
        <v>33</v>
      </c>
      <c r="C118" s="16"/>
      <c r="D118" s="16"/>
      <c r="E118" s="16"/>
      <c r="F118" s="16"/>
      <c r="G118" s="16"/>
      <c r="H118" s="16"/>
      <c r="I118" s="16"/>
      <c r="J118" s="482">
        <f>J115-J116</f>
        <v>80913.234162159744</v>
      </c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21" spans="1:21" x14ac:dyDescent="0.55000000000000004">
      <c r="A121" s="841" t="s">
        <v>50</v>
      </c>
      <c r="B121" s="842"/>
      <c r="C121" s="842"/>
      <c r="D121" s="842"/>
      <c r="E121" s="842"/>
      <c r="F121" s="842"/>
      <c r="G121" s="842"/>
      <c r="H121" s="842"/>
      <c r="I121" s="842"/>
      <c r="J121" s="842"/>
      <c r="K121" s="842"/>
      <c r="L121" s="842"/>
      <c r="M121" s="842"/>
      <c r="N121" s="842"/>
      <c r="O121" s="842"/>
      <c r="P121" s="842"/>
      <c r="Q121" s="842"/>
      <c r="R121" s="842"/>
      <c r="S121" s="842"/>
      <c r="T121" s="842"/>
      <c r="U121" s="842"/>
    </row>
    <row r="123" spans="1:21" x14ac:dyDescent="0.55000000000000004">
      <c r="B123" s="844"/>
      <c r="C123" s="844"/>
      <c r="D123" s="844"/>
      <c r="E123" s="844"/>
      <c r="F123" s="844"/>
      <c r="G123" s="844"/>
      <c r="H123" s="844"/>
      <c r="I123" s="844"/>
      <c r="J123" s="844"/>
      <c r="K123" s="844"/>
      <c r="L123" s="845" t="s">
        <v>2</v>
      </c>
      <c r="M123" s="845" t="s">
        <v>3</v>
      </c>
      <c r="N123" s="845" t="s">
        <v>4</v>
      </c>
      <c r="O123" s="845" t="s">
        <v>5</v>
      </c>
      <c r="P123" s="845" t="s">
        <v>6</v>
      </c>
      <c r="Q123" s="845" t="s">
        <v>7</v>
      </c>
      <c r="R123" s="845" t="s">
        <v>8</v>
      </c>
      <c r="S123" s="845" t="s">
        <v>9</v>
      </c>
      <c r="T123" s="846" t="s">
        <v>1480</v>
      </c>
      <c r="U123" s="845" t="s">
        <v>10</v>
      </c>
    </row>
    <row r="124" spans="1:21" x14ac:dyDescent="0.55000000000000004">
      <c r="A124" s="4"/>
      <c r="B124" s="12" t="s">
        <v>11</v>
      </c>
      <c r="C124" s="12"/>
      <c r="D124" s="12"/>
      <c r="E124" s="12"/>
      <c r="F124" s="12"/>
      <c r="G124" s="12"/>
      <c r="H124" s="12"/>
      <c r="I124" s="12"/>
      <c r="J124" s="12"/>
      <c r="K124" s="12"/>
      <c r="L124" s="379"/>
      <c r="M124" s="320">
        <f>NOVA!M6</f>
        <v>261.84517599999998</v>
      </c>
      <c r="N124" s="320">
        <f>NOVA!N6</f>
        <v>2351.4231251021561</v>
      </c>
      <c r="O124" s="320">
        <f>NOVA!O6</f>
        <v>2613.2683011021559</v>
      </c>
      <c r="P124" s="320">
        <f>NOVA!P6</f>
        <v>7196.2765716801168</v>
      </c>
      <c r="Q124" s="320">
        <f>NOVA!Q6</f>
        <v>9426.1390587588921</v>
      </c>
      <c r="R124" s="320">
        <f>NOVA!R6</f>
        <v>11924.422935018569</v>
      </c>
      <c r="S124" s="320">
        <f>NOVA!S6</f>
        <v>14653.888890550295</v>
      </c>
      <c r="T124" s="320">
        <f>NOVA!T6</f>
        <v>17654.417030998815</v>
      </c>
      <c r="U124" s="320">
        <f>T124*(1+$J$141)</f>
        <v>17830.961201308804</v>
      </c>
    </row>
    <row r="125" spans="1:21" x14ac:dyDescent="0.55000000000000004">
      <c r="B125" s="1" t="s">
        <v>12</v>
      </c>
      <c r="L125" s="380"/>
      <c r="M125" s="315">
        <f>NOVA!M7</f>
        <v>247.98681099999999</v>
      </c>
      <c r="N125" s="315">
        <f>NOVA!N7</f>
        <v>489.71621172679227</v>
      </c>
      <c r="O125" s="315">
        <f>NOVA!O7</f>
        <v>737.70302272679226</v>
      </c>
      <c r="P125" s="315">
        <f>NOVA!P7</f>
        <v>1450.376781223039</v>
      </c>
      <c r="Q125" s="315">
        <f>NOVA!Q7</f>
        <v>1786.274971925802</v>
      </c>
      <c r="R125" s="315">
        <f>NOVA!R7</f>
        <v>2124.0661129360633</v>
      </c>
      <c r="S125" s="315">
        <f>NOVA!S7</f>
        <v>2483.161118707656</v>
      </c>
      <c r="T125" s="315">
        <f>NOVA!T7</f>
        <v>2871.8628040087829</v>
      </c>
      <c r="U125" s="315">
        <f>T125*(1+$J$141)</f>
        <v>2900.5814320488707</v>
      </c>
    </row>
    <row r="126" spans="1:21" x14ac:dyDescent="0.55000000000000004">
      <c r="A126" s="4"/>
      <c r="B126" s="5" t="s">
        <v>13</v>
      </c>
      <c r="C126" s="5"/>
      <c r="D126" s="5"/>
      <c r="E126" s="5"/>
      <c r="F126" s="5"/>
      <c r="G126" s="5"/>
      <c r="H126" s="5"/>
      <c r="I126" s="5"/>
      <c r="J126" s="5"/>
      <c r="K126" s="5"/>
      <c r="L126" s="381"/>
      <c r="M126" s="321">
        <f t="shared" ref="M126" si="47">M124-M125</f>
        <v>13.858364999999992</v>
      </c>
      <c r="N126" s="321">
        <f t="shared" ref="N126" si="48">N124-N125</f>
        <v>1861.7069133753639</v>
      </c>
      <c r="O126" s="321">
        <f t="shared" ref="O126" si="49">O124-O125</f>
        <v>1875.5652783753635</v>
      </c>
      <c r="P126" s="321">
        <f t="shared" ref="P126" si="50">P124-P125</f>
        <v>5745.8997904570779</v>
      </c>
      <c r="Q126" s="321">
        <f t="shared" ref="Q126" si="51">Q124-Q125</f>
        <v>7639.8640868330904</v>
      </c>
      <c r="R126" s="321">
        <f t="shared" ref="R126" si="52">R124-R125</f>
        <v>9800.3568220825055</v>
      </c>
      <c r="S126" s="321">
        <f t="shared" ref="S126:U126" si="53">S124-S125</f>
        <v>12170.727771842639</v>
      </c>
      <c r="T126" s="321">
        <f t="shared" ref="T126" si="54">T124-T125</f>
        <v>14782.554226990032</v>
      </c>
      <c r="U126" s="321">
        <f t="shared" si="53"/>
        <v>14930.379769259933</v>
      </c>
    </row>
    <row r="127" spans="1:21" x14ac:dyDescent="0.55000000000000004">
      <c r="A127" s="3"/>
      <c r="B127" s="6" t="s">
        <v>14</v>
      </c>
      <c r="C127" s="6"/>
      <c r="D127" s="6"/>
      <c r="E127" s="6"/>
      <c r="F127" s="6"/>
      <c r="G127" s="6"/>
      <c r="H127" s="6"/>
      <c r="I127" s="6"/>
      <c r="J127" s="6"/>
      <c r="K127" s="6"/>
      <c r="L127" s="382"/>
      <c r="M127" s="318">
        <f t="shared" ref="M127:U127" si="55">M126/M124</f>
        <v>5.2925798411500975E-2</v>
      </c>
      <c r="N127" s="318">
        <f t="shared" si="55"/>
        <v>0.7917362441072715</v>
      </c>
      <c r="O127" s="318">
        <f t="shared" si="55"/>
        <v>0.71770865532036521</v>
      </c>
      <c r="P127" s="318">
        <f t="shared" si="55"/>
        <v>0.79845455260422005</v>
      </c>
      <c r="Q127" s="318">
        <f t="shared" si="55"/>
        <v>0.81049770634712082</v>
      </c>
      <c r="R127" s="318">
        <f t="shared" si="55"/>
        <v>0.8218726285950243</v>
      </c>
      <c r="S127" s="318">
        <f t="shared" si="55"/>
        <v>0.83054592966724716</v>
      </c>
      <c r="T127" s="318">
        <f t="shared" ref="T127" si="56">T126/T124</f>
        <v>0.83732893592769608</v>
      </c>
      <c r="U127" s="318">
        <f t="shared" si="55"/>
        <v>0.83732893592769597</v>
      </c>
    </row>
    <row r="128" spans="1:21" x14ac:dyDescent="0.55000000000000004">
      <c r="B128" s="1" t="s">
        <v>15</v>
      </c>
      <c r="L128" s="322"/>
      <c r="M128" s="322"/>
      <c r="N128" s="19">
        <f>IF(N126&lt;0,0,IF(N126&lt;2,N126*9%*1.1,IF(N126&lt;200,N126*19%*1.1,IF(N126&lt;3000,N126*21%*1.1,N126*24%*1.1))))</f>
        <v>430.05429698970909</v>
      </c>
      <c r="O128" s="322"/>
      <c r="P128" s="19">
        <f t="shared" ref="P128:U128" si="57">IF(P126&lt;0,0,IF(P126&lt;2,P126*9%*1.1,IF(P126&lt;200,P126*19%*1.1,IF(P126&lt;3000,P126*21%*1.1,P126*24%*1.1))))</f>
        <v>1516.9175446806685</v>
      </c>
      <c r="Q128" s="19">
        <f t="shared" si="57"/>
        <v>2016.924118923936</v>
      </c>
      <c r="R128" s="19">
        <f t="shared" si="57"/>
        <v>2587.2942010297816</v>
      </c>
      <c r="S128" s="19">
        <f t="shared" si="57"/>
        <v>3213.0721317664566</v>
      </c>
      <c r="T128" s="19">
        <f t="shared" ref="T128" si="58">IF(T126&lt;0,0,IF(T126&lt;2,T126*9%*1.1,IF(T126&lt;200,T126*19%*1.1,IF(T126&lt;3000,T126*21%*1.1,T126*24%*1.1))))</f>
        <v>3902.5943159253688</v>
      </c>
      <c r="U128" s="19">
        <f t="shared" si="57"/>
        <v>3941.6202590846224</v>
      </c>
    </row>
    <row r="129" spans="1:21" x14ac:dyDescent="0.55000000000000004">
      <c r="A129" s="4"/>
      <c r="B129" s="7" t="s">
        <v>16</v>
      </c>
      <c r="C129" s="7"/>
      <c r="D129" s="7"/>
      <c r="E129" s="7"/>
      <c r="F129" s="7"/>
      <c r="G129" s="7"/>
      <c r="H129" s="7"/>
      <c r="I129" s="7"/>
      <c r="J129" s="7"/>
      <c r="K129" s="7"/>
      <c r="L129" s="323"/>
      <c r="M129" s="323"/>
      <c r="N129" s="328">
        <f>N126-N128</f>
        <v>1431.6526163856547</v>
      </c>
      <c r="O129" s="323"/>
      <c r="P129" s="328">
        <f t="shared" ref="P129:U129" si="59">P126-P128</f>
        <v>4228.9822457764094</v>
      </c>
      <c r="Q129" s="328">
        <f t="shared" si="59"/>
        <v>5622.9399679091548</v>
      </c>
      <c r="R129" s="328">
        <f t="shared" si="59"/>
        <v>7213.0626210527244</v>
      </c>
      <c r="S129" s="328">
        <f t="shared" si="59"/>
        <v>8957.6556400761838</v>
      </c>
      <c r="T129" s="328">
        <f t="shared" ref="T129" si="60">T126-T128</f>
        <v>10879.959911064663</v>
      </c>
      <c r="U129" s="328">
        <f t="shared" si="59"/>
        <v>10988.75951017531</v>
      </c>
    </row>
    <row r="130" spans="1:21" x14ac:dyDescent="0.55000000000000004">
      <c r="B130" s="1" t="s">
        <v>17</v>
      </c>
      <c r="L130" s="322"/>
      <c r="M130" s="322"/>
      <c r="N130" s="19">
        <f>NOVA!N10</f>
        <v>10.863411812152076</v>
      </c>
      <c r="O130" s="329"/>
      <c r="P130" s="19">
        <f>NOVA!P10</f>
        <v>20.049995958318142</v>
      </c>
      <c r="Q130" s="19">
        <f>NOVA!Q10</f>
        <v>18.010901344359215</v>
      </c>
      <c r="R130" s="19">
        <f>NOVA!R10</f>
        <v>16.179183672187207</v>
      </c>
      <c r="S130" s="19">
        <f>NOVA!S10</f>
        <v>14.533752603133934</v>
      </c>
      <c r="T130" s="19">
        <f>NOVA!T10</f>
        <v>13.055662696518908</v>
      </c>
      <c r="U130" s="19"/>
    </row>
    <row r="131" spans="1:21" x14ac:dyDescent="0.55000000000000004">
      <c r="B131" s="1" t="s">
        <v>18</v>
      </c>
      <c r="L131" s="322"/>
      <c r="M131" s="322"/>
      <c r="N131" s="19">
        <f>-NOVA!N79</f>
        <v>-9.7626706916666599</v>
      </c>
      <c r="O131" s="329"/>
      <c r="P131" s="19">
        <f>-NOVA!P79</f>
        <v>-16.360665816661072</v>
      </c>
      <c r="Q131" s="19">
        <f>-NOVA!Q79</f>
        <v>-14.696777922773737</v>
      </c>
      <c r="R131" s="19">
        <f>-NOVA!R79</f>
        <v>-13.202108259638685</v>
      </c>
      <c r="S131" s="19">
        <f>-NOVA!S79</f>
        <v>-11.859447248579301</v>
      </c>
      <c r="T131" s="19">
        <f>-NOVA!T79</f>
        <v>-10.653335533675159</v>
      </c>
      <c r="U131" s="19"/>
    </row>
    <row r="132" spans="1:21" x14ac:dyDescent="0.55000000000000004">
      <c r="B132" s="1" t="s">
        <v>19</v>
      </c>
      <c r="L132" s="322"/>
      <c r="M132" s="322"/>
      <c r="N132" s="19">
        <f>-NOVA!N107</f>
        <v>-166.07039040821803</v>
      </c>
      <c r="O132" s="329"/>
      <c r="P132" s="19">
        <f>-NOVA!P107</f>
        <v>-252.87454472154627</v>
      </c>
      <c r="Q132" s="19">
        <f>-NOVA!Q107</f>
        <v>-124.3741648530725</v>
      </c>
      <c r="R132" s="19">
        <f>-NOVA!R107</f>
        <v>-144.09743555547402</v>
      </c>
      <c r="S132" s="19">
        <f>-NOVA!S107</f>
        <v>-158.65890401720912</v>
      </c>
      <c r="T132" s="19">
        <f>-NOVA!T107</f>
        <v>-175.16175200211956</v>
      </c>
      <c r="U132" s="19">
        <f>-NOVA!U107</f>
        <v>-9.5850891755765133</v>
      </c>
    </row>
    <row r="133" spans="1:21" x14ac:dyDescent="0.55000000000000004">
      <c r="A133" s="4"/>
      <c r="B133" s="7" t="s">
        <v>20</v>
      </c>
      <c r="C133" s="7"/>
      <c r="D133" s="7"/>
      <c r="E133" s="7"/>
      <c r="F133" s="7"/>
      <c r="G133" s="7"/>
      <c r="H133" s="7"/>
      <c r="I133" s="7"/>
      <c r="J133" s="7"/>
      <c r="K133" s="7"/>
      <c r="L133" s="323"/>
      <c r="M133" s="323"/>
      <c r="N133" s="330">
        <f>N132+N131+N130+N129</f>
        <v>1266.6829670979221</v>
      </c>
      <c r="O133" s="323"/>
      <c r="P133" s="330">
        <f t="shared" ref="P133:U133" si="61">P132+P131+P130+P129</f>
        <v>3979.79703119652</v>
      </c>
      <c r="Q133" s="330">
        <f t="shared" si="61"/>
        <v>5501.8799264776681</v>
      </c>
      <c r="R133" s="330">
        <f t="shared" si="61"/>
        <v>7071.9422609097992</v>
      </c>
      <c r="S133" s="330">
        <f t="shared" si="61"/>
        <v>8801.6710414135287</v>
      </c>
      <c r="T133" s="330">
        <f t="shared" ref="T133" si="62">T132+T131+T130+T129</f>
        <v>10707.200486225387</v>
      </c>
      <c r="U133" s="330">
        <f t="shared" si="61"/>
        <v>10979.174420999734</v>
      </c>
    </row>
    <row r="134" spans="1:21" x14ac:dyDescent="0.55000000000000004">
      <c r="B134" s="8" t="s">
        <v>21</v>
      </c>
      <c r="C134" s="8"/>
      <c r="D134" s="8"/>
      <c r="E134" s="8"/>
      <c r="F134" s="8"/>
      <c r="G134" s="8"/>
      <c r="H134" s="8"/>
      <c r="I134" s="8"/>
      <c r="J134" s="8"/>
      <c r="K134" s="8"/>
      <c r="L134" s="324"/>
      <c r="M134" s="324"/>
      <c r="N134" s="331">
        <f>'Key Assumption'!$L$9/2</f>
        <v>0.25205479452054796</v>
      </c>
      <c r="O134" s="324"/>
      <c r="P134" s="8">
        <v>1</v>
      </c>
      <c r="Q134" s="8">
        <f>P134+1</f>
        <v>2</v>
      </c>
      <c r="R134" s="8">
        <f t="shared" ref="R134" si="63">Q134+1</f>
        <v>3</v>
      </c>
      <c r="S134" s="8">
        <f t="shared" ref="S134" si="64">R134+1</f>
        <v>4</v>
      </c>
      <c r="T134" s="8">
        <f t="shared" ref="T134" si="65">S134+1</f>
        <v>5</v>
      </c>
      <c r="U134" s="8">
        <f>T134</f>
        <v>5</v>
      </c>
    </row>
    <row r="135" spans="1:21" x14ac:dyDescent="0.55000000000000004">
      <c r="B135" s="9" t="s">
        <v>22</v>
      </c>
      <c r="C135" s="9"/>
      <c r="D135" s="9"/>
      <c r="E135" s="9"/>
      <c r="F135" s="9"/>
      <c r="G135" s="9"/>
      <c r="H135" s="9"/>
      <c r="I135" s="9"/>
      <c r="J135" s="9"/>
      <c r="K135" s="9"/>
      <c r="L135" s="325"/>
      <c r="M135" s="325"/>
      <c r="N135" s="333">
        <f>1/(1+$J$142)^N134</f>
        <v>0.9653856041480513</v>
      </c>
      <c r="O135" s="325"/>
      <c r="P135" s="333">
        <f t="shared" ref="P135:U135" si="66">1/(1+$J$142)^P134</f>
        <v>0.86956521739130443</v>
      </c>
      <c r="Q135" s="333">
        <f t="shared" si="66"/>
        <v>0.7561436672967865</v>
      </c>
      <c r="R135" s="333">
        <f t="shared" si="66"/>
        <v>0.65751623243198831</v>
      </c>
      <c r="S135" s="333">
        <f t="shared" si="66"/>
        <v>0.57175324559303342</v>
      </c>
      <c r="T135" s="333">
        <f t="shared" ref="T135" si="67">1/(1+$J$142)^T134</f>
        <v>0.49717673529828987</v>
      </c>
      <c r="U135" s="333">
        <f t="shared" si="66"/>
        <v>0.49717673529828987</v>
      </c>
    </row>
    <row r="136" spans="1:21" x14ac:dyDescent="0.55000000000000004">
      <c r="A136" s="4"/>
      <c r="B136" s="7" t="s">
        <v>23</v>
      </c>
      <c r="C136" s="7"/>
      <c r="D136" s="7"/>
      <c r="E136" s="7"/>
      <c r="F136" s="7"/>
      <c r="G136" s="7"/>
      <c r="H136" s="7"/>
      <c r="I136" s="7"/>
      <c r="J136" s="7"/>
      <c r="K136" s="7"/>
      <c r="L136" s="323"/>
      <c r="M136" s="323"/>
      <c r="N136" s="328">
        <f>N135*N133</f>
        <v>1222.8375014558737</v>
      </c>
      <c r="O136" s="323"/>
      <c r="P136" s="328">
        <f t="shared" ref="P136:S136" si="68">P135*P133</f>
        <v>3460.6930706056701</v>
      </c>
      <c r="Q136" s="328">
        <f t="shared" si="68"/>
        <v>4160.211664633398</v>
      </c>
      <c r="R136" s="328">
        <f t="shared" si="68"/>
        <v>4649.9168313699683</v>
      </c>
      <c r="S136" s="328">
        <f t="shared" si="68"/>
        <v>5032.3839845703997</v>
      </c>
      <c r="T136" s="328">
        <f t="shared" ref="T136" si="69">T135*T133</f>
        <v>5323.3709819258002</v>
      </c>
      <c r="U136" s="328">
        <f>U135*U133/(J142-J141)</f>
        <v>38989.929249308145</v>
      </c>
    </row>
    <row r="137" spans="1:21" x14ac:dyDescent="0.55000000000000004">
      <c r="A137" s="10"/>
      <c r="B137" s="13" t="s">
        <v>24</v>
      </c>
      <c r="C137" s="10"/>
      <c r="D137" s="10"/>
      <c r="E137" s="10"/>
      <c r="F137" s="10"/>
      <c r="G137" s="10"/>
      <c r="H137" s="10"/>
      <c r="I137" s="10"/>
      <c r="J137" s="10"/>
      <c r="K137" s="10"/>
      <c r="L137" s="326"/>
      <c r="M137" s="326"/>
      <c r="N137" s="28">
        <f>SUM(N136:T136)</f>
        <v>23849.414034561109</v>
      </c>
      <c r="O137" s="326"/>
      <c r="P137" s="10"/>
      <c r="Q137" s="10"/>
      <c r="R137" s="10"/>
      <c r="S137" s="10"/>
      <c r="T137" s="10"/>
      <c r="U137" s="10"/>
    </row>
    <row r="138" spans="1:21" x14ac:dyDescent="0.55000000000000004">
      <c r="A138" s="10"/>
      <c r="B138" s="13" t="s">
        <v>25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326"/>
      <c r="M138" s="326"/>
      <c r="N138" s="28">
        <f>U136</f>
        <v>38989.929249308145</v>
      </c>
      <c r="O138" s="326"/>
      <c r="P138" s="10"/>
      <c r="Q138" s="10"/>
      <c r="R138" s="10"/>
      <c r="S138" s="10"/>
      <c r="T138" s="10"/>
      <c r="U138" s="10"/>
    </row>
    <row r="139" spans="1:21" x14ac:dyDescent="0.55000000000000004">
      <c r="A139" s="10"/>
      <c r="B139" s="11" t="s">
        <v>26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327"/>
      <c r="M139" s="327"/>
      <c r="N139" s="334">
        <f>N138+N137</f>
        <v>62839.343283869253</v>
      </c>
      <c r="O139" s="327"/>
      <c r="P139" s="14"/>
      <c r="Q139" s="14"/>
      <c r="R139" s="14"/>
      <c r="S139" s="14"/>
      <c r="T139" s="14"/>
      <c r="U139" s="14"/>
    </row>
    <row r="140" spans="1:21" x14ac:dyDescent="0.55000000000000004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</row>
    <row r="141" spans="1:21" x14ac:dyDescent="0.55000000000000004">
      <c r="B141" s="847" t="s">
        <v>27</v>
      </c>
      <c r="C141" s="848"/>
      <c r="D141" s="848"/>
      <c r="E141" s="848"/>
      <c r="F141" s="848"/>
      <c r="G141" s="848"/>
      <c r="H141" s="848"/>
      <c r="I141" s="848"/>
      <c r="J141" s="332">
        <f>J61</f>
        <v>0.01</v>
      </c>
    </row>
    <row r="142" spans="1:21" x14ac:dyDescent="0.55000000000000004">
      <c r="B142" s="849" t="s">
        <v>28</v>
      </c>
      <c r="C142" s="850"/>
      <c r="D142" s="850"/>
      <c r="E142" s="850"/>
      <c r="F142" s="850"/>
      <c r="G142" s="850"/>
      <c r="H142" s="850"/>
      <c r="I142" s="850"/>
      <c r="J142" s="298">
        <f t="shared" ref="J142" si="70">J62</f>
        <v>0.15</v>
      </c>
    </row>
    <row r="144" spans="1:21" x14ac:dyDescent="0.55000000000000004">
      <c r="B144" s="844"/>
      <c r="C144" s="844"/>
      <c r="D144" s="844"/>
      <c r="E144" s="844"/>
      <c r="F144" s="844"/>
      <c r="G144" s="844"/>
      <c r="H144" s="844"/>
      <c r="I144" s="844"/>
      <c r="J144" s="844"/>
    </row>
    <row r="145" spans="1:21" x14ac:dyDescent="0.55000000000000004">
      <c r="A145" s="4"/>
      <c r="B145" s="12" t="s">
        <v>29</v>
      </c>
      <c r="C145" s="12"/>
      <c r="D145" s="12"/>
      <c r="E145" s="12"/>
      <c r="F145" s="12"/>
      <c r="G145" s="12"/>
      <c r="H145" s="12"/>
      <c r="I145" s="12"/>
      <c r="J145" s="320">
        <f>N139</f>
        <v>62839.343283869253</v>
      </c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spans="1:21" x14ac:dyDescent="0.55000000000000004">
      <c r="B146" s="1" t="s">
        <v>30</v>
      </c>
      <c r="J146" s="315">
        <f>J147</f>
        <v>112.404898</v>
      </c>
    </row>
    <row r="147" spans="1:21" x14ac:dyDescent="0.55000000000000004">
      <c r="C147" s="1" t="s">
        <v>35</v>
      </c>
      <c r="J147" s="315">
        <f>연결정산표!S8/10^6</f>
        <v>112.404898</v>
      </c>
    </row>
    <row r="148" spans="1:21" x14ac:dyDescent="0.55000000000000004">
      <c r="A148" s="4"/>
      <c r="B148" s="7" t="s">
        <v>31</v>
      </c>
      <c r="C148" s="7"/>
      <c r="D148" s="7"/>
      <c r="E148" s="7"/>
      <c r="F148" s="7"/>
      <c r="G148" s="7"/>
      <c r="H148" s="7"/>
      <c r="I148" s="7"/>
      <c r="J148" s="328">
        <f>J145+J146</f>
        <v>62951.748181869254</v>
      </c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spans="1:21" x14ac:dyDescent="0.55000000000000004">
      <c r="B149" s="1" t="s">
        <v>32</v>
      </c>
      <c r="J149" s="19">
        <f>J150</f>
        <v>50.296999999999997</v>
      </c>
    </row>
    <row r="150" spans="1:21" x14ac:dyDescent="0.55000000000000004">
      <c r="C150" s="1" t="s">
        <v>41</v>
      </c>
      <c r="J150" s="19">
        <f>연결정산표!S58/10^6</f>
        <v>50.296999999999997</v>
      </c>
    </row>
    <row r="151" spans="1:21" x14ac:dyDescent="0.55000000000000004">
      <c r="A151" s="4"/>
      <c r="B151" s="16" t="s">
        <v>33</v>
      </c>
      <c r="C151" s="16"/>
      <c r="D151" s="16"/>
      <c r="E151" s="16"/>
      <c r="F151" s="16"/>
      <c r="G151" s="16"/>
      <c r="H151" s="16"/>
      <c r="I151" s="16"/>
      <c r="J151" s="334">
        <f>J148-J149</f>
        <v>62901.451181869255</v>
      </c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4" spans="1:21" x14ac:dyDescent="0.55000000000000004">
      <c r="A154" s="841" t="s">
        <v>1463</v>
      </c>
      <c r="B154" s="842"/>
      <c r="C154" s="842"/>
      <c r="D154" s="842"/>
      <c r="E154" s="842"/>
      <c r="F154" s="842"/>
      <c r="G154" s="842"/>
      <c r="H154" s="842"/>
      <c r="I154" s="842"/>
      <c r="J154" s="842"/>
      <c r="K154" s="842"/>
      <c r="L154" s="842"/>
      <c r="M154" s="842"/>
      <c r="N154" s="842"/>
      <c r="O154" s="842"/>
      <c r="P154" s="842"/>
      <c r="Q154" s="842"/>
      <c r="R154" s="842"/>
      <c r="S154" s="842"/>
      <c r="T154" s="842"/>
      <c r="U154" s="842"/>
    </row>
    <row r="156" spans="1:21" x14ac:dyDescent="0.55000000000000004">
      <c r="B156" s="844"/>
      <c r="C156" s="844"/>
      <c r="D156" s="844"/>
      <c r="E156" s="844"/>
      <c r="F156" s="844"/>
      <c r="G156" s="844"/>
      <c r="H156" s="844"/>
      <c r="I156" s="844"/>
      <c r="J156" s="844"/>
      <c r="K156" s="844"/>
      <c r="L156" s="845" t="s">
        <v>2</v>
      </c>
      <c r="M156" s="845" t="s">
        <v>3</v>
      </c>
      <c r="N156" s="845" t="s">
        <v>4</v>
      </c>
      <c r="O156" s="845" t="s">
        <v>5</v>
      </c>
      <c r="P156" s="845" t="s">
        <v>6</v>
      </c>
      <c r="Q156" s="845" t="s">
        <v>7</v>
      </c>
      <c r="R156" s="845" t="s">
        <v>8</v>
      </c>
      <c r="S156" s="845" t="s">
        <v>9</v>
      </c>
      <c r="T156" s="846" t="s">
        <v>1480</v>
      </c>
      <c r="U156" s="845" t="s">
        <v>10</v>
      </c>
    </row>
    <row r="157" spans="1:21" x14ac:dyDescent="0.55000000000000004">
      <c r="A157" s="4"/>
      <c r="B157" s="12" t="s">
        <v>11</v>
      </c>
      <c r="C157" s="12"/>
      <c r="D157" s="12"/>
      <c r="E157" s="12"/>
      <c r="F157" s="12"/>
      <c r="G157" s="12"/>
      <c r="H157" s="12"/>
      <c r="I157" s="12"/>
      <c r="J157" s="12"/>
      <c r="K157" s="12"/>
      <c r="L157" s="379"/>
      <c r="M157" s="320">
        <f>TTA!M6</f>
        <v>5406.0863570000001</v>
      </c>
      <c r="N157" s="320">
        <f>TTA!N6</f>
        <v>7433.9256865848574</v>
      </c>
      <c r="O157" s="320">
        <f>TTA!O6</f>
        <v>12840.012043584858</v>
      </c>
      <c r="P157" s="320">
        <f>TTA!P6</f>
        <v>15717.110058274176</v>
      </c>
      <c r="Q157" s="320">
        <f>TTA!Q6</f>
        <v>18711.430492295651</v>
      </c>
      <c r="R157" s="320">
        <f>TTA!R6</f>
        <v>21872.722647118819</v>
      </c>
      <c r="S157" s="320">
        <f>TTA!S6</f>
        <v>25109.255182074252</v>
      </c>
      <c r="T157" s="320">
        <f>TTA!T6</f>
        <v>28476.636112563181</v>
      </c>
      <c r="U157" s="320">
        <f>T157*(1+$J$141)</f>
        <v>28761.402473688813</v>
      </c>
    </row>
    <row r="158" spans="1:21" x14ac:dyDescent="0.55000000000000004">
      <c r="B158" s="1" t="s">
        <v>12</v>
      </c>
      <c r="L158" s="380"/>
      <c r="M158" s="315">
        <f>TTA!M7</f>
        <v>1920.4115469999997</v>
      </c>
      <c r="N158" s="315">
        <f>TTA!N7</f>
        <v>4726.7597760839299</v>
      </c>
      <c r="O158" s="315">
        <f>TTA!O7</f>
        <v>6647.1713230839305</v>
      </c>
      <c r="P158" s="315">
        <f>TTA!P7</f>
        <v>9866.0859817561286</v>
      </c>
      <c r="Q158" s="315">
        <f>TTA!Q7</f>
        <v>10872.232276699526</v>
      </c>
      <c r="R158" s="315">
        <f>TTA!R7</f>
        <v>12592.675148519987</v>
      </c>
      <c r="S158" s="315">
        <f>TTA!S7</f>
        <v>14351.490854493959</v>
      </c>
      <c r="T158" s="315">
        <f>TTA!T7</f>
        <v>16181.755033178042</v>
      </c>
      <c r="U158" s="315">
        <f>T158*(1+$J$141)</f>
        <v>16343.572583509822</v>
      </c>
    </row>
    <row r="159" spans="1:21" x14ac:dyDescent="0.55000000000000004">
      <c r="A159" s="4"/>
      <c r="B159" s="5" t="s">
        <v>13</v>
      </c>
      <c r="C159" s="5"/>
      <c r="D159" s="5"/>
      <c r="E159" s="5"/>
      <c r="F159" s="5"/>
      <c r="G159" s="5"/>
      <c r="H159" s="5"/>
      <c r="I159" s="5"/>
      <c r="J159" s="5"/>
      <c r="K159" s="5"/>
      <c r="L159" s="381"/>
      <c r="M159" s="321">
        <f t="shared" ref="M159:U159" si="71">M157-M158</f>
        <v>3485.6748100000004</v>
      </c>
      <c r="N159" s="321">
        <f t="shared" si="71"/>
        <v>2707.1659105009276</v>
      </c>
      <c r="O159" s="321">
        <f t="shared" si="71"/>
        <v>6192.840720500928</v>
      </c>
      <c r="P159" s="321">
        <f t="shared" si="71"/>
        <v>5851.0240765180479</v>
      </c>
      <c r="Q159" s="321">
        <f t="shared" si="71"/>
        <v>7839.198215596125</v>
      </c>
      <c r="R159" s="321">
        <f t="shared" si="71"/>
        <v>9280.0474985988312</v>
      </c>
      <c r="S159" s="321">
        <f t="shared" si="71"/>
        <v>10757.764327580293</v>
      </c>
      <c r="T159" s="321">
        <f t="shared" ref="T159" si="72">T157-T158</f>
        <v>12294.881079385139</v>
      </c>
      <c r="U159" s="321">
        <f t="shared" si="71"/>
        <v>12417.829890178991</v>
      </c>
    </row>
    <row r="160" spans="1:21" x14ac:dyDescent="0.55000000000000004">
      <c r="A160" s="3"/>
      <c r="B160" s="6" t="s">
        <v>14</v>
      </c>
      <c r="C160" s="6"/>
      <c r="D160" s="6"/>
      <c r="E160" s="6"/>
      <c r="F160" s="6"/>
      <c r="G160" s="6"/>
      <c r="H160" s="6"/>
      <c r="I160" s="6"/>
      <c r="J160" s="6"/>
      <c r="K160" s="6"/>
      <c r="L160" s="382"/>
      <c r="M160" s="318">
        <f t="shared" ref="M160:U160" si="73">M159/M157</f>
        <v>0.64476861445001155</v>
      </c>
      <c r="N160" s="318">
        <f t="shared" si="73"/>
        <v>0.36416370362515671</v>
      </c>
      <c r="O160" s="318">
        <f t="shared" si="73"/>
        <v>0.48230801493640357</v>
      </c>
      <c r="P160" s="318">
        <f t="shared" si="73"/>
        <v>0.37227098714867191</v>
      </c>
      <c r="Q160" s="318">
        <f t="shared" si="73"/>
        <v>0.41895237346091097</v>
      </c>
      <c r="R160" s="318">
        <f t="shared" si="73"/>
        <v>0.42427491301917297</v>
      </c>
      <c r="S160" s="318">
        <f t="shared" si="73"/>
        <v>0.42843820932053645</v>
      </c>
      <c r="T160" s="318">
        <f t="shared" ref="T160" si="74">T159/T157</f>
        <v>0.43175328120869388</v>
      </c>
      <c r="U160" s="318">
        <f t="shared" si="73"/>
        <v>0.43175328120869394</v>
      </c>
    </row>
    <row r="161" spans="1:21" x14ac:dyDescent="0.55000000000000004">
      <c r="B161" s="1" t="s">
        <v>15</v>
      </c>
      <c r="L161" s="322"/>
      <c r="M161" s="322"/>
      <c r="N161" s="19">
        <f>IF(N159&lt;0,0,IF(N159&lt;2,N159*9%*1.1,IF(N159&lt;200,N159*19%*1.1,IF(N159&lt;3000,N159*21%*1.1,N159*24%*1.1))))</f>
        <v>625.35532532571438</v>
      </c>
      <c r="O161" s="322"/>
      <c r="P161" s="19">
        <f t="shared" ref="P161:U161" si="75">IF(P159&lt;0,0,IF(P159&lt;2,P159*9%*1.1,IF(P159&lt;200,P159*19%*1.1,IF(P159&lt;3000,P159*21%*1.1,P159*24%*1.1))))</f>
        <v>1544.6703562007647</v>
      </c>
      <c r="Q161" s="19">
        <f t="shared" si="75"/>
        <v>2069.5483289173771</v>
      </c>
      <c r="R161" s="19">
        <f t="shared" si="75"/>
        <v>2449.9325396300915</v>
      </c>
      <c r="S161" s="19">
        <f t="shared" si="75"/>
        <v>2840.0497824811973</v>
      </c>
      <c r="T161" s="19">
        <f t="shared" ref="T161" si="76">IF(T159&lt;0,0,IF(T159&lt;2,T159*9%*1.1,IF(T159&lt;200,T159*19%*1.1,IF(T159&lt;3000,T159*21%*1.1,T159*24%*1.1))))</f>
        <v>3245.8486049576768</v>
      </c>
      <c r="U161" s="19">
        <f t="shared" si="75"/>
        <v>3278.3070910072538</v>
      </c>
    </row>
    <row r="162" spans="1:21" x14ac:dyDescent="0.55000000000000004">
      <c r="A162" s="4"/>
      <c r="B162" s="7" t="s">
        <v>16</v>
      </c>
      <c r="C162" s="7"/>
      <c r="D162" s="7"/>
      <c r="E162" s="7"/>
      <c r="F162" s="7"/>
      <c r="G162" s="7"/>
      <c r="H162" s="7"/>
      <c r="I162" s="7"/>
      <c r="J162" s="7"/>
      <c r="K162" s="7"/>
      <c r="L162" s="323"/>
      <c r="M162" s="323"/>
      <c r="N162" s="328">
        <f>N159-N161</f>
        <v>2081.8105851752134</v>
      </c>
      <c r="O162" s="323"/>
      <c r="P162" s="328">
        <f t="shared" ref="P162:U162" si="77">P159-P161</f>
        <v>4306.3537203172837</v>
      </c>
      <c r="Q162" s="328">
        <f t="shared" si="77"/>
        <v>5769.6498866787479</v>
      </c>
      <c r="R162" s="328">
        <f t="shared" si="77"/>
        <v>6830.1149589687393</v>
      </c>
      <c r="S162" s="328">
        <f t="shared" si="77"/>
        <v>7917.7145450990956</v>
      </c>
      <c r="T162" s="328">
        <f t="shared" ref="T162" si="78">T159-T161</f>
        <v>9049.0324744274621</v>
      </c>
      <c r="U162" s="328">
        <f t="shared" si="77"/>
        <v>9139.5227991717366</v>
      </c>
    </row>
    <row r="163" spans="1:21" x14ac:dyDescent="0.55000000000000004">
      <c r="B163" s="1" t="s">
        <v>17</v>
      </c>
      <c r="L163" s="322"/>
      <c r="M163" s="322"/>
      <c r="N163" s="19">
        <f>TTA!N10</f>
        <v>3.1195384320000001</v>
      </c>
      <c r="O163" s="329"/>
      <c r="P163" s="19">
        <f>TTA!P10</f>
        <v>6.1107690029506561</v>
      </c>
      <c r="Q163" s="19">
        <f>TTA!Q10</f>
        <v>5.2589766900913579</v>
      </c>
      <c r="R163" s="19">
        <f>TTA!R10</f>
        <v>4.5259174113061444</v>
      </c>
      <c r="S163" s="19">
        <f>TTA!S10</f>
        <v>4.319396486236954</v>
      </c>
      <c r="T163" s="19">
        <f>TTA!T10</f>
        <v>3.2929514164998164</v>
      </c>
      <c r="U163" s="19"/>
    </row>
    <row r="164" spans="1:21" x14ac:dyDescent="0.55000000000000004">
      <c r="B164" s="1" t="s">
        <v>18</v>
      </c>
      <c r="L164" s="322"/>
      <c r="M164" s="322"/>
      <c r="N164" s="19">
        <f>-N163</f>
        <v>-3.1195384320000001</v>
      </c>
      <c r="O164" s="329"/>
      <c r="P164" s="19">
        <f t="shared" ref="P164:S164" si="79">-P163</f>
        <v>-6.1107690029506561</v>
      </c>
      <c r="Q164" s="19">
        <f t="shared" si="79"/>
        <v>-5.2589766900913579</v>
      </c>
      <c r="R164" s="19">
        <f t="shared" si="79"/>
        <v>-4.5259174113061444</v>
      </c>
      <c r="S164" s="19">
        <f t="shared" si="79"/>
        <v>-4.319396486236954</v>
      </c>
      <c r="T164" s="19">
        <f t="shared" ref="T164" si="80">-T163</f>
        <v>-3.2929514164998164</v>
      </c>
      <c r="U164" s="19"/>
    </row>
    <row r="165" spans="1:21" x14ac:dyDescent="0.55000000000000004">
      <c r="B165" s="1" t="s">
        <v>19</v>
      </c>
      <c r="L165" s="322"/>
      <c r="M165" s="322"/>
      <c r="N165" s="19">
        <f>-TTA!N115</f>
        <v>2041.2973665684447</v>
      </c>
      <c r="O165" s="329"/>
      <c r="P165" s="19">
        <f>-TTA!P115</f>
        <v>-154.87274765906022</v>
      </c>
      <c r="Q165" s="19">
        <f>-TTA!Q115</f>
        <v>-213.43454008072877</v>
      </c>
      <c r="R165" s="19">
        <f>-TTA!R115</f>
        <v>-220.33471270634323</v>
      </c>
      <c r="S165" s="19">
        <f>-TTA!S115</f>
        <v>-225.72209031313787</v>
      </c>
      <c r="T165" s="19">
        <f>-TTA!T115</f>
        <v>-234.78432248621152</v>
      </c>
      <c r="U165" s="19">
        <f>-TTA!U115</f>
        <v>-19.629723716770741</v>
      </c>
    </row>
    <row r="166" spans="1:21" x14ac:dyDescent="0.55000000000000004">
      <c r="A166" s="4"/>
      <c r="B166" s="7" t="s">
        <v>20</v>
      </c>
      <c r="C166" s="7"/>
      <c r="D166" s="7"/>
      <c r="E166" s="7"/>
      <c r="F166" s="7"/>
      <c r="G166" s="7"/>
      <c r="H166" s="7"/>
      <c r="I166" s="7"/>
      <c r="J166" s="7"/>
      <c r="K166" s="7"/>
      <c r="L166" s="323"/>
      <c r="M166" s="323"/>
      <c r="N166" s="330">
        <f>N165+N164+N163+N162</f>
        <v>4123.1079517436583</v>
      </c>
      <c r="O166" s="323"/>
      <c r="P166" s="330">
        <f t="shared" ref="P166:U166" si="81">P165+P164+P163+P162</f>
        <v>4151.4809726582234</v>
      </c>
      <c r="Q166" s="330">
        <f t="shared" si="81"/>
        <v>5556.2153465980191</v>
      </c>
      <c r="R166" s="330">
        <f t="shared" si="81"/>
        <v>6609.7802462623958</v>
      </c>
      <c r="S166" s="330">
        <f t="shared" si="81"/>
        <v>7691.9924547859573</v>
      </c>
      <c r="T166" s="330">
        <f t="shared" ref="T166" si="82">T165+T164+T163+T162</f>
        <v>8814.2481519412504</v>
      </c>
      <c r="U166" s="330">
        <f t="shared" si="81"/>
        <v>9119.8930754549656</v>
      </c>
    </row>
    <row r="167" spans="1:21" x14ac:dyDescent="0.55000000000000004">
      <c r="B167" s="8" t="s">
        <v>21</v>
      </c>
      <c r="C167" s="8"/>
      <c r="D167" s="8"/>
      <c r="E167" s="8"/>
      <c r="F167" s="8"/>
      <c r="G167" s="8"/>
      <c r="H167" s="8"/>
      <c r="I167" s="8"/>
      <c r="J167" s="8"/>
      <c r="K167" s="8"/>
      <c r="L167" s="324"/>
      <c r="M167" s="324"/>
      <c r="N167" s="331">
        <f>'Key Assumption'!$L$9/2</f>
        <v>0.25205479452054796</v>
      </c>
      <c r="O167" s="324"/>
      <c r="P167" s="8">
        <v>1</v>
      </c>
      <c r="Q167" s="8">
        <f>P167+1</f>
        <v>2</v>
      </c>
      <c r="R167" s="8">
        <f t="shared" ref="R167" si="83">Q167+1</f>
        <v>3</v>
      </c>
      <c r="S167" s="8">
        <f t="shared" ref="S167" si="84">R167+1</f>
        <v>4</v>
      </c>
      <c r="T167" s="8">
        <f t="shared" ref="T167" si="85">S167+1</f>
        <v>5</v>
      </c>
      <c r="U167" s="8">
        <f>T167</f>
        <v>5</v>
      </c>
    </row>
    <row r="168" spans="1:21" x14ac:dyDescent="0.55000000000000004">
      <c r="B168" s="9" t="s">
        <v>22</v>
      </c>
      <c r="C168" s="9"/>
      <c r="D168" s="9"/>
      <c r="E168" s="9"/>
      <c r="F168" s="9"/>
      <c r="G168" s="9"/>
      <c r="H168" s="9"/>
      <c r="I168" s="9"/>
      <c r="J168" s="9"/>
      <c r="K168" s="9"/>
      <c r="L168" s="325"/>
      <c r="M168" s="325"/>
      <c r="N168" s="333">
        <f>1/(1+$J$142)^N167</f>
        <v>0.9653856041480513</v>
      </c>
      <c r="O168" s="325"/>
      <c r="P168" s="333">
        <f t="shared" ref="P168:U168" si="86">1/(1+$J$142)^P167</f>
        <v>0.86956521739130443</v>
      </c>
      <c r="Q168" s="333">
        <f t="shared" si="86"/>
        <v>0.7561436672967865</v>
      </c>
      <c r="R168" s="333">
        <f t="shared" si="86"/>
        <v>0.65751623243198831</v>
      </c>
      <c r="S168" s="333">
        <f t="shared" si="86"/>
        <v>0.57175324559303342</v>
      </c>
      <c r="T168" s="333">
        <f t="shared" ref="T168" si="87">1/(1+$J$142)^T167</f>
        <v>0.49717673529828987</v>
      </c>
      <c r="U168" s="333">
        <f t="shared" si="86"/>
        <v>0.49717673529828987</v>
      </c>
    </row>
    <row r="169" spans="1:21" x14ac:dyDescent="0.55000000000000004">
      <c r="A169" s="4"/>
      <c r="B169" s="7" t="s">
        <v>23</v>
      </c>
      <c r="C169" s="7"/>
      <c r="D169" s="7"/>
      <c r="E169" s="7"/>
      <c r="F169" s="7"/>
      <c r="G169" s="7"/>
      <c r="H169" s="7"/>
      <c r="I169" s="7"/>
      <c r="J169" s="7"/>
      <c r="K169" s="7"/>
      <c r="L169" s="323"/>
      <c r="M169" s="323"/>
      <c r="N169" s="328">
        <f>N168*N166</f>
        <v>3980.389060961686</v>
      </c>
      <c r="O169" s="323"/>
      <c r="P169" s="328">
        <f t="shared" ref="P169:S169" si="88">P168*P166</f>
        <v>3609.983454485412</v>
      </c>
      <c r="Q169" s="328">
        <f t="shared" si="88"/>
        <v>4201.2970484673115</v>
      </c>
      <c r="R169" s="328">
        <f t="shared" si="88"/>
        <v>4346.03780472583</v>
      </c>
      <c r="S169" s="328">
        <f t="shared" si="88"/>
        <v>4397.9216511009954</v>
      </c>
      <c r="T169" s="328">
        <f t="shared" ref="T169" si="89">T168*T166</f>
        <v>4382.2391202911358</v>
      </c>
      <c r="U169" s="328">
        <f>U168*U166/(J175-J174)</f>
        <v>32387.133325172716</v>
      </c>
    </row>
    <row r="170" spans="1:21" x14ac:dyDescent="0.55000000000000004">
      <c r="A170" s="10"/>
      <c r="B170" s="13" t="s">
        <v>24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326"/>
      <c r="M170" s="326"/>
      <c r="N170" s="28">
        <f>SUM(N169:T169)</f>
        <v>24917.868140032369</v>
      </c>
      <c r="O170" s="326"/>
      <c r="P170" s="10"/>
      <c r="Q170" s="10"/>
      <c r="R170" s="10"/>
      <c r="S170" s="10"/>
      <c r="T170" s="10"/>
      <c r="U170" s="10"/>
    </row>
    <row r="171" spans="1:21" x14ac:dyDescent="0.55000000000000004">
      <c r="A171" s="10"/>
      <c r="B171" s="13" t="s">
        <v>25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326"/>
      <c r="M171" s="326"/>
      <c r="N171" s="28">
        <f>U169</f>
        <v>32387.133325172716</v>
      </c>
      <c r="O171" s="326"/>
      <c r="P171" s="10"/>
      <c r="Q171" s="10"/>
      <c r="R171" s="10"/>
      <c r="S171" s="10"/>
      <c r="T171" s="10"/>
      <c r="U171" s="10"/>
    </row>
    <row r="172" spans="1:21" x14ac:dyDescent="0.55000000000000004">
      <c r="A172" s="10"/>
      <c r="B172" s="11" t="s">
        <v>26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327"/>
      <c r="M172" s="327"/>
      <c r="N172" s="334">
        <f>N171+N170</f>
        <v>57305.001465205089</v>
      </c>
      <c r="O172" s="327"/>
      <c r="P172" s="14"/>
      <c r="Q172" s="14"/>
      <c r="R172" s="14"/>
      <c r="S172" s="14"/>
      <c r="T172" s="14"/>
      <c r="U172" s="14"/>
    </row>
    <row r="173" spans="1:21" x14ac:dyDescent="0.55000000000000004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</row>
    <row r="174" spans="1:21" x14ac:dyDescent="0.55000000000000004">
      <c r="B174" s="847" t="s">
        <v>27</v>
      </c>
      <c r="C174" s="848"/>
      <c r="D174" s="848"/>
      <c r="E174" s="848"/>
      <c r="F174" s="848"/>
      <c r="G174" s="848"/>
      <c r="H174" s="848"/>
      <c r="I174" s="848"/>
      <c r="J174" s="332">
        <f>J23</f>
        <v>0.01</v>
      </c>
    </row>
    <row r="175" spans="1:21" x14ac:dyDescent="0.55000000000000004">
      <c r="B175" s="849" t="s">
        <v>28</v>
      </c>
      <c r="C175" s="850"/>
      <c r="D175" s="850"/>
      <c r="E175" s="850"/>
      <c r="F175" s="850"/>
      <c r="G175" s="850"/>
      <c r="H175" s="850"/>
      <c r="I175" s="850"/>
      <c r="J175" s="298">
        <f>J24</f>
        <v>0.15</v>
      </c>
    </row>
    <row r="177" spans="1:21" x14ac:dyDescent="0.55000000000000004">
      <c r="B177" s="844"/>
      <c r="C177" s="844"/>
      <c r="D177" s="844"/>
      <c r="E177" s="844"/>
      <c r="F177" s="844"/>
      <c r="G177" s="844"/>
      <c r="H177" s="844"/>
      <c r="I177" s="844"/>
      <c r="J177" s="844"/>
    </row>
    <row r="178" spans="1:21" x14ac:dyDescent="0.55000000000000004">
      <c r="A178" s="4"/>
      <c r="B178" s="12" t="s">
        <v>29</v>
      </c>
      <c r="C178" s="12"/>
      <c r="D178" s="12"/>
      <c r="E178" s="12"/>
      <c r="F178" s="12"/>
      <c r="G178" s="12"/>
      <c r="H178" s="12"/>
      <c r="I178" s="12"/>
      <c r="J178" s="320">
        <f>N172</f>
        <v>57305.001465205089</v>
      </c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spans="1:21" x14ac:dyDescent="0.55000000000000004">
      <c r="B179" s="1" t="s">
        <v>30</v>
      </c>
      <c r="J179" s="315">
        <f>J180</f>
        <v>702.33158100000003</v>
      </c>
    </row>
    <row r="180" spans="1:21" x14ac:dyDescent="0.55000000000000004">
      <c r="C180" s="1" t="s">
        <v>35</v>
      </c>
      <c r="J180" s="315">
        <f>연결정산표!R8/10^6</f>
        <v>702.33158100000003</v>
      </c>
    </row>
    <row r="181" spans="1:21" x14ac:dyDescent="0.55000000000000004">
      <c r="A181" s="4"/>
      <c r="B181" s="7" t="s">
        <v>31</v>
      </c>
      <c r="C181" s="7"/>
      <c r="D181" s="7"/>
      <c r="E181" s="7"/>
      <c r="F181" s="7"/>
      <c r="G181" s="7"/>
      <c r="H181" s="7"/>
      <c r="I181" s="7"/>
      <c r="J181" s="328">
        <f>J178+J179</f>
        <v>58007.333046205087</v>
      </c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spans="1:21" x14ac:dyDescent="0.55000000000000004">
      <c r="B182" s="1" t="s">
        <v>32</v>
      </c>
      <c r="J182" s="19">
        <f>J183</f>
        <v>0</v>
      </c>
    </row>
    <row r="183" spans="1:21" x14ac:dyDescent="0.55000000000000004">
      <c r="C183" s="1" t="s">
        <v>41</v>
      </c>
      <c r="J183" s="19">
        <v>0</v>
      </c>
    </row>
    <row r="184" spans="1:21" x14ac:dyDescent="0.55000000000000004">
      <c r="A184" s="4"/>
      <c r="B184" s="16" t="s">
        <v>33</v>
      </c>
      <c r="C184" s="16"/>
      <c r="D184" s="16"/>
      <c r="E184" s="16"/>
      <c r="F184" s="16"/>
      <c r="G184" s="16"/>
      <c r="H184" s="16"/>
      <c r="I184" s="16"/>
      <c r="J184" s="334">
        <f>J181-J182</f>
        <v>58007.333046205087</v>
      </c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26BC-429B-4D4B-8285-6383D5A6CFFA}">
  <sheetPr>
    <tabColor rgb="FF00B050"/>
  </sheetPr>
  <dimension ref="A1:T67"/>
  <sheetViews>
    <sheetView showGridLines="0" topLeftCell="A16" zoomScale="85" zoomScaleNormal="85" workbookViewId="0">
      <selection activeCell="T42" sqref="T42"/>
    </sheetView>
  </sheetViews>
  <sheetFormatPr defaultColWidth="9" defaultRowHeight="15" x14ac:dyDescent="0.55000000000000004"/>
  <cols>
    <col min="1" max="1" width="4" style="1" customWidth="1"/>
    <col min="2" max="6" width="2.140625" style="1" customWidth="1"/>
    <col min="7" max="12" width="9" style="1"/>
    <col min="13" max="13" width="8.7109375" style="1" customWidth="1"/>
    <col min="14" max="16384" width="9" style="1"/>
  </cols>
  <sheetData>
    <row r="1" spans="1:20" s="2" customFormat="1" x14ac:dyDescent="0.55000000000000004">
      <c r="A1" s="840" t="s">
        <v>1746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0" x14ac:dyDescent="0.55000000000000004">
      <c r="A3" s="841" t="s">
        <v>1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0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0" s="4" customFormat="1" x14ac:dyDescent="0.55000000000000004">
      <c r="B6" s="4" t="s">
        <v>1747</v>
      </c>
      <c r="L6" s="23">
        <f>연결정산표!G5/10^6</f>
        <v>3393.8403830000002</v>
      </c>
      <c r="M6" s="23">
        <f>연결정산표_우모건제외!M7/10^6</f>
        <v>16785.728442</v>
      </c>
      <c r="N6" s="23">
        <f>SUM(N7:N11)</f>
        <v>31203.33625829739</v>
      </c>
      <c r="O6" s="23">
        <f t="shared" ref="O6:T6" si="0">SUM(O7:O11)</f>
        <v>31203.33625829739</v>
      </c>
      <c r="P6" s="23">
        <f t="shared" si="0"/>
        <v>60135.70381016461</v>
      </c>
      <c r="Q6" s="23">
        <f t="shared" si="0"/>
        <v>94831.636159414847</v>
      </c>
      <c r="R6" s="23">
        <f t="shared" si="0"/>
        <v>133268.42395274187</v>
      </c>
      <c r="S6" s="23">
        <f t="shared" si="0"/>
        <v>176251.04072668983</v>
      </c>
      <c r="T6" s="23">
        <f t="shared" si="0"/>
        <v>224112.67263977774</v>
      </c>
    </row>
    <row r="7" spans="1:20" x14ac:dyDescent="0.55000000000000004">
      <c r="C7" s="1" t="s">
        <v>35</v>
      </c>
      <c r="L7" s="19">
        <f>SUM(연결정산표!G7:G9)/10^6</f>
        <v>1161.776233</v>
      </c>
      <c r="M7" s="19">
        <f>SUM(연결정산표_우모건제외!M9:M11)/10^6</f>
        <v>5089.6527029999997</v>
      </c>
      <c r="N7" s="19">
        <f>'Pro forma CF'!N25</f>
        <v>20525.779524610149</v>
      </c>
      <c r="O7" s="19">
        <f>'Pro forma CF'!O25</f>
        <v>20525.779524610149</v>
      </c>
      <c r="P7" s="19">
        <f>'Pro forma CF'!P25</f>
        <v>48056.267668892957</v>
      </c>
      <c r="Q7" s="19">
        <f>'Pro forma CF'!Q25</f>
        <v>81999.842496908212</v>
      </c>
      <c r="R7" s="19">
        <f>'Pro forma CF'!R25</f>
        <v>119449.08571069018</v>
      </c>
      <c r="S7" s="19">
        <f>'Pro forma CF'!S25</f>
        <v>161417.02330864951</v>
      </c>
      <c r="T7" s="19">
        <f>'Pro forma CF'!T25</f>
        <v>208210.25240320963</v>
      </c>
    </row>
    <row r="8" spans="1:20" x14ac:dyDescent="0.55000000000000004">
      <c r="C8" s="1" t="s">
        <v>1748</v>
      </c>
      <c r="L8" s="19">
        <f>연결정산표!G17/10^6</f>
        <v>0</v>
      </c>
      <c r="M8" s="19">
        <f>연결정산표_우모건제외!M19/10^6</f>
        <v>1200</v>
      </c>
      <c r="N8" s="19">
        <f>M8</f>
        <v>1200</v>
      </c>
      <c r="O8" s="19">
        <f t="shared" ref="O8:T8" si="1">N8</f>
        <v>1200</v>
      </c>
      <c r="P8" s="19">
        <f t="shared" si="1"/>
        <v>1200</v>
      </c>
      <c r="Q8" s="19">
        <f t="shared" si="1"/>
        <v>1200</v>
      </c>
      <c r="R8" s="19">
        <f t="shared" si="1"/>
        <v>1200</v>
      </c>
      <c r="S8" s="19">
        <f t="shared" si="1"/>
        <v>1200</v>
      </c>
      <c r="T8" s="19">
        <f t="shared" si="1"/>
        <v>1200</v>
      </c>
    </row>
    <row r="9" spans="1:20" x14ac:dyDescent="0.55000000000000004">
      <c r="C9" s="1" t="s">
        <v>124</v>
      </c>
      <c r="L9" s="19">
        <f>SUM(연결정산표!G11,연결정산표!G13)/10^6</f>
        <v>1641.1379280000001</v>
      </c>
      <c r="M9" s="19">
        <f>연결정산표_우모건제외!M13/10^6+연결정산표_우모건제외!M15/10^6-연결정산표_우모건제외!G15/10^6</f>
        <v>8174.6202400000002</v>
      </c>
      <c r="N9" s="19">
        <f>SUM(TITAN!N148,CLASS!N155,NOVA!N109,TTA!N117)</f>
        <v>7156.1012346872412</v>
      </c>
      <c r="O9" s="19">
        <f>SUM(TITAN!O148,CLASS!O155,NOVA!O109,TTA!O117)</f>
        <v>7156.1012346872412</v>
      </c>
      <c r="P9" s="19">
        <f>SUM(TITAN!P148,CLASS!P155,NOVA!P109,TTA!P117)</f>
        <v>8557.9806422716556</v>
      </c>
      <c r="Q9" s="19">
        <f>SUM(TITAN!Q148,CLASS!Q155,NOVA!Q109,TTA!Q117)</f>
        <v>9310.3381635066289</v>
      </c>
      <c r="R9" s="19">
        <f>SUM(TITAN!R148,CLASS!R155,NOVA!R109,TTA!R117)</f>
        <v>10297.882743051689</v>
      </c>
      <c r="S9" s="19">
        <f>SUM(TITAN!S148,CLASS!S155,NOVA!S109,TTA!S117)</f>
        <v>11312.561919040294</v>
      </c>
      <c r="T9" s="19">
        <f>SUM(TITAN!T148,CLASS!T155,NOVA!T109,TTA!T117)</f>
        <v>12380.964737568105</v>
      </c>
    </row>
    <row r="10" spans="1:20" x14ac:dyDescent="0.55000000000000004">
      <c r="C10" s="1" t="s">
        <v>1860</v>
      </c>
      <c r="L10" s="19">
        <f>연결정산표!J18/10^6</f>
        <v>369.188873</v>
      </c>
      <c r="M10" s="19">
        <f>연결정산표_우모건제외!M20/10^6</f>
        <v>1991.9155699999999</v>
      </c>
      <c r="N10" s="19">
        <f>M10</f>
        <v>1991.9155699999999</v>
      </c>
      <c r="O10" s="19">
        <f t="shared" ref="O10:T10" si="2">N10</f>
        <v>1991.9155699999999</v>
      </c>
      <c r="P10" s="19">
        <f t="shared" si="2"/>
        <v>1991.9155699999999</v>
      </c>
      <c r="Q10" s="19">
        <f t="shared" si="2"/>
        <v>1991.9155699999999</v>
      </c>
      <c r="R10" s="19">
        <f t="shared" si="2"/>
        <v>1991.9155699999999</v>
      </c>
      <c r="S10" s="19">
        <f t="shared" si="2"/>
        <v>1991.9155699999999</v>
      </c>
      <c r="T10" s="19">
        <f t="shared" si="2"/>
        <v>1991.9155699999999</v>
      </c>
    </row>
    <row r="11" spans="1:20" x14ac:dyDescent="0.55000000000000004">
      <c r="C11" s="1" t="s">
        <v>1749</v>
      </c>
      <c r="L11" s="19">
        <f>L6-L7-L8-L9-L10</f>
        <v>221.73734900000005</v>
      </c>
      <c r="M11" s="19">
        <f>M6-M7-M8-M9-M10</f>
        <v>329.5399289999998</v>
      </c>
      <c r="N11" s="19">
        <f>M11</f>
        <v>329.5399289999998</v>
      </c>
      <c r="O11" s="19">
        <f t="shared" ref="O11:T11" si="3">N11</f>
        <v>329.5399289999998</v>
      </c>
      <c r="P11" s="19">
        <f t="shared" si="3"/>
        <v>329.5399289999998</v>
      </c>
      <c r="Q11" s="19">
        <f t="shared" si="3"/>
        <v>329.5399289999998</v>
      </c>
      <c r="R11" s="19">
        <f t="shared" si="3"/>
        <v>329.5399289999998</v>
      </c>
      <c r="S11" s="19">
        <f t="shared" si="3"/>
        <v>329.5399289999998</v>
      </c>
      <c r="T11" s="19">
        <f t="shared" si="3"/>
        <v>329.5399289999998</v>
      </c>
    </row>
    <row r="12" spans="1:20" s="4" customFormat="1" x14ac:dyDescent="0.55000000000000004">
      <c r="B12" s="4" t="s">
        <v>1750</v>
      </c>
      <c r="L12" s="23">
        <f>연결정산표!J21/10^6</f>
        <v>1137.226144</v>
      </c>
      <c r="M12" s="23">
        <f>연결정산표_우모건제외!M23/10^6</f>
        <v>1856.459208</v>
      </c>
      <c r="N12" s="23">
        <f>SUM(N13:N15)</f>
        <v>1849.4094036925146</v>
      </c>
      <c r="O12" s="23">
        <f t="shared" ref="O12:T12" si="4">SUM(O13:O15)</f>
        <v>1849.4094036925146</v>
      </c>
      <c r="P12" s="23">
        <f t="shared" si="4"/>
        <v>1827.5493562457561</v>
      </c>
      <c r="Q12" s="23">
        <f t="shared" si="4"/>
        <v>1810.1559502473337</v>
      </c>
      <c r="R12" s="23">
        <f t="shared" si="4"/>
        <v>1797.3912217200691</v>
      </c>
      <c r="S12" s="23">
        <f t="shared" si="4"/>
        <v>1789.5239866805321</v>
      </c>
      <c r="T12" s="23">
        <f t="shared" si="4"/>
        <v>1780.2846868379452</v>
      </c>
    </row>
    <row r="13" spans="1:20" x14ac:dyDescent="0.55000000000000004">
      <c r="C13" s="1" t="s">
        <v>39</v>
      </c>
      <c r="L13" s="19">
        <v>0</v>
      </c>
      <c r="M13" s="19">
        <f>연결정산표_우모건제외!M24/10^6</f>
        <v>310</v>
      </c>
      <c r="N13" s="19">
        <f>M13</f>
        <v>310</v>
      </c>
      <c r="O13" s="19">
        <f t="shared" ref="O13:T13" si="5">N13</f>
        <v>310</v>
      </c>
      <c r="P13" s="19">
        <f t="shared" si="5"/>
        <v>310</v>
      </c>
      <c r="Q13" s="19">
        <f t="shared" si="5"/>
        <v>310</v>
      </c>
      <c r="R13" s="19">
        <f t="shared" si="5"/>
        <v>310</v>
      </c>
      <c r="S13" s="19">
        <f t="shared" si="5"/>
        <v>310</v>
      </c>
      <c r="T13" s="19">
        <f t="shared" si="5"/>
        <v>310</v>
      </c>
    </row>
    <row r="14" spans="1:20" x14ac:dyDescent="0.55000000000000004">
      <c r="C14" s="1" t="s">
        <v>1751</v>
      </c>
      <c r="L14" s="19">
        <f>연결정산표!J31/10^6</f>
        <v>987.43582400000003</v>
      </c>
      <c r="M14" s="19">
        <f>연결정산표_우모건제외!M33/10^6</f>
        <v>1080.9108880000001</v>
      </c>
      <c r="N14" s="19">
        <f>M14-'Pro forma PL'!N21-DCF!N13</f>
        <v>1073.8610836925147</v>
      </c>
      <c r="O14" s="19">
        <f>N14</f>
        <v>1073.8610836925147</v>
      </c>
      <c r="P14" s="19">
        <f>O14-'Pro forma PL'!P21-DCF!P13</f>
        <v>1052.0010362457563</v>
      </c>
      <c r="Q14" s="19">
        <f>P14-'Pro forma PL'!Q21-DCF!Q13</f>
        <v>1034.6076302473339</v>
      </c>
      <c r="R14" s="19">
        <f>Q14-'Pro forma PL'!R21-DCF!R13</f>
        <v>1021.8429017200691</v>
      </c>
      <c r="S14" s="19">
        <f>R14-'Pro forma PL'!S21-DCF!S13</f>
        <v>1013.9756666805322</v>
      </c>
      <c r="T14" s="19">
        <f>S14-'Pro forma PL'!T21-DCF!T13</f>
        <v>1004.7363668379452</v>
      </c>
    </row>
    <row r="15" spans="1:20" x14ac:dyDescent="0.55000000000000004">
      <c r="C15" s="1" t="s">
        <v>1752</v>
      </c>
      <c r="L15" s="19">
        <f>L12-L13-L14</f>
        <v>149.79031999999995</v>
      </c>
      <c r="M15" s="19">
        <f>M12-M13-M14</f>
        <v>465.54831999999988</v>
      </c>
      <c r="N15" s="19">
        <f>M15</f>
        <v>465.54831999999988</v>
      </c>
      <c r="O15" s="19">
        <f t="shared" ref="O15:T15" si="6">N15</f>
        <v>465.54831999999988</v>
      </c>
      <c r="P15" s="19">
        <f t="shared" si="6"/>
        <v>465.54831999999988</v>
      </c>
      <c r="Q15" s="19">
        <f t="shared" si="6"/>
        <v>465.54831999999988</v>
      </c>
      <c r="R15" s="19">
        <f t="shared" si="6"/>
        <v>465.54831999999988</v>
      </c>
      <c r="S15" s="19">
        <f t="shared" si="6"/>
        <v>465.54831999999988</v>
      </c>
      <c r="T15" s="19">
        <f t="shared" si="6"/>
        <v>465.54831999999988</v>
      </c>
    </row>
    <row r="16" spans="1:20" s="4" customFormat="1" x14ac:dyDescent="0.55000000000000004">
      <c r="B16" s="7" t="s">
        <v>1753</v>
      </c>
      <c r="C16" s="7"/>
      <c r="D16" s="7"/>
      <c r="E16" s="7"/>
      <c r="F16" s="7"/>
      <c r="G16" s="7"/>
      <c r="H16" s="7"/>
      <c r="I16" s="7"/>
      <c r="J16" s="7"/>
      <c r="K16" s="7"/>
      <c r="L16" s="330">
        <f>L12+L6</f>
        <v>4531.066527</v>
      </c>
      <c r="M16" s="330">
        <f>M12+M6</f>
        <v>18642.18765</v>
      </c>
      <c r="N16" s="330">
        <f>N12+N6</f>
        <v>33052.745661989902</v>
      </c>
      <c r="O16" s="330">
        <f t="shared" ref="O16:T16" si="7">O12+O6</f>
        <v>33052.745661989902</v>
      </c>
      <c r="P16" s="330">
        <f t="shared" si="7"/>
        <v>61963.253166410366</v>
      </c>
      <c r="Q16" s="330">
        <f t="shared" si="7"/>
        <v>96641.792109662187</v>
      </c>
      <c r="R16" s="330">
        <f t="shared" si="7"/>
        <v>135065.81517446192</v>
      </c>
      <c r="S16" s="330">
        <f t="shared" si="7"/>
        <v>178040.56471337035</v>
      </c>
      <c r="T16" s="330">
        <f t="shared" si="7"/>
        <v>225892.95732661569</v>
      </c>
    </row>
    <row r="17" spans="1:20" s="4" customFormat="1" x14ac:dyDescent="0.55000000000000004">
      <c r="B17" s="4" t="s">
        <v>1754</v>
      </c>
      <c r="L17" s="23">
        <f>연결정산표!J52/10^6</f>
        <v>1203.729196</v>
      </c>
      <c r="M17" s="23">
        <f>연결정산표_우모건제외!M54/10^6</f>
        <v>1631.8686640000001</v>
      </c>
      <c r="N17" s="23">
        <f>SUM(N18:N21)</f>
        <v>9281.8700474323941</v>
      </c>
      <c r="O17" s="23">
        <f t="shared" ref="O17:T17" si="8">SUM(O18:O21)</f>
        <v>9281.8700474323941</v>
      </c>
      <c r="P17" s="23">
        <f t="shared" si="8"/>
        <v>11810.4050010927</v>
      </c>
      <c r="Q17" s="23">
        <f t="shared" si="8"/>
        <v>14086.788186586313</v>
      </c>
      <c r="R17" s="23">
        <f t="shared" si="8"/>
        <v>15831.996540136533</v>
      </c>
      <c r="S17" s="23">
        <f t="shared" si="8"/>
        <v>17653.237585201168</v>
      </c>
      <c r="T17" s="23">
        <f t="shared" si="8"/>
        <v>19590.319792213533</v>
      </c>
    </row>
    <row r="18" spans="1:20" x14ac:dyDescent="0.55000000000000004">
      <c r="C18" s="1" t="s">
        <v>1755</v>
      </c>
      <c r="L18" s="19">
        <f>연결정산표!J62/10^6</f>
        <v>100</v>
      </c>
      <c r="M18" s="19">
        <f>연결정산표_우모건제외!M64/10^6</f>
        <v>100</v>
      </c>
      <c r="N18" s="19">
        <f>M18</f>
        <v>100</v>
      </c>
      <c r="O18" s="19">
        <f t="shared" ref="O18:T18" si="9">N18</f>
        <v>100</v>
      </c>
      <c r="P18" s="19">
        <f t="shared" si="9"/>
        <v>100</v>
      </c>
      <c r="Q18" s="19">
        <f t="shared" si="9"/>
        <v>100</v>
      </c>
      <c r="R18" s="19">
        <f t="shared" si="9"/>
        <v>100</v>
      </c>
      <c r="S18" s="19">
        <f t="shared" si="9"/>
        <v>100</v>
      </c>
      <c r="T18" s="19">
        <f t="shared" si="9"/>
        <v>100</v>
      </c>
    </row>
    <row r="19" spans="1:20" x14ac:dyDescent="0.55000000000000004">
      <c r="C19" s="1" t="s">
        <v>129</v>
      </c>
      <c r="L19" s="19">
        <f>연결정산표!J53/10^6</f>
        <v>437.91272800000002</v>
      </c>
      <c r="M19" s="19">
        <f>연결정산표_우모건제외!M55/10^6</f>
        <v>1040.6891419999999</v>
      </c>
      <c r="N19" s="19">
        <f>SUM(TITAN!N155,CLASS!N162,NOVA!N113,TTA!N124)</f>
        <v>1509.8272134891172</v>
      </c>
      <c r="O19" s="19">
        <f>SUM(TITAN!O155,CLASS!O162,NOVA!O113,TTA!O124)</f>
        <v>1509.8272134891172</v>
      </c>
      <c r="P19" s="19">
        <f>SUM(TITAN!P155,CLASS!P162,NOVA!P113,TTA!P124)</f>
        <v>1907.4843164533452</v>
      </c>
      <c r="Q19" s="19">
        <f>SUM(TITAN!Q155,CLASS!Q162,NOVA!Q113,TTA!Q124)</f>
        <v>2038.8573059367891</v>
      </c>
      <c r="R19" s="19">
        <f>SUM(TITAN!R155,CLASS!R162,NOVA!R113,TTA!R124)</f>
        <v>2265.505137316673</v>
      </c>
      <c r="S19" s="19">
        <f>SUM(TITAN!S155,CLASS!S162,NOVA!S113,TTA!S124)</f>
        <v>2497.1929274968811</v>
      </c>
      <c r="T19" s="19">
        <f>SUM(TITAN!T155,CLASS!T162,NOVA!T113,TTA!T124)</f>
        <v>2740.0108739386287</v>
      </c>
    </row>
    <row r="20" spans="1:20" x14ac:dyDescent="0.55000000000000004">
      <c r="C20" s="1" t="s">
        <v>1761</v>
      </c>
      <c r="L20" s="19">
        <f>연결정산표!G60/10^6</f>
        <v>596.78793299999995</v>
      </c>
      <c r="M20" s="19">
        <f>연결정산표_우모건제외!M62/10^6</f>
        <v>336.46338100000003</v>
      </c>
      <c r="N20" s="19">
        <f>M20+'Pro forma PL'!N18+'Pro forma CF'!N15</f>
        <v>7517.3266929432757</v>
      </c>
      <c r="O20" s="19">
        <f>N20</f>
        <v>7517.3266929432757</v>
      </c>
      <c r="P20" s="19">
        <f>O20+'Pro forma PL'!P18+'Pro forma CF'!P15</f>
        <v>9648.2045436393546</v>
      </c>
      <c r="Q20" s="19">
        <f>P20+'Pro forma PL'!Q18+'Pro forma CF'!Q15</f>
        <v>11793.214739649524</v>
      </c>
      <c r="R20" s="19">
        <f>Q20+'Pro forma PL'!R18+'Pro forma CF'!R15</f>
        <v>13311.775261819859</v>
      </c>
      <c r="S20" s="19">
        <f>R20+'Pro forma PL'!S18+'Pro forma CF'!S15</f>
        <v>14901.328516704287</v>
      </c>
      <c r="T20" s="19">
        <f>S20+'Pro forma PL'!T18+'Pro forma CF'!T15</f>
        <v>16595.592777274906</v>
      </c>
    </row>
    <row r="21" spans="1:20" x14ac:dyDescent="0.55000000000000004">
      <c r="C21" s="1" t="s">
        <v>1762</v>
      </c>
      <c r="L21" s="19">
        <f>L17-L18-L19-L20</f>
        <v>69.028535000000034</v>
      </c>
      <c r="M21" s="19">
        <f>M17-M18-M19-M20</f>
        <v>154.71614100000011</v>
      </c>
      <c r="N21" s="19">
        <f>M21</f>
        <v>154.71614100000011</v>
      </c>
      <c r="O21" s="19">
        <f t="shared" ref="O21:T21" si="10">N21</f>
        <v>154.71614100000011</v>
      </c>
      <c r="P21" s="19">
        <f t="shared" si="10"/>
        <v>154.71614100000011</v>
      </c>
      <c r="Q21" s="19">
        <f t="shared" si="10"/>
        <v>154.71614100000011</v>
      </c>
      <c r="R21" s="19">
        <f t="shared" si="10"/>
        <v>154.71614100000011</v>
      </c>
      <c r="S21" s="19">
        <f t="shared" si="10"/>
        <v>154.71614100000011</v>
      </c>
      <c r="T21" s="19">
        <f t="shared" si="10"/>
        <v>154.71614100000011</v>
      </c>
    </row>
    <row r="22" spans="1:20" s="4" customFormat="1" x14ac:dyDescent="0.55000000000000004">
      <c r="B22" s="4" t="s">
        <v>1756</v>
      </c>
      <c r="L22" s="23">
        <f>연결정산표!J63/10^6</f>
        <v>575.19027800000003</v>
      </c>
      <c r="M22" s="23">
        <f>연결정산표_우모건제외!M65/10^6</f>
        <v>611.75831000000005</v>
      </c>
      <c r="N22" s="23">
        <f>N23+N24</f>
        <v>773.11313481191723</v>
      </c>
      <c r="O22" s="23">
        <f t="shared" ref="O22:T22" si="11">O23+O24</f>
        <v>773.11313481191723</v>
      </c>
      <c r="P22" s="23">
        <f t="shared" si="11"/>
        <v>1183.8449498120506</v>
      </c>
      <c r="Q22" s="23">
        <f t="shared" si="11"/>
        <v>1632.4845325257504</v>
      </c>
      <c r="R22" s="23">
        <f t="shared" si="11"/>
        <v>2121.523984009169</v>
      </c>
      <c r="S22" s="23">
        <f t="shared" si="11"/>
        <v>2650.5397163674961</v>
      </c>
      <c r="T22" s="23">
        <f t="shared" si="11"/>
        <v>3221.395968946033</v>
      </c>
    </row>
    <row r="23" spans="1:20" x14ac:dyDescent="0.55000000000000004">
      <c r="C23" s="1" t="s">
        <v>1757</v>
      </c>
      <c r="L23" s="19">
        <f>연결정산표!J66/10^6</f>
        <v>542</v>
      </c>
      <c r="M23" s="19">
        <f>연결정산표_우모건제외!M68/10^6</f>
        <v>542</v>
      </c>
      <c r="N23" s="19">
        <f>M23</f>
        <v>542</v>
      </c>
      <c r="O23" s="19">
        <f t="shared" ref="O23:T23" si="12">N23</f>
        <v>542</v>
      </c>
      <c r="P23" s="19">
        <f t="shared" si="12"/>
        <v>542</v>
      </c>
      <c r="Q23" s="19">
        <f t="shared" si="12"/>
        <v>542</v>
      </c>
      <c r="R23" s="19">
        <f t="shared" si="12"/>
        <v>542</v>
      </c>
      <c r="S23" s="19">
        <f t="shared" si="12"/>
        <v>542</v>
      </c>
      <c r="T23" s="19">
        <f t="shared" si="12"/>
        <v>542</v>
      </c>
    </row>
    <row r="24" spans="1:20" x14ac:dyDescent="0.55000000000000004">
      <c r="C24" s="1" t="s">
        <v>1758</v>
      </c>
      <c r="L24" s="19">
        <f>L22-L23</f>
        <v>33.190278000000035</v>
      </c>
      <c r="M24" s="19">
        <f>M22-M23</f>
        <v>69.758310000000051</v>
      </c>
      <c r="N24" s="19">
        <f>M24+'Pro forma CF'!N11</f>
        <v>231.11313481191729</v>
      </c>
      <c r="O24" s="19">
        <f t="shared" ref="O24" si="13">N24</f>
        <v>231.11313481191729</v>
      </c>
      <c r="P24" s="19">
        <f>O24+'Pro forma CF'!P11</f>
        <v>641.84494981205057</v>
      </c>
      <c r="Q24" s="19">
        <f>P24+'Pro forma CF'!Q11</f>
        <v>1090.4845325257504</v>
      </c>
      <c r="R24" s="19">
        <f>Q24+'Pro forma CF'!R11</f>
        <v>1579.523984009169</v>
      </c>
      <c r="S24" s="19">
        <f>R24+'Pro forma CF'!S11</f>
        <v>2108.5397163674961</v>
      </c>
      <c r="T24" s="19">
        <f>S24+'Pro forma CF'!T11</f>
        <v>2679.395968946033</v>
      </c>
    </row>
    <row r="25" spans="1:20" s="4" customFormat="1" x14ac:dyDescent="0.55000000000000004">
      <c r="B25" s="7" t="s">
        <v>1759</v>
      </c>
      <c r="C25" s="7"/>
      <c r="D25" s="7"/>
      <c r="E25" s="7"/>
      <c r="F25" s="7"/>
      <c r="G25" s="7"/>
      <c r="H25" s="7"/>
      <c r="I25" s="7"/>
      <c r="J25" s="7"/>
      <c r="K25" s="7"/>
      <c r="L25" s="330">
        <f>L22+L17</f>
        <v>1778.919474</v>
      </c>
      <c r="M25" s="330">
        <f>M22+M17</f>
        <v>2243.6269740000002</v>
      </c>
      <c r="N25" s="330">
        <f>N22+N17</f>
        <v>10054.983182244312</v>
      </c>
      <c r="O25" s="330">
        <f t="shared" ref="O25:T25" si="14">O22+O17</f>
        <v>10054.983182244312</v>
      </c>
      <c r="P25" s="330">
        <f t="shared" si="14"/>
        <v>12994.24995090475</v>
      </c>
      <c r="Q25" s="330">
        <f t="shared" si="14"/>
        <v>15719.272719112063</v>
      </c>
      <c r="R25" s="330">
        <f t="shared" si="14"/>
        <v>17953.520524145701</v>
      </c>
      <c r="S25" s="330">
        <f t="shared" si="14"/>
        <v>20303.777301568665</v>
      </c>
      <c r="T25" s="330">
        <f t="shared" si="14"/>
        <v>22811.715761159565</v>
      </c>
    </row>
    <row r="26" spans="1:20" s="4" customFormat="1" x14ac:dyDescent="0.55000000000000004">
      <c r="B26" s="377" t="s">
        <v>1760</v>
      </c>
      <c r="C26" s="377"/>
      <c r="D26" s="377"/>
      <c r="E26" s="377"/>
      <c r="F26" s="377"/>
      <c r="G26" s="377"/>
      <c r="H26" s="377"/>
      <c r="I26" s="377"/>
      <c r="J26" s="377"/>
      <c r="K26" s="377"/>
      <c r="L26" s="490">
        <f>L16-L25</f>
        <v>2752.1470529999997</v>
      </c>
      <c r="M26" s="490">
        <f>M16-M25</f>
        <v>16398.560676000001</v>
      </c>
      <c r="N26" s="490">
        <f>N16-N25</f>
        <v>22997.76247974559</v>
      </c>
      <c r="O26" s="490">
        <f t="shared" ref="O26:T26" si="15">O16-O25</f>
        <v>22997.76247974559</v>
      </c>
      <c r="P26" s="490">
        <f t="shared" si="15"/>
        <v>48969.003215505618</v>
      </c>
      <c r="Q26" s="490">
        <f t="shared" si="15"/>
        <v>80922.519390550122</v>
      </c>
      <c r="R26" s="490">
        <f t="shared" si="15"/>
        <v>117112.29465031622</v>
      </c>
      <c r="S26" s="490">
        <f t="shared" si="15"/>
        <v>157736.78741180169</v>
      </c>
      <c r="T26" s="490">
        <f t="shared" si="15"/>
        <v>203081.24156545612</v>
      </c>
    </row>
    <row r="27" spans="1:20" x14ac:dyDescent="0.55000000000000004">
      <c r="L27" s="315" t="b">
        <f>연결정산표!J89/10^6=L26</f>
        <v>1</v>
      </c>
      <c r="M27" s="315" t="b">
        <f>'Pro forma CE'!M11=M26</f>
        <v>1</v>
      </c>
      <c r="N27" s="315" t="b">
        <f>ROUND('Pro forma CE'!N11,)=ROUND(N26,)</f>
        <v>1</v>
      </c>
      <c r="O27" s="315" t="b">
        <f>ROUND('Pro forma CE'!O11,)=ROUND(O26,)</f>
        <v>1</v>
      </c>
      <c r="P27" s="315" t="b">
        <f>ROUND('Pro forma CE'!P11,)=ROUND(P26,)</f>
        <v>1</v>
      </c>
      <c r="Q27" s="315" t="b">
        <f>ROUND('Pro forma CE'!Q11,)=ROUND(Q26,)</f>
        <v>1</v>
      </c>
      <c r="R27" s="315" t="b">
        <f>ROUND('Pro forma CE'!R11,)=ROUND(R26,)</f>
        <v>1</v>
      </c>
      <c r="S27" s="315" t="b">
        <f>ROUND('Pro forma CE'!S11,)=ROUND(S26,)</f>
        <v>1</v>
      </c>
      <c r="T27" s="315" t="b">
        <f>ROUND('Pro forma CE'!T11,)=ROUND(T26,)</f>
        <v>1</v>
      </c>
    </row>
    <row r="28" spans="1:20" x14ac:dyDescent="0.55000000000000004">
      <c r="M28" s="19"/>
      <c r="N28" s="19"/>
      <c r="O28" s="19"/>
      <c r="P28" s="19"/>
      <c r="Q28" s="19"/>
      <c r="R28" s="19"/>
      <c r="S28" s="19"/>
      <c r="T28" s="19"/>
    </row>
    <row r="29" spans="1:20" x14ac:dyDescent="0.55000000000000004">
      <c r="A29" s="841" t="s">
        <v>2777</v>
      </c>
      <c r="B29" s="842"/>
      <c r="C29" s="842"/>
      <c r="D29" s="842"/>
      <c r="E29" s="842"/>
      <c r="F29" s="842"/>
      <c r="G29" s="842"/>
      <c r="H29" s="842"/>
      <c r="I29" s="842"/>
      <c r="J29" s="842"/>
      <c r="K29" s="842"/>
      <c r="L29" s="842"/>
      <c r="M29" s="842"/>
      <c r="N29" s="842"/>
      <c r="O29" s="842"/>
      <c r="P29" s="842"/>
      <c r="Q29" s="842"/>
      <c r="R29" s="842"/>
      <c r="S29" s="842"/>
      <c r="T29" s="842"/>
    </row>
    <row r="30" spans="1:20" x14ac:dyDescent="0.55000000000000004">
      <c r="M30" s="19"/>
      <c r="N30" s="19"/>
      <c r="O30" s="19"/>
      <c r="P30" s="19"/>
      <c r="Q30" s="19"/>
      <c r="R30" s="19"/>
      <c r="S30" s="19"/>
      <c r="T30" s="19"/>
    </row>
    <row r="31" spans="1:20" x14ac:dyDescent="0.55000000000000004">
      <c r="B31" s="844"/>
      <c r="C31" s="844"/>
      <c r="D31" s="844"/>
      <c r="E31" s="844"/>
      <c r="F31" s="844"/>
      <c r="G31" s="844"/>
      <c r="H31" s="844"/>
      <c r="I31" s="844"/>
      <c r="J31" s="844"/>
      <c r="K31" s="844"/>
      <c r="L31" s="845" t="s">
        <v>2</v>
      </c>
      <c r="M31" s="845" t="s">
        <v>3</v>
      </c>
      <c r="N31" s="845" t="s">
        <v>4</v>
      </c>
      <c r="O31" s="845" t="s">
        <v>5</v>
      </c>
      <c r="P31" s="845" t="s">
        <v>6</v>
      </c>
      <c r="Q31" s="845" t="s">
        <v>7</v>
      </c>
      <c r="R31" s="845" t="s">
        <v>8</v>
      </c>
      <c r="S31" s="845" t="s">
        <v>9</v>
      </c>
      <c r="T31" s="845" t="s">
        <v>1480</v>
      </c>
    </row>
    <row r="32" spans="1:20" x14ac:dyDescent="0.55000000000000004">
      <c r="B32" s="4" t="s">
        <v>1747</v>
      </c>
      <c r="C32" s="4"/>
      <c r="D32" s="4"/>
      <c r="E32" s="4"/>
      <c r="F32" s="4"/>
      <c r="G32" s="4"/>
      <c r="H32" s="4"/>
      <c r="I32" s="4"/>
      <c r="J32" s="4"/>
      <c r="K32" s="4"/>
      <c r="L32" s="23">
        <f>SUM(L33:L37)</f>
        <v>3393.8403830000002</v>
      </c>
      <c r="M32" s="23">
        <f>SUM(M33:M37)</f>
        <v>15473.030650000006</v>
      </c>
      <c r="N32" s="23">
        <f>SUM(N33:N37)</f>
        <v>23214.43431133682</v>
      </c>
      <c r="O32" s="23">
        <f t="shared" ref="O32:T32" si="16">SUM(O33:O37)</f>
        <v>23214.43431133682</v>
      </c>
      <c r="P32" s="23">
        <f t="shared" si="16"/>
        <v>42605.176483471718</v>
      </c>
      <c r="Q32" s="23">
        <f t="shared" si="16"/>
        <v>59586.579254078017</v>
      </c>
      <c r="R32" s="23">
        <f t="shared" si="16"/>
        <v>77108.596138196255</v>
      </c>
      <c r="S32" s="23">
        <f t="shared" si="16"/>
        <v>95870.899652574721</v>
      </c>
      <c r="T32" s="23">
        <f t="shared" si="16"/>
        <v>115971.17473424807</v>
      </c>
    </row>
    <row r="33" spans="2:20" x14ac:dyDescent="0.55000000000000004">
      <c r="C33" s="1" t="s">
        <v>35</v>
      </c>
      <c r="L33" s="19">
        <f>L7</f>
        <v>1161.776233</v>
      </c>
      <c r="M33" s="963">
        <f>'Pro forma CF'!M50</f>
        <v>3776.9549110000066</v>
      </c>
      <c r="N33" s="963">
        <f>'Pro forma CF'!N50</f>
        <v>12536.877577649577</v>
      </c>
      <c r="O33" s="963">
        <f>'Pro forma CF'!O50</f>
        <v>12536.877577649579</v>
      </c>
      <c r="P33" s="963">
        <f>'Pro forma CF'!P50</f>
        <v>30525.740342200064</v>
      </c>
      <c r="Q33" s="963">
        <f>'Pro forma CF'!Q50</f>
        <v>46754.785591571395</v>
      </c>
      <c r="R33" s="963">
        <f>'Pro forma CF'!R50</f>
        <v>63289.257896144569</v>
      </c>
      <c r="S33" s="963">
        <f>'Pro forma CF'!S50</f>
        <v>81036.882234534423</v>
      </c>
      <c r="T33" s="963">
        <f>'Pro forma CF'!T50</f>
        <v>100068.75449767995</v>
      </c>
    </row>
    <row r="34" spans="2:20" x14ac:dyDescent="0.55000000000000004">
      <c r="C34" s="1" t="s">
        <v>1748</v>
      </c>
      <c r="L34" s="19">
        <f t="shared" ref="L34:T35" si="17">L8</f>
        <v>0</v>
      </c>
      <c r="M34" s="19">
        <f t="shared" ref="M34" si="18">M8</f>
        <v>1200</v>
      </c>
      <c r="N34" s="19">
        <f>M34</f>
        <v>1200</v>
      </c>
      <c r="O34" s="19">
        <f t="shared" ref="O34" si="19">N34</f>
        <v>1200</v>
      </c>
      <c r="P34" s="19">
        <f t="shared" ref="P34" si="20">O34</f>
        <v>1200</v>
      </c>
      <c r="Q34" s="19">
        <f t="shared" ref="Q34" si="21">P34</f>
        <v>1200</v>
      </c>
      <c r="R34" s="19">
        <f t="shared" ref="R34" si="22">Q34</f>
        <v>1200</v>
      </c>
      <c r="S34" s="19">
        <f t="shared" ref="S34" si="23">R34</f>
        <v>1200</v>
      </c>
      <c r="T34" s="19">
        <f t="shared" ref="T34" si="24">S34</f>
        <v>1200</v>
      </c>
    </row>
    <row r="35" spans="2:20" x14ac:dyDescent="0.55000000000000004">
      <c r="C35" s="1" t="s">
        <v>124</v>
      </c>
      <c r="L35" s="19">
        <f t="shared" si="17"/>
        <v>1641.1379280000001</v>
      </c>
      <c r="M35" s="19">
        <f t="shared" si="17"/>
        <v>8174.6202400000002</v>
      </c>
      <c r="N35" s="19">
        <f t="shared" si="17"/>
        <v>7156.1012346872412</v>
      </c>
      <c r="O35" s="19">
        <f t="shared" si="17"/>
        <v>7156.1012346872412</v>
      </c>
      <c r="P35" s="19">
        <f t="shared" si="17"/>
        <v>8557.9806422716556</v>
      </c>
      <c r="Q35" s="19">
        <f t="shared" si="17"/>
        <v>9310.3381635066289</v>
      </c>
      <c r="R35" s="19">
        <f t="shared" si="17"/>
        <v>10297.882743051689</v>
      </c>
      <c r="S35" s="19">
        <f t="shared" si="17"/>
        <v>11312.561919040294</v>
      </c>
      <c r="T35" s="19">
        <f t="shared" si="17"/>
        <v>12380.964737568105</v>
      </c>
    </row>
    <row r="36" spans="2:20" x14ac:dyDescent="0.55000000000000004">
      <c r="C36" s="1" t="s">
        <v>1860</v>
      </c>
      <c r="L36" s="19">
        <f t="shared" ref="L36:M36" si="25">L10</f>
        <v>369.188873</v>
      </c>
      <c r="M36" s="19">
        <f t="shared" si="25"/>
        <v>1991.9155699999999</v>
      </c>
      <c r="N36" s="19">
        <f>M36</f>
        <v>1991.9155699999999</v>
      </c>
      <c r="O36" s="19">
        <f t="shared" ref="O36:O37" si="26">N36</f>
        <v>1991.9155699999999</v>
      </c>
      <c r="P36" s="19">
        <f t="shared" ref="P36:P37" si="27">O36</f>
        <v>1991.9155699999999</v>
      </c>
      <c r="Q36" s="19">
        <f t="shared" ref="Q36:Q37" si="28">P36</f>
        <v>1991.9155699999999</v>
      </c>
      <c r="R36" s="19">
        <f t="shared" ref="R36:R37" si="29">Q36</f>
        <v>1991.9155699999999</v>
      </c>
      <c r="S36" s="19">
        <f t="shared" ref="S36:S37" si="30">R36</f>
        <v>1991.9155699999999</v>
      </c>
      <c r="T36" s="19">
        <f t="shared" ref="T36:T37" si="31">S36</f>
        <v>1991.9155699999999</v>
      </c>
    </row>
    <row r="37" spans="2:20" x14ac:dyDescent="0.55000000000000004">
      <c r="C37" s="1" t="s">
        <v>1749</v>
      </c>
      <c r="L37" s="19">
        <f t="shared" ref="L37:M37" si="32">L11</f>
        <v>221.73734900000005</v>
      </c>
      <c r="M37" s="19">
        <f t="shared" si="32"/>
        <v>329.5399289999998</v>
      </c>
      <c r="N37" s="19">
        <f>M37</f>
        <v>329.5399289999998</v>
      </c>
      <c r="O37" s="19">
        <f t="shared" si="26"/>
        <v>329.5399289999998</v>
      </c>
      <c r="P37" s="19">
        <f t="shared" si="27"/>
        <v>329.5399289999998</v>
      </c>
      <c r="Q37" s="19">
        <f t="shared" si="28"/>
        <v>329.5399289999998</v>
      </c>
      <c r="R37" s="19">
        <f t="shared" si="29"/>
        <v>329.5399289999998</v>
      </c>
      <c r="S37" s="19">
        <f t="shared" si="30"/>
        <v>329.5399289999998</v>
      </c>
      <c r="T37" s="19">
        <f t="shared" si="31"/>
        <v>329.5399289999998</v>
      </c>
    </row>
    <row r="38" spans="2:20" x14ac:dyDescent="0.55000000000000004">
      <c r="B38" s="4" t="s">
        <v>1750</v>
      </c>
      <c r="C38" s="4"/>
      <c r="D38" s="4"/>
      <c r="E38" s="4"/>
      <c r="F38" s="4"/>
      <c r="G38" s="4"/>
      <c r="H38" s="4"/>
      <c r="I38" s="4"/>
      <c r="J38" s="4"/>
      <c r="K38" s="4"/>
      <c r="L38" s="23">
        <f>SUM(L39:L41)</f>
        <v>1137.226144</v>
      </c>
      <c r="M38" s="23">
        <f>SUM(M39:M41)</f>
        <v>1856.459208</v>
      </c>
      <c r="N38" s="23">
        <f>SUM(N39:N41)</f>
        <v>1849.4094036925146</v>
      </c>
      <c r="O38" s="23">
        <f t="shared" ref="O38:T38" si="33">SUM(O39:O41)</f>
        <v>1849.4094036925146</v>
      </c>
      <c r="P38" s="23">
        <f t="shared" si="33"/>
        <v>1827.5493562457561</v>
      </c>
      <c r="Q38" s="23">
        <f t="shared" si="33"/>
        <v>1810.1559502473337</v>
      </c>
      <c r="R38" s="23">
        <f t="shared" si="33"/>
        <v>1797.3912217200691</v>
      </c>
      <c r="S38" s="23">
        <f t="shared" si="33"/>
        <v>1789.5239866805321</v>
      </c>
      <c r="T38" s="23">
        <f t="shared" si="33"/>
        <v>1780.2846868379452</v>
      </c>
    </row>
    <row r="39" spans="2:20" x14ac:dyDescent="0.55000000000000004">
      <c r="C39" s="1" t="s">
        <v>39</v>
      </c>
      <c r="L39" s="19">
        <f t="shared" ref="L39:M39" si="34">L13</f>
        <v>0</v>
      </c>
      <c r="M39" s="19">
        <f t="shared" si="34"/>
        <v>310</v>
      </c>
      <c r="N39" s="19">
        <f>M39</f>
        <v>310</v>
      </c>
      <c r="O39" s="19">
        <f t="shared" ref="O39" si="35">N39</f>
        <v>310</v>
      </c>
      <c r="P39" s="19">
        <f t="shared" ref="P39" si="36">O39</f>
        <v>310</v>
      </c>
      <c r="Q39" s="19">
        <f t="shared" ref="Q39" si="37">P39</f>
        <v>310</v>
      </c>
      <c r="R39" s="19">
        <f t="shared" ref="R39" si="38">Q39</f>
        <v>310</v>
      </c>
      <c r="S39" s="19">
        <f t="shared" ref="S39" si="39">R39</f>
        <v>310</v>
      </c>
      <c r="T39" s="19">
        <f t="shared" ref="T39" si="40">S39</f>
        <v>310</v>
      </c>
    </row>
    <row r="40" spans="2:20" x14ac:dyDescent="0.55000000000000004">
      <c r="C40" s="1" t="s">
        <v>1751</v>
      </c>
      <c r="L40" s="19">
        <f t="shared" ref="L40:T40" si="41">L14</f>
        <v>987.43582400000003</v>
      </c>
      <c r="M40" s="19">
        <f t="shared" si="41"/>
        <v>1080.9108880000001</v>
      </c>
      <c r="N40" s="19">
        <f t="shared" si="41"/>
        <v>1073.8610836925147</v>
      </c>
      <c r="O40" s="19">
        <f t="shared" si="41"/>
        <v>1073.8610836925147</v>
      </c>
      <c r="P40" s="19">
        <f t="shared" si="41"/>
        <v>1052.0010362457563</v>
      </c>
      <c r="Q40" s="19">
        <f t="shared" si="41"/>
        <v>1034.6076302473339</v>
      </c>
      <c r="R40" s="19">
        <f t="shared" si="41"/>
        <v>1021.8429017200691</v>
      </c>
      <c r="S40" s="19">
        <f t="shared" si="41"/>
        <v>1013.9756666805322</v>
      </c>
      <c r="T40" s="19">
        <f t="shared" si="41"/>
        <v>1004.7363668379452</v>
      </c>
    </row>
    <row r="41" spans="2:20" x14ac:dyDescent="0.55000000000000004">
      <c r="C41" s="1" t="s">
        <v>1752</v>
      </c>
      <c r="L41" s="19">
        <f t="shared" ref="L41:M41" si="42">L15</f>
        <v>149.79031999999995</v>
      </c>
      <c r="M41" s="19">
        <f t="shared" si="42"/>
        <v>465.54831999999988</v>
      </c>
      <c r="N41" s="19">
        <f>M41</f>
        <v>465.54831999999988</v>
      </c>
      <c r="O41" s="19">
        <f t="shared" ref="O41" si="43">N41</f>
        <v>465.54831999999988</v>
      </c>
      <c r="P41" s="19">
        <f t="shared" ref="P41" si="44">O41</f>
        <v>465.54831999999988</v>
      </c>
      <c r="Q41" s="19">
        <f t="shared" ref="Q41" si="45">P41</f>
        <v>465.54831999999988</v>
      </c>
      <c r="R41" s="19">
        <f t="shared" ref="R41" si="46">Q41</f>
        <v>465.54831999999988</v>
      </c>
      <c r="S41" s="19">
        <f t="shared" ref="S41" si="47">R41</f>
        <v>465.54831999999988</v>
      </c>
      <c r="T41" s="19">
        <f t="shared" ref="T41" si="48">S41</f>
        <v>465.54831999999988</v>
      </c>
    </row>
    <row r="42" spans="2:20" x14ac:dyDescent="0.55000000000000004">
      <c r="B42" s="7" t="s">
        <v>1753</v>
      </c>
      <c r="C42" s="7"/>
      <c r="D42" s="7"/>
      <c r="E42" s="7"/>
      <c r="F42" s="7"/>
      <c r="G42" s="7"/>
      <c r="H42" s="7"/>
      <c r="I42" s="7"/>
      <c r="J42" s="7"/>
      <c r="K42" s="7"/>
      <c r="L42" s="330">
        <f>L38+L32</f>
        <v>4531.066527</v>
      </c>
      <c r="M42" s="330">
        <f>M38+M32</f>
        <v>17329.489858000004</v>
      </c>
      <c r="N42" s="330">
        <f>N38+N32</f>
        <v>25063.843715029336</v>
      </c>
      <c r="O42" s="330">
        <f t="shared" ref="O42:T42" si="49">O38+O32</f>
        <v>25063.843715029336</v>
      </c>
      <c r="P42" s="330">
        <f t="shared" si="49"/>
        <v>44432.725839717474</v>
      </c>
      <c r="Q42" s="330">
        <f t="shared" si="49"/>
        <v>61396.735204325349</v>
      </c>
      <c r="R42" s="330">
        <f t="shared" si="49"/>
        <v>78905.987359916326</v>
      </c>
      <c r="S42" s="330">
        <f t="shared" si="49"/>
        <v>97660.423639255256</v>
      </c>
      <c r="T42" s="330">
        <f t="shared" si="49"/>
        <v>117751.45942108601</v>
      </c>
    </row>
    <row r="43" spans="2:20" x14ac:dyDescent="0.55000000000000004">
      <c r="B43" s="4" t="s">
        <v>1754</v>
      </c>
      <c r="C43" s="4"/>
      <c r="D43" s="4"/>
      <c r="E43" s="4"/>
      <c r="F43" s="4"/>
      <c r="G43" s="4"/>
      <c r="H43" s="4"/>
      <c r="I43" s="4"/>
      <c r="J43" s="4"/>
      <c r="K43" s="4"/>
      <c r="L43" s="23">
        <f>L44+L45+L46+L47</f>
        <v>1203.7291959999998</v>
      </c>
      <c r="M43" s="23">
        <f>M44+M45+M46+M47</f>
        <v>6466.7597131612501</v>
      </c>
      <c r="N43" s="23">
        <f>SUM(N44:N47)</f>
        <v>7266.7159997614017</v>
      </c>
      <c r="O43" s="23">
        <f t="shared" ref="O43:T43" si="50">SUM(O44:O47)</f>
        <v>7266.7159997614017</v>
      </c>
      <c r="P43" s="23">
        <f t="shared" si="50"/>
        <v>7841.884012899237</v>
      </c>
      <c r="Q43" s="23">
        <f t="shared" si="50"/>
        <v>8226.6175556911021</v>
      </c>
      <c r="R43" s="23">
        <f t="shared" si="50"/>
        <v>9012.982643158728</v>
      </c>
      <c r="S43" s="23">
        <f t="shared" si="50"/>
        <v>9811.4642625396755</v>
      </c>
      <c r="T43" s="23">
        <f t="shared" si="50"/>
        <v>10643.901441613798</v>
      </c>
    </row>
    <row r="44" spans="2:20" x14ac:dyDescent="0.55000000000000004">
      <c r="C44" s="1" t="s">
        <v>1755</v>
      </c>
      <c r="L44" s="19">
        <f t="shared" ref="L44:M45" si="51">L18</f>
        <v>100</v>
      </c>
      <c r="M44" s="19">
        <f t="shared" si="51"/>
        <v>100</v>
      </c>
      <c r="N44" s="19">
        <f>M44</f>
        <v>100</v>
      </c>
      <c r="O44" s="19">
        <f t="shared" ref="O44" si="52">N44</f>
        <v>100</v>
      </c>
      <c r="P44" s="19">
        <f t="shared" ref="P44" si="53">O44</f>
        <v>100</v>
      </c>
      <c r="Q44" s="19">
        <f t="shared" ref="Q44" si="54">P44</f>
        <v>100</v>
      </c>
      <c r="R44" s="19">
        <f t="shared" ref="R44" si="55">Q44</f>
        <v>100</v>
      </c>
      <c r="S44" s="19">
        <f t="shared" ref="S44" si="56">R44</f>
        <v>100</v>
      </c>
      <c r="T44" s="19">
        <f t="shared" ref="T44" si="57">S44</f>
        <v>100</v>
      </c>
    </row>
    <row r="45" spans="2:20" x14ac:dyDescent="0.55000000000000004">
      <c r="C45" s="1" t="s">
        <v>129</v>
      </c>
      <c r="L45" s="19">
        <f t="shared" si="51"/>
        <v>437.91272800000002</v>
      </c>
      <c r="M45" s="963">
        <f>M63</f>
        <v>5875.5801911612507</v>
      </c>
      <c r="N45" s="963">
        <f>N63</f>
        <v>6675.425614969331</v>
      </c>
      <c r="O45" s="963">
        <f t="shared" ref="O45:T45" si="58">O63</f>
        <v>6675.425614969331</v>
      </c>
      <c r="P45" s="963">
        <f t="shared" si="58"/>
        <v>7250.3617753595236</v>
      </c>
      <c r="Q45" s="963">
        <f t="shared" si="58"/>
        <v>7634.8318058428758</v>
      </c>
      <c r="R45" s="963">
        <f t="shared" si="58"/>
        <v>8420.9316466109522</v>
      </c>
      <c r="S45" s="963">
        <f t="shared" si="58"/>
        <v>9219.1463988160103</v>
      </c>
      <c r="T45" s="963">
        <f t="shared" si="58"/>
        <v>10051.315261786829</v>
      </c>
    </row>
    <row r="46" spans="2:20" x14ac:dyDescent="0.55000000000000004">
      <c r="C46" s="1" t="s">
        <v>1761</v>
      </c>
      <c r="L46" s="19">
        <f t="shared" ref="L46:M46" si="59">L20</f>
        <v>596.78793299999995</v>
      </c>
      <c r="M46" s="19">
        <f t="shared" si="59"/>
        <v>336.46338100000003</v>
      </c>
      <c r="N46" s="19">
        <f>M46+'Pro forma PL'!N44+'Pro forma CF'!N41</f>
        <v>336.57424379207072</v>
      </c>
      <c r="O46" s="19">
        <f>N46</f>
        <v>336.57424379207072</v>
      </c>
      <c r="P46" s="19">
        <f>O46+'Pro forma PL'!P44+'Pro forma CF'!P41</f>
        <v>336.80609653971322</v>
      </c>
      <c r="Q46" s="19">
        <f>P46+'Pro forma PL'!Q44+'Pro forma CF'!Q41</f>
        <v>337.06960884822638</v>
      </c>
      <c r="R46" s="19">
        <f>Q46+'Pro forma PL'!R44+'Pro forma CF'!R41</f>
        <v>337.3348555477757</v>
      </c>
      <c r="S46" s="19">
        <f>R46+'Pro forma PL'!S44+'Pro forma CF'!S41</f>
        <v>337.6017227236652</v>
      </c>
      <c r="T46" s="19">
        <f>S46+'Pro forma PL'!T44+'Pro forma CF'!T41</f>
        <v>337.87003882696894</v>
      </c>
    </row>
    <row r="47" spans="2:20" x14ac:dyDescent="0.55000000000000004">
      <c r="C47" s="1" t="s">
        <v>1762</v>
      </c>
      <c r="L47" s="19">
        <f t="shared" ref="L47:M47" si="60">L21</f>
        <v>69.028535000000034</v>
      </c>
      <c r="M47" s="19">
        <f t="shared" si="60"/>
        <v>154.71614100000011</v>
      </c>
      <c r="N47" s="19">
        <f>M47</f>
        <v>154.71614100000011</v>
      </c>
      <c r="O47" s="19">
        <f t="shared" ref="O47" si="61">N47</f>
        <v>154.71614100000011</v>
      </c>
      <c r="P47" s="19">
        <f t="shared" ref="P47" si="62">O47</f>
        <v>154.71614100000011</v>
      </c>
      <c r="Q47" s="19">
        <f t="shared" ref="Q47" si="63">P47</f>
        <v>154.71614100000011</v>
      </c>
      <c r="R47" s="19">
        <f t="shared" ref="R47" si="64">Q47</f>
        <v>154.71614100000011</v>
      </c>
      <c r="S47" s="19">
        <f t="shared" ref="S47" si="65">R47</f>
        <v>154.71614100000011</v>
      </c>
      <c r="T47" s="19">
        <f t="shared" ref="T47" si="66">S47</f>
        <v>154.71614100000011</v>
      </c>
    </row>
    <row r="48" spans="2:20" x14ac:dyDescent="0.55000000000000004">
      <c r="B48" s="4" t="s">
        <v>1756</v>
      </c>
      <c r="C48" s="4"/>
      <c r="D48" s="4"/>
      <c r="E48" s="4"/>
      <c r="F48" s="4"/>
      <c r="G48" s="4"/>
      <c r="H48" s="4"/>
      <c r="I48" s="4"/>
      <c r="J48" s="4"/>
      <c r="K48" s="4"/>
      <c r="L48" s="23">
        <f>SUM(L49:L50)</f>
        <v>575.19027800000003</v>
      </c>
      <c r="M48" s="23">
        <f>SUM(M49:M50)</f>
        <v>611.75831000000005</v>
      </c>
      <c r="N48" s="23">
        <f>N49+N50</f>
        <v>773.11313481191723</v>
      </c>
      <c r="O48" s="23">
        <f t="shared" ref="O48:T48" si="67">O49+O50</f>
        <v>773.11313481191723</v>
      </c>
      <c r="P48" s="23">
        <f t="shared" si="67"/>
        <v>1183.8449498120506</v>
      </c>
      <c r="Q48" s="23">
        <f t="shared" si="67"/>
        <v>1632.4845325257504</v>
      </c>
      <c r="R48" s="23">
        <f t="shared" si="67"/>
        <v>2121.523984009169</v>
      </c>
      <c r="S48" s="23">
        <f t="shared" si="67"/>
        <v>2650.5397163674961</v>
      </c>
      <c r="T48" s="23">
        <f t="shared" si="67"/>
        <v>3221.395968946033</v>
      </c>
    </row>
    <row r="49" spans="1:20" x14ac:dyDescent="0.55000000000000004">
      <c r="C49" s="1" t="s">
        <v>1757</v>
      </c>
      <c r="L49" s="19">
        <f t="shared" ref="L49:M49" si="68">L23</f>
        <v>542</v>
      </c>
      <c r="M49" s="19">
        <f t="shared" si="68"/>
        <v>542</v>
      </c>
      <c r="N49" s="19">
        <f>M49</f>
        <v>542</v>
      </c>
      <c r="O49" s="19">
        <f t="shared" ref="O49" si="69">N49</f>
        <v>542</v>
      </c>
      <c r="P49" s="19">
        <f t="shared" ref="P49" si="70">O49</f>
        <v>542</v>
      </c>
      <c r="Q49" s="19">
        <f t="shared" ref="Q49" si="71">P49</f>
        <v>542</v>
      </c>
      <c r="R49" s="19">
        <f t="shared" ref="R49" si="72">Q49</f>
        <v>542</v>
      </c>
      <c r="S49" s="19">
        <f t="shared" ref="S49" si="73">R49</f>
        <v>542</v>
      </c>
      <c r="T49" s="19">
        <f t="shared" ref="T49" si="74">S49</f>
        <v>542</v>
      </c>
    </row>
    <row r="50" spans="1:20" x14ac:dyDescent="0.55000000000000004">
      <c r="C50" s="1" t="s">
        <v>1758</v>
      </c>
      <c r="L50" s="19">
        <f t="shared" ref="L50:T50" si="75">L24</f>
        <v>33.190278000000035</v>
      </c>
      <c r="M50" s="19">
        <f t="shared" si="75"/>
        <v>69.758310000000051</v>
      </c>
      <c r="N50" s="19">
        <f t="shared" si="75"/>
        <v>231.11313481191729</v>
      </c>
      <c r="O50" s="19">
        <f t="shared" si="75"/>
        <v>231.11313481191729</v>
      </c>
      <c r="P50" s="19">
        <f t="shared" si="75"/>
        <v>641.84494981205057</v>
      </c>
      <c r="Q50" s="19">
        <f t="shared" si="75"/>
        <v>1090.4845325257504</v>
      </c>
      <c r="R50" s="19">
        <f t="shared" si="75"/>
        <v>1579.523984009169</v>
      </c>
      <c r="S50" s="19">
        <f t="shared" si="75"/>
        <v>2108.5397163674961</v>
      </c>
      <c r="T50" s="19">
        <f t="shared" si="75"/>
        <v>2679.395968946033</v>
      </c>
    </row>
    <row r="51" spans="1:20" x14ac:dyDescent="0.55000000000000004">
      <c r="B51" s="7" t="s">
        <v>1759</v>
      </c>
      <c r="C51" s="7"/>
      <c r="D51" s="7"/>
      <c r="E51" s="7"/>
      <c r="F51" s="7"/>
      <c r="G51" s="7"/>
      <c r="H51" s="7"/>
      <c r="I51" s="7"/>
      <c r="J51" s="7"/>
      <c r="K51" s="7"/>
      <c r="L51" s="330">
        <f>L48+L43</f>
        <v>1778.9194739999998</v>
      </c>
      <c r="M51" s="330">
        <f>M48+M43</f>
        <v>7078.5180231612503</v>
      </c>
      <c r="N51" s="330">
        <f>N48+N43</f>
        <v>8039.8291345733187</v>
      </c>
      <c r="O51" s="330">
        <f t="shared" ref="O51:T51" si="76">O48+O43</f>
        <v>8039.8291345733187</v>
      </c>
      <c r="P51" s="330">
        <f t="shared" si="76"/>
        <v>9025.7289627112877</v>
      </c>
      <c r="Q51" s="330">
        <f t="shared" si="76"/>
        <v>9859.1020882168523</v>
      </c>
      <c r="R51" s="330">
        <f t="shared" si="76"/>
        <v>11134.506627167897</v>
      </c>
      <c r="S51" s="330">
        <f t="shared" si="76"/>
        <v>12462.003978907171</v>
      </c>
      <c r="T51" s="330">
        <f t="shared" si="76"/>
        <v>13865.297410559831</v>
      </c>
    </row>
    <row r="52" spans="1:20" x14ac:dyDescent="0.55000000000000004">
      <c r="B52" s="377" t="s">
        <v>1760</v>
      </c>
      <c r="C52" s="377"/>
      <c r="D52" s="377"/>
      <c r="E52" s="377"/>
      <c r="F52" s="377"/>
      <c r="G52" s="377"/>
      <c r="H52" s="377"/>
      <c r="I52" s="377"/>
      <c r="J52" s="377"/>
      <c r="K52" s="377"/>
      <c r="L52" s="490">
        <f>L42-L51</f>
        <v>2752.1470530000001</v>
      </c>
      <c r="M52" s="490">
        <f>M42-M51</f>
        <v>10250.971834838754</v>
      </c>
      <c r="N52" s="490">
        <f>N42-N51</f>
        <v>17024.014580456016</v>
      </c>
      <c r="O52" s="490">
        <f t="shared" ref="O52:T52" si="77">O42-O51</f>
        <v>17024.014580456016</v>
      </c>
      <c r="P52" s="490">
        <f t="shared" si="77"/>
        <v>35406.996877006182</v>
      </c>
      <c r="Q52" s="490">
        <f t="shared" si="77"/>
        <v>51537.633116108496</v>
      </c>
      <c r="R52" s="490">
        <f t="shared" si="77"/>
        <v>67771.48073274843</v>
      </c>
      <c r="S52" s="490">
        <f t="shared" si="77"/>
        <v>85198.419660348081</v>
      </c>
      <c r="T52" s="490">
        <f t="shared" si="77"/>
        <v>103886.16201052618</v>
      </c>
    </row>
    <row r="53" spans="1:20" x14ac:dyDescent="0.55000000000000004">
      <c r="M53" s="19"/>
      <c r="N53" s="19"/>
      <c r="O53" s="19"/>
      <c r="P53" s="19"/>
      <c r="Q53" s="19"/>
      <c r="R53" s="19"/>
      <c r="S53" s="19"/>
      <c r="T53" s="19"/>
    </row>
    <row r="54" spans="1:20" x14ac:dyDescent="0.55000000000000004">
      <c r="M54" s="19"/>
      <c r="N54" s="19"/>
      <c r="O54" s="19"/>
      <c r="P54" s="19"/>
      <c r="Q54" s="19"/>
      <c r="R54" s="19"/>
      <c r="S54" s="19"/>
      <c r="T54" s="19"/>
    </row>
    <row r="55" spans="1:20" x14ac:dyDescent="0.55000000000000004">
      <c r="A55" s="841" t="s">
        <v>2776</v>
      </c>
      <c r="B55" s="842"/>
      <c r="C55" s="842"/>
      <c r="D55" s="842"/>
      <c r="E55" s="842"/>
      <c r="F55" s="842"/>
      <c r="G55" s="842"/>
      <c r="H55" s="842"/>
      <c r="I55" s="842"/>
      <c r="J55" s="842"/>
      <c r="K55" s="842"/>
      <c r="L55" s="842"/>
      <c r="M55" s="842"/>
      <c r="N55" s="842"/>
      <c r="O55" s="842"/>
      <c r="P55" s="842"/>
      <c r="Q55" s="842"/>
      <c r="R55" s="842"/>
      <c r="S55" s="842"/>
      <c r="T55" s="842"/>
    </row>
    <row r="56" spans="1:20" x14ac:dyDescent="0.55000000000000004">
      <c r="N56" s="805"/>
      <c r="O56" s="805"/>
      <c r="P56" s="805"/>
      <c r="Q56" s="805"/>
      <c r="R56" s="805"/>
      <c r="S56" s="805"/>
      <c r="T56" s="805"/>
    </row>
    <row r="57" spans="1:20" x14ac:dyDescent="0.55000000000000004">
      <c r="B57" s="844"/>
      <c r="C57" s="844"/>
      <c r="D57" s="844"/>
      <c r="E57" s="844"/>
      <c r="F57" s="844"/>
      <c r="G57" s="844"/>
      <c r="H57" s="844"/>
      <c r="I57" s="844"/>
      <c r="J57" s="844"/>
      <c r="K57" s="844"/>
      <c r="L57" s="845" t="s">
        <v>2</v>
      </c>
      <c r="M57" s="845" t="s">
        <v>3</v>
      </c>
      <c r="N57" s="845" t="s">
        <v>4</v>
      </c>
      <c r="O57" s="845" t="s">
        <v>5</v>
      </c>
      <c r="P57" s="845" t="s">
        <v>6</v>
      </c>
      <c r="Q57" s="845" t="s">
        <v>7</v>
      </c>
      <c r="R57" s="845" t="s">
        <v>8</v>
      </c>
      <c r="S57" s="845" t="s">
        <v>9</v>
      </c>
      <c r="T57" s="845" t="s">
        <v>1480</v>
      </c>
    </row>
    <row r="58" spans="1:20" s="4" customFormat="1" x14ac:dyDescent="0.55000000000000004">
      <c r="B58" s="901" t="s">
        <v>122</v>
      </c>
      <c r="C58" s="901"/>
      <c r="D58" s="901"/>
      <c r="E58" s="901"/>
      <c r="F58" s="901"/>
      <c r="G58" s="901"/>
      <c r="H58" s="901"/>
      <c r="I58" s="901"/>
      <c r="J58" s="901"/>
      <c r="K58" s="901"/>
      <c r="L58" s="902"/>
      <c r="M58" s="902">
        <f>M59-L59</f>
        <v>2408.5126408387496</v>
      </c>
      <c r="N58" s="902">
        <f t="shared" ref="N58:T58" si="78">N59-M59</f>
        <v>-1818.3644291208393</v>
      </c>
      <c r="O58" s="902">
        <f>O59-L59</f>
        <v>590.14821171791027</v>
      </c>
      <c r="P58" s="902">
        <f t="shared" si="78"/>
        <v>826.94324719422184</v>
      </c>
      <c r="Q58" s="902">
        <f t="shared" si="78"/>
        <v>367.88749075162104</v>
      </c>
      <c r="R58" s="902">
        <f t="shared" si="78"/>
        <v>201.44473877698329</v>
      </c>
      <c r="S58" s="902">
        <f t="shared" si="78"/>
        <v>216.46442378354732</v>
      </c>
      <c r="T58" s="902">
        <f t="shared" si="78"/>
        <v>236.23395555699244</v>
      </c>
    </row>
    <row r="59" spans="1:20" x14ac:dyDescent="0.55000000000000004">
      <c r="B59" s="15" t="s">
        <v>123</v>
      </c>
      <c r="C59" s="15"/>
      <c r="D59" s="15"/>
      <c r="E59" s="15"/>
      <c r="F59" s="15"/>
      <c r="G59" s="15"/>
      <c r="H59" s="15"/>
      <c r="I59" s="15"/>
      <c r="J59" s="15"/>
      <c r="K59" s="15"/>
      <c r="L59" s="301">
        <f>L60-L63</f>
        <v>-109.47259200000008</v>
      </c>
      <c r="M59" s="301">
        <f t="shared" ref="M59:T59" si="79">M60-M63</f>
        <v>2299.0400488387495</v>
      </c>
      <c r="N59" s="301">
        <f t="shared" si="79"/>
        <v>480.67561971791019</v>
      </c>
      <c r="O59" s="301">
        <f t="shared" si="79"/>
        <v>480.67561971791019</v>
      </c>
      <c r="P59" s="301">
        <f t="shared" si="79"/>
        <v>1307.618866912132</v>
      </c>
      <c r="Q59" s="301">
        <f t="shared" si="79"/>
        <v>1675.5063576637531</v>
      </c>
      <c r="R59" s="301">
        <f t="shared" si="79"/>
        <v>1876.9510964407364</v>
      </c>
      <c r="S59" s="301">
        <f t="shared" si="79"/>
        <v>2093.4155202242837</v>
      </c>
      <c r="T59" s="301">
        <f t="shared" si="79"/>
        <v>2329.6494757812761</v>
      </c>
    </row>
    <row r="60" spans="1:20" x14ac:dyDescent="0.55000000000000004">
      <c r="B60" s="903" t="s">
        <v>124</v>
      </c>
      <c r="C60" s="903"/>
      <c r="D60" s="903"/>
      <c r="E60" s="903"/>
      <c r="F60" s="903"/>
      <c r="G60" s="903"/>
      <c r="H60" s="903"/>
      <c r="I60" s="903"/>
      <c r="J60" s="903"/>
      <c r="K60" s="903"/>
      <c r="L60" s="904">
        <f>L61+L62</f>
        <v>1641.1379279999999</v>
      </c>
      <c r="M60" s="904">
        <f t="shared" ref="M60:T60" si="80">M61+M62</f>
        <v>8174.6202400000002</v>
      </c>
      <c r="N60" s="904">
        <f t="shared" si="80"/>
        <v>7156.1012346872412</v>
      </c>
      <c r="O60" s="904">
        <f t="shared" si="80"/>
        <v>7156.1012346872412</v>
      </c>
      <c r="P60" s="904">
        <f t="shared" si="80"/>
        <v>8557.9806422716556</v>
      </c>
      <c r="Q60" s="904">
        <f t="shared" si="80"/>
        <v>9310.3381635066289</v>
      </c>
      <c r="R60" s="904">
        <f t="shared" si="80"/>
        <v>10297.882743051689</v>
      </c>
      <c r="S60" s="904">
        <f t="shared" si="80"/>
        <v>11312.561919040294</v>
      </c>
      <c r="T60" s="904">
        <f t="shared" si="80"/>
        <v>12380.964737568105</v>
      </c>
    </row>
    <row r="61" spans="1:20" x14ac:dyDescent="0.55000000000000004">
      <c r="C61" s="1" t="s">
        <v>2716</v>
      </c>
      <c r="L61" s="19">
        <f>SUM(TITAN!L148,CLASS!L155,NOVA!L109,TTA!L117)</f>
        <v>1641.1379279999999</v>
      </c>
      <c r="M61" s="19">
        <f>SUM(TITAN!M148,CLASS!M155,NOVA!M109,TTA!M117)</f>
        <v>8174.6202400000002</v>
      </c>
      <c r="N61" s="19">
        <f>SUM(TITAN!N148,CLASS!N155,NOVA!N109,TTA!N117)</f>
        <v>7156.1012346872412</v>
      </c>
      <c r="O61" s="19">
        <f>SUM(TITAN!O148,CLASS!O155,NOVA!O109,TTA!O117)</f>
        <v>7156.1012346872412</v>
      </c>
      <c r="P61" s="19">
        <f>SUM(TITAN!P148,CLASS!P155,NOVA!P109,TTA!P117)</f>
        <v>8557.9806422716556</v>
      </c>
      <c r="Q61" s="19">
        <f>SUM(TITAN!Q148,CLASS!Q155,NOVA!Q109,TTA!Q117)</f>
        <v>9310.3381635066289</v>
      </c>
      <c r="R61" s="19">
        <f>SUM(TITAN!R148,CLASS!R155,NOVA!R109,TTA!R117)</f>
        <v>10297.882743051689</v>
      </c>
      <c r="S61" s="19">
        <f>SUM(TITAN!S148,CLASS!S155,NOVA!S109,TTA!S117)</f>
        <v>11312.561919040294</v>
      </c>
      <c r="T61" s="19">
        <f>SUM(TITAN!T148,CLASS!T155,NOVA!T109,TTA!T117)</f>
        <v>12380.964737568105</v>
      </c>
    </row>
    <row r="62" spans="1:20" x14ac:dyDescent="0.55000000000000004">
      <c r="C62" s="1" t="s">
        <v>2717</v>
      </c>
      <c r="L62" s="19">
        <v>0</v>
      </c>
      <c r="M62" s="19">
        <v>0</v>
      </c>
      <c r="N62" s="19">
        <v>0</v>
      </c>
      <c r="O62" s="19">
        <v>0</v>
      </c>
      <c r="P62" s="19">
        <v>0</v>
      </c>
      <c r="Q62" s="19">
        <v>0</v>
      </c>
      <c r="R62" s="19">
        <v>0</v>
      </c>
      <c r="S62" s="19">
        <v>0</v>
      </c>
      <c r="T62" s="19">
        <v>0</v>
      </c>
    </row>
    <row r="63" spans="1:20" x14ac:dyDescent="0.55000000000000004">
      <c r="B63" s="1" t="s">
        <v>129</v>
      </c>
      <c r="L63" s="19">
        <f>SUM(TITAN!L160,CLASS!L167,NOVA!L114,TTA!L129)</f>
        <v>1750.61052</v>
      </c>
      <c r="M63" s="19">
        <f>SUM(TITAN!M160,CLASS!M167,NOVA!M114,TTA!M129)</f>
        <v>5875.5801911612507</v>
      </c>
      <c r="N63" s="19">
        <f>SUM(TITAN!N160,CLASS!N167,NOVA!N114,TTA!N129)</f>
        <v>6675.425614969331</v>
      </c>
      <c r="O63" s="19">
        <f>SUM(TITAN!O160,CLASS!O167,NOVA!O114,TTA!O129)</f>
        <v>6675.425614969331</v>
      </c>
      <c r="P63" s="19">
        <f>SUM(TITAN!P160,CLASS!P167,NOVA!P114,TTA!P129)</f>
        <v>7250.3617753595236</v>
      </c>
      <c r="Q63" s="19">
        <f>SUM(TITAN!Q160,CLASS!Q167,NOVA!Q114,TTA!Q129)</f>
        <v>7634.8318058428758</v>
      </c>
      <c r="R63" s="19">
        <f>SUM(TITAN!R160,CLASS!R167,NOVA!R114,TTA!R129)</f>
        <v>8420.9316466109522</v>
      </c>
      <c r="S63" s="19">
        <f>SUM(TITAN!S160,CLASS!S167,NOVA!S114,TTA!S129)</f>
        <v>9219.1463988160103</v>
      </c>
      <c r="T63" s="19">
        <f>SUM(TITAN!T160,CLASS!T167,NOVA!T114,TTA!T129)</f>
        <v>10051.315261786829</v>
      </c>
    </row>
    <row r="64" spans="1:20" x14ac:dyDescent="0.55000000000000004">
      <c r="C64" s="1" t="s">
        <v>2716</v>
      </c>
      <c r="L64" s="19">
        <f>SUM(TITAN!L155,CLASS!L162,NOVA!L113,TTA!L124)</f>
        <v>437.91272800000002</v>
      </c>
      <c r="M64" s="19">
        <f>SUM(TITAN!M155,CLASS!M162,NOVA!M113,TTA!M124)</f>
        <v>1040.6891419999999</v>
      </c>
      <c r="N64" s="19">
        <f>SUM(TITAN!N155,CLASS!N162,NOVA!N113,TTA!N124)</f>
        <v>1509.8272134891172</v>
      </c>
      <c r="O64" s="19">
        <f>SUM(TITAN!O155,CLASS!O162,NOVA!O113,TTA!O124)</f>
        <v>1509.8272134891172</v>
      </c>
      <c r="P64" s="19">
        <f>SUM(TITAN!P155,CLASS!P162,NOVA!P113,TTA!P124)</f>
        <v>1907.4843164533452</v>
      </c>
      <c r="Q64" s="19">
        <f>SUM(TITAN!Q155,CLASS!Q162,NOVA!Q113,TTA!Q124)</f>
        <v>2038.8573059367891</v>
      </c>
      <c r="R64" s="19">
        <f>SUM(TITAN!R155,CLASS!R162,NOVA!R113,TTA!R124)</f>
        <v>2265.505137316673</v>
      </c>
      <c r="S64" s="19">
        <f>SUM(TITAN!S155,CLASS!S162,NOVA!S113,TTA!S124)</f>
        <v>2497.1929274968811</v>
      </c>
      <c r="T64" s="19">
        <f>SUM(TITAN!T155,CLASS!T162,NOVA!T113,TTA!T124)</f>
        <v>2740.0108739386287</v>
      </c>
    </row>
    <row r="65" spans="2:20" x14ac:dyDescent="0.55000000000000004">
      <c r="B65" s="15"/>
      <c r="C65" s="15" t="s">
        <v>2717</v>
      </c>
      <c r="D65" s="15"/>
      <c r="E65" s="15"/>
      <c r="F65" s="15"/>
      <c r="G65" s="15"/>
      <c r="H65" s="15"/>
      <c r="I65" s="15"/>
      <c r="J65" s="15"/>
      <c r="K65" s="15"/>
      <c r="L65" s="301">
        <f>SUM(TITAN!L82,CLASS!L86,TTA!L70)</f>
        <v>1312.6977919999999</v>
      </c>
      <c r="M65" s="301">
        <f>M63-M64</f>
        <v>4834.8910491612505</v>
      </c>
      <c r="N65" s="301">
        <f>N63-N64</f>
        <v>5165.5984014802143</v>
      </c>
      <c r="O65" s="301">
        <f t="shared" ref="O65:T65" si="81">O63-O64</f>
        <v>5165.5984014802143</v>
      </c>
      <c r="P65" s="301">
        <f t="shared" si="81"/>
        <v>5342.8774589061786</v>
      </c>
      <c r="Q65" s="301">
        <f t="shared" si="81"/>
        <v>5595.9744999060867</v>
      </c>
      <c r="R65" s="301">
        <f t="shared" si="81"/>
        <v>6155.4265092942787</v>
      </c>
      <c r="S65" s="301">
        <f t="shared" si="81"/>
        <v>6721.9534713191297</v>
      </c>
      <c r="T65" s="301">
        <f t="shared" si="81"/>
        <v>7311.3043878482003</v>
      </c>
    </row>
    <row r="66" spans="2:20" x14ac:dyDescent="0.55000000000000004">
      <c r="M66" s="315"/>
    </row>
    <row r="67" spans="2:20" x14ac:dyDescent="0.55000000000000004">
      <c r="L67" s="315"/>
      <c r="M67" s="315"/>
      <c r="N67" s="315"/>
      <c r="O67" s="315"/>
      <c r="P67" s="315"/>
      <c r="Q67" s="315"/>
      <c r="R67" s="315"/>
      <c r="S67" s="315"/>
      <c r="T67" s="315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7BBC3-11A1-4D53-838D-60E0CD98C3BE}">
  <sheetPr>
    <tabColor rgb="FF00B050"/>
  </sheetPr>
  <dimension ref="A1:T50"/>
  <sheetViews>
    <sheetView showGridLines="0" topLeftCell="A19" zoomScale="85" zoomScaleNormal="85" workbookViewId="0">
      <selection activeCell="P11" sqref="P11"/>
    </sheetView>
  </sheetViews>
  <sheetFormatPr defaultColWidth="9" defaultRowHeight="15" x14ac:dyDescent="0.55000000000000004"/>
  <cols>
    <col min="1" max="1" width="4" style="1" customWidth="1"/>
    <col min="2" max="6" width="2.140625" style="1" customWidth="1"/>
    <col min="7" max="12" width="9" style="1"/>
    <col min="13" max="13" width="11" style="1" customWidth="1"/>
    <col min="14" max="16384" width="9" style="1"/>
  </cols>
  <sheetData>
    <row r="1" spans="1:20" x14ac:dyDescent="0.55000000000000004">
      <c r="A1" s="840" t="s">
        <v>1763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0" x14ac:dyDescent="0.55000000000000004">
      <c r="A3" s="841" t="s">
        <v>1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0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0" s="4" customFormat="1" x14ac:dyDescent="0.55000000000000004">
      <c r="B6" s="4" t="s">
        <v>1764</v>
      </c>
      <c r="L6" s="371"/>
      <c r="M6" s="23">
        <f>SUM(M7:M15)</f>
        <v>7596.7369070000077</v>
      </c>
      <c r="N6" s="23">
        <f>SUM(N7:N15)</f>
        <v>15511.049769733809</v>
      </c>
      <c r="O6" s="23">
        <f t="shared" ref="O6:T6" si="0">SUM(O7:O15)</f>
        <v>23107.78667673382</v>
      </c>
      <c r="P6" s="23">
        <f t="shared" si="0"/>
        <v>27652.505392407082</v>
      </c>
      <c r="Q6" s="23">
        <f t="shared" si="0"/>
        <v>34056.034015403988</v>
      </c>
      <c r="R6" s="23">
        <f t="shared" si="0"/>
        <v>37553.764801012381</v>
      </c>
      <c r="S6" s="23">
        <f t="shared" si="0"/>
        <v>42066.5203836246</v>
      </c>
      <c r="T6" s="23">
        <f t="shared" si="0"/>
        <v>46879.864649568466</v>
      </c>
    </row>
    <row r="7" spans="1:20" x14ac:dyDescent="0.55000000000000004">
      <c r="C7" s="1" t="s">
        <v>1735</v>
      </c>
      <c r="L7" s="329"/>
      <c r="M7" s="19">
        <f>'Pro forma PL'!M19</f>
        <v>13640.685052000008</v>
      </c>
      <c r="N7" s="19">
        <f>'Pro forma PL'!N19</f>
        <v>6599.2018037455873</v>
      </c>
      <c r="O7" s="19">
        <f t="shared" ref="O7:O15" si="1">N7+M7</f>
        <v>20239.886855745593</v>
      </c>
      <c r="P7" s="19">
        <f>'Pro forma PL'!P19</f>
        <v>25971.240735760028</v>
      </c>
      <c r="Q7" s="19">
        <f>'Pro forma PL'!Q19</f>
        <v>31953.51617504449</v>
      </c>
      <c r="R7" s="19">
        <f>'Pro forma PL'!R19</f>
        <v>36189.775259766117</v>
      </c>
      <c r="S7" s="19">
        <f>'Pro forma PL'!S19</f>
        <v>40624.492761485453</v>
      </c>
      <c r="T7" s="19">
        <f>'Pro forma PL'!T19</f>
        <v>45344.454153654442</v>
      </c>
    </row>
    <row r="8" spans="1:20" x14ac:dyDescent="0.55000000000000004">
      <c r="C8" s="1" t="s">
        <v>1734</v>
      </c>
      <c r="L8" s="329"/>
      <c r="M8" s="19">
        <f>'Pro forma PL'!M18</f>
        <v>0</v>
      </c>
      <c r="N8" s="19">
        <f>'Pro forma PL'!N18</f>
        <v>7180.8633119432761</v>
      </c>
      <c r="O8" s="19">
        <f t="shared" si="1"/>
        <v>7180.8633119432761</v>
      </c>
      <c r="P8" s="19">
        <f>'Pro forma PL'!P18</f>
        <v>9311.741162639355</v>
      </c>
      <c r="Q8" s="19">
        <f>'Pro forma PL'!Q18</f>
        <v>11456.751358649524</v>
      </c>
      <c r="R8" s="19">
        <f>'Pro forma PL'!R18</f>
        <v>12975.311880819861</v>
      </c>
      <c r="S8" s="19">
        <f>'Pro forma PL'!S18</f>
        <v>14564.865135704287</v>
      </c>
      <c r="T8" s="19">
        <f>'Pro forma PL'!T18</f>
        <v>16259.129396274906</v>
      </c>
    </row>
    <row r="9" spans="1:20" x14ac:dyDescent="0.55000000000000004">
      <c r="C9" s="1" t="s">
        <v>1820</v>
      </c>
      <c r="L9" s="329"/>
      <c r="M9" s="19">
        <f>연결정산표_우모건제외!AF102/10^6</f>
        <v>-29.554815999999999</v>
      </c>
      <c r="N9" s="19">
        <v>0</v>
      </c>
      <c r="O9" s="19">
        <f t="shared" si="1"/>
        <v>-29.554815999999999</v>
      </c>
      <c r="P9" s="19">
        <v>0</v>
      </c>
      <c r="Q9" s="19">
        <v>0</v>
      </c>
      <c r="R9" s="19">
        <v>0</v>
      </c>
      <c r="S9" s="19">
        <v>0</v>
      </c>
      <c r="T9" s="19">
        <v>0</v>
      </c>
    </row>
    <row r="10" spans="1:20" x14ac:dyDescent="0.55000000000000004">
      <c r="C10" s="1" t="s">
        <v>1821</v>
      </c>
      <c r="L10" s="329"/>
      <c r="M10" s="19">
        <f>연결정산표_우모건제외!AF103/10^6</f>
        <v>-4.5454549999999996</v>
      </c>
      <c r="N10" s="19">
        <v>0</v>
      </c>
      <c r="O10" s="19">
        <f t="shared" si="1"/>
        <v>-4.5454549999999996</v>
      </c>
      <c r="P10" s="19">
        <v>0</v>
      </c>
      <c r="Q10" s="19">
        <v>0</v>
      </c>
      <c r="R10" s="19">
        <v>0</v>
      </c>
      <c r="S10" s="19">
        <v>0</v>
      </c>
      <c r="T10" s="19">
        <v>0</v>
      </c>
    </row>
    <row r="11" spans="1:20" x14ac:dyDescent="0.55000000000000004">
      <c r="C11" s="1" t="s">
        <v>99</v>
      </c>
      <c r="L11" s="329"/>
      <c r="M11" s="19">
        <f>연결정산표_우모건제외!AF98/10^6</f>
        <v>36.568032000000002</v>
      </c>
      <c r="N11" s="19">
        <f>SUM(TITAN!N56,CLASS!N56,NOVA!N53,TTA!N47)</f>
        <v>161.35482481191724</v>
      </c>
      <c r="O11" s="19">
        <f t="shared" si="1"/>
        <v>197.92285681191726</v>
      </c>
      <c r="P11" s="19">
        <f>SUM(TITAN!P56,CLASS!P56,NOVA!P53,TTA!P47)</f>
        <v>410.73181500013322</v>
      </c>
      <c r="Q11" s="19">
        <f>SUM(TITAN!Q56,CLASS!Q56,NOVA!Q53,TTA!Q47)</f>
        <v>448.63958271369978</v>
      </c>
      <c r="R11" s="19">
        <f>SUM(TITAN!R56,CLASS!R56,NOVA!R53,TTA!R47)</f>
        <v>489.03945148341853</v>
      </c>
      <c r="S11" s="19">
        <f>SUM(TITAN!S56,CLASS!S56,NOVA!S53,TTA!S47)</f>
        <v>529.01573235832711</v>
      </c>
      <c r="T11" s="19">
        <f>SUM(TITAN!T56,CLASS!T56,NOVA!T53,TTA!T47)</f>
        <v>570.8562525785369</v>
      </c>
    </row>
    <row r="12" spans="1:20" x14ac:dyDescent="0.55000000000000004">
      <c r="C12" s="1" t="s">
        <v>1462</v>
      </c>
      <c r="L12" s="329"/>
      <c r="M12" s="19">
        <f>'Pro forma PL'!M21</f>
        <v>57.174701999999996</v>
      </c>
      <c r="N12" s="19">
        <f>'Pro forma PL'!N21</f>
        <v>81.972752431152088</v>
      </c>
      <c r="O12" s="19">
        <f t="shared" si="1"/>
        <v>139.14745443115208</v>
      </c>
      <c r="P12" s="19">
        <f>'Pro forma PL'!P21</f>
        <v>143.8772955710333</v>
      </c>
      <c r="Q12" s="19">
        <f>'Pro forma PL'!Q21</f>
        <v>129.85259338714971</v>
      </c>
      <c r="R12" s="19">
        <f>'Pro forma PL'!R21</f>
        <v>117.28631575767835</v>
      </c>
      <c r="S12" s="19">
        <f>'Pro forma PL'!S21</f>
        <v>106.45002070479691</v>
      </c>
      <c r="T12" s="19">
        <f>'Pro forma PL'!T21</f>
        <v>95.874854850933119</v>
      </c>
    </row>
    <row r="13" spans="1:20" x14ac:dyDescent="0.55000000000000004">
      <c r="C13" s="1" t="s">
        <v>1765</v>
      </c>
      <c r="L13" s="322"/>
      <c r="M13" s="19">
        <f>SUM(연결정산표_우모건제외!AF106,연결정산표_우모건제외!AF108,연결정산표_우모건제외!AF112)/10^6</f>
        <v>-5930.7585980000003</v>
      </c>
      <c r="N13" s="19">
        <f>DCF!N14</f>
        <v>1487.657076801876</v>
      </c>
      <c r="O13" s="19">
        <f t="shared" si="1"/>
        <v>-4443.1015211981248</v>
      </c>
      <c r="P13" s="19">
        <f>DCF!P14</f>
        <v>-1004.2223046201864</v>
      </c>
      <c r="Q13" s="19">
        <f>DCF!Q14</f>
        <v>-620.98453175153077</v>
      </c>
      <c r="R13" s="19">
        <f>DCF!R14</f>
        <v>-760.89674816517368</v>
      </c>
      <c r="S13" s="19">
        <f>DCF!S14</f>
        <v>-782.99138580839667</v>
      </c>
      <c r="T13" s="19">
        <f>DCF!T14</f>
        <v>-825.5848720860638</v>
      </c>
    </row>
    <row r="14" spans="1:20" x14ac:dyDescent="0.55000000000000004">
      <c r="C14" s="1" t="s">
        <v>1819</v>
      </c>
      <c r="L14" s="322"/>
      <c r="M14" s="19">
        <f>SUM(연결정산표_우모건제외!AF118:AF119,연결정산표_우모건제외!AF114:AF116,연결정산표_우모건제외!AF113,연결정산표_우모건제외!AF109:AF111,연결정산표_우모건제외!AF107)/10^6</f>
        <v>87.492542</v>
      </c>
      <c r="N14" s="19">
        <v>0</v>
      </c>
      <c r="O14" s="19">
        <f t="shared" si="1"/>
        <v>87.492542</v>
      </c>
      <c r="P14" s="19">
        <v>0</v>
      </c>
      <c r="Q14" s="19">
        <v>0</v>
      </c>
      <c r="R14" s="19">
        <v>0</v>
      </c>
      <c r="S14" s="19">
        <v>0</v>
      </c>
      <c r="T14" s="19">
        <v>0</v>
      </c>
    </row>
    <row r="15" spans="1:20" x14ac:dyDescent="0.55000000000000004">
      <c r="C15" s="1" t="s">
        <v>1766</v>
      </c>
      <c r="L15" s="380"/>
      <c r="M15" s="19">
        <f>연결정산표_우모건제외!AF117/10^6</f>
        <v>-260.32455199999998</v>
      </c>
      <c r="N15" s="19">
        <v>0</v>
      </c>
      <c r="O15" s="19">
        <f t="shared" si="1"/>
        <v>-260.32455199999998</v>
      </c>
      <c r="P15" s="19">
        <f>-O8</f>
        <v>-7180.8633119432761</v>
      </c>
      <c r="Q15" s="19">
        <f t="shared" ref="Q15:T15" si="2">-P8</f>
        <v>-9311.741162639355</v>
      </c>
      <c r="R15" s="19">
        <f t="shared" si="2"/>
        <v>-11456.751358649524</v>
      </c>
      <c r="S15" s="19">
        <f t="shared" si="2"/>
        <v>-12975.311880819861</v>
      </c>
      <c r="T15" s="19">
        <f t="shared" si="2"/>
        <v>-14564.865135704287</v>
      </c>
    </row>
    <row r="16" spans="1:20" s="4" customFormat="1" x14ac:dyDescent="0.55000000000000004">
      <c r="B16" s="4" t="s">
        <v>1767</v>
      </c>
      <c r="L16" s="429"/>
      <c r="M16" s="23">
        <f>연결정산표_우모건제외!AG120/10^6</f>
        <v>-3640.2890080000002</v>
      </c>
      <c r="N16" s="23">
        <f>N17+N18+N19</f>
        <v>-74.922948123666657</v>
      </c>
      <c r="O16" s="23">
        <f t="shared" ref="O16:T16" si="3">O17+O18+O19</f>
        <v>-3715.2119561236668</v>
      </c>
      <c r="P16" s="23">
        <f t="shared" si="3"/>
        <v>-122.01724812427473</v>
      </c>
      <c r="Q16" s="23">
        <f t="shared" si="3"/>
        <v>-112.45918738872732</v>
      </c>
      <c r="R16" s="23">
        <f t="shared" si="3"/>
        <v>-104.5215872304136</v>
      </c>
      <c r="S16" s="23">
        <f t="shared" si="3"/>
        <v>-98.582785665260005</v>
      </c>
      <c r="T16" s="23">
        <f t="shared" si="3"/>
        <v>-86.635555008346145</v>
      </c>
    </row>
    <row r="17" spans="1:20" x14ac:dyDescent="0.55000000000000004">
      <c r="C17" s="1" t="s">
        <v>1861</v>
      </c>
      <c r="L17" s="322"/>
      <c r="M17" s="19">
        <f>(연결정산표_우모건제외!AF124+연결정산표_우모건제외!AF130+연결정산표_우모건제외!AF131+연결정산표_우모건제외!AF132+연결정산표_우모건제외!AF135)/10^6</f>
        <v>-146.104311</v>
      </c>
      <c r="N17" s="19">
        <f>DCF!N13</f>
        <v>-74.922948123666657</v>
      </c>
      <c r="O17" s="19">
        <f>N17+M17</f>
        <v>-221.02725912366665</v>
      </c>
      <c r="P17" s="19">
        <f>DCF!P13</f>
        <v>-122.01724812427473</v>
      </c>
      <c r="Q17" s="19">
        <f>DCF!Q13</f>
        <v>-112.45918738872732</v>
      </c>
      <c r="R17" s="19">
        <f>DCF!R13</f>
        <v>-104.5215872304136</v>
      </c>
      <c r="S17" s="19">
        <f>DCF!S13</f>
        <v>-98.582785665260005</v>
      </c>
      <c r="T17" s="19">
        <f>DCF!T13</f>
        <v>-86.635555008346145</v>
      </c>
    </row>
    <row r="18" spans="1:20" x14ac:dyDescent="0.55000000000000004">
      <c r="C18" s="1" t="s">
        <v>1862</v>
      </c>
      <c r="L18" s="322"/>
      <c r="M18" s="19">
        <f>연결정산표_우모건제외!AF122/10^6+연결정산표_우모건제외!AF128/10^6</f>
        <v>-2822.7266970000001</v>
      </c>
      <c r="N18" s="19">
        <v>0</v>
      </c>
      <c r="O18" s="19">
        <f>N18+M18</f>
        <v>-2822.7266970000001</v>
      </c>
      <c r="P18" s="19">
        <v>0</v>
      </c>
      <c r="Q18" s="19">
        <v>0</v>
      </c>
      <c r="R18" s="19">
        <v>0</v>
      </c>
      <c r="S18" s="19">
        <v>0</v>
      </c>
      <c r="T18" s="19">
        <v>0</v>
      </c>
    </row>
    <row r="19" spans="1:20" x14ac:dyDescent="0.55000000000000004">
      <c r="C19" s="1" t="s">
        <v>93</v>
      </c>
      <c r="L19" s="322"/>
      <c r="M19" s="19">
        <f>M16-M17-M18</f>
        <v>-671.45800000000008</v>
      </c>
      <c r="N19" s="19">
        <v>0</v>
      </c>
      <c r="O19" s="19">
        <f>N19+M19</f>
        <v>-671.45800000000008</v>
      </c>
      <c r="P19" s="19">
        <v>0</v>
      </c>
      <c r="Q19" s="19">
        <v>0</v>
      </c>
      <c r="R19" s="19">
        <v>0</v>
      </c>
      <c r="S19" s="19">
        <v>0</v>
      </c>
      <c r="T19" s="19">
        <v>0</v>
      </c>
    </row>
    <row r="20" spans="1:20" s="4" customFormat="1" x14ac:dyDescent="0.55000000000000004">
      <c r="B20" s="4" t="s">
        <v>1768</v>
      </c>
      <c r="L20" s="429"/>
      <c r="M20" s="23">
        <f>M21+M22</f>
        <v>-28.571428999999998</v>
      </c>
      <c r="N20" s="23">
        <f>N21+N22</f>
        <v>0</v>
      </c>
      <c r="O20" s="23">
        <f t="shared" ref="O20:T20" si="4">O21+O22</f>
        <v>-28.571428999999998</v>
      </c>
      <c r="P20" s="23">
        <f t="shared" si="4"/>
        <v>0</v>
      </c>
      <c r="Q20" s="23">
        <f t="shared" si="4"/>
        <v>0</v>
      </c>
      <c r="R20" s="23">
        <f t="shared" si="4"/>
        <v>0</v>
      </c>
      <c r="S20" s="23">
        <f t="shared" si="4"/>
        <v>0</v>
      </c>
      <c r="T20" s="23">
        <f t="shared" si="4"/>
        <v>0</v>
      </c>
    </row>
    <row r="21" spans="1:20" x14ac:dyDescent="0.55000000000000004">
      <c r="C21" s="1" t="s">
        <v>1769</v>
      </c>
      <c r="L21" s="322"/>
      <c r="M21" s="19">
        <v>0</v>
      </c>
      <c r="N21" s="19">
        <v>0</v>
      </c>
      <c r="O21" s="19">
        <f>N21+M21</f>
        <v>0</v>
      </c>
      <c r="P21" s="19">
        <v>0</v>
      </c>
      <c r="Q21" s="19">
        <v>0</v>
      </c>
      <c r="R21" s="19">
        <v>0</v>
      </c>
      <c r="S21" s="19">
        <v>0</v>
      </c>
      <c r="T21" s="19">
        <v>0</v>
      </c>
    </row>
    <row r="22" spans="1:20" x14ac:dyDescent="0.55000000000000004">
      <c r="C22" s="1" t="s">
        <v>2032</v>
      </c>
      <c r="L22" s="322"/>
      <c r="M22" s="19">
        <f>연결정산표_우모건제외!AF142/10^6</f>
        <v>-28.571428999999998</v>
      </c>
      <c r="N22" s="19">
        <v>0</v>
      </c>
      <c r="O22" s="19">
        <f>N22+M22</f>
        <v>-28.571428999999998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</row>
    <row r="23" spans="1:20" s="4" customFormat="1" x14ac:dyDescent="0.55000000000000004">
      <c r="B23" s="5" t="s">
        <v>2034</v>
      </c>
      <c r="C23" s="5"/>
      <c r="D23" s="5"/>
      <c r="E23" s="5"/>
      <c r="F23" s="5"/>
      <c r="G23" s="5"/>
      <c r="H23" s="5"/>
      <c r="I23" s="5"/>
      <c r="J23" s="5"/>
      <c r="K23" s="5"/>
      <c r="L23" s="324"/>
      <c r="M23" s="20">
        <f>M20+M16+M6</f>
        <v>3927.8764700000074</v>
      </c>
      <c r="N23" s="20">
        <f>N20+N16+N6</f>
        <v>15436.126821610142</v>
      </c>
      <c r="O23" s="20">
        <f>N23+M23</f>
        <v>19364.003291610148</v>
      </c>
      <c r="P23" s="20">
        <f t="shared" ref="P23:T23" si="5">P20+P16+P6</f>
        <v>27530.488144282808</v>
      </c>
      <c r="Q23" s="20">
        <f t="shared" si="5"/>
        <v>33943.574828015262</v>
      </c>
      <c r="R23" s="20">
        <f t="shared" si="5"/>
        <v>37449.243213781971</v>
      </c>
      <c r="S23" s="20">
        <f t="shared" si="5"/>
        <v>41967.937597959339</v>
      </c>
      <c r="T23" s="20">
        <f t="shared" si="5"/>
        <v>46793.22909456012</v>
      </c>
    </row>
    <row r="24" spans="1:20" x14ac:dyDescent="0.55000000000000004">
      <c r="B24" s="1" t="s">
        <v>2033</v>
      </c>
      <c r="L24" s="322"/>
      <c r="M24" s="19">
        <f>'Pro forma BS'!L7</f>
        <v>1161.776233</v>
      </c>
      <c r="N24" s="19">
        <f>M25</f>
        <v>5089.652703000007</v>
      </c>
      <c r="O24" s="19">
        <f>M24</f>
        <v>1161.776233</v>
      </c>
      <c r="P24" s="19">
        <f>O25</f>
        <v>20525.779524610149</v>
      </c>
      <c r="Q24" s="19">
        <f t="shared" ref="Q24:T24" si="6">P25</f>
        <v>48056.267668892957</v>
      </c>
      <c r="R24" s="19">
        <f t="shared" si="6"/>
        <v>81999.842496908212</v>
      </c>
      <c r="S24" s="19">
        <f t="shared" si="6"/>
        <v>119449.08571069018</v>
      </c>
      <c r="T24" s="19">
        <f t="shared" si="6"/>
        <v>161417.02330864951</v>
      </c>
    </row>
    <row r="25" spans="1:20" s="4" customFormat="1" x14ac:dyDescent="0.55000000000000004">
      <c r="B25" s="16" t="s">
        <v>2035</v>
      </c>
      <c r="C25" s="16"/>
      <c r="D25" s="16"/>
      <c r="E25" s="16"/>
      <c r="F25" s="16"/>
      <c r="G25" s="16"/>
      <c r="H25" s="16"/>
      <c r="I25" s="16"/>
      <c r="J25" s="16"/>
      <c r="K25" s="16"/>
      <c r="L25" s="478"/>
      <c r="M25" s="482">
        <f>M24+M23</f>
        <v>5089.652703000007</v>
      </c>
      <c r="N25" s="482">
        <f>N24+N23</f>
        <v>20525.779524610149</v>
      </c>
      <c r="O25" s="482">
        <f>O24+O23</f>
        <v>20525.779524610149</v>
      </c>
      <c r="P25" s="482">
        <f>P24+P23</f>
        <v>48056.267668892957</v>
      </c>
      <c r="Q25" s="482">
        <f t="shared" ref="Q25:T25" si="7">Q24+Q23</f>
        <v>81999.842496908212</v>
      </c>
      <c r="R25" s="482">
        <f t="shared" si="7"/>
        <v>119449.08571069018</v>
      </c>
      <c r="S25" s="482">
        <f t="shared" si="7"/>
        <v>161417.02330864951</v>
      </c>
      <c r="T25" s="482">
        <f t="shared" si="7"/>
        <v>208210.25240320963</v>
      </c>
    </row>
    <row r="28" spans="1:20" x14ac:dyDescent="0.55000000000000004">
      <c r="A28" s="841" t="s">
        <v>2775</v>
      </c>
      <c r="B28" s="842"/>
      <c r="C28" s="842"/>
      <c r="D28" s="842"/>
      <c r="E28" s="842"/>
      <c r="F28" s="842"/>
      <c r="G28" s="842"/>
      <c r="H28" s="842"/>
      <c r="I28" s="842"/>
      <c r="J28" s="842"/>
      <c r="K28" s="842"/>
      <c r="L28" s="842"/>
      <c r="M28" s="842"/>
      <c r="N28" s="842"/>
      <c r="O28" s="842"/>
      <c r="P28" s="842"/>
      <c r="Q28" s="842"/>
      <c r="R28" s="842"/>
      <c r="S28" s="842"/>
      <c r="T28" s="842"/>
    </row>
    <row r="30" spans="1:20" x14ac:dyDescent="0.55000000000000004">
      <c r="B30" s="844"/>
      <c r="C30" s="844"/>
      <c r="D30" s="844"/>
      <c r="E30" s="844"/>
      <c r="F30" s="844"/>
      <c r="G30" s="844"/>
      <c r="H30" s="844"/>
      <c r="I30" s="844"/>
      <c r="J30" s="844"/>
      <c r="K30" s="844"/>
      <c r="L30" s="845" t="s">
        <v>2</v>
      </c>
      <c r="M30" s="845" t="s">
        <v>3</v>
      </c>
      <c r="N30" s="845" t="s">
        <v>4</v>
      </c>
      <c r="O30" s="845" t="s">
        <v>5</v>
      </c>
      <c r="P30" s="845" t="s">
        <v>6</v>
      </c>
      <c r="Q30" s="845" t="s">
        <v>7</v>
      </c>
      <c r="R30" s="845" t="s">
        <v>8</v>
      </c>
      <c r="S30" s="845" t="s">
        <v>9</v>
      </c>
      <c r="T30" s="845" t="s">
        <v>1480</v>
      </c>
    </row>
    <row r="31" spans="1:20" x14ac:dyDescent="0.55000000000000004">
      <c r="A31" s="4"/>
      <c r="B31" s="4" t="s">
        <v>1764</v>
      </c>
      <c r="C31" s="4"/>
      <c r="D31" s="4"/>
      <c r="E31" s="4"/>
      <c r="F31" s="4"/>
      <c r="G31" s="4"/>
      <c r="H31" s="4"/>
      <c r="I31" s="4"/>
      <c r="J31" s="4"/>
      <c r="K31" s="4"/>
      <c r="L31" s="371"/>
      <c r="M31" s="23">
        <f>SUM(M32:M40)</f>
        <v>6284.0391150000069</v>
      </c>
      <c r="N31" s="23">
        <f>SUM(N32:N40)</f>
        <v>8759.9226666495706</v>
      </c>
      <c r="O31" s="23">
        <f t="shared" ref="O31:T31" si="8">SUM(O32:O40)</f>
        <v>15043.961781649579</v>
      </c>
      <c r="P31" s="23">
        <f t="shared" si="8"/>
        <v>17988.862764550486</v>
      </c>
      <c r="Q31" s="23">
        <f t="shared" si="8"/>
        <v>16229.045249371331</v>
      </c>
      <c r="R31" s="23">
        <f t="shared" si="8"/>
        <v>16534.47230457317</v>
      </c>
      <c r="S31" s="23">
        <f t="shared" si="8"/>
        <v>17747.624338389855</v>
      </c>
      <c r="T31" s="23">
        <f t="shared" si="8"/>
        <v>19031.872263145535</v>
      </c>
    </row>
    <row r="32" spans="1:20" x14ac:dyDescent="0.55000000000000004">
      <c r="C32" s="1" t="s">
        <v>1735</v>
      </c>
      <c r="L32" s="329"/>
      <c r="M32" s="19">
        <f>M7-'Pro forma BS'!M65</f>
        <v>8805.7940028387566</v>
      </c>
      <c r="N32" s="19">
        <f>'Pro forma PL'!N44</f>
        <v>0.1108627920706782</v>
      </c>
      <c r="O32" s="19">
        <f t="shared" ref="O32:O40" si="9">N32+M32</f>
        <v>8805.9048656308278</v>
      </c>
      <c r="P32" s="19">
        <f>'Pro forma PL'!P44</f>
        <v>0.23185274764251115</v>
      </c>
      <c r="Q32" s="19">
        <f>'Pro forma PL'!Q44</f>
        <v>0.26351230851316548</v>
      </c>
      <c r="R32" s="19">
        <f>'Pro forma PL'!R44</f>
        <v>0.26524669954932167</v>
      </c>
      <c r="S32" s="19">
        <f>'Pro forma PL'!S44</f>
        <v>0.26686717588949643</v>
      </c>
      <c r="T32" s="19">
        <f>'Pro forma PL'!T44</f>
        <v>0.26831610330372685</v>
      </c>
    </row>
    <row r="33" spans="1:20" x14ac:dyDescent="0.55000000000000004">
      <c r="C33" s="1" t="s">
        <v>1734</v>
      </c>
      <c r="L33" s="329"/>
      <c r="M33" s="19">
        <f>M8</f>
        <v>0</v>
      </c>
      <c r="N33" s="19">
        <f>'Pro forma PL'!N43</f>
        <v>1948.6571882951125</v>
      </c>
      <c r="O33" s="19">
        <f t="shared" si="9"/>
        <v>1948.6571882951125</v>
      </c>
      <c r="P33" s="19">
        <f>'Pro forma PL'!P43</f>
        <v>8766.9251479528575</v>
      </c>
      <c r="Q33" s="19">
        <f>'Pro forma PL'!Q43</f>
        <v>10720.300021917439</v>
      </c>
      <c r="R33" s="19">
        <f>'Pro forma PL'!R43</f>
        <v>11610.354482714145</v>
      </c>
      <c r="S33" s="19">
        <f>'Pro forma PL'!S43</f>
        <v>12511.073388990215</v>
      </c>
      <c r="T33" s="19">
        <f>'Pro forma PL'!T43</f>
        <v>13448.197977940603</v>
      </c>
    </row>
    <row r="34" spans="1:20" x14ac:dyDescent="0.55000000000000004">
      <c r="C34" s="1" t="s">
        <v>1820</v>
      </c>
      <c r="L34" s="329"/>
      <c r="M34" s="19">
        <f>M9</f>
        <v>-29.554815999999999</v>
      </c>
      <c r="N34" s="19">
        <v>0</v>
      </c>
      <c r="O34" s="19">
        <f t="shared" si="9"/>
        <v>-29.554815999999999</v>
      </c>
      <c r="P34" s="19">
        <v>0</v>
      </c>
      <c r="Q34" s="19">
        <v>0</v>
      </c>
      <c r="R34" s="19">
        <v>0</v>
      </c>
      <c r="S34" s="19">
        <v>0</v>
      </c>
      <c r="T34" s="19">
        <v>0</v>
      </c>
    </row>
    <row r="35" spans="1:20" x14ac:dyDescent="0.55000000000000004">
      <c r="C35" s="1" t="s">
        <v>1821</v>
      </c>
      <c r="L35" s="329"/>
      <c r="M35" s="19">
        <f t="shared" ref="M35:M47" si="10">M10</f>
        <v>-4.5454549999999996</v>
      </c>
      <c r="N35" s="19">
        <v>0</v>
      </c>
      <c r="O35" s="19">
        <f t="shared" si="9"/>
        <v>-4.5454549999999996</v>
      </c>
      <c r="P35" s="19">
        <v>0</v>
      </c>
      <c r="Q35" s="19">
        <v>0</v>
      </c>
      <c r="R35" s="19">
        <v>0</v>
      </c>
      <c r="S35" s="19">
        <v>0</v>
      </c>
      <c r="T35" s="19">
        <v>0</v>
      </c>
    </row>
    <row r="36" spans="1:20" x14ac:dyDescent="0.55000000000000004">
      <c r="C36" s="1" t="s">
        <v>99</v>
      </c>
      <c r="L36" s="329"/>
      <c r="M36" s="19">
        <f t="shared" si="10"/>
        <v>36.568032000000002</v>
      </c>
      <c r="N36" s="19">
        <f>SUM(TITAN!N81,CLASS!N81,NOVA!N78,TTA!N72)</f>
        <v>1.4319604889916719</v>
      </c>
      <c r="O36" s="19">
        <f t="shared" si="9"/>
        <v>37.999992488991673</v>
      </c>
      <c r="P36" s="19">
        <f>SUM(TITAN!P81,CLASS!P81,NOVA!P78,TTA!P72)</f>
        <v>0.75</v>
      </c>
      <c r="Q36" s="19">
        <f>SUM(TITAN!Q81,CLASS!Q81,NOVA!Q78,TTA!Q72)</f>
        <v>0.5</v>
      </c>
      <c r="R36" s="19">
        <f>SUM(TITAN!R81,CLASS!R81,NOVA!R78,TTA!R72)</f>
        <v>0.5</v>
      </c>
      <c r="S36" s="19">
        <f>SUM(TITAN!S81,CLASS!S81,NOVA!S78,TTA!S72)</f>
        <v>0.5</v>
      </c>
      <c r="T36" s="19">
        <f>SUM(TITAN!T81,CLASS!T81,NOVA!T78,TTA!T72)</f>
        <v>0.5</v>
      </c>
    </row>
    <row r="37" spans="1:20" x14ac:dyDescent="0.55000000000000004">
      <c r="C37" s="1" t="s">
        <v>1462</v>
      </c>
      <c r="L37" s="329"/>
      <c r="M37" s="19">
        <f t="shared" si="10"/>
        <v>57.174701999999996</v>
      </c>
      <c r="N37" s="19">
        <f>'Pro forma PL'!N46</f>
        <v>4991.3582259525574</v>
      </c>
      <c r="O37" s="19">
        <f t="shared" si="9"/>
        <v>5048.5329279525577</v>
      </c>
      <c r="P37" s="19">
        <f>'Pro forma PL'!P46</f>
        <v>11996.556199339324</v>
      </c>
      <c r="Q37" s="19">
        <f>'Pro forma PL'!Q46</f>
        <v>14642.794353849858</v>
      </c>
      <c r="R37" s="19">
        <f>'Pro forma PL'!R46</f>
        <v>15845.097335853898</v>
      </c>
      <c r="S37" s="19">
        <f>'Pro forma PL'!S46</f>
        <v>17062.602988721443</v>
      </c>
      <c r="T37" s="19">
        <f>'Pro forma PL'!T46</f>
        <v>18330.213313648837</v>
      </c>
    </row>
    <row r="38" spans="1:20" x14ac:dyDescent="0.55000000000000004">
      <c r="C38" s="1" t="s">
        <v>1765</v>
      </c>
      <c r="L38" s="322"/>
      <c r="M38" s="19">
        <f>M13+'Pro forma BS'!M65-'Pro forma BS'!L65</f>
        <v>-2408.5653408387498</v>
      </c>
      <c r="N38" s="19">
        <f>N13+'Pro forma BS'!N65-'Pro forma BS'!M65</f>
        <v>1818.3644291208393</v>
      </c>
      <c r="O38" s="19">
        <f t="shared" si="9"/>
        <v>-590.20091171791046</v>
      </c>
      <c r="P38" s="19">
        <f>P13+'Pro forma BS'!P65-'Pro forma BS'!O65</f>
        <v>-826.94324719422184</v>
      </c>
      <c r="Q38" s="19">
        <f>Q13+'Pro forma BS'!Q65-'Pro forma BS'!P65</f>
        <v>-367.88749075162286</v>
      </c>
      <c r="R38" s="19">
        <f>R13+'Pro forma BS'!R65-'Pro forma BS'!Q65</f>
        <v>-201.44473877698147</v>
      </c>
      <c r="S38" s="19">
        <f>S13+'Pro forma BS'!S65-'Pro forma BS'!R65</f>
        <v>-216.4644237835455</v>
      </c>
      <c r="T38" s="19">
        <f>T13+'Pro forma BS'!T65-'Pro forma BS'!S65</f>
        <v>-236.23395555699335</v>
      </c>
    </row>
    <row r="39" spans="1:20" x14ac:dyDescent="0.55000000000000004">
      <c r="C39" s="1" t="s">
        <v>1819</v>
      </c>
      <c r="L39" s="322"/>
      <c r="M39" s="19">
        <f t="shared" si="10"/>
        <v>87.492542</v>
      </c>
      <c r="N39" s="19">
        <v>0</v>
      </c>
      <c r="O39" s="19">
        <f t="shared" si="9"/>
        <v>87.492542</v>
      </c>
      <c r="P39" s="19">
        <v>0</v>
      </c>
      <c r="Q39" s="19">
        <v>0</v>
      </c>
      <c r="R39" s="19">
        <v>0</v>
      </c>
      <c r="S39" s="19">
        <v>0</v>
      </c>
      <c r="T39" s="19">
        <v>0</v>
      </c>
    </row>
    <row r="40" spans="1:20" x14ac:dyDescent="0.55000000000000004">
      <c r="C40" s="1" t="s">
        <v>1766</v>
      </c>
      <c r="L40" s="380"/>
      <c r="M40" s="19">
        <f t="shared" si="10"/>
        <v>-260.32455199999998</v>
      </c>
      <c r="N40" s="19">
        <v>0</v>
      </c>
      <c r="O40" s="19">
        <f t="shared" si="9"/>
        <v>-260.32455199999998</v>
      </c>
      <c r="P40" s="19">
        <f>-O33</f>
        <v>-1948.6571882951125</v>
      </c>
      <c r="Q40" s="19">
        <f t="shared" ref="Q40" si="11">-P33</f>
        <v>-8766.9251479528575</v>
      </c>
      <c r="R40" s="19">
        <f t="shared" ref="R40" si="12">-Q33</f>
        <v>-10720.300021917439</v>
      </c>
      <c r="S40" s="19">
        <f t="shared" ref="S40" si="13">-R33</f>
        <v>-11610.354482714145</v>
      </c>
      <c r="T40" s="19">
        <f t="shared" ref="T40" si="14">-S33</f>
        <v>-12511.073388990215</v>
      </c>
    </row>
    <row r="41" spans="1:20" x14ac:dyDescent="0.55000000000000004">
      <c r="A41" s="4"/>
      <c r="B41" s="4" t="s">
        <v>1767</v>
      </c>
      <c r="C41" s="4"/>
      <c r="D41" s="4"/>
      <c r="E41" s="4"/>
      <c r="F41" s="4"/>
      <c r="G41" s="4"/>
      <c r="H41" s="4"/>
      <c r="I41" s="4"/>
      <c r="J41" s="4"/>
      <c r="K41" s="4"/>
      <c r="L41" s="429"/>
      <c r="M41" s="23">
        <f t="shared" si="10"/>
        <v>-3640.2890080000002</v>
      </c>
      <c r="N41" s="23">
        <f>N42+N43+N44</f>
        <v>0</v>
      </c>
      <c r="O41" s="23">
        <f t="shared" ref="O41:T41" si="15">O42+O43+O44</f>
        <v>-3640.2890080000002</v>
      </c>
      <c r="P41" s="23">
        <f t="shared" si="15"/>
        <v>0</v>
      </c>
      <c r="Q41" s="23">
        <f t="shared" si="15"/>
        <v>0</v>
      </c>
      <c r="R41" s="23">
        <f t="shared" si="15"/>
        <v>0</v>
      </c>
      <c r="S41" s="23">
        <f t="shared" si="15"/>
        <v>0</v>
      </c>
      <c r="T41" s="23">
        <f t="shared" si="15"/>
        <v>0</v>
      </c>
    </row>
    <row r="42" spans="1:20" x14ac:dyDescent="0.55000000000000004">
      <c r="C42" s="1" t="s">
        <v>1861</v>
      </c>
      <c r="L42" s="322"/>
      <c r="M42" s="19">
        <f t="shared" si="10"/>
        <v>-146.104311</v>
      </c>
      <c r="N42" s="19">
        <f>DCF!N38</f>
        <v>0</v>
      </c>
      <c r="O42" s="19">
        <f>N42+M42</f>
        <v>-146.104311</v>
      </c>
      <c r="P42" s="19">
        <f>DCF!P38</f>
        <v>0</v>
      </c>
      <c r="Q42" s="19">
        <f>DCF!Q38</f>
        <v>0</v>
      </c>
      <c r="R42" s="19">
        <f>DCF!R38</f>
        <v>0</v>
      </c>
      <c r="S42" s="19">
        <f>DCF!S38</f>
        <v>0</v>
      </c>
      <c r="T42" s="19">
        <f>DCF!T38</f>
        <v>0</v>
      </c>
    </row>
    <row r="43" spans="1:20" x14ac:dyDescent="0.55000000000000004">
      <c r="C43" s="1" t="s">
        <v>1862</v>
      </c>
      <c r="L43" s="322"/>
      <c r="M43" s="19">
        <f t="shared" si="10"/>
        <v>-2822.7266970000001</v>
      </c>
      <c r="N43" s="19">
        <v>0</v>
      </c>
      <c r="O43" s="19">
        <f>N43+M43</f>
        <v>-2822.7266970000001</v>
      </c>
      <c r="P43" s="19">
        <v>0</v>
      </c>
      <c r="Q43" s="19">
        <v>0</v>
      </c>
      <c r="R43" s="19">
        <v>0</v>
      </c>
      <c r="S43" s="19">
        <v>0</v>
      </c>
      <c r="T43" s="19">
        <v>0</v>
      </c>
    </row>
    <row r="44" spans="1:20" x14ac:dyDescent="0.55000000000000004">
      <c r="C44" s="1" t="s">
        <v>93</v>
      </c>
      <c r="L44" s="322"/>
      <c r="M44" s="19">
        <f t="shared" si="10"/>
        <v>-671.45800000000008</v>
      </c>
      <c r="N44" s="19">
        <v>0</v>
      </c>
      <c r="O44" s="19">
        <f>N44+M44</f>
        <v>-671.45800000000008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</row>
    <row r="45" spans="1:20" x14ac:dyDescent="0.55000000000000004">
      <c r="A45" s="4"/>
      <c r="B45" s="4" t="s">
        <v>1768</v>
      </c>
      <c r="C45" s="4"/>
      <c r="D45" s="4"/>
      <c r="E45" s="4"/>
      <c r="F45" s="4"/>
      <c r="G45" s="4"/>
      <c r="H45" s="4"/>
      <c r="I45" s="4"/>
      <c r="J45" s="4"/>
      <c r="K45" s="4"/>
      <c r="L45" s="429"/>
      <c r="M45" s="23">
        <f t="shared" si="10"/>
        <v>-28.571428999999998</v>
      </c>
      <c r="N45" s="23">
        <f>N46+N47</f>
        <v>0</v>
      </c>
      <c r="O45" s="23">
        <f t="shared" ref="O45:T45" si="16">O46+O47</f>
        <v>-28.571428999999998</v>
      </c>
      <c r="P45" s="23">
        <f t="shared" si="16"/>
        <v>0</v>
      </c>
      <c r="Q45" s="23">
        <f t="shared" si="16"/>
        <v>0</v>
      </c>
      <c r="R45" s="23">
        <f t="shared" si="16"/>
        <v>0</v>
      </c>
      <c r="S45" s="23">
        <f t="shared" si="16"/>
        <v>0</v>
      </c>
      <c r="T45" s="23">
        <f t="shared" si="16"/>
        <v>0</v>
      </c>
    </row>
    <row r="46" spans="1:20" x14ac:dyDescent="0.55000000000000004">
      <c r="C46" s="1" t="s">
        <v>1769</v>
      </c>
      <c r="L46" s="322"/>
      <c r="M46" s="19">
        <f t="shared" si="10"/>
        <v>0</v>
      </c>
      <c r="N46" s="19">
        <v>0</v>
      </c>
      <c r="O46" s="19">
        <f>N46+M46</f>
        <v>0</v>
      </c>
      <c r="P46" s="19">
        <v>0</v>
      </c>
      <c r="Q46" s="19">
        <v>0</v>
      </c>
      <c r="R46" s="19">
        <v>0</v>
      </c>
      <c r="S46" s="19">
        <v>0</v>
      </c>
      <c r="T46" s="19">
        <v>0</v>
      </c>
    </row>
    <row r="47" spans="1:20" x14ac:dyDescent="0.55000000000000004">
      <c r="C47" s="1" t="s">
        <v>2032</v>
      </c>
      <c r="L47" s="322"/>
      <c r="M47" s="19">
        <f t="shared" si="10"/>
        <v>-28.571428999999998</v>
      </c>
      <c r="N47" s="19">
        <v>0</v>
      </c>
      <c r="O47" s="19">
        <f>N47+M47</f>
        <v>-28.571428999999998</v>
      </c>
      <c r="P47" s="19">
        <v>0</v>
      </c>
      <c r="Q47" s="19">
        <v>0</v>
      </c>
      <c r="R47" s="19">
        <v>0</v>
      </c>
      <c r="S47" s="19">
        <v>0</v>
      </c>
      <c r="T47" s="19">
        <v>0</v>
      </c>
    </row>
    <row r="48" spans="1:20" x14ac:dyDescent="0.55000000000000004">
      <c r="A48" s="4"/>
      <c r="B48" s="5" t="s">
        <v>2034</v>
      </c>
      <c r="C48" s="5"/>
      <c r="D48" s="5"/>
      <c r="E48" s="5"/>
      <c r="F48" s="5"/>
      <c r="G48" s="5"/>
      <c r="H48" s="5"/>
      <c r="I48" s="5"/>
      <c r="J48" s="5"/>
      <c r="K48" s="5"/>
      <c r="L48" s="324"/>
      <c r="M48" s="20">
        <f>M45+M41+M31</f>
        <v>2615.1786780000066</v>
      </c>
      <c r="N48" s="20">
        <f>N45+N41+N31</f>
        <v>8759.9226666495706</v>
      </c>
      <c r="O48" s="20">
        <f>N48+M48</f>
        <v>11375.101344649578</v>
      </c>
      <c r="P48" s="20">
        <f t="shared" ref="P48:T48" si="17">P45+P41+P31</f>
        <v>17988.862764550486</v>
      </c>
      <c r="Q48" s="20">
        <f t="shared" si="17"/>
        <v>16229.045249371331</v>
      </c>
      <c r="R48" s="20">
        <f t="shared" si="17"/>
        <v>16534.47230457317</v>
      </c>
      <c r="S48" s="20">
        <f t="shared" si="17"/>
        <v>17747.624338389855</v>
      </c>
      <c r="T48" s="20">
        <f t="shared" si="17"/>
        <v>19031.872263145535</v>
      </c>
    </row>
    <row r="49" spans="1:20" x14ac:dyDescent="0.55000000000000004">
      <c r="B49" s="1" t="s">
        <v>2033</v>
      </c>
      <c r="L49" s="322"/>
      <c r="M49" s="19">
        <f>M24</f>
        <v>1161.776233</v>
      </c>
      <c r="N49" s="19">
        <f>M50</f>
        <v>3776.9549110000066</v>
      </c>
      <c r="O49" s="19">
        <f>M49</f>
        <v>1161.776233</v>
      </c>
      <c r="P49" s="19">
        <f>O50</f>
        <v>12536.877577649579</v>
      </c>
      <c r="Q49" s="19">
        <f t="shared" ref="Q49" si="18">P50</f>
        <v>30525.740342200064</v>
      </c>
      <c r="R49" s="19">
        <f t="shared" ref="R49" si="19">Q50</f>
        <v>46754.785591571395</v>
      </c>
      <c r="S49" s="19">
        <f t="shared" ref="S49" si="20">R50</f>
        <v>63289.257896144569</v>
      </c>
      <c r="T49" s="19">
        <f t="shared" ref="T49" si="21">S50</f>
        <v>81036.882234534423</v>
      </c>
    </row>
    <row r="50" spans="1:20" x14ac:dyDescent="0.55000000000000004">
      <c r="A50" s="4"/>
      <c r="B50" s="16" t="s">
        <v>2035</v>
      </c>
      <c r="C50" s="16"/>
      <c r="D50" s="16"/>
      <c r="E50" s="16"/>
      <c r="F50" s="16"/>
      <c r="G50" s="16"/>
      <c r="H50" s="16"/>
      <c r="I50" s="16"/>
      <c r="J50" s="16"/>
      <c r="K50" s="16"/>
      <c r="L50" s="478"/>
      <c r="M50" s="482">
        <f>M49+M48</f>
        <v>3776.9549110000066</v>
      </c>
      <c r="N50" s="482">
        <f>N49+N48</f>
        <v>12536.877577649577</v>
      </c>
      <c r="O50" s="482">
        <f>O49+O48</f>
        <v>12536.877577649579</v>
      </c>
      <c r="P50" s="482">
        <f>P49+P48</f>
        <v>30525.740342200064</v>
      </c>
      <c r="Q50" s="482">
        <f t="shared" ref="Q50:T50" si="22">Q49+Q48</f>
        <v>46754.785591571395</v>
      </c>
      <c r="R50" s="482">
        <f t="shared" si="22"/>
        <v>63289.257896144569</v>
      </c>
      <c r="S50" s="482">
        <f t="shared" si="22"/>
        <v>81036.882234534423</v>
      </c>
      <c r="T50" s="482">
        <f t="shared" si="22"/>
        <v>100068.75449767995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13053-1F2F-447C-A101-F7749B26931B}">
  <sheetPr>
    <tabColor rgb="FF00B050"/>
  </sheetPr>
  <dimension ref="A1:T13"/>
  <sheetViews>
    <sheetView showGridLines="0" zoomScale="85" zoomScaleNormal="85" workbookViewId="0"/>
  </sheetViews>
  <sheetFormatPr defaultColWidth="9" defaultRowHeight="15" x14ac:dyDescent="0.55000000000000004"/>
  <cols>
    <col min="1" max="1" width="3.85546875" style="10" customWidth="1"/>
    <col min="2" max="6" width="2.2109375" style="10" customWidth="1"/>
    <col min="7" max="16384" width="9" style="10"/>
  </cols>
  <sheetData>
    <row r="1" spans="1:20" x14ac:dyDescent="0.55000000000000004">
      <c r="A1" s="840" t="s">
        <v>2039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0" x14ac:dyDescent="0.55000000000000004">
      <c r="A3" s="841" t="s">
        <v>1</v>
      </c>
      <c r="B3" s="852"/>
      <c r="C3" s="852"/>
      <c r="D3" s="852"/>
      <c r="E3" s="852"/>
      <c r="F3" s="852"/>
      <c r="G3" s="852"/>
      <c r="H3" s="852"/>
      <c r="I3" s="852"/>
      <c r="J3" s="852"/>
      <c r="K3" s="852"/>
      <c r="L3" s="852"/>
      <c r="M3" s="852"/>
      <c r="N3" s="852"/>
      <c r="O3" s="852"/>
      <c r="P3" s="852"/>
      <c r="Q3" s="852"/>
      <c r="R3" s="852"/>
      <c r="S3" s="852"/>
      <c r="T3" s="852"/>
    </row>
    <row r="5" spans="1:20" x14ac:dyDescent="0.55000000000000004">
      <c r="B5" s="853"/>
      <c r="C5" s="853"/>
      <c r="D5" s="853"/>
      <c r="E5" s="853"/>
      <c r="F5" s="853"/>
      <c r="G5" s="853"/>
      <c r="H5" s="853"/>
      <c r="I5" s="853"/>
      <c r="J5" s="853"/>
      <c r="K5" s="853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0" x14ac:dyDescent="0.55000000000000004">
      <c r="A6" s="4"/>
      <c r="B6" s="4" t="s">
        <v>2040</v>
      </c>
      <c r="C6" s="4"/>
      <c r="D6" s="4"/>
      <c r="E6" s="4"/>
      <c r="F6" s="4"/>
      <c r="G6" s="4"/>
      <c r="H6" s="4"/>
      <c r="I6" s="4"/>
      <c r="J6" s="4"/>
      <c r="K6" s="4"/>
      <c r="L6" s="23">
        <f>L11-L7</f>
        <v>376.32503199999928</v>
      </c>
      <c r="M6" s="23">
        <f>L11</f>
        <v>2752.1470530000001</v>
      </c>
      <c r="N6" s="23">
        <f>M11</f>
        <v>16398.560676000001</v>
      </c>
      <c r="O6" s="23">
        <f>L11</f>
        <v>2752.1470530000001</v>
      </c>
      <c r="P6" s="23">
        <f t="shared" ref="P6:T6" si="0">O11</f>
        <v>22997.762479745579</v>
      </c>
      <c r="Q6" s="23">
        <f t="shared" si="0"/>
        <v>48969.003215505611</v>
      </c>
      <c r="R6" s="23">
        <f t="shared" si="0"/>
        <v>80922.519390550093</v>
      </c>
      <c r="S6" s="23">
        <f t="shared" si="0"/>
        <v>117112.29465031621</v>
      </c>
      <c r="T6" s="23">
        <f t="shared" si="0"/>
        <v>157736.78741180166</v>
      </c>
    </row>
    <row r="7" spans="1:20" x14ac:dyDescent="0.55000000000000004">
      <c r="C7" s="10" t="s">
        <v>1735</v>
      </c>
      <c r="L7" s="24">
        <f>'Pro forma PL'!L19</f>
        <v>2375.8220210000009</v>
      </c>
      <c r="M7" s="24">
        <f>'Pro forma PL'!M19</f>
        <v>13640.685052000008</v>
      </c>
      <c r="N7" s="24">
        <f>'Pro forma PL'!N19</f>
        <v>6599.2018037455873</v>
      </c>
      <c r="O7" s="24">
        <f>'Pro forma PL'!O19</f>
        <v>20239.886855745586</v>
      </c>
      <c r="P7" s="24">
        <f>'Pro forma PL'!P19</f>
        <v>25971.240735760028</v>
      </c>
      <c r="Q7" s="24">
        <f>'Pro forma PL'!Q19</f>
        <v>31953.51617504449</v>
      </c>
      <c r="R7" s="24">
        <f>'Pro forma PL'!R19</f>
        <v>36189.775259766117</v>
      </c>
      <c r="S7" s="24">
        <f>'Pro forma PL'!S19</f>
        <v>40624.492761485453</v>
      </c>
      <c r="T7" s="24">
        <f>'Pro forma PL'!T19</f>
        <v>45344.454153654442</v>
      </c>
    </row>
    <row r="8" spans="1:20" x14ac:dyDescent="0.55000000000000004">
      <c r="C8" s="10" t="s">
        <v>2042</v>
      </c>
      <c r="L8" s="303"/>
      <c r="M8" s="24">
        <f>연결정산표_우모건제외!J87/10^6</f>
        <v>-31.428571999999999</v>
      </c>
      <c r="N8" s="24">
        <v>0</v>
      </c>
      <c r="O8" s="24">
        <f>SUM(M8:N8)</f>
        <v>-31.428571999999999</v>
      </c>
      <c r="P8" s="24">
        <v>0</v>
      </c>
      <c r="Q8" s="24">
        <v>0</v>
      </c>
      <c r="R8" s="24">
        <v>0</v>
      </c>
      <c r="S8" s="24">
        <v>0</v>
      </c>
      <c r="T8" s="24">
        <v>0</v>
      </c>
    </row>
    <row r="9" spans="1:20" x14ac:dyDescent="0.55000000000000004">
      <c r="C9" s="10" t="s">
        <v>2043</v>
      </c>
      <c r="L9" s="303"/>
      <c r="M9" s="24">
        <f>연결정산표_우모건제외!J88/10^6</f>
        <v>-56.931671000000001</v>
      </c>
      <c r="N9" s="24">
        <v>0</v>
      </c>
      <c r="O9" s="24">
        <f>SUM(M9:N9)</f>
        <v>-56.931671000000001</v>
      </c>
      <c r="P9" s="24">
        <v>0</v>
      </c>
      <c r="Q9" s="24">
        <v>0</v>
      </c>
      <c r="R9" s="24">
        <v>0</v>
      </c>
      <c r="S9" s="24">
        <v>0</v>
      </c>
      <c r="T9" s="24">
        <v>0</v>
      </c>
    </row>
    <row r="10" spans="1:20" x14ac:dyDescent="0.55000000000000004">
      <c r="C10" s="10" t="s">
        <v>93</v>
      </c>
      <c r="L10" s="303"/>
      <c r="M10" s="24">
        <f>M11-M9-M8-M7-M6</f>
        <v>94.088813999991999</v>
      </c>
      <c r="N10" s="24">
        <v>0</v>
      </c>
      <c r="O10" s="24">
        <f>SUM(M10:N10)</f>
        <v>94.088813999991999</v>
      </c>
      <c r="P10" s="24">
        <v>0</v>
      </c>
      <c r="Q10" s="24">
        <v>0</v>
      </c>
      <c r="R10" s="24">
        <v>0</v>
      </c>
      <c r="S10" s="24">
        <v>0</v>
      </c>
      <c r="T10" s="24">
        <v>0</v>
      </c>
    </row>
    <row r="11" spans="1:20" s="4" customFormat="1" x14ac:dyDescent="0.55000000000000004">
      <c r="B11" s="377" t="s">
        <v>2041</v>
      </c>
      <c r="C11" s="377"/>
      <c r="D11" s="377"/>
      <c r="E11" s="377"/>
      <c r="F11" s="377"/>
      <c r="G11" s="377"/>
      <c r="H11" s="377"/>
      <c r="I11" s="377"/>
      <c r="J11" s="377"/>
      <c r="K11" s="377"/>
      <c r="L11" s="490">
        <f>연결정산표_우모건제외!P91/10^6</f>
        <v>2752.1470530000001</v>
      </c>
      <c r="M11" s="378">
        <f>연결정산표_우모건제외!M91/10^6</f>
        <v>16398.560676000001</v>
      </c>
      <c r="N11" s="490">
        <f>SUM(N6:N10)</f>
        <v>22997.762479745586</v>
      </c>
      <c r="O11" s="490">
        <f>SUM(O6:O10)</f>
        <v>22997.762479745579</v>
      </c>
      <c r="P11" s="490">
        <f>SUM(P6:P10)</f>
        <v>48969.003215505611</v>
      </c>
      <c r="Q11" s="490">
        <f t="shared" ref="Q11:T11" si="1">SUM(Q6:Q10)</f>
        <v>80922.519390550093</v>
      </c>
      <c r="R11" s="490">
        <f t="shared" si="1"/>
        <v>117112.29465031621</v>
      </c>
      <c r="S11" s="490">
        <f t="shared" si="1"/>
        <v>157736.78741180166</v>
      </c>
      <c r="T11" s="490">
        <f t="shared" si="1"/>
        <v>203081.24156545609</v>
      </c>
    </row>
    <row r="12" spans="1:20" x14ac:dyDescent="0.55000000000000004">
      <c r="M12" s="28"/>
    </row>
    <row r="13" spans="1:20" x14ac:dyDescent="0.55000000000000004">
      <c r="M13" s="28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8B176-9E14-40D6-B00B-4F66F953CF60}">
  <sheetPr>
    <tabColor rgb="FF00B050"/>
  </sheetPr>
  <dimension ref="A1:Z143"/>
  <sheetViews>
    <sheetView showGridLines="0" zoomScale="85" zoomScaleNormal="85" workbookViewId="0">
      <selection activeCell="M26" sqref="M26"/>
    </sheetView>
  </sheetViews>
  <sheetFormatPr defaultColWidth="9" defaultRowHeight="15" x14ac:dyDescent="0.55000000000000004"/>
  <cols>
    <col min="1" max="1" width="3.35546875" style="1" customWidth="1"/>
    <col min="2" max="6" width="2.35546875" style="1" customWidth="1"/>
    <col min="7" max="12" width="9" style="1"/>
    <col min="13" max="13" width="9.2109375" style="1" bestFit="1" customWidth="1"/>
    <col min="14" max="21" width="9" style="1"/>
    <col min="22" max="22" width="11.2109375" style="1" bestFit="1" customWidth="1"/>
    <col min="23" max="23" width="9" style="1"/>
    <col min="24" max="24" width="10.85546875" style="1" bestFit="1" customWidth="1"/>
    <col min="25" max="25" width="11.2109375" style="1" bestFit="1" customWidth="1"/>
    <col min="26" max="16384" width="9" style="1"/>
  </cols>
  <sheetData>
    <row r="1" spans="1:22" x14ac:dyDescent="0.55000000000000004">
      <c r="A1" s="840" t="s">
        <v>1464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2" x14ac:dyDescent="0.55000000000000004">
      <c r="A3" s="841" t="s">
        <v>1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3"/>
      <c r="M3" s="843"/>
      <c r="N3" s="842"/>
      <c r="O3" s="842"/>
      <c r="P3" s="842"/>
      <c r="Q3" s="842"/>
      <c r="R3" s="842"/>
      <c r="S3" s="842"/>
      <c r="T3" s="842"/>
    </row>
    <row r="4" spans="1:22" x14ac:dyDescent="0.55000000000000004">
      <c r="L4" s="315"/>
      <c r="M4" s="315"/>
    </row>
    <row r="5" spans="1:22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2" x14ac:dyDescent="0.55000000000000004">
      <c r="B6" s="12" t="s">
        <v>1726</v>
      </c>
      <c r="C6" s="12"/>
      <c r="D6" s="12"/>
      <c r="E6" s="12"/>
      <c r="F6" s="12"/>
      <c r="G6" s="12"/>
      <c r="H6" s="12"/>
      <c r="I6" s="12"/>
      <c r="J6" s="12"/>
      <c r="K6" s="12"/>
      <c r="L6" s="18">
        <f>SUM(L30,L54,L78,L102,L126)</f>
        <v>11223.358977</v>
      </c>
      <c r="M6" s="18">
        <f t="shared" ref="M6:T6" si="0">SUM(M30,M54,M78,M102,M126)</f>
        <v>33392.893260000004</v>
      </c>
      <c r="N6" s="18">
        <f t="shared" si="0"/>
        <v>43931.553422010955</v>
      </c>
      <c r="O6" s="18">
        <f t="shared" si="0"/>
        <v>77324.446682010952</v>
      </c>
      <c r="P6" s="18">
        <f t="shared" si="0"/>
        <v>93269.57737662681</v>
      </c>
      <c r="Q6" s="18">
        <f t="shared" si="0"/>
        <v>103535.1598098485</v>
      </c>
      <c r="R6" s="18">
        <f t="shared" si="0"/>
        <v>114632.34806469963</v>
      </c>
      <c r="S6" s="18">
        <f t="shared" si="0"/>
        <v>126061.70922442742</v>
      </c>
      <c r="T6" s="18">
        <f t="shared" si="0"/>
        <v>138122.30628684408</v>
      </c>
    </row>
    <row r="7" spans="1:22" x14ac:dyDescent="0.55000000000000004">
      <c r="B7" s="1" t="s">
        <v>1727</v>
      </c>
      <c r="L7" s="19">
        <f>SUM(L8:L10)</f>
        <v>7882.2028159999991</v>
      </c>
      <c r="M7" s="19">
        <f t="shared" ref="M7:T7" si="1">SUM(M8:M10)</f>
        <v>19480.857440999996</v>
      </c>
      <c r="N7" s="19">
        <f t="shared" si="1"/>
        <v>30151.488306322091</v>
      </c>
      <c r="O7" s="19">
        <f t="shared" si="1"/>
        <v>49632.345747322091</v>
      </c>
      <c r="P7" s="19">
        <f t="shared" si="1"/>
        <v>57986.595478227428</v>
      </c>
      <c r="Q7" s="19">
        <f t="shared" si="1"/>
        <v>60124.892276154482</v>
      </c>
      <c r="R7" s="19">
        <f t="shared" si="1"/>
        <v>65467.260924113652</v>
      </c>
      <c r="S7" s="19">
        <f t="shared" si="1"/>
        <v>70872.351327237688</v>
      </c>
      <c r="T7" s="19">
        <f t="shared" si="1"/>
        <v>76518.722736914729</v>
      </c>
    </row>
    <row r="8" spans="1:22" x14ac:dyDescent="0.55000000000000004">
      <c r="C8" s="1" t="s">
        <v>90</v>
      </c>
      <c r="L8" s="19">
        <f t="shared" ref="L8:T8" si="2">SUM(L32,L56,L80,L104,L128)</f>
        <v>664.8944919999999</v>
      </c>
      <c r="M8" s="19">
        <f t="shared" si="2"/>
        <v>988.67774500000007</v>
      </c>
      <c r="N8" s="19">
        <f t="shared" si="2"/>
        <v>1806.228290656727</v>
      </c>
      <c r="O8" s="19">
        <f t="shared" si="2"/>
        <v>2794.906035656727</v>
      </c>
      <c r="P8" s="19">
        <f t="shared" si="2"/>
        <v>5597.9334602737117</v>
      </c>
      <c r="Q8" s="19">
        <f t="shared" si="2"/>
        <v>6113.6150982846411</v>
      </c>
      <c r="R8" s="19">
        <f t="shared" si="2"/>
        <v>6662.5778425886456</v>
      </c>
      <c r="S8" s="19">
        <f t="shared" si="2"/>
        <v>7205.6800869209901</v>
      </c>
      <c r="T8" s="19">
        <f t="shared" si="2"/>
        <v>7774.0943412090601</v>
      </c>
    </row>
    <row r="9" spans="1:22" x14ac:dyDescent="0.55000000000000004">
      <c r="C9" s="1" t="s">
        <v>91</v>
      </c>
      <c r="L9" s="19">
        <f t="shared" ref="L9:T9" si="3">SUM(L33,L57,L81,L105,L129)</f>
        <v>6290.7849359999991</v>
      </c>
      <c r="M9" s="19">
        <f t="shared" si="3"/>
        <v>17029.244963999998</v>
      </c>
      <c r="N9" s="19">
        <f t="shared" si="3"/>
        <v>26851.97587763421</v>
      </c>
      <c r="O9" s="19">
        <f t="shared" si="3"/>
        <v>43881.220841634211</v>
      </c>
      <c r="P9" s="19">
        <f t="shared" si="3"/>
        <v>49380.843771835469</v>
      </c>
      <c r="Q9" s="19">
        <f t="shared" si="3"/>
        <v>50965.932696825621</v>
      </c>
      <c r="R9" s="19">
        <f t="shared" si="3"/>
        <v>55710.679548469467</v>
      </c>
      <c r="S9" s="19">
        <f t="shared" si="3"/>
        <v>60526.946375185376</v>
      </c>
      <c r="T9" s="19">
        <f t="shared" si="3"/>
        <v>65556.135319021676</v>
      </c>
    </row>
    <row r="10" spans="1:22" x14ac:dyDescent="0.55000000000000004">
      <c r="C10" s="1" t="s">
        <v>92</v>
      </c>
      <c r="L10" s="19">
        <f t="shared" ref="L10:T10" si="4">SUM(L34,L58,L82,L106,L130)</f>
        <v>926.52338799999973</v>
      </c>
      <c r="M10" s="19">
        <f t="shared" si="4"/>
        <v>1462.9347319999995</v>
      </c>
      <c r="N10" s="19">
        <f t="shared" si="4"/>
        <v>1493.2841380311529</v>
      </c>
      <c r="O10" s="19">
        <f t="shared" si="4"/>
        <v>2956.2188700311522</v>
      </c>
      <c r="P10" s="19">
        <f t="shared" si="4"/>
        <v>3007.8182461182469</v>
      </c>
      <c r="Q10" s="19">
        <f t="shared" si="4"/>
        <v>3045.3444810442152</v>
      </c>
      <c r="R10" s="19">
        <f t="shared" si="4"/>
        <v>3094.0035330555424</v>
      </c>
      <c r="S10" s="19">
        <f t="shared" si="4"/>
        <v>3139.7248651313207</v>
      </c>
      <c r="T10" s="19">
        <f t="shared" si="4"/>
        <v>3188.4930766839962</v>
      </c>
    </row>
    <row r="11" spans="1:22" x14ac:dyDescent="0.55000000000000004">
      <c r="B11" s="5" t="s">
        <v>1728</v>
      </c>
      <c r="C11" s="5"/>
      <c r="D11" s="5"/>
      <c r="E11" s="5"/>
      <c r="F11" s="5"/>
      <c r="G11" s="5"/>
      <c r="H11" s="5"/>
      <c r="I11" s="5"/>
      <c r="J11" s="5"/>
      <c r="K11" s="5"/>
      <c r="L11" s="20">
        <f>L6-L7</f>
        <v>3341.1561610000008</v>
      </c>
      <c r="M11" s="20">
        <f>M6-M7</f>
        <v>13912.035819000008</v>
      </c>
      <c r="N11" s="20">
        <f t="shared" ref="N11:T11" si="5">N6-N7</f>
        <v>13780.065115688863</v>
      </c>
      <c r="O11" s="20">
        <f t="shared" si="5"/>
        <v>27692.10093468886</v>
      </c>
      <c r="P11" s="20">
        <f t="shared" si="5"/>
        <v>35282.981898399383</v>
      </c>
      <c r="Q11" s="20">
        <f t="shared" si="5"/>
        <v>43410.267533694016</v>
      </c>
      <c r="R11" s="20">
        <f t="shared" si="5"/>
        <v>49165.08714058598</v>
      </c>
      <c r="S11" s="20">
        <f t="shared" si="5"/>
        <v>55189.357897189737</v>
      </c>
      <c r="T11" s="20">
        <f t="shared" si="5"/>
        <v>61603.583549929346</v>
      </c>
    </row>
    <row r="12" spans="1:22" x14ac:dyDescent="0.55000000000000004">
      <c r="B12" s="6" t="s">
        <v>1729</v>
      </c>
      <c r="C12" s="6"/>
      <c r="D12" s="6"/>
      <c r="E12" s="6"/>
      <c r="F12" s="6"/>
      <c r="G12" s="6"/>
      <c r="H12" s="6"/>
      <c r="I12" s="6"/>
      <c r="J12" s="6"/>
      <c r="K12" s="6"/>
      <c r="L12" s="318">
        <f>L11/L6</f>
        <v>0.29769663144937475</v>
      </c>
      <c r="M12" s="318">
        <f>M11/M6</f>
        <v>0.41661666482983889</v>
      </c>
      <c r="N12" s="318">
        <f t="shared" ref="N12:T12" si="6">N11/N6</f>
        <v>0.31367124634351445</v>
      </c>
      <c r="O12" s="318">
        <f t="shared" si="6"/>
        <v>0.358128665938857</v>
      </c>
      <c r="P12" s="318">
        <f t="shared" si="6"/>
        <v>0.37829035888009971</v>
      </c>
      <c r="Q12" s="318">
        <f t="shared" si="6"/>
        <v>0.41928044167238282</v>
      </c>
      <c r="R12" s="318">
        <f t="shared" si="6"/>
        <v>0.42889365847096422</v>
      </c>
      <c r="S12" s="318">
        <f t="shared" si="6"/>
        <v>0.43779636367563624</v>
      </c>
      <c r="T12" s="318">
        <f t="shared" si="6"/>
        <v>0.44600749296782477</v>
      </c>
      <c r="V12" s="315"/>
    </row>
    <row r="13" spans="1:22" s="10" customFormat="1" x14ac:dyDescent="0.55000000000000004">
      <c r="B13" s="10" t="s">
        <v>1730</v>
      </c>
      <c r="L13" s="24">
        <f>SUM(L14:L16)</f>
        <v>-159.16173699999999</v>
      </c>
      <c r="M13" s="24">
        <f t="shared" ref="M13:T13" si="7">SUM(M14:M16)</f>
        <v>-271.35076700000008</v>
      </c>
      <c r="N13" s="24">
        <f t="shared" si="7"/>
        <v>0</v>
      </c>
      <c r="O13" s="24">
        <f t="shared" si="7"/>
        <v>-271.35076700000008</v>
      </c>
      <c r="P13" s="24">
        <f t="shared" si="7"/>
        <v>0</v>
      </c>
      <c r="Q13" s="24">
        <f t="shared" si="7"/>
        <v>0</v>
      </c>
      <c r="R13" s="24">
        <f t="shared" si="7"/>
        <v>0</v>
      </c>
      <c r="S13" s="24">
        <f t="shared" si="7"/>
        <v>0</v>
      </c>
      <c r="T13" s="24">
        <f t="shared" si="7"/>
        <v>0</v>
      </c>
      <c r="V13" s="28"/>
    </row>
    <row r="14" spans="1:22" s="10" customFormat="1" x14ac:dyDescent="0.55000000000000004">
      <c r="C14" s="10" t="s">
        <v>1731</v>
      </c>
      <c r="L14" s="24">
        <f>SUM(L38,L62,L86,L110,L134)</f>
        <v>0.154836</v>
      </c>
      <c r="M14" s="24">
        <f t="shared" ref="M14:T14" si="8">SUM(M38,M62,M86,M110,M134)</f>
        <v>0.40719099999999997</v>
      </c>
      <c r="N14" s="24">
        <f t="shared" si="8"/>
        <v>0</v>
      </c>
      <c r="O14" s="24">
        <f t="shared" si="8"/>
        <v>0.40719099999999997</v>
      </c>
      <c r="P14" s="24">
        <f t="shared" si="8"/>
        <v>0</v>
      </c>
      <c r="Q14" s="24">
        <f t="shared" si="8"/>
        <v>0</v>
      </c>
      <c r="R14" s="24">
        <f t="shared" si="8"/>
        <v>0</v>
      </c>
      <c r="S14" s="24">
        <f t="shared" si="8"/>
        <v>0</v>
      </c>
      <c r="T14" s="24">
        <f t="shared" si="8"/>
        <v>0</v>
      </c>
      <c r="V14" s="28"/>
    </row>
    <row r="15" spans="1:22" s="10" customFormat="1" x14ac:dyDescent="0.55000000000000004">
      <c r="C15" s="10" t="s">
        <v>1732</v>
      </c>
      <c r="L15" s="24">
        <f>SUM(L39,L63,L87,L111,L135)</f>
        <v>-36.830795000000002</v>
      </c>
      <c r="M15" s="24">
        <f t="shared" ref="M15:T15" si="9">SUM(M39,M63,M87,M111,M135)</f>
        <v>-15.001928000000001</v>
      </c>
      <c r="N15" s="24">
        <f t="shared" si="9"/>
        <v>0</v>
      </c>
      <c r="O15" s="24">
        <f t="shared" si="9"/>
        <v>-15.001928000000001</v>
      </c>
      <c r="P15" s="24">
        <f t="shared" si="9"/>
        <v>0</v>
      </c>
      <c r="Q15" s="24">
        <f t="shared" si="9"/>
        <v>0</v>
      </c>
      <c r="R15" s="24">
        <f t="shared" si="9"/>
        <v>0</v>
      </c>
      <c r="S15" s="24">
        <f t="shared" si="9"/>
        <v>0</v>
      </c>
      <c r="T15" s="24">
        <f t="shared" si="9"/>
        <v>0</v>
      </c>
    </row>
    <row r="16" spans="1:22" s="10" customFormat="1" x14ac:dyDescent="0.55000000000000004">
      <c r="C16" s="10" t="s">
        <v>93</v>
      </c>
      <c r="L16" s="24">
        <f>SUM(L40,L64,L88,L112,L136)</f>
        <v>-122.485778</v>
      </c>
      <c r="M16" s="24">
        <f t="shared" ref="M16:T16" si="10">SUM(M40,M64,M88,M112,M136)</f>
        <v>-256.75603000000007</v>
      </c>
      <c r="N16" s="24">
        <f t="shared" si="10"/>
        <v>0</v>
      </c>
      <c r="O16" s="24">
        <f t="shared" si="10"/>
        <v>-256.75603000000007</v>
      </c>
      <c r="P16" s="24">
        <f t="shared" si="10"/>
        <v>0</v>
      </c>
      <c r="Q16" s="24">
        <f t="shared" si="10"/>
        <v>0</v>
      </c>
      <c r="R16" s="24">
        <f t="shared" si="10"/>
        <v>0</v>
      </c>
      <c r="S16" s="24">
        <f t="shared" si="10"/>
        <v>0</v>
      </c>
      <c r="T16" s="24">
        <f t="shared" si="10"/>
        <v>0</v>
      </c>
    </row>
    <row r="17" spans="1:26" x14ac:dyDescent="0.55000000000000004">
      <c r="B17" s="5" t="s">
        <v>1733</v>
      </c>
      <c r="C17" s="5"/>
      <c r="D17" s="5"/>
      <c r="E17" s="5"/>
      <c r="F17" s="5"/>
      <c r="G17" s="5"/>
      <c r="H17" s="5"/>
      <c r="I17" s="5"/>
      <c r="J17" s="5"/>
      <c r="K17" s="5"/>
      <c r="L17" s="20">
        <f>L11+L13</f>
        <v>3181.9944240000009</v>
      </c>
      <c r="M17" s="20">
        <f t="shared" ref="M17:T17" si="11">M11+M13</f>
        <v>13640.685052000008</v>
      </c>
      <c r="N17" s="20">
        <f t="shared" si="11"/>
        <v>13780.065115688863</v>
      </c>
      <c r="O17" s="20">
        <f t="shared" si="11"/>
        <v>27420.750167688861</v>
      </c>
      <c r="P17" s="20">
        <f t="shared" si="11"/>
        <v>35282.981898399383</v>
      </c>
      <c r="Q17" s="20">
        <f t="shared" si="11"/>
        <v>43410.267533694016</v>
      </c>
      <c r="R17" s="20">
        <f t="shared" si="11"/>
        <v>49165.08714058598</v>
      </c>
      <c r="S17" s="20">
        <f t="shared" si="11"/>
        <v>55189.357897189737</v>
      </c>
      <c r="T17" s="20">
        <f t="shared" si="11"/>
        <v>61603.583549929346</v>
      </c>
      <c r="X17" s="315"/>
    </row>
    <row r="18" spans="1:26" s="10" customFormat="1" x14ac:dyDescent="0.55000000000000004">
      <c r="B18" s="10" t="s">
        <v>1734</v>
      </c>
      <c r="L18" s="25">
        <f t="shared" ref="L18:T18" si="12">SUM(L42,L66,L90,L114,L138)</f>
        <v>806.17240300000003</v>
      </c>
      <c r="M18" s="25">
        <f t="shared" si="12"/>
        <v>0</v>
      </c>
      <c r="N18" s="25">
        <f t="shared" si="12"/>
        <v>7180.8633119432761</v>
      </c>
      <c r="O18" s="25">
        <f t="shared" si="12"/>
        <v>7180.8633119432761</v>
      </c>
      <c r="P18" s="25">
        <f t="shared" si="12"/>
        <v>9311.741162639355</v>
      </c>
      <c r="Q18" s="25">
        <f t="shared" si="12"/>
        <v>11456.751358649524</v>
      </c>
      <c r="R18" s="25">
        <f t="shared" si="12"/>
        <v>12975.311880819861</v>
      </c>
      <c r="S18" s="25">
        <f t="shared" si="12"/>
        <v>14564.865135704287</v>
      </c>
      <c r="T18" s="25">
        <f t="shared" si="12"/>
        <v>16259.129396274906</v>
      </c>
      <c r="X18" s="315"/>
      <c r="Y18" s="28"/>
    </row>
    <row r="19" spans="1:26" s="4" customFormat="1" x14ac:dyDescent="0.55000000000000004">
      <c r="B19" s="5" t="s">
        <v>1735</v>
      </c>
      <c r="C19" s="5"/>
      <c r="D19" s="5"/>
      <c r="E19" s="5"/>
      <c r="F19" s="5"/>
      <c r="G19" s="5"/>
      <c r="H19" s="5"/>
      <c r="I19" s="5"/>
      <c r="J19" s="5"/>
      <c r="K19" s="5"/>
      <c r="L19" s="20">
        <f>L17-L18</f>
        <v>2375.8220210000009</v>
      </c>
      <c r="M19" s="20">
        <f t="shared" ref="M19:T19" si="13">M17-M18</f>
        <v>13640.685052000008</v>
      </c>
      <c r="N19" s="20">
        <f t="shared" si="13"/>
        <v>6599.2018037455873</v>
      </c>
      <c r="O19" s="20">
        <f t="shared" si="13"/>
        <v>20239.886855745586</v>
      </c>
      <c r="P19" s="20">
        <f t="shared" si="13"/>
        <v>25971.240735760028</v>
      </c>
      <c r="Q19" s="20">
        <f t="shared" si="13"/>
        <v>31953.51617504449</v>
      </c>
      <c r="R19" s="20">
        <f t="shared" si="13"/>
        <v>36189.775259766117</v>
      </c>
      <c r="S19" s="20">
        <f t="shared" si="13"/>
        <v>40624.492761485453</v>
      </c>
      <c r="T19" s="20">
        <f t="shared" si="13"/>
        <v>45344.454153654442</v>
      </c>
      <c r="X19" s="315"/>
      <c r="Z19" s="775"/>
    </row>
    <row r="20" spans="1:26" s="262" customFormat="1" x14ac:dyDescent="0.55000000000000004">
      <c r="B20" s="319" t="s">
        <v>1736</v>
      </c>
      <c r="C20" s="319"/>
      <c r="D20" s="319"/>
      <c r="E20" s="319"/>
      <c r="F20" s="319"/>
      <c r="G20" s="319"/>
      <c r="H20" s="319"/>
      <c r="I20" s="319"/>
      <c r="J20" s="319"/>
      <c r="K20" s="319"/>
      <c r="L20" s="319">
        <f>L19/L$6</f>
        <v>0.21168547008687566</v>
      </c>
      <c r="M20" s="319">
        <f t="shared" ref="M20:T20" si="14">M19/M$6</f>
        <v>0.4084906613449884</v>
      </c>
      <c r="N20" s="319">
        <f t="shared" si="14"/>
        <v>0.15021553507004376</v>
      </c>
      <c r="O20" s="319">
        <f t="shared" si="14"/>
        <v>0.26175275380863822</v>
      </c>
      <c r="P20" s="319">
        <f t="shared" si="14"/>
        <v>0.2784535050575706</v>
      </c>
      <c r="Q20" s="319">
        <f t="shared" si="14"/>
        <v>0.30862478247708269</v>
      </c>
      <c r="R20" s="319">
        <f t="shared" si="14"/>
        <v>0.31570299196296886</v>
      </c>
      <c r="S20" s="319">
        <f t="shared" si="14"/>
        <v>0.32225878112727907</v>
      </c>
      <c r="T20" s="319">
        <f t="shared" si="14"/>
        <v>0.32829204328145095</v>
      </c>
    </row>
    <row r="21" spans="1:26" x14ac:dyDescent="0.55000000000000004">
      <c r="B21" s="1" t="s">
        <v>78</v>
      </c>
      <c r="L21" s="24">
        <f t="shared" ref="L21:T21" si="15">SUM(L45,L69,L93,L117,L141)</f>
        <v>127.87805900000001</v>
      </c>
      <c r="M21" s="24">
        <f t="shared" si="15"/>
        <v>57.174701999999996</v>
      </c>
      <c r="N21" s="24">
        <f t="shared" si="15"/>
        <v>81.972752431152088</v>
      </c>
      <c r="O21" s="24">
        <f t="shared" si="15"/>
        <v>139.14745443115208</v>
      </c>
      <c r="P21" s="24">
        <f t="shared" si="15"/>
        <v>143.8772955710333</v>
      </c>
      <c r="Q21" s="24">
        <f t="shared" si="15"/>
        <v>129.85259338714971</v>
      </c>
      <c r="R21" s="24">
        <f t="shared" si="15"/>
        <v>117.28631575767835</v>
      </c>
      <c r="S21" s="24">
        <f t="shared" si="15"/>
        <v>106.45002070479691</v>
      </c>
      <c r="T21" s="24">
        <f t="shared" si="15"/>
        <v>95.874854850933119</v>
      </c>
    </row>
    <row r="22" spans="1:26" s="4" customFormat="1" x14ac:dyDescent="0.55000000000000004">
      <c r="B22" s="5" t="s">
        <v>79</v>
      </c>
      <c r="C22" s="5"/>
      <c r="D22" s="5"/>
      <c r="E22" s="5"/>
      <c r="F22" s="5"/>
      <c r="G22" s="5"/>
      <c r="H22" s="5"/>
      <c r="I22" s="5"/>
      <c r="J22" s="5"/>
      <c r="K22" s="5"/>
      <c r="L22" s="20">
        <f>L21+L11</f>
        <v>3469.0342200000009</v>
      </c>
      <c r="M22" s="20">
        <f t="shared" ref="M22:T22" si="16">M21+M11</f>
        <v>13969.210521000008</v>
      </c>
      <c r="N22" s="20">
        <f t="shared" si="16"/>
        <v>13862.037868120016</v>
      </c>
      <c r="O22" s="20">
        <f t="shared" si="16"/>
        <v>27831.248389120014</v>
      </c>
      <c r="P22" s="20">
        <f t="shared" si="16"/>
        <v>35426.859193970413</v>
      </c>
      <c r="Q22" s="20">
        <f t="shared" si="16"/>
        <v>43540.120127081165</v>
      </c>
      <c r="R22" s="20">
        <f t="shared" si="16"/>
        <v>49282.373456343659</v>
      </c>
      <c r="S22" s="20">
        <f t="shared" si="16"/>
        <v>55295.807917894534</v>
      </c>
      <c r="T22" s="20">
        <f t="shared" si="16"/>
        <v>61699.458404780278</v>
      </c>
    </row>
    <row r="23" spans="1:26" s="3" customFormat="1" x14ac:dyDescent="0.55000000000000004">
      <c r="B23" s="3" t="s">
        <v>1737</v>
      </c>
      <c r="L23" s="262">
        <f>L22/L$6</f>
        <v>0.30909055186678813</v>
      </c>
      <c r="M23" s="262">
        <f t="shared" ref="M23:T23" si="17">M22/M$6</f>
        <v>0.41832884656727726</v>
      </c>
      <c r="N23" s="262">
        <f t="shared" si="17"/>
        <v>0.31553716607650717</v>
      </c>
      <c r="O23" s="262">
        <f t="shared" si="17"/>
        <v>0.35992819326044762</v>
      </c>
      <c r="P23" s="262">
        <f t="shared" si="17"/>
        <v>0.37983295507939463</v>
      </c>
      <c r="Q23" s="262">
        <f t="shared" si="17"/>
        <v>0.42053463004303521</v>
      </c>
      <c r="R23" s="262">
        <f t="shared" si="17"/>
        <v>0.42991681046721819</v>
      </c>
      <c r="S23" s="262">
        <f t="shared" si="17"/>
        <v>0.43864079154639662</v>
      </c>
      <c r="T23" s="262">
        <f t="shared" si="17"/>
        <v>0.44670162310095346</v>
      </c>
    </row>
    <row r="24" spans="1:26" x14ac:dyDescent="0.55000000000000004">
      <c r="B24" s="321" t="s">
        <v>2146</v>
      </c>
      <c r="C24" s="321"/>
      <c r="D24" s="321"/>
      <c r="E24" s="321"/>
      <c r="F24" s="321"/>
      <c r="G24" s="321"/>
      <c r="H24" s="321"/>
      <c r="I24" s="321"/>
      <c r="J24" s="321"/>
      <c r="K24" s="321"/>
      <c r="L24" s="321">
        <f>SUM(L48,L72,L96,L120,L142)</f>
        <v>2156.336428000001</v>
      </c>
      <c r="M24" s="321">
        <f t="shared" ref="M24:T24" si="18">SUM(M48,M72,M96,M120,M142)</f>
        <v>9134.3194718387495</v>
      </c>
      <c r="N24" s="321">
        <f t="shared" si="18"/>
        <v>13862.03786812002</v>
      </c>
      <c r="O24" s="321">
        <f t="shared" si="18"/>
        <v>22996.357339958777</v>
      </c>
      <c r="P24" s="321">
        <f t="shared" si="18"/>
        <v>35426.859193970398</v>
      </c>
      <c r="Q24" s="321">
        <f t="shared" si="18"/>
        <v>43540.120127081165</v>
      </c>
      <c r="R24" s="321">
        <f t="shared" si="18"/>
        <v>49282.373456343645</v>
      </c>
      <c r="S24" s="321">
        <f t="shared" si="18"/>
        <v>55295.807917894534</v>
      </c>
      <c r="T24" s="321">
        <f t="shared" si="18"/>
        <v>61699.458404780278</v>
      </c>
    </row>
    <row r="25" spans="1:26" x14ac:dyDescent="0.55000000000000004">
      <c r="B25" s="17" t="s">
        <v>2149</v>
      </c>
      <c r="C25" s="15"/>
      <c r="D25" s="15"/>
      <c r="E25" s="15"/>
      <c r="F25" s="15"/>
      <c r="G25" s="15"/>
      <c r="H25" s="15"/>
      <c r="I25" s="15"/>
      <c r="J25" s="15"/>
      <c r="K25" s="15"/>
      <c r="L25" s="231">
        <f>L24/L6</f>
        <v>0.19212932887729739</v>
      </c>
      <c r="M25" s="231">
        <f t="shared" ref="M25:T25" si="19">M24/M6</f>
        <v>0.27354082201617375</v>
      </c>
      <c r="N25" s="231">
        <f t="shared" si="19"/>
        <v>0.31553716607650723</v>
      </c>
      <c r="O25" s="231">
        <f t="shared" si="19"/>
        <v>0.29740086514332259</v>
      </c>
      <c r="P25" s="231">
        <f t="shared" si="19"/>
        <v>0.37983295507939446</v>
      </c>
      <c r="Q25" s="231">
        <f t="shared" si="19"/>
        <v>0.42053463004303521</v>
      </c>
      <c r="R25" s="231">
        <f t="shared" si="19"/>
        <v>0.42991681046721808</v>
      </c>
      <c r="S25" s="231">
        <f t="shared" si="19"/>
        <v>0.43864079154639662</v>
      </c>
      <c r="T25" s="231">
        <f t="shared" si="19"/>
        <v>0.44670162310095346</v>
      </c>
    </row>
    <row r="26" spans="1:26" x14ac:dyDescent="0.55000000000000004">
      <c r="L26" s="315"/>
      <c r="M26" s="315"/>
      <c r="N26" s="315"/>
      <c r="O26" s="315"/>
    </row>
    <row r="27" spans="1:26" x14ac:dyDescent="0.55000000000000004">
      <c r="A27" s="841" t="s">
        <v>34</v>
      </c>
      <c r="B27" s="842"/>
      <c r="C27" s="842"/>
      <c r="D27" s="842"/>
      <c r="E27" s="842"/>
      <c r="F27" s="842"/>
      <c r="G27" s="842"/>
      <c r="H27" s="842"/>
      <c r="I27" s="842"/>
      <c r="J27" s="842"/>
      <c r="K27" s="842"/>
      <c r="L27" s="843"/>
      <c r="M27" s="843"/>
      <c r="N27" s="842"/>
      <c r="O27" s="842"/>
      <c r="P27" s="842"/>
      <c r="Q27" s="842"/>
      <c r="R27" s="842"/>
      <c r="S27" s="842"/>
      <c r="T27" s="842"/>
    </row>
    <row r="29" spans="1:26" x14ac:dyDescent="0.55000000000000004">
      <c r="B29" s="844"/>
      <c r="C29" s="844"/>
      <c r="D29" s="844"/>
      <c r="E29" s="844"/>
      <c r="F29" s="844"/>
      <c r="G29" s="844"/>
      <c r="H29" s="844"/>
      <c r="I29" s="844"/>
      <c r="J29" s="844"/>
      <c r="K29" s="844"/>
      <c r="L29" s="845" t="s">
        <v>2</v>
      </c>
      <c r="M29" s="845" t="s">
        <v>3</v>
      </c>
      <c r="N29" s="845" t="s">
        <v>4</v>
      </c>
      <c r="O29" s="845" t="s">
        <v>5</v>
      </c>
      <c r="P29" s="845" t="s">
        <v>6</v>
      </c>
      <c r="Q29" s="845" t="s">
        <v>7</v>
      </c>
      <c r="R29" s="845" t="s">
        <v>8</v>
      </c>
      <c r="S29" s="845" t="s">
        <v>9</v>
      </c>
      <c r="T29" s="845" t="s">
        <v>1480</v>
      </c>
    </row>
    <row r="30" spans="1:26" x14ac:dyDescent="0.55000000000000004">
      <c r="B30" s="12" t="s">
        <v>1726</v>
      </c>
      <c r="C30" s="12"/>
      <c r="D30" s="12"/>
      <c r="E30" s="12"/>
      <c r="F30" s="12"/>
      <c r="G30" s="12"/>
      <c r="H30" s="12"/>
      <c r="I30" s="12"/>
      <c r="J30" s="12"/>
      <c r="K30" s="12"/>
      <c r="L30" s="18">
        <f>TITAN!L6</f>
        <v>11203.458977</v>
      </c>
      <c r="M30" s="18">
        <f>TITAN!M6</f>
        <v>17504.878433999998</v>
      </c>
      <c r="N30" s="18">
        <f>TITAN!N6</f>
        <v>17577.197469939128</v>
      </c>
      <c r="O30" s="18">
        <f>TITAN!O6</f>
        <v>35082.075903939134</v>
      </c>
      <c r="P30" s="18">
        <f>TITAN!P6</f>
        <v>37812.470359291983</v>
      </c>
      <c r="Q30" s="18">
        <f>TITAN!Q6</f>
        <v>40682.350218877298</v>
      </c>
      <c r="R30" s="18">
        <f>TITAN!R6</f>
        <v>43771.909329847258</v>
      </c>
      <c r="S30" s="18">
        <f>TITAN!S6</f>
        <v>46881.274728858982</v>
      </c>
      <c r="T30" s="18">
        <f>TITAN!T6</f>
        <v>50120.726308840254</v>
      </c>
    </row>
    <row r="31" spans="1:26" x14ac:dyDescent="0.55000000000000004">
      <c r="B31" s="1" t="s">
        <v>1727</v>
      </c>
      <c r="L31" s="19">
        <f>TITAN!L7</f>
        <v>7805.3692439999995</v>
      </c>
      <c r="M31" s="19">
        <f>TITAN!M7</f>
        <v>10871.796025</v>
      </c>
      <c r="N31" s="19">
        <f>TITAN!N7</f>
        <v>12636.465532712071</v>
      </c>
      <c r="O31" s="19">
        <f>TITAN!O7</f>
        <v>23508.26155771207</v>
      </c>
      <c r="P31" s="19">
        <f>TITAN!P7</f>
        <v>25900.887277834296</v>
      </c>
      <c r="Q31" s="19">
        <f>TITAN!Q7</f>
        <v>26116.725189098168</v>
      </c>
      <c r="R31" s="19">
        <f>TITAN!R7</f>
        <v>27996.971173985647</v>
      </c>
      <c r="S31" s="19">
        <f>TITAN!S7</f>
        <v>29882.533711209235</v>
      </c>
      <c r="T31" s="19">
        <f>TITAN!T7</f>
        <v>31848.718186638347</v>
      </c>
    </row>
    <row r="32" spans="1:26" x14ac:dyDescent="0.55000000000000004">
      <c r="C32" s="1" t="s">
        <v>90</v>
      </c>
      <c r="L32" s="19">
        <f>TITAN!L43</f>
        <v>646.27145299999995</v>
      </c>
      <c r="M32" s="19">
        <f>TITAN!M43</f>
        <v>581.346723</v>
      </c>
      <c r="N32" s="19">
        <f>TITAN!N43</f>
        <v>643.12572588541673</v>
      </c>
      <c r="O32" s="19">
        <f>TITAN!O43</f>
        <v>1224.4724488854167</v>
      </c>
      <c r="P32" s="19">
        <f>TITAN!P43</f>
        <v>1995.7352324567028</v>
      </c>
      <c r="Q32" s="19">
        <f>TITAN!Q43</f>
        <v>2143.1634429495884</v>
      </c>
      <c r="R32" s="19">
        <f>TITAN!R43</f>
        <v>2312.8469321436392</v>
      </c>
      <c r="S32" s="19">
        <f>TITAN!S43</f>
        <v>2479.1937236251879</v>
      </c>
      <c r="T32" s="19">
        <f>TITAN!T43</f>
        <v>2653.0773385854095</v>
      </c>
    </row>
    <row r="33" spans="1:20" x14ac:dyDescent="0.55000000000000004">
      <c r="C33" s="1" t="s">
        <v>91</v>
      </c>
      <c r="L33" s="19">
        <f>TITAN!L44</f>
        <v>6247.7290969999995</v>
      </c>
      <c r="M33" s="19">
        <f>TITAN!M44</f>
        <v>9389.8283549999996</v>
      </c>
      <c r="N33" s="19">
        <f>TITAN!N44</f>
        <v>11088.006586101154</v>
      </c>
      <c r="O33" s="19">
        <f>TITAN!O44</f>
        <v>20477.834941101155</v>
      </c>
      <c r="P33" s="19">
        <f>TITAN!P44</f>
        <v>22082.324381305818</v>
      </c>
      <c r="Q33" s="19">
        <f>TITAN!Q44</f>
        <v>22127.256494056288</v>
      </c>
      <c r="R33" s="19">
        <f>TITAN!R44</f>
        <v>23807.677279339707</v>
      </c>
      <c r="S33" s="19">
        <f>TITAN!S44</f>
        <v>25498.870766134649</v>
      </c>
      <c r="T33" s="19">
        <f>TITAN!T44</f>
        <v>27260.818530328968</v>
      </c>
    </row>
    <row r="34" spans="1:20" x14ac:dyDescent="0.55000000000000004">
      <c r="C34" s="1" t="s">
        <v>92</v>
      </c>
      <c r="L34" s="19">
        <f>L31-L32-L33</f>
        <v>911.36869399999978</v>
      </c>
      <c r="M34" s="19">
        <f t="shared" ref="M34:T34" si="20">M31-M32-M33</f>
        <v>900.62094699999943</v>
      </c>
      <c r="N34" s="19">
        <f t="shared" si="20"/>
        <v>905.33322072550072</v>
      </c>
      <c r="O34" s="19">
        <f t="shared" si="20"/>
        <v>1805.9541677255002</v>
      </c>
      <c r="P34" s="19">
        <f t="shared" si="20"/>
        <v>1822.8276640717741</v>
      </c>
      <c r="Q34" s="19">
        <f t="shared" si="20"/>
        <v>1846.3052520922902</v>
      </c>
      <c r="R34" s="19">
        <f t="shared" si="20"/>
        <v>1876.4469625023012</v>
      </c>
      <c r="S34" s="19">
        <f t="shared" si="20"/>
        <v>1904.4692214493989</v>
      </c>
      <c r="T34" s="19">
        <f t="shared" si="20"/>
        <v>1934.8223177239706</v>
      </c>
    </row>
    <row r="35" spans="1:20" x14ac:dyDescent="0.55000000000000004">
      <c r="B35" s="5" t="s">
        <v>1728</v>
      </c>
      <c r="C35" s="5"/>
      <c r="D35" s="5"/>
      <c r="E35" s="5"/>
      <c r="F35" s="5"/>
      <c r="G35" s="5"/>
      <c r="H35" s="5"/>
      <c r="I35" s="5"/>
      <c r="J35" s="5"/>
      <c r="K35" s="5"/>
      <c r="L35" s="20">
        <f>L30-L31</f>
        <v>3398.0897330000007</v>
      </c>
      <c r="M35" s="20">
        <f>M30-M31</f>
        <v>6633.0824089999987</v>
      </c>
      <c r="N35" s="20">
        <f t="shared" ref="N35:T35" si="21">N30-N31</f>
        <v>4940.7319372270576</v>
      </c>
      <c r="O35" s="20">
        <f t="shared" si="21"/>
        <v>11573.814346227064</v>
      </c>
      <c r="P35" s="20">
        <f t="shared" si="21"/>
        <v>11911.583081457688</v>
      </c>
      <c r="Q35" s="20">
        <f t="shared" si="21"/>
        <v>14565.62502977913</v>
      </c>
      <c r="R35" s="20">
        <f t="shared" si="21"/>
        <v>15774.938155861611</v>
      </c>
      <c r="S35" s="20">
        <f t="shared" si="21"/>
        <v>16998.741017649747</v>
      </c>
      <c r="T35" s="20">
        <f t="shared" si="21"/>
        <v>18272.008122201907</v>
      </c>
    </row>
    <row r="36" spans="1:20" x14ac:dyDescent="0.55000000000000004">
      <c r="B36" s="6" t="s">
        <v>1729</v>
      </c>
      <c r="C36" s="6"/>
      <c r="D36" s="6"/>
      <c r="E36" s="6"/>
      <c r="F36" s="6"/>
      <c r="G36" s="6"/>
      <c r="H36" s="6"/>
      <c r="I36" s="6"/>
      <c r="J36" s="6"/>
      <c r="K36" s="6"/>
      <c r="L36" s="318">
        <f>L35/L30</f>
        <v>0.30330719646281262</v>
      </c>
      <c r="M36" s="318">
        <f>M35/M30</f>
        <v>0.37892764774169807</v>
      </c>
      <c r="N36" s="318">
        <f t="shared" ref="N36:T36" si="22">N35/N30</f>
        <v>0.28108758211750168</v>
      </c>
      <c r="O36" s="318">
        <f t="shared" si="22"/>
        <v>0.32990676999611407</v>
      </c>
      <c r="P36" s="318">
        <f t="shared" si="22"/>
        <v>0.31501732016645539</v>
      </c>
      <c r="Q36" s="318">
        <f t="shared" si="22"/>
        <v>0.35803302787114877</v>
      </c>
      <c r="R36" s="318">
        <f t="shared" si="22"/>
        <v>0.3603895374311436</v>
      </c>
      <c r="S36" s="318">
        <f t="shared" si="22"/>
        <v>0.36259127158898968</v>
      </c>
      <c r="T36" s="318">
        <f t="shared" si="22"/>
        <v>0.36455992296702022</v>
      </c>
    </row>
    <row r="37" spans="1:20" x14ac:dyDescent="0.55000000000000004">
      <c r="A37" s="10"/>
      <c r="B37" s="10" t="s">
        <v>1730</v>
      </c>
      <c r="C37" s="10"/>
      <c r="D37" s="10"/>
      <c r="E37" s="10"/>
      <c r="F37" s="10"/>
      <c r="G37" s="10"/>
      <c r="H37" s="10"/>
      <c r="I37" s="10"/>
      <c r="J37" s="10"/>
      <c r="K37" s="10"/>
      <c r="L37" s="24">
        <f>연결정산표!F139/10^6-연결정산표!F146/10^6</f>
        <v>-159.16363799999999</v>
      </c>
      <c r="M37" s="24">
        <f>연결정산표!U139/10^6-연결정산표!U146/10^6+연결정산표!W140/10^6</f>
        <v>-240.19787300000002</v>
      </c>
      <c r="N37" s="24">
        <f>SUM(N38:N40)</f>
        <v>0</v>
      </c>
      <c r="O37" s="24">
        <f>SUM(O38:O40)</f>
        <v>-240.19787300000002</v>
      </c>
      <c r="P37" s="24">
        <f t="shared" ref="P37:T37" si="23">SUM(P38:P40)</f>
        <v>0</v>
      </c>
      <c r="Q37" s="24">
        <f t="shared" si="23"/>
        <v>0</v>
      </c>
      <c r="R37" s="24">
        <f t="shared" si="23"/>
        <v>0</v>
      </c>
      <c r="S37" s="24">
        <f t="shared" si="23"/>
        <v>0</v>
      </c>
      <c r="T37" s="24">
        <f t="shared" si="23"/>
        <v>0</v>
      </c>
    </row>
    <row r="38" spans="1:20" x14ac:dyDescent="0.55000000000000004">
      <c r="A38" s="10"/>
      <c r="B38" s="10"/>
      <c r="C38" s="10" t="s">
        <v>1731</v>
      </c>
      <c r="D38" s="10"/>
      <c r="E38" s="10"/>
      <c r="F38" s="10"/>
      <c r="G38" s="10"/>
      <c r="H38" s="10"/>
      <c r="I38" s="10"/>
      <c r="J38" s="10"/>
      <c r="K38" s="10"/>
      <c r="L38" s="24">
        <f>연결정산표!G140/10^6</f>
        <v>0.15292900000000001</v>
      </c>
      <c r="M38" s="24">
        <f>연결정산표!U140/10^6-연결정산표!W140/10^6</f>
        <v>0.308253</v>
      </c>
      <c r="N38" s="24">
        <v>0</v>
      </c>
      <c r="O38" s="24">
        <f>N38+M38</f>
        <v>0.308253</v>
      </c>
      <c r="P38" s="24">
        <v>0</v>
      </c>
      <c r="Q38" s="24">
        <v>0</v>
      </c>
      <c r="R38" s="24">
        <v>0</v>
      </c>
      <c r="S38" s="24">
        <v>0</v>
      </c>
      <c r="T38" s="24">
        <v>0</v>
      </c>
    </row>
    <row r="39" spans="1:20" x14ac:dyDescent="0.55000000000000004">
      <c r="A39" s="10"/>
      <c r="B39" s="10"/>
      <c r="C39" s="10" t="s">
        <v>1732</v>
      </c>
      <c r="D39" s="10"/>
      <c r="E39" s="10"/>
      <c r="F39" s="10"/>
      <c r="G39" s="10"/>
      <c r="H39" s="10"/>
      <c r="I39" s="10"/>
      <c r="J39" s="10"/>
      <c r="K39" s="10"/>
      <c r="L39" s="24">
        <f>-연결정산표!F147/10^6</f>
        <v>-36.830795000000002</v>
      </c>
      <c r="M39" s="24">
        <f>-연결정산표!U147/10^6</f>
        <v>-14.810261000000001</v>
      </c>
      <c r="N39" s="24">
        <v>0</v>
      </c>
      <c r="O39" s="24">
        <f t="shared" ref="O39:O40" si="24">N39+M39</f>
        <v>-14.810261000000001</v>
      </c>
      <c r="P39" s="24">
        <v>0</v>
      </c>
      <c r="Q39" s="24">
        <v>0</v>
      </c>
      <c r="R39" s="24">
        <v>0</v>
      </c>
      <c r="S39" s="24">
        <v>0</v>
      </c>
      <c r="T39" s="24">
        <v>0</v>
      </c>
    </row>
    <row r="40" spans="1:20" x14ac:dyDescent="0.55000000000000004">
      <c r="A40" s="10"/>
      <c r="B40" s="10"/>
      <c r="C40" s="10" t="s">
        <v>93</v>
      </c>
      <c r="D40" s="10"/>
      <c r="E40" s="10"/>
      <c r="F40" s="10"/>
      <c r="G40" s="10"/>
      <c r="H40" s="10"/>
      <c r="I40" s="10"/>
      <c r="J40" s="10"/>
      <c r="K40" s="10"/>
      <c r="L40" s="24">
        <f>L37-L38-L39</f>
        <v>-122.485772</v>
      </c>
      <c r="M40" s="24">
        <f>M37-M38-M39</f>
        <v>-225.69586500000003</v>
      </c>
      <c r="N40" s="24">
        <v>0</v>
      </c>
      <c r="O40" s="24">
        <f t="shared" si="24"/>
        <v>-225.69586500000003</v>
      </c>
      <c r="P40" s="24">
        <v>0</v>
      </c>
      <c r="Q40" s="24">
        <v>0</v>
      </c>
      <c r="R40" s="24">
        <v>0</v>
      </c>
      <c r="S40" s="24">
        <v>0</v>
      </c>
      <c r="T40" s="24">
        <v>0</v>
      </c>
    </row>
    <row r="41" spans="1:20" x14ac:dyDescent="0.55000000000000004">
      <c r="B41" s="5" t="s">
        <v>1733</v>
      </c>
      <c r="C41" s="5"/>
      <c r="D41" s="5"/>
      <c r="E41" s="5"/>
      <c r="F41" s="5"/>
      <c r="G41" s="5"/>
      <c r="H41" s="5"/>
      <c r="I41" s="5"/>
      <c r="J41" s="5"/>
      <c r="K41" s="5"/>
      <c r="L41" s="20">
        <f>L35+L37</f>
        <v>3238.9260950000007</v>
      </c>
      <c r="M41" s="20">
        <f t="shared" ref="M41:T41" si="25">M35+M37</f>
        <v>6392.8845359999987</v>
      </c>
      <c r="N41" s="20">
        <f t="shared" si="25"/>
        <v>4940.7319372270576</v>
      </c>
      <c r="O41" s="20">
        <f t="shared" si="25"/>
        <v>11333.616473227064</v>
      </c>
      <c r="P41" s="20">
        <f t="shared" si="25"/>
        <v>11911.583081457688</v>
      </c>
      <c r="Q41" s="20">
        <f t="shared" si="25"/>
        <v>14565.62502977913</v>
      </c>
      <c r="R41" s="20">
        <f t="shared" si="25"/>
        <v>15774.938155861611</v>
      </c>
      <c r="S41" s="20">
        <f t="shared" si="25"/>
        <v>16998.741017649747</v>
      </c>
      <c r="T41" s="20">
        <f t="shared" si="25"/>
        <v>18272.008122201907</v>
      </c>
    </row>
    <row r="42" spans="1:20" x14ac:dyDescent="0.55000000000000004">
      <c r="A42" s="10"/>
      <c r="B42" s="10" t="s">
        <v>1734</v>
      </c>
      <c r="C42" s="10"/>
      <c r="D42" s="10"/>
      <c r="E42" s="10"/>
      <c r="F42" s="10"/>
      <c r="G42" s="10"/>
      <c r="H42" s="10"/>
      <c r="I42" s="10"/>
      <c r="J42" s="10"/>
      <c r="K42" s="10"/>
      <c r="L42" s="25">
        <f>연결정산표!F154/10^6</f>
        <v>806.17240300000003</v>
      </c>
      <c r="M42" s="24">
        <v>0</v>
      </c>
      <c r="N42" s="25">
        <f>O42</f>
        <v>2992.0747489319451</v>
      </c>
      <c r="O42" s="25">
        <f>IF(O41&lt;0,0,IF(O41&lt;2,O41*9%*1.1,IF(O41&lt;200,O41*19%*1.1,IF(O41&lt;3000,O41*21%*1.1,O41*24%*1.1))))</f>
        <v>2992.0747489319451</v>
      </c>
      <c r="P42" s="25">
        <f t="shared" ref="P42:T42" si="26">IF(P41&lt;0,0,IF(P41&lt;2,P41*9%*1.1,IF(P41&lt;200,P41*19%*1.1,IF(P41&lt;3000,P41*21%*1.1,P41*24%*1.1))))</f>
        <v>3144.65793350483</v>
      </c>
      <c r="Q42" s="25">
        <f t="shared" si="26"/>
        <v>3845.3250078616907</v>
      </c>
      <c r="R42" s="25">
        <f t="shared" si="26"/>
        <v>4164.5836731474656</v>
      </c>
      <c r="S42" s="25">
        <f t="shared" si="26"/>
        <v>4487.667628659533</v>
      </c>
      <c r="T42" s="25">
        <f t="shared" si="26"/>
        <v>4823.8101442613042</v>
      </c>
    </row>
    <row r="43" spans="1:20" x14ac:dyDescent="0.55000000000000004">
      <c r="A43" s="4"/>
      <c r="B43" s="5" t="s">
        <v>1735</v>
      </c>
      <c r="C43" s="5"/>
      <c r="D43" s="5"/>
      <c r="E43" s="5"/>
      <c r="F43" s="5"/>
      <c r="G43" s="5"/>
      <c r="H43" s="5"/>
      <c r="I43" s="5"/>
      <c r="J43" s="5"/>
      <c r="K43" s="5"/>
      <c r="L43" s="20">
        <f>L41-L42</f>
        <v>2432.7536920000007</v>
      </c>
      <c r="M43" s="20">
        <f t="shared" ref="M43:T43" si="27">M41-M42</f>
        <v>6392.8845359999987</v>
      </c>
      <c r="N43" s="20">
        <f t="shared" si="27"/>
        <v>1948.6571882951125</v>
      </c>
      <c r="O43" s="20">
        <f t="shared" si="27"/>
        <v>8341.5417242951189</v>
      </c>
      <c r="P43" s="20">
        <f t="shared" si="27"/>
        <v>8766.9251479528575</v>
      </c>
      <c r="Q43" s="20">
        <f t="shared" si="27"/>
        <v>10720.300021917439</v>
      </c>
      <c r="R43" s="20">
        <f t="shared" si="27"/>
        <v>11610.354482714145</v>
      </c>
      <c r="S43" s="20">
        <f t="shared" si="27"/>
        <v>12511.073388990215</v>
      </c>
      <c r="T43" s="20">
        <f t="shared" si="27"/>
        <v>13448.197977940603</v>
      </c>
    </row>
    <row r="44" spans="1:20" x14ac:dyDescent="0.55000000000000004">
      <c r="A44" s="3"/>
      <c r="B44" s="6" t="s">
        <v>1736</v>
      </c>
      <c r="C44" s="6"/>
      <c r="D44" s="6"/>
      <c r="E44" s="6"/>
      <c r="F44" s="6"/>
      <c r="G44" s="6"/>
      <c r="H44" s="6"/>
      <c r="I44" s="6"/>
      <c r="J44" s="6"/>
      <c r="K44" s="6"/>
      <c r="L44" s="318">
        <f>L43/L$30</f>
        <v>0.2171430892007809</v>
      </c>
      <c r="M44" s="318">
        <f t="shared" ref="M44:T44" si="28">M43/M$30</f>
        <v>0.36520588018383487</v>
      </c>
      <c r="N44" s="318">
        <f t="shared" si="28"/>
        <v>0.1108627920706782</v>
      </c>
      <c r="O44" s="318">
        <f t="shared" si="28"/>
        <v>0.23777218164443065</v>
      </c>
      <c r="P44" s="318">
        <f t="shared" si="28"/>
        <v>0.23185274764251115</v>
      </c>
      <c r="Q44" s="318">
        <f t="shared" si="28"/>
        <v>0.26351230851316548</v>
      </c>
      <c r="R44" s="318">
        <f t="shared" si="28"/>
        <v>0.26524669954932167</v>
      </c>
      <c r="S44" s="318">
        <f t="shared" si="28"/>
        <v>0.26686717588949643</v>
      </c>
      <c r="T44" s="318">
        <f t="shared" si="28"/>
        <v>0.26831610330372685</v>
      </c>
    </row>
    <row r="45" spans="1:20" x14ac:dyDescent="0.55000000000000004">
      <c r="B45" s="1" t="s">
        <v>78</v>
      </c>
      <c r="L45" s="19">
        <f>TITAN!L10</f>
        <v>127.87805900000001</v>
      </c>
      <c r="M45" s="19">
        <f>TITAN!M10</f>
        <v>45.914014999999999</v>
      </c>
      <c r="N45" s="19">
        <f>TITAN!N10</f>
        <v>50.626288725500004</v>
      </c>
      <c r="O45" s="19">
        <f>TITAN!O10</f>
        <v>96.540303725499996</v>
      </c>
      <c r="P45" s="19">
        <f>TITAN!P10</f>
        <v>84.973117881637307</v>
      </c>
      <c r="Q45" s="19">
        <f>TITAN!Q10</f>
        <v>77.169324070728834</v>
      </c>
      <c r="R45" s="19">
        <f>TITAN!R10</f>
        <v>70.159179992286681</v>
      </c>
      <c r="S45" s="19">
        <f>TITAN!S10</f>
        <v>63.861971071694128</v>
      </c>
      <c r="T45" s="19">
        <f>TITAN!T10</f>
        <v>58.2051914469303</v>
      </c>
    </row>
    <row r="46" spans="1:20" x14ac:dyDescent="0.55000000000000004">
      <c r="A46" s="4"/>
      <c r="B46" s="5" t="s">
        <v>79</v>
      </c>
      <c r="C46" s="5"/>
      <c r="D46" s="5"/>
      <c r="E46" s="5"/>
      <c r="F46" s="5"/>
      <c r="G46" s="5"/>
      <c r="H46" s="5"/>
      <c r="I46" s="5"/>
      <c r="J46" s="5"/>
      <c r="K46" s="5"/>
      <c r="L46" s="20">
        <f>L35+L45</f>
        <v>3525.9677920000008</v>
      </c>
      <c r="M46" s="20">
        <f t="shared" ref="M46:T46" si="29">M35+M45</f>
        <v>6678.996423999999</v>
      </c>
      <c r="N46" s="20">
        <f t="shared" si="29"/>
        <v>4991.3582259525574</v>
      </c>
      <c r="O46" s="20">
        <f t="shared" si="29"/>
        <v>11670.354649952564</v>
      </c>
      <c r="P46" s="20">
        <f t="shared" si="29"/>
        <v>11996.556199339324</v>
      </c>
      <c r="Q46" s="20">
        <f t="shared" si="29"/>
        <v>14642.794353849858</v>
      </c>
      <c r="R46" s="20">
        <f t="shared" si="29"/>
        <v>15845.097335853898</v>
      </c>
      <c r="S46" s="20">
        <f t="shared" si="29"/>
        <v>17062.602988721443</v>
      </c>
      <c r="T46" s="20">
        <f t="shared" si="29"/>
        <v>18330.213313648837</v>
      </c>
    </row>
    <row r="47" spans="1:20" x14ac:dyDescent="0.55000000000000004">
      <c r="A47" s="3"/>
      <c r="B47" s="3" t="s">
        <v>1737</v>
      </c>
      <c r="C47" s="3"/>
      <c r="D47" s="3"/>
      <c r="E47" s="3"/>
      <c r="F47" s="3"/>
      <c r="G47" s="3"/>
      <c r="H47" s="3"/>
      <c r="I47" s="3"/>
      <c r="J47" s="3"/>
      <c r="K47" s="3"/>
      <c r="L47" s="232">
        <f>L46/L$30</f>
        <v>0.31472135518491134</v>
      </c>
      <c r="M47" s="232">
        <f t="shared" ref="M47:T47" si="30">M46/M$30</f>
        <v>0.38155057455453562</v>
      </c>
      <c r="N47" s="232">
        <f t="shared" si="30"/>
        <v>0.28396780741007643</v>
      </c>
      <c r="O47" s="232">
        <f t="shared" si="30"/>
        <v>0.33265861124946078</v>
      </c>
      <c r="P47" s="232">
        <f t="shared" si="30"/>
        <v>0.31726454488026612</v>
      </c>
      <c r="Q47" s="232">
        <f t="shared" si="30"/>
        <v>0.35992990264990526</v>
      </c>
      <c r="R47" s="232">
        <f t="shared" si="30"/>
        <v>0.36199237315538846</v>
      </c>
      <c r="S47" s="232">
        <f t="shared" si="30"/>
        <v>0.36395347795903926</v>
      </c>
      <c r="T47" s="232">
        <f t="shared" si="30"/>
        <v>0.36572122280709585</v>
      </c>
    </row>
    <row r="48" spans="1:20" s="775" customFormat="1" x14ac:dyDescent="0.55000000000000004">
      <c r="B48" s="321" t="s">
        <v>2146</v>
      </c>
      <c r="C48" s="321"/>
      <c r="D48" s="321"/>
      <c r="E48" s="321"/>
      <c r="F48" s="321"/>
      <c r="G48" s="321"/>
      <c r="H48" s="321"/>
      <c r="I48" s="321"/>
      <c r="J48" s="321"/>
      <c r="K48" s="321"/>
      <c r="L48" s="321">
        <f>TITAN!L13</f>
        <v>2213.2700000000009</v>
      </c>
      <c r="M48" s="321">
        <f>TITAN!M13</f>
        <v>5264.7010158387493</v>
      </c>
      <c r="N48" s="321">
        <f>TITAN!N13</f>
        <v>4991.3582259525574</v>
      </c>
      <c r="O48" s="321">
        <f>TITAN!O13</f>
        <v>10256.059241791312</v>
      </c>
      <c r="P48" s="321">
        <f>TITAN!P13</f>
        <v>11996.556199339324</v>
      </c>
      <c r="Q48" s="321">
        <f>TITAN!Q13</f>
        <v>14642.794353849858</v>
      </c>
      <c r="R48" s="321">
        <f>TITAN!R13</f>
        <v>15845.097335853898</v>
      </c>
      <c r="S48" s="321">
        <f>TITAN!S13</f>
        <v>17062.602988721443</v>
      </c>
      <c r="T48" s="321">
        <f>TITAN!T13</f>
        <v>18330.213313648837</v>
      </c>
    </row>
    <row r="49" spans="1:20" x14ac:dyDescent="0.55000000000000004">
      <c r="B49" s="17" t="s">
        <v>2149</v>
      </c>
      <c r="C49" s="15"/>
      <c r="D49" s="15"/>
      <c r="E49" s="15"/>
      <c r="F49" s="15"/>
      <c r="G49" s="15"/>
      <c r="H49" s="15"/>
      <c r="I49" s="15"/>
      <c r="J49" s="15"/>
      <c r="K49" s="15"/>
      <c r="L49" s="231">
        <f>L48/L30</f>
        <v>0.19755238132649083</v>
      </c>
      <c r="M49" s="231">
        <f t="shared" ref="M49:T49" si="31">M48/M30</f>
        <v>0.30075621694196047</v>
      </c>
      <c r="N49" s="231">
        <f t="shared" si="31"/>
        <v>0.28396780741007643</v>
      </c>
      <c r="O49" s="231">
        <f t="shared" si="31"/>
        <v>0.29234470816020686</v>
      </c>
      <c r="P49" s="231">
        <f t="shared" si="31"/>
        <v>0.31726454488026612</v>
      </c>
      <c r="Q49" s="231">
        <f t="shared" si="31"/>
        <v>0.35992990264990526</v>
      </c>
      <c r="R49" s="231">
        <f t="shared" si="31"/>
        <v>0.36199237315538846</v>
      </c>
      <c r="S49" s="231">
        <f t="shared" si="31"/>
        <v>0.36395347795903926</v>
      </c>
      <c r="T49" s="231">
        <f t="shared" si="31"/>
        <v>0.36572122280709585</v>
      </c>
    </row>
    <row r="51" spans="1:20" x14ac:dyDescent="0.55000000000000004">
      <c r="A51" s="841" t="s">
        <v>48</v>
      </c>
      <c r="B51" s="842"/>
      <c r="C51" s="842"/>
      <c r="D51" s="842"/>
      <c r="E51" s="842"/>
      <c r="F51" s="842"/>
      <c r="G51" s="842"/>
      <c r="H51" s="842"/>
      <c r="I51" s="842"/>
      <c r="J51" s="842"/>
      <c r="K51" s="842"/>
      <c r="L51" s="843"/>
      <c r="M51" s="843"/>
      <c r="N51" s="842"/>
      <c r="O51" s="842"/>
      <c r="P51" s="842"/>
      <c r="Q51" s="842"/>
      <c r="R51" s="842"/>
      <c r="S51" s="842"/>
      <c r="T51" s="842"/>
    </row>
    <row r="53" spans="1:20" x14ac:dyDescent="0.55000000000000004">
      <c r="B53" s="844"/>
      <c r="C53" s="844"/>
      <c r="D53" s="844"/>
      <c r="E53" s="844"/>
      <c r="F53" s="844"/>
      <c r="G53" s="844"/>
      <c r="H53" s="844"/>
      <c r="I53" s="844"/>
      <c r="J53" s="844"/>
      <c r="K53" s="844"/>
      <c r="L53" s="845" t="s">
        <v>2</v>
      </c>
      <c r="M53" s="845" t="s">
        <v>3</v>
      </c>
      <c r="N53" s="845" t="s">
        <v>4</v>
      </c>
      <c r="O53" s="845" t="s">
        <v>5</v>
      </c>
      <c r="P53" s="845" t="s">
        <v>6</v>
      </c>
      <c r="Q53" s="845" t="s">
        <v>7</v>
      </c>
      <c r="R53" s="845" t="s">
        <v>8</v>
      </c>
      <c r="S53" s="845" t="s">
        <v>9</v>
      </c>
      <c r="T53" s="845" t="s">
        <v>1480</v>
      </c>
    </row>
    <row r="54" spans="1:20" x14ac:dyDescent="0.55000000000000004">
      <c r="B54" s="12" t="s">
        <v>1726</v>
      </c>
      <c r="C54" s="12"/>
      <c r="D54" s="12"/>
      <c r="E54" s="12"/>
      <c r="F54" s="12"/>
      <c r="G54" s="12"/>
      <c r="H54" s="12"/>
      <c r="I54" s="12"/>
      <c r="J54" s="12"/>
      <c r="K54" s="12"/>
      <c r="L54" s="18">
        <f>CLASS!L6</f>
        <v>19.899999999999999</v>
      </c>
      <c r="M54" s="18">
        <f>CLASS!M6</f>
        <v>10266.381020999999</v>
      </c>
      <c r="N54" s="18">
        <f>CLASS!N6</f>
        <v>16569.007140384816</v>
      </c>
      <c r="O54" s="18">
        <f>CLASS!O6</f>
        <v>26835.388161384813</v>
      </c>
      <c r="P54" s="18">
        <f>CLASS!P6</f>
        <v>32543.72038738053</v>
      </c>
      <c r="Q54" s="18">
        <f>CLASS!Q6</f>
        <v>34715.240039916651</v>
      </c>
      <c r="R54" s="18">
        <f>CLASS!R6</f>
        <v>37063.293152714985</v>
      </c>
      <c r="S54" s="18">
        <f>CLASS!S6</f>
        <v>39417.290422943901</v>
      </c>
      <c r="T54" s="18">
        <f>CLASS!T6</f>
        <v>41870.526834441829</v>
      </c>
    </row>
    <row r="55" spans="1:20" x14ac:dyDescent="0.55000000000000004">
      <c r="B55" s="1" t="s">
        <v>1727</v>
      </c>
      <c r="L55" s="19">
        <f>CLASS!L7</f>
        <v>76.833572000000004</v>
      </c>
      <c r="M55" s="19">
        <f>CLASS!M7</f>
        <v>6468.4950120000003</v>
      </c>
      <c r="N55" s="19">
        <f>CLASS!N7</f>
        <v>12303.421506349297</v>
      </c>
      <c r="O55" s="19">
        <f>CLASS!O7</f>
        <v>18771.916518349295</v>
      </c>
      <c r="P55" s="19">
        <f>CLASS!P7</f>
        <v>20780.480507633973</v>
      </c>
      <c r="Q55" s="19">
        <f>CLASS!Q7</f>
        <v>21363.141922694984</v>
      </c>
      <c r="R55" s="19">
        <f>CLASS!R7</f>
        <v>22769.726989788764</v>
      </c>
      <c r="S55" s="19">
        <f>CLASS!S7</f>
        <v>24174.579844167001</v>
      </c>
      <c r="T55" s="19">
        <f>CLASS!T7</f>
        <v>25632.358913492753</v>
      </c>
    </row>
    <row r="56" spans="1:20" x14ac:dyDescent="0.55000000000000004">
      <c r="C56" s="1" t="s">
        <v>90</v>
      </c>
      <c r="L56" s="19">
        <f>CLASS!L44</f>
        <v>18.623038999999999</v>
      </c>
      <c r="M56" s="19">
        <f>CLASS!M44</f>
        <v>309.49833000000001</v>
      </c>
      <c r="N56" s="19">
        <f>CLASS!N44</f>
        <v>738.17505886221943</v>
      </c>
      <c r="O56" s="19">
        <f>CLASS!O44</f>
        <v>1047.6733888622193</v>
      </c>
      <c r="P56" s="19">
        <f>CLASS!P44</f>
        <v>1886.7180504241715</v>
      </c>
      <c r="Q56" s="19">
        <f>CLASS!Q44</f>
        <v>1994.7124194718685</v>
      </c>
      <c r="R56" s="19">
        <f>CLASS!R44</f>
        <v>2121.659437927799</v>
      </c>
      <c r="S56" s="19">
        <f>CLASS!S44</f>
        <v>2243.7552404094818</v>
      </c>
      <c r="T56" s="19">
        <f>CLASS!T44</f>
        <v>2371.0464045450308</v>
      </c>
    </row>
    <row r="57" spans="1:20" x14ac:dyDescent="0.55000000000000004">
      <c r="C57" s="1" t="s">
        <v>91</v>
      </c>
      <c r="L57" s="19">
        <f>CLASS!L45</f>
        <v>43.055838999999999</v>
      </c>
      <c r="M57" s="19">
        <f>CLASS!M45</f>
        <v>5821.6406710000001</v>
      </c>
      <c r="N57" s="19">
        <f>CLASS!N45</f>
        <v>11215.632455475577</v>
      </c>
      <c r="O57" s="19">
        <f>CLASS!O45</f>
        <v>17037.273126475578</v>
      </c>
      <c r="P57" s="19">
        <f>CLASS!P45</f>
        <v>18184.138911548242</v>
      </c>
      <c r="Q57" s="19">
        <f>CLASS!Q45</f>
        <v>18647.907353834875</v>
      </c>
      <c r="R57" s="19">
        <f>CLASS!R45</f>
        <v>19913.610182069307</v>
      </c>
      <c r="S57" s="19">
        <f>CLASS!S45</f>
        <v>21182.673388034804</v>
      </c>
      <c r="T57" s="19">
        <f>CLASS!T45</f>
        <v>22505.224393798158</v>
      </c>
    </row>
    <row r="58" spans="1:20" x14ac:dyDescent="0.55000000000000004">
      <c r="C58" s="1" t="s">
        <v>92</v>
      </c>
      <c r="L58" s="19">
        <f>CLASS!L46</f>
        <v>15.154694000000001</v>
      </c>
      <c r="M58" s="19">
        <f>CLASS!M46</f>
        <v>337.35601100000002</v>
      </c>
      <c r="N58" s="19">
        <f>CLASS!N46</f>
        <v>349.61399201150005</v>
      </c>
      <c r="O58" s="19">
        <f>CLASS!O46</f>
        <v>686.97000301150001</v>
      </c>
      <c r="P58" s="19">
        <f>CLASS!P46</f>
        <v>709.62354566155625</v>
      </c>
      <c r="Q58" s="19">
        <f>CLASS!Q46</f>
        <v>720.52214938824113</v>
      </c>
      <c r="R58" s="19">
        <f>CLASS!R46</f>
        <v>734.45736979165679</v>
      </c>
      <c r="S58" s="19">
        <f>CLASS!S46</f>
        <v>748.15121572271653</v>
      </c>
      <c r="T58" s="19">
        <f>CLASS!T46</f>
        <v>756.08811514956415</v>
      </c>
    </row>
    <row r="59" spans="1:20" x14ac:dyDescent="0.55000000000000004">
      <c r="B59" s="5" t="s">
        <v>1728</v>
      </c>
      <c r="C59" s="5"/>
      <c r="D59" s="5"/>
      <c r="E59" s="5"/>
      <c r="F59" s="5"/>
      <c r="G59" s="5"/>
      <c r="H59" s="5"/>
      <c r="I59" s="5"/>
      <c r="J59" s="5"/>
      <c r="K59" s="5"/>
      <c r="L59" s="20">
        <f>L54-L55</f>
        <v>-56.933572000000005</v>
      </c>
      <c r="M59" s="20">
        <f>M54-M55</f>
        <v>3797.8860089999989</v>
      </c>
      <c r="N59" s="20">
        <f t="shared" ref="N59:T59" si="32">N54-N55</f>
        <v>4265.5856340355185</v>
      </c>
      <c r="O59" s="20">
        <f t="shared" si="32"/>
        <v>8063.4716430355184</v>
      </c>
      <c r="P59" s="20">
        <f t="shared" si="32"/>
        <v>11763.239879746558</v>
      </c>
      <c r="Q59" s="20">
        <f t="shared" si="32"/>
        <v>13352.098117221667</v>
      </c>
      <c r="R59" s="20">
        <f t="shared" si="32"/>
        <v>14293.566162926221</v>
      </c>
      <c r="S59" s="20">
        <f t="shared" si="32"/>
        <v>15242.7105787769</v>
      </c>
      <c r="T59" s="20">
        <f t="shared" si="32"/>
        <v>16238.167920949076</v>
      </c>
    </row>
    <row r="60" spans="1:20" x14ac:dyDescent="0.55000000000000004">
      <c r="B60" s="6" t="s">
        <v>1729</v>
      </c>
      <c r="C60" s="6"/>
      <c r="D60" s="6"/>
      <c r="E60" s="6"/>
      <c r="F60" s="6"/>
      <c r="G60" s="6"/>
      <c r="H60" s="6"/>
      <c r="I60" s="6"/>
      <c r="J60" s="6"/>
      <c r="K60" s="6"/>
      <c r="L60" s="318">
        <f>L59/L54</f>
        <v>-2.8609835175879401</v>
      </c>
      <c r="M60" s="318">
        <f>M59/M54</f>
        <v>0.36993425445942246</v>
      </c>
      <c r="N60" s="318">
        <f t="shared" ref="N60:T60" si="33">N59/N54</f>
        <v>0.25744364752180621</v>
      </c>
      <c r="O60" s="318">
        <f t="shared" si="33"/>
        <v>0.30047903889232996</v>
      </c>
      <c r="P60" s="318">
        <f t="shared" si="33"/>
        <v>0.36145959158093016</v>
      </c>
      <c r="Q60" s="318">
        <f t="shared" si="33"/>
        <v>0.38461776735142877</v>
      </c>
      <c r="R60" s="318">
        <f t="shared" si="33"/>
        <v>0.38565289123206742</v>
      </c>
      <c r="S60" s="318">
        <f t="shared" si="33"/>
        <v>0.38670112570458337</v>
      </c>
      <c r="T60" s="318">
        <f t="shared" si="33"/>
        <v>0.38781857188364527</v>
      </c>
    </row>
    <row r="61" spans="1:20" x14ac:dyDescent="0.55000000000000004">
      <c r="A61" s="10"/>
      <c r="B61" s="10" t="s">
        <v>1730</v>
      </c>
      <c r="C61" s="10"/>
      <c r="D61" s="10"/>
      <c r="E61" s="10"/>
      <c r="F61" s="10"/>
      <c r="G61" s="10"/>
      <c r="H61" s="10"/>
      <c r="I61" s="10"/>
      <c r="J61" s="10"/>
      <c r="K61" s="10"/>
      <c r="L61" s="24">
        <f>연결정산표!E139/10^6-연결정산표!E146/10^6</f>
        <v>1.9010000000000001E-3</v>
      </c>
      <c r="M61" s="24">
        <f>연결정산표!T139/10^6-연결정산표!T146/10^6-조정!J54/10^6</f>
        <v>-31.149628999999997</v>
      </c>
      <c r="N61" s="24">
        <f>SUM(N62:N64)</f>
        <v>0</v>
      </c>
      <c r="O61" s="24">
        <f>SUM(O62:O64)</f>
        <v>-31.149628999999997</v>
      </c>
      <c r="P61" s="24">
        <f t="shared" ref="P61:T61" si="34">SUM(P62:P64)</f>
        <v>0</v>
      </c>
      <c r="Q61" s="24">
        <f t="shared" si="34"/>
        <v>0</v>
      </c>
      <c r="R61" s="24">
        <f t="shared" si="34"/>
        <v>0</v>
      </c>
      <c r="S61" s="24">
        <f t="shared" si="34"/>
        <v>0</v>
      </c>
      <c r="T61" s="24">
        <f t="shared" si="34"/>
        <v>0</v>
      </c>
    </row>
    <row r="62" spans="1:20" x14ac:dyDescent="0.55000000000000004">
      <c r="A62" s="10"/>
      <c r="B62" s="10"/>
      <c r="C62" s="10" t="s">
        <v>1731</v>
      </c>
      <c r="D62" s="10"/>
      <c r="E62" s="10"/>
      <c r="F62" s="10"/>
      <c r="G62" s="10"/>
      <c r="H62" s="10"/>
      <c r="I62" s="10"/>
      <c r="J62" s="10"/>
      <c r="K62" s="10"/>
      <c r="L62" s="24">
        <f>연결정산표!E140/10^6</f>
        <v>1.9070000000000001E-3</v>
      </c>
      <c r="M62" s="24">
        <f>연결정산표!T140/10^6</f>
        <v>0.21917600000000001</v>
      </c>
      <c r="N62" s="24">
        <v>0</v>
      </c>
      <c r="O62" s="24">
        <f>N62+M62</f>
        <v>0.21917600000000001</v>
      </c>
      <c r="P62" s="24">
        <v>0</v>
      </c>
      <c r="Q62" s="24">
        <v>0</v>
      </c>
      <c r="R62" s="24">
        <v>0</v>
      </c>
      <c r="S62" s="24">
        <v>0</v>
      </c>
      <c r="T62" s="24">
        <v>0</v>
      </c>
    </row>
    <row r="63" spans="1:20" x14ac:dyDescent="0.55000000000000004">
      <c r="A63" s="10"/>
      <c r="B63" s="10"/>
      <c r="C63" s="10" t="s">
        <v>1732</v>
      </c>
      <c r="D63" s="10"/>
      <c r="E63" s="10"/>
      <c r="F63" s="10"/>
      <c r="G63" s="10"/>
      <c r="H63" s="10"/>
      <c r="I63" s="10"/>
      <c r="J63" s="10"/>
      <c r="K63" s="10"/>
      <c r="L63" s="24">
        <v>0</v>
      </c>
      <c r="M63" s="24">
        <v>0</v>
      </c>
      <c r="N63" s="24">
        <v>0</v>
      </c>
      <c r="O63" s="24">
        <f t="shared" ref="O63:O64" si="35">N63+M63</f>
        <v>0</v>
      </c>
      <c r="P63" s="24">
        <v>0</v>
      </c>
      <c r="Q63" s="24">
        <v>0</v>
      </c>
      <c r="R63" s="24">
        <v>0</v>
      </c>
      <c r="S63" s="24">
        <v>0</v>
      </c>
      <c r="T63" s="24">
        <v>0</v>
      </c>
    </row>
    <row r="64" spans="1:20" x14ac:dyDescent="0.55000000000000004">
      <c r="A64" s="10"/>
      <c r="B64" s="10"/>
      <c r="C64" s="10" t="s">
        <v>93</v>
      </c>
      <c r="D64" s="10"/>
      <c r="E64" s="10"/>
      <c r="F64" s="10"/>
      <c r="G64" s="10"/>
      <c r="H64" s="10"/>
      <c r="I64" s="10"/>
      <c r="J64" s="10"/>
      <c r="K64" s="10"/>
      <c r="L64" s="24">
        <f>L61-L62-L63</f>
        <v>-5.999999999999929E-6</v>
      </c>
      <c r="M64" s="24">
        <f>M61-M62-M63</f>
        <v>-31.368804999999998</v>
      </c>
      <c r="N64" s="24">
        <v>0</v>
      </c>
      <c r="O64" s="24">
        <f t="shared" si="35"/>
        <v>-31.368804999999998</v>
      </c>
      <c r="P64" s="24">
        <v>0</v>
      </c>
      <c r="Q64" s="24">
        <v>0</v>
      </c>
      <c r="R64" s="24">
        <v>0</v>
      </c>
      <c r="S64" s="24">
        <v>0</v>
      </c>
      <c r="T64" s="24">
        <v>0</v>
      </c>
    </row>
    <row r="65" spans="1:20" x14ac:dyDescent="0.55000000000000004">
      <c r="B65" s="5" t="s">
        <v>1733</v>
      </c>
      <c r="C65" s="5"/>
      <c r="D65" s="5"/>
      <c r="E65" s="5"/>
      <c r="F65" s="5"/>
      <c r="G65" s="5"/>
      <c r="H65" s="5"/>
      <c r="I65" s="5"/>
      <c r="J65" s="5"/>
      <c r="K65" s="5"/>
      <c r="L65" s="20">
        <f>L59+L61</f>
        <v>-56.931671000000009</v>
      </c>
      <c r="M65" s="20">
        <f t="shared" ref="M65:T65" si="36">M59+M61</f>
        <v>3766.7363799999989</v>
      </c>
      <c r="N65" s="20">
        <f t="shared" si="36"/>
        <v>4265.5856340355185</v>
      </c>
      <c r="O65" s="20">
        <f t="shared" si="36"/>
        <v>8032.3220140355188</v>
      </c>
      <c r="P65" s="20">
        <f t="shared" si="36"/>
        <v>11763.239879746558</v>
      </c>
      <c r="Q65" s="20">
        <f t="shared" si="36"/>
        <v>13352.098117221667</v>
      </c>
      <c r="R65" s="20">
        <f t="shared" si="36"/>
        <v>14293.566162926221</v>
      </c>
      <c r="S65" s="20">
        <f t="shared" si="36"/>
        <v>15242.7105787769</v>
      </c>
      <c r="T65" s="20">
        <f t="shared" si="36"/>
        <v>16238.167920949076</v>
      </c>
    </row>
    <row r="66" spans="1:20" x14ac:dyDescent="0.55000000000000004">
      <c r="A66" s="10"/>
      <c r="B66" s="10" t="s">
        <v>1734</v>
      </c>
      <c r="C66" s="10"/>
      <c r="D66" s="10"/>
      <c r="E66" s="10"/>
      <c r="F66" s="10"/>
      <c r="G66" s="10"/>
      <c r="H66" s="10"/>
      <c r="I66" s="10"/>
      <c r="J66" s="10"/>
      <c r="K66" s="10"/>
      <c r="L66" s="25">
        <f>연결정산표!F177/10^6</f>
        <v>0</v>
      </c>
      <c r="M66" s="24">
        <v>0</v>
      </c>
      <c r="N66" s="25">
        <f>O66</f>
        <v>2120.5330117053772</v>
      </c>
      <c r="O66" s="25">
        <f>IF(O65&lt;0,0,IF(O65&lt;2,O65*9%*1.1,IF(O65&lt;200,O65*19%*1.1,IF(O65&lt;3000,O65*21%*1.1,O65*24%*1.1))))</f>
        <v>2120.5330117053772</v>
      </c>
      <c r="P66" s="25">
        <f t="shared" ref="P66" si="37">IF(P65&lt;0,0,IF(P65&lt;2,P65*9%*1.1,IF(P65&lt;200,P65*19%*1.1,IF(P65&lt;3000,P65*21%*1.1,P65*24%*1.1))))</f>
        <v>3105.4953282530914</v>
      </c>
      <c r="Q66" s="25">
        <f t="shared" ref="Q66" si="38">IF(Q65&lt;0,0,IF(Q65&lt;2,Q65*9%*1.1,IF(Q65&lt;200,Q65*19%*1.1,IF(Q65&lt;3000,Q65*21%*1.1,Q65*24%*1.1))))</f>
        <v>3524.9539029465204</v>
      </c>
      <c r="R66" s="25">
        <f t="shared" ref="R66" si="39">IF(R65&lt;0,0,IF(R65&lt;2,R65*9%*1.1,IF(R65&lt;200,R65*19%*1.1,IF(R65&lt;3000,R65*21%*1.1,R65*24%*1.1))))</f>
        <v>3773.5014670125224</v>
      </c>
      <c r="S66" s="25">
        <f t="shared" ref="S66" si="40">IF(S65&lt;0,0,IF(S65&lt;2,S65*9%*1.1,IF(S65&lt;200,S65*19%*1.1,IF(S65&lt;3000,S65*21%*1.1,S65*24%*1.1))))</f>
        <v>4024.0755927971018</v>
      </c>
      <c r="T66" s="25">
        <f t="shared" ref="T66" si="41">IF(T65&lt;0,0,IF(T65&lt;2,T65*9%*1.1,IF(T65&lt;200,T65*19%*1.1,IF(T65&lt;3000,T65*21%*1.1,T65*24%*1.1))))</f>
        <v>4286.8763311305565</v>
      </c>
    </row>
    <row r="67" spans="1:20" x14ac:dyDescent="0.55000000000000004">
      <c r="A67" s="4"/>
      <c r="B67" s="5" t="s">
        <v>1735</v>
      </c>
      <c r="C67" s="5"/>
      <c r="D67" s="5"/>
      <c r="E67" s="5"/>
      <c r="F67" s="5"/>
      <c r="G67" s="5"/>
      <c r="H67" s="5"/>
      <c r="I67" s="5"/>
      <c r="J67" s="5"/>
      <c r="K67" s="5"/>
      <c r="L67" s="20">
        <f>L65-L66</f>
        <v>-56.931671000000009</v>
      </c>
      <c r="M67" s="20">
        <f t="shared" ref="M67:T67" si="42">M65-M66</f>
        <v>3766.7363799999989</v>
      </c>
      <c r="N67" s="20">
        <f t="shared" si="42"/>
        <v>2145.0526223301413</v>
      </c>
      <c r="O67" s="20">
        <f t="shared" si="42"/>
        <v>5911.7890023301416</v>
      </c>
      <c r="P67" s="20">
        <f t="shared" si="42"/>
        <v>8657.7445514934661</v>
      </c>
      <c r="Q67" s="20">
        <f t="shared" si="42"/>
        <v>9827.1442142751475</v>
      </c>
      <c r="R67" s="20">
        <f t="shared" si="42"/>
        <v>10520.064695913699</v>
      </c>
      <c r="S67" s="20">
        <f t="shared" si="42"/>
        <v>11218.634985979797</v>
      </c>
      <c r="T67" s="20">
        <f t="shared" si="42"/>
        <v>11951.29158981852</v>
      </c>
    </row>
    <row r="68" spans="1:20" x14ac:dyDescent="0.55000000000000004">
      <c r="A68" s="3"/>
      <c r="B68" s="6" t="s">
        <v>1736</v>
      </c>
      <c r="C68" s="6"/>
      <c r="D68" s="6"/>
      <c r="E68" s="6"/>
      <c r="F68" s="6"/>
      <c r="G68" s="6"/>
      <c r="H68" s="6"/>
      <c r="I68" s="6"/>
      <c r="J68" s="6"/>
      <c r="K68" s="6"/>
      <c r="L68" s="318">
        <f>L67/L$54</f>
        <v>-2.8608879899497492</v>
      </c>
      <c r="M68" s="318">
        <f t="shared" ref="M68:T68" si="43">M67/M$54</f>
        <v>0.36690011526896349</v>
      </c>
      <c r="N68" s="318">
        <f t="shared" si="43"/>
        <v>0.1294617477170284</v>
      </c>
      <c r="O68" s="318">
        <f t="shared" si="43"/>
        <v>0.22029824822273297</v>
      </c>
      <c r="P68" s="318">
        <f t="shared" si="43"/>
        <v>0.26603425940356462</v>
      </c>
      <c r="Q68" s="318">
        <f t="shared" si="43"/>
        <v>0.28307867677065157</v>
      </c>
      <c r="R68" s="318">
        <f t="shared" si="43"/>
        <v>0.28384052794680165</v>
      </c>
      <c r="S68" s="318">
        <f t="shared" si="43"/>
        <v>0.28461202851857337</v>
      </c>
      <c r="T68" s="318">
        <f t="shared" si="43"/>
        <v>0.28543446890636293</v>
      </c>
    </row>
    <row r="69" spans="1:20" x14ac:dyDescent="0.55000000000000004">
      <c r="B69" s="1" t="s">
        <v>78</v>
      </c>
      <c r="L69" s="24">
        <f>CLASS!L10</f>
        <v>0</v>
      </c>
      <c r="M69" s="24">
        <f>CLASS!M10</f>
        <v>9.9802530000000012</v>
      </c>
      <c r="N69" s="24">
        <f>CLASS!N10</f>
        <v>22.238234011500001</v>
      </c>
      <c r="O69" s="24">
        <f>CLASS!O10</f>
        <v>32.218487011500002</v>
      </c>
      <c r="P69" s="24">
        <f>CLASS!P10</f>
        <v>43.978482948127223</v>
      </c>
      <c r="Q69" s="24">
        <f>CLASS!Q10</f>
        <v>42.895475545970314</v>
      </c>
      <c r="R69" s="24">
        <f>CLASS!R10</f>
        <v>42.600535798698296</v>
      </c>
      <c r="S69" s="24">
        <f>CLASS!S10</f>
        <v>43.149101883891902</v>
      </c>
      <c r="T69" s="24">
        <f>CLASS!T10</f>
        <v>37.293249694176097</v>
      </c>
    </row>
    <row r="70" spans="1:20" x14ac:dyDescent="0.55000000000000004">
      <c r="A70" s="4"/>
      <c r="B70" s="5" t="s">
        <v>79</v>
      </c>
      <c r="C70" s="5"/>
      <c r="D70" s="5"/>
      <c r="E70" s="5"/>
      <c r="F70" s="5"/>
      <c r="G70" s="5"/>
      <c r="H70" s="5"/>
      <c r="I70" s="5"/>
      <c r="J70" s="5"/>
      <c r="K70" s="5"/>
      <c r="L70" s="20">
        <f>L69+L59</f>
        <v>-56.933572000000005</v>
      </c>
      <c r="M70" s="20">
        <f t="shared" ref="M70:T70" si="44">M69+M59</f>
        <v>3807.8662619999991</v>
      </c>
      <c r="N70" s="20">
        <f t="shared" si="44"/>
        <v>4287.8238680470185</v>
      </c>
      <c r="O70" s="20">
        <f t="shared" si="44"/>
        <v>8095.6901300470181</v>
      </c>
      <c r="P70" s="20">
        <f t="shared" si="44"/>
        <v>11807.218362694684</v>
      </c>
      <c r="Q70" s="20">
        <f t="shared" si="44"/>
        <v>13394.993592767638</v>
      </c>
      <c r="R70" s="20">
        <f t="shared" si="44"/>
        <v>14336.166698724919</v>
      </c>
      <c r="S70" s="20">
        <f t="shared" si="44"/>
        <v>15285.859680660791</v>
      </c>
      <c r="T70" s="20">
        <f t="shared" si="44"/>
        <v>16275.461170643252</v>
      </c>
    </row>
    <row r="71" spans="1:20" x14ac:dyDescent="0.55000000000000004">
      <c r="A71" s="3"/>
      <c r="B71" s="3" t="s">
        <v>1737</v>
      </c>
      <c r="C71" s="3"/>
      <c r="D71" s="3"/>
      <c r="E71" s="3"/>
      <c r="F71" s="3"/>
      <c r="G71" s="3"/>
      <c r="H71" s="3"/>
      <c r="I71" s="3"/>
      <c r="J71" s="3"/>
      <c r="K71" s="3"/>
      <c r="L71" s="232">
        <f>L70/L$54</f>
        <v>-2.8609835175879401</v>
      </c>
      <c r="M71" s="232">
        <f t="shared" ref="M71:T71" si="45">M70/M$54</f>
        <v>0.3709063840715599</v>
      </c>
      <c r="N71" s="232">
        <f t="shared" si="45"/>
        <v>0.25878580603637991</v>
      </c>
      <c r="O71" s="232">
        <f t="shared" si="45"/>
        <v>0.30167963591063063</v>
      </c>
      <c r="P71" s="232">
        <f t="shared" si="45"/>
        <v>0.36281095775617489</v>
      </c>
      <c r="Q71" s="232">
        <f t="shared" si="45"/>
        <v>0.38585340551773983</v>
      </c>
      <c r="R71" s="232">
        <f t="shared" si="45"/>
        <v>0.38680229087184492</v>
      </c>
      <c r="S71" s="232">
        <f t="shared" si="45"/>
        <v>0.3877958001842573</v>
      </c>
      <c r="T71" s="232">
        <f t="shared" si="45"/>
        <v>0.38870925209508933</v>
      </c>
    </row>
    <row r="72" spans="1:20" x14ac:dyDescent="0.55000000000000004">
      <c r="B72" s="829" t="s">
        <v>2146</v>
      </c>
      <c r="C72" s="828"/>
      <c r="D72" s="828"/>
      <c r="E72" s="828"/>
      <c r="F72" s="828"/>
      <c r="G72" s="828"/>
      <c r="H72" s="828"/>
      <c r="I72" s="828"/>
      <c r="J72" s="828"/>
      <c r="K72" s="828"/>
      <c r="L72" s="20">
        <f>CLASS!L13</f>
        <v>-56.933572000000005</v>
      </c>
      <c r="M72" s="20">
        <f>CLASS!M13</f>
        <v>1987.2706209999992</v>
      </c>
      <c r="N72" s="20">
        <f>CLASS!N13</f>
        <v>4287.8238680470185</v>
      </c>
      <c r="O72" s="20">
        <f>CLASS!O13</f>
        <v>6275.0944890470182</v>
      </c>
      <c r="P72" s="20">
        <f>CLASS!P13</f>
        <v>11807.218362694684</v>
      </c>
      <c r="Q72" s="20">
        <f>CLASS!Q13</f>
        <v>13394.993592767638</v>
      </c>
      <c r="R72" s="20">
        <f>CLASS!R13</f>
        <v>14336.166698724919</v>
      </c>
      <c r="S72" s="20">
        <f>CLASS!S13</f>
        <v>15285.859680660791</v>
      </c>
      <c r="T72" s="20">
        <f>CLASS!T13</f>
        <v>16275.461170643252</v>
      </c>
    </row>
    <row r="73" spans="1:20" s="262" customFormat="1" x14ac:dyDescent="0.55000000000000004">
      <c r="B73" s="263" t="s">
        <v>2149</v>
      </c>
      <c r="C73" s="263"/>
      <c r="D73" s="263"/>
      <c r="E73" s="263"/>
      <c r="F73" s="263"/>
      <c r="G73" s="263"/>
      <c r="H73" s="263"/>
      <c r="I73" s="263"/>
      <c r="J73" s="263"/>
      <c r="K73" s="263"/>
      <c r="L73" s="263">
        <f>L72/L54</f>
        <v>-2.8609835175879401</v>
      </c>
      <c r="M73" s="263">
        <f t="shared" ref="M73:T73" si="46">M72/M54</f>
        <v>0.19357070587337588</v>
      </c>
      <c r="N73" s="263">
        <f t="shared" si="46"/>
        <v>0.25878580603637991</v>
      </c>
      <c r="O73" s="263">
        <f t="shared" si="46"/>
        <v>0.23383654640318041</v>
      </c>
      <c r="P73" s="263">
        <f t="shared" si="46"/>
        <v>0.36281095775617489</v>
      </c>
      <c r="Q73" s="263">
        <f t="shared" si="46"/>
        <v>0.38585340551773983</v>
      </c>
      <c r="R73" s="263">
        <f t="shared" si="46"/>
        <v>0.38680229087184492</v>
      </c>
      <c r="S73" s="263">
        <f t="shared" si="46"/>
        <v>0.3877958001842573</v>
      </c>
      <c r="T73" s="263">
        <f t="shared" si="46"/>
        <v>0.38870925209508933</v>
      </c>
    </row>
    <row r="75" spans="1:20" x14ac:dyDescent="0.55000000000000004">
      <c r="A75" s="841" t="s">
        <v>50</v>
      </c>
      <c r="B75" s="842"/>
      <c r="C75" s="842"/>
      <c r="D75" s="842"/>
      <c r="E75" s="842"/>
      <c r="F75" s="842"/>
      <c r="G75" s="842"/>
      <c r="H75" s="842"/>
      <c r="I75" s="842"/>
      <c r="J75" s="842"/>
      <c r="K75" s="842"/>
      <c r="L75" s="843"/>
      <c r="M75" s="843"/>
      <c r="N75" s="842"/>
      <c r="O75" s="842"/>
      <c r="P75" s="842"/>
      <c r="Q75" s="842"/>
      <c r="R75" s="842"/>
      <c r="S75" s="842"/>
      <c r="T75" s="842"/>
    </row>
    <row r="77" spans="1:20" x14ac:dyDescent="0.55000000000000004">
      <c r="B77" s="844"/>
      <c r="C77" s="844"/>
      <c r="D77" s="844"/>
      <c r="E77" s="844"/>
      <c r="F77" s="844"/>
      <c r="G77" s="844"/>
      <c r="H77" s="844"/>
      <c r="I77" s="844"/>
      <c r="J77" s="844"/>
      <c r="K77" s="844"/>
      <c r="L77" s="845" t="s">
        <v>2</v>
      </c>
      <c r="M77" s="845" t="s">
        <v>3</v>
      </c>
      <c r="N77" s="845" t="s">
        <v>4</v>
      </c>
      <c r="O77" s="845" t="s">
        <v>5</v>
      </c>
      <c r="P77" s="845" t="s">
        <v>6</v>
      </c>
      <c r="Q77" s="845" t="s">
        <v>7</v>
      </c>
      <c r="R77" s="845" t="s">
        <v>8</v>
      </c>
      <c r="S77" s="845" t="s">
        <v>9</v>
      </c>
      <c r="T77" s="845" t="s">
        <v>1480</v>
      </c>
    </row>
    <row r="78" spans="1:20" x14ac:dyDescent="0.55000000000000004">
      <c r="B78" s="12" t="s">
        <v>1726</v>
      </c>
      <c r="C78" s="12"/>
      <c r="D78" s="12"/>
      <c r="E78" s="12"/>
      <c r="F78" s="12"/>
      <c r="G78" s="12"/>
      <c r="H78" s="12"/>
      <c r="I78" s="12"/>
      <c r="J78" s="12"/>
      <c r="K78" s="12"/>
      <c r="L78" s="302"/>
      <c r="M78" s="18">
        <f>NOVA!M6</f>
        <v>261.84517599999998</v>
      </c>
      <c r="N78" s="18">
        <f>NOVA!N6</f>
        <v>2351.4231251021561</v>
      </c>
      <c r="O78" s="18">
        <f>NOVA!O6</f>
        <v>2613.2683011021559</v>
      </c>
      <c r="P78" s="18">
        <f>NOVA!P6</f>
        <v>7196.2765716801168</v>
      </c>
      <c r="Q78" s="18">
        <f>NOVA!Q6</f>
        <v>9426.1390587588921</v>
      </c>
      <c r="R78" s="18">
        <f>NOVA!R6</f>
        <v>11924.422935018569</v>
      </c>
      <c r="S78" s="18">
        <f>NOVA!S6</f>
        <v>14653.888890550295</v>
      </c>
      <c r="T78" s="18">
        <f>NOVA!T6</f>
        <v>17654.417030998815</v>
      </c>
    </row>
    <row r="79" spans="1:20" x14ac:dyDescent="0.55000000000000004">
      <c r="B79" s="1" t="s">
        <v>1727</v>
      </c>
      <c r="L79" s="329"/>
      <c r="M79" s="19">
        <f>NOVA!M7</f>
        <v>247.98681099999999</v>
      </c>
      <c r="N79" s="19">
        <f>NOVA!N7</f>
        <v>489.71621172679227</v>
      </c>
      <c r="O79" s="19">
        <f>NOVA!O7</f>
        <v>737.70302272679226</v>
      </c>
      <c r="P79" s="19">
        <f>NOVA!P7</f>
        <v>1450.376781223039</v>
      </c>
      <c r="Q79" s="19">
        <f>NOVA!Q7</f>
        <v>1786.274971925802</v>
      </c>
      <c r="R79" s="19">
        <f>NOVA!R7</f>
        <v>2124.0661129360633</v>
      </c>
      <c r="S79" s="19">
        <f>NOVA!S7</f>
        <v>2483.161118707656</v>
      </c>
      <c r="T79" s="19">
        <f>NOVA!T7</f>
        <v>2871.8628040087829</v>
      </c>
    </row>
    <row r="80" spans="1:20" x14ac:dyDescent="0.55000000000000004">
      <c r="C80" s="1" t="s">
        <v>90</v>
      </c>
      <c r="L80" s="329"/>
      <c r="M80" s="19">
        <f>NOVA!M41</f>
        <v>48.135155000000005</v>
      </c>
      <c r="N80" s="19">
        <f>NOVA!N41</f>
        <v>256.87159500000001</v>
      </c>
      <c r="O80" s="19">
        <f>NOVA!O41</f>
        <v>305.00675000000001</v>
      </c>
      <c r="P80" s="19">
        <f>NOVA!P41</f>
        <v>779.57835338816642</v>
      </c>
      <c r="Q80" s="19">
        <f>NOVA!Q41</f>
        <v>927.4894491120541</v>
      </c>
      <c r="R80" s="19">
        <f>NOVA!R41</f>
        <v>1054.163361101321</v>
      </c>
      <c r="S80" s="19">
        <f>NOVA!S41</f>
        <v>1182.3929423420796</v>
      </c>
      <c r="T80" s="19">
        <f>NOVA!T41</f>
        <v>1317.0106450808648</v>
      </c>
    </row>
    <row r="81" spans="1:20" x14ac:dyDescent="0.55000000000000004">
      <c r="C81" s="1" t="s">
        <v>91</v>
      </c>
      <c r="L81" s="329"/>
      <c r="M81" s="19">
        <f>NOVA!M42</f>
        <v>180.91931599999998</v>
      </c>
      <c r="N81" s="19">
        <f>NOVA!N42</f>
        <v>199.62993731464019</v>
      </c>
      <c r="O81" s="19">
        <f>NOVA!O42</f>
        <v>380.54925331464017</v>
      </c>
      <c r="P81" s="19">
        <f>NOVA!P42</f>
        <v>610.94586744820913</v>
      </c>
      <c r="Q81" s="19">
        <f>NOVA!Q42</f>
        <v>800.25561088133304</v>
      </c>
      <c r="R81" s="19">
        <f>NOVA!R42</f>
        <v>1012.3536583521508</v>
      </c>
      <c r="S81" s="19">
        <f>NOVA!S42</f>
        <v>1244.0784856656403</v>
      </c>
      <c r="T81" s="19">
        <f>NOVA!T42</f>
        <v>1498.8158139644461</v>
      </c>
    </row>
    <row r="82" spans="1:20" x14ac:dyDescent="0.55000000000000004">
      <c r="C82" s="1" t="s">
        <v>92</v>
      </c>
      <c r="L82" s="329"/>
      <c r="M82" s="19">
        <f>NOVA!M43</f>
        <v>18.93234</v>
      </c>
      <c r="N82" s="19">
        <f>NOVA!N43</f>
        <v>33.214679412152073</v>
      </c>
      <c r="O82" s="19">
        <f>NOVA!O43</f>
        <v>52.147019412152076</v>
      </c>
      <c r="P82" s="19">
        <f>NOVA!P43</f>
        <v>59.852560386663384</v>
      </c>
      <c r="Q82" s="19">
        <f>NOVA!Q43</f>
        <v>58.52991193241467</v>
      </c>
      <c r="R82" s="19">
        <f>NOVA!R43</f>
        <v>57.549093482591829</v>
      </c>
      <c r="S82" s="19">
        <f>NOVA!S43</f>
        <v>56.689690699936236</v>
      </c>
      <c r="T82" s="19">
        <f>NOVA!T43</f>
        <v>56.036344963471805</v>
      </c>
    </row>
    <row r="83" spans="1:20" x14ac:dyDescent="0.55000000000000004">
      <c r="B83" s="5" t="s">
        <v>1728</v>
      </c>
      <c r="C83" s="5"/>
      <c r="D83" s="5"/>
      <c r="E83" s="5"/>
      <c r="F83" s="5"/>
      <c r="G83" s="5"/>
      <c r="H83" s="5"/>
      <c r="I83" s="5"/>
      <c r="J83" s="5"/>
      <c r="K83" s="5"/>
      <c r="L83" s="376"/>
      <c r="M83" s="20">
        <f>M78-M79</f>
        <v>13.858364999999992</v>
      </c>
      <c r="N83" s="20">
        <f t="shared" ref="N83:T83" si="47">N78-N79</f>
        <v>1861.7069133753639</v>
      </c>
      <c r="O83" s="20">
        <f t="shared" si="47"/>
        <v>1875.5652783753635</v>
      </c>
      <c r="P83" s="20">
        <f t="shared" si="47"/>
        <v>5745.8997904570779</v>
      </c>
      <c r="Q83" s="20">
        <f t="shared" si="47"/>
        <v>7639.8640868330904</v>
      </c>
      <c r="R83" s="20">
        <f t="shared" si="47"/>
        <v>9800.3568220825055</v>
      </c>
      <c r="S83" s="20">
        <f t="shared" si="47"/>
        <v>12170.727771842639</v>
      </c>
      <c r="T83" s="20">
        <f t="shared" si="47"/>
        <v>14782.554226990032</v>
      </c>
    </row>
    <row r="84" spans="1:20" x14ac:dyDescent="0.55000000000000004">
      <c r="B84" s="6" t="s">
        <v>1729</v>
      </c>
      <c r="C84" s="6"/>
      <c r="D84" s="6"/>
      <c r="E84" s="6"/>
      <c r="F84" s="6"/>
      <c r="G84" s="6"/>
      <c r="H84" s="6"/>
      <c r="I84" s="6"/>
      <c r="J84" s="6"/>
      <c r="K84" s="6"/>
      <c r="L84" s="382"/>
      <c r="M84" s="318">
        <f>M83/M78</f>
        <v>5.2925798411500975E-2</v>
      </c>
      <c r="N84" s="318">
        <f t="shared" ref="N84:T84" si="48">N83/N78</f>
        <v>0.7917362441072715</v>
      </c>
      <c r="O84" s="318">
        <f t="shared" si="48"/>
        <v>0.71770865532036521</v>
      </c>
      <c r="P84" s="318">
        <f t="shared" si="48"/>
        <v>0.79845455260422005</v>
      </c>
      <c r="Q84" s="318">
        <f t="shared" si="48"/>
        <v>0.81049770634712082</v>
      </c>
      <c r="R84" s="318">
        <f t="shared" si="48"/>
        <v>0.8218726285950243</v>
      </c>
      <c r="S84" s="318">
        <f t="shared" si="48"/>
        <v>0.83054592966724716</v>
      </c>
      <c r="T84" s="318">
        <f t="shared" si="48"/>
        <v>0.83732893592769608</v>
      </c>
    </row>
    <row r="85" spans="1:20" x14ac:dyDescent="0.55000000000000004">
      <c r="A85" s="10"/>
      <c r="B85" s="10" t="s">
        <v>1730</v>
      </c>
      <c r="C85" s="10"/>
      <c r="D85" s="10"/>
      <c r="E85" s="10"/>
      <c r="F85" s="10"/>
      <c r="G85" s="10"/>
      <c r="H85" s="10"/>
      <c r="I85" s="10"/>
      <c r="J85" s="10"/>
      <c r="K85" s="10"/>
      <c r="L85" s="303"/>
      <c r="M85" s="24">
        <f>연결정산표!S139/10^6-연결정산표!S146/10^6+연결정산표_우모건제외!G149/10^6+연결정산표_우모건제외!L145/10^6</f>
        <v>0.31261899999999998</v>
      </c>
      <c r="N85" s="24">
        <f>SUM(N86:N88)</f>
        <v>0</v>
      </c>
      <c r="O85" s="24">
        <f>SUM(O86:O88)</f>
        <v>0.31261899999999998</v>
      </c>
      <c r="P85" s="24">
        <f t="shared" ref="P85:T85" si="49">SUM(P86:P88)</f>
        <v>0</v>
      </c>
      <c r="Q85" s="24">
        <f t="shared" si="49"/>
        <v>0</v>
      </c>
      <c r="R85" s="24">
        <f t="shared" si="49"/>
        <v>0</v>
      </c>
      <c r="S85" s="24">
        <f t="shared" si="49"/>
        <v>0</v>
      </c>
      <c r="T85" s="24">
        <f t="shared" si="49"/>
        <v>0</v>
      </c>
    </row>
    <row r="86" spans="1:20" x14ac:dyDescent="0.55000000000000004">
      <c r="A86" s="10"/>
      <c r="B86" s="10"/>
      <c r="C86" s="10" t="s">
        <v>1731</v>
      </c>
      <c r="D86" s="10"/>
      <c r="E86" s="10"/>
      <c r="F86" s="10"/>
      <c r="G86" s="10"/>
      <c r="H86" s="10"/>
      <c r="I86" s="10"/>
      <c r="J86" s="10"/>
      <c r="K86" s="10"/>
      <c r="L86" s="303"/>
      <c r="M86" s="24">
        <f>연결정산표!S140/10^6</f>
        <v>9.1649999999999995E-3</v>
      </c>
      <c r="N86" s="24">
        <v>0</v>
      </c>
      <c r="O86" s="24">
        <f>N86+M86</f>
        <v>9.1649999999999995E-3</v>
      </c>
      <c r="P86" s="24">
        <v>0</v>
      </c>
      <c r="Q86" s="24">
        <v>0</v>
      </c>
      <c r="R86" s="24">
        <v>0</v>
      </c>
      <c r="S86" s="24">
        <v>0</v>
      </c>
      <c r="T86" s="24">
        <v>0</v>
      </c>
    </row>
    <row r="87" spans="1:20" x14ac:dyDescent="0.55000000000000004">
      <c r="A87" s="10"/>
      <c r="B87" s="10"/>
      <c r="C87" s="10" t="s">
        <v>1732</v>
      </c>
      <c r="D87" s="10"/>
      <c r="E87" s="10"/>
      <c r="F87" s="10"/>
      <c r="G87" s="10"/>
      <c r="H87" s="10"/>
      <c r="I87" s="10"/>
      <c r="J87" s="10"/>
      <c r="K87" s="10"/>
      <c r="L87" s="303"/>
      <c r="M87" s="24">
        <v>0</v>
      </c>
      <c r="N87" s="24">
        <v>0</v>
      </c>
      <c r="O87" s="24">
        <f t="shared" ref="O87:O88" si="50">N87+M87</f>
        <v>0</v>
      </c>
      <c r="P87" s="24">
        <v>0</v>
      </c>
      <c r="Q87" s="24">
        <v>0</v>
      </c>
      <c r="R87" s="24">
        <v>0</v>
      </c>
      <c r="S87" s="24">
        <v>0</v>
      </c>
      <c r="T87" s="24">
        <v>0</v>
      </c>
    </row>
    <row r="88" spans="1:20" x14ac:dyDescent="0.55000000000000004">
      <c r="A88" s="10"/>
      <c r="B88" s="10"/>
      <c r="C88" s="10" t="s">
        <v>93</v>
      </c>
      <c r="D88" s="10"/>
      <c r="E88" s="10"/>
      <c r="F88" s="10"/>
      <c r="G88" s="10"/>
      <c r="H88" s="10"/>
      <c r="I88" s="10"/>
      <c r="J88" s="10"/>
      <c r="K88" s="10"/>
      <c r="L88" s="303"/>
      <c r="M88" s="24">
        <f>M85-M86-M87</f>
        <v>0.303454</v>
      </c>
      <c r="N88" s="24">
        <v>0</v>
      </c>
      <c r="O88" s="24">
        <f t="shared" si="50"/>
        <v>0.303454</v>
      </c>
      <c r="P88" s="24">
        <v>0</v>
      </c>
      <c r="Q88" s="24">
        <v>0</v>
      </c>
      <c r="R88" s="24">
        <v>0</v>
      </c>
      <c r="S88" s="24">
        <v>0</v>
      </c>
      <c r="T88" s="24">
        <v>0</v>
      </c>
    </row>
    <row r="89" spans="1:20" x14ac:dyDescent="0.55000000000000004">
      <c r="B89" s="5" t="s">
        <v>1733</v>
      </c>
      <c r="C89" s="5"/>
      <c r="D89" s="5"/>
      <c r="E89" s="5"/>
      <c r="F89" s="5"/>
      <c r="G89" s="5"/>
      <c r="H89" s="5"/>
      <c r="I89" s="5"/>
      <c r="J89" s="5"/>
      <c r="K89" s="5"/>
      <c r="L89" s="376"/>
      <c r="M89" s="20">
        <f t="shared" ref="M89:T89" si="51">M83+M85</f>
        <v>14.170983999999992</v>
      </c>
      <c r="N89" s="20">
        <f t="shared" si="51"/>
        <v>1861.7069133753639</v>
      </c>
      <c r="O89" s="20">
        <f t="shared" si="51"/>
        <v>1875.8778973753635</v>
      </c>
      <c r="P89" s="20">
        <f t="shared" si="51"/>
        <v>5745.8997904570779</v>
      </c>
      <c r="Q89" s="20">
        <f t="shared" si="51"/>
        <v>7639.8640868330904</v>
      </c>
      <c r="R89" s="20">
        <f t="shared" si="51"/>
        <v>9800.3568220825055</v>
      </c>
      <c r="S89" s="20">
        <f t="shared" si="51"/>
        <v>12170.727771842639</v>
      </c>
      <c r="T89" s="20">
        <f t="shared" si="51"/>
        <v>14782.554226990032</v>
      </c>
    </row>
    <row r="90" spans="1:20" x14ac:dyDescent="0.55000000000000004">
      <c r="A90" s="10"/>
      <c r="B90" s="10" t="s">
        <v>1734</v>
      </c>
      <c r="C90" s="10"/>
      <c r="D90" s="10"/>
      <c r="E90" s="10"/>
      <c r="F90" s="10"/>
      <c r="G90" s="10"/>
      <c r="H90" s="10"/>
      <c r="I90" s="10"/>
      <c r="J90" s="10"/>
      <c r="K90" s="10"/>
      <c r="L90" s="458"/>
      <c r="M90" s="24">
        <v>0</v>
      </c>
      <c r="N90" s="25">
        <f>O90</f>
        <v>433.32779429370902</v>
      </c>
      <c r="O90" s="25">
        <f>IF(O89&lt;0,0,IF(O89&lt;2,O89*9%*1.1,IF(O89&lt;200,O89*19%*1.1,IF(O89&lt;3000,O89*21%*1.1,O89*24%*1.1))))</f>
        <v>433.32779429370902</v>
      </c>
      <c r="P90" s="25">
        <f t="shared" ref="P90" si="52">IF(P89&lt;0,0,IF(P89&lt;2,P89*9%*1.1,IF(P89&lt;200,P89*19%*1.1,IF(P89&lt;3000,P89*21%*1.1,P89*24%*1.1))))</f>
        <v>1516.9175446806685</v>
      </c>
      <c r="Q90" s="25">
        <f t="shared" ref="Q90" si="53">IF(Q89&lt;0,0,IF(Q89&lt;2,Q89*9%*1.1,IF(Q89&lt;200,Q89*19%*1.1,IF(Q89&lt;3000,Q89*21%*1.1,Q89*24%*1.1))))</f>
        <v>2016.924118923936</v>
      </c>
      <c r="R90" s="25">
        <f t="shared" ref="R90" si="54">IF(R89&lt;0,0,IF(R89&lt;2,R89*9%*1.1,IF(R89&lt;200,R89*19%*1.1,IF(R89&lt;3000,R89*21%*1.1,R89*24%*1.1))))</f>
        <v>2587.2942010297816</v>
      </c>
      <c r="S90" s="25">
        <f t="shared" ref="S90" si="55">IF(S89&lt;0,0,IF(S89&lt;2,S89*9%*1.1,IF(S89&lt;200,S89*19%*1.1,IF(S89&lt;3000,S89*21%*1.1,S89*24%*1.1))))</f>
        <v>3213.0721317664566</v>
      </c>
      <c r="T90" s="25">
        <f t="shared" ref="T90" si="56">IF(T89&lt;0,0,IF(T89&lt;2,T89*9%*1.1,IF(T89&lt;200,T89*19%*1.1,IF(T89&lt;3000,T89*21%*1.1,T89*24%*1.1))))</f>
        <v>3902.5943159253688</v>
      </c>
    </row>
    <row r="91" spans="1:20" x14ac:dyDescent="0.55000000000000004">
      <c r="A91" s="4"/>
      <c r="B91" s="5" t="s">
        <v>1735</v>
      </c>
      <c r="C91" s="5"/>
      <c r="D91" s="5"/>
      <c r="E91" s="5"/>
      <c r="F91" s="5"/>
      <c r="G91" s="5"/>
      <c r="H91" s="5"/>
      <c r="I91" s="5"/>
      <c r="J91" s="5"/>
      <c r="K91" s="5"/>
      <c r="L91" s="376"/>
      <c r="M91" s="20">
        <f>M89-M90</f>
        <v>14.170983999999992</v>
      </c>
      <c r="N91" s="20">
        <f t="shared" ref="N91:T91" si="57">N89-N90</f>
        <v>1428.3791190816548</v>
      </c>
      <c r="O91" s="20">
        <f t="shared" si="57"/>
        <v>1442.5501030816545</v>
      </c>
      <c r="P91" s="20">
        <f t="shared" si="57"/>
        <v>4228.9822457764094</v>
      </c>
      <c r="Q91" s="20">
        <f t="shared" si="57"/>
        <v>5622.9399679091548</v>
      </c>
      <c r="R91" s="20">
        <f t="shared" si="57"/>
        <v>7213.0626210527244</v>
      </c>
      <c r="S91" s="20">
        <f t="shared" si="57"/>
        <v>8957.6556400761838</v>
      </c>
      <c r="T91" s="20">
        <f t="shared" si="57"/>
        <v>10879.959911064663</v>
      </c>
    </row>
    <row r="92" spans="1:20" x14ac:dyDescent="0.55000000000000004">
      <c r="A92" s="3"/>
      <c r="B92" s="6" t="s">
        <v>1736</v>
      </c>
      <c r="C92" s="6"/>
      <c r="D92" s="6"/>
      <c r="E92" s="6"/>
      <c r="F92" s="6"/>
      <c r="G92" s="6"/>
      <c r="H92" s="6"/>
      <c r="I92" s="6"/>
      <c r="J92" s="6"/>
      <c r="K92" s="6"/>
      <c r="L92" s="382"/>
      <c r="M92" s="318">
        <f>M91/M$78</f>
        <v>5.4119706219067379E-2</v>
      </c>
      <c r="N92" s="318">
        <f t="shared" ref="N92:T92" si="58">N91/N$78</f>
        <v>0.60745303719831356</v>
      </c>
      <c r="O92" s="318">
        <f t="shared" si="58"/>
        <v>0.55200994956134186</v>
      </c>
      <c r="P92" s="318">
        <f t="shared" si="58"/>
        <v>0.58766255071670592</v>
      </c>
      <c r="Q92" s="318">
        <f t="shared" si="58"/>
        <v>0.59652631187148097</v>
      </c>
      <c r="R92" s="318">
        <f t="shared" si="58"/>
        <v>0.60489825464593794</v>
      </c>
      <c r="S92" s="318">
        <f t="shared" si="58"/>
        <v>0.61128180423509393</v>
      </c>
      <c r="T92" s="318">
        <f t="shared" si="58"/>
        <v>0.61627409684278422</v>
      </c>
    </row>
    <row r="93" spans="1:20" x14ac:dyDescent="0.55000000000000004">
      <c r="B93" s="1" t="s">
        <v>78</v>
      </c>
      <c r="L93" s="303"/>
      <c r="M93" s="24">
        <f>NOVA!M10</f>
        <v>2.132428</v>
      </c>
      <c r="N93" s="24">
        <f>NOVA!N10</f>
        <v>10.863411812152076</v>
      </c>
      <c r="O93" s="24">
        <f>NOVA!O10</f>
        <v>12.995839812152077</v>
      </c>
      <c r="P93" s="24">
        <f>NOVA!P10</f>
        <v>20.049995958318142</v>
      </c>
      <c r="Q93" s="24">
        <f>NOVA!Q10</f>
        <v>18.010901344359215</v>
      </c>
      <c r="R93" s="24">
        <f>NOVA!R10</f>
        <v>16.179183672187207</v>
      </c>
      <c r="S93" s="24">
        <f>NOVA!S10</f>
        <v>14.533752603133934</v>
      </c>
      <c r="T93" s="24">
        <f>NOVA!T10</f>
        <v>13.055662696518908</v>
      </c>
    </row>
    <row r="94" spans="1:20" x14ac:dyDescent="0.55000000000000004">
      <c r="A94" s="4"/>
      <c r="B94" s="5" t="s">
        <v>79</v>
      </c>
      <c r="C94" s="5"/>
      <c r="D94" s="5"/>
      <c r="E94" s="5"/>
      <c r="F94" s="5"/>
      <c r="G94" s="5"/>
      <c r="H94" s="5"/>
      <c r="I94" s="5"/>
      <c r="J94" s="5"/>
      <c r="K94" s="5"/>
      <c r="L94" s="376"/>
      <c r="M94" s="20">
        <f>M83+M93</f>
        <v>15.990792999999993</v>
      </c>
      <c r="N94" s="20">
        <f t="shared" ref="N94:T94" si="59">N83+N93</f>
        <v>1872.5703251875159</v>
      </c>
      <c r="O94" s="20">
        <f t="shared" si="59"/>
        <v>1888.5611181875156</v>
      </c>
      <c r="P94" s="20">
        <f t="shared" si="59"/>
        <v>5765.9497864153964</v>
      </c>
      <c r="Q94" s="20">
        <f t="shared" si="59"/>
        <v>7657.8749881774493</v>
      </c>
      <c r="R94" s="20">
        <f t="shared" si="59"/>
        <v>9816.5360057546932</v>
      </c>
      <c r="S94" s="20">
        <f t="shared" si="59"/>
        <v>12185.261524445774</v>
      </c>
      <c r="T94" s="20">
        <f t="shared" si="59"/>
        <v>14795.609889686551</v>
      </c>
    </row>
    <row r="95" spans="1:20" x14ac:dyDescent="0.55000000000000004">
      <c r="A95" s="3"/>
      <c r="B95" s="3" t="s">
        <v>1737</v>
      </c>
      <c r="C95" s="3"/>
      <c r="D95" s="3"/>
      <c r="E95" s="3"/>
      <c r="F95" s="3"/>
      <c r="G95" s="3"/>
      <c r="H95" s="3"/>
      <c r="I95" s="3"/>
      <c r="J95" s="3"/>
      <c r="K95" s="3"/>
      <c r="L95" s="369"/>
      <c r="M95" s="232">
        <f>M94/M$78</f>
        <v>6.1069649035657599E-2</v>
      </c>
      <c r="N95" s="232">
        <f t="shared" ref="N95:T95" si="60">N94/N$78</f>
        <v>0.79635617477656784</v>
      </c>
      <c r="O95" s="232">
        <f t="shared" si="60"/>
        <v>0.72268167696022934</v>
      </c>
      <c r="P95" s="232">
        <f t="shared" si="60"/>
        <v>0.80124071510903849</v>
      </c>
      <c r="Q95" s="232">
        <f t="shared" si="60"/>
        <v>0.81240844638947385</v>
      </c>
      <c r="R95" s="232">
        <f t="shared" si="60"/>
        <v>0.82322943921473768</v>
      </c>
      <c r="S95" s="232">
        <f t="shared" si="60"/>
        <v>0.83153773141432508</v>
      </c>
      <c r="T95" s="232">
        <f t="shared" si="60"/>
        <v>0.83806844846292139</v>
      </c>
    </row>
    <row r="96" spans="1:20" x14ac:dyDescent="0.55000000000000004">
      <c r="A96" s="3"/>
      <c r="B96" s="829" t="s">
        <v>2146</v>
      </c>
      <c r="C96" s="828"/>
      <c r="D96" s="828"/>
      <c r="E96" s="828"/>
      <c r="F96" s="828"/>
      <c r="G96" s="828"/>
      <c r="H96" s="828"/>
      <c r="I96" s="828"/>
      <c r="J96" s="828"/>
      <c r="K96" s="828"/>
      <c r="L96" s="830"/>
      <c r="M96" s="321">
        <f>M94</f>
        <v>15.990792999999993</v>
      </c>
      <c r="N96" s="321">
        <f t="shared" ref="N96:T96" si="61">N94</f>
        <v>1872.5703251875159</v>
      </c>
      <c r="O96" s="321">
        <f t="shared" si="61"/>
        <v>1888.5611181875156</v>
      </c>
      <c r="P96" s="321">
        <f t="shared" si="61"/>
        <v>5765.9497864153964</v>
      </c>
      <c r="Q96" s="321">
        <f t="shared" si="61"/>
        <v>7657.8749881774493</v>
      </c>
      <c r="R96" s="321">
        <f t="shared" si="61"/>
        <v>9816.5360057546932</v>
      </c>
      <c r="S96" s="321">
        <f t="shared" si="61"/>
        <v>12185.261524445774</v>
      </c>
      <c r="T96" s="321">
        <f t="shared" si="61"/>
        <v>14795.609889686551</v>
      </c>
    </row>
    <row r="97" spans="1:20" x14ac:dyDescent="0.55000000000000004">
      <c r="B97" s="17" t="s">
        <v>2149</v>
      </c>
      <c r="C97" s="15"/>
      <c r="D97" s="15"/>
      <c r="E97" s="15"/>
      <c r="F97" s="15"/>
      <c r="G97" s="15"/>
      <c r="H97" s="15"/>
      <c r="I97" s="15"/>
      <c r="J97" s="15"/>
      <c r="K97" s="15"/>
      <c r="L97" s="431"/>
      <c r="M97" s="298">
        <f>M95</f>
        <v>6.1069649035657599E-2</v>
      </c>
      <c r="N97" s="298">
        <f t="shared" ref="N97:T97" si="62">N95</f>
        <v>0.79635617477656784</v>
      </c>
      <c r="O97" s="298">
        <f t="shared" si="62"/>
        <v>0.72268167696022934</v>
      </c>
      <c r="P97" s="298">
        <f t="shared" si="62"/>
        <v>0.80124071510903849</v>
      </c>
      <c r="Q97" s="298">
        <f t="shared" si="62"/>
        <v>0.81240844638947385</v>
      </c>
      <c r="R97" s="298">
        <f t="shared" si="62"/>
        <v>0.82322943921473768</v>
      </c>
      <c r="S97" s="298">
        <f t="shared" si="62"/>
        <v>0.83153773141432508</v>
      </c>
      <c r="T97" s="298">
        <f t="shared" si="62"/>
        <v>0.83806844846292139</v>
      </c>
    </row>
    <row r="99" spans="1:20" x14ac:dyDescent="0.55000000000000004">
      <c r="A99" s="841" t="s">
        <v>1463</v>
      </c>
      <c r="B99" s="842"/>
      <c r="C99" s="842"/>
      <c r="D99" s="842"/>
      <c r="E99" s="842"/>
      <c r="F99" s="842"/>
      <c r="G99" s="842"/>
      <c r="H99" s="842"/>
      <c r="I99" s="842"/>
      <c r="J99" s="842"/>
      <c r="K99" s="842"/>
      <c r="L99" s="843"/>
      <c r="M99" s="843"/>
      <c r="N99" s="842"/>
      <c r="O99" s="842"/>
      <c r="P99" s="842"/>
      <c r="Q99" s="842"/>
      <c r="R99" s="842"/>
      <c r="S99" s="842"/>
      <c r="T99" s="842"/>
    </row>
    <row r="101" spans="1:20" x14ac:dyDescent="0.55000000000000004">
      <c r="B101" s="844"/>
      <c r="C101" s="844"/>
      <c r="D101" s="844"/>
      <c r="E101" s="844"/>
      <c r="F101" s="844"/>
      <c r="G101" s="844"/>
      <c r="H101" s="844"/>
      <c r="I101" s="844"/>
      <c r="J101" s="844"/>
      <c r="K101" s="844"/>
      <c r="L101" s="845" t="s">
        <v>2</v>
      </c>
      <c r="M101" s="845" t="s">
        <v>3</v>
      </c>
      <c r="N101" s="845" t="s">
        <v>4</v>
      </c>
      <c r="O101" s="845" t="s">
        <v>5</v>
      </c>
      <c r="P101" s="845" t="s">
        <v>6</v>
      </c>
      <c r="Q101" s="845" t="s">
        <v>7</v>
      </c>
      <c r="R101" s="845" t="s">
        <v>8</v>
      </c>
      <c r="S101" s="845" t="s">
        <v>9</v>
      </c>
      <c r="T101" s="845" t="s">
        <v>1480</v>
      </c>
    </row>
    <row r="102" spans="1:20" x14ac:dyDescent="0.55000000000000004">
      <c r="B102" s="12" t="s">
        <v>1726</v>
      </c>
      <c r="C102" s="12"/>
      <c r="D102" s="12"/>
      <c r="E102" s="12"/>
      <c r="F102" s="12"/>
      <c r="G102" s="12"/>
      <c r="H102" s="12"/>
      <c r="I102" s="12"/>
      <c r="J102" s="12"/>
      <c r="K102" s="12"/>
      <c r="L102" s="302"/>
      <c r="M102" s="18">
        <f>TTA!M6</f>
        <v>5406.0863570000001</v>
      </c>
      <c r="N102" s="18">
        <f>TTA!N6</f>
        <v>7433.9256865848574</v>
      </c>
      <c r="O102" s="18">
        <f>TTA!O6</f>
        <v>12840.012043584858</v>
      </c>
      <c r="P102" s="18">
        <f>TTA!P6</f>
        <v>15717.110058274176</v>
      </c>
      <c r="Q102" s="18">
        <f>TTA!Q6</f>
        <v>18711.430492295651</v>
      </c>
      <c r="R102" s="18">
        <f>TTA!R6</f>
        <v>21872.722647118819</v>
      </c>
      <c r="S102" s="18">
        <f>TTA!S6</f>
        <v>25109.255182074252</v>
      </c>
      <c r="T102" s="18">
        <f>TTA!T6</f>
        <v>28476.636112563181</v>
      </c>
    </row>
    <row r="103" spans="1:20" x14ac:dyDescent="0.55000000000000004">
      <c r="B103" s="1" t="s">
        <v>1727</v>
      </c>
      <c r="L103" s="329"/>
      <c r="M103" s="19">
        <f>TTA!M7</f>
        <v>1920.4115469999997</v>
      </c>
      <c r="N103" s="19">
        <f>TTA!N7</f>
        <v>4726.7597760839299</v>
      </c>
      <c r="O103" s="19">
        <f>TTA!O7</f>
        <v>6647.1713230839305</v>
      </c>
      <c r="P103" s="19">
        <f>TTA!P7</f>
        <v>9866.0859817561286</v>
      </c>
      <c r="Q103" s="19">
        <f>TTA!Q7</f>
        <v>10872.232276699526</v>
      </c>
      <c r="R103" s="19">
        <f>TTA!R7</f>
        <v>12592.675148519987</v>
      </c>
      <c r="S103" s="19">
        <f>TTA!S7</f>
        <v>14351.490854493959</v>
      </c>
      <c r="T103" s="19">
        <f>TTA!T7</f>
        <v>16181.755033178042</v>
      </c>
    </row>
    <row r="104" spans="1:20" x14ac:dyDescent="0.55000000000000004">
      <c r="C104" s="1" t="s">
        <v>90</v>
      </c>
      <c r="L104" s="329"/>
      <c r="M104" s="19">
        <f>TTA!M35</f>
        <v>49.697536999999997</v>
      </c>
      <c r="N104" s="19">
        <f>TTA!N35</f>
        <v>168.05591090909093</v>
      </c>
      <c r="O104" s="19">
        <f>TTA!O35</f>
        <v>217.75344790909094</v>
      </c>
      <c r="P104" s="19">
        <f>TTA!P35</f>
        <v>935.90182400467086</v>
      </c>
      <c r="Q104" s="19">
        <f>TTA!Q35</f>
        <v>1048.2497867511306</v>
      </c>
      <c r="R104" s="19">
        <f>TTA!R35</f>
        <v>1173.9081114158867</v>
      </c>
      <c r="S104" s="19">
        <f>TTA!S35</f>
        <v>1300.3381805442416</v>
      </c>
      <c r="T104" s="19">
        <f>TTA!T35</f>
        <v>1432.9599529977545</v>
      </c>
    </row>
    <row r="105" spans="1:20" x14ac:dyDescent="0.55000000000000004">
      <c r="C105" s="1" t="s">
        <v>91</v>
      </c>
      <c r="L105" s="329"/>
      <c r="M105" s="19">
        <f>TTA!M36</f>
        <v>1662.9043499999998</v>
      </c>
      <c r="N105" s="19">
        <f>TTA!N36</f>
        <v>4348.7068987428393</v>
      </c>
      <c r="O105" s="19">
        <f>TTA!O36</f>
        <v>6011.6112487428391</v>
      </c>
      <c r="P105" s="19">
        <f>TTA!P36</f>
        <v>8503.4346115332028</v>
      </c>
      <c r="Q105" s="19">
        <f>TTA!Q36</f>
        <v>9390.5132380531268</v>
      </c>
      <c r="R105" s="19">
        <f>TTA!R36</f>
        <v>10977.038428708307</v>
      </c>
      <c r="S105" s="19">
        <f>TTA!S36</f>
        <v>12601.323735350288</v>
      </c>
      <c r="T105" s="19">
        <f>TTA!T36</f>
        <v>14291.276580930105</v>
      </c>
    </row>
    <row r="106" spans="1:20" x14ac:dyDescent="0.55000000000000004">
      <c r="C106" s="1" t="s">
        <v>92</v>
      </c>
      <c r="L106" s="329"/>
      <c r="M106" s="19">
        <f>TTA!M37</f>
        <v>207.80966000000001</v>
      </c>
      <c r="N106" s="19">
        <f>TTA!N37</f>
        <v>209.99696643200002</v>
      </c>
      <c r="O106" s="19">
        <f>TTA!O37</f>
        <v>417.80662643200003</v>
      </c>
      <c r="P106" s="19">
        <f>TTA!P37</f>
        <v>426.7495462182535</v>
      </c>
      <c r="Q106" s="19">
        <f>TTA!Q37</f>
        <v>433.46925189526968</v>
      </c>
      <c r="R106" s="19">
        <f>TTA!R37</f>
        <v>441.72860839579312</v>
      </c>
      <c r="S106" s="19">
        <f>TTA!S37</f>
        <v>449.82893859942914</v>
      </c>
      <c r="T106" s="19">
        <f>TTA!T37</f>
        <v>457.51849925018121</v>
      </c>
    </row>
    <row r="107" spans="1:20" x14ac:dyDescent="0.55000000000000004">
      <c r="B107" s="5" t="s">
        <v>1728</v>
      </c>
      <c r="C107" s="5"/>
      <c r="D107" s="5"/>
      <c r="E107" s="5"/>
      <c r="F107" s="5"/>
      <c r="G107" s="5"/>
      <c r="H107" s="5"/>
      <c r="I107" s="5"/>
      <c r="J107" s="5"/>
      <c r="K107" s="5"/>
      <c r="L107" s="376"/>
      <c r="M107" s="20">
        <f>M102-M103</f>
        <v>3485.6748100000004</v>
      </c>
      <c r="N107" s="20">
        <f t="shared" ref="N107:T107" si="63">N102-N103</f>
        <v>2707.1659105009276</v>
      </c>
      <c r="O107" s="20">
        <f t="shared" si="63"/>
        <v>6192.840720500928</v>
      </c>
      <c r="P107" s="20">
        <f t="shared" si="63"/>
        <v>5851.0240765180479</v>
      </c>
      <c r="Q107" s="20">
        <f t="shared" si="63"/>
        <v>7839.198215596125</v>
      </c>
      <c r="R107" s="20">
        <f t="shared" si="63"/>
        <v>9280.0474985988312</v>
      </c>
      <c r="S107" s="20">
        <f t="shared" si="63"/>
        <v>10757.764327580293</v>
      </c>
      <c r="T107" s="20">
        <f t="shared" si="63"/>
        <v>12294.881079385139</v>
      </c>
    </row>
    <row r="108" spans="1:20" x14ac:dyDescent="0.55000000000000004">
      <c r="B108" s="6" t="s">
        <v>1729</v>
      </c>
      <c r="C108" s="6"/>
      <c r="D108" s="6"/>
      <c r="E108" s="6"/>
      <c r="F108" s="6"/>
      <c r="G108" s="6"/>
      <c r="H108" s="6"/>
      <c r="I108" s="6"/>
      <c r="J108" s="6"/>
      <c r="K108" s="6"/>
      <c r="L108" s="382"/>
      <c r="M108" s="318">
        <f>M107/M102</f>
        <v>0.64476861445001155</v>
      </c>
      <c r="N108" s="318">
        <f t="shared" ref="N108:T108" si="64">N107/N102</f>
        <v>0.36416370362515671</v>
      </c>
      <c r="O108" s="318">
        <f t="shared" si="64"/>
        <v>0.48230801493640357</v>
      </c>
      <c r="P108" s="318">
        <f t="shared" si="64"/>
        <v>0.37227098714867191</v>
      </c>
      <c r="Q108" s="318">
        <f t="shared" si="64"/>
        <v>0.41895237346091097</v>
      </c>
      <c r="R108" s="318">
        <f t="shared" si="64"/>
        <v>0.42427491301917297</v>
      </c>
      <c r="S108" s="318">
        <f t="shared" si="64"/>
        <v>0.42843820932053645</v>
      </c>
      <c r="T108" s="318">
        <f t="shared" si="64"/>
        <v>0.43175328120869388</v>
      </c>
    </row>
    <row r="109" spans="1:20" x14ac:dyDescent="0.55000000000000004">
      <c r="A109" s="10"/>
      <c r="B109" s="10" t="s">
        <v>1730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303"/>
      <c r="M109" s="24">
        <f>연결정산표!R139/10^6-연결정산표!R146/10^6</f>
        <v>6.7449999999999996E-2</v>
      </c>
      <c r="N109" s="24">
        <f>SUM(N110:N112)</f>
        <v>0</v>
      </c>
      <c r="O109" s="24">
        <f>SUM(O110:O112)</f>
        <v>6.7449999999999996E-2</v>
      </c>
      <c r="P109" s="24">
        <f t="shared" ref="P109:T109" si="65">SUM(P110:P112)</f>
        <v>0</v>
      </c>
      <c r="Q109" s="24">
        <f t="shared" si="65"/>
        <v>0</v>
      </c>
      <c r="R109" s="24">
        <f t="shared" si="65"/>
        <v>0</v>
      </c>
      <c r="S109" s="24">
        <f t="shared" si="65"/>
        <v>0</v>
      </c>
      <c r="T109" s="24">
        <f t="shared" si="65"/>
        <v>0</v>
      </c>
    </row>
    <row r="110" spans="1:20" x14ac:dyDescent="0.55000000000000004">
      <c r="A110" s="10"/>
      <c r="B110" s="10"/>
      <c r="C110" s="10" t="s">
        <v>1731</v>
      </c>
      <c r="D110" s="10"/>
      <c r="E110" s="10"/>
      <c r="F110" s="10"/>
      <c r="G110" s="10"/>
      <c r="H110" s="10"/>
      <c r="I110" s="10"/>
      <c r="J110" s="10"/>
      <c r="K110" s="10"/>
      <c r="L110" s="303"/>
      <c r="M110" s="24">
        <f>연결정산표!R140/10^6</f>
        <v>6.2264E-2</v>
      </c>
      <c r="N110" s="24">
        <v>0</v>
      </c>
      <c r="O110" s="24">
        <f>N110+M110</f>
        <v>6.2264E-2</v>
      </c>
      <c r="P110" s="24">
        <v>0</v>
      </c>
      <c r="Q110" s="24">
        <v>0</v>
      </c>
      <c r="R110" s="24">
        <v>0</v>
      </c>
      <c r="S110" s="24">
        <v>0</v>
      </c>
      <c r="T110" s="24">
        <v>0</v>
      </c>
    </row>
    <row r="111" spans="1:20" x14ac:dyDescent="0.55000000000000004">
      <c r="A111" s="10"/>
      <c r="B111" s="10"/>
      <c r="C111" s="10" t="s">
        <v>1732</v>
      </c>
      <c r="D111" s="10"/>
      <c r="E111" s="10"/>
      <c r="F111" s="10"/>
      <c r="G111" s="10"/>
      <c r="H111" s="10"/>
      <c r="I111" s="10"/>
      <c r="J111" s="10"/>
      <c r="K111" s="10"/>
      <c r="L111" s="303"/>
      <c r="M111" s="24">
        <v>0</v>
      </c>
      <c r="N111" s="24">
        <v>0</v>
      </c>
      <c r="O111" s="24">
        <f t="shared" ref="O111:O112" si="66">N111+M111</f>
        <v>0</v>
      </c>
      <c r="P111" s="24">
        <v>0</v>
      </c>
      <c r="Q111" s="24">
        <v>0</v>
      </c>
      <c r="R111" s="24">
        <v>0</v>
      </c>
      <c r="S111" s="24">
        <v>0</v>
      </c>
      <c r="T111" s="24">
        <v>0</v>
      </c>
    </row>
    <row r="112" spans="1:20" x14ac:dyDescent="0.55000000000000004">
      <c r="A112" s="10"/>
      <c r="B112" s="10"/>
      <c r="C112" s="10" t="s">
        <v>93</v>
      </c>
      <c r="D112" s="10"/>
      <c r="E112" s="10"/>
      <c r="F112" s="10"/>
      <c r="G112" s="10"/>
      <c r="H112" s="10"/>
      <c r="I112" s="10"/>
      <c r="J112" s="10"/>
      <c r="K112" s="10"/>
      <c r="L112" s="303"/>
      <c r="M112" s="24">
        <f>M109-M110-M111</f>
        <v>5.1859999999999962E-3</v>
      </c>
      <c r="N112" s="24">
        <v>0</v>
      </c>
      <c r="O112" s="24">
        <f t="shared" si="66"/>
        <v>5.1859999999999962E-3</v>
      </c>
      <c r="P112" s="24">
        <v>0</v>
      </c>
      <c r="Q112" s="24">
        <v>0</v>
      </c>
      <c r="R112" s="24">
        <v>0</v>
      </c>
      <c r="S112" s="24">
        <v>0</v>
      </c>
      <c r="T112" s="24">
        <v>0</v>
      </c>
    </row>
    <row r="113" spans="1:20" x14ac:dyDescent="0.55000000000000004">
      <c r="B113" s="5" t="s">
        <v>1733</v>
      </c>
      <c r="C113" s="5"/>
      <c r="D113" s="5"/>
      <c r="E113" s="5"/>
      <c r="F113" s="5"/>
      <c r="G113" s="5"/>
      <c r="H113" s="5"/>
      <c r="I113" s="5"/>
      <c r="J113" s="5"/>
      <c r="K113" s="5"/>
      <c r="L113" s="376"/>
      <c r="M113" s="20">
        <f>M107+M109</f>
        <v>3485.7422600000004</v>
      </c>
      <c r="N113" s="20">
        <f t="shared" ref="N113:T113" si="67">N107+N109</f>
        <v>2707.1659105009276</v>
      </c>
      <c r="O113" s="20">
        <f t="shared" si="67"/>
        <v>6192.9081705009276</v>
      </c>
      <c r="P113" s="20">
        <f t="shared" si="67"/>
        <v>5851.0240765180479</v>
      </c>
      <c r="Q113" s="20">
        <f t="shared" si="67"/>
        <v>7839.198215596125</v>
      </c>
      <c r="R113" s="20">
        <f t="shared" si="67"/>
        <v>9280.0474985988312</v>
      </c>
      <c r="S113" s="20">
        <f t="shared" si="67"/>
        <v>10757.764327580293</v>
      </c>
      <c r="T113" s="20">
        <f t="shared" si="67"/>
        <v>12294.881079385139</v>
      </c>
    </row>
    <row r="114" spans="1:20" x14ac:dyDescent="0.55000000000000004">
      <c r="A114" s="10"/>
      <c r="B114" s="10" t="s">
        <v>1734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458"/>
      <c r="M114" s="24">
        <v>0</v>
      </c>
      <c r="N114" s="25">
        <f>O114</f>
        <v>1634.9277570122449</v>
      </c>
      <c r="O114" s="25">
        <f>IF(O113&lt;0,0,IF(O113&lt;2,O113*9%*1.1,IF(O113&lt;200,O113*19%*1.1,IF(O113&lt;3000,O113*21%*1.1,O113*24%*1.1))))</f>
        <v>1634.9277570122449</v>
      </c>
      <c r="P114" s="25">
        <f t="shared" ref="P114" si="68">IF(P113&lt;0,0,IF(P113&lt;2,P113*9%*1.1,IF(P113&lt;200,P113*19%*1.1,IF(P113&lt;3000,P113*21%*1.1,P113*24%*1.1))))</f>
        <v>1544.6703562007647</v>
      </c>
      <c r="Q114" s="25">
        <f t="shared" ref="Q114" si="69">IF(Q113&lt;0,0,IF(Q113&lt;2,Q113*9%*1.1,IF(Q113&lt;200,Q113*19%*1.1,IF(Q113&lt;3000,Q113*21%*1.1,Q113*24%*1.1))))</f>
        <v>2069.5483289173771</v>
      </c>
      <c r="R114" s="25">
        <f t="shared" ref="R114" si="70">IF(R113&lt;0,0,IF(R113&lt;2,R113*9%*1.1,IF(R113&lt;200,R113*19%*1.1,IF(R113&lt;3000,R113*21%*1.1,R113*24%*1.1))))</f>
        <v>2449.9325396300915</v>
      </c>
      <c r="S114" s="25">
        <f t="shared" ref="S114" si="71">IF(S113&lt;0,0,IF(S113&lt;2,S113*9%*1.1,IF(S113&lt;200,S113*19%*1.1,IF(S113&lt;3000,S113*21%*1.1,S113*24%*1.1))))</f>
        <v>2840.0497824811973</v>
      </c>
      <c r="T114" s="25">
        <f t="shared" ref="T114" si="72">IF(T113&lt;0,0,IF(T113&lt;2,T113*9%*1.1,IF(T113&lt;200,T113*19%*1.1,IF(T113&lt;3000,T113*21%*1.1,T113*24%*1.1))))</f>
        <v>3245.8486049576768</v>
      </c>
    </row>
    <row r="115" spans="1:20" x14ac:dyDescent="0.55000000000000004">
      <c r="A115" s="4"/>
      <c r="B115" s="5" t="s">
        <v>1735</v>
      </c>
      <c r="C115" s="5"/>
      <c r="D115" s="5"/>
      <c r="E115" s="5"/>
      <c r="F115" s="5"/>
      <c r="G115" s="5"/>
      <c r="H115" s="5"/>
      <c r="I115" s="5"/>
      <c r="J115" s="5"/>
      <c r="K115" s="5"/>
      <c r="L115" s="376"/>
      <c r="M115" s="20">
        <f>M113-M114</f>
        <v>3485.7422600000004</v>
      </c>
      <c r="N115" s="20">
        <f t="shared" ref="N115:T115" si="73">N113-N114</f>
        <v>1072.2381534886827</v>
      </c>
      <c r="O115" s="20">
        <f t="shared" si="73"/>
        <v>4557.9804134886826</v>
      </c>
      <c r="P115" s="20">
        <f t="shared" si="73"/>
        <v>4306.3537203172837</v>
      </c>
      <c r="Q115" s="20">
        <f t="shared" si="73"/>
        <v>5769.6498866787479</v>
      </c>
      <c r="R115" s="20">
        <f t="shared" si="73"/>
        <v>6830.1149589687393</v>
      </c>
      <c r="S115" s="20">
        <f t="shared" si="73"/>
        <v>7917.7145450990956</v>
      </c>
      <c r="T115" s="20">
        <f t="shared" si="73"/>
        <v>9049.0324744274621</v>
      </c>
    </row>
    <row r="116" spans="1:20" x14ac:dyDescent="0.55000000000000004">
      <c r="A116" s="3"/>
      <c r="B116" s="6" t="s">
        <v>1736</v>
      </c>
      <c r="C116" s="6"/>
      <c r="D116" s="6"/>
      <c r="E116" s="6"/>
      <c r="F116" s="6"/>
      <c r="G116" s="6"/>
      <c r="H116" s="6"/>
      <c r="I116" s="6"/>
      <c r="J116" s="6"/>
      <c r="K116" s="6"/>
      <c r="L116" s="382"/>
      <c r="M116" s="318">
        <f>M115/M$102</f>
        <v>0.644781091128249</v>
      </c>
      <c r="N116" s="318">
        <f t="shared" ref="N116:T116" si="74">N115/N$102</f>
        <v>0.1442357912487108</v>
      </c>
      <c r="O116" s="318">
        <f t="shared" si="74"/>
        <v>0.35498256528240141</v>
      </c>
      <c r="P116" s="318">
        <f t="shared" si="74"/>
        <v>0.27399144654142255</v>
      </c>
      <c r="Q116" s="318">
        <f t="shared" si="74"/>
        <v>0.30834894686723047</v>
      </c>
      <c r="R116" s="318">
        <f t="shared" si="74"/>
        <v>0.31226633598211129</v>
      </c>
      <c r="S116" s="318">
        <f t="shared" si="74"/>
        <v>0.31533052205991485</v>
      </c>
      <c r="T116" s="318">
        <f t="shared" si="74"/>
        <v>0.31777041496959868</v>
      </c>
    </row>
    <row r="117" spans="1:20" x14ac:dyDescent="0.55000000000000004">
      <c r="B117" s="1" t="s">
        <v>78</v>
      </c>
      <c r="L117" s="303"/>
      <c r="M117" s="24">
        <f>TTA!M10</f>
        <v>0.93223199999999995</v>
      </c>
      <c r="N117" s="24">
        <f>TTA!N10</f>
        <v>3.1195384320000001</v>
      </c>
      <c r="O117" s="24">
        <f>TTA!O10</f>
        <v>4.0517704319999996</v>
      </c>
      <c r="P117" s="24">
        <f>TTA!P10</f>
        <v>6.1107690029506561</v>
      </c>
      <c r="Q117" s="24">
        <f>TTA!Q10</f>
        <v>5.2589766900913579</v>
      </c>
      <c r="R117" s="24">
        <f>TTA!R10</f>
        <v>4.5259174113061444</v>
      </c>
      <c r="S117" s="24">
        <f>TTA!S10</f>
        <v>4.319396486236954</v>
      </c>
      <c r="T117" s="24">
        <f>TTA!T10</f>
        <v>3.2929514164998164</v>
      </c>
    </row>
    <row r="118" spans="1:20" x14ac:dyDescent="0.55000000000000004">
      <c r="A118" s="4"/>
      <c r="B118" s="5" t="s">
        <v>79</v>
      </c>
      <c r="C118" s="5"/>
      <c r="D118" s="5"/>
      <c r="E118" s="5"/>
      <c r="F118" s="5"/>
      <c r="G118" s="5"/>
      <c r="H118" s="5"/>
      <c r="I118" s="5"/>
      <c r="J118" s="5"/>
      <c r="K118" s="5"/>
      <c r="L118" s="376"/>
      <c r="M118" s="20">
        <f>M117+M107</f>
        <v>3486.6070420000005</v>
      </c>
      <c r="N118" s="20">
        <f t="shared" ref="N118:T118" si="75">N117+N107</f>
        <v>2710.2854489329275</v>
      </c>
      <c r="O118" s="20">
        <f t="shared" si="75"/>
        <v>6196.892490932928</v>
      </c>
      <c r="P118" s="20">
        <f t="shared" si="75"/>
        <v>5857.1348455209982</v>
      </c>
      <c r="Q118" s="20">
        <f t="shared" si="75"/>
        <v>7844.457192286216</v>
      </c>
      <c r="R118" s="20">
        <f t="shared" si="75"/>
        <v>9284.5734160101365</v>
      </c>
      <c r="S118" s="20">
        <f t="shared" si="75"/>
        <v>10762.08372406653</v>
      </c>
      <c r="T118" s="20">
        <f t="shared" si="75"/>
        <v>12298.174030801638</v>
      </c>
    </row>
    <row r="119" spans="1:20" x14ac:dyDescent="0.55000000000000004">
      <c r="A119" s="3"/>
      <c r="B119" s="3" t="s">
        <v>1737</v>
      </c>
      <c r="C119" s="3"/>
      <c r="D119" s="3"/>
      <c r="E119" s="3"/>
      <c r="F119" s="3"/>
      <c r="G119" s="3"/>
      <c r="H119" s="3"/>
      <c r="I119" s="3"/>
      <c r="J119" s="3"/>
      <c r="K119" s="3"/>
      <c r="L119" s="369"/>
      <c r="M119" s="232">
        <f>M118/M102</f>
        <v>0.64494105564655158</v>
      </c>
      <c r="N119" s="232">
        <f t="shared" ref="N119:T119" si="76">N118/N102</f>
        <v>0.36458333903227808</v>
      </c>
      <c r="O119" s="232">
        <f t="shared" si="76"/>
        <v>0.48262357308527809</v>
      </c>
      <c r="P119" s="232">
        <f t="shared" si="76"/>
        <v>0.37265978438813219</v>
      </c>
      <c r="Q119" s="232">
        <f t="shared" si="76"/>
        <v>0.41923343036312144</v>
      </c>
      <c r="R119" s="232">
        <f t="shared" si="76"/>
        <v>0.42448183364283393</v>
      </c>
      <c r="S119" s="232">
        <f t="shared" si="76"/>
        <v>0.42861023339910492</v>
      </c>
      <c r="T119" s="232">
        <f t="shared" si="76"/>
        <v>0.43186891816115847</v>
      </c>
    </row>
    <row r="120" spans="1:20" x14ac:dyDescent="0.55000000000000004">
      <c r="A120" s="3"/>
      <c r="B120" s="829" t="s">
        <v>2146</v>
      </c>
      <c r="C120" s="828"/>
      <c r="D120" s="828"/>
      <c r="E120" s="828"/>
      <c r="F120" s="828"/>
      <c r="G120" s="828"/>
      <c r="H120" s="828"/>
      <c r="I120" s="828"/>
      <c r="J120" s="828"/>
      <c r="K120" s="828"/>
      <c r="L120" s="830"/>
      <c r="M120" s="321">
        <f>TTA!M13</f>
        <v>1886.6070420000005</v>
      </c>
      <c r="N120" s="321">
        <f>TTA!N13</f>
        <v>2710.2854489329275</v>
      </c>
      <c r="O120" s="321">
        <f>TTA!O13</f>
        <v>4596.892490932928</v>
      </c>
      <c r="P120" s="321">
        <f>TTA!P13</f>
        <v>5857.1348455209982</v>
      </c>
      <c r="Q120" s="321">
        <f>TTA!Q13</f>
        <v>7844.457192286216</v>
      </c>
      <c r="R120" s="321">
        <f>TTA!R13</f>
        <v>9284.5734160101365</v>
      </c>
      <c r="S120" s="321">
        <f>TTA!S13</f>
        <v>10762.08372406653</v>
      </c>
      <c r="T120" s="321">
        <f>TTA!T13</f>
        <v>12298.174030801638</v>
      </c>
    </row>
    <row r="121" spans="1:20" x14ac:dyDescent="0.55000000000000004">
      <c r="B121" s="17" t="s">
        <v>2149</v>
      </c>
      <c r="C121" s="15"/>
      <c r="D121" s="15"/>
      <c r="E121" s="15"/>
      <c r="F121" s="15"/>
      <c r="G121" s="15"/>
      <c r="H121" s="15"/>
      <c r="I121" s="15"/>
      <c r="J121" s="15"/>
      <c r="K121" s="15"/>
      <c r="L121" s="431"/>
      <c r="M121" s="231">
        <f>M120/M$102</f>
        <v>0.34897833985895399</v>
      </c>
      <c r="N121" s="231">
        <f t="shared" ref="N121:T121" si="77">N120/N$102</f>
        <v>0.36458333903227808</v>
      </c>
      <c r="O121" s="231">
        <f t="shared" si="77"/>
        <v>0.35801309806633963</v>
      </c>
      <c r="P121" s="231">
        <f t="shared" si="77"/>
        <v>0.37265978438813219</v>
      </c>
      <c r="Q121" s="231">
        <f t="shared" si="77"/>
        <v>0.41923343036312144</v>
      </c>
      <c r="R121" s="231">
        <f t="shared" si="77"/>
        <v>0.42448183364283393</v>
      </c>
      <c r="S121" s="231">
        <f t="shared" si="77"/>
        <v>0.42861023339910492</v>
      </c>
      <c r="T121" s="231">
        <f t="shared" si="77"/>
        <v>0.43186891816115847</v>
      </c>
    </row>
    <row r="123" spans="1:20" x14ac:dyDescent="0.55000000000000004">
      <c r="A123" s="841" t="s">
        <v>1738</v>
      </c>
      <c r="B123" s="842"/>
      <c r="C123" s="842"/>
      <c r="D123" s="842"/>
      <c r="E123" s="842"/>
      <c r="F123" s="842"/>
      <c r="G123" s="842"/>
      <c r="H123" s="842"/>
      <c r="I123" s="842"/>
      <c r="J123" s="842"/>
      <c r="K123" s="842"/>
      <c r="L123" s="843"/>
      <c r="M123" s="843"/>
      <c r="N123" s="842"/>
      <c r="O123" s="842"/>
      <c r="P123" s="842"/>
      <c r="Q123" s="842"/>
      <c r="R123" s="842"/>
      <c r="S123" s="842"/>
      <c r="T123" s="842"/>
    </row>
    <row r="125" spans="1:20" x14ac:dyDescent="0.55000000000000004">
      <c r="B125" s="844"/>
      <c r="C125" s="844"/>
      <c r="D125" s="844"/>
      <c r="E125" s="844"/>
      <c r="F125" s="844"/>
      <c r="G125" s="844"/>
      <c r="H125" s="844"/>
      <c r="I125" s="844"/>
      <c r="J125" s="844"/>
      <c r="K125" s="844"/>
      <c r="L125" s="845" t="s">
        <v>2</v>
      </c>
      <c r="M125" s="845" t="s">
        <v>3</v>
      </c>
      <c r="N125" s="845" t="s">
        <v>4</v>
      </c>
      <c r="O125" s="845" t="s">
        <v>5</v>
      </c>
      <c r="P125" s="845" t="s">
        <v>6</v>
      </c>
      <c r="Q125" s="845" t="s">
        <v>7</v>
      </c>
      <c r="R125" s="845" t="s">
        <v>8</v>
      </c>
      <c r="S125" s="845" t="s">
        <v>9</v>
      </c>
      <c r="T125" s="845" t="s">
        <v>1480</v>
      </c>
    </row>
    <row r="126" spans="1:20" x14ac:dyDescent="0.55000000000000004">
      <c r="B126" s="12" t="s">
        <v>1726</v>
      </c>
      <c r="C126" s="12"/>
      <c r="D126" s="12"/>
      <c r="E126" s="12"/>
      <c r="F126" s="12"/>
      <c r="G126" s="12"/>
      <c r="H126" s="12"/>
      <c r="I126" s="12"/>
      <c r="J126" s="12"/>
      <c r="K126" s="12"/>
      <c r="L126" s="302"/>
      <c r="M126" s="18">
        <f>-SUM(조정!J10,조정!J19,조정!J42)/10^6</f>
        <v>-46.297727999999999</v>
      </c>
      <c r="N126" s="18">
        <v>0</v>
      </c>
      <c r="O126" s="18">
        <f>N126+M126</f>
        <v>-46.297727999999999</v>
      </c>
      <c r="P126" s="18">
        <v>0</v>
      </c>
      <c r="Q126" s="18">
        <v>0</v>
      </c>
      <c r="R126" s="18">
        <v>0</v>
      </c>
      <c r="S126" s="18">
        <v>0</v>
      </c>
      <c r="T126" s="18">
        <v>0</v>
      </c>
    </row>
    <row r="127" spans="1:20" x14ac:dyDescent="0.55000000000000004">
      <c r="B127" s="1" t="s">
        <v>1727</v>
      </c>
      <c r="L127" s="329"/>
      <c r="M127" s="19">
        <f>SUM(M128:M130)</f>
        <v>-27.831954</v>
      </c>
      <c r="N127" s="19">
        <f>SUM(N128:N130)</f>
        <v>-4.8747205499999993</v>
      </c>
      <c r="O127" s="19">
        <f>SUM(O128:O130)</f>
        <v>-32.706674550000002</v>
      </c>
      <c r="P127" s="19">
        <f t="shared" ref="P127:T127" si="78">SUM(P128:P130)</f>
        <v>-11.235070220000001</v>
      </c>
      <c r="Q127" s="19">
        <f t="shared" si="78"/>
        <v>-13.482084264000001</v>
      </c>
      <c r="R127" s="19">
        <f t="shared" si="78"/>
        <v>-16.1785011168</v>
      </c>
      <c r="S127" s="19">
        <f t="shared" si="78"/>
        <v>-19.414201340160005</v>
      </c>
      <c r="T127" s="19">
        <f t="shared" si="78"/>
        <v>-15.972200403192002</v>
      </c>
    </row>
    <row r="128" spans="1:20" x14ac:dyDescent="0.55000000000000004">
      <c r="C128" s="1" t="s">
        <v>90</v>
      </c>
      <c r="L128" s="329"/>
      <c r="M128" s="19">
        <v>0</v>
      </c>
      <c r="N128" s="19">
        <v>0</v>
      </c>
      <c r="O128" s="19">
        <f t="shared" ref="O128:O130" si="79">N128+M128</f>
        <v>0</v>
      </c>
      <c r="P128" s="19">
        <v>0</v>
      </c>
      <c r="Q128" s="19">
        <v>0</v>
      </c>
      <c r="R128" s="19">
        <v>0</v>
      </c>
      <c r="S128" s="19">
        <v>0</v>
      </c>
      <c r="T128" s="19">
        <v>0</v>
      </c>
    </row>
    <row r="129" spans="2:20" x14ac:dyDescent="0.55000000000000004">
      <c r="C129" s="1" t="s">
        <v>91</v>
      </c>
      <c r="L129" s="329"/>
      <c r="M129" s="19">
        <f>-SUM(조정!M10,조정!M19)/10^6</f>
        <v>-26.047727999999999</v>
      </c>
      <c r="N129" s="19">
        <v>0</v>
      </c>
      <c r="O129" s="19">
        <f t="shared" si="79"/>
        <v>-26.047727999999999</v>
      </c>
      <c r="P129" s="19">
        <v>0</v>
      </c>
      <c r="Q129" s="19">
        <v>0</v>
      </c>
      <c r="R129" s="19">
        <v>0</v>
      </c>
      <c r="S129" s="19">
        <v>0</v>
      </c>
      <c r="T129" s="19">
        <v>0</v>
      </c>
    </row>
    <row r="130" spans="2:20" x14ac:dyDescent="0.55000000000000004">
      <c r="C130" s="1" t="s">
        <v>92</v>
      </c>
      <c r="L130" s="329"/>
      <c r="M130" s="19">
        <f>-SUM(조정!M43)/10^6</f>
        <v>-1.7842260000000001</v>
      </c>
      <c r="N130" s="19">
        <f>-CLASS!N112</f>
        <v>-4.8747205499999993</v>
      </c>
      <c r="O130" s="19">
        <f t="shared" si="79"/>
        <v>-6.6589465499999996</v>
      </c>
      <c r="P130" s="19">
        <f>-CLASS!P112</f>
        <v>-11.235070220000001</v>
      </c>
      <c r="Q130" s="19">
        <f>-CLASS!Q112</f>
        <v>-13.482084264000001</v>
      </c>
      <c r="R130" s="19">
        <f>-CLASS!R112</f>
        <v>-16.1785011168</v>
      </c>
      <c r="S130" s="19">
        <f>-CLASS!S112</f>
        <v>-19.414201340160005</v>
      </c>
      <c r="T130" s="19">
        <f>-CLASS!T112</f>
        <v>-15.972200403192002</v>
      </c>
    </row>
    <row r="131" spans="2:20" x14ac:dyDescent="0.55000000000000004">
      <c r="B131" s="5" t="s">
        <v>1728</v>
      </c>
      <c r="C131" s="5"/>
      <c r="D131" s="5"/>
      <c r="E131" s="5"/>
      <c r="F131" s="5"/>
      <c r="G131" s="5"/>
      <c r="H131" s="5"/>
      <c r="I131" s="5"/>
      <c r="J131" s="5"/>
      <c r="K131" s="5"/>
      <c r="L131" s="376"/>
      <c r="M131" s="20">
        <f>M126-M127</f>
        <v>-18.465774</v>
      </c>
      <c r="N131" s="20">
        <f t="shared" ref="N131:O131" si="80">N126-N127</f>
        <v>4.8747205499999993</v>
      </c>
      <c r="O131" s="20">
        <f t="shared" si="80"/>
        <v>-13.591053449999997</v>
      </c>
      <c r="P131" s="20">
        <f t="shared" ref="P131:T131" si="81">P126-P127</f>
        <v>11.235070220000001</v>
      </c>
      <c r="Q131" s="20">
        <f t="shared" si="81"/>
        <v>13.482084264000001</v>
      </c>
      <c r="R131" s="20">
        <f t="shared" si="81"/>
        <v>16.1785011168</v>
      </c>
      <c r="S131" s="20">
        <f t="shared" si="81"/>
        <v>19.414201340160005</v>
      </c>
      <c r="T131" s="20">
        <f t="shared" si="81"/>
        <v>15.972200403192002</v>
      </c>
    </row>
    <row r="132" spans="2:20" x14ac:dyDescent="0.55000000000000004">
      <c r="B132" s="6" t="s">
        <v>1729</v>
      </c>
      <c r="C132" s="6"/>
      <c r="D132" s="6"/>
      <c r="E132" s="6"/>
      <c r="F132" s="6"/>
      <c r="G132" s="6"/>
      <c r="H132" s="6"/>
      <c r="I132" s="6"/>
      <c r="J132" s="6"/>
      <c r="K132" s="6"/>
      <c r="L132" s="382"/>
      <c r="M132" s="318">
        <f>M131/M126</f>
        <v>0.3988483840934916</v>
      </c>
      <c r="N132" s="318">
        <f>IFERROR(N131/N126,)</f>
        <v>0</v>
      </c>
      <c r="O132" s="318">
        <f t="shared" ref="O132" si="82">O131/O126</f>
        <v>0.29355767630757168</v>
      </c>
      <c r="P132" s="318">
        <f t="shared" ref="P132:T132" si="83">IFERROR(P131/P126,)</f>
        <v>0</v>
      </c>
      <c r="Q132" s="318">
        <f t="shared" si="83"/>
        <v>0</v>
      </c>
      <c r="R132" s="318">
        <f t="shared" si="83"/>
        <v>0</v>
      </c>
      <c r="S132" s="318">
        <f t="shared" si="83"/>
        <v>0</v>
      </c>
      <c r="T132" s="318">
        <f t="shared" si="83"/>
        <v>0</v>
      </c>
    </row>
    <row r="133" spans="2:20" x14ac:dyDescent="0.55000000000000004">
      <c r="B133" s="10" t="s">
        <v>1730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303"/>
      <c r="M133" s="24">
        <f>SUM(M134:M136)</f>
        <v>-0.38333400000000001</v>
      </c>
      <c r="N133" s="24">
        <f>SUM(N134:N136)</f>
        <v>0</v>
      </c>
      <c r="O133" s="24">
        <f>SUM(O134:O136)</f>
        <v>-0.38333400000000001</v>
      </c>
      <c r="P133" s="24">
        <f t="shared" ref="P133:T133" si="84">SUM(P134:P136)</f>
        <v>0</v>
      </c>
      <c r="Q133" s="24">
        <f t="shared" si="84"/>
        <v>0</v>
      </c>
      <c r="R133" s="24">
        <f t="shared" si="84"/>
        <v>0</v>
      </c>
      <c r="S133" s="24">
        <f t="shared" si="84"/>
        <v>0</v>
      </c>
      <c r="T133" s="24">
        <f t="shared" si="84"/>
        <v>0</v>
      </c>
    </row>
    <row r="134" spans="2:20" x14ac:dyDescent="0.55000000000000004">
      <c r="B134" s="10"/>
      <c r="C134" s="10" t="s">
        <v>1731</v>
      </c>
      <c r="D134" s="10"/>
      <c r="E134" s="10"/>
      <c r="F134" s="10"/>
      <c r="G134" s="10"/>
      <c r="H134" s="10"/>
      <c r="I134" s="10"/>
      <c r="J134" s="10"/>
      <c r="K134" s="10"/>
      <c r="L134" s="303"/>
      <c r="M134" s="24">
        <f>-조정!J20/10^6</f>
        <v>-0.191667</v>
      </c>
      <c r="N134" s="24">
        <v>0</v>
      </c>
      <c r="O134" s="24">
        <f t="shared" ref="O134:O136" si="85">N134+M134</f>
        <v>-0.191667</v>
      </c>
      <c r="P134" s="24">
        <v>0</v>
      </c>
      <c r="Q134" s="24">
        <v>0</v>
      </c>
      <c r="R134" s="24">
        <v>0</v>
      </c>
      <c r="S134" s="24">
        <v>0</v>
      </c>
      <c r="T134" s="24">
        <v>0</v>
      </c>
    </row>
    <row r="135" spans="2:20" x14ac:dyDescent="0.55000000000000004">
      <c r="B135" s="10"/>
      <c r="C135" s="10" t="s">
        <v>1732</v>
      </c>
      <c r="D135" s="10"/>
      <c r="E135" s="10"/>
      <c r="F135" s="10"/>
      <c r="G135" s="10"/>
      <c r="H135" s="10"/>
      <c r="I135" s="10"/>
      <c r="J135" s="10"/>
      <c r="K135" s="10"/>
      <c r="L135" s="303"/>
      <c r="M135" s="24">
        <f>-조정!M20/10^6</f>
        <v>-0.191667</v>
      </c>
      <c r="N135" s="24">
        <v>0</v>
      </c>
      <c r="O135" s="24">
        <f t="shared" si="85"/>
        <v>-0.191667</v>
      </c>
      <c r="P135" s="24">
        <v>0</v>
      </c>
      <c r="Q135" s="24">
        <v>0</v>
      </c>
      <c r="R135" s="24">
        <v>0</v>
      </c>
      <c r="S135" s="24">
        <v>0</v>
      </c>
      <c r="T135" s="24">
        <v>0</v>
      </c>
    </row>
    <row r="136" spans="2:20" x14ac:dyDescent="0.55000000000000004">
      <c r="B136" s="10"/>
      <c r="C136" s="10" t="s">
        <v>93</v>
      </c>
      <c r="D136" s="10"/>
      <c r="E136" s="10"/>
      <c r="F136" s="10"/>
      <c r="G136" s="10"/>
      <c r="H136" s="10"/>
      <c r="I136" s="10"/>
      <c r="J136" s="10"/>
      <c r="K136" s="10"/>
      <c r="L136" s="303"/>
      <c r="M136" s="24">
        <v>0</v>
      </c>
      <c r="N136" s="24">
        <v>0</v>
      </c>
      <c r="O136" s="24">
        <f t="shared" si="85"/>
        <v>0</v>
      </c>
      <c r="P136" s="24">
        <v>0</v>
      </c>
      <c r="Q136" s="24">
        <v>0</v>
      </c>
      <c r="R136" s="24">
        <v>0</v>
      </c>
      <c r="S136" s="24">
        <v>0</v>
      </c>
      <c r="T136" s="24">
        <v>0</v>
      </c>
    </row>
    <row r="137" spans="2:20" x14ac:dyDescent="0.55000000000000004">
      <c r="B137" s="5" t="s">
        <v>1733</v>
      </c>
      <c r="C137" s="5"/>
      <c r="D137" s="5"/>
      <c r="E137" s="5"/>
      <c r="F137" s="5"/>
      <c r="G137" s="5"/>
      <c r="H137" s="5"/>
      <c r="I137" s="5"/>
      <c r="J137" s="5"/>
      <c r="K137" s="5"/>
      <c r="L137" s="376"/>
      <c r="M137" s="20">
        <f>M131+M133</f>
        <v>-18.849108000000001</v>
      </c>
      <c r="N137" s="20">
        <f t="shared" ref="N137:O137" si="86">N131+N133</f>
        <v>4.8747205499999993</v>
      </c>
      <c r="O137" s="20">
        <f t="shared" si="86"/>
        <v>-13.974387449999996</v>
      </c>
      <c r="P137" s="20">
        <f t="shared" ref="P137:T137" si="87">P131+P133</f>
        <v>11.235070220000001</v>
      </c>
      <c r="Q137" s="20">
        <f t="shared" si="87"/>
        <v>13.482084264000001</v>
      </c>
      <c r="R137" s="20">
        <f t="shared" si="87"/>
        <v>16.1785011168</v>
      </c>
      <c r="S137" s="20">
        <f t="shared" si="87"/>
        <v>19.414201340160005</v>
      </c>
      <c r="T137" s="20">
        <f t="shared" si="87"/>
        <v>15.972200403192002</v>
      </c>
    </row>
    <row r="138" spans="2:20" x14ac:dyDescent="0.55000000000000004">
      <c r="B138" s="10" t="s">
        <v>1734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458"/>
      <c r="M138" s="24">
        <v>0</v>
      </c>
      <c r="N138" s="25">
        <v>0</v>
      </c>
      <c r="O138" s="25">
        <v>0</v>
      </c>
      <c r="P138" s="25">
        <v>0</v>
      </c>
      <c r="Q138" s="25">
        <v>0</v>
      </c>
      <c r="R138" s="25">
        <v>0</v>
      </c>
      <c r="S138" s="25">
        <v>0</v>
      </c>
      <c r="T138" s="25">
        <v>0</v>
      </c>
    </row>
    <row r="139" spans="2:20" x14ac:dyDescent="0.55000000000000004">
      <c r="B139" s="5" t="s">
        <v>1735</v>
      </c>
      <c r="C139" s="5"/>
      <c r="D139" s="5"/>
      <c r="E139" s="5"/>
      <c r="F139" s="5"/>
      <c r="G139" s="5"/>
      <c r="H139" s="5"/>
      <c r="I139" s="5"/>
      <c r="J139" s="5"/>
      <c r="K139" s="5"/>
      <c r="L139" s="376"/>
      <c r="M139" s="20">
        <f>M137-M138</f>
        <v>-18.849108000000001</v>
      </c>
      <c r="N139" s="20">
        <f t="shared" ref="N139:O139" si="88">N137-N138</f>
        <v>4.8747205499999993</v>
      </c>
      <c r="O139" s="20">
        <f t="shared" si="88"/>
        <v>-13.974387449999996</v>
      </c>
      <c r="P139" s="20">
        <f t="shared" ref="P139:T139" si="89">P137-P138</f>
        <v>11.235070220000001</v>
      </c>
      <c r="Q139" s="20">
        <f t="shared" si="89"/>
        <v>13.482084264000001</v>
      </c>
      <c r="R139" s="20">
        <f t="shared" si="89"/>
        <v>16.1785011168</v>
      </c>
      <c r="S139" s="20">
        <f t="shared" si="89"/>
        <v>19.414201340160005</v>
      </c>
      <c r="T139" s="20">
        <f t="shared" si="89"/>
        <v>15.972200403192002</v>
      </c>
    </row>
    <row r="140" spans="2:20" x14ac:dyDescent="0.55000000000000004">
      <c r="B140" s="6" t="s">
        <v>1736</v>
      </c>
      <c r="C140" s="6"/>
      <c r="D140" s="6"/>
      <c r="E140" s="6"/>
      <c r="F140" s="6"/>
      <c r="G140" s="6"/>
      <c r="H140" s="6"/>
      <c r="I140" s="6"/>
      <c r="J140" s="6"/>
      <c r="K140" s="6"/>
      <c r="L140" s="382"/>
      <c r="M140" s="318">
        <f>M139/M$102</f>
        <v>-3.4866457461585829E-3</v>
      </c>
      <c r="N140" s="318">
        <f t="shared" ref="N140:O140" si="90">N139/N$102</f>
        <v>6.5573974714286441E-4</v>
      </c>
      <c r="O140" s="318">
        <f t="shared" si="90"/>
        <v>-1.0883469114019949E-3</v>
      </c>
      <c r="P140" s="318">
        <f t="shared" ref="P140:T140" si="91">P139/P$102</f>
        <v>7.1483053680631106E-4</v>
      </c>
      <c r="Q140" s="318">
        <f t="shared" si="91"/>
        <v>7.2052664650899833E-4</v>
      </c>
      <c r="R140" s="318">
        <f t="shared" si="91"/>
        <v>7.3966562726616525E-4</v>
      </c>
      <c r="S140" s="318">
        <f t="shared" si="91"/>
        <v>7.7318905715769684E-4</v>
      </c>
      <c r="T140" s="318">
        <f t="shared" si="91"/>
        <v>5.6088789209710998E-4</v>
      </c>
    </row>
    <row r="141" spans="2:20" x14ac:dyDescent="0.55000000000000004">
      <c r="B141" s="1" t="s">
        <v>78</v>
      </c>
      <c r="L141" s="303"/>
      <c r="M141" s="24">
        <f>M130</f>
        <v>-1.7842260000000001</v>
      </c>
      <c r="N141" s="24">
        <f>N130</f>
        <v>-4.8747205499999993</v>
      </c>
      <c r="O141" s="24">
        <f>N141+M141</f>
        <v>-6.6589465499999996</v>
      </c>
      <c r="P141" s="24">
        <f t="shared" ref="P141:T141" si="92">P130</f>
        <v>-11.235070220000001</v>
      </c>
      <c r="Q141" s="24">
        <f t="shared" si="92"/>
        <v>-13.482084264000001</v>
      </c>
      <c r="R141" s="24">
        <f t="shared" si="92"/>
        <v>-16.1785011168</v>
      </c>
      <c r="S141" s="24">
        <f t="shared" si="92"/>
        <v>-19.414201340160005</v>
      </c>
      <c r="T141" s="24">
        <f t="shared" si="92"/>
        <v>-15.972200403192002</v>
      </c>
    </row>
    <row r="142" spans="2:20" x14ac:dyDescent="0.55000000000000004">
      <c r="B142" s="5" t="s">
        <v>79</v>
      </c>
      <c r="C142" s="5"/>
      <c r="D142" s="5"/>
      <c r="E142" s="5"/>
      <c r="F142" s="5"/>
      <c r="G142" s="5"/>
      <c r="H142" s="5"/>
      <c r="I142" s="5"/>
      <c r="J142" s="5"/>
      <c r="K142" s="5"/>
      <c r="L142" s="376"/>
      <c r="M142" s="20">
        <f>M141+M131</f>
        <v>-20.25</v>
      </c>
      <c r="N142" s="20">
        <f t="shared" ref="N142:O142" si="93">N141+N131</f>
        <v>0</v>
      </c>
      <c r="O142" s="20">
        <f t="shared" si="93"/>
        <v>-20.249999999999996</v>
      </c>
      <c r="P142" s="20">
        <f t="shared" ref="P142:T142" si="94">P141+P131</f>
        <v>0</v>
      </c>
      <c r="Q142" s="20">
        <f t="shared" si="94"/>
        <v>0</v>
      </c>
      <c r="R142" s="20">
        <f t="shared" si="94"/>
        <v>0</v>
      </c>
      <c r="S142" s="20">
        <f t="shared" si="94"/>
        <v>0</v>
      </c>
      <c r="T142" s="20">
        <f t="shared" si="94"/>
        <v>0</v>
      </c>
    </row>
    <row r="143" spans="2:20" x14ac:dyDescent="0.55000000000000004">
      <c r="B143" s="17" t="s">
        <v>1737</v>
      </c>
      <c r="C143" s="17"/>
      <c r="D143" s="17"/>
      <c r="E143" s="17"/>
      <c r="F143" s="17"/>
      <c r="G143" s="17"/>
      <c r="H143" s="17"/>
      <c r="I143" s="17"/>
      <c r="J143" s="17"/>
      <c r="K143" s="17"/>
      <c r="L143" s="370"/>
      <c r="M143" s="231">
        <f>M142/M126</f>
        <v>0.43738647391077162</v>
      </c>
      <c r="N143" s="231">
        <f>IFERROR(N142/N137,)</f>
        <v>0</v>
      </c>
      <c r="O143" s="231">
        <f t="shared" ref="O143" si="95">O142/O126</f>
        <v>0.43738647391077151</v>
      </c>
      <c r="P143" s="231">
        <f t="shared" ref="P143:T143" si="96">IFERROR(P142/P137,)</f>
        <v>0</v>
      </c>
      <c r="Q143" s="231">
        <f t="shared" si="96"/>
        <v>0</v>
      </c>
      <c r="R143" s="231">
        <f t="shared" si="96"/>
        <v>0</v>
      </c>
      <c r="S143" s="231">
        <f t="shared" si="96"/>
        <v>0</v>
      </c>
      <c r="T143" s="231">
        <f t="shared" si="96"/>
        <v>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02A8-356C-440F-BB32-A79527A9F15B}">
  <sheetPr>
    <tabColor rgb="FF00B050"/>
  </sheetPr>
  <dimension ref="A1:AA50"/>
  <sheetViews>
    <sheetView showGridLines="0" zoomScale="85" zoomScaleNormal="85" workbookViewId="0"/>
  </sheetViews>
  <sheetFormatPr defaultColWidth="9" defaultRowHeight="15" x14ac:dyDescent="0.55000000000000004"/>
  <cols>
    <col min="1" max="1" width="3.35546875" style="1" customWidth="1"/>
    <col min="2" max="6" width="2.140625" style="1" customWidth="1"/>
    <col min="7" max="20" width="9" style="1"/>
    <col min="21" max="21" width="9" style="417"/>
    <col min="22" max="16384" width="9" style="1"/>
  </cols>
  <sheetData>
    <row r="1" spans="1:21" x14ac:dyDescent="0.55000000000000004">
      <c r="A1" s="840" t="s">
        <v>51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1" x14ac:dyDescent="0.55000000000000004">
      <c r="A3" s="841" t="s">
        <v>52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1" x14ac:dyDescent="0.55000000000000004">
      <c r="B5" s="854" t="s">
        <v>53</v>
      </c>
      <c r="C5" s="844"/>
      <c r="D5" s="844"/>
      <c r="E5" s="844"/>
      <c r="F5" s="844"/>
      <c r="G5" s="844"/>
      <c r="H5" s="844"/>
      <c r="I5" s="844"/>
      <c r="J5" s="844"/>
      <c r="K5" s="844"/>
      <c r="L5" s="845"/>
    </row>
    <row r="6" spans="1:21" x14ac:dyDescent="0.55000000000000004">
      <c r="B6" s="238" t="s">
        <v>54</v>
      </c>
      <c r="C6" s="238"/>
      <c r="D6" s="238"/>
      <c r="E6" s="238"/>
      <c r="F6" s="238"/>
      <c r="G6" s="238"/>
      <c r="H6" s="238"/>
      <c r="I6" s="238"/>
      <c r="J6" s="238"/>
      <c r="K6" s="239"/>
      <c r="L6" s="239">
        <v>45838</v>
      </c>
    </row>
    <row r="7" spans="1:21" x14ac:dyDescent="0.55000000000000004">
      <c r="B7" s="238" t="s">
        <v>55</v>
      </c>
      <c r="C7" s="238"/>
      <c r="D7" s="238"/>
      <c r="E7" s="238"/>
      <c r="F7" s="238"/>
      <c r="G7" s="238"/>
      <c r="H7" s="238"/>
      <c r="I7" s="238"/>
      <c r="J7" s="238"/>
      <c r="K7" s="240"/>
      <c r="L7" s="240">
        <v>45838</v>
      </c>
    </row>
    <row r="8" spans="1:21" x14ac:dyDescent="0.55000000000000004">
      <c r="B8" s="238" t="s">
        <v>56</v>
      </c>
      <c r="C8" s="238"/>
      <c r="D8" s="238"/>
      <c r="E8" s="238"/>
      <c r="F8" s="238"/>
      <c r="G8" s="238"/>
      <c r="H8" s="238"/>
      <c r="I8" s="238"/>
      <c r="J8" s="238"/>
      <c r="K8" s="240"/>
      <c r="L8" s="240">
        <v>46022</v>
      </c>
    </row>
    <row r="9" spans="1:21" x14ac:dyDescent="0.55000000000000004">
      <c r="B9" s="241" t="s">
        <v>57</v>
      </c>
      <c r="C9" s="241"/>
      <c r="D9" s="241"/>
      <c r="E9" s="241"/>
      <c r="F9" s="241"/>
      <c r="G9" s="241"/>
      <c r="H9" s="241"/>
      <c r="I9" s="241"/>
      <c r="J9" s="241"/>
      <c r="K9" s="242"/>
      <c r="L9" s="243">
        <v>0.50410958904109593</v>
      </c>
    </row>
    <row r="11" spans="1:21" x14ac:dyDescent="0.55000000000000004">
      <c r="B11" s="854" t="s">
        <v>58</v>
      </c>
      <c r="C11" s="844"/>
      <c r="D11" s="844"/>
      <c r="E11" s="844"/>
      <c r="F11" s="844"/>
      <c r="G11" s="844"/>
      <c r="H11" s="844"/>
      <c r="I11" s="844"/>
      <c r="J11" s="844"/>
      <c r="K11" s="844"/>
      <c r="L11" s="845"/>
      <c r="M11" s="845"/>
      <c r="N11" s="845"/>
      <c r="O11" s="845" t="s">
        <v>5</v>
      </c>
      <c r="P11" s="845" t="s">
        <v>6</v>
      </c>
      <c r="Q11" s="845" t="s">
        <v>7</v>
      </c>
      <c r="R11" s="845" t="s">
        <v>8</v>
      </c>
      <c r="S11" s="845" t="s">
        <v>9</v>
      </c>
      <c r="T11" s="845" t="s">
        <v>1480</v>
      </c>
    </row>
    <row r="12" spans="1:21" s="10" customFormat="1" x14ac:dyDescent="0.55000000000000004">
      <c r="B12" s="244" t="s">
        <v>59</v>
      </c>
      <c r="C12" s="244"/>
      <c r="D12" s="244"/>
      <c r="E12" s="244"/>
      <c r="F12" s="244"/>
      <c r="G12" s="244"/>
      <c r="H12" s="244"/>
      <c r="I12" s="244"/>
      <c r="J12" s="244"/>
      <c r="K12" s="244"/>
      <c r="L12" s="245"/>
      <c r="M12" s="245"/>
      <c r="N12" s="245"/>
      <c r="O12" s="261">
        <f>EIU!R11/100</f>
        <v>1.9135610350000002E-2</v>
      </c>
      <c r="P12" s="261">
        <f>EIU!S11/100</f>
        <v>1.6637680780000001E-2</v>
      </c>
      <c r="Q12" s="261">
        <f>EIU!T11/100</f>
        <v>1.8000000000000002E-2</v>
      </c>
      <c r="R12" s="261">
        <f>EIU!U11/100</f>
        <v>2.1000000000000001E-2</v>
      </c>
      <c r="S12" s="261">
        <f>EIU!V11/100</f>
        <v>1.9E-2</v>
      </c>
      <c r="T12" s="261">
        <f>EIU!W11/100</f>
        <v>1.9564128030000003E-2</v>
      </c>
      <c r="U12" s="417"/>
    </row>
    <row r="13" spans="1:21" s="10" customFormat="1" x14ac:dyDescent="0.55000000000000004">
      <c r="B13" s="10" t="s">
        <v>60</v>
      </c>
      <c r="L13" s="24"/>
      <c r="M13" s="24"/>
      <c r="N13" s="24"/>
      <c r="O13" s="262">
        <f>EIU!R12/100</f>
        <v>1.07110034E-2</v>
      </c>
      <c r="P13" s="262">
        <f>EIU!S12/100</f>
        <v>1.3083957960000002E-2</v>
      </c>
      <c r="Q13" s="262">
        <f>EIU!T12/100</f>
        <v>1.7000000000000001E-2</v>
      </c>
      <c r="R13" s="262">
        <f>EIU!U12/100</f>
        <v>1.9E-2</v>
      </c>
      <c r="S13" s="262">
        <f>EIU!V12/100</f>
        <v>2.2000000000000002E-2</v>
      </c>
      <c r="T13" s="262">
        <f>S13</f>
        <v>2.2000000000000002E-2</v>
      </c>
      <c r="U13" s="417"/>
    </row>
    <row r="14" spans="1:21" s="10" customFormat="1" x14ac:dyDescent="0.55000000000000004">
      <c r="B14" s="14" t="s">
        <v>61</v>
      </c>
      <c r="C14" s="14"/>
      <c r="D14" s="14"/>
      <c r="E14" s="14"/>
      <c r="F14" s="14"/>
      <c r="G14" s="14"/>
      <c r="H14" s="14"/>
      <c r="I14" s="14"/>
      <c r="J14" s="14"/>
      <c r="K14" s="14"/>
      <c r="L14" s="26"/>
      <c r="M14" s="26"/>
      <c r="N14" s="26"/>
      <c r="O14" s="263">
        <f>EIU!R10/100</f>
        <v>1.6078203520000001E-2</v>
      </c>
      <c r="P14" s="263">
        <f>EIU!S10/100</f>
        <v>1.8670956150000001E-2</v>
      </c>
      <c r="Q14" s="263">
        <f>EIU!T10/100</f>
        <v>2.6143999999999997E-2</v>
      </c>
      <c r="R14" s="263">
        <f>EIU!U10/100</f>
        <v>3.3252000000000004E-2</v>
      </c>
      <c r="S14" s="263">
        <f>EIU!V10/100</f>
        <v>2.8170999999999998E-2</v>
      </c>
      <c r="T14" s="263">
        <f>S14</f>
        <v>2.8170999999999998E-2</v>
      </c>
      <c r="U14" s="417"/>
    </row>
    <row r="15" spans="1:21" x14ac:dyDescent="0.55000000000000004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23"/>
      <c r="M15" s="23"/>
      <c r="N15" s="23"/>
      <c r="O15" s="23"/>
      <c r="P15" s="23"/>
      <c r="Q15" s="23"/>
      <c r="R15" s="23"/>
      <c r="S15" s="23"/>
      <c r="T15" s="23"/>
    </row>
    <row r="17" spans="1:27" x14ac:dyDescent="0.55000000000000004">
      <c r="A17" s="841" t="s">
        <v>62</v>
      </c>
      <c r="B17" s="842"/>
      <c r="C17" s="842"/>
      <c r="D17" s="842"/>
      <c r="E17" s="842"/>
      <c r="F17" s="842"/>
      <c r="G17" s="842"/>
      <c r="H17" s="842"/>
      <c r="I17" s="842"/>
      <c r="J17" s="842"/>
      <c r="K17" s="842"/>
      <c r="L17" s="842"/>
      <c r="M17" s="842"/>
      <c r="N17" s="842"/>
      <c r="O17" s="842"/>
      <c r="P17" s="842"/>
      <c r="Q17" s="842"/>
      <c r="R17" s="842"/>
      <c r="S17" s="842"/>
      <c r="T17" s="842"/>
    </row>
    <row r="19" spans="1:27" s="299" customFormat="1" x14ac:dyDescent="0.55000000000000004">
      <c r="B19" s="299" t="s">
        <v>63</v>
      </c>
      <c r="U19" s="416"/>
    </row>
    <row r="20" spans="1:27" x14ac:dyDescent="0.55000000000000004">
      <c r="B20" s="844"/>
      <c r="C20" s="844"/>
      <c r="D20" s="844"/>
      <c r="E20" s="844"/>
      <c r="F20" s="844"/>
      <c r="G20" s="844"/>
      <c r="H20" s="844"/>
      <c r="I20" s="844"/>
      <c r="J20" s="844"/>
      <c r="K20" s="844"/>
      <c r="L20" s="845" t="s">
        <v>2</v>
      </c>
      <c r="M20" s="845" t="s">
        <v>3</v>
      </c>
      <c r="N20" s="845" t="s">
        <v>4</v>
      </c>
      <c r="O20" s="845" t="s">
        <v>5</v>
      </c>
      <c r="P20" s="845" t="s">
        <v>6</v>
      </c>
      <c r="Q20" s="845" t="s">
        <v>7</v>
      </c>
      <c r="R20" s="845" t="s">
        <v>8</v>
      </c>
      <c r="S20" s="845" t="s">
        <v>9</v>
      </c>
      <c r="T20" s="845" t="s">
        <v>1480</v>
      </c>
    </row>
    <row r="21" spans="1:27" x14ac:dyDescent="0.55000000000000004">
      <c r="B21" s="12" t="s">
        <v>64</v>
      </c>
      <c r="C21" s="12"/>
      <c r="D21" s="12"/>
      <c r="E21" s="12"/>
      <c r="F21" s="12"/>
      <c r="G21" s="12"/>
      <c r="H21" s="12"/>
      <c r="I21" s="12"/>
      <c r="J21" s="12"/>
      <c r="K21" s="12"/>
      <c r="L21" s="18"/>
      <c r="M21" s="18"/>
      <c r="N21" s="18"/>
      <c r="O21" s="18"/>
      <c r="P21" s="18"/>
      <c r="Q21" s="18"/>
      <c r="R21" s="18"/>
      <c r="S21" s="18"/>
      <c r="T21" s="18"/>
    </row>
    <row r="22" spans="1:27" x14ac:dyDescent="0.55000000000000004">
      <c r="B22" s="4"/>
      <c r="C22" s="10" t="s">
        <v>65</v>
      </c>
      <c r="D22" s="4"/>
      <c r="E22" s="4"/>
      <c r="F22" s="4"/>
      <c r="G22" s="4"/>
      <c r="H22" s="4"/>
      <c r="I22" s="4"/>
      <c r="J22" s="4"/>
      <c r="K22" s="4"/>
      <c r="L22" s="23"/>
      <c r="M22" s="23"/>
      <c r="N22" s="23"/>
      <c r="O22" s="23"/>
      <c r="P22" s="23"/>
      <c r="Q22" s="23"/>
      <c r="R22" s="23"/>
      <c r="S22" s="23"/>
      <c r="T22" s="23"/>
    </row>
    <row r="23" spans="1:27" s="10" customFormat="1" x14ac:dyDescent="0.55000000000000004">
      <c r="D23" s="10" t="s">
        <v>66</v>
      </c>
      <c r="I23" s="414">
        <v>120</v>
      </c>
      <c r="L23" s="24">
        <f>TITAN!L23</f>
        <v>65</v>
      </c>
      <c r="M23" s="24">
        <f>TITAN!M23</f>
        <v>46</v>
      </c>
      <c r="N23" s="24">
        <f>COUNTA(타이탄_하반기!B244:B584)/5*6-3</f>
        <v>46.199999999999996</v>
      </c>
      <c r="O23" s="24">
        <f>N23+M23</f>
        <v>92.199999999999989</v>
      </c>
      <c r="P23" s="24">
        <f>O23+($T23-$O23)/5</f>
        <v>97.759999999999991</v>
      </c>
      <c r="Q23" s="24">
        <f t="shared" ref="Q23:S23" si="0">P23+($T23-$O23)/5</f>
        <v>103.32</v>
      </c>
      <c r="R23" s="24">
        <f t="shared" si="0"/>
        <v>108.88</v>
      </c>
      <c r="S23" s="24">
        <f t="shared" si="0"/>
        <v>114.44</v>
      </c>
      <c r="T23" s="24">
        <f>I23</f>
        <v>120</v>
      </c>
      <c r="U23" s="417" t="s">
        <v>2118</v>
      </c>
      <c r="AA23" s="10">
        <f>COUNTIFS(클래스매출!$C$70:$C$117,"부업")/(("2025-11-11"-"2025-07-01")/(31+31+30+31+30+31))</f>
        <v>65.022556390977442</v>
      </c>
    </row>
    <row r="24" spans="1:27" s="10" customFormat="1" x14ac:dyDescent="0.55000000000000004">
      <c r="D24" s="10" t="s">
        <v>1465</v>
      </c>
      <c r="I24" s="414">
        <f>M24</f>
        <v>4473.869565217391</v>
      </c>
      <c r="L24" s="24">
        <f>TITAN!L25</f>
        <v>2085.0066666666667</v>
      </c>
      <c r="M24" s="24">
        <f>TITAN!M25</f>
        <v>4473.869565217391</v>
      </c>
      <c r="N24" s="24">
        <f>M24</f>
        <v>4473.869565217391</v>
      </c>
      <c r="O24" s="24">
        <f>N24</f>
        <v>4473.869565217391</v>
      </c>
      <c r="P24" s="24">
        <f>$I24</f>
        <v>4473.869565217391</v>
      </c>
      <c r="Q24" s="24">
        <f t="shared" ref="Q24:T25" si="1">$I24</f>
        <v>4473.869565217391</v>
      </c>
      <c r="R24" s="24">
        <f t="shared" si="1"/>
        <v>4473.869565217391</v>
      </c>
      <c r="S24" s="24">
        <f t="shared" si="1"/>
        <v>4473.869565217391</v>
      </c>
      <c r="T24" s="24">
        <f t="shared" si="1"/>
        <v>4473.869565217391</v>
      </c>
      <c r="U24" s="417"/>
    </row>
    <row r="25" spans="1:27" s="262" customFormat="1" x14ac:dyDescent="0.55000000000000004">
      <c r="D25" s="412" t="s">
        <v>1466</v>
      </c>
      <c r="I25" s="413">
        <f>M25</f>
        <v>3.2721406427662081E-2</v>
      </c>
      <c r="L25" s="262">
        <f>TITAN!L27</f>
        <v>2.9529512664658517E-2</v>
      </c>
      <c r="M25" s="262">
        <f>TITAN!M27</f>
        <v>3.2721406427662081E-2</v>
      </c>
      <c r="N25" s="262">
        <f>M25</f>
        <v>3.2721406427662081E-2</v>
      </c>
      <c r="O25" s="262">
        <f>N25</f>
        <v>3.2721406427662081E-2</v>
      </c>
      <c r="P25" s="262">
        <f t="shared" ref="P25" si="2">$I25</f>
        <v>3.2721406427662081E-2</v>
      </c>
      <c r="Q25" s="262">
        <f t="shared" si="1"/>
        <v>3.2721406427662081E-2</v>
      </c>
      <c r="R25" s="262">
        <f t="shared" si="1"/>
        <v>3.2721406427662081E-2</v>
      </c>
      <c r="S25" s="262">
        <f t="shared" si="1"/>
        <v>3.2721406427662081E-2</v>
      </c>
      <c r="T25" s="262">
        <f t="shared" si="1"/>
        <v>3.2721406427662081E-2</v>
      </c>
      <c r="U25" s="418"/>
    </row>
    <row r="26" spans="1:27" s="4" customFormat="1" x14ac:dyDescent="0.55000000000000004">
      <c r="B26" s="4" t="s">
        <v>69</v>
      </c>
      <c r="L26" s="23"/>
      <c r="M26" s="23"/>
      <c r="N26" s="23"/>
      <c r="O26" s="23"/>
      <c r="P26" s="23"/>
      <c r="Q26" s="23"/>
      <c r="R26" s="23"/>
      <c r="S26" s="23"/>
      <c r="T26" s="23"/>
      <c r="U26" s="416"/>
    </row>
    <row r="27" spans="1:27" s="4" customFormat="1" x14ac:dyDescent="0.55000000000000004">
      <c r="C27" s="10" t="s">
        <v>65</v>
      </c>
      <c r="L27" s="23"/>
      <c r="M27" s="23"/>
      <c r="N27" s="23"/>
      <c r="O27" s="23"/>
      <c r="P27" s="23"/>
      <c r="Q27" s="23"/>
      <c r="R27" s="23"/>
      <c r="S27" s="23"/>
      <c r="T27" s="23"/>
      <c r="U27" s="416"/>
    </row>
    <row r="28" spans="1:27" s="4" customFormat="1" x14ac:dyDescent="0.55000000000000004">
      <c r="C28" s="10"/>
      <c r="D28" s="10" t="s">
        <v>66</v>
      </c>
      <c r="I28" s="414">
        <v>120</v>
      </c>
      <c r="L28" s="303"/>
      <c r="M28" s="24">
        <f>CLASS!M24</f>
        <v>37</v>
      </c>
      <c r="N28" s="24">
        <f>COUNTIFS(클래스매출!$C$70:$C$117,"부업")/5*6</f>
        <v>56.400000000000006</v>
      </c>
      <c r="O28" s="24">
        <f>N28+M28</f>
        <v>93.4</v>
      </c>
      <c r="P28" s="24">
        <f>O28+($T28-$O28)/5</f>
        <v>98.72</v>
      </c>
      <c r="Q28" s="24">
        <f t="shared" ref="Q28:S28" si="3">P28+($T28-$O28)/5</f>
        <v>104.03999999999999</v>
      </c>
      <c r="R28" s="24">
        <f t="shared" si="3"/>
        <v>109.35999999999999</v>
      </c>
      <c r="S28" s="24">
        <f t="shared" si="3"/>
        <v>114.67999999999998</v>
      </c>
      <c r="T28" s="24">
        <f>I28</f>
        <v>120</v>
      </c>
      <c r="U28" s="417" t="s">
        <v>2118</v>
      </c>
    </row>
    <row r="29" spans="1:27" s="10" customFormat="1" x14ac:dyDescent="0.55000000000000004">
      <c r="D29" s="10" t="s">
        <v>1465</v>
      </c>
      <c r="I29" s="414">
        <f>I24</f>
        <v>4473.869565217391</v>
      </c>
      <c r="L29" s="303"/>
      <c r="M29" s="24">
        <f>CLASS!M26</f>
        <v>2944.1891891891892</v>
      </c>
      <c r="N29" s="24">
        <f>I29</f>
        <v>4473.869565217391</v>
      </c>
      <c r="O29" s="24">
        <f>CLASS!O26</f>
        <v>3867.8933991248482</v>
      </c>
      <c r="P29" s="24">
        <f t="shared" ref="O29:T30" si="4">$I29</f>
        <v>4473.869565217391</v>
      </c>
      <c r="Q29" s="24">
        <f t="shared" si="4"/>
        <v>4473.869565217391</v>
      </c>
      <c r="R29" s="24">
        <f t="shared" si="4"/>
        <v>4473.869565217391</v>
      </c>
      <c r="S29" s="24">
        <f t="shared" si="4"/>
        <v>4473.869565217391</v>
      </c>
      <c r="T29" s="24">
        <f t="shared" si="4"/>
        <v>4473.869565217391</v>
      </c>
      <c r="U29" s="417"/>
    </row>
    <row r="30" spans="1:27" s="262" customFormat="1" x14ac:dyDescent="0.55000000000000004">
      <c r="D30" s="262" t="s">
        <v>1466</v>
      </c>
      <c r="I30" s="413">
        <f>M30</f>
        <v>2.7034470096846744E-2</v>
      </c>
      <c r="J30" s="413">
        <f>I30</f>
        <v>2.7034470096846744E-2</v>
      </c>
      <c r="L30" s="795"/>
      <c r="M30" s="262">
        <f>CLASS!M27</f>
        <v>2.7034470096846744E-2</v>
      </c>
      <c r="N30" s="262">
        <f t="shared" ref="N30" si="5">$I30</f>
        <v>2.7034470096846744E-2</v>
      </c>
      <c r="O30" s="262">
        <f t="shared" si="4"/>
        <v>2.7034470096846744E-2</v>
      </c>
      <c r="P30" s="262">
        <f>O30+($T30-$O30)/5</f>
        <v>2.7034470096846744E-2</v>
      </c>
      <c r="Q30" s="262">
        <f t="shared" ref="Q30:S30" si="6">P30+($T30-$O30)/5</f>
        <v>2.7034470096846744E-2</v>
      </c>
      <c r="R30" s="262">
        <f t="shared" si="6"/>
        <v>2.7034470096846744E-2</v>
      </c>
      <c r="S30" s="262">
        <f t="shared" si="6"/>
        <v>2.7034470096846744E-2</v>
      </c>
      <c r="T30" s="262">
        <f>J30</f>
        <v>2.7034470096846744E-2</v>
      </c>
      <c r="U30" s="418"/>
    </row>
    <row r="31" spans="1:27" s="4" customFormat="1" x14ac:dyDescent="0.55000000000000004">
      <c r="C31" s="10" t="s">
        <v>68</v>
      </c>
      <c r="D31" s="10"/>
      <c r="L31" s="23"/>
      <c r="M31" s="23"/>
      <c r="N31" s="23"/>
      <c r="O31" s="23"/>
      <c r="P31" s="23"/>
      <c r="Q31" s="23"/>
      <c r="R31" s="23"/>
      <c r="S31" s="23"/>
      <c r="T31" s="23"/>
      <c r="U31" s="416"/>
    </row>
    <row r="32" spans="1:27" s="10" customFormat="1" x14ac:dyDescent="0.55000000000000004">
      <c r="D32" s="10" t="s">
        <v>66</v>
      </c>
      <c r="I32" s="414">
        <f>O32</f>
        <v>11</v>
      </c>
      <c r="L32" s="24">
        <f>CLASS!L31</f>
        <v>0</v>
      </c>
      <c r="M32" s="24">
        <f>CLASS!M31</f>
        <v>10</v>
      </c>
      <c r="N32" s="24">
        <v>1</v>
      </c>
      <c r="O32" s="24">
        <f>N32+M32</f>
        <v>11</v>
      </c>
      <c r="P32" s="24">
        <f>O32+($T32-$O32)/5</f>
        <v>11</v>
      </c>
      <c r="Q32" s="24">
        <f t="shared" ref="Q32:S32" si="7">P32+($T32-$O32)/5</f>
        <v>11</v>
      </c>
      <c r="R32" s="24">
        <f t="shared" si="7"/>
        <v>11</v>
      </c>
      <c r="S32" s="24">
        <f t="shared" si="7"/>
        <v>11</v>
      </c>
      <c r="T32" s="24">
        <f>I32</f>
        <v>11</v>
      </c>
      <c r="U32" s="417" t="s">
        <v>2119</v>
      </c>
    </row>
    <row r="33" spans="2:21" s="10" customFormat="1" x14ac:dyDescent="0.55000000000000004">
      <c r="D33" s="10" t="s">
        <v>1465</v>
      </c>
      <c r="I33" s="414">
        <f>M33</f>
        <v>3237.7</v>
      </c>
      <c r="L33" s="303"/>
      <c r="M33" s="24">
        <f>CLASS!M33</f>
        <v>3237.7</v>
      </c>
      <c r="N33" s="24">
        <f>I33</f>
        <v>3237.7</v>
      </c>
      <c r="O33" s="24">
        <f>CLASS!O33</f>
        <v>3237.7</v>
      </c>
      <c r="P33" s="24">
        <f>$I33</f>
        <v>3237.7</v>
      </c>
      <c r="Q33" s="24">
        <f t="shared" ref="Q33:T34" si="8">$I33</f>
        <v>3237.7</v>
      </c>
      <c r="R33" s="24">
        <f t="shared" si="8"/>
        <v>3237.7</v>
      </c>
      <c r="S33" s="24">
        <f t="shared" si="8"/>
        <v>3237.7</v>
      </c>
      <c r="T33" s="24">
        <f t="shared" si="8"/>
        <v>3237.7</v>
      </c>
      <c r="U33" s="417"/>
    </row>
    <row r="34" spans="2:21" s="262" customFormat="1" x14ac:dyDescent="0.55000000000000004">
      <c r="D34" s="262" t="s">
        <v>1466</v>
      </c>
      <c r="I34" s="413">
        <f>M34</f>
        <v>3.1009667356456747E-2</v>
      </c>
      <c r="L34" s="435"/>
      <c r="M34" s="262">
        <f>CLASS!M34</f>
        <v>3.1009667356456747E-2</v>
      </c>
      <c r="N34" s="262">
        <f>$I34</f>
        <v>3.1009667356456747E-2</v>
      </c>
      <c r="O34" s="262">
        <f>$I34</f>
        <v>3.1009667356456747E-2</v>
      </c>
      <c r="P34" s="262">
        <f t="shared" ref="P34" si="9">$I34</f>
        <v>3.1009667356456747E-2</v>
      </c>
      <c r="Q34" s="262">
        <f t="shared" si="8"/>
        <v>3.1009667356456747E-2</v>
      </c>
      <c r="R34" s="262">
        <f t="shared" si="8"/>
        <v>3.1009667356456747E-2</v>
      </c>
      <c r="S34" s="262">
        <f t="shared" si="8"/>
        <v>3.1009667356456747E-2</v>
      </c>
      <c r="T34" s="262">
        <f t="shared" si="8"/>
        <v>3.1009667356456747E-2</v>
      </c>
      <c r="U34" s="418"/>
    </row>
    <row r="35" spans="2:21" x14ac:dyDescent="0.55000000000000004">
      <c r="B35" s="4" t="s">
        <v>70</v>
      </c>
      <c r="C35" s="10"/>
      <c r="D35" s="4"/>
      <c r="E35" s="4"/>
      <c r="F35" s="4"/>
      <c r="G35" s="4"/>
      <c r="H35" s="4"/>
      <c r="I35" s="4"/>
      <c r="J35" s="4"/>
      <c r="K35" s="4"/>
      <c r="L35" s="23"/>
      <c r="M35" s="23"/>
      <c r="N35" s="23"/>
      <c r="O35" s="23"/>
      <c r="P35" s="23"/>
      <c r="Q35" s="23"/>
      <c r="R35" s="23"/>
      <c r="S35" s="23"/>
      <c r="T35" s="23"/>
    </row>
    <row r="36" spans="2:21" x14ac:dyDescent="0.55000000000000004">
      <c r="B36" s="4"/>
      <c r="C36" s="10" t="s">
        <v>65</v>
      </c>
      <c r="D36" s="4"/>
      <c r="E36" s="4"/>
      <c r="F36" s="4"/>
      <c r="G36" s="4"/>
      <c r="H36" s="4"/>
      <c r="I36" s="4"/>
      <c r="J36" s="4"/>
      <c r="K36" s="4"/>
      <c r="L36" s="23"/>
      <c r="M36" s="23"/>
      <c r="N36" s="23"/>
      <c r="O36" s="23"/>
      <c r="P36" s="23"/>
      <c r="Q36" s="23"/>
      <c r="R36" s="23"/>
      <c r="S36" s="23"/>
      <c r="T36" s="23"/>
    </row>
    <row r="37" spans="2:21" s="10" customFormat="1" x14ac:dyDescent="0.55000000000000004">
      <c r="D37" s="10" t="s">
        <v>66</v>
      </c>
      <c r="I37" s="414">
        <v>100</v>
      </c>
      <c r="L37" s="303"/>
      <c r="M37" s="24">
        <f>TTA!M23</f>
        <v>15</v>
      </c>
      <c r="N37" s="24">
        <f>(COUNTA(티티에이매출v2!$F$18:$F$43)-3)/4*6</f>
        <v>34.5</v>
      </c>
      <c r="O37" s="24">
        <f>N37+M37</f>
        <v>49.5</v>
      </c>
      <c r="P37" s="24">
        <f>O37+($T37-$O37)/5</f>
        <v>59.6</v>
      </c>
      <c r="Q37" s="24">
        <f t="shared" ref="Q37" si="10">P37+($T37-$O37)/5</f>
        <v>69.7</v>
      </c>
      <c r="R37" s="24">
        <f t="shared" ref="R37" si="11">Q37+($T37-$O37)/5</f>
        <v>79.8</v>
      </c>
      <c r="S37" s="24">
        <f t="shared" ref="S37" si="12">R37+($T37-$O37)/5</f>
        <v>89.899999999999991</v>
      </c>
      <c r="T37" s="24">
        <f>I37</f>
        <v>100</v>
      </c>
      <c r="U37" s="417"/>
    </row>
    <row r="38" spans="2:21" s="10" customFormat="1" x14ac:dyDescent="0.55000000000000004">
      <c r="D38" s="10" t="s">
        <v>1465</v>
      </c>
      <c r="I38" s="414">
        <f>$O38</f>
        <v>3742.5865800865804</v>
      </c>
      <c r="L38" s="303"/>
      <c r="M38" s="24">
        <f>TTA!M25</f>
        <v>5200</v>
      </c>
      <c r="N38" s="24">
        <f>SUM(티티에이매출v2!$K$19:$K$46)/COUNTA(티티에이매출v2!$K$19:$K$46)</f>
        <v>3108.9285714285716</v>
      </c>
      <c r="O38" s="24">
        <f>TTA!O25</f>
        <v>3742.5865800865804</v>
      </c>
      <c r="P38" s="24">
        <f>$I38</f>
        <v>3742.5865800865804</v>
      </c>
      <c r="Q38" s="24">
        <f t="shared" ref="Q38:T38" si="13">$I38</f>
        <v>3742.5865800865804</v>
      </c>
      <c r="R38" s="24">
        <f t="shared" si="13"/>
        <v>3742.5865800865804</v>
      </c>
      <c r="S38" s="24">
        <f t="shared" si="13"/>
        <v>3742.5865800865804</v>
      </c>
      <c r="T38" s="24">
        <f t="shared" si="13"/>
        <v>3742.5865800865804</v>
      </c>
      <c r="U38" s="417"/>
    </row>
    <row r="39" spans="2:21" s="777" customFormat="1" x14ac:dyDescent="0.55000000000000004">
      <c r="B39" s="263"/>
      <c r="C39" s="263"/>
      <c r="D39" s="263" t="s">
        <v>1466</v>
      </c>
      <c r="E39" s="263"/>
      <c r="F39" s="263"/>
      <c r="G39" s="263"/>
      <c r="H39" s="263"/>
      <c r="I39" s="413">
        <f>M39</f>
        <v>2.8846153846153848E-2</v>
      </c>
      <c r="J39" s="263"/>
      <c r="K39" s="263"/>
      <c r="L39" s="778"/>
      <c r="M39" s="263">
        <f>TTA!M26</f>
        <v>2.8846153846153848E-2</v>
      </c>
      <c r="N39" s="263">
        <f>$I39</f>
        <v>2.8846153846153848E-2</v>
      </c>
      <c r="O39" s="263">
        <f t="shared" ref="O39:T39" si="14">$I39</f>
        <v>2.8846153846153848E-2</v>
      </c>
      <c r="P39" s="263">
        <f t="shared" si="14"/>
        <v>2.8846153846153848E-2</v>
      </c>
      <c r="Q39" s="263">
        <f t="shared" si="14"/>
        <v>2.8846153846153848E-2</v>
      </c>
      <c r="R39" s="263">
        <f t="shared" si="14"/>
        <v>2.8846153846153848E-2</v>
      </c>
      <c r="S39" s="263">
        <f t="shared" si="14"/>
        <v>2.8846153846153848E-2</v>
      </c>
      <c r="T39" s="263">
        <f t="shared" si="14"/>
        <v>2.8846153846153848E-2</v>
      </c>
      <c r="U39" s="418"/>
    </row>
    <row r="41" spans="2:21" s="299" customFormat="1" x14ac:dyDescent="0.55000000000000004">
      <c r="B41" s="299" t="s">
        <v>73</v>
      </c>
      <c r="U41" s="416"/>
    </row>
    <row r="42" spans="2:21" x14ac:dyDescent="0.55000000000000004">
      <c r="B42" s="844"/>
      <c r="C42" s="844"/>
      <c r="D42" s="844"/>
      <c r="E42" s="844"/>
      <c r="F42" s="844"/>
      <c r="G42" s="844"/>
      <c r="H42" s="844"/>
      <c r="I42" s="844"/>
      <c r="J42" s="844"/>
      <c r="K42" s="844"/>
      <c r="L42" s="845" t="s">
        <v>2</v>
      </c>
      <c r="M42" s="845" t="s">
        <v>3</v>
      </c>
      <c r="N42" s="845" t="s">
        <v>4</v>
      </c>
      <c r="O42" s="845" t="s">
        <v>5</v>
      </c>
      <c r="P42" s="845" t="s">
        <v>6</v>
      </c>
      <c r="Q42" s="845" t="s">
        <v>7</v>
      </c>
      <c r="R42" s="845" t="s">
        <v>8</v>
      </c>
      <c r="S42" s="845" t="s">
        <v>9</v>
      </c>
      <c r="T42" s="845" t="s">
        <v>1480</v>
      </c>
    </row>
    <row r="43" spans="2:21" s="10" customFormat="1" x14ac:dyDescent="0.55000000000000004">
      <c r="B43" s="455" t="s">
        <v>1557</v>
      </c>
      <c r="C43" s="455"/>
      <c r="D43" s="455"/>
      <c r="E43" s="455"/>
      <c r="F43" s="455"/>
      <c r="G43" s="455"/>
      <c r="H43" s="455"/>
      <c r="I43" s="455"/>
      <c r="J43" s="455"/>
      <c r="K43" s="455"/>
      <c r="L43" s="456"/>
      <c r="M43" s="457"/>
      <c r="N43" s="457"/>
      <c r="O43" s="457"/>
      <c r="P43" s="457"/>
      <c r="Q43" s="457"/>
      <c r="R43" s="457"/>
      <c r="S43" s="457"/>
      <c r="T43" s="457"/>
      <c r="U43" s="417"/>
    </row>
    <row r="44" spans="2:21" s="10" customFormat="1" x14ac:dyDescent="0.55000000000000004">
      <c r="C44" s="10" t="s">
        <v>1558</v>
      </c>
      <c r="I44" s="414">
        <f>시스템노바매출!N21</f>
        <v>8</v>
      </c>
      <c r="J44" s="414">
        <v>12</v>
      </c>
      <c r="L44" s="303"/>
      <c r="M44" s="24">
        <f>NOVA!M22</f>
        <v>1</v>
      </c>
      <c r="N44" s="24">
        <f>AVERAGE(시스템노바매출!I21:N21)</f>
        <v>6.666666666666667</v>
      </c>
      <c r="O44" s="24">
        <f>NOVA!O22</f>
        <v>5.25</v>
      </c>
      <c r="P44" s="24">
        <f>I44</f>
        <v>8</v>
      </c>
      <c r="Q44" s="24">
        <f>P44+($T44-$P44)/4</f>
        <v>9</v>
      </c>
      <c r="R44" s="24">
        <f t="shared" ref="R44:S44" si="15">Q44+($T44-$P44)/4</f>
        <v>10</v>
      </c>
      <c r="S44" s="24">
        <f t="shared" si="15"/>
        <v>11</v>
      </c>
      <c r="T44" s="24">
        <f>J44</f>
        <v>12</v>
      </c>
      <c r="U44" s="417"/>
    </row>
    <row r="45" spans="2:21" x14ac:dyDescent="0.55000000000000004">
      <c r="C45" s="1" t="s">
        <v>1556</v>
      </c>
      <c r="L45" s="303"/>
      <c r="M45" s="315">
        <f>NOVA!M23</f>
        <v>1217.398457</v>
      </c>
      <c r="N45" s="315">
        <f>NOVA!N23</f>
        <v>653.50932358928571</v>
      </c>
      <c r="O45" s="19">
        <f>NOVA!O23</f>
        <v>629.90363263818028</v>
      </c>
      <c r="P45" s="315">
        <f>O45*(1+P$12)</f>
        <v>640.38376820017663</v>
      </c>
      <c r="Q45" s="315">
        <f t="shared" ref="Q45:T45" si="16">P45*(1+Q$12)</f>
        <v>651.9106760277798</v>
      </c>
      <c r="R45" s="315">
        <f t="shared" si="16"/>
        <v>665.60080022436307</v>
      </c>
      <c r="S45" s="315">
        <f t="shared" si="16"/>
        <v>678.24721542862585</v>
      </c>
      <c r="T45" s="315">
        <f t="shared" si="16"/>
        <v>691.51653078726258</v>
      </c>
      <c r="U45" s="417" t="s">
        <v>2120</v>
      </c>
    </row>
    <row r="46" spans="2:21" s="3" customFormat="1" x14ac:dyDescent="0.55000000000000004">
      <c r="C46" s="3" t="s">
        <v>1559</v>
      </c>
      <c r="I46" s="413">
        <v>0.15</v>
      </c>
      <c r="L46" s="458"/>
      <c r="M46" s="232">
        <f>NOVA!M26</f>
        <v>9.7247237430468772E-2</v>
      </c>
      <c r="N46" s="232">
        <f>M46</f>
        <v>9.7247237430468772E-2</v>
      </c>
      <c r="O46" s="232">
        <f t="shared" ref="O46" si="17">N46</f>
        <v>9.7247237430468772E-2</v>
      </c>
      <c r="P46" s="232">
        <f>O46+($T46-$O46)/5</f>
        <v>0.10779778994437501</v>
      </c>
      <c r="Q46" s="232">
        <f t="shared" ref="Q46:S46" si="18">P46+($T46-$O46)/5</f>
        <v>0.11834834245828126</v>
      </c>
      <c r="R46" s="232">
        <f t="shared" si="18"/>
        <v>0.12889889497218751</v>
      </c>
      <c r="S46" s="232">
        <f t="shared" si="18"/>
        <v>0.13944944748609375</v>
      </c>
      <c r="T46" s="232">
        <f>I46</f>
        <v>0.15</v>
      </c>
      <c r="U46" s="417"/>
    </row>
    <row r="47" spans="2:21" s="10" customFormat="1" x14ac:dyDescent="0.55000000000000004">
      <c r="B47" s="10" t="s">
        <v>1554</v>
      </c>
      <c r="L47" s="303"/>
      <c r="M47" s="31"/>
      <c r="N47" s="31"/>
      <c r="O47" s="31"/>
      <c r="P47" s="31"/>
      <c r="Q47" s="31"/>
      <c r="R47" s="31"/>
      <c r="S47" s="31"/>
      <c r="T47" s="31"/>
      <c r="U47" s="417"/>
    </row>
    <row r="48" spans="2:21" s="10" customFormat="1" x14ac:dyDescent="0.55000000000000004">
      <c r="C48" s="10" t="s">
        <v>1558</v>
      </c>
      <c r="I48" s="414">
        <v>3</v>
      </c>
      <c r="J48" s="414">
        <v>10</v>
      </c>
      <c r="L48" s="303"/>
      <c r="M48" s="24">
        <v>0</v>
      </c>
      <c r="N48" s="24">
        <v>0</v>
      </c>
      <c r="O48" s="24">
        <v>0</v>
      </c>
      <c r="P48" s="24">
        <f>I48</f>
        <v>3</v>
      </c>
      <c r="Q48" s="24">
        <f>P48+($T48-$P48)/4</f>
        <v>4.75</v>
      </c>
      <c r="R48" s="24">
        <f t="shared" ref="R48:S48" si="19">Q48+($T48-$P48)/4</f>
        <v>6.5</v>
      </c>
      <c r="S48" s="24">
        <f t="shared" si="19"/>
        <v>8.25</v>
      </c>
      <c r="T48" s="24">
        <f>J48</f>
        <v>10</v>
      </c>
      <c r="U48" s="417"/>
    </row>
    <row r="49" spans="2:21" s="10" customFormat="1" x14ac:dyDescent="0.55000000000000004">
      <c r="C49" s="10" t="s">
        <v>1556</v>
      </c>
      <c r="L49" s="303"/>
      <c r="M49" s="24">
        <v>0</v>
      </c>
      <c r="N49" s="24">
        <v>0</v>
      </c>
      <c r="O49" s="24">
        <v>0</v>
      </c>
      <c r="P49" s="24">
        <f>P45</f>
        <v>640.38376820017663</v>
      </c>
      <c r="Q49" s="24">
        <f t="shared" ref="Q49:T49" si="20">Q45</f>
        <v>651.9106760277798</v>
      </c>
      <c r="R49" s="24">
        <f t="shared" si="20"/>
        <v>665.60080022436307</v>
      </c>
      <c r="S49" s="24">
        <f t="shared" si="20"/>
        <v>678.24721542862585</v>
      </c>
      <c r="T49" s="24">
        <f t="shared" si="20"/>
        <v>691.51653078726258</v>
      </c>
      <c r="U49" s="417" t="s">
        <v>2121</v>
      </c>
    </row>
    <row r="50" spans="2:21" s="10" customFormat="1" x14ac:dyDescent="0.55000000000000004">
      <c r="B50" s="14"/>
      <c r="C50" s="14" t="s">
        <v>1559</v>
      </c>
      <c r="D50" s="14"/>
      <c r="E50" s="14"/>
      <c r="F50" s="14"/>
      <c r="G50" s="14"/>
      <c r="H50" s="14"/>
      <c r="I50" s="413">
        <v>0.05</v>
      </c>
      <c r="J50" s="14"/>
      <c r="K50" s="14"/>
      <c r="L50" s="327"/>
      <c r="M50" s="231">
        <v>0</v>
      </c>
      <c r="N50" s="231">
        <v>0</v>
      </c>
      <c r="O50" s="231">
        <v>0</v>
      </c>
      <c r="P50" s="231">
        <f>$I50</f>
        <v>0.05</v>
      </c>
      <c r="Q50" s="231">
        <f t="shared" ref="Q50:T50" si="21">$I50</f>
        <v>0.05</v>
      </c>
      <c r="R50" s="231">
        <f t="shared" si="21"/>
        <v>0.05</v>
      </c>
      <c r="S50" s="231">
        <f t="shared" si="21"/>
        <v>0.05</v>
      </c>
      <c r="T50" s="231">
        <f t="shared" si="21"/>
        <v>0.05</v>
      </c>
      <c r="U50" s="417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9C6F8-FAA0-4666-ACBD-75A1AD73F7BD}">
  <sheetPr>
    <tabColor rgb="FF00B050"/>
  </sheetPr>
  <dimension ref="A1:W162"/>
  <sheetViews>
    <sheetView showGridLines="0" topLeftCell="A121" zoomScale="85" zoomScaleNormal="85" workbookViewId="0">
      <selection activeCell="M82" sqref="M82"/>
    </sheetView>
  </sheetViews>
  <sheetFormatPr defaultColWidth="9" defaultRowHeight="15" x14ac:dyDescent="0.55000000000000004"/>
  <cols>
    <col min="1" max="1" width="3.35546875" style="1" customWidth="1"/>
    <col min="2" max="6" width="2.140625" style="1" customWidth="1"/>
    <col min="7" max="11" width="9" style="1"/>
    <col min="12" max="12" width="11.5" style="1" bestFit="1" customWidth="1"/>
    <col min="13" max="13" width="9.140625" style="1" customWidth="1"/>
    <col min="14" max="14" width="9.2109375" style="1" customWidth="1"/>
    <col min="15" max="20" width="9" style="1"/>
    <col min="21" max="21" width="9" style="3"/>
    <col min="22" max="22" width="9" style="1"/>
    <col min="23" max="23" width="14" style="1" bestFit="1" customWidth="1"/>
    <col min="24" max="16384" width="9" style="1"/>
  </cols>
  <sheetData>
    <row r="1" spans="1:22" x14ac:dyDescent="0.55000000000000004">
      <c r="A1" s="840" t="s">
        <v>64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2" x14ac:dyDescent="0.55000000000000004">
      <c r="A3" s="841" t="s">
        <v>76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2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2" x14ac:dyDescent="0.55000000000000004">
      <c r="A6" s="4"/>
      <c r="B6" s="12" t="s">
        <v>11</v>
      </c>
      <c r="C6" s="12"/>
      <c r="D6" s="12"/>
      <c r="E6" s="12"/>
      <c r="F6" s="12"/>
      <c r="G6" s="12"/>
      <c r="H6" s="12"/>
      <c r="I6" s="12"/>
      <c r="J6" s="12"/>
      <c r="K6" s="12"/>
      <c r="L6" s="18">
        <f>L19</f>
        <v>11203.458977</v>
      </c>
      <c r="M6" s="18">
        <f t="shared" ref="M6:S6" si="0">M19</f>
        <v>17504.878433999998</v>
      </c>
      <c r="N6" s="18">
        <f t="shared" si="0"/>
        <v>17577.197469939128</v>
      </c>
      <c r="O6" s="18">
        <f t="shared" si="0"/>
        <v>35082.075903939134</v>
      </c>
      <c r="P6" s="18">
        <f t="shared" si="0"/>
        <v>37812.470359291983</v>
      </c>
      <c r="Q6" s="18">
        <f t="shared" si="0"/>
        <v>40682.350218877298</v>
      </c>
      <c r="R6" s="18">
        <f t="shared" si="0"/>
        <v>43771.909329847258</v>
      </c>
      <c r="S6" s="18">
        <f t="shared" si="0"/>
        <v>46881.274728858982</v>
      </c>
      <c r="T6" s="18">
        <f t="shared" ref="T6" si="1">T19</f>
        <v>50120.726308840254</v>
      </c>
    </row>
    <row r="7" spans="1:22" x14ac:dyDescent="0.55000000000000004">
      <c r="B7" s="1" t="s">
        <v>12</v>
      </c>
      <c r="L7" s="19">
        <f>L41</f>
        <v>7805.3692439999995</v>
      </c>
      <c r="M7" s="19">
        <f t="shared" ref="M7:S7" si="2">M41</f>
        <v>10871.796025</v>
      </c>
      <c r="N7" s="19">
        <f t="shared" si="2"/>
        <v>12636.465532712071</v>
      </c>
      <c r="O7" s="19">
        <f t="shared" si="2"/>
        <v>23508.26155771207</v>
      </c>
      <c r="P7" s="19">
        <f t="shared" si="2"/>
        <v>25900.887277834296</v>
      </c>
      <c r="Q7" s="19">
        <f t="shared" si="2"/>
        <v>26116.725189098168</v>
      </c>
      <c r="R7" s="19">
        <f t="shared" si="2"/>
        <v>27996.971173985647</v>
      </c>
      <c r="S7" s="19">
        <f t="shared" si="2"/>
        <v>29882.533711209235</v>
      </c>
      <c r="T7" s="19">
        <f t="shared" ref="T7" si="3">T41</f>
        <v>31848.718186638347</v>
      </c>
    </row>
    <row r="8" spans="1:22" s="4" customFormat="1" x14ac:dyDescent="0.55000000000000004"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20">
        <f>L6-L7</f>
        <v>3398.0897330000007</v>
      </c>
      <c r="M8" s="20">
        <f t="shared" ref="M8:S8" si="4">M6-M7</f>
        <v>6633.0824089999987</v>
      </c>
      <c r="N8" s="20">
        <f t="shared" si="4"/>
        <v>4940.7319372270576</v>
      </c>
      <c r="O8" s="20">
        <f t="shared" si="4"/>
        <v>11573.814346227064</v>
      </c>
      <c r="P8" s="20">
        <f t="shared" si="4"/>
        <v>11911.583081457688</v>
      </c>
      <c r="Q8" s="20">
        <f t="shared" si="4"/>
        <v>14565.62502977913</v>
      </c>
      <c r="R8" s="20">
        <f t="shared" si="4"/>
        <v>15774.938155861611</v>
      </c>
      <c r="S8" s="20">
        <f t="shared" si="4"/>
        <v>16998.741017649747</v>
      </c>
      <c r="T8" s="20">
        <f t="shared" ref="T8" si="5">T6-T7</f>
        <v>18272.008122201907</v>
      </c>
      <c r="U8" s="299"/>
    </row>
    <row r="9" spans="1:22" s="262" customFormat="1" x14ac:dyDescent="0.55000000000000004">
      <c r="B9" s="319" t="s">
        <v>77</v>
      </c>
      <c r="C9" s="319"/>
      <c r="D9" s="319"/>
      <c r="E9" s="319"/>
      <c r="F9" s="319"/>
      <c r="G9" s="319"/>
      <c r="H9" s="319"/>
      <c r="I9" s="319"/>
      <c r="J9" s="319"/>
      <c r="K9" s="319"/>
      <c r="L9" s="319">
        <f>L8/L6</f>
        <v>0.30330719646281262</v>
      </c>
      <c r="M9" s="319">
        <f t="shared" ref="M9:S9" si="6">M8/M6</f>
        <v>0.37892764774169807</v>
      </c>
      <c r="N9" s="319">
        <f t="shared" si="6"/>
        <v>0.28108758211750168</v>
      </c>
      <c r="O9" s="319">
        <f t="shared" si="6"/>
        <v>0.32990676999611407</v>
      </c>
      <c r="P9" s="319">
        <f t="shared" si="6"/>
        <v>0.31501732016645539</v>
      </c>
      <c r="Q9" s="319">
        <f t="shared" si="6"/>
        <v>0.35803302787114877</v>
      </c>
      <c r="R9" s="319">
        <f t="shared" si="6"/>
        <v>0.3603895374311436</v>
      </c>
      <c r="S9" s="319">
        <f t="shared" si="6"/>
        <v>0.36259127158898968</v>
      </c>
      <c r="T9" s="319">
        <f t="shared" ref="T9" si="7">T8/T6</f>
        <v>0.36455992296702022</v>
      </c>
    </row>
    <row r="10" spans="1:22" x14ac:dyDescent="0.55000000000000004">
      <c r="B10" s="1" t="s">
        <v>78</v>
      </c>
      <c r="L10" s="19">
        <f>L109</f>
        <v>127.87805900000001</v>
      </c>
      <c r="M10" s="19">
        <f t="shared" ref="M10:S10" si="8">M109</f>
        <v>45.914014999999999</v>
      </c>
      <c r="N10" s="19">
        <f t="shared" si="8"/>
        <v>50.626288725500004</v>
      </c>
      <c r="O10" s="19">
        <f t="shared" si="8"/>
        <v>96.540303725499996</v>
      </c>
      <c r="P10" s="19">
        <f t="shared" si="8"/>
        <v>84.973117881637307</v>
      </c>
      <c r="Q10" s="19">
        <f t="shared" si="8"/>
        <v>77.169324070728834</v>
      </c>
      <c r="R10" s="19">
        <f t="shared" si="8"/>
        <v>70.159179992286681</v>
      </c>
      <c r="S10" s="19">
        <f t="shared" si="8"/>
        <v>63.861971071694128</v>
      </c>
      <c r="T10" s="19">
        <f t="shared" ref="T10" si="9">T109</f>
        <v>58.2051914469303</v>
      </c>
    </row>
    <row r="11" spans="1:22" s="4" customFormat="1" x14ac:dyDescent="0.55000000000000004">
      <c r="B11" s="5" t="s">
        <v>79</v>
      </c>
      <c r="C11" s="5"/>
      <c r="D11" s="5"/>
      <c r="E11" s="5"/>
      <c r="F11" s="5"/>
      <c r="G11" s="5"/>
      <c r="H11" s="5"/>
      <c r="I11" s="5"/>
      <c r="J11" s="5"/>
      <c r="K11" s="5"/>
      <c r="L11" s="20">
        <f>L10+L8</f>
        <v>3525.9677920000008</v>
      </c>
      <c r="M11" s="20">
        <f t="shared" ref="M11:S11" si="10">M10+M8</f>
        <v>6678.996423999999</v>
      </c>
      <c r="N11" s="20">
        <f t="shared" si="10"/>
        <v>4991.3582259525574</v>
      </c>
      <c r="O11" s="20">
        <f t="shared" si="10"/>
        <v>11670.354649952564</v>
      </c>
      <c r="P11" s="20">
        <f t="shared" si="10"/>
        <v>11996.556199339324</v>
      </c>
      <c r="Q11" s="20">
        <f t="shared" si="10"/>
        <v>14642.794353849858</v>
      </c>
      <c r="R11" s="20">
        <f t="shared" si="10"/>
        <v>15845.097335853898</v>
      </c>
      <c r="S11" s="20">
        <f t="shared" si="10"/>
        <v>17062.602988721443</v>
      </c>
      <c r="T11" s="20">
        <f t="shared" ref="T11" si="11">T10+T8</f>
        <v>18330.213313648837</v>
      </c>
      <c r="U11" s="299"/>
      <c r="V11" s="2"/>
    </row>
    <row r="12" spans="1:22" s="3" customFormat="1" x14ac:dyDescent="0.55000000000000004">
      <c r="B12" s="6" t="s">
        <v>80</v>
      </c>
      <c r="C12" s="6"/>
      <c r="D12" s="6"/>
      <c r="E12" s="6"/>
      <c r="F12" s="6"/>
      <c r="G12" s="6"/>
      <c r="H12" s="6"/>
      <c r="I12" s="6"/>
      <c r="J12" s="6"/>
      <c r="K12" s="6"/>
      <c r="L12" s="319">
        <f>L11/L6</f>
        <v>0.31472135518491134</v>
      </c>
      <c r="M12" s="319">
        <f t="shared" ref="M12:S12" si="12">M11/M6</f>
        <v>0.38155057455453562</v>
      </c>
      <c r="N12" s="319">
        <f t="shared" si="12"/>
        <v>0.28396780741007643</v>
      </c>
      <c r="O12" s="319">
        <f t="shared" si="12"/>
        <v>0.33265861124946078</v>
      </c>
      <c r="P12" s="319">
        <f t="shared" si="12"/>
        <v>0.31726454488026612</v>
      </c>
      <c r="Q12" s="319">
        <f t="shared" si="12"/>
        <v>0.35992990264990526</v>
      </c>
      <c r="R12" s="319">
        <f t="shared" si="12"/>
        <v>0.36199237315538846</v>
      </c>
      <c r="S12" s="319">
        <f t="shared" si="12"/>
        <v>0.36395347795903926</v>
      </c>
      <c r="T12" s="319">
        <f t="shared" ref="T12" si="13">T11/T6</f>
        <v>0.36572122280709585</v>
      </c>
      <c r="V12" s="432"/>
    </row>
    <row r="13" spans="1:22" s="4" customFormat="1" x14ac:dyDescent="0.55000000000000004">
      <c r="B13" s="4" t="s">
        <v>2146</v>
      </c>
      <c r="L13" s="775">
        <f t="shared" ref="L13:T13" si="14">L11-L82</f>
        <v>2213.2700000000009</v>
      </c>
      <c r="M13" s="775">
        <f t="shared" si="14"/>
        <v>5264.7010158387493</v>
      </c>
      <c r="N13" s="775">
        <f t="shared" si="14"/>
        <v>4991.3582259525574</v>
      </c>
      <c r="O13" s="775">
        <f t="shared" si="14"/>
        <v>10256.059241791312</v>
      </c>
      <c r="P13" s="775">
        <f t="shared" si="14"/>
        <v>11996.556199339324</v>
      </c>
      <c r="Q13" s="775">
        <f t="shared" si="14"/>
        <v>14642.794353849858</v>
      </c>
      <c r="R13" s="775">
        <f t="shared" si="14"/>
        <v>15845.097335853898</v>
      </c>
      <c r="S13" s="775">
        <f t="shared" si="14"/>
        <v>17062.602988721443</v>
      </c>
      <c r="T13" s="775">
        <f t="shared" si="14"/>
        <v>18330.213313648837</v>
      </c>
      <c r="V13" s="2"/>
    </row>
    <row r="14" spans="1:22" s="3" customFormat="1" x14ac:dyDescent="0.55000000000000004">
      <c r="B14" s="17" t="s">
        <v>2147</v>
      </c>
      <c r="C14" s="17"/>
      <c r="D14" s="17"/>
      <c r="E14" s="17"/>
      <c r="F14" s="17"/>
      <c r="G14" s="17"/>
      <c r="H14" s="17"/>
      <c r="I14" s="17"/>
      <c r="J14" s="17"/>
      <c r="K14" s="17"/>
      <c r="L14" s="263">
        <f>L13/L6</f>
        <v>0.19755238132649083</v>
      </c>
      <c r="M14" s="263">
        <f t="shared" ref="M14:T14" si="15">M13/M6</f>
        <v>0.30075621694196047</v>
      </c>
      <c r="N14" s="263">
        <f t="shared" si="15"/>
        <v>0.28396780741007643</v>
      </c>
      <c r="O14" s="263">
        <f t="shared" si="15"/>
        <v>0.29234470816020686</v>
      </c>
      <c r="P14" s="263">
        <f t="shared" si="15"/>
        <v>0.31726454488026612</v>
      </c>
      <c r="Q14" s="263">
        <f t="shared" si="15"/>
        <v>0.35992990264990526</v>
      </c>
      <c r="R14" s="263">
        <f t="shared" si="15"/>
        <v>0.36199237315538846</v>
      </c>
      <c r="S14" s="263">
        <f t="shared" si="15"/>
        <v>0.36395347795903926</v>
      </c>
      <c r="T14" s="263">
        <f t="shared" si="15"/>
        <v>0.36572122280709585</v>
      </c>
      <c r="V14" s="432"/>
    </row>
    <row r="15" spans="1:22" x14ac:dyDescent="0.55000000000000004">
      <c r="M15" s="1" t="b">
        <f>M8=연결정산표_우모건제외!I140/10^6</f>
        <v>1</v>
      </c>
      <c r="V15" s="434">
        <f>(연결정산표!F98/10^6-(SUMIFS(타이탄매출!$N:$N,타이탄매출!$B:$B,TITAN!L$18,타이탄매출!$C:$C,TITAN!$D21)/10^6+SUMIFS(클래스매출!$J:$J,클래스매출!$A:$A,TITAN!L$18,클래스매출!$C:$C,TITAN!$D21)/10^6)-(SUMIFS(타이탄매출!$N:$N,타이탄매출!$B:$B,TITAN!L$18,타이탄매출!$C:$C,TITAN!$D29)/10^6+SUMIFS(클래스매출!$J:$J,클래스매출!$A:$A,TITAN!L$18,클래스매출!$C:$C,TITAN!$D29)/10^6))*(SUMIFS(타이탄매출!$N:$N,타이탄매출!$B:$B,TITAN!L$18,타이탄매출!$C:$C,TITAN!$D21)/10^6+SUMIFS(클래스매출!$J:$J,클래스매출!$A:$A,TITAN!L$18,클래스매출!$C:$C,TITAN!$D21)/10^6)/((SUMIFS(타이탄매출!$N:$N,타이탄매출!$B:$B,TITAN!L$18,타이탄매출!$C:$C,TITAN!$D21)/10^6+SUMIFS(클래스매출!$J:$J,클래스매출!$A:$A,TITAN!L$18,클래스매출!$C:$C,TITAN!$D21)/10^6)+(SUMIFS(타이탄매출!$N:$N,타이탄매출!$B:$B,TITAN!L$18,타이탄매출!$C:$C,TITAN!$D29)/10^6+SUMIFS(클래스매출!$J:$J,클래스매출!$A:$A,TITAN!L$18,클래스매출!$C:$C,TITAN!$D29)/10^6))</f>
        <v>-359.22244418926147</v>
      </c>
    </row>
    <row r="16" spans="1:22" x14ac:dyDescent="0.55000000000000004">
      <c r="A16" s="841" t="s">
        <v>81</v>
      </c>
      <c r="B16" s="842"/>
      <c r="C16" s="842"/>
      <c r="D16" s="842"/>
      <c r="E16" s="842"/>
      <c r="F16" s="842"/>
      <c r="G16" s="842"/>
      <c r="H16" s="842"/>
      <c r="I16" s="842"/>
      <c r="J16" s="842"/>
      <c r="K16" s="842"/>
      <c r="L16" s="842"/>
      <c r="M16" s="842"/>
      <c r="N16" s="842"/>
      <c r="O16" s="842"/>
      <c r="P16" s="842"/>
      <c r="Q16" s="842"/>
      <c r="R16" s="842"/>
      <c r="S16" s="842"/>
      <c r="T16" s="842"/>
      <c r="V16" s="1">
        <f>(연결정산표!F98/10^6-(SUMIFS(타이탄매출!$N:$N,타이탄매출!$B:$B,TITAN!L$18,타이탄매출!$C:$C,TITAN!$D21)/10^6+SUMIFS(클래스매출!$J:$J,클래스매출!$A:$A,TITAN!L$18,클래스매출!$C:$C,TITAN!$D21)/10^6)-(SUMIFS(타이탄매출!$N:$N,타이탄매출!$B:$B,TITAN!L$18,타이탄매출!$C:$C,TITAN!$D29)/10^6+SUMIFS(클래스매출!$J:$J,클래스매출!$A:$A,TITAN!L$18,클래스매출!$C:$C,TITAN!$D29)/10^6))*(SUMIFS(타이탄매출!$N:$N,타이탄매출!$B:$B,TITAN!L$18,타이탄매출!$C:$C,TITAN!$D29)/10^6+SUMIFS(클래스매출!$J:$J,클래스매출!$A:$A,TITAN!L$18,클래스매출!$C:$C,TITAN!$D29)/10^6)/((SUMIFS(타이탄매출!$N:$N,타이탄매출!$B:$B,TITAN!L$18,타이탄매출!$C:$C,TITAN!$D21)/10^6+SUMIFS(클래스매출!$J:$J,클래스매출!$A:$A,TITAN!L$18,클래스매출!$C:$C,TITAN!$D21)/10^6)+(SUMIFS(타이탄매출!$N:$N,타이탄매출!$B:$B,TITAN!L$18,타이탄매출!$C:$C,TITAN!$D29)/10^6+SUMIFS(클래스매출!$J:$J,클래스매출!$A:$A,TITAN!L$18,클래스매출!$C:$C,TITAN!$D29)/10^6))</f>
        <v>-106.17015681073991</v>
      </c>
    </row>
    <row r="17" spans="2:22" x14ac:dyDescent="0.55000000000000004">
      <c r="L17" s="19">
        <f>L20-L21-L29</f>
        <v>0</v>
      </c>
      <c r="V17" s="433"/>
    </row>
    <row r="18" spans="2:22" x14ac:dyDescent="0.55000000000000004">
      <c r="B18" s="844"/>
      <c r="C18" s="844"/>
      <c r="D18" s="844"/>
      <c r="E18" s="844"/>
      <c r="F18" s="844"/>
      <c r="G18" s="844"/>
      <c r="H18" s="844"/>
      <c r="I18" s="844"/>
      <c r="J18" s="844"/>
      <c r="K18" s="844"/>
      <c r="L18" s="845" t="s">
        <v>2</v>
      </c>
      <c r="M18" s="845" t="s">
        <v>3</v>
      </c>
      <c r="N18" s="845" t="s">
        <v>4</v>
      </c>
      <c r="O18" s="845" t="s">
        <v>5</v>
      </c>
      <c r="P18" s="845" t="s">
        <v>6</v>
      </c>
      <c r="Q18" s="845" t="s">
        <v>7</v>
      </c>
      <c r="R18" s="845" t="s">
        <v>8</v>
      </c>
      <c r="S18" s="845" t="s">
        <v>9</v>
      </c>
      <c r="T18" s="845" t="s">
        <v>1480</v>
      </c>
      <c r="V18" s="433"/>
    </row>
    <row r="19" spans="2:22" x14ac:dyDescent="0.55000000000000004">
      <c r="B19" s="12" t="s">
        <v>11</v>
      </c>
      <c r="C19" s="12"/>
      <c r="D19" s="12"/>
      <c r="E19" s="12"/>
      <c r="F19" s="12"/>
      <c r="G19" s="12"/>
      <c r="H19" s="12"/>
      <c r="I19" s="12"/>
      <c r="J19" s="12"/>
      <c r="K19" s="12"/>
      <c r="L19" s="18">
        <f t="shared" ref="L19:S19" si="16">L20+L34+L35</f>
        <v>11203.458977</v>
      </c>
      <c r="M19" s="18">
        <f t="shared" si="16"/>
        <v>17504.878433999998</v>
      </c>
      <c r="N19" s="18">
        <f t="shared" si="16"/>
        <v>17577.197469939128</v>
      </c>
      <c r="O19" s="18">
        <f t="shared" si="16"/>
        <v>35082.075903939134</v>
      </c>
      <c r="P19" s="18">
        <f t="shared" si="16"/>
        <v>37812.470359291983</v>
      </c>
      <c r="Q19" s="18">
        <f t="shared" si="16"/>
        <v>40682.350218877298</v>
      </c>
      <c r="R19" s="18">
        <f t="shared" si="16"/>
        <v>43771.909329847258</v>
      </c>
      <c r="S19" s="18">
        <f t="shared" si="16"/>
        <v>46881.274728858982</v>
      </c>
      <c r="T19" s="18">
        <f t="shared" ref="T19" si="17">T20+T34+T35</f>
        <v>50120.726308840254</v>
      </c>
    </row>
    <row r="20" spans="2:22" s="10" customFormat="1" x14ac:dyDescent="0.55000000000000004">
      <c r="C20" s="10" t="s">
        <v>82</v>
      </c>
      <c r="L20" s="24">
        <f>연결정산표!F98/10^6</f>
        <v>11192.304432999999</v>
      </c>
      <c r="M20" s="24">
        <f t="shared" ref="M20:S20" si="18">M21+M29</f>
        <v>17501.105705999998</v>
      </c>
      <c r="N20" s="24">
        <f t="shared" si="18"/>
        <v>17577.197469939128</v>
      </c>
      <c r="O20" s="24">
        <f t="shared" si="18"/>
        <v>35078.303175939131</v>
      </c>
      <c r="P20" s="24">
        <f t="shared" si="18"/>
        <v>37812.470359291983</v>
      </c>
      <c r="Q20" s="24">
        <f t="shared" si="18"/>
        <v>40682.350218877298</v>
      </c>
      <c r="R20" s="24">
        <f t="shared" si="18"/>
        <v>43771.909329847258</v>
      </c>
      <c r="S20" s="24">
        <f t="shared" si="18"/>
        <v>46881.274728858982</v>
      </c>
      <c r="T20" s="24">
        <f t="shared" ref="T20" si="19">T21+T29</f>
        <v>50120.726308840254</v>
      </c>
      <c r="U20" s="3"/>
    </row>
    <row r="21" spans="2:22" s="10" customFormat="1" x14ac:dyDescent="0.55000000000000004">
      <c r="D21" s="10" t="s">
        <v>65</v>
      </c>
      <c r="L21" s="24">
        <f>SUMIFS(타이탄매출!$N:$N,타이탄매출!$B:$B,TITAN!L$18,타이탄매출!$C:$C,TITAN!$D21)/10^6+SUMIFS(클래스매출!$K:$K,클래스매출!$A:$A,TITAN!L$18,클래스매출!$C:$C,TITAN!$D21)/10^6+(연결정산표!F98/10^6-(SUMIFS(타이탄매출!$N:$N,타이탄매출!$B:$B,TITAN!L$18,타이탄매출!$C:$C,TITAN!$D21)/10^6+SUMIFS(클래스매출!$K:$K,클래스매출!$A:$A,TITAN!L$18,클래스매출!$C:$C,TITAN!$D21)/10^6)-(SUMIFS(타이탄매출!$N:$N,타이탄매출!$B:$B,TITAN!L$18,타이탄매출!$C:$C,TITAN!$D29)/10^6+SUMIFS(클래스매출!$K:$K,클래스매출!$A:$A,TITAN!L$18,클래스매출!$C:$C,TITAN!$D29)/10^6))*(SUMIFS(타이탄매출!$N:$N,타이탄매출!$B:$B,TITAN!L$18,타이탄매출!$C:$C,TITAN!$D21)/10^6+SUMIFS(클래스매출!$K:$K,클래스매출!$A:$A,TITAN!L$18,클래스매출!$C:$C,TITAN!$D21)/10^6)/((SUMIFS(타이탄매출!$N:$N,타이탄매출!$B:$B,TITAN!L$18,타이탄매출!$C:$C,TITAN!$D21)/10^6+SUMIFS(클래스매출!$K:$K,클래스매출!$A:$A,TITAN!L$18,클래스매출!$C:$C,TITAN!$D21)/10^6)+(SUMIFS(타이탄매출!$N:$N,타이탄매출!$B:$B,TITAN!L$18,타이탄매출!$C:$C,TITAN!$D29)/10^6+SUMIFS(클래스매출!$K:$K,클래스매출!$A:$A,TITAN!L$18,클래스매출!$C:$C,TITAN!$D29)/10^6))</f>
        <v>8654.2412993056387</v>
      </c>
      <c r="M21" s="24">
        <f>연결정산표!U98/10^6</f>
        <v>17501.105705999998</v>
      </c>
      <c r="N21" s="24">
        <f t="shared" ref="N21:S21" si="20">N22*N28</f>
        <v>17577.197469939128</v>
      </c>
      <c r="O21" s="24">
        <f t="shared" si="20"/>
        <v>35078.303175939131</v>
      </c>
      <c r="P21" s="24">
        <f t="shared" si="20"/>
        <v>37812.470359291983</v>
      </c>
      <c r="Q21" s="24">
        <f t="shared" si="20"/>
        <v>40682.350218877298</v>
      </c>
      <c r="R21" s="24">
        <f t="shared" si="20"/>
        <v>43771.909329847258</v>
      </c>
      <c r="S21" s="24">
        <f t="shared" si="20"/>
        <v>46881.274728858982</v>
      </c>
      <c r="T21" s="24">
        <f t="shared" ref="T21" si="21">T22*T28</f>
        <v>50120.726308840254</v>
      </c>
      <c r="U21" s="3"/>
    </row>
    <row r="22" spans="2:22" s="10" customFormat="1" x14ac:dyDescent="0.55000000000000004">
      <c r="E22" s="10" t="s">
        <v>83</v>
      </c>
      <c r="L22" s="24">
        <f>SUMIFS(타이탄매출!$L$4:$L$131,타이탄매출!$B$4:$B$131,TITAN!L$18,타이탄매출!$C$4:$C$131,TITAN!$D21)+SUMIFS(클래스매출!$T:$T,클래스매출!$A:$A,TITAN!L$18,클래스매출!$C:$C,TITAN!$D21)</f>
        <v>4002</v>
      </c>
      <c r="M22" s="24">
        <f>SUMIFS(타이탄매출!$L$4:$L$131,타이탄매출!$B$4:$B$131,TITAN!M$18,타이탄매출!$C$4:$C$131,TITAN!$D21)</f>
        <v>6734</v>
      </c>
      <c r="N22" s="24">
        <f>N23*N24</f>
        <v>6763.2782608695652</v>
      </c>
      <c r="O22" s="24">
        <f>N22+M22</f>
        <v>13497.278260869565</v>
      </c>
      <c r="P22" s="24">
        <f>P23*P24</f>
        <v>14311.213913043477</v>
      </c>
      <c r="Q22" s="24">
        <f t="shared" ref="Q22:S22" si="22">Q23*Q24</f>
        <v>15125.149565217391</v>
      </c>
      <c r="R22" s="24">
        <f t="shared" si="22"/>
        <v>15939.085217391304</v>
      </c>
      <c r="S22" s="24">
        <f t="shared" si="22"/>
        <v>16753.020869565218</v>
      </c>
      <c r="T22" s="24">
        <f t="shared" ref="T22" si="23">T23*T24</f>
        <v>17566.956521739132</v>
      </c>
      <c r="U22" s="3"/>
    </row>
    <row r="23" spans="2:22" s="10" customFormat="1" x14ac:dyDescent="0.55000000000000004">
      <c r="F23" s="10" t="s">
        <v>84</v>
      </c>
      <c r="L23" s="24">
        <f>COUNTIFS(타이탄매출!$B$4:$B$131,L$18,타이탄매출!$C$4:$C$131,$D21)+COUNTIFS(클래스매출!$A:$A,TITAN!L$18,클래스매출!$C:$C,TITAN!$D21)</f>
        <v>65</v>
      </c>
      <c r="M23" s="24">
        <f>COUNTIFS(타이탄매출!$B$4:$B$131,M$18,타이탄매출!$C$4:$C$131,$D21)</f>
        <v>46</v>
      </c>
      <c r="N23" s="24">
        <f>'Key Assumption'!N23</f>
        <v>46.199999999999996</v>
      </c>
      <c r="O23" s="24">
        <f>N23+M23</f>
        <v>92.199999999999989</v>
      </c>
      <c r="P23" s="24">
        <f>'Key Assumption'!P23</f>
        <v>97.759999999999991</v>
      </c>
      <c r="Q23" s="24">
        <f>'Key Assumption'!Q23</f>
        <v>103.32</v>
      </c>
      <c r="R23" s="24">
        <f>'Key Assumption'!R23</f>
        <v>108.88</v>
      </c>
      <c r="S23" s="24">
        <f>'Key Assumption'!S23</f>
        <v>114.44</v>
      </c>
      <c r="T23" s="24">
        <f>'Key Assumption'!T23</f>
        <v>120</v>
      </c>
      <c r="U23" s="3"/>
    </row>
    <row r="24" spans="2:22" s="10" customFormat="1" x14ac:dyDescent="0.55000000000000004">
      <c r="F24" s="10" t="s">
        <v>67</v>
      </c>
      <c r="L24" s="28">
        <f>L22/L23</f>
        <v>61.569230769230771</v>
      </c>
      <c r="M24" s="28">
        <f t="shared" ref="M24" si="24">M22/M23</f>
        <v>146.39130434782609</v>
      </c>
      <c r="N24" s="24">
        <f>N25*N27</f>
        <v>146.39130434782609</v>
      </c>
      <c r="O24" s="24">
        <f>O22/O23</f>
        <v>146.39130434782609</v>
      </c>
      <c r="P24" s="24">
        <f t="shared" ref="P24:S24" si="25">P25*P27</f>
        <v>146.39130434782609</v>
      </c>
      <c r="Q24" s="24">
        <f t="shared" si="25"/>
        <v>146.39130434782609</v>
      </c>
      <c r="R24" s="24">
        <f t="shared" si="25"/>
        <v>146.39130434782609</v>
      </c>
      <c r="S24" s="24">
        <f t="shared" si="25"/>
        <v>146.39130434782609</v>
      </c>
      <c r="T24" s="24">
        <f t="shared" ref="T24" si="26">T25*T27</f>
        <v>146.39130434782609</v>
      </c>
      <c r="U24" s="3"/>
    </row>
    <row r="25" spans="2:22" s="10" customFormat="1" x14ac:dyDescent="0.55000000000000004">
      <c r="G25" s="10" t="s">
        <v>1473</v>
      </c>
      <c r="L25" s="28">
        <f>SUMIFS(타이탄매출!$J:$J,타이탄매출!$B:$B,TITAN!L$18,타이탄매출!$C:$C,TITAN!$D21)/COUNTIFS(타이탄매출!$B:$B,TITAN!L$18,타이탄매출!$C:$C,TITAN!D$21,타이탄매출!$J:$J,"&gt;0")+SUMIFS(클래스매출!$R:$R,클래스매출!$A:$A,TITAN!L$18,클래스매출!$C:$C,TITAN!$D21)/COUNTIFS(클래스매출!$A:$A,TITAN!L$18,클래스매출!$C:$C,TITAN!$D21,클래스매출!$R:$R,"&gt;0")</f>
        <v>2085.0066666666667</v>
      </c>
      <c r="M25" s="28">
        <f>SUMIFS(타이탄매출!$J:$J,타이탄매출!$B:$B,TITAN!M$18,타이탄매출!$C:$C,TITAN!$D21)/COUNTIFS(타이탄매출!$B:$B,TITAN!M$18,타이탄매출!$J:$J,"&gt;0",타이탄매출!$C:$C,TITAN!$D21)</f>
        <v>4473.869565217391</v>
      </c>
      <c r="N25" s="24">
        <f>'Key Assumption'!N24</f>
        <v>4473.869565217391</v>
      </c>
      <c r="O25" s="24">
        <f>'Key Assumption'!O24</f>
        <v>4473.869565217391</v>
      </c>
      <c r="P25" s="24">
        <f>'Key Assumption'!P24</f>
        <v>4473.869565217391</v>
      </c>
      <c r="Q25" s="24">
        <f>'Key Assumption'!Q24</f>
        <v>4473.869565217391</v>
      </c>
      <c r="R25" s="24">
        <f>'Key Assumption'!R24</f>
        <v>4473.869565217391</v>
      </c>
      <c r="S25" s="24">
        <f>'Key Assumption'!S24</f>
        <v>4473.869565217391</v>
      </c>
      <c r="T25" s="24">
        <f>'Key Assumption'!T24</f>
        <v>4473.869565217391</v>
      </c>
      <c r="U25" s="3"/>
    </row>
    <row r="26" spans="2:22" s="10" customFormat="1" x14ac:dyDescent="0.55000000000000004">
      <c r="G26" s="420" t="s">
        <v>1337</v>
      </c>
      <c r="L26" s="28">
        <f>L75</f>
        <v>8.2386224632375296</v>
      </c>
      <c r="M26" s="28">
        <f>M75</f>
        <v>10.364051171537138</v>
      </c>
      <c r="N26" s="28">
        <f t="shared" ref="N26:S26" si="27">N75</f>
        <v>10.364051171537138</v>
      </c>
      <c r="O26" s="28">
        <f t="shared" si="27"/>
        <v>10.364051171537138</v>
      </c>
      <c r="P26" s="28">
        <f t="shared" si="27"/>
        <v>10.536484946516758</v>
      </c>
      <c r="Q26" s="28">
        <f t="shared" si="27"/>
        <v>10.726141675554059</v>
      </c>
      <c r="R26" s="28">
        <f t="shared" si="27"/>
        <v>10.951390650740693</v>
      </c>
      <c r="S26" s="28">
        <f t="shared" si="27"/>
        <v>11.159467073104766</v>
      </c>
      <c r="T26" s="28">
        <f t="shared" ref="T26" si="28">T75</f>
        <v>11.377792315669558</v>
      </c>
      <c r="U26" s="3"/>
    </row>
    <row r="27" spans="2:22" s="10" customFormat="1" x14ac:dyDescent="0.55000000000000004">
      <c r="G27" s="10" t="s">
        <v>1338</v>
      </c>
      <c r="L27" s="412">
        <f>L24/(L25)</f>
        <v>2.9529512664658517E-2</v>
      </c>
      <c r="M27" s="412">
        <f>M24/(M25)</f>
        <v>3.2721406427662081E-2</v>
      </c>
      <c r="N27" s="412">
        <f>'Key Assumption'!N25</f>
        <v>3.2721406427662081E-2</v>
      </c>
      <c r="O27" s="412">
        <f>'Key Assumption'!O25</f>
        <v>3.2721406427662081E-2</v>
      </c>
      <c r="P27" s="412">
        <f>'Key Assumption'!P25</f>
        <v>3.2721406427662081E-2</v>
      </c>
      <c r="Q27" s="412">
        <f>'Key Assumption'!Q25</f>
        <v>3.2721406427662081E-2</v>
      </c>
      <c r="R27" s="412">
        <f>'Key Assumption'!R25</f>
        <v>3.2721406427662081E-2</v>
      </c>
      <c r="S27" s="412">
        <f>'Key Assumption'!S25</f>
        <v>3.2721406427662081E-2</v>
      </c>
      <c r="T27" s="412">
        <f>'Key Assumption'!T25</f>
        <v>3.2721406427662081E-2</v>
      </c>
      <c r="U27" s="3"/>
    </row>
    <row r="28" spans="2:22" s="10" customFormat="1" x14ac:dyDescent="0.55000000000000004">
      <c r="E28" s="10" t="s">
        <v>85</v>
      </c>
      <c r="L28" s="29">
        <f>L21/L22</f>
        <v>2.1624790852837679</v>
      </c>
      <c r="M28" s="29">
        <f>M21/M22</f>
        <v>2.5989167962577961</v>
      </c>
      <c r="N28" s="29">
        <f>M28</f>
        <v>2.5989167962577961</v>
      </c>
      <c r="O28" s="29">
        <f>N28</f>
        <v>2.5989167962577961</v>
      </c>
      <c r="P28" s="29">
        <f>O28*(1+'Key Assumption'!P$12)</f>
        <v>2.6421567442877136</v>
      </c>
      <c r="Q28" s="29">
        <f>P28*(1+'Key Assumption'!Q$12)</f>
        <v>2.6897155656848923</v>
      </c>
      <c r="R28" s="29">
        <f>Q28*(1+'Key Assumption'!R$12)</f>
        <v>2.7461995925642748</v>
      </c>
      <c r="S28" s="29">
        <f>R28*(1+'Key Assumption'!S$12)</f>
        <v>2.7983773848229956</v>
      </c>
      <c r="T28" s="29">
        <f>S28*(1+'Key Assumption'!T$12)</f>
        <v>2.8531251982559294</v>
      </c>
      <c r="U28" s="3"/>
    </row>
    <row r="29" spans="2:22" s="10" customFormat="1" x14ac:dyDescent="0.55000000000000004">
      <c r="D29" s="10" t="s">
        <v>68</v>
      </c>
      <c r="L29" s="24">
        <f>SUMIFS(타이탄매출!$N:$N,타이탄매출!$B:$B,TITAN!L$18,타이탄매출!$C:$C,TITAN!$D29)/10^6+SUMIFS(클래스매출!$K:$K,클래스매출!$A:$A,TITAN!L$18,클래스매출!$C:$C,TITAN!$D29)/10^6+(연결정산표!F98/10^6-(SUMIFS(타이탄매출!$N:$N,타이탄매출!$B:$B,TITAN!L$18,타이탄매출!$C:$C,TITAN!$D21)/10^6+SUMIFS(클래스매출!$K:$K,클래스매출!$A:$A,TITAN!L$18,클래스매출!$C:$C,TITAN!$D21)/10^6)-(SUMIFS(타이탄매출!$N:$N,타이탄매출!$B:$B,TITAN!L$18,타이탄매출!$C:$C,TITAN!$D29)/10^6+SUMIFS(클래스매출!$K:$K,클래스매출!$A:$A,TITAN!L$18,클래스매출!$C:$C,TITAN!$D29)/10^6))*(SUMIFS(타이탄매출!$N:$N,타이탄매출!$B:$B,TITAN!L$18,타이탄매출!$C:$C,TITAN!$D29)/10^6+SUMIFS(클래스매출!$K:$K,클래스매출!$A:$A,TITAN!L$18,클래스매출!$C:$C,TITAN!$D29)/10^6)/((SUMIFS(타이탄매출!$N:$N,타이탄매출!$B:$B,TITAN!L$18,타이탄매출!$C:$C,TITAN!$D21)/10^6+SUMIFS(클래스매출!$K:$K,클래스매출!$A:$A,TITAN!L$18,클래스매출!$C:$C,TITAN!$D21)/10^6)+(SUMIFS(타이탄매출!$N:$N,타이탄매출!$B:$B,TITAN!L$18,타이탄매출!$C:$C,TITAN!$D29)/10^6+SUMIFS(클래스매출!$K:$K,클래스매출!$A:$A,TITAN!L$18,클래스매출!$C:$C,TITAN!$D29)/10^6))</f>
        <v>2538.0631336943607</v>
      </c>
      <c r="M29" s="303"/>
      <c r="N29" s="303"/>
      <c r="O29" s="303"/>
      <c r="P29" s="303"/>
      <c r="Q29" s="303"/>
      <c r="R29" s="303"/>
      <c r="S29" s="303"/>
      <c r="T29" s="303"/>
      <c r="U29" s="3" t="s">
        <v>1505</v>
      </c>
    </row>
    <row r="30" spans="2:22" s="10" customFormat="1" x14ac:dyDescent="0.55000000000000004">
      <c r="E30" s="10" t="s">
        <v>83</v>
      </c>
      <c r="L30" s="24">
        <f>SUMIFS(클래스매출!$T:$T,클래스매출!$A:$A,TITAN!L$18,클래스매출!$C:$C,TITAN!$D29)</f>
        <v>911</v>
      </c>
      <c r="M30" s="303"/>
      <c r="N30" s="303"/>
      <c r="O30" s="303"/>
      <c r="P30" s="303"/>
      <c r="Q30" s="303"/>
      <c r="R30" s="303"/>
      <c r="S30" s="303"/>
      <c r="T30" s="303"/>
      <c r="U30" s="3"/>
    </row>
    <row r="31" spans="2:22" s="10" customFormat="1" x14ac:dyDescent="0.55000000000000004">
      <c r="F31" s="10" t="s">
        <v>84</v>
      </c>
      <c r="L31" s="24">
        <f>COUNTIFS(클래스매출!$A:$A,TITAN!L$18,클래스매출!$C:$C,TITAN!$D29)</f>
        <v>10</v>
      </c>
      <c r="M31" s="303"/>
      <c r="N31" s="303"/>
      <c r="O31" s="303"/>
      <c r="P31" s="303"/>
      <c r="Q31" s="303"/>
      <c r="R31" s="303"/>
      <c r="S31" s="303"/>
      <c r="T31" s="303"/>
      <c r="U31" s="3"/>
    </row>
    <row r="32" spans="2:22" s="10" customFormat="1" x14ac:dyDescent="0.55000000000000004">
      <c r="F32" s="10" t="s">
        <v>67</v>
      </c>
      <c r="L32" s="24">
        <f>L30/L31</f>
        <v>91.1</v>
      </c>
      <c r="M32" s="303"/>
      <c r="N32" s="303"/>
      <c r="O32" s="303"/>
      <c r="P32" s="303"/>
      <c r="Q32" s="303"/>
      <c r="R32" s="303"/>
      <c r="S32" s="303"/>
      <c r="T32" s="303"/>
      <c r="U32" s="3"/>
    </row>
    <row r="33" spans="1:21" s="10" customFormat="1" x14ac:dyDescent="0.55000000000000004">
      <c r="E33" s="10" t="s">
        <v>85</v>
      </c>
      <c r="L33" s="29">
        <f>L29/L30</f>
        <v>2.786018807567904</v>
      </c>
      <c r="M33" s="336"/>
      <c r="N33" s="303"/>
      <c r="O33" s="303"/>
      <c r="P33" s="303"/>
      <c r="Q33" s="303"/>
      <c r="R33" s="303"/>
      <c r="S33" s="303"/>
      <c r="T33" s="303"/>
      <c r="U33" s="3"/>
    </row>
    <row r="34" spans="1:21" s="10" customFormat="1" x14ac:dyDescent="0.55000000000000004">
      <c r="C34" s="10" t="s">
        <v>86</v>
      </c>
      <c r="L34" s="24">
        <f>연결정산표!F97/10^6</f>
        <v>11.154544</v>
      </c>
      <c r="M34" s="24">
        <v>0</v>
      </c>
      <c r="N34" s="24">
        <v>0</v>
      </c>
      <c r="O34" s="24">
        <f>N34+M34</f>
        <v>0</v>
      </c>
      <c r="P34" s="24">
        <v>0</v>
      </c>
      <c r="Q34" s="24">
        <v>0</v>
      </c>
      <c r="R34" s="24">
        <v>0</v>
      </c>
      <c r="S34" s="24">
        <v>0</v>
      </c>
      <c r="T34" s="24">
        <v>0</v>
      </c>
      <c r="U34" s="3"/>
    </row>
    <row r="35" spans="1:21" s="10" customFormat="1" x14ac:dyDescent="0.55000000000000004">
      <c r="B35" s="14"/>
      <c r="C35" s="14" t="s">
        <v>87</v>
      </c>
      <c r="D35" s="14"/>
      <c r="E35" s="14"/>
      <c r="F35" s="14"/>
      <c r="G35" s="14"/>
      <c r="H35" s="14"/>
      <c r="I35" s="14"/>
      <c r="J35" s="14"/>
      <c r="K35" s="14"/>
      <c r="L35" s="26">
        <v>0</v>
      </c>
      <c r="M35" s="26">
        <f>연결정산표!U100/10^6</f>
        <v>3.7727279999999999</v>
      </c>
      <c r="N35" s="26">
        <v>0</v>
      </c>
      <c r="O35" s="26">
        <f>N35+M35</f>
        <v>3.7727279999999999</v>
      </c>
      <c r="P35" s="26">
        <v>0</v>
      </c>
      <c r="Q35" s="26">
        <v>0</v>
      </c>
      <c r="R35" s="26">
        <v>0</v>
      </c>
      <c r="S35" s="26">
        <v>0</v>
      </c>
      <c r="T35" s="26">
        <v>0</v>
      </c>
      <c r="U35" s="3" t="s">
        <v>1467</v>
      </c>
    </row>
    <row r="38" spans="1:21" x14ac:dyDescent="0.55000000000000004">
      <c r="A38" s="841" t="s">
        <v>88</v>
      </c>
      <c r="B38" s="842"/>
      <c r="C38" s="842"/>
      <c r="D38" s="842"/>
      <c r="E38" s="842"/>
      <c r="F38" s="842"/>
      <c r="G38" s="842"/>
      <c r="H38" s="842"/>
      <c r="I38" s="842"/>
      <c r="J38" s="842"/>
      <c r="K38" s="842"/>
      <c r="L38" s="842"/>
      <c r="M38" s="842"/>
      <c r="N38" s="842"/>
      <c r="O38" s="842"/>
      <c r="P38" s="842"/>
      <c r="Q38" s="842"/>
      <c r="R38" s="842"/>
      <c r="S38" s="842"/>
      <c r="T38" s="842"/>
    </row>
    <row r="39" spans="1:21" x14ac:dyDescent="0.55000000000000004">
      <c r="L39" s="315"/>
    </row>
    <row r="40" spans="1:21" x14ac:dyDescent="0.55000000000000004">
      <c r="B40" s="844"/>
      <c r="C40" s="844"/>
      <c r="D40" s="844"/>
      <c r="E40" s="844"/>
      <c r="F40" s="844"/>
      <c r="G40" s="844"/>
      <c r="H40" s="844"/>
      <c r="I40" s="844"/>
      <c r="J40" s="844"/>
      <c r="K40" s="844"/>
      <c r="L40" s="845" t="s">
        <v>2</v>
      </c>
      <c r="M40" s="845" t="s">
        <v>3</v>
      </c>
      <c r="N40" s="845" t="s">
        <v>4</v>
      </c>
      <c r="O40" s="845" t="s">
        <v>5</v>
      </c>
      <c r="P40" s="845" t="s">
        <v>6</v>
      </c>
      <c r="Q40" s="845" t="s">
        <v>7</v>
      </c>
      <c r="R40" s="845" t="s">
        <v>8</v>
      </c>
      <c r="S40" s="845" t="s">
        <v>9</v>
      </c>
      <c r="T40" s="845" t="s">
        <v>1480</v>
      </c>
    </row>
    <row r="41" spans="1:21" x14ac:dyDescent="0.55000000000000004">
      <c r="B41" s="12" t="s">
        <v>12</v>
      </c>
      <c r="C41" s="12"/>
      <c r="D41" s="12"/>
      <c r="E41" s="12"/>
      <c r="F41" s="12"/>
      <c r="G41" s="12"/>
      <c r="H41" s="12"/>
      <c r="I41" s="12"/>
      <c r="J41" s="12"/>
      <c r="K41" s="12"/>
      <c r="L41" s="18">
        <f>L43+L44+L45+L46</f>
        <v>7805.3692439999995</v>
      </c>
      <c r="M41" s="18">
        <f t="shared" ref="M41:S41" si="29">M43+M44+M45+M46</f>
        <v>10871.796025</v>
      </c>
      <c r="N41" s="18">
        <f t="shared" si="29"/>
        <v>12636.465532712071</v>
      </c>
      <c r="O41" s="18">
        <f t="shared" si="29"/>
        <v>23508.26155771207</v>
      </c>
      <c r="P41" s="18">
        <f t="shared" si="29"/>
        <v>25900.887277834296</v>
      </c>
      <c r="Q41" s="18">
        <f t="shared" si="29"/>
        <v>26116.725189098168</v>
      </c>
      <c r="R41" s="18">
        <f t="shared" si="29"/>
        <v>27996.971173985647</v>
      </c>
      <c r="S41" s="18">
        <f t="shared" si="29"/>
        <v>29882.533711209235</v>
      </c>
      <c r="T41" s="18">
        <f t="shared" ref="T41" si="30">T43+T44+T45+T46</f>
        <v>31848.718186638347</v>
      </c>
    </row>
    <row r="42" spans="1:21" s="3" customFormat="1" x14ac:dyDescent="0.55000000000000004">
      <c r="B42" s="3" t="s">
        <v>89</v>
      </c>
      <c r="L42" s="232">
        <f>L41/L$19</f>
        <v>0.69669280353718743</v>
      </c>
      <c r="M42" s="232">
        <f t="shared" ref="M42" si="31">M41/M$19</f>
        <v>0.62107235225830193</v>
      </c>
      <c r="N42" s="232">
        <f t="shared" ref="N42" si="32">N41/N$19</f>
        <v>0.71891241788249827</v>
      </c>
      <c r="O42" s="232">
        <f t="shared" ref="O42" si="33">O41/O$19</f>
        <v>0.67009323000388588</v>
      </c>
      <c r="P42" s="232">
        <f t="shared" ref="P42" si="34">P41/P$19</f>
        <v>0.68498267983354455</v>
      </c>
      <c r="Q42" s="232">
        <f t="shared" ref="Q42" si="35">Q41/Q$19</f>
        <v>0.64196697212885123</v>
      </c>
      <c r="R42" s="232">
        <f t="shared" ref="R42" si="36">R41/R$19</f>
        <v>0.63961046256885645</v>
      </c>
      <c r="S42" s="232">
        <f t="shared" ref="S42:T42" si="37">S41/S$19</f>
        <v>0.63740872841101026</v>
      </c>
      <c r="T42" s="232">
        <f t="shared" si="37"/>
        <v>0.63544007703297978</v>
      </c>
    </row>
    <row r="43" spans="1:21" s="10" customFormat="1" x14ac:dyDescent="0.55000000000000004">
      <c r="C43" s="10" t="s">
        <v>90</v>
      </c>
      <c r="L43" s="24">
        <f>L49</f>
        <v>646.27145299999995</v>
      </c>
      <c r="M43" s="24">
        <f t="shared" ref="M43:S43" si="38">M49</f>
        <v>581.346723</v>
      </c>
      <c r="N43" s="24">
        <f t="shared" si="38"/>
        <v>643.12572588541673</v>
      </c>
      <c r="O43" s="24">
        <f t="shared" si="38"/>
        <v>1224.4724488854167</v>
      </c>
      <c r="P43" s="24">
        <f t="shared" si="38"/>
        <v>1995.7352324567028</v>
      </c>
      <c r="Q43" s="24">
        <f t="shared" si="38"/>
        <v>2143.1634429495884</v>
      </c>
      <c r="R43" s="24">
        <f t="shared" si="38"/>
        <v>2312.8469321436392</v>
      </c>
      <c r="S43" s="24">
        <f t="shared" si="38"/>
        <v>2479.1937236251879</v>
      </c>
      <c r="T43" s="24">
        <f t="shared" ref="T43" si="39">T49</f>
        <v>2653.0773385854095</v>
      </c>
      <c r="U43" s="3"/>
    </row>
    <row r="44" spans="1:21" s="10" customFormat="1" x14ac:dyDescent="0.55000000000000004">
      <c r="C44" s="10" t="s">
        <v>91</v>
      </c>
      <c r="L44" s="24">
        <f>L62</f>
        <v>6247.7290969999995</v>
      </c>
      <c r="M44" s="24">
        <f t="shared" ref="M44:S44" si="40">M62</f>
        <v>9389.8283549999996</v>
      </c>
      <c r="N44" s="24">
        <f t="shared" si="40"/>
        <v>11088.006586101154</v>
      </c>
      <c r="O44" s="24">
        <f t="shared" si="40"/>
        <v>20477.834941101155</v>
      </c>
      <c r="P44" s="24">
        <f t="shared" si="40"/>
        <v>22082.324381305818</v>
      </c>
      <c r="Q44" s="24">
        <f t="shared" si="40"/>
        <v>22127.256494056288</v>
      </c>
      <c r="R44" s="24">
        <f t="shared" si="40"/>
        <v>23807.677279339707</v>
      </c>
      <c r="S44" s="24">
        <f t="shared" si="40"/>
        <v>25498.870766134649</v>
      </c>
      <c r="T44" s="24">
        <f t="shared" ref="T44" si="41">T62</f>
        <v>27260.818530328968</v>
      </c>
      <c r="U44" s="3"/>
    </row>
    <row r="45" spans="1:21" s="10" customFormat="1" x14ac:dyDescent="0.55000000000000004">
      <c r="C45" s="10" t="s">
        <v>92</v>
      </c>
      <c r="L45" s="24">
        <f t="shared" ref="L45:S45" si="42">L86</f>
        <v>902.64484899999979</v>
      </c>
      <c r="M45" s="24">
        <f t="shared" si="42"/>
        <v>900.620947</v>
      </c>
      <c r="N45" s="24">
        <f t="shared" si="42"/>
        <v>905.33322072550004</v>
      </c>
      <c r="O45" s="24">
        <f t="shared" si="42"/>
        <v>1805.9541677255002</v>
      </c>
      <c r="P45" s="24">
        <f t="shared" si="42"/>
        <v>1822.8276640717754</v>
      </c>
      <c r="Q45" s="24">
        <f t="shared" si="42"/>
        <v>1846.3052520922895</v>
      </c>
      <c r="R45" s="24">
        <f t="shared" si="42"/>
        <v>1876.4469625023</v>
      </c>
      <c r="S45" s="24">
        <f t="shared" si="42"/>
        <v>1904.4692214493975</v>
      </c>
      <c r="T45" s="24">
        <f t="shared" ref="T45" si="43">T86</f>
        <v>1934.8223177239695</v>
      </c>
      <c r="U45" s="3"/>
    </row>
    <row r="46" spans="1:21" s="10" customFormat="1" x14ac:dyDescent="0.55000000000000004">
      <c r="B46" s="14"/>
      <c r="C46" s="14" t="s">
        <v>93</v>
      </c>
      <c r="D46" s="14"/>
      <c r="E46" s="14"/>
      <c r="F46" s="14"/>
      <c r="G46" s="14"/>
      <c r="H46" s="14"/>
      <c r="I46" s="14"/>
      <c r="J46" s="14"/>
      <c r="K46" s="14"/>
      <c r="L46" s="26">
        <f>연결정산표!F101/10^6</f>
        <v>8.7238450000000007</v>
      </c>
      <c r="M46" s="26">
        <v>0</v>
      </c>
      <c r="N46" s="26">
        <v>0</v>
      </c>
      <c r="O46" s="26">
        <v>0</v>
      </c>
      <c r="P46" s="26">
        <v>0</v>
      </c>
      <c r="Q46" s="26">
        <v>0</v>
      </c>
      <c r="R46" s="26">
        <v>0</v>
      </c>
      <c r="S46" s="26">
        <v>0</v>
      </c>
      <c r="T46" s="26">
        <v>0</v>
      </c>
      <c r="U46" s="3"/>
    </row>
    <row r="47" spans="1:21" s="10" customFormat="1" x14ac:dyDescent="0.55000000000000004">
      <c r="L47" s="24"/>
      <c r="M47" s="24"/>
      <c r="N47" s="24"/>
      <c r="O47" s="24"/>
      <c r="P47" s="24"/>
      <c r="Q47" s="24"/>
      <c r="R47" s="24"/>
      <c r="S47" s="24"/>
      <c r="T47" s="24"/>
      <c r="U47" s="3"/>
    </row>
    <row r="48" spans="1:21" s="10" customFormat="1" x14ac:dyDescent="0.55000000000000004">
      <c r="B48" s="844"/>
      <c r="C48" s="844"/>
      <c r="D48" s="844"/>
      <c r="E48" s="844"/>
      <c r="F48" s="844"/>
      <c r="G48" s="844"/>
      <c r="H48" s="844"/>
      <c r="I48" s="844"/>
      <c r="J48" s="844"/>
      <c r="K48" s="844"/>
      <c r="L48" s="845" t="s">
        <v>2</v>
      </c>
      <c r="M48" s="845" t="s">
        <v>3</v>
      </c>
      <c r="N48" s="845" t="s">
        <v>4</v>
      </c>
      <c r="O48" s="845" t="s">
        <v>5</v>
      </c>
      <c r="P48" s="845" t="s">
        <v>6</v>
      </c>
      <c r="Q48" s="845" t="s">
        <v>7</v>
      </c>
      <c r="R48" s="845" t="s">
        <v>8</v>
      </c>
      <c r="S48" s="845" t="s">
        <v>9</v>
      </c>
      <c r="T48" s="845" t="s">
        <v>1480</v>
      </c>
      <c r="U48" s="3"/>
    </row>
    <row r="49" spans="2:23" s="10" customFormat="1" x14ac:dyDescent="0.55000000000000004">
      <c r="B49" s="12" t="s">
        <v>90</v>
      </c>
      <c r="C49" s="12"/>
      <c r="D49" s="12"/>
      <c r="E49" s="12"/>
      <c r="F49" s="12"/>
      <c r="G49" s="12"/>
      <c r="H49" s="12"/>
      <c r="I49" s="12"/>
      <c r="J49" s="12"/>
      <c r="K49" s="12"/>
      <c r="L49" s="18">
        <f>L51+L54+L56+L58</f>
        <v>646.27145299999995</v>
      </c>
      <c r="M49" s="18">
        <f t="shared" ref="M49:S49" si="44">M51+M54+M56+M58</f>
        <v>581.346723</v>
      </c>
      <c r="N49" s="18">
        <f t="shared" si="44"/>
        <v>643.12572588541673</v>
      </c>
      <c r="O49" s="18">
        <f t="shared" si="44"/>
        <v>1224.4724488854167</v>
      </c>
      <c r="P49" s="18">
        <f t="shared" si="44"/>
        <v>1995.7352324567028</v>
      </c>
      <c r="Q49" s="18">
        <f t="shared" si="44"/>
        <v>2143.1634429495884</v>
      </c>
      <c r="R49" s="18">
        <f t="shared" si="44"/>
        <v>2312.8469321436392</v>
      </c>
      <c r="S49" s="18">
        <f t="shared" si="44"/>
        <v>2479.1937236251879</v>
      </c>
      <c r="T49" s="18">
        <f t="shared" ref="T49" si="45">T51+T54+T56+T58</f>
        <v>2653.0773385854095</v>
      </c>
      <c r="U49" s="3"/>
    </row>
    <row r="50" spans="2:23" s="10" customFormat="1" x14ac:dyDescent="0.55000000000000004">
      <c r="B50" s="3" t="s">
        <v>89</v>
      </c>
      <c r="C50" s="3"/>
      <c r="D50" s="3"/>
      <c r="E50" s="3"/>
      <c r="F50" s="3"/>
      <c r="G50" s="3"/>
      <c r="H50" s="3"/>
      <c r="I50" s="3"/>
      <c r="J50" s="3"/>
      <c r="K50" s="3"/>
      <c r="L50" s="262">
        <f>L49/L$19</f>
        <v>5.7684993029987863E-2</v>
      </c>
      <c r="M50" s="262">
        <f t="shared" ref="M50:S50" si="46">M49/M$19</f>
        <v>3.3210554714327017E-2</v>
      </c>
      <c r="N50" s="262">
        <f t="shared" si="46"/>
        <v>3.6588638603241679E-2</v>
      </c>
      <c r="O50" s="262">
        <f t="shared" si="46"/>
        <v>3.4903078490515688E-2</v>
      </c>
      <c r="P50" s="262">
        <f t="shared" si="46"/>
        <v>5.2779816116041559E-2</v>
      </c>
      <c r="Q50" s="262">
        <f t="shared" si="46"/>
        <v>5.2680423609232002E-2</v>
      </c>
      <c r="R50" s="262">
        <f t="shared" si="46"/>
        <v>5.2838611967208647E-2</v>
      </c>
      <c r="S50" s="262">
        <f t="shared" si="46"/>
        <v>5.2882387220991159E-2</v>
      </c>
      <c r="T50" s="262">
        <f t="shared" ref="T50" si="47">T49/T$19</f>
        <v>5.2933736878379233E-2</v>
      </c>
      <c r="U50" s="3" t="s">
        <v>2123</v>
      </c>
    </row>
    <row r="51" spans="2:23" s="10" customFormat="1" x14ac:dyDescent="0.55000000000000004">
      <c r="C51" s="10" t="s">
        <v>94</v>
      </c>
      <c r="L51" s="24">
        <f>연결정산표!F109/10^6</f>
        <v>501.06186400000001</v>
      </c>
      <c r="M51" s="24">
        <f>연결정산표!U109/10^6</f>
        <v>412.75305400000002</v>
      </c>
      <c r="N51" s="24">
        <f>N52*N53/2</f>
        <v>511.64180652083331</v>
      </c>
      <c r="O51" s="24">
        <f>N51+M51</f>
        <v>924.39486052083339</v>
      </c>
      <c r="P51" s="24">
        <f>P52*P53</f>
        <v>1506.646714283045</v>
      </c>
      <c r="Q51" s="24">
        <f t="shared" ref="Q51:S51" si="48">Q52*Q53</f>
        <v>1617.9451597478312</v>
      </c>
      <c r="R51" s="24">
        <f t="shared" si="48"/>
        <v>1746.0448531864224</v>
      </c>
      <c r="S51" s="24">
        <f t="shared" si="48"/>
        <v>1871.6255628623685</v>
      </c>
      <c r="T51" s="24">
        <f t="shared" ref="T51" si="49">T52*T53</f>
        <v>2002.8960705363668</v>
      </c>
      <c r="U51" s="3"/>
    </row>
    <row r="52" spans="2:23" s="10" customFormat="1" x14ac:dyDescent="0.55000000000000004">
      <c r="D52" s="10" t="s">
        <v>95</v>
      </c>
      <c r="L52" s="24">
        <f>L51/L53</f>
        <v>14.567408550295063</v>
      </c>
      <c r="M52" s="24">
        <f>HR!C8</f>
        <v>24</v>
      </c>
      <c r="N52" s="24">
        <f>AVERAGE(HR!B11:G11)</f>
        <v>29.75</v>
      </c>
      <c r="O52" s="24">
        <f>O51/O53</f>
        <v>26.875000000000004</v>
      </c>
      <c r="P52" s="24">
        <f>41+2</f>
        <v>43</v>
      </c>
      <c r="Q52" s="24">
        <f>P52+2</f>
        <v>45</v>
      </c>
      <c r="R52" s="24">
        <f t="shared" ref="R52:S52" si="50">Q52+2</f>
        <v>47</v>
      </c>
      <c r="S52" s="24">
        <f t="shared" si="50"/>
        <v>49</v>
      </c>
      <c r="T52" s="24">
        <f t="shared" ref="T52" si="51">S52+2</f>
        <v>51</v>
      </c>
      <c r="U52" s="3" t="s">
        <v>1469</v>
      </c>
    </row>
    <row r="53" spans="2:23" s="10" customFormat="1" x14ac:dyDescent="0.55000000000000004">
      <c r="D53" s="10" t="s">
        <v>96</v>
      </c>
      <c r="L53" s="24">
        <f>M53</f>
        <v>34.396087833333333</v>
      </c>
      <c r="M53" s="24">
        <f>M51/M52*2</f>
        <v>34.396087833333333</v>
      </c>
      <c r="N53" s="24">
        <f>M53</f>
        <v>34.396087833333333</v>
      </c>
      <c r="O53" s="24">
        <f>M53</f>
        <v>34.396087833333333</v>
      </c>
      <c r="P53" s="24">
        <f>O53*(1+'Key Assumption'!P$14)</f>
        <v>35.038295681001046</v>
      </c>
      <c r="Q53" s="24">
        <f>P53*(1+'Key Assumption'!Q$14)</f>
        <v>35.954336883285137</v>
      </c>
      <c r="R53" s="24">
        <f>Q53*(1+'Key Assumption'!R$14)</f>
        <v>37.149890493328137</v>
      </c>
      <c r="S53" s="24">
        <f>R53*(1+'Key Assumption'!S$14)</f>
        <v>38.196440058415682</v>
      </c>
      <c r="T53" s="24">
        <f>S53*(1+'Key Assumption'!T$14)</f>
        <v>39.272471971301307</v>
      </c>
      <c r="U53" s="3"/>
    </row>
    <row r="54" spans="2:23" s="10" customFormat="1" x14ac:dyDescent="0.55000000000000004">
      <c r="C54" s="10" t="s">
        <v>97</v>
      </c>
      <c r="L54" s="24">
        <f>연결정산표!F110/10^6</f>
        <v>32.267744999999998</v>
      </c>
      <c r="M54" s="24">
        <f>연결정산표!U110/10^6</f>
        <v>62.522607999999998</v>
      </c>
      <c r="N54" s="24">
        <v>0</v>
      </c>
      <c r="O54" s="24">
        <f>N54+M54</f>
        <v>62.522607999999998</v>
      </c>
      <c r="P54" s="24">
        <f>P55*P$51</f>
        <v>101.90394379576261</v>
      </c>
      <c r="Q54" s="24">
        <f t="shared" ref="Q54:T54" si="52">Q55*Q$51</f>
        <v>109.43175401409667</v>
      </c>
      <c r="R54" s="24">
        <f t="shared" si="52"/>
        <v>118.09593775184334</v>
      </c>
      <c r="S54" s="24">
        <f t="shared" si="52"/>
        <v>126.58974685741012</v>
      </c>
      <c r="T54" s="24">
        <f t="shared" si="52"/>
        <v>135.46839260046204</v>
      </c>
      <c r="U54" s="3"/>
    </row>
    <row r="55" spans="2:23" s="10" customFormat="1" x14ac:dyDescent="0.55000000000000004">
      <c r="D55" s="10" t="s">
        <v>98</v>
      </c>
      <c r="I55" s="236">
        <f>O55</f>
        <v>6.763625661524425E-2</v>
      </c>
      <c r="L55" s="232">
        <f>L54/L$51</f>
        <v>6.4398724625348847E-2</v>
      </c>
      <c r="M55" s="232">
        <f>M54/M$51</f>
        <v>0.15147703304455742</v>
      </c>
      <c r="N55" s="232">
        <f>N54/N$51</f>
        <v>0</v>
      </c>
      <c r="O55" s="232">
        <f>O54/O$51</f>
        <v>6.763625661524425E-2</v>
      </c>
      <c r="P55" s="232">
        <f>$I55</f>
        <v>6.763625661524425E-2</v>
      </c>
      <c r="Q55" s="232">
        <f t="shared" ref="Q55:T55" si="53">$I55</f>
        <v>6.763625661524425E-2</v>
      </c>
      <c r="R55" s="232">
        <f t="shared" si="53"/>
        <v>6.763625661524425E-2</v>
      </c>
      <c r="S55" s="232">
        <f t="shared" si="53"/>
        <v>6.763625661524425E-2</v>
      </c>
      <c r="T55" s="232">
        <f t="shared" si="53"/>
        <v>6.763625661524425E-2</v>
      </c>
      <c r="U55" s="3"/>
    </row>
    <row r="56" spans="2:23" s="10" customFormat="1" x14ac:dyDescent="0.55000000000000004">
      <c r="C56" s="10" t="s">
        <v>99</v>
      </c>
      <c r="I56" s="3"/>
      <c r="L56" s="24">
        <f>연결정산표!F112/10^6</f>
        <v>46.187144000000004</v>
      </c>
      <c r="M56" s="24">
        <f>연결정산표!U112/10^6</f>
        <v>45.841642</v>
      </c>
      <c r="N56" s="24">
        <f>N57*N$51</f>
        <v>56.82453539583333</v>
      </c>
      <c r="O56" s="24">
        <f>N56+M56</f>
        <v>102.66617739583333</v>
      </c>
      <c r="P56" s="24">
        <f>P57*P$51</f>
        <v>167.33288494732648</v>
      </c>
      <c r="Q56" s="24">
        <f t="shared" ref="Q56" si="54">Q57*Q$51</f>
        <v>179.69403756075633</v>
      </c>
      <c r="R56" s="24">
        <f t="shared" ref="R56" si="55">R57*R$51</f>
        <v>193.92118919540334</v>
      </c>
      <c r="S56" s="24">
        <f t="shared" ref="S56:T56" si="56">S57*S$51</f>
        <v>207.86857463393883</v>
      </c>
      <c r="T56" s="24">
        <f t="shared" si="56"/>
        <v>222.44788679076586</v>
      </c>
      <c r="U56" s="3"/>
    </row>
    <row r="57" spans="2:23" s="3" customFormat="1" x14ac:dyDescent="0.55000000000000004">
      <c r="D57" s="3" t="s">
        <v>98</v>
      </c>
      <c r="I57" s="236">
        <f>M57</f>
        <v>0.11106312008051186</v>
      </c>
      <c r="L57" s="232">
        <f>L56/L$51</f>
        <v>9.2178525883582316E-2</v>
      </c>
      <c r="M57" s="232">
        <f>M56/M$51</f>
        <v>0.11106312008051186</v>
      </c>
      <c r="N57" s="232">
        <f t="shared" ref="N57:T59" si="57">$I57</f>
        <v>0.11106312008051186</v>
      </c>
      <c r="O57" s="232">
        <f t="shared" si="57"/>
        <v>0.11106312008051186</v>
      </c>
      <c r="P57" s="232">
        <f t="shared" si="57"/>
        <v>0.11106312008051186</v>
      </c>
      <c r="Q57" s="232">
        <f t="shared" si="57"/>
        <v>0.11106312008051186</v>
      </c>
      <c r="R57" s="232">
        <f t="shared" si="57"/>
        <v>0.11106312008051186</v>
      </c>
      <c r="S57" s="232">
        <f t="shared" si="57"/>
        <v>0.11106312008051186</v>
      </c>
      <c r="T57" s="232">
        <f t="shared" si="57"/>
        <v>0.11106312008051186</v>
      </c>
    </row>
    <row r="58" spans="2:23" s="10" customFormat="1" x14ac:dyDescent="0.55000000000000004">
      <c r="C58" s="10" t="s">
        <v>100</v>
      </c>
      <c r="I58" s="3"/>
      <c r="L58" s="24">
        <f>연결정산표!F113/10^6</f>
        <v>66.7547</v>
      </c>
      <c r="M58" s="24">
        <f>연결정산표!U113/10^6</f>
        <v>60.229419</v>
      </c>
      <c r="N58" s="24">
        <f>N59*N$51</f>
        <v>74.659383968749992</v>
      </c>
      <c r="O58" s="24">
        <f>N58+M58</f>
        <v>134.88880296874999</v>
      </c>
      <c r="P58" s="24">
        <f>P59*P$51</f>
        <v>219.85168943056883</v>
      </c>
      <c r="Q58" s="24">
        <f t="shared" ref="Q58" si="58">Q59*Q$51</f>
        <v>236.09249162690401</v>
      </c>
      <c r="R58" s="24">
        <f t="shared" ref="R58" si="59">R59*R$51</f>
        <v>254.78495200996991</v>
      </c>
      <c r="S58" s="24">
        <f t="shared" ref="S58:T58" si="60">S59*S$51</f>
        <v>273.10983927147015</v>
      </c>
      <c r="T58" s="24">
        <f t="shared" si="60"/>
        <v>292.26498865781474</v>
      </c>
      <c r="U58" s="3"/>
    </row>
    <row r="59" spans="2:23" s="3" customFormat="1" x14ac:dyDescent="0.55000000000000004">
      <c r="B59" s="17"/>
      <c r="C59" s="17"/>
      <c r="D59" s="17" t="s">
        <v>101</v>
      </c>
      <c r="E59" s="17"/>
      <c r="F59" s="17"/>
      <c r="G59" s="17"/>
      <c r="H59" s="17"/>
      <c r="I59" s="236">
        <f>M59</f>
        <v>0.14592119529174943</v>
      </c>
      <c r="J59" s="17"/>
      <c r="K59" s="17"/>
      <c r="L59" s="231">
        <f>L58/L$51</f>
        <v>0.13322646322969811</v>
      </c>
      <c r="M59" s="231">
        <f t="shared" ref="M59" si="61">M58/M$51</f>
        <v>0.14592119529174943</v>
      </c>
      <c r="N59" s="231">
        <f t="shared" si="57"/>
        <v>0.14592119529174943</v>
      </c>
      <c r="O59" s="231">
        <f t="shared" si="57"/>
        <v>0.14592119529174943</v>
      </c>
      <c r="P59" s="231">
        <f t="shared" si="57"/>
        <v>0.14592119529174943</v>
      </c>
      <c r="Q59" s="231">
        <f t="shared" si="57"/>
        <v>0.14592119529174943</v>
      </c>
      <c r="R59" s="231">
        <f t="shared" si="57"/>
        <v>0.14592119529174943</v>
      </c>
      <c r="S59" s="231">
        <f t="shared" si="57"/>
        <v>0.14592119529174943</v>
      </c>
      <c r="T59" s="231">
        <f t="shared" si="57"/>
        <v>0.14592119529174943</v>
      </c>
    </row>
    <row r="60" spans="2:23" s="10" customFormat="1" x14ac:dyDescent="0.55000000000000004">
      <c r="L60" s="31"/>
      <c r="M60" s="31">
        <f>(M65-1300+2760)/(M20-M67)</f>
        <v>0.42359814103453636</v>
      </c>
      <c r="N60" s="28"/>
      <c r="O60" s="24"/>
      <c r="P60" s="24"/>
      <c r="Q60" s="24"/>
      <c r="R60" s="24"/>
      <c r="S60" s="24"/>
      <c r="T60" s="24"/>
      <c r="U60" s="3"/>
    </row>
    <row r="61" spans="2:23" s="10" customFormat="1" x14ac:dyDescent="0.55000000000000004">
      <c r="B61" s="844"/>
      <c r="C61" s="844"/>
      <c r="D61" s="844"/>
      <c r="E61" s="844"/>
      <c r="F61" s="844"/>
      <c r="G61" s="844"/>
      <c r="H61" s="844"/>
      <c r="I61" s="844"/>
      <c r="J61" s="844"/>
      <c r="K61" s="844"/>
      <c r="L61" s="845" t="s">
        <v>2</v>
      </c>
      <c r="M61" s="845" t="s">
        <v>3</v>
      </c>
      <c r="N61" s="845" t="s">
        <v>4</v>
      </c>
      <c r="O61" s="845" t="s">
        <v>5</v>
      </c>
      <c r="P61" s="845" t="s">
        <v>6</v>
      </c>
      <c r="Q61" s="845" t="s">
        <v>7</v>
      </c>
      <c r="R61" s="845" t="s">
        <v>8</v>
      </c>
      <c r="S61" s="845" t="s">
        <v>9</v>
      </c>
      <c r="T61" s="845" t="s">
        <v>1480</v>
      </c>
      <c r="U61" s="3" t="s">
        <v>2124</v>
      </c>
    </row>
    <row r="62" spans="2:23" s="4" customFormat="1" x14ac:dyDescent="0.55000000000000004">
      <c r="B62" s="4" t="s">
        <v>91</v>
      </c>
      <c r="L62" s="23">
        <f t="shared" ref="L62:T62" si="62">L64+L71+L78</f>
        <v>6247.7290969999995</v>
      </c>
      <c r="M62" s="23">
        <f t="shared" si="62"/>
        <v>9389.8283549999996</v>
      </c>
      <c r="N62" s="23">
        <f t="shared" si="62"/>
        <v>11088.006586101154</v>
      </c>
      <c r="O62" s="23">
        <f t="shared" si="62"/>
        <v>20477.834941101155</v>
      </c>
      <c r="P62" s="23">
        <f t="shared" si="62"/>
        <v>22082.324381305818</v>
      </c>
      <c r="Q62" s="23">
        <f t="shared" si="62"/>
        <v>22127.256494056288</v>
      </c>
      <c r="R62" s="23">
        <f t="shared" si="62"/>
        <v>23807.677279339707</v>
      </c>
      <c r="S62" s="23">
        <f t="shared" si="62"/>
        <v>25498.870766134649</v>
      </c>
      <c r="T62" s="23">
        <f t="shared" si="62"/>
        <v>27260.818530328968</v>
      </c>
      <c r="U62" s="299"/>
      <c r="W62" s="804"/>
    </row>
    <row r="63" spans="2:23" s="10" customFormat="1" x14ac:dyDescent="0.55000000000000004">
      <c r="B63" s="3" t="s">
        <v>89</v>
      </c>
      <c r="L63" s="232">
        <f>L62/L$19</f>
        <v>0.55766072869336125</v>
      </c>
      <c r="M63" s="232">
        <f t="shared" ref="M63" si="63">M62/M$19</f>
        <v>0.53641208594525225</v>
      </c>
      <c r="N63" s="232">
        <f t="shared" ref="N63" si="64">N62/N$19</f>
        <v>0.63081766049815857</v>
      </c>
      <c r="O63" s="232">
        <f t="shared" ref="O63" si="65">O62/O$19</f>
        <v>0.58371217818389798</v>
      </c>
      <c r="P63" s="232">
        <f t="shared" ref="P63" si="66">P62/P$19</f>
        <v>0.58399581332509631</v>
      </c>
      <c r="Q63" s="232">
        <f t="shared" ref="Q63" si="67">Q62/Q$19</f>
        <v>0.54390310232836225</v>
      </c>
      <c r="R63" s="232">
        <f t="shared" ref="R63" si="68">R62/R$19</f>
        <v>0.54390310232836225</v>
      </c>
      <c r="S63" s="232">
        <f t="shared" ref="S63:T63" si="69">S62/S$19</f>
        <v>0.54390310232836225</v>
      </c>
      <c r="T63" s="232">
        <f t="shared" si="69"/>
        <v>0.54390310232836203</v>
      </c>
      <c r="U63" s="3"/>
    </row>
    <row r="64" spans="2:23" s="10" customFormat="1" x14ac:dyDescent="0.55000000000000004">
      <c r="C64" s="10" t="s">
        <v>1443</v>
      </c>
      <c r="L64" s="24">
        <f t="shared" ref="L64:T64" si="70">L65+L67++L69</f>
        <v>4525.0097219999998</v>
      </c>
      <c r="M64" s="24">
        <f t="shared" si="70"/>
        <v>6800.0646960000004</v>
      </c>
      <c r="N64" s="24">
        <f t="shared" si="70"/>
        <v>8486.9830851055012</v>
      </c>
      <c r="O64" s="24">
        <f t="shared" si="70"/>
        <v>15287.047781105503</v>
      </c>
      <c r="P64" s="24">
        <f t="shared" si="70"/>
        <v>17639.016689150187</v>
      </c>
      <c r="Q64" s="24">
        <f t="shared" si="70"/>
        <v>18586.22540679232</v>
      </c>
      <c r="R64" s="24">
        <f t="shared" si="70"/>
        <v>19997.727980639473</v>
      </c>
      <c r="S64" s="24">
        <f t="shared" si="70"/>
        <v>21418.279297541918</v>
      </c>
      <c r="T64" s="24">
        <f t="shared" si="70"/>
        <v>22898.262064908762</v>
      </c>
      <c r="U64" s="3"/>
    </row>
    <row r="65" spans="2:21" s="10" customFormat="1" x14ac:dyDescent="0.55000000000000004">
      <c r="D65" s="10" t="s">
        <v>1330</v>
      </c>
      <c r="I65" s="31"/>
      <c r="L65" s="28">
        <f>비용취합!B4/10^6+비용취합!B6/10^6</f>
        <v>3949.2336620000001</v>
      </c>
      <c r="M65" s="28">
        <f>비용취합!C4/10^6+비용취합!C6/10^6</f>
        <v>5483.8134399999999</v>
      </c>
      <c r="N65" s="28">
        <f t="shared" ref="N65:T65" si="71">(N$20-N$67)*N66</f>
        <v>6755.9750554796319</v>
      </c>
      <c r="O65" s="28">
        <f>N65+M65</f>
        <v>12239.788495479632</v>
      </c>
      <c r="P65" s="28">
        <f t="shared" si="71"/>
        <v>14354.544757183787</v>
      </c>
      <c r="Q65" s="28">
        <f t="shared" si="71"/>
        <v>15052.469580984602</v>
      </c>
      <c r="R65" s="28">
        <f t="shared" si="71"/>
        <v>16195.606452043487</v>
      </c>
      <c r="S65" s="28">
        <f t="shared" si="71"/>
        <v>17346.071649677826</v>
      </c>
      <c r="T65" s="28">
        <f t="shared" si="71"/>
        <v>18544.668734270894</v>
      </c>
    </row>
    <row r="66" spans="2:21" s="3" customFormat="1" x14ac:dyDescent="0.55000000000000004">
      <c r="E66" s="3" t="s">
        <v>103</v>
      </c>
      <c r="I66" s="236">
        <v>0.4</v>
      </c>
      <c r="J66" s="10"/>
      <c r="L66" s="232">
        <f>L65/L$20</f>
        <v>0.35285259489152787</v>
      </c>
      <c r="M66" s="232">
        <f t="shared" ref="M66:O66" si="72">M65/M$20</f>
        <v>0.31334097011481704</v>
      </c>
      <c r="N66" s="833">
        <f>M83</f>
        <v>0.4208099929503567</v>
      </c>
      <c r="O66" s="833">
        <f t="shared" si="72"/>
        <v>0.34892761015518942</v>
      </c>
      <c r="P66" s="833">
        <f>AVERAGE(N66,Q66)</f>
        <v>0.41040499647517836</v>
      </c>
      <c r="Q66" s="232">
        <f t="shared" ref="Q66:T66" si="73">$I66</f>
        <v>0.4</v>
      </c>
      <c r="R66" s="232">
        <f t="shared" si="73"/>
        <v>0.4</v>
      </c>
      <c r="S66" s="232">
        <f t="shared" si="73"/>
        <v>0.4</v>
      </c>
      <c r="T66" s="232">
        <f t="shared" si="73"/>
        <v>0.4</v>
      </c>
      <c r="U66" s="3" t="s">
        <v>2713</v>
      </c>
    </row>
    <row r="67" spans="2:21" s="10" customFormat="1" x14ac:dyDescent="0.55000000000000004">
      <c r="D67" s="10" t="s">
        <v>1331</v>
      </c>
      <c r="I67" s="31"/>
      <c r="L67" s="28">
        <f>비용취합!B3/10^6</f>
        <v>575.77606000000003</v>
      </c>
      <c r="M67" s="28">
        <f>비용취합!C3/10^6</f>
        <v>1108.6507650000001</v>
      </c>
      <c r="N67" s="28">
        <f>O67-M67</f>
        <v>1522.5049277954347</v>
      </c>
      <c r="O67" s="28">
        <f>O$19*O68</f>
        <v>2631.1556927954348</v>
      </c>
      <c r="P67" s="28">
        <f t="shared" ref="P67:S67" si="74">P$19*P68</f>
        <v>2835.9352769468987</v>
      </c>
      <c r="Q67" s="28">
        <f t="shared" si="74"/>
        <v>3051.1762664157973</v>
      </c>
      <c r="R67" s="28">
        <f t="shared" si="74"/>
        <v>3282.8931997385444</v>
      </c>
      <c r="S67" s="28">
        <f t="shared" si="74"/>
        <v>3516.0956046644237</v>
      </c>
      <c r="T67" s="28">
        <f t="shared" ref="T67" si="75">T$19*T68</f>
        <v>3759.0544731630189</v>
      </c>
    </row>
    <row r="68" spans="2:21" s="10" customFormat="1" x14ac:dyDescent="0.55000000000000004">
      <c r="E68" s="3" t="s">
        <v>103</v>
      </c>
      <c r="I68" s="236">
        <v>7.4999999999999997E-2</v>
      </c>
      <c r="L68" s="232">
        <f>L67/L$20</f>
        <v>5.1443924121859171E-2</v>
      </c>
      <c r="M68" s="232">
        <f t="shared" ref="M68" si="76">M67/M$20</f>
        <v>6.3347469789861069E-2</v>
      </c>
      <c r="N68" s="232">
        <f>$I68</f>
        <v>7.4999999999999997E-2</v>
      </c>
      <c r="O68" s="232">
        <f>I68</f>
        <v>7.4999999999999997E-2</v>
      </c>
      <c r="P68" s="232">
        <f t="shared" ref="P68:T68" si="77">$I68</f>
        <v>7.4999999999999997E-2</v>
      </c>
      <c r="Q68" s="232">
        <f t="shared" si="77"/>
        <v>7.4999999999999997E-2</v>
      </c>
      <c r="R68" s="232">
        <f t="shared" si="77"/>
        <v>7.4999999999999997E-2</v>
      </c>
      <c r="S68" s="232">
        <f t="shared" si="77"/>
        <v>7.4999999999999997E-2</v>
      </c>
      <c r="T68" s="232">
        <f t="shared" si="77"/>
        <v>7.4999999999999997E-2</v>
      </c>
    </row>
    <row r="69" spans="2:21" s="10" customFormat="1" x14ac:dyDescent="0.55000000000000004">
      <c r="D69" s="10" t="s">
        <v>1471</v>
      </c>
      <c r="I69" s="31"/>
      <c r="L69" s="28">
        <f>비용취합!B8/10^6</f>
        <v>0</v>
      </c>
      <c r="M69" s="28">
        <f>비용취합!C8/10^6</f>
        <v>207.60049100000001</v>
      </c>
      <c r="N69" s="28">
        <f>N$19*N70</f>
        <v>208.50310183043479</v>
      </c>
      <c r="O69" s="28">
        <f>N69+M69</f>
        <v>416.10359283043476</v>
      </c>
      <c r="P69" s="28">
        <f t="shared" ref="P69" si="78">P$19*P70</f>
        <v>448.53665501950218</v>
      </c>
      <c r="Q69" s="28">
        <f t="shared" ref="Q69" si="79">Q$19*Q70</f>
        <v>482.57955939191936</v>
      </c>
      <c r="R69" s="28">
        <f t="shared" ref="R69" si="80">R$19*R70</f>
        <v>519.22832885743912</v>
      </c>
      <c r="S69" s="28">
        <f t="shared" ref="S69" si="81">S$19*S70</f>
        <v>556.11204319966737</v>
      </c>
      <c r="T69" s="28">
        <f t="shared" ref="T69" si="82">T$19*T70</f>
        <v>594.53885747485219</v>
      </c>
      <c r="U69" s="3" t="s">
        <v>1475</v>
      </c>
    </row>
    <row r="70" spans="2:21" s="10" customFormat="1" x14ac:dyDescent="0.55000000000000004">
      <c r="E70" s="3" t="s">
        <v>103</v>
      </c>
      <c r="I70" s="236">
        <f>M70</f>
        <v>1.1862135712306864E-2</v>
      </c>
      <c r="L70" s="232">
        <f>L69/L$20</f>
        <v>0</v>
      </c>
      <c r="M70" s="232">
        <f t="shared" ref="M70" si="83">M69/M$20</f>
        <v>1.1862135712306864E-2</v>
      </c>
      <c r="N70" s="232">
        <f>$I70</f>
        <v>1.1862135712306864E-2</v>
      </c>
      <c r="O70" s="232">
        <f t="shared" ref="O70" si="84">O69/O$20</f>
        <v>1.1862135712306862E-2</v>
      </c>
      <c r="P70" s="232">
        <f t="shared" ref="P70:T70" si="85">$I70</f>
        <v>1.1862135712306864E-2</v>
      </c>
      <c r="Q70" s="232">
        <f t="shared" si="85"/>
        <v>1.1862135712306864E-2</v>
      </c>
      <c r="R70" s="232">
        <f t="shared" si="85"/>
        <v>1.1862135712306864E-2</v>
      </c>
      <c r="S70" s="232">
        <f t="shared" si="85"/>
        <v>1.1862135712306864E-2</v>
      </c>
      <c r="T70" s="232">
        <f t="shared" si="85"/>
        <v>1.1862135712306864E-2</v>
      </c>
    </row>
    <row r="71" spans="2:21" s="10" customFormat="1" x14ac:dyDescent="0.55000000000000004">
      <c r="C71" s="10" t="s">
        <v>104</v>
      </c>
      <c r="L71" s="24">
        <f>연결정산표!F131/10^6</f>
        <v>1288.3187069999999</v>
      </c>
      <c r="M71" s="24">
        <f>연결정산표!U131/10^6</f>
        <v>2132.9010029999999</v>
      </c>
      <c r="N71" s="24">
        <f>N73*N74*N77</f>
        <v>2142.1744856217388</v>
      </c>
      <c r="O71" s="817">
        <f>N71+M71</f>
        <v>4275.0754886217383</v>
      </c>
      <c r="P71" s="24">
        <f>P73*P74*P77</f>
        <v>3456.2211658257629</v>
      </c>
      <c r="Q71" s="24">
        <f t="shared" ref="Q71:T71" si="86">Q73*Q74*Q77</f>
        <v>2479.0269553223807</v>
      </c>
      <c r="R71" s="24">
        <f t="shared" si="86"/>
        <v>2667.2928808392016</v>
      </c>
      <c r="S71" s="24">
        <f t="shared" si="86"/>
        <v>2856.7657258598433</v>
      </c>
      <c r="T71" s="24">
        <f t="shared" si="86"/>
        <v>3054.1655256263002</v>
      </c>
      <c r="U71" s="3"/>
    </row>
    <row r="72" spans="2:21" s="10" customFormat="1" x14ac:dyDescent="0.55000000000000004">
      <c r="D72" s="3" t="s">
        <v>103</v>
      </c>
      <c r="L72" s="262">
        <f>L71/(L20-L67)</f>
        <v>0.12135028153614298</v>
      </c>
      <c r="M72" s="262">
        <f t="shared" ref="M72:T72" si="87">M71/(M20-M67)</f>
        <v>0.13011480041743431</v>
      </c>
      <c r="N72" s="262">
        <f t="shared" si="87"/>
        <v>0.1334298044013309</v>
      </c>
      <c r="O72" s="900">
        <f t="shared" si="87"/>
        <v>0.1317550484474064</v>
      </c>
      <c r="P72" s="262">
        <f t="shared" si="87"/>
        <v>9.8815424617927375E-2</v>
      </c>
      <c r="Q72" s="262">
        <f t="shared" si="87"/>
        <v>6.5876949745284907E-2</v>
      </c>
      <c r="R72" s="262">
        <f t="shared" si="87"/>
        <v>6.5876949745284907E-2</v>
      </c>
      <c r="S72" s="262">
        <f t="shared" si="87"/>
        <v>6.5876949745284907E-2</v>
      </c>
      <c r="T72" s="262">
        <f t="shared" si="87"/>
        <v>6.5876949745284921E-2</v>
      </c>
      <c r="U72" s="3"/>
    </row>
    <row r="73" spans="2:21" s="10" customFormat="1" x14ac:dyDescent="0.55000000000000004">
      <c r="D73" s="10" t="s">
        <v>66</v>
      </c>
      <c r="I73" s="31"/>
      <c r="L73" s="28">
        <f>L31+L23</f>
        <v>75</v>
      </c>
      <c r="M73" s="28">
        <f>M31+M23</f>
        <v>46</v>
      </c>
      <c r="N73" s="28">
        <f t="shared" ref="N73:T73" si="88">N23</f>
        <v>46.199999999999996</v>
      </c>
      <c r="O73" s="28">
        <f t="shared" si="88"/>
        <v>92.199999999999989</v>
      </c>
      <c r="P73" s="28">
        <f t="shared" si="88"/>
        <v>97.759999999999991</v>
      </c>
      <c r="Q73" s="28">
        <f t="shared" si="88"/>
        <v>103.32</v>
      </c>
      <c r="R73" s="28">
        <f t="shared" si="88"/>
        <v>108.88</v>
      </c>
      <c r="S73" s="28">
        <f t="shared" si="88"/>
        <v>114.44</v>
      </c>
      <c r="T73" s="28">
        <f t="shared" si="88"/>
        <v>120</v>
      </c>
    </row>
    <row r="74" spans="2:21" s="10" customFormat="1" x14ac:dyDescent="0.55000000000000004">
      <c r="D74" s="10" t="s">
        <v>1336</v>
      </c>
      <c r="I74" s="405"/>
      <c r="J74" s="405"/>
      <c r="L74" s="28">
        <f>L71/L73</f>
        <v>17.17758276</v>
      </c>
      <c r="M74" s="28">
        <f>M71/M73</f>
        <v>46.367413108695651</v>
      </c>
      <c r="N74" s="28">
        <f>N75*N76/1000</f>
        <v>46.367413108695651</v>
      </c>
      <c r="O74" s="28">
        <f>O75*O76/1000</f>
        <v>46.367413108695651</v>
      </c>
      <c r="P74" s="28">
        <f t="shared" ref="P74:S74" si="89">P75*P76/1000</f>
        <v>47.138859326592517</v>
      </c>
      <c r="Q74" s="28">
        <f t="shared" si="89"/>
        <v>47.987358794471177</v>
      </c>
      <c r="R74" s="28">
        <f t="shared" si="89"/>
        <v>48.995093329155068</v>
      </c>
      <c r="S74" s="28">
        <f t="shared" si="89"/>
        <v>49.926000102409006</v>
      </c>
      <c r="T74" s="28">
        <f t="shared" ref="T74" si="90">T75*T76/1000</f>
        <v>50.902758760438338</v>
      </c>
    </row>
    <row r="75" spans="2:21" s="10" customFormat="1" x14ac:dyDescent="0.55000000000000004">
      <c r="E75" s="10" t="s">
        <v>1474</v>
      </c>
      <c r="I75" s="405"/>
      <c r="J75" s="232"/>
      <c r="L75" s="28">
        <f>L74*10^6/(L76)*1000/10^6</f>
        <v>8.2386224632375296</v>
      </c>
      <c r="M75" s="818">
        <f>M74*10^6/(M76)*1000/10^6</f>
        <v>10.364051171537138</v>
      </c>
      <c r="N75" s="818">
        <f>M75</f>
        <v>10.364051171537138</v>
      </c>
      <c r="O75" s="818">
        <f>N75</f>
        <v>10.364051171537138</v>
      </c>
      <c r="P75" s="28">
        <f>O75*(1+'Key Assumption'!P$12)</f>
        <v>10.536484946516758</v>
      </c>
      <c r="Q75" s="28">
        <f>P75*(1+'Key Assumption'!Q$12)</f>
        <v>10.726141675554059</v>
      </c>
      <c r="R75" s="28">
        <f>Q75*(1+'Key Assumption'!R$12)</f>
        <v>10.951390650740693</v>
      </c>
      <c r="S75" s="28">
        <f>R75*(1+'Key Assumption'!S$12)</f>
        <v>11.159467073104766</v>
      </c>
      <c r="T75" s="28">
        <f>S75*(1+'Key Assumption'!T$12)</f>
        <v>11.377792315669558</v>
      </c>
    </row>
    <row r="76" spans="2:21" s="10" customFormat="1" x14ac:dyDescent="0.55000000000000004">
      <c r="E76" s="10" t="s">
        <v>1472</v>
      </c>
      <c r="L76" s="24">
        <f>SUMIFS(타이탄매출!$J:$J,타이탄매출!$B:$B,TITAN!L$18,타이탄매출!$C:$C,TITAN!$D21)/COUNTIFS(타이탄매출!$B:$B,TITAN!L$18,타이탄매출!$C:$C,TITAN!D$21,타이탄매출!$J:$J,"&gt;0")+SUMIFS(클래스매출!$R:$R,클래스매출!$A:$A,TITAN!L$18,클래스매출!$C:$C,TITAN!$D21)/COUNTIFS(클래스매출!$A:$A,TITAN!L$18,클래스매출!$C:$C,TITAN!$D21,클래스매출!$R:$R,"&gt;0")</f>
        <v>2085.0066666666667</v>
      </c>
      <c r="M76" s="24">
        <f>SUMIFS(타이탄매출!$J:$J,타이탄매출!$B:$B,TITAN!M$18,타이탄매출!$C:$C,TITAN!$D21)/COUNTIFS(타이탄매출!$B:$B,TITAN!M$18,타이탄매출!$J:$J,"&gt;0",타이탄매출!$C:$C,TITAN!$D21)</f>
        <v>4473.869565217391</v>
      </c>
      <c r="N76" s="24">
        <f t="shared" ref="N76:T76" si="91">N25</f>
        <v>4473.869565217391</v>
      </c>
      <c r="O76" s="24">
        <f t="shared" si="91"/>
        <v>4473.869565217391</v>
      </c>
      <c r="P76" s="24">
        <f t="shared" si="91"/>
        <v>4473.869565217391</v>
      </c>
      <c r="Q76" s="24">
        <f t="shared" si="91"/>
        <v>4473.869565217391</v>
      </c>
      <c r="R76" s="24">
        <f t="shared" si="91"/>
        <v>4473.869565217391</v>
      </c>
      <c r="S76" s="24">
        <f t="shared" si="91"/>
        <v>4473.869565217391</v>
      </c>
      <c r="T76" s="24">
        <f t="shared" si="91"/>
        <v>4473.869565217391</v>
      </c>
      <c r="U76" s="3"/>
    </row>
    <row r="77" spans="2:21" s="10" customFormat="1" x14ac:dyDescent="0.55000000000000004">
      <c r="D77" s="10" t="s">
        <v>1506</v>
      </c>
      <c r="I77" s="236">
        <v>0.5</v>
      </c>
      <c r="J77" s="832" t="str">
        <f>P61</f>
        <v>2026F</v>
      </c>
      <c r="L77" s="31">
        <v>1</v>
      </c>
      <c r="M77" s="31">
        <v>1</v>
      </c>
      <c r="N77" s="899">
        <v>1</v>
      </c>
      <c r="O77" s="899">
        <f>O71/(O73*O74)</f>
        <v>1</v>
      </c>
      <c r="P77" s="899">
        <f>AVERAGE(O77,Q77)</f>
        <v>0.75</v>
      </c>
      <c r="Q77" s="899">
        <f>$I$77</f>
        <v>0.5</v>
      </c>
      <c r="R77" s="899">
        <f t="shared" ref="R77:T77" si="92">$I$77</f>
        <v>0.5</v>
      </c>
      <c r="S77" s="899">
        <f t="shared" si="92"/>
        <v>0.5</v>
      </c>
      <c r="T77" s="899">
        <f t="shared" si="92"/>
        <v>0.5</v>
      </c>
      <c r="U77" s="3" t="s">
        <v>2715</v>
      </c>
    </row>
    <row r="78" spans="2:21" s="10" customFormat="1" x14ac:dyDescent="0.55000000000000004">
      <c r="C78" s="10" t="s">
        <v>105</v>
      </c>
      <c r="L78" s="24">
        <f>연결정산표!F135/10^6</f>
        <v>434.400668</v>
      </c>
      <c r="M78" s="24">
        <f>연결정산표!U135/10^6</f>
        <v>456.86265600000002</v>
      </c>
      <c r="N78" s="24">
        <f>N79*N$20</f>
        <v>458.84901537391306</v>
      </c>
      <c r="O78" s="24">
        <f>N78+M78</f>
        <v>915.71167137391308</v>
      </c>
      <c r="P78" s="24">
        <f t="shared" ref="P78" si="93">P79*P$20</f>
        <v>987.08652632987025</v>
      </c>
      <c r="Q78" s="24">
        <f t="shared" ref="Q78" si="94">Q79*Q$20</f>
        <v>1062.0041319415859</v>
      </c>
      <c r="R78" s="24">
        <f t="shared" ref="R78" si="95">R79*R$20</f>
        <v>1142.6564178610304</v>
      </c>
      <c r="S78" s="24">
        <f t="shared" ref="S78:T78" si="96">S79*S$20</f>
        <v>1223.8257427328858</v>
      </c>
      <c r="T78" s="24">
        <f t="shared" si="96"/>
        <v>1308.3909397939065</v>
      </c>
      <c r="U78" s="3"/>
    </row>
    <row r="79" spans="2:21" s="3" customFormat="1" x14ac:dyDescent="0.55000000000000004">
      <c r="B79" s="17"/>
      <c r="C79" s="17"/>
      <c r="D79" s="17" t="s">
        <v>106</v>
      </c>
      <c r="E79" s="17"/>
      <c r="F79" s="17"/>
      <c r="G79" s="17"/>
      <c r="H79" s="17"/>
      <c r="I79" s="236">
        <f>M79</f>
        <v>2.6104788101666703E-2</v>
      </c>
      <c r="J79" s="17"/>
      <c r="K79" s="17"/>
      <c r="L79" s="231">
        <f>L78/L$20</f>
        <v>3.8812442120426019E-2</v>
      </c>
      <c r="M79" s="231">
        <f t="shared" ref="M79:O79" si="97">M78/M$20</f>
        <v>2.6104788101666703E-2</v>
      </c>
      <c r="N79" s="231">
        <f>$I79</f>
        <v>2.6104788101666703E-2</v>
      </c>
      <c r="O79" s="231">
        <f t="shared" si="97"/>
        <v>2.61047881016667E-2</v>
      </c>
      <c r="P79" s="231">
        <f t="shared" ref="P79:T79" si="98">$I79</f>
        <v>2.6104788101666703E-2</v>
      </c>
      <c r="Q79" s="231">
        <f t="shared" si="98"/>
        <v>2.6104788101666703E-2</v>
      </c>
      <c r="R79" s="231">
        <f t="shared" si="98"/>
        <v>2.6104788101666703E-2</v>
      </c>
      <c r="S79" s="231">
        <f t="shared" si="98"/>
        <v>2.6104788101666703E-2</v>
      </c>
      <c r="T79" s="231">
        <f t="shared" si="98"/>
        <v>2.6104788101666703E-2</v>
      </c>
    </row>
    <row r="80" spans="2:21" s="3" customFormat="1" x14ac:dyDescent="0.55000000000000004">
      <c r="I80" s="232"/>
      <c r="L80" s="262">
        <f>L71/(L20-L67)</f>
        <v>0.12135028153614298</v>
      </c>
      <c r="M80" s="262">
        <f>M71/(M20-M67)</f>
        <v>0.13011480041743431</v>
      </c>
      <c r="N80" s="262">
        <f t="shared" ref="N80:T80" si="99">N71/(N20-N67)</f>
        <v>0.1334298044013309</v>
      </c>
      <c r="O80" s="262">
        <f t="shared" si="99"/>
        <v>0.1317550484474064</v>
      </c>
      <c r="P80" s="262">
        <f t="shared" si="99"/>
        <v>9.8815424617927375E-2</v>
      </c>
      <c r="Q80" s="262">
        <f t="shared" si="99"/>
        <v>6.5876949745284907E-2</v>
      </c>
      <c r="R80" s="262">
        <f t="shared" si="99"/>
        <v>6.5876949745284907E-2</v>
      </c>
      <c r="S80" s="262">
        <f t="shared" si="99"/>
        <v>6.5876949745284907E-2</v>
      </c>
      <c r="T80" s="262">
        <f t="shared" si="99"/>
        <v>6.5876949745284921E-2</v>
      </c>
    </row>
    <row r="81" spans="2:21" s="3" customFormat="1" x14ac:dyDescent="0.55000000000000004">
      <c r="B81" s="844"/>
      <c r="C81" s="844"/>
      <c r="D81" s="844"/>
      <c r="E81" s="844"/>
      <c r="F81" s="844"/>
      <c r="G81" s="844"/>
      <c r="H81" s="844"/>
      <c r="I81" s="844"/>
      <c r="J81" s="844"/>
      <c r="K81" s="844"/>
      <c r="L81" s="845" t="s">
        <v>2</v>
      </c>
      <c r="M81" s="845" t="s">
        <v>3</v>
      </c>
      <c r="N81" s="845" t="s">
        <v>4</v>
      </c>
      <c r="O81" s="845" t="s">
        <v>5</v>
      </c>
      <c r="P81" s="845" t="s">
        <v>6</v>
      </c>
      <c r="Q81" s="845" t="s">
        <v>7</v>
      </c>
      <c r="R81" s="845" t="s">
        <v>8</v>
      </c>
      <c r="S81" s="845" t="s">
        <v>9</v>
      </c>
      <c r="T81" s="845" t="s">
        <v>1480</v>
      </c>
    </row>
    <row r="82" spans="2:21" s="3" customFormat="1" x14ac:dyDescent="0.55000000000000004">
      <c r="B82" s="4" t="s">
        <v>2144</v>
      </c>
      <c r="C82" s="4"/>
      <c r="D82" s="4"/>
      <c r="E82" s="4"/>
      <c r="F82" s="4"/>
      <c r="G82" s="4"/>
      <c r="H82" s="4"/>
      <c r="I82" s="4"/>
      <c r="J82" s="4"/>
      <c r="K82" s="4"/>
      <c r="L82" s="23">
        <f>강의료이월!D17/10^6</f>
        <v>1312.6977919999999</v>
      </c>
      <c r="M82" s="23">
        <f>강의료이월!D39/10^6-L82</f>
        <v>1414.2954081612502</v>
      </c>
      <c r="N82" s="23">
        <f>(N20-N67)*N83-N65</f>
        <v>0</v>
      </c>
      <c r="O82" s="23">
        <f>(O20-O67)*O83-O65</f>
        <v>1414.2954081612515</v>
      </c>
      <c r="P82" s="371"/>
      <c r="Q82" s="371"/>
      <c r="R82" s="371"/>
      <c r="S82" s="371"/>
      <c r="T82" s="371"/>
    </row>
    <row r="83" spans="2:21" s="3" customFormat="1" x14ac:dyDescent="0.55000000000000004">
      <c r="B83" s="17"/>
      <c r="C83" s="17" t="s">
        <v>2711</v>
      </c>
      <c r="D83" s="17"/>
      <c r="E83" s="17"/>
      <c r="F83" s="17"/>
      <c r="G83" s="17"/>
      <c r="H83" s="17"/>
      <c r="I83" s="17"/>
      <c r="J83" s="17"/>
      <c r="K83" s="17"/>
      <c r="L83" s="231">
        <f>(L65+L82)/(L20-L67)</f>
        <v>0.49563579252349255</v>
      </c>
      <c r="M83" s="231">
        <f>(M65+M82)/(M20-M67)</f>
        <v>0.4208099929503567</v>
      </c>
      <c r="N83" s="231">
        <f>M83</f>
        <v>0.4208099929503567</v>
      </c>
      <c r="O83" s="231">
        <f>N83</f>
        <v>0.4208099929503567</v>
      </c>
      <c r="P83" s="362"/>
      <c r="Q83" s="362"/>
      <c r="R83" s="362"/>
      <c r="S83" s="362"/>
      <c r="T83" s="362"/>
    </row>
    <row r="85" spans="2:21" s="10" customFormat="1" x14ac:dyDescent="0.55000000000000004">
      <c r="B85" s="844"/>
      <c r="C85" s="844"/>
      <c r="D85" s="844"/>
      <c r="E85" s="844"/>
      <c r="F85" s="844"/>
      <c r="G85" s="844"/>
      <c r="H85" s="844"/>
      <c r="I85" s="844"/>
      <c r="J85" s="844"/>
      <c r="K85" s="844"/>
      <c r="L85" s="845" t="s">
        <v>2</v>
      </c>
      <c r="M85" s="845" t="s">
        <v>3</v>
      </c>
      <c r="N85" s="845" t="s">
        <v>4</v>
      </c>
      <c r="O85" s="845" t="s">
        <v>5</v>
      </c>
      <c r="P85" s="845" t="s">
        <v>6</v>
      </c>
      <c r="Q85" s="845" t="s">
        <v>7</v>
      </c>
      <c r="R85" s="845" t="s">
        <v>8</v>
      </c>
      <c r="S85" s="845" t="s">
        <v>9</v>
      </c>
      <c r="T85" s="845" t="s">
        <v>1480</v>
      </c>
      <c r="U85" s="3"/>
    </row>
    <row r="86" spans="2:21" s="4" customFormat="1" x14ac:dyDescent="0.55000000000000004">
      <c r="B86" s="4" t="s">
        <v>92</v>
      </c>
      <c r="L86" s="23">
        <f>SUM(L88:L97)</f>
        <v>902.64484899999979</v>
      </c>
      <c r="M86" s="23">
        <f t="shared" ref="M86:S86" si="100">SUM(M88:M97)</f>
        <v>900.620947</v>
      </c>
      <c r="N86" s="23">
        <f t="shared" si="100"/>
        <v>905.33322072550004</v>
      </c>
      <c r="O86" s="23">
        <f t="shared" si="100"/>
        <v>1805.9541677255002</v>
      </c>
      <c r="P86" s="23">
        <f t="shared" si="100"/>
        <v>1822.8276640717754</v>
      </c>
      <c r="Q86" s="23">
        <f t="shared" si="100"/>
        <v>1846.3052520922895</v>
      </c>
      <c r="R86" s="23">
        <f t="shared" si="100"/>
        <v>1876.4469625023</v>
      </c>
      <c r="S86" s="23">
        <f t="shared" si="100"/>
        <v>1904.4692214493975</v>
      </c>
      <c r="T86" s="23">
        <f t="shared" ref="T86" si="101">SUM(T88:T97)</f>
        <v>1934.8223177239695</v>
      </c>
      <c r="U86" s="299"/>
    </row>
    <row r="87" spans="2:21" s="10" customFormat="1" x14ac:dyDescent="0.55000000000000004">
      <c r="B87" s="3" t="s">
        <v>89</v>
      </c>
      <c r="L87" s="232">
        <f>L86/L$19</f>
        <v>8.0568407565295069E-2</v>
      </c>
      <c r="M87" s="232">
        <f t="shared" ref="M87" si="102">M86/M$19</f>
        <v>5.1449711598722671E-2</v>
      </c>
      <c r="N87" s="232">
        <f t="shared" ref="N87" si="103">N86/N$19</f>
        <v>5.1506118781098002E-2</v>
      </c>
      <c r="O87" s="232">
        <f t="shared" ref="O87" si="104">O86/O$19</f>
        <v>5.1477973329472258E-2</v>
      </c>
      <c r="P87" s="232">
        <f t="shared" ref="P87" si="105">P86/P$19</f>
        <v>4.8207050392406754E-2</v>
      </c>
      <c r="Q87" s="232">
        <f t="shared" ref="Q87" si="106">Q86/Q$19</f>
        <v>4.5383446191256983E-2</v>
      </c>
      <c r="R87" s="232">
        <f t="shared" ref="R87" si="107">R86/R$19</f>
        <v>4.2868748273285524E-2</v>
      </c>
      <c r="S87" s="232">
        <f t="shared" ref="S87:T87" si="108">S86/S$19</f>
        <v>4.0623238861656898E-2</v>
      </c>
      <c r="T87" s="232">
        <f t="shared" si="108"/>
        <v>3.8603237826238507E-2</v>
      </c>
      <c r="U87" s="3"/>
    </row>
    <row r="88" spans="2:21" s="10" customFormat="1" x14ac:dyDescent="0.55000000000000004">
      <c r="C88" s="10" t="s">
        <v>1332</v>
      </c>
      <c r="L88" s="28">
        <f>연결정산표!F130/10^6-TITAN!L64</f>
        <v>282.12413699999979</v>
      </c>
      <c r="M88" s="28">
        <f>SUM(비용취합!C5,비용취합!C7)/10^6</f>
        <v>222.238754</v>
      </c>
      <c r="N88" s="28">
        <f>M88</f>
        <v>222.238754</v>
      </c>
      <c r="O88" s="28">
        <f>N88+M88</f>
        <v>444.477508</v>
      </c>
      <c r="P88" s="24">
        <f>O88*(1+'Key Assumption'!P$12)</f>
        <v>451.87258289199389</v>
      </c>
      <c r="Q88" s="24">
        <f>P88*(1+'Key Assumption'!Q$12)</f>
        <v>460.00628938404981</v>
      </c>
      <c r="R88" s="24">
        <f>Q88*(1+'Key Assumption'!R$12)</f>
        <v>469.66642146111479</v>
      </c>
      <c r="S88" s="24">
        <f>R88*(1+'Key Assumption'!S$12)</f>
        <v>478.59008346887595</v>
      </c>
      <c r="T88" s="24">
        <f>S88*(1+'Key Assumption'!T$12)</f>
        <v>487.95328113574948</v>
      </c>
    </row>
    <row r="89" spans="2:21" s="10" customFormat="1" x14ac:dyDescent="0.55000000000000004">
      <c r="B89" s="3"/>
      <c r="C89" s="10" t="s">
        <v>107</v>
      </c>
      <c r="L89" s="24">
        <f>연결정산표!F114/10^6</f>
        <v>11.800834</v>
      </c>
      <c r="M89" s="24">
        <f>연결정산표!U114/10^6</f>
        <v>46.363120000000002</v>
      </c>
      <c r="N89" s="24">
        <f>M89</f>
        <v>46.363120000000002</v>
      </c>
      <c r="O89" s="24">
        <f>N89+M89</f>
        <v>92.726240000000004</v>
      </c>
      <c r="P89" s="24">
        <f>O89*(1+'Key Assumption'!P$12)</f>
        <v>94.268989581049667</v>
      </c>
      <c r="Q89" s="24">
        <f>P89*(1+'Key Assumption'!Q$12)</f>
        <v>95.965831393508566</v>
      </c>
      <c r="R89" s="24">
        <f>Q89*(1+'Key Assumption'!R$12)</f>
        <v>97.981113852772239</v>
      </c>
      <c r="S89" s="24">
        <f>R89*(1+'Key Assumption'!S$12)</f>
        <v>99.842755015974902</v>
      </c>
      <c r="T89" s="24">
        <f>S89*(1+'Key Assumption'!T$12)</f>
        <v>101.79609145797536</v>
      </c>
      <c r="U89" s="3"/>
    </row>
    <row r="90" spans="2:21" s="10" customFormat="1" x14ac:dyDescent="0.55000000000000004">
      <c r="B90" s="3"/>
      <c r="C90" s="10" t="s">
        <v>108</v>
      </c>
      <c r="L90" s="24">
        <f>연결정산표!F115/10^6</f>
        <v>30.268460000000001</v>
      </c>
      <c r="M90" s="24">
        <f>연결정산표!U115/10^6</f>
        <v>10.659750000000001</v>
      </c>
      <c r="N90" s="24">
        <f t="shared" ref="N90:N97" si="109">M90</f>
        <v>10.659750000000001</v>
      </c>
      <c r="O90" s="24">
        <f>N90+M90</f>
        <v>21.319500000000001</v>
      </c>
      <c r="P90" s="24">
        <f>O90*(1+'Key Assumption'!P$12)</f>
        <v>21.674207035389209</v>
      </c>
      <c r="Q90" s="24">
        <f>P90*(1+'Key Assumption'!Q$12)</f>
        <v>22.064342762026214</v>
      </c>
      <c r="R90" s="24">
        <f>Q90*(1+'Key Assumption'!R$12)</f>
        <v>22.527693960028763</v>
      </c>
      <c r="S90" s="24">
        <f>R90*(1+'Key Assumption'!S$12)</f>
        <v>22.955720145269307</v>
      </c>
      <c r="T90" s="24">
        <f>S90*(1+'Key Assumption'!T$12)</f>
        <v>23.404828793212207</v>
      </c>
      <c r="U90" s="3"/>
    </row>
    <row r="91" spans="2:21" s="10" customFormat="1" x14ac:dyDescent="0.55000000000000004">
      <c r="B91" s="3"/>
      <c r="C91" s="10" t="s">
        <v>109</v>
      </c>
      <c r="L91" s="24">
        <f>연결정산표!F120/10^6</f>
        <v>127.87805899999999</v>
      </c>
      <c r="M91" s="24">
        <f>연결정산표!U120/10^6</f>
        <v>45.914014999999999</v>
      </c>
      <c r="N91" s="24">
        <f>N109</f>
        <v>50.626288725500004</v>
      </c>
      <c r="O91" s="24">
        <f>N91+M91</f>
        <v>96.540303725499996</v>
      </c>
      <c r="P91" s="24">
        <f t="shared" ref="P91:S91" si="110">P109</f>
        <v>84.973117881637307</v>
      </c>
      <c r="Q91" s="24">
        <f t="shared" si="110"/>
        <v>77.169324070728834</v>
      </c>
      <c r="R91" s="24">
        <f t="shared" si="110"/>
        <v>70.159179992286681</v>
      </c>
      <c r="S91" s="24">
        <f t="shared" si="110"/>
        <v>63.861971071694128</v>
      </c>
      <c r="T91" s="24">
        <f t="shared" ref="T91" si="111">T109</f>
        <v>58.2051914469303</v>
      </c>
      <c r="U91" s="3"/>
    </row>
    <row r="92" spans="2:21" s="10" customFormat="1" x14ac:dyDescent="0.55000000000000004">
      <c r="B92" s="3"/>
      <c r="C92" s="10" t="s">
        <v>110</v>
      </c>
      <c r="L92" s="24">
        <f>연결정산표!F121/10^6</f>
        <v>49.312995999999998</v>
      </c>
      <c r="M92" s="24">
        <f>연결정산표!U121/10^6</f>
        <v>49.812207000000001</v>
      </c>
      <c r="N92" s="24">
        <f t="shared" si="109"/>
        <v>49.812207000000001</v>
      </c>
      <c r="O92" s="24">
        <f t="shared" ref="O92:O97" si="112">N92+M92</f>
        <v>99.624414000000002</v>
      </c>
      <c r="P92" s="24">
        <f>O92*(1+'Key Assumption'!P$12)</f>
        <v>101.28193319802656</v>
      </c>
      <c r="Q92" s="24">
        <f>P92*(1+'Key Assumption'!Q$12)</f>
        <v>103.10500799559104</v>
      </c>
      <c r="R92" s="24">
        <f>Q92*(1+'Key Assumption'!R$12)</f>
        <v>105.27021316349844</v>
      </c>
      <c r="S92" s="24">
        <f>R92*(1+'Key Assumption'!S$12)</f>
        <v>107.27034721360491</v>
      </c>
      <c r="T92" s="24">
        <f>S92*(1+'Key Assumption'!T$12)</f>
        <v>109.36899802031444</v>
      </c>
      <c r="U92" s="3"/>
    </row>
    <row r="93" spans="2:21" s="10" customFormat="1" x14ac:dyDescent="0.55000000000000004">
      <c r="B93" s="3"/>
      <c r="C93" s="10" t="s">
        <v>111</v>
      </c>
      <c r="L93" s="24">
        <f>연결정산표!F123/10^6</f>
        <v>57.024687</v>
      </c>
      <c r="M93" s="24">
        <f>연결정산표!U123/10^6</f>
        <v>41.440246000000002</v>
      </c>
      <c r="N93" s="24">
        <f t="shared" si="109"/>
        <v>41.440246000000002</v>
      </c>
      <c r="O93" s="24">
        <f t="shared" si="112"/>
        <v>82.880492000000004</v>
      </c>
      <c r="P93" s="24">
        <f>O93*(1+'Key Assumption'!P$12)</f>
        <v>84.259431168785341</v>
      </c>
      <c r="Q93" s="24">
        <f>P93*(1+'Key Assumption'!Q$12)</f>
        <v>85.776100929823471</v>
      </c>
      <c r="R93" s="24">
        <f>Q93*(1+'Key Assumption'!R$12)</f>
        <v>87.577399049349751</v>
      </c>
      <c r="S93" s="24">
        <f>R93*(1+'Key Assumption'!S$12)</f>
        <v>89.241369631287384</v>
      </c>
      <c r="T93" s="24">
        <f>S93*(1+'Key Assumption'!T$12)</f>
        <v>90.987299212326448</v>
      </c>
      <c r="U93" s="3"/>
    </row>
    <row r="94" spans="2:21" s="10" customFormat="1" x14ac:dyDescent="0.55000000000000004">
      <c r="B94" s="3"/>
      <c r="C94" s="10" t="s">
        <v>112</v>
      </c>
      <c r="L94" s="24">
        <f>연결정산표!F129/10^6</f>
        <v>199.659357</v>
      </c>
      <c r="M94" s="24">
        <f>연결정산표!U129/10^6</f>
        <v>345.40256399999998</v>
      </c>
      <c r="N94" s="24">
        <f t="shared" si="109"/>
        <v>345.40256399999998</v>
      </c>
      <c r="O94" s="24">
        <f t="shared" si="112"/>
        <v>690.80512799999997</v>
      </c>
      <c r="P94" s="24">
        <f>O94*(1+'Key Assumption'!P$12)</f>
        <v>702.29852320085092</v>
      </c>
      <c r="Q94" s="24">
        <f>P94*(1+'Key Assumption'!Q$12)</f>
        <v>714.93989661846626</v>
      </c>
      <c r="R94" s="24">
        <f>Q94*(1+'Key Assumption'!R$12)</f>
        <v>729.95363444745396</v>
      </c>
      <c r="S94" s="24">
        <f>R94*(1+'Key Assumption'!S$12)</f>
        <v>743.8227535019555</v>
      </c>
      <c r="T94" s="24">
        <f>S94*(1+'Key Assumption'!T$12)</f>
        <v>758.37499708309497</v>
      </c>
      <c r="U94" s="3"/>
    </row>
    <row r="95" spans="2:21" s="10" customFormat="1" x14ac:dyDescent="0.55000000000000004">
      <c r="C95" s="10" t="s">
        <v>113</v>
      </c>
      <c r="L95" s="24">
        <f>연결정산표!F132/10^6</f>
        <v>52.947443999999997</v>
      </c>
      <c r="M95" s="24">
        <f>연결정산표!U132/10^6</f>
        <v>52.376322000000002</v>
      </c>
      <c r="N95" s="24">
        <f t="shared" si="109"/>
        <v>52.376322000000002</v>
      </c>
      <c r="O95" s="24">
        <f t="shared" si="112"/>
        <v>104.752644</v>
      </c>
      <c r="P95" s="24">
        <f>O95*(1+'Key Assumption'!P$12)</f>
        <v>106.49548505173298</v>
      </c>
      <c r="Q95" s="24">
        <f>P95*(1+'Key Assumption'!Q$12)</f>
        <v>108.41240378266419</v>
      </c>
      <c r="R95" s="24">
        <f>Q95*(1+'Key Assumption'!R$12)</f>
        <v>110.68906426210012</v>
      </c>
      <c r="S95" s="24">
        <f>R95*(1+'Key Assumption'!S$12)</f>
        <v>112.79215648308001</v>
      </c>
      <c r="T95" s="24">
        <f>S95*(1+'Key Assumption'!T$12)</f>
        <v>114.99883667329479</v>
      </c>
      <c r="U95" s="3"/>
    </row>
    <row r="96" spans="2:21" s="10" customFormat="1" x14ac:dyDescent="0.55000000000000004">
      <c r="C96" s="10" t="s">
        <v>114</v>
      </c>
      <c r="L96" s="24">
        <f>연결정산표!F134/10^6</f>
        <v>48.082017</v>
      </c>
      <c r="M96" s="24">
        <f>연결정산표!U134/10^6</f>
        <v>42.200597000000002</v>
      </c>
      <c r="N96" s="24">
        <f t="shared" si="109"/>
        <v>42.200597000000002</v>
      </c>
      <c r="O96" s="24">
        <f t="shared" si="112"/>
        <v>84.401194000000004</v>
      </c>
      <c r="P96" s="24">
        <f>O96*(1+'Key Assumption'!P$12)</f>
        <v>85.805434123222852</v>
      </c>
      <c r="Q96" s="24">
        <f>P96*(1+'Key Assumption'!Q$12)</f>
        <v>87.349931937440871</v>
      </c>
      <c r="R96" s="24">
        <f>Q96*(1+'Key Assumption'!R$12)</f>
        <v>89.184280508127117</v>
      </c>
      <c r="S96" s="24">
        <f>R96*(1+'Key Assumption'!S$12)</f>
        <v>90.878781837781517</v>
      </c>
      <c r="T96" s="24">
        <f>S96*(1+'Key Assumption'!T$12)</f>
        <v>92.656745960866317</v>
      </c>
      <c r="U96" s="3"/>
    </row>
    <row r="97" spans="1:21" x14ac:dyDescent="0.55000000000000004">
      <c r="B97" s="15"/>
      <c r="C97" s="15" t="s">
        <v>115</v>
      </c>
      <c r="D97" s="15"/>
      <c r="E97" s="15"/>
      <c r="F97" s="15"/>
      <c r="G97" s="15"/>
      <c r="H97" s="15"/>
      <c r="I97" s="15"/>
      <c r="J97" s="15"/>
      <c r="K97" s="15"/>
      <c r="L97" s="300">
        <f>SUM(연결정산표!F116:F119,연결정산표!F122,연결정산표!F124,연결정산표!F125:F128,연결정산표!F137)/10^6</f>
        <v>43.546858</v>
      </c>
      <c r="M97" s="300">
        <f>SUM(연결정산표!U116:U119,연결정산표!U122,연결정산표!U124:U128,연결정산표!U137)/10^6</f>
        <v>44.213372</v>
      </c>
      <c r="N97" s="301">
        <f t="shared" si="109"/>
        <v>44.213372</v>
      </c>
      <c r="O97" s="301">
        <f t="shared" si="112"/>
        <v>88.426743999999999</v>
      </c>
      <c r="P97" s="301">
        <f>O97*(1+'Key Assumption'!P$12)</f>
        <v>89.897959939086775</v>
      </c>
      <c r="Q97" s="301">
        <f>P97*(1+'Key Assumption'!Q$12)</f>
        <v>91.516123217990341</v>
      </c>
      <c r="R97" s="301">
        <f>Q97*(1+'Key Assumption'!R$12)</f>
        <v>93.437961805568136</v>
      </c>
      <c r="S97" s="301">
        <f>R97*(1+'Key Assumption'!S$12)</f>
        <v>95.213283079873918</v>
      </c>
      <c r="T97" s="301">
        <f>S97*(1+'Key Assumption'!T$12)</f>
        <v>97.076047940205214</v>
      </c>
    </row>
    <row r="100" spans="1:21" x14ac:dyDescent="0.55000000000000004">
      <c r="A100" s="841" t="s">
        <v>116</v>
      </c>
      <c r="B100" s="842"/>
      <c r="C100" s="842"/>
      <c r="D100" s="842"/>
      <c r="E100" s="842"/>
      <c r="F100" s="842"/>
      <c r="G100" s="842"/>
      <c r="H100" s="842"/>
      <c r="I100" s="842"/>
      <c r="J100" s="842"/>
      <c r="K100" s="842"/>
      <c r="L100" s="842"/>
      <c r="M100" s="842"/>
      <c r="N100" s="842"/>
      <c r="O100" s="842"/>
      <c r="P100" s="842"/>
      <c r="Q100" s="842"/>
      <c r="R100" s="842"/>
      <c r="S100" s="842"/>
      <c r="T100" s="842"/>
    </row>
    <row r="102" spans="1:21" x14ac:dyDescent="0.55000000000000004">
      <c r="B102" s="844"/>
      <c r="C102" s="844"/>
      <c r="D102" s="844"/>
      <c r="E102" s="844"/>
      <c r="F102" s="844"/>
      <c r="G102" s="844"/>
      <c r="H102" s="844"/>
      <c r="I102" s="844"/>
      <c r="J102" s="844"/>
      <c r="K102" s="844"/>
      <c r="L102" s="845" t="s">
        <v>2</v>
      </c>
      <c r="M102" s="845" t="s">
        <v>3</v>
      </c>
      <c r="N102" s="845" t="s">
        <v>4</v>
      </c>
      <c r="O102" s="845" t="s">
        <v>5</v>
      </c>
      <c r="P102" s="845" t="s">
        <v>6</v>
      </c>
      <c r="Q102" s="845" t="s">
        <v>7</v>
      </c>
      <c r="R102" s="845" t="s">
        <v>8</v>
      </c>
      <c r="S102" s="845" t="s">
        <v>9</v>
      </c>
      <c r="T102" s="845" t="s">
        <v>1480</v>
      </c>
    </row>
    <row r="103" spans="1:21" x14ac:dyDescent="0.55000000000000004">
      <c r="B103" s="12" t="s">
        <v>117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302"/>
      <c r="M103" s="18">
        <f>M105+M106</f>
        <v>42.703800000000001</v>
      </c>
      <c r="N103" s="18">
        <f t="shared" ref="N103:T103" si="113">N105+N106</f>
        <v>41.794001999999999</v>
      </c>
      <c r="O103" s="18">
        <f t="shared" si="113"/>
        <v>84.497802000000007</v>
      </c>
      <c r="P103" s="18">
        <f t="shared" si="113"/>
        <v>62.613702065799501</v>
      </c>
      <c r="Q103" s="18">
        <f t="shared" si="113"/>
        <v>56.24585725885666</v>
      </c>
      <c r="R103" s="18">
        <f t="shared" si="113"/>
        <v>50.525625452702315</v>
      </c>
      <c r="S103" s="18">
        <f t="shared" si="113"/>
        <v>45.387144081349753</v>
      </c>
      <c r="T103" s="18">
        <f t="shared" si="113"/>
        <v>40.771248834704451</v>
      </c>
    </row>
    <row r="104" spans="1:21" s="10" customFormat="1" x14ac:dyDescent="0.55000000000000004">
      <c r="C104" s="10" t="s">
        <v>118</v>
      </c>
      <c r="L104" s="303"/>
      <c r="M104" s="24">
        <v>0</v>
      </c>
      <c r="N104" s="24">
        <v>0</v>
      </c>
      <c r="O104" s="24">
        <f>N104+M104</f>
        <v>0</v>
      </c>
      <c r="P104" s="24">
        <v>0</v>
      </c>
      <c r="Q104" s="24">
        <v>0</v>
      </c>
      <c r="R104" s="24">
        <v>0</v>
      </c>
      <c r="S104" s="24">
        <v>0</v>
      </c>
      <c r="T104" s="24">
        <v>0</v>
      </c>
      <c r="U104" s="3"/>
    </row>
    <row r="105" spans="1:21" x14ac:dyDescent="0.55000000000000004">
      <c r="A105" s="10"/>
      <c r="B105" s="10"/>
      <c r="C105" s="10" t="s">
        <v>119</v>
      </c>
      <c r="D105" s="10"/>
      <c r="E105" s="10"/>
      <c r="F105" s="10"/>
      <c r="G105" s="10"/>
      <c r="H105" s="10"/>
      <c r="I105" s="10"/>
      <c r="J105" s="10"/>
      <c r="K105" s="10"/>
      <c r="L105" s="303"/>
      <c r="M105" s="24">
        <f>연결정산표!U35/10^6-연결정산표!G35/10^6</f>
        <v>21.495800000000003</v>
      </c>
      <c r="N105" s="24">
        <f>G128</f>
        <v>14.022264</v>
      </c>
      <c r="O105" s="24">
        <f>N105+M105</f>
        <v>35.518064000000003</v>
      </c>
      <c r="P105" s="24" cm="1">
        <f t="array" ref="P105:T105">TRANSPOSE(G129:G133)</f>
        <v>21.007470287034</v>
      </c>
      <c r="Q105" s="24">
        <v>18.871000055107501</v>
      </c>
      <c r="R105" s="24">
        <v>16.951809914003039</v>
      </c>
      <c r="S105" s="24">
        <v>15.227802369843973</v>
      </c>
      <c r="T105" s="24">
        <v>13.679127254929657</v>
      </c>
    </row>
    <row r="106" spans="1:21" x14ac:dyDescent="0.55000000000000004">
      <c r="A106" s="10"/>
      <c r="B106" s="14"/>
      <c r="C106" s="14" t="s">
        <v>120</v>
      </c>
      <c r="D106" s="14"/>
      <c r="E106" s="14"/>
      <c r="F106" s="14"/>
      <c r="G106" s="14"/>
      <c r="H106" s="14"/>
      <c r="I106" s="14"/>
      <c r="J106" s="14"/>
      <c r="K106" s="14"/>
      <c r="L106" s="304"/>
      <c r="M106" s="26">
        <f>연결정산표!U37/10^6-연결정산표!F37/10^6</f>
        <v>21.207999999999998</v>
      </c>
      <c r="N106" s="26">
        <f>G135</f>
        <v>27.771737999999999</v>
      </c>
      <c r="O106" s="26">
        <f t="shared" ref="O106" si="114">N106+M106</f>
        <v>48.979737999999998</v>
      </c>
      <c r="P106" s="26" cm="1">
        <f t="array" ref="P106:T106">TRANSPOSE(G136:G140)</f>
        <v>41.606231778765505</v>
      </c>
      <c r="Q106" s="26">
        <v>37.374857203749158</v>
      </c>
      <c r="R106" s="26">
        <v>33.573815538699272</v>
      </c>
      <c r="S106" s="26">
        <v>30.159341711505782</v>
      </c>
      <c r="T106" s="26">
        <v>27.092121579774791</v>
      </c>
    </row>
    <row r="107" spans="1:21" x14ac:dyDescent="0.55000000000000004">
      <c r="M107" s="19"/>
    </row>
    <row r="108" spans="1:21" x14ac:dyDescent="0.55000000000000004">
      <c r="B108" s="844"/>
      <c r="C108" s="844"/>
      <c r="D108" s="844"/>
      <c r="E108" s="844"/>
      <c r="F108" s="844"/>
      <c r="G108" s="844"/>
      <c r="H108" s="844"/>
      <c r="I108" s="844"/>
      <c r="J108" s="844"/>
      <c r="K108" s="844"/>
      <c r="L108" s="845" t="s">
        <v>2</v>
      </c>
      <c r="M108" s="845" t="s">
        <v>3</v>
      </c>
      <c r="N108" s="845" t="s">
        <v>4</v>
      </c>
      <c r="O108" s="845" t="s">
        <v>5</v>
      </c>
      <c r="P108" s="845" t="s">
        <v>6</v>
      </c>
      <c r="Q108" s="845" t="s">
        <v>7</v>
      </c>
      <c r="R108" s="845" t="s">
        <v>8</v>
      </c>
      <c r="S108" s="845" t="s">
        <v>9</v>
      </c>
      <c r="T108" s="845" t="s">
        <v>1480</v>
      </c>
    </row>
    <row r="109" spans="1:21" x14ac:dyDescent="0.55000000000000004">
      <c r="B109" s="12" t="s">
        <v>78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18">
        <f>L110+L111+L112</f>
        <v>127.87805900000001</v>
      </c>
      <c r="M109" s="18">
        <f>M110+M111+M112</f>
        <v>45.914014999999999</v>
      </c>
      <c r="N109" s="18">
        <f>N110+N111+N112</f>
        <v>50.626288725500004</v>
      </c>
      <c r="O109" s="18">
        <f t="shared" ref="O109:T109" si="115">O110+O111+O112</f>
        <v>96.540303725499996</v>
      </c>
      <c r="P109" s="18">
        <f t="shared" si="115"/>
        <v>84.973117881637307</v>
      </c>
      <c r="Q109" s="18">
        <f t="shared" si="115"/>
        <v>77.169324070728834</v>
      </c>
      <c r="R109" s="18">
        <f t="shared" si="115"/>
        <v>70.159179992286681</v>
      </c>
      <c r="S109" s="18">
        <f t="shared" si="115"/>
        <v>63.861971071694128</v>
      </c>
      <c r="T109" s="18">
        <f t="shared" si="115"/>
        <v>58.2051914469303</v>
      </c>
    </row>
    <row r="110" spans="1:21" s="10" customFormat="1" x14ac:dyDescent="0.55000000000000004">
      <c r="C110" s="10" t="s">
        <v>118</v>
      </c>
      <c r="L110" s="24">
        <f>L116+L122</f>
        <v>8.2400260000000003</v>
      </c>
      <c r="M110" s="24">
        <f t="shared" ref="M110:T110" si="116">M116+M122</f>
        <v>4.1200130000000001</v>
      </c>
      <c r="N110" s="24">
        <f t="shared" si="116"/>
        <v>4.1200130000000001</v>
      </c>
      <c r="O110" s="24">
        <f>N110+M110</f>
        <v>8.2400260000000003</v>
      </c>
      <c r="P110" s="24">
        <f t="shared" si="116"/>
        <v>8.2400260000000003</v>
      </c>
      <c r="Q110" s="24">
        <f t="shared" si="116"/>
        <v>8.2400260000000003</v>
      </c>
      <c r="R110" s="24">
        <f t="shared" si="116"/>
        <v>8.2400260000000003</v>
      </c>
      <c r="S110" s="24">
        <f t="shared" si="116"/>
        <v>8.2400260000000003</v>
      </c>
      <c r="T110" s="24">
        <f t="shared" si="116"/>
        <v>8.2400260000000003</v>
      </c>
      <c r="U110" s="3"/>
    </row>
    <row r="111" spans="1:21" x14ac:dyDescent="0.55000000000000004">
      <c r="B111" s="10"/>
      <c r="C111" s="10" t="s">
        <v>119</v>
      </c>
      <c r="D111" s="10"/>
      <c r="E111" s="10"/>
      <c r="F111" s="10"/>
      <c r="G111" s="10"/>
      <c r="H111" s="10"/>
      <c r="I111" s="10"/>
      <c r="J111" s="10"/>
      <c r="K111" s="10"/>
      <c r="L111" s="24">
        <f t="shared" ref="L111:T111" si="117">L117+L123</f>
        <v>23.919395999999999</v>
      </c>
      <c r="M111" s="24">
        <f t="shared" si="117"/>
        <v>14.022264</v>
      </c>
      <c r="N111" s="24">
        <f t="shared" si="117"/>
        <v>15.603274266</v>
      </c>
      <c r="O111" s="24">
        <f t="shared" ref="O111:O112" si="118">N111+M111</f>
        <v>29.625538266</v>
      </c>
      <c r="P111" s="24">
        <f t="shared" si="117"/>
        <v>25.744654836760169</v>
      </c>
      <c r="Q111" s="24">
        <f t="shared" si="117"/>
        <v>23.126410567534244</v>
      </c>
      <c r="R111" s="24">
        <f t="shared" si="117"/>
        <v>20.774443049610724</v>
      </c>
      <c r="S111" s="24">
        <f t="shared" si="117"/>
        <v>18.661671804243788</v>
      </c>
      <c r="T111" s="24">
        <f t="shared" si="117"/>
        <v>16.763770450916297</v>
      </c>
    </row>
    <row r="112" spans="1:21" x14ac:dyDescent="0.55000000000000004">
      <c r="B112" s="14"/>
      <c r="C112" s="14" t="s">
        <v>120</v>
      </c>
      <c r="D112" s="14"/>
      <c r="E112" s="14"/>
      <c r="F112" s="14"/>
      <c r="G112" s="14"/>
      <c r="H112" s="14"/>
      <c r="I112" s="14"/>
      <c r="J112" s="14"/>
      <c r="K112" s="14"/>
      <c r="L112" s="26">
        <f t="shared" ref="L112:T112" si="119">L118+L124</f>
        <v>95.718637000000001</v>
      </c>
      <c r="M112" s="26">
        <f t="shared" si="119"/>
        <v>27.771737999999999</v>
      </c>
      <c r="N112" s="26">
        <f t="shared" si="119"/>
        <v>30.9030014595</v>
      </c>
      <c r="O112" s="26">
        <f t="shared" si="118"/>
        <v>58.674739459500003</v>
      </c>
      <c r="P112" s="26">
        <f t="shared" si="119"/>
        <v>50.988437044877131</v>
      </c>
      <c r="Q112" s="26">
        <f t="shared" si="119"/>
        <v>45.802887503194597</v>
      </c>
      <c r="R112" s="26">
        <f t="shared" si="119"/>
        <v>41.144710942675957</v>
      </c>
      <c r="S112" s="26">
        <f t="shared" si="119"/>
        <v>36.96027326745034</v>
      </c>
      <c r="T112" s="26">
        <f t="shared" si="119"/>
        <v>33.201394996014002</v>
      </c>
    </row>
    <row r="114" spans="2:21" x14ac:dyDescent="0.55000000000000004">
      <c r="B114" s="844"/>
      <c r="C114" s="844"/>
      <c r="D114" s="844"/>
      <c r="E114" s="844"/>
      <c r="F114" s="844"/>
      <c r="G114" s="844"/>
      <c r="H114" s="844"/>
      <c r="I114" s="844"/>
      <c r="J114" s="844"/>
      <c r="K114" s="844"/>
      <c r="L114" s="845" t="s">
        <v>2</v>
      </c>
      <c r="M114" s="845" t="s">
        <v>3</v>
      </c>
      <c r="N114" s="845" t="s">
        <v>4</v>
      </c>
      <c r="O114" s="845" t="s">
        <v>5</v>
      </c>
      <c r="P114" s="845" t="s">
        <v>6</v>
      </c>
      <c r="Q114" s="845" t="s">
        <v>7</v>
      </c>
      <c r="R114" s="845" t="s">
        <v>8</v>
      </c>
      <c r="S114" s="845" t="s">
        <v>9</v>
      </c>
      <c r="T114" s="845" t="s">
        <v>1480</v>
      </c>
    </row>
    <row r="115" spans="2:21" x14ac:dyDescent="0.55000000000000004">
      <c r="B115" s="12" t="s">
        <v>1502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18">
        <f>L116+L117+L118</f>
        <v>127.87805900000001</v>
      </c>
      <c r="M115" s="18">
        <f>M116+M117+M118</f>
        <v>45.914014999999999</v>
      </c>
      <c r="N115" s="18">
        <f>N116+N117+N118</f>
        <v>45.914014999999999</v>
      </c>
      <c r="O115" s="18">
        <f t="shared" ref="O115:T115" si="120">O116+O117+O118</f>
        <v>91.828029999999998</v>
      </c>
      <c r="P115" s="18">
        <f t="shared" si="120"/>
        <v>54.129868614000003</v>
      </c>
      <c r="Q115" s="18">
        <f t="shared" si="120"/>
        <v>33.433549595085999</v>
      </c>
      <c r="R115" s="18">
        <f t="shared" si="120"/>
        <v>22.071270453702216</v>
      </c>
      <c r="S115" s="18">
        <f t="shared" si="120"/>
        <v>15.833379205082515</v>
      </c>
      <c r="T115" s="18">
        <f t="shared" si="120"/>
        <v>12.408776909590301</v>
      </c>
    </row>
    <row r="116" spans="2:21" x14ac:dyDescent="0.55000000000000004">
      <c r="B116" s="10"/>
      <c r="C116" s="10" t="s">
        <v>118</v>
      </c>
      <c r="D116" s="10"/>
      <c r="E116" s="10"/>
      <c r="F116" s="10"/>
      <c r="G116" s="10"/>
      <c r="H116" s="10"/>
      <c r="I116" s="10"/>
      <c r="J116" s="10"/>
      <c r="K116" s="10"/>
      <c r="L116" s="24">
        <f>타이탄고정자산!K8/10^6</f>
        <v>8.2400260000000003</v>
      </c>
      <c r="M116" s="24">
        <f>-(연결정산표!U34/10^6-연결정산표!G34/10^6)</f>
        <v>4.1200130000000001</v>
      </c>
      <c r="N116" s="24">
        <f>타이탄고정자산!P50/10^6</f>
        <v>4.1200130000000001</v>
      </c>
      <c r="O116" s="24">
        <f>N116+M116</f>
        <v>8.2400260000000003</v>
      </c>
      <c r="P116" s="24">
        <f>타이탄고정자산!R50/10^6</f>
        <v>8.2400260000000003</v>
      </c>
      <c r="Q116" s="24">
        <f>타이탄고정자산!S50/10^6</f>
        <v>8.2400260000000003</v>
      </c>
      <c r="R116" s="24">
        <f>타이탄고정자산!T50/10^6</f>
        <v>8.2400260000000003</v>
      </c>
      <c r="S116" s="24">
        <f>타이탄고정자산!U50/10^6</f>
        <v>8.2400260000000003</v>
      </c>
      <c r="T116" s="24">
        <f>타이탄고정자산!V50/10^6</f>
        <v>8.2400260000000003</v>
      </c>
    </row>
    <row r="117" spans="2:21" x14ac:dyDescent="0.55000000000000004">
      <c r="B117" s="10"/>
      <c r="C117" s="10" t="s">
        <v>119</v>
      </c>
      <c r="D117" s="10"/>
      <c r="E117" s="10"/>
      <c r="F117" s="10"/>
      <c r="G117" s="10"/>
      <c r="H117" s="10"/>
      <c r="I117" s="10"/>
      <c r="J117" s="10"/>
      <c r="K117" s="10"/>
      <c r="L117" s="24">
        <f>타이탄고정자산!K22/10^6</f>
        <v>23.919395999999999</v>
      </c>
      <c r="M117" s="24">
        <f>-(연결정산표!U36-연결정산표!G36)/10^6</f>
        <v>14.022264</v>
      </c>
      <c r="N117" s="24">
        <f>SUM(타이탄고정자산!P52:P70)/10^6</f>
        <v>14.022264</v>
      </c>
      <c r="O117" s="24">
        <f t="shared" ref="O117:O118" si="121">N117+M117</f>
        <v>28.044528</v>
      </c>
      <c r="P117" s="24">
        <f>SUM(타이탄고정자산!R52:R70)/10^6</f>
        <v>15.396464852999999</v>
      </c>
      <c r="Q117" s="24">
        <f>SUM(타이탄고정자산!S52:S70)/10^6</f>
        <v>8.4526592042970012</v>
      </c>
      <c r="R117" s="24">
        <f>SUM(타이탄고정자산!T52:T70)/10^6</f>
        <v>4.6405099031590531</v>
      </c>
      <c r="S117" s="24">
        <f>SUM(타이탄고정자산!U52:U70)/10^6</f>
        <v>2.5476399368343201</v>
      </c>
      <c r="T117" s="24">
        <f>SUM(타이탄고정자산!V52:V70)/10^6</f>
        <v>1.3986543253220418</v>
      </c>
    </row>
    <row r="118" spans="2:21" x14ac:dyDescent="0.55000000000000004">
      <c r="B118" s="14"/>
      <c r="C118" s="14" t="s">
        <v>120</v>
      </c>
      <c r="D118" s="14"/>
      <c r="E118" s="14"/>
      <c r="F118" s="14"/>
      <c r="G118" s="14"/>
      <c r="H118" s="14"/>
      <c r="I118" s="14"/>
      <c r="J118" s="14"/>
      <c r="K118" s="14"/>
      <c r="L118" s="26">
        <f>타이탄고정자산!K40/10^6</f>
        <v>95.718637000000001</v>
      </c>
      <c r="M118" s="26">
        <f>-(연결정산표!U38-연결정산표!G38)/10^6</f>
        <v>27.771737999999999</v>
      </c>
      <c r="N118" s="26">
        <f>SUM(타이탄고정자산!P72:P80)/10^6</f>
        <v>27.771737999999999</v>
      </c>
      <c r="O118" s="26">
        <f t="shared" si="121"/>
        <v>55.543475999999998</v>
      </c>
      <c r="P118" s="26">
        <f>SUM(타이탄고정자산!R72:R80)/10^6</f>
        <v>30.493377761000005</v>
      </c>
      <c r="Q118" s="26">
        <f>SUM(타이탄고정자산!S72:S80)/10^6</f>
        <v>16.740864390789</v>
      </c>
      <c r="R118" s="26">
        <f>SUM(타이탄고정자산!T72:T80)/10^6</f>
        <v>9.1907345505431621</v>
      </c>
      <c r="S118" s="26">
        <f>SUM(타이탄고정자산!U72:U80)/10^6</f>
        <v>5.0457132682481944</v>
      </c>
      <c r="T118" s="26">
        <f>SUM(타이탄고정자산!V72:V80)/10^6</f>
        <v>2.7700965842682588</v>
      </c>
    </row>
    <row r="120" spans="2:21" x14ac:dyDescent="0.55000000000000004">
      <c r="B120" s="844"/>
      <c r="C120" s="844"/>
      <c r="D120" s="844"/>
      <c r="E120" s="844"/>
      <c r="F120" s="844"/>
      <c r="G120" s="844"/>
      <c r="H120" s="844"/>
      <c r="I120" s="844"/>
      <c r="J120" s="844"/>
      <c r="K120" s="844"/>
      <c r="L120" s="845" t="s">
        <v>2</v>
      </c>
      <c r="M120" s="845" t="s">
        <v>3</v>
      </c>
      <c r="N120" s="845" t="s">
        <v>4</v>
      </c>
      <c r="O120" s="845" t="s">
        <v>5</v>
      </c>
      <c r="P120" s="845" t="s">
        <v>6</v>
      </c>
      <c r="Q120" s="845" t="s">
        <v>7</v>
      </c>
      <c r="R120" s="845" t="s">
        <v>8</v>
      </c>
      <c r="S120" s="845" t="s">
        <v>9</v>
      </c>
      <c r="T120" s="845" t="s">
        <v>1480</v>
      </c>
    </row>
    <row r="121" spans="2:21" x14ac:dyDescent="0.55000000000000004">
      <c r="B121" s="12" t="s">
        <v>1503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18">
        <f>L122+L123+L124</f>
        <v>0</v>
      </c>
      <c r="M121" s="18">
        <f>M122+M123+M124</f>
        <v>0</v>
      </c>
      <c r="N121" s="18">
        <f>N122+N123+N124</f>
        <v>4.7122737255000002</v>
      </c>
      <c r="O121" s="18">
        <f t="shared" ref="O121:T121" si="122">O122+O123+O124</f>
        <v>0</v>
      </c>
      <c r="P121" s="18">
        <f t="shared" si="122"/>
        <v>30.84324926763729</v>
      </c>
      <c r="Q121" s="18">
        <f t="shared" si="122"/>
        <v>43.735774475642835</v>
      </c>
      <c r="R121" s="18">
        <f t="shared" si="122"/>
        <v>48.087909538584469</v>
      </c>
      <c r="S121" s="18">
        <f t="shared" si="122"/>
        <v>48.028591866611613</v>
      </c>
      <c r="T121" s="18">
        <f t="shared" si="122"/>
        <v>45.796414537339999</v>
      </c>
    </row>
    <row r="122" spans="2:21" x14ac:dyDescent="0.55000000000000004">
      <c r="B122" s="10"/>
      <c r="C122" s="10" t="s">
        <v>118</v>
      </c>
      <c r="D122" s="10"/>
      <c r="E122" s="10"/>
      <c r="F122" s="10"/>
      <c r="G122" s="10"/>
      <c r="H122" s="10"/>
      <c r="I122" s="10"/>
      <c r="J122" s="10"/>
      <c r="K122" s="10"/>
      <c r="L122" s="429"/>
      <c r="M122" s="429"/>
      <c r="N122" s="429"/>
      <c r="O122" s="429"/>
      <c r="P122" s="429"/>
      <c r="Q122" s="429"/>
      <c r="R122" s="429"/>
      <c r="S122" s="429"/>
      <c r="T122" s="429"/>
    </row>
    <row r="123" spans="2:21" x14ac:dyDescent="0.55000000000000004">
      <c r="B123" s="10"/>
      <c r="C123" s="10" t="s">
        <v>119</v>
      </c>
      <c r="D123" s="10"/>
      <c r="E123" s="10"/>
      <c r="F123" s="10"/>
      <c r="G123" s="10"/>
      <c r="H123" s="10"/>
      <c r="I123" s="10"/>
      <c r="J123" s="10"/>
      <c r="K123" s="10"/>
      <c r="L123" s="429"/>
      <c r="M123" s="429"/>
      <c r="N123" s="24">
        <f>N127</f>
        <v>1.5810102660000001</v>
      </c>
      <c r="O123" s="429"/>
      <c r="P123" s="24">
        <f t="shared" ref="P123:T123" si="123">P127</f>
        <v>10.348189983760168</v>
      </c>
      <c r="Q123" s="24">
        <f t="shared" si="123"/>
        <v>14.67375136323724</v>
      </c>
      <c r="R123" s="24">
        <f t="shared" si="123"/>
        <v>16.133933146451671</v>
      </c>
      <c r="S123" s="24">
        <f t="shared" si="123"/>
        <v>16.114031867409469</v>
      </c>
      <c r="T123" s="24">
        <f t="shared" si="123"/>
        <v>15.365116125594254</v>
      </c>
    </row>
    <row r="124" spans="2:21" x14ac:dyDescent="0.55000000000000004">
      <c r="B124" s="14"/>
      <c r="C124" s="14" t="s">
        <v>120</v>
      </c>
      <c r="D124" s="14"/>
      <c r="E124" s="14"/>
      <c r="F124" s="14"/>
      <c r="G124" s="14"/>
      <c r="H124" s="14"/>
      <c r="I124" s="14"/>
      <c r="J124" s="14"/>
      <c r="K124" s="14"/>
      <c r="L124" s="431"/>
      <c r="M124" s="431"/>
      <c r="N124" s="26">
        <f>N134</f>
        <v>3.1312634595</v>
      </c>
      <c r="O124" s="431"/>
      <c r="P124" s="26">
        <f t="shared" ref="P124:T124" si="124">P134</f>
        <v>20.495059283877122</v>
      </c>
      <c r="Q124" s="26">
        <f t="shared" si="124"/>
        <v>29.062023112405594</v>
      </c>
      <c r="R124" s="26">
        <f t="shared" si="124"/>
        <v>31.953976392132795</v>
      </c>
      <c r="S124" s="26">
        <f t="shared" si="124"/>
        <v>31.914559999202144</v>
      </c>
      <c r="T124" s="26">
        <f t="shared" si="124"/>
        <v>30.431298411745747</v>
      </c>
    </row>
    <row r="126" spans="2:21" x14ac:dyDescent="0.55000000000000004">
      <c r="B126" s="844"/>
      <c r="C126" s="844"/>
      <c r="D126" s="844"/>
      <c r="E126" s="844"/>
      <c r="F126" s="844"/>
      <c r="G126" s="844"/>
      <c r="H126" s="844"/>
      <c r="I126" s="844"/>
      <c r="J126" s="844"/>
      <c r="K126" s="844"/>
      <c r="L126" s="845" t="s">
        <v>2</v>
      </c>
      <c r="M126" s="845" t="s">
        <v>3</v>
      </c>
      <c r="N126" s="845" t="s">
        <v>4</v>
      </c>
      <c r="O126" s="845" t="s">
        <v>5</v>
      </c>
      <c r="P126" s="845" t="s">
        <v>6</v>
      </c>
      <c r="Q126" s="845" t="s">
        <v>7</v>
      </c>
      <c r="R126" s="845" t="s">
        <v>8</v>
      </c>
      <c r="S126" s="845" t="s">
        <v>9</v>
      </c>
      <c r="T126" s="845" t="s">
        <v>1480</v>
      </c>
    </row>
    <row r="127" spans="2:21" s="4" customFormat="1" x14ac:dyDescent="0.55000000000000004">
      <c r="B127" s="4" t="s">
        <v>119</v>
      </c>
      <c r="G127" s="428" t="s">
        <v>1481</v>
      </c>
      <c r="H127" s="428" t="s">
        <v>1482</v>
      </c>
      <c r="I127" s="428" t="s">
        <v>1483</v>
      </c>
      <c r="J127" s="428" t="s">
        <v>1485</v>
      </c>
      <c r="L127" s="429"/>
      <c r="M127" s="429"/>
      <c r="N127" s="23">
        <f>SUM(N128:N133)</f>
        <v>1.5810102660000001</v>
      </c>
      <c r="O127" s="429"/>
      <c r="P127" s="23">
        <f t="shared" ref="P127:T127" si="125">SUM(P128:P133)</f>
        <v>10.348189983760168</v>
      </c>
      <c r="Q127" s="23">
        <f t="shared" si="125"/>
        <v>14.67375136323724</v>
      </c>
      <c r="R127" s="23">
        <f t="shared" si="125"/>
        <v>16.133933146451671</v>
      </c>
      <c r="S127" s="23">
        <f t="shared" si="125"/>
        <v>16.114031867409469</v>
      </c>
      <c r="T127" s="23">
        <f t="shared" si="125"/>
        <v>15.365116125594254</v>
      </c>
      <c r="U127" s="299"/>
    </row>
    <row r="128" spans="2:21" x14ac:dyDescent="0.55000000000000004">
      <c r="C128" s="1" t="s">
        <v>4</v>
      </c>
      <c r="G128" s="19">
        <f>N117</f>
        <v>14.022264</v>
      </c>
      <c r="H128" s="427">
        <v>5</v>
      </c>
      <c r="I128" s="427" t="s">
        <v>1504</v>
      </c>
      <c r="J128" s="427">
        <v>0.45100000000000001</v>
      </c>
      <c r="L128" s="322"/>
      <c r="M128" s="322"/>
      <c r="N128" s="19">
        <f>$G128*$J128/2/2</f>
        <v>1.5810102660000001</v>
      </c>
      <c r="O128" s="322"/>
      <c r="P128" s="315">
        <f>($G128-$N128)*$J128</f>
        <v>5.6110054340340003</v>
      </c>
      <c r="Q128" s="315">
        <f>($G128-$N128-$P128)*$J128</f>
        <v>3.0804419832846661</v>
      </c>
      <c r="R128" s="315">
        <f>($G128-$N128-$P128-$Q128)*$J128</f>
        <v>1.6911626488232814</v>
      </c>
      <c r="S128" s="315">
        <f>($G128-$N128-$P128-$Q128-$R128)*$J128</f>
        <v>0.92844829420398167</v>
      </c>
      <c r="T128" s="315">
        <f>($G128-$N128-$P128-$Q128-$R128-$S128)*$J128</f>
        <v>0.50971811351798602</v>
      </c>
    </row>
    <row r="129" spans="1:20" x14ac:dyDescent="0.55000000000000004">
      <c r="C129" s="1" t="s">
        <v>6</v>
      </c>
      <c r="G129" s="19">
        <f>P117+P128</f>
        <v>21.007470287034</v>
      </c>
      <c r="H129" s="427">
        <v>5</v>
      </c>
      <c r="I129" s="427" t="s">
        <v>1504</v>
      </c>
      <c r="J129" s="427">
        <v>0.45100000000000001</v>
      </c>
      <c r="L129" s="322"/>
      <c r="M129" s="322"/>
      <c r="N129" s="322"/>
      <c r="O129" s="322"/>
      <c r="P129" s="19">
        <f>$G129*$J129/2</f>
        <v>4.7371845497261669</v>
      </c>
      <c r="Q129" s="315">
        <f>($G129-$N129-$P129)*$J129</f>
        <v>7.3378988675258334</v>
      </c>
      <c r="R129" s="315">
        <f>($G129-$N129-$P129-$Q129)*$J129</f>
        <v>4.028506478271682</v>
      </c>
      <c r="S129" s="315">
        <f>($G129-$N129-$P129-$Q129-$R129)*$J129</f>
        <v>2.2116500565711537</v>
      </c>
      <c r="T129" s="315">
        <f>($G129-$N129-$P129-$Q129-$R129-$S129)*$J129</f>
        <v>1.2141958810575633</v>
      </c>
    </row>
    <row r="130" spans="1:20" x14ac:dyDescent="0.55000000000000004">
      <c r="C130" s="1" t="s">
        <v>1476</v>
      </c>
      <c r="G130" s="19">
        <f>Q117+Q128+Q129</f>
        <v>18.871000055107501</v>
      </c>
      <c r="H130" s="427">
        <v>5</v>
      </c>
      <c r="I130" s="427" t="s">
        <v>1504</v>
      </c>
      <c r="J130" s="427">
        <v>0.45100000000000001</v>
      </c>
      <c r="L130" s="322"/>
      <c r="M130" s="322"/>
      <c r="N130" s="322"/>
      <c r="O130" s="322"/>
      <c r="P130" s="322"/>
      <c r="Q130" s="315">
        <f>($G130-$N130-$P130)*$J130/2</f>
        <v>4.2554105124267414</v>
      </c>
      <c r="R130" s="315">
        <f>($G130-$N130-$P130-$Q130)*$J130</f>
        <v>6.5916308837490227</v>
      </c>
      <c r="S130" s="315">
        <f>($G130-$N130-$P130-$Q130-$R130)*$J130</f>
        <v>3.6188053551782131</v>
      </c>
      <c r="T130" s="315">
        <f>($G130-$N130-$P130-$Q130-$R130-$S130)*$J130</f>
        <v>1.986724139992839</v>
      </c>
    </row>
    <row r="131" spans="1:20" x14ac:dyDescent="0.55000000000000004">
      <c r="C131" s="1" t="s">
        <v>1477</v>
      </c>
      <c r="G131" s="315">
        <f>R128+R129+R130+R117</f>
        <v>16.951809914003039</v>
      </c>
      <c r="H131" s="427">
        <v>5</v>
      </c>
      <c r="I131" s="427" t="s">
        <v>1504</v>
      </c>
      <c r="J131" s="427">
        <v>0.45100000000000001</v>
      </c>
      <c r="L131" s="322"/>
      <c r="M131" s="322"/>
      <c r="N131" s="322"/>
      <c r="O131" s="322"/>
      <c r="P131" s="322"/>
      <c r="Q131" s="322"/>
      <c r="R131" s="315">
        <f>($G131-$N131-$P131-$Q131)*$J131/2</f>
        <v>3.8226331356076857</v>
      </c>
      <c r="S131" s="315">
        <f>($G131-$N131-$P131-$Q131-$R131)*$J131</f>
        <v>5.9212587270563048</v>
      </c>
      <c r="T131" s="315">
        <f>($G131-$N131-$P131-$Q131-$R131-$S131)*$J131</f>
        <v>3.2507710411539117</v>
      </c>
    </row>
    <row r="132" spans="1:20" x14ac:dyDescent="0.55000000000000004">
      <c r="C132" s="1" t="s">
        <v>1478</v>
      </c>
      <c r="G132" s="315">
        <f>SUM(S128:S131,S117)</f>
        <v>15.227802369843973</v>
      </c>
      <c r="H132" s="427">
        <v>5</v>
      </c>
      <c r="I132" s="427" t="s">
        <v>1504</v>
      </c>
      <c r="J132" s="427">
        <v>0.45100000000000001</v>
      </c>
      <c r="L132" s="322"/>
      <c r="M132" s="322"/>
      <c r="N132" s="322"/>
      <c r="O132" s="322"/>
      <c r="P132" s="322"/>
      <c r="Q132" s="322"/>
      <c r="R132" s="322"/>
      <c r="S132" s="315">
        <f>($G132-$N132-$P132-$Q132-$R132)*$J132/2</f>
        <v>3.4338694343998162</v>
      </c>
      <c r="T132" s="315">
        <f>($G132-$N132-$P132-$Q132-$R132-$S132)*$J132</f>
        <v>5.3190637538853149</v>
      </c>
    </row>
    <row r="133" spans="1:20" x14ac:dyDescent="0.55000000000000004">
      <c r="C133" s="1" t="s">
        <v>1479</v>
      </c>
      <c r="G133" s="315">
        <f>SUM(T128:T132,T117)</f>
        <v>13.679127254929657</v>
      </c>
      <c r="H133" s="427">
        <v>5</v>
      </c>
      <c r="I133" s="427" t="s">
        <v>1504</v>
      </c>
      <c r="J133" s="427">
        <v>0.45100000000000001</v>
      </c>
      <c r="L133" s="322"/>
      <c r="M133" s="322"/>
      <c r="N133" s="322"/>
      <c r="O133" s="322"/>
      <c r="P133" s="322"/>
      <c r="Q133" s="322"/>
      <c r="R133" s="322"/>
      <c r="S133" s="322"/>
      <c r="T133" s="315">
        <f>($G133-$N133-$P133-$Q133-$R133-$S133)*$J133/2</f>
        <v>3.0846431959866378</v>
      </c>
    </row>
    <row r="134" spans="1:20" x14ac:dyDescent="0.55000000000000004">
      <c r="B134" s="4" t="s">
        <v>120</v>
      </c>
      <c r="G134" s="426" t="s">
        <v>1481</v>
      </c>
      <c r="H134" s="426" t="s">
        <v>1482</v>
      </c>
      <c r="I134" s="426" t="s">
        <v>1483</v>
      </c>
      <c r="J134" s="426" t="s">
        <v>1485</v>
      </c>
      <c r="L134" s="322"/>
      <c r="M134" s="322"/>
      <c r="N134" s="23">
        <f>SUM(N135:N140)</f>
        <v>3.1312634595</v>
      </c>
      <c r="O134" s="429"/>
      <c r="P134" s="23">
        <f t="shared" ref="P134" si="126">SUM(P135:P140)</f>
        <v>20.495059283877122</v>
      </c>
      <c r="Q134" s="23">
        <f t="shared" ref="Q134" si="127">SUM(Q135:Q140)</f>
        <v>29.062023112405594</v>
      </c>
      <c r="R134" s="23">
        <f t="shared" ref="R134" si="128">SUM(R135:R140)</f>
        <v>31.953976392132795</v>
      </c>
      <c r="S134" s="23">
        <f t="shared" ref="S134" si="129">SUM(S135:S140)</f>
        <v>31.914559999202144</v>
      </c>
      <c r="T134" s="23">
        <f t="shared" ref="T134" si="130">SUM(T135:T140)</f>
        <v>30.431298411745747</v>
      </c>
    </row>
    <row r="135" spans="1:20" x14ac:dyDescent="0.55000000000000004">
      <c r="C135" s="1" t="s">
        <v>4</v>
      </c>
      <c r="G135" s="19">
        <f>N118</f>
        <v>27.771737999999999</v>
      </c>
      <c r="H135" s="427">
        <v>5</v>
      </c>
      <c r="I135" s="427" t="s">
        <v>1504</v>
      </c>
      <c r="J135" s="427">
        <v>0.45100000000000001</v>
      </c>
      <c r="L135" s="322"/>
      <c r="M135" s="322"/>
      <c r="N135" s="19">
        <f>$G135*$J135/2/2</f>
        <v>3.1312634595</v>
      </c>
      <c r="O135" s="322"/>
      <c r="P135" s="315">
        <f>($G135-$N135)*$J135</f>
        <v>11.1128540177655</v>
      </c>
      <c r="Q135" s="315">
        <f>($G135-$N135-$P135)*$J135</f>
        <v>6.1009568557532585</v>
      </c>
      <c r="R135" s="315">
        <f>($G135-$N135-$P135-$Q135)*$J135</f>
        <v>3.3494253138085393</v>
      </c>
      <c r="S135" s="315">
        <f>($G135-$N135-$P135-$Q135-$R135)*$J135</f>
        <v>1.8388344972808879</v>
      </c>
      <c r="T135" s="315">
        <f>($G135-$N135-$P135-$Q135-$R135-$S135)*$J135</f>
        <v>1.0095201390072075</v>
      </c>
    </row>
    <row r="136" spans="1:20" x14ac:dyDescent="0.55000000000000004">
      <c r="C136" s="1" t="s">
        <v>6</v>
      </c>
      <c r="G136" s="315">
        <f>P135+P118</f>
        <v>41.606231778765505</v>
      </c>
      <c r="H136" s="427">
        <v>5</v>
      </c>
      <c r="I136" s="427" t="s">
        <v>1504</v>
      </c>
      <c r="J136" s="427">
        <v>0.45100000000000001</v>
      </c>
      <c r="L136" s="322"/>
      <c r="M136" s="322"/>
      <c r="N136" s="322"/>
      <c r="O136" s="322"/>
      <c r="P136" s="19">
        <f>$G136*$J136/2</f>
        <v>9.3822052661116224</v>
      </c>
      <c r="Q136" s="315">
        <f>($G136-$N136-$P136)*$J136</f>
        <v>14.5330359572069</v>
      </c>
      <c r="R136" s="315">
        <f>($G136-$N136-$P136-$Q136)*$J136</f>
        <v>7.9786367405065883</v>
      </c>
      <c r="S136" s="315">
        <f>($G136-$N136-$P136-$Q136-$R136)*$J136</f>
        <v>4.3802715705381177</v>
      </c>
      <c r="T136" s="315">
        <f>($G136-$N136-$P136-$Q136-$R136-$S136)*$J136</f>
        <v>2.4047690922254263</v>
      </c>
    </row>
    <row r="137" spans="1:20" x14ac:dyDescent="0.55000000000000004">
      <c r="C137" s="1" t="s">
        <v>1476</v>
      </c>
      <c r="G137" s="315">
        <f>SUM(Q135:Q136,Q118)</f>
        <v>37.374857203749158</v>
      </c>
      <c r="H137" s="427">
        <v>5</v>
      </c>
      <c r="I137" s="427" t="s">
        <v>1504</v>
      </c>
      <c r="J137" s="427">
        <v>0.45100000000000001</v>
      </c>
      <c r="L137" s="322"/>
      <c r="M137" s="322"/>
      <c r="N137" s="322"/>
      <c r="O137" s="322"/>
      <c r="P137" s="322"/>
      <c r="Q137" s="315">
        <f>($G137-$N137-$P137)*$J137/2</f>
        <v>8.4280302994454352</v>
      </c>
      <c r="R137" s="315">
        <f>($G137-$N137-$P137-$Q137)*$J137</f>
        <v>13.05501893384098</v>
      </c>
      <c r="S137" s="315">
        <f>($G137-$N137-$P137-$Q137-$R137)*$J137</f>
        <v>7.1672053946786969</v>
      </c>
      <c r="T137" s="315">
        <f>($G137-$N137-$P137-$Q137-$R137-$S137)*$J137</f>
        <v>3.9347957616786053</v>
      </c>
    </row>
    <row r="138" spans="1:20" x14ac:dyDescent="0.55000000000000004">
      <c r="C138" s="1" t="s">
        <v>1477</v>
      </c>
      <c r="G138" s="315">
        <f>SUM(R135:R137,R118)</f>
        <v>33.573815538699272</v>
      </c>
      <c r="H138" s="427">
        <v>5</v>
      </c>
      <c r="I138" s="427" t="s">
        <v>1504</v>
      </c>
      <c r="J138" s="427">
        <v>0.45100000000000001</v>
      </c>
      <c r="L138" s="322"/>
      <c r="M138" s="322"/>
      <c r="N138" s="322"/>
      <c r="O138" s="322"/>
      <c r="P138" s="322"/>
      <c r="Q138" s="322"/>
      <c r="R138" s="315">
        <f>($G138-$N138-$P138-$Q138)*$J138/2</f>
        <v>7.570895403976686</v>
      </c>
      <c r="S138" s="315">
        <f>($G138-$N138-$P138-$Q138-$R138)*$J138</f>
        <v>11.727316980759888</v>
      </c>
      <c r="T138" s="315">
        <f>($G138-$N138-$P138-$Q138-$R138-$S138)*$J138</f>
        <v>6.4382970224371769</v>
      </c>
    </row>
    <row r="139" spans="1:20" x14ac:dyDescent="0.55000000000000004">
      <c r="C139" s="1" t="s">
        <v>1478</v>
      </c>
      <c r="G139" s="315">
        <f>SUM(S135:S138,S118)</f>
        <v>30.159341711505782</v>
      </c>
      <c r="H139" s="427">
        <v>5</v>
      </c>
      <c r="I139" s="427" t="s">
        <v>1504</v>
      </c>
      <c r="J139" s="427">
        <v>0.45100000000000001</v>
      </c>
      <c r="L139" s="322"/>
      <c r="M139" s="322"/>
      <c r="N139" s="322"/>
      <c r="O139" s="322"/>
      <c r="P139" s="322"/>
      <c r="Q139" s="322"/>
      <c r="R139" s="322"/>
      <c r="S139" s="315">
        <f>($G139-$N139-$P139-$Q139-$R139)*$J139/2</f>
        <v>6.8009315559445538</v>
      </c>
      <c r="T139" s="315">
        <f>($G139-$N139-$P139-$Q139-$R139-$S139)*$J139</f>
        <v>10.534642980158115</v>
      </c>
    </row>
    <row r="140" spans="1:20" x14ac:dyDescent="0.55000000000000004">
      <c r="B140" s="15"/>
      <c r="C140" s="15" t="s">
        <v>1479</v>
      </c>
      <c r="D140" s="15"/>
      <c r="E140" s="15"/>
      <c r="F140" s="15"/>
      <c r="G140" s="300">
        <f>SUM(T135:T139,T118)</f>
        <v>27.092121579774791</v>
      </c>
      <c r="H140" s="430">
        <v>5</v>
      </c>
      <c r="I140" s="430" t="s">
        <v>1504</v>
      </c>
      <c r="J140" s="430">
        <v>0.45100000000000001</v>
      </c>
      <c r="K140" s="15"/>
      <c r="L140" s="431"/>
      <c r="M140" s="431"/>
      <c r="N140" s="431"/>
      <c r="O140" s="431"/>
      <c r="P140" s="431"/>
      <c r="Q140" s="431"/>
      <c r="R140" s="431"/>
      <c r="S140" s="431"/>
      <c r="T140" s="300">
        <f>($G140-$N140-$P140-$Q140-$R140-$S140)*$J140/2</f>
        <v>6.1092734162392155</v>
      </c>
    </row>
    <row r="143" spans="1:20" x14ac:dyDescent="0.55000000000000004">
      <c r="A143" s="841" t="s">
        <v>121</v>
      </c>
      <c r="B143" s="842"/>
      <c r="C143" s="842"/>
      <c r="D143" s="842"/>
      <c r="E143" s="842"/>
      <c r="F143" s="842"/>
      <c r="G143" s="842"/>
      <c r="H143" s="842"/>
      <c r="I143" s="842"/>
      <c r="J143" s="842"/>
      <c r="K143" s="842"/>
      <c r="L143" s="842"/>
      <c r="M143" s="842"/>
      <c r="N143" s="842"/>
      <c r="O143" s="842"/>
      <c r="P143" s="842"/>
      <c r="Q143" s="842"/>
      <c r="R143" s="842"/>
      <c r="S143" s="842"/>
      <c r="T143" s="842"/>
    </row>
    <row r="145" spans="1:21" x14ac:dyDescent="0.55000000000000004">
      <c r="B145" s="844"/>
      <c r="C145" s="844"/>
      <c r="D145" s="844"/>
      <c r="E145" s="844"/>
      <c r="F145" s="844"/>
      <c r="G145" s="844"/>
      <c r="H145" s="844"/>
      <c r="I145" s="844"/>
      <c r="J145" s="844"/>
      <c r="K145" s="844"/>
      <c r="L145" s="845" t="s">
        <v>2</v>
      </c>
      <c r="M145" s="845" t="s">
        <v>3</v>
      </c>
      <c r="N145" s="845" t="s">
        <v>4</v>
      </c>
      <c r="O145" s="845" t="s">
        <v>5</v>
      </c>
      <c r="P145" s="845" t="s">
        <v>6</v>
      </c>
      <c r="Q145" s="845" t="s">
        <v>7</v>
      </c>
      <c r="R145" s="845" t="s">
        <v>8</v>
      </c>
      <c r="S145" s="845" t="s">
        <v>9</v>
      </c>
      <c r="T145" s="845" t="s">
        <v>1480</v>
      </c>
      <c r="U145" s="845" t="s">
        <v>10</v>
      </c>
    </row>
    <row r="146" spans="1:21" x14ac:dyDescent="0.55000000000000004">
      <c r="B146" s="12" t="s">
        <v>122</v>
      </c>
      <c r="C146" s="12"/>
      <c r="D146" s="12"/>
      <c r="E146" s="12"/>
      <c r="F146" s="12"/>
      <c r="G146" s="12"/>
      <c r="H146" s="12"/>
      <c r="I146" s="12"/>
      <c r="J146" s="12"/>
      <c r="K146" s="12"/>
      <c r="L146" s="18"/>
      <c r="M146" s="18">
        <f>M147-L147</f>
        <v>1992.9242290000004</v>
      </c>
      <c r="N146" s="18">
        <f>N147-M147</f>
        <v>127.23847897886344</v>
      </c>
      <c r="O146" s="18">
        <f>O147-L147</f>
        <v>2120.1627079788641</v>
      </c>
      <c r="P146" s="18">
        <f>P147-O147</f>
        <v>241.88511325586478</v>
      </c>
      <c r="Q146" s="18">
        <f t="shared" ref="Q146:S146" si="131">Q147-P147</f>
        <v>140.65420476532654</v>
      </c>
      <c r="R146" s="18">
        <f t="shared" si="131"/>
        <v>271.03893369163006</v>
      </c>
      <c r="S146" s="18">
        <f t="shared" si="131"/>
        <v>272.64896852156653</v>
      </c>
      <c r="T146" s="18">
        <f t="shared" ref="T146:U146" si="132">T147-S147</f>
        <v>284.1350502440373</v>
      </c>
      <c r="U146" s="18">
        <f t="shared" si="132"/>
        <v>45.036442054572944</v>
      </c>
    </row>
    <row r="147" spans="1:21" x14ac:dyDescent="0.55000000000000004">
      <c r="A147" s="10"/>
      <c r="B147" s="316" t="s">
        <v>123</v>
      </c>
      <c r="C147" s="316"/>
      <c r="D147" s="316"/>
      <c r="E147" s="316"/>
      <c r="F147" s="316"/>
      <c r="G147" s="316"/>
      <c r="H147" s="316"/>
      <c r="I147" s="316"/>
      <c r="J147" s="316"/>
      <c r="K147" s="316"/>
      <c r="L147" s="317">
        <f>L148-L155</f>
        <v>1173.1192269999999</v>
      </c>
      <c r="M147" s="317">
        <f t="shared" ref="M147" si="133">M148-M155</f>
        <v>3166.0434560000003</v>
      </c>
      <c r="N147" s="317">
        <f t="shared" ref="N147" si="134">N148-N155</f>
        <v>3293.2819349788638</v>
      </c>
      <c r="O147" s="317">
        <f t="shared" ref="O147" si="135">O148-O155</f>
        <v>3293.2819349788638</v>
      </c>
      <c r="P147" s="317">
        <f t="shared" ref="P147" si="136">P148-P155</f>
        <v>3535.1670482347286</v>
      </c>
      <c r="Q147" s="317">
        <f t="shared" ref="Q147" si="137">Q148-Q155</f>
        <v>3675.8212530000551</v>
      </c>
      <c r="R147" s="317">
        <f t="shared" ref="R147" si="138">R148-R155</f>
        <v>3946.8601866916852</v>
      </c>
      <c r="S147" s="317">
        <f t="shared" ref="S147:U147" si="139">S148-S155</f>
        <v>4219.5091552132517</v>
      </c>
      <c r="T147" s="317">
        <f t="shared" ref="T147" si="140">T148-T155</f>
        <v>4503.644205457289</v>
      </c>
      <c r="U147" s="21">
        <f t="shared" si="139"/>
        <v>4548.6806475118619</v>
      </c>
    </row>
    <row r="148" spans="1:21" x14ac:dyDescent="0.55000000000000004">
      <c r="A148" s="10"/>
      <c r="B148" s="10" t="s">
        <v>124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24">
        <f>L149+L152</f>
        <v>1608.3452049999999</v>
      </c>
      <c r="M148" s="24">
        <f t="shared" ref="M148" si="141">M149+M152</f>
        <v>3370.6126610000001</v>
      </c>
      <c r="N148" s="24">
        <f t="shared" ref="N148" si="142">N149+N152</f>
        <v>3514.4535963462513</v>
      </c>
      <c r="O148" s="24">
        <f t="shared" ref="O148" si="143">O149+O152</f>
        <v>3514.4535963462513</v>
      </c>
      <c r="P148" s="24">
        <f t="shared" ref="P148" si="144">P149+P152</f>
        <v>3778.8491365960754</v>
      </c>
      <c r="Q148" s="24">
        <f t="shared" ref="Q148" si="145">Q149+Q152</f>
        <v>3921.5339989369568</v>
      </c>
      <c r="R148" s="24">
        <f t="shared" ref="R148" si="146">R149+R152</f>
        <v>4210.2627616802165</v>
      </c>
      <c r="S148" s="24">
        <f t="shared" ref="S148:U148" si="147">S149+S152</f>
        <v>4500.6515787204007</v>
      </c>
      <c r="T148" s="24">
        <f t="shared" ref="T148" si="148">T149+T152</f>
        <v>4803.2849890374637</v>
      </c>
      <c r="U148" s="25">
        <f t="shared" si="147"/>
        <v>4851.3178389278382</v>
      </c>
    </row>
    <row r="149" spans="1:21" x14ac:dyDescent="0.55000000000000004">
      <c r="A149" s="10"/>
      <c r="B149" s="10"/>
      <c r="C149" s="10" t="s">
        <v>125</v>
      </c>
      <c r="D149" s="10"/>
      <c r="E149" s="10"/>
      <c r="F149" s="10"/>
      <c r="G149" s="10"/>
      <c r="H149" s="10"/>
      <c r="I149" s="10"/>
      <c r="J149" s="10"/>
      <c r="K149" s="10"/>
      <c r="L149" s="24">
        <f>연결정산표!F11/10^6</f>
        <v>1403.9478059999999</v>
      </c>
      <c r="M149" s="24">
        <f>연결정산표!U11/10^6</f>
        <v>1671.729441</v>
      </c>
      <c r="N149" s="24">
        <f>O149</f>
        <v>1675.0025537349943</v>
      </c>
      <c r="O149" s="24">
        <f t="shared" ref="O149:T149" si="149">O20/O150</f>
        <v>1675.0025537349943</v>
      </c>
      <c r="P149" s="24">
        <f t="shared" si="149"/>
        <v>1805.5600950015789</v>
      </c>
      <c r="Q149" s="24">
        <f t="shared" si="149"/>
        <v>1942.5979690859583</v>
      </c>
      <c r="R149" s="24">
        <f t="shared" si="149"/>
        <v>2090.1256124509755</v>
      </c>
      <c r="S149" s="24">
        <f t="shared" si="149"/>
        <v>2238.5990137360259</v>
      </c>
      <c r="T149" s="24">
        <f t="shared" si="149"/>
        <v>2393.2840805123274</v>
      </c>
      <c r="U149" s="25">
        <f>T20*(1+DCF!$J$61)/U150</f>
        <v>2417.2169213174507</v>
      </c>
    </row>
    <row r="150" spans="1:21" x14ac:dyDescent="0.55000000000000004">
      <c r="A150" s="10"/>
      <c r="B150" s="10"/>
      <c r="C150" s="10"/>
      <c r="D150" s="10" t="s">
        <v>126</v>
      </c>
      <c r="E150" s="10"/>
      <c r="F150" s="10"/>
      <c r="G150" s="10"/>
      <c r="H150" s="10"/>
      <c r="I150" s="10"/>
      <c r="J150" s="10"/>
      <c r="K150" s="10"/>
      <c r="L150" s="312">
        <f>L$19/L149</f>
        <v>7.9799682930663032</v>
      </c>
      <c r="M150" s="312">
        <f>M$19/M149*2</f>
        <v>20.942238623887462</v>
      </c>
      <c r="N150" s="312">
        <f>365/N151</f>
        <v>20.942238623887462</v>
      </c>
      <c r="O150" s="312">
        <f t="shared" ref="O150:U150" si="150">365/O151</f>
        <v>20.942238623887462</v>
      </c>
      <c r="P150" s="312">
        <f t="shared" si="150"/>
        <v>20.942238623887462</v>
      </c>
      <c r="Q150" s="312">
        <f t="shared" si="150"/>
        <v>20.942238623887462</v>
      </c>
      <c r="R150" s="312">
        <f t="shared" si="150"/>
        <v>20.942238623887462</v>
      </c>
      <c r="S150" s="312">
        <f t="shared" si="150"/>
        <v>20.942238623887462</v>
      </c>
      <c r="T150" s="312">
        <f t="shared" si="150"/>
        <v>20.942238623887462</v>
      </c>
      <c r="U150" s="395">
        <f t="shared" si="150"/>
        <v>20.942238623887462</v>
      </c>
    </row>
    <row r="151" spans="1:21" x14ac:dyDescent="0.55000000000000004">
      <c r="A151" s="10"/>
      <c r="B151" s="10"/>
      <c r="C151" s="10"/>
      <c r="D151" s="10" t="s">
        <v>127</v>
      </c>
      <c r="E151" s="10"/>
      <c r="F151" s="10"/>
      <c r="G151" s="10"/>
      <c r="H151" s="10"/>
      <c r="I151" s="314">
        <f>M151</f>
        <v>17.42889127352737</v>
      </c>
      <c r="J151" s="10"/>
      <c r="K151" s="10"/>
      <c r="L151" s="24">
        <f>365/L150</f>
        <v>45.739530107800555</v>
      </c>
      <c r="M151" s="24">
        <f t="shared" ref="M151" si="151">365/M150</f>
        <v>17.42889127352737</v>
      </c>
      <c r="N151" s="24">
        <f>$I151</f>
        <v>17.42889127352737</v>
      </c>
      <c r="O151" s="24">
        <f t="shared" ref="O151:U151" si="152">$I151</f>
        <v>17.42889127352737</v>
      </c>
      <c r="P151" s="24">
        <f t="shared" si="152"/>
        <v>17.42889127352737</v>
      </c>
      <c r="Q151" s="24">
        <f t="shared" si="152"/>
        <v>17.42889127352737</v>
      </c>
      <c r="R151" s="24">
        <f t="shared" si="152"/>
        <v>17.42889127352737</v>
      </c>
      <c r="S151" s="24">
        <f t="shared" si="152"/>
        <v>17.42889127352737</v>
      </c>
      <c r="T151" s="24">
        <f t="shared" si="152"/>
        <v>17.42889127352737</v>
      </c>
      <c r="U151" s="25">
        <f t="shared" si="152"/>
        <v>17.42889127352737</v>
      </c>
    </row>
    <row r="152" spans="1:21" x14ac:dyDescent="0.55000000000000004">
      <c r="A152" s="10"/>
      <c r="B152" s="10"/>
      <c r="C152" s="10" t="s">
        <v>128</v>
      </c>
      <c r="D152" s="10"/>
      <c r="E152" s="10"/>
      <c r="F152" s="10"/>
      <c r="G152" s="10"/>
      <c r="H152" s="10"/>
      <c r="I152" s="10"/>
      <c r="J152" s="10"/>
      <c r="K152" s="10"/>
      <c r="L152" s="24">
        <f>연결정산표!F13/10^6</f>
        <v>204.39739900000001</v>
      </c>
      <c r="M152" s="24">
        <f>연결정산표!U13/10^6</f>
        <v>1698.8832199999999</v>
      </c>
      <c r="N152" s="24">
        <f>O152</f>
        <v>1839.451042611257</v>
      </c>
      <c r="O152" s="24">
        <f t="shared" ref="O152:T152" si="153">(O44+O45)/O153</f>
        <v>1839.451042611257</v>
      </c>
      <c r="P152" s="24">
        <f t="shared" si="153"/>
        <v>1973.2890415944967</v>
      </c>
      <c r="Q152" s="24">
        <f t="shared" si="153"/>
        <v>1978.9360298509987</v>
      </c>
      <c r="R152" s="24">
        <f t="shared" si="153"/>
        <v>2120.1371492292405</v>
      </c>
      <c r="S152" s="24">
        <f t="shared" si="153"/>
        <v>2262.0525649843753</v>
      </c>
      <c r="T152" s="24">
        <f t="shared" si="153"/>
        <v>2410.0009085251363</v>
      </c>
      <c r="U152" s="25">
        <f>(T44+T45)*(1+DCF!$J$61)/U153</f>
        <v>2434.1009176103876</v>
      </c>
    </row>
    <row r="153" spans="1:21" x14ac:dyDescent="0.55000000000000004">
      <c r="A153" s="10"/>
      <c r="B153" s="10"/>
      <c r="C153" s="10"/>
      <c r="D153" s="10" t="s">
        <v>126</v>
      </c>
      <c r="E153" s="10"/>
      <c r="F153" s="10"/>
      <c r="G153" s="10"/>
      <c r="H153" s="10"/>
      <c r="I153" s="10"/>
      <c r="J153" s="10"/>
      <c r="K153" s="10"/>
      <c r="L153" s="312">
        <f>(L44+L45)/L152</f>
        <v>34.982705166419457</v>
      </c>
      <c r="M153" s="312">
        <f>(M44+M45)/M152*2</f>
        <v>12.114369228980905</v>
      </c>
      <c r="N153" s="312">
        <f>365/N154</f>
        <v>12.114369228980905</v>
      </c>
      <c r="O153" s="312">
        <f t="shared" ref="O153" si="154">365/O154</f>
        <v>12.114369228980905</v>
      </c>
      <c r="P153" s="312">
        <f t="shared" ref="P153" si="155">365/P154</f>
        <v>12.114369228980905</v>
      </c>
      <c r="Q153" s="312">
        <f t="shared" ref="Q153" si="156">365/Q154</f>
        <v>12.114369228980905</v>
      </c>
      <c r="R153" s="312">
        <f t="shared" ref="R153" si="157">365/R154</f>
        <v>12.114369228980905</v>
      </c>
      <c r="S153" s="312">
        <f t="shared" ref="S153:U153" si="158">365/S154</f>
        <v>12.114369228980905</v>
      </c>
      <c r="T153" s="312">
        <f t="shared" si="158"/>
        <v>12.114369228980905</v>
      </c>
      <c r="U153" s="395">
        <f t="shared" si="158"/>
        <v>12.114369228980905</v>
      </c>
    </row>
    <row r="154" spans="1:21" x14ac:dyDescent="0.55000000000000004">
      <c r="A154" s="10"/>
      <c r="B154" s="10"/>
      <c r="C154" s="10"/>
      <c r="D154" s="10" t="s">
        <v>127</v>
      </c>
      <c r="E154" s="10"/>
      <c r="F154" s="10"/>
      <c r="G154" s="10"/>
      <c r="H154" s="10"/>
      <c r="I154" s="314">
        <f>M154</f>
        <v>30.129509271256115</v>
      </c>
      <c r="J154" s="10"/>
      <c r="K154" s="10"/>
      <c r="L154" s="24">
        <f>365/L153</f>
        <v>10.43372713069572</v>
      </c>
      <c r="M154" s="24">
        <f t="shared" ref="M154" si="159">365/M153</f>
        <v>30.129509271256115</v>
      </c>
      <c r="N154" s="24">
        <f>$I154</f>
        <v>30.129509271256115</v>
      </c>
      <c r="O154" s="24">
        <f t="shared" ref="O154:U154" si="160">$I154</f>
        <v>30.129509271256115</v>
      </c>
      <c r="P154" s="24">
        <f t="shared" si="160"/>
        <v>30.129509271256115</v>
      </c>
      <c r="Q154" s="24">
        <f t="shared" si="160"/>
        <v>30.129509271256115</v>
      </c>
      <c r="R154" s="24">
        <f t="shared" si="160"/>
        <v>30.129509271256115</v>
      </c>
      <c r="S154" s="24">
        <f t="shared" si="160"/>
        <v>30.129509271256115</v>
      </c>
      <c r="T154" s="24">
        <f t="shared" si="160"/>
        <v>30.129509271256115</v>
      </c>
      <c r="U154" s="25">
        <f t="shared" si="160"/>
        <v>30.129509271256115</v>
      </c>
    </row>
    <row r="155" spans="1:21" x14ac:dyDescent="0.55000000000000004">
      <c r="A155" s="10"/>
      <c r="B155" s="10" t="s">
        <v>129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24">
        <f>L156</f>
        <v>435.225978</v>
      </c>
      <c r="M155" s="24">
        <f t="shared" ref="M155" si="161">M156</f>
        <v>204.56920499999998</v>
      </c>
      <c r="N155" s="24">
        <f t="shared" ref="N155" si="162">N156</f>
        <v>221.17166136738751</v>
      </c>
      <c r="O155" s="24">
        <f t="shared" ref="O155" si="163">O156</f>
        <v>221.17166136738751</v>
      </c>
      <c r="P155" s="24">
        <f t="shared" ref="P155" si="164">P156</f>
        <v>243.6820883613467</v>
      </c>
      <c r="Q155" s="24">
        <f t="shared" ref="Q155" si="165">Q156</f>
        <v>245.71274593690174</v>
      </c>
      <c r="R155" s="24">
        <f t="shared" ref="R155" si="166">R156</f>
        <v>263.4025749885314</v>
      </c>
      <c r="S155" s="24">
        <f t="shared" ref="S155:U155" si="167">S156</f>
        <v>281.14242350714869</v>
      </c>
      <c r="T155" s="24">
        <f t="shared" si="167"/>
        <v>299.64078358017423</v>
      </c>
      <c r="U155" s="25">
        <f t="shared" si="167"/>
        <v>302.63719141597602</v>
      </c>
    </row>
    <row r="156" spans="1:21" x14ac:dyDescent="0.55000000000000004">
      <c r="A156" s="10"/>
      <c r="B156" s="10"/>
      <c r="C156" s="10" t="s">
        <v>130</v>
      </c>
      <c r="D156" s="10"/>
      <c r="E156" s="10"/>
      <c r="F156" s="10"/>
      <c r="G156" s="10"/>
      <c r="H156" s="10"/>
      <c r="I156" s="10"/>
      <c r="J156" s="10"/>
      <c r="K156" s="10"/>
      <c r="L156" s="24">
        <f>연결정산표!F53/10^6</f>
        <v>435.225978</v>
      </c>
      <c r="M156" s="24">
        <f>연결정산표!U53/10^6-연결정산표!W53/10^6</f>
        <v>204.56920499999998</v>
      </c>
      <c r="N156" s="24">
        <f>O156</f>
        <v>221.17166136738751</v>
      </c>
      <c r="O156" s="24">
        <f t="shared" ref="O156:T156" si="168">O41/O157</f>
        <v>221.17166136738751</v>
      </c>
      <c r="P156" s="24">
        <f t="shared" si="168"/>
        <v>243.6820883613467</v>
      </c>
      <c r="Q156" s="24">
        <f t="shared" si="168"/>
        <v>245.71274593690174</v>
      </c>
      <c r="R156" s="24">
        <f t="shared" si="168"/>
        <v>263.4025749885314</v>
      </c>
      <c r="S156" s="24">
        <f t="shared" si="168"/>
        <v>281.14242350714869</v>
      </c>
      <c r="T156" s="24">
        <f t="shared" si="168"/>
        <v>299.64078358017423</v>
      </c>
      <c r="U156" s="25">
        <f>T41*(1+DCF!$J$61)/U157</f>
        <v>302.63719141597602</v>
      </c>
    </row>
    <row r="157" spans="1:21" x14ac:dyDescent="0.55000000000000004">
      <c r="A157" s="10"/>
      <c r="B157" s="10"/>
      <c r="C157" s="10"/>
      <c r="D157" s="10" t="s">
        <v>131</v>
      </c>
      <c r="E157" s="10"/>
      <c r="F157" s="10"/>
      <c r="G157" s="10"/>
      <c r="H157" s="10"/>
      <c r="I157" s="10"/>
      <c r="J157" s="10"/>
      <c r="K157" s="10"/>
      <c r="L157" s="312">
        <f>L41/L156</f>
        <v>17.934061013242182</v>
      </c>
      <c r="M157" s="312">
        <f>M41/M156*2</f>
        <v>106.28966393059993</v>
      </c>
      <c r="N157" s="312">
        <f>365/N158</f>
        <v>106.28966393059993</v>
      </c>
      <c r="O157" s="312">
        <f t="shared" ref="O157" si="169">365/O158</f>
        <v>106.28966393059993</v>
      </c>
      <c r="P157" s="312">
        <f t="shared" ref="P157" si="170">365/P158</f>
        <v>106.28966393059993</v>
      </c>
      <c r="Q157" s="312">
        <f t="shared" ref="Q157" si="171">365/Q158</f>
        <v>106.28966393059993</v>
      </c>
      <c r="R157" s="312">
        <f t="shared" ref="R157" si="172">365/R158</f>
        <v>106.28966393059993</v>
      </c>
      <c r="S157" s="312">
        <f t="shared" ref="S157:U157" si="173">365/S158</f>
        <v>106.28966393059993</v>
      </c>
      <c r="T157" s="312">
        <f t="shared" si="173"/>
        <v>106.28966393059993</v>
      </c>
      <c r="U157" s="395">
        <f t="shared" si="173"/>
        <v>106.28966393059993</v>
      </c>
    </row>
    <row r="158" spans="1:21" x14ac:dyDescent="0.55000000000000004">
      <c r="A158" s="10"/>
      <c r="B158" s="14"/>
      <c r="C158" s="14"/>
      <c r="D158" s="14" t="s">
        <v>132</v>
      </c>
      <c r="E158" s="14"/>
      <c r="F158" s="14"/>
      <c r="G158" s="14"/>
      <c r="H158" s="14"/>
      <c r="I158" s="314">
        <f>M158</f>
        <v>3.4340121748650998</v>
      </c>
      <c r="J158" s="14"/>
      <c r="K158" s="14"/>
      <c r="L158" s="26">
        <f>365/L157</f>
        <v>20.352334015730776</v>
      </c>
      <c r="M158" s="26">
        <f t="shared" ref="M158" si="174">365/M157</f>
        <v>3.4340121748650998</v>
      </c>
      <c r="N158" s="26">
        <f>$I158</f>
        <v>3.4340121748650998</v>
      </c>
      <c r="O158" s="26">
        <f t="shared" ref="O158:U158" si="175">$I158</f>
        <v>3.4340121748650998</v>
      </c>
      <c r="P158" s="26">
        <f t="shared" si="175"/>
        <v>3.4340121748650998</v>
      </c>
      <c r="Q158" s="26">
        <f t="shared" si="175"/>
        <v>3.4340121748650998</v>
      </c>
      <c r="R158" s="26">
        <f t="shared" si="175"/>
        <v>3.4340121748650998</v>
      </c>
      <c r="S158" s="26">
        <f t="shared" si="175"/>
        <v>3.4340121748650998</v>
      </c>
      <c r="T158" s="26">
        <f t="shared" si="175"/>
        <v>3.4340121748650998</v>
      </c>
      <c r="U158" s="22">
        <f t="shared" si="175"/>
        <v>3.4340121748650998</v>
      </c>
    </row>
    <row r="160" spans="1:21" x14ac:dyDescent="0.55000000000000004">
      <c r="L160" s="19">
        <f>L156+L82</f>
        <v>1747.9237699999999</v>
      </c>
      <c r="M160" s="19">
        <f>M156+M82</f>
        <v>1618.8646131612502</v>
      </c>
      <c r="N160" s="19">
        <f>O160</f>
        <v>1641.947960465671</v>
      </c>
      <c r="O160" s="24">
        <f>(O41+O82)/O161</f>
        <v>1641.947960465671</v>
      </c>
      <c r="P160" s="24">
        <f t="shared" ref="P160:T160" si="176">P41/P161</f>
        <v>1706.4023205293547</v>
      </c>
      <c r="Q160" s="24">
        <f t="shared" si="176"/>
        <v>1720.6221543399931</v>
      </c>
      <c r="R160" s="24">
        <f t="shared" si="176"/>
        <v>1844.496525027045</v>
      </c>
      <c r="S160" s="24">
        <f t="shared" si="176"/>
        <v>1968.7211608284247</v>
      </c>
      <c r="T160" s="24">
        <f t="shared" si="176"/>
        <v>2098.2573313646476</v>
      </c>
      <c r="U160" s="24">
        <f>(T41*(1+DCF!$J$23)/U161)</f>
        <v>2119.2399046782939</v>
      </c>
    </row>
    <row r="161" spans="9:21" x14ac:dyDescent="0.55000000000000004">
      <c r="L161" s="964">
        <f>(L41+L82)/L160</f>
        <v>5.2165129809980222</v>
      </c>
      <c r="M161" s="964">
        <f>(M41+M82)/M160*2</f>
        <v>15.178652165568671</v>
      </c>
      <c r="N161" s="964">
        <f>365/N162</f>
        <v>15.178652165568671</v>
      </c>
      <c r="O161" s="964">
        <f t="shared" ref="O161:U161" si="177">365/O162</f>
        <v>15.178652165568671</v>
      </c>
      <c r="P161" s="964">
        <f t="shared" si="177"/>
        <v>15.178652165568671</v>
      </c>
      <c r="Q161" s="964">
        <f t="shared" si="177"/>
        <v>15.178652165568671</v>
      </c>
      <c r="R161" s="964">
        <f t="shared" si="177"/>
        <v>15.178652165568671</v>
      </c>
      <c r="S161" s="964">
        <f t="shared" si="177"/>
        <v>15.178652165568671</v>
      </c>
      <c r="T161" s="964">
        <f t="shared" si="177"/>
        <v>15.178652165568671</v>
      </c>
      <c r="U161" s="395">
        <f t="shared" si="177"/>
        <v>15.178652165568671</v>
      </c>
    </row>
    <row r="162" spans="9:21" x14ac:dyDescent="0.55000000000000004">
      <c r="I162" s="314">
        <f>M162</f>
        <v>24.046930914456805</v>
      </c>
      <c r="L162" s="315">
        <f>365/L161</f>
        <v>69.970112473518327</v>
      </c>
      <c r="M162" s="315">
        <f>365/M161</f>
        <v>24.046930914456805</v>
      </c>
      <c r="N162" s="19">
        <f>$I162</f>
        <v>24.046930914456805</v>
      </c>
      <c r="O162" s="19">
        <f t="shared" ref="O162:U162" si="178">$I162</f>
        <v>24.046930914456805</v>
      </c>
      <c r="P162" s="19">
        <f t="shared" si="178"/>
        <v>24.046930914456805</v>
      </c>
      <c r="Q162" s="19">
        <f t="shared" si="178"/>
        <v>24.046930914456805</v>
      </c>
      <c r="R162" s="19">
        <f t="shared" si="178"/>
        <v>24.046930914456805</v>
      </c>
      <c r="S162" s="19">
        <f t="shared" si="178"/>
        <v>24.046930914456805</v>
      </c>
      <c r="T162" s="19">
        <f t="shared" si="178"/>
        <v>24.046930914456805</v>
      </c>
      <c r="U162" s="25">
        <f t="shared" si="178"/>
        <v>24.046930914456805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3C1E4-18E8-4959-82C7-E2BEFD1A261B}">
  <sheetPr>
    <tabColor rgb="FF00B050"/>
  </sheetPr>
  <dimension ref="A1:Z169"/>
  <sheetViews>
    <sheetView showGridLines="0" topLeftCell="A128" zoomScale="85" zoomScaleNormal="85" workbookViewId="0">
      <selection activeCell="O167" sqref="O167"/>
    </sheetView>
  </sheetViews>
  <sheetFormatPr defaultColWidth="9" defaultRowHeight="15" x14ac:dyDescent="0.55000000000000004"/>
  <cols>
    <col min="1" max="1" width="3.35546875" style="1" customWidth="1"/>
    <col min="2" max="6" width="2.140625" style="1" customWidth="1"/>
    <col min="7" max="11" width="9" style="1"/>
    <col min="12" max="12" width="10.35546875" style="1" bestFit="1" customWidth="1"/>
    <col min="13" max="13" width="9.35546875" style="1" customWidth="1"/>
    <col min="14" max="14" width="10.140625" style="1" customWidth="1"/>
    <col min="15" max="20" width="9" style="1"/>
    <col min="21" max="21" width="9" style="3"/>
    <col min="22" max="22" width="11.5" style="1" bestFit="1" customWidth="1"/>
    <col min="23" max="16384" width="9" style="1"/>
  </cols>
  <sheetData>
    <row r="1" spans="1:25" x14ac:dyDescent="0.55000000000000004">
      <c r="A1" s="840" t="s">
        <v>69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5" x14ac:dyDescent="0.55000000000000004">
      <c r="A3" s="841" t="s">
        <v>76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5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5" x14ac:dyDescent="0.55000000000000004">
      <c r="A6" s="4"/>
      <c r="B6" s="12" t="s">
        <v>11</v>
      </c>
      <c r="C6" s="12"/>
      <c r="D6" s="12"/>
      <c r="E6" s="12"/>
      <c r="F6" s="12"/>
      <c r="G6" s="12"/>
      <c r="H6" s="12"/>
      <c r="I6" s="12"/>
      <c r="J6" s="12"/>
      <c r="K6" s="12"/>
      <c r="L6" s="18">
        <f>L20</f>
        <v>19.899999999999999</v>
      </c>
      <c r="M6" s="18">
        <f t="shared" ref="M6:S6" si="0">M20</f>
        <v>10266.381020999999</v>
      </c>
      <c r="N6" s="18">
        <f t="shared" si="0"/>
        <v>16569.007140384816</v>
      </c>
      <c r="O6" s="18">
        <f t="shared" si="0"/>
        <v>26835.388161384813</v>
      </c>
      <c r="P6" s="18">
        <f t="shared" si="0"/>
        <v>32543.72038738053</v>
      </c>
      <c r="Q6" s="18">
        <f t="shared" si="0"/>
        <v>34715.240039916651</v>
      </c>
      <c r="R6" s="18">
        <f t="shared" si="0"/>
        <v>37063.293152714985</v>
      </c>
      <c r="S6" s="18">
        <f t="shared" si="0"/>
        <v>39417.290422943901</v>
      </c>
      <c r="T6" s="18">
        <f t="shared" ref="T6" si="1">T20</f>
        <v>41870.526834441829</v>
      </c>
    </row>
    <row r="7" spans="1:25" x14ac:dyDescent="0.55000000000000004">
      <c r="B7" s="1" t="s">
        <v>12</v>
      </c>
      <c r="L7" s="19">
        <f>L42</f>
        <v>76.833572000000004</v>
      </c>
      <c r="M7" s="19">
        <f t="shared" ref="M7:S7" si="2">M42</f>
        <v>6468.4950120000003</v>
      </c>
      <c r="N7" s="19">
        <f t="shared" si="2"/>
        <v>12303.421506349297</v>
      </c>
      <c r="O7" s="19">
        <f t="shared" si="2"/>
        <v>18771.916518349295</v>
      </c>
      <c r="P7" s="19">
        <f t="shared" si="2"/>
        <v>20780.480507633973</v>
      </c>
      <c r="Q7" s="19">
        <f t="shared" si="2"/>
        <v>21363.141922694984</v>
      </c>
      <c r="R7" s="19">
        <f t="shared" si="2"/>
        <v>22769.726989788764</v>
      </c>
      <c r="S7" s="19">
        <f t="shared" si="2"/>
        <v>24174.579844167001</v>
      </c>
      <c r="T7" s="19">
        <f t="shared" ref="T7" si="3">T42</f>
        <v>25632.358913492753</v>
      </c>
    </row>
    <row r="8" spans="1:25" s="4" customFormat="1" x14ac:dyDescent="0.55000000000000004"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20">
        <f>L6-L7</f>
        <v>-56.933572000000005</v>
      </c>
      <c r="M8" s="20">
        <f t="shared" ref="M8:S8" si="4">M6-M7</f>
        <v>3797.8860089999989</v>
      </c>
      <c r="N8" s="20">
        <f t="shared" si="4"/>
        <v>4265.5856340355185</v>
      </c>
      <c r="O8" s="880">
        <f t="shared" si="4"/>
        <v>8063.4716430355184</v>
      </c>
      <c r="P8" s="20">
        <f t="shared" si="4"/>
        <v>11763.239879746558</v>
      </c>
      <c r="Q8" s="20">
        <f t="shared" si="4"/>
        <v>13352.098117221667</v>
      </c>
      <c r="R8" s="20">
        <f t="shared" si="4"/>
        <v>14293.566162926221</v>
      </c>
      <c r="S8" s="20">
        <f t="shared" si="4"/>
        <v>15242.7105787769</v>
      </c>
      <c r="T8" s="20">
        <f t="shared" ref="T8" si="5">T6-T7</f>
        <v>16238.167920949076</v>
      </c>
      <c r="U8" s="299"/>
    </row>
    <row r="9" spans="1:25" s="3" customFormat="1" x14ac:dyDescent="0.55000000000000004">
      <c r="B9" s="6" t="s">
        <v>77</v>
      </c>
      <c r="C9" s="6"/>
      <c r="D9" s="6"/>
      <c r="E9" s="6"/>
      <c r="F9" s="6"/>
      <c r="G9" s="6"/>
      <c r="H9" s="6"/>
      <c r="I9" s="6"/>
      <c r="J9" s="6"/>
      <c r="K9" s="6"/>
      <c r="L9" s="319">
        <f>L8/L6</f>
        <v>-2.8609835175879401</v>
      </c>
      <c r="M9" s="319">
        <f t="shared" ref="M9:S9" si="6">M8/M6</f>
        <v>0.36993425445942246</v>
      </c>
      <c r="N9" s="319">
        <f t="shared" si="6"/>
        <v>0.25744364752180621</v>
      </c>
      <c r="O9" s="319">
        <f t="shared" si="6"/>
        <v>0.30047903889232996</v>
      </c>
      <c r="P9" s="319">
        <f t="shared" si="6"/>
        <v>0.36145959158093016</v>
      </c>
      <c r="Q9" s="319">
        <f t="shared" si="6"/>
        <v>0.38461776735142877</v>
      </c>
      <c r="R9" s="319">
        <f t="shared" si="6"/>
        <v>0.38565289123206742</v>
      </c>
      <c r="S9" s="319">
        <f t="shared" si="6"/>
        <v>0.38670112570458337</v>
      </c>
      <c r="T9" s="319">
        <f t="shared" ref="T9" si="7">T8/T6</f>
        <v>0.38781857188364527</v>
      </c>
    </row>
    <row r="10" spans="1:25" x14ac:dyDescent="0.55000000000000004">
      <c r="B10" s="1" t="s">
        <v>78</v>
      </c>
      <c r="L10" s="19">
        <f>L109</f>
        <v>0</v>
      </c>
      <c r="M10" s="19">
        <f t="shared" ref="M10:S10" si="8">M109</f>
        <v>9.9802530000000012</v>
      </c>
      <c r="N10" s="19">
        <f t="shared" si="8"/>
        <v>22.238234011500001</v>
      </c>
      <c r="O10" s="19">
        <f t="shared" si="8"/>
        <v>32.218487011500002</v>
      </c>
      <c r="P10" s="19">
        <f t="shared" si="8"/>
        <v>43.978482948127223</v>
      </c>
      <c r="Q10" s="19">
        <f t="shared" si="8"/>
        <v>42.895475545970314</v>
      </c>
      <c r="R10" s="19">
        <f t="shared" si="8"/>
        <v>42.600535798698296</v>
      </c>
      <c r="S10" s="19">
        <f t="shared" si="8"/>
        <v>43.149101883891902</v>
      </c>
      <c r="T10" s="19">
        <f t="shared" ref="T10" si="9">T109</f>
        <v>37.293249694176097</v>
      </c>
    </row>
    <row r="11" spans="1:25" s="4" customFormat="1" x14ac:dyDescent="0.55000000000000004">
      <c r="B11" s="5" t="s">
        <v>79</v>
      </c>
      <c r="C11" s="5"/>
      <c r="D11" s="5"/>
      <c r="E11" s="5"/>
      <c r="F11" s="5"/>
      <c r="G11" s="5"/>
      <c r="H11" s="5"/>
      <c r="I11" s="5"/>
      <c r="J11" s="5"/>
      <c r="K11" s="5"/>
      <c r="L11" s="20">
        <f>L10+L8</f>
        <v>-56.933572000000005</v>
      </c>
      <c r="M11" s="20">
        <f t="shared" ref="M11:S11" si="10">M10+M8</f>
        <v>3807.8662619999991</v>
      </c>
      <c r="N11" s="20">
        <f t="shared" si="10"/>
        <v>4287.8238680470185</v>
      </c>
      <c r="O11" s="20">
        <f t="shared" si="10"/>
        <v>8095.6901300470181</v>
      </c>
      <c r="P11" s="20">
        <f t="shared" si="10"/>
        <v>11807.218362694684</v>
      </c>
      <c r="Q11" s="20">
        <f t="shared" si="10"/>
        <v>13394.993592767638</v>
      </c>
      <c r="R11" s="20">
        <f t="shared" si="10"/>
        <v>14336.166698724919</v>
      </c>
      <c r="S11" s="20">
        <f t="shared" si="10"/>
        <v>15285.859680660791</v>
      </c>
      <c r="T11" s="20">
        <f t="shared" ref="T11" si="11">T10+T8</f>
        <v>16275.461170643252</v>
      </c>
      <c r="U11" s="299"/>
      <c r="V11" s="419"/>
      <c r="W11" s="419"/>
      <c r="X11" s="419"/>
      <c r="Y11" s="419"/>
    </row>
    <row r="12" spans="1:25" s="3" customFormat="1" x14ac:dyDescent="0.55000000000000004">
      <c r="B12" s="6" t="s">
        <v>80</v>
      </c>
      <c r="C12" s="6"/>
      <c r="D12" s="6"/>
      <c r="E12" s="6"/>
      <c r="F12" s="6"/>
      <c r="G12" s="6"/>
      <c r="H12" s="6"/>
      <c r="I12" s="6"/>
      <c r="J12" s="6"/>
      <c r="K12" s="6"/>
      <c r="L12" s="319">
        <f>L11/L6</f>
        <v>-2.8609835175879401</v>
      </c>
      <c r="M12" s="319">
        <f t="shared" ref="M12:S12" si="12">M11/M6</f>
        <v>0.3709063840715599</v>
      </c>
      <c r="N12" s="319">
        <f t="shared" si="12"/>
        <v>0.25878580603637991</v>
      </c>
      <c r="O12" s="319">
        <f t="shared" si="12"/>
        <v>0.30167963591063063</v>
      </c>
      <c r="P12" s="319">
        <f t="shared" si="12"/>
        <v>0.36281095775617489</v>
      </c>
      <c r="Q12" s="319">
        <f t="shared" si="12"/>
        <v>0.38585340551773983</v>
      </c>
      <c r="R12" s="319">
        <f t="shared" si="12"/>
        <v>0.38680229087184492</v>
      </c>
      <c r="S12" s="319">
        <f t="shared" si="12"/>
        <v>0.3877958001842573</v>
      </c>
      <c r="T12" s="319">
        <f t="shared" ref="T12" si="13">T11/T6</f>
        <v>0.38870925209508933</v>
      </c>
      <c r="V12" s="417"/>
      <c r="W12" s="417"/>
      <c r="X12" s="417"/>
      <c r="Y12" s="417"/>
    </row>
    <row r="13" spans="1:25" s="3" customFormat="1" x14ac:dyDescent="0.55000000000000004">
      <c r="B13" s="4" t="s">
        <v>2146</v>
      </c>
      <c r="C13" s="4"/>
      <c r="D13" s="4"/>
      <c r="E13" s="4"/>
      <c r="F13" s="4"/>
      <c r="G13" s="4"/>
      <c r="H13" s="4"/>
      <c r="I13" s="4"/>
      <c r="J13" s="4"/>
      <c r="K13" s="4"/>
      <c r="L13" s="20">
        <f>L11-L86</f>
        <v>-56.933572000000005</v>
      </c>
      <c r="M13" s="23">
        <f t="shared" ref="M13:T13" si="14">M11-M86</f>
        <v>1987.2706209999992</v>
      </c>
      <c r="N13" s="23">
        <f t="shared" si="14"/>
        <v>4287.8238680470185</v>
      </c>
      <c r="O13" s="23">
        <f t="shared" si="14"/>
        <v>6275.0944890470182</v>
      </c>
      <c r="P13" s="23">
        <f t="shared" si="14"/>
        <v>11807.218362694684</v>
      </c>
      <c r="Q13" s="23">
        <f t="shared" si="14"/>
        <v>13394.993592767638</v>
      </c>
      <c r="R13" s="23">
        <f t="shared" si="14"/>
        <v>14336.166698724919</v>
      </c>
      <c r="S13" s="23">
        <f t="shared" si="14"/>
        <v>15285.859680660791</v>
      </c>
      <c r="T13" s="23">
        <f t="shared" si="14"/>
        <v>16275.461170643252</v>
      </c>
      <c r="V13" s="417"/>
      <c r="W13" s="417"/>
      <c r="X13" s="417"/>
      <c r="Y13" s="417"/>
    </row>
    <row r="14" spans="1:25" s="3" customFormat="1" x14ac:dyDescent="0.55000000000000004">
      <c r="B14" s="17" t="s">
        <v>2147</v>
      </c>
      <c r="C14" s="17"/>
      <c r="D14" s="17"/>
      <c r="E14" s="17"/>
      <c r="F14" s="17"/>
      <c r="G14" s="17"/>
      <c r="H14" s="17"/>
      <c r="I14" s="17"/>
      <c r="J14" s="17"/>
      <c r="K14" s="17"/>
      <c r="L14" s="263">
        <f>L13/L6</f>
        <v>-2.8609835175879401</v>
      </c>
      <c r="M14" s="263">
        <f t="shared" ref="M14:T14" si="15">M13/M6</f>
        <v>0.19357070587337588</v>
      </c>
      <c r="N14" s="263">
        <f t="shared" si="15"/>
        <v>0.25878580603637991</v>
      </c>
      <c r="O14" s="263">
        <f t="shared" si="15"/>
        <v>0.23383654640318041</v>
      </c>
      <c r="P14" s="263">
        <f t="shared" si="15"/>
        <v>0.36281095775617489</v>
      </c>
      <c r="Q14" s="263">
        <f t="shared" si="15"/>
        <v>0.38585340551773983</v>
      </c>
      <c r="R14" s="263">
        <f t="shared" si="15"/>
        <v>0.38680229087184492</v>
      </c>
      <c r="S14" s="263">
        <f t="shared" si="15"/>
        <v>0.3877958001842573</v>
      </c>
      <c r="T14" s="263">
        <f t="shared" si="15"/>
        <v>0.38870925209508933</v>
      </c>
      <c r="V14" s="417"/>
      <c r="W14" s="417"/>
      <c r="X14" s="417"/>
      <c r="Y14" s="417"/>
    </row>
    <row r="15" spans="1:25" x14ac:dyDescent="0.55000000000000004">
      <c r="M15" s="315" t="b">
        <f>(연결정산표_우모건제외!H140)/10^6=M8</f>
        <v>1</v>
      </c>
      <c r="V15" s="415"/>
      <c r="W15" s="415"/>
      <c r="X15" s="415"/>
      <c r="Y15" s="415"/>
    </row>
    <row r="16" spans="1:25" x14ac:dyDescent="0.55000000000000004">
      <c r="V16" s="415"/>
      <c r="W16" s="415"/>
      <c r="X16" s="415"/>
      <c r="Y16" s="415"/>
    </row>
    <row r="17" spans="1:25" x14ac:dyDescent="0.55000000000000004">
      <c r="A17" s="841" t="s">
        <v>81</v>
      </c>
      <c r="B17" s="842"/>
      <c r="C17" s="842"/>
      <c r="D17" s="842"/>
      <c r="E17" s="842"/>
      <c r="F17" s="842"/>
      <c r="G17" s="842"/>
      <c r="H17" s="842"/>
      <c r="I17" s="842"/>
      <c r="J17" s="842"/>
      <c r="K17" s="842"/>
      <c r="L17" s="842"/>
      <c r="M17" s="842"/>
      <c r="N17" s="842"/>
      <c r="O17" s="842"/>
      <c r="P17" s="842"/>
      <c r="Q17" s="842"/>
      <c r="R17" s="842"/>
      <c r="S17" s="842"/>
      <c r="T17" s="842"/>
    </row>
    <row r="18" spans="1:25" x14ac:dyDescent="0.55000000000000004">
      <c r="V18" s="415"/>
      <c r="W18" s="415"/>
      <c r="X18" s="415"/>
      <c r="Y18" s="415"/>
    </row>
    <row r="19" spans="1:25" x14ac:dyDescent="0.55000000000000004">
      <c r="B19" s="844"/>
      <c r="C19" s="844"/>
      <c r="D19" s="844"/>
      <c r="E19" s="844"/>
      <c r="F19" s="844"/>
      <c r="G19" s="844"/>
      <c r="H19" s="844"/>
      <c r="I19" s="844"/>
      <c r="J19" s="844"/>
      <c r="K19" s="844"/>
      <c r="L19" s="845" t="s">
        <v>2</v>
      </c>
      <c r="M19" s="845" t="s">
        <v>3</v>
      </c>
      <c r="N19" s="845" t="s">
        <v>4</v>
      </c>
      <c r="O19" s="845" t="s">
        <v>5</v>
      </c>
      <c r="P19" s="845" t="s">
        <v>6</v>
      </c>
      <c r="Q19" s="845" t="s">
        <v>7</v>
      </c>
      <c r="R19" s="845" t="s">
        <v>8</v>
      </c>
      <c r="S19" s="845" t="s">
        <v>9</v>
      </c>
      <c r="T19" s="845" t="s">
        <v>1480</v>
      </c>
      <c r="V19" s="834">
        <f>(연결정산표!T98/10^6-SUMIFS(클래스매출!$J:$J,클래스매출!$A:$A,CLASS!M$19,클래스매출!$C:$C,CLASS!$D22)/10^6-SUMIFS(클래스매출!$J:$J,클래스매출!$A:$A,CLASS!M$19,클래스매출!$C:$C,CLASS!$D29)/10^6)*(SUMIFS(클래스매출!$J:$J,클래스매출!$A:$A,CLASS!M$19,클래스매출!$C:$C,CLASS!$D22)/10^6)/(SUMIFS(클래스매출!$J:$J,클래스매출!$A:$A,CLASS!M$19,클래스매출!$C:$C,CLASS!$D22)/10^6+SUMIFS(클래스매출!$J:$J,클래스매출!$A:$A,CLASS!M$19,클래스매출!$C:$C,CLASS!$D29)/10^6)</f>
        <v>-701.0199152793947</v>
      </c>
      <c r="W19" s="415"/>
      <c r="X19" s="415"/>
      <c r="Y19" s="415"/>
    </row>
    <row r="20" spans="1:25" x14ac:dyDescent="0.55000000000000004">
      <c r="B20" s="12" t="s">
        <v>11</v>
      </c>
      <c r="C20" s="12"/>
      <c r="D20" s="12"/>
      <c r="E20" s="12"/>
      <c r="F20" s="12"/>
      <c r="G20" s="12"/>
      <c r="H20" s="12"/>
      <c r="I20" s="12"/>
      <c r="J20" s="12"/>
      <c r="K20" s="12"/>
      <c r="L20" s="18">
        <f>L21+L36</f>
        <v>19.899999999999999</v>
      </c>
      <c r="M20" s="18">
        <f t="shared" ref="M20:T20" si="16">M21</f>
        <v>10266.381020999999</v>
      </c>
      <c r="N20" s="18">
        <f t="shared" si="16"/>
        <v>16569.007140384816</v>
      </c>
      <c r="O20" s="18">
        <f t="shared" si="16"/>
        <v>26835.388161384813</v>
      </c>
      <c r="P20" s="18">
        <f t="shared" si="16"/>
        <v>32543.72038738053</v>
      </c>
      <c r="Q20" s="18">
        <f t="shared" si="16"/>
        <v>34715.240039916651</v>
      </c>
      <c r="R20" s="18">
        <f t="shared" si="16"/>
        <v>37063.293152714985</v>
      </c>
      <c r="S20" s="18">
        <f t="shared" si="16"/>
        <v>39417.290422943901</v>
      </c>
      <c r="T20" s="18">
        <f t="shared" si="16"/>
        <v>41870.526834441829</v>
      </c>
      <c r="V20" s="834">
        <f>(연결정산표!T98/10^6-SUMIFS(클래스매출!$J:$J,클래스매출!$A:$A,CLASS!M$19,클래스매출!$C:$C,CLASS!$D22)/10^6-SUMIFS(클래스매출!$J:$J,클래스매출!$A:$A,CLASS!M$19,클래스매출!$C:$C,CLASS!$D29)/10^6)*(SUMIFS(클래스매출!$J:$J,클래스매출!$A:$A,CLASS!M$19,클래스매출!$C:$C,CLASS!$D29)/10^6)/(SUMIFS(클래스매출!$J:$J,클래스매출!$A:$A,CLASS!M$19,클래스매출!$C:$C,CLASS!$D22)/10^6+SUMIFS(클래스매출!$J:$J,클래스매출!$A:$A,CLASS!M$19,클래스매출!$C:$C,CLASS!$D29)/10^6)</f>
        <v>-321.50020672060572</v>
      </c>
      <c r="W20" s="415"/>
      <c r="X20" s="415"/>
      <c r="Y20" s="415"/>
    </row>
    <row r="21" spans="1:25" s="10" customFormat="1" x14ac:dyDescent="0.55000000000000004">
      <c r="C21" s="10" t="s">
        <v>133</v>
      </c>
      <c r="L21" s="303"/>
      <c r="M21" s="24">
        <f>연결정산표!T98/10^6</f>
        <v>10266.381020999999</v>
      </c>
      <c r="N21" s="24">
        <f t="shared" ref="N21:S21" si="17">N22+N29</f>
        <v>16569.007140384816</v>
      </c>
      <c r="O21" s="24">
        <f t="shared" si="17"/>
        <v>26835.388161384813</v>
      </c>
      <c r="P21" s="24">
        <f t="shared" si="17"/>
        <v>32543.72038738053</v>
      </c>
      <c r="Q21" s="24">
        <f t="shared" si="17"/>
        <v>34715.240039916651</v>
      </c>
      <c r="R21" s="24">
        <f t="shared" si="17"/>
        <v>37063.293152714985</v>
      </c>
      <c r="S21" s="24">
        <f t="shared" si="17"/>
        <v>39417.290422943901</v>
      </c>
      <c r="T21" s="24">
        <f t="shared" ref="T21" si="18">T22+T29</f>
        <v>41870.526834441829</v>
      </c>
      <c r="U21" s="3"/>
      <c r="V21" s="415"/>
      <c r="W21" s="415"/>
      <c r="X21" s="415"/>
      <c r="Y21" s="415"/>
    </row>
    <row r="22" spans="1:25" s="10" customFormat="1" x14ac:dyDescent="0.55000000000000004">
      <c r="D22" s="10" t="s">
        <v>134</v>
      </c>
      <c r="L22" s="303"/>
      <c r="M22" s="24">
        <f>SUMIFS(클래스매출!$K:$K,클래스매출!$A:$A,CLASS!M$19,클래스매출!$C:$C,CLASS!$D22)/10^6+(연결정산표!T98/10^6-SUMIFS(클래스매출!$K:$K,클래스매출!$A:$A,CLASS!M$19,클래스매출!$C:$C,CLASS!$D22)/10^6-SUMIFS(클래스매출!$K:$K,클래스매출!$A:$A,CLASS!M$19,클래스매출!$C:$C,CLASS!$D29)/10^6)*(SUMIFS(클래스매출!$K:$K,클래스매출!$A:$A,CLASS!M$19,클래스매출!$C:$C,CLASS!$D22)/10^6)/(SUMIFS(클래스매출!$K:$K,클래스매출!$A:$A,CLASS!M$19,클래스매출!$C:$C,CLASS!$D22)/10^6+SUMIFS(클래스매출!$K:$K,클래스매출!$A:$A,CLASS!M$19,클래스매출!$C:$C,CLASS!$D29)/10^6)</f>
        <v>7012.7520683125867</v>
      </c>
      <c r="N22" s="24">
        <f>N23*N28</f>
        <v>16243.644245116075</v>
      </c>
      <c r="O22" s="24">
        <f>N22+M22</f>
        <v>23256.396313428661</v>
      </c>
      <c r="P22" s="24">
        <f>P23*P28</f>
        <v>28905.182415543859</v>
      </c>
      <c r="Q22" s="24">
        <f>Q23*Q28</f>
        <v>31011.208384586917</v>
      </c>
      <c r="R22" s="24">
        <f>R23*R28</f>
        <v>33281.476832623332</v>
      </c>
      <c r="S22" s="24">
        <f>S23*S28</f>
        <v>35563.619592770505</v>
      </c>
      <c r="T22" s="24">
        <f t="shared" ref="T22" si="19">T23*T28</f>
        <v>37941.462294761448</v>
      </c>
      <c r="U22" s="3"/>
      <c r="V22" s="415"/>
      <c r="W22" s="415"/>
      <c r="X22" s="415"/>
      <c r="Y22" s="415"/>
    </row>
    <row r="23" spans="1:25" s="10" customFormat="1" x14ac:dyDescent="0.55000000000000004">
      <c r="E23" s="10" t="s">
        <v>135</v>
      </c>
      <c r="L23" s="303"/>
      <c r="M23" s="24">
        <f>SUMIFS(클래스매출!$T:$T,클래스매출!$A:$A,CLASS!M$19,클래스매출!$C:$C,CLASS!$D22)</f>
        <v>2945</v>
      </c>
      <c r="N23" s="24">
        <f>N24*N25</f>
        <v>6821.5062839627144</v>
      </c>
      <c r="O23" s="24">
        <f>N23+M23</f>
        <v>9766.5062839627135</v>
      </c>
      <c r="P23" s="24">
        <f t="shared" ref="P23:S23" si="20">P24*P25</f>
        <v>11940.05497079431</v>
      </c>
      <c r="Q23" s="24">
        <f t="shared" si="20"/>
        <v>12583.5020174376</v>
      </c>
      <c r="R23" s="24">
        <f t="shared" si="20"/>
        <v>13226.949064080891</v>
      </c>
      <c r="S23" s="24">
        <f t="shared" si="20"/>
        <v>13870.396110724181</v>
      </c>
      <c r="T23" s="24">
        <f t="shared" ref="T23" si="21">T24*T25</f>
        <v>14513.843157367475</v>
      </c>
      <c r="U23" s="3"/>
      <c r="V23" s="415"/>
      <c r="W23" s="415"/>
      <c r="X23" s="415"/>
      <c r="Y23" s="415"/>
    </row>
    <row r="24" spans="1:25" s="10" customFormat="1" x14ac:dyDescent="0.55000000000000004">
      <c r="F24" s="10" t="s">
        <v>136</v>
      </c>
      <c r="L24" s="303"/>
      <c r="M24" s="24">
        <f>COUNTIFS(클래스매출!$A:$A,CLASS!M$19,클래스매출!$C:$C,$D22)</f>
        <v>37</v>
      </c>
      <c r="N24" s="24">
        <f>'Key Assumption'!N28</f>
        <v>56.400000000000006</v>
      </c>
      <c r="O24" s="24">
        <f>'Key Assumption'!O28</f>
        <v>93.4</v>
      </c>
      <c r="P24" s="24">
        <f>'Key Assumption'!P28</f>
        <v>98.72</v>
      </c>
      <c r="Q24" s="24">
        <f>'Key Assumption'!Q28</f>
        <v>104.03999999999999</v>
      </c>
      <c r="R24" s="24">
        <f>'Key Assumption'!R28</f>
        <v>109.35999999999999</v>
      </c>
      <c r="S24" s="24">
        <f>'Key Assumption'!S28</f>
        <v>114.67999999999998</v>
      </c>
      <c r="T24" s="24">
        <f>'Key Assumption'!T28</f>
        <v>120</v>
      </c>
      <c r="U24" s="3"/>
    </row>
    <row r="25" spans="1:25" s="10" customFormat="1" x14ac:dyDescent="0.55000000000000004">
      <c r="F25" s="10" t="s">
        <v>72</v>
      </c>
      <c r="L25" s="303"/>
      <c r="M25" s="24">
        <f>M23/M24</f>
        <v>79.594594594594597</v>
      </c>
      <c r="N25" s="24">
        <f>N26*N27</f>
        <v>120.9486929780623</v>
      </c>
      <c r="O25" s="24">
        <f>O23/O24</f>
        <v>104.56644843643161</v>
      </c>
      <c r="P25" s="24">
        <f>P26*P27</f>
        <v>120.9486929780623</v>
      </c>
      <c r="Q25" s="24">
        <f>Q26*Q27</f>
        <v>120.9486929780623</v>
      </c>
      <c r="R25" s="24">
        <f>R26*R27</f>
        <v>120.9486929780623</v>
      </c>
      <c r="S25" s="24">
        <f>S26*S27</f>
        <v>120.9486929780623</v>
      </c>
      <c r="T25" s="24">
        <f t="shared" ref="T25" si="22">T26*T27</f>
        <v>120.9486929780623</v>
      </c>
      <c r="U25" s="3"/>
    </row>
    <row r="26" spans="1:25" s="10" customFormat="1" x14ac:dyDescent="0.55000000000000004">
      <c r="G26" s="10" t="s">
        <v>1473</v>
      </c>
      <c r="L26" s="303"/>
      <c r="M26" s="24">
        <f>SUMIFS(클래스매출!$R:$R,클래스매출!$A:$A,CLASS!M$19,클래스매출!$C:$C,CLASS!D$22)/COUNTIFS(클래스매출!$A:$A,CLASS!M$19,클래스매출!$C:$C,CLASS!$D22,클래스매출!$R:$R,"&gt;0")</f>
        <v>2944.1891891891892</v>
      </c>
      <c r="N26" s="24">
        <f>'Key Assumption'!N29</f>
        <v>4473.869565217391</v>
      </c>
      <c r="O26" s="24">
        <f>O25/O27</f>
        <v>3867.8933991248482</v>
      </c>
      <c r="P26" s="24">
        <f>'Key Assumption'!P29</f>
        <v>4473.869565217391</v>
      </c>
      <c r="Q26" s="24">
        <f>'Key Assumption'!Q29</f>
        <v>4473.869565217391</v>
      </c>
      <c r="R26" s="24">
        <f>'Key Assumption'!R29</f>
        <v>4473.869565217391</v>
      </c>
      <c r="S26" s="24">
        <f>'Key Assumption'!S29</f>
        <v>4473.869565217391</v>
      </c>
      <c r="T26" s="24">
        <f>'Key Assumption'!T29</f>
        <v>4473.869565217391</v>
      </c>
      <c r="U26" s="3"/>
    </row>
    <row r="27" spans="1:25" s="10" customFormat="1" x14ac:dyDescent="0.55000000000000004">
      <c r="G27" s="10" t="s">
        <v>1338</v>
      </c>
      <c r="L27" s="303"/>
      <c r="M27" s="412">
        <f>M25/M26</f>
        <v>2.7034470096846744E-2</v>
      </c>
      <c r="N27" s="412">
        <f>'Key Assumption'!N30</f>
        <v>2.7034470096846744E-2</v>
      </c>
      <c r="O27" s="412">
        <f>'Key Assumption'!O30</f>
        <v>2.7034470096846744E-2</v>
      </c>
      <c r="P27" s="412">
        <f>'Key Assumption'!P30</f>
        <v>2.7034470096846744E-2</v>
      </c>
      <c r="Q27" s="412">
        <f>'Key Assumption'!Q30</f>
        <v>2.7034470096846744E-2</v>
      </c>
      <c r="R27" s="412">
        <f>'Key Assumption'!R30</f>
        <v>2.7034470096846744E-2</v>
      </c>
      <c r="S27" s="412">
        <f>'Key Assumption'!S30</f>
        <v>2.7034470096846744E-2</v>
      </c>
      <c r="T27" s="412">
        <f>'Key Assumption'!T30</f>
        <v>2.7034470096846744E-2</v>
      </c>
      <c r="U27" s="3"/>
    </row>
    <row r="28" spans="1:25" s="29" customFormat="1" x14ac:dyDescent="0.55000000000000004">
      <c r="E28" s="29" t="s">
        <v>137</v>
      </c>
      <c r="L28" s="336"/>
      <c r="M28" s="29">
        <f>M22/M23</f>
        <v>2.3812400911078395</v>
      </c>
      <c r="N28" s="29">
        <f>M28</f>
        <v>2.3812400911078395</v>
      </c>
      <c r="O28" s="29">
        <f>N28</f>
        <v>2.3812400911078395</v>
      </c>
      <c r="P28" s="29">
        <f>O28*(1+'Key Assumption'!P$12)</f>
        <v>2.4208584036042295</v>
      </c>
      <c r="Q28" s="29">
        <f>P28*(1+'Key Assumption'!Q$12)</f>
        <v>2.4644338548691058</v>
      </c>
      <c r="R28" s="29">
        <f>Q28*(1+'Key Assumption'!R$12)</f>
        <v>2.5161869658213569</v>
      </c>
      <c r="S28" s="29">
        <f>R28*(1+'Key Assumption'!S$12)</f>
        <v>2.5639945181719623</v>
      </c>
      <c r="T28" s="29">
        <f>S28*(1+'Key Assumption'!T$12)</f>
        <v>2.6141568351936968</v>
      </c>
      <c r="U28" s="809"/>
    </row>
    <row r="29" spans="1:25" s="10" customFormat="1" x14ac:dyDescent="0.55000000000000004">
      <c r="D29" s="10" t="s">
        <v>138</v>
      </c>
      <c r="L29" s="336"/>
      <c r="M29" s="24">
        <f>SUMIFS(클래스매출!$K:$K,클래스매출!$A:$A,CLASS!M$19,클래스매출!$C:$C,CLASS!$D29)/10^6+(연결정산표!T98/10^6-SUMIFS(클래스매출!$K:$K,클래스매출!$A:$A,CLASS!M$19,클래스매출!$C:$C,CLASS!$D22)/10^6-SUMIFS(클래스매출!$K:$K,클래스매출!$A:$A,CLASS!M$19,클래스매출!$C:$C,CLASS!$D29)/10^6)*(SUMIFS(클래스매출!$K:$K,클래스매출!$A:$A,CLASS!M$19,클래스매출!$C:$C,CLASS!$D29)/10^6)/(SUMIFS(클래스매출!$K:$K,클래스매출!$A:$A,CLASS!M$19,클래스매출!$C:$C,CLASS!$D22)/10^6+SUMIFS(클래스매출!$K:$K,클래스매출!$A:$A,CLASS!M$19,클래스매출!$C:$C,CLASS!$D29)/10^6)</f>
        <v>3253.6289526874125</v>
      </c>
      <c r="N29" s="24">
        <f>N30*N35</f>
        <v>325.36289526874128</v>
      </c>
      <c r="O29" s="24">
        <f>N29+M29</f>
        <v>3578.9918479561538</v>
      </c>
      <c r="P29" s="24">
        <f>P30*P35</f>
        <v>3638.5379718366707</v>
      </c>
      <c r="Q29" s="24">
        <f>Q30*Q35</f>
        <v>3704.0316553297307</v>
      </c>
      <c r="R29" s="24">
        <f>R30*R35</f>
        <v>3781.8163200916551</v>
      </c>
      <c r="S29" s="24">
        <f>S30*S35</f>
        <v>3853.6708301733956</v>
      </c>
      <c r="T29" s="24">
        <f t="shared" ref="T29" si="23">T30*T35</f>
        <v>3929.0645396803848</v>
      </c>
      <c r="U29" s="3"/>
    </row>
    <row r="30" spans="1:25" s="10" customFormat="1" x14ac:dyDescent="0.55000000000000004">
      <c r="E30" s="10" t="s">
        <v>135</v>
      </c>
      <c r="L30" s="336"/>
      <c r="M30" s="24">
        <f>SUMIFS(클래스매출!$T:$T,클래스매출!$A:$A,CLASS!M$19,클래스매출!$C:$C,CLASS!$D29)</f>
        <v>1004</v>
      </c>
      <c r="N30" s="24">
        <f>N31*N32</f>
        <v>100.4</v>
      </c>
      <c r="O30" s="24">
        <f>N30+M30</f>
        <v>1104.4000000000001</v>
      </c>
      <c r="P30" s="24">
        <f t="shared" ref="P30:S30" si="24">P31*P32</f>
        <v>1104.4000000000001</v>
      </c>
      <c r="Q30" s="24">
        <f t="shared" si="24"/>
        <v>1104.4000000000001</v>
      </c>
      <c r="R30" s="24">
        <f t="shared" si="24"/>
        <v>1104.4000000000001</v>
      </c>
      <c r="S30" s="24">
        <f t="shared" si="24"/>
        <v>1104.4000000000001</v>
      </c>
      <c r="T30" s="24">
        <f t="shared" ref="T30" si="25">T31*T32</f>
        <v>1104.4000000000001</v>
      </c>
      <c r="U30" s="3"/>
    </row>
    <row r="31" spans="1:25" s="10" customFormat="1" x14ac:dyDescent="0.55000000000000004">
      <c r="F31" s="10" t="s">
        <v>136</v>
      </c>
      <c r="L31" s="336"/>
      <c r="M31" s="24">
        <f>COUNTIFS(클래스매출!$A:$A,CLASS!M$19,클래스매출!$C:$C,$D29)</f>
        <v>10</v>
      </c>
      <c r="N31" s="24">
        <f>'Key Assumption'!N32</f>
        <v>1</v>
      </c>
      <c r="O31" s="24">
        <f>'Key Assumption'!O32</f>
        <v>11</v>
      </c>
      <c r="P31" s="24">
        <f>'Key Assumption'!P32</f>
        <v>11</v>
      </c>
      <c r="Q31" s="24">
        <f>'Key Assumption'!Q32</f>
        <v>11</v>
      </c>
      <c r="R31" s="24">
        <f>'Key Assumption'!R32</f>
        <v>11</v>
      </c>
      <c r="S31" s="24">
        <f>'Key Assumption'!S32</f>
        <v>11</v>
      </c>
      <c r="T31" s="24">
        <f>'Key Assumption'!T32</f>
        <v>11</v>
      </c>
      <c r="U31" s="3"/>
    </row>
    <row r="32" spans="1:25" s="10" customFormat="1" x14ac:dyDescent="0.55000000000000004">
      <c r="F32" s="10" t="s">
        <v>72</v>
      </c>
      <c r="L32" s="336"/>
      <c r="M32" s="24">
        <f>M30/M31</f>
        <v>100.4</v>
      </c>
      <c r="N32" s="24">
        <f>N33*N34</f>
        <v>100.4</v>
      </c>
      <c r="O32" s="24">
        <f>O30/O31</f>
        <v>100.4</v>
      </c>
      <c r="P32" s="24">
        <f>P33*P34</f>
        <v>100.4</v>
      </c>
      <c r="Q32" s="24">
        <f>Q33*Q34</f>
        <v>100.4</v>
      </c>
      <c r="R32" s="24">
        <f>R33*R34</f>
        <v>100.4</v>
      </c>
      <c r="S32" s="24">
        <f>S33*S34</f>
        <v>100.4</v>
      </c>
      <c r="T32" s="24">
        <f t="shared" ref="T32" si="26">T33*T34</f>
        <v>100.4</v>
      </c>
      <c r="U32" s="3"/>
    </row>
    <row r="33" spans="1:21" s="10" customFormat="1" x14ac:dyDescent="0.55000000000000004">
      <c r="G33" s="10" t="s">
        <v>1473</v>
      </c>
      <c r="L33" s="336"/>
      <c r="M33" s="24">
        <f>SUMIFS(클래스매출!$R:$R,클래스매출!$A:$A,CLASS!M$19,클래스매출!$C:$C,D$29)/COUNTIFS(클래스매출!$A:$A,CLASS!M$19,클래스매출!$C:$C,CLASS!$D29,클래스매출!$R:$R,"&gt;0")</f>
        <v>3237.7</v>
      </c>
      <c r="N33" s="24">
        <f>'Key Assumption'!N33</f>
        <v>3237.7</v>
      </c>
      <c r="O33" s="24">
        <f>O32/O34</f>
        <v>3237.7</v>
      </c>
      <c r="P33" s="24">
        <f>'Key Assumption'!P33</f>
        <v>3237.7</v>
      </c>
      <c r="Q33" s="24">
        <f>'Key Assumption'!Q33</f>
        <v>3237.7</v>
      </c>
      <c r="R33" s="24">
        <f>'Key Assumption'!R33</f>
        <v>3237.7</v>
      </c>
      <c r="S33" s="24">
        <f>'Key Assumption'!S33</f>
        <v>3237.7</v>
      </c>
      <c r="T33" s="24">
        <f>'Key Assumption'!T33</f>
        <v>3237.7</v>
      </c>
      <c r="U33" s="3"/>
    </row>
    <row r="34" spans="1:21" s="10" customFormat="1" x14ac:dyDescent="0.55000000000000004">
      <c r="G34" s="10" t="s">
        <v>1440</v>
      </c>
      <c r="L34" s="336"/>
      <c r="M34" s="412">
        <f>M32/M33</f>
        <v>3.1009667356456747E-2</v>
      </c>
      <c r="N34" s="412">
        <f>'Key Assumption'!N34</f>
        <v>3.1009667356456747E-2</v>
      </c>
      <c r="O34" s="412">
        <f>'Key Assumption'!O34</f>
        <v>3.1009667356456747E-2</v>
      </c>
      <c r="P34" s="412">
        <f>'Key Assumption'!P34</f>
        <v>3.1009667356456747E-2</v>
      </c>
      <c r="Q34" s="412">
        <f>'Key Assumption'!Q34</f>
        <v>3.1009667356456747E-2</v>
      </c>
      <c r="R34" s="412">
        <f>'Key Assumption'!R34</f>
        <v>3.1009667356456747E-2</v>
      </c>
      <c r="S34" s="412">
        <f>'Key Assumption'!S34</f>
        <v>3.1009667356456747E-2</v>
      </c>
      <c r="T34" s="412">
        <f>'Key Assumption'!T34</f>
        <v>3.1009667356456747E-2</v>
      </c>
      <c r="U34" s="3"/>
    </row>
    <row r="35" spans="1:21" s="29" customFormat="1" x14ac:dyDescent="0.55000000000000004">
      <c r="E35" s="29" t="s">
        <v>137</v>
      </c>
      <c r="L35" s="336"/>
      <c r="M35" s="29">
        <f>M29/M30</f>
        <v>3.2406662875372634</v>
      </c>
      <c r="N35" s="29">
        <f>M35</f>
        <v>3.2406662875372634</v>
      </c>
      <c r="O35" s="29">
        <f>N35</f>
        <v>3.2406662875372634</v>
      </c>
      <c r="P35" s="29">
        <f>O35*(1+'Key Assumption'!P$12)</f>
        <v>3.2945834587438161</v>
      </c>
      <c r="Q35" s="29">
        <f>P35*(1+'Key Assumption'!Q$12)</f>
        <v>3.3538859610012048</v>
      </c>
      <c r="R35" s="29">
        <f>Q35*(1+'Key Assumption'!R$12)</f>
        <v>3.4243175661822298</v>
      </c>
      <c r="S35" s="29">
        <f>R35*(1+'Key Assumption'!S$12)</f>
        <v>3.4893795999396917</v>
      </c>
      <c r="T35" s="29">
        <f>S35*(1+'Key Assumption'!T$12)</f>
        <v>3.5576462691781821</v>
      </c>
      <c r="U35" s="809"/>
    </row>
    <row r="36" spans="1:21" s="29" customFormat="1" x14ac:dyDescent="0.55000000000000004">
      <c r="B36" s="297"/>
      <c r="C36" s="297" t="s">
        <v>93</v>
      </c>
      <c r="D36" s="297"/>
      <c r="E36" s="297"/>
      <c r="F36" s="297"/>
      <c r="G36" s="297"/>
      <c r="H36" s="297"/>
      <c r="I36" s="297"/>
      <c r="J36" s="297"/>
      <c r="K36" s="297"/>
      <c r="L36" s="824">
        <f>연결정산표!E98/10^6</f>
        <v>19.899999999999999</v>
      </c>
      <c r="M36" s="297">
        <v>0</v>
      </c>
      <c r="N36" s="297">
        <v>0</v>
      </c>
      <c r="O36" s="297">
        <v>0</v>
      </c>
      <c r="P36" s="297">
        <v>0</v>
      </c>
      <c r="Q36" s="297">
        <v>0</v>
      </c>
      <c r="R36" s="297">
        <v>0</v>
      </c>
      <c r="S36" s="297">
        <v>0</v>
      </c>
      <c r="T36" s="297">
        <v>0</v>
      </c>
      <c r="U36" s="809"/>
    </row>
    <row r="39" spans="1:21" x14ac:dyDescent="0.55000000000000004">
      <c r="A39" s="841" t="s">
        <v>88</v>
      </c>
      <c r="B39" s="842"/>
      <c r="C39" s="842"/>
      <c r="D39" s="842"/>
      <c r="E39" s="842"/>
      <c r="F39" s="842"/>
      <c r="G39" s="842"/>
      <c r="H39" s="842"/>
      <c r="I39" s="842"/>
      <c r="J39" s="842"/>
      <c r="K39" s="842"/>
      <c r="L39" s="842"/>
      <c r="M39" s="842"/>
      <c r="N39" s="842"/>
      <c r="O39" s="842"/>
      <c r="P39" s="842"/>
      <c r="Q39" s="842"/>
      <c r="R39" s="842"/>
      <c r="S39" s="842"/>
      <c r="T39" s="842"/>
    </row>
    <row r="40" spans="1:21" x14ac:dyDescent="0.55000000000000004">
      <c r="L40" s="315" t="b">
        <f>연결정산표!E108/10^6=L42</f>
        <v>1</v>
      </c>
      <c r="M40" s="315" t="b">
        <f>연결정산표!T108/10^6=M42</f>
        <v>1</v>
      </c>
    </row>
    <row r="41" spans="1:21" x14ac:dyDescent="0.55000000000000004">
      <c r="B41" s="844"/>
      <c r="C41" s="844"/>
      <c r="D41" s="844"/>
      <c r="E41" s="844"/>
      <c r="F41" s="844"/>
      <c r="G41" s="844"/>
      <c r="H41" s="844"/>
      <c r="I41" s="844"/>
      <c r="J41" s="844"/>
      <c r="K41" s="844"/>
      <c r="L41" s="845" t="s">
        <v>2</v>
      </c>
      <c r="M41" s="845" t="s">
        <v>3</v>
      </c>
      <c r="N41" s="845" t="s">
        <v>4</v>
      </c>
      <c r="O41" s="845" t="s">
        <v>5</v>
      </c>
      <c r="P41" s="845" t="s">
        <v>6</v>
      </c>
      <c r="Q41" s="845" t="s">
        <v>7</v>
      </c>
      <c r="R41" s="845" t="s">
        <v>8</v>
      </c>
      <c r="S41" s="845" t="s">
        <v>9</v>
      </c>
      <c r="T41" s="845" t="s">
        <v>1480</v>
      </c>
    </row>
    <row r="42" spans="1:21" x14ac:dyDescent="0.55000000000000004">
      <c r="B42" s="12" t="s">
        <v>12</v>
      </c>
      <c r="C42" s="12"/>
      <c r="D42" s="12"/>
      <c r="E42" s="12"/>
      <c r="F42" s="12"/>
      <c r="G42" s="12"/>
      <c r="H42" s="12"/>
      <c r="I42" s="12"/>
      <c r="J42" s="12"/>
      <c r="K42" s="12"/>
      <c r="L42" s="18">
        <f>L44+L45+L46</f>
        <v>76.833572000000004</v>
      </c>
      <c r="M42" s="18">
        <f t="shared" ref="M42:S42" si="27">M44+M45+M46</f>
        <v>6468.4950120000003</v>
      </c>
      <c r="N42" s="18">
        <f t="shared" si="27"/>
        <v>12303.421506349297</v>
      </c>
      <c r="O42" s="18">
        <f t="shared" si="27"/>
        <v>18771.916518349295</v>
      </c>
      <c r="P42" s="18">
        <f t="shared" si="27"/>
        <v>20780.480507633973</v>
      </c>
      <c r="Q42" s="18">
        <f t="shared" si="27"/>
        <v>21363.141922694984</v>
      </c>
      <c r="R42" s="18">
        <f t="shared" si="27"/>
        <v>22769.726989788764</v>
      </c>
      <c r="S42" s="18">
        <f t="shared" si="27"/>
        <v>24174.579844167001</v>
      </c>
      <c r="T42" s="18">
        <f t="shared" ref="T42" si="28">T44+T45+T46</f>
        <v>25632.358913492753</v>
      </c>
    </row>
    <row r="43" spans="1:21" s="3" customFormat="1" x14ac:dyDescent="0.55000000000000004">
      <c r="B43" s="3" t="s">
        <v>89</v>
      </c>
      <c r="L43" s="262">
        <f t="shared" ref="L43:S43" si="29">L42/L20</f>
        <v>3.8609835175879401</v>
      </c>
      <c r="M43" s="262">
        <f t="shared" si="29"/>
        <v>0.63006574554057759</v>
      </c>
      <c r="N43" s="262">
        <f t="shared" si="29"/>
        <v>0.74255635247819385</v>
      </c>
      <c r="O43" s="262">
        <f t="shared" si="29"/>
        <v>0.69952096110767004</v>
      </c>
      <c r="P43" s="262">
        <f t="shared" si="29"/>
        <v>0.63854040841906978</v>
      </c>
      <c r="Q43" s="262">
        <f t="shared" si="29"/>
        <v>0.61538223264857128</v>
      </c>
      <c r="R43" s="262">
        <f t="shared" si="29"/>
        <v>0.61434710876793253</v>
      </c>
      <c r="S43" s="262">
        <f t="shared" si="29"/>
        <v>0.61329887429541663</v>
      </c>
      <c r="T43" s="262">
        <f t="shared" ref="T43" si="30">T42/T20</f>
        <v>0.61218142811635479</v>
      </c>
    </row>
    <row r="44" spans="1:21" s="10" customFormat="1" x14ac:dyDescent="0.55000000000000004">
      <c r="C44" s="10" t="s">
        <v>90</v>
      </c>
      <c r="L44" s="24">
        <f>L49</f>
        <v>18.623038999999999</v>
      </c>
      <c r="M44" s="24">
        <f t="shared" ref="M44:S44" si="31">M49</f>
        <v>309.49833000000001</v>
      </c>
      <c r="N44" s="24">
        <f t="shared" si="31"/>
        <v>738.17505886221943</v>
      </c>
      <c r="O44" s="24">
        <f t="shared" si="31"/>
        <v>1047.6733888622193</v>
      </c>
      <c r="P44" s="24">
        <f t="shared" si="31"/>
        <v>1886.7180504241715</v>
      </c>
      <c r="Q44" s="24">
        <f t="shared" si="31"/>
        <v>1994.7124194718685</v>
      </c>
      <c r="R44" s="24">
        <f t="shared" si="31"/>
        <v>2121.659437927799</v>
      </c>
      <c r="S44" s="24">
        <f t="shared" si="31"/>
        <v>2243.7552404094818</v>
      </c>
      <c r="T44" s="24">
        <f t="shared" ref="T44" si="32">T49</f>
        <v>2371.0464045450308</v>
      </c>
      <c r="U44" s="3"/>
    </row>
    <row r="45" spans="1:21" s="10" customFormat="1" x14ac:dyDescent="0.55000000000000004">
      <c r="C45" s="10" t="s">
        <v>91</v>
      </c>
      <c r="L45" s="24">
        <f>L62</f>
        <v>43.055838999999999</v>
      </c>
      <c r="M45" s="24">
        <f t="shared" ref="M45:S45" si="33">M62</f>
        <v>5821.6406710000001</v>
      </c>
      <c r="N45" s="24">
        <f t="shared" si="33"/>
        <v>11215.632455475577</v>
      </c>
      <c r="O45" s="24">
        <f t="shared" si="33"/>
        <v>17037.273126475578</v>
      </c>
      <c r="P45" s="24">
        <f t="shared" si="33"/>
        <v>18184.138911548242</v>
      </c>
      <c r="Q45" s="24">
        <f t="shared" si="33"/>
        <v>18647.907353834875</v>
      </c>
      <c r="R45" s="24">
        <f t="shared" si="33"/>
        <v>19913.610182069307</v>
      </c>
      <c r="S45" s="24">
        <f t="shared" si="33"/>
        <v>21182.673388034804</v>
      </c>
      <c r="T45" s="24">
        <f t="shared" ref="T45" si="34">T62</f>
        <v>22505.224393798158</v>
      </c>
      <c r="U45" s="3"/>
    </row>
    <row r="46" spans="1:21" s="10" customFormat="1" x14ac:dyDescent="0.55000000000000004">
      <c r="B46" s="14"/>
      <c r="C46" s="14" t="s">
        <v>92</v>
      </c>
      <c r="D46" s="14"/>
      <c r="E46" s="14"/>
      <c r="F46" s="14"/>
      <c r="G46" s="14"/>
      <c r="H46" s="14"/>
      <c r="I46" s="14"/>
      <c r="J46" s="14"/>
      <c r="K46" s="14"/>
      <c r="L46" s="26">
        <f>L90</f>
        <v>15.154694000000001</v>
      </c>
      <c r="M46" s="26">
        <f t="shared" ref="M46:S46" si="35">M90</f>
        <v>337.35601100000002</v>
      </c>
      <c r="N46" s="26">
        <f t="shared" si="35"/>
        <v>349.61399201150005</v>
      </c>
      <c r="O46" s="26">
        <f t="shared" si="35"/>
        <v>686.97000301150001</v>
      </c>
      <c r="P46" s="26">
        <f t="shared" si="35"/>
        <v>709.62354566155625</v>
      </c>
      <c r="Q46" s="26">
        <f t="shared" si="35"/>
        <v>720.52214938824113</v>
      </c>
      <c r="R46" s="26">
        <f t="shared" si="35"/>
        <v>734.45736979165679</v>
      </c>
      <c r="S46" s="26">
        <f t="shared" si="35"/>
        <v>748.15121572271653</v>
      </c>
      <c r="T46" s="26">
        <f t="shared" ref="T46" si="36">T90</f>
        <v>756.08811514956415</v>
      </c>
      <c r="U46" s="3"/>
    </row>
    <row r="47" spans="1:21" s="10" customFormat="1" x14ac:dyDescent="0.55000000000000004">
      <c r="L47" s="24"/>
      <c r="M47" s="24"/>
      <c r="N47" s="24"/>
      <c r="O47" s="24"/>
      <c r="P47" s="24"/>
      <c r="Q47" s="24"/>
      <c r="R47" s="24"/>
      <c r="S47" s="24"/>
      <c r="T47" s="24"/>
      <c r="U47" s="3"/>
    </row>
    <row r="48" spans="1:21" s="10" customFormat="1" x14ac:dyDescent="0.55000000000000004">
      <c r="B48" s="844"/>
      <c r="C48" s="844"/>
      <c r="D48" s="844"/>
      <c r="E48" s="844"/>
      <c r="F48" s="844"/>
      <c r="G48" s="844"/>
      <c r="H48" s="844"/>
      <c r="I48" s="844"/>
      <c r="J48" s="844"/>
      <c r="K48" s="844"/>
      <c r="L48" s="845" t="s">
        <v>2</v>
      </c>
      <c r="M48" s="845" t="s">
        <v>3</v>
      </c>
      <c r="N48" s="845" t="s">
        <v>4</v>
      </c>
      <c r="O48" s="845" t="s">
        <v>5</v>
      </c>
      <c r="P48" s="845" t="s">
        <v>6</v>
      </c>
      <c r="Q48" s="845" t="s">
        <v>7</v>
      </c>
      <c r="R48" s="845" t="s">
        <v>8</v>
      </c>
      <c r="S48" s="845" t="s">
        <v>9</v>
      </c>
      <c r="T48" s="845" t="s">
        <v>1480</v>
      </c>
      <c r="U48" s="3"/>
    </row>
    <row r="49" spans="2:21" s="10" customFormat="1" x14ac:dyDescent="0.55000000000000004">
      <c r="B49" s="12" t="s">
        <v>90</v>
      </c>
      <c r="C49" s="12"/>
      <c r="D49" s="12"/>
      <c r="E49" s="12"/>
      <c r="F49" s="12"/>
      <c r="G49" s="12"/>
      <c r="H49" s="12"/>
      <c r="I49" s="12"/>
      <c r="J49" s="12"/>
      <c r="K49" s="12"/>
      <c r="L49" s="18">
        <f>L51+L54+L56+L58</f>
        <v>18.623038999999999</v>
      </c>
      <c r="M49" s="18">
        <f t="shared" ref="M49:S49" si="37">M51+M54+M56+M58</f>
        <v>309.49833000000001</v>
      </c>
      <c r="N49" s="18">
        <f t="shared" si="37"/>
        <v>738.17505886221943</v>
      </c>
      <c r="O49" s="18">
        <f t="shared" si="37"/>
        <v>1047.6733888622193</v>
      </c>
      <c r="P49" s="18">
        <f t="shared" si="37"/>
        <v>1886.7180504241715</v>
      </c>
      <c r="Q49" s="18">
        <f t="shared" si="37"/>
        <v>1994.7124194718685</v>
      </c>
      <c r="R49" s="18">
        <f t="shared" si="37"/>
        <v>2121.659437927799</v>
      </c>
      <c r="S49" s="18">
        <f t="shared" si="37"/>
        <v>2243.7552404094818</v>
      </c>
      <c r="T49" s="18">
        <f t="shared" ref="T49" si="38">T51+T54+T56+T58</f>
        <v>2371.0464045450308</v>
      </c>
      <c r="U49" s="3"/>
    </row>
    <row r="50" spans="2:21" s="10" customFormat="1" x14ac:dyDescent="0.55000000000000004">
      <c r="B50" s="3" t="s">
        <v>89</v>
      </c>
      <c r="C50" s="3"/>
      <c r="D50" s="3"/>
      <c r="E50" s="3"/>
      <c r="F50" s="3"/>
      <c r="G50" s="3"/>
      <c r="H50" s="3"/>
      <c r="I50" s="3"/>
      <c r="J50" s="3"/>
      <c r="K50" s="3"/>
      <c r="L50" s="262">
        <f>L49/L$20</f>
        <v>0.93583110552763815</v>
      </c>
      <c r="M50" s="262">
        <f t="shared" ref="M50:S50" si="39">M49/M$20</f>
        <v>3.0146779996467855E-2</v>
      </c>
      <c r="N50" s="262">
        <f t="shared" si="39"/>
        <v>4.4551556566296183E-2</v>
      </c>
      <c r="O50" s="262">
        <f t="shared" si="39"/>
        <v>3.904073913750146E-2</v>
      </c>
      <c r="P50" s="262">
        <f t="shared" si="39"/>
        <v>5.7974872816194171E-2</v>
      </c>
      <c r="Q50" s="262">
        <f t="shared" si="39"/>
        <v>5.7459271984819545E-2</v>
      </c>
      <c r="R50" s="262">
        <f t="shared" si="39"/>
        <v>5.7244223528269557E-2</v>
      </c>
      <c r="S50" s="262">
        <f t="shared" si="39"/>
        <v>5.6923122222105944E-2</v>
      </c>
      <c r="T50" s="262">
        <f t="shared" ref="T50" si="40">T49/T$20</f>
        <v>5.6628052804787186E-2</v>
      </c>
      <c r="U50" s="3"/>
    </row>
    <row r="51" spans="2:21" s="10" customFormat="1" x14ac:dyDescent="0.55000000000000004">
      <c r="C51" s="10" t="s">
        <v>94</v>
      </c>
      <c r="L51" s="24">
        <f>연결정산표!E109/10^6</f>
        <v>17.82422</v>
      </c>
      <c r="M51" s="24">
        <f>연결정산표!T109/10^6</f>
        <v>251.62647000000001</v>
      </c>
      <c r="N51" s="24">
        <f>N52*N53/2</f>
        <v>553.57823400000007</v>
      </c>
      <c r="O51" s="24">
        <f>N51+M51</f>
        <v>805.20470400000011</v>
      </c>
      <c r="P51" s="24">
        <f>P52*P53</f>
        <v>1450.0647486838504</v>
      </c>
      <c r="Q51" s="24">
        <f t="shared" ref="Q51:S51" si="41">Q52*Q53</f>
        <v>1533.0654003059694</v>
      </c>
      <c r="R51" s="24">
        <f t="shared" si="41"/>
        <v>1630.6323877909715</v>
      </c>
      <c r="S51" s="24">
        <f t="shared" si="41"/>
        <v>1724.4709022956431</v>
      </c>
      <c r="T51" s="24">
        <f t="shared" ref="T51" si="42">T52*T53</f>
        <v>1822.3023879754417</v>
      </c>
      <c r="U51" s="3"/>
    </row>
    <row r="52" spans="2:21" s="10" customFormat="1" x14ac:dyDescent="0.55000000000000004">
      <c r="D52" s="10" t="s">
        <v>95</v>
      </c>
      <c r="L52" s="24">
        <f>HR!B16/12</f>
        <v>0.5</v>
      </c>
      <c r="M52" s="24">
        <f>AVERAGE(HR!B16:G16)</f>
        <v>11.666666666666666</v>
      </c>
      <c r="N52" s="24">
        <f>AVERAGE(HR!H16:M16)</f>
        <v>25.666666666666668</v>
      </c>
      <c r="O52" s="24">
        <f>O51/O53</f>
        <v>18.666666666666668</v>
      </c>
      <c r="P52" s="24">
        <f>31+2</f>
        <v>33</v>
      </c>
      <c r="Q52" s="24">
        <f>P52+1</f>
        <v>34</v>
      </c>
      <c r="R52" s="24">
        <f>Q52+1</f>
        <v>35</v>
      </c>
      <c r="S52" s="24">
        <f t="shared" ref="S52:T52" si="43">R52+1</f>
        <v>36</v>
      </c>
      <c r="T52" s="24">
        <f t="shared" si="43"/>
        <v>37</v>
      </c>
      <c r="U52" s="3" t="s">
        <v>1507</v>
      </c>
    </row>
    <row r="53" spans="2:21" s="10" customFormat="1" x14ac:dyDescent="0.55000000000000004">
      <c r="D53" s="10" t="s">
        <v>96</v>
      </c>
      <c r="L53" s="24">
        <f>L51/L52</f>
        <v>35.648440000000001</v>
      </c>
      <c r="M53" s="24">
        <f>M51/M52*2</f>
        <v>43.135966285714289</v>
      </c>
      <c r="N53" s="24">
        <f>M53</f>
        <v>43.135966285714289</v>
      </c>
      <c r="O53" s="24">
        <f>M53</f>
        <v>43.135966285714289</v>
      </c>
      <c r="P53" s="24">
        <f>O53*(1+'Key Assumption'!P$14)</f>
        <v>43.941356020722743</v>
      </c>
      <c r="Q53" s="24">
        <f>P53*(1+'Key Assumption'!Q$14)</f>
        <v>45.090158832528516</v>
      </c>
      <c r="R53" s="24">
        <f>Q53*(1+'Key Assumption'!R$14)</f>
        <v>46.58949679402776</v>
      </c>
      <c r="S53" s="24">
        <f>R53*(1+'Key Assumption'!S$14)</f>
        <v>47.901969508212311</v>
      </c>
      <c r="T53" s="24">
        <f>S53*(1+'Key Assumption'!T$14)</f>
        <v>49.251415891228156</v>
      </c>
      <c r="U53" s="3"/>
    </row>
    <row r="54" spans="2:21" s="10" customFormat="1" x14ac:dyDescent="0.55000000000000004">
      <c r="C54" s="10" t="s">
        <v>97</v>
      </c>
      <c r="L54" s="24">
        <f>연결정산표!E110/10^6</f>
        <v>0.79881899999999995</v>
      </c>
      <c r="M54" s="24">
        <f>연결정산표!T110/10^6</f>
        <v>57.871859999999998</v>
      </c>
      <c r="N54" s="24">
        <v>0</v>
      </c>
      <c r="O54" s="24">
        <f>N54+M54</f>
        <v>57.871859999999998</v>
      </c>
      <c r="P54" s="24">
        <f>P55*P$51</f>
        <v>104.21939130495562</v>
      </c>
      <c r="Q54" s="24">
        <f t="shared" ref="Q54:T54" si="44">Q55*Q$51</f>
        <v>110.18483346733032</v>
      </c>
      <c r="R54" s="24">
        <f t="shared" si="44"/>
        <v>117.197190713015</v>
      </c>
      <c r="S54" s="24">
        <f t="shared" si="44"/>
        <v>123.94157428037967</v>
      </c>
      <c r="T54" s="24">
        <f t="shared" si="44"/>
        <v>130.97294160191646</v>
      </c>
      <c r="U54" s="3"/>
    </row>
    <row r="55" spans="2:21" s="10" customFormat="1" x14ac:dyDescent="0.55000000000000004">
      <c r="D55" s="10" t="s">
        <v>98</v>
      </c>
      <c r="I55" s="236">
        <f>O55</f>
        <v>7.1872232877566486E-2</v>
      </c>
      <c r="L55" s="232">
        <f>L54/L$51</f>
        <v>4.4816491268622131E-2</v>
      </c>
      <c r="M55" s="232">
        <f t="shared" ref="M55" si="45">M54/M$51</f>
        <v>0.22999114520821276</v>
      </c>
      <c r="N55" s="232">
        <v>0</v>
      </c>
      <c r="O55" s="232">
        <f>O54/O$51</f>
        <v>7.1872232877566486E-2</v>
      </c>
      <c r="P55" s="232">
        <f>$I55</f>
        <v>7.1872232877566486E-2</v>
      </c>
      <c r="Q55" s="232">
        <f t="shared" ref="Q55:T55" si="46">$I55</f>
        <v>7.1872232877566486E-2</v>
      </c>
      <c r="R55" s="232">
        <f t="shared" si="46"/>
        <v>7.1872232877566486E-2</v>
      </c>
      <c r="S55" s="232">
        <f t="shared" si="46"/>
        <v>7.1872232877566486E-2</v>
      </c>
      <c r="T55" s="232">
        <f t="shared" si="46"/>
        <v>7.1872232877566486E-2</v>
      </c>
      <c r="U55" s="3"/>
    </row>
    <row r="56" spans="2:21" s="10" customFormat="1" x14ac:dyDescent="0.55000000000000004">
      <c r="C56" s="10" t="s">
        <v>99</v>
      </c>
      <c r="I56" s="3"/>
      <c r="L56" s="24">
        <f>연결정산표!E112/10^6</f>
        <v>0</v>
      </c>
      <c r="M56" s="24">
        <f>연결정산표!T112/10^6</f>
        <v>0</v>
      </c>
      <c r="N56" s="24">
        <f>O56</f>
        <v>67.100391999999999</v>
      </c>
      <c r="O56" s="24">
        <f>O57*O$51</f>
        <v>67.100391999999999</v>
      </c>
      <c r="P56" s="24">
        <f>P57*P$51</f>
        <v>120.83872905698753</v>
      </c>
      <c r="Q56" s="24">
        <f t="shared" ref="Q56" si="47">Q57*Q$51</f>
        <v>127.75545002549745</v>
      </c>
      <c r="R56" s="24">
        <f t="shared" ref="R56" si="48">R57*R$51</f>
        <v>135.88603231591429</v>
      </c>
      <c r="S56" s="24">
        <f t="shared" ref="S56:T56" si="49">S57*S$51</f>
        <v>143.70590852463692</v>
      </c>
      <c r="T56" s="24">
        <f t="shared" si="49"/>
        <v>151.8585323312868</v>
      </c>
      <c r="U56" s="3"/>
    </row>
    <row r="57" spans="2:21" s="10" customFormat="1" x14ac:dyDescent="0.55000000000000004">
      <c r="B57" s="3"/>
      <c r="C57" s="3"/>
      <c r="D57" s="3" t="s">
        <v>98</v>
      </c>
      <c r="E57" s="3"/>
      <c r="F57" s="3"/>
      <c r="G57" s="3"/>
      <c r="H57" s="3"/>
      <c r="I57" s="236">
        <f>1/12</f>
        <v>8.3333333333333329E-2</v>
      </c>
      <c r="J57" s="3"/>
      <c r="K57" s="3"/>
      <c r="L57" s="232">
        <f>L56/L$51</f>
        <v>0</v>
      </c>
      <c r="M57" s="232">
        <f t="shared" ref="M57:N57" si="50">M56/M$51</f>
        <v>0</v>
      </c>
      <c r="N57" s="232">
        <f t="shared" si="50"/>
        <v>0.1212121212121212</v>
      </c>
      <c r="O57" s="232">
        <f>I57</f>
        <v>8.3333333333333329E-2</v>
      </c>
      <c r="P57" s="232">
        <f t="shared" ref="P57:T59" si="51">$I57</f>
        <v>8.3333333333333329E-2</v>
      </c>
      <c r="Q57" s="232">
        <f t="shared" si="51"/>
        <v>8.3333333333333329E-2</v>
      </c>
      <c r="R57" s="232">
        <f t="shared" si="51"/>
        <v>8.3333333333333329E-2</v>
      </c>
      <c r="S57" s="232">
        <f t="shared" si="51"/>
        <v>8.3333333333333329E-2</v>
      </c>
      <c r="T57" s="232">
        <f t="shared" si="51"/>
        <v>8.3333333333333329E-2</v>
      </c>
      <c r="U57" s="3"/>
    </row>
    <row r="58" spans="2:21" s="10" customFormat="1" x14ac:dyDescent="0.55000000000000004">
      <c r="C58" s="10" t="s">
        <v>100</v>
      </c>
      <c r="I58" s="3"/>
      <c r="L58" s="24">
        <f>연결정산표!E113/10^6</f>
        <v>0</v>
      </c>
      <c r="M58" s="24">
        <f>연결정산표!T113/10^6</f>
        <v>0</v>
      </c>
      <c r="N58" s="24">
        <f>O58-M58</f>
        <v>117.49643286221931</v>
      </c>
      <c r="O58" s="24">
        <f>O59*O$51</f>
        <v>117.49643286221931</v>
      </c>
      <c r="P58" s="24">
        <f>P59*P$51</f>
        <v>211.5951813783777</v>
      </c>
      <c r="Q58" s="24">
        <f t="shared" ref="Q58" si="52">Q59*Q$51</f>
        <v>223.70673567307139</v>
      </c>
      <c r="R58" s="24">
        <f t="shared" ref="R58" si="53">R59*R$51</f>
        <v>237.94382710789804</v>
      </c>
      <c r="S58" s="24">
        <f t="shared" ref="S58:T58" si="54">S59*S$51</f>
        <v>251.63685530882191</v>
      </c>
      <c r="T58" s="24">
        <f t="shared" si="54"/>
        <v>265.91254263638575</v>
      </c>
      <c r="U58" s="3"/>
    </row>
    <row r="59" spans="2:21" s="10" customFormat="1" x14ac:dyDescent="0.55000000000000004">
      <c r="B59" s="17"/>
      <c r="C59" s="17"/>
      <c r="D59" s="17" t="s">
        <v>101</v>
      </c>
      <c r="E59" s="17"/>
      <c r="F59" s="17"/>
      <c r="G59" s="17"/>
      <c r="H59" s="17"/>
      <c r="I59" s="236">
        <f>TITAN!I59</f>
        <v>0.14592119529174943</v>
      </c>
      <c r="J59" s="17"/>
      <c r="K59" s="17"/>
      <c r="L59" s="231">
        <f>L58/L$51</f>
        <v>0</v>
      </c>
      <c r="M59" s="231">
        <f t="shared" ref="M59" si="55">M58/M$51</f>
        <v>0</v>
      </c>
      <c r="N59" s="231">
        <v>0</v>
      </c>
      <c r="O59" s="231">
        <f>I59</f>
        <v>0.14592119529174943</v>
      </c>
      <c r="P59" s="231">
        <f t="shared" si="51"/>
        <v>0.14592119529174943</v>
      </c>
      <c r="Q59" s="231">
        <f t="shared" si="51"/>
        <v>0.14592119529174943</v>
      </c>
      <c r="R59" s="231">
        <f t="shared" si="51"/>
        <v>0.14592119529174943</v>
      </c>
      <c r="S59" s="231">
        <f t="shared" si="51"/>
        <v>0.14592119529174943</v>
      </c>
      <c r="T59" s="231">
        <f t="shared" si="51"/>
        <v>0.14592119529174943</v>
      </c>
      <c r="U59" s="3" t="s">
        <v>2117</v>
      </c>
    </row>
    <row r="60" spans="2:21" s="10" customFormat="1" x14ac:dyDescent="0.55000000000000004">
      <c r="L60" s="24"/>
      <c r="M60" s="24"/>
      <c r="N60" s="24"/>
      <c r="O60" s="24"/>
      <c r="P60" s="24"/>
      <c r="Q60" s="24"/>
      <c r="R60" s="24"/>
      <c r="S60" s="24"/>
      <c r="T60" s="24"/>
      <c r="U60" s="3"/>
    </row>
    <row r="61" spans="2:21" s="10" customFormat="1" x14ac:dyDescent="0.55000000000000004">
      <c r="B61" s="844"/>
      <c r="C61" s="844"/>
      <c r="D61" s="844"/>
      <c r="E61" s="844"/>
      <c r="F61" s="844"/>
      <c r="G61" s="844"/>
      <c r="H61" s="844"/>
      <c r="I61" s="844"/>
      <c r="J61" s="844"/>
      <c r="K61" s="844"/>
      <c r="L61" s="845" t="s">
        <v>2</v>
      </c>
      <c r="M61" s="845" t="s">
        <v>3</v>
      </c>
      <c r="N61" s="845" t="s">
        <v>4</v>
      </c>
      <c r="O61" s="845" t="s">
        <v>5</v>
      </c>
      <c r="P61" s="845" t="s">
        <v>6</v>
      </c>
      <c r="Q61" s="845" t="s">
        <v>7</v>
      </c>
      <c r="R61" s="845" t="s">
        <v>8</v>
      </c>
      <c r="S61" s="845" t="s">
        <v>9</v>
      </c>
      <c r="T61" s="845" t="s">
        <v>1480</v>
      </c>
      <c r="U61" s="3"/>
    </row>
    <row r="62" spans="2:21" s="10" customFormat="1" x14ac:dyDescent="0.55000000000000004">
      <c r="B62" s="4" t="s">
        <v>91</v>
      </c>
      <c r="C62" s="4"/>
      <c r="D62" s="4"/>
      <c r="E62" s="4"/>
      <c r="F62" s="4"/>
      <c r="G62" s="4"/>
      <c r="H62" s="4"/>
      <c r="I62" s="4"/>
      <c r="J62" s="4"/>
      <c r="K62" s="4"/>
      <c r="L62" s="23">
        <f t="shared" ref="L62:T62" si="56">L64+L69+L82</f>
        <v>43.055838999999999</v>
      </c>
      <c r="M62" s="23">
        <f t="shared" si="56"/>
        <v>5821.6406710000001</v>
      </c>
      <c r="N62" s="23">
        <f t="shared" si="56"/>
        <v>11215.632455475577</v>
      </c>
      <c r="O62" s="23">
        <f t="shared" si="56"/>
        <v>17037.273126475578</v>
      </c>
      <c r="P62" s="23">
        <f t="shared" si="56"/>
        <v>18184.138911548242</v>
      </c>
      <c r="Q62" s="23">
        <f t="shared" si="56"/>
        <v>18647.907353834875</v>
      </c>
      <c r="R62" s="23">
        <f t="shared" si="56"/>
        <v>19913.610182069307</v>
      </c>
      <c r="S62" s="23">
        <f t="shared" si="56"/>
        <v>21182.673388034804</v>
      </c>
      <c r="T62" s="23">
        <f t="shared" si="56"/>
        <v>22505.224393798158</v>
      </c>
      <c r="U62" s="3"/>
    </row>
    <row r="63" spans="2:21" s="10" customFormat="1" x14ac:dyDescent="0.55000000000000004">
      <c r="B63" s="3" t="s">
        <v>89</v>
      </c>
      <c r="L63" s="262">
        <f>L62/L$20</f>
        <v>2.1636100000000003</v>
      </c>
      <c r="M63" s="262">
        <f t="shared" ref="M63" si="57">M62/M$20</f>
        <v>0.56705869956431265</v>
      </c>
      <c r="N63" s="262">
        <f t="shared" ref="N63" si="58">N62/N$20</f>
        <v>0.67690431662250428</v>
      </c>
      <c r="O63" s="262">
        <f t="shared" ref="O63" si="59">O62/O$20</f>
        <v>0.63488081573538102</v>
      </c>
      <c r="P63" s="262">
        <f t="shared" ref="P63" si="60">P62/P$20</f>
        <v>0.55876029830318663</v>
      </c>
      <c r="Q63" s="262">
        <f t="shared" ref="Q63" si="61">Q62/Q$20</f>
        <v>0.53716774916125998</v>
      </c>
      <c r="R63" s="262">
        <f t="shared" ref="R63" si="62">R62/R$20</f>
        <v>0.53728658433069065</v>
      </c>
      <c r="S63" s="262">
        <f t="shared" ref="S63:T63" si="63">S62/S$20</f>
        <v>0.53739547190450354</v>
      </c>
      <c r="T63" s="262">
        <f t="shared" si="63"/>
        <v>0.53749561076183605</v>
      </c>
      <c r="U63" s="3"/>
    </row>
    <row r="64" spans="2:21" s="10" customFormat="1" x14ac:dyDescent="0.55000000000000004">
      <c r="C64" s="10" t="s">
        <v>102</v>
      </c>
      <c r="L64" s="24">
        <v>0</v>
      </c>
      <c r="M64" s="24">
        <f>M65+M67</f>
        <v>4112.1825179999996</v>
      </c>
      <c r="N64" s="24">
        <f t="shared" ref="N64:T64" si="64">N65+N67</f>
        <v>8562.0252458722389</v>
      </c>
      <c r="O64" s="24">
        <f t="shared" si="64"/>
        <v>12674.207763872239</v>
      </c>
      <c r="P64" s="24">
        <f t="shared" si="64"/>
        <v>14441.234676545979</v>
      </c>
      <c r="Q64" s="24">
        <f t="shared" si="64"/>
        <v>15448.281817762911</v>
      </c>
      <c r="R64" s="24">
        <f t="shared" si="64"/>
        <v>16493.165452958168</v>
      </c>
      <c r="S64" s="24">
        <f t="shared" si="64"/>
        <v>17540.694238210039</v>
      </c>
      <c r="T64" s="24">
        <f t="shared" si="64"/>
        <v>18632.384441326616</v>
      </c>
      <c r="U64" s="3"/>
    </row>
    <row r="65" spans="2:26" s="10" customFormat="1" x14ac:dyDescent="0.55000000000000004">
      <c r="D65" s="10" t="s">
        <v>1330</v>
      </c>
      <c r="I65" s="31"/>
      <c r="L65" s="24">
        <v>0</v>
      </c>
      <c r="M65" s="28">
        <f>연결정산표!T136/10^6</f>
        <v>3440.980317</v>
      </c>
      <c r="N65" s="24">
        <f>N66*(N21-N67)</f>
        <v>7220.5733347683772</v>
      </c>
      <c r="O65" s="24">
        <f>N65+M65</f>
        <v>10661.553651768378</v>
      </c>
      <c r="P65" s="24">
        <f t="shared" ref="P65:T65" si="65">P66*(P21-P67)</f>
        <v>12000.455647492439</v>
      </c>
      <c r="Q65" s="24">
        <f t="shared" si="65"/>
        <v>12844.638814769161</v>
      </c>
      <c r="R65" s="24">
        <f t="shared" si="65"/>
        <v>13713.418466504545</v>
      </c>
      <c r="S65" s="24">
        <f t="shared" si="65"/>
        <v>14584.397456489245</v>
      </c>
      <c r="T65" s="24">
        <f t="shared" si="65"/>
        <v>15492.094928743478</v>
      </c>
      <c r="U65" s="3"/>
    </row>
    <row r="66" spans="2:26" s="10" customFormat="1" x14ac:dyDescent="0.55000000000000004">
      <c r="B66" s="3"/>
      <c r="C66" s="3"/>
      <c r="D66" s="3"/>
      <c r="E66" s="3" t="s">
        <v>103</v>
      </c>
      <c r="F66" s="3"/>
      <c r="G66" s="3"/>
      <c r="H66" s="3"/>
      <c r="I66" s="236">
        <v>0.4</v>
      </c>
      <c r="J66" s="3"/>
      <c r="K66" s="3"/>
      <c r="L66" s="31">
        <v>0</v>
      </c>
      <c r="M66" s="232">
        <f>M65/M20</f>
        <v>0.33516974579079384</v>
      </c>
      <c r="N66" s="232">
        <f>AVERAGE(M87,I66)</f>
        <v>0.47417810843883784</v>
      </c>
      <c r="O66" s="833">
        <f>O65/O20</f>
        <v>0.39729455700998506</v>
      </c>
      <c r="P66" s="232">
        <f>AVERAGE(O66,Q66)</f>
        <v>0.39864727850499254</v>
      </c>
      <c r="Q66" s="232">
        <f>$I66</f>
        <v>0.4</v>
      </c>
      <c r="R66" s="232">
        <f t="shared" ref="R66:T66" si="66">$I66</f>
        <v>0.4</v>
      </c>
      <c r="S66" s="232">
        <f t="shared" si="66"/>
        <v>0.4</v>
      </c>
      <c r="T66" s="232">
        <f t="shared" si="66"/>
        <v>0.4</v>
      </c>
      <c r="U66" s="3" t="s">
        <v>2713</v>
      </c>
      <c r="V66" s="28"/>
      <c r="W66" s="31"/>
      <c r="Z66" s="10">
        <f>(I66+(SUM(클래스매출!N21:N26,클래스매출!N28:N31,클래스매출!N33:N36,클래스매출!N32,클래스매출!N37:N50,클래스매출!N52,클래스매출!N54:N69)/(SUM(클래스매출!J21:J26,클래스매출!J28:J31,클래스매출!J32:J36,클래스매출!J37:J50,클래스매출!J52,클래스매출!J54:J69)*0.925)+I66)/2)/2</f>
        <v>0.43091762336196271</v>
      </c>
    </row>
    <row r="67" spans="2:26" s="10" customFormat="1" x14ac:dyDescent="0.55000000000000004">
      <c r="D67" s="10" t="s">
        <v>1331</v>
      </c>
      <c r="I67" s="31"/>
      <c r="L67" s="24">
        <v>0</v>
      </c>
      <c r="M67" s="28">
        <f>비용취합!B21/10^6</f>
        <v>671.20220099999995</v>
      </c>
      <c r="N67" s="24">
        <f>O67-M67</f>
        <v>1341.4519111038608</v>
      </c>
      <c r="O67" s="24">
        <f>O21*O68</f>
        <v>2012.6541121038608</v>
      </c>
      <c r="P67" s="24">
        <f t="shared" ref="P67:T67" si="67">P68*P$20</f>
        <v>2440.7790290535395</v>
      </c>
      <c r="Q67" s="24">
        <f t="shared" si="67"/>
        <v>2603.6430029937487</v>
      </c>
      <c r="R67" s="24">
        <f t="shared" si="67"/>
        <v>2779.7469864536238</v>
      </c>
      <c r="S67" s="24">
        <f t="shared" si="67"/>
        <v>2956.2967817207923</v>
      </c>
      <c r="T67" s="24">
        <f t="shared" si="67"/>
        <v>3140.2895125831369</v>
      </c>
      <c r="U67" s="3"/>
    </row>
    <row r="68" spans="2:26" s="10" customFormat="1" x14ac:dyDescent="0.55000000000000004">
      <c r="E68" s="3" t="s">
        <v>103</v>
      </c>
      <c r="I68" s="236">
        <v>7.4999999999999997E-2</v>
      </c>
      <c r="L68" s="31">
        <v>0</v>
      </c>
      <c r="M68" s="262">
        <f>M67/M$20</f>
        <v>6.5378656765908857E-2</v>
      </c>
      <c r="N68" s="262">
        <f>N67/N$20</f>
        <v>8.0961514455156758E-2</v>
      </c>
      <c r="O68" s="839">
        <f>I68</f>
        <v>7.4999999999999997E-2</v>
      </c>
      <c r="P68" s="262">
        <f t="shared" ref="P68:T68" si="68">$I68</f>
        <v>7.4999999999999997E-2</v>
      </c>
      <c r="Q68" s="262">
        <f t="shared" si="68"/>
        <v>7.4999999999999997E-2</v>
      </c>
      <c r="R68" s="262">
        <f t="shared" si="68"/>
        <v>7.4999999999999997E-2</v>
      </c>
      <c r="S68" s="262">
        <f t="shared" si="68"/>
        <v>7.4999999999999997E-2</v>
      </c>
      <c r="T68" s="262">
        <f t="shared" si="68"/>
        <v>7.4999999999999997E-2</v>
      </c>
      <c r="U68" s="3"/>
    </row>
    <row r="69" spans="2:26" s="10" customFormat="1" x14ac:dyDescent="0.55000000000000004">
      <c r="C69" s="10" t="s">
        <v>104</v>
      </c>
      <c r="L69" s="24">
        <f>연결정산표!E131/10^6</f>
        <v>43.055838999999999</v>
      </c>
      <c r="M69" s="24">
        <f>연결정산표!T131/10^6</f>
        <v>1636.5120629999999</v>
      </c>
      <c r="N69" s="24">
        <f>N70+N76</f>
        <v>2535.878841291189</v>
      </c>
      <c r="O69" s="24">
        <f t="shared" ref="O69:S69" si="69">O70+O76</f>
        <v>4172.3909042911891</v>
      </c>
      <c r="P69" s="24">
        <f t="shared" si="69"/>
        <v>3511.6701563666893</v>
      </c>
      <c r="Q69" s="24">
        <f t="shared" si="69"/>
        <v>2952.9620799676723</v>
      </c>
      <c r="R69" s="24">
        <f t="shared" si="69"/>
        <v>3157.0975659302635</v>
      </c>
      <c r="S69" s="24">
        <f t="shared" si="69"/>
        <v>3361.9060443295903</v>
      </c>
      <c r="T69" s="24">
        <f t="shared" ref="T69" si="70">T70+T76</f>
        <v>3575.3357771866954</v>
      </c>
      <c r="U69" s="3"/>
    </row>
    <row r="70" spans="2:26" s="10" customFormat="1" x14ac:dyDescent="0.55000000000000004">
      <c r="B70" s="3"/>
      <c r="C70" s="3"/>
      <c r="D70" s="10" t="s">
        <v>65</v>
      </c>
      <c r="E70" s="3"/>
      <c r="F70" s="3"/>
      <c r="G70" s="3"/>
      <c r="H70" s="3"/>
      <c r="I70" s="236">
        <f>SUMIFS(클래스매출!$V:$V,클래스매출!$A:$A,CLASS!M$61,클래스매출!$C:$C,CLASS!$D70)/SUMIFS(클래스매출!$V:$V,클래스매출!$A:$A,CLASS!M$61)</f>
        <v>0.75233068977873518</v>
      </c>
      <c r="J70" s="3"/>
      <c r="K70" s="3"/>
      <c r="L70" s="438"/>
      <c r="M70" s="28">
        <f>I70*M69</f>
        <v>1231.1982491880108</v>
      </c>
      <c r="N70" s="28">
        <f>N71*N72*N75</f>
        <v>2495.34745990999</v>
      </c>
      <c r="O70" s="28">
        <f>N70+M70</f>
        <v>3726.5457090980008</v>
      </c>
      <c r="P70" s="28">
        <f t="shared" ref="P70:T70" si="71">P71*P72*P75</f>
        <v>3171.7228874456077</v>
      </c>
      <c r="Q70" s="28">
        <f t="shared" si="71"/>
        <v>2722.251200126565</v>
      </c>
      <c r="R70" s="28">
        <f t="shared" si="71"/>
        <v>2921.5417576124928</v>
      </c>
      <c r="S70" s="28">
        <f t="shared" si="71"/>
        <v>3121.8746756537821</v>
      </c>
      <c r="T70" s="28">
        <f t="shared" si="71"/>
        <v>3330.6084040828973</v>
      </c>
      <c r="U70" s="3"/>
    </row>
    <row r="71" spans="2:26" s="10" customFormat="1" x14ac:dyDescent="0.55000000000000004">
      <c r="E71" s="10" t="s">
        <v>66</v>
      </c>
      <c r="I71" s="31"/>
      <c r="L71" s="438"/>
      <c r="M71" s="28">
        <f>M24</f>
        <v>37</v>
      </c>
      <c r="N71" s="28">
        <f>N24</f>
        <v>56.400000000000006</v>
      </c>
      <c r="O71" s="28">
        <f>N71+M71</f>
        <v>93.4</v>
      </c>
      <c r="P71" s="28">
        <f>P24</f>
        <v>98.72</v>
      </c>
      <c r="Q71" s="28">
        <f>Q24</f>
        <v>104.03999999999999</v>
      </c>
      <c r="R71" s="28">
        <f>R24</f>
        <v>109.35999999999999</v>
      </c>
      <c r="S71" s="28">
        <f>S24</f>
        <v>114.67999999999998</v>
      </c>
      <c r="T71" s="28">
        <f>T24</f>
        <v>120</v>
      </c>
      <c r="U71" s="3"/>
    </row>
    <row r="72" spans="2:26" s="10" customFormat="1" x14ac:dyDescent="0.55000000000000004">
      <c r="E72" s="10" t="s">
        <v>1336</v>
      </c>
      <c r="I72" s="31"/>
      <c r="L72" s="438"/>
      <c r="M72" s="28">
        <f>M70/M71</f>
        <v>33.275628356432726</v>
      </c>
      <c r="N72" s="28">
        <f>N73*N74/1000</f>
        <v>50.564284901924815</v>
      </c>
      <c r="O72" s="28">
        <f>O73*O74/1000</f>
        <v>43.715459503817669</v>
      </c>
      <c r="P72" s="28">
        <f>P73*P74/1000</f>
        <v>51.405557332992018</v>
      </c>
      <c r="Q72" s="28">
        <f t="shared" ref="Q72:S72" si="72">Q73*Q74/1000</f>
        <v>52.330857364985874</v>
      </c>
      <c r="R72" s="28">
        <f t="shared" si="72"/>
        <v>53.429805369650573</v>
      </c>
      <c r="S72" s="28">
        <f t="shared" si="72"/>
        <v>54.444971671673926</v>
      </c>
      <c r="T72" s="28">
        <f t="shared" ref="T72" si="73">T73*T74/1000</f>
        <v>55.510140068048287</v>
      </c>
      <c r="U72" s="3"/>
    </row>
    <row r="73" spans="2:26" s="10" customFormat="1" x14ac:dyDescent="0.55000000000000004">
      <c r="F73" s="10" t="s">
        <v>1474</v>
      </c>
      <c r="I73" s="31"/>
      <c r="L73" s="438"/>
      <c r="M73" s="28">
        <f>M72*10^6/(M74)*1000/10^6</f>
        <v>11.302136587763446</v>
      </c>
      <c r="N73" s="28">
        <f>M73</f>
        <v>11.302136587763446</v>
      </c>
      <c r="O73" s="28">
        <f>N73</f>
        <v>11.302136587763446</v>
      </c>
      <c r="P73" s="28">
        <f>O73*(1+'Key Assumption'!P$12)</f>
        <v>11.490177928442613</v>
      </c>
      <c r="Q73" s="28">
        <f>P73*(1+'Key Assumption'!Q$12)</f>
        <v>11.697001131154581</v>
      </c>
      <c r="R73" s="28">
        <f>Q73*(1+'Key Assumption'!R$12)</f>
        <v>11.942638154908826</v>
      </c>
      <c r="S73" s="28">
        <f>R73*(1+'Key Assumption'!S$12)</f>
        <v>12.169548279852092</v>
      </c>
      <c r="T73" s="28">
        <f>S73*(1+'Key Assumption'!T$12)</f>
        <v>12.407634880466386</v>
      </c>
      <c r="U73" s="3"/>
    </row>
    <row r="74" spans="2:26" s="10" customFormat="1" x14ac:dyDescent="0.55000000000000004">
      <c r="F74" s="10" t="s">
        <v>1472</v>
      </c>
      <c r="I74" s="31"/>
      <c r="L74" s="438"/>
      <c r="M74" s="28">
        <f t="shared" ref="M74:T74" si="74">M26</f>
        <v>2944.1891891891892</v>
      </c>
      <c r="N74" s="28">
        <f t="shared" si="74"/>
        <v>4473.869565217391</v>
      </c>
      <c r="O74" s="28">
        <f t="shared" si="74"/>
        <v>3867.8933991248482</v>
      </c>
      <c r="P74" s="28">
        <f t="shared" si="74"/>
        <v>4473.869565217391</v>
      </c>
      <c r="Q74" s="28">
        <f t="shared" si="74"/>
        <v>4473.869565217391</v>
      </c>
      <c r="R74" s="28">
        <f t="shared" si="74"/>
        <v>4473.869565217391</v>
      </c>
      <c r="S74" s="28">
        <f t="shared" si="74"/>
        <v>4473.869565217391</v>
      </c>
      <c r="T74" s="28">
        <f t="shared" si="74"/>
        <v>4473.869565217391</v>
      </c>
      <c r="U74" s="3"/>
    </row>
    <row r="75" spans="2:26" s="31" customFormat="1" x14ac:dyDescent="0.55000000000000004">
      <c r="E75" s="31" t="s">
        <v>1506</v>
      </c>
      <c r="I75" s="236">
        <v>0.5</v>
      </c>
      <c r="J75" s="832" t="str">
        <f>P61</f>
        <v>2026F</v>
      </c>
      <c r="L75" s="438"/>
      <c r="M75" s="31">
        <v>1</v>
      </c>
      <c r="N75" s="31">
        <f>IF(J75=P61,(100%+75%)/2,(100%+(100%-50%/3))/2)</f>
        <v>0.875</v>
      </c>
      <c r="O75" s="31">
        <f>O70/(O71*O72)</f>
        <v>0.91269259848882578</v>
      </c>
      <c r="P75" s="31">
        <f>IF(J75=P61,(75%+50%)/2,(100%-50%/3+50%)/2)</f>
        <v>0.625</v>
      </c>
      <c r="Q75" s="31">
        <f>$I75</f>
        <v>0.5</v>
      </c>
      <c r="R75" s="31">
        <f t="shared" ref="R75:T75" si="75">$I75</f>
        <v>0.5</v>
      </c>
      <c r="S75" s="31">
        <f t="shared" si="75"/>
        <v>0.5</v>
      </c>
      <c r="T75" s="31">
        <f t="shared" si="75"/>
        <v>0.5</v>
      </c>
      <c r="U75" s="232"/>
    </row>
    <row r="76" spans="2:26" s="10" customFormat="1" x14ac:dyDescent="0.55000000000000004">
      <c r="D76" s="10" t="s">
        <v>68</v>
      </c>
      <c r="I76" s="236">
        <f>1-I70</f>
        <v>0.24766931022126482</v>
      </c>
      <c r="L76" s="438"/>
      <c r="M76" s="28">
        <f>M69-M70</f>
        <v>405.31381381198912</v>
      </c>
      <c r="N76" s="28">
        <f>N77*N78*N81</f>
        <v>40.531381381198912</v>
      </c>
      <c r="O76" s="28">
        <f>N76+M76</f>
        <v>445.84519519318803</v>
      </c>
      <c r="P76" s="28">
        <f t="shared" ref="P76:T76" si="76">P77*P78*P81</f>
        <v>339.94726892108179</v>
      </c>
      <c r="Q76" s="28">
        <f t="shared" si="76"/>
        <v>230.71087984110747</v>
      </c>
      <c r="R76" s="28">
        <f t="shared" si="76"/>
        <v>235.55580831777073</v>
      </c>
      <c r="S76" s="28">
        <f t="shared" si="76"/>
        <v>240.03136867580835</v>
      </c>
      <c r="T76" s="28">
        <f t="shared" si="76"/>
        <v>244.72737310379799</v>
      </c>
      <c r="U76" s="3"/>
    </row>
    <row r="77" spans="2:26" s="10" customFormat="1" x14ac:dyDescent="0.55000000000000004">
      <c r="E77" s="10" t="s">
        <v>66</v>
      </c>
      <c r="I77" s="31"/>
      <c r="L77" s="438"/>
      <c r="M77" s="28">
        <f t="shared" ref="M77:T77" si="77">M31</f>
        <v>10</v>
      </c>
      <c r="N77" s="28">
        <f t="shared" si="77"/>
        <v>1</v>
      </c>
      <c r="O77" s="28">
        <f t="shared" si="77"/>
        <v>11</v>
      </c>
      <c r="P77" s="28">
        <f t="shared" si="77"/>
        <v>11</v>
      </c>
      <c r="Q77" s="28">
        <f t="shared" si="77"/>
        <v>11</v>
      </c>
      <c r="R77" s="28">
        <f t="shared" si="77"/>
        <v>11</v>
      </c>
      <c r="S77" s="28">
        <f t="shared" si="77"/>
        <v>11</v>
      </c>
      <c r="T77" s="28">
        <f t="shared" si="77"/>
        <v>11</v>
      </c>
      <c r="U77" s="3"/>
    </row>
    <row r="78" spans="2:26" s="10" customFormat="1" x14ac:dyDescent="0.55000000000000004">
      <c r="E78" s="10" t="s">
        <v>1336</v>
      </c>
      <c r="I78" s="31"/>
      <c r="L78" s="438"/>
      <c r="M78" s="28">
        <f>M76/M77</f>
        <v>40.531381381198912</v>
      </c>
      <c r="N78" s="28">
        <f>N79*N80/1000</f>
        <v>40.531381381198912</v>
      </c>
      <c r="O78" s="28">
        <f>O79*O80/1000</f>
        <v>40.531381381198912</v>
      </c>
      <c r="P78" s="28">
        <f t="shared" ref="P78:S78" si="78">P79*P80/1000</f>
        <v>41.205729566191728</v>
      </c>
      <c r="Q78" s="28">
        <f t="shared" si="78"/>
        <v>41.947432698383174</v>
      </c>
      <c r="R78" s="28">
        <f t="shared" si="78"/>
        <v>42.828328785049223</v>
      </c>
      <c r="S78" s="28">
        <f t="shared" si="78"/>
        <v>43.642067031965155</v>
      </c>
      <c r="T78" s="28">
        <f t="shared" ref="T78" si="79">T79*T80/1000</f>
        <v>44.495886018872362</v>
      </c>
      <c r="U78" s="3"/>
    </row>
    <row r="79" spans="2:26" s="10" customFormat="1" x14ac:dyDescent="0.55000000000000004">
      <c r="F79" s="10" t="s">
        <v>1474</v>
      </c>
      <c r="I79" s="31"/>
      <c r="L79" s="438"/>
      <c r="M79" s="28">
        <f>M78*10^6/(M80)*1000/10^6</f>
        <v>12.518572252277515</v>
      </c>
      <c r="N79" s="28">
        <f>M79</f>
        <v>12.518572252277515</v>
      </c>
      <c r="O79" s="28">
        <f>N79</f>
        <v>12.518572252277515</v>
      </c>
      <c r="P79" s="28">
        <f>O79*(1+'Key Assumption'!P$12)</f>
        <v>12.726852261232274</v>
      </c>
      <c r="Q79" s="28">
        <f>P79*(1+'Key Assumption'!Q$12)</f>
        <v>12.955935601934454</v>
      </c>
      <c r="R79" s="28">
        <f>Q79*(1+'Key Assumption'!R$12)</f>
        <v>13.228010249575076</v>
      </c>
      <c r="S79" s="28">
        <f>R79*(1+'Key Assumption'!S$12)</f>
        <v>13.479342444317002</v>
      </c>
      <c r="T79" s="28">
        <f>S79*(1+'Key Assumption'!T$12)</f>
        <v>13.743054025657834</v>
      </c>
      <c r="U79" s="3" t="s">
        <v>2115</v>
      </c>
    </row>
    <row r="80" spans="2:26" s="10" customFormat="1" x14ac:dyDescent="0.55000000000000004">
      <c r="F80" s="10" t="s">
        <v>1472</v>
      </c>
      <c r="I80" s="31"/>
      <c r="L80" s="438"/>
      <c r="M80" s="28">
        <f t="shared" ref="M80:T80" si="80">M33</f>
        <v>3237.7</v>
      </c>
      <c r="N80" s="28">
        <f t="shared" si="80"/>
        <v>3237.7</v>
      </c>
      <c r="O80" s="28">
        <f t="shared" si="80"/>
        <v>3237.7</v>
      </c>
      <c r="P80" s="28">
        <f t="shared" si="80"/>
        <v>3237.7</v>
      </c>
      <c r="Q80" s="28">
        <f t="shared" si="80"/>
        <v>3237.7</v>
      </c>
      <c r="R80" s="28">
        <f t="shared" si="80"/>
        <v>3237.7</v>
      </c>
      <c r="S80" s="28">
        <f t="shared" si="80"/>
        <v>3237.7</v>
      </c>
      <c r="T80" s="28">
        <f t="shared" si="80"/>
        <v>3237.7</v>
      </c>
      <c r="U80" s="3"/>
    </row>
    <row r="81" spans="2:26" s="10" customFormat="1" x14ac:dyDescent="0.55000000000000004">
      <c r="E81" s="10" t="s">
        <v>1506</v>
      </c>
      <c r="I81" s="236">
        <v>0.5</v>
      </c>
      <c r="J81" s="832" t="str">
        <f>J75</f>
        <v>2026F</v>
      </c>
      <c r="L81" s="438"/>
      <c r="M81" s="31">
        <v>1</v>
      </c>
      <c r="N81" s="31">
        <v>1</v>
      </c>
      <c r="O81" s="31">
        <f>O76/(O77*O78)</f>
        <v>1</v>
      </c>
      <c r="P81" s="232">
        <f>AVERAGE(O81,Q81)</f>
        <v>0.75</v>
      </c>
      <c r="Q81" s="31">
        <f>$I81</f>
        <v>0.5</v>
      </c>
      <c r="R81" s="31">
        <f t="shared" ref="R81:T81" si="81">$I81</f>
        <v>0.5</v>
      </c>
      <c r="S81" s="31">
        <f t="shared" si="81"/>
        <v>0.5</v>
      </c>
      <c r="T81" s="31">
        <f t="shared" si="81"/>
        <v>0.5</v>
      </c>
      <c r="U81" s="3" t="s">
        <v>2715</v>
      </c>
      <c r="Z81" s="10">
        <f>IF(J81=P61,(75%+50%)/2,(100%-50%/3+50%)/2)</f>
        <v>0.625</v>
      </c>
    </row>
    <row r="82" spans="2:26" s="10" customFormat="1" x14ac:dyDescent="0.55000000000000004">
      <c r="C82" s="10" t="s">
        <v>2038</v>
      </c>
      <c r="L82" s="24">
        <v>0</v>
      </c>
      <c r="M82" s="24">
        <f>연결정산표!T135/10^6</f>
        <v>72.946089999999998</v>
      </c>
      <c r="N82" s="24">
        <f t="shared" ref="N82:P82" si="82">N83*N$20</f>
        <v>117.7283683121499</v>
      </c>
      <c r="O82" s="24">
        <f>N82+M82</f>
        <v>190.67445831214991</v>
      </c>
      <c r="P82" s="24">
        <f t="shared" si="82"/>
        <v>231.23407863557563</v>
      </c>
      <c r="Q82" s="24">
        <f t="shared" ref="Q82" si="83">Q83*Q$20</f>
        <v>246.66345610429141</v>
      </c>
      <c r="R82" s="24">
        <f t="shared" ref="R82" si="84">R83*R$20</f>
        <v>263.34716318087561</v>
      </c>
      <c r="S82" s="24">
        <f t="shared" ref="S82:T82" si="85">S83*S$20</f>
        <v>280.07310549517587</v>
      </c>
      <c r="T82" s="24">
        <f t="shared" si="85"/>
        <v>297.50417528484684</v>
      </c>
      <c r="U82" s="3"/>
    </row>
    <row r="83" spans="2:26" s="10" customFormat="1" x14ac:dyDescent="0.55000000000000004">
      <c r="B83" s="17"/>
      <c r="C83" s="17"/>
      <c r="D83" s="17" t="s">
        <v>106</v>
      </c>
      <c r="E83" s="17"/>
      <c r="F83" s="17"/>
      <c r="G83" s="17"/>
      <c r="H83" s="17"/>
      <c r="I83" s="236">
        <f>M83</f>
        <v>7.1053363255063244E-3</v>
      </c>
      <c r="J83" s="17"/>
      <c r="K83" s="17"/>
      <c r="L83" s="231">
        <f>L82/L$20</f>
        <v>0</v>
      </c>
      <c r="M83" s="231">
        <f>M82/M$20</f>
        <v>7.1053363255063244E-3</v>
      </c>
      <c r="N83" s="231">
        <f>$I83</f>
        <v>7.1053363255063244E-3</v>
      </c>
      <c r="O83" s="231">
        <f>O82/O$20</f>
        <v>7.1053363255063253E-3</v>
      </c>
      <c r="P83" s="231">
        <f>$I83</f>
        <v>7.1053363255063244E-3</v>
      </c>
      <c r="Q83" s="231">
        <f>$I83</f>
        <v>7.1053363255063244E-3</v>
      </c>
      <c r="R83" s="231">
        <f t="shared" ref="R83:T83" si="86">$I83</f>
        <v>7.1053363255063244E-3</v>
      </c>
      <c r="S83" s="231">
        <f t="shared" si="86"/>
        <v>7.1053363255063244E-3</v>
      </c>
      <c r="T83" s="231">
        <f t="shared" si="86"/>
        <v>7.1053363255063244E-3</v>
      </c>
      <c r="U83" s="3"/>
    </row>
    <row r="84" spans="2:26" s="10" customFormat="1" x14ac:dyDescent="0.55000000000000004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3"/>
    </row>
    <row r="85" spans="2:26" s="10" customFormat="1" x14ac:dyDescent="0.55000000000000004">
      <c r="B85" s="844"/>
      <c r="C85" s="844"/>
      <c r="D85" s="844"/>
      <c r="E85" s="844"/>
      <c r="F85" s="844"/>
      <c r="G85" s="844"/>
      <c r="H85" s="844"/>
      <c r="I85" s="844"/>
      <c r="J85" s="844"/>
      <c r="K85" s="844"/>
      <c r="L85" s="845" t="s">
        <v>2</v>
      </c>
      <c r="M85" s="845" t="s">
        <v>3</v>
      </c>
      <c r="N85" s="845" t="s">
        <v>4</v>
      </c>
      <c r="O85" s="845" t="s">
        <v>5</v>
      </c>
      <c r="P85" s="845" t="s">
        <v>6</v>
      </c>
      <c r="Q85" s="845" t="s">
        <v>7</v>
      </c>
      <c r="R85" s="845" t="s">
        <v>8</v>
      </c>
      <c r="S85" s="845" t="s">
        <v>9</v>
      </c>
      <c r="T85" s="845" t="s">
        <v>1480</v>
      </c>
      <c r="U85" s="3"/>
    </row>
    <row r="86" spans="2:26" s="10" customFormat="1" x14ac:dyDescent="0.55000000000000004">
      <c r="B86" s="4" t="s">
        <v>2144</v>
      </c>
      <c r="C86" s="4"/>
      <c r="D86" s="4"/>
      <c r="E86" s="4"/>
      <c r="F86" s="4"/>
      <c r="G86" s="4"/>
      <c r="H86" s="4"/>
      <c r="I86" s="4"/>
      <c r="J86" s="4"/>
      <c r="K86" s="4"/>
      <c r="L86" s="825"/>
      <c r="M86" s="23">
        <f>강의료이월!I42/10^6</f>
        <v>1820.5956409999999</v>
      </c>
      <c r="N86" s="23">
        <f t="shared" ref="N86" si="87">(N21-N67)*N87-N65</f>
        <v>0</v>
      </c>
      <c r="O86" s="23">
        <f>N86+M86</f>
        <v>1820.5956409999999</v>
      </c>
      <c r="P86" s="371"/>
      <c r="Q86" s="371"/>
      <c r="R86" s="371"/>
      <c r="S86" s="371"/>
      <c r="T86" s="371"/>
      <c r="U86" s="3"/>
    </row>
    <row r="87" spans="2:26" s="10" customFormat="1" x14ac:dyDescent="0.55000000000000004">
      <c r="B87" s="17"/>
      <c r="C87" s="17" t="s">
        <v>2711</v>
      </c>
      <c r="D87" s="17"/>
      <c r="E87" s="17"/>
      <c r="F87" s="17"/>
      <c r="G87" s="17"/>
      <c r="H87" s="17"/>
      <c r="I87" s="17"/>
      <c r="J87" s="17"/>
      <c r="K87" s="17"/>
      <c r="L87" s="826"/>
      <c r="M87" s="231">
        <f>(M86+M65)/(M21-M67)</f>
        <v>0.54835621687767566</v>
      </c>
      <c r="N87" s="231">
        <f>AVERAGE(M87,I66)</f>
        <v>0.47417810843883784</v>
      </c>
      <c r="O87" s="231">
        <f>N87</f>
        <v>0.47417810843883784</v>
      </c>
      <c r="P87" s="362"/>
      <c r="Q87" s="362"/>
      <c r="R87" s="362"/>
      <c r="S87" s="362"/>
      <c r="T87" s="362"/>
      <c r="U87" s="3"/>
    </row>
    <row r="88" spans="2:26" s="10" customFormat="1" x14ac:dyDescent="0.55000000000000004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3"/>
    </row>
    <row r="89" spans="2:26" s="10" customFormat="1" x14ac:dyDescent="0.55000000000000004">
      <c r="B89" s="844"/>
      <c r="C89" s="844"/>
      <c r="D89" s="844"/>
      <c r="E89" s="844"/>
      <c r="F89" s="844"/>
      <c r="G89" s="844"/>
      <c r="H89" s="844"/>
      <c r="I89" s="844"/>
      <c r="J89" s="844"/>
      <c r="K89" s="844"/>
      <c r="L89" s="845" t="s">
        <v>2</v>
      </c>
      <c r="M89" s="845" t="s">
        <v>3</v>
      </c>
      <c r="N89" s="845" t="s">
        <v>4</v>
      </c>
      <c r="O89" s="845" t="s">
        <v>5</v>
      </c>
      <c r="P89" s="845" t="s">
        <v>6</v>
      </c>
      <c r="Q89" s="845" t="s">
        <v>7</v>
      </c>
      <c r="R89" s="845" t="s">
        <v>8</v>
      </c>
      <c r="S89" s="845" t="s">
        <v>9</v>
      </c>
      <c r="T89" s="845" t="s">
        <v>1480</v>
      </c>
      <c r="U89" s="3"/>
    </row>
    <row r="90" spans="2:26" s="10" customFormat="1" x14ac:dyDescent="0.55000000000000004">
      <c r="B90" s="4" t="s">
        <v>92</v>
      </c>
      <c r="C90" s="4"/>
      <c r="D90" s="4"/>
      <c r="E90" s="4"/>
      <c r="F90" s="4"/>
      <c r="G90" s="4"/>
      <c r="H90" s="4"/>
      <c r="I90" s="4"/>
      <c r="J90" s="4"/>
      <c r="K90" s="4"/>
      <c r="L90" s="23">
        <f>SUM(L92:L97)</f>
        <v>15.154694000000001</v>
      </c>
      <c r="M90" s="23">
        <f t="shared" ref="M90:S90" si="88">SUM(M92:M97)</f>
        <v>337.35601100000002</v>
      </c>
      <c r="N90" s="23">
        <f t="shared" si="88"/>
        <v>349.61399201150005</v>
      </c>
      <c r="O90" s="23">
        <f t="shared" si="88"/>
        <v>686.97000301150001</v>
      </c>
      <c r="P90" s="23">
        <f t="shared" si="88"/>
        <v>709.62354566155625</v>
      </c>
      <c r="Q90" s="23">
        <f t="shared" si="88"/>
        <v>720.52214938824113</v>
      </c>
      <c r="R90" s="23">
        <f t="shared" si="88"/>
        <v>734.45736979165679</v>
      </c>
      <c r="S90" s="23">
        <f t="shared" si="88"/>
        <v>748.15121572271653</v>
      </c>
      <c r="T90" s="23">
        <f t="shared" ref="T90" si="89">SUM(T92:T97)</f>
        <v>756.08811514956415</v>
      </c>
      <c r="U90" s="3"/>
    </row>
    <row r="91" spans="2:26" s="10" customFormat="1" x14ac:dyDescent="0.55000000000000004">
      <c r="B91" s="3" t="s">
        <v>89</v>
      </c>
      <c r="L91" s="232">
        <f>L90/L$20</f>
        <v>0.7615424120603016</v>
      </c>
      <c r="M91" s="232">
        <f t="shared" ref="M91:S91" si="90">M90/M$20</f>
        <v>3.2860265979797014E-2</v>
      </c>
      <c r="N91" s="232">
        <f t="shared" si="90"/>
        <v>2.1100479289393331E-2</v>
      </c>
      <c r="O91" s="232">
        <f t="shared" si="90"/>
        <v>2.5599406234787611E-2</v>
      </c>
      <c r="P91" s="232">
        <f t="shared" si="90"/>
        <v>2.1805237299688907E-2</v>
      </c>
      <c r="Q91" s="232">
        <f t="shared" si="90"/>
        <v>2.0755211502491776E-2</v>
      </c>
      <c r="R91" s="232">
        <f t="shared" si="90"/>
        <v>1.981630090897241E-2</v>
      </c>
      <c r="S91" s="232">
        <f t="shared" si="90"/>
        <v>1.898028016880721E-2</v>
      </c>
      <c r="T91" s="232">
        <f t="shared" ref="T91" si="91">T90/T$20</f>
        <v>1.8057764549731476E-2</v>
      </c>
      <c r="U91" s="3"/>
    </row>
    <row r="92" spans="2:26" s="28" customFormat="1" x14ac:dyDescent="0.55000000000000004">
      <c r="C92" s="28" t="s">
        <v>1509</v>
      </c>
      <c r="L92" s="28">
        <f>연결정산표!E130/10^6</f>
        <v>12.706238000000001</v>
      </c>
      <c r="M92" s="28">
        <f>비용취합!B22/10^6</f>
        <v>74.313648000000001</v>
      </c>
      <c r="N92" s="28">
        <f>M92</f>
        <v>74.313648000000001</v>
      </c>
      <c r="O92" s="24">
        <f t="shared" ref="O92" si="92">N92+M92</f>
        <v>148.627296</v>
      </c>
      <c r="P92" s="24">
        <f>O92*(1+'Key Assumption'!P$12)</f>
        <v>151.10010950604257</v>
      </c>
      <c r="Q92" s="24">
        <f>P92*(1+'Key Assumption'!Q$12)</f>
        <v>153.81991147715135</v>
      </c>
      <c r="R92" s="24">
        <f>Q92*(1+'Key Assumption'!R$12)</f>
        <v>157.05012961817152</v>
      </c>
      <c r="S92" s="24">
        <f>R92*(1+'Key Assumption'!S$12)</f>
        <v>160.03408208091676</v>
      </c>
      <c r="T92" s="24">
        <f>S92*(1+'Key Assumption'!T$12)</f>
        <v>163.16500935191135</v>
      </c>
      <c r="U92" s="405"/>
    </row>
    <row r="93" spans="2:26" s="10" customFormat="1" x14ac:dyDescent="0.55000000000000004">
      <c r="B93" s="3"/>
      <c r="C93" s="10" t="s">
        <v>109</v>
      </c>
      <c r="L93" s="24">
        <f>연결정산표!E120/10^6</f>
        <v>0</v>
      </c>
      <c r="M93" s="24">
        <f>연결정산표!T120/10^6</f>
        <v>8.1960270000000008</v>
      </c>
      <c r="N93" s="24">
        <f>N110+N111</f>
        <v>17.363513461500002</v>
      </c>
      <c r="O93" s="24">
        <f>N93+M93</f>
        <v>25.559540461500003</v>
      </c>
      <c r="P93" s="24">
        <f t="shared" ref="P93:S93" si="93">P110+P111</f>
        <v>32.743412728127225</v>
      </c>
      <c r="Q93" s="24">
        <f t="shared" si="93"/>
        <v>29.413391281970316</v>
      </c>
      <c r="R93" s="24">
        <f t="shared" si="93"/>
        <v>26.422034681898296</v>
      </c>
      <c r="S93" s="24">
        <f t="shared" si="93"/>
        <v>23.734900543731897</v>
      </c>
      <c r="T93" s="24">
        <f t="shared" ref="T93" si="94">T110+T111</f>
        <v>21.321049290984092</v>
      </c>
      <c r="U93" s="3"/>
    </row>
    <row r="94" spans="2:26" s="10" customFormat="1" x14ac:dyDescent="0.55000000000000004">
      <c r="B94" s="3"/>
      <c r="C94" s="10" t="s">
        <v>110</v>
      </c>
      <c r="L94" s="24">
        <f>연결정산표!E121/10^6</f>
        <v>0.64500000000000002</v>
      </c>
      <c r="M94" s="24">
        <f>연결정산표!T121/10^6</f>
        <v>24.285432</v>
      </c>
      <c r="N94" s="24">
        <f t="shared" ref="N94:N97" si="95">M94</f>
        <v>24.285432</v>
      </c>
      <c r="O94" s="24">
        <f t="shared" ref="O94:O97" si="96">N94+M94</f>
        <v>48.570864</v>
      </c>
      <c r="P94" s="24">
        <f>O94*(1+'Key Assumption'!P$12)</f>
        <v>49.378970530440789</v>
      </c>
      <c r="Q94" s="24">
        <f>P94*(1+'Key Assumption'!Q$12)</f>
        <v>50.267791999988724</v>
      </c>
      <c r="R94" s="24">
        <f>Q94*(1+'Key Assumption'!R$12)</f>
        <v>51.323415631988482</v>
      </c>
      <c r="S94" s="24">
        <f>R94*(1+'Key Assumption'!S$12)</f>
        <v>52.298560528996255</v>
      </c>
      <c r="T94" s="24">
        <f>S94*(1+'Key Assumption'!T$12)</f>
        <v>53.321736262970248</v>
      </c>
      <c r="U94" s="3"/>
    </row>
    <row r="95" spans="2:26" s="10" customFormat="1" x14ac:dyDescent="0.55000000000000004">
      <c r="C95" s="10" t="s">
        <v>113</v>
      </c>
      <c r="L95" s="24">
        <f>연결정산표!E132/10^6</f>
        <v>0</v>
      </c>
      <c r="M95" s="24">
        <f>연결정산표!T132/10^6</f>
        <v>1.1167370000000001</v>
      </c>
      <c r="N95" s="24">
        <f t="shared" si="95"/>
        <v>1.1167370000000001</v>
      </c>
      <c r="O95" s="24">
        <f t="shared" si="96"/>
        <v>2.2334740000000002</v>
      </c>
      <c r="P95" s="24">
        <f>O95*(1+'Key Assumption'!P$12)</f>
        <v>2.2706338274424298</v>
      </c>
      <c r="Q95" s="24">
        <f>P95*(1+'Key Assumption'!Q$12)</f>
        <v>2.3115052363363935</v>
      </c>
      <c r="R95" s="24">
        <f>Q95*(1+'Key Assumption'!R$12)</f>
        <v>2.3600468462994577</v>
      </c>
      <c r="S95" s="24">
        <f>R95*(1+'Key Assumption'!S$12)</f>
        <v>2.404887736379147</v>
      </c>
      <c r="T95" s="24">
        <f>S95*(1+'Key Assumption'!T$12)</f>
        <v>2.4519372679514455</v>
      </c>
      <c r="U95" s="3"/>
    </row>
    <row r="96" spans="2:26" s="10" customFormat="1" x14ac:dyDescent="0.55000000000000004">
      <c r="C96" s="10" t="s">
        <v>139</v>
      </c>
      <c r="L96" s="24">
        <v>0</v>
      </c>
      <c r="M96" s="24">
        <f>연결정산표_우모건제외!H135/10^6</f>
        <v>1.7842260000000001</v>
      </c>
      <c r="N96" s="24">
        <f>N112</f>
        <v>4.8747205499999993</v>
      </c>
      <c r="O96" s="24">
        <f>N96+M96</f>
        <v>6.6589465499999996</v>
      </c>
      <c r="P96" s="24">
        <f t="shared" ref="P96:S96" si="97">P112</f>
        <v>11.235070220000001</v>
      </c>
      <c r="Q96" s="24">
        <f t="shared" si="97"/>
        <v>13.482084264000001</v>
      </c>
      <c r="R96" s="24">
        <f t="shared" si="97"/>
        <v>16.1785011168</v>
      </c>
      <c r="S96" s="24">
        <f t="shared" si="97"/>
        <v>19.414201340160005</v>
      </c>
      <c r="T96" s="24">
        <f t="shared" ref="T96" si="98">T112</f>
        <v>15.972200403192002</v>
      </c>
      <c r="U96" s="3"/>
    </row>
    <row r="97" spans="1:21" s="10" customFormat="1" x14ac:dyDescent="0.55000000000000004">
      <c r="B97" s="15"/>
      <c r="C97" s="15" t="s">
        <v>115</v>
      </c>
      <c r="D97" s="15"/>
      <c r="E97" s="15"/>
      <c r="F97" s="15"/>
      <c r="G97" s="15"/>
      <c r="H97" s="15"/>
      <c r="I97" s="15"/>
      <c r="J97" s="15"/>
      <c r="K97" s="15"/>
      <c r="L97" s="300">
        <f>SUM(연결정산표!E114:E120,연결정산표!E122:E129,연결정산표!E132:E134,연결정산표!E137)/10^6</f>
        <v>1.8034559999999999</v>
      </c>
      <c r="M97" s="300">
        <f>SUM(연결정산표!T134,연결정산표!T122:T129,연결정산표!T114:T119,연결정산표!W122)/10^6</f>
        <v>227.659941</v>
      </c>
      <c r="N97" s="301">
        <f t="shared" si="95"/>
        <v>227.659941</v>
      </c>
      <c r="O97" s="301">
        <f t="shared" si="96"/>
        <v>455.31988200000001</v>
      </c>
      <c r="P97" s="301">
        <f>O97*(1+'Key Assumption'!P$12)</f>
        <v>462.89534884950325</v>
      </c>
      <c r="Q97" s="301">
        <f>P97*(1+'Key Assumption'!Q$12)</f>
        <v>471.22746512879434</v>
      </c>
      <c r="R97" s="301">
        <f>Q97*(1+'Key Assumption'!R$12)</f>
        <v>481.123241896499</v>
      </c>
      <c r="S97" s="301">
        <f>R97*(1+'Key Assumption'!S$12)</f>
        <v>490.26458349253244</v>
      </c>
      <c r="T97" s="301">
        <f>S97*(1+'Key Assumption'!T$12)</f>
        <v>499.85618257255499</v>
      </c>
      <c r="U97" s="3"/>
    </row>
    <row r="98" spans="1:21" s="10" customFormat="1" x14ac:dyDescent="0.55000000000000004">
      <c r="L98" s="24"/>
      <c r="M98" s="24"/>
      <c r="N98" s="24"/>
      <c r="O98" s="24"/>
      <c r="P98" s="24"/>
      <c r="Q98" s="24"/>
      <c r="R98" s="24"/>
      <c r="S98" s="24"/>
      <c r="T98" s="24"/>
      <c r="U98" s="3"/>
    </row>
    <row r="100" spans="1:21" x14ac:dyDescent="0.55000000000000004">
      <c r="A100" s="841" t="s">
        <v>116</v>
      </c>
      <c r="B100" s="842"/>
      <c r="C100" s="842"/>
      <c r="D100" s="842"/>
      <c r="E100" s="842"/>
      <c r="F100" s="842"/>
      <c r="G100" s="842"/>
      <c r="H100" s="842"/>
      <c r="I100" s="842"/>
      <c r="J100" s="842"/>
      <c r="K100" s="842"/>
      <c r="L100" s="842"/>
      <c r="M100" s="842"/>
      <c r="N100" s="842"/>
      <c r="O100" s="842"/>
      <c r="P100" s="842"/>
      <c r="Q100" s="842"/>
      <c r="R100" s="842"/>
      <c r="S100" s="842"/>
      <c r="T100" s="842"/>
    </row>
    <row r="102" spans="1:21" x14ac:dyDescent="0.55000000000000004">
      <c r="B102" s="844"/>
      <c r="C102" s="844"/>
      <c r="D102" s="844"/>
      <c r="E102" s="844"/>
      <c r="F102" s="844"/>
      <c r="G102" s="844"/>
      <c r="H102" s="844"/>
      <c r="I102" s="844"/>
      <c r="J102" s="844"/>
      <c r="K102" s="844"/>
      <c r="L102" s="845" t="s">
        <v>2</v>
      </c>
      <c r="M102" s="845" t="s">
        <v>3</v>
      </c>
      <c r="N102" s="845" t="s">
        <v>4</v>
      </c>
      <c r="O102" s="845" t="s">
        <v>5</v>
      </c>
      <c r="P102" s="845" t="s">
        <v>6</v>
      </c>
      <c r="Q102" s="845" t="s">
        <v>7</v>
      </c>
      <c r="R102" s="845" t="s">
        <v>8</v>
      </c>
      <c r="S102" s="845" t="s">
        <v>9</v>
      </c>
      <c r="T102" s="845" t="s">
        <v>1480</v>
      </c>
    </row>
    <row r="103" spans="1:21" x14ac:dyDescent="0.55000000000000004">
      <c r="B103" s="12" t="s">
        <v>117</v>
      </c>
      <c r="C103" s="12"/>
      <c r="D103" s="12"/>
      <c r="E103" s="12"/>
      <c r="F103" s="12"/>
      <c r="G103" s="12"/>
      <c r="H103" s="12"/>
      <c r="I103" s="12"/>
      <c r="J103" s="12"/>
      <c r="K103" s="12"/>
      <c r="L103" s="302"/>
      <c r="M103" s="18">
        <f>M104+M105+M106</f>
        <v>115.62390099999999</v>
      </c>
      <c r="N103" s="18">
        <f>N104+N105+N106</f>
        <v>20.246737</v>
      </c>
      <c r="O103" s="18">
        <f>O104+O105+O106</f>
        <v>135.87063799999999</v>
      </c>
      <c r="P103" s="18">
        <f t="shared" ref="P103:T103" si="99">P104+P105+P106</f>
        <v>36.932111238863499</v>
      </c>
      <c r="Q103" s="18">
        <f t="shared" si="99"/>
        <v>36.257575517005563</v>
      </c>
      <c r="R103" s="18">
        <f t="shared" si="99"/>
        <v>36.267936106766456</v>
      </c>
      <c r="S103" s="18">
        <f t="shared" si="99"/>
        <v>37.016797849094004</v>
      </c>
      <c r="T103" s="18">
        <f t="shared" si="99"/>
        <v>31.918019223466708</v>
      </c>
    </row>
    <row r="104" spans="1:21" s="10" customFormat="1" x14ac:dyDescent="0.55000000000000004">
      <c r="C104" s="10" t="s">
        <v>119</v>
      </c>
      <c r="L104" s="303"/>
      <c r="M104" s="24">
        <f>연결정산표!T35/10^6</f>
        <v>47.647990999999998</v>
      </c>
      <c r="N104" s="24">
        <f>G128</f>
        <v>10.744621</v>
      </c>
      <c r="O104" s="24">
        <f>N104+M104</f>
        <v>58.392612</v>
      </c>
      <c r="P104" s="24" cm="1">
        <f t="array" ref="P104:T104">TRANSPOSE(G129:G133)</f>
        <v>18.429584615994752</v>
      </c>
      <c r="Q104" s="24">
        <v>16.555286645755775</v>
      </c>
      <c r="R104" s="24">
        <v>14.871605716239092</v>
      </c>
      <c r="S104" s="24">
        <v>13.359155979094716</v>
      </c>
      <c r="T104" s="24">
        <v>12.000523136442794</v>
      </c>
      <c r="U104" s="3"/>
    </row>
    <row r="105" spans="1:21" x14ac:dyDescent="0.55000000000000004">
      <c r="A105" s="10"/>
      <c r="B105" s="10"/>
      <c r="C105" s="10" t="s">
        <v>120</v>
      </c>
      <c r="D105" s="10"/>
      <c r="E105" s="10"/>
      <c r="F105" s="10"/>
      <c r="G105" s="10"/>
      <c r="H105" s="10"/>
      <c r="I105" s="10"/>
      <c r="J105" s="10"/>
      <c r="K105" s="10"/>
      <c r="L105" s="303"/>
      <c r="M105" s="24">
        <f>연결정산표!T37/10^6</f>
        <v>21.55</v>
      </c>
      <c r="N105" s="24">
        <f>G135</f>
        <v>4.8595249999999997</v>
      </c>
      <c r="O105" s="24">
        <f t="shared" ref="O105:O106" si="100">N105+M105</f>
        <v>26.409525000000002</v>
      </c>
      <c r="P105" s="24" cm="1">
        <f t="array" ref="P105:T105">TRANSPOSE(G136:G140)</f>
        <v>8.28882642286875</v>
      </c>
      <c r="Q105" s="24">
        <v>7.4458486312497865</v>
      </c>
      <c r="R105" s="24">
        <v>6.6886021025273674</v>
      </c>
      <c r="S105" s="24">
        <v>6.0083679243992831</v>
      </c>
      <c r="T105" s="24">
        <v>5.3973139023039138</v>
      </c>
    </row>
    <row r="106" spans="1:21" x14ac:dyDescent="0.55000000000000004">
      <c r="A106" s="10"/>
      <c r="B106" s="14"/>
      <c r="C106" s="14" t="s">
        <v>140</v>
      </c>
      <c r="D106" s="14"/>
      <c r="E106" s="14"/>
      <c r="F106" s="14"/>
      <c r="G106" s="14"/>
      <c r="H106" s="14"/>
      <c r="I106" s="14"/>
      <c r="J106" s="14"/>
      <c r="K106" s="14"/>
      <c r="L106" s="304"/>
      <c r="M106" s="26">
        <f>연결정산표!T41/10^6+M96</f>
        <v>46.425909999999995</v>
      </c>
      <c r="N106" s="26">
        <f>G142</f>
        <v>4.6425909999999995</v>
      </c>
      <c r="O106" s="26">
        <f t="shared" si="100"/>
        <v>51.068500999999998</v>
      </c>
      <c r="P106" s="26" cm="1">
        <f t="array" ref="P106:T106">TRANSPOSE(G143:G147)</f>
        <v>10.2137002</v>
      </c>
      <c r="Q106" s="26">
        <v>12.25644024</v>
      </c>
      <c r="R106" s="26">
        <v>14.707728288000002</v>
      </c>
      <c r="S106" s="26">
        <v>17.649273945600001</v>
      </c>
      <c r="T106" s="26">
        <v>14.520182184719999</v>
      </c>
    </row>
    <row r="108" spans="1:21" x14ac:dyDescent="0.55000000000000004">
      <c r="B108" s="844"/>
      <c r="C108" s="844"/>
      <c r="D108" s="844"/>
      <c r="E108" s="844"/>
      <c r="F108" s="844"/>
      <c r="G108" s="844"/>
      <c r="H108" s="844"/>
      <c r="I108" s="844"/>
      <c r="J108" s="844"/>
      <c r="K108" s="844"/>
      <c r="L108" s="845" t="s">
        <v>2</v>
      </c>
      <c r="M108" s="845" t="s">
        <v>3</v>
      </c>
      <c r="N108" s="845" t="s">
        <v>4</v>
      </c>
      <c r="O108" s="845" t="s">
        <v>5</v>
      </c>
      <c r="P108" s="845" t="s">
        <v>6</v>
      </c>
      <c r="Q108" s="845" t="s">
        <v>7</v>
      </c>
      <c r="R108" s="845" t="s">
        <v>8</v>
      </c>
      <c r="S108" s="845" t="s">
        <v>9</v>
      </c>
      <c r="T108" s="845" t="s">
        <v>1480</v>
      </c>
    </row>
    <row r="109" spans="1:21" x14ac:dyDescent="0.55000000000000004">
      <c r="B109" s="12" t="s">
        <v>78</v>
      </c>
      <c r="C109" s="12"/>
      <c r="D109" s="12"/>
      <c r="E109" s="12"/>
      <c r="F109" s="12"/>
      <c r="G109" s="12"/>
      <c r="H109" s="12"/>
      <c r="I109" s="12"/>
      <c r="J109" s="12"/>
      <c r="K109" s="12"/>
      <c r="L109" s="302"/>
      <c r="M109" s="18">
        <f>M110+M111+M112</f>
        <v>9.9802530000000012</v>
      </c>
      <c r="N109" s="18">
        <f>N110+N111+N112</f>
        <v>22.238234011500001</v>
      </c>
      <c r="O109" s="18">
        <f>O110+O111+O112</f>
        <v>32.218487011500002</v>
      </c>
      <c r="P109" s="18">
        <f t="shared" ref="P109:T109" si="101">P110+P111+P112</f>
        <v>43.978482948127223</v>
      </c>
      <c r="Q109" s="18">
        <f t="shared" si="101"/>
        <v>42.895475545970314</v>
      </c>
      <c r="R109" s="18">
        <f t="shared" si="101"/>
        <v>42.600535798698296</v>
      </c>
      <c r="S109" s="18">
        <f t="shared" si="101"/>
        <v>43.149101883891902</v>
      </c>
      <c r="T109" s="18">
        <f t="shared" si="101"/>
        <v>37.293249694176097</v>
      </c>
    </row>
    <row r="110" spans="1:21" s="10" customFormat="1" x14ac:dyDescent="0.55000000000000004">
      <c r="C110" s="10" t="s">
        <v>141</v>
      </c>
      <c r="L110" s="303"/>
      <c r="M110" s="24">
        <f>M116+M122</f>
        <v>5.572711</v>
      </c>
      <c r="N110" s="24">
        <f t="shared" ref="N110:T110" si="102">N116+N122</f>
        <v>11.956077017750001</v>
      </c>
      <c r="O110" s="24">
        <f>N110+M110</f>
        <v>17.528788017750003</v>
      </c>
      <c r="P110" s="24">
        <f t="shared" si="102"/>
        <v>22.585455946901568</v>
      </c>
      <c r="Q110" s="24">
        <f t="shared" si="102"/>
        <v>20.288503784373702</v>
      </c>
      <c r="R110" s="24">
        <f t="shared" si="102"/>
        <v>18.225152805251007</v>
      </c>
      <c r="S110" s="24">
        <f t="shared" si="102"/>
        <v>16.371645652380575</v>
      </c>
      <c r="T110" s="24">
        <f t="shared" si="102"/>
        <v>14.706641103710645</v>
      </c>
      <c r="U110" s="3"/>
    </row>
    <row r="111" spans="1:21" x14ac:dyDescent="0.55000000000000004">
      <c r="B111" s="10"/>
      <c r="C111" s="10" t="s">
        <v>142</v>
      </c>
      <c r="D111" s="10"/>
      <c r="E111" s="10"/>
      <c r="F111" s="10"/>
      <c r="G111" s="10"/>
      <c r="H111" s="10"/>
      <c r="I111" s="10"/>
      <c r="J111" s="10"/>
      <c r="K111" s="10"/>
      <c r="L111" s="303"/>
      <c r="M111" s="24">
        <f t="shared" ref="M111:T111" si="103">M117+M123</f>
        <v>2.623316</v>
      </c>
      <c r="N111" s="24">
        <f t="shared" si="103"/>
        <v>5.40743644375</v>
      </c>
      <c r="O111" s="24">
        <f t="shared" ref="O111:O112" si="104">N111+M111</f>
        <v>8.03075244375</v>
      </c>
      <c r="P111" s="24">
        <f t="shared" si="103"/>
        <v>10.157956781225653</v>
      </c>
      <c r="Q111" s="24">
        <f t="shared" si="103"/>
        <v>9.1248874975966139</v>
      </c>
      <c r="R111" s="24">
        <f t="shared" si="103"/>
        <v>8.1968818766472893</v>
      </c>
      <c r="S111" s="24">
        <f t="shared" si="103"/>
        <v>7.3632548913513212</v>
      </c>
      <c r="T111" s="24">
        <f t="shared" si="103"/>
        <v>6.6144081872734466</v>
      </c>
    </row>
    <row r="112" spans="1:21" x14ac:dyDescent="0.55000000000000004">
      <c r="B112" s="14"/>
      <c r="C112" s="14" t="s">
        <v>140</v>
      </c>
      <c r="D112" s="14"/>
      <c r="E112" s="14"/>
      <c r="F112" s="14"/>
      <c r="G112" s="14"/>
      <c r="H112" s="14"/>
      <c r="I112" s="14"/>
      <c r="J112" s="14"/>
      <c r="K112" s="14"/>
      <c r="L112" s="304"/>
      <c r="M112" s="26">
        <f t="shared" ref="M112:T112" si="105">M118+M124</f>
        <v>1.7842260000000001</v>
      </c>
      <c r="N112" s="26">
        <f t="shared" si="105"/>
        <v>4.8747205499999993</v>
      </c>
      <c r="O112" s="26">
        <f t="shared" si="104"/>
        <v>6.6589465499999996</v>
      </c>
      <c r="P112" s="26">
        <f t="shared" si="105"/>
        <v>11.235070220000001</v>
      </c>
      <c r="Q112" s="26">
        <f t="shared" si="105"/>
        <v>13.482084264000001</v>
      </c>
      <c r="R112" s="26">
        <f t="shared" si="105"/>
        <v>16.1785011168</v>
      </c>
      <c r="S112" s="26">
        <f t="shared" si="105"/>
        <v>19.414201340160005</v>
      </c>
      <c r="T112" s="26">
        <f t="shared" si="105"/>
        <v>15.972200403192002</v>
      </c>
    </row>
    <row r="114" spans="2:20" x14ac:dyDescent="0.55000000000000004">
      <c r="B114" s="844"/>
      <c r="C114" s="844"/>
      <c r="D114" s="844"/>
      <c r="E114" s="844"/>
      <c r="F114" s="844"/>
      <c r="G114" s="844"/>
      <c r="H114" s="844"/>
      <c r="I114" s="844"/>
      <c r="J114" s="844"/>
      <c r="K114" s="844"/>
      <c r="L114" s="845" t="s">
        <v>2</v>
      </c>
      <c r="M114" s="845" t="s">
        <v>3</v>
      </c>
      <c r="N114" s="845" t="s">
        <v>4</v>
      </c>
      <c r="O114" s="845" t="s">
        <v>5</v>
      </c>
      <c r="P114" s="845" t="s">
        <v>6</v>
      </c>
      <c r="Q114" s="845" t="s">
        <v>7</v>
      </c>
      <c r="R114" s="845" t="s">
        <v>8</v>
      </c>
      <c r="S114" s="845" t="s">
        <v>9</v>
      </c>
      <c r="T114" s="845" t="s">
        <v>1480</v>
      </c>
    </row>
    <row r="115" spans="2:20" x14ac:dyDescent="0.55000000000000004">
      <c r="B115" s="12" t="s">
        <v>1502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302"/>
      <c r="M115" s="18">
        <f>M116+M117+M118</f>
        <v>9.9802530000000012</v>
      </c>
      <c r="N115" s="18">
        <f>N116+N117+N118</f>
        <v>20.246737</v>
      </c>
      <c r="O115" s="18">
        <f t="shared" ref="O115:T115" si="106">O116+O117+O118</f>
        <v>30.226990000000001</v>
      </c>
      <c r="P115" s="18">
        <f t="shared" si="106"/>
        <v>29.759597918000004</v>
      </c>
      <c r="Q115" s="18">
        <f t="shared" si="106"/>
        <v>20.525636338982</v>
      </c>
      <c r="R115" s="18">
        <f t="shared" si="106"/>
        <v>15.456191432101118</v>
      </c>
      <c r="S115" s="18">
        <f t="shared" si="106"/>
        <v>12.673066178223515</v>
      </c>
      <c r="T115" s="18">
        <f t="shared" si="106"/>
        <v>4.7183134138447089</v>
      </c>
    </row>
    <row r="116" spans="2:20" x14ac:dyDescent="0.55000000000000004">
      <c r="B116" s="10"/>
      <c r="C116" s="10" t="s">
        <v>141</v>
      </c>
      <c r="D116" s="10"/>
      <c r="E116" s="10"/>
      <c r="F116" s="10"/>
      <c r="G116" s="10"/>
      <c r="H116" s="10"/>
      <c r="I116" s="10"/>
      <c r="J116" s="10"/>
      <c r="K116" s="10"/>
      <c r="L116" s="303"/>
      <c r="M116" s="24">
        <f>-연결정산표!T36/10^6</f>
        <v>5.572711</v>
      </c>
      <c r="N116" s="24">
        <f>O116-M116</f>
        <v>10.744621</v>
      </c>
      <c r="O116" s="24">
        <f>클래스고정자산!M19/10^6</f>
        <v>16.317332</v>
      </c>
      <c r="P116" s="24">
        <f>SUM(클래스고정자산!R3:R18)/10^6</f>
        <v>14.130127209000001</v>
      </c>
      <c r="Q116" s="24">
        <f>SUM(클래스고정자산!S3:S18)/10^6</f>
        <v>7.757439837740999</v>
      </c>
      <c r="R116" s="24">
        <f>SUM(클래스고정자산!T3:T18)/10^6</f>
        <v>4.2588344709198083</v>
      </c>
      <c r="S116" s="24">
        <f>SUM(클래스고정자산!U3:U18)/10^6</f>
        <v>2.3381001245349751</v>
      </c>
      <c r="T116" s="24">
        <f>SUM(클래스고정자산!V3:V18)/10^6</f>
        <v>1.283616968369701</v>
      </c>
    </row>
    <row r="117" spans="2:20" x14ac:dyDescent="0.55000000000000004">
      <c r="B117" s="10"/>
      <c r="C117" s="10" t="s">
        <v>142</v>
      </c>
      <c r="D117" s="10"/>
      <c r="E117" s="10"/>
      <c r="F117" s="10"/>
      <c r="G117" s="10"/>
      <c r="H117" s="10"/>
      <c r="I117" s="10"/>
      <c r="J117" s="10"/>
      <c r="K117" s="10"/>
      <c r="L117" s="303"/>
      <c r="M117" s="24">
        <f>-연결정산표!T38/10^6</f>
        <v>2.623316</v>
      </c>
      <c r="N117" s="24">
        <f>O117-M117</f>
        <v>4.8595249999999997</v>
      </c>
      <c r="O117" s="24">
        <f>클래스고정자산!M24/10^6</f>
        <v>7.4828409999999996</v>
      </c>
      <c r="P117" s="24">
        <f>SUM(클래스고정자산!R20:R23)/10^6</f>
        <v>6.3442887089999997</v>
      </c>
      <c r="Q117" s="24">
        <f>SUM(클래스고정자산!S20:S23)/10^6</f>
        <v>3.4830145012410001</v>
      </c>
      <c r="R117" s="24">
        <f>SUM(클래스고정자산!T20:T23)/10^6</f>
        <v>1.912174961181309</v>
      </c>
      <c r="S117" s="24">
        <f>SUM(클래스고정자산!U20:U23)/10^6</f>
        <v>1.0497840536885386</v>
      </c>
      <c r="T117" s="24">
        <f>SUM(클래스고정자산!V20:V23)/10^6</f>
        <v>0.57633144547500781</v>
      </c>
    </row>
    <row r="118" spans="2:20" x14ac:dyDescent="0.55000000000000004">
      <c r="B118" s="14"/>
      <c r="C118" s="14" t="s">
        <v>140</v>
      </c>
      <c r="D118" s="14"/>
      <c r="E118" s="14"/>
      <c r="F118" s="14"/>
      <c r="G118" s="14"/>
      <c r="H118" s="14"/>
      <c r="I118" s="14"/>
      <c r="J118" s="14"/>
      <c r="K118" s="14"/>
      <c r="L118" s="304"/>
      <c r="M118" s="26">
        <f>M96</f>
        <v>1.7842260000000001</v>
      </c>
      <c r="N118" s="26">
        <f>O118-M118</f>
        <v>4.6425909999999995</v>
      </c>
      <c r="O118" s="26">
        <f>클래스고정자산!M34/10^6</f>
        <v>6.4268169999999998</v>
      </c>
      <c r="P118" s="26">
        <f>SUM(클래스고정자산!R29:R33)/10^6</f>
        <v>9.2851820000000007</v>
      </c>
      <c r="Q118" s="26">
        <f>SUM(클래스고정자산!S29:S33)/10^6</f>
        <v>9.2851820000000007</v>
      </c>
      <c r="R118" s="26">
        <f>SUM(클래스고정자산!T29:T33)/10^6</f>
        <v>9.2851820000000007</v>
      </c>
      <c r="S118" s="26">
        <f>SUM(클래스고정자산!U29:U33)/10^6</f>
        <v>9.2851820000000007</v>
      </c>
      <c r="T118" s="26">
        <f>SUM(클래스고정자산!V29:V33)/10^6</f>
        <v>2.858365</v>
      </c>
    </row>
    <row r="120" spans="2:20" x14ac:dyDescent="0.55000000000000004">
      <c r="B120" s="844"/>
      <c r="C120" s="844"/>
      <c r="D120" s="844"/>
      <c r="E120" s="844"/>
      <c r="F120" s="844"/>
      <c r="G120" s="844"/>
      <c r="H120" s="844"/>
      <c r="I120" s="844"/>
      <c r="J120" s="844"/>
      <c r="K120" s="844"/>
      <c r="L120" s="845" t="s">
        <v>2</v>
      </c>
      <c r="M120" s="845" t="s">
        <v>3</v>
      </c>
      <c r="N120" s="845" t="s">
        <v>4</v>
      </c>
      <c r="O120" s="845" t="s">
        <v>5</v>
      </c>
      <c r="P120" s="845" t="s">
        <v>6</v>
      </c>
      <c r="Q120" s="845" t="s">
        <v>7</v>
      </c>
      <c r="R120" s="845" t="s">
        <v>8</v>
      </c>
      <c r="S120" s="845" t="s">
        <v>9</v>
      </c>
      <c r="T120" s="845" t="s">
        <v>1480</v>
      </c>
    </row>
    <row r="121" spans="2:20" x14ac:dyDescent="0.55000000000000004">
      <c r="B121" s="12" t="s">
        <v>1503</v>
      </c>
      <c r="C121" s="12"/>
      <c r="D121" s="12"/>
      <c r="E121" s="12"/>
      <c r="F121" s="12"/>
      <c r="G121" s="12"/>
      <c r="H121" s="12"/>
      <c r="I121" s="12"/>
      <c r="J121" s="12"/>
      <c r="K121" s="12"/>
      <c r="L121" s="302"/>
      <c r="M121" s="302"/>
      <c r="N121" s="18">
        <f>N122+N123+N124</f>
        <v>1.9914970115000001</v>
      </c>
      <c r="O121" s="302"/>
      <c r="P121" s="18">
        <f t="shared" ref="P121:T121" si="107">P122+P123+P124</f>
        <v>14.21888503012722</v>
      </c>
      <c r="Q121" s="18">
        <f t="shared" si="107"/>
        <v>22.369839206988317</v>
      </c>
      <c r="R121" s="18">
        <f t="shared" si="107"/>
        <v>27.144344366597181</v>
      </c>
      <c r="S121" s="18">
        <f t="shared" si="107"/>
        <v>30.476035705668384</v>
      </c>
      <c r="T121" s="18">
        <f t="shared" si="107"/>
        <v>32.574936280331386</v>
      </c>
    </row>
    <row r="122" spans="2:20" x14ac:dyDescent="0.55000000000000004">
      <c r="B122" s="10"/>
      <c r="C122" s="10" t="s">
        <v>141</v>
      </c>
      <c r="D122" s="10"/>
      <c r="E122" s="10"/>
      <c r="F122" s="10"/>
      <c r="G122" s="10"/>
      <c r="H122" s="10"/>
      <c r="I122" s="10"/>
      <c r="J122" s="10"/>
      <c r="K122" s="10"/>
      <c r="L122" s="303"/>
      <c r="M122" s="429"/>
      <c r="N122" s="24">
        <f>N127</f>
        <v>1.21145601775</v>
      </c>
      <c r="O122" s="429"/>
      <c r="P122" s="24">
        <f t="shared" ref="P122:T122" si="108">P127</f>
        <v>8.4553287379015671</v>
      </c>
      <c r="Q122" s="24">
        <f t="shared" si="108"/>
        <v>12.531063946632704</v>
      </c>
      <c r="R122" s="24">
        <f t="shared" si="108"/>
        <v>13.966318334331199</v>
      </c>
      <c r="S122" s="24">
        <f t="shared" si="108"/>
        <v>14.0335455278456</v>
      </c>
      <c r="T122" s="24">
        <f t="shared" si="108"/>
        <v>13.423024135340944</v>
      </c>
    </row>
    <row r="123" spans="2:20" x14ac:dyDescent="0.55000000000000004">
      <c r="B123" s="10"/>
      <c r="C123" s="10" t="s">
        <v>142</v>
      </c>
      <c r="D123" s="10"/>
      <c r="E123" s="10"/>
      <c r="F123" s="10"/>
      <c r="G123" s="10"/>
      <c r="H123" s="10"/>
      <c r="I123" s="10"/>
      <c r="J123" s="10"/>
      <c r="K123" s="10"/>
      <c r="L123" s="303"/>
      <c r="M123" s="429"/>
      <c r="N123" s="24">
        <f>N134</f>
        <v>0.54791144375</v>
      </c>
      <c r="O123" s="429"/>
      <c r="P123" s="24">
        <f t="shared" ref="P123:T123" si="109">P134</f>
        <v>3.8136680722256528</v>
      </c>
      <c r="Q123" s="24">
        <f t="shared" si="109"/>
        <v>5.6418729963556133</v>
      </c>
      <c r="R123" s="24">
        <f t="shared" si="109"/>
        <v>6.2847069154659803</v>
      </c>
      <c r="S123" s="24">
        <f t="shared" si="109"/>
        <v>6.3134708376627824</v>
      </c>
      <c r="T123" s="24">
        <f t="shared" si="109"/>
        <v>6.0380767417984389</v>
      </c>
    </row>
    <row r="124" spans="2:20" x14ac:dyDescent="0.55000000000000004">
      <c r="B124" s="14"/>
      <c r="C124" s="14" t="s">
        <v>140</v>
      </c>
      <c r="D124" s="14"/>
      <c r="E124" s="14"/>
      <c r="F124" s="14"/>
      <c r="G124" s="14"/>
      <c r="H124" s="14"/>
      <c r="I124" s="14"/>
      <c r="J124" s="14"/>
      <c r="K124" s="14"/>
      <c r="L124" s="304"/>
      <c r="M124" s="431"/>
      <c r="N124" s="26">
        <f>N141</f>
        <v>0.23212954999999999</v>
      </c>
      <c r="O124" s="431"/>
      <c r="P124" s="26">
        <f t="shared" ref="P124:T124" si="110">P141</f>
        <v>1.9498882200000001</v>
      </c>
      <c r="Q124" s="26">
        <f t="shared" si="110"/>
        <v>4.1969022640000002</v>
      </c>
      <c r="R124" s="26">
        <f t="shared" si="110"/>
        <v>6.8933191168000008</v>
      </c>
      <c r="S124" s="26">
        <f t="shared" si="110"/>
        <v>10.129019340160003</v>
      </c>
      <c r="T124" s="26">
        <f t="shared" si="110"/>
        <v>13.113835403192001</v>
      </c>
    </row>
    <row r="126" spans="2:20" x14ac:dyDescent="0.55000000000000004">
      <c r="B126" s="844"/>
      <c r="C126" s="844"/>
      <c r="D126" s="844"/>
      <c r="E126" s="844"/>
      <c r="F126" s="844"/>
      <c r="G126" s="844"/>
      <c r="H126" s="844"/>
      <c r="I126" s="844"/>
      <c r="J126" s="844"/>
      <c r="K126" s="844"/>
      <c r="L126" s="845" t="s">
        <v>2</v>
      </c>
      <c r="M126" s="845" t="s">
        <v>3</v>
      </c>
      <c r="N126" s="845" t="s">
        <v>4</v>
      </c>
      <c r="O126" s="845" t="s">
        <v>5</v>
      </c>
      <c r="P126" s="845" t="s">
        <v>6</v>
      </c>
      <c r="Q126" s="845" t="s">
        <v>7</v>
      </c>
      <c r="R126" s="845" t="s">
        <v>8</v>
      </c>
      <c r="S126" s="845" t="s">
        <v>9</v>
      </c>
      <c r="T126" s="845" t="s">
        <v>1480</v>
      </c>
    </row>
    <row r="127" spans="2:20" x14ac:dyDescent="0.55000000000000004">
      <c r="B127" s="4" t="s">
        <v>119</v>
      </c>
      <c r="C127" s="4"/>
      <c r="D127" s="4"/>
      <c r="E127" s="4"/>
      <c r="F127" s="4"/>
      <c r="G127" s="428" t="s">
        <v>1481</v>
      </c>
      <c r="H127" s="428" t="s">
        <v>1482</v>
      </c>
      <c r="I127" s="428" t="s">
        <v>1483</v>
      </c>
      <c r="J127" s="428" t="s">
        <v>1485</v>
      </c>
      <c r="K127" s="4"/>
      <c r="L127" s="429"/>
      <c r="M127" s="429"/>
      <c r="N127" s="23">
        <f>SUM(N128:N133)</f>
        <v>1.21145601775</v>
      </c>
      <c r="O127" s="429"/>
      <c r="P127" s="23">
        <f t="shared" ref="P127:T127" si="111">SUM(P128:P133)</f>
        <v>8.4553287379015671</v>
      </c>
      <c r="Q127" s="23">
        <f t="shared" si="111"/>
        <v>12.531063946632704</v>
      </c>
      <c r="R127" s="23">
        <f t="shared" si="111"/>
        <v>13.966318334331199</v>
      </c>
      <c r="S127" s="23">
        <f t="shared" si="111"/>
        <v>14.0335455278456</v>
      </c>
      <c r="T127" s="23">
        <f t="shared" si="111"/>
        <v>13.423024135340944</v>
      </c>
    </row>
    <row r="128" spans="2:20" x14ac:dyDescent="0.55000000000000004">
      <c r="C128" s="1" t="s">
        <v>4</v>
      </c>
      <c r="G128" s="19">
        <f>N116</f>
        <v>10.744621</v>
      </c>
      <c r="H128" s="427">
        <v>5</v>
      </c>
      <c r="I128" s="427" t="s">
        <v>1504</v>
      </c>
      <c r="J128" s="427">
        <v>0.45100000000000001</v>
      </c>
      <c r="L128" s="322"/>
      <c r="M128" s="322"/>
      <c r="N128" s="19">
        <f>$G128*$J128/2/2</f>
        <v>1.21145601775</v>
      </c>
      <c r="O128" s="322"/>
      <c r="P128" s="315">
        <f>($G128-$N128)*$J128</f>
        <v>4.2994574069947502</v>
      </c>
      <c r="Q128" s="315">
        <f>($G128-$N128-$P128)*$J128</f>
        <v>2.3604021164401177</v>
      </c>
      <c r="R128" s="315">
        <f>($G128-$N128-$P128-$Q128)*$J128</f>
        <v>1.2958607619256246</v>
      </c>
      <c r="S128" s="315">
        <f>($G128-$N128-$P128-$Q128-$R128)*$J128</f>
        <v>0.71142755829716775</v>
      </c>
      <c r="T128" s="315">
        <f>($G128-$N128-$P128-$Q128-$R128-$S128)*$J128</f>
        <v>0.39057372950514513</v>
      </c>
    </row>
    <row r="129" spans="2:20" x14ac:dyDescent="0.55000000000000004">
      <c r="C129" s="1" t="s">
        <v>6</v>
      </c>
      <c r="G129" s="19">
        <f>P116+P128</f>
        <v>18.429584615994752</v>
      </c>
      <c r="H129" s="427">
        <v>5</v>
      </c>
      <c r="I129" s="427" t="s">
        <v>1504</v>
      </c>
      <c r="J129" s="427">
        <v>0.45100000000000001</v>
      </c>
      <c r="L129" s="322"/>
      <c r="M129" s="322"/>
      <c r="N129" s="322"/>
      <c r="O129" s="322"/>
      <c r="P129" s="19">
        <f>$G129*$J129/2</f>
        <v>4.1558713309068169</v>
      </c>
      <c r="Q129" s="315">
        <f>($G129-$N129-$P129)*$J129</f>
        <v>6.437444691574659</v>
      </c>
      <c r="R129" s="315">
        <f>($G129-$N129-$P129-$Q129)*$J129</f>
        <v>3.5341571356744881</v>
      </c>
      <c r="S129" s="315">
        <f>($G129-$N129-$P129-$Q129-$R129)*$J129</f>
        <v>1.940252267485294</v>
      </c>
      <c r="T129" s="315">
        <f>($G129-$N129-$P129-$Q129-$R129-$S129)*$J129</f>
        <v>1.0651984948494264</v>
      </c>
    </row>
    <row r="130" spans="2:20" x14ac:dyDescent="0.55000000000000004">
      <c r="C130" s="1" t="s">
        <v>1476</v>
      </c>
      <c r="G130" s="19">
        <f>Q116+Q128+Q129</f>
        <v>16.555286645755775</v>
      </c>
      <c r="H130" s="427">
        <v>5</v>
      </c>
      <c r="I130" s="427" t="s">
        <v>1504</v>
      </c>
      <c r="J130" s="427">
        <v>0.45100000000000001</v>
      </c>
      <c r="L130" s="322"/>
      <c r="M130" s="322"/>
      <c r="N130" s="322"/>
      <c r="O130" s="322"/>
      <c r="P130" s="322"/>
      <c r="Q130" s="315">
        <f>($G130-$N130-$P130)*$J130/2</f>
        <v>3.7332171386179271</v>
      </c>
      <c r="R130" s="315">
        <f>($G130-$N130-$P130-$Q130)*$J130</f>
        <v>5.7827533477191695</v>
      </c>
      <c r="S130" s="315">
        <f>($G130-$N130-$P130-$Q130-$R130)*$J130</f>
        <v>3.1747315878978237</v>
      </c>
      <c r="T130" s="315">
        <f>($G130-$N130-$P130-$Q130-$R130-$S130)*$J130</f>
        <v>1.7429276417559052</v>
      </c>
    </row>
    <row r="131" spans="2:20" x14ac:dyDescent="0.55000000000000004">
      <c r="C131" s="1" t="s">
        <v>1477</v>
      </c>
      <c r="G131" s="315">
        <f>R128+R129+R130+R116</f>
        <v>14.871605716239092</v>
      </c>
      <c r="H131" s="427">
        <v>5</v>
      </c>
      <c r="I131" s="427" t="s">
        <v>1504</v>
      </c>
      <c r="J131" s="427">
        <v>0.45100000000000001</v>
      </c>
      <c r="L131" s="322"/>
      <c r="M131" s="322"/>
      <c r="N131" s="322"/>
      <c r="O131" s="322"/>
      <c r="P131" s="322"/>
      <c r="Q131" s="322"/>
      <c r="R131" s="315">
        <f>($G131-$N131-$P131-$Q131)*$J131/2</f>
        <v>3.3535470890119154</v>
      </c>
      <c r="S131" s="315">
        <f>($G131-$N131-$P131-$Q131-$R131)*$J131</f>
        <v>5.1946444408794568</v>
      </c>
      <c r="T131" s="315">
        <f>($G131-$N131-$P131-$Q131-$R131-$S131)*$J131</f>
        <v>2.8518597980428217</v>
      </c>
    </row>
    <row r="132" spans="2:20" x14ac:dyDescent="0.55000000000000004">
      <c r="C132" s="1" t="s">
        <v>1478</v>
      </c>
      <c r="G132" s="315">
        <f>SUM(S128:S131,S116)</f>
        <v>13.359155979094716</v>
      </c>
      <c r="H132" s="427">
        <v>5</v>
      </c>
      <c r="I132" s="427" t="s">
        <v>1504</v>
      </c>
      <c r="J132" s="427">
        <v>0.45100000000000001</v>
      </c>
      <c r="L132" s="322"/>
      <c r="M132" s="322"/>
      <c r="N132" s="322"/>
      <c r="O132" s="322"/>
      <c r="P132" s="322"/>
      <c r="Q132" s="322"/>
      <c r="R132" s="322"/>
      <c r="S132" s="315">
        <f>($G132-$N132-$P132-$Q132-$R132)*$J132/2</f>
        <v>3.0124896732858586</v>
      </c>
      <c r="T132" s="315">
        <f>($G132-$N132-$P132-$Q132-$R132-$S132)*$J132</f>
        <v>4.6663465039197947</v>
      </c>
    </row>
    <row r="133" spans="2:20" x14ac:dyDescent="0.55000000000000004">
      <c r="C133" s="1" t="s">
        <v>1479</v>
      </c>
      <c r="G133" s="315">
        <f>SUM(T128:T132,T116)</f>
        <v>12.000523136442794</v>
      </c>
      <c r="H133" s="427">
        <v>5</v>
      </c>
      <c r="I133" s="427" t="s">
        <v>1504</v>
      </c>
      <c r="J133" s="427">
        <v>0.45100000000000001</v>
      </c>
      <c r="L133" s="322"/>
      <c r="M133" s="322"/>
      <c r="N133" s="322"/>
      <c r="O133" s="322"/>
      <c r="P133" s="322"/>
      <c r="Q133" s="322"/>
      <c r="R133" s="322"/>
      <c r="S133" s="322"/>
      <c r="T133" s="315">
        <f>($G133-$N133-$P133-$Q133-$R133-$S133)*$J133/2</f>
        <v>2.7061179672678501</v>
      </c>
    </row>
    <row r="134" spans="2:20" x14ac:dyDescent="0.55000000000000004">
      <c r="B134" s="4" t="s">
        <v>120</v>
      </c>
      <c r="G134" s="426" t="s">
        <v>1481</v>
      </c>
      <c r="H134" s="426" t="s">
        <v>1482</v>
      </c>
      <c r="I134" s="426" t="s">
        <v>1483</v>
      </c>
      <c r="J134" s="426" t="s">
        <v>1485</v>
      </c>
      <c r="L134" s="322"/>
      <c r="M134" s="322"/>
      <c r="N134" s="23">
        <f>SUM(N135:N140)</f>
        <v>0.54791144375</v>
      </c>
      <c r="O134" s="429"/>
      <c r="P134" s="23">
        <f t="shared" ref="P134:T134" si="112">SUM(P135:P140)</f>
        <v>3.8136680722256528</v>
      </c>
      <c r="Q134" s="23">
        <f t="shared" si="112"/>
        <v>5.6418729963556133</v>
      </c>
      <c r="R134" s="23">
        <f t="shared" si="112"/>
        <v>6.2847069154659803</v>
      </c>
      <c r="S134" s="23">
        <f t="shared" si="112"/>
        <v>6.3134708376627824</v>
      </c>
      <c r="T134" s="23">
        <f t="shared" si="112"/>
        <v>6.0380767417984389</v>
      </c>
    </row>
    <row r="135" spans="2:20" x14ac:dyDescent="0.55000000000000004">
      <c r="C135" s="1" t="s">
        <v>4</v>
      </c>
      <c r="G135" s="19">
        <f>N117</f>
        <v>4.8595249999999997</v>
      </c>
      <c r="H135" s="427">
        <v>5</v>
      </c>
      <c r="I135" s="427" t="s">
        <v>1504</v>
      </c>
      <c r="J135" s="427">
        <v>0.45100000000000001</v>
      </c>
      <c r="L135" s="322"/>
      <c r="M135" s="322"/>
      <c r="N135" s="19">
        <f>$G135*$J135/2/2</f>
        <v>0.54791144375</v>
      </c>
      <c r="O135" s="322"/>
      <c r="P135" s="315">
        <f>($G135-$N135)*$J135</f>
        <v>1.9445377138687499</v>
      </c>
      <c r="Q135" s="315">
        <f>($G135-$N135-$P135)*$J135</f>
        <v>1.0675512049139435</v>
      </c>
      <c r="R135" s="315">
        <f>($G135-$N135-$P135-$Q135)*$J135</f>
        <v>0.58608561149775495</v>
      </c>
      <c r="S135" s="315">
        <f>($G135-$N135-$P135-$Q135-$R135)*$J135</f>
        <v>0.32176100071226749</v>
      </c>
      <c r="T135" s="315">
        <f>($G135-$N135-$P135-$Q135-$R135-$S135)*$J135</f>
        <v>0.17664678939103487</v>
      </c>
    </row>
    <row r="136" spans="2:20" x14ac:dyDescent="0.55000000000000004">
      <c r="C136" s="1" t="s">
        <v>6</v>
      </c>
      <c r="G136" s="315">
        <f>P135+P117</f>
        <v>8.28882642286875</v>
      </c>
      <c r="H136" s="427">
        <v>5</v>
      </c>
      <c r="I136" s="427" t="s">
        <v>1504</v>
      </c>
      <c r="J136" s="427">
        <v>0.45100000000000001</v>
      </c>
      <c r="L136" s="322"/>
      <c r="M136" s="322"/>
      <c r="N136" s="322"/>
      <c r="O136" s="322"/>
      <c r="P136" s="19">
        <f>$G136*$J136/2</f>
        <v>1.8691303583569032</v>
      </c>
      <c r="Q136" s="315">
        <f>($G136-$N136-$P136)*$J136</f>
        <v>2.8952829250948429</v>
      </c>
      <c r="R136" s="315">
        <f>($G136-$N136-$P136-$Q136)*$J136</f>
        <v>1.5895103258770686</v>
      </c>
      <c r="S136" s="315">
        <f>($G136-$N136-$P136-$Q136-$R136)*$J136</f>
        <v>0.87264116890651078</v>
      </c>
      <c r="T136" s="315">
        <f>($G136-$N136-$P136-$Q136-$R136-$S136)*$J136</f>
        <v>0.47908000172967435</v>
      </c>
    </row>
    <row r="137" spans="2:20" x14ac:dyDescent="0.55000000000000004">
      <c r="C137" s="1" t="s">
        <v>1476</v>
      </c>
      <c r="G137" s="315">
        <f>SUM(Q135:Q136,Q117)</f>
        <v>7.4458486312497865</v>
      </c>
      <c r="H137" s="427">
        <v>5</v>
      </c>
      <c r="I137" s="427" t="s">
        <v>1504</v>
      </c>
      <c r="J137" s="427">
        <v>0.45100000000000001</v>
      </c>
      <c r="L137" s="322"/>
      <c r="M137" s="322"/>
      <c r="N137" s="322"/>
      <c r="O137" s="322"/>
      <c r="P137" s="322"/>
      <c r="Q137" s="315">
        <f>($G137-$N137-$P137)*$J137/2</f>
        <v>1.679038866346827</v>
      </c>
      <c r="R137" s="315">
        <f>($G137-$N137-$P137-$Q137)*$J137</f>
        <v>2.6008312039712345</v>
      </c>
      <c r="S137" s="315">
        <f>($G137-$N137-$P137-$Q137-$R137)*$J137</f>
        <v>1.4278563309802079</v>
      </c>
      <c r="T137" s="315">
        <f>($G137-$N137-$P137-$Q137-$R137-$S137)*$J137</f>
        <v>0.78389312570813408</v>
      </c>
    </row>
    <row r="138" spans="2:20" x14ac:dyDescent="0.55000000000000004">
      <c r="C138" s="1" t="s">
        <v>1477</v>
      </c>
      <c r="G138" s="315">
        <f>SUM(R135:R137,R117)</f>
        <v>6.6886021025273674</v>
      </c>
      <c r="H138" s="427">
        <v>5</v>
      </c>
      <c r="I138" s="427" t="s">
        <v>1504</v>
      </c>
      <c r="J138" s="427">
        <v>0.45100000000000001</v>
      </c>
      <c r="L138" s="322"/>
      <c r="M138" s="322"/>
      <c r="N138" s="322"/>
      <c r="O138" s="322"/>
      <c r="P138" s="322"/>
      <c r="Q138" s="322"/>
      <c r="R138" s="315">
        <f>($G138-$N138-$P138-$Q138)*$J138/2</f>
        <v>1.5082797741199214</v>
      </c>
      <c r="S138" s="315">
        <f>($G138-$N138-$P138-$Q138-$R138)*$J138</f>
        <v>2.3363253701117581</v>
      </c>
      <c r="T138" s="315">
        <f>($G138-$N138-$P138-$Q138-$R138-$S138)*$J138</f>
        <v>1.282642628191355</v>
      </c>
    </row>
    <row r="139" spans="2:20" x14ac:dyDescent="0.55000000000000004">
      <c r="C139" s="1" t="s">
        <v>1478</v>
      </c>
      <c r="G139" s="315">
        <f>SUM(S135:S138,S117)</f>
        <v>6.0083679243992831</v>
      </c>
      <c r="H139" s="427">
        <v>5</v>
      </c>
      <c r="I139" s="427" t="s">
        <v>1504</v>
      </c>
      <c r="J139" s="427">
        <v>0.45100000000000001</v>
      </c>
      <c r="L139" s="322"/>
      <c r="M139" s="322"/>
      <c r="N139" s="322"/>
      <c r="O139" s="322"/>
      <c r="P139" s="322"/>
      <c r="Q139" s="322"/>
      <c r="R139" s="322"/>
      <c r="S139" s="315">
        <f>($G139-$N139-$P139-$Q139-$R139)*$J139/2</f>
        <v>1.3548869669520385</v>
      </c>
      <c r="T139" s="315">
        <f>($G139-$N139-$P139-$Q139-$R139-$S139)*$J139</f>
        <v>2.0987199118087076</v>
      </c>
    </row>
    <row r="140" spans="2:20" x14ac:dyDescent="0.55000000000000004">
      <c r="C140" s="1" t="s">
        <v>1479</v>
      </c>
      <c r="G140" s="315">
        <f>SUM(T135:T139,T117)</f>
        <v>5.3973139023039138</v>
      </c>
      <c r="H140" s="427">
        <v>5</v>
      </c>
      <c r="I140" s="427" t="s">
        <v>1504</v>
      </c>
      <c r="J140" s="427">
        <v>0.45100000000000001</v>
      </c>
      <c r="L140" s="322"/>
      <c r="M140" s="322"/>
      <c r="N140" s="322"/>
      <c r="O140" s="322"/>
      <c r="P140" s="322"/>
      <c r="Q140" s="322"/>
      <c r="R140" s="322"/>
      <c r="S140" s="322"/>
      <c r="T140" s="315">
        <f>($G140-$N140-$P140-$Q140-$R140-$S140)*$J140/2</f>
        <v>1.2170942849695325</v>
      </c>
    </row>
    <row r="141" spans="2:20" x14ac:dyDescent="0.55000000000000004">
      <c r="B141" s="4" t="s">
        <v>140</v>
      </c>
      <c r="G141" s="430" t="s">
        <v>1481</v>
      </c>
      <c r="H141" s="430" t="s">
        <v>1482</v>
      </c>
      <c r="I141" s="430" t="s">
        <v>1483</v>
      </c>
      <c r="J141" s="430" t="s">
        <v>1485</v>
      </c>
      <c r="L141" s="322"/>
      <c r="M141" s="322"/>
      <c r="N141" s="23">
        <f>SUM(N142:N147)</f>
        <v>0.23212954999999999</v>
      </c>
      <c r="O141" s="429"/>
      <c r="P141" s="23">
        <f t="shared" ref="P141" si="113">SUM(P142:P147)</f>
        <v>1.9498882200000001</v>
      </c>
      <c r="Q141" s="23">
        <f t="shared" ref="Q141" si="114">SUM(Q142:Q147)</f>
        <v>4.1969022640000002</v>
      </c>
      <c r="R141" s="23">
        <f t="shared" ref="R141" si="115">SUM(R142:R147)</f>
        <v>6.8933191168000008</v>
      </c>
      <c r="S141" s="23">
        <f t="shared" ref="S141" si="116">SUM(S142:S147)</f>
        <v>10.129019340160003</v>
      </c>
      <c r="T141" s="23">
        <f t="shared" ref="T141" si="117">SUM(T142:T147)</f>
        <v>13.113835403192001</v>
      </c>
    </row>
    <row r="142" spans="2:20" x14ac:dyDescent="0.55000000000000004">
      <c r="C142" s="1" t="s">
        <v>4</v>
      </c>
      <c r="G142" s="19">
        <f>N118</f>
        <v>4.6425909999999995</v>
      </c>
      <c r="H142" s="427">
        <v>5</v>
      </c>
      <c r="I142" s="427" t="s">
        <v>1552</v>
      </c>
      <c r="J142" s="427">
        <v>0.2</v>
      </c>
      <c r="L142" s="322"/>
      <c r="M142" s="322"/>
      <c r="N142" s="19">
        <f>$G142*$J142/2/2</f>
        <v>0.23212954999999999</v>
      </c>
      <c r="O142" s="322"/>
      <c r="P142" s="19">
        <f>$G142*$J142</f>
        <v>0.92851819999999996</v>
      </c>
      <c r="Q142" s="19">
        <f t="shared" ref="Q142:T145" si="118">$G142*$J142</f>
        <v>0.92851819999999996</v>
      </c>
      <c r="R142" s="19">
        <f t="shared" si="118"/>
        <v>0.92851819999999996</v>
      </c>
      <c r="S142" s="315">
        <f t="shared" si="118"/>
        <v>0.92851819999999996</v>
      </c>
      <c r="T142" s="315">
        <f>G142-S142-R142-Q142-P142-N142</f>
        <v>0.69638864999999928</v>
      </c>
    </row>
    <row r="143" spans="2:20" x14ac:dyDescent="0.55000000000000004">
      <c r="C143" s="1" t="s">
        <v>6</v>
      </c>
      <c r="G143" s="315">
        <f>P142+P118</f>
        <v>10.2137002</v>
      </c>
      <c r="H143" s="427">
        <v>5</v>
      </c>
      <c r="I143" s="427" t="s">
        <v>1187</v>
      </c>
      <c r="J143" s="427">
        <f>J142</f>
        <v>0.2</v>
      </c>
      <c r="L143" s="322"/>
      <c r="M143" s="322"/>
      <c r="N143" s="322"/>
      <c r="O143" s="322"/>
      <c r="P143" s="19">
        <f>$G143*$J143/2</f>
        <v>1.02137002</v>
      </c>
      <c r="Q143" s="19">
        <f>$G143*$J143</f>
        <v>2.04274004</v>
      </c>
      <c r="R143" s="19">
        <f t="shared" si="118"/>
        <v>2.04274004</v>
      </c>
      <c r="S143" s="19">
        <f t="shared" si="118"/>
        <v>2.04274004</v>
      </c>
      <c r="T143" s="315">
        <f t="shared" si="118"/>
        <v>2.04274004</v>
      </c>
    </row>
    <row r="144" spans="2:20" x14ac:dyDescent="0.55000000000000004">
      <c r="C144" s="1" t="s">
        <v>1476</v>
      </c>
      <c r="G144" s="315">
        <f>SUM(Q142:Q143,Q118)</f>
        <v>12.25644024</v>
      </c>
      <c r="H144" s="427">
        <v>5</v>
      </c>
      <c r="I144" s="427" t="s">
        <v>1187</v>
      </c>
      <c r="J144" s="427">
        <f t="shared" ref="J144:J147" si="119">J143</f>
        <v>0.2</v>
      </c>
      <c r="L144" s="322"/>
      <c r="M144" s="322"/>
      <c r="N144" s="322"/>
      <c r="O144" s="322"/>
      <c r="P144" s="322"/>
      <c r="Q144" s="19">
        <f>$G144*$J144/2</f>
        <v>1.2256440240000002</v>
      </c>
      <c r="R144" s="19">
        <f>$G144*$J144</f>
        <v>2.4512880480000003</v>
      </c>
      <c r="S144" s="19">
        <f t="shared" si="118"/>
        <v>2.4512880480000003</v>
      </c>
      <c r="T144" s="19">
        <f t="shared" si="118"/>
        <v>2.4512880480000003</v>
      </c>
    </row>
    <row r="145" spans="1:21" x14ac:dyDescent="0.55000000000000004">
      <c r="C145" s="1" t="s">
        <v>1477</v>
      </c>
      <c r="G145" s="315">
        <f>SUM(R142:R144,R118)</f>
        <v>14.707728288000002</v>
      </c>
      <c r="H145" s="427">
        <v>5</v>
      </c>
      <c r="I145" s="427" t="s">
        <v>1187</v>
      </c>
      <c r="J145" s="427">
        <f t="shared" si="119"/>
        <v>0.2</v>
      </c>
      <c r="L145" s="322"/>
      <c r="M145" s="322"/>
      <c r="N145" s="322"/>
      <c r="O145" s="322"/>
      <c r="P145" s="322"/>
      <c r="Q145" s="322"/>
      <c r="R145" s="19">
        <f>$G145*$J145/2</f>
        <v>1.4707728288000004</v>
      </c>
      <c r="S145" s="19">
        <f>$G145*$J145</f>
        <v>2.9415456576000008</v>
      </c>
      <c r="T145" s="19">
        <f t="shared" si="118"/>
        <v>2.9415456576000008</v>
      </c>
    </row>
    <row r="146" spans="1:21" x14ac:dyDescent="0.55000000000000004">
      <c r="C146" s="1" t="s">
        <v>1478</v>
      </c>
      <c r="G146" s="315">
        <f>SUM(S142:S145,S118)</f>
        <v>17.649273945600001</v>
      </c>
      <c r="H146" s="427">
        <v>5</v>
      </c>
      <c r="I146" s="427" t="s">
        <v>1187</v>
      </c>
      <c r="J146" s="427">
        <f t="shared" si="119"/>
        <v>0.2</v>
      </c>
      <c r="L146" s="322"/>
      <c r="M146" s="322"/>
      <c r="N146" s="322"/>
      <c r="O146" s="322"/>
      <c r="P146" s="322"/>
      <c r="Q146" s="322"/>
      <c r="R146" s="322"/>
      <c r="S146" s="19">
        <f>$G146*$J146/2</f>
        <v>1.7649273945600001</v>
      </c>
      <c r="T146" s="19">
        <f>$G146*$J146</f>
        <v>3.5298547891200003</v>
      </c>
    </row>
    <row r="147" spans="1:21" x14ac:dyDescent="0.55000000000000004">
      <c r="B147" s="15"/>
      <c r="C147" s="15" t="s">
        <v>1479</v>
      </c>
      <c r="D147" s="15"/>
      <c r="E147" s="15"/>
      <c r="F147" s="15"/>
      <c r="G147" s="300">
        <f>SUM(T142:T146,T118)</f>
        <v>14.520182184719999</v>
      </c>
      <c r="H147" s="430">
        <v>5</v>
      </c>
      <c r="I147" s="430" t="s">
        <v>1187</v>
      </c>
      <c r="J147" s="430">
        <f t="shared" si="119"/>
        <v>0.2</v>
      </c>
      <c r="K147" s="15"/>
      <c r="L147" s="431"/>
      <c r="M147" s="431"/>
      <c r="N147" s="431"/>
      <c r="O147" s="431"/>
      <c r="P147" s="431"/>
      <c r="Q147" s="431"/>
      <c r="R147" s="431"/>
      <c r="S147" s="431"/>
      <c r="T147" s="301">
        <f>$G147*$J147/2</f>
        <v>1.4520182184720001</v>
      </c>
    </row>
    <row r="150" spans="1:21" x14ac:dyDescent="0.55000000000000004">
      <c r="A150" s="841" t="s">
        <v>121</v>
      </c>
      <c r="B150" s="842"/>
      <c r="C150" s="842"/>
      <c r="D150" s="842"/>
      <c r="E150" s="842"/>
      <c r="F150" s="842"/>
      <c r="G150" s="842"/>
      <c r="H150" s="842"/>
      <c r="I150" s="842"/>
      <c r="J150" s="842"/>
      <c r="K150" s="842"/>
      <c r="L150" s="842"/>
      <c r="M150" s="842"/>
      <c r="N150" s="842"/>
      <c r="O150" s="842"/>
      <c r="P150" s="842"/>
      <c r="Q150" s="842"/>
      <c r="R150" s="842"/>
      <c r="S150" s="842"/>
      <c r="T150" s="842"/>
    </row>
    <row r="152" spans="1:21" x14ac:dyDescent="0.55000000000000004">
      <c r="B152" s="844"/>
      <c r="C152" s="844"/>
      <c r="D152" s="844"/>
      <c r="E152" s="844"/>
      <c r="F152" s="844"/>
      <c r="G152" s="844"/>
      <c r="H152" s="844"/>
      <c r="I152" s="844"/>
      <c r="J152" s="844"/>
      <c r="K152" s="844"/>
      <c r="L152" s="845" t="s">
        <v>2</v>
      </c>
      <c r="M152" s="845" t="s">
        <v>3</v>
      </c>
      <c r="N152" s="845" t="s">
        <v>4</v>
      </c>
      <c r="O152" s="845" t="s">
        <v>5</v>
      </c>
      <c r="P152" s="845" t="s">
        <v>6</v>
      </c>
      <c r="Q152" s="845" t="s">
        <v>7</v>
      </c>
      <c r="R152" s="845" t="s">
        <v>8</v>
      </c>
      <c r="S152" s="845" t="s">
        <v>9</v>
      </c>
      <c r="T152" s="845" t="s">
        <v>1480</v>
      </c>
      <c r="U152" s="845" t="s">
        <v>10</v>
      </c>
    </row>
    <row r="153" spans="1:21" x14ac:dyDescent="0.55000000000000004">
      <c r="B153" s="12" t="s">
        <v>122</v>
      </c>
      <c r="C153" s="12"/>
      <c r="D153" s="12"/>
      <c r="E153" s="12"/>
      <c r="F153" s="12"/>
      <c r="G153" s="12"/>
      <c r="H153" s="12"/>
      <c r="I153" s="12"/>
      <c r="J153" s="12"/>
      <c r="K153" s="12"/>
      <c r="L153" s="18"/>
      <c r="M153" s="18">
        <f>M154-L154</f>
        <v>1045.3886180000002</v>
      </c>
      <c r="N153" s="18">
        <f>N154-M154</f>
        <v>260.3314203794871</v>
      </c>
      <c r="O153" s="18">
        <f>O154-L154</f>
        <v>1305.7200383794873</v>
      </c>
      <c r="P153" s="18">
        <f>P154-O154</f>
        <v>354.5898989837151</v>
      </c>
      <c r="Q153" s="18">
        <f t="shared" ref="Q153:S153" si="120">Q154-P154</f>
        <v>142.52162205240302</v>
      </c>
      <c r="R153" s="18">
        <f t="shared" si="120"/>
        <v>125.42566621172637</v>
      </c>
      <c r="S153" s="18">
        <f t="shared" si="120"/>
        <v>125.96142295648315</v>
      </c>
      <c r="T153" s="18">
        <f t="shared" ref="T153:U153" si="121">T154-S154</f>
        <v>131.50374735369542</v>
      </c>
      <c r="U153" s="810">
        <f t="shared" si="121"/>
        <v>22.158283689374912</v>
      </c>
    </row>
    <row r="154" spans="1:21" x14ac:dyDescent="0.55000000000000004">
      <c r="B154" s="316" t="s">
        <v>123</v>
      </c>
      <c r="C154" s="316"/>
      <c r="D154" s="316"/>
      <c r="E154" s="316"/>
      <c r="F154" s="316"/>
      <c r="G154" s="316"/>
      <c r="H154" s="316"/>
      <c r="I154" s="316"/>
      <c r="J154" s="316"/>
      <c r="K154" s="316"/>
      <c r="L154" s="317">
        <f>L155-L162</f>
        <v>30.105973000000002</v>
      </c>
      <c r="M154" s="317">
        <f t="shared" ref="M154:U154" si="122">M155-M162</f>
        <v>1075.4945910000001</v>
      </c>
      <c r="N154" s="317">
        <f t="shared" si="122"/>
        <v>1335.8260113794872</v>
      </c>
      <c r="O154" s="317">
        <f t="shared" si="122"/>
        <v>1335.8260113794872</v>
      </c>
      <c r="P154" s="317">
        <f t="shared" si="122"/>
        <v>1690.4159103632023</v>
      </c>
      <c r="Q154" s="317">
        <f t="shared" si="122"/>
        <v>1832.9375324156053</v>
      </c>
      <c r="R154" s="317">
        <f t="shared" si="122"/>
        <v>1958.3631986273317</v>
      </c>
      <c r="S154" s="317">
        <f t="shared" si="122"/>
        <v>2084.3246215838149</v>
      </c>
      <c r="T154" s="317">
        <f t="shared" ref="T154" si="123">T155-T162</f>
        <v>2215.8283689375103</v>
      </c>
      <c r="U154" s="21">
        <f t="shared" si="122"/>
        <v>2237.9866526268852</v>
      </c>
    </row>
    <row r="155" spans="1:21" x14ac:dyDescent="0.55000000000000004">
      <c r="B155" s="10" t="s">
        <v>124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24">
        <f>L156+L159</f>
        <v>32.792723000000002</v>
      </c>
      <c r="M155" s="24">
        <f t="shared" ref="M155:U155" si="124">M156+M159</f>
        <v>1610.216005</v>
      </c>
      <c r="N155" s="24">
        <f t="shared" si="124"/>
        <v>2111.7210012929222</v>
      </c>
      <c r="O155" s="24">
        <f t="shared" si="124"/>
        <v>2111.7210012929222</v>
      </c>
      <c r="P155" s="24">
        <f t="shared" si="124"/>
        <v>2549.3303796506893</v>
      </c>
      <c r="Q155" s="24">
        <f t="shared" si="124"/>
        <v>2715.9350020893239</v>
      </c>
      <c r="R155" s="24">
        <f t="shared" si="124"/>
        <v>2899.4987015369388</v>
      </c>
      <c r="S155" s="24">
        <f t="shared" si="124"/>
        <v>3083.5265606088919</v>
      </c>
      <c r="T155" s="24">
        <f t="shared" ref="T155" si="125">T156+T159</f>
        <v>3275.2843302508763</v>
      </c>
      <c r="U155" s="25">
        <f t="shared" si="124"/>
        <v>3308.0371735533849</v>
      </c>
    </row>
    <row r="156" spans="1:21" x14ac:dyDescent="0.55000000000000004">
      <c r="A156" s="3"/>
      <c r="B156" s="10"/>
      <c r="C156" s="10" t="s">
        <v>125</v>
      </c>
      <c r="D156" s="10"/>
      <c r="E156" s="10"/>
      <c r="F156" s="10"/>
      <c r="G156" s="10"/>
      <c r="H156" s="10"/>
      <c r="I156" s="10"/>
      <c r="J156" s="10"/>
      <c r="K156" s="10"/>
      <c r="L156" s="24">
        <f>연결정산표!E11/10^6</f>
        <v>20.339403000000001</v>
      </c>
      <c r="M156" s="24">
        <f>연결정산표!T11/10^6</f>
        <v>1555.3275209999999</v>
      </c>
      <c r="N156" s="24">
        <f>O156</f>
        <v>2032.7424853385146</v>
      </c>
      <c r="O156" s="24">
        <f t="shared" ref="O156:T156" si="126">O20/O157</f>
        <v>2032.7424853385146</v>
      </c>
      <c r="P156" s="24">
        <f t="shared" si="126"/>
        <v>2465.1405325151004</v>
      </c>
      <c r="Q156" s="24">
        <f t="shared" si="126"/>
        <v>2629.6300576492849</v>
      </c>
      <c r="R156" s="24">
        <f t="shared" si="126"/>
        <v>2807.4917413153585</v>
      </c>
      <c r="S156" s="24">
        <f t="shared" si="126"/>
        <v>2985.8036864524424</v>
      </c>
      <c r="T156" s="24">
        <f t="shared" si="126"/>
        <v>3171.6328553931426</v>
      </c>
      <c r="U156" s="25">
        <f>T20*(1+DCF!$J$23)/U157</f>
        <v>3203.3491839470739</v>
      </c>
    </row>
    <row r="157" spans="1:21" x14ac:dyDescent="0.55000000000000004">
      <c r="A157" s="10"/>
      <c r="B157" s="10"/>
      <c r="C157" s="10"/>
      <c r="D157" s="10" t="s">
        <v>126</v>
      </c>
      <c r="E157" s="10"/>
      <c r="F157" s="10"/>
      <c r="G157" s="10"/>
      <c r="H157" s="10"/>
      <c r="I157" s="10"/>
      <c r="J157" s="10"/>
      <c r="K157" s="10"/>
      <c r="L157" s="312">
        <f>L156/L20</f>
        <v>1.0220805527638193</v>
      </c>
      <c r="M157" s="312">
        <f>M20/M156*2</f>
        <v>13.20156800723132</v>
      </c>
      <c r="N157" s="312">
        <f>365/N158</f>
        <v>13.20156800723132</v>
      </c>
      <c r="O157" s="312">
        <f t="shared" ref="O157:U157" si="127">365/O158</f>
        <v>13.20156800723132</v>
      </c>
      <c r="P157" s="312">
        <f t="shared" si="127"/>
        <v>13.20156800723132</v>
      </c>
      <c r="Q157" s="312">
        <f t="shared" si="127"/>
        <v>13.20156800723132</v>
      </c>
      <c r="R157" s="312">
        <f t="shared" si="127"/>
        <v>13.20156800723132</v>
      </c>
      <c r="S157" s="312">
        <f t="shared" si="127"/>
        <v>13.20156800723132</v>
      </c>
      <c r="T157" s="312">
        <f t="shared" si="127"/>
        <v>13.20156800723132</v>
      </c>
      <c r="U157" s="395">
        <f t="shared" si="127"/>
        <v>13.20156800723132</v>
      </c>
    </row>
    <row r="158" spans="1:21" x14ac:dyDescent="0.55000000000000004">
      <c r="A158" s="10"/>
      <c r="B158" s="10"/>
      <c r="C158" s="10"/>
      <c r="D158" s="10" t="s">
        <v>127</v>
      </c>
      <c r="E158" s="10"/>
      <c r="F158" s="10"/>
      <c r="G158" s="10"/>
      <c r="H158" s="10"/>
      <c r="I158" s="314">
        <f>M158</f>
        <v>27.648230861672403</v>
      </c>
      <c r="J158" s="10"/>
      <c r="K158" s="10"/>
      <c r="L158" s="24">
        <f>365/L157</f>
        <v>357.11470980736254</v>
      </c>
      <c r="M158" s="24">
        <f t="shared" ref="M158" si="128">365/M157</f>
        <v>27.648230861672403</v>
      </c>
      <c r="N158" s="24">
        <f>$I158</f>
        <v>27.648230861672403</v>
      </c>
      <c r="O158" s="24">
        <f t="shared" ref="O158:U158" si="129">$I158</f>
        <v>27.648230861672403</v>
      </c>
      <c r="P158" s="24">
        <f t="shared" si="129"/>
        <v>27.648230861672403</v>
      </c>
      <c r="Q158" s="24">
        <f t="shared" si="129"/>
        <v>27.648230861672403</v>
      </c>
      <c r="R158" s="24">
        <f t="shared" si="129"/>
        <v>27.648230861672403</v>
      </c>
      <c r="S158" s="24">
        <f t="shared" si="129"/>
        <v>27.648230861672403</v>
      </c>
      <c r="T158" s="24">
        <f t="shared" si="129"/>
        <v>27.648230861672403</v>
      </c>
      <c r="U158" s="25">
        <f t="shared" si="129"/>
        <v>27.648230861672403</v>
      </c>
    </row>
    <row r="159" spans="1:21" x14ac:dyDescent="0.55000000000000004">
      <c r="A159" s="10"/>
      <c r="B159" s="10"/>
      <c r="C159" s="10" t="s">
        <v>128</v>
      </c>
      <c r="D159" s="10"/>
      <c r="E159" s="10"/>
      <c r="F159" s="10"/>
      <c r="G159" s="10"/>
      <c r="H159" s="10"/>
      <c r="I159" s="10"/>
      <c r="J159" s="10"/>
      <c r="K159" s="10"/>
      <c r="L159" s="24">
        <f>연결정산표!E13/10^6</f>
        <v>12.45332</v>
      </c>
      <c r="M159" s="24">
        <f>연결정산표!T13/10^6</f>
        <v>54.888483999999998</v>
      </c>
      <c r="N159" s="24">
        <f>O159</f>
        <v>78.978515954407627</v>
      </c>
      <c r="O159" s="24">
        <f t="shared" ref="O159:T159" si="130">(O45+O46)/O160</f>
        <v>78.978515954407627</v>
      </c>
      <c r="P159" s="24">
        <f t="shared" si="130"/>
        <v>84.18984713558909</v>
      </c>
      <c r="Q159" s="24">
        <f t="shared" si="130"/>
        <v>86.30494444003908</v>
      </c>
      <c r="R159" s="24">
        <f t="shared" si="130"/>
        <v>92.006960221580428</v>
      </c>
      <c r="S159" s="24">
        <f t="shared" si="130"/>
        <v>97.722874156449407</v>
      </c>
      <c r="T159" s="24">
        <f t="shared" si="130"/>
        <v>103.65147485773373</v>
      </c>
      <c r="U159" s="25">
        <f>(T45+T46)*(1+DCF!$J$23)/U160</f>
        <v>104.68798960631106</v>
      </c>
    </row>
    <row r="160" spans="1:21" x14ac:dyDescent="0.55000000000000004">
      <c r="B160" s="10"/>
      <c r="C160" s="10"/>
      <c r="D160" s="10" t="s">
        <v>126</v>
      </c>
      <c r="E160" s="10"/>
      <c r="F160" s="10"/>
      <c r="G160" s="10"/>
      <c r="H160" s="10"/>
      <c r="I160" s="10"/>
      <c r="J160" s="10"/>
      <c r="K160" s="10"/>
      <c r="L160" s="312">
        <f>(L45+L46)/L159</f>
        <v>4.6742983397198499</v>
      </c>
      <c r="M160" s="312">
        <f>(M45+M46)/M159*2</f>
        <v>224.41853857723598</v>
      </c>
      <c r="N160" s="312">
        <f>365/N161</f>
        <v>224.41853857723598</v>
      </c>
      <c r="O160" s="312">
        <f t="shared" ref="O160:U160" si="131">365/O161</f>
        <v>224.41853857723598</v>
      </c>
      <c r="P160" s="312">
        <f t="shared" si="131"/>
        <v>224.41853857723598</v>
      </c>
      <c r="Q160" s="312">
        <f t="shared" si="131"/>
        <v>224.41853857723598</v>
      </c>
      <c r="R160" s="312">
        <f t="shared" si="131"/>
        <v>224.41853857723598</v>
      </c>
      <c r="S160" s="312">
        <f t="shared" si="131"/>
        <v>224.41853857723598</v>
      </c>
      <c r="T160" s="312">
        <f t="shared" si="131"/>
        <v>224.41853857723598</v>
      </c>
      <c r="U160" s="395">
        <f t="shared" si="131"/>
        <v>224.41853857723598</v>
      </c>
    </row>
    <row r="161" spans="2:21" x14ac:dyDescent="0.55000000000000004">
      <c r="B161" s="10"/>
      <c r="C161" s="10"/>
      <c r="D161" s="10" t="s">
        <v>127</v>
      </c>
      <c r="E161" s="10"/>
      <c r="F161" s="10"/>
      <c r="G161" s="10"/>
      <c r="H161" s="10"/>
      <c r="I161" s="314">
        <f>M161</f>
        <v>1.6264253493228298</v>
      </c>
      <c r="J161" s="10"/>
      <c r="K161" s="10"/>
      <c r="L161" s="24">
        <f>365/L160</f>
        <v>78.086586150997789</v>
      </c>
      <c r="M161" s="24">
        <f t="shared" ref="M161" si="132">365/M160</f>
        <v>1.6264253493228298</v>
      </c>
      <c r="N161" s="24">
        <f>$I161</f>
        <v>1.6264253493228298</v>
      </c>
      <c r="O161" s="24">
        <f t="shared" ref="O161:U161" si="133">$I161</f>
        <v>1.6264253493228298</v>
      </c>
      <c r="P161" s="24">
        <f t="shared" si="133"/>
        <v>1.6264253493228298</v>
      </c>
      <c r="Q161" s="24">
        <f t="shared" si="133"/>
        <v>1.6264253493228298</v>
      </c>
      <c r="R161" s="24">
        <f t="shared" si="133"/>
        <v>1.6264253493228298</v>
      </c>
      <c r="S161" s="24">
        <f t="shared" si="133"/>
        <v>1.6264253493228298</v>
      </c>
      <c r="T161" s="24">
        <f t="shared" si="133"/>
        <v>1.6264253493228298</v>
      </c>
      <c r="U161" s="25">
        <f t="shared" si="133"/>
        <v>1.6264253493228298</v>
      </c>
    </row>
    <row r="162" spans="2:21" x14ac:dyDescent="0.55000000000000004">
      <c r="B162" s="10" t="s">
        <v>129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24">
        <f>L163</f>
        <v>2.68675</v>
      </c>
      <c r="M162" s="24">
        <f t="shared" ref="M162:U162" si="134">M163</f>
        <v>534.72141399999998</v>
      </c>
      <c r="N162" s="24">
        <f t="shared" si="134"/>
        <v>775.8949899134351</v>
      </c>
      <c r="O162" s="24">
        <f t="shared" si="134"/>
        <v>775.8949899134351</v>
      </c>
      <c r="P162" s="24">
        <f t="shared" si="134"/>
        <v>858.91446928748701</v>
      </c>
      <c r="Q162" s="24">
        <f t="shared" si="134"/>
        <v>882.99746967371857</v>
      </c>
      <c r="R162" s="24">
        <f t="shared" si="134"/>
        <v>941.13550290960711</v>
      </c>
      <c r="S162" s="24">
        <f t="shared" si="134"/>
        <v>999.20193902507697</v>
      </c>
      <c r="T162" s="24">
        <f t="shared" si="134"/>
        <v>1059.4559613133661</v>
      </c>
      <c r="U162" s="25">
        <f t="shared" si="134"/>
        <v>1070.0505209264998</v>
      </c>
    </row>
    <row r="163" spans="2:21" x14ac:dyDescent="0.55000000000000004">
      <c r="B163" s="10"/>
      <c r="C163" s="10" t="s">
        <v>130</v>
      </c>
      <c r="D163" s="10"/>
      <c r="E163" s="10"/>
      <c r="F163" s="10"/>
      <c r="G163" s="10"/>
      <c r="H163" s="10"/>
      <c r="I163" s="10"/>
      <c r="J163" s="10"/>
      <c r="K163" s="10"/>
      <c r="L163" s="24">
        <f>연결정산표!E53/10^6</f>
        <v>2.68675</v>
      </c>
      <c r="M163" s="24">
        <f>연결정산표!T53/10^6</f>
        <v>534.72141399999998</v>
      </c>
      <c r="N163" s="24">
        <f>O163</f>
        <v>775.8949899134351</v>
      </c>
      <c r="O163" s="24">
        <f t="shared" ref="O163:T163" si="135">O42/O164</f>
        <v>775.8949899134351</v>
      </c>
      <c r="P163" s="24">
        <f t="shared" si="135"/>
        <v>858.91446928748701</v>
      </c>
      <c r="Q163" s="24">
        <f t="shared" si="135"/>
        <v>882.99746967371857</v>
      </c>
      <c r="R163" s="24">
        <f t="shared" si="135"/>
        <v>941.13550290960711</v>
      </c>
      <c r="S163" s="24">
        <f t="shared" si="135"/>
        <v>999.20193902507697</v>
      </c>
      <c r="T163" s="24">
        <f t="shared" si="135"/>
        <v>1059.4559613133661</v>
      </c>
      <c r="U163" s="25">
        <f>T42*(1+DCF!$J$23)/U164</f>
        <v>1070.0505209264998</v>
      </c>
    </row>
    <row r="164" spans="2:21" x14ac:dyDescent="0.55000000000000004">
      <c r="B164" s="10"/>
      <c r="C164" s="10"/>
      <c r="D164" s="10" t="s">
        <v>131</v>
      </c>
      <c r="E164" s="10"/>
      <c r="F164" s="10"/>
      <c r="G164" s="10"/>
      <c r="H164" s="10"/>
      <c r="I164" s="10"/>
      <c r="J164" s="10"/>
      <c r="K164" s="10"/>
      <c r="L164" s="312">
        <f>L42/L163</f>
        <v>28.59721671164046</v>
      </c>
      <c r="M164" s="312">
        <f>M42/M163*2</f>
        <v>24.193888042045014</v>
      </c>
      <c r="N164" s="312">
        <f>365/N165</f>
        <v>24.193888042045014</v>
      </c>
      <c r="O164" s="312">
        <f t="shared" ref="O164:U164" si="136">365/O165</f>
        <v>24.193888042045014</v>
      </c>
      <c r="P164" s="312">
        <f t="shared" si="136"/>
        <v>24.193888042045014</v>
      </c>
      <c r="Q164" s="312">
        <f t="shared" si="136"/>
        <v>24.193888042045014</v>
      </c>
      <c r="R164" s="312">
        <f t="shared" si="136"/>
        <v>24.193888042045014</v>
      </c>
      <c r="S164" s="312">
        <f t="shared" si="136"/>
        <v>24.193888042045014</v>
      </c>
      <c r="T164" s="312">
        <f t="shared" si="136"/>
        <v>24.193888042045014</v>
      </c>
      <c r="U164" s="395">
        <f t="shared" si="136"/>
        <v>24.193888042045014</v>
      </c>
    </row>
    <row r="165" spans="2:21" x14ac:dyDescent="0.55000000000000004">
      <c r="B165" s="14"/>
      <c r="C165" s="14"/>
      <c r="D165" s="14" t="s">
        <v>132</v>
      </c>
      <c r="E165" s="14"/>
      <c r="F165" s="14"/>
      <c r="G165" s="14"/>
      <c r="H165" s="14"/>
      <c r="I165" s="314">
        <f>M165</f>
        <v>15.086454866852728</v>
      </c>
      <c r="J165" s="14"/>
      <c r="K165" s="14"/>
      <c r="L165" s="26">
        <f>365/L164</f>
        <v>12.763479875698087</v>
      </c>
      <c r="M165" s="26">
        <f t="shared" ref="M165" si="137">365/M164</f>
        <v>15.086454866852728</v>
      </c>
      <c r="N165" s="26">
        <f>$I165</f>
        <v>15.086454866852728</v>
      </c>
      <c r="O165" s="26">
        <f t="shared" ref="O165:U165" si="138">$I165</f>
        <v>15.086454866852728</v>
      </c>
      <c r="P165" s="26">
        <f t="shared" si="138"/>
        <v>15.086454866852728</v>
      </c>
      <c r="Q165" s="26">
        <f t="shared" si="138"/>
        <v>15.086454866852728</v>
      </c>
      <c r="R165" s="26">
        <f t="shared" si="138"/>
        <v>15.086454866852728</v>
      </c>
      <c r="S165" s="26">
        <f t="shared" si="138"/>
        <v>15.086454866852728</v>
      </c>
      <c r="T165" s="26">
        <f t="shared" si="138"/>
        <v>15.086454866852728</v>
      </c>
      <c r="U165" s="22">
        <f t="shared" si="138"/>
        <v>15.086454866852728</v>
      </c>
    </row>
    <row r="167" spans="2:21" x14ac:dyDescent="0.55000000000000004">
      <c r="L167" s="315">
        <f>L163+L86</f>
        <v>2.68675</v>
      </c>
      <c r="M167" s="315">
        <f>M163+M86</f>
        <v>2355.317055</v>
      </c>
      <c r="N167" s="315">
        <f>O167</f>
        <v>2925.6463178295921</v>
      </c>
      <c r="O167" s="315">
        <f>(O42+O86)/O168</f>
        <v>2925.6463178295921</v>
      </c>
      <c r="P167" s="315">
        <f t="shared" ref="P167:T167" si="139">P42/P168</f>
        <v>2952.3516028269787</v>
      </c>
      <c r="Q167" s="315">
        <f t="shared" si="139"/>
        <v>3035.1322373762555</v>
      </c>
      <c r="R167" s="315">
        <f t="shared" si="139"/>
        <v>3234.9704305220421</v>
      </c>
      <c r="S167" s="315">
        <f t="shared" si="139"/>
        <v>3434.5625224775658</v>
      </c>
      <c r="T167" s="315">
        <f t="shared" si="139"/>
        <v>3641.6740168585752</v>
      </c>
      <c r="U167" s="405">
        <f>T42*(1+DCF!$J$23)/U168</f>
        <v>3678.0907570271611</v>
      </c>
    </row>
    <row r="168" spans="2:21" x14ac:dyDescent="0.55000000000000004">
      <c r="L168" s="312">
        <f>(L42+L86)/L167</f>
        <v>28.59721671164046</v>
      </c>
      <c r="M168" s="312">
        <f>(M42+M86)/M167*2</f>
        <v>7.0386198201243859</v>
      </c>
      <c r="N168" s="964">
        <f>365/N169</f>
        <v>7.0386198201243859</v>
      </c>
      <c r="O168" s="964">
        <f t="shared" ref="O168:U168" si="140">365/O169</f>
        <v>7.0386198201243859</v>
      </c>
      <c r="P168" s="964">
        <f t="shared" si="140"/>
        <v>7.0386198201243859</v>
      </c>
      <c r="Q168" s="964">
        <f t="shared" si="140"/>
        <v>7.0386198201243859</v>
      </c>
      <c r="R168" s="964">
        <f t="shared" si="140"/>
        <v>7.0386198201243859</v>
      </c>
      <c r="S168" s="964">
        <f t="shared" si="140"/>
        <v>7.0386198201243859</v>
      </c>
      <c r="T168" s="964">
        <f t="shared" si="140"/>
        <v>7.0386198201243859</v>
      </c>
      <c r="U168" s="395">
        <f t="shared" si="140"/>
        <v>7.0386198201243859</v>
      </c>
    </row>
    <row r="169" spans="2:21" x14ac:dyDescent="0.55000000000000004">
      <c r="I169" s="314">
        <f>M169</f>
        <v>51.856757337058411</v>
      </c>
      <c r="L169" s="315">
        <f>365/L168</f>
        <v>12.763479875698087</v>
      </c>
      <c r="M169" s="315">
        <f>365/M168</f>
        <v>51.856757337058411</v>
      </c>
      <c r="N169" s="19">
        <f>$I169</f>
        <v>51.856757337058411</v>
      </c>
      <c r="O169" s="19">
        <f t="shared" ref="O169:U169" si="141">$I169</f>
        <v>51.856757337058411</v>
      </c>
      <c r="P169" s="19">
        <f t="shared" si="141"/>
        <v>51.856757337058411</v>
      </c>
      <c r="Q169" s="19">
        <f t="shared" si="141"/>
        <v>51.856757337058411</v>
      </c>
      <c r="R169" s="19">
        <f t="shared" si="141"/>
        <v>51.856757337058411</v>
      </c>
      <c r="S169" s="19">
        <f t="shared" si="141"/>
        <v>51.856757337058411</v>
      </c>
      <c r="T169" s="19">
        <f t="shared" si="141"/>
        <v>51.856757337058411</v>
      </c>
      <c r="U169" s="25">
        <f t="shared" si="141"/>
        <v>51.856757337058411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AE43E-D797-45F5-9BCD-D5698697B983}">
  <sheetPr>
    <tabColor rgb="FF00B050"/>
  </sheetPr>
  <dimension ref="A1:V116"/>
  <sheetViews>
    <sheetView showGridLines="0" topLeftCell="A85" zoomScale="85" zoomScaleNormal="85" workbookViewId="0"/>
  </sheetViews>
  <sheetFormatPr defaultColWidth="9" defaultRowHeight="15" x14ac:dyDescent="0.55000000000000004"/>
  <cols>
    <col min="1" max="1" width="3.35546875" style="1" customWidth="1"/>
    <col min="2" max="6" width="2.140625" style="1" customWidth="1"/>
    <col min="7" max="12" width="9" style="1"/>
    <col min="13" max="13" width="9.35546875" style="1" bestFit="1" customWidth="1"/>
    <col min="14" max="14" width="9" style="1"/>
    <col min="15" max="15" width="10.2109375" style="1" customWidth="1"/>
    <col min="16" max="20" width="9" style="1"/>
    <col min="21" max="21" width="9" style="3"/>
    <col min="22" max="16384" width="9" style="1"/>
  </cols>
  <sheetData>
    <row r="1" spans="1:21" x14ac:dyDescent="0.55000000000000004">
      <c r="A1" s="840" t="s">
        <v>143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1" x14ac:dyDescent="0.55000000000000004">
      <c r="A3" s="841" t="s">
        <v>76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1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1" x14ac:dyDescent="0.55000000000000004">
      <c r="A6" s="4"/>
      <c r="B6" s="12" t="s">
        <v>11</v>
      </c>
      <c r="C6" s="12"/>
      <c r="D6" s="12"/>
      <c r="E6" s="12"/>
      <c r="F6" s="12"/>
      <c r="G6" s="12"/>
      <c r="H6" s="12"/>
      <c r="I6" s="12"/>
      <c r="J6" s="12"/>
      <c r="K6" s="12"/>
      <c r="L6" s="302"/>
      <c r="M6" s="18">
        <f>M18</f>
        <v>261.84517599999998</v>
      </c>
      <c r="N6" s="18">
        <f t="shared" ref="N6:S6" si="0">N18</f>
        <v>2351.4231251021561</v>
      </c>
      <c r="O6" s="18">
        <f t="shared" si="0"/>
        <v>2613.2683011021559</v>
      </c>
      <c r="P6" s="18">
        <f t="shared" si="0"/>
        <v>7196.2765716801168</v>
      </c>
      <c r="Q6" s="18">
        <f t="shared" si="0"/>
        <v>9426.1390587588921</v>
      </c>
      <c r="R6" s="18">
        <f t="shared" si="0"/>
        <v>11924.422935018569</v>
      </c>
      <c r="S6" s="18">
        <f t="shared" si="0"/>
        <v>14653.888890550295</v>
      </c>
      <c r="T6" s="18">
        <f t="shared" ref="T6" si="1">T18</f>
        <v>17654.417030998815</v>
      </c>
    </row>
    <row r="7" spans="1:21" x14ac:dyDescent="0.55000000000000004">
      <c r="B7" s="1" t="s">
        <v>12</v>
      </c>
      <c r="L7" s="329"/>
      <c r="M7" s="19">
        <f>M39</f>
        <v>247.98681099999999</v>
      </c>
      <c r="N7" s="19">
        <f t="shared" ref="N7:S7" si="2">N39</f>
        <v>489.71621172679227</v>
      </c>
      <c r="O7" s="19">
        <f t="shared" si="2"/>
        <v>737.70302272679226</v>
      </c>
      <c r="P7" s="19">
        <f t="shared" si="2"/>
        <v>1450.376781223039</v>
      </c>
      <c r="Q7" s="19">
        <f t="shared" si="2"/>
        <v>1786.274971925802</v>
      </c>
      <c r="R7" s="19">
        <f t="shared" si="2"/>
        <v>2124.0661129360633</v>
      </c>
      <c r="S7" s="19">
        <f t="shared" si="2"/>
        <v>2483.161118707656</v>
      </c>
      <c r="T7" s="19">
        <f t="shared" ref="T7" si="3">T39</f>
        <v>2871.8628040087829</v>
      </c>
    </row>
    <row r="8" spans="1:21" s="4" customFormat="1" x14ac:dyDescent="0.55000000000000004"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376"/>
      <c r="M8" s="20">
        <f>M6-M7</f>
        <v>13.858364999999992</v>
      </c>
      <c r="N8" s="20">
        <f t="shared" ref="N8:S8" si="4">N6-N7</f>
        <v>1861.7069133753639</v>
      </c>
      <c r="O8" s="20">
        <f t="shared" si="4"/>
        <v>1875.5652783753635</v>
      </c>
      <c r="P8" s="20">
        <f t="shared" si="4"/>
        <v>5745.8997904570779</v>
      </c>
      <c r="Q8" s="20">
        <f t="shared" si="4"/>
        <v>7639.8640868330904</v>
      </c>
      <c r="R8" s="20">
        <f t="shared" si="4"/>
        <v>9800.3568220825055</v>
      </c>
      <c r="S8" s="20">
        <f t="shared" si="4"/>
        <v>12170.727771842639</v>
      </c>
      <c r="T8" s="20">
        <f t="shared" ref="T8" si="5">T6-T7</f>
        <v>14782.554226990032</v>
      </c>
      <c r="U8" s="299"/>
    </row>
    <row r="9" spans="1:21" s="262" customFormat="1" x14ac:dyDescent="0.55000000000000004">
      <c r="B9" s="319" t="s">
        <v>77</v>
      </c>
      <c r="C9" s="319"/>
      <c r="D9" s="319"/>
      <c r="E9" s="319"/>
      <c r="F9" s="319"/>
      <c r="G9" s="319"/>
      <c r="H9" s="319"/>
      <c r="I9" s="319"/>
      <c r="J9" s="319"/>
      <c r="K9" s="319"/>
      <c r="L9" s="811"/>
      <c r="M9" s="319">
        <f>M8/M6</f>
        <v>5.2925798411500975E-2</v>
      </c>
      <c r="N9" s="319">
        <f t="shared" ref="N9:S9" si="6">N8/N6</f>
        <v>0.7917362441072715</v>
      </c>
      <c r="O9" s="319">
        <f t="shared" si="6"/>
        <v>0.71770865532036521</v>
      </c>
      <c r="P9" s="319">
        <f t="shared" si="6"/>
        <v>0.79845455260422005</v>
      </c>
      <c r="Q9" s="319">
        <f t="shared" si="6"/>
        <v>0.81049770634712082</v>
      </c>
      <c r="R9" s="319">
        <f t="shared" si="6"/>
        <v>0.8218726285950243</v>
      </c>
      <c r="S9" s="319">
        <f t="shared" si="6"/>
        <v>0.83054592966724716</v>
      </c>
      <c r="T9" s="319">
        <f t="shared" ref="T9" si="7">T8/T6</f>
        <v>0.83732893592769608</v>
      </c>
    </row>
    <row r="10" spans="1:21" x14ac:dyDescent="0.55000000000000004">
      <c r="B10" s="1" t="s">
        <v>78</v>
      </c>
      <c r="L10" s="329"/>
      <c r="M10" s="19">
        <f>M83</f>
        <v>2.132428</v>
      </c>
      <c r="N10" s="19">
        <f t="shared" ref="N10:S10" si="8">N83</f>
        <v>10.863411812152076</v>
      </c>
      <c r="O10" s="19">
        <f t="shared" si="8"/>
        <v>12.995839812152077</v>
      </c>
      <c r="P10" s="19">
        <f t="shared" si="8"/>
        <v>20.049995958318142</v>
      </c>
      <c r="Q10" s="19">
        <f t="shared" si="8"/>
        <v>18.010901344359215</v>
      </c>
      <c r="R10" s="19">
        <f t="shared" si="8"/>
        <v>16.179183672187207</v>
      </c>
      <c r="S10" s="19">
        <f t="shared" si="8"/>
        <v>14.533752603133934</v>
      </c>
      <c r="T10" s="19">
        <f t="shared" ref="T10" si="9">T83</f>
        <v>13.055662696518908</v>
      </c>
    </row>
    <row r="11" spans="1:21" s="4" customFormat="1" x14ac:dyDescent="0.55000000000000004">
      <c r="B11" s="5" t="s">
        <v>79</v>
      </c>
      <c r="C11" s="5"/>
      <c r="D11" s="5"/>
      <c r="E11" s="5"/>
      <c r="F11" s="5"/>
      <c r="G11" s="5"/>
      <c r="H11" s="5"/>
      <c r="I11" s="5"/>
      <c r="J11" s="5"/>
      <c r="K11" s="5"/>
      <c r="L11" s="376"/>
      <c r="M11" s="20">
        <f>M10+M8</f>
        <v>15.990792999999993</v>
      </c>
      <c r="N11" s="20">
        <f t="shared" ref="N11:S11" si="10">N10+N8</f>
        <v>1872.5703251875159</v>
      </c>
      <c r="O11" s="20">
        <f t="shared" si="10"/>
        <v>1888.5611181875156</v>
      </c>
      <c r="P11" s="20">
        <f t="shared" si="10"/>
        <v>5765.9497864153964</v>
      </c>
      <c r="Q11" s="20">
        <f t="shared" si="10"/>
        <v>7657.8749881774493</v>
      </c>
      <c r="R11" s="20">
        <f t="shared" si="10"/>
        <v>9816.5360057546932</v>
      </c>
      <c r="S11" s="20">
        <f t="shared" si="10"/>
        <v>12185.261524445774</v>
      </c>
      <c r="T11" s="20">
        <f t="shared" ref="T11" si="11">T10+T8</f>
        <v>14795.609889686551</v>
      </c>
      <c r="U11" s="299"/>
    </row>
    <row r="12" spans="1:21" s="3" customFormat="1" x14ac:dyDescent="0.55000000000000004">
      <c r="B12" s="17" t="s">
        <v>80</v>
      </c>
      <c r="C12" s="17"/>
      <c r="D12" s="17"/>
      <c r="E12" s="17"/>
      <c r="F12" s="17"/>
      <c r="G12" s="17"/>
      <c r="H12" s="17"/>
      <c r="I12" s="17"/>
      <c r="J12" s="17"/>
      <c r="K12" s="17"/>
      <c r="L12" s="362"/>
      <c r="M12" s="231">
        <f>M11/M6</f>
        <v>6.1069649035657599E-2</v>
      </c>
      <c r="N12" s="231">
        <f t="shared" ref="N12:S12" si="12">N11/N6</f>
        <v>0.79635617477656784</v>
      </c>
      <c r="O12" s="231">
        <f t="shared" si="12"/>
        <v>0.72268167696022934</v>
      </c>
      <c r="P12" s="231">
        <f t="shared" si="12"/>
        <v>0.80124071510903849</v>
      </c>
      <c r="Q12" s="231">
        <f t="shared" si="12"/>
        <v>0.81240844638947385</v>
      </c>
      <c r="R12" s="231">
        <f t="shared" si="12"/>
        <v>0.82322943921473768</v>
      </c>
      <c r="S12" s="231">
        <f t="shared" si="12"/>
        <v>0.83153773141432508</v>
      </c>
      <c r="T12" s="231">
        <f t="shared" ref="T12" si="13">T11/T6</f>
        <v>0.83806844846292139</v>
      </c>
    </row>
    <row r="13" spans="1:21" x14ac:dyDescent="0.55000000000000004">
      <c r="M13" s="1" t="b">
        <f>M8=연결정산표!S138/10^6</f>
        <v>1</v>
      </c>
    </row>
    <row r="15" spans="1:21" x14ac:dyDescent="0.55000000000000004">
      <c r="A15" s="841" t="s">
        <v>81</v>
      </c>
      <c r="B15" s="842"/>
      <c r="C15" s="842"/>
      <c r="D15" s="842"/>
      <c r="E15" s="842"/>
      <c r="F15" s="842"/>
      <c r="G15" s="842"/>
      <c r="H15" s="842"/>
      <c r="I15" s="842"/>
      <c r="J15" s="842"/>
      <c r="K15" s="842"/>
      <c r="L15" s="842"/>
      <c r="M15" s="842"/>
      <c r="N15" s="842"/>
      <c r="O15" s="842"/>
      <c r="P15" s="842"/>
      <c r="Q15" s="842"/>
      <c r="R15" s="842"/>
      <c r="S15" s="842"/>
      <c r="T15" s="842"/>
    </row>
    <row r="16" spans="1:21" x14ac:dyDescent="0.55000000000000004">
      <c r="P16" s="315">
        <f>(P22*P23)*92.5%*P26*12+(P22*P23*12)*7.5%</f>
        <v>10740.800728668095</v>
      </c>
      <c r="Q16" s="315">
        <f t="shared" ref="Q16:T16" si="14">(Q22*Q23)*92.5%*Q26*12+(Q22*Q23*12)*7.5%</f>
        <v>12988.016014905676</v>
      </c>
      <c r="R16" s="315">
        <f t="shared" si="14"/>
        <v>15513.675250228447</v>
      </c>
      <c r="S16" s="315">
        <f t="shared" si="14"/>
        <v>18263.01188564987</v>
      </c>
      <c r="T16" s="315">
        <f t="shared" si="14"/>
        <v>21284.878817631943</v>
      </c>
    </row>
    <row r="17" spans="2:22" x14ac:dyDescent="0.55000000000000004">
      <c r="B17" s="844"/>
      <c r="C17" s="844"/>
      <c r="D17" s="844"/>
      <c r="E17" s="844"/>
      <c r="F17" s="844"/>
      <c r="G17" s="844"/>
      <c r="H17" s="844"/>
      <c r="I17" s="844"/>
      <c r="J17" s="844"/>
      <c r="K17" s="844"/>
      <c r="L17" s="845" t="s">
        <v>2</v>
      </c>
      <c r="M17" s="845" t="s">
        <v>3</v>
      </c>
      <c r="N17" s="845" t="s">
        <v>4</v>
      </c>
      <c r="O17" s="845" t="s">
        <v>5</v>
      </c>
      <c r="P17" s="845" t="s">
        <v>6</v>
      </c>
      <c r="Q17" s="845" t="s">
        <v>7</v>
      </c>
      <c r="R17" s="845" t="s">
        <v>8</v>
      </c>
      <c r="S17" s="845" t="s">
        <v>9</v>
      </c>
      <c r="T17" s="845" t="s">
        <v>1480</v>
      </c>
    </row>
    <row r="18" spans="2:22" x14ac:dyDescent="0.55000000000000004">
      <c r="B18" s="12" t="s">
        <v>11</v>
      </c>
      <c r="C18" s="12"/>
      <c r="D18" s="12"/>
      <c r="E18" s="12"/>
      <c r="F18" s="12"/>
      <c r="G18" s="12"/>
      <c r="H18" s="12"/>
      <c r="I18" s="12"/>
      <c r="J18" s="12"/>
      <c r="K18" s="12"/>
      <c r="L18" s="302"/>
      <c r="M18" s="18">
        <f>연결정산표!S99/10^6</f>
        <v>261.84517599999998</v>
      </c>
      <c r="N18" s="18">
        <f>N19+N34</f>
        <v>2351.4231251021561</v>
      </c>
      <c r="O18" s="18">
        <f t="shared" ref="O18:T18" si="15">O19+O34</f>
        <v>2613.2683011021559</v>
      </c>
      <c r="P18" s="18">
        <f t="shared" si="15"/>
        <v>7196.2765716801168</v>
      </c>
      <c r="Q18" s="18">
        <f t="shared" si="15"/>
        <v>9426.1390587588921</v>
      </c>
      <c r="R18" s="18">
        <f t="shared" si="15"/>
        <v>11924.422935018569</v>
      </c>
      <c r="S18" s="18">
        <f t="shared" si="15"/>
        <v>14653.888890550295</v>
      </c>
      <c r="T18" s="18">
        <f t="shared" si="15"/>
        <v>17654.417030998815</v>
      </c>
    </row>
    <row r="19" spans="2:22" s="10" customFormat="1" x14ac:dyDescent="0.55000000000000004">
      <c r="C19" s="10" t="s">
        <v>133</v>
      </c>
      <c r="L19" s="303"/>
      <c r="M19" s="24">
        <f>M18-M34</f>
        <v>221.34517599999998</v>
      </c>
      <c r="N19" s="24">
        <f>N20+N27</f>
        <v>2351.4231251021561</v>
      </c>
      <c r="O19" s="24">
        <f t="shared" ref="O19:T19" si="16">O20+O27</f>
        <v>2572.7683011021559</v>
      </c>
      <c r="P19" s="24">
        <f t="shared" si="16"/>
        <v>7196.2765716801168</v>
      </c>
      <c r="Q19" s="24">
        <f t="shared" si="16"/>
        <v>9426.1390587588921</v>
      </c>
      <c r="R19" s="24">
        <f t="shared" si="16"/>
        <v>11924.422935018569</v>
      </c>
      <c r="S19" s="24">
        <f t="shared" si="16"/>
        <v>14653.888890550295</v>
      </c>
      <c r="T19" s="24">
        <f t="shared" si="16"/>
        <v>17654.417030998815</v>
      </c>
      <c r="U19" s="3"/>
    </row>
    <row r="20" spans="2:22" s="10" customFormat="1" x14ac:dyDescent="0.55000000000000004">
      <c r="D20" s="10" t="s">
        <v>1557</v>
      </c>
      <c r="L20" s="303"/>
      <c r="M20" s="24">
        <f>M19</f>
        <v>221.34517599999998</v>
      </c>
      <c r="N20" s="24">
        <f>N21*N26</f>
        <v>2351.4231251021561</v>
      </c>
      <c r="O20" s="24">
        <f>N20+M20</f>
        <v>2572.7683011021559</v>
      </c>
      <c r="P20" s="24">
        <f t="shared" ref="P20:S20" si="17">P21*P26</f>
        <v>6130.0375976268224</v>
      </c>
      <c r="Q20" s="24">
        <f t="shared" si="17"/>
        <v>7707.539539080658</v>
      </c>
      <c r="R20" s="24">
        <f t="shared" si="17"/>
        <v>9523.2680482091782</v>
      </c>
      <c r="S20" s="24">
        <f t="shared" si="17"/>
        <v>11548.364452906475</v>
      </c>
      <c r="T20" s="24">
        <f t="shared" ref="T20" si="18">T21*T26</f>
        <v>13816.500285129507</v>
      </c>
      <c r="U20" s="3"/>
      <c r="V20" s="28"/>
    </row>
    <row r="21" spans="2:22" s="10" customFormat="1" x14ac:dyDescent="0.55000000000000004">
      <c r="E21" s="10" t="s">
        <v>144</v>
      </c>
      <c r="K21" s="24"/>
      <c r="L21" s="303"/>
      <c r="M21" s="24">
        <f>M22*M23*2-M24</f>
        <v>2276.1075980000001</v>
      </c>
      <c r="N21" s="28">
        <f>N22*N23*6-N24</f>
        <v>24179.844972803574</v>
      </c>
      <c r="O21" s="24">
        <f>N21+M21</f>
        <v>26455.952570803573</v>
      </c>
      <c r="P21" s="28">
        <f>P22*P23*12-P24</f>
        <v>56866.078616175684</v>
      </c>
      <c r="Q21" s="28">
        <f t="shared" ref="Q21:T21" si="19">Q22*Q23*12-Q24</f>
        <v>65125.876535175201</v>
      </c>
      <c r="R21" s="28">
        <f t="shared" si="19"/>
        <v>73881.688824904297</v>
      </c>
      <c r="S21" s="28">
        <f t="shared" si="19"/>
        <v>82813.985003835216</v>
      </c>
      <c r="T21" s="28">
        <f t="shared" si="19"/>
        <v>92110.001900863383</v>
      </c>
      <c r="U21" s="3"/>
    </row>
    <row r="22" spans="2:22" s="10" customFormat="1" x14ac:dyDescent="0.55000000000000004">
      <c r="F22" s="10" t="s">
        <v>145</v>
      </c>
      <c r="L22" s="303"/>
      <c r="M22" s="24">
        <v>1</v>
      </c>
      <c r="N22" s="28">
        <f>'Key Assumption'!N44</f>
        <v>6.666666666666667</v>
      </c>
      <c r="O22" s="24">
        <f>AVERAGE(시스템노바매출!G21:N21)</f>
        <v>5.25</v>
      </c>
      <c r="P22" s="24">
        <f>'Key Assumption'!P44</f>
        <v>8</v>
      </c>
      <c r="Q22" s="24">
        <f>'Key Assumption'!Q44</f>
        <v>9</v>
      </c>
      <c r="R22" s="24">
        <f>'Key Assumption'!R44</f>
        <v>10</v>
      </c>
      <c r="S22" s="24">
        <f>'Key Assumption'!S44</f>
        <v>11</v>
      </c>
      <c r="T22" s="24">
        <f>'Key Assumption'!T44</f>
        <v>12</v>
      </c>
      <c r="U22" s="3" t="s">
        <v>146</v>
      </c>
    </row>
    <row r="23" spans="2:22" s="10" customFormat="1" x14ac:dyDescent="0.55000000000000004">
      <c r="F23" s="10" t="s">
        <v>74</v>
      </c>
      <c r="L23" s="303"/>
      <c r="M23" s="24">
        <f>SUM(시스템노바매출!G8:H8)/10^6/M22/2</f>
        <v>1217.398457</v>
      </c>
      <c r="N23" s="28">
        <f>SUM(시스템노바매출!I2:N2)/10^6/N22/6</f>
        <v>653.50932358928571</v>
      </c>
      <c r="O23" s="24">
        <f>O21/O22/8</f>
        <v>629.90363263818028</v>
      </c>
      <c r="P23" s="24">
        <f>'Key Assumption'!P45</f>
        <v>640.38376820017663</v>
      </c>
      <c r="Q23" s="24">
        <f>'Key Assumption'!Q45</f>
        <v>651.9106760277798</v>
      </c>
      <c r="R23" s="24">
        <f>'Key Assumption'!R45</f>
        <v>665.60080022436307</v>
      </c>
      <c r="S23" s="24">
        <f>'Key Assumption'!S45</f>
        <v>678.24721542862585</v>
      </c>
      <c r="T23" s="24">
        <f>'Key Assumption'!T45</f>
        <v>691.51653078726258</v>
      </c>
      <c r="U23" s="3"/>
    </row>
    <row r="24" spans="2:22" s="10" customFormat="1" x14ac:dyDescent="0.55000000000000004">
      <c r="F24" s="10" t="s">
        <v>1331</v>
      </c>
      <c r="L24" s="303"/>
      <c r="M24" s="24">
        <f>비용취합!B27/10^6</f>
        <v>158.68931599999999</v>
      </c>
      <c r="N24" s="28">
        <f>N23*N22*6*N25</f>
        <v>1960.5279707678571</v>
      </c>
      <c r="O24" s="24">
        <f>N24+M24</f>
        <v>2119.2172867678573</v>
      </c>
      <c r="P24" s="28">
        <f>P23*P22*12*P25</f>
        <v>4610.7631310412717</v>
      </c>
      <c r="Q24" s="28">
        <f t="shared" ref="Q24:T24" si="20">Q23*Q22*12*Q25</f>
        <v>5280.4764758250158</v>
      </c>
      <c r="R24" s="28">
        <f t="shared" si="20"/>
        <v>5990.4072020192671</v>
      </c>
      <c r="S24" s="28">
        <f t="shared" si="20"/>
        <v>6714.6474327433962</v>
      </c>
      <c r="T24" s="28">
        <f t="shared" si="20"/>
        <v>7468.3785325024364</v>
      </c>
      <c r="U24" s="3"/>
    </row>
    <row r="25" spans="2:22" s="10" customFormat="1" x14ac:dyDescent="0.55000000000000004">
      <c r="G25" s="10" t="s">
        <v>2128</v>
      </c>
      <c r="L25" s="303"/>
      <c r="M25" s="262">
        <f>M24/(M23*M22*2)</f>
        <v>6.5175586139255309E-2</v>
      </c>
      <c r="N25" s="262">
        <v>7.4999999999999997E-2</v>
      </c>
      <c r="O25" s="262">
        <f>O24/O21</f>
        <v>8.0103609238648107E-2</v>
      </c>
      <c r="P25" s="262">
        <f>N25</f>
        <v>7.4999999999999997E-2</v>
      </c>
      <c r="Q25" s="262">
        <f>P25</f>
        <v>7.4999999999999997E-2</v>
      </c>
      <c r="R25" s="262">
        <f t="shared" ref="R25:T25" si="21">P25</f>
        <v>7.4999999999999997E-2</v>
      </c>
      <c r="S25" s="262">
        <f t="shared" si="21"/>
        <v>7.4999999999999997E-2</v>
      </c>
      <c r="T25" s="262">
        <f t="shared" si="21"/>
        <v>7.4999999999999997E-2</v>
      </c>
      <c r="U25" s="3"/>
    </row>
    <row r="26" spans="2:22" s="10" customFormat="1" x14ac:dyDescent="0.55000000000000004">
      <c r="B26" s="3"/>
      <c r="C26" s="3"/>
      <c r="D26" s="3"/>
      <c r="E26" s="3" t="s">
        <v>75</v>
      </c>
      <c r="F26" s="3"/>
      <c r="G26" s="3"/>
      <c r="H26" s="3"/>
      <c r="I26" s="3"/>
      <c r="J26" s="3"/>
      <c r="K26" s="3"/>
      <c r="L26" s="458"/>
      <c r="M26" s="232">
        <f>M20/M21</f>
        <v>9.7247237430468772E-2</v>
      </c>
      <c r="N26" s="232">
        <f>'Key Assumption'!N46</f>
        <v>9.7247237430468772E-2</v>
      </c>
      <c r="O26" s="232">
        <f>O19/O21</f>
        <v>9.7247237430468772E-2</v>
      </c>
      <c r="P26" s="232">
        <f>'Key Assumption'!P46</f>
        <v>0.10779778994437501</v>
      </c>
      <c r="Q26" s="232">
        <f>'Key Assumption'!Q46</f>
        <v>0.11834834245828126</v>
      </c>
      <c r="R26" s="232">
        <f>'Key Assumption'!R46</f>
        <v>0.12889889497218751</v>
      </c>
      <c r="S26" s="232">
        <f>'Key Assumption'!S46</f>
        <v>0.13944944748609375</v>
      </c>
      <c r="T26" s="232">
        <f>'Key Assumption'!T46</f>
        <v>0.15</v>
      </c>
      <c r="U26" s="3"/>
    </row>
    <row r="27" spans="2:22" s="10" customFormat="1" x14ac:dyDescent="0.55000000000000004">
      <c r="D27" s="10" t="s">
        <v>1555</v>
      </c>
      <c r="L27" s="303"/>
      <c r="M27" s="303"/>
      <c r="N27" s="303"/>
      <c r="O27" s="303"/>
      <c r="P27" s="24">
        <f>P28*P33</f>
        <v>1066.2389740532942</v>
      </c>
      <c r="Q27" s="24">
        <f>Q28*Q33</f>
        <v>1718.5995196782344</v>
      </c>
      <c r="R27" s="24">
        <f>R28*R33</f>
        <v>2401.1548868093901</v>
      </c>
      <c r="S27" s="24">
        <f>S28*S33</f>
        <v>3105.5244376438204</v>
      </c>
      <c r="T27" s="24">
        <f t="shared" ref="T27" si="22">T28*T33</f>
        <v>3837.9167458693078</v>
      </c>
      <c r="U27" s="3"/>
    </row>
    <row r="28" spans="2:22" s="10" customFormat="1" x14ac:dyDescent="0.55000000000000004">
      <c r="E28" s="10" t="s">
        <v>144</v>
      </c>
      <c r="L28" s="303"/>
      <c r="M28" s="303"/>
      <c r="N28" s="303"/>
      <c r="O28" s="303"/>
      <c r="P28" s="24">
        <f>P29*P30*12-P31</f>
        <v>21324.779481065882</v>
      </c>
      <c r="Q28" s="24">
        <f t="shared" ref="Q28:T28" si="23">Q29*Q30*12-Q31</f>
        <v>34371.990393564687</v>
      </c>
      <c r="R28" s="24">
        <f t="shared" si="23"/>
        <v>48023.097736187796</v>
      </c>
      <c r="S28" s="24">
        <f t="shared" si="23"/>
        <v>62110.488752876408</v>
      </c>
      <c r="T28" s="24">
        <f t="shared" si="23"/>
        <v>76758.33491738615</v>
      </c>
      <c r="U28" s="3"/>
    </row>
    <row r="29" spans="2:22" s="10" customFormat="1" x14ac:dyDescent="0.55000000000000004">
      <c r="F29" s="10" t="s">
        <v>145</v>
      </c>
      <c r="L29" s="303"/>
      <c r="M29" s="303"/>
      <c r="N29" s="303"/>
      <c r="O29" s="303"/>
      <c r="P29" s="24">
        <f>'Key Assumption'!P48</f>
        <v>3</v>
      </c>
      <c r="Q29" s="24">
        <f>'Key Assumption'!Q48</f>
        <v>4.75</v>
      </c>
      <c r="R29" s="24">
        <f>'Key Assumption'!R48</f>
        <v>6.5</v>
      </c>
      <c r="S29" s="24">
        <f>'Key Assumption'!S48</f>
        <v>8.25</v>
      </c>
      <c r="T29" s="24">
        <f>'Key Assumption'!T48</f>
        <v>10</v>
      </c>
      <c r="U29" s="3"/>
    </row>
    <row r="30" spans="2:22" s="10" customFormat="1" x14ac:dyDescent="0.55000000000000004">
      <c r="F30" s="10" t="s">
        <v>74</v>
      </c>
      <c r="L30" s="303"/>
      <c r="M30" s="303"/>
      <c r="N30" s="303"/>
      <c r="O30" s="303"/>
      <c r="P30" s="24">
        <f>'Key Assumption'!P49</f>
        <v>640.38376820017663</v>
      </c>
      <c r="Q30" s="24">
        <f>'Key Assumption'!Q49</f>
        <v>651.9106760277798</v>
      </c>
      <c r="R30" s="24">
        <f>'Key Assumption'!R49</f>
        <v>665.60080022436307</v>
      </c>
      <c r="S30" s="24">
        <f>'Key Assumption'!S49</f>
        <v>678.24721542862585</v>
      </c>
      <c r="T30" s="24">
        <f>'Key Assumption'!T49</f>
        <v>691.51653078726258</v>
      </c>
      <c r="U30" s="3"/>
    </row>
    <row r="31" spans="2:22" s="10" customFormat="1" x14ac:dyDescent="0.55000000000000004">
      <c r="F31" s="10" t="s">
        <v>1331</v>
      </c>
      <c r="L31" s="303"/>
      <c r="M31" s="303"/>
      <c r="N31" s="303"/>
      <c r="O31" s="303"/>
      <c r="P31" s="24">
        <f>P29*P30*12*P32</f>
        <v>1729.036174140477</v>
      </c>
      <c r="Q31" s="24">
        <f t="shared" ref="Q31:T31" si="24">Q29*Q30*12*Q32</f>
        <v>2786.9181400187585</v>
      </c>
      <c r="R31" s="24">
        <f t="shared" si="24"/>
        <v>3893.7646813125239</v>
      </c>
      <c r="S31" s="24">
        <f t="shared" si="24"/>
        <v>5035.9855745575469</v>
      </c>
      <c r="T31" s="24">
        <f t="shared" si="24"/>
        <v>6223.6487770853628</v>
      </c>
      <c r="U31" s="3"/>
    </row>
    <row r="32" spans="2:22" s="232" customFormat="1" x14ac:dyDescent="0.55000000000000004">
      <c r="G32" s="232" t="s">
        <v>2128</v>
      </c>
      <c r="L32" s="369"/>
      <c r="M32" s="369"/>
      <c r="N32" s="369"/>
      <c r="O32" s="369"/>
      <c r="P32" s="262">
        <f>P25</f>
        <v>7.4999999999999997E-2</v>
      </c>
      <c r="Q32" s="262">
        <f t="shared" ref="Q32:T32" si="25">Q25</f>
        <v>7.4999999999999997E-2</v>
      </c>
      <c r="R32" s="262">
        <f t="shared" si="25"/>
        <v>7.4999999999999997E-2</v>
      </c>
      <c r="S32" s="262">
        <f t="shared" si="25"/>
        <v>7.4999999999999997E-2</v>
      </c>
      <c r="T32" s="262">
        <f t="shared" si="25"/>
        <v>7.4999999999999997E-2</v>
      </c>
    </row>
    <row r="33" spans="1:21" s="10" customFormat="1" x14ac:dyDescent="0.55000000000000004">
      <c r="E33" s="10" t="s">
        <v>75</v>
      </c>
      <c r="L33" s="303"/>
      <c r="M33" s="303"/>
      <c r="N33" s="303"/>
      <c r="O33" s="303"/>
      <c r="P33" s="232">
        <f>'Key Assumption'!P50</f>
        <v>0.05</v>
      </c>
      <c r="Q33" s="232">
        <f>'Key Assumption'!Q50</f>
        <v>0.05</v>
      </c>
      <c r="R33" s="232">
        <f>'Key Assumption'!R50</f>
        <v>0.05</v>
      </c>
      <c r="S33" s="232">
        <f>'Key Assumption'!S50</f>
        <v>0.05</v>
      </c>
      <c r="T33" s="232">
        <f>'Key Assumption'!T50</f>
        <v>0.05</v>
      </c>
      <c r="U33" s="3"/>
    </row>
    <row r="34" spans="1:21" s="10" customFormat="1" x14ac:dyDescent="0.55000000000000004">
      <c r="B34" s="14"/>
      <c r="C34" s="14" t="s">
        <v>2132</v>
      </c>
      <c r="D34" s="14"/>
      <c r="E34" s="14"/>
      <c r="F34" s="14"/>
      <c r="G34" s="14"/>
      <c r="H34" s="14"/>
      <c r="I34" s="14"/>
      <c r="J34" s="14"/>
      <c r="K34" s="14"/>
      <c r="L34" s="304"/>
      <c r="M34" s="26">
        <f>SUM(시스템노바매출!T3:T4)/10^6</f>
        <v>40.5</v>
      </c>
      <c r="N34" s="26">
        <v>0</v>
      </c>
      <c r="O34" s="26">
        <f>N34+M34</f>
        <v>40.5</v>
      </c>
      <c r="P34" s="26">
        <v>0</v>
      </c>
      <c r="Q34" s="26">
        <v>0</v>
      </c>
      <c r="R34" s="26">
        <v>0</v>
      </c>
      <c r="S34" s="26">
        <v>0</v>
      </c>
      <c r="T34" s="26">
        <v>0</v>
      </c>
      <c r="U34" s="3"/>
    </row>
    <row r="36" spans="1:21" x14ac:dyDescent="0.55000000000000004">
      <c r="A36" s="841" t="s">
        <v>88</v>
      </c>
      <c r="B36" s="842"/>
      <c r="C36" s="842"/>
      <c r="D36" s="842"/>
      <c r="E36" s="842"/>
      <c r="F36" s="842"/>
      <c r="G36" s="842"/>
      <c r="H36" s="842"/>
      <c r="I36" s="842"/>
      <c r="J36" s="842"/>
      <c r="K36" s="842"/>
      <c r="L36" s="842"/>
      <c r="M36" s="842"/>
      <c r="N36" s="842"/>
      <c r="O36" s="842"/>
      <c r="P36" s="842"/>
      <c r="Q36" s="842"/>
      <c r="R36" s="842"/>
      <c r="S36" s="842"/>
      <c r="T36" s="842"/>
    </row>
    <row r="37" spans="1:21" x14ac:dyDescent="0.55000000000000004">
      <c r="M37" s="1" t="b">
        <f>연결정산표!S108/10^6=M39</f>
        <v>1</v>
      </c>
    </row>
    <row r="38" spans="1:21" x14ac:dyDescent="0.55000000000000004">
      <c r="B38" s="844"/>
      <c r="C38" s="844"/>
      <c r="D38" s="844"/>
      <c r="E38" s="844"/>
      <c r="F38" s="844"/>
      <c r="G38" s="844"/>
      <c r="H38" s="844"/>
      <c r="I38" s="844"/>
      <c r="J38" s="844"/>
      <c r="K38" s="844"/>
      <c r="L38" s="845" t="s">
        <v>2</v>
      </c>
      <c r="M38" s="845" t="s">
        <v>3</v>
      </c>
      <c r="N38" s="845" t="s">
        <v>4</v>
      </c>
      <c r="O38" s="845" t="s">
        <v>5</v>
      </c>
      <c r="P38" s="845" t="s">
        <v>6</v>
      </c>
      <c r="Q38" s="845" t="s">
        <v>7</v>
      </c>
      <c r="R38" s="845" t="s">
        <v>8</v>
      </c>
      <c r="S38" s="845" t="s">
        <v>9</v>
      </c>
      <c r="T38" s="845" t="s">
        <v>1480</v>
      </c>
    </row>
    <row r="39" spans="1:21" x14ac:dyDescent="0.55000000000000004">
      <c r="B39" s="12" t="s">
        <v>12</v>
      </c>
      <c r="C39" s="12"/>
      <c r="D39" s="12"/>
      <c r="E39" s="12"/>
      <c r="F39" s="12"/>
      <c r="G39" s="12"/>
      <c r="H39" s="12"/>
      <c r="I39" s="12"/>
      <c r="J39" s="12"/>
      <c r="K39" s="12"/>
      <c r="L39" s="303"/>
      <c r="M39" s="18">
        <f>M41+M42+M43</f>
        <v>247.98681099999999</v>
      </c>
      <c r="N39" s="18">
        <f t="shared" ref="N39:S39" si="26">N41+N42+N43</f>
        <v>489.71621172679227</v>
      </c>
      <c r="O39" s="18">
        <f t="shared" si="26"/>
        <v>737.70302272679226</v>
      </c>
      <c r="P39" s="18">
        <f t="shared" si="26"/>
        <v>1450.376781223039</v>
      </c>
      <c r="Q39" s="18">
        <f t="shared" si="26"/>
        <v>1786.274971925802</v>
      </c>
      <c r="R39" s="18">
        <f t="shared" si="26"/>
        <v>2124.0661129360633</v>
      </c>
      <c r="S39" s="18">
        <f t="shared" si="26"/>
        <v>2483.161118707656</v>
      </c>
      <c r="T39" s="18">
        <f t="shared" ref="T39" si="27">T41+T42+T43</f>
        <v>2871.8628040087829</v>
      </c>
    </row>
    <row r="40" spans="1:21" s="3" customFormat="1" x14ac:dyDescent="0.55000000000000004">
      <c r="B40" s="3" t="s">
        <v>89</v>
      </c>
      <c r="L40" s="303"/>
      <c r="M40" s="232">
        <f>M39/M$18</f>
        <v>0.94707420158849898</v>
      </c>
      <c r="N40" s="232">
        <f t="shared" ref="N40:S40" si="28">N39/N$18</f>
        <v>0.20826375589272852</v>
      </c>
      <c r="O40" s="232">
        <f t="shared" si="28"/>
        <v>0.28229134467963479</v>
      </c>
      <c r="P40" s="232">
        <f t="shared" si="28"/>
        <v>0.20154544739577998</v>
      </c>
      <c r="Q40" s="232">
        <f t="shared" si="28"/>
        <v>0.18950229365287921</v>
      </c>
      <c r="R40" s="232">
        <f t="shared" si="28"/>
        <v>0.17812737140497573</v>
      </c>
      <c r="S40" s="232">
        <f t="shared" si="28"/>
        <v>0.16945407033275289</v>
      </c>
      <c r="T40" s="232">
        <f t="shared" ref="T40" si="29">T39/T$18</f>
        <v>0.16267106407230397</v>
      </c>
    </row>
    <row r="41" spans="1:21" s="10" customFormat="1" x14ac:dyDescent="0.55000000000000004">
      <c r="C41" s="10" t="s">
        <v>90</v>
      </c>
      <c r="L41" s="303"/>
      <c r="M41" s="24">
        <f>M46</f>
        <v>48.135155000000005</v>
      </c>
      <c r="N41" s="24">
        <f t="shared" ref="N41:S41" si="30">N46</f>
        <v>256.87159500000001</v>
      </c>
      <c r="O41" s="24">
        <f t="shared" si="30"/>
        <v>305.00675000000001</v>
      </c>
      <c r="P41" s="24">
        <f t="shared" si="30"/>
        <v>779.57835338816642</v>
      </c>
      <c r="Q41" s="24">
        <f t="shared" si="30"/>
        <v>927.4894491120541</v>
      </c>
      <c r="R41" s="24">
        <f t="shared" si="30"/>
        <v>1054.163361101321</v>
      </c>
      <c r="S41" s="24">
        <f t="shared" si="30"/>
        <v>1182.3929423420796</v>
      </c>
      <c r="T41" s="24">
        <f t="shared" ref="T41" si="31">T46</f>
        <v>1317.0106450808648</v>
      </c>
      <c r="U41" s="3"/>
    </row>
    <row r="42" spans="1:21" s="10" customFormat="1" x14ac:dyDescent="0.55000000000000004">
      <c r="C42" s="10" t="s">
        <v>91</v>
      </c>
      <c r="L42" s="303"/>
      <c r="M42" s="24">
        <f>M59</f>
        <v>180.91931599999998</v>
      </c>
      <c r="N42" s="24">
        <f t="shared" ref="N42:S42" si="32">N59</f>
        <v>199.62993731464019</v>
      </c>
      <c r="O42" s="24">
        <f t="shared" si="32"/>
        <v>380.54925331464017</v>
      </c>
      <c r="P42" s="24">
        <f t="shared" si="32"/>
        <v>610.94586744820913</v>
      </c>
      <c r="Q42" s="24">
        <f t="shared" si="32"/>
        <v>800.25561088133304</v>
      </c>
      <c r="R42" s="24">
        <f t="shared" si="32"/>
        <v>1012.3536583521508</v>
      </c>
      <c r="S42" s="24">
        <f t="shared" si="32"/>
        <v>1244.0784856656403</v>
      </c>
      <c r="T42" s="24">
        <f t="shared" ref="T42" si="33">T59</f>
        <v>1498.8158139644461</v>
      </c>
      <c r="U42" s="3"/>
    </row>
    <row r="43" spans="1:21" s="10" customFormat="1" x14ac:dyDescent="0.55000000000000004">
      <c r="B43" s="14"/>
      <c r="C43" s="14" t="s">
        <v>92</v>
      </c>
      <c r="D43" s="14"/>
      <c r="E43" s="14"/>
      <c r="F43" s="14"/>
      <c r="G43" s="14"/>
      <c r="H43" s="14"/>
      <c r="I43" s="14"/>
      <c r="J43" s="14"/>
      <c r="K43" s="14"/>
      <c r="L43" s="362"/>
      <c r="M43" s="26">
        <f>M68</f>
        <v>18.93234</v>
      </c>
      <c r="N43" s="26">
        <f t="shared" ref="N43:S43" si="34">N68</f>
        <v>33.214679412152073</v>
      </c>
      <c r="O43" s="26">
        <f t="shared" si="34"/>
        <v>52.147019412152076</v>
      </c>
      <c r="P43" s="26">
        <f t="shared" si="34"/>
        <v>59.852560386663384</v>
      </c>
      <c r="Q43" s="26">
        <f t="shared" si="34"/>
        <v>58.52991193241467</v>
      </c>
      <c r="R43" s="26">
        <f t="shared" si="34"/>
        <v>57.549093482591829</v>
      </c>
      <c r="S43" s="26">
        <f t="shared" si="34"/>
        <v>56.689690699936236</v>
      </c>
      <c r="T43" s="26">
        <f t="shared" ref="T43" si="35">T68</f>
        <v>56.036344963471805</v>
      </c>
      <c r="U43" s="3"/>
    </row>
    <row r="45" spans="1:21" x14ac:dyDescent="0.55000000000000004">
      <c r="B45" s="844"/>
      <c r="C45" s="844"/>
      <c r="D45" s="844"/>
      <c r="E45" s="844"/>
      <c r="F45" s="844"/>
      <c r="G45" s="844"/>
      <c r="H45" s="844"/>
      <c r="I45" s="844"/>
      <c r="J45" s="844"/>
      <c r="K45" s="844"/>
      <c r="L45" s="845" t="s">
        <v>2</v>
      </c>
      <c r="M45" s="845" t="s">
        <v>3</v>
      </c>
      <c r="N45" s="845" t="s">
        <v>4</v>
      </c>
      <c r="O45" s="845" t="s">
        <v>5</v>
      </c>
      <c r="P45" s="845" t="s">
        <v>6</v>
      </c>
      <c r="Q45" s="845" t="s">
        <v>7</v>
      </c>
      <c r="R45" s="845" t="s">
        <v>8</v>
      </c>
      <c r="S45" s="845" t="s">
        <v>9</v>
      </c>
      <c r="T45" s="845" t="s">
        <v>1480</v>
      </c>
    </row>
    <row r="46" spans="1:21" x14ac:dyDescent="0.55000000000000004">
      <c r="B46" s="12" t="s">
        <v>90</v>
      </c>
      <c r="C46" s="12"/>
      <c r="D46" s="12"/>
      <c r="E46" s="12"/>
      <c r="F46" s="12"/>
      <c r="G46" s="12"/>
      <c r="H46" s="12"/>
      <c r="I46" s="12"/>
      <c r="J46" s="12"/>
      <c r="K46" s="12"/>
      <c r="L46" s="302"/>
      <c r="M46" s="18">
        <f t="shared" ref="M46:S46" si="36">M48+M51+M53+M55</f>
        <v>48.135155000000005</v>
      </c>
      <c r="N46" s="18">
        <f t="shared" si="36"/>
        <v>256.87159500000001</v>
      </c>
      <c r="O46" s="18">
        <f t="shared" si="36"/>
        <v>305.00675000000001</v>
      </c>
      <c r="P46" s="18">
        <f t="shared" si="36"/>
        <v>779.57835338816642</v>
      </c>
      <c r="Q46" s="18">
        <f t="shared" si="36"/>
        <v>927.4894491120541</v>
      </c>
      <c r="R46" s="18">
        <f t="shared" si="36"/>
        <v>1054.163361101321</v>
      </c>
      <c r="S46" s="18">
        <f t="shared" si="36"/>
        <v>1182.3929423420796</v>
      </c>
      <c r="T46" s="18">
        <f t="shared" ref="T46" si="37">T48+T51+T53+T55</f>
        <v>1317.0106450808648</v>
      </c>
    </row>
    <row r="47" spans="1:21" s="777" customFormat="1" x14ac:dyDescent="0.55000000000000004">
      <c r="B47" s="262" t="s">
        <v>89</v>
      </c>
      <c r="C47" s="262"/>
      <c r="D47" s="262"/>
      <c r="E47" s="262"/>
      <c r="F47" s="262"/>
      <c r="G47" s="262"/>
      <c r="H47" s="262"/>
      <c r="I47" s="262"/>
      <c r="J47" s="262"/>
      <c r="K47" s="262"/>
      <c r="L47" s="435"/>
      <c r="M47" s="262">
        <f>M46/M$18</f>
        <v>0.18383059690204109</v>
      </c>
      <c r="N47" s="262">
        <f t="shared" ref="N47:S47" si="38">N46/N$18</f>
        <v>0.1092409070310731</v>
      </c>
      <c r="O47" s="262">
        <f t="shared" si="38"/>
        <v>0.1167146710008162</v>
      </c>
      <c r="P47" s="262">
        <f t="shared" si="38"/>
        <v>0.10833079379634766</v>
      </c>
      <c r="Q47" s="262">
        <f t="shared" si="38"/>
        <v>9.8395477016670868E-2</v>
      </c>
      <c r="R47" s="262">
        <f t="shared" si="38"/>
        <v>8.8403721240509617E-2</v>
      </c>
      <c r="S47" s="262">
        <f t="shared" si="38"/>
        <v>8.0687996966085723E-2</v>
      </c>
      <c r="T47" s="262">
        <f t="shared" ref="T47" si="39">T46/T$18</f>
        <v>7.4599497834925324E-2</v>
      </c>
      <c r="U47" s="262"/>
    </row>
    <row r="48" spans="1:21" x14ac:dyDescent="0.55000000000000004">
      <c r="B48" s="10"/>
      <c r="C48" s="10" t="s">
        <v>94</v>
      </c>
      <c r="D48" s="10"/>
      <c r="E48" s="10"/>
      <c r="F48" s="10"/>
      <c r="G48" s="10"/>
      <c r="H48" s="10"/>
      <c r="I48" s="10"/>
      <c r="J48" s="10"/>
      <c r="K48" s="10"/>
      <c r="L48" s="303"/>
      <c r="M48" s="28">
        <f>연결정산표!S109/10^6</f>
        <v>35.188940000000002</v>
      </c>
      <c r="N48" s="24">
        <f>N49*N50/2</f>
        <v>228.72811000000002</v>
      </c>
      <c r="O48" s="24">
        <f>N48+M48</f>
        <v>263.91705000000002</v>
      </c>
      <c r="P48" s="24">
        <f>P49*P50</f>
        <v>674.55562629372105</v>
      </c>
      <c r="Q48" s="24">
        <f t="shared" ref="Q48:S48" si="40">Q49*Q50</f>
        <v>802.54053169570329</v>
      </c>
      <c r="R48" s="24">
        <f t="shared" si="40"/>
        <v>912.1492704012137</v>
      </c>
      <c r="S48" s="24">
        <f t="shared" si="40"/>
        <v>1023.1041027247486</v>
      </c>
      <c r="T48" s="24">
        <f t="shared" ref="T48" si="41">T49*T50</f>
        <v>1139.5864657694915</v>
      </c>
    </row>
    <row r="49" spans="2:21" x14ac:dyDescent="0.55000000000000004">
      <c r="B49" s="10"/>
      <c r="C49" s="10"/>
      <c r="D49" s="10" t="s">
        <v>95</v>
      </c>
      <c r="E49" s="10"/>
      <c r="F49" s="10"/>
      <c r="G49" s="10"/>
      <c r="H49" s="10"/>
      <c r="I49" s="10"/>
      <c r="J49" s="10"/>
      <c r="K49" s="10"/>
      <c r="L49" s="303"/>
      <c r="M49" s="24">
        <f>AVERAGE(HR!B56:D56)</f>
        <v>3.6666666666666665</v>
      </c>
      <c r="N49" s="24">
        <f>AVERAGE(HR!E56:J56)</f>
        <v>11.916666666666666</v>
      </c>
      <c r="O49" s="24">
        <f>O48/O50</f>
        <v>6.875</v>
      </c>
      <c r="P49" s="24">
        <f>AVERAGE(HR!K56:V56)</f>
        <v>17.25</v>
      </c>
      <c r="Q49" s="24">
        <v>20</v>
      </c>
      <c r="R49" s="24">
        <f t="shared" ref="R49:S49" si="42">Q49+2</f>
        <v>22</v>
      </c>
      <c r="S49" s="24">
        <f t="shared" si="42"/>
        <v>24</v>
      </c>
      <c r="T49" s="24">
        <f t="shared" ref="T49" si="43">S49+2</f>
        <v>26</v>
      </c>
      <c r="U49" s="3" t="s">
        <v>1553</v>
      </c>
    </row>
    <row r="50" spans="2:21" x14ac:dyDescent="0.55000000000000004">
      <c r="B50" s="10"/>
      <c r="C50" s="10"/>
      <c r="D50" s="10" t="s">
        <v>96</v>
      </c>
      <c r="E50" s="10"/>
      <c r="F50" s="10"/>
      <c r="G50" s="10"/>
      <c r="H50" s="10"/>
      <c r="I50" s="10"/>
      <c r="J50" s="10"/>
      <c r="K50" s="10"/>
      <c r="L50" s="303"/>
      <c r="M50" s="24">
        <f>M48/M49*4</f>
        <v>38.387934545454549</v>
      </c>
      <c r="N50" s="24">
        <f>M50</f>
        <v>38.387934545454549</v>
      </c>
      <c r="O50" s="24">
        <f>M50</f>
        <v>38.387934545454549</v>
      </c>
      <c r="P50" s="24">
        <f>O50*(1+'Key Assumption'!P$14)</f>
        <v>39.104673988041803</v>
      </c>
      <c r="Q50" s="24">
        <f>P50*(1+'Key Assumption'!Q$14)</f>
        <v>40.127026584785163</v>
      </c>
      <c r="R50" s="24">
        <f>Q50*(1+'Key Assumption'!R$14)</f>
        <v>41.461330472782443</v>
      </c>
      <c r="S50" s="24">
        <f>R50*(1+'Key Assumption'!S$14)</f>
        <v>42.629337613531192</v>
      </c>
      <c r="T50" s="24">
        <f>S50*(1+'Key Assumption'!T$14)</f>
        <v>43.83024868344198</v>
      </c>
      <c r="U50" s="3" t="s">
        <v>147</v>
      </c>
    </row>
    <row r="51" spans="2:21" x14ac:dyDescent="0.55000000000000004">
      <c r="B51" s="10"/>
      <c r="C51" s="10" t="s">
        <v>97</v>
      </c>
      <c r="D51" s="10"/>
      <c r="E51" s="10"/>
      <c r="F51" s="10"/>
      <c r="G51" s="10"/>
      <c r="H51" s="10"/>
      <c r="I51" s="10"/>
      <c r="J51" s="10"/>
      <c r="K51" s="10"/>
      <c r="L51" s="303"/>
      <c r="M51" s="24">
        <f>연결정산표!S110/10^6</f>
        <v>12</v>
      </c>
      <c r="N51" s="24">
        <v>0</v>
      </c>
      <c r="O51" s="24">
        <f>N51+M51</f>
        <v>12</v>
      </c>
      <c r="P51" s="24">
        <f>P48*P52</f>
        <v>30.671256425170906</v>
      </c>
      <c r="Q51" s="24">
        <f t="shared" ref="Q51:S51" si="44">Q48*Q52</f>
        <v>36.490580583362984</v>
      </c>
      <c r="R51" s="24">
        <f t="shared" si="44"/>
        <v>41.474361905813069</v>
      </c>
      <c r="S51" s="24">
        <f t="shared" si="44"/>
        <v>46.519348532794609</v>
      </c>
      <c r="T51" s="24">
        <f t="shared" ref="T51" si="45">T48*T52</f>
        <v>51.81566552533797</v>
      </c>
    </row>
    <row r="52" spans="2:21" x14ac:dyDescent="0.55000000000000004">
      <c r="B52" s="10"/>
      <c r="C52" s="10"/>
      <c r="D52" s="10" t="s">
        <v>98</v>
      </c>
      <c r="E52" s="10"/>
      <c r="F52" s="10"/>
      <c r="G52" s="10"/>
      <c r="H52" s="10"/>
      <c r="I52" s="236">
        <f>O52</f>
        <v>4.5468831968226375E-2</v>
      </c>
      <c r="J52" s="10"/>
      <c r="K52" s="10"/>
      <c r="L52" s="369"/>
      <c r="M52" s="232">
        <f>M51/M$48</f>
        <v>0.34101623976169781</v>
      </c>
      <c r="N52" s="232">
        <v>0</v>
      </c>
      <c r="O52" s="232">
        <f>O51/O$48</f>
        <v>4.5468831968226375E-2</v>
      </c>
      <c r="P52" s="232">
        <f>$I52</f>
        <v>4.5468831968226375E-2</v>
      </c>
      <c r="Q52" s="232">
        <f t="shared" ref="Q52:T52" si="46">$I52</f>
        <v>4.5468831968226375E-2</v>
      </c>
      <c r="R52" s="232">
        <f t="shared" si="46"/>
        <v>4.5468831968226375E-2</v>
      </c>
      <c r="S52" s="232">
        <f t="shared" si="46"/>
        <v>4.5468831968226375E-2</v>
      </c>
      <c r="T52" s="232">
        <f t="shared" si="46"/>
        <v>4.5468831968226375E-2</v>
      </c>
    </row>
    <row r="53" spans="2:21" x14ac:dyDescent="0.55000000000000004">
      <c r="B53" s="10"/>
      <c r="C53" s="10" t="s">
        <v>99</v>
      </c>
      <c r="D53" s="10"/>
      <c r="E53" s="10"/>
      <c r="F53" s="10"/>
      <c r="G53" s="10"/>
      <c r="H53" s="10"/>
      <c r="I53" s="3"/>
      <c r="J53" s="10"/>
      <c r="K53" s="10"/>
      <c r="L53" s="303"/>
      <c r="M53" s="24">
        <v>0</v>
      </c>
      <c r="N53" s="24">
        <f>O53</f>
        <v>21.993087500000001</v>
      </c>
      <c r="O53" s="24">
        <f>O$48*O54</f>
        <v>21.993087500000001</v>
      </c>
      <c r="P53" s="24">
        <f>P$48*P54</f>
        <v>56.212968857810083</v>
      </c>
      <c r="Q53" s="24">
        <f t="shared" ref="Q53" si="47">Q$48*Q54</f>
        <v>66.878377641308603</v>
      </c>
      <c r="R53" s="24">
        <f t="shared" ref="R53" si="48">R$48*R54</f>
        <v>76.012439200101142</v>
      </c>
      <c r="S53" s="24">
        <f t="shared" ref="S53:T53" si="49">S$48*S54</f>
        <v>85.258675227062383</v>
      </c>
      <c r="T53" s="24">
        <f t="shared" si="49"/>
        <v>94.965538814124287</v>
      </c>
    </row>
    <row r="54" spans="2:21" x14ac:dyDescent="0.55000000000000004">
      <c r="B54" s="3"/>
      <c r="C54" s="3"/>
      <c r="D54" s="3" t="s">
        <v>98</v>
      </c>
      <c r="E54" s="3"/>
      <c r="F54" s="3"/>
      <c r="G54" s="3"/>
      <c r="H54" s="3"/>
      <c r="I54" s="236">
        <f>1/12</f>
        <v>8.3333333333333329E-2</v>
      </c>
      <c r="J54" s="3"/>
      <c r="K54" s="3"/>
      <c r="L54" s="369"/>
      <c r="M54" s="232">
        <f>M53/M$48</f>
        <v>0</v>
      </c>
      <c r="N54" s="232">
        <f>N53/N$48</f>
        <v>9.6153846153846159E-2</v>
      </c>
      <c r="O54" s="232">
        <f>I54</f>
        <v>8.3333333333333329E-2</v>
      </c>
      <c r="P54" s="232">
        <f t="shared" ref="P54:T56" si="50">$I54</f>
        <v>8.3333333333333329E-2</v>
      </c>
      <c r="Q54" s="232">
        <f t="shared" si="50"/>
        <v>8.3333333333333329E-2</v>
      </c>
      <c r="R54" s="232">
        <f t="shared" si="50"/>
        <v>8.3333333333333329E-2</v>
      </c>
      <c r="S54" s="232">
        <f t="shared" si="50"/>
        <v>8.3333333333333329E-2</v>
      </c>
      <c r="T54" s="232">
        <f t="shared" si="50"/>
        <v>8.3333333333333329E-2</v>
      </c>
    </row>
    <row r="55" spans="2:21" x14ac:dyDescent="0.55000000000000004">
      <c r="B55" s="10"/>
      <c r="C55" s="10" t="s">
        <v>100</v>
      </c>
      <c r="D55" s="10"/>
      <c r="E55" s="10"/>
      <c r="F55" s="10"/>
      <c r="G55" s="10"/>
      <c r="H55" s="10"/>
      <c r="I55" s="3"/>
      <c r="J55" s="10"/>
      <c r="K55" s="10"/>
      <c r="L55" s="303"/>
      <c r="M55" s="24">
        <f>연결정산표!S113/10^6</f>
        <v>0.94621500000000003</v>
      </c>
      <c r="N55" s="24">
        <f t="shared" ref="N55" si="51">N$48*N56</f>
        <v>6.1503974999999995</v>
      </c>
      <c r="O55" s="24">
        <f>N55+M55</f>
        <v>7.0966124999999991</v>
      </c>
      <c r="P55" s="24">
        <f>P$48*P56</f>
        <v>18.138501811464433</v>
      </c>
      <c r="Q55" s="24">
        <f t="shared" ref="Q55" si="52">Q$48*Q56</f>
        <v>21.579959191679254</v>
      </c>
      <c r="R55" s="24">
        <f t="shared" ref="R55" si="53">R$48*R56</f>
        <v>24.527289594193071</v>
      </c>
      <c r="S55" s="24">
        <f t="shared" ref="S55:T55" si="54">S$48*S56</f>
        <v>27.510815857473908</v>
      </c>
      <c r="T55" s="24">
        <f t="shared" si="54"/>
        <v>30.642974971911041</v>
      </c>
    </row>
    <row r="56" spans="2:21" x14ac:dyDescent="0.55000000000000004">
      <c r="B56" s="17"/>
      <c r="C56" s="17"/>
      <c r="D56" s="17" t="s">
        <v>101</v>
      </c>
      <c r="E56" s="17"/>
      <c r="F56" s="17"/>
      <c r="G56" s="17"/>
      <c r="H56" s="17"/>
      <c r="I56" s="236">
        <f>O56</f>
        <v>2.6889556775509575E-2</v>
      </c>
      <c r="J56" s="17"/>
      <c r="K56" s="17"/>
      <c r="L56" s="370"/>
      <c r="M56" s="231">
        <f>M55/M$48</f>
        <v>2.6889556775509575E-2</v>
      </c>
      <c r="N56" s="231">
        <f>M56</f>
        <v>2.6889556775509575E-2</v>
      </c>
      <c r="O56" s="231">
        <f>N56</f>
        <v>2.6889556775509575E-2</v>
      </c>
      <c r="P56" s="231">
        <f t="shared" si="50"/>
        <v>2.6889556775509575E-2</v>
      </c>
      <c r="Q56" s="231">
        <f t="shared" si="50"/>
        <v>2.6889556775509575E-2</v>
      </c>
      <c r="R56" s="231">
        <f t="shared" si="50"/>
        <v>2.6889556775509575E-2</v>
      </c>
      <c r="S56" s="231">
        <f t="shared" si="50"/>
        <v>2.6889556775509575E-2</v>
      </c>
      <c r="T56" s="231">
        <f t="shared" si="50"/>
        <v>2.6889556775509575E-2</v>
      </c>
    </row>
    <row r="57" spans="2:21" x14ac:dyDescent="0.55000000000000004"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24"/>
      <c r="M57" s="24"/>
      <c r="N57" s="24"/>
      <c r="O57" s="24"/>
      <c r="P57" s="24"/>
      <c r="Q57" s="24"/>
      <c r="R57" s="24"/>
      <c r="S57" s="24"/>
      <c r="T57" s="24"/>
    </row>
    <row r="58" spans="2:21" x14ac:dyDescent="0.55000000000000004">
      <c r="B58" s="844"/>
      <c r="C58" s="844"/>
      <c r="D58" s="844"/>
      <c r="E58" s="844"/>
      <c r="F58" s="844"/>
      <c r="G58" s="844"/>
      <c r="H58" s="844"/>
      <c r="I58" s="844"/>
      <c r="J58" s="844"/>
      <c r="K58" s="844"/>
      <c r="L58" s="845" t="s">
        <v>2</v>
      </c>
      <c r="M58" s="845" t="s">
        <v>3</v>
      </c>
      <c r="N58" s="845" t="s">
        <v>4</v>
      </c>
      <c r="O58" s="845" t="s">
        <v>5</v>
      </c>
      <c r="P58" s="845" t="s">
        <v>6</v>
      </c>
      <c r="Q58" s="845" t="s">
        <v>7</v>
      </c>
      <c r="R58" s="845" t="s">
        <v>8</v>
      </c>
      <c r="S58" s="845" t="s">
        <v>9</v>
      </c>
      <c r="T58" s="845" t="s">
        <v>1480</v>
      </c>
      <c r="U58" s="3" t="s">
        <v>2125</v>
      </c>
    </row>
    <row r="59" spans="2:21" x14ac:dyDescent="0.55000000000000004">
      <c r="B59" s="4" t="s">
        <v>91</v>
      </c>
      <c r="C59" s="4"/>
      <c r="D59" s="4"/>
      <c r="E59" s="4"/>
      <c r="F59" s="4"/>
      <c r="G59" s="4"/>
      <c r="H59" s="4"/>
      <c r="I59" s="4"/>
      <c r="J59" s="4"/>
      <c r="K59" s="4"/>
      <c r="L59" s="371"/>
      <c r="M59" s="23">
        <f t="shared" ref="M59:T59" si="55">M61+M64</f>
        <v>180.91931599999998</v>
      </c>
      <c r="N59" s="23">
        <f t="shared" si="55"/>
        <v>199.62993731464019</v>
      </c>
      <c r="O59" s="23">
        <f t="shared" si="55"/>
        <v>380.54925331464017</v>
      </c>
      <c r="P59" s="23">
        <f t="shared" si="55"/>
        <v>610.94586744820913</v>
      </c>
      <c r="Q59" s="23">
        <f t="shared" si="55"/>
        <v>800.25561088133304</v>
      </c>
      <c r="R59" s="23">
        <f t="shared" si="55"/>
        <v>1012.3536583521508</v>
      </c>
      <c r="S59" s="23">
        <f t="shared" si="55"/>
        <v>1244.0784856656403</v>
      </c>
      <c r="T59" s="23">
        <f t="shared" si="55"/>
        <v>1498.8158139644461</v>
      </c>
    </row>
    <row r="60" spans="2:21" x14ac:dyDescent="0.55000000000000004">
      <c r="B60" s="3" t="s">
        <v>89</v>
      </c>
      <c r="C60" s="10"/>
      <c r="D60" s="10"/>
      <c r="E60" s="10"/>
      <c r="F60" s="10"/>
      <c r="G60" s="10"/>
      <c r="H60" s="10"/>
      <c r="I60" s="10"/>
      <c r="J60" s="10"/>
      <c r="K60" s="10"/>
      <c r="L60" s="369"/>
      <c r="M60" s="232">
        <f t="shared" ref="M60:S60" si="56">M59/M$18</f>
        <v>0.69094003855163633</v>
      </c>
      <c r="N60" s="232">
        <f t="shared" si="56"/>
        <v>8.4897496832250216E-2</v>
      </c>
      <c r="O60" s="232">
        <f t="shared" si="56"/>
        <v>0.14562196049833157</v>
      </c>
      <c r="P60" s="232">
        <f t="shared" si="56"/>
        <v>8.4897496832250216E-2</v>
      </c>
      <c r="Q60" s="232">
        <f t="shared" si="56"/>
        <v>8.4897496832250216E-2</v>
      </c>
      <c r="R60" s="232">
        <f t="shared" si="56"/>
        <v>8.4897496832250216E-2</v>
      </c>
      <c r="S60" s="232">
        <f t="shared" si="56"/>
        <v>8.4897496832250216E-2</v>
      </c>
      <c r="T60" s="232">
        <f t="shared" ref="T60" si="57">T59/T$18</f>
        <v>8.4897496832250216E-2</v>
      </c>
    </row>
    <row r="61" spans="2:21" x14ac:dyDescent="0.55000000000000004">
      <c r="B61" s="10"/>
      <c r="C61" s="10" t="s">
        <v>1443</v>
      </c>
      <c r="D61" s="10"/>
      <c r="E61" s="10"/>
      <c r="F61" s="10"/>
      <c r="G61" s="10"/>
      <c r="H61" s="10"/>
      <c r="I61" s="10"/>
      <c r="J61" s="10"/>
      <c r="K61" s="10"/>
      <c r="L61" s="369"/>
      <c r="M61" s="24">
        <f>비용취합!B27/10^6</f>
        <v>158.68931599999999</v>
      </c>
      <c r="N61" s="24">
        <v>0</v>
      </c>
      <c r="O61" s="24">
        <f>N61+M61</f>
        <v>158.68931599999999</v>
      </c>
      <c r="P61" s="24">
        <f>P62*P63</f>
        <v>0</v>
      </c>
      <c r="Q61" s="24">
        <f t="shared" ref="Q61:T61" si="58">Q62*Q63</f>
        <v>0</v>
      </c>
      <c r="R61" s="24">
        <f t="shared" si="58"/>
        <v>0</v>
      </c>
      <c r="S61" s="24">
        <f t="shared" si="58"/>
        <v>0</v>
      </c>
      <c r="T61" s="24">
        <f t="shared" si="58"/>
        <v>0</v>
      </c>
      <c r="U61" s="3" t="s">
        <v>1331</v>
      </c>
    </row>
    <row r="62" spans="2:21" x14ac:dyDescent="0.55000000000000004">
      <c r="B62" s="10"/>
      <c r="C62" s="10"/>
      <c r="D62" s="10" t="s">
        <v>1563</v>
      </c>
      <c r="E62" s="10"/>
      <c r="F62" s="10"/>
      <c r="G62" s="10"/>
      <c r="H62" s="10"/>
      <c r="I62" s="10"/>
      <c r="J62" s="10"/>
      <c r="K62" s="10"/>
      <c r="L62" s="369"/>
      <c r="M62" s="24">
        <f>SUM(시스템노바매출!G2:H2)/10^6</f>
        <v>2434.796914</v>
      </c>
      <c r="N62" s="24">
        <f>N21+N28</f>
        <v>24179.844972803574</v>
      </c>
      <c r="O62" s="24">
        <f>N62+M62</f>
        <v>26614.641886803573</v>
      </c>
      <c r="P62" s="24">
        <f t="shared" ref="P62:T62" si="59">P21+P28</f>
        <v>78190.858097241566</v>
      </c>
      <c r="Q62" s="24">
        <f t="shared" si="59"/>
        <v>99497.866928739881</v>
      </c>
      <c r="R62" s="24">
        <f t="shared" si="59"/>
        <v>121904.7865610921</v>
      </c>
      <c r="S62" s="24">
        <f t="shared" si="59"/>
        <v>144924.47375671164</v>
      </c>
      <c r="T62" s="24">
        <f t="shared" si="59"/>
        <v>168868.33681824955</v>
      </c>
    </row>
    <row r="63" spans="2:21" x14ac:dyDescent="0.55000000000000004">
      <c r="B63" s="3"/>
      <c r="C63" s="3"/>
      <c r="D63" s="3" t="s">
        <v>1562</v>
      </c>
      <c r="E63" s="3"/>
      <c r="F63" s="3"/>
      <c r="G63" s="3"/>
      <c r="H63" s="3"/>
      <c r="I63" s="236">
        <v>0</v>
      </c>
      <c r="J63" s="3"/>
      <c r="K63" s="3"/>
      <c r="L63" s="369"/>
      <c r="M63" s="232">
        <f>M61/M62</f>
        <v>6.5175586139255309E-2</v>
      </c>
      <c r="N63" s="232">
        <v>0</v>
      </c>
      <c r="O63" s="232">
        <f>O61/O62</f>
        <v>5.9624817299789952E-3</v>
      </c>
      <c r="P63" s="232">
        <v>0</v>
      </c>
      <c r="Q63" s="232">
        <f t="shared" ref="P63:T65" si="60">$I63</f>
        <v>0</v>
      </c>
      <c r="R63" s="232">
        <f t="shared" si="60"/>
        <v>0</v>
      </c>
      <c r="S63" s="232">
        <f t="shared" si="60"/>
        <v>0</v>
      </c>
      <c r="T63" s="232">
        <f t="shared" si="60"/>
        <v>0</v>
      </c>
    </row>
    <row r="64" spans="2:21" x14ac:dyDescent="0.55000000000000004">
      <c r="B64" s="10"/>
      <c r="C64" s="10" t="s">
        <v>105</v>
      </c>
      <c r="D64" s="10"/>
      <c r="E64" s="10"/>
      <c r="F64" s="10"/>
      <c r="G64" s="10"/>
      <c r="H64" s="10"/>
      <c r="I64" s="10"/>
      <c r="J64" s="10"/>
      <c r="K64" s="10"/>
      <c r="L64" s="303"/>
      <c r="M64" s="24">
        <f>연결정산표!S135/10^6</f>
        <v>22.23</v>
      </c>
      <c r="N64" s="24">
        <f>N65*N$18</f>
        <v>199.62993731464019</v>
      </c>
      <c r="O64" s="24">
        <f>N64+M64</f>
        <v>221.85993731464018</v>
      </c>
      <c r="P64" s="24">
        <f t="shared" ref="P64:T64" si="61">P65*P$18</f>
        <v>610.94586744820913</v>
      </c>
      <c r="Q64" s="24">
        <f t="shared" si="61"/>
        <v>800.25561088133304</v>
      </c>
      <c r="R64" s="24">
        <f t="shared" si="61"/>
        <v>1012.3536583521508</v>
      </c>
      <c r="S64" s="24">
        <f t="shared" si="61"/>
        <v>1244.0784856656403</v>
      </c>
      <c r="T64" s="24">
        <f t="shared" si="61"/>
        <v>1498.8158139644461</v>
      </c>
    </row>
    <row r="65" spans="1:20" x14ac:dyDescent="0.55000000000000004">
      <c r="B65" s="17"/>
      <c r="C65" s="17"/>
      <c r="D65" s="17" t="s">
        <v>106</v>
      </c>
      <c r="E65" s="17"/>
      <c r="F65" s="17"/>
      <c r="G65" s="17"/>
      <c r="H65" s="17"/>
      <c r="I65" s="236">
        <f>M65</f>
        <v>8.4897496832250216E-2</v>
      </c>
      <c r="J65" s="17"/>
      <c r="K65" s="17"/>
      <c r="L65" s="370"/>
      <c r="M65" s="231">
        <f>M64/M$18</f>
        <v>8.4897496832250216E-2</v>
      </c>
      <c r="N65" s="231">
        <f>$I65</f>
        <v>8.4897496832250216E-2</v>
      </c>
      <c r="O65" s="231">
        <f t="shared" ref="O65" si="62">O64/O$19</f>
        <v>8.6233936114494619E-2</v>
      </c>
      <c r="P65" s="231">
        <f t="shared" si="60"/>
        <v>8.4897496832250216E-2</v>
      </c>
      <c r="Q65" s="231">
        <f t="shared" si="60"/>
        <v>8.4897496832250216E-2</v>
      </c>
      <c r="R65" s="231">
        <f t="shared" si="60"/>
        <v>8.4897496832250216E-2</v>
      </c>
      <c r="S65" s="231">
        <f t="shared" si="60"/>
        <v>8.4897496832250216E-2</v>
      </c>
      <c r="T65" s="231">
        <f t="shared" si="60"/>
        <v>8.4897496832250216E-2</v>
      </c>
    </row>
    <row r="66" spans="1:20" x14ac:dyDescent="0.55000000000000004">
      <c r="M66" s="335">
        <f>M61/SUM(시스템노바매출!G2:H2)*10^6</f>
        <v>6.5175586139255309E-2</v>
      </c>
    </row>
    <row r="67" spans="1:20" x14ac:dyDescent="0.55000000000000004">
      <c r="B67" s="844"/>
      <c r="C67" s="844"/>
      <c r="D67" s="844"/>
      <c r="E67" s="844"/>
      <c r="F67" s="844"/>
      <c r="G67" s="844"/>
      <c r="H67" s="844"/>
      <c r="I67" s="844"/>
      <c r="J67" s="844"/>
      <c r="K67" s="844"/>
      <c r="L67" s="845" t="s">
        <v>2</v>
      </c>
      <c r="M67" s="845" t="s">
        <v>3</v>
      </c>
      <c r="N67" s="845" t="s">
        <v>4</v>
      </c>
      <c r="O67" s="845" t="s">
        <v>5</v>
      </c>
      <c r="P67" s="845" t="s">
        <v>6</v>
      </c>
      <c r="Q67" s="845" t="s">
        <v>7</v>
      </c>
      <c r="R67" s="845" t="s">
        <v>8</v>
      </c>
      <c r="S67" s="845" t="s">
        <v>9</v>
      </c>
      <c r="T67" s="845" t="s">
        <v>1480</v>
      </c>
    </row>
    <row r="68" spans="1:20" x14ac:dyDescent="0.55000000000000004">
      <c r="B68" s="4" t="s">
        <v>92</v>
      </c>
      <c r="C68" s="4"/>
      <c r="D68" s="4"/>
      <c r="E68" s="4"/>
      <c r="F68" s="4"/>
      <c r="G68" s="4"/>
      <c r="H68" s="4"/>
      <c r="I68" s="4"/>
      <c r="J68" s="4"/>
      <c r="K68" s="4"/>
      <c r="L68" s="371">
        <f t="shared" ref="L68" si="63">SUM(L71:L73)</f>
        <v>0</v>
      </c>
      <c r="M68" s="23">
        <f>SUM(M70:M73)</f>
        <v>18.93234</v>
      </c>
      <c r="N68" s="23">
        <f t="shared" ref="N68:T68" si="64">SUM(N70:N73)</f>
        <v>33.214679412152073</v>
      </c>
      <c r="O68" s="23">
        <f t="shared" si="64"/>
        <v>52.147019412152076</v>
      </c>
      <c r="P68" s="23">
        <f t="shared" si="64"/>
        <v>59.852560386663384</v>
      </c>
      <c r="Q68" s="23">
        <f t="shared" si="64"/>
        <v>58.52991193241467</v>
      </c>
      <c r="R68" s="23">
        <f t="shared" si="64"/>
        <v>57.549093482591829</v>
      </c>
      <c r="S68" s="23">
        <f t="shared" si="64"/>
        <v>56.689690699936236</v>
      </c>
      <c r="T68" s="23">
        <f t="shared" si="64"/>
        <v>56.036344963471805</v>
      </c>
    </row>
    <row r="69" spans="1:20" x14ac:dyDescent="0.55000000000000004">
      <c r="B69" s="3" t="s">
        <v>89</v>
      </c>
      <c r="C69" s="10"/>
      <c r="D69" s="10"/>
      <c r="E69" s="10"/>
      <c r="F69" s="10"/>
      <c r="G69" s="10"/>
      <c r="H69" s="10"/>
      <c r="I69" s="10"/>
      <c r="J69" s="10"/>
      <c r="K69" s="10"/>
      <c r="L69" s="369"/>
      <c r="M69" s="262">
        <f>M68/M$18</f>
        <v>7.2303566134821598E-2</v>
      </c>
      <c r="N69" s="262">
        <f t="shared" ref="N69:S69" si="65">N68/N$18</f>
        <v>1.4125352029405206E-2</v>
      </c>
      <c r="O69" s="262">
        <f t="shared" si="65"/>
        <v>1.9954713180487006E-2</v>
      </c>
      <c r="P69" s="262">
        <f t="shared" si="65"/>
        <v>8.3171567671821139E-3</v>
      </c>
      <c r="Q69" s="262">
        <f t="shared" si="65"/>
        <v>6.2093198039581124E-3</v>
      </c>
      <c r="R69" s="262">
        <f t="shared" si="65"/>
        <v>4.826153332215922E-3</v>
      </c>
      <c r="S69" s="262">
        <f t="shared" si="65"/>
        <v>3.8685765344169589E-3</v>
      </c>
      <c r="T69" s="262">
        <f t="shared" ref="T69" si="66">T68/T$18</f>
        <v>3.1740694051284398E-3</v>
      </c>
    </row>
    <row r="70" spans="1:20" x14ac:dyDescent="0.55000000000000004">
      <c r="B70" s="3"/>
      <c r="C70" s="10" t="s">
        <v>1332</v>
      </c>
      <c r="D70" s="10"/>
      <c r="E70" s="10"/>
      <c r="F70" s="10"/>
      <c r="G70" s="10"/>
      <c r="H70" s="10"/>
      <c r="I70" s="10"/>
      <c r="J70" s="10"/>
      <c r="K70" s="10"/>
      <c r="L70" s="369"/>
      <c r="M70" s="28">
        <f>비용취합!B28/10^6</f>
        <v>3.9652539999999998</v>
      </c>
      <c r="N70" s="28">
        <f>M70/5*12</f>
        <v>9.5166095999999989</v>
      </c>
      <c r="O70" s="28">
        <f>N70+M70</f>
        <v>13.481863599999999</v>
      </c>
      <c r="P70" s="24">
        <f>O70*(1+'Key Assumption'!P$12)</f>
        <v>13.706170542896299</v>
      </c>
      <c r="Q70" s="24">
        <f>P70*(1+'Key Assumption'!Q$12)</f>
        <v>13.952881612668433</v>
      </c>
      <c r="R70" s="24">
        <f>Q70*(1+'Key Assumption'!R$12)</f>
        <v>14.24589212653447</v>
      </c>
      <c r="S70" s="24">
        <f>R70*(1+'Key Assumption'!S$12)</f>
        <v>14.516564076938623</v>
      </c>
      <c r="T70" s="24">
        <f>S70*(1+'Key Assumption'!T$12)</f>
        <v>14.80056799509555</v>
      </c>
    </row>
    <row r="71" spans="1:20" x14ac:dyDescent="0.55000000000000004">
      <c r="B71" s="3"/>
      <c r="C71" s="10" t="s">
        <v>109</v>
      </c>
      <c r="D71" s="10"/>
      <c r="E71" s="10"/>
      <c r="F71" s="10"/>
      <c r="G71" s="10"/>
      <c r="H71" s="10"/>
      <c r="I71" s="10"/>
      <c r="J71" s="10"/>
      <c r="K71" s="10"/>
      <c r="L71" s="303"/>
      <c r="M71" s="24">
        <f>연결정산표!S120/10^6</f>
        <v>2.132428</v>
      </c>
      <c r="N71" s="24">
        <f>N84</f>
        <v>10.863411812152076</v>
      </c>
      <c r="O71" s="24">
        <f>N71+M71</f>
        <v>12.995839812152077</v>
      </c>
      <c r="P71" s="24">
        <f t="shared" ref="P71:S71" si="67">P84</f>
        <v>20.049995958318142</v>
      </c>
      <c r="Q71" s="24">
        <f t="shared" si="67"/>
        <v>18.010901344359215</v>
      </c>
      <c r="R71" s="24">
        <f t="shared" si="67"/>
        <v>16.179183672187207</v>
      </c>
      <c r="S71" s="24">
        <f t="shared" si="67"/>
        <v>14.533752603133934</v>
      </c>
      <c r="T71" s="24">
        <f t="shared" ref="T71" si="68">T84</f>
        <v>13.055662696518908</v>
      </c>
    </row>
    <row r="72" spans="1:20" x14ac:dyDescent="0.55000000000000004">
      <c r="B72" s="3"/>
      <c r="C72" s="10" t="s">
        <v>110</v>
      </c>
      <c r="D72" s="10"/>
      <c r="E72" s="10"/>
      <c r="F72" s="10"/>
      <c r="G72" s="10"/>
      <c r="H72" s="10"/>
      <c r="I72" s="10"/>
      <c r="J72" s="10"/>
      <c r="K72" s="10"/>
      <c r="L72" s="303"/>
      <c r="M72" s="24">
        <f>연결정산표!S121/10^6</f>
        <v>0</v>
      </c>
      <c r="N72" s="24">
        <f t="shared" ref="N72:N73" si="69">M72</f>
        <v>0</v>
      </c>
      <c r="O72" s="24">
        <f t="shared" ref="O72:O73" si="70">N72+M72</f>
        <v>0</v>
      </c>
      <c r="P72" s="24">
        <f>O72*(1+'Key Assumption'!P$12)</f>
        <v>0</v>
      </c>
      <c r="Q72" s="24">
        <f>P72*(1+'Key Assumption'!Q$12)</f>
        <v>0</v>
      </c>
      <c r="R72" s="24">
        <f>Q72*(1+'Key Assumption'!R$12)</f>
        <v>0</v>
      </c>
      <c r="S72" s="24">
        <f>R72*(1+'Key Assumption'!S$12)</f>
        <v>0</v>
      </c>
      <c r="T72" s="24">
        <f>S72*(1+'Key Assumption'!T$12)</f>
        <v>0</v>
      </c>
    </row>
    <row r="73" spans="1:20" x14ac:dyDescent="0.55000000000000004">
      <c r="B73" s="15"/>
      <c r="C73" s="15" t="s">
        <v>115</v>
      </c>
      <c r="D73" s="15"/>
      <c r="E73" s="15"/>
      <c r="F73" s="15"/>
      <c r="G73" s="15"/>
      <c r="H73" s="15"/>
      <c r="I73" s="15"/>
      <c r="J73" s="15"/>
      <c r="K73" s="15"/>
      <c r="L73" s="372"/>
      <c r="M73" s="300">
        <f>SUM(연결정산표!S114:S119,연결정산표!S123,연결정산표!S129)/10^6</f>
        <v>12.834657999999999</v>
      </c>
      <c r="N73" s="301">
        <f t="shared" si="69"/>
        <v>12.834657999999999</v>
      </c>
      <c r="O73" s="301">
        <f t="shared" si="70"/>
        <v>25.669315999999998</v>
      </c>
      <c r="P73" s="301">
        <f>O73*(1+'Key Assumption'!P$12)</f>
        <v>26.096393885448943</v>
      </c>
      <c r="Q73" s="301">
        <f>P73*(1+'Key Assumption'!Q$12)</f>
        <v>26.566128975387024</v>
      </c>
      <c r="R73" s="301">
        <f>Q73*(1+'Key Assumption'!R$12)</f>
        <v>27.12401768387015</v>
      </c>
      <c r="S73" s="301">
        <f>R73*(1+'Key Assumption'!S$12)</f>
        <v>27.639374019863681</v>
      </c>
      <c r="T73" s="301">
        <f>S73*(1+'Key Assumption'!T$12)</f>
        <v>28.180114271857352</v>
      </c>
    </row>
    <row r="76" spans="1:20" x14ac:dyDescent="0.55000000000000004">
      <c r="A76" s="841" t="s">
        <v>116</v>
      </c>
      <c r="B76" s="842"/>
      <c r="C76" s="842"/>
      <c r="D76" s="842"/>
      <c r="E76" s="842"/>
      <c r="F76" s="842"/>
      <c r="G76" s="842"/>
      <c r="H76" s="842"/>
      <c r="I76" s="842"/>
      <c r="J76" s="842"/>
      <c r="K76" s="842"/>
      <c r="L76" s="842"/>
      <c r="M76" s="842"/>
      <c r="N76" s="842"/>
      <c r="O76" s="842"/>
      <c r="P76" s="842"/>
      <c r="Q76" s="842"/>
      <c r="R76" s="842"/>
      <c r="S76" s="842"/>
      <c r="T76" s="842"/>
    </row>
    <row r="78" spans="1:20" x14ac:dyDescent="0.55000000000000004">
      <c r="B78" s="844"/>
      <c r="C78" s="844"/>
      <c r="D78" s="844"/>
      <c r="E78" s="844"/>
      <c r="F78" s="844"/>
      <c r="G78" s="844"/>
      <c r="H78" s="844"/>
      <c r="I78" s="844"/>
      <c r="J78" s="844"/>
      <c r="K78" s="844"/>
      <c r="L78" s="845" t="s">
        <v>2</v>
      </c>
      <c r="M78" s="845" t="s">
        <v>3</v>
      </c>
      <c r="N78" s="845" t="s">
        <v>4</v>
      </c>
      <c r="O78" s="845" t="s">
        <v>5</v>
      </c>
      <c r="P78" s="845" t="s">
        <v>6</v>
      </c>
      <c r="Q78" s="845" t="s">
        <v>7</v>
      </c>
      <c r="R78" s="845" t="s">
        <v>8</v>
      </c>
      <c r="S78" s="845" t="s">
        <v>9</v>
      </c>
      <c r="T78" s="845" t="s">
        <v>1480</v>
      </c>
    </row>
    <row r="79" spans="1:20" x14ac:dyDescent="0.55000000000000004">
      <c r="B79" s="12" t="s">
        <v>117</v>
      </c>
      <c r="C79" s="12"/>
      <c r="D79" s="12"/>
      <c r="E79" s="12"/>
      <c r="F79" s="12"/>
      <c r="G79" s="12"/>
      <c r="H79" s="12"/>
      <c r="I79" s="12"/>
      <c r="J79" s="12"/>
      <c r="K79" s="12"/>
      <c r="L79" s="303"/>
      <c r="M79" s="18">
        <f>M80</f>
        <v>28.309429000000002</v>
      </c>
      <c r="N79" s="18">
        <f t="shared" ref="N79:T79" si="71">N80</f>
        <v>9.7626706916666599</v>
      </c>
      <c r="O79" s="18">
        <f t="shared" si="71"/>
        <v>38.072099691666665</v>
      </c>
      <c r="P79" s="18">
        <f t="shared" si="71"/>
        <v>16.360665816661072</v>
      </c>
      <c r="Q79" s="18">
        <f t="shared" si="71"/>
        <v>14.696777922773737</v>
      </c>
      <c r="R79" s="18">
        <f t="shared" si="71"/>
        <v>13.202108259638685</v>
      </c>
      <c r="S79" s="18">
        <f t="shared" si="71"/>
        <v>11.859447248579301</v>
      </c>
      <c r="T79" s="18">
        <f t="shared" si="71"/>
        <v>10.653335533675159</v>
      </c>
    </row>
    <row r="80" spans="1:20" x14ac:dyDescent="0.55000000000000004">
      <c r="A80" s="10"/>
      <c r="B80" s="14"/>
      <c r="C80" s="14" t="s">
        <v>119</v>
      </c>
      <c r="D80" s="14"/>
      <c r="E80" s="14"/>
      <c r="F80" s="14"/>
      <c r="G80" s="14"/>
      <c r="H80" s="14"/>
      <c r="I80" s="14"/>
      <c r="J80" s="14"/>
      <c r="K80" s="14"/>
      <c r="L80" s="372"/>
      <c r="M80" s="26">
        <f>연결정산표!S35/10^6</f>
        <v>28.309429000000002</v>
      </c>
      <c r="N80" s="26">
        <f>G96</f>
        <v>9.7626706916666599</v>
      </c>
      <c r="O80" s="26">
        <f>N80+M80</f>
        <v>38.072099691666665</v>
      </c>
      <c r="P80" s="26" cm="1">
        <f t="array" ref="P80:T80">TRANSPOSE(G97:G101)</f>
        <v>16.360665816661072</v>
      </c>
      <c r="Q80" s="26">
        <v>14.696777922773737</v>
      </c>
      <c r="R80" s="26">
        <v>13.202108259638685</v>
      </c>
      <c r="S80" s="26">
        <v>11.859447248579301</v>
      </c>
      <c r="T80" s="26">
        <v>10.653335533675159</v>
      </c>
    </row>
    <row r="82" spans="2:20" x14ac:dyDescent="0.55000000000000004">
      <c r="B82" s="844"/>
      <c r="C82" s="844"/>
      <c r="D82" s="844"/>
      <c r="E82" s="844"/>
      <c r="F82" s="844"/>
      <c r="G82" s="844"/>
      <c r="H82" s="844"/>
      <c r="I82" s="844"/>
      <c r="J82" s="844"/>
      <c r="K82" s="844"/>
      <c r="L82" s="845" t="s">
        <v>2</v>
      </c>
      <c r="M82" s="845" t="s">
        <v>3</v>
      </c>
      <c r="N82" s="845" t="s">
        <v>4</v>
      </c>
      <c r="O82" s="845" t="s">
        <v>5</v>
      </c>
      <c r="P82" s="845" t="s">
        <v>6</v>
      </c>
      <c r="Q82" s="845" t="s">
        <v>7</v>
      </c>
      <c r="R82" s="845" t="s">
        <v>8</v>
      </c>
      <c r="S82" s="845" t="s">
        <v>9</v>
      </c>
      <c r="T82" s="845" t="s">
        <v>1480</v>
      </c>
    </row>
    <row r="83" spans="2:20" x14ac:dyDescent="0.55000000000000004">
      <c r="B83" s="12" t="s">
        <v>78</v>
      </c>
      <c r="C83" s="12"/>
      <c r="D83" s="12"/>
      <c r="E83" s="12"/>
      <c r="F83" s="12"/>
      <c r="G83" s="12"/>
      <c r="H83" s="12"/>
      <c r="I83" s="12"/>
      <c r="J83" s="12"/>
      <c r="K83" s="12"/>
      <c r="L83" s="303"/>
      <c r="M83" s="18">
        <f>M84</f>
        <v>2.132428</v>
      </c>
      <c r="N83" s="18">
        <f t="shared" ref="N83:T83" si="72">N84</f>
        <v>10.863411812152076</v>
      </c>
      <c r="O83" s="18">
        <f t="shared" si="72"/>
        <v>12.995839812152077</v>
      </c>
      <c r="P83" s="18">
        <f t="shared" si="72"/>
        <v>20.049995958318142</v>
      </c>
      <c r="Q83" s="18">
        <f t="shared" si="72"/>
        <v>18.010901344359215</v>
      </c>
      <c r="R83" s="18">
        <f t="shared" si="72"/>
        <v>16.179183672187207</v>
      </c>
      <c r="S83" s="18">
        <f t="shared" si="72"/>
        <v>14.533752603133934</v>
      </c>
      <c r="T83" s="18">
        <f t="shared" si="72"/>
        <v>13.055662696518908</v>
      </c>
    </row>
    <row r="84" spans="2:20" x14ac:dyDescent="0.55000000000000004">
      <c r="B84" s="14"/>
      <c r="C84" s="14" t="s">
        <v>119</v>
      </c>
      <c r="D84" s="14"/>
      <c r="E84" s="14"/>
      <c r="F84" s="14"/>
      <c r="G84" s="14"/>
      <c r="H84" s="14"/>
      <c r="I84" s="14"/>
      <c r="J84" s="14"/>
      <c r="K84" s="14"/>
      <c r="L84" s="372"/>
      <c r="M84" s="26">
        <f>M87+M91</f>
        <v>2.132428</v>
      </c>
      <c r="N84" s="26">
        <f t="shared" ref="N84:T84" si="73">N87+N91</f>
        <v>10.863411812152076</v>
      </c>
      <c r="O84" s="26">
        <f>N84+M84</f>
        <v>12.995839812152077</v>
      </c>
      <c r="P84" s="26">
        <f t="shared" si="73"/>
        <v>20.049995958318142</v>
      </c>
      <c r="Q84" s="26">
        <f t="shared" si="73"/>
        <v>18.010901344359215</v>
      </c>
      <c r="R84" s="26">
        <f t="shared" si="73"/>
        <v>16.179183672187207</v>
      </c>
      <c r="S84" s="26">
        <f t="shared" si="73"/>
        <v>14.533752603133934</v>
      </c>
      <c r="T84" s="26">
        <f t="shared" si="73"/>
        <v>13.055662696518908</v>
      </c>
    </row>
    <row r="86" spans="2:20" x14ac:dyDescent="0.55000000000000004">
      <c r="B86" s="844"/>
      <c r="C86" s="844"/>
      <c r="D86" s="844"/>
      <c r="E86" s="844"/>
      <c r="F86" s="844"/>
      <c r="G86" s="844"/>
      <c r="H86" s="844"/>
      <c r="I86" s="844"/>
      <c r="J86" s="844"/>
      <c r="K86" s="844"/>
      <c r="L86" s="845" t="s">
        <v>2</v>
      </c>
      <c r="M86" s="845" t="s">
        <v>3</v>
      </c>
      <c r="N86" s="845" t="s">
        <v>4</v>
      </c>
      <c r="O86" s="845" t="s">
        <v>5</v>
      </c>
      <c r="P86" s="845" t="s">
        <v>6</v>
      </c>
      <c r="Q86" s="845" t="s">
        <v>7</v>
      </c>
      <c r="R86" s="845" t="s">
        <v>8</v>
      </c>
      <c r="S86" s="845" t="s">
        <v>9</v>
      </c>
      <c r="T86" s="845" t="s">
        <v>1480</v>
      </c>
    </row>
    <row r="87" spans="2:20" x14ac:dyDescent="0.55000000000000004">
      <c r="B87" s="391" t="s">
        <v>1502</v>
      </c>
      <c r="C87" s="391"/>
      <c r="D87" s="391"/>
      <c r="E87" s="391"/>
      <c r="F87" s="391"/>
      <c r="G87" s="391"/>
      <c r="H87" s="391"/>
      <c r="I87" s="391"/>
      <c r="J87" s="391"/>
      <c r="K87" s="391"/>
      <c r="L87" s="408"/>
      <c r="M87" s="392">
        <f>M88</f>
        <v>2.132428</v>
      </c>
      <c r="N87" s="392">
        <f t="shared" ref="N87:T87" si="74">N88</f>
        <v>9.7626706916666599</v>
      </c>
      <c r="O87" s="392">
        <f t="shared" si="74"/>
        <v>11.895098691666661</v>
      </c>
      <c r="P87" s="392">
        <f t="shared" si="74"/>
        <v>12.454135580058331</v>
      </c>
      <c r="Q87" s="392">
        <f t="shared" si="74"/>
        <v>6.837320433452029</v>
      </c>
      <c r="R87" s="392">
        <f t="shared" si="74"/>
        <v>3.7536889179651616</v>
      </c>
      <c r="S87" s="392">
        <f t="shared" si="74"/>
        <v>2.0607752159628738</v>
      </c>
      <c r="T87" s="392">
        <f t="shared" si="74"/>
        <v>1.1313655935636171</v>
      </c>
    </row>
    <row r="88" spans="2:20" x14ac:dyDescent="0.55000000000000004">
      <c r="B88" s="14"/>
      <c r="C88" s="14" t="s">
        <v>141</v>
      </c>
      <c r="D88" s="14"/>
      <c r="E88" s="14"/>
      <c r="F88" s="14"/>
      <c r="G88" s="14"/>
      <c r="H88" s="14"/>
      <c r="I88" s="14"/>
      <c r="J88" s="14"/>
      <c r="K88" s="14"/>
      <c r="L88" s="304"/>
      <c r="M88" s="26">
        <f>M71</f>
        <v>2.132428</v>
      </c>
      <c r="N88" s="26">
        <f>노바고정자산!K1/10^6-NOVA!M88</f>
        <v>9.7626706916666599</v>
      </c>
      <c r="O88" s="26">
        <f>N88+M88</f>
        <v>11.895098691666661</v>
      </c>
      <c r="P88" s="26">
        <f>노바고정자산!L1/10^6</f>
        <v>12.454135580058331</v>
      </c>
      <c r="Q88" s="26">
        <f>노바고정자산!M1/10^6</f>
        <v>6.837320433452029</v>
      </c>
      <c r="R88" s="26">
        <f>노바고정자산!N1/10^6</f>
        <v>3.7536889179651616</v>
      </c>
      <c r="S88" s="26">
        <f>노바고정자산!O1/10^6</f>
        <v>2.0607752159628738</v>
      </c>
      <c r="T88" s="26">
        <f>노바고정자산!P1/10^6</f>
        <v>1.1313655935636171</v>
      </c>
    </row>
    <row r="90" spans="2:20" x14ac:dyDescent="0.55000000000000004">
      <c r="B90" s="844"/>
      <c r="C90" s="844"/>
      <c r="D90" s="844"/>
      <c r="E90" s="844"/>
      <c r="F90" s="844"/>
      <c r="G90" s="844"/>
      <c r="H90" s="844"/>
      <c r="I90" s="844"/>
      <c r="J90" s="844"/>
      <c r="K90" s="844"/>
      <c r="L90" s="845" t="s">
        <v>2</v>
      </c>
      <c r="M90" s="845" t="s">
        <v>3</v>
      </c>
      <c r="N90" s="845" t="s">
        <v>4</v>
      </c>
      <c r="O90" s="845" t="s">
        <v>5</v>
      </c>
      <c r="P90" s="845" t="s">
        <v>6</v>
      </c>
      <c r="Q90" s="845" t="s">
        <v>7</v>
      </c>
      <c r="R90" s="845" t="s">
        <v>8</v>
      </c>
      <c r="S90" s="845" t="s">
        <v>9</v>
      </c>
      <c r="T90" s="845" t="s">
        <v>1480</v>
      </c>
    </row>
    <row r="91" spans="2:20" x14ac:dyDescent="0.55000000000000004">
      <c r="B91" s="391" t="s">
        <v>1503</v>
      </c>
      <c r="C91" s="391"/>
      <c r="D91" s="391"/>
      <c r="E91" s="391"/>
      <c r="F91" s="391"/>
      <c r="G91" s="391"/>
      <c r="H91" s="391"/>
      <c r="I91" s="391"/>
      <c r="J91" s="391"/>
      <c r="K91" s="391"/>
      <c r="L91" s="408"/>
      <c r="M91" s="408"/>
      <c r="N91" s="392">
        <f>N92</f>
        <v>1.1007411204854158</v>
      </c>
      <c r="O91" s="408"/>
      <c r="P91" s="392">
        <f t="shared" ref="P91:T91" si="75">P92</f>
        <v>7.5958603782598129</v>
      </c>
      <c r="Q91" s="392">
        <f t="shared" si="75"/>
        <v>11.173580910907187</v>
      </c>
      <c r="R91" s="392">
        <f t="shared" si="75"/>
        <v>12.425494754222047</v>
      </c>
      <c r="S91" s="392">
        <f t="shared" si="75"/>
        <v>12.47297738717106</v>
      </c>
      <c r="T91" s="392">
        <f t="shared" si="75"/>
        <v>11.924297102955292</v>
      </c>
    </row>
    <row r="92" spans="2:20" x14ac:dyDescent="0.55000000000000004">
      <c r="B92" s="14"/>
      <c r="C92" s="14" t="s">
        <v>141</v>
      </c>
      <c r="D92" s="14"/>
      <c r="E92" s="14"/>
      <c r="F92" s="14"/>
      <c r="G92" s="14"/>
      <c r="H92" s="14"/>
      <c r="I92" s="14"/>
      <c r="J92" s="14"/>
      <c r="K92" s="14"/>
      <c r="L92" s="304"/>
      <c r="M92" s="478"/>
      <c r="N92" s="26">
        <f>N95</f>
        <v>1.1007411204854158</v>
      </c>
      <c r="O92" s="478"/>
      <c r="P92" s="26">
        <f t="shared" ref="P92:T92" si="76">P95</f>
        <v>7.5958603782598129</v>
      </c>
      <c r="Q92" s="26">
        <f t="shared" si="76"/>
        <v>11.173580910907187</v>
      </c>
      <c r="R92" s="26">
        <f t="shared" si="76"/>
        <v>12.425494754222047</v>
      </c>
      <c r="S92" s="26">
        <f t="shared" si="76"/>
        <v>12.47297738717106</v>
      </c>
      <c r="T92" s="26">
        <f t="shared" si="76"/>
        <v>11.924297102955292</v>
      </c>
    </row>
    <row r="94" spans="2:20" x14ac:dyDescent="0.55000000000000004">
      <c r="B94" s="844"/>
      <c r="C94" s="844"/>
      <c r="D94" s="844"/>
      <c r="E94" s="844"/>
      <c r="F94" s="844"/>
      <c r="G94" s="844"/>
      <c r="H94" s="844"/>
      <c r="I94" s="844"/>
      <c r="J94" s="844"/>
      <c r="K94" s="844"/>
      <c r="L94" s="845" t="s">
        <v>2</v>
      </c>
      <c r="M94" s="845" t="s">
        <v>3</v>
      </c>
      <c r="N94" s="845" t="s">
        <v>4</v>
      </c>
      <c r="O94" s="845" t="s">
        <v>5</v>
      </c>
      <c r="P94" s="845" t="s">
        <v>6</v>
      </c>
      <c r="Q94" s="845" t="s">
        <v>7</v>
      </c>
      <c r="R94" s="845" t="s">
        <v>8</v>
      </c>
      <c r="S94" s="845" t="s">
        <v>9</v>
      </c>
      <c r="T94" s="845" t="s">
        <v>1480</v>
      </c>
    </row>
    <row r="95" spans="2:20" x14ac:dyDescent="0.55000000000000004">
      <c r="B95" s="4" t="s">
        <v>119</v>
      </c>
      <c r="C95" s="4"/>
      <c r="D95" s="4"/>
      <c r="E95" s="4"/>
      <c r="F95" s="4"/>
      <c r="G95" s="428" t="s">
        <v>1481</v>
      </c>
      <c r="H95" s="428" t="s">
        <v>1482</v>
      </c>
      <c r="I95" s="428" t="s">
        <v>1483</v>
      </c>
      <c r="J95" s="428" t="s">
        <v>1485</v>
      </c>
      <c r="K95" s="4"/>
      <c r="L95" s="429"/>
      <c r="M95" s="429"/>
      <c r="N95" s="23">
        <f>SUM(N96:N101)</f>
        <v>1.1007411204854158</v>
      </c>
      <c r="O95" s="429"/>
      <c r="P95" s="23">
        <f t="shared" ref="P95:T95" si="77">SUM(P96:P101)</f>
        <v>7.5958603782598129</v>
      </c>
      <c r="Q95" s="23">
        <f t="shared" si="77"/>
        <v>11.173580910907187</v>
      </c>
      <c r="R95" s="23">
        <f t="shared" si="77"/>
        <v>12.425494754222047</v>
      </c>
      <c r="S95" s="23">
        <f t="shared" si="77"/>
        <v>12.47297738717106</v>
      </c>
      <c r="T95" s="23">
        <f t="shared" si="77"/>
        <v>11.924297102955292</v>
      </c>
    </row>
    <row r="96" spans="2:20" x14ac:dyDescent="0.55000000000000004">
      <c r="C96" s="1" t="s">
        <v>4</v>
      </c>
      <c r="G96" s="19">
        <f>N88</f>
        <v>9.7626706916666599</v>
      </c>
      <c r="H96" s="427">
        <v>5</v>
      </c>
      <c r="I96" s="427" t="s">
        <v>1504</v>
      </c>
      <c r="J96" s="427">
        <v>0.45100000000000001</v>
      </c>
      <c r="L96" s="322"/>
      <c r="M96" s="322"/>
      <c r="N96" s="19">
        <f>$G96*$J96/2/2</f>
        <v>1.1007411204854158</v>
      </c>
      <c r="O96" s="322"/>
      <c r="P96" s="315">
        <f>($G96-$N96)*$J96</f>
        <v>3.906530236602741</v>
      </c>
      <c r="Q96" s="315">
        <f>($G96-$N96-$P96)*$J96</f>
        <v>2.1446850998949047</v>
      </c>
      <c r="R96" s="315">
        <f>($G96-$N96-$P96-$Q96)*$J96</f>
        <v>1.1774321198423026</v>
      </c>
      <c r="S96" s="315">
        <f>($G96-$N96-$P96-$Q96-$R96)*$J96</f>
        <v>0.6464102337934241</v>
      </c>
      <c r="T96" s="315">
        <f>($G96-$N96-$P96-$Q96-$R96-$S96)*$J96</f>
        <v>0.35487921835258984</v>
      </c>
    </row>
    <row r="97" spans="1:21" x14ac:dyDescent="0.55000000000000004">
      <c r="C97" s="1" t="s">
        <v>6</v>
      </c>
      <c r="G97" s="19">
        <f>P88+P96</f>
        <v>16.360665816661072</v>
      </c>
      <c r="H97" s="427">
        <v>5</v>
      </c>
      <c r="I97" s="427" t="s">
        <v>1504</v>
      </c>
      <c r="J97" s="427">
        <v>0.45100000000000001</v>
      </c>
      <c r="L97" s="322"/>
      <c r="M97" s="322"/>
      <c r="N97" s="322"/>
      <c r="O97" s="322"/>
      <c r="P97" s="19">
        <f>$G97*$J97/2</f>
        <v>3.6893301416570718</v>
      </c>
      <c r="Q97" s="315">
        <f>($G97-$N97-$P97)*$J97</f>
        <v>5.7147723894268045</v>
      </c>
      <c r="R97" s="315">
        <f>($G97-$N97-$P97-$Q97)*$J97</f>
        <v>3.1374100417953152</v>
      </c>
      <c r="S97" s="315">
        <f>($G97-$N97-$P97-$Q97-$R97)*$J97</f>
        <v>1.7224381129456281</v>
      </c>
      <c r="T97" s="315">
        <f>($G97-$N97-$P97-$Q97-$R97-$S97)*$J97</f>
        <v>0.94561852400714996</v>
      </c>
    </row>
    <row r="98" spans="1:21" x14ac:dyDescent="0.55000000000000004">
      <c r="C98" s="1" t="s">
        <v>1476</v>
      </c>
      <c r="G98" s="19">
        <f>Q88+Q96+Q97</f>
        <v>14.696777922773737</v>
      </c>
      <c r="H98" s="427">
        <v>5</v>
      </c>
      <c r="I98" s="427" t="s">
        <v>1504</v>
      </c>
      <c r="J98" s="427">
        <v>0.45100000000000001</v>
      </c>
      <c r="L98" s="322"/>
      <c r="M98" s="322"/>
      <c r="N98" s="322"/>
      <c r="O98" s="322"/>
      <c r="P98" s="322"/>
      <c r="Q98" s="315">
        <f>($G98-$N98-$P98)*$J98/2</f>
        <v>3.314123421585478</v>
      </c>
      <c r="R98" s="315">
        <f>($G98-$N98-$P98-$Q98)*$J98</f>
        <v>5.1335771800359051</v>
      </c>
      <c r="S98" s="315">
        <f>($G98-$N98-$P98-$Q98-$R98)*$J98</f>
        <v>2.818333871839712</v>
      </c>
      <c r="T98" s="315">
        <f>($G98-$N98-$P98-$Q98-$R98-$S98)*$J98</f>
        <v>1.5472652956400017</v>
      </c>
    </row>
    <row r="99" spans="1:21" x14ac:dyDescent="0.55000000000000004">
      <c r="C99" s="1" t="s">
        <v>1477</v>
      </c>
      <c r="G99" s="315">
        <f>R96+R97+R98+R88</f>
        <v>13.202108259638685</v>
      </c>
      <c r="H99" s="427">
        <v>5</v>
      </c>
      <c r="I99" s="427" t="s">
        <v>1504</v>
      </c>
      <c r="J99" s="427">
        <v>0.45100000000000001</v>
      </c>
      <c r="L99" s="322"/>
      <c r="M99" s="322"/>
      <c r="N99" s="322"/>
      <c r="O99" s="322"/>
      <c r="P99" s="322"/>
      <c r="Q99" s="322"/>
      <c r="R99" s="315">
        <f>($G99-$N99-$P99-$Q99)*$J99/2</f>
        <v>2.9770754125485235</v>
      </c>
      <c r="S99" s="315">
        <f>($G99-$N99-$P99-$Q99-$R99)*$J99</f>
        <v>4.6114898140376637</v>
      </c>
      <c r="T99" s="315">
        <f>($G99-$N99-$P99-$Q99-$R99-$S99)*$J99</f>
        <v>2.5317079079066769</v>
      </c>
    </row>
    <row r="100" spans="1:21" x14ac:dyDescent="0.55000000000000004">
      <c r="C100" s="1" t="s">
        <v>1478</v>
      </c>
      <c r="G100" s="315">
        <f>SUM(S96:S99,S88)</f>
        <v>11.859447248579301</v>
      </c>
      <c r="H100" s="427">
        <v>5</v>
      </c>
      <c r="I100" s="427" t="s">
        <v>1504</v>
      </c>
      <c r="J100" s="427">
        <v>0.45100000000000001</v>
      </c>
      <c r="L100" s="322"/>
      <c r="M100" s="322"/>
      <c r="N100" s="322"/>
      <c r="O100" s="322"/>
      <c r="P100" s="322"/>
      <c r="Q100" s="322"/>
      <c r="R100" s="322"/>
      <c r="S100" s="315">
        <f>($G100-$N100-$P100-$Q100-$R100)*$J100/2</f>
        <v>2.6743053545546323</v>
      </c>
      <c r="T100" s="315">
        <f>($G100-$N100-$P100-$Q100-$R100-$S100)*$J100</f>
        <v>4.1424989942051251</v>
      </c>
    </row>
    <row r="101" spans="1:21" x14ac:dyDescent="0.55000000000000004">
      <c r="B101" s="15"/>
      <c r="C101" s="15" t="s">
        <v>1479</v>
      </c>
      <c r="D101" s="15"/>
      <c r="E101" s="15"/>
      <c r="F101" s="15"/>
      <c r="G101" s="300">
        <f>SUM(T96:T100,T88)</f>
        <v>10.653335533675159</v>
      </c>
      <c r="H101" s="430">
        <v>5</v>
      </c>
      <c r="I101" s="430" t="s">
        <v>1504</v>
      </c>
      <c r="J101" s="430">
        <v>0.45100000000000001</v>
      </c>
      <c r="K101" s="15"/>
      <c r="L101" s="431"/>
      <c r="M101" s="431"/>
      <c r="N101" s="431"/>
      <c r="O101" s="431"/>
      <c r="P101" s="431"/>
      <c r="Q101" s="431"/>
      <c r="R101" s="431"/>
      <c r="S101" s="431"/>
      <c r="T101" s="300">
        <f>($G101-$N101-$P101-$Q101-$R101-$S101)*$J101/2</f>
        <v>2.4023271628437484</v>
      </c>
    </row>
    <row r="104" spans="1:21" x14ac:dyDescent="0.55000000000000004">
      <c r="A104" s="841" t="s">
        <v>121</v>
      </c>
      <c r="B104" s="842"/>
      <c r="C104" s="842"/>
      <c r="D104" s="842"/>
      <c r="E104" s="842"/>
      <c r="F104" s="842"/>
      <c r="G104" s="842"/>
      <c r="H104" s="842"/>
      <c r="I104" s="842"/>
      <c r="J104" s="842"/>
      <c r="K104" s="842"/>
      <c r="L104" s="842"/>
      <c r="M104" s="842"/>
      <c r="N104" s="842"/>
      <c r="O104" s="842"/>
      <c r="P104" s="842"/>
      <c r="Q104" s="842"/>
      <c r="R104" s="842"/>
      <c r="S104" s="842"/>
      <c r="T104" s="842"/>
    </row>
    <row r="106" spans="1:21" x14ac:dyDescent="0.55000000000000004">
      <c r="B106" s="844"/>
      <c r="C106" s="844"/>
      <c r="D106" s="844"/>
      <c r="E106" s="844"/>
      <c r="F106" s="844"/>
      <c r="G106" s="844"/>
      <c r="H106" s="844"/>
      <c r="I106" s="844"/>
      <c r="J106" s="844"/>
      <c r="K106" s="844"/>
      <c r="L106" s="845" t="s">
        <v>2</v>
      </c>
      <c r="M106" s="845" t="s">
        <v>3</v>
      </c>
      <c r="N106" s="845" t="s">
        <v>4</v>
      </c>
      <c r="O106" s="845" t="s">
        <v>5</v>
      </c>
      <c r="P106" s="845" t="s">
        <v>6</v>
      </c>
      <c r="Q106" s="845" t="s">
        <v>7</v>
      </c>
      <c r="R106" s="845" t="s">
        <v>8</v>
      </c>
      <c r="S106" s="845" t="s">
        <v>9</v>
      </c>
      <c r="T106" s="845" t="s">
        <v>1480</v>
      </c>
      <c r="U106" s="845" t="s">
        <v>10</v>
      </c>
    </row>
    <row r="107" spans="1:21" x14ac:dyDescent="0.55000000000000004">
      <c r="B107" s="12" t="s">
        <v>122</v>
      </c>
      <c r="C107" s="12"/>
      <c r="D107" s="12"/>
      <c r="E107" s="12"/>
      <c r="F107" s="12"/>
      <c r="G107" s="12"/>
      <c r="H107" s="12"/>
      <c r="I107" s="12"/>
      <c r="J107" s="12"/>
      <c r="K107" s="12"/>
      <c r="L107" s="303"/>
      <c r="M107" s="18">
        <f>M108</f>
        <v>-62.728273999999999</v>
      </c>
      <c r="N107" s="18">
        <f>N108-M108</f>
        <v>166.07039040821803</v>
      </c>
      <c r="O107" s="18">
        <f>O108</f>
        <v>103.34211640821802</v>
      </c>
      <c r="P107" s="18">
        <f>P108-O108</f>
        <v>252.87454472154627</v>
      </c>
      <c r="Q107" s="18">
        <f t="shared" ref="Q107:S107" si="78">Q108-P108</f>
        <v>124.3741648530725</v>
      </c>
      <c r="R107" s="18">
        <f t="shared" si="78"/>
        <v>144.09743555547402</v>
      </c>
      <c r="S107" s="18">
        <f t="shared" si="78"/>
        <v>158.65890401720912</v>
      </c>
      <c r="T107" s="18">
        <f t="shared" ref="T107" si="79">T108-S108</f>
        <v>175.16175200211956</v>
      </c>
      <c r="U107" s="18">
        <f t="shared" ref="U107" si="80">U108-T108</f>
        <v>9.5850891755765133</v>
      </c>
    </row>
    <row r="108" spans="1:21" s="10" customFormat="1" x14ac:dyDescent="0.55000000000000004">
      <c r="B108" s="10" t="s">
        <v>123</v>
      </c>
      <c r="L108" s="303"/>
      <c r="M108" s="24">
        <f>M109-M113</f>
        <v>-62.728273999999999</v>
      </c>
      <c r="N108" s="24">
        <f t="shared" ref="N108:U108" si="81">N109-N113</f>
        <v>103.34211640821802</v>
      </c>
      <c r="O108" s="24">
        <f t="shared" si="81"/>
        <v>103.34211640821802</v>
      </c>
      <c r="P108" s="24">
        <f t="shared" si="81"/>
        <v>356.2166611297643</v>
      </c>
      <c r="Q108" s="24">
        <f t="shared" si="81"/>
        <v>480.5908259828368</v>
      </c>
      <c r="R108" s="24">
        <f t="shared" si="81"/>
        <v>624.68826153831083</v>
      </c>
      <c r="S108" s="24">
        <f t="shared" si="81"/>
        <v>783.34716555551995</v>
      </c>
      <c r="T108" s="24">
        <f t="shared" ref="T108" si="82">T109-T113</f>
        <v>958.50891755763951</v>
      </c>
      <c r="U108" s="25">
        <f t="shared" si="81"/>
        <v>968.09400673321602</v>
      </c>
    </row>
    <row r="109" spans="1:21" x14ac:dyDescent="0.55000000000000004">
      <c r="A109" s="10"/>
      <c r="B109" s="10" t="s">
        <v>148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303"/>
      <c r="M109" s="24">
        <f>M110</f>
        <v>116.80631099999999</v>
      </c>
      <c r="N109" s="24">
        <f t="shared" ref="N109:U109" si="83">N110</f>
        <v>194.29180414165816</v>
      </c>
      <c r="O109" s="24">
        <f t="shared" si="83"/>
        <v>194.29180414165816</v>
      </c>
      <c r="P109" s="24">
        <f t="shared" si="83"/>
        <v>535.0302368969883</v>
      </c>
      <c r="Q109" s="24">
        <f t="shared" si="83"/>
        <v>700.81650745314118</v>
      </c>
      <c r="R109" s="24">
        <f t="shared" si="83"/>
        <v>886.5594261468666</v>
      </c>
      <c r="S109" s="24">
        <f t="shared" si="83"/>
        <v>1089.4903171770118</v>
      </c>
      <c r="T109" s="24">
        <f t="shared" si="83"/>
        <v>1312.5741947642018</v>
      </c>
      <c r="U109" s="25">
        <f t="shared" si="83"/>
        <v>1325.699936711844</v>
      </c>
    </row>
    <row r="110" spans="1:21" x14ac:dyDescent="0.55000000000000004">
      <c r="A110" s="10"/>
      <c r="B110" s="10"/>
      <c r="C110" s="10" t="s">
        <v>149</v>
      </c>
      <c r="D110" s="10"/>
      <c r="E110" s="10"/>
      <c r="F110" s="10"/>
      <c r="G110" s="10"/>
      <c r="H110" s="10"/>
      <c r="I110" s="10"/>
      <c r="J110" s="10"/>
      <c r="K110" s="10"/>
      <c r="L110" s="303"/>
      <c r="M110" s="24">
        <f>연결정산표!S11/10^6</f>
        <v>116.80631099999999</v>
      </c>
      <c r="N110" s="24">
        <f>O110</f>
        <v>194.29180414165816</v>
      </c>
      <c r="O110" s="24">
        <f>O18/O111</f>
        <v>194.29180414165816</v>
      </c>
      <c r="P110" s="24">
        <f>P18/P111</f>
        <v>535.0302368969883</v>
      </c>
      <c r="Q110" s="24">
        <f>Q18/Q111</f>
        <v>700.81650745314118</v>
      </c>
      <c r="R110" s="24">
        <f>R18/R111</f>
        <v>886.5594261468666</v>
      </c>
      <c r="S110" s="24">
        <f>S18/S111</f>
        <v>1089.4903171770118</v>
      </c>
      <c r="T110" s="24">
        <f t="shared" ref="T110" si="84">T18/T111</f>
        <v>1312.5741947642018</v>
      </c>
      <c r="U110" s="25">
        <f>T18*(1+DCF!$J$23)/U111</f>
        <v>1325.699936711844</v>
      </c>
    </row>
    <row r="111" spans="1:21" x14ac:dyDescent="0.55000000000000004">
      <c r="A111" s="10"/>
      <c r="B111" s="10"/>
      <c r="C111" s="10"/>
      <c r="D111" s="10" t="s">
        <v>131</v>
      </c>
      <c r="E111" s="10"/>
      <c r="F111" s="10"/>
      <c r="G111" s="10"/>
      <c r="H111" s="10"/>
      <c r="I111" s="10"/>
      <c r="J111" s="10"/>
      <c r="K111" s="10"/>
      <c r="L111" s="303"/>
      <c r="M111" s="312">
        <f>M18/M110*2*3</f>
        <v>13.450224072225001</v>
      </c>
      <c r="N111" s="312">
        <f>365/N112</f>
        <v>13.450224072225001</v>
      </c>
      <c r="O111" s="312">
        <f t="shared" ref="O111:U111" si="85">365/O112</f>
        <v>13.450224072225001</v>
      </c>
      <c r="P111" s="312">
        <f t="shared" si="85"/>
        <v>13.450224072225001</v>
      </c>
      <c r="Q111" s="312">
        <f t="shared" si="85"/>
        <v>13.450224072225001</v>
      </c>
      <c r="R111" s="312">
        <f t="shared" si="85"/>
        <v>13.450224072225001</v>
      </c>
      <c r="S111" s="312">
        <f t="shared" si="85"/>
        <v>13.450224072225001</v>
      </c>
      <c r="T111" s="312">
        <f t="shared" si="85"/>
        <v>13.450224072225001</v>
      </c>
      <c r="U111" s="395">
        <f t="shared" si="85"/>
        <v>13.450224072225001</v>
      </c>
    </row>
    <row r="112" spans="1:21" x14ac:dyDescent="0.55000000000000004">
      <c r="A112" s="10"/>
      <c r="B112" s="10"/>
      <c r="C112" s="10"/>
      <c r="D112" s="10" t="s">
        <v>132</v>
      </c>
      <c r="E112" s="10"/>
      <c r="F112" s="10"/>
      <c r="G112" s="10"/>
      <c r="H112" s="10"/>
      <c r="I112" s="314">
        <f>M112</f>
        <v>27.137094374043386</v>
      </c>
      <c r="J112" s="10"/>
      <c r="K112" s="10"/>
      <c r="L112" s="303"/>
      <c r="M112" s="24">
        <f>365/M111</f>
        <v>27.137094374043386</v>
      </c>
      <c r="N112" s="24">
        <f>$I112</f>
        <v>27.137094374043386</v>
      </c>
      <c r="O112" s="24">
        <f t="shared" ref="O112:U112" si="86">$I112</f>
        <v>27.137094374043386</v>
      </c>
      <c r="P112" s="24">
        <f t="shared" si="86"/>
        <v>27.137094374043386</v>
      </c>
      <c r="Q112" s="24">
        <f t="shared" si="86"/>
        <v>27.137094374043386</v>
      </c>
      <c r="R112" s="24">
        <f t="shared" si="86"/>
        <v>27.137094374043386</v>
      </c>
      <c r="S112" s="24">
        <f t="shared" si="86"/>
        <v>27.137094374043386</v>
      </c>
      <c r="T112" s="24">
        <f t="shared" si="86"/>
        <v>27.137094374043386</v>
      </c>
      <c r="U112" s="25">
        <f t="shared" si="86"/>
        <v>27.137094374043386</v>
      </c>
    </row>
    <row r="113" spans="1:21" x14ac:dyDescent="0.55000000000000004">
      <c r="A113" s="10"/>
      <c r="B113" s="10" t="s">
        <v>150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303"/>
      <c r="M113" s="24">
        <f>M114</f>
        <v>179.53458499999999</v>
      </c>
      <c r="N113" s="24">
        <f t="shared" ref="N113:U113" si="87">N114</f>
        <v>90.949687733440143</v>
      </c>
      <c r="O113" s="24">
        <f t="shared" si="87"/>
        <v>90.949687733440143</v>
      </c>
      <c r="P113" s="24">
        <f t="shared" si="87"/>
        <v>178.81357576722399</v>
      </c>
      <c r="Q113" s="24">
        <f t="shared" si="87"/>
        <v>220.22568147030438</v>
      </c>
      <c r="R113" s="24">
        <f t="shared" si="87"/>
        <v>261.87116460855577</v>
      </c>
      <c r="S113" s="24">
        <f t="shared" si="87"/>
        <v>306.14315162149182</v>
      </c>
      <c r="T113" s="24">
        <f t="shared" si="87"/>
        <v>354.06527720656231</v>
      </c>
      <c r="U113" s="25">
        <f t="shared" si="87"/>
        <v>357.6059299786279</v>
      </c>
    </row>
    <row r="114" spans="1:21" x14ac:dyDescent="0.55000000000000004">
      <c r="A114" s="10"/>
      <c r="B114" s="10"/>
      <c r="C114" s="10" t="s">
        <v>151</v>
      </c>
      <c r="D114" s="10"/>
      <c r="E114" s="10"/>
      <c r="F114" s="10"/>
      <c r="G114" s="10"/>
      <c r="H114" s="10"/>
      <c r="I114" s="10"/>
      <c r="J114" s="10"/>
      <c r="K114" s="10"/>
      <c r="L114" s="303"/>
      <c r="M114" s="24">
        <f>연결정산표!S53/10^6</f>
        <v>179.53458499999999</v>
      </c>
      <c r="N114" s="24">
        <f>O114</f>
        <v>90.949687733440143</v>
      </c>
      <c r="O114" s="24">
        <f>O39/O115</f>
        <v>90.949687733440143</v>
      </c>
      <c r="P114" s="24">
        <f>P39/P115</f>
        <v>178.81357576722399</v>
      </c>
      <c r="Q114" s="24">
        <f>Q39/Q115</f>
        <v>220.22568147030438</v>
      </c>
      <c r="R114" s="24">
        <f>R39/R115</f>
        <v>261.87116460855577</v>
      </c>
      <c r="S114" s="24">
        <f>S39/S115</f>
        <v>306.14315162149182</v>
      </c>
      <c r="T114" s="24">
        <f t="shared" ref="T114" si="88">T39/T115</f>
        <v>354.06527720656231</v>
      </c>
      <c r="U114" s="25">
        <f>T39*(1+DCF!$J$23)/U115</f>
        <v>357.6059299786279</v>
      </c>
    </row>
    <row r="115" spans="1:21" x14ac:dyDescent="0.55000000000000004">
      <c r="A115" s="10"/>
      <c r="B115" s="10"/>
      <c r="C115" s="10"/>
      <c r="D115" s="10" t="s">
        <v>131</v>
      </c>
      <c r="E115" s="10"/>
      <c r="F115" s="10"/>
      <c r="G115" s="10"/>
      <c r="H115" s="10"/>
      <c r="I115" s="10"/>
      <c r="J115" s="10"/>
      <c r="K115" s="10"/>
      <c r="L115" s="303"/>
      <c r="M115" s="312">
        <f>M39/M114*2</f>
        <v>2.7625519729248822</v>
      </c>
      <c r="N115" s="312">
        <f>365/N116</f>
        <v>8.1111111111111107</v>
      </c>
      <c r="O115" s="312">
        <f t="shared" ref="O115" si="89">365/O116</f>
        <v>8.1111111111111107</v>
      </c>
      <c r="P115" s="312">
        <f t="shared" ref="P115" si="90">365/P116</f>
        <v>8.1111111111111107</v>
      </c>
      <c r="Q115" s="312">
        <f t="shared" ref="Q115" si="91">365/Q116</f>
        <v>8.1111111111111107</v>
      </c>
      <c r="R115" s="312">
        <f t="shared" ref="R115" si="92">365/R116</f>
        <v>8.1111111111111107</v>
      </c>
      <c r="S115" s="312">
        <f t="shared" ref="S115:T115" si="93">365/S116</f>
        <v>8.1111111111111107</v>
      </c>
      <c r="T115" s="312">
        <f t="shared" si="93"/>
        <v>8.1111111111111107</v>
      </c>
      <c r="U115" s="395">
        <f t="shared" ref="U115" si="94">365/U116</f>
        <v>8.1111111111111107</v>
      </c>
    </row>
    <row r="116" spans="1:21" x14ac:dyDescent="0.55000000000000004">
      <c r="A116" s="10"/>
      <c r="B116" s="14"/>
      <c r="C116" s="14"/>
      <c r="D116" s="14" t="s">
        <v>127</v>
      </c>
      <c r="E116" s="14"/>
      <c r="F116" s="14"/>
      <c r="G116" s="14"/>
      <c r="H116" s="14"/>
      <c r="I116" s="314">
        <v>45</v>
      </c>
      <c r="J116" s="14"/>
      <c r="K116" s="14"/>
      <c r="L116" s="372"/>
      <c r="M116" s="26">
        <f>365/M115</f>
        <v>132.12421108354832</v>
      </c>
      <c r="N116" s="26">
        <f>$I116</f>
        <v>45</v>
      </c>
      <c r="O116" s="26">
        <f t="shared" ref="O116:U116" si="95">$I116</f>
        <v>45</v>
      </c>
      <c r="P116" s="26">
        <f t="shared" si="95"/>
        <v>45</v>
      </c>
      <c r="Q116" s="26">
        <f t="shared" si="95"/>
        <v>45</v>
      </c>
      <c r="R116" s="26">
        <f t="shared" si="95"/>
        <v>45</v>
      </c>
      <c r="S116" s="26">
        <f t="shared" si="95"/>
        <v>45</v>
      </c>
      <c r="T116" s="26">
        <f t="shared" si="95"/>
        <v>45</v>
      </c>
      <c r="U116" s="22">
        <f t="shared" si="95"/>
        <v>45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7B42C9-2A4C-4DEE-A185-08B2A27C1E7C}">
  <sheetPr>
    <tabColor rgb="FF00B050"/>
  </sheetPr>
  <dimension ref="A1:AA131"/>
  <sheetViews>
    <sheetView showGridLines="0" topLeftCell="A91" zoomScale="85" zoomScaleNormal="85" workbookViewId="0">
      <selection activeCell="M129" sqref="M129"/>
    </sheetView>
  </sheetViews>
  <sheetFormatPr defaultColWidth="9" defaultRowHeight="15" x14ac:dyDescent="0.55000000000000004"/>
  <cols>
    <col min="1" max="1" width="3.35546875" style="1" customWidth="1"/>
    <col min="2" max="6" width="2.140625" style="1" customWidth="1"/>
    <col min="7" max="12" width="9" style="1"/>
    <col min="13" max="13" width="9" style="1" customWidth="1"/>
    <col min="14" max="20" width="9" style="1"/>
    <col min="21" max="21" width="9" style="415"/>
    <col min="22" max="16384" width="9" style="1"/>
  </cols>
  <sheetData>
    <row r="1" spans="1:21" x14ac:dyDescent="0.55000000000000004">
      <c r="A1" s="840" t="s">
        <v>70</v>
      </c>
      <c r="B1" s="840"/>
      <c r="C1" s="840"/>
      <c r="D1" s="840"/>
      <c r="E1" s="840"/>
      <c r="F1" s="840"/>
      <c r="G1" s="840"/>
      <c r="H1" s="840"/>
      <c r="I1" s="840"/>
      <c r="J1" s="840"/>
      <c r="K1" s="840"/>
      <c r="L1" s="840"/>
      <c r="M1" s="840"/>
      <c r="N1" s="840"/>
      <c r="O1" s="840"/>
      <c r="P1" s="840"/>
      <c r="Q1" s="840"/>
      <c r="R1" s="840"/>
      <c r="S1" s="840"/>
      <c r="T1" s="840"/>
    </row>
    <row r="3" spans="1:21" x14ac:dyDescent="0.55000000000000004">
      <c r="A3" s="841" t="s">
        <v>76</v>
      </c>
      <c r="B3" s="842"/>
      <c r="C3" s="842"/>
      <c r="D3" s="842"/>
      <c r="E3" s="842"/>
      <c r="F3" s="842"/>
      <c r="G3" s="842"/>
      <c r="H3" s="842"/>
      <c r="I3" s="842"/>
      <c r="J3" s="842"/>
      <c r="K3" s="842"/>
      <c r="L3" s="842"/>
      <c r="M3" s="842"/>
      <c r="N3" s="842"/>
      <c r="O3" s="842"/>
      <c r="P3" s="842"/>
      <c r="Q3" s="842"/>
      <c r="R3" s="842"/>
      <c r="S3" s="842"/>
      <c r="T3" s="842"/>
    </row>
    <row r="5" spans="1:21" x14ac:dyDescent="0.55000000000000004">
      <c r="B5" s="844"/>
      <c r="C5" s="844"/>
      <c r="D5" s="844"/>
      <c r="E5" s="844"/>
      <c r="F5" s="844"/>
      <c r="G5" s="844"/>
      <c r="H5" s="844"/>
      <c r="I5" s="844"/>
      <c r="J5" s="844"/>
      <c r="K5" s="844"/>
      <c r="L5" s="845" t="s">
        <v>2</v>
      </c>
      <c r="M5" s="845" t="s">
        <v>3</v>
      </c>
      <c r="N5" s="845" t="s">
        <v>4</v>
      </c>
      <c r="O5" s="845" t="s">
        <v>5</v>
      </c>
      <c r="P5" s="845" t="s">
        <v>6</v>
      </c>
      <c r="Q5" s="845" t="s">
        <v>7</v>
      </c>
      <c r="R5" s="845" t="s">
        <v>8</v>
      </c>
      <c r="S5" s="845" t="s">
        <v>9</v>
      </c>
      <c r="T5" s="845" t="s">
        <v>1480</v>
      </c>
    </row>
    <row r="6" spans="1:21" x14ac:dyDescent="0.55000000000000004">
      <c r="A6" s="4"/>
      <c r="B6" s="391" t="s">
        <v>11</v>
      </c>
      <c r="C6" s="391"/>
      <c r="D6" s="391"/>
      <c r="E6" s="391"/>
      <c r="F6" s="391"/>
      <c r="G6" s="391"/>
      <c r="H6" s="391"/>
      <c r="I6" s="391"/>
      <c r="J6" s="391"/>
      <c r="K6" s="391"/>
      <c r="L6" s="408"/>
      <c r="M6" s="392">
        <f>M19</f>
        <v>5406.0863570000001</v>
      </c>
      <c r="N6" s="392">
        <f t="shared" ref="N6:S6" si="0">N19</f>
        <v>7433.9256865848574</v>
      </c>
      <c r="O6" s="392">
        <f t="shared" si="0"/>
        <v>12840.012043584858</v>
      </c>
      <c r="P6" s="392">
        <f t="shared" si="0"/>
        <v>15717.110058274176</v>
      </c>
      <c r="Q6" s="392">
        <f t="shared" si="0"/>
        <v>18711.430492295651</v>
      </c>
      <c r="R6" s="392">
        <f t="shared" si="0"/>
        <v>21872.722647118819</v>
      </c>
      <c r="S6" s="392">
        <f t="shared" si="0"/>
        <v>25109.255182074252</v>
      </c>
      <c r="T6" s="392">
        <f t="shared" ref="T6" si="1">T19</f>
        <v>28476.636112563181</v>
      </c>
    </row>
    <row r="7" spans="1:21" x14ac:dyDescent="0.55000000000000004">
      <c r="B7" s="1" t="s">
        <v>12</v>
      </c>
      <c r="L7" s="329"/>
      <c r="M7" s="19">
        <f>M33</f>
        <v>1920.4115469999997</v>
      </c>
      <c r="N7" s="19">
        <f t="shared" ref="N7:S7" si="2">N33</f>
        <v>4726.7597760839299</v>
      </c>
      <c r="O7" s="19">
        <f t="shared" si="2"/>
        <v>6647.1713230839305</v>
      </c>
      <c r="P7" s="19">
        <f t="shared" si="2"/>
        <v>9866.0859817561286</v>
      </c>
      <c r="Q7" s="19">
        <f t="shared" si="2"/>
        <v>10872.232276699526</v>
      </c>
      <c r="R7" s="19">
        <f t="shared" si="2"/>
        <v>12592.675148519987</v>
      </c>
      <c r="S7" s="19">
        <f t="shared" si="2"/>
        <v>14351.490854493959</v>
      </c>
      <c r="T7" s="19">
        <f t="shared" ref="T7" si="3">T33</f>
        <v>16181.755033178042</v>
      </c>
    </row>
    <row r="8" spans="1:21" s="4" customFormat="1" x14ac:dyDescent="0.55000000000000004">
      <c r="B8" s="5" t="s">
        <v>13</v>
      </c>
      <c r="C8" s="5"/>
      <c r="D8" s="5"/>
      <c r="E8" s="5"/>
      <c r="F8" s="5"/>
      <c r="G8" s="5"/>
      <c r="H8" s="5"/>
      <c r="I8" s="5"/>
      <c r="J8" s="5"/>
      <c r="K8" s="5"/>
      <c r="L8" s="376"/>
      <c r="M8" s="20">
        <f>M6-M7</f>
        <v>3485.6748100000004</v>
      </c>
      <c r="N8" s="20">
        <f t="shared" ref="N8:S8" si="4">N6-N7</f>
        <v>2707.1659105009276</v>
      </c>
      <c r="O8" s="20">
        <f t="shared" si="4"/>
        <v>6192.840720500928</v>
      </c>
      <c r="P8" s="20">
        <f t="shared" si="4"/>
        <v>5851.0240765180479</v>
      </c>
      <c r="Q8" s="20">
        <f t="shared" si="4"/>
        <v>7839.198215596125</v>
      </c>
      <c r="R8" s="20">
        <f t="shared" si="4"/>
        <v>9280.0474985988312</v>
      </c>
      <c r="S8" s="20">
        <f t="shared" si="4"/>
        <v>10757.764327580293</v>
      </c>
      <c r="T8" s="20">
        <f t="shared" ref="T8" si="5">T6-T7</f>
        <v>12294.881079385139</v>
      </c>
      <c r="U8" s="419"/>
    </row>
    <row r="9" spans="1:21" s="262" customFormat="1" x14ac:dyDescent="0.55000000000000004">
      <c r="B9" s="319" t="s">
        <v>77</v>
      </c>
      <c r="C9" s="319"/>
      <c r="D9" s="319"/>
      <c r="E9" s="319"/>
      <c r="F9" s="319"/>
      <c r="G9" s="319"/>
      <c r="H9" s="319"/>
      <c r="I9" s="319"/>
      <c r="J9" s="319"/>
      <c r="K9" s="319"/>
      <c r="L9" s="811"/>
      <c r="M9" s="319">
        <f>M8/M6</f>
        <v>0.64476861445001155</v>
      </c>
      <c r="N9" s="319">
        <f t="shared" ref="N9:S9" si="6">N8/N6</f>
        <v>0.36416370362515671</v>
      </c>
      <c r="O9" s="319">
        <f t="shared" si="6"/>
        <v>0.48230801493640357</v>
      </c>
      <c r="P9" s="319">
        <f t="shared" si="6"/>
        <v>0.37227098714867191</v>
      </c>
      <c r="Q9" s="319">
        <f t="shared" si="6"/>
        <v>0.41895237346091097</v>
      </c>
      <c r="R9" s="319">
        <f t="shared" si="6"/>
        <v>0.42427491301917297</v>
      </c>
      <c r="S9" s="319">
        <f t="shared" si="6"/>
        <v>0.42843820932053645</v>
      </c>
      <c r="T9" s="319">
        <f t="shared" ref="T9" si="7">T8/T6</f>
        <v>0.43175328120869388</v>
      </c>
      <c r="U9" s="418"/>
    </row>
    <row r="10" spans="1:21" x14ac:dyDescent="0.55000000000000004">
      <c r="B10" s="1" t="s">
        <v>78</v>
      </c>
      <c r="L10" s="329"/>
      <c r="M10" s="19">
        <f>M78</f>
        <v>0.93223199999999995</v>
      </c>
      <c r="N10" s="19">
        <f t="shared" ref="N10:S10" si="8">N78</f>
        <v>3.1195384320000001</v>
      </c>
      <c r="O10" s="19">
        <f t="shared" si="8"/>
        <v>4.0517704319999996</v>
      </c>
      <c r="P10" s="19">
        <f t="shared" si="8"/>
        <v>6.1107690029506561</v>
      </c>
      <c r="Q10" s="19">
        <f t="shared" si="8"/>
        <v>5.2589766900913579</v>
      </c>
      <c r="R10" s="19">
        <f t="shared" si="8"/>
        <v>4.5259174113061444</v>
      </c>
      <c r="S10" s="19">
        <f t="shared" si="8"/>
        <v>4.319396486236954</v>
      </c>
      <c r="T10" s="19">
        <f t="shared" ref="T10" si="9">T78</f>
        <v>3.2929514164998164</v>
      </c>
    </row>
    <row r="11" spans="1:21" s="4" customFormat="1" x14ac:dyDescent="0.55000000000000004">
      <c r="B11" s="5" t="s">
        <v>79</v>
      </c>
      <c r="C11" s="5"/>
      <c r="D11" s="5"/>
      <c r="E11" s="5"/>
      <c r="F11" s="5"/>
      <c r="G11" s="5"/>
      <c r="H11" s="5"/>
      <c r="I11" s="5"/>
      <c r="J11" s="5"/>
      <c r="K11" s="5"/>
      <c r="L11" s="376"/>
      <c r="M11" s="20">
        <f>M10+M8</f>
        <v>3486.6070420000005</v>
      </c>
      <c r="N11" s="20">
        <f t="shared" ref="N11:S11" si="10">N10+N8</f>
        <v>2710.2854489329275</v>
      </c>
      <c r="O11" s="20">
        <f t="shared" si="10"/>
        <v>6196.892490932928</v>
      </c>
      <c r="P11" s="20">
        <f t="shared" si="10"/>
        <v>5857.1348455209982</v>
      </c>
      <c r="Q11" s="20">
        <f t="shared" si="10"/>
        <v>7844.457192286216</v>
      </c>
      <c r="R11" s="20">
        <f t="shared" si="10"/>
        <v>9284.5734160101365</v>
      </c>
      <c r="S11" s="20">
        <f t="shared" si="10"/>
        <v>10762.08372406653</v>
      </c>
      <c r="T11" s="20">
        <f t="shared" ref="T11" si="11">T10+T8</f>
        <v>12298.174030801638</v>
      </c>
      <c r="U11" s="419"/>
    </row>
    <row r="12" spans="1:21" s="3" customFormat="1" x14ac:dyDescent="0.55000000000000004">
      <c r="B12" s="3" t="s">
        <v>80</v>
      </c>
      <c r="L12" s="458"/>
      <c r="M12" s="232">
        <f>M11/M6</f>
        <v>0.64494105564655158</v>
      </c>
      <c r="N12" s="232">
        <f t="shared" ref="N12:S12" si="12">N11/N6</f>
        <v>0.36458333903227808</v>
      </c>
      <c r="O12" s="232">
        <f t="shared" si="12"/>
        <v>0.48262357308527809</v>
      </c>
      <c r="P12" s="232">
        <f t="shared" si="12"/>
        <v>0.37265978438813219</v>
      </c>
      <c r="Q12" s="232">
        <f t="shared" si="12"/>
        <v>0.41923343036312144</v>
      </c>
      <c r="R12" s="232">
        <f t="shared" si="12"/>
        <v>0.42448183364283393</v>
      </c>
      <c r="S12" s="232">
        <f t="shared" si="12"/>
        <v>0.42861023339910492</v>
      </c>
      <c r="T12" s="232">
        <f t="shared" ref="T12" si="13">T11/T6</f>
        <v>0.43186891816115847</v>
      </c>
      <c r="U12" s="417"/>
    </row>
    <row r="13" spans="1:21" s="4" customFormat="1" x14ac:dyDescent="0.55000000000000004">
      <c r="B13" s="5" t="s">
        <v>2146</v>
      </c>
      <c r="C13" s="5"/>
      <c r="D13" s="5"/>
      <c r="E13" s="5"/>
      <c r="F13" s="5"/>
      <c r="G13" s="5"/>
      <c r="H13" s="5"/>
      <c r="I13" s="5"/>
      <c r="J13" s="5"/>
      <c r="K13" s="5"/>
      <c r="L13" s="376"/>
      <c r="M13" s="321">
        <f>M11-M70</f>
        <v>1886.6070420000005</v>
      </c>
      <c r="N13" s="321">
        <f t="shared" ref="N13:T13" si="14">N11-N70</f>
        <v>2710.2854489329275</v>
      </c>
      <c r="O13" s="321">
        <f t="shared" si="14"/>
        <v>4596.892490932928</v>
      </c>
      <c r="P13" s="321">
        <f t="shared" si="14"/>
        <v>5857.1348455209982</v>
      </c>
      <c r="Q13" s="321">
        <f t="shared" si="14"/>
        <v>7844.457192286216</v>
      </c>
      <c r="R13" s="321">
        <f t="shared" si="14"/>
        <v>9284.5734160101365</v>
      </c>
      <c r="S13" s="321">
        <f t="shared" si="14"/>
        <v>10762.08372406653</v>
      </c>
      <c r="T13" s="321">
        <f t="shared" si="14"/>
        <v>12298.174030801638</v>
      </c>
      <c r="U13" s="419"/>
    </row>
    <row r="14" spans="1:21" s="3" customFormat="1" x14ac:dyDescent="0.55000000000000004">
      <c r="B14" s="17" t="s">
        <v>2148</v>
      </c>
      <c r="C14" s="17"/>
      <c r="D14" s="17"/>
      <c r="E14" s="17"/>
      <c r="F14" s="17"/>
      <c r="G14" s="17"/>
      <c r="H14" s="17"/>
      <c r="I14" s="17"/>
      <c r="J14" s="17"/>
      <c r="K14" s="17"/>
      <c r="L14" s="407"/>
      <c r="M14" s="231">
        <f>M13/M6</f>
        <v>0.34897833985895399</v>
      </c>
      <c r="N14" s="231">
        <f t="shared" ref="N14:T14" si="15">N13/N6</f>
        <v>0.36458333903227808</v>
      </c>
      <c r="O14" s="231">
        <f t="shared" si="15"/>
        <v>0.35801309806633963</v>
      </c>
      <c r="P14" s="231">
        <f t="shared" si="15"/>
        <v>0.37265978438813219</v>
      </c>
      <c r="Q14" s="231">
        <f t="shared" si="15"/>
        <v>0.41923343036312144</v>
      </c>
      <c r="R14" s="231">
        <f t="shared" si="15"/>
        <v>0.42448183364283393</v>
      </c>
      <c r="S14" s="231">
        <f t="shared" si="15"/>
        <v>0.42861023339910492</v>
      </c>
      <c r="T14" s="231">
        <f t="shared" si="15"/>
        <v>0.43186891816115847</v>
      </c>
      <c r="U14" s="417"/>
    </row>
    <row r="15" spans="1:21" x14ac:dyDescent="0.55000000000000004">
      <c r="M15" s="1" t="b">
        <f>(연결정산표_우모건제외!F140-연결정산표_우모건제외!K122)/10^6=M8</f>
        <v>1</v>
      </c>
    </row>
    <row r="16" spans="1:21" x14ac:dyDescent="0.55000000000000004">
      <c r="A16" s="841" t="s">
        <v>81</v>
      </c>
      <c r="B16" s="842"/>
      <c r="C16" s="842"/>
      <c r="D16" s="842"/>
      <c r="E16" s="842"/>
      <c r="F16" s="842"/>
      <c r="G16" s="842"/>
      <c r="H16" s="842"/>
      <c r="I16" s="842"/>
      <c r="J16" s="842"/>
      <c r="K16" s="842"/>
      <c r="L16" s="842"/>
      <c r="M16" s="842"/>
      <c r="N16" s="842"/>
      <c r="O16" s="842"/>
      <c r="P16" s="842"/>
      <c r="Q16" s="842"/>
      <c r="R16" s="842"/>
      <c r="S16" s="842"/>
      <c r="T16" s="842"/>
    </row>
    <row r="18" spans="1:21" x14ac:dyDescent="0.55000000000000004">
      <c r="B18" s="844"/>
      <c r="C18" s="844"/>
      <c r="D18" s="844"/>
      <c r="E18" s="844"/>
      <c r="F18" s="844"/>
      <c r="G18" s="844"/>
      <c r="H18" s="844"/>
      <c r="I18" s="844"/>
      <c r="J18" s="844"/>
      <c r="K18" s="844"/>
      <c r="L18" s="845" t="s">
        <v>2</v>
      </c>
      <c r="M18" s="845" t="s">
        <v>3</v>
      </c>
      <c r="N18" s="845" t="s">
        <v>4</v>
      </c>
      <c r="O18" s="845" t="s">
        <v>5</v>
      </c>
      <c r="P18" s="845" t="s">
        <v>6</v>
      </c>
      <c r="Q18" s="845" t="s">
        <v>7</v>
      </c>
      <c r="R18" s="845" t="s">
        <v>8</v>
      </c>
      <c r="S18" s="845" t="s">
        <v>9</v>
      </c>
      <c r="T18" s="845" t="s">
        <v>1480</v>
      </c>
    </row>
    <row r="19" spans="1:21" x14ac:dyDescent="0.55000000000000004">
      <c r="B19" s="391" t="s">
        <v>11</v>
      </c>
      <c r="C19" s="391"/>
      <c r="D19" s="391"/>
      <c r="E19" s="391"/>
      <c r="F19" s="391"/>
      <c r="G19" s="391"/>
      <c r="H19" s="391"/>
      <c r="I19" s="391"/>
      <c r="J19" s="391"/>
      <c r="K19" s="391"/>
      <c r="L19" s="303"/>
      <c r="M19" s="392">
        <f>M20</f>
        <v>5406.0863570000001</v>
      </c>
      <c r="N19" s="392">
        <f t="shared" ref="N19:T19" si="16">N20</f>
        <v>7433.9256865848574</v>
      </c>
      <c r="O19" s="392">
        <f t="shared" si="16"/>
        <v>12840.012043584858</v>
      </c>
      <c r="P19" s="392">
        <f t="shared" si="16"/>
        <v>15717.110058274176</v>
      </c>
      <c r="Q19" s="392">
        <f t="shared" si="16"/>
        <v>18711.430492295651</v>
      </c>
      <c r="R19" s="392">
        <f t="shared" si="16"/>
        <v>21872.722647118819</v>
      </c>
      <c r="S19" s="392">
        <f t="shared" si="16"/>
        <v>25109.255182074252</v>
      </c>
      <c r="T19" s="392">
        <f t="shared" si="16"/>
        <v>28476.636112563181</v>
      </c>
    </row>
    <row r="20" spans="1:21" s="10" customFormat="1" x14ac:dyDescent="0.55000000000000004">
      <c r="C20" s="10" t="s">
        <v>1446</v>
      </c>
      <c r="L20" s="303"/>
      <c r="M20" s="24">
        <f>연결정산표!R98/10^6</f>
        <v>5406.0863570000001</v>
      </c>
      <c r="N20" s="24">
        <f>N21</f>
        <v>7433.9256865848574</v>
      </c>
      <c r="O20" s="24">
        <f t="shared" ref="O20:T20" si="17">O21</f>
        <v>12840.012043584858</v>
      </c>
      <c r="P20" s="24">
        <f t="shared" si="17"/>
        <v>15717.110058274176</v>
      </c>
      <c r="Q20" s="24">
        <f t="shared" si="17"/>
        <v>18711.430492295651</v>
      </c>
      <c r="R20" s="24">
        <f t="shared" si="17"/>
        <v>21872.722647118819</v>
      </c>
      <c r="S20" s="24">
        <f t="shared" si="17"/>
        <v>25109.255182074252</v>
      </c>
      <c r="T20" s="24">
        <f t="shared" si="17"/>
        <v>28476.636112563181</v>
      </c>
      <c r="U20" s="415"/>
    </row>
    <row r="21" spans="1:21" s="10" customFormat="1" x14ac:dyDescent="0.55000000000000004">
      <c r="D21" s="10" t="s">
        <v>134</v>
      </c>
      <c r="L21" s="303"/>
      <c r="M21" s="24">
        <f>M20</f>
        <v>5406.0863570000001</v>
      </c>
      <c r="N21" s="24">
        <f>N22*N27</f>
        <v>7433.9256865848574</v>
      </c>
      <c r="O21" s="24">
        <f>N21+M21</f>
        <v>12840.012043584858</v>
      </c>
      <c r="P21" s="24">
        <f>P22*P27</f>
        <v>15717.110058274176</v>
      </c>
      <c r="Q21" s="24">
        <f>Q22*Q27</f>
        <v>18711.430492295651</v>
      </c>
      <c r="R21" s="24">
        <f>R22*R27</f>
        <v>21872.722647118819</v>
      </c>
      <c r="S21" s="24">
        <f>S22*S27</f>
        <v>25109.255182074252</v>
      </c>
      <c r="T21" s="24">
        <f>T22*T27</f>
        <v>28476.636112563181</v>
      </c>
      <c r="U21" s="415"/>
    </row>
    <row r="22" spans="1:21" s="10" customFormat="1" x14ac:dyDescent="0.55000000000000004">
      <c r="E22" s="10" t="s">
        <v>135</v>
      </c>
      <c r="L22" s="303"/>
      <c r="M22" s="24">
        <f>SUMIFS(티티에이매출v2!$Q:$Q,티티에이매출v2!$A:$A,TTA!M$18,티티에이매출v2!$B:$B,TTA!$D21)</f>
        <v>2250</v>
      </c>
      <c r="N22" s="24">
        <f>N23*N24</f>
        <v>3093.9817994505502</v>
      </c>
      <c r="O22" s="24">
        <f>N22+M22</f>
        <v>5343.9817994505502</v>
      </c>
      <c r="P22" s="24">
        <f t="shared" ref="P22:S22" si="18">P23*P24</f>
        <v>6434.3700049950066</v>
      </c>
      <c r="Q22" s="24">
        <f t="shared" si="18"/>
        <v>7524.7582105394622</v>
      </c>
      <c r="R22" s="24">
        <f t="shared" si="18"/>
        <v>8615.1464160839168</v>
      </c>
      <c r="S22" s="24">
        <f t="shared" si="18"/>
        <v>9705.5346216283724</v>
      </c>
      <c r="T22" s="24">
        <f t="shared" ref="T22" si="19">T23*T24</f>
        <v>10795.92282717283</v>
      </c>
      <c r="U22" s="415"/>
    </row>
    <row r="23" spans="1:21" s="10" customFormat="1" x14ac:dyDescent="0.55000000000000004">
      <c r="F23" s="10" t="s">
        <v>136</v>
      </c>
      <c r="L23" s="303"/>
      <c r="M23" s="24">
        <f>COUNTIFS(티티에이매출v2!$A:$A,TTA!M$18,티티에이매출v2!$B:$B,TTA!$D21)</f>
        <v>15</v>
      </c>
      <c r="N23" s="24">
        <f>'Key Assumption'!N37</f>
        <v>34.5</v>
      </c>
      <c r="O23" s="24">
        <f>N23+M23</f>
        <v>49.5</v>
      </c>
      <c r="P23" s="24">
        <f>'Key Assumption'!P37</f>
        <v>59.6</v>
      </c>
      <c r="Q23" s="24">
        <f>'Key Assumption'!Q37</f>
        <v>69.7</v>
      </c>
      <c r="R23" s="24">
        <f>'Key Assumption'!R37</f>
        <v>79.8</v>
      </c>
      <c r="S23" s="24">
        <f>'Key Assumption'!S37</f>
        <v>89.899999999999991</v>
      </c>
      <c r="T23" s="24">
        <f>'Key Assumption'!T37</f>
        <v>100</v>
      </c>
      <c r="U23" s="415"/>
    </row>
    <row r="24" spans="1:21" s="10" customFormat="1" x14ac:dyDescent="0.55000000000000004">
      <c r="F24" s="10" t="s">
        <v>72</v>
      </c>
      <c r="L24" s="303"/>
      <c r="M24" s="24">
        <f>M22/M23</f>
        <v>150</v>
      </c>
      <c r="N24" s="24">
        <f>N25*N26</f>
        <v>89.680631868131883</v>
      </c>
      <c r="O24" s="24">
        <f>O22/O23</f>
        <v>107.95922827172829</v>
      </c>
      <c r="P24" s="24">
        <f t="shared" ref="P24:T24" si="20">P25*P26</f>
        <v>107.95922827172829</v>
      </c>
      <c r="Q24" s="24">
        <f t="shared" si="20"/>
        <v>107.95922827172829</v>
      </c>
      <c r="R24" s="24">
        <f t="shared" si="20"/>
        <v>107.95922827172829</v>
      </c>
      <c r="S24" s="24">
        <f t="shared" si="20"/>
        <v>107.95922827172829</v>
      </c>
      <c r="T24" s="24">
        <f t="shared" si="20"/>
        <v>107.95922827172829</v>
      </c>
      <c r="U24" s="415"/>
    </row>
    <row r="25" spans="1:21" s="10" customFormat="1" x14ac:dyDescent="0.55000000000000004">
      <c r="G25" s="10" t="s">
        <v>1971</v>
      </c>
      <c r="L25" s="303"/>
      <c r="M25" s="24">
        <f>SUMIFS(티티에이매출v2!$K:$K,티티에이매출v2!$A:$A,TTA!M$18,티티에이매출v2!B:B,TTA!$D21)/M23</f>
        <v>5200</v>
      </c>
      <c r="N25" s="24">
        <f>'Key Assumption'!N38</f>
        <v>3108.9285714285716</v>
      </c>
      <c r="O25" s="24">
        <f>O24/O26</f>
        <v>3742.5865800865804</v>
      </c>
      <c r="P25" s="24">
        <f>'Key Assumption'!P38</f>
        <v>3742.5865800865804</v>
      </c>
      <c r="Q25" s="24">
        <f>'Key Assumption'!Q38</f>
        <v>3742.5865800865804</v>
      </c>
      <c r="R25" s="24">
        <f>'Key Assumption'!R38</f>
        <v>3742.5865800865804</v>
      </c>
      <c r="S25" s="24">
        <f>'Key Assumption'!S38</f>
        <v>3742.5865800865804</v>
      </c>
      <c r="T25" s="24">
        <f>'Key Assumption'!T38</f>
        <v>3742.5865800865804</v>
      </c>
      <c r="U25" s="415"/>
    </row>
    <row r="26" spans="1:21" s="262" customFormat="1" x14ac:dyDescent="0.55000000000000004">
      <c r="G26" s="262" t="s">
        <v>1440</v>
      </c>
      <c r="L26" s="435"/>
      <c r="M26" s="262">
        <f>M24/M25</f>
        <v>2.8846153846153848E-2</v>
      </c>
      <c r="N26" s="262">
        <f>'Key Assumption'!N39</f>
        <v>2.8846153846153848E-2</v>
      </c>
      <c r="O26" s="262">
        <f>'Key Assumption'!O39</f>
        <v>2.8846153846153848E-2</v>
      </c>
      <c r="P26" s="262">
        <f>'Key Assumption'!P39</f>
        <v>2.8846153846153848E-2</v>
      </c>
      <c r="Q26" s="262">
        <f>'Key Assumption'!Q39</f>
        <v>2.8846153846153848E-2</v>
      </c>
      <c r="R26" s="262">
        <f>'Key Assumption'!R39</f>
        <v>2.8846153846153848E-2</v>
      </c>
      <c r="S26" s="262">
        <f>'Key Assumption'!S39</f>
        <v>2.8846153846153848E-2</v>
      </c>
      <c r="T26" s="262">
        <f>'Key Assumption'!T39</f>
        <v>2.8846153846153848E-2</v>
      </c>
      <c r="U26" s="418"/>
    </row>
    <row r="27" spans="1:21" s="29" customFormat="1" x14ac:dyDescent="0.55000000000000004">
      <c r="B27" s="297"/>
      <c r="C27" s="297"/>
      <c r="D27" s="297"/>
      <c r="E27" s="297" t="s">
        <v>137</v>
      </c>
      <c r="F27" s="297"/>
      <c r="G27" s="297"/>
      <c r="H27" s="297"/>
      <c r="I27" s="297"/>
      <c r="J27" s="297"/>
      <c r="K27" s="297"/>
      <c r="L27" s="407"/>
      <c r="M27" s="297">
        <f>M21/M22</f>
        <v>2.4027050475555556</v>
      </c>
      <c r="N27" s="297">
        <f>M27</f>
        <v>2.4027050475555556</v>
      </c>
      <c r="O27" s="297">
        <f>N27</f>
        <v>2.4027050475555556</v>
      </c>
      <c r="P27" s="297">
        <f>O27*(1+'Key Assumption'!P$12)</f>
        <v>2.4426804871452794</v>
      </c>
      <c r="Q27" s="297">
        <f>P27*(1+'Key Assumption'!Q$12)</f>
        <v>2.4866487359138945</v>
      </c>
      <c r="R27" s="297">
        <f>Q27*(1+'Key Assumption'!R$12)</f>
        <v>2.5388683593680859</v>
      </c>
      <c r="S27" s="297">
        <f>R27*(1+'Key Assumption'!S$12)</f>
        <v>2.5871068581960794</v>
      </c>
      <c r="T27" s="297">
        <f>S27*(1+'Key Assumption'!T$12)</f>
        <v>2.6377213479971187</v>
      </c>
      <c r="U27" s="794"/>
    </row>
    <row r="30" spans="1:21" x14ac:dyDescent="0.55000000000000004">
      <c r="A30" s="841" t="s">
        <v>88</v>
      </c>
      <c r="B30" s="842"/>
      <c r="C30" s="842"/>
      <c r="D30" s="842"/>
      <c r="E30" s="842"/>
      <c r="F30" s="842"/>
      <c r="G30" s="842"/>
      <c r="H30" s="842"/>
      <c r="I30" s="842"/>
      <c r="J30" s="842"/>
      <c r="K30" s="842"/>
      <c r="L30" s="842"/>
      <c r="M30" s="842"/>
      <c r="N30" s="842"/>
      <c r="O30" s="842"/>
      <c r="P30" s="842"/>
      <c r="Q30" s="842"/>
      <c r="R30" s="842"/>
      <c r="S30" s="842"/>
      <c r="T30" s="842"/>
    </row>
    <row r="32" spans="1:21" x14ac:dyDescent="0.55000000000000004">
      <c r="B32" s="844"/>
      <c r="C32" s="844"/>
      <c r="D32" s="844"/>
      <c r="E32" s="844"/>
      <c r="F32" s="844"/>
      <c r="G32" s="844"/>
      <c r="H32" s="844"/>
      <c r="I32" s="844"/>
      <c r="J32" s="844"/>
      <c r="K32" s="844"/>
      <c r="L32" s="845" t="s">
        <v>2</v>
      </c>
      <c r="M32" s="845" t="s">
        <v>3</v>
      </c>
      <c r="N32" s="845" t="s">
        <v>4</v>
      </c>
      <c r="O32" s="845" t="s">
        <v>5</v>
      </c>
      <c r="P32" s="845" t="s">
        <v>6</v>
      </c>
      <c r="Q32" s="845" t="s">
        <v>7</v>
      </c>
      <c r="R32" s="845" t="s">
        <v>8</v>
      </c>
      <c r="S32" s="845" t="s">
        <v>9</v>
      </c>
      <c r="T32" s="845" t="s">
        <v>1480</v>
      </c>
    </row>
    <row r="33" spans="2:21" x14ac:dyDescent="0.55000000000000004">
      <c r="B33" s="391" t="s">
        <v>12</v>
      </c>
      <c r="C33" s="391"/>
      <c r="D33" s="391"/>
      <c r="E33" s="391"/>
      <c r="F33" s="391"/>
      <c r="G33" s="391"/>
      <c r="H33" s="391"/>
      <c r="I33" s="391"/>
      <c r="J33" s="391"/>
      <c r="K33" s="391"/>
      <c r="L33" s="369"/>
      <c r="M33" s="392">
        <f>M35+M36+M37</f>
        <v>1920.4115469999997</v>
      </c>
      <c r="N33" s="392">
        <f t="shared" ref="N33:S33" si="21">N35+N36+N37</f>
        <v>4726.7597760839299</v>
      </c>
      <c r="O33" s="392">
        <f t="shared" si="21"/>
        <v>6647.1713230839305</v>
      </c>
      <c r="P33" s="392">
        <f t="shared" si="21"/>
        <v>9866.0859817561286</v>
      </c>
      <c r="Q33" s="392">
        <f t="shared" si="21"/>
        <v>10872.232276699526</v>
      </c>
      <c r="R33" s="392">
        <f t="shared" si="21"/>
        <v>12592.675148519987</v>
      </c>
      <c r="S33" s="392">
        <f t="shared" si="21"/>
        <v>14351.490854493959</v>
      </c>
      <c r="T33" s="392">
        <f t="shared" ref="T33" si="22">T35+T36+T37</f>
        <v>16181.755033178042</v>
      </c>
    </row>
    <row r="34" spans="2:21" s="3" customFormat="1" x14ac:dyDescent="0.55000000000000004">
      <c r="B34" s="3" t="s">
        <v>89</v>
      </c>
      <c r="L34" s="369"/>
      <c r="M34" s="232">
        <f>M33/M$19</f>
        <v>0.35523138554998845</v>
      </c>
      <c r="N34" s="232">
        <f t="shared" ref="N34:S34" si="23">N33/N$19</f>
        <v>0.63583629637484329</v>
      </c>
      <c r="O34" s="232">
        <f t="shared" si="23"/>
        <v>0.51769198506359637</v>
      </c>
      <c r="P34" s="232">
        <f t="shared" si="23"/>
        <v>0.62772901285132809</v>
      </c>
      <c r="Q34" s="232">
        <f t="shared" si="23"/>
        <v>0.58104762653908903</v>
      </c>
      <c r="R34" s="232">
        <f t="shared" si="23"/>
        <v>0.57572508698082703</v>
      </c>
      <c r="S34" s="232">
        <f t="shared" si="23"/>
        <v>0.57156179067946355</v>
      </c>
      <c r="T34" s="232">
        <f t="shared" ref="T34" si="24">T33/T$19</f>
        <v>0.56824671879130606</v>
      </c>
      <c r="U34" s="417"/>
    </row>
    <row r="35" spans="2:21" s="10" customFormat="1" x14ac:dyDescent="0.55000000000000004">
      <c r="C35" s="10" t="s">
        <v>90</v>
      </c>
      <c r="L35" s="369"/>
      <c r="M35" s="24">
        <f>M40</f>
        <v>49.697536999999997</v>
      </c>
      <c r="N35" s="24">
        <f t="shared" ref="N35:S35" si="25">N40</f>
        <v>168.05591090909093</v>
      </c>
      <c r="O35" s="24">
        <f t="shared" si="25"/>
        <v>217.75344790909094</v>
      </c>
      <c r="P35" s="24">
        <f t="shared" si="25"/>
        <v>935.90182400467086</v>
      </c>
      <c r="Q35" s="24">
        <f t="shared" si="25"/>
        <v>1048.2497867511306</v>
      </c>
      <c r="R35" s="24">
        <f t="shared" si="25"/>
        <v>1173.9081114158867</v>
      </c>
      <c r="S35" s="24">
        <f t="shared" si="25"/>
        <v>1300.3381805442416</v>
      </c>
      <c r="T35" s="24">
        <f t="shared" ref="T35" si="26">T40</f>
        <v>1432.9599529977545</v>
      </c>
      <c r="U35" s="415"/>
    </row>
    <row r="36" spans="2:21" s="10" customFormat="1" x14ac:dyDescent="0.55000000000000004">
      <c r="C36" s="10" t="s">
        <v>91</v>
      </c>
      <c r="L36" s="303"/>
      <c r="M36" s="24">
        <f>M53</f>
        <v>1662.9043499999998</v>
      </c>
      <c r="N36" s="24">
        <f t="shared" ref="N36:S36" si="27">N53</f>
        <v>4348.7068987428393</v>
      </c>
      <c r="O36" s="24">
        <f t="shared" si="27"/>
        <v>6011.6112487428391</v>
      </c>
      <c r="P36" s="24">
        <f t="shared" si="27"/>
        <v>8503.4346115332028</v>
      </c>
      <c r="Q36" s="24">
        <f t="shared" si="27"/>
        <v>9390.5132380531268</v>
      </c>
      <c r="R36" s="24">
        <f t="shared" si="27"/>
        <v>10977.038428708307</v>
      </c>
      <c r="S36" s="24">
        <f t="shared" si="27"/>
        <v>12601.323735350288</v>
      </c>
      <c r="T36" s="24">
        <f t="shared" ref="T36" si="28">T53</f>
        <v>14291.276580930105</v>
      </c>
      <c r="U36" s="415"/>
    </row>
    <row r="37" spans="2:21" s="10" customFormat="1" x14ac:dyDescent="0.55000000000000004">
      <c r="B37" s="14"/>
      <c r="C37" s="14" t="s">
        <v>92</v>
      </c>
      <c r="D37" s="14"/>
      <c r="E37" s="14"/>
      <c r="F37" s="14"/>
      <c r="G37" s="14"/>
      <c r="H37" s="14"/>
      <c r="I37" s="14"/>
      <c r="J37" s="14"/>
      <c r="K37" s="14"/>
      <c r="L37" s="370"/>
      <c r="M37" s="26">
        <f>M75</f>
        <v>207.80966000000001</v>
      </c>
      <c r="N37" s="26">
        <f t="shared" ref="N37:S37" si="29">N75</f>
        <v>209.99696643200002</v>
      </c>
      <c r="O37" s="26">
        <f t="shared" si="29"/>
        <v>417.80662643200003</v>
      </c>
      <c r="P37" s="26">
        <f t="shared" si="29"/>
        <v>426.7495462182535</v>
      </c>
      <c r="Q37" s="26">
        <f t="shared" si="29"/>
        <v>433.46925189526968</v>
      </c>
      <c r="R37" s="26">
        <f t="shared" si="29"/>
        <v>441.72860839579312</v>
      </c>
      <c r="S37" s="26">
        <f t="shared" si="29"/>
        <v>449.82893859942914</v>
      </c>
      <c r="T37" s="26">
        <f t="shared" ref="T37" si="30">T75</f>
        <v>457.51849925018121</v>
      </c>
      <c r="U37" s="415"/>
    </row>
    <row r="39" spans="2:21" x14ac:dyDescent="0.55000000000000004">
      <c r="B39" s="844"/>
      <c r="C39" s="844"/>
      <c r="D39" s="844"/>
      <c r="E39" s="844"/>
      <c r="F39" s="844"/>
      <c r="G39" s="844"/>
      <c r="H39" s="844"/>
      <c r="I39" s="844"/>
      <c r="J39" s="844"/>
      <c r="K39" s="844"/>
      <c r="L39" s="845" t="s">
        <v>2</v>
      </c>
      <c r="M39" s="845" t="s">
        <v>3</v>
      </c>
      <c r="N39" s="845" t="s">
        <v>4</v>
      </c>
      <c r="O39" s="845" t="s">
        <v>5</v>
      </c>
      <c r="P39" s="845" t="s">
        <v>6</v>
      </c>
      <c r="Q39" s="845" t="s">
        <v>7</v>
      </c>
      <c r="R39" s="845" t="s">
        <v>8</v>
      </c>
      <c r="S39" s="845" t="s">
        <v>9</v>
      </c>
      <c r="T39" s="845" t="s">
        <v>1480</v>
      </c>
    </row>
    <row r="40" spans="2:21" x14ac:dyDescent="0.55000000000000004">
      <c r="B40" s="12" t="s">
        <v>1447</v>
      </c>
      <c r="C40" s="12"/>
      <c r="D40" s="12"/>
      <c r="E40" s="12"/>
      <c r="F40" s="12"/>
      <c r="G40" s="12"/>
      <c r="H40" s="12"/>
      <c r="I40" s="12"/>
      <c r="J40" s="12"/>
      <c r="K40" s="12"/>
      <c r="L40" s="302"/>
      <c r="M40" s="18">
        <f>M42+M45+M47+M49</f>
        <v>49.697536999999997</v>
      </c>
      <c r="N40" s="18">
        <f t="shared" ref="N40:S40" si="31">N42+N45+N47+N49</f>
        <v>168.05591090909093</v>
      </c>
      <c r="O40" s="18">
        <f t="shared" si="31"/>
        <v>217.75344790909094</v>
      </c>
      <c r="P40" s="18">
        <f t="shared" si="31"/>
        <v>935.90182400467086</v>
      </c>
      <c r="Q40" s="18">
        <f t="shared" si="31"/>
        <v>1048.2497867511306</v>
      </c>
      <c r="R40" s="18">
        <f t="shared" si="31"/>
        <v>1173.9081114158867</v>
      </c>
      <c r="S40" s="18">
        <f t="shared" si="31"/>
        <v>1300.3381805442416</v>
      </c>
      <c r="T40" s="18">
        <f t="shared" ref="T40" si="32">T42+T45+T47+T49</f>
        <v>1432.9599529977545</v>
      </c>
    </row>
    <row r="41" spans="2:21" x14ac:dyDescent="0.55000000000000004">
      <c r="B41" s="3" t="s">
        <v>1448</v>
      </c>
      <c r="C41" s="3"/>
      <c r="D41" s="3"/>
      <c r="E41" s="3"/>
      <c r="F41" s="3"/>
      <c r="G41" s="3"/>
      <c r="H41" s="3"/>
      <c r="I41" s="3"/>
      <c r="J41" s="3"/>
      <c r="K41" s="3"/>
      <c r="L41" s="369"/>
      <c r="M41" s="232">
        <f>M40/M$19</f>
        <v>9.1928862615466341E-3</v>
      </c>
      <c r="N41" s="232">
        <f t="shared" ref="N41:T41" si="33">N40/N$19</f>
        <v>2.2606617014259627E-2</v>
      </c>
      <c r="O41" s="232">
        <f t="shared" si="33"/>
        <v>1.6958975363102185E-2</v>
      </c>
      <c r="P41" s="232">
        <f t="shared" si="33"/>
        <v>5.9546686415927405E-2</v>
      </c>
      <c r="Q41" s="232">
        <f t="shared" si="33"/>
        <v>5.602189459446956E-2</v>
      </c>
      <c r="R41" s="232">
        <f t="shared" si="33"/>
        <v>5.3669958255997886E-2</v>
      </c>
      <c r="S41" s="232">
        <f t="shared" si="33"/>
        <v>5.1787206395216612E-2</v>
      </c>
      <c r="T41" s="232">
        <f t="shared" si="33"/>
        <v>5.0320548653763508E-2</v>
      </c>
    </row>
    <row r="42" spans="2:21" x14ac:dyDescent="0.55000000000000004">
      <c r="B42" s="10"/>
      <c r="C42" s="10" t="s">
        <v>1449</v>
      </c>
      <c r="D42" s="10"/>
      <c r="E42" s="10"/>
      <c r="F42" s="10"/>
      <c r="G42" s="10"/>
      <c r="H42" s="10"/>
      <c r="I42" s="10"/>
      <c r="J42" s="10"/>
      <c r="K42" s="10"/>
      <c r="L42" s="303"/>
      <c r="M42" s="24">
        <f>연결정산표!R109/10^6</f>
        <v>32.622618000000003</v>
      </c>
      <c r="N42" s="24">
        <f>N43*N44/2</f>
        <v>152.61910099300701</v>
      </c>
      <c r="O42" s="24">
        <f>N42+M42</f>
        <v>185.241718993007</v>
      </c>
      <c r="P42" s="24">
        <f>P43*P44</f>
        <v>796.16678565610925</v>
      </c>
      <c r="Q42" s="24">
        <f t="shared" ref="Q42:S42" si="34">Q43*Q44</f>
        <v>891.74060983364905</v>
      </c>
      <c r="R42" s="24">
        <f t="shared" si="34"/>
        <v>998.63748926399751</v>
      </c>
      <c r="S42" s="24">
        <f t="shared" si="34"/>
        <v>1106.1908876722687</v>
      </c>
      <c r="T42" s="24">
        <f t="shared" ref="T42" si="35">T43*T44</f>
        <v>1219.0115357083198</v>
      </c>
    </row>
    <row r="43" spans="2:21" x14ac:dyDescent="0.55000000000000004">
      <c r="B43" s="10"/>
      <c r="C43" s="10"/>
      <c r="D43" s="10" t="s">
        <v>1450</v>
      </c>
      <c r="E43" s="10"/>
      <c r="F43" s="10"/>
      <c r="G43" s="10"/>
      <c r="H43" s="10"/>
      <c r="I43" s="10"/>
      <c r="J43" s="10"/>
      <c r="K43" s="10"/>
      <c r="L43" s="303"/>
      <c r="M43" s="28">
        <f>SUM(HR!B86:E86)/6</f>
        <v>1.8333333333333333</v>
      </c>
      <c r="N43" s="24">
        <f>AVERAGE(HR!F86:K86)</f>
        <v>8.5769230769230766</v>
      </c>
      <c r="O43" s="24">
        <f>O42/O44</f>
        <v>5.2051282051282053</v>
      </c>
      <c r="P43" s="24">
        <f>AVERAGE(HR!L86:W86)</f>
        <v>21.961538461538453</v>
      </c>
      <c r="Q43" s="24">
        <f>P43+($T43-$P43)/4</f>
        <v>23.97115384615384</v>
      </c>
      <c r="R43" s="24">
        <f t="shared" ref="R43:S43" si="36">Q43+($T43-$P43)/4</f>
        <v>25.980769230769226</v>
      </c>
      <c r="S43" s="24">
        <f t="shared" si="36"/>
        <v>27.990384615384613</v>
      </c>
      <c r="T43" s="24">
        <v>30</v>
      </c>
      <c r="U43" s="417" t="s">
        <v>2127</v>
      </c>
    </row>
    <row r="44" spans="2:21" x14ac:dyDescent="0.55000000000000004">
      <c r="B44" s="10"/>
      <c r="C44" s="10"/>
      <c r="D44" s="10" t="s">
        <v>1451</v>
      </c>
      <c r="E44" s="10"/>
      <c r="F44" s="10"/>
      <c r="G44" s="10"/>
      <c r="H44" s="10"/>
      <c r="I44" s="10"/>
      <c r="J44" s="10"/>
      <c r="K44" s="10"/>
      <c r="L44" s="303"/>
      <c r="M44" s="24">
        <f>M42/M43*2</f>
        <v>35.588310545454547</v>
      </c>
      <c r="N44" s="24">
        <f>M44</f>
        <v>35.588310545454547</v>
      </c>
      <c r="O44" s="24">
        <f>N44</f>
        <v>35.588310545454547</v>
      </c>
      <c r="P44" s="24">
        <f>O44*(1+'Key Assumption'!P$14)</f>
        <v>36.252778331101311</v>
      </c>
      <c r="Q44" s="24">
        <f>P44*(1+'Key Assumption'!Q$14)</f>
        <v>37.200570967789623</v>
      </c>
      <c r="R44" s="24">
        <f>Q44*(1+'Key Assumption'!R$14)</f>
        <v>38.437564353610568</v>
      </c>
      <c r="S44" s="24">
        <f>R44*(1+'Key Assumption'!S$14)</f>
        <v>39.520388979016133</v>
      </c>
      <c r="T44" s="24">
        <f>S44*(1+'Key Assumption'!T$14)</f>
        <v>40.633717856943996</v>
      </c>
    </row>
    <row r="45" spans="2:21" x14ac:dyDescent="0.55000000000000004">
      <c r="B45" s="10"/>
      <c r="C45" s="10" t="s">
        <v>1452</v>
      </c>
      <c r="D45" s="10"/>
      <c r="E45" s="10"/>
      <c r="F45" s="10"/>
      <c r="G45" s="10"/>
      <c r="H45" s="10"/>
      <c r="I45" s="10"/>
      <c r="J45" s="10"/>
      <c r="K45" s="10"/>
      <c r="L45" s="303"/>
      <c r="M45" s="24">
        <f>연결정산표!R110/10^6</f>
        <v>6.8</v>
      </c>
      <c r="N45" s="24">
        <f>N$42*N46</f>
        <v>0</v>
      </c>
      <c r="O45" s="24">
        <f>N45+M45</f>
        <v>6.8</v>
      </c>
      <c r="P45" s="24">
        <f t="shared" ref="P45:T45" si="37">P$42*P46</f>
        <v>29.226322082802103</v>
      </c>
      <c r="Q45" s="24">
        <f t="shared" si="37"/>
        <v>32.734721853330065</v>
      </c>
      <c r="R45" s="24">
        <f t="shared" si="37"/>
        <v>36.658777320305134</v>
      </c>
      <c r="S45" s="24">
        <f t="shared" si="37"/>
        <v>40.606932806833811</v>
      </c>
      <c r="T45" s="24">
        <f t="shared" si="37"/>
        <v>44.748442671974445</v>
      </c>
    </row>
    <row r="46" spans="2:21" x14ac:dyDescent="0.55000000000000004">
      <c r="B46" s="10"/>
      <c r="C46" s="10"/>
      <c r="D46" s="10" t="s">
        <v>98</v>
      </c>
      <c r="E46" s="10"/>
      <c r="F46" s="10"/>
      <c r="G46" s="10"/>
      <c r="H46" s="10"/>
      <c r="I46" s="236">
        <f>$O46</f>
        <v>3.6708793445480302E-2</v>
      </c>
      <c r="J46" s="10"/>
      <c r="K46" s="10"/>
      <c r="L46" s="369"/>
      <c r="M46" s="232">
        <f>M45/M$42</f>
        <v>0.20844433760650355</v>
      </c>
      <c r="N46" s="232">
        <v>0</v>
      </c>
      <c r="O46" s="232">
        <f>O45/O$42</f>
        <v>3.6708793445480302E-2</v>
      </c>
      <c r="P46" s="232">
        <f t="shared" ref="P46:T48" si="38">$I46</f>
        <v>3.6708793445480302E-2</v>
      </c>
      <c r="Q46" s="232">
        <f t="shared" si="38"/>
        <v>3.6708793445480302E-2</v>
      </c>
      <c r="R46" s="232">
        <f t="shared" si="38"/>
        <v>3.6708793445480302E-2</v>
      </c>
      <c r="S46" s="232">
        <f t="shared" si="38"/>
        <v>3.6708793445480302E-2</v>
      </c>
      <c r="T46" s="232">
        <f t="shared" si="38"/>
        <v>3.6708793445480302E-2</v>
      </c>
    </row>
    <row r="47" spans="2:21" x14ac:dyDescent="0.55000000000000004">
      <c r="B47" s="10"/>
      <c r="C47" s="10" t="s">
        <v>387</v>
      </c>
      <c r="D47" s="10"/>
      <c r="E47" s="10"/>
      <c r="F47" s="10"/>
      <c r="G47" s="10"/>
      <c r="H47" s="10"/>
      <c r="I47" s="3"/>
      <c r="J47" s="10"/>
      <c r="K47" s="10"/>
      <c r="L47" s="303"/>
      <c r="M47" s="24">
        <v>0</v>
      </c>
      <c r="N47" s="24">
        <f>O47</f>
        <v>15.436809916083917</v>
      </c>
      <c r="O47" s="24">
        <f>O48*O42</f>
        <v>15.436809916083917</v>
      </c>
      <c r="P47" s="24">
        <f t="shared" ref="P47:S47" si="39">P48*P42</f>
        <v>66.347232138009105</v>
      </c>
      <c r="Q47" s="24">
        <f t="shared" si="39"/>
        <v>74.311717486137411</v>
      </c>
      <c r="R47" s="24">
        <f t="shared" si="39"/>
        <v>83.219790771999783</v>
      </c>
      <c r="S47" s="24">
        <f t="shared" si="39"/>
        <v>92.182573972689056</v>
      </c>
      <c r="T47" s="24">
        <f t="shared" ref="T47" si="40">T48*T42</f>
        <v>101.58429464235998</v>
      </c>
    </row>
    <row r="48" spans="2:21" x14ac:dyDescent="0.55000000000000004">
      <c r="B48" s="3"/>
      <c r="C48" s="3"/>
      <c r="D48" s="3" t="s">
        <v>98</v>
      </c>
      <c r="E48" s="3"/>
      <c r="F48" s="3"/>
      <c r="G48" s="3"/>
      <c r="H48" s="3"/>
      <c r="I48" s="236">
        <f>1/12</f>
        <v>8.3333333333333329E-2</v>
      </c>
      <c r="J48" s="3"/>
      <c r="K48" s="3"/>
      <c r="L48" s="369"/>
      <c r="M48" s="232">
        <f>M47/M$42</f>
        <v>0</v>
      </c>
      <c r="N48" s="232">
        <f>N47/N$42</f>
        <v>0.10114598903836571</v>
      </c>
      <c r="O48" s="232">
        <f>$I48</f>
        <v>8.3333333333333329E-2</v>
      </c>
      <c r="P48" s="232">
        <f t="shared" si="38"/>
        <v>8.3333333333333329E-2</v>
      </c>
      <c r="Q48" s="232">
        <f t="shared" si="38"/>
        <v>8.3333333333333329E-2</v>
      </c>
      <c r="R48" s="232">
        <f t="shared" si="38"/>
        <v>8.3333333333333329E-2</v>
      </c>
      <c r="S48" s="232">
        <f t="shared" si="38"/>
        <v>8.3333333333333329E-2</v>
      </c>
      <c r="T48" s="232">
        <f t="shared" si="38"/>
        <v>8.3333333333333329E-2</v>
      </c>
    </row>
    <row r="49" spans="2:24" x14ac:dyDescent="0.55000000000000004">
      <c r="B49" s="10"/>
      <c r="C49" s="10" t="s">
        <v>389</v>
      </c>
      <c r="D49" s="10"/>
      <c r="E49" s="10"/>
      <c r="F49" s="10"/>
      <c r="G49" s="10"/>
      <c r="H49" s="10"/>
      <c r="I49" s="3"/>
      <c r="J49" s="10"/>
      <c r="K49" s="10"/>
      <c r="L49" s="303"/>
      <c r="M49" s="24">
        <f>연결정산표!R113/10^6</f>
        <v>10.274919000000001</v>
      </c>
      <c r="N49" s="24">
        <f>N50*N$42</f>
        <v>0</v>
      </c>
      <c r="O49" s="24">
        <f>N49+M49</f>
        <v>10.274919000000001</v>
      </c>
      <c r="P49" s="24">
        <f>P50*P$42</f>
        <v>44.161484127750434</v>
      </c>
      <c r="Q49" s="24">
        <f t="shared" ref="Q49:T49" si="41">Q50*Q$42</f>
        <v>49.462737578014163</v>
      </c>
      <c r="R49" s="24">
        <f t="shared" si="41"/>
        <v>55.392054059584176</v>
      </c>
      <c r="S49" s="24">
        <f t="shared" si="41"/>
        <v>61.35778609245002</v>
      </c>
      <c r="T49" s="24">
        <f t="shared" si="41"/>
        <v>67.61567997510015</v>
      </c>
    </row>
    <row r="50" spans="2:24" x14ac:dyDescent="0.55000000000000004">
      <c r="B50" s="17"/>
      <c r="C50" s="17"/>
      <c r="D50" s="17" t="s">
        <v>98</v>
      </c>
      <c r="E50" s="17"/>
      <c r="F50" s="17"/>
      <c r="G50" s="17"/>
      <c r="H50" s="17"/>
      <c r="I50" s="236">
        <f>$O50</f>
        <v>5.5467629300006038E-2</v>
      </c>
      <c r="J50" s="17"/>
      <c r="K50" s="17"/>
      <c r="L50" s="370"/>
      <c r="M50" s="231">
        <f>M49/M$42</f>
        <v>0.31496304189933499</v>
      </c>
      <c r="N50" s="231">
        <v>0</v>
      </c>
      <c r="O50" s="231">
        <f>O49/O$42</f>
        <v>5.5467629300006038E-2</v>
      </c>
      <c r="P50" s="231">
        <f>$I50</f>
        <v>5.5467629300006038E-2</v>
      </c>
      <c r="Q50" s="231">
        <f t="shared" ref="Q50:T50" si="42">$I50</f>
        <v>5.5467629300006038E-2</v>
      </c>
      <c r="R50" s="231">
        <f t="shared" si="42"/>
        <v>5.5467629300006038E-2</v>
      </c>
      <c r="S50" s="231">
        <f t="shared" si="42"/>
        <v>5.5467629300006038E-2</v>
      </c>
      <c r="T50" s="231">
        <f t="shared" si="42"/>
        <v>5.5467629300006038E-2</v>
      </c>
    </row>
    <row r="51" spans="2:24" x14ac:dyDescent="0.55000000000000004"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24"/>
      <c r="M51" s="24"/>
      <c r="N51" s="24"/>
      <c r="O51" s="24"/>
      <c r="P51" s="24"/>
      <c r="Q51" s="24"/>
      <c r="R51" s="24"/>
      <c r="S51" s="24"/>
      <c r="T51" s="24"/>
    </row>
    <row r="52" spans="2:24" x14ac:dyDescent="0.55000000000000004">
      <c r="B52" s="844"/>
      <c r="C52" s="844"/>
      <c r="D52" s="844"/>
      <c r="E52" s="844"/>
      <c r="F52" s="844"/>
      <c r="G52" s="844"/>
      <c r="H52" s="844"/>
      <c r="I52" s="844"/>
      <c r="J52" s="844"/>
      <c r="K52" s="844"/>
      <c r="L52" s="845" t="s">
        <v>2</v>
      </c>
      <c r="M52" s="845" t="s">
        <v>3</v>
      </c>
      <c r="N52" s="845" t="s">
        <v>4</v>
      </c>
      <c r="O52" s="845" t="s">
        <v>5</v>
      </c>
      <c r="P52" s="845" t="s">
        <v>6</v>
      </c>
      <c r="Q52" s="845" t="s">
        <v>7</v>
      </c>
      <c r="R52" s="845" t="s">
        <v>8</v>
      </c>
      <c r="S52" s="845" t="s">
        <v>9</v>
      </c>
      <c r="T52" s="845" t="s">
        <v>1480</v>
      </c>
      <c r="U52" s="415" t="s">
        <v>2126</v>
      </c>
    </row>
    <row r="53" spans="2:24" x14ac:dyDescent="0.55000000000000004">
      <c r="B53" s="4" t="s">
        <v>1453</v>
      </c>
      <c r="C53" s="4"/>
      <c r="D53" s="4"/>
      <c r="E53" s="4"/>
      <c r="F53" s="4"/>
      <c r="G53" s="4"/>
      <c r="H53" s="4"/>
      <c r="I53" s="4"/>
      <c r="J53" s="4"/>
      <c r="K53" s="4"/>
      <c r="L53" s="371"/>
      <c r="M53" s="23">
        <f t="shared" ref="M53:T53" si="43">M55+M60+M66</f>
        <v>1662.9043499999998</v>
      </c>
      <c r="N53" s="23">
        <f t="shared" si="43"/>
        <v>4348.7068987428393</v>
      </c>
      <c r="O53" s="23">
        <f t="shared" si="43"/>
        <v>6011.6112487428391</v>
      </c>
      <c r="P53" s="23">
        <f t="shared" si="43"/>
        <v>8503.4346115332028</v>
      </c>
      <c r="Q53" s="23">
        <f t="shared" si="43"/>
        <v>9390.5132380531268</v>
      </c>
      <c r="R53" s="23">
        <f t="shared" si="43"/>
        <v>10977.038428708307</v>
      </c>
      <c r="S53" s="23">
        <f t="shared" si="43"/>
        <v>12601.323735350288</v>
      </c>
      <c r="T53" s="23">
        <f t="shared" si="43"/>
        <v>14291.276580930105</v>
      </c>
    </row>
    <row r="54" spans="2:24" x14ac:dyDescent="0.55000000000000004">
      <c r="B54" s="3" t="s">
        <v>1448</v>
      </c>
      <c r="C54" s="10"/>
      <c r="D54" s="10"/>
      <c r="E54" s="10"/>
      <c r="F54" s="10"/>
      <c r="G54" s="10"/>
      <c r="H54" s="10"/>
      <c r="I54" s="10"/>
      <c r="J54" s="10"/>
      <c r="K54" s="10"/>
      <c r="L54" s="369"/>
      <c r="M54" s="232">
        <f>M53/M$19</f>
        <v>0.30759855470063108</v>
      </c>
      <c r="N54" s="232">
        <f t="shared" ref="N54" si="44">N53/N$19</f>
        <v>0.58498121747308363</v>
      </c>
      <c r="O54" s="232">
        <f t="shared" ref="O54" si="45">O53/O$19</f>
        <v>0.46819358333439937</v>
      </c>
      <c r="P54" s="232">
        <f t="shared" ref="P54" si="46">P53/P$19</f>
        <v>0.5410304171698932</v>
      </c>
      <c r="Q54" s="232">
        <f t="shared" ref="Q54" si="47">Q53/Q$19</f>
        <v>0.50185971841755384</v>
      </c>
      <c r="R54" s="232">
        <f t="shared" ref="R54" si="48">R53/R$19</f>
        <v>0.50185971841755406</v>
      </c>
      <c r="S54" s="232">
        <f t="shared" ref="S54" si="49">S53/S$19</f>
        <v>0.50185971841755384</v>
      </c>
      <c r="T54" s="232">
        <f t="shared" ref="T54" si="50">T53/T$19</f>
        <v>0.50185971841755395</v>
      </c>
      <c r="X54" s="335"/>
    </row>
    <row r="55" spans="2:24" x14ac:dyDescent="0.55000000000000004">
      <c r="B55" s="10"/>
      <c r="C55" s="10" t="s">
        <v>1442</v>
      </c>
      <c r="D55" s="10"/>
      <c r="E55" s="10"/>
      <c r="F55" s="10"/>
      <c r="G55" s="10"/>
      <c r="H55" s="10"/>
      <c r="I55" s="10"/>
      <c r="J55" s="10"/>
      <c r="K55" s="10"/>
      <c r="L55" s="303"/>
      <c r="M55" s="24">
        <f>M56+M58</f>
        <v>1091.8180179999999</v>
      </c>
      <c r="N55" s="24">
        <f t="shared" ref="N55:T55" si="51">N56+N58</f>
        <v>3563.4043577992961</v>
      </c>
      <c r="O55" s="24">
        <f t="shared" si="51"/>
        <v>4655.2223757992961</v>
      </c>
      <c r="P55" s="24">
        <f t="shared" si="51"/>
        <v>7226.439992818754</v>
      </c>
      <c r="Q55" s="24">
        <f t="shared" si="51"/>
        <v>8326.5865690715636</v>
      </c>
      <c r="R55" s="24">
        <f t="shared" si="51"/>
        <v>9733.3615779678748</v>
      </c>
      <c r="S55" s="24">
        <f t="shared" si="51"/>
        <v>11173.618556023041</v>
      </c>
      <c r="T55" s="24">
        <f t="shared" si="51"/>
        <v>12672.103070090616</v>
      </c>
    </row>
    <row r="56" spans="2:24" x14ac:dyDescent="0.55000000000000004">
      <c r="B56" s="10"/>
      <c r="C56" s="10"/>
      <c r="D56" s="10" t="s">
        <v>1290</v>
      </c>
      <c r="E56" s="10"/>
      <c r="F56" s="10"/>
      <c r="G56" s="10"/>
      <c r="H56" s="10"/>
      <c r="I56" s="31"/>
      <c r="J56" s="10"/>
      <c r="K56" s="10"/>
      <c r="L56" s="409"/>
      <c r="M56" s="28">
        <f>비용취합!B14/10^6+비용취합!B16/10^6</f>
        <v>748.91866800000003</v>
      </c>
      <c r="N56" s="28">
        <f>N57*(N$20-N$58)</f>
        <v>2943.3028045304318</v>
      </c>
      <c r="O56" s="28">
        <f>N56+M56</f>
        <v>3692.221472530432</v>
      </c>
      <c r="P56" s="28">
        <f t="shared" ref="P56:T56" si="52">P57*(P$20-P$58)</f>
        <v>6047.6567384481914</v>
      </c>
      <c r="Q56" s="28">
        <f t="shared" si="52"/>
        <v>6923.2292821493902</v>
      </c>
      <c r="R56" s="28">
        <f t="shared" si="52"/>
        <v>8092.9073794339629</v>
      </c>
      <c r="S56" s="28">
        <f t="shared" si="52"/>
        <v>9290.4244173674724</v>
      </c>
      <c r="T56" s="28">
        <f t="shared" si="52"/>
        <v>10536.355361648377</v>
      </c>
    </row>
    <row r="57" spans="2:24" x14ac:dyDescent="0.55000000000000004">
      <c r="B57" s="3"/>
      <c r="C57" s="3"/>
      <c r="D57" s="3"/>
      <c r="E57" s="3" t="s">
        <v>106</v>
      </c>
      <c r="F57" s="3"/>
      <c r="G57" s="3"/>
      <c r="H57" s="3"/>
      <c r="I57" s="236">
        <v>0.4</v>
      </c>
      <c r="J57" s="3"/>
      <c r="K57" s="3"/>
      <c r="L57" s="369"/>
      <c r="M57" s="232">
        <f>M56/M$20</f>
        <v>0.13853250180331886</v>
      </c>
      <c r="N57" s="232">
        <f>AVERAGE(M71,I57)</f>
        <v>0.43196048899167194</v>
      </c>
      <c r="O57" s="232">
        <f>O56/O$20</f>
        <v>0.28755591972946348</v>
      </c>
      <c r="P57" s="232">
        <f>AVERAGE(Q57,N57)</f>
        <v>0.41598024449583598</v>
      </c>
      <c r="Q57" s="232">
        <f>$I57</f>
        <v>0.4</v>
      </c>
      <c r="R57" s="232">
        <f t="shared" ref="R57:T57" si="53">$I57</f>
        <v>0.4</v>
      </c>
      <c r="S57" s="232">
        <f t="shared" si="53"/>
        <v>0.4</v>
      </c>
      <c r="T57" s="232">
        <f t="shared" si="53"/>
        <v>0.4</v>
      </c>
      <c r="U57" s="417" t="s">
        <v>2712</v>
      </c>
    </row>
    <row r="58" spans="2:24" x14ac:dyDescent="0.55000000000000004">
      <c r="B58" s="10"/>
      <c r="C58" s="10"/>
      <c r="D58" s="10" t="s">
        <v>1289</v>
      </c>
      <c r="E58" s="10"/>
      <c r="F58" s="10"/>
      <c r="G58" s="10"/>
      <c r="H58" s="10"/>
      <c r="I58" s="31"/>
      <c r="J58" s="10"/>
      <c r="K58" s="10"/>
      <c r="L58" s="409"/>
      <c r="M58" s="28">
        <f>비용취합!B13/10^6</f>
        <v>342.89935000000003</v>
      </c>
      <c r="N58" s="28">
        <f>O58-M58</f>
        <v>620.10155326886434</v>
      </c>
      <c r="O58" s="28">
        <f>O59*O$20</f>
        <v>963.00090326886436</v>
      </c>
      <c r="P58" s="28">
        <f t="shared" ref="P58" si="54">P59*P$20</f>
        <v>1178.7832543705631</v>
      </c>
      <c r="Q58" s="28">
        <f t="shared" ref="Q58" si="55">Q59*Q$20</f>
        <v>1403.3572869221737</v>
      </c>
      <c r="R58" s="28">
        <f t="shared" ref="R58" si="56">R59*R$20</f>
        <v>1640.4541985339113</v>
      </c>
      <c r="S58" s="28">
        <f t="shared" ref="S58:T58" si="57">S59*S$20</f>
        <v>1883.1941386555688</v>
      </c>
      <c r="T58" s="28">
        <f t="shared" si="57"/>
        <v>2135.7477084422385</v>
      </c>
    </row>
    <row r="59" spans="2:24" x14ac:dyDescent="0.55000000000000004">
      <c r="B59" s="10"/>
      <c r="C59" s="10"/>
      <c r="D59" s="10"/>
      <c r="E59" s="3" t="s">
        <v>106</v>
      </c>
      <c r="F59" s="10"/>
      <c r="G59" s="10"/>
      <c r="H59" s="10"/>
      <c r="I59" s="236">
        <v>7.4999999999999997E-2</v>
      </c>
      <c r="J59" s="10"/>
      <c r="K59" s="10"/>
      <c r="L59" s="369"/>
      <c r="M59" s="232">
        <f>M58/M$20</f>
        <v>6.3428389292376236E-2</v>
      </c>
      <c r="N59" s="232">
        <f>$I59</f>
        <v>7.4999999999999997E-2</v>
      </c>
      <c r="O59" s="232">
        <f t="shared" ref="O59:T59" si="58">$I59</f>
        <v>7.4999999999999997E-2</v>
      </c>
      <c r="P59" s="232">
        <f t="shared" si="58"/>
        <v>7.4999999999999997E-2</v>
      </c>
      <c r="Q59" s="232">
        <f t="shared" si="58"/>
        <v>7.4999999999999997E-2</v>
      </c>
      <c r="R59" s="232">
        <f t="shared" si="58"/>
        <v>7.4999999999999997E-2</v>
      </c>
      <c r="S59" s="232">
        <f t="shared" si="58"/>
        <v>7.4999999999999997E-2</v>
      </c>
      <c r="T59" s="232">
        <f t="shared" si="58"/>
        <v>7.4999999999999997E-2</v>
      </c>
    </row>
    <row r="60" spans="2:24" x14ac:dyDescent="0.55000000000000004">
      <c r="B60" s="10"/>
      <c r="C60" s="10" t="s">
        <v>104</v>
      </c>
      <c r="D60" s="10"/>
      <c r="E60" s="10"/>
      <c r="F60" s="10"/>
      <c r="G60" s="10"/>
      <c r="H60" s="10"/>
      <c r="I60" s="10"/>
      <c r="J60" s="10"/>
      <c r="K60" s="10"/>
      <c r="L60" s="303"/>
      <c r="M60" s="24">
        <f>연결정산표!R131/10^6</f>
        <v>527.39556800000003</v>
      </c>
      <c r="N60" s="24">
        <f>N61*N62*N65</f>
        <v>725.2232393346153</v>
      </c>
      <c r="O60" s="24">
        <f>N60+M60</f>
        <v>1252.6188073346152</v>
      </c>
      <c r="P60" s="24">
        <f t="shared" ref="P60:T60" si="59">P61*P62*P65</f>
        <v>1149.9724993898235</v>
      </c>
      <c r="Q60" s="24">
        <f t="shared" si="59"/>
        <v>912.70513093070667</v>
      </c>
      <c r="R60" s="24">
        <f t="shared" si="59"/>
        <v>1066.906466379972</v>
      </c>
      <c r="S60" s="24">
        <f t="shared" si="59"/>
        <v>1224.7778729672068</v>
      </c>
      <c r="T60" s="24">
        <f t="shared" si="59"/>
        <v>1389.0317954196312</v>
      </c>
    </row>
    <row r="61" spans="2:24" x14ac:dyDescent="0.55000000000000004">
      <c r="B61" s="10"/>
      <c r="C61" s="10"/>
      <c r="D61" s="10" t="s">
        <v>71</v>
      </c>
      <c r="E61" s="10"/>
      <c r="F61" s="10"/>
      <c r="G61" s="10"/>
      <c r="H61" s="10"/>
      <c r="I61" s="31"/>
      <c r="J61" s="10"/>
      <c r="K61" s="10"/>
      <c r="L61" s="409"/>
      <c r="M61" s="28">
        <f>M23</f>
        <v>15</v>
      </c>
      <c r="N61" s="28">
        <f>N23</f>
        <v>34.5</v>
      </c>
      <c r="O61" s="28">
        <f>N61+M61</f>
        <v>49.5</v>
      </c>
      <c r="P61" s="28">
        <f>P23</f>
        <v>59.6</v>
      </c>
      <c r="Q61" s="28">
        <f>Q23</f>
        <v>69.7</v>
      </c>
      <c r="R61" s="28">
        <f>R23</f>
        <v>79.8</v>
      </c>
      <c r="S61" s="28">
        <f>S23</f>
        <v>89.899999999999991</v>
      </c>
      <c r="T61" s="28">
        <f>T23</f>
        <v>100</v>
      </c>
    </row>
    <row r="62" spans="2:24" x14ac:dyDescent="0.55000000000000004">
      <c r="B62" s="10"/>
      <c r="C62" s="10"/>
      <c r="D62" s="10" t="s">
        <v>1454</v>
      </c>
      <c r="E62" s="10"/>
      <c r="F62" s="10"/>
      <c r="G62" s="10"/>
      <c r="H62" s="10"/>
      <c r="I62" s="405"/>
      <c r="J62" s="405"/>
      <c r="K62" s="10"/>
      <c r="L62" s="409"/>
      <c r="M62" s="28">
        <f>M60/M61</f>
        <v>35.159704533333333</v>
      </c>
      <c r="N62" s="28">
        <f>N63*N64/1000</f>
        <v>21.020963458974357</v>
      </c>
      <c r="O62" s="28">
        <f>O63*O64/1000</f>
        <v>25.305430451204352</v>
      </c>
      <c r="P62" s="28">
        <f t="shared" ref="P62:T62" si="60">P63*P64/1000</f>
        <v>25.72645412505198</v>
      </c>
      <c r="Q62" s="28">
        <f t="shared" si="60"/>
        <v>26.189530299302916</v>
      </c>
      <c r="R62" s="28">
        <f t="shared" si="60"/>
        <v>26.739510435588272</v>
      </c>
      <c r="S62" s="28">
        <f t="shared" si="60"/>
        <v>27.247561133864448</v>
      </c>
      <c r="T62" s="28">
        <f t="shared" si="60"/>
        <v>27.780635908392625</v>
      </c>
    </row>
    <row r="63" spans="2:24" x14ac:dyDescent="0.55000000000000004">
      <c r="B63" s="10"/>
      <c r="C63" s="10"/>
      <c r="D63" s="10"/>
      <c r="E63" s="10" t="s">
        <v>1983</v>
      </c>
      <c r="F63" s="10"/>
      <c r="G63" s="10"/>
      <c r="H63" s="10"/>
      <c r="I63" s="405"/>
      <c r="J63" s="232"/>
      <c r="K63" s="10"/>
      <c r="L63" s="409"/>
      <c r="M63" s="28">
        <f>M62*10^6/M64/1000</f>
        <v>6.7614816410256404</v>
      </c>
      <c r="N63" s="28">
        <f>M63</f>
        <v>6.7614816410256404</v>
      </c>
      <c r="O63" s="28">
        <f>N63</f>
        <v>6.7614816410256404</v>
      </c>
      <c r="P63" s="28">
        <f>O63*(1+'Key Assumption'!P$12)</f>
        <v>6.8739770141688554</v>
      </c>
      <c r="Q63" s="28">
        <f>P63*(1+'Key Assumption'!Q$12)</f>
        <v>6.9977086004238949</v>
      </c>
      <c r="R63" s="28">
        <f>Q63*(1+'Key Assumption'!R$12)</f>
        <v>7.1446604810327958</v>
      </c>
      <c r="S63" s="28">
        <f>R63*(1+'Key Assumption'!S$12)</f>
        <v>7.280409030172418</v>
      </c>
      <c r="T63" s="28">
        <f>S63*(1+'Key Assumption'!T$12)</f>
        <v>7.4228438845494802</v>
      </c>
      <c r="U63" s="417" t="s">
        <v>2115</v>
      </c>
    </row>
    <row r="64" spans="2:24" x14ac:dyDescent="0.55000000000000004">
      <c r="B64" s="10"/>
      <c r="C64" s="10"/>
      <c r="D64" s="10"/>
      <c r="E64" s="10" t="s">
        <v>1984</v>
      </c>
      <c r="F64" s="10"/>
      <c r="G64" s="10"/>
      <c r="H64" s="10"/>
      <c r="I64" s="10"/>
      <c r="J64" s="10"/>
      <c r="K64" s="10"/>
      <c r="L64" s="303"/>
      <c r="M64" s="24">
        <f t="shared" ref="M64:T64" si="61">M25</f>
        <v>5200</v>
      </c>
      <c r="N64" s="24">
        <f t="shared" si="61"/>
        <v>3108.9285714285716</v>
      </c>
      <c r="O64" s="24">
        <f t="shared" si="61"/>
        <v>3742.5865800865804</v>
      </c>
      <c r="P64" s="24">
        <f t="shared" si="61"/>
        <v>3742.5865800865804</v>
      </c>
      <c r="Q64" s="24">
        <f t="shared" si="61"/>
        <v>3742.5865800865804</v>
      </c>
      <c r="R64" s="24">
        <f t="shared" si="61"/>
        <v>3742.5865800865804</v>
      </c>
      <c r="S64" s="24">
        <f t="shared" si="61"/>
        <v>3742.5865800865804</v>
      </c>
      <c r="T64" s="24">
        <f t="shared" si="61"/>
        <v>3742.5865800865804</v>
      </c>
    </row>
    <row r="65" spans="2:27" s="335" customFormat="1" x14ac:dyDescent="0.55000000000000004">
      <c r="B65" s="31"/>
      <c r="C65" s="31"/>
      <c r="D65" s="31" t="s">
        <v>1506</v>
      </c>
      <c r="E65" s="31"/>
      <c r="F65" s="31"/>
      <c r="G65" s="31"/>
      <c r="H65" s="31"/>
      <c r="I65" s="236">
        <v>0.5</v>
      </c>
      <c r="J65" s="10"/>
      <c r="K65" s="31"/>
      <c r="L65" s="438"/>
      <c r="M65" s="31">
        <v>1</v>
      </c>
      <c r="N65" s="31">
        <v>1</v>
      </c>
      <c r="O65" s="31">
        <f>O60/(O61*O62)</f>
        <v>0.99999999999999978</v>
      </c>
      <c r="P65" s="232">
        <f>AVERAGE(Q65,N65)</f>
        <v>0.75</v>
      </c>
      <c r="Q65" s="31">
        <f>$I$65</f>
        <v>0.5</v>
      </c>
      <c r="R65" s="31">
        <f t="shared" ref="R65:T65" si="62">$I$65</f>
        <v>0.5</v>
      </c>
      <c r="S65" s="31">
        <f t="shared" si="62"/>
        <v>0.5</v>
      </c>
      <c r="T65" s="31">
        <f t="shared" si="62"/>
        <v>0.5</v>
      </c>
      <c r="U65" s="417" t="s">
        <v>2714</v>
      </c>
      <c r="Z65" s="335">
        <f>IF(J65=P52,(100%+75%)/2,(100%+(100%-50%/3))/2)</f>
        <v>0.91666666666666674</v>
      </c>
      <c r="AA65" s="335">
        <f>IF(J65=P52,(75%+50%)/2,(100%-50%/3+50%)/2)</f>
        <v>0.66666666666666674</v>
      </c>
    </row>
    <row r="66" spans="2:27" x14ac:dyDescent="0.55000000000000004">
      <c r="B66" s="10"/>
      <c r="C66" s="10" t="s">
        <v>105</v>
      </c>
      <c r="D66" s="10"/>
      <c r="E66" s="10"/>
      <c r="F66" s="10"/>
      <c r="G66" s="10"/>
      <c r="H66" s="10"/>
      <c r="I66" s="10"/>
      <c r="J66" s="10"/>
      <c r="K66" s="10"/>
      <c r="L66" s="303"/>
      <c r="M66" s="24">
        <f>연결정산표!R135/10^6</f>
        <v>43.690764000000001</v>
      </c>
      <c r="N66" s="24">
        <f>N67*N20</f>
        <v>60.079301608928589</v>
      </c>
      <c r="O66" s="24">
        <f>N66+M66</f>
        <v>103.77006560892859</v>
      </c>
      <c r="P66" s="24">
        <f>P67*P20</f>
        <v>127.02211932462538</v>
      </c>
      <c r="Q66" s="24">
        <f>Q67*Q20</f>
        <v>151.22153805085676</v>
      </c>
      <c r="R66" s="24">
        <f>R67*R20</f>
        <v>176.77038436045902</v>
      </c>
      <c r="S66" s="24">
        <f>S67*S20</f>
        <v>202.92730636004217</v>
      </c>
      <c r="T66" s="24">
        <f>T67*T20</f>
        <v>230.14171541985885</v>
      </c>
    </row>
    <row r="67" spans="2:27" x14ac:dyDescent="0.55000000000000004">
      <c r="B67" s="17"/>
      <c r="C67" s="17"/>
      <c r="D67" s="17" t="s">
        <v>106</v>
      </c>
      <c r="E67" s="17"/>
      <c r="F67" s="17"/>
      <c r="G67" s="17"/>
      <c r="H67" s="17"/>
      <c r="I67" s="236">
        <f>$M67</f>
        <v>8.0817732301718768E-3</v>
      </c>
      <c r="J67" s="17"/>
      <c r="K67" s="17"/>
      <c r="L67" s="372"/>
      <c r="M67" s="231">
        <f>M66/M$20</f>
        <v>8.0817732301718768E-3</v>
      </c>
      <c r="N67" s="231">
        <f>M67</f>
        <v>8.0817732301718768E-3</v>
      </c>
      <c r="O67" s="231">
        <f>N67</f>
        <v>8.0817732301718768E-3</v>
      </c>
      <c r="P67" s="231">
        <f>$I67</f>
        <v>8.0817732301718768E-3</v>
      </c>
      <c r="Q67" s="231">
        <f t="shared" ref="Q67:T67" si="63">$I67</f>
        <v>8.0817732301718768E-3</v>
      </c>
      <c r="R67" s="231">
        <f t="shared" si="63"/>
        <v>8.0817732301718768E-3</v>
      </c>
      <c r="S67" s="231">
        <f t="shared" si="63"/>
        <v>8.0817732301718768E-3</v>
      </c>
      <c r="T67" s="231">
        <f t="shared" si="63"/>
        <v>8.0817732301718768E-3</v>
      </c>
    </row>
    <row r="69" spans="2:27" x14ac:dyDescent="0.55000000000000004">
      <c r="B69" s="844"/>
      <c r="C69" s="844"/>
      <c r="D69" s="844"/>
      <c r="E69" s="844"/>
      <c r="F69" s="844"/>
      <c r="G69" s="844"/>
      <c r="H69" s="844"/>
      <c r="I69" s="844"/>
      <c r="J69" s="844"/>
      <c r="K69" s="844"/>
      <c r="L69" s="845" t="s">
        <v>2</v>
      </c>
      <c r="M69" s="845" t="s">
        <v>3</v>
      </c>
      <c r="N69" s="845" t="s">
        <v>4</v>
      </c>
      <c r="O69" s="845" t="s">
        <v>5</v>
      </c>
      <c r="P69" s="845" t="s">
        <v>6</v>
      </c>
      <c r="Q69" s="845" t="s">
        <v>7</v>
      </c>
      <c r="R69" s="845" t="s">
        <v>8</v>
      </c>
      <c r="S69" s="845" t="s">
        <v>9</v>
      </c>
      <c r="T69" s="845" t="s">
        <v>1480</v>
      </c>
    </row>
    <row r="70" spans="2:27" x14ac:dyDescent="0.55000000000000004">
      <c r="B70" s="4" t="s">
        <v>2144</v>
      </c>
      <c r="C70" s="4"/>
      <c r="D70" s="4"/>
      <c r="E70" s="4"/>
      <c r="F70" s="4"/>
      <c r="G70" s="4"/>
      <c r="H70" s="4"/>
      <c r="I70" s="4"/>
      <c r="J70" s="4"/>
      <c r="K70" s="4"/>
      <c r="L70" s="825"/>
      <c r="M70" s="23">
        <f>강의료이월!N42/10^6</f>
        <v>1600</v>
      </c>
      <c r="N70" s="23">
        <f>(N20-N58)*N71-N56</f>
        <v>0</v>
      </c>
      <c r="O70" s="23">
        <f>N70+M70</f>
        <v>1600</v>
      </c>
      <c r="P70" s="371"/>
      <c r="Q70" s="371"/>
      <c r="R70" s="371"/>
      <c r="S70" s="371"/>
      <c r="T70" s="371"/>
    </row>
    <row r="71" spans="2:27" x14ac:dyDescent="0.55000000000000004">
      <c r="B71" s="3"/>
      <c r="C71" s="3" t="s">
        <v>2711</v>
      </c>
      <c r="D71" s="3"/>
      <c r="E71" s="3"/>
      <c r="F71" s="3"/>
      <c r="G71" s="3"/>
      <c r="H71" s="3"/>
      <c r="I71" s="3"/>
      <c r="J71" s="3"/>
      <c r="K71" s="3"/>
      <c r="L71" s="438"/>
      <c r="M71" s="232">
        <f>(M56+M70)/(M20-M58)</f>
        <v>0.46392097798334392</v>
      </c>
      <c r="N71" s="232">
        <f>N57</f>
        <v>0.43196048899167194</v>
      </c>
      <c r="O71" s="232">
        <f>N71</f>
        <v>0.43196048899167194</v>
      </c>
      <c r="P71" s="458"/>
      <c r="Q71" s="458"/>
      <c r="R71" s="458"/>
      <c r="S71" s="458"/>
      <c r="T71" s="458"/>
    </row>
    <row r="72" spans="2:27" x14ac:dyDescent="0.55000000000000004">
      <c r="B72" s="17"/>
      <c r="C72" s="17" t="s">
        <v>2145</v>
      </c>
      <c r="D72" s="17"/>
      <c r="E72" s="17"/>
      <c r="F72" s="17"/>
      <c r="G72" s="17"/>
      <c r="H72" s="17"/>
      <c r="I72" s="17"/>
      <c r="J72" s="17"/>
      <c r="K72" s="17"/>
      <c r="L72" s="826"/>
      <c r="M72" s="231">
        <f>M71-M50</f>
        <v>0.14895793608400892</v>
      </c>
      <c r="N72" s="231">
        <f t="shared" ref="N72:O72" si="64">N71-N50</f>
        <v>0.43196048899167194</v>
      </c>
      <c r="O72" s="231">
        <f t="shared" si="64"/>
        <v>0.3764928596916659</v>
      </c>
      <c r="P72" s="362"/>
      <c r="Q72" s="362"/>
      <c r="R72" s="362"/>
      <c r="S72" s="362"/>
      <c r="T72" s="362"/>
    </row>
    <row r="73" spans="2:27" x14ac:dyDescent="0.55000000000000004"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827"/>
      <c r="M73" s="231"/>
      <c r="N73" s="231"/>
      <c r="O73" s="231"/>
      <c r="P73" s="22"/>
      <c r="Q73" s="22"/>
      <c r="R73" s="22"/>
      <c r="S73" s="22"/>
      <c r="T73" s="22"/>
    </row>
    <row r="74" spans="2:27" x14ac:dyDescent="0.55000000000000004">
      <c r="B74" s="844"/>
      <c r="C74" s="844"/>
      <c r="D74" s="844"/>
      <c r="E74" s="844"/>
      <c r="F74" s="844"/>
      <c r="G74" s="844"/>
      <c r="H74" s="844"/>
      <c r="I74" s="844"/>
      <c r="J74" s="844"/>
      <c r="K74" s="844"/>
      <c r="L74" s="845" t="s">
        <v>2</v>
      </c>
      <c r="M74" s="845" t="s">
        <v>3</v>
      </c>
      <c r="N74" s="845" t="s">
        <v>4</v>
      </c>
      <c r="O74" s="845" t="s">
        <v>5</v>
      </c>
      <c r="P74" s="845" t="s">
        <v>6</v>
      </c>
      <c r="Q74" s="845" t="s">
        <v>7</v>
      </c>
      <c r="R74" s="845" t="s">
        <v>8</v>
      </c>
      <c r="S74" s="845" t="s">
        <v>9</v>
      </c>
      <c r="T74" s="845" t="s">
        <v>1480</v>
      </c>
    </row>
    <row r="75" spans="2:27" x14ac:dyDescent="0.55000000000000004">
      <c r="B75" s="4" t="s">
        <v>1291</v>
      </c>
      <c r="C75" s="4"/>
      <c r="D75" s="4"/>
      <c r="E75" s="4"/>
      <c r="F75" s="4"/>
      <c r="G75" s="4"/>
      <c r="H75" s="4"/>
      <c r="I75" s="4"/>
      <c r="J75" s="4"/>
      <c r="K75" s="4"/>
      <c r="L75" s="371"/>
      <c r="M75" s="23">
        <f>M77+M79+M80+M81+M78</f>
        <v>207.80966000000001</v>
      </c>
      <c r="N75" s="23">
        <f t="shared" ref="N75:S75" si="65">N77+N79+N80+N81+N78</f>
        <v>209.99696643200002</v>
      </c>
      <c r="O75" s="23">
        <f t="shared" si="65"/>
        <v>417.80662643200003</v>
      </c>
      <c r="P75" s="23">
        <f t="shared" si="65"/>
        <v>426.7495462182535</v>
      </c>
      <c r="Q75" s="23">
        <f t="shared" si="65"/>
        <v>433.46925189526968</v>
      </c>
      <c r="R75" s="23">
        <f t="shared" si="65"/>
        <v>441.72860839579312</v>
      </c>
      <c r="S75" s="23">
        <f t="shared" si="65"/>
        <v>449.82893859942914</v>
      </c>
      <c r="T75" s="23">
        <f t="shared" ref="T75" si="66">T77+T79+T80+T81+T78</f>
        <v>457.51849925018121</v>
      </c>
    </row>
    <row r="76" spans="2:27" x14ac:dyDescent="0.55000000000000004">
      <c r="B76" s="3" t="s">
        <v>1448</v>
      </c>
      <c r="C76" s="10"/>
      <c r="D76" s="10"/>
      <c r="E76" s="10"/>
      <c r="F76" s="10"/>
      <c r="G76" s="10"/>
      <c r="H76" s="10"/>
      <c r="I76" s="10"/>
      <c r="J76" s="10"/>
      <c r="K76" s="10"/>
      <c r="L76" s="369"/>
      <c r="M76" s="232">
        <f>M75/M$19</f>
        <v>3.8439944587810811E-2</v>
      </c>
      <c r="N76" s="232">
        <f t="shared" ref="N76" si="67">N75/N$19</f>
        <v>2.8248461887500055E-2</v>
      </c>
      <c r="O76" s="232">
        <f t="shared" ref="O76" si="68">O75/O$19</f>
        <v>3.253942636609481E-2</v>
      </c>
      <c r="P76" s="232">
        <f t="shared" ref="P76" si="69">P75/P$19</f>
        <v>2.7151909265507358E-2</v>
      </c>
      <c r="Q76" s="232">
        <f t="shared" ref="Q76" si="70">Q75/Q$19</f>
        <v>2.3166013527065647E-2</v>
      </c>
      <c r="R76" s="232">
        <f t="shared" ref="R76" si="71">R75/R$19</f>
        <v>2.0195410307275109E-2</v>
      </c>
      <c r="S76" s="232">
        <f t="shared" ref="S76" si="72">S75/S$19</f>
        <v>1.7914865866693112E-2</v>
      </c>
      <c r="T76" s="232">
        <f t="shared" ref="T76" si="73">T75/T$19</f>
        <v>1.6066451719988634E-2</v>
      </c>
    </row>
    <row r="77" spans="2:27" x14ac:dyDescent="0.55000000000000004">
      <c r="B77" s="10"/>
      <c r="C77" s="10" t="s">
        <v>1455</v>
      </c>
      <c r="D77" s="10"/>
      <c r="E77" s="10"/>
      <c r="F77" s="10"/>
      <c r="G77" s="10"/>
      <c r="H77" s="10"/>
      <c r="I77" s="10"/>
      <c r="J77" s="10"/>
      <c r="K77" s="10"/>
      <c r="L77" s="409"/>
      <c r="M77" s="28">
        <f>연결정산표!R130/10^6-TTA!M56-TTA!M58</f>
        <v>129.501036</v>
      </c>
      <c r="N77" s="28">
        <f>M77</f>
        <v>129.501036</v>
      </c>
      <c r="O77" s="28">
        <f>N77+M77</f>
        <v>259.002072</v>
      </c>
      <c r="P77" s="24">
        <f>O77*(1+'Key Assumption'!P$12)</f>
        <v>263.31126579529456</v>
      </c>
      <c r="Q77" s="24">
        <f>P77*(1+'Key Assumption'!Q$12)</f>
        <v>268.05086857960987</v>
      </c>
      <c r="R77" s="24">
        <f>Q77*(1+'Key Assumption'!R$12)</f>
        <v>273.67993681978163</v>
      </c>
      <c r="S77" s="24">
        <f>R77*(1+'Key Assumption'!S$12)</f>
        <v>278.87985561935744</v>
      </c>
      <c r="T77" s="24">
        <f>S77*(1+'Key Assumption'!T$12)</f>
        <v>284.33589681968249</v>
      </c>
    </row>
    <row r="78" spans="2:27" x14ac:dyDescent="0.55000000000000004">
      <c r="B78" s="10"/>
      <c r="C78" s="10" t="s">
        <v>1462</v>
      </c>
      <c r="D78" s="10"/>
      <c r="E78" s="10"/>
      <c r="F78" s="10"/>
      <c r="G78" s="10"/>
      <c r="H78" s="10"/>
      <c r="I78" s="10"/>
      <c r="J78" s="10"/>
      <c r="K78" s="10"/>
      <c r="L78" s="409"/>
      <c r="M78" s="28">
        <f>연결정산표!X36/10^6</f>
        <v>0.93223199999999995</v>
      </c>
      <c r="N78" s="28">
        <f>N91</f>
        <v>3.1195384320000001</v>
      </c>
      <c r="O78" s="28">
        <f>N78+M78</f>
        <v>4.0517704319999996</v>
      </c>
      <c r="P78" s="28">
        <f t="shared" ref="P78:T78" si="74">P91</f>
        <v>6.1107690029506561</v>
      </c>
      <c r="Q78" s="28">
        <f t="shared" si="74"/>
        <v>5.2589766900913579</v>
      </c>
      <c r="R78" s="28">
        <f t="shared" si="74"/>
        <v>4.5259174113061444</v>
      </c>
      <c r="S78" s="28">
        <f t="shared" si="74"/>
        <v>4.319396486236954</v>
      </c>
      <c r="T78" s="28">
        <f t="shared" si="74"/>
        <v>3.2929514164998164</v>
      </c>
    </row>
    <row r="79" spans="2:27" x14ac:dyDescent="0.55000000000000004">
      <c r="B79" s="3"/>
      <c r="C79" s="10" t="s">
        <v>110</v>
      </c>
      <c r="D79" s="10"/>
      <c r="E79" s="10"/>
      <c r="F79" s="10"/>
      <c r="G79" s="10"/>
      <c r="H79" s="10"/>
      <c r="I79" s="10"/>
      <c r="J79" s="10"/>
      <c r="K79" s="10"/>
      <c r="L79" s="303"/>
      <c r="M79" s="24">
        <f>연결정산표!R121/10^6</f>
        <v>15.333636</v>
      </c>
      <c r="N79" s="28">
        <f t="shared" ref="N79:N81" si="75">M79</f>
        <v>15.333636</v>
      </c>
      <c r="O79" s="28">
        <f t="shared" ref="O79:O81" si="76">N79+M79</f>
        <v>30.667272000000001</v>
      </c>
      <c r="P79" s="24">
        <f>O79*(1+'Key Assumption'!P$12)</f>
        <v>31.17750428192943</v>
      </c>
      <c r="Q79" s="24">
        <f>P79*(1+'Key Assumption'!Q$12)</f>
        <v>31.738699359004158</v>
      </c>
      <c r="R79" s="24">
        <f>Q79*(1+'Key Assumption'!R$12)</f>
        <v>32.405212045543244</v>
      </c>
      <c r="S79" s="24">
        <f>R79*(1+'Key Assumption'!S$12)</f>
        <v>33.020911074408566</v>
      </c>
      <c r="T79" s="24">
        <f>S79*(1+'Key Assumption'!T$12)</f>
        <v>33.666936406335545</v>
      </c>
    </row>
    <row r="80" spans="2:27" x14ac:dyDescent="0.55000000000000004">
      <c r="B80" s="3"/>
      <c r="C80" s="10" t="s">
        <v>416</v>
      </c>
      <c r="D80" s="10"/>
      <c r="E80" s="10"/>
      <c r="F80" s="10"/>
      <c r="G80" s="10"/>
      <c r="H80" s="10"/>
      <c r="I80" s="10"/>
      <c r="J80" s="10"/>
      <c r="K80" s="10"/>
      <c r="L80" s="303"/>
      <c r="M80" s="24">
        <f>연결정산표!R129/10^6</f>
        <v>52.984943000000001</v>
      </c>
      <c r="N80" s="28">
        <f t="shared" si="75"/>
        <v>52.984943000000001</v>
      </c>
      <c r="O80" s="28">
        <f t="shared" si="76"/>
        <v>105.969886</v>
      </c>
      <c r="P80" s="24">
        <f>O80*(1+'Key Assumption'!P$12)</f>
        <v>107.73297913556098</v>
      </c>
      <c r="Q80" s="24">
        <f>P80*(1+'Key Assumption'!Q$12)</f>
        <v>109.67217276000108</v>
      </c>
      <c r="R80" s="24">
        <f>Q80*(1+'Key Assumption'!R$12)</f>
        <v>111.97528838796109</v>
      </c>
      <c r="S80" s="24">
        <f>R80*(1+'Key Assumption'!S$12)</f>
        <v>114.10281886733233</v>
      </c>
      <c r="T80" s="24">
        <f>S80*(1+'Key Assumption'!T$12)</f>
        <v>116.33514102423673</v>
      </c>
    </row>
    <row r="81" spans="1:20" x14ac:dyDescent="0.55000000000000004">
      <c r="B81" s="15"/>
      <c r="C81" s="15" t="s">
        <v>1456</v>
      </c>
      <c r="D81" s="15"/>
      <c r="E81" s="15"/>
      <c r="F81" s="15"/>
      <c r="G81" s="15"/>
      <c r="H81" s="15"/>
      <c r="I81" s="15"/>
      <c r="J81" s="15"/>
      <c r="K81" s="15"/>
      <c r="L81" s="372"/>
      <c r="M81" s="300">
        <f>SUM(연결정산표!R114:R120,연결정산표!R122:R128,연결정산표!R132:R134)/10^6</f>
        <v>9.0578129999999994</v>
      </c>
      <c r="N81" s="300">
        <f t="shared" si="75"/>
        <v>9.0578129999999994</v>
      </c>
      <c r="O81" s="300">
        <f t="shared" si="76"/>
        <v>18.115625999999999</v>
      </c>
      <c r="P81" s="301">
        <f>O81*(1+'Key Assumption'!P$12)</f>
        <v>18.417028002517867</v>
      </c>
      <c r="Q81" s="301">
        <f>P81*(1+'Key Assumption'!Q$12)</f>
        <v>18.748534506563189</v>
      </c>
      <c r="R81" s="301">
        <f>Q81*(1+'Key Assumption'!R$12)</f>
        <v>19.142253731201013</v>
      </c>
      <c r="S81" s="301">
        <f>R81*(1+'Key Assumption'!S$12)</f>
        <v>19.505956552093831</v>
      </c>
      <c r="T81" s="301">
        <f>S81*(1+'Key Assumption'!T$12)</f>
        <v>19.887573583426615</v>
      </c>
    </row>
    <row r="84" spans="1:20" x14ac:dyDescent="0.55000000000000004">
      <c r="A84" s="841" t="s">
        <v>116</v>
      </c>
      <c r="B84" s="842"/>
      <c r="C84" s="842"/>
      <c r="D84" s="842"/>
      <c r="E84" s="842"/>
      <c r="F84" s="842"/>
      <c r="G84" s="842"/>
      <c r="H84" s="842"/>
      <c r="I84" s="842"/>
      <c r="J84" s="842"/>
      <c r="K84" s="842"/>
      <c r="L84" s="842"/>
      <c r="M84" s="842"/>
      <c r="N84" s="842"/>
      <c r="O84" s="842"/>
      <c r="P84" s="842"/>
      <c r="Q84" s="842"/>
      <c r="R84" s="842"/>
      <c r="S84" s="842"/>
      <c r="T84" s="842"/>
    </row>
    <row r="86" spans="1:20" x14ac:dyDescent="0.55000000000000004">
      <c r="B86" s="844"/>
      <c r="C86" s="844"/>
      <c r="D86" s="844"/>
      <c r="E86" s="844"/>
      <c r="F86" s="844"/>
      <c r="G86" s="844"/>
      <c r="H86" s="844"/>
      <c r="I86" s="844"/>
      <c r="J86" s="844"/>
      <c r="K86" s="844"/>
      <c r="L86" s="845" t="s">
        <v>2</v>
      </c>
      <c r="M86" s="845" t="s">
        <v>3</v>
      </c>
      <c r="N86" s="845" t="s">
        <v>4</v>
      </c>
      <c r="O86" s="845" t="s">
        <v>5</v>
      </c>
      <c r="P86" s="845" t="s">
        <v>6</v>
      </c>
      <c r="Q86" s="845" t="s">
        <v>7</v>
      </c>
      <c r="R86" s="845" t="s">
        <v>8</v>
      </c>
      <c r="S86" s="845" t="s">
        <v>9</v>
      </c>
      <c r="T86" s="845" t="s">
        <v>1480</v>
      </c>
    </row>
    <row r="87" spans="1:20" x14ac:dyDescent="0.55000000000000004">
      <c r="B87" s="391" t="s">
        <v>117</v>
      </c>
      <c r="C87" s="391"/>
      <c r="D87" s="391"/>
      <c r="E87" s="391"/>
      <c r="F87" s="391"/>
      <c r="G87" s="391"/>
      <c r="H87" s="391"/>
      <c r="I87" s="391"/>
      <c r="J87" s="391"/>
      <c r="K87" s="391"/>
      <c r="L87" s="408"/>
      <c r="M87" s="392">
        <f>M88</f>
        <v>10.438546000000001</v>
      </c>
      <c r="N87" s="392">
        <f t="shared" ref="N87:T87" si="77">N88</f>
        <v>2.755776</v>
      </c>
      <c r="O87" s="392">
        <f t="shared" si="77"/>
        <v>13.194322</v>
      </c>
      <c r="P87" s="392">
        <f t="shared" si="77"/>
        <v>4.8344691479040005</v>
      </c>
      <c r="Q87" s="392">
        <f t="shared" si="77"/>
        <v>4.1605828244393663</v>
      </c>
      <c r="R87" s="392">
        <f t="shared" si="77"/>
        <v>3.5806308633751138</v>
      </c>
      <c r="S87" s="392">
        <f t="shared" si="77"/>
        <v>3.4172440555672106</v>
      </c>
      <c r="T87" s="392">
        <f t="shared" si="77"/>
        <v>2.6051830826739053</v>
      </c>
    </row>
    <row r="88" spans="1:20" x14ac:dyDescent="0.55000000000000004">
      <c r="A88" s="10"/>
      <c r="B88" s="14"/>
      <c r="C88" s="14" t="s">
        <v>119</v>
      </c>
      <c r="D88" s="14"/>
      <c r="E88" s="14"/>
      <c r="F88" s="14"/>
      <c r="G88" s="14"/>
      <c r="H88" s="14"/>
      <c r="I88" s="14"/>
      <c r="J88" s="14"/>
      <c r="K88" s="14"/>
      <c r="L88" s="304"/>
      <c r="M88" s="26">
        <f>티티에이고정자산!G5/10^6</f>
        <v>10.438546000000001</v>
      </c>
      <c r="N88" s="26">
        <f>G104</f>
        <v>2.755776</v>
      </c>
      <c r="O88" s="26">
        <f>N88+M88</f>
        <v>13.194322</v>
      </c>
      <c r="P88" s="26" cm="1">
        <f t="array" ref="P88:T88">TRANSPOSE(G105:G109)</f>
        <v>4.8344691479040005</v>
      </c>
      <c r="Q88" s="26">
        <v>4.1605828244393663</v>
      </c>
      <c r="R88" s="26">
        <v>3.5806308633751138</v>
      </c>
      <c r="S88" s="26">
        <v>3.4172440555672106</v>
      </c>
      <c r="T88" s="26">
        <v>2.6051830826739053</v>
      </c>
    </row>
    <row r="90" spans="1:20" x14ac:dyDescent="0.55000000000000004">
      <c r="B90" s="844"/>
      <c r="C90" s="844"/>
      <c r="D90" s="844"/>
      <c r="E90" s="844"/>
      <c r="F90" s="844"/>
      <c r="G90" s="844"/>
      <c r="H90" s="844"/>
      <c r="I90" s="844"/>
      <c r="J90" s="844"/>
      <c r="K90" s="844"/>
      <c r="L90" s="845" t="s">
        <v>2</v>
      </c>
      <c r="M90" s="845" t="s">
        <v>3</v>
      </c>
      <c r="N90" s="845" t="s">
        <v>4</v>
      </c>
      <c r="O90" s="845" t="s">
        <v>5</v>
      </c>
      <c r="P90" s="845" t="s">
        <v>6</v>
      </c>
      <c r="Q90" s="845" t="s">
        <v>7</v>
      </c>
      <c r="R90" s="845" t="s">
        <v>8</v>
      </c>
      <c r="S90" s="845" t="s">
        <v>9</v>
      </c>
      <c r="T90" s="845" t="s">
        <v>1480</v>
      </c>
    </row>
    <row r="91" spans="1:20" x14ac:dyDescent="0.55000000000000004">
      <c r="B91" s="391" t="s">
        <v>78</v>
      </c>
      <c r="C91" s="391"/>
      <c r="D91" s="391"/>
      <c r="E91" s="391"/>
      <c r="F91" s="391"/>
      <c r="G91" s="391"/>
      <c r="H91" s="391"/>
      <c r="I91" s="391"/>
      <c r="J91" s="391"/>
      <c r="K91" s="391"/>
      <c r="L91" s="408"/>
      <c r="M91" s="392">
        <f>M92</f>
        <v>0.93223199999999995</v>
      </c>
      <c r="N91" s="392">
        <f t="shared" ref="N91:T91" si="78">N92</f>
        <v>3.1195384320000001</v>
      </c>
      <c r="O91" s="392">
        <f t="shared" si="78"/>
        <v>4.0517704319999996</v>
      </c>
      <c r="P91" s="392">
        <f t="shared" si="78"/>
        <v>6.1107690029506561</v>
      </c>
      <c r="Q91" s="392">
        <f t="shared" si="78"/>
        <v>5.2589766900913579</v>
      </c>
      <c r="R91" s="392">
        <f t="shared" si="78"/>
        <v>4.5259174113061444</v>
      </c>
      <c r="S91" s="392">
        <f t="shared" si="78"/>
        <v>4.319396486236954</v>
      </c>
      <c r="T91" s="392">
        <f t="shared" si="78"/>
        <v>3.2929514164998164</v>
      </c>
    </row>
    <row r="92" spans="1:20" x14ac:dyDescent="0.55000000000000004">
      <c r="B92" s="14"/>
      <c r="C92" s="14" t="s">
        <v>119</v>
      </c>
      <c r="D92" s="14"/>
      <c r="E92" s="14"/>
      <c r="F92" s="14"/>
      <c r="G92" s="14"/>
      <c r="H92" s="14"/>
      <c r="I92" s="14"/>
      <c r="J92" s="14"/>
      <c r="K92" s="14"/>
      <c r="L92" s="304"/>
      <c r="M92" s="26">
        <f>M96+M100</f>
        <v>0.93223199999999995</v>
      </c>
      <c r="N92" s="26">
        <f t="shared" ref="N92:T92" si="79">N96+N100</f>
        <v>3.1195384320000001</v>
      </c>
      <c r="O92" s="26">
        <f>N92+M92</f>
        <v>4.0517704319999996</v>
      </c>
      <c r="P92" s="26">
        <f t="shared" si="79"/>
        <v>6.1107690029506561</v>
      </c>
      <c r="Q92" s="26">
        <f t="shared" si="79"/>
        <v>5.2589766900913579</v>
      </c>
      <c r="R92" s="26">
        <f t="shared" si="79"/>
        <v>4.5259174113061444</v>
      </c>
      <c r="S92" s="26">
        <f t="shared" si="79"/>
        <v>4.319396486236954</v>
      </c>
      <c r="T92" s="26">
        <f t="shared" si="79"/>
        <v>3.2929514164998164</v>
      </c>
    </row>
    <row r="94" spans="1:20" x14ac:dyDescent="0.55000000000000004">
      <c r="B94" s="844"/>
      <c r="C94" s="844"/>
      <c r="D94" s="844"/>
      <c r="E94" s="844"/>
      <c r="F94" s="844"/>
      <c r="G94" s="844"/>
      <c r="H94" s="844"/>
      <c r="I94" s="844"/>
      <c r="J94" s="844"/>
      <c r="K94" s="844"/>
      <c r="L94" s="845" t="s">
        <v>2</v>
      </c>
      <c r="M94" s="845" t="s">
        <v>3</v>
      </c>
      <c r="N94" s="845" t="s">
        <v>4</v>
      </c>
      <c r="O94" s="845" t="s">
        <v>5</v>
      </c>
      <c r="P94" s="845" t="s">
        <v>6</v>
      </c>
      <c r="Q94" s="845" t="s">
        <v>7</v>
      </c>
      <c r="R94" s="845" t="s">
        <v>8</v>
      </c>
      <c r="S94" s="845" t="s">
        <v>9</v>
      </c>
      <c r="T94" s="845" t="s">
        <v>1480</v>
      </c>
    </row>
    <row r="95" spans="1:20" x14ac:dyDescent="0.55000000000000004">
      <c r="B95" s="391" t="s">
        <v>1502</v>
      </c>
      <c r="C95" s="391"/>
      <c r="D95" s="391"/>
      <c r="E95" s="391"/>
      <c r="F95" s="391"/>
      <c r="G95" s="391"/>
      <c r="H95" s="391"/>
      <c r="I95" s="391"/>
      <c r="J95" s="391"/>
      <c r="K95" s="391"/>
      <c r="L95" s="408"/>
      <c r="M95" s="392">
        <f>M96</f>
        <v>0.93223199999999995</v>
      </c>
      <c r="N95" s="392">
        <f t="shared" ref="N95:T95" si="80">N96</f>
        <v>2.755776</v>
      </c>
      <c r="O95" s="392">
        <f t="shared" si="80"/>
        <v>3.688008</v>
      </c>
      <c r="P95" s="392">
        <f t="shared" si="80"/>
        <v>3.5714859840000002</v>
      </c>
      <c r="Q95" s="392">
        <f t="shared" si="80"/>
        <v>1.685741384448</v>
      </c>
      <c r="R95" s="392">
        <f t="shared" si="80"/>
        <v>0.79566993345945591</v>
      </c>
      <c r="S95" s="392">
        <f t="shared" si="80"/>
        <v>0.71128069809254391</v>
      </c>
      <c r="T95" s="392">
        <f t="shared" si="80"/>
        <v>0</v>
      </c>
    </row>
    <row r="96" spans="1:20" x14ac:dyDescent="0.55000000000000004">
      <c r="B96" s="14"/>
      <c r="C96" s="14" t="s">
        <v>141</v>
      </c>
      <c r="D96" s="14"/>
      <c r="E96" s="14"/>
      <c r="F96" s="14"/>
      <c r="G96" s="14"/>
      <c r="H96" s="14"/>
      <c r="I96" s="14"/>
      <c r="J96" s="14"/>
      <c r="K96" s="14"/>
      <c r="L96" s="304"/>
      <c r="M96" s="26">
        <f>TTA!M78</f>
        <v>0.93223199999999995</v>
      </c>
      <c r="N96" s="26">
        <f>SUM(티티에이고정자산!S2:S3)/10^6</f>
        <v>2.755776</v>
      </c>
      <c r="O96" s="26">
        <f>N96+M96</f>
        <v>3.688008</v>
      </c>
      <c r="P96" s="26">
        <f>SUM(티티에이고정자산!U2:U3)/10^6</f>
        <v>3.5714859840000002</v>
      </c>
      <c r="Q96" s="26">
        <f>SUM(티티에이고정자산!V2:V3)/10^6</f>
        <v>1.685741384448</v>
      </c>
      <c r="R96" s="26">
        <f>SUM(티티에이고정자산!W2:W3)/10^6</f>
        <v>0.79566993345945591</v>
      </c>
      <c r="S96" s="26">
        <f>SUM(티티에이고정자산!X2:X3)/10^6</f>
        <v>0.71128069809254391</v>
      </c>
      <c r="T96" s="26">
        <f>SUM(티티에이고정자산!Y2:Y3)/10^6</f>
        <v>0</v>
      </c>
    </row>
    <row r="98" spans="1:20" x14ac:dyDescent="0.55000000000000004">
      <c r="B98" s="844"/>
      <c r="C98" s="844"/>
      <c r="D98" s="844"/>
      <c r="E98" s="844"/>
      <c r="F98" s="844"/>
      <c r="G98" s="844"/>
      <c r="H98" s="844"/>
      <c r="I98" s="844"/>
      <c r="J98" s="844"/>
      <c r="K98" s="844"/>
      <c r="L98" s="845" t="s">
        <v>2</v>
      </c>
      <c r="M98" s="845" t="s">
        <v>3</v>
      </c>
      <c r="N98" s="845" t="s">
        <v>4</v>
      </c>
      <c r="O98" s="845" t="s">
        <v>5</v>
      </c>
      <c r="P98" s="845" t="s">
        <v>6</v>
      </c>
      <c r="Q98" s="845" t="s">
        <v>7</v>
      </c>
      <c r="R98" s="845" t="s">
        <v>8</v>
      </c>
      <c r="S98" s="845" t="s">
        <v>9</v>
      </c>
      <c r="T98" s="845" t="s">
        <v>1480</v>
      </c>
    </row>
    <row r="99" spans="1:20" x14ac:dyDescent="0.55000000000000004">
      <c r="B99" s="391" t="s">
        <v>1503</v>
      </c>
      <c r="C99" s="391"/>
      <c r="D99" s="391"/>
      <c r="E99" s="391"/>
      <c r="F99" s="391"/>
      <c r="G99" s="391"/>
      <c r="H99" s="391"/>
      <c r="I99" s="391"/>
      <c r="J99" s="391"/>
      <c r="K99" s="391"/>
      <c r="L99" s="408"/>
      <c r="M99" s="408"/>
      <c r="N99" s="392">
        <f>N100</f>
        <v>0.36376243200000002</v>
      </c>
      <c r="O99" s="408"/>
      <c r="P99" s="392">
        <f t="shared" ref="P99:T99" si="81">P100</f>
        <v>2.5392830189506563</v>
      </c>
      <c r="Q99" s="392">
        <f t="shared" si="81"/>
        <v>3.5732353056433581</v>
      </c>
      <c r="R99" s="392">
        <f t="shared" si="81"/>
        <v>3.7302474778466883</v>
      </c>
      <c r="S99" s="392">
        <f t="shared" si="81"/>
        <v>3.6081157881444099</v>
      </c>
      <c r="T99" s="392">
        <f t="shared" si="81"/>
        <v>3.2929514164998164</v>
      </c>
    </row>
    <row r="100" spans="1:20" x14ac:dyDescent="0.55000000000000004">
      <c r="B100" s="14"/>
      <c r="C100" s="14" t="s">
        <v>141</v>
      </c>
      <c r="D100" s="14"/>
      <c r="E100" s="14"/>
      <c r="F100" s="14"/>
      <c r="G100" s="14"/>
      <c r="H100" s="14"/>
      <c r="I100" s="14"/>
      <c r="J100" s="14"/>
      <c r="K100" s="14"/>
      <c r="L100" s="304"/>
      <c r="M100" s="478"/>
      <c r="N100" s="26">
        <f>N103</f>
        <v>0.36376243200000002</v>
      </c>
      <c r="O100" s="478"/>
      <c r="P100" s="26">
        <f t="shared" ref="P100:T100" si="82">P103</f>
        <v>2.5392830189506563</v>
      </c>
      <c r="Q100" s="26">
        <f t="shared" si="82"/>
        <v>3.5732353056433581</v>
      </c>
      <c r="R100" s="26">
        <f t="shared" si="82"/>
        <v>3.7302474778466883</v>
      </c>
      <c r="S100" s="26">
        <f t="shared" si="82"/>
        <v>3.6081157881444099</v>
      </c>
      <c r="T100" s="26">
        <f t="shared" si="82"/>
        <v>3.2929514164998164</v>
      </c>
    </row>
    <row r="102" spans="1:20" x14ac:dyDescent="0.55000000000000004">
      <c r="B102" s="844"/>
      <c r="C102" s="844"/>
      <c r="D102" s="844"/>
      <c r="E102" s="844"/>
      <c r="F102" s="844"/>
      <c r="G102" s="844"/>
      <c r="H102" s="844"/>
      <c r="I102" s="844"/>
      <c r="J102" s="844"/>
      <c r="K102" s="844"/>
      <c r="L102" s="845" t="s">
        <v>2</v>
      </c>
      <c r="M102" s="845" t="s">
        <v>3</v>
      </c>
      <c r="N102" s="845" t="s">
        <v>4</v>
      </c>
      <c r="O102" s="845" t="s">
        <v>5</v>
      </c>
      <c r="P102" s="845" t="s">
        <v>6</v>
      </c>
      <c r="Q102" s="845" t="s">
        <v>7</v>
      </c>
      <c r="R102" s="845" t="s">
        <v>8</v>
      </c>
      <c r="S102" s="845" t="s">
        <v>9</v>
      </c>
      <c r="T102" s="845" t="s">
        <v>1480</v>
      </c>
    </row>
    <row r="103" spans="1:20" x14ac:dyDescent="0.55000000000000004">
      <c r="B103" s="4" t="s">
        <v>119</v>
      </c>
      <c r="C103" s="4"/>
      <c r="D103" s="4"/>
      <c r="E103" s="4"/>
      <c r="F103" s="4"/>
      <c r="G103" s="428" t="s">
        <v>1481</v>
      </c>
      <c r="H103" s="428" t="s">
        <v>1482</v>
      </c>
      <c r="I103" s="428" t="s">
        <v>1483</v>
      </c>
      <c r="J103" s="428" t="s">
        <v>1485</v>
      </c>
      <c r="K103" s="4"/>
      <c r="L103" s="429"/>
      <c r="M103" s="429"/>
      <c r="N103" s="23">
        <f>SUM(N104:N109)</f>
        <v>0.36376243200000002</v>
      </c>
      <c r="O103" s="429"/>
      <c r="P103" s="23">
        <f t="shared" ref="P103:T103" si="83">SUM(P104:P109)</f>
        <v>2.5392830189506563</v>
      </c>
      <c r="Q103" s="23">
        <f t="shared" si="83"/>
        <v>3.5732353056433581</v>
      </c>
      <c r="R103" s="23">
        <f t="shared" si="83"/>
        <v>3.7302474778466883</v>
      </c>
      <c r="S103" s="23">
        <f t="shared" si="83"/>
        <v>3.6081157881444099</v>
      </c>
      <c r="T103" s="23">
        <f t="shared" si="83"/>
        <v>3.2929514164998164</v>
      </c>
    </row>
    <row r="104" spans="1:20" x14ac:dyDescent="0.55000000000000004">
      <c r="C104" s="1" t="s">
        <v>4</v>
      </c>
      <c r="G104" s="19">
        <f>N96</f>
        <v>2.755776</v>
      </c>
      <c r="H104" s="427">
        <v>4</v>
      </c>
      <c r="I104" s="427" t="s">
        <v>1504</v>
      </c>
      <c r="J104" s="427">
        <v>0.52800000000000002</v>
      </c>
      <c r="L104" s="322"/>
      <c r="M104" s="322"/>
      <c r="N104" s="19">
        <f>$G104*$J104/2/2</f>
        <v>0.36376243200000002</v>
      </c>
      <c r="O104" s="322"/>
      <c r="P104" s="315">
        <f>($G104-$N104)*$J104</f>
        <v>1.2629831639039999</v>
      </c>
      <c r="Q104" s="315">
        <f>($G104-$N104-$P104)*$J104</f>
        <v>0.59612805336268804</v>
      </c>
      <c r="R104" s="315">
        <f>($G104-$N104-$P104-$Q104)*$J104</f>
        <v>0.28137244118718874</v>
      </c>
      <c r="S104" s="315">
        <f>($G104-$N104-$P104-$Q104-$R104)*$J104</f>
        <v>0.13280779224035305</v>
      </c>
      <c r="T104" s="315">
        <f>($G104-$N104-$P104-$Q104-$R104-$S104)*$J104</f>
        <v>6.2685277937446646E-2</v>
      </c>
    </row>
    <row r="105" spans="1:20" x14ac:dyDescent="0.55000000000000004">
      <c r="C105" s="1" t="s">
        <v>6</v>
      </c>
      <c r="G105" s="19">
        <f>P96+P104</f>
        <v>4.8344691479040005</v>
      </c>
      <c r="H105" s="427">
        <v>4</v>
      </c>
      <c r="I105" s="427" t="s">
        <v>1504</v>
      </c>
      <c r="J105" s="427">
        <v>0.52800000000000002</v>
      </c>
      <c r="L105" s="322"/>
      <c r="M105" s="322"/>
      <c r="N105" s="322"/>
      <c r="O105" s="322"/>
      <c r="P105" s="19">
        <f>$G105*$J105/2</f>
        <v>1.2762998550466562</v>
      </c>
      <c r="Q105" s="315">
        <f>($G105-$N105-$P105)*$J105</f>
        <v>1.8787133866286778</v>
      </c>
      <c r="R105" s="315">
        <f>($G105-$N105-$P105-$Q105)*$J105</f>
        <v>0.88675271848873582</v>
      </c>
      <c r="S105" s="315">
        <f>($G105-$N105-$P105-$Q105-$R105)*$J105</f>
        <v>0.41854728312668327</v>
      </c>
      <c r="T105" s="315">
        <f>($G105-$N105-$P105-$Q105-$R105-$S105)*$J105</f>
        <v>0.19755431763579451</v>
      </c>
    </row>
    <row r="106" spans="1:20" x14ac:dyDescent="0.55000000000000004">
      <c r="C106" s="1" t="s">
        <v>1476</v>
      </c>
      <c r="G106" s="19">
        <f>Q96+Q104+Q105</f>
        <v>4.1605828244393663</v>
      </c>
      <c r="H106" s="427">
        <v>4</v>
      </c>
      <c r="I106" s="427" t="s">
        <v>1504</v>
      </c>
      <c r="J106" s="427">
        <v>0.52800000000000002</v>
      </c>
      <c r="L106" s="322"/>
      <c r="M106" s="322"/>
      <c r="N106" s="322"/>
      <c r="O106" s="322"/>
      <c r="P106" s="322"/>
      <c r="Q106" s="315">
        <f>($G106-$N106-$P106)*$J106/2</f>
        <v>1.0983938656519927</v>
      </c>
      <c r="R106" s="315">
        <f>($G106-$N106-$P106-$Q106)*$J106</f>
        <v>1.6168357702397336</v>
      </c>
      <c r="S106" s="315">
        <f>($G106-$N106-$P106-$Q106-$R106)*$J106</f>
        <v>0.76314648355315406</v>
      </c>
      <c r="T106" s="315">
        <f>($G106-$N106-$P106-$Q106-$R106-$S106)*$J106</f>
        <v>0.36020514023708872</v>
      </c>
    </row>
    <row r="107" spans="1:20" x14ac:dyDescent="0.55000000000000004">
      <c r="C107" s="1" t="s">
        <v>1477</v>
      </c>
      <c r="G107" s="315">
        <f>R104+R105+R106+R96</f>
        <v>3.5806308633751138</v>
      </c>
      <c r="H107" s="427">
        <v>4</v>
      </c>
      <c r="I107" s="427" t="s">
        <v>1504</v>
      </c>
      <c r="J107" s="427">
        <v>0.52800000000000002</v>
      </c>
      <c r="L107" s="322"/>
      <c r="M107" s="322"/>
      <c r="N107" s="322"/>
      <c r="O107" s="322"/>
      <c r="P107" s="322"/>
      <c r="Q107" s="322"/>
      <c r="R107" s="315">
        <f>($G107-$N107-$P107-$Q107)*$J107/2</f>
        <v>0.94528654793103006</v>
      </c>
      <c r="S107" s="315">
        <f>($G107-$N107-$P107-$Q107-$R107)*$J107</f>
        <v>1.3914617985544762</v>
      </c>
      <c r="T107" s="315">
        <f>($G107-$N107-$P107-$Q107-$R107-$S107)*$J107</f>
        <v>0.65676996891771278</v>
      </c>
    </row>
    <row r="108" spans="1:20" x14ac:dyDescent="0.55000000000000004">
      <c r="C108" s="1" t="s">
        <v>1478</v>
      </c>
      <c r="G108" s="315">
        <f>SUM(S104:S107,S96)</f>
        <v>3.4172440555672106</v>
      </c>
      <c r="H108" s="427">
        <v>4</v>
      </c>
      <c r="I108" s="427" t="s">
        <v>1504</v>
      </c>
      <c r="J108" s="427">
        <v>0.52800000000000002</v>
      </c>
      <c r="L108" s="322"/>
      <c r="M108" s="322"/>
      <c r="N108" s="322"/>
      <c r="O108" s="322"/>
      <c r="P108" s="322"/>
      <c r="Q108" s="322"/>
      <c r="R108" s="322"/>
      <c r="S108" s="315">
        <f>($G108-$N108-$P108-$Q108-$R108)*$J108/2</f>
        <v>0.9021524306697436</v>
      </c>
      <c r="T108" s="315">
        <f>($G108-$N108-$P108-$Q108-$R108-$S108)*$J108</f>
        <v>1.3279683779458626</v>
      </c>
    </row>
    <row r="109" spans="1:20" x14ac:dyDescent="0.55000000000000004">
      <c r="B109" s="15"/>
      <c r="C109" s="15" t="s">
        <v>1479</v>
      </c>
      <c r="D109" s="15"/>
      <c r="E109" s="15"/>
      <c r="F109" s="15"/>
      <c r="G109" s="300">
        <f>SUM(T104:T108,T96)</f>
        <v>2.6051830826739053</v>
      </c>
      <c r="H109" s="430">
        <v>4</v>
      </c>
      <c r="I109" s="430" t="s">
        <v>1504</v>
      </c>
      <c r="J109" s="430">
        <v>0.52800000000000002</v>
      </c>
      <c r="K109" s="15"/>
      <c r="L109" s="431"/>
      <c r="M109" s="431"/>
      <c r="N109" s="431"/>
      <c r="O109" s="431"/>
      <c r="P109" s="431"/>
      <c r="Q109" s="431"/>
      <c r="R109" s="431"/>
      <c r="S109" s="431"/>
      <c r="T109" s="300">
        <f>($G109-$N109-$P109-$Q109-$R109-$S109)*$J109/2</f>
        <v>0.68776833382591107</v>
      </c>
    </row>
    <row r="112" spans="1:20" x14ac:dyDescent="0.55000000000000004">
      <c r="A112" s="841" t="s">
        <v>121</v>
      </c>
      <c r="B112" s="842"/>
      <c r="C112" s="842"/>
      <c r="D112" s="842"/>
      <c r="E112" s="842"/>
      <c r="F112" s="842"/>
      <c r="G112" s="842"/>
      <c r="H112" s="842"/>
      <c r="I112" s="842"/>
      <c r="J112" s="842"/>
      <c r="K112" s="842"/>
      <c r="L112" s="842"/>
      <c r="M112" s="842"/>
      <c r="N112" s="842"/>
      <c r="O112" s="842"/>
      <c r="P112" s="842"/>
      <c r="Q112" s="842"/>
      <c r="R112" s="842"/>
      <c r="S112" s="842"/>
      <c r="T112" s="842"/>
    </row>
    <row r="113" spans="1:22" x14ac:dyDescent="0.55000000000000004">
      <c r="U113" s="343"/>
    </row>
    <row r="114" spans="1:22" x14ac:dyDescent="0.55000000000000004">
      <c r="B114" s="844"/>
      <c r="C114" s="844"/>
      <c r="D114" s="844"/>
      <c r="E114" s="844"/>
      <c r="F114" s="844"/>
      <c r="G114" s="844"/>
      <c r="H114" s="844"/>
      <c r="I114" s="844"/>
      <c r="J114" s="844"/>
      <c r="K114" s="844"/>
      <c r="L114" s="845" t="s">
        <v>2</v>
      </c>
      <c r="M114" s="845" t="s">
        <v>3</v>
      </c>
      <c r="N114" s="845" t="s">
        <v>4</v>
      </c>
      <c r="O114" s="845" t="s">
        <v>5</v>
      </c>
      <c r="P114" s="845" t="s">
        <v>6</v>
      </c>
      <c r="Q114" s="845" t="s">
        <v>7</v>
      </c>
      <c r="R114" s="845" t="s">
        <v>8</v>
      </c>
      <c r="S114" s="845" t="s">
        <v>9</v>
      </c>
      <c r="T114" s="845" t="s">
        <v>1480</v>
      </c>
      <c r="U114" s="845" t="s">
        <v>10</v>
      </c>
    </row>
    <row r="115" spans="1:22" x14ac:dyDescent="0.55000000000000004">
      <c r="B115" s="12" t="s">
        <v>122</v>
      </c>
      <c r="C115" s="12"/>
      <c r="D115" s="12"/>
      <c r="E115" s="12"/>
      <c r="F115" s="12"/>
      <c r="G115" s="12"/>
      <c r="H115" s="12"/>
      <c r="I115" s="12"/>
      <c r="J115" s="12"/>
      <c r="K115" s="12"/>
      <c r="L115" s="302"/>
      <c r="M115" s="18">
        <f>M116</f>
        <v>2955.1213250000001</v>
      </c>
      <c r="N115" s="18">
        <f>N116-M116</f>
        <v>-2041.2973665684447</v>
      </c>
      <c r="O115" s="18">
        <f>O116</f>
        <v>913.82395843155541</v>
      </c>
      <c r="P115" s="18">
        <f>P116-O116</f>
        <v>154.87274765906022</v>
      </c>
      <c r="Q115" s="18">
        <f t="shared" ref="Q115:S115" si="84">Q116-P116</f>
        <v>213.43454008072877</v>
      </c>
      <c r="R115" s="18">
        <f t="shared" si="84"/>
        <v>220.33471270634323</v>
      </c>
      <c r="S115" s="18">
        <f t="shared" si="84"/>
        <v>225.72209031313787</v>
      </c>
      <c r="T115" s="18">
        <f t="shared" ref="T115" si="85">T116-S116</f>
        <v>234.78432248621152</v>
      </c>
      <c r="U115" s="819">
        <f t="shared" ref="U115" si="86">U116-T116</f>
        <v>19.629723716770741</v>
      </c>
    </row>
    <row r="116" spans="1:22" x14ac:dyDescent="0.55000000000000004">
      <c r="B116" s="316" t="s">
        <v>123</v>
      </c>
      <c r="C116" s="316"/>
      <c r="D116" s="316"/>
      <c r="E116" s="316"/>
      <c r="F116" s="316"/>
      <c r="G116" s="316"/>
      <c r="H116" s="316"/>
      <c r="I116" s="316"/>
      <c r="J116" s="316"/>
      <c r="K116" s="316"/>
      <c r="L116" s="410"/>
      <c r="M116" s="317">
        <f>M117-M124</f>
        <v>2955.1213250000001</v>
      </c>
      <c r="N116" s="317">
        <f t="shared" ref="N116:U116" si="87">N117-N124</f>
        <v>913.82395843155541</v>
      </c>
      <c r="O116" s="317">
        <f t="shared" si="87"/>
        <v>913.82395843155541</v>
      </c>
      <c r="P116" s="317">
        <f t="shared" si="87"/>
        <v>1068.6967060906156</v>
      </c>
      <c r="Q116" s="317">
        <f t="shared" si="87"/>
        <v>1282.1312461713444</v>
      </c>
      <c r="R116" s="317">
        <f t="shared" si="87"/>
        <v>1502.4659588776876</v>
      </c>
      <c r="S116" s="317">
        <f t="shared" si="87"/>
        <v>1728.1880491908255</v>
      </c>
      <c r="T116" s="317">
        <f t="shared" ref="T116" si="88">T117-T124</f>
        <v>1962.972371677037</v>
      </c>
      <c r="U116" s="820">
        <f t="shared" si="87"/>
        <v>1982.6020953938078</v>
      </c>
    </row>
    <row r="117" spans="1:22" x14ac:dyDescent="0.55000000000000004">
      <c r="B117" s="10" t="s">
        <v>124</v>
      </c>
      <c r="C117" s="10"/>
      <c r="D117" s="10"/>
      <c r="E117" s="10"/>
      <c r="F117" s="10"/>
      <c r="G117" s="10"/>
      <c r="H117" s="10"/>
      <c r="I117" s="10"/>
      <c r="J117" s="10"/>
      <c r="K117" s="10"/>
      <c r="L117" s="303"/>
      <c r="M117" s="24">
        <f>M118+M121</f>
        <v>3076.985263</v>
      </c>
      <c r="N117" s="24">
        <f t="shared" ref="N117:U117" si="89">N118+N121</f>
        <v>1335.6348329064099</v>
      </c>
      <c r="O117" s="24">
        <f t="shared" si="89"/>
        <v>1335.6348329064099</v>
      </c>
      <c r="P117" s="24">
        <f t="shared" si="89"/>
        <v>1694.770889127903</v>
      </c>
      <c r="Q117" s="24">
        <f t="shared" si="89"/>
        <v>1972.0526550272089</v>
      </c>
      <c r="R117" s="24">
        <f t="shared" si="89"/>
        <v>2301.5618536876664</v>
      </c>
      <c r="S117" s="24">
        <f t="shared" si="89"/>
        <v>2638.8934625339889</v>
      </c>
      <c r="T117" s="24">
        <f t="shared" ref="T117" si="90">T118+T121</f>
        <v>2989.8212235155629</v>
      </c>
      <c r="U117" s="821">
        <f t="shared" si="89"/>
        <v>3019.7194357507187</v>
      </c>
    </row>
    <row r="118" spans="1:22" x14ac:dyDescent="0.55000000000000004">
      <c r="B118" s="10"/>
      <c r="C118" s="10" t="s">
        <v>125</v>
      </c>
      <c r="D118" s="10"/>
      <c r="E118" s="10"/>
      <c r="F118" s="10"/>
      <c r="G118" s="10"/>
      <c r="H118" s="10"/>
      <c r="I118" s="10"/>
      <c r="J118" s="10"/>
      <c r="K118" s="10"/>
      <c r="L118" s="303"/>
      <c r="M118" s="24">
        <f>연결정산표!R11/10^6</f>
        <v>2971.359731</v>
      </c>
      <c r="N118" s="24">
        <f>O118</f>
        <v>972.61264999366631</v>
      </c>
      <c r="O118" s="24">
        <f t="shared" ref="O118:T118" si="91">O20/O119</f>
        <v>972.61264999366631</v>
      </c>
      <c r="P118" s="24">
        <f t="shared" si="91"/>
        <v>1190.5487325191173</v>
      </c>
      <c r="Q118" s="24">
        <f t="shared" si="91"/>
        <v>1417.3642465839087</v>
      </c>
      <c r="R118" s="24">
        <f t="shared" si="91"/>
        <v>1656.8276310160861</v>
      </c>
      <c r="S118" s="24">
        <f t="shared" si="91"/>
        <v>1901.9903672291316</v>
      </c>
      <c r="T118" s="24">
        <f t="shared" si="91"/>
        <v>2157.0646832985867</v>
      </c>
      <c r="U118" s="821">
        <f>T20*(1+DCF!$J$174)/U119</f>
        <v>2178.6353301315726</v>
      </c>
    </row>
    <row r="119" spans="1:22" x14ac:dyDescent="0.55000000000000004">
      <c r="B119" s="10"/>
      <c r="C119" s="10"/>
      <c r="D119" s="10" t="s">
        <v>126</v>
      </c>
      <c r="E119" s="10"/>
      <c r="F119" s="10"/>
      <c r="G119" s="10"/>
      <c r="H119" s="10"/>
      <c r="I119" s="10"/>
      <c r="J119" s="10"/>
      <c r="K119" s="10"/>
      <c r="L119" s="411"/>
      <c r="M119" s="312">
        <f>M19/M118*4</f>
        <v>7.2775925453907959</v>
      </c>
      <c r="N119" s="312">
        <f>365/N120</f>
        <v>13.20156800723132</v>
      </c>
      <c r="O119" s="312">
        <f t="shared" ref="O119:U119" si="92">365/O120</f>
        <v>13.20156800723132</v>
      </c>
      <c r="P119" s="312">
        <f t="shared" si="92"/>
        <v>13.20156800723132</v>
      </c>
      <c r="Q119" s="312">
        <f t="shared" si="92"/>
        <v>13.20156800723132</v>
      </c>
      <c r="R119" s="312">
        <f t="shared" si="92"/>
        <v>13.20156800723132</v>
      </c>
      <c r="S119" s="312">
        <f t="shared" si="92"/>
        <v>13.20156800723132</v>
      </c>
      <c r="T119" s="312">
        <f t="shared" si="92"/>
        <v>13.20156800723132</v>
      </c>
      <c r="U119" s="822">
        <f t="shared" si="92"/>
        <v>13.20156800723132</v>
      </c>
    </row>
    <row r="120" spans="1:22" x14ac:dyDescent="0.55000000000000004">
      <c r="B120" s="10"/>
      <c r="C120" s="10"/>
      <c r="D120" s="10" t="s">
        <v>127</v>
      </c>
      <c r="E120" s="10"/>
      <c r="F120" s="10"/>
      <c r="G120" s="10"/>
      <c r="H120" s="10"/>
      <c r="I120" s="314">
        <f>CLASS!I158</f>
        <v>27.648230861672403</v>
      </c>
      <c r="J120" s="10"/>
      <c r="K120" s="10"/>
      <c r="L120" s="303"/>
      <c r="M120" s="24">
        <f>365/M119</f>
        <v>50.153948262900457</v>
      </c>
      <c r="N120" s="24">
        <f>$I120</f>
        <v>27.648230861672403</v>
      </c>
      <c r="O120" s="24">
        <f t="shared" ref="O120:U120" si="93">$I120</f>
        <v>27.648230861672403</v>
      </c>
      <c r="P120" s="24">
        <f t="shared" si="93"/>
        <v>27.648230861672403</v>
      </c>
      <c r="Q120" s="24">
        <f t="shared" si="93"/>
        <v>27.648230861672403</v>
      </c>
      <c r="R120" s="24">
        <f t="shared" si="93"/>
        <v>27.648230861672403</v>
      </c>
      <c r="S120" s="24">
        <f t="shared" si="93"/>
        <v>27.648230861672403</v>
      </c>
      <c r="T120" s="24">
        <f t="shared" si="93"/>
        <v>27.648230861672403</v>
      </c>
      <c r="U120" s="821">
        <f t="shared" si="93"/>
        <v>27.648230861672403</v>
      </c>
      <c r="V120" s="3" t="s">
        <v>2116</v>
      </c>
    </row>
    <row r="121" spans="1:22" x14ac:dyDescent="0.55000000000000004">
      <c r="A121" s="3"/>
      <c r="B121" s="10"/>
      <c r="C121" s="10" t="s">
        <v>128</v>
      </c>
      <c r="D121" s="10"/>
      <c r="E121" s="10"/>
      <c r="F121" s="10"/>
      <c r="G121" s="10"/>
      <c r="H121" s="10"/>
      <c r="I121" s="10"/>
      <c r="J121" s="10"/>
      <c r="K121" s="10"/>
      <c r="L121" s="303"/>
      <c r="M121" s="24">
        <f>연결정산표!R13/10^6</f>
        <v>105.62553200000001</v>
      </c>
      <c r="N121" s="24">
        <f>O121</f>
        <v>363.02218291274363</v>
      </c>
      <c r="O121" s="24">
        <f t="shared" ref="O121:T121" si="94">(O36+O37)/O122</f>
        <v>363.02218291274363</v>
      </c>
      <c r="P121" s="24">
        <f t="shared" si="94"/>
        <v>504.22215660878584</v>
      </c>
      <c r="Q121" s="24">
        <f t="shared" si="94"/>
        <v>554.68840844330032</v>
      </c>
      <c r="R121" s="24">
        <f t="shared" si="94"/>
        <v>644.73422267158014</v>
      </c>
      <c r="S121" s="24">
        <f t="shared" si="94"/>
        <v>736.90309530485729</v>
      </c>
      <c r="T121" s="24">
        <f t="shared" si="94"/>
        <v>832.75654021697619</v>
      </c>
      <c r="U121" s="821">
        <f>(T36+T37)*(1+DCF!$J$174)/U122</f>
        <v>841.08410561914604</v>
      </c>
    </row>
    <row r="122" spans="1:22" x14ac:dyDescent="0.55000000000000004">
      <c r="A122" s="10"/>
      <c r="B122" s="10"/>
      <c r="C122" s="10"/>
      <c r="D122" s="10" t="s">
        <v>126</v>
      </c>
      <c r="E122" s="10"/>
      <c r="F122" s="10"/>
      <c r="G122" s="10"/>
      <c r="H122" s="10"/>
      <c r="I122" s="10"/>
      <c r="J122" s="10"/>
      <c r="K122" s="10"/>
      <c r="L122" s="411"/>
      <c r="M122" s="312">
        <f>(M36+M37)/M121</f>
        <v>17.710812666013361</v>
      </c>
      <c r="N122" s="312">
        <f>365/N123</f>
        <v>17.710812666013361</v>
      </c>
      <c r="O122" s="312">
        <f t="shared" ref="O122" si="95">365/O123</f>
        <v>17.710812666013361</v>
      </c>
      <c r="P122" s="312">
        <f t="shared" ref="P122" si="96">365/P123</f>
        <v>17.710812666013361</v>
      </c>
      <c r="Q122" s="312">
        <f t="shared" ref="Q122" si="97">365/Q123</f>
        <v>17.710812666013361</v>
      </c>
      <c r="R122" s="312">
        <f t="shared" ref="R122" si="98">365/R123</f>
        <v>17.710812666013361</v>
      </c>
      <c r="S122" s="312">
        <f t="shared" ref="S122:T122" si="99">365/S123</f>
        <v>17.710812666013361</v>
      </c>
      <c r="T122" s="312">
        <f t="shared" si="99"/>
        <v>17.710812666013361</v>
      </c>
      <c r="U122" s="822">
        <f t="shared" ref="U122" si="100">365/U123</f>
        <v>17.710812666013361</v>
      </c>
    </row>
    <row r="123" spans="1:22" x14ac:dyDescent="0.55000000000000004">
      <c r="A123" s="10"/>
      <c r="B123" s="10"/>
      <c r="C123" s="10"/>
      <c r="D123" s="10" t="s">
        <v>127</v>
      </c>
      <c r="E123" s="10"/>
      <c r="F123" s="10"/>
      <c r="G123" s="10"/>
      <c r="H123" s="10"/>
      <c r="I123" s="314">
        <f>M123</f>
        <v>20.608879269579003</v>
      </c>
      <c r="J123" s="10"/>
      <c r="K123" s="10"/>
      <c r="L123" s="303"/>
      <c r="M123" s="24">
        <f>365/M122</f>
        <v>20.608879269579003</v>
      </c>
      <c r="N123" s="24">
        <f>$I123</f>
        <v>20.608879269579003</v>
      </c>
      <c r="O123" s="24">
        <f t="shared" ref="O123:U123" si="101">$I123</f>
        <v>20.608879269579003</v>
      </c>
      <c r="P123" s="24">
        <f t="shared" si="101"/>
        <v>20.608879269579003</v>
      </c>
      <c r="Q123" s="24">
        <f t="shared" si="101"/>
        <v>20.608879269579003</v>
      </c>
      <c r="R123" s="24">
        <f t="shared" si="101"/>
        <v>20.608879269579003</v>
      </c>
      <c r="S123" s="24">
        <f t="shared" si="101"/>
        <v>20.608879269579003</v>
      </c>
      <c r="T123" s="24">
        <f t="shared" si="101"/>
        <v>20.608879269579003</v>
      </c>
      <c r="U123" s="821">
        <f t="shared" si="101"/>
        <v>20.608879269579003</v>
      </c>
    </row>
    <row r="124" spans="1:22" x14ac:dyDescent="0.55000000000000004">
      <c r="A124" s="10"/>
      <c r="B124" s="10" t="s">
        <v>129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303"/>
      <c r="M124" s="24">
        <f>M125</f>
        <v>121.863938</v>
      </c>
      <c r="N124" s="24">
        <f t="shared" ref="N124:U124" si="102">N125</f>
        <v>421.81087447485453</v>
      </c>
      <c r="O124" s="24">
        <f t="shared" si="102"/>
        <v>421.81087447485453</v>
      </c>
      <c r="P124" s="24">
        <f t="shared" si="102"/>
        <v>626.07418303728741</v>
      </c>
      <c r="Q124" s="24">
        <f t="shared" si="102"/>
        <v>689.92140885586446</v>
      </c>
      <c r="R124" s="24">
        <f t="shared" si="102"/>
        <v>799.09589480997886</v>
      </c>
      <c r="S124" s="24">
        <f t="shared" si="102"/>
        <v>910.70541334316351</v>
      </c>
      <c r="T124" s="24">
        <f t="shared" si="102"/>
        <v>1026.8488518385259</v>
      </c>
      <c r="U124" s="821">
        <f t="shared" si="102"/>
        <v>1037.117340356911</v>
      </c>
    </row>
    <row r="125" spans="1:22" x14ac:dyDescent="0.55000000000000004">
      <c r="B125" s="10"/>
      <c r="C125" s="10" t="s">
        <v>130</v>
      </c>
      <c r="D125" s="10"/>
      <c r="E125" s="10"/>
      <c r="F125" s="10"/>
      <c r="G125" s="10"/>
      <c r="H125" s="10"/>
      <c r="I125" s="10"/>
      <c r="J125" s="10"/>
      <c r="K125" s="10"/>
      <c r="L125" s="303"/>
      <c r="M125" s="24">
        <f>연결정산표!R53/10^6+연결정산표!R54/10^6</f>
        <v>121.863938</v>
      </c>
      <c r="N125" s="24">
        <f>O125</f>
        <v>421.81087447485453</v>
      </c>
      <c r="O125" s="24">
        <f t="shared" ref="O125:T125" si="103">O33/O126</f>
        <v>421.81087447485453</v>
      </c>
      <c r="P125" s="24">
        <f t="shared" si="103"/>
        <v>626.07418303728741</v>
      </c>
      <c r="Q125" s="24">
        <f t="shared" si="103"/>
        <v>689.92140885586446</v>
      </c>
      <c r="R125" s="24">
        <f t="shared" si="103"/>
        <v>799.09589480997886</v>
      </c>
      <c r="S125" s="24">
        <f t="shared" si="103"/>
        <v>910.70541334316351</v>
      </c>
      <c r="T125" s="24">
        <f t="shared" si="103"/>
        <v>1026.8488518385259</v>
      </c>
      <c r="U125" s="821">
        <f>T33*(1+DCF!$J$174)/U126</f>
        <v>1037.117340356911</v>
      </c>
    </row>
    <row r="126" spans="1:22" x14ac:dyDescent="0.55000000000000004">
      <c r="B126" s="10"/>
      <c r="C126" s="10"/>
      <c r="D126" s="10" t="s">
        <v>131</v>
      </c>
      <c r="E126" s="10"/>
      <c r="F126" s="10"/>
      <c r="G126" s="10"/>
      <c r="H126" s="10"/>
      <c r="I126" s="10"/>
      <c r="J126" s="10"/>
      <c r="K126" s="10"/>
      <c r="L126" s="411"/>
      <c r="M126" s="312">
        <f>M33/M125</f>
        <v>15.758653285929425</v>
      </c>
      <c r="N126" s="312">
        <f>365/N127</f>
        <v>15.758653285929425</v>
      </c>
      <c r="O126" s="312">
        <f t="shared" ref="O126" si="104">365/O127</f>
        <v>15.758653285929425</v>
      </c>
      <c r="P126" s="312">
        <f t="shared" ref="P126" si="105">365/P127</f>
        <v>15.758653285929425</v>
      </c>
      <c r="Q126" s="312">
        <f t="shared" ref="Q126" si="106">365/Q127</f>
        <v>15.758653285929425</v>
      </c>
      <c r="R126" s="312">
        <f t="shared" ref="R126" si="107">365/R127</f>
        <v>15.758653285929425</v>
      </c>
      <c r="S126" s="312">
        <f t="shared" ref="S126:T126" si="108">365/S127</f>
        <v>15.758653285929425</v>
      </c>
      <c r="T126" s="312">
        <f t="shared" si="108"/>
        <v>15.758653285929425</v>
      </c>
      <c r="U126" s="822">
        <f t="shared" ref="U126" si="109">365/U127</f>
        <v>15.758653285929425</v>
      </c>
    </row>
    <row r="127" spans="1:22" x14ac:dyDescent="0.55000000000000004">
      <c r="B127" s="14"/>
      <c r="C127" s="14"/>
      <c r="D127" s="14" t="s">
        <v>132</v>
      </c>
      <c r="E127" s="14"/>
      <c r="F127" s="14"/>
      <c r="G127" s="14"/>
      <c r="H127" s="14"/>
      <c r="I127" s="314">
        <f>M127</f>
        <v>23.161877692042438</v>
      </c>
      <c r="J127" s="14"/>
      <c r="K127" s="14"/>
      <c r="L127" s="304"/>
      <c r="M127" s="26">
        <f>365/M126</f>
        <v>23.161877692042438</v>
      </c>
      <c r="N127" s="26">
        <f>$I127</f>
        <v>23.161877692042438</v>
      </c>
      <c r="O127" s="26">
        <f t="shared" ref="O127:U127" si="110">$I127</f>
        <v>23.161877692042438</v>
      </c>
      <c r="P127" s="26">
        <f t="shared" si="110"/>
        <v>23.161877692042438</v>
      </c>
      <c r="Q127" s="26">
        <f t="shared" si="110"/>
        <v>23.161877692042438</v>
      </c>
      <c r="R127" s="26">
        <f t="shared" si="110"/>
        <v>23.161877692042438</v>
      </c>
      <c r="S127" s="26">
        <f t="shared" si="110"/>
        <v>23.161877692042438</v>
      </c>
      <c r="T127" s="26">
        <f t="shared" si="110"/>
        <v>23.161877692042438</v>
      </c>
      <c r="U127" s="823">
        <f t="shared" si="110"/>
        <v>23.161877692042438</v>
      </c>
    </row>
    <row r="128" spans="1:22" x14ac:dyDescent="0.55000000000000004">
      <c r="U128" s="343"/>
    </row>
    <row r="129" spans="9:21" x14ac:dyDescent="0.55000000000000004">
      <c r="M129" s="19">
        <f>M125+M70</f>
        <v>1721.863938</v>
      </c>
      <c r="N129" s="315">
        <f>O129</f>
        <v>2016.8816489406272</v>
      </c>
      <c r="O129" s="315">
        <f>(O33+O70)/O130</f>
        <v>2016.8816489406272</v>
      </c>
      <c r="P129" s="315">
        <f t="shared" ref="P129:T129" si="111">(P33+P70)/P130</f>
        <v>2412.7942762359662</v>
      </c>
      <c r="Q129" s="315">
        <f t="shared" si="111"/>
        <v>2658.8517326563233</v>
      </c>
      <c r="R129" s="315">
        <f t="shared" si="111"/>
        <v>3079.59352645331</v>
      </c>
      <c r="S129" s="315">
        <f t="shared" si="111"/>
        <v>3509.7195638885282</v>
      </c>
      <c r="T129" s="315">
        <f t="shared" si="111"/>
        <v>3957.3186363570449</v>
      </c>
      <c r="U129" s="315">
        <f>(1+DCF!$J$23)*(T33+T70)/U130</f>
        <v>3996.891822720615</v>
      </c>
    </row>
    <row r="130" spans="9:21" x14ac:dyDescent="0.55000000000000004">
      <c r="M130" s="312">
        <f>(M33+M70)/M129*2</f>
        <v>4.089070534910058</v>
      </c>
      <c r="N130" s="964">
        <f>365/N131</f>
        <v>4.089070534910058</v>
      </c>
      <c r="O130" s="964">
        <f t="shared" ref="O130:U130" si="112">365/O131</f>
        <v>4.089070534910058</v>
      </c>
      <c r="P130" s="964">
        <f t="shared" si="112"/>
        <v>4.089070534910058</v>
      </c>
      <c r="Q130" s="964">
        <f t="shared" si="112"/>
        <v>4.089070534910058</v>
      </c>
      <c r="R130" s="964">
        <f t="shared" si="112"/>
        <v>4.089070534910058</v>
      </c>
      <c r="S130" s="964">
        <f t="shared" si="112"/>
        <v>4.089070534910058</v>
      </c>
      <c r="T130" s="964">
        <f t="shared" si="112"/>
        <v>4.089070534910058</v>
      </c>
      <c r="U130" s="822">
        <f t="shared" si="112"/>
        <v>4.089070534910058</v>
      </c>
    </row>
    <row r="131" spans="9:21" x14ac:dyDescent="0.55000000000000004">
      <c r="I131" s="314">
        <f>M131</f>
        <v>89.262338931022725</v>
      </c>
      <c r="M131" s="315">
        <f>365/M130</f>
        <v>89.262338931022725</v>
      </c>
      <c r="N131" s="19">
        <f>$I131</f>
        <v>89.262338931022725</v>
      </c>
      <c r="O131" s="19">
        <f t="shared" ref="O131:U131" si="113">$I131</f>
        <v>89.262338931022725</v>
      </c>
      <c r="P131" s="19">
        <f t="shared" si="113"/>
        <v>89.262338931022725</v>
      </c>
      <c r="Q131" s="19">
        <f t="shared" si="113"/>
        <v>89.262338931022725</v>
      </c>
      <c r="R131" s="19">
        <f t="shared" si="113"/>
        <v>89.262338931022725</v>
      </c>
      <c r="S131" s="19">
        <f t="shared" si="113"/>
        <v>89.262338931022725</v>
      </c>
      <c r="T131" s="19">
        <f t="shared" si="113"/>
        <v>89.262338931022725</v>
      </c>
      <c r="U131" s="965">
        <f t="shared" si="113"/>
        <v>89.262338931022725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DEF4A-90BB-4F87-8F09-A105906FE540}">
  <dimension ref="A1:AL117"/>
  <sheetViews>
    <sheetView zoomScale="85" zoomScaleNormal="85" workbookViewId="0">
      <pane xSplit="7" ySplit="3" topLeftCell="H4" activePane="bottomRight" state="frozen"/>
      <selection pane="topRight" activeCell="G1" sqref="G1"/>
      <selection pane="bottomLeft" activeCell="A4" sqref="A4"/>
      <selection pane="bottomRight" activeCell="H4" sqref="H4"/>
    </sheetView>
  </sheetViews>
  <sheetFormatPr defaultRowHeight="17.600000000000001" x14ac:dyDescent="0.55000000000000004"/>
  <cols>
    <col min="1" max="1" width="12.140625" customWidth="1"/>
    <col min="2" max="3" width="9" customWidth="1"/>
    <col min="6" max="6" width="26.85546875" customWidth="1"/>
    <col min="9" max="9" width="9.140625" bestFit="1" customWidth="1"/>
    <col min="10" max="10" width="14.2109375" customWidth="1"/>
    <col min="11" max="11" width="17.7109375" customWidth="1"/>
    <col min="12" max="13" width="14.2109375" customWidth="1"/>
    <col min="14" max="19" width="12.5" customWidth="1"/>
    <col min="20" max="21" width="9.140625" bestFit="1" customWidth="1"/>
    <col min="22" max="22" width="9.140625" customWidth="1"/>
    <col min="23" max="25" width="10.140625" bestFit="1" customWidth="1"/>
    <col min="26" max="27" width="9.2109375" bestFit="1" customWidth="1"/>
    <col min="28" max="34" width="9.140625" bestFit="1" customWidth="1"/>
    <col min="35" max="35" width="9.2109375" bestFit="1" customWidth="1"/>
    <col min="36" max="36" width="10.140625" bestFit="1" customWidth="1"/>
    <col min="37" max="38" width="9.140625" bestFit="1" customWidth="1"/>
  </cols>
  <sheetData>
    <row r="1" spans="1:38" x14ac:dyDescent="0.55000000000000004">
      <c r="L1" s="404">
        <f>L2/K2</f>
        <v>7.4999999998016237E-2</v>
      </c>
      <c r="M1">
        <f>M2/(K2-L2)</f>
        <v>0.45190985042224396</v>
      </c>
      <c r="T1" s="404">
        <f>T2/S2</f>
        <v>8.6573219651327735E-2</v>
      </c>
    </row>
    <row r="2" spans="1:38" x14ac:dyDescent="0.55000000000000004">
      <c r="A2" s="1"/>
      <c r="B2" s="313"/>
      <c r="C2" s="313"/>
      <c r="D2" s="1"/>
      <c r="E2" s="1"/>
      <c r="F2" s="1"/>
      <c r="G2" s="1"/>
      <c r="H2" s="1"/>
      <c r="I2" s="315"/>
      <c r="J2" s="315">
        <f>SUBTOTAL(9,J4:J149)</f>
        <v>25149176182</v>
      </c>
      <c r="K2" s="315">
        <f>SUBTOTAL(9,K4:K149)</f>
        <v>25204482182</v>
      </c>
      <c r="L2" s="315">
        <f>SUBTOTAL(9,L4:L149)</f>
        <v>1890336163.6000001</v>
      </c>
      <c r="M2" s="315">
        <f>SUBTOTAL(9,M4:M149)</f>
        <v>10535892239.897499</v>
      </c>
      <c r="N2" s="315" t="e">
        <f>SUBTOTAL(9,N4:N80)</f>
        <v>#REF!</v>
      </c>
      <c r="O2" s="315"/>
      <c r="P2" s="315">
        <f>SUBTOTAL(9,P4:P80)</f>
        <v>63652202</v>
      </c>
      <c r="Q2" s="315">
        <f>SUBTOTAL(9,Q4:Q80)</f>
        <v>138765</v>
      </c>
      <c r="R2" s="315">
        <f>SUBTOTAL(9,R4:R80)</f>
        <v>200831</v>
      </c>
      <c r="S2" s="315">
        <f>SUBTOTAL(9,S4:S80)</f>
        <v>65563</v>
      </c>
      <c r="T2" s="315">
        <f>SUBTOTAL(9,T4:T80)</f>
        <v>5676</v>
      </c>
      <c r="U2" s="335"/>
      <c r="V2" s="315">
        <f t="shared" ref="V2:AL2" si="0">SUBTOTAL(9,V4:V80)</f>
        <v>1034225156</v>
      </c>
      <c r="W2" s="315">
        <f t="shared" si="0"/>
        <v>131813149</v>
      </c>
      <c r="X2" s="315">
        <f t="shared" si="0"/>
        <v>797836585</v>
      </c>
      <c r="Y2" s="315">
        <f t="shared" si="0"/>
        <v>572170533</v>
      </c>
      <c r="Z2" s="315">
        <f t="shared" si="0"/>
        <v>28383453</v>
      </c>
      <c r="AA2" s="315">
        <f t="shared" si="0"/>
        <v>21986986</v>
      </c>
      <c r="AB2" s="315">
        <f t="shared" si="0"/>
        <v>592843</v>
      </c>
      <c r="AC2" s="315">
        <f t="shared" si="0"/>
        <v>607632</v>
      </c>
      <c r="AD2" s="315">
        <f t="shared" si="0"/>
        <v>90185</v>
      </c>
      <c r="AE2" s="315">
        <f t="shared" si="0"/>
        <v>78463</v>
      </c>
      <c r="AF2" s="315">
        <f t="shared" si="0"/>
        <v>7832500</v>
      </c>
      <c r="AG2" s="315">
        <f t="shared" si="0"/>
        <v>6492700</v>
      </c>
      <c r="AH2" s="315">
        <f t="shared" si="0"/>
        <v>3300000</v>
      </c>
      <c r="AI2" s="315">
        <f t="shared" si="0"/>
        <v>13432000</v>
      </c>
      <c r="AJ2" s="315">
        <f t="shared" si="0"/>
        <v>126377450</v>
      </c>
      <c r="AK2" s="315">
        <f t="shared" si="0"/>
        <v>3300000</v>
      </c>
      <c r="AL2" s="315">
        <f t="shared" si="0"/>
        <v>9835000</v>
      </c>
    </row>
    <row r="3" spans="1:38" x14ac:dyDescent="0.55000000000000004">
      <c r="A3" s="1" t="s">
        <v>616</v>
      </c>
      <c r="B3" s="313" t="s">
        <v>617</v>
      </c>
      <c r="C3" s="313" t="s">
        <v>937</v>
      </c>
      <c r="D3" s="1" t="s">
        <v>938</v>
      </c>
      <c r="E3" s="1" t="s">
        <v>2165</v>
      </c>
      <c r="F3" s="1" t="s">
        <v>621</v>
      </c>
      <c r="G3" s="1" t="s">
        <v>619</v>
      </c>
      <c r="H3" s="1" t="s">
        <v>620</v>
      </c>
      <c r="I3" s="1" t="s">
        <v>939</v>
      </c>
      <c r="J3" s="1" t="s">
        <v>940</v>
      </c>
      <c r="K3" s="837" t="s">
        <v>2162</v>
      </c>
      <c r="L3" s="837" t="s">
        <v>2163</v>
      </c>
      <c r="M3" s="837" t="s">
        <v>2164</v>
      </c>
      <c r="N3" s="313" t="s">
        <v>2037</v>
      </c>
      <c r="O3" s="313" t="s">
        <v>2037</v>
      </c>
      <c r="P3" s="1" t="s">
        <v>1439</v>
      </c>
      <c r="Q3" s="1" t="s">
        <v>1441</v>
      </c>
      <c r="R3" s="1" t="s">
        <v>1335</v>
      </c>
      <c r="S3" s="1" t="s">
        <v>1334</v>
      </c>
      <c r="T3" s="1" t="s">
        <v>941</v>
      </c>
      <c r="U3" s="335" t="s">
        <v>942</v>
      </c>
      <c r="V3" s="406" t="s">
        <v>1444</v>
      </c>
      <c r="W3" s="1" t="s">
        <v>943</v>
      </c>
      <c r="X3" s="1" t="s">
        <v>944</v>
      </c>
      <c r="Y3" s="1" t="s">
        <v>945</v>
      </c>
      <c r="Z3" s="1" t="s">
        <v>946</v>
      </c>
      <c r="AA3" s="1" t="s">
        <v>947</v>
      </c>
      <c r="AB3" s="1" t="s">
        <v>948</v>
      </c>
      <c r="AC3" s="1" t="s">
        <v>949</v>
      </c>
      <c r="AD3" s="1" t="s">
        <v>950</v>
      </c>
      <c r="AE3" s="1" t="s">
        <v>951</v>
      </c>
      <c r="AF3" s="1" t="s">
        <v>638</v>
      </c>
      <c r="AG3" s="1" t="s">
        <v>637</v>
      </c>
      <c r="AH3" s="1" t="s">
        <v>952</v>
      </c>
      <c r="AI3" s="1" t="s">
        <v>953</v>
      </c>
      <c r="AJ3" s="1" t="s">
        <v>954</v>
      </c>
      <c r="AK3" s="1" t="s">
        <v>955</v>
      </c>
      <c r="AL3" s="1" t="s">
        <v>956</v>
      </c>
    </row>
    <row r="4" spans="1:38" x14ac:dyDescent="0.55000000000000004">
      <c r="A4" s="1" t="s">
        <v>2</v>
      </c>
      <c r="B4" s="313" t="s">
        <v>957</v>
      </c>
      <c r="C4" s="313" t="s">
        <v>138</v>
      </c>
      <c r="D4" s="1" t="s">
        <v>958</v>
      </c>
      <c r="E4" s="1"/>
      <c r="F4" s="1" t="s">
        <v>959</v>
      </c>
      <c r="G4" s="1" t="s">
        <v>693</v>
      </c>
      <c r="H4" s="1" t="s">
        <v>644</v>
      </c>
      <c r="I4" s="315">
        <v>2792792.7927927929</v>
      </c>
      <c r="J4" s="315">
        <v>620000000</v>
      </c>
      <c r="K4" s="315">
        <v>624960000</v>
      </c>
      <c r="L4" s="315">
        <v>46872000</v>
      </c>
      <c r="M4" s="315">
        <v>281795146</v>
      </c>
      <c r="N4" s="315">
        <v>299980800</v>
      </c>
      <c r="O4" s="335">
        <f t="shared" ref="O4:O6" si="1">N4/J4</f>
        <v>0.48383999999999999</v>
      </c>
      <c r="P4" s="315">
        <v>121991</v>
      </c>
      <c r="Q4" s="315"/>
      <c r="R4" s="315">
        <v>5100</v>
      </c>
      <c r="S4" s="315">
        <v>1728</v>
      </c>
      <c r="T4" s="315">
        <v>222</v>
      </c>
      <c r="U4" s="335">
        <v>0.128</v>
      </c>
      <c r="V4" s="335"/>
      <c r="W4" s="315">
        <v>2064649</v>
      </c>
      <c r="X4" s="315">
        <v>6698031</v>
      </c>
      <c r="Y4" s="315">
        <v>4578778</v>
      </c>
      <c r="Z4" s="315">
        <v>0</v>
      </c>
      <c r="AA4" s="315">
        <v>0</v>
      </c>
      <c r="AB4" s="315">
        <v>3700</v>
      </c>
      <c r="AC4" s="315">
        <v>0</v>
      </c>
      <c r="AD4" s="315">
        <v>0</v>
      </c>
      <c r="AE4" s="315">
        <v>0</v>
      </c>
      <c r="AF4" s="315">
        <v>1225000</v>
      </c>
      <c r="AG4" s="315">
        <v>350000</v>
      </c>
      <c r="AH4" s="315">
        <v>0</v>
      </c>
      <c r="AI4" s="315">
        <v>0</v>
      </c>
      <c r="AJ4" s="315">
        <v>1156250</v>
      </c>
      <c r="AK4" s="315">
        <v>0</v>
      </c>
      <c r="AL4" s="315">
        <v>0</v>
      </c>
    </row>
    <row r="5" spans="1:38" x14ac:dyDescent="0.55000000000000004">
      <c r="A5" s="1" t="s">
        <v>646</v>
      </c>
      <c r="B5" s="313" t="s">
        <v>960</v>
      </c>
      <c r="C5" s="313" t="s">
        <v>138</v>
      </c>
      <c r="D5" s="1" t="s">
        <v>961</v>
      </c>
      <c r="E5" s="1"/>
      <c r="F5" s="1" t="s">
        <v>962</v>
      </c>
      <c r="G5" s="1" t="s">
        <v>708</v>
      </c>
      <c r="H5" s="1" t="s">
        <v>644</v>
      </c>
      <c r="I5" s="315">
        <v>2776428.5714285714</v>
      </c>
      <c r="J5" s="315">
        <v>233220000</v>
      </c>
      <c r="K5" s="315">
        <v>233220000</v>
      </c>
      <c r="L5" s="315">
        <v>17491500</v>
      </c>
      <c r="M5" s="315">
        <v>101864354</v>
      </c>
      <c r="N5" s="315">
        <v>106709090</v>
      </c>
      <c r="O5" s="335">
        <f t="shared" si="1"/>
        <v>0.45754690849841351</v>
      </c>
      <c r="P5" s="315">
        <v>175820</v>
      </c>
      <c r="Q5" s="315"/>
      <c r="R5" s="315">
        <v>1400</v>
      </c>
      <c r="S5" s="315">
        <v>516</v>
      </c>
      <c r="T5" s="315">
        <v>84</v>
      </c>
      <c r="U5" s="335">
        <v>0.16300000000000001</v>
      </c>
      <c r="V5" s="335"/>
      <c r="W5" s="315">
        <v>369682</v>
      </c>
      <c r="X5" s="315">
        <v>9249610</v>
      </c>
      <c r="Y5" s="315">
        <v>750000</v>
      </c>
      <c r="Z5" s="315">
        <v>0</v>
      </c>
      <c r="AA5" s="315">
        <v>0</v>
      </c>
      <c r="AB5" s="315">
        <v>15857</v>
      </c>
      <c r="AC5" s="315">
        <v>10000</v>
      </c>
      <c r="AD5" s="315">
        <v>0</v>
      </c>
      <c r="AE5" s="315">
        <v>0</v>
      </c>
      <c r="AF5" s="315">
        <v>1072500</v>
      </c>
      <c r="AG5" s="315">
        <v>0</v>
      </c>
      <c r="AH5" s="315">
        <v>0</v>
      </c>
      <c r="AI5" s="315">
        <v>250500</v>
      </c>
      <c r="AJ5" s="315">
        <v>1380000</v>
      </c>
      <c r="AK5" s="315">
        <v>0</v>
      </c>
      <c r="AL5" s="315">
        <v>0</v>
      </c>
    </row>
    <row r="6" spans="1:38" x14ac:dyDescent="0.55000000000000004">
      <c r="A6" s="1" t="s">
        <v>646</v>
      </c>
      <c r="B6" s="313" t="s">
        <v>65</v>
      </c>
      <c r="C6" s="313" t="s">
        <v>134</v>
      </c>
      <c r="D6" s="1" t="s">
        <v>963</v>
      </c>
      <c r="E6" s="1"/>
      <c r="F6" s="1" t="s">
        <v>964</v>
      </c>
      <c r="G6" s="1" t="s">
        <v>965</v>
      </c>
      <c r="H6" s="1" t="s">
        <v>644</v>
      </c>
      <c r="I6" s="315">
        <v>2294489.7959183673</v>
      </c>
      <c r="J6" s="315">
        <v>112430000</v>
      </c>
      <c r="K6" s="315">
        <v>112430000</v>
      </c>
      <c r="L6" s="315">
        <v>8432250</v>
      </c>
      <c r="M6" s="315">
        <v>44356219</v>
      </c>
      <c r="N6" s="315">
        <v>66341170</v>
      </c>
      <c r="O6" s="335">
        <f t="shared" si="1"/>
        <v>0.59006644134127906</v>
      </c>
      <c r="P6" s="315">
        <v>118964</v>
      </c>
      <c r="Q6" s="315"/>
      <c r="R6" s="315">
        <v>2300</v>
      </c>
      <c r="S6" s="315">
        <v>738</v>
      </c>
      <c r="T6" s="315">
        <v>49</v>
      </c>
      <c r="U6" s="335">
        <v>6.6000000000000003E-2</v>
      </c>
      <c r="V6" s="335"/>
      <c r="W6" s="315">
        <v>851844</v>
      </c>
      <c r="X6" s="315">
        <v>6974382</v>
      </c>
      <c r="Y6" s="315">
        <v>4230086</v>
      </c>
      <c r="Z6" s="315">
        <v>0</v>
      </c>
      <c r="AA6" s="315">
        <v>0</v>
      </c>
      <c r="AB6" s="315">
        <v>4026</v>
      </c>
      <c r="AC6" s="315">
        <v>7000</v>
      </c>
      <c r="AD6" s="315">
        <v>0</v>
      </c>
      <c r="AE6" s="315">
        <v>0</v>
      </c>
      <c r="AF6" s="315">
        <v>1320000</v>
      </c>
      <c r="AG6" s="315">
        <v>0</v>
      </c>
      <c r="AH6" s="315">
        <v>0</v>
      </c>
      <c r="AI6" s="315">
        <v>249000</v>
      </c>
      <c r="AJ6" s="315">
        <v>2980000</v>
      </c>
      <c r="AK6" s="315">
        <v>0</v>
      </c>
      <c r="AL6" s="315">
        <v>0</v>
      </c>
    </row>
    <row r="7" spans="1:38" x14ac:dyDescent="0.55000000000000004">
      <c r="A7" s="1" t="s">
        <v>646</v>
      </c>
      <c r="B7" s="313" t="s">
        <v>65</v>
      </c>
      <c r="C7" s="313" t="s">
        <v>134</v>
      </c>
      <c r="D7" s="1" t="s">
        <v>966</v>
      </c>
      <c r="E7" s="1"/>
      <c r="F7" s="1" t="s">
        <v>967</v>
      </c>
      <c r="G7" s="1" t="s">
        <v>968</v>
      </c>
      <c r="H7" s="1" t="s">
        <v>644</v>
      </c>
      <c r="I7" s="315">
        <v>1223333.3333333333</v>
      </c>
      <c r="J7" s="315">
        <v>29360000</v>
      </c>
      <c r="K7" s="315">
        <v>29360000</v>
      </c>
      <c r="L7" s="315">
        <v>2202000</v>
      </c>
      <c r="M7" s="315">
        <v>7479152.5</v>
      </c>
      <c r="N7" s="776"/>
      <c r="O7" s="315"/>
      <c r="P7" s="315">
        <v>127483</v>
      </c>
      <c r="Q7" s="315"/>
      <c r="R7" s="315">
        <v>1500</v>
      </c>
      <c r="S7" s="315">
        <v>518</v>
      </c>
      <c r="T7" s="315">
        <v>24</v>
      </c>
      <c r="U7" s="335">
        <v>4.5999999999999999E-2</v>
      </c>
      <c r="V7" s="335"/>
      <c r="W7" s="315">
        <v>445347</v>
      </c>
      <c r="X7" s="315">
        <v>7277940</v>
      </c>
      <c r="Y7" s="315">
        <v>2735908</v>
      </c>
      <c r="Z7" s="315">
        <v>0</v>
      </c>
      <c r="AA7" s="315">
        <v>0</v>
      </c>
      <c r="AB7" s="315">
        <v>9313</v>
      </c>
      <c r="AC7" s="315">
        <v>6170</v>
      </c>
      <c r="AD7" s="315">
        <v>0</v>
      </c>
      <c r="AE7" s="315">
        <v>0</v>
      </c>
      <c r="AF7" s="315">
        <v>0</v>
      </c>
      <c r="AG7" s="315">
        <v>0</v>
      </c>
      <c r="AH7" s="315">
        <v>1650000</v>
      </c>
      <c r="AI7" s="315">
        <v>110500</v>
      </c>
      <c r="AJ7" s="315">
        <v>1630000</v>
      </c>
      <c r="AK7" s="315">
        <v>0</v>
      </c>
      <c r="AL7" s="315">
        <v>0</v>
      </c>
    </row>
    <row r="8" spans="1:38" x14ac:dyDescent="0.55000000000000004">
      <c r="A8" s="1" t="s">
        <v>646</v>
      </c>
      <c r="B8" s="313" t="s">
        <v>957</v>
      </c>
      <c r="C8" s="313" t="s">
        <v>138</v>
      </c>
      <c r="D8" s="1" t="s">
        <v>969</v>
      </c>
      <c r="E8" s="1"/>
      <c r="F8" s="1" t="s">
        <v>970</v>
      </c>
      <c r="G8" s="1" t="s">
        <v>693</v>
      </c>
      <c r="H8" s="1" t="s">
        <v>662</v>
      </c>
      <c r="I8" s="315">
        <v>2984914.6757679181</v>
      </c>
      <c r="J8" s="315">
        <v>874580000</v>
      </c>
      <c r="K8" s="315">
        <v>874580000</v>
      </c>
      <c r="L8" s="315">
        <v>65593500</v>
      </c>
      <c r="M8" s="315">
        <v>393919148.5</v>
      </c>
      <c r="N8" s="315">
        <v>407396544</v>
      </c>
      <c r="O8" s="335">
        <f t="shared" ref="O8:O17" si="2">N8/J8</f>
        <v>0.46581964371469736</v>
      </c>
      <c r="P8" s="315">
        <v>240175</v>
      </c>
      <c r="Q8" s="315"/>
      <c r="R8" s="315">
        <v>3300</v>
      </c>
      <c r="S8" s="315">
        <v>1134</v>
      </c>
      <c r="T8" s="315">
        <v>293</v>
      </c>
      <c r="U8" s="335">
        <v>0.25800000000000001</v>
      </c>
      <c r="V8" s="335"/>
      <c r="W8" s="315">
        <v>1707293</v>
      </c>
      <c r="X8" s="315">
        <v>11746000</v>
      </c>
      <c r="Y8" s="315">
        <v>5914910</v>
      </c>
      <c r="Z8" s="315">
        <v>0</v>
      </c>
      <c r="AA8" s="315">
        <v>0</v>
      </c>
      <c r="AB8" s="315">
        <v>8505</v>
      </c>
      <c r="AC8" s="315">
        <v>11643</v>
      </c>
      <c r="AD8" s="315">
        <v>0</v>
      </c>
      <c r="AE8" s="315">
        <v>0</v>
      </c>
      <c r="AF8" s="315">
        <v>0</v>
      </c>
      <c r="AG8" s="315">
        <v>0</v>
      </c>
      <c r="AH8" s="315">
        <v>0</v>
      </c>
      <c r="AI8" s="315">
        <v>0</v>
      </c>
      <c r="AJ8" s="315">
        <v>1780000</v>
      </c>
      <c r="AK8" s="315">
        <v>0</v>
      </c>
      <c r="AL8" s="315">
        <v>0</v>
      </c>
    </row>
    <row r="9" spans="1:38" x14ac:dyDescent="0.55000000000000004">
      <c r="A9" s="1" t="s">
        <v>646</v>
      </c>
      <c r="B9" s="313" t="s">
        <v>957</v>
      </c>
      <c r="C9" s="313" t="s">
        <v>138</v>
      </c>
      <c r="D9" s="1" t="s">
        <v>971</v>
      </c>
      <c r="E9" s="1"/>
      <c r="F9" s="1" t="s">
        <v>972</v>
      </c>
      <c r="G9" s="1" t="s">
        <v>973</v>
      </c>
      <c r="H9" s="1" t="s">
        <v>644</v>
      </c>
      <c r="I9" s="315">
        <v>1626842.105263158</v>
      </c>
      <c r="J9" s="315">
        <v>30910000</v>
      </c>
      <c r="K9" s="315">
        <v>30910000</v>
      </c>
      <c r="L9" s="315">
        <v>2318250</v>
      </c>
      <c r="M9" s="315">
        <v>8470751.5</v>
      </c>
      <c r="N9" s="315">
        <v>14513832.5</v>
      </c>
      <c r="O9" s="335">
        <f t="shared" si="2"/>
        <v>0.46955135878356519</v>
      </c>
      <c r="P9" s="315">
        <v>154755</v>
      </c>
      <c r="Q9" s="315"/>
      <c r="R9" s="315">
        <v>1700</v>
      </c>
      <c r="S9" s="315">
        <v>656</v>
      </c>
      <c r="T9" s="315">
        <v>19</v>
      </c>
      <c r="U9" s="335">
        <v>2.9000000000000001E-2</v>
      </c>
      <c r="V9" s="335"/>
      <c r="W9" s="315">
        <v>588273</v>
      </c>
      <c r="X9" s="315">
        <v>6700000</v>
      </c>
      <c r="Y9" s="315">
        <v>2621974</v>
      </c>
      <c r="Z9" s="315">
        <v>0</v>
      </c>
      <c r="AA9" s="315">
        <v>0</v>
      </c>
      <c r="AB9" s="315">
        <v>8445</v>
      </c>
      <c r="AC9" s="315">
        <v>12367</v>
      </c>
      <c r="AD9" s="315">
        <v>0</v>
      </c>
      <c r="AE9" s="315">
        <v>0</v>
      </c>
      <c r="AF9" s="315">
        <v>0</v>
      </c>
      <c r="AG9" s="315">
        <v>200000</v>
      </c>
      <c r="AH9" s="315">
        <v>0</v>
      </c>
      <c r="AI9" s="315">
        <v>200000</v>
      </c>
      <c r="AJ9" s="315">
        <v>1540000</v>
      </c>
      <c r="AK9" s="315">
        <v>0</v>
      </c>
      <c r="AL9" s="315">
        <v>0</v>
      </c>
    </row>
    <row r="10" spans="1:38" x14ac:dyDescent="0.55000000000000004">
      <c r="A10" s="1" t="s">
        <v>646</v>
      </c>
      <c r="B10" s="313" t="s">
        <v>65</v>
      </c>
      <c r="C10" s="313" t="s">
        <v>134</v>
      </c>
      <c r="D10" s="1" t="s">
        <v>974</v>
      </c>
      <c r="E10" s="1"/>
      <c r="F10" s="1" t="s">
        <v>975</v>
      </c>
      <c r="G10" s="1" t="s">
        <v>976</v>
      </c>
      <c r="H10" s="1" t="s">
        <v>644</v>
      </c>
      <c r="I10" s="315">
        <v>1174259.2592592593</v>
      </c>
      <c r="J10" s="315">
        <v>63410000</v>
      </c>
      <c r="K10" s="315">
        <v>63410000</v>
      </c>
      <c r="L10" s="315">
        <v>4755750</v>
      </c>
      <c r="M10" s="315">
        <v>23583418</v>
      </c>
      <c r="N10" s="315">
        <v>27054487.5</v>
      </c>
      <c r="O10" s="335">
        <f t="shared" si="2"/>
        <v>0.42665963570414761</v>
      </c>
      <c r="P10" s="315">
        <v>68408</v>
      </c>
      <c r="Q10" s="315"/>
      <c r="R10" s="315">
        <v>800</v>
      </c>
      <c r="S10" s="315">
        <v>322</v>
      </c>
      <c r="T10" s="315">
        <v>54</v>
      </c>
      <c r="U10" s="335">
        <v>0.16800000000000001</v>
      </c>
      <c r="V10" s="335"/>
      <c r="W10" s="315">
        <v>458749</v>
      </c>
      <c r="X10" s="315">
        <v>5900000</v>
      </c>
      <c r="Y10" s="315">
        <v>3607765</v>
      </c>
      <c r="Z10" s="315">
        <v>0</v>
      </c>
      <c r="AA10" s="315">
        <v>0</v>
      </c>
      <c r="AB10" s="315">
        <v>12794</v>
      </c>
      <c r="AC10" s="315">
        <v>8500</v>
      </c>
      <c r="AD10" s="315">
        <v>0</v>
      </c>
      <c r="AE10" s="315">
        <v>0</v>
      </c>
      <c r="AF10" s="315">
        <v>0</v>
      </c>
      <c r="AG10" s="315">
        <v>240000</v>
      </c>
      <c r="AH10" s="315">
        <v>0</v>
      </c>
      <c r="AI10" s="315">
        <v>106300</v>
      </c>
      <c r="AJ10" s="315">
        <v>1414600</v>
      </c>
      <c r="AK10" s="315">
        <v>0</v>
      </c>
      <c r="AL10" s="315">
        <v>0</v>
      </c>
    </row>
    <row r="11" spans="1:38" x14ac:dyDescent="0.55000000000000004">
      <c r="A11" s="1" t="s">
        <v>646</v>
      </c>
      <c r="B11" s="313" t="s">
        <v>957</v>
      </c>
      <c r="C11" s="313" t="s">
        <v>138</v>
      </c>
      <c r="D11" s="1" t="s">
        <v>977</v>
      </c>
      <c r="E11" s="1"/>
      <c r="F11" s="1" t="s">
        <v>978</v>
      </c>
      <c r="G11" s="1" t="s">
        <v>979</v>
      </c>
      <c r="H11" s="1" t="s">
        <v>644</v>
      </c>
      <c r="I11" s="315">
        <v>2123241.3793103448</v>
      </c>
      <c r="J11" s="315">
        <v>61574000</v>
      </c>
      <c r="K11" s="315">
        <v>61574000</v>
      </c>
      <c r="L11" s="315">
        <v>4618050</v>
      </c>
      <c r="M11" s="315">
        <v>23743190.5</v>
      </c>
      <c r="N11" s="315">
        <v>28596439.5</v>
      </c>
      <c r="O11" s="335">
        <f t="shared" si="2"/>
        <v>0.46442393705135282</v>
      </c>
      <c r="P11" s="315">
        <v>99692</v>
      </c>
      <c r="Q11" s="315"/>
      <c r="R11" s="315">
        <v>2400</v>
      </c>
      <c r="S11" s="315">
        <v>763</v>
      </c>
      <c r="T11" s="315">
        <v>29</v>
      </c>
      <c r="U11" s="335">
        <v>3.7999999999999999E-2</v>
      </c>
      <c r="V11" s="335"/>
      <c r="W11" s="315">
        <v>0</v>
      </c>
      <c r="X11" s="315">
        <v>6265939</v>
      </c>
      <c r="Y11" s="315">
        <v>1587730</v>
      </c>
      <c r="Z11" s="315">
        <v>0</v>
      </c>
      <c r="AA11" s="315">
        <v>0</v>
      </c>
      <c r="AB11" s="315">
        <v>13734</v>
      </c>
      <c r="AC11" s="315">
        <v>12323</v>
      </c>
      <c r="AD11" s="315">
        <v>0</v>
      </c>
      <c r="AE11" s="315">
        <v>0</v>
      </c>
      <c r="AF11" s="315">
        <v>0</v>
      </c>
      <c r="AG11" s="315">
        <v>170000</v>
      </c>
      <c r="AH11" s="315">
        <v>0</v>
      </c>
      <c r="AI11" s="315">
        <v>143000</v>
      </c>
      <c r="AJ11" s="315">
        <v>1472900</v>
      </c>
      <c r="AK11" s="315">
        <v>0</v>
      </c>
      <c r="AL11" s="315">
        <v>0</v>
      </c>
    </row>
    <row r="12" spans="1:38" x14ac:dyDescent="0.55000000000000004">
      <c r="A12" s="1" t="s">
        <v>646</v>
      </c>
      <c r="B12" s="313" t="s">
        <v>65</v>
      </c>
      <c r="C12" s="313" t="s">
        <v>134</v>
      </c>
      <c r="D12" s="1" t="s">
        <v>980</v>
      </c>
      <c r="E12" s="1"/>
      <c r="F12" s="1" t="s">
        <v>981</v>
      </c>
      <c r="G12" s="1" t="s">
        <v>653</v>
      </c>
      <c r="H12" s="1" t="s">
        <v>922</v>
      </c>
      <c r="I12" s="315">
        <v>2169677.4193548388</v>
      </c>
      <c r="J12" s="315">
        <v>67260000</v>
      </c>
      <c r="K12" s="315">
        <v>67260000</v>
      </c>
      <c r="L12" s="315">
        <v>5044500</v>
      </c>
      <c r="M12" s="315">
        <v>25972764.5</v>
      </c>
      <c r="N12" s="315">
        <v>31094660</v>
      </c>
      <c r="O12" s="335">
        <f t="shared" si="2"/>
        <v>0.4623053820993161</v>
      </c>
      <c r="P12" s="315">
        <v>59400</v>
      </c>
      <c r="Q12" s="315"/>
      <c r="R12" s="315">
        <v>1100</v>
      </c>
      <c r="S12" s="315">
        <v>348</v>
      </c>
      <c r="T12" s="315">
        <v>31</v>
      </c>
      <c r="U12" s="335">
        <v>8.8999999999999996E-2</v>
      </c>
      <c r="V12" s="335"/>
      <c r="W12" s="315">
        <v>164289</v>
      </c>
      <c r="X12" s="315">
        <v>6024924</v>
      </c>
      <c r="Y12" s="315">
        <v>2258458</v>
      </c>
      <c r="Z12" s="315">
        <v>0</v>
      </c>
      <c r="AA12" s="315">
        <v>0</v>
      </c>
      <c r="AB12" s="315">
        <v>12500</v>
      </c>
      <c r="AC12" s="315">
        <v>8337</v>
      </c>
      <c r="AD12" s="315">
        <v>0</v>
      </c>
      <c r="AE12" s="315">
        <v>0</v>
      </c>
      <c r="AF12" s="315">
        <v>0</v>
      </c>
      <c r="AG12" s="315">
        <v>0</v>
      </c>
      <c r="AH12" s="315">
        <v>0</v>
      </c>
      <c r="AI12" s="315">
        <v>269000</v>
      </c>
      <c r="AJ12" s="315">
        <v>1553300</v>
      </c>
      <c r="AK12" s="315">
        <v>0</v>
      </c>
      <c r="AL12" s="315">
        <v>0</v>
      </c>
    </row>
    <row r="13" spans="1:38" x14ac:dyDescent="0.55000000000000004">
      <c r="A13" s="1" t="s">
        <v>646</v>
      </c>
      <c r="B13" s="313" t="s">
        <v>957</v>
      </c>
      <c r="C13" s="313" t="s">
        <v>138</v>
      </c>
      <c r="D13" s="1" t="s">
        <v>982</v>
      </c>
      <c r="E13" s="1"/>
      <c r="F13" s="1" t="s">
        <v>983</v>
      </c>
      <c r="G13" s="1" t="s">
        <v>984</v>
      </c>
      <c r="H13" s="1" t="s">
        <v>644</v>
      </c>
      <c r="I13" s="315">
        <v>3300000</v>
      </c>
      <c r="J13" s="315">
        <v>62700000</v>
      </c>
      <c r="K13" s="315">
        <v>62700000</v>
      </c>
      <c r="L13" s="315">
        <v>4702500</v>
      </c>
      <c r="M13" s="315">
        <v>23062006</v>
      </c>
      <c r="N13" s="315">
        <v>29619125.5</v>
      </c>
      <c r="O13" s="335">
        <f t="shared" si="2"/>
        <v>0.47239434609250397</v>
      </c>
      <c r="P13" s="315">
        <v>94694</v>
      </c>
      <c r="Q13" s="315"/>
      <c r="R13" s="315">
        <v>700</v>
      </c>
      <c r="S13" s="315">
        <v>288</v>
      </c>
      <c r="T13" s="315">
        <v>19</v>
      </c>
      <c r="U13" s="335">
        <v>6.6000000000000003E-2</v>
      </c>
      <c r="V13" s="335"/>
      <c r="W13" s="315">
        <v>214317</v>
      </c>
      <c r="X13" s="315">
        <v>6534371</v>
      </c>
      <c r="Y13" s="315">
        <v>3364300</v>
      </c>
      <c r="Z13" s="315">
        <v>0</v>
      </c>
      <c r="AA13" s="315">
        <v>0</v>
      </c>
      <c r="AB13" s="315">
        <v>10500</v>
      </c>
      <c r="AC13" s="315">
        <v>6932</v>
      </c>
      <c r="AD13" s="315">
        <v>0</v>
      </c>
      <c r="AE13" s="315">
        <v>0</v>
      </c>
      <c r="AF13" s="315">
        <v>0</v>
      </c>
      <c r="AG13" s="315">
        <v>300000</v>
      </c>
      <c r="AH13" s="315">
        <v>0</v>
      </c>
      <c r="AI13" s="315">
        <v>220500</v>
      </c>
      <c r="AJ13" s="315">
        <v>1540000</v>
      </c>
      <c r="AK13" s="315">
        <v>0</v>
      </c>
      <c r="AL13" s="315">
        <v>0</v>
      </c>
    </row>
    <row r="14" spans="1:38" x14ac:dyDescent="0.55000000000000004">
      <c r="A14" s="1" t="s">
        <v>646</v>
      </c>
      <c r="B14" s="313" t="s">
        <v>65</v>
      </c>
      <c r="C14" s="313" t="s">
        <v>134</v>
      </c>
      <c r="D14" s="1" t="s">
        <v>985</v>
      </c>
      <c r="E14" s="1"/>
      <c r="F14" s="1" t="s">
        <v>986</v>
      </c>
      <c r="G14" s="1" t="s">
        <v>965</v>
      </c>
      <c r="H14" s="1" t="s">
        <v>662</v>
      </c>
      <c r="I14" s="315">
        <v>2451714.2857142859</v>
      </c>
      <c r="J14" s="315">
        <v>85810000</v>
      </c>
      <c r="K14" s="315">
        <v>85810000</v>
      </c>
      <c r="L14" s="315">
        <v>6435750</v>
      </c>
      <c r="M14" s="315">
        <v>32231988.5</v>
      </c>
      <c r="N14" s="315">
        <v>45029839.5</v>
      </c>
      <c r="O14" s="335">
        <f t="shared" si="2"/>
        <v>0.52476214310686398</v>
      </c>
      <c r="P14" s="315">
        <v>71322</v>
      </c>
      <c r="Q14" s="315"/>
      <c r="R14" s="315">
        <v>1500</v>
      </c>
      <c r="S14" s="315">
        <v>410</v>
      </c>
      <c r="T14" s="315">
        <v>35</v>
      </c>
      <c r="U14" s="335">
        <v>8.5000000000000006E-2</v>
      </c>
      <c r="V14" s="335"/>
      <c r="W14" s="315">
        <v>211479</v>
      </c>
      <c r="X14" s="315">
        <v>6010947</v>
      </c>
      <c r="Y14" s="315">
        <v>5669247</v>
      </c>
      <c r="Z14" s="315">
        <v>0</v>
      </c>
      <c r="AA14" s="315">
        <v>0</v>
      </c>
      <c r="AB14" s="315">
        <v>5500</v>
      </c>
      <c r="AC14" s="315">
        <v>7200</v>
      </c>
      <c r="AD14" s="315">
        <v>0</v>
      </c>
      <c r="AE14" s="315">
        <v>0</v>
      </c>
      <c r="AF14" s="315">
        <v>0</v>
      </c>
      <c r="AG14" s="315">
        <v>0</v>
      </c>
      <c r="AH14" s="315">
        <v>0</v>
      </c>
      <c r="AI14" s="315">
        <v>387500</v>
      </c>
      <c r="AJ14" s="315">
        <v>2631100</v>
      </c>
      <c r="AK14" s="315">
        <v>0</v>
      </c>
      <c r="AL14" s="315">
        <v>0</v>
      </c>
    </row>
    <row r="15" spans="1:38" x14ac:dyDescent="0.55000000000000004">
      <c r="A15" s="1" t="s">
        <v>646</v>
      </c>
      <c r="B15" s="313" t="s">
        <v>987</v>
      </c>
      <c r="C15" s="313" t="s">
        <v>138</v>
      </c>
      <c r="D15" s="1" t="s">
        <v>988</v>
      </c>
      <c r="E15" s="1"/>
      <c r="F15" s="1" t="s">
        <v>989</v>
      </c>
      <c r="G15" s="1" t="s">
        <v>990</v>
      </c>
      <c r="H15" s="1" t="s">
        <v>644</v>
      </c>
      <c r="I15" s="315">
        <v>1990000</v>
      </c>
      <c r="J15" s="315">
        <v>21890000</v>
      </c>
      <c r="K15" s="315">
        <v>42460000</v>
      </c>
      <c r="L15" s="315">
        <v>3184500</v>
      </c>
      <c r="M15" s="315">
        <v>7850684</v>
      </c>
      <c r="N15" s="315">
        <v>19531600</v>
      </c>
      <c r="O15" s="335">
        <f t="shared" si="2"/>
        <v>0.89226130653266333</v>
      </c>
      <c r="P15" s="315">
        <v>499990</v>
      </c>
      <c r="Q15" s="315"/>
      <c r="R15" s="315">
        <v>700</v>
      </c>
      <c r="S15" s="315">
        <v>259</v>
      </c>
      <c r="T15" s="315">
        <v>11</v>
      </c>
      <c r="U15" s="335">
        <v>4.2000000000000003E-2</v>
      </c>
      <c r="V15" s="335"/>
      <c r="W15" s="315">
        <v>209928</v>
      </c>
      <c r="X15" s="315">
        <v>20539804</v>
      </c>
      <c r="Y15" s="315">
        <v>0</v>
      </c>
      <c r="Z15" s="315">
        <v>0</v>
      </c>
      <c r="AA15" s="315">
        <v>0</v>
      </c>
      <c r="AB15" s="315">
        <v>12000</v>
      </c>
      <c r="AC15" s="315">
        <v>0</v>
      </c>
      <c r="AD15" s="315">
        <v>0</v>
      </c>
      <c r="AE15" s="315">
        <v>0</v>
      </c>
      <c r="AF15" s="315">
        <v>0</v>
      </c>
      <c r="AG15" s="315">
        <v>1424500</v>
      </c>
      <c r="AH15" s="315">
        <v>0</v>
      </c>
      <c r="AI15" s="315">
        <v>184400</v>
      </c>
      <c r="AJ15" s="315">
        <v>2640000</v>
      </c>
      <c r="AK15" s="315">
        <v>0</v>
      </c>
      <c r="AL15" s="315">
        <v>0</v>
      </c>
    </row>
    <row r="16" spans="1:38" x14ac:dyDescent="0.55000000000000004">
      <c r="A16" s="1" t="s">
        <v>646</v>
      </c>
      <c r="B16" s="313" t="s">
        <v>957</v>
      </c>
      <c r="C16" s="313" t="s">
        <v>138</v>
      </c>
      <c r="D16" s="1" t="s">
        <v>991</v>
      </c>
      <c r="E16" s="1"/>
      <c r="F16" s="1" t="s">
        <v>992</v>
      </c>
      <c r="G16" s="1" t="s">
        <v>693</v>
      </c>
      <c r="H16" s="1" t="s">
        <v>680</v>
      </c>
      <c r="I16" s="315">
        <v>3274838.7096774192</v>
      </c>
      <c r="J16" s="315">
        <v>710640000</v>
      </c>
      <c r="K16" s="315">
        <v>664580000</v>
      </c>
      <c r="L16" s="315">
        <v>49843500</v>
      </c>
      <c r="M16" s="315">
        <v>294772504</v>
      </c>
      <c r="N16" s="315">
        <v>386639511</v>
      </c>
      <c r="O16" s="335">
        <f t="shared" si="2"/>
        <v>0.54407226021614319</v>
      </c>
      <c r="P16" s="315">
        <v>167216</v>
      </c>
      <c r="Q16" s="315"/>
      <c r="R16" s="315">
        <v>2500</v>
      </c>
      <c r="S16" s="315">
        <v>862</v>
      </c>
      <c r="T16" s="315">
        <v>217</v>
      </c>
      <c r="U16" s="335">
        <v>0.252</v>
      </c>
      <c r="V16" s="335"/>
      <c r="W16" s="315">
        <v>156337</v>
      </c>
      <c r="X16" s="315">
        <v>14999468</v>
      </c>
      <c r="Y16" s="315">
        <v>8338687</v>
      </c>
      <c r="Z16" s="315">
        <v>0</v>
      </c>
      <c r="AA16" s="315">
        <v>0</v>
      </c>
      <c r="AB16" s="315">
        <v>8569</v>
      </c>
      <c r="AC16" s="315">
        <v>12000</v>
      </c>
      <c r="AD16" s="315">
        <v>0</v>
      </c>
      <c r="AE16" s="315">
        <v>0</v>
      </c>
      <c r="AF16" s="315">
        <v>0</v>
      </c>
      <c r="AG16" s="315">
        <v>0</v>
      </c>
      <c r="AH16" s="315">
        <v>0</v>
      </c>
      <c r="AI16" s="315">
        <v>157000</v>
      </c>
      <c r="AJ16" s="315">
        <v>1540000</v>
      </c>
      <c r="AK16" s="315">
        <v>0</v>
      </c>
      <c r="AL16" s="315">
        <v>0</v>
      </c>
    </row>
    <row r="17" spans="1:38" x14ac:dyDescent="0.55000000000000004">
      <c r="A17" s="1" t="s">
        <v>646</v>
      </c>
      <c r="B17" s="313" t="s">
        <v>957</v>
      </c>
      <c r="C17" s="313" t="s">
        <v>138</v>
      </c>
      <c r="D17" s="1" t="s">
        <v>993</v>
      </c>
      <c r="E17" s="1"/>
      <c r="F17" s="1" t="s">
        <v>994</v>
      </c>
      <c r="G17" s="1" t="s">
        <v>968</v>
      </c>
      <c r="H17" s="1" t="s">
        <v>662</v>
      </c>
      <c r="I17" s="315">
        <v>2151428.5714285714</v>
      </c>
      <c r="J17" s="315">
        <v>15060000</v>
      </c>
      <c r="K17" s="315">
        <v>15060000</v>
      </c>
      <c r="L17" s="315">
        <v>1129500</v>
      </c>
      <c r="M17" s="315">
        <v>1191006</v>
      </c>
      <c r="N17" s="315">
        <v>7134707</v>
      </c>
      <c r="O17" s="335">
        <f t="shared" si="2"/>
        <v>0.47375212483399737</v>
      </c>
      <c r="P17" s="315">
        <v>68274</v>
      </c>
      <c r="Q17" s="315"/>
      <c r="R17" s="315">
        <v>980</v>
      </c>
      <c r="S17" s="315">
        <v>377</v>
      </c>
      <c r="T17" s="315">
        <v>7</v>
      </c>
      <c r="U17" s="335">
        <v>1.9E-2</v>
      </c>
      <c r="V17" s="335"/>
      <c r="W17" s="315">
        <v>156271</v>
      </c>
      <c r="X17" s="315">
        <v>3975797</v>
      </c>
      <c r="Y17" s="315">
        <v>5273920</v>
      </c>
      <c r="Z17" s="315">
        <v>0</v>
      </c>
      <c r="AA17" s="315">
        <v>0</v>
      </c>
      <c r="AB17" s="315">
        <v>8550</v>
      </c>
      <c r="AC17" s="315">
        <v>4839</v>
      </c>
      <c r="AD17" s="315">
        <v>0</v>
      </c>
      <c r="AE17" s="315">
        <v>0</v>
      </c>
      <c r="AF17" s="315">
        <v>0</v>
      </c>
      <c r="AG17" s="315">
        <v>0</v>
      </c>
      <c r="AH17" s="315">
        <v>0</v>
      </c>
      <c r="AI17" s="315">
        <v>246900</v>
      </c>
      <c r="AJ17" s="315">
        <v>1895600</v>
      </c>
      <c r="AK17" s="315">
        <v>0</v>
      </c>
      <c r="AL17" s="315">
        <v>0</v>
      </c>
    </row>
    <row r="18" spans="1:38" x14ac:dyDescent="0.55000000000000004">
      <c r="A18" s="1" t="s">
        <v>646</v>
      </c>
      <c r="B18" s="313" t="s">
        <v>960</v>
      </c>
      <c r="C18" s="313" t="s">
        <v>138</v>
      </c>
      <c r="D18" s="1" t="s">
        <v>995</v>
      </c>
      <c r="E18" s="1"/>
      <c r="F18" s="1" t="s">
        <v>996</v>
      </c>
      <c r="G18" s="1" t="s">
        <v>997</v>
      </c>
      <c r="H18" s="1" t="s">
        <v>644</v>
      </c>
      <c r="I18" s="315">
        <v>2890000</v>
      </c>
      <c r="J18" s="315">
        <v>28900000</v>
      </c>
      <c r="K18" s="315">
        <v>28900000</v>
      </c>
      <c r="L18" s="315">
        <v>2167500</v>
      </c>
      <c r="M18" s="315">
        <v>4673214.5</v>
      </c>
      <c r="N18" s="776"/>
      <c r="O18" s="315"/>
      <c r="P18" s="315">
        <v>154648</v>
      </c>
      <c r="Q18" s="315"/>
      <c r="R18" s="315">
        <v>700</v>
      </c>
      <c r="S18" s="315">
        <v>179</v>
      </c>
      <c r="T18" s="315">
        <v>10</v>
      </c>
      <c r="U18" s="335">
        <v>5.6000000000000001E-2</v>
      </c>
      <c r="V18" s="335"/>
      <c r="W18" s="315">
        <v>156271</v>
      </c>
      <c r="X18" s="315">
        <v>15600000</v>
      </c>
      <c r="Y18" s="315">
        <v>0</v>
      </c>
      <c r="Z18" s="315">
        <v>0</v>
      </c>
      <c r="AA18" s="315">
        <v>0</v>
      </c>
      <c r="AB18" s="315">
        <v>15134</v>
      </c>
      <c r="AC18" s="315">
        <v>0</v>
      </c>
      <c r="AD18" s="315">
        <v>0</v>
      </c>
      <c r="AE18" s="315">
        <v>0</v>
      </c>
      <c r="AF18" s="315">
        <v>1200000</v>
      </c>
      <c r="AG18" s="315">
        <v>0</v>
      </c>
      <c r="AH18" s="315">
        <v>1650000</v>
      </c>
      <c r="AI18" s="315">
        <v>268000</v>
      </c>
      <c r="AJ18" s="315">
        <v>1361800</v>
      </c>
      <c r="AK18" s="315">
        <v>0</v>
      </c>
      <c r="AL18" s="315">
        <v>0</v>
      </c>
    </row>
    <row r="19" spans="1:38" x14ac:dyDescent="0.55000000000000004">
      <c r="A19" s="1" t="s">
        <v>646</v>
      </c>
      <c r="B19" s="313" t="s">
        <v>65</v>
      </c>
      <c r="C19" s="313" t="s">
        <v>134</v>
      </c>
      <c r="D19" s="1" t="s">
        <v>998</v>
      </c>
      <c r="E19" s="1"/>
      <c r="F19" s="1" t="s">
        <v>999</v>
      </c>
      <c r="G19" s="1" t="s">
        <v>1000</v>
      </c>
      <c r="H19" s="1" t="s">
        <v>644</v>
      </c>
      <c r="I19" s="315">
        <v>1700000</v>
      </c>
      <c r="J19" s="315">
        <v>34000000</v>
      </c>
      <c r="K19" s="315">
        <v>34000000</v>
      </c>
      <c r="L19" s="315">
        <v>2550000</v>
      </c>
      <c r="M19" s="315">
        <v>15725000</v>
      </c>
      <c r="N19" s="776"/>
      <c r="O19" s="315"/>
      <c r="P19" s="315">
        <v>0</v>
      </c>
      <c r="Q19" s="315"/>
      <c r="R19" s="315">
        <v>700</v>
      </c>
      <c r="S19" s="315">
        <v>363</v>
      </c>
      <c r="T19" s="315">
        <v>20</v>
      </c>
      <c r="U19" s="335">
        <v>5.5E-2</v>
      </c>
      <c r="V19" s="335"/>
      <c r="W19" s="315">
        <v>0</v>
      </c>
      <c r="X19" s="315">
        <v>0</v>
      </c>
      <c r="Y19" s="315">
        <v>0</v>
      </c>
      <c r="Z19" s="315">
        <v>0</v>
      </c>
      <c r="AA19" s="315">
        <v>0</v>
      </c>
      <c r="AB19" s="315">
        <v>0</v>
      </c>
      <c r="AC19" s="315">
        <v>0</v>
      </c>
      <c r="AD19" s="315">
        <v>0</v>
      </c>
      <c r="AE19" s="315">
        <v>0</v>
      </c>
      <c r="AF19" s="315">
        <v>0</v>
      </c>
      <c r="AG19" s="315">
        <v>0</v>
      </c>
      <c r="AH19" s="315">
        <v>0</v>
      </c>
      <c r="AI19" s="315">
        <v>0</v>
      </c>
      <c r="AJ19" s="315">
        <v>0</v>
      </c>
      <c r="AK19" s="315">
        <v>0</v>
      </c>
      <c r="AL19" s="315">
        <v>0</v>
      </c>
    </row>
    <row r="20" spans="1:38" x14ac:dyDescent="0.55000000000000004">
      <c r="A20" s="1" t="s">
        <v>646</v>
      </c>
      <c r="B20" s="313"/>
      <c r="C20" s="313"/>
      <c r="D20" s="1" t="s">
        <v>1001</v>
      </c>
      <c r="E20" s="1"/>
      <c r="F20" s="1" t="s">
        <v>1002</v>
      </c>
      <c r="G20" s="1" t="s">
        <v>990</v>
      </c>
      <c r="H20" s="1" t="s">
        <v>644</v>
      </c>
      <c r="I20" s="315">
        <v>1990000</v>
      </c>
      <c r="J20" s="315">
        <v>21890000</v>
      </c>
      <c r="K20" s="315"/>
      <c r="L20" s="315"/>
      <c r="M20" s="315"/>
      <c r="N20" s="776"/>
      <c r="O20" s="315"/>
      <c r="P20" s="315"/>
      <c r="Q20" s="315"/>
      <c r="R20" s="315"/>
      <c r="S20" s="315"/>
      <c r="T20" s="315">
        <v>11</v>
      </c>
      <c r="U20" s="335">
        <v>0.04</v>
      </c>
      <c r="V20" s="335"/>
      <c r="W20" s="315">
        <v>0</v>
      </c>
      <c r="X20" s="315">
        <v>0</v>
      </c>
      <c r="Y20" s="315">
        <v>0</v>
      </c>
      <c r="Z20" s="315">
        <v>0</v>
      </c>
      <c r="AA20" s="315">
        <v>0</v>
      </c>
      <c r="AB20" s="315">
        <v>0</v>
      </c>
      <c r="AC20" s="315">
        <v>0</v>
      </c>
      <c r="AD20" s="315">
        <v>0</v>
      </c>
      <c r="AE20" s="315">
        <v>0</v>
      </c>
      <c r="AF20" s="315">
        <v>0</v>
      </c>
      <c r="AG20" s="315">
        <v>0</v>
      </c>
      <c r="AH20" s="315">
        <v>0</v>
      </c>
      <c r="AI20" s="315">
        <v>0</v>
      </c>
      <c r="AJ20" s="315">
        <v>0</v>
      </c>
      <c r="AK20" s="315">
        <v>0</v>
      </c>
      <c r="AL20" s="315">
        <v>0</v>
      </c>
    </row>
    <row r="21" spans="1:38" x14ac:dyDescent="0.55000000000000004">
      <c r="A21" s="1" t="s">
        <v>3</v>
      </c>
      <c r="B21" s="313" t="s">
        <v>65</v>
      </c>
      <c r="C21" s="313" t="s">
        <v>134</v>
      </c>
      <c r="D21" s="1" t="s">
        <v>1003</v>
      </c>
      <c r="E21" s="1"/>
      <c r="F21" s="1" t="s">
        <v>1004</v>
      </c>
      <c r="G21" s="1" t="s">
        <v>965</v>
      </c>
      <c r="H21" s="1" t="s">
        <v>680</v>
      </c>
      <c r="I21" s="315">
        <v>2469019.6078431373</v>
      </c>
      <c r="J21" s="315">
        <v>125920000</v>
      </c>
      <c r="K21" s="315">
        <v>125920000</v>
      </c>
      <c r="L21" s="315">
        <v>9444000</v>
      </c>
      <c r="M21" s="315">
        <v>46930612</v>
      </c>
      <c r="N21" s="315">
        <v>67643337</v>
      </c>
      <c r="O21" s="335">
        <f t="shared" ref="O21:O22" si="3">N21/J21</f>
        <v>0.53719295584498095</v>
      </c>
      <c r="P21" s="315">
        <v>131631</v>
      </c>
      <c r="Q21" s="315">
        <f t="shared" ref="Q21:Q68" si="4">IF(P21=0,0,R21)</f>
        <v>2055</v>
      </c>
      <c r="R21" s="315">
        <v>2055</v>
      </c>
      <c r="S21" s="315">
        <v>627</v>
      </c>
      <c r="T21" s="315">
        <v>51</v>
      </c>
      <c r="U21" s="335">
        <v>8.1000000000000003E-2</v>
      </c>
      <c r="V21" s="315">
        <f t="shared" ref="V21:V68" si="5">SUM(W21:Y21)</f>
        <v>20037976</v>
      </c>
      <c r="W21" s="315">
        <v>1931247</v>
      </c>
      <c r="X21" s="315">
        <v>6999198</v>
      </c>
      <c r="Y21" s="315">
        <v>11107531</v>
      </c>
      <c r="Z21" s="315">
        <v>0</v>
      </c>
      <c r="AA21" s="315">
        <v>0</v>
      </c>
      <c r="AB21" s="315">
        <v>5165</v>
      </c>
      <c r="AC21" s="315">
        <v>9062</v>
      </c>
      <c r="AD21" s="315">
        <v>0</v>
      </c>
      <c r="AE21" s="315">
        <v>0</v>
      </c>
      <c r="AF21" s="315">
        <v>0</v>
      </c>
      <c r="AG21" s="315">
        <v>0</v>
      </c>
      <c r="AH21" s="315">
        <v>0</v>
      </c>
      <c r="AI21" s="315">
        <v>176800</v>
      </c>
      <c r="AJ21" s="315">
        <v>2400000</v>
      </c>
      <c r="AK21" s="315">
        <v>0</v>
      </c>
      <c r="AL21" s="315">
        <v>0</v>
      </c>
    </row>
    <row r="22" spans="1:38" x14ac:dyDescent="0.55000000000000004">
      <c r="A22" s="1" t="s">
        <v>771</v>
      </c>
      <c r="B22" s="313" t="s">
        <v>65</v>
      </c>
      <c r="C22" s="313" t="s">
        <v>134</v>
      </c>
      <c r="D22" s="1" t="s">
        <v>1005</v>
      </c>
      <c r="E22" s="1"/>
      <c r="F22" s="1" t="s">
        <v>1006</v>
      </c>
      <c r="G22" s="1" t="s">
        <v>653</v>
      </c>
      <c r="H22" s="1" t="s">
        <v>1007</v>
      </c>
      <c r="I22" s="315">
        <v>1977836.0655737706</v>
      </c>
      <c r="J22" s="315">
        <v>120648000</v>
      </c>
      <c r="K22" s="315">
        <v>119988000</v>
      </c>
      <c r="L22" s="315">
        <v>8999100</v>
      </c>
      <c r="M22" s="315">
        <v>48672461.5</v>
      </c>
      <c r="N22" s="315">
        <v>55520810</v>
      </c>
      <c r="O22" s="335">
        <f t="shared" si="3"/>
        <v>0.46018839931039057</v>
      </c>
      <c r="P22" s="315">
        <v>114993</v>
      </c>
      <c r="Q22" s="315">
        <f t="shared" si="4"/>
        <v>1367</v>
      </c>
      <c r="R22" s="315">
        <v>1367</v>
      </c>
      <c r="S22" s="315">
        <v>490</v>
      </c>
      <c r="T22" s="315">
        <v>61</v>
      </c>
      <c r="U22" s="335">
        <v>0.124</v>
      </c>
      <c r="V22" s="315">
        <f t="shared" si="5"/>
        <v>12218277</v>
      </c>
      <c r="W22" s="315">
        <v>2336968</v>
      </c>
      <c r="X22" s="315">
        <v>5000000</v>
      </c>
      <c r="Y22" s="315">
        <v>4881309</v>
      </c>
      <c r="Z22" s="315">
        <v>0</v>
      </c>
      <c r="AA22" s="315">
        <v>0</v>
      </c>
      <c r="AB22" s="315">
        <v>5713</v>
      </c>
      <c r="AC22" s="315">
        <v>7723</v>
      </c>
      <c r="AD22" s="315">
        <v>0</v>
      </c>
      <c r="AE22" s="315">
        <v>0</v>
      </c>
      <c r="AF22" s="315">
        <v>0</v>
      </c>
      <c r="AG22" s="315">
        <v>0</v>
      </c>
      <c r="AH22" s="315">
        <v>0</v>
      </c>
      <c r="AI22" s="315">
        <v>181800</v>
      </c>
      <c r="AJ22" s="315">
        <v>1243900</v>
      </c>
      <c r="AK22" s="315">
        <v>0</v>
      </c>
      <c r="AL22" s="315">
        <v>0</v>
      </c>
    </row>
    <row r="23" spans="1:38" x14ac:dyDescent="0.55000000000000004">
      <c r="A23" s="1" t="s">
        <v>771</v>
      </c>
      <c r="B23" s="313" t="s">
        <v>65</v>
      </c>
      <c r="C23" s="313" t="s">
        <v>134</v>
      </c>
      <c r="D23" s="1" t="s">
        <v>1008</v>
      </c>
      <c r="E23" s="1"/>
      <c r="F23" s="1" t="s">
        <v>999</v>
      </c>
      <c r="G23" s="1" t="s">
        <v>1000</v>
      </c>
      <c r="H23" s="1" t="s">
        <v>662</v>
      </c>
      <c r="I23" s="315">
        <v>857142.85714285716</v>
      </c>
      <c r="J23" s="315">
        <v>12000000</v>
      </c>
      <c r="K23" s="315">
        <v>12000000</v>
      </c>
      <c r="L23" s="315">
        <v>900000</v>
      </c>
      <c r="M23" s="315">
        <v>5350000</v>
      </c>
      <c r="N23" s="315">
        <v>0</v>
      </c>
      <c r="O23" s="315"/>
      <c r="P23" s="315">
        <v>0</v>
      </c>
      <c r="Q23" s="315">
        <f t="shared" si="4"/>
        <v>0</v>
      </c>
      <c r="R23" s="315">
        <v>722</v>
      </c>
      <c r="S23" s="315">
        <v>374</v>
      </c>
      <c r="T23" s="315">
        <v>14</v>
      </c>
      <c r="U23" s="335">
        <v>3.6999999999999998E-2</v>
      </c>
      <c r="V23" s="315">
        <f t="shared" si="5"/>
        <v>400000</v>
      </c>
      <c r="W23" s="315">
        <v>400000</v>
      </c>
      <c r="X23" s="315">
        <v>0</v>
      </c>
      <c r="Y23" s="315">
        <v>0</v>
      </c>
      <c r="Z23" s="315">
        <v>0</v>
      </c>
      <c r="AA23" s="315">
        <v>0</v>
      </c>
      <c r="AB23" s="315">
        <v>0</v>
      </c>
      <c r="AC23" s="315">
        <v>0</v>
      </c>
      <c r="AD23" s="315">
        <v>0</v>
      </c>
      <c r="AE23" s="315">
        <v>0</v>
      </c>
      <c r="AF23" s="315">
        <v>0</v>
      </c>
      <c r="AG23" s="315">
        <v>0</v>
      </c>
      <c r="AH23" s="315">
        <v>0</v>
      </c>
      <c r="AI23" s="315">
        <v>0</v>
      </c>
      <c r="AJ23" s="315">
        <v>0</v>
      </c>
      <c r="AK23" s="315">
        <v>0</v>
      </c>
      <c r="AL23" s="315">
        <v>0</v>
      </c>
    </row>
    <row r="24" spans="1:38" x14ac:dyDescent="0.55000000000000004">
      <c r="A24" s="1" t="s">
        <v>771</v>
      </c>
      <c r="B24" s="313" t="s">
        <v>957</v>
      </c>
      <c r="C24" s="313" t="s">
        <v>138</v>
      </c>
      <c r="D24" s="1" t="s">
        <v>1009</v>
      </c>
      <c r="E24" s="1"/>
      <c r="F24" s="1" t="s">
        <v>1010</v>
      </c>
      <c r="G24" s="1" t="s">
        <v>693</v>
      </c>
      <c r="H24" s="1" t="s">
        <v>698</v>
      </c>
      <c r="I24" s="315">
        <v>3428279.5734767024</v>
      </c>
      <c r="J24" s="315">
        <v>956490001</v>
      </c>
      <c r="K24" s="315">
        <v>960080000</v>
      </c>
      <c r="L24" s="315">
        <v>72006000</v>
      </c>
      <c r="M24" s="315">
        <v>427435692</v>
      </c>
      <c r="N24" s="315">
        <v>530415261.91999996</v>
      </c>
      <c r="O24" s="335">
        <f t="shared" ref="O24:O26" si="6">N24/J24</f>
        <v>0.55454344673280065</v>
      </c>
      <c r="P24" s="315">
        <v>280763</v>
      </c>
      <c r="Q24" s="315">
        <f t="shared" si="4"/>
        <v>3274</v>
      </c>
      <c r="R24" s="315">
        <v>3274</v>
      </c>
      <c r="S24" s="315">
        <v>1042</v>
      </c>
      <c r="T24" s="315">
        <v>279</v>
      </c>
      <c r="U24" s="335">
        <v>0.26800000000000002</v>
      </c>
      <c r="V24" s="315">
        <f t="shared" si="5"/>
        <v>31652716</v>
      </c>
      <c r="W24" s="315">
        <v>5744458</v>
      </c>
      <c r="X24" s="315">
        <v>10194818</v>
      </c>
      <c r="Y24" s="315">
        <v>15713440</v>
      </c>
      <c r="Z24" s="315">
        <v>0</v>
      </c>
      <c r="AA24" s="315">
        <v>0</v>
      </c>
      <c r="AB24" s="315">
        <v>8569</v>
      </c>
      <c r="AC24" s="315">
        <v>15654</v>
      </c>
      <c r="AD24" s="315">
        <v>0</v>
      </c>
      <c r="AE24" s="315">
        <v>0</v>
      </c>
      <c r="AF24" s="315">
        <v>0</v>
      </c>
      <c r="AG24" s="315">
        <v>0</v>
      </c>
      <c r="AH24" s="315">
        <v>0</v>
      </c>
      <c r="AI24" s="315">
        <v>119900</v>
      </c>
      <c r="AJ24" s="315">
        <v>1430000</v>
      </c>
      <c r="AK24" s="315">
        <v>0</v>
      </c>
      <c r="AL24" s="315">
        <v>0</v>
      </c>
    </row>
    <row r="25" spans="1:38" x14ac:dyDescent="0.55000000000000004">
      <c r="A25" s="1" t="s">
        <v>771</v>
      </c>
      <c r="B25" s="313" t="s">
        <v>987</v>
      </c>
      <c r="C25" s="313" t="s">
        <v>138</v>
      </c>
      <c r="D25" s="1" t="s">
        <v>1011</v>
      </c>
      <c r="E25" s="1"/>
      <c r="F25" s="1" t="s">
        <v>1012</v>
      </c>
      <c r="G25" s="1" t="s">
        <v>1013</v>
      </c>
      <c r="H25" s="1" t="s">
        <v>644</v>
      </c>
      <c r="I25" s="315">
        <v>2107500</v>
      </c>
      <c r="J25" s="315">
        <v>67440000</v>
      </c>
      <c r="K25" s="315">
        <v>67440000</v>
      </c>
      <c r="L25" s="315">
        <v>5058000</v>
      </c>
      <c r="M25" s="315">
        <v>23700609.5</v>
      </c>
      <c r="N25" s="315">
        <v>31055558</v>
      </c>
      <c r="O25" s="335">
        <f t="shared" si="6"/>
        <v>0.46049166666666669</v>
      </c>
      <c r="P25" s="315">
        <v>221935</v>
      </c>
      <c r="Q25" s="315">
        <f t="shared" si="4"/>
        <v>1600</v>
      </c>
      <c r="R25" s="315">
        <v>1600</v>
      </c>
      <c r="S25" s="315">
        <v>430</v>
      </c>
      <c r="T25" s="315">
        <v>32</v>
      </c>
      <c r="U25" s="335">
        <v>7.3999999999999996E-2</v>
      </c>
      <c r="V25" s="315">
        <f t="shared" si="5"/>
        <v>12410981</v>
      </c>
      <c r="W25" s="315">
        <v>410981</v>
      </c>
      <c r="X25" s="315">
        <v>12000000</v>
      </c>
      <c r="Y25" s="315">
        <v>0</v>
      </c>
      <c r="Z25" s="315">
        <v>0</v>
      </c>
      <c r="AA25" s="315">
        <v>0</v>
      </c>
      <c r="AB25" s="315">
        <v>8456</v>
      </c>
      <c r="AC25" s="315">
        <v>0</v>
      </c>
      <c r="AD25" s="315">
        <v>0</v>
      </c>
      <c r="AE25" s="315">
        <v>0</v>
      </c>
      <c r="AF25" s="315">
        <v>0</v>
      </c>
      <c r="AG25" s="315">
        <v>884400</v>
      </c>
      <c r="AH25" s="315">
        <v>0</v>
      </c>
      <c r="AI25" s="315">
        <v>109800</v>
      </c>
      <c r="AJ25" s="315">
        <v>2460000</v>
      </c>
      <c r="AK25" s="315">
        <v>0</v>
      </c>
      <c r="AL25" s="315">
        <v>490000</v>
      </c>
    </row>
    <row r="26" spans="1:38" x14ac:dyDescent="0.55000000000000004">
      <c r="A26" s="1" t="s">
        <v>771</v>
      </c>
      <c r="B26" s="313" t="s">
        <v>65</v>
      </c>
      <c r="C26" s="313" t="s">
        <v>134</v>
      </c>
      <c r="D26" s="1" t="s">
        <v>1014</v>
      </c>
      <c r="E26" s="1"/>
      <c r="F26" s="1" t="s">
        <v>1015</v>
      </c>
      <c r="G26" s="1" t="s">
        <v>1016</v>
      </c>
      <c r="H26" s="1" t="s">
        <v>644</v>
      </c>
      <c r="I26" s="315">
        <v>2590000</v>
      </c>
      <c r="J26" s="315">
        <v>31080000</v>
      </c>
      <c r="K26" s="315">
        <v>31080000</v>
      </c>
      <c r="L26" s="315">
        <v>2331000</v>
      </c>
      <c r="M26" s="315">
        <v>6686875.5</v>
      </c>
      <c r="N26" s="315">
        <v>14290429.5</v>
      </c>
      <c r="O26" s="335">
        <f t="shared" si="6"/>
        <v>0.45979502895752894</v>
      </c>
      <c r="P26" s="315">
        <v>0</v>
      </c>
      <c r="Q26" s="315">
        <f t="shared" si="4"/>
        <v>0</v>
      </c>
      <c r="R26" s="315">
        <v>1800</v>
      </c>
      <c r="S26" s="315">
        <v>589</v>
      </c>
      <c r="T26" s="315">
        <v>12</v>
      </c>
      <c r="U26" s="335">
        <v>0.02</v>
      </c>
      <c r="V26" s="315">
        <f t="shared" si="5"/>
        <v>14000149</v>
      </c>
      <c r="W26" s="315">
        <v>410981</v>
      </c>
      <c r="X26" s="315">
        <v>5486502</v>
      </c>
      <c r="Y26" s="315">
        <v>8102666</v>
      </c>
      <c r="Z26" s="315">
        <v>0</v>
      </c>
      <c r="AA26" s="315">
        <v>0</v>
      </c>
      <c r="AB26" s="315">
        <v>6206</v>
      </c>
      <c r="AC26" s="315">
        <v>4234</v>
      </c>
      <c r="AD26" s="315">
        <v>0</v>
      </c>
      <c r="AE26" s="315">
        <v>0</v>
      </c>
      <c r="AF26" s="315">
        <v>0</v>
      </c>
      <c r="AG26" s="315">
        <v>871200</v>
      </c>
      <c r="AH26" s="315">
        <v>0</v>
      </c>
      <c r="AI26" s="315">
        <v>109800</v>
      </c>
      <c r="AJ26" s="315">
        <v>1265300</v>
      </c>
      <c r="AK26" s="315">
        <v>0</v>
      </c>
      <c r="AL26" s="315">
        <v>0</v>
      </c>
    </row>
    <row r="27" spans="1:38" x14ac:dyDescent="0.55000000000000004">
      <c r="A27" s="1" t="s">
        <v>771</v>
      </c>
      <c r="B27" s="313"/>
      <c r="C27" s="313"/>
      <c r="D27" s="1" t="s">
        <v>1017</v>
      </c>
      <c r="E27" s="1"/>
      <c r="F27" s="1" t="s">
        <v>1018</v>
      </c>
      <c r="G27" s="1" t="s">
        <v>968</v>
      </c>
      <c r="H27" s="1" t="s">
        <v>680</v>
      </c>
      <c r="I27" s="315" t="e">
        <v>#DIV/0!</v>
      </c>
      <c r="J27" s="315">
        <v>0</v>
      </c>
      <c r="K27" s="315"/>
      <c r="L27" s="315"/>
      <c r="M27" s="315"/>
      <c r="N27" s="776"/>
      <c r="O27" s="315"/>
      <c r="P27" s="315">
        <v>0</v>
      </c>
      <c r="Q27" s="315">
        <f t="shared" si="4"/>
        <v>0</v>
      </c>
      <c r="R27" s="315">
        <v>570</v>
      </c>
      <c r="S27" s="315">
        <v>236</v>
      </c>
      <c r="T27" s="315">
        <v>0</v>
      </c>
      <c r="U27" s="335">
        <v>0</v>
      </c>
      <c r="V27" s="315">
        <f t="shared" si="5"/>
        <v>4238867</v>
      </c>
      <c r="W27" s="315">
        <v>0</v>
      </c>
      <c r="X27" s="315">
        <v>0</v>
      </c>
      <c r="Y27" s="315">
        <v>4238867</v>
      </c>
      <c r="Z27" s="315">
        <v>0</v>
      </c>
      <c r="AA27" s="315">
        <v>0</v>
      </c>
      <c r="AB27" s="315">
        <v>0</v>
      </c>
      <c r="AC27" s="315">
        <v>4897</v>
      </c>
      <c r="AD27" s="315">
        <v>0</v>
      </c>
      <c r="AE27" s="315">
        <v>0</v>
      </c>
      <c r="AF27" s="315">
        <v>0</v>
      </c>
      <c r="AG27" s="315">
        <v>0</v>
      </c>
      <c r="AH27" s="315"/>
      <c r="AI27" s="315">
        <v>140900</v>
      </c>
      <c r="AJ27" s="315">
        <v>240000</v>
      </c>
      <c r="AK27" s="315">
        <v>0</v>
      </c>
      <c r="AL27" s="315">
        <v>0</v>
      </c>
    </row>
    <row r="28" spans="1:38" x14ac:dyDescent="0.55000000000000004">
      <c r="A28" s="1" t="s">
        <v>771</v>
      </c>
      <c r="B28" s="313" t="s">
        <v>65</v>
      </c>
      <c r="C28" s="313" t="s">
        <v>134</v>
      </c>
      <c r="D28" s="1" t="s">
        <v>1019</v>
      </c>
      <c r="E28" s="1"/>
      <c r="F28" s="1" t="s">
        <v>1020</v>
      </c>
      <c r="G28" s="1" t="s">
        <v>1021</v>
      </c>
      <c r="H28" s="1" t="s">
        <v>644</v>
      </c>
      <c r="I28" s="315">
        <v>2435411.7647058824</v>
      </c>
      <c r="J28" s="315">
        <v>207010000</v>
      </c>
      <c r="K28" s="315">
        <v>207010000</v>
      </c>
      <c r="L28" s="315">
        <v>15525750</v>
      </c>
      <c r="M28" s="315">
        <v>87956477</v>
      </c>
      <c r="N28" s="315">
        <v>97460800</v>
      </c>
      <c r="O28" s="335">
        <f t="shared" ref="O28:O31" si="7">N28/J28</f>
        <v>0.47080237669677794</v>
      </c>
      <c r="P28" s="315">
        <v>150111</v>
      </c>
      <c r="Q28" s="315">
        <f t="shared" si="4"/>
        <v>3360</v>
      </c>
      <c r="R28" s="315">
        <v>3360</v>
      </c>
      <c r="S28" s="315">
        <v>1250</v>
      </c>
      <c r="T28" s="315">
        <v>85</v>
      </c>
      <c r="U28" s="335">
        <v>6.8000000000000005E-2</v>
      </c>
      <c r="V28" s="315">
        <f t="shared" si="5"/>
        <v>12557296</v>
      </c>
      <c r="W28" s="315">
        <v>834374</v>
      </c>
      <c r="X28" s="315">
        <v>5000000</v>
      </c>
      <c r="Y28" s="315">
        <v>6722922</v>
      </c>
      <c r="Z28" s="315">
        <v>0</v>
      </c>
      <c r="AA28" s="315">
        <v>0</v>
      </c>
      <c r="AB28" s="315">
        <v>3087</v>
      </c>
      <c r="AC28" s="315">
        <v>5873</v>
      </c>
      <c r="AD28" s="315">
        <v>0</v>
      </c>
      <c r="AE28" s="315">
        <v>0</v>
      </c>
      <c r="AF28" s="315">
        <v>715000</v>
      </c>
      <c r="AG28" s="315">
        <v>0</v>
      </c>
      <c r="AH28" s="315">
        <v>0</v>
      </c>
      <c r="AI28" s="315">
        <v>134000</v>
      </c>
      <c r="AJ28" s="315">
        <v>2880000</v>
      </c>
      <c r="AK28" s="315">
        <v>0</v>
      </c>
      <c r="AL28" s="315">
        <v>2100000</v>
      </c>
    </row>
    <row r="29" spans="1:38" x14ac:dyDescent="0.55000000000000004">
      <c r="A29" s="1" t="s">
        <v>771</v>
      </c>
      <c r="B29" s="313" t="s">
        <v>65</v>
      </c>
      <c r="C29" s="313" t="s">
        <v>134</v>
      </c>
      <c r="D29" s="1" t="s">
        <v>1022</v>
      </c>
      <c r="E29" s="1"/>
      <c r="F29" s="1" t="s">
        <v>1023</v>
      </c>
      <c r="G29" s="1" t="s">
        <v>965</v>
      </c>
      <c r="H29" s="1" t="s">
        <v>698</v>
      </c>
      <c r="I29" s="315">
        <v>2656805.5555555555</v>
      </c>
      <c r="J29" s="315">
        <v>191290000</v>
      </c>
      <c r="K29" s="315">
        <v>191290000</v>
      </c>
      <c r="L29" s="315">
        <v>14346750</v>
      </c>
      <c r="M29" s="315">
        <v>80884657</v>
      </c>
      <c r="N29" s="315">
        <v>99335000</v>
      </c>
      <c r="O29" s="335">
        <f t="shared" si="7"/>
        <v>0.51929008311987035</v>
      </c>
      <c r="P29" s="315">
        <v>132324</v>
      </c>
      <c r="Q29" s="315">
        <f t="shared" si="4"/>
        <v>1630</v>
      </c>
      <c r="R29" s="315">
        <v>1630</v>
      </c>
      <c r="S29" s="315">
        <v>614</v>
      </c>
      <c r="T29" s="315">
        <v>72</v>
      </c>
      <c r="U29" s="335">
        <v>0.11700000000000001</v>
      </c>
      <c r="V29" s="315">
        <f t="shared" si="5"/>
        <v>12727436</v>
      </c>
      <c r="W29" s="315">
        <v>727436</v>
      </c>
      <c r="X29" s="315">
        <v>6000000</v>
      </c>
      <c r="Y29" s="315">
        <v>6000000</v>
      </c>
      <c r="Z29" s="315">
        <v>0</v>
      </c>
      <c r="AA29" s="315">
        <v>0</v>
      </c>
      <c r="AB29" s="315">
        <v>5817</v>
      </c>
      <c r="AC29" s="315">
        <v>5496</v>
      </c>
      <c r="AD29" s="315">
        <v>0</v>
      </c>
      <c r="AE29" s="315">
        <v>0</v>
      </c>
      <c r="AF29" s="315">
        <v>0</v>
      </c>
      <c r="AG29" s="315">
        <v>0</v>
      </c>
      <c r="AH29" s="315">
        <v>0</v>
      </c>
      <c r="AI29" s="315">
        <v>146500</v>
      </c>
      <c r="AJ29" s="315">
        <v>2300000</v>
      </c>
      <c r="AK29" s="315">
        <v>0</v>
      </c>
      <c r="AL29" s="315">
        <v>0</v>
      </c>
    </row>
    <row r="30" spans="1:38" x14ac:dyDescent="0.55000000000000004">
      <c r="A30" s="1" t="s">
        <v>771</v>
      </c>
      <c r="B30" s="313" t="s">
        <v>65</v>
      </c>
      <c r="C30" s="313" t="s">
        <v>134</v>
      </c>
      <c r="D30" s="1" t="s">
        <v>1024</v>
      </c>
      <c r="E30" s="1"/>
      <c r="F30" s="1" t="s">
        <v>1025</v>
      </c>
      <c r="G30" s="1" t="s">
        <v>976</v>
      </c>
      <c r="H30" s="1" t="s">
        <v>662</v>
      </c>
      <c r="I30" s="315">
        <v>1509000</v>
      </c>
      <c r="J30" s="315">
        <v>45270000</v>
      </c>
      <c r="K30" s="315">
        <v>45270000</v>
      </c>
      <c r="L30" s="315">
        <v>3395250</v>
      </c>
      <c r="M30" s="315">
        <v>14563334</v>
      </c>
      <c r="N30" s="315">
        <v>20713579.5</v>
      </c>
      <c r="O30" s="335">
        <f t="shared" si="7"/>
        <v>0.45755642809807817</v>
      </c>
      <c r="P30" s="315">
        <v>63656</v>
      </c>
      <c r="Q30" s="315">
        <f t="shared" si="4"/>
        <v>1165</v>
      </c>
      <c r="R30" s="315">
        <v>1165</v>
      </c>
      <c r="S30" s="315">
        <v>327</v>
      </c>
      <c r="T30" s="315">
        <v>30</v>
      </c>
      <c r="U30" s="335">
        <v>9.1999999999999998E-2</v>
      </c>
      <c r="V30" s="315">
        <f t="shared" si="5"/>
        <v>11251882</v>
      </c>
      <c r="W30" s="315">
        <v>594181</v>
      </c>
      <c r="X30" s="315">
        <v>5000000</v>
      </c>
      <c r="Y30" s="315">
        <v>5657701</v>
      </c>
      <c r="Z30" s="315">
        <v>0</v>
      </c>
      <c r="AA30" s="315">
        <v>0</v>
      </c>
      <c r="AB30" s="315">
        <v>7145</v>
      </c>
      <c r="AC30" s="315">
        <v>11078</v>
      </c>
      <c r="AD30" s="315">
        <v>0</v>
      </c>
      <c r="AE30" s="315">
        <v>0</v>
      </c>
      <c r="AF30" s="315">
        <v>0</v>
      </c>
      <c r="AG30" s="315">
        <v>0</v>
      </c>
      <c r="AH30" s="315">
        <v>0</v>
      </c>
      <c r="AI30" s="315">
        <v>96200</v>
      </c>
      <c r="AJ30" s="315">
        <v>1400000</v>
      </c>
      <c r="AK30" s="315">
        <v>0</v>
      </c>
      <c r="AL30" s="315">
        <v>0</v>
      </c>
    </row>
    <row r="31" spans="1:38" x14ac:dyDescent="0.55000000000000004">
      <c r="A31" s="1" t="s">
        <v>771</v>
      </c>
      <c r="B31" s="313" t="s">
        <v>957</v>
      </c>
      <c r="C31" s="313" t="s">
        <v>138</v>
      </c>
      <c r="D31" s="1" t="s">
        <v>1026</v>
      </c>
      <c r="E31" s="1"/>
      <c r="F31" s="1" t="s">
        <v>1027</v>
      </c>
      <c r="G31" s="1" t="s">
        <v>1028</v>
      </c>
      <c r="H31" s="1" t="s">
        <v>644</v>
      </c>
      <c r="I31" s="315">
        <v>2255909.0909090908</v>
      </c>
      <c r="J31" s="315">
        <v>49630000</v>
      </c>
      <c r="K31" s="315">
        <v>49630000</v>
      </c>
      <c r="L31" s="315">
        <v>3722250</v>
      </c>
      <c r="M31" s="315">
        <v>16046222.5</v>
      </c>
      <c r="N31" s="315">
        <v>24281010</v>
      </c>
      <c r="O31" s="335">
        <f t="shared" si="7"/>
        <v>0.48924058029417689</v>
      </c>
      <c r="P31" s="315">
        <v>151197</v>
      </c>
      <c r="Q31" s="315">
        <f t="shared" si="4"/>
        <v>2350</v>
      </c>
      <c r="R31" s="315">
        <v>2350</v>
      </c>
      <c r="S31" s="315">
        <v>746</v>
      </c>
      <c r="T31" s="315">
        <v>22</v>
      </c>
      <c r="U31" s="335">
        <v>2.9000000000000001E-2</v>
      </c>
      <c r="V31" s="315">
        <f t="shared" si="5"/>
        <v>12580605</v>
      </c>
      <c r="W31" s="315">
        <v>620977</v>
      </c>
      <c r="X31" s="315">
        <v>5000000</v>
      </c>
      <c r="Y31" s="315">
        <v>6959628</v>
      </c>
      <c r="Z31" s="315">
        <v>0</v>
      </c>
      <c r="AA31" s="315">
        <v>0</v>
      </c>
      <c r="AB31" s="315">
        <v>4977</v>
      </c>
      <c r="AC31" s="315">
        <v>4890</v>
      </c>
      <c r="AD31" s="315">
        <v>0</v>
      </c>
      <c r="AE31" s="315">
        <v>0</v>
      </c>
      <c r="AF31" s="315">
        <v>0</v>
      </c>
      <c r="AG31" s="315">
        <v>0</v>
      </c>
      <c r="AH31" s="315">
        <v>0</v>
      </c>
      <c r="AI31" s="315">
        <v>134700</v>
      </c>
      <c r="AJ31" s="315">
        <v>1100000</v>
      </c>
      <c r="AK31" s="315">
        <v>0</v>
      </c>
      <c r="AL31" s="315">
        <v>0</v>
      </c>
    </row>
    <row r="32" spans="1:38" x14ac:dyDescent="0.55000000000000004">
      <c r="A32" s="1" t="s">
        <v>771</v>
      </c>
      <c r="B32" s="313" t="s">
        <v>957</v>
      </c>
      <c r="C32" s="313" t="s">
        <v>138</v>
      </c>
      <c r="D32" s="1" t="s">
        <v>1029</v>
      </c>
      <c r="E32" s="1"/>
      <c r="F32" s="1" t="s">
        <v>1030</v>
      </c>
      <c r="G32" s="1" t="s">
        <v>979</v>
      </c>
      <c r="H32" s="1" t="s">
        <v>662</v>
      </c>
      <c r="I32" s="315">
        <v>3161200</v>
      </c>
      <c r="J32" s="315">
        <v>79030000</v>
      </c>
      <c r="K32" s="315">
        <v>79030000</v>
      </c>
      <c r="L32" s="315">
        <v>5927250</v>
      </c>
      <c r="M32" s="315">
        <v>30606739.5</v>
      </c>
      <c r="N32" s="315">
        <v>37136000</v>
      </c>
      <c r="O32" s="335">
        <f t="shared" ref="O32:O36" si="8">N32/J32</f>
        <v>0.46989750727571811</v>
      </c>
      <c r="P32" s="315">
        <v>101738</v>
      </c>
      <c r="Q32" s="315">
        <f t="shared" si="4"/>
        <v>2123</v>
      </c>
      <c r="R32" s="315">
        <v>2123</v>
      </c>
      <c r="S32" s="315">
        <v>753</v>
      </c>
      <c r="T32" s="315">
        <v>25</v>
      </c>
      <c r="U32" s="335">
        <v>3.3000000000000002E-2</v>
      </c>
      <c r="V32" s="315">
        <f t="shared" si="5"/>
        <v>10659271</v>
      </c>
      <c r="W32" s="315">
        <v>851202</v>
      </c>
      <c r="X32" s="315">
        <v>4859125</v>
      </c>
      <c r="Y32" s="315">
        <v>4948944</v>
      </c>
      <c r="Z32" s="315">
        <v>0</v>
      </c>
      <c r="AA32" s="315">
        <v>0</v>
      </c>
      <c r="AB32" s="315">
        <v>11909</v>
      </c>
      <c r="AC32" s="315">
        <v>9982</v>
      </c>
      <c r="AD32" s="315">
        <v>0</v>
      </c>
      <c r="AE32" s="315">
        <v>0</v>
      </c>
      <c r="AF32" s="315">
        <v>0</v>
      </c>
      <c r="AG32" s="315">
        <v>0</v>
      </c>
      <c r="AH32" s="315">
        <v>0</v>
      </c>
      <c r="AI32" s="315">
        <v>130000</v>
      </c>
      <c r="AJ32" s="315">
        <v>1100000</v>
      </c>
      <c r="AK32" s="315">
        <v>0</v>
      </c>
      <c r="AL32" s="315">
        <v>330000</v>
      </c>
    </row>
    <row r="33" spans="1:38" x14ac:dyDescent="0.55000000000000004">
      <c r="A33" s="1" t="s">
        <v>771</v>
      </c>
      <c r="B33" s="313" t="s">
        <v>65</v>
      </c>
      <c r="C33" s="313" t="s">
        <v>134</v>
      </c>
      <c r="D33" s="1" t="s">
        <v>1031</v>
      </c>
      <c r="E33" s="1"/>
      <c r="F33" s="1" t="s">
        <v>1032</v>
      </c>
      <c r="G33" s="1" t="s">
        <v>659</v>
      </c>
      <c r="H33" s="1" t="s">
        <v>644</v>
      </c>
      <c r="I33" s="315">
        <v>2380990.0990099008</v>
      </c>
      <c r="J33" s="315">
        <v>240480000</v>
      </c>
      <c r="K33" s="315">
        <v>240480000</v>
      </c>
      <c r="L33" s="315">
        <v>18036000</v>
      </c>
      <c r="M33" s="315">
        <v>103075371.5</v>
      </c>
      <c r="N33" s="315">
        <v>98279200</v>
      </c>
      <c r="O33" s="335">
        <f t="shared" si="8"/>
        <v>0.40867930805056552</v>
      </c>
      <c r="P33" s="315">
        <v>149140</v>
      </c>
      <c r="Q33" s="315">
        <f t="shared" si="4"/>
        <v>2582</v>
      </c>
      <c r="R33" s="315">
        <v>2582</v>
      </c>
      <c r="S33" s="315">
        <v>917</v>
      </c>
      <c r="T33" s="315">
        <v>101</v>
      </c>
      <c r="U33" s="335">
        <v>0.11</v>
      </c>
      <c r="V33" s="315">
        <f t="shared" si="5"/>
        <v>15006257</v>
      </c>
      <c r="W33" s="315">
        <v>2371360</v>
      </c>
      <c r="X33" s="315">
        <v>5820973</v>
      </c>
      <c r="Y33" s="315">
        <v>6813924</v>
      </c>
      <c r="Z33" s="315">
        <v>0</v>
      </c>
      <c r="AA33" s="315">
        <v>0</v>
      </c>
      <c r="AB33" s="315">
        <v>6497</v>
      </c>
      <c r="AC33" s="315">
        <v>5934</v>
      </c>
      <c r="AD33" s="315">
        <v>0</v>
      </c>
      <c r="AE33" s="315">
        <v>0</v>
      </c>
      <c r="AF33" s="315">
        <v>0</v>
      </c>
      <c r="AG33" s="315">
        <v>0</v>
      </c>
      <c r="AH33" s="315">
        <v>0</v>
      </c>
      <c r="AI33" s="315">
        <v>187000</v>
      </c>
      <c r="AJ33" s="315">
        <v>1100000</v>
      </c>
      <c r="AK33" s="315">
        <v>0</v>
      </c>
      <c r="AL33" s="315">
        <v>0</v>
      </c>
    </row>
    <row r="34" spans="1:38" x14ac:dyDescent="0.55000000000000004">
      <c r="A34" s="1" t="s">
        <v>771</v>
      </c>
      <c r="B34" s="313" t="s">
        <v>65</v>
      </c>
      <c r="C34" s="313" t="s">
        <v>134</v>
      </c>
      <c r="D34" s="1" t="s">
        <v>1033</v>
      </c>
      <c r="E34" s="1"/>
      <c r="F34" s="1" t="s">
        <v>1034</v>
      </c>
      <c r="G34" s="1" t="s">
        <v>653</v>
      </c>
      <c r="H34" s="1" t="s">
        <v>1035</v>
      </c>
      <c r="I34" s="315">
        <v>2542631.5789473685</v>
      </c>
      <c r="J34" s="315">
        <v>144930000</v>
      </c>
      <c r="K34" s="315">
        <v>144930000</v>
      </c>
      <c r="L34" s="315">
        <v>10869750</v>
      </c>
      <c r="M34" s="315">
        <v>60654588</v>
      </c>
      <c r="N34" s="315">
        <v>66098000</v>
      </c>
      <c r="O34" s="335">
        <f t="shared" si="8"/>
        <v>0.4560684468364038</v>
      </c>
      <c r="P34" s="315">
        <v>84262</v>
      </c>
      <c r="Q34" s="315">
        <f t="shared" si="4"/>
        <v>1547</v>
      </c>
      <c r="R34" s="315">
        <v>1547</v>
      </c>
      <c r="S34" s="315">
        <v>667</v>
      </c>
      <c r="T34" s="315">
        <v>57</v>
      </c>
      <c r="U34" s="335">
        <v>8.5000000000000006E-2</v>
      </c>
      <c r="V34" s="315">
        <f t="shared" si="5"/>
        <v>11563374</v>
      </c>
      <c r="W34" s="315">
        <v>803910</v>
      </c>
      <c r="X34" s="315">
        <v>4853165</v>
      </c>
      <c r="Y34" s="315">
        <v>5906299</v>
      </c>
      <c r="Z34" s="315">
        <v>0</v>
      </c>
      <c r="AA34" s="315">
        <v>0</v>
      </c>
      <c r="AB34" s="315">
        <v>7353</v>
      </c>
      <c r="AC34" s="315">
        <v>5980</v>
      </c>
      <c r="AD34" s="315">
        <v>0</v>
      </c>
      <c r="AE34" s="315">
        <v>0</v>
      </c>
      <c r="AF34" s="315">
        <v>0</v>
      </c>
      <c r="AG34" s="315">
        <v>0</v>
      </c>
      <c r="AH34" s="315">
        <v>0</v>
      </c>
      <c r="AI34" s="315">
        <v>87700</v>
      </c>
      <c r="AJ34" s="315">
        <v>1100000</v>
      </c>
      <c r="AK34" s="315">
        <v>0</v>
      </c>
      <c r="AL34" s="315">
        <v>0</v>
      </c>
    </row>
    <row r="35" spans="1:38" x14ac:dyDescent="0.55000000000000004">
      <c r="A35" s="1" t="s">
        <v>771</v>
      </c>
      <c r="B35" s="313" t="s">
        <v>957</v>
      </c>
      <c r="C35" s="313" t="s">
        <v>138</v>
      </c>
      <c r="D35" s="1" t="s">
        <v>1036</v>
      </c>
      <c r="E35" s="1"/>
      <c r="F35" s="1" t="s">
        <v>1037</v>
      </c>
      <c r="G35" s="1" t="s">
        <v>693</v>
      </c>
      <c r="H35" s="1" t="s">
        <v>728</v>
      </c>
      <c r="I35" s="315">
        <v>3829783.9567901236</v>
      </c>
      <c r="J35" s="315">
        <v>1861275003</v>
      </c>
      <c r="K35" s="315">
        <v>1861275003</v>
      </c>
      <c r="L35" s="315">
        <v>139595625.22499999</v>
      </c>
      <c r="M35" s="315">
        <v>839862289.88750005</v>
      </c>
      <c r="N35" s="315">
        <v>1031740000</v>
      </c>
      <c r="O35" s="335">
        <f t="shared" si="8"/>
        <v>0.55431894713948404</v>
      </c>
      <c r="P35" s="315">
        <v>365537</v>
      </c>
      <c r="Q35" s="315">
        <f t="shared" si="4"/>
        <v>8720</v>
      </c>
      <c r="R35" s="315">
        <v>8720</v>
      </c>
      <c r="S35" s="315">
        <v>2770</v>
      </c>
      <c r="T35" s="315">
        <v>486</v>
      </c>
      <c r="U35" s="335">
        <v>0.17499999999999999</v>
      </c>
      <c r="V35" s="315">
        <f t="shared" si="5"/>
        <v>40685198</v>
      </c>
      <c r="W35" s="315">
        <v>1545925</v>
      </c>
      <c r="X35" s="315">
        <v>19364951</v>
      </c>
      <c r="Y35" s="315">
        <v>19774322</v>
      </c>
      <c r="Z35" s="315">
        <v>0</v>
      </c>
      <c r="AA35" s="315">
        <v>0</v>
      </c>
      <c r="AB35" s="315">
        <v>11311</v>
      </c>
      <c r="AC35" s="315">
        <v>9567</v>
      </c>
      <c r="AD35" s="315">
        <v>0</v>
      </c>
      <c r="AE35" s="315">
        <v>0</v>
      </c>
      <c r="AF35" s="315">
        <v>100000</v>
      </c>
      <c r="AG35" s="315">
        <v>402600</v>
      </c>
      <c r="AH35" s="315">
        <v>0</v>
      </c>
      <c r="AI35" s="315">
        <v>169600</v>
      </c>
      <c r="AJ35" s="315">
        <v>1100000</v>
      </c>
      <c r="AK35" s="315">
        <v>0</v>
      </c>
      <c r="AL35" s="315">
        <v>0</v>
      </c>
    </row>
    <row r="36" spans="1:38" x14ac:dyDescent="0.55000000000000004">
      <c r="A36" s="1" t="s">
        <v>771</v>
      </c>
      <c r="B36" s="313" t="s">
        <v>65</v>
      </c>
      <c r="C36" s="313" t="s">
        <v>134</v>
      </c>
      <c r="D36" s="1" t="s">
        <v>1038</v>
      </c>
      <c r="E36" s="1"/>
      <c r="F36" s="1" t="s">
        <v>1039</v>
      </c>
      <c r="G36" s="1" t="s">
        <v>1040</v>
      </c>
      <c r="H36" s="1" t="s">
        <v>644</v>
      </c>
      <c r="I36" s="315">
        <v>2465047.169811321</v>
      </c>
      <c r="J36" s="315">
        <v>261295000</v>
      </c>
      <c r="K36" s="315">
        <v>261295000</v>
      </c>
      <c r="L36" s="315">
        <v>19597125</v>
      </c>
      <c r="M36" s="315">
        <v>112972758.5</v>
      </c>
      <c r="N36" s="315">
        <v>121723000</v>
      </c>
      <c r="O36" s="335">
        <f t="shared" si="8"/>
        <v>0.46584511758740121</v>
      </c>
      <c r="P36" s="315">
        <v>764371</v>
      </c>
      <c r="Q36" s="315">
        <f t="shared" si="4"/>
        <v>2024</v>
      </c>
      <c r="R36" s="315">
        <v>2024</v>
      </c>
      <c r="S36" s="315">
        <v>745</v>
      </c>
      <c r="T36" s="315">
        <v>106</v>
      </c>
      <c r="U36" s="335">
        <v>0.14199999999999999</v>
      </c>
      <c r="V36" s="315">
        <f t="shared" si="5"/>
        <v>11752458</v>
      </c>
      <c r="W36" s="315">
        <v>847650</v>
      </c>
      <c r="X36" s="315">
        <v>5577909</v>
      </c>
      <c r="Y36" s="315">
        <v>5326899</v>
      </c>
      <c r="Z36" s="315">
        <v>0</v>
      </c>
      <c r="AA36" s="315">
        <v>0</v>
      </c>
      <c r="AB36" s="315">
        <v>6467</v>
      </c>
      <c r="AC36" s="315">
        <v>4479</v>
      </c>
      <c r="AD36" s="315">
        <v>0</v>
      </c>
      <c r="AE36" s="315">
        <v>0</v>
      </c>
      <c r="AF36" s="315">
        <v>1100000</v>
      </c>
      <c r="AG36" s="315">
        <v>0</v>
      </c>
      <c r="AH36" s="315">
        <v>0</v>
      </c>
      <c r="AI36" s="315">
        <v>136000</v>
      </c>
      <c r="AJ36" s="315">
        <v>1100000</v>
      </c>
      <c r="AK36" s="315">
        <v>0</v>
      </c>
      <c r="AL36" s="315">
        <v>0</v>
      </c>
    </row>
    <row r="37" spans="1:38" x14ac:dyDescent="0.55000000000000004">
      <c r="A37" s="1" t="s">
        <v>771</v>
      </c>
      <c r="B37" s="313" t="s">
        <v>960</v>
      </c>
      <c r="C37" s="313" t="s">
        <v>138</v>
      </c>
      <c r="D37" s="1" t="s">
        <v>1041</v>
      </c>
      <c r="E37" s="1"/>
      <c r="F37" s="1" t="s">
        <v>1042</v>
      </c>
      <c r="G37" s="1" t="s">
        <v>997</v>
      </c>
      <c r="H37" s="1" t="s">
        <v>662</v>
      </c>
      <c r="I37" s="315">
        <v>990000</v>
      </c>
      <c r="J37" s="315">
        <v>990000</v>
      </c>
      <c r="K37" s="315">
        <v>990000</v>
      </c>
      <c r="L37" s="315">
        <v>74250</v>
      </c>
      <c r="M37" s="838"/>
      <c r="N37" s="315">
        <v>453000</v>
      </c>
      <c r="O37" s="335">
        <f t="shared" ref="O37:O48" si="9">N37/J37</f>
        <v>0.45757575757575758</v>
      </c>
      <c r="P37" s="315">
        <v>309086</v>
      </c>
      <c r="Q37" s="315">
        <f t="shared" si="4"/>
        <v>600</v>
      </c>
      <c r="R37" s="315">
        <v>600</v>
      </c>
      <c r="S37" s="315">
        <v>159</v>
      </c>
      <c r="T37" s="315">
        <v>1</v>
      </c>
      <c r="U37" s="335">
        <v>6.0000000000000001E-3</v>
      </c>
      <c r="V37" s="315">
        <f t="shared" si="5"/>
        <v>9351931</v>
      </c>
      <c r="W37" s="315">
        <v>0</v>
      </c>
      <c r="X37" s="315">
        <v>9351931</v>
      </c>
      <c r="Y37" s="315">
        <v>0</v>
      </c>
      <c r="Z37" s="315">
        <v>0</v>
      </c>
      <c r="AA37" s="315">
        <v>0</v>
      </c>
      <c r="AB37" s="315">
        <v>15560</v>
      </c>
      <c r="AC37" s="315">
        <v>0</v>
      </c>
      <c r="AD37" s="315">
        <v>0</v>
      </c>
      <c r="AE37" s="315">
        <v>0</v>
      </c>
      <c r="AF37" s="315">
        <v>0</v>
      </c>
      <c r="AG37" s="315">
        <v>0</v>
      </c>
      <c r="AH37" s="315">
        <v>0</v>
      </c>
      <c r="AI37" s="315">
        <v>109000</v>
      </c>
      <c r="AJ37" s="315">
        <v>1100000</v>
      </c>
      <c r="AK37" s="315">
        <v>0</v>
      </c>
      <c r="AL37" s="315">
        <v>0</v>
      </c>
    </row>
    <row r="38" spans="1:38" x14ac:dyDescent="0.55000000000000004">
      <c r="A38" s="1" t="s">
        <v>771</v>
      </c>
      <c r="B38" s="313" t="s">
        <v>65</v>
      </c>
      <c r="C38" s="313" t="s">
        <v>134</v>
      </c>
      <c r="D38" s="1" t="s">
        <v>1043</v>
      </c>
      <c r="E38" s="1"/>
      <c r="F38" s="1" t="s">
        <v>1044</v>
      </c>
      <c r="G38" s="1" t="s">
        <v>965</v>
      </c>
      <c r="H38" s="1" t="s">
        <v>728</v>
      </c>
      <c r="I38" s="315">
        <v>2673589.7435897435</v>
      </c>
      <c r="J38" s="315">
        <v>104270000</v>
      </c>
      <c r="K38" s="315">
        <v>104270000</v>
      </c>
      <c r="L38" s="315">
        <v>7820250</v>
      </c>
      <c r="M38" s="315">
        <v>38463247</v>
      </c>
      <c r="N38" s="315">
        <v>43660000</v>
      </c>
      <c r="O38" s="335">
        <f t="shared" si="9"/>
        <v>0.41872062913589719</v>
      </c>
      <c r="P38" s="315">
        <v>144721</v>
      </c>
      <c r="Q38" s="315">
        <f t="shared" si="4"/>
        <v>1710</v>
      </c>
      <c r="R38" s="315">
        <v>1710</v>
      </c>
      <c r="S38" s="315">
        <v>687</v>
      </c>
      <c r="T38" s="315">
        <v>39</v>
      </c>
      <c r="U38" s="335">
        <v>5.7000000000000002E-2</v>
      </c>
      <c r="V38" s="315">
        <f t="shared" si="5"/>
        <v>16993556</v>
      </c>
      <c r="W38" s="315">
        <v>1057560</v>
      </c>
      <c r="X38" s="315">
        <v>8557257</v>
      </c>
      <c r="Y38" s="315">
        <v>7378739</v>
      </c>
      <c r="Z38" s="315">
        <v>0</v>
      </c>
      <c r="AA38" s="315">
        <v>0</v>
      </c>
      <c r="AB38" s="315">
        <v>5774</v>
      </c>
      <c r="AC38" s="315">
        <v>9313</v>
      </c>
      <c r="AD38" s="315">
        <v>0</v>
      </c>
      <c r="AE38" s="315">
        <v>0</v>
      </c>
      <c r="AF38" s="315">
        <v>0</v>
      </c>
      <c r="AG38" s="315">
        <v>0</v>
      </c>
      <c r="AH38" s="315">
        <v>0</v>
      </c>
      <c r="AI38" s="315">
        <v>229700</v>
      </c>
      <c r="AJ38" s="315">
        <v>2300000</v>
      </c>
      <c r="AK38" s="315">
        <v>0</v>
      </c>
      <c r="AL38" s="315">
        <v>0</v>
      </c>
    </row>
    <row r="39" spans="1:38" x14ac:dyDescent="0.55000000000000004">
      <c r="A39" s="1" t="s">
        <v>771</v>
      </c>
      <c r="B39" s="313" t="s">
        <v>65</v>
      </c>
      <c r="C39" s="313" t="s">
        <v>134</v>
      </c>
      <c r="D39" s="1" t="s">
        <v>1045</v>
      </c>
      <c r="E39" s="1"/>
      <c r="F39" s="1" t="s">
        <v>1046</v>
      </c>
      <c r="G39" s="1" t="s">
        <v>1046</v>
      </c>
      <c r="H39" s="1" t="s">
        <v>644</v>
      </c>
      <c r="I39" s="315">
        <v>2564705.8823529412</v>
      </c>
      <c r="J39" s="315">
        <v>43600000</v>
      </c>
      <c r="K39" s="315">
        <v>43600000</v>
      </c>
      <c r="L39" s="315">
        <v>3270000</v>
      </c>
      <c r="M39" s="315">
        <v>13039764.5</v>
      </c>
      <c r="N39" s="315">
        <v>20272000</v>
      </c>
      <c r="O39" s="335">
        <f t="shared" si="9"/>
        <v>0.46495412844036699</v>
      </c>
      <c r="P39" s="315">
        <v>87967</v>
      </c>
      <c r="Q39" s="315">
        <f t="shared" si="4"/>
        <v>1121</v>
      </c>
      <c r="R39" s="315">
        <v>1121</v>
      </c>
      <c r="S39" s="315">
        <v>363</v>
      </c>
      <c r="T39" s="315">
        <v>17</v>
      </c>
      <c r="U39" s="335">
        <v>4.7E-2</v>
      </c>
      <c r="V39" s="315">
        <f t="shared" si="5"/>
        <v>12948971</v>
      </c>
      <c r="W39" s="315">
        <v>1095660</v>
      </c>
      <c r="X39" s="315">
        <v>6625705</v>
      </c>
      <c r="Y39" s="315">
        <v>5227606</v>
      </c>
      <c r="Z39" s="315">
        <v>0</v>
      </c>
      <c r="AA39" s="315">
        <v>0</v>
      </c>
      <c r="AB39" s="315">
        <v>6996</v>
      </c>
      <c r="AC39" s="315">
        <v>7394</v>
      </c>
      <c r="AD39" s="315">
        <v>0</v>
      </c>
      <c r="AE39" s="315">
        <v>0</v>
      </c>
      <c r="AF39" s="315">
        <v>0</v>
      </c>
      <c r="AG39" s="315">
        <v>0</v>
      </c>
      <c r="AH39" s="315">
        <v>0</v>
      </c>
      <c r="AI39" s="315">
        <v>201500</v>
      </c>
      <c r="AJ39" s="315">
        <v>1100000</v>
      </c>
      <c r="AK39" s="315">
        <v>0</v>
      </c>
      <c r="AL39" s="315">
        <v>0</v>
      </c>
    </row>
    <row r="40" spans="1:38" x14ac:dyDescent="0.55000000000000004">
      <c r="A40" s="1" t="s">
        <v>771</v>
      </c>
      <c r="B40" s="313" t="s">
        <v>65</v>
      </c>
      <c r="C40" s="313" t="s">
        <v>134</v>
      </c>
      <c r="D40" s="1" t="s">
        <v>1047</v>
      </c>
      <c r="E40" s="1"/>
      <c r="F40" s="1" t="s">
        <v>1048</v>
      </c>
      <c r="G40" s="1" t="s">
        <v>1016</v>
      </c>
      <c r="H40" s="1" t="s">
        <v>662</v>
      </c>
      <c r="I40" s="315">
        <v>2915333.3333333335</v>
      </c>
      <c r="J40" s="315">
        <v>43730000</v>
      </c>
      <c r="K40" s="315">
        <v>43730000</v>
      </c>
      <c r="L40" s="315">
        <v>3279750</v>
      </c>
      <c r="M40" s="315">
        <v>10495718.5</v>
      </c>
      <c r="N40" s="315">
        <v>19817000</v>
      </c>
      <c r="O40" s="335">
        <f t="shared" si="9"/>
        <v>0.45316716213126002</v>
      </c>
      <c r="P40" s="315">
        <v>248655</v>
      </c>
      <c r="Q40" s="315">
        <f t="shared" si="4"/>
        <v>2500</v>
      </c>
      <c r="R40" s="315">
        <v>2500</v>
      </c>
      <c r="S40" s="315">
        <v>1037</v>
      </c>
      <c r="T40" s="315">
        <v>15</v>
      </c>
      <c r="U40" s="335">
        <v>1.4E-2</v>
      </c>
      <c r="V40" s="315">
        <f t="shared" si="5"/>
        <v>18222313</v>
      </c>
      <c r="W40" s="315">
        <v>1193550</v>
      </c>
      <c r="X40" s="315">
        <v>12039945</v>
      </c>
      <c r="Y40" s="315">
        <v>4988818</v>
      </c>
      <c r="Z40" s="315">
        <v>0</v>
      </c>
      <c r="AA40" s="315">
        <v>0</v>
      </c>
      <c r="AB40" s="315">
        <v>4174</v>
      </c>
      <c r="AC40" s="315">
        <v>2993</v>
      </c>
      <c r="AD40" s="315">
        <v>0</v>
      </c>
      <c r="AE40" s="315">
        <v>0</v>
      </c>
      <c r="AF40" s="315">
        <v>0</v>
      </c>
      <c r="AG40" s="315">
        <v>0</v>
      </c>
      <c r="AH40" s="315">
        <v>0</v>
      </c>
      <c r="AI40" s="315">
        <v>136500</v>
      </c>
      <c r="AJ40" s="315">
        <v>1100000</v>
      </c>
      <c r="AK40" s="315">
        <v>0</v>
      </c>
      <c r="AL40" s="315">
        <v>0</v>
      </c>
    </row>
    <row r="41" spans="1:38" x14ac:dyDescent="0.55000000000000004">
      <c r="A41" s="1" t="s">
        <v>771</v>
      </c>
      <c r="B41" s="313" t="s">
        <v>65</v>
      </c>
      <c r="C41" s="313" t="s">
        <v>134</v>
      </c>
      <c r="D41" s="1" t="s">
        <v>1049</v>
      </c>
      <c r="E41" s="1"/>
      <c r="F41" s="1" t="s">
        <v>1050</v>
      </c>
      <c r="G41" s="1" t="s">
        <v>1051</v>
      </c>
      <c r="H41" s="1" t="s">
        <v>662</v>
      </c>
      <c r="I41" s="315">
        <v>2487673.2673267326</v>
      </c>
      <c r="J41" s="315">
        <v>502510000</v>
      </c>
      <c r="K41" s="315">
        <v>502510000</v>
      </c>
      <c r="L41" s="315">
        <v>37688250</v>
      </c>
      <c r="M41" s="315">
        <v>214354148.5</v>
      </c>
      <c r="N41" s="315">
        <v>269980000</v>
      </c>
      <c r="O41" s="335">
        <f t="shared" si="9"/>
        <v>0.53726294004099417</v>
      </c>
      <c r="P41" s="315">
        <v>491724</v>
      </c>
      <c r="Q41" s="315">
        <f t="shared" si="4"/>
        <v>4550</v>
      </c>
      <c r="R41" s="315">
        <v>4550</v>
      </c>
      <c r="S41" s="315">
        <v>1394</v>
      </c>
      <c r="T41" s="315">
        <v>202</v>
      </c>
      <c r="U41" s="335">
        <v>0.14499999999999999</v>
      </c>
      <c r="V41" s="315">
        <f t="shared" si="5"/>
        <v>34898753</v>
      </c>
      <c r="W41" s="315">
        <v>6967840</v>
      </c>
      <c r="X41" s="315">
        <v>12039715</v>
      </c>
      <c r="Y41" s="315">
        <v>15891198</v>
      </c>
      <c r="Z41" s="315">
        <v>3957213</v>
      </c>
      <c r="AA41" s="315">
        <v>670109</v>
      </c>
      <c r="AB41" s="315">
        <v>3126</v>
      </c>
      <c r="AC41" s="315">
        <v>6705</v>
      </c>
      <c r="AD41" s="315">
        <v>5248</v>
      </c>
      <c r="AE41" s="315">
        <v>4243</v>
      </c>
      <c r="AF41" s="315">
        <v>0</v>
      </c>
      <c r="AG41" s="315">
        <v>0</v>
      </c>
      <c r="AH41" s="315">
        <v>0</v>
      </c>
      <c r="AI41" s="315">
        <v>114700</v>
      </c>
      <c r="AJ41" s="315">
        <v>1100000</v>
      </c>
      <c r="AK41" s="315"/>
      <c r="AL41" s="315">
        <v>0</v>
      </c>
    </row>
    <row r="42" spans="1:38" x14ac:dyDescent="0.55000000000000004">
      <c r="A42" s="1" t="s">
        <v>771</v>
      </c>
      <c r="B42" s="313" t="s">
        <v>957</v>
      </c>
      <c r="C42" s="313" t="s">
        <v>138</v>
      </c>
      <c r="D42" s="1" t="s">
        <v>1052</v>
      </c>
      <c r="E42" s="1"/>
      <c r="F42" s="1" t="s">
        <v>1053</v>
      </c>
      <c r="G42" s="1" t="s">
        <v>1053</v>
      </c>
      <c r="H42" s="1" t="s">
        <v>644</v>
      </c>
      <c r="I42" s="315">
        <v>3246363.6363636362</v>
      </c>
      <c r="J42" s="315">
        <v>71420000</v>
      </c>
      <c r="K42" s="315">
        <v>71420000</v>
      </c>
      <c r="L42" s="315">
        <v>5356500</v>
      </c>
      <c r="M42" s="315">
        <v>25489404</v>
      </c>
      <c r="N42" s="315">
        <v>34891500</v>
      </c>
      <c r="O42" s="335">
        <f t="shared" si="9"/>
        <v>0.48853962475497059</v>
      </c>
      <c r="P42" s="315">
        <v>162911</v>
      </c>
      <c r="Q42" s="315">
        <f t="shared" si="4"/>
        <v>1948</v>
      </c>
      <c r="R42" s="315">
        <v>1948</v>
      </c>
      <c r="S42" s="315">
        <v>636</v>
      </c>
      <c r="T42" s="315">
        <v>22</v>
      </c>
      <c r="U42" s="335">
        <v>3.5000000000000003E-2</v>
      </c>
      <c r="V42" s="315">
        <f t="shared" si="5"/>
        <v>13959792</v>
      </c>
      <c r="W42" s="315">
        <v>1336110</v>
      </c>
      <c r="X42" s="315">
        <v>5769184</v>
      </c>
      <c r="Y42" s="315">
        <v>6854498</v>
      </c>
      <c r="Z42" s="315">
        <v>2479640</v>
      </c>
      <c r="AA42" s="315">
        <v>1735789</v>
      </c>
      <c r="AB42" s="315">
        <v>6284</v>
      </c>
      <c r="AC42" s="315">
        <v>7199</v>
      </c>
      <c r="AD42" s="315">
        <v>19596</v>
      </c>
      <c r="AE42" s="315">
        <v>7474</v>
      </c>
      <c r="AF42" s="315">
        <v>0</v>
      </c>
      <c r="AG42" s="315">
        <v>983400</v>
      </c>
      <c r="AH42" s="315">
        <v>0</v>
      </c>
      <c r="AI42" s="315">
        <v>136000</v>
      </c>
      <c r="AJ42" s="315">
        <v>988900</v>
      </c>
      <c r="AK42" s="315"/>
      <c r="AL42" s="315"/>
    </row>
    <row r="43" spans="1:38" x14ac:dyDescent="0.55000000000000004">
      <c r="A43" s="1" t="s">
        <v>771</v>
      </c>
      <c r="B43" s="313" t="s">
        <v>65</v>
      </c>
      <c r="C43" s="313" t="s">
        <v>134</v>
      </c>
      <c r="D43" s="1" t="s">
        <v>1054</v>
      </c>
      <c r="E43" s="1"/>
      <c r="F43" s="1" t="s">
        <v>1055</v>
      </c>
      <c r="G43" s="1" t="s">
        <v>1056</v>
      </c>
      <c r="H43" s="1" t="s">
        <v>644</v>
      </c>
      <c r="I43" s="315">
        <v>2262549.0196078434</v>
      </c>
      <c r="J43" s="315">
        <v>115390000</v>
      </c>
      <c r="K43" s="315">
        <v>115390000</v>
      </c>
      <c r="L43" s="315">
        <v>8654250</v>
      </c>
      <c r="M43" s="315">
        <v>41707679.5</v>
      </c>
      <c r="N43" s="315">
        <v>54065000</v>
      </c>
      <c r="O43" s="335">
        <f t="shared" si="9"/>
        <v>0.46854146806482366</v>
      </c>
      <c r="P43" s="315">
        <v>516237</v>
      </c>
      <c r="Q43" s="315">
        <f t="shared" si="4"/>
        <v>3000</v>
      </c>
      <c r="R43" s="315">
        <v>3000</v>
      </c>
      <c r="S43" s="315">
        <v>1129</v>
      </c>
      <c r="T43" s="315">
        <v>51</v>
      </c>
      <c r="U43" s="335">
        <v>4.4999999999999998E-2</v>
      </c>
      <c r="V43" s="315">
        <f t="shared" si="5"/>
        <v>20819441</v>
      </c>
      <c r="W43" s="315">
        <v>1460570</v>
      </c>
      <c r="X43" s="315">
        <v>10499506</v>
      </c>
      <c r="Y43" s="315">
        <v>8859365</v>
      </c>
      <c r="Z43" s="315">
        <v>1841835</v>
      </c>
      <c r="AA43" s="315">
        <v>3842613</v>
      </c>
      <c r="AB43" s="315">
        <v>4708</v>
      </c>
      <c r="AC43" s="315">
        <v>5713</v>
      </c>
      <c r="AD43" s="315">
        <v>10345</v>
      </c>
      <c r="AE43" s="315">
        <v>10124</v>
      </c>
      <c r="AF43" s="315">
        <v>1100000</v>
      </c>
      <c r="AG43" s="315">
        <v>0</v>
      </c>
      <c r="AH43" s="315">
        <v>0</v>
      </c>
      <c r="AI43" s="315">
        <v>130000</v>
      </c>
      <c r="AJ43" s="315">
        <v>1100000</v>
      </c>
      <c r="AK43" s="315"/>
      <c r="AL43" s="315"/>
    </row>
    <row r="44" spans="1:38" x14ac:dyDescent="0.55000000000000004">
      <c r="A44" s="1" t="s">
        <v>771</v>
      </c>
      <c r="B44" s="313" t="s">
        <v>987</v>
      </c>
      <c r="C44" s="313" t="s">
        <v>138</v>
      </c>
      <c r="D44" s="1" t="s">
        <v>1057</v>
      </c>
      <c r="E44" s="1"/>
      <c r="F44" s="1" t="s">
        <v>1058</v>
      </c>
      <c r="G44" s="1" t="s">
        <v>1013</v>
      </c>
      <c r="H44" s="1" t="s">
        <v>662</v>
      </c>
      <c r="I44" s="315">
        <v>2057500</v>
      </c>
      <c r="J44" s="315">
        <v>8230000</v>
      </c>
      <c r="K44" s="315">
        <v>8230000</v>
      </c>
      <c r="L44" s="315">
        <v>617250</v>
      </c>
      <c r="M44" s="838"/>
      <c r="N44" s="315">
        <v>3702000</v>
      </c>
      <c r="O44" s="335">
        <f t="shared" si="9"/>
        <v>0.44981773997569868</v>
      </c>
      <c r="P44" s="315">
        <v>240653</v>
      </c>
      <c r="Q44" s="315">
        <f t="shared" si="4"/>
        <v>800</v>
      </c>
      <c r="R44" s="315">
        <v>800</v>
      </c>
      <c r="S44" s="315">
        <v>220</v>
      </c>
      <c r="T44" s="1">
        <v>4</v>
      </c>
      <c r="U44" s="335">
        <v>1.7999999999999999E-2</v>
      </c>
      <c r="V44" s="315">
        <f t="shared" si="5"/>
        <v>20598036</v>
      </c>
      <c r="W44" s="315">
        <v>48050</v>
      </c>
      <c r="X44" s="315">
        <v>17642747</v>
      </c>
      <c r="Y44" s="315">
        <v>2907239</v>
      </c>
      <c r="Z44" s="315">
        <v>214254</v>
      </c>
      <c r="AA44" s="315">
        <v>3700407</v>
      </c>
      <c r="AB44" s="315">
        <v>3591</v>
      </c>
      <c r="AC44" s="315">
        <v>13062</v>
      </c>
      <c r="AD44" s="315">
        <v>29958</v>
      </c>
      <c r="AE44" s="315">
        <v>19286</v>
      </c>
      <c r="AF44" s="315">
        <v>0</v>
      </c>
      <c r="AG44" s="315">
        <v>0</v>
      </c>
      <c r="AH44" s="315">
        <v>0</v>
      </c>
      <c r="AI44" s="315">
        <v>108000</v>
      </c>
      <c r="AJ44" s="315">
        <v>1100000</v>
      </c>
      <c r="AK44" s="315"/>
      <c r="AL44" s="315">
        <v>0</v>
      </c>
    </row>
    <row r="45" spans="1:38" x14ac:dyDescent="0.55000000000000004">
      <c r="A45" s="1" t="s">
        <v>771</v>
      </c>
      <c r="B45" s="313" t="s">
        <v>957</v>
      </c>
      <c r="C45" s="313" t="s">
        <v>138</v>
      </c>
      <c r="D45" s="1" t="s">
        <v>1059</v>
      </c>
      <c r="E45" s="1"/>
      <c r="F45" s="1" t="s">
        <v>1060</v>
      </c>
      <c r="G45" s="1" t="s">
        <v>693</v>
      </c>
      <c r="H45" s="1" t="s">
        <v>746</v>
      </c>
      <c r="I45" s="315">
        <v>4130864.1975308643</v>
      </c>
      <c r="J45" s="315">
        <v>334600000</v>
      </c>
      <c r="K45" s="315">
        <v>334600000</v>
      </c>
      <c r="L45" s="315">
        <v>25095000</v>
      </c>
      <c r="M45" s="315">
        <v>111097416.5</v>
      </c>
      <c r="N45" s="315">
        <v>182008000</v>
      </c>
      <c r="O45" s="335">
        <f t="shared" si="9"/>
        <v>0.5439569635385535</v>
      </c>
      <c r="P45" s="315">
        <v>3823793</v>
      </c>
      <c r="Q45" s="315">
        <f t="shared" si="4"/>
        <v>7662</v>
      </c>
      <c r="R45" s="315">
        <v>7662</v>
      </c>
      <c r="S45" s="315">
        <v>1660</v>
      </c>
      <c r="T45" s="315">
        <v>81</v>
      </c>
      <c r="U45" s="335">
        <v>4.9000000000000002E-2</v>
      </c>
      <c r="V45" s="315">
        <f t="shared" si="5"/>
        <v>70400467</v>
      </c>
      <c r="W45" s="315">
        <v>1851860</v>
      </c>
      <c r="X45" s="315">
        <v>41507799</v>
      </c>
      <c r="Y45" s="315">
        <v>27040808</v>
      </c>
      <c r="Z45" s="315">
        <v>9606332</v>
      </c>
      <c r="AA45" s="315">
        <v>126798</v>
      </c>
      <c r="AB45" s="315">
        <v>4481</v>
      </c>
      <c r="AC45" s="315">
        <v>27124</v>
      </c>
      <c r="AD45" s="315">
        <v>3966</v>
      </c>
      <c r="AE45" s="315">
        <v>21955</v>
      </c>
      <c r="AF45" s="315">
        <v>0</v>
      </c>
      <c r="AG45" s="315">
        <v>0</v>
      </c>
      <c r="AH45" s="315">
        <v>0</v>
      </c>
      <c r="AI45" s="315">
        <v>297700</v>
      </c>
      <c r="AJ45" s="315">
        <v>1100000</v>
      </c>
      <c r="AK45" s="315"/>
      <c r="AL45" s="315">
        <v>0</v>
      </c>
    </row>
    <row r="46" spans="1:38" x14ac:dyDescent="0.55000000000000004">
      <c r="A46" s="1" t="s">
        <v>771</v>
      </c>
      <c r="B46" s="313" t="s">
        <v>65</v>
      </c>
      <c r="C46" s="313" t="s">
        <v>134</v>
      </c>
      <c r="D46" s="1" t="s">
        <v>1061</v>
      </c>
      <c r="E46" s="1"/>
      <c r="F46" s="1" t="s">
        <v>1062</v>
      </c>
      <c r="G46" s="1" t="s">
        <v>1063</v>
      </c>
      <c r="H46" s="1" t="s">
        <v>644</v>
      </c>
      <c r="I46" s="315">
        <v>2376784.1409691628</v>
      </c>
      <c r="J46" s="315">
        <v>539530000</v>
      </c>
      <c r="K46" s="315">
        <v>539530000</v>
      </c>
      <c r="L46" s="315">
        <v>40464750</v>
      </c>
      <c r="M46" s="315">
        <v>224567145</v>
      </c>
      <c r="N46" s="315">
        <v>239717000</v>
      </c>
      <c r="O46" s="335">
        <f t="shared" si="9"/>
        <v>0.44430708208996722</v>
      </c>
      <c r="P46" s="315">
        <v>512488</v>
      </c>
      <c r="Q46" s="315">
        <f t="shared" si="4"/>
        <v>5300</v>
      </c>
      <c r="R46" s="315">
        <v>5300</v>
      </c>
      <c r="S46" s="315">
        <v>2015</v>
      </c>
      <c r="T46" s="1">
        <v>227</v>
      </c>
      <c r="U46" s="335">
        <v>0.113</v>
      </c>
      <c r="V46" s="315">
        <f t="shared" si="5"/>
        <v>18287110</v>
      </c>
      <c r="W46" s="315">
        <v>1856890</v>
      </c>
      <c r="X46" s="315">
        <v>13136412</v>
      </c>
      <c r="Y46" s="315">
        <v>3293808</v>
      </c>
      <c r="Z46" s="315">
        <v>0</v>
      </c>
      <c r="AA46" s="315">
        <v>1800245</v>
      </c>
      <c r="AB46" s="315">
        <v>4448</v>
      </c>
      <c r="AC46" s="315">
        <v>3692</v>
      </c>
      <c r="AD46" s="315">
        <v>0</v>
      </c>
      <c r="AE46" s="315">
        <v>4101</v>
      </c>
      <c r="AF46" s="315">
        <v>0</v>
      </c>
      <c r="AG46" s="315">
        <v>666600</v>
      </c>
      <c r="AH46" s="315">
        <v>0</v>
      </c>
      <c r="AI46" s="315">
        <v>165000</v>
      </c>
      <c r="AJ46" s="315">
        <v>1100000</v>
      </c>
      <c r="AK46" s="315">
        <v>1650000</v>
      </c>
      <c r="AL46" s="315">
        <v>0</v>
      </c>
    </row>
    <row r="47" spans="1:38" x14ac:dyDescent="0.55000000000000004">
      <c r="A47" s="1" t="s">
        <v>771</v>
      </c>
      <c r="B47" s="313" t="s">
        <v>65</v>
      </c>
      <c r="C47" s="313" t="s">
        <v>134</v>
      </c>
      <c r="D47" s="1" t="s">
        <v>1064</v>
      </c>
      <c r="E47" s="1"/>
      <c r="F47" s="1" t="s">
        <v>1065</v>
      </c>
      <c r="G47" s="1" t="s">
        <v>1066</v>
      </c>
      <c r="H47" s="1" t="s">
        <v>644</v>
      </c>
      <c r="I47" s="315">
        <v>2970851.0638297871</v>
      </c>
      <c r="J47" s="315">
        <v>139630000</v>
      </c>
      <c r="K47" s="315">
        <v>139630000</v>
      </c>
      <c r="L47" s="315">
        <v>10472250</v>
      </c>
      <c r="M47" s="315">
        <v>55858941.5</v>
      </c>
      <c r="N47" s="315">
        <v>65934000</v>
      </c>
      <c r="O47" s="335">
        <f t="shared" si="9"/>
        <v>0.47220511351428773</v>
      </c>
      <c r="P47" s="315">
        <v>243810</v>
      </c>
      <c r="Q47" s="315">
        <f t="shared" si="4"/>
        <v>1950</v>
      </c>
      <c r="R47" s="315">
        <v>1950</v>
      </c>
      <c r="S47" s="315">
        <v>632</v>
      </c>
      <c r="T47" s="1">
        <v>47</v>
      </c>
      <c r="U47" s="335">
        <v>7.3999999999999996E-2</v>
      </c>
      <c r="V47" s="315">
        <f t="shared" si="5"/>
        <v>16149567</v>
      </c>
      <c r="W47" s="315">
        <v>1856890</v>
      </c>
      <c r="X47" s="315">
        <v>7825393</v>
      </c>
      <c r="Y47" s="315">
        <v>6467284</v>
      </c>
      <c r="Z47" s="315">
        <v>3364388</v>
      </c>
      <c r="AA47" s="315">
        <v>1930920</v>
      </c>
      <c r="AB47" s="315">
        <v>7459</v>
      </c>
      <c r="AC47" s="315">
        <v>9046</v>
      </c>
      <c r="AD47" s="315">
        <v>12881</v>
      </c>
      <c r="AE47" s="315">
        <v>4564</v>
      </c>
      <c r="AF47" s="315">
        <v>0</v>
      </c>
      <c r="AG47" s="315">
        <v>0</v>
      </c>
      <c r="AH47" s="315">
        <v>0</v>
      </c>
      <c r="AI47" s="315">
        <v>190300</v>
      </c>
      <c r="AJ47" s="315">
        <v>1100000</v>
      </c>
      <c r="AK47" s="315"/>
      <c r="AL47" s="315">
        <v>0</v>
      </c>
    </row>
    <row r="48" spans="1:38" x14ac:dyDescent="0.55000000000000004">
      <c r="A48" s="1" t="s">
        <v>771</v>
      </c>
      <c r="B48" s="313" t="s">
        <v>65</v>
      </c>
      <c r="C48" s="313" t="s">
        <v>134</v>
      </c>
      <c r="D48" s="1" t="s">
        <v>1067</v>
      </c>
      <c r="E48" s="1"/>
      <c r="F48" s="1" t="s">
        <v>1068</v>
      </c>
      <c r="G48" s="1" t="s">
        <v>1040</v>
      </c>
      <c r="H48" s="1" t="s">
        <v>662</v>
      </c>
      <c r="I48" s="315">
        <v>2670322.5806451612</v>
      </c>
      <c r="J48" s="315">
        <v>413900000</v>
      </c>
      <c r="K48" s="315">
        <v>413900000</v>
      </c>
      <c r="L48" s="315">
        <v>31042500</v>
      </c>
      <c r="M48" s="315">
        <v>171984195</v>
      </c>
      <c r="N48" s="315">
        <v>206454000</v>
      </c>
      <c r="O48" s="335">
        <f t="shared" si="9"/>
        <v>0.49880164290891521</v>
      </c>
      <c r="P48" s="315">
        <v>1729843</v>
      </c>
      <c r="Q48" s="315">
        <f t="shared" si="4"/>
        <v>3700</v>
      </c>
      <c r="R48" s="315">
        <v>3700</v>
      </c>
      <c r="S48" s="315">
        <v>1100</v>
      </c>
      <c r="T48" s="315">
        <v>155</v>
      </c>
      <c r="U48" s="335">
        <v>0.14099999999999999</v>
      </c>
      <c r="V48" s="315">
        <f t="shared" si="5"/>
        <v>34788210</v>
      </c>
      <c r="W48" s="315">
        <v>1802015</v>
      </c>
      <c r="X48" s="315">
        <v>16577329</v>
      </c>
      <c r="Y48" s="315">
        <v>16408866</v>
      </c>
      <c r="Z48" s="315">
        <v>6919791</v>
      </c>
      <c r="AA48" s="315">
        <v>8180105</v>
      </c>
      <c r="AB48" s="315">
        <v>14253</v>
      </c>
      <c r="AC48" s="315">
        <v>14593</v>
      </c>
      <c r="AD48" s="315">
        <v>8191</v>
      </c>
      <c r="AE48" s="315">
        <v>6716</v>
      </c>
      <c r="AF48" s="315">
        <v>0</v>
      </c>
      <c r="AG48" s="315">
        <v>0</v>
      </c>
      <c r="AH48" s="315">
        <v>0</v>
      </c>
      <c r="AI48" s="315">
        <v>237000</v>
      </c>
      <c r="AJ48" s="315">
        <v>1100000</v>
      </c>
      <c r="AK48" s="315"/>
      <c r="AL48" s="315">
        <v>0</v>
      </c>
    </row>
    <row r="49" spans="1:38" x14ac:dyDescent="0.55000000000000004">
      <c r="A49" s="1" t="s">
        <v>771</v>
      </c>
      <c r="B49" s="313" t="s">
        <v>65</v>
      </c>
      <c r="C49" s="313" t="s">
        <v>134</v>
      </c>
      <c r="D49" s="1" t="s">
        <v>1069</v>
      </c>
      <c r="E49" s="1"/>
      <c r="F49" s="1" t="s">
        <v>1070</v>
      </c>
      <c r="G49" s="1" t="s">
        <v>653</v>
      </c>
      <c r="H49" s="1" t="s">
        <v>1071</v>
      </c>
      <c r="I49" s="315">
        <v>2265948.2758620689</v>
      </c>
      <c r="J49" s="315">
        <v>131425000</v>
      </c>
      <c r="K49" s="315">
        <v>131425000</v>
      </c>
      <c r="L49" s="315">
        <v>9856875</v>
      </c>
      <c r="M49" s="315">
        <v>51017552</v>
      </c>
      <c r="N49" s="806">
        <f>CEILING(J49*0.925/2-(V49*0.5),1000)</f>
        <v>52439000</v>
      </c>
      <c r="O49" s="335">
        <f>N49/J49</f>
        <v>0.3990032337835267</v>
      </c>
      <c r="P49" s="315">
        <v>1008759</v>
      </c>
      <c r="Q49" s="315">
        <f t="shared" si="4"/>
        <v>2024</v>
      </c>
      <c r="R49" s="315">
        <v>2024</v>
      </c>
      <c r="S49" s="315">
        <v>800</v>
      </c>
      <c r="T49" s="1">
        <v>58</v>
      </c>
      <c r="U49" s="335">
        <v>7.2499999999999995E-2</v>
      </c>
      <c r="V49" s="315">
        <f t="shared" si="5"/>
        <v>16691341</v>
      </c>
      <c r="W49" s="315">
        <v>1783800</v>
      </c>
      <c r="X49" s="315">
        <v>7000000</v>
      </c>
      <c r="Y49" s="315">
        <v>7907541</v>
      </c>
      <c r="Z49" s="315">
        <v>0</v>
      </c>
      <c r="AA49" s="315">
        <v>0</v>
      </c>
      <c r="AB49" s="315">
        <v>8940</v>
      </c>
      <c r="AC49" s="315">
        <v>8007</v>
      </c>
      <c r="AD49" s="315">
        <v>0</v>
      </c>
      <c r="AE49" s="315">
        <v>0</v>
      </c>
      <c r="AF49" s="315">
        <v>0</v>
      </c>
      <c r="AG49" s="315">
        <v>0</v>
      </c>
      <c r="AH49" s="315">
        <v>0</v>
      </c>
      <c r="AI49" s="315">
        <v>266000</v>
      </c>
      <c r="AJ49" s="315">
        <v>2200000</v>
      </c>
      <c r="AK49" s="315"/>
      <c r="AL49" s="315">
        <v>3080000</v>
      </c>
    </row>
    <row r="50" spans="1:38" x14ac:dyDescent="0.55000000000000004">
      <c r="A50" s="1" t="s">
        <v>771</v>
      </c>
      <c r="B50" s="313" t="s">
        <v>65</v>
      </c>
      <c r="C50" s="313" t="s">
        <v>134</v>
      </c>
      <c r="D50" s="1" t="s">
        <v>1072</v>
      </c>
      <c r="E50" s="1"/>
      <c r="F50" s="1" t="s">
        <v>1073</v>
      </c>
      <c r="G50" s="1" t="s">
        <v>1074</v>
      </c>
      <c r="H50" s="1" t="s">
        <v>644</v>
      </c>
      <c r="I50" s="315">
        <v>2518571.4285714286</v>
      </c>
      <c r="J50" s="315">
        <v>17630000</v>
      </c>
      <c r="K50" s="315">
        <v>17630000</v>
      </c>
      <c r="L50" s="315">
        <v>1322250</v>
      </c>
      <c r="M50" s="838"/>
      <c r="N50" s="315">
        <v>9507000</v>
      </c>
      <c r="O50" s="335">
        <f>N50/J50</f>
        <v>0.53925127623369262</v>
      </c>
      <c r="P50" s="315">
        <v>788790</v>
      </c>
      <c r="Q50" s="315">
        <f t="shared" si="4"/>
        <v>2000</v>
      </c>
      <c r="R50" s="315">
        <v>2000</v>
      </c>
      <c r="S50" s="315">
        <v>479</v>
      </c>
      <c r="T50" s="315">
        <v>7</v>
      </c>
      <c r="U50" s="335">
        <v>1.46E-2</v>
      </c>
      <c r="V50" s="315">
        <f t="shared" si="5"/>
        <v>16784617</v>
      </c>
      <c r="W50" s="315">
        <v>1900095</v>
      </c>
      <c r="X50" s="315">
        <v>8000023</v>
      </c>
      <c r="Y50" s="315">
        <v>6884499</v>
      </c>
      <c r="Z50" s="315">
        <v>0</v>
      </c>
      <c r="AA50" s="315">
        <v>0</v>
      </c>
      <c r="AB50" s="315">
        <v>6700</v>
      </c>
      <c r="AC50" s="315">
        <v>7149</v>
      </c>
      <c r="AD50" s="315">
        <v>0</v>
      </c>
      <c r="AE50" s="315">
        <v>0</v>
      </c>
      <c r="AF50" s="315">
        <v>0</v>
      </c>
      <c r="AG50" s="315">
        <v>0</v>
      </c>
      <c r="AH50" s="315">
        <v>0</v>
      </c>
      <c r="AI50" s="315">
        <v>168100</v>
      </c>
      <c r="AJ50" s="315">
        <v>2200000</v>
      </c>
      <c r="AK50" s="315"/>
      <c r="AL50" s="315">
        <v>0</v>
      </c>
    </row>
    <row r="51" spans="1:38" x14ac:dyDescent="0.55000000000000004">
      <c r="A51" s="1" t="s">
        <v>771</v>
      </c>
      <c r="B51" s="313"/>
      <c r="C51" s="313"/>
      <c r="D51" s="1" t="s">
        <v>1075</v>
      </c>
      <c r="E51" s="1"/>
      <c r="F51" s="1" t="s">
        <v>1076</v>
      </c>
      <c r="G51" s="1" t="s">
        <v>1077</v>
      </c>
      <c r="H51" s="1" t="s">
        <v>644</v>
      </c>
      <c r="I51" s="315" t="e">
        <v>#DIV/0!</v>
      </c>
      <c r="J51" s="315">
        <v>0</v>
      </c>
      <c r="K51" s="315">
        <v>0</v>
      </c>
      <c r="L51" s="315">
        <v>0</v>
      </c>
      <c r="M51" s="838"/>
      <c r="N51" s="776"/>
      <c r="O51" s="315"/>
      <c r="P51" s="315">
        <v>978913</v>
      </c>
      <c r="Q51" s="315">
        <f t="shared" si="4"/>
        <v>1350</v>
      </c>
      <c r="R51" s="315">
        <v>1350</v>
      </c>
      <c r="S51" s="315">
        <v>450</v>
      </c>
      <c r="T51" s="315">
        <v>0</v>
      </c>
      <c r="U51" s="335">
        <v>0</v>
      </c>
      <c r="V51" s="315">
        <f t="shared" si="5"/>
        <v>17019684</v>
      </c>
      <c r="W51" s="315">
        <v>1849560</v>
      </c>
      <c r="X51" s="315">
        <v>9187981</v>
      </c>
      <c r="Y51" s="315">
        <v>5982143</v>
      </c>
      <c r="Z51" s="315">
        <v>0</v>
      </c>
      <c r="AA51" s="315">
        <v>0</v>
      </c>
      <c r="AB51" s="315">
        <v>10215</v>
      </c>
      <c r="AC51" s="315">
        <v>26826</v>
      </c>
      <c r="AD51" s="315">
        <v>0</v>
      </c>
      <c r="AE51" s="315">
        <v>0</v>
      </c>
      <c r="AF51" s="315">
        <v>0</v>
      </c>
      <c r="AG51" s="315">
        <v>0</v>
      </c>
      <c r="AH51" s="315">
        <v>0</v>
      </c>
      <c r="AI51" s="315">
        <v>232400</v>
      </c>
      <c r="AJ51" s="315">
        <v>2200000</v>
      </c>
      <c r="AK51" s="315"/>
      <c r="AL51" s="315">
        <v>0</v>
      </c>
    </row>
    <row r="52" spans="1:38" x14ac:dyDescent="0.55000000000000004">
      <c r="A52" s="1" t="s">
        <v>771</v>
      </c>
      <c r="B52" s="313" t="s">
        <v>65</v>
      </c>
      <c r="C52" s="313" t="s">
        <v>134</v>
      </c>
      <c r="D52" s="1" t="s">
        <v>1078</v>
      </c>
      <c r="E52" s="1"/>
      <c r="F52" s="1" t="s">
        <v>1079</v>
      </c>
      <c r="G52" s="1" t="s">
        <v>976</v>
      </c>
      <c r="H52" s="1" t="s">
        <v>680</v>
      </c>
      <c r="I52" s="315">
        <v>2130000</v>
      </c>
      <c r="J52" s="315">
        <v>29820000</v>
      </c>
      <c r="K52" s="315">
        <v>29820000</v>
      </c>
      <c r="L52" s="315">
        <v>2236500</v>
      </c>
      <c r="M52" s="315">
        <v>4191584.5</v>
      </c>
      <c r="N52" s="806">
        <f>CEILING(J52*0.925/2-(V52*0.5),1000)</f>
        <v>5447000</v>
      </c>
      <c r="O52" s="335">
        <f>N52/J52</f>
        <v>0.18266264252179745</v>
      </c>
      <c r="P52" s="315">
        <v>763902</v>
      </c>
      <c r="Q52" s="315">
        <f t="shared" si="4"/>
        <v>750</v>
      </c>
      <c r="R52" s="315">
        <v>750</v>
      </c>
      <c r="S52" s="315">
        <v>244</v>
      </c>
      <c r="T52" s="315">
        <v>14</v>
      </c>
      <c r="U52" s="335">
        <v>5.74E-2</v>
      </c>
      <c r="V52" s="315">
        <f t="shared" si="5"/>
        <v>16691391</v>
      </c>
      <c r="W52" s="315">
        <v>1877775</v>
      </c>
      <c r="X52" s="315">
        <v>5929031</v>
      </c>
      <c r="Y52" s="315">
        <v>8884585</v>
      </c>
      <c r="Z52" s="315">
        <v>0</v>
      </c>
      <c r="AA52" s="315">
        <v>0</v>
      </c>
      <c r="AB52" s="315">
        <v>20166</v>
      </c>
      <c r="AC52" s="315">
        <v>17200</v>
      </c>
      <c r="AD52" s="315">
        <v>0</v>
      </c>
      <c r="AE52" s="315">
        <v>0</v>
      </c>
      <c r="AF52" s="315">
        <v>0</v>
      </c>
      <c r="AG52" s="315">
        <v>0</v>
      </c>
      <c r="AH52" s="315">
        <v>0</v>
      </c>
      <c r="AI52" s="315">
        <v>177900</v>
      </c>
      <c r="AJ52" s="315">
        <v>2200000</v>
      </c>
      <c r="AK52" s="315"/>
      <c r="AL52" s="315">
        <v>0</v>
      </c>
    </row>
    <row r="53" spans="1:38" x14ac:dyDescent="0.55000000000000004">
      <c r="A53" s="1" t="s">
        <v>771</v>
      </c>
      <c r="B53" s="313" t="s">
        <v>65</v>
      </c>
      <c r="C53" s="313" t="s">
        <v>134</v>
      </c>
      <c r="D53" s="1" t="s">
        <v>1080</v>
      </c>
      <c r="E53" s="1"/>
      <c r="F53" s="1" t="s">
        <v>1081</v>
      </c>
      <c r="G53" s="1" t="s">
        <v>1082</v>
      </c>
      <c r="H53" s="1" t="s">
        <v>680</v>
      </c>
      <c r="I53" s="315" t="e">
        <v>#DIV/0!</v>
      </c>
      <c r="J53" s="315">
        <v>18000000</v>
      </c>
      <c r="K53" s="315"/>
      <c r="L53" s="315"/>
      <c r="M53" s="315"/>
      <c r="N53" s="776"/>
      <c r="O53" s="315"/>
      <c r="P53" s="315">
        <v>0</v>
      </c>
      <c r="Q53" s="315">
        <f t="shared" si="4"/>
        <v>0</v>
      </c>
      <c r="R53" s="315">
        <v>1375</v>
      </c>
      <c r="S53" s="315">
        <v>436</v>
      </c>
      <c r="T53" s="315">
        <v>0</v>
      </c>
      <c r="U53" s="335">
        <v>0</v>
      </c>
      <c r="V53" s="315">
        <f t="shared" si="5"/>
        <v>0</v>
      </c>
      <c r="W53" s="315">
        <v>0</v>
      </c>
      <c r="X53" s="315">
        <v>0</v>
      </c>
      <c r="Y53" s="315">
        <v>0</v>
      </c>
      <c r="Z53" s="315">
        <v>0</v>
      </c>
      <c r="AA53" s="315">
        <v>0</v>
      </c>
      <c r="AB53" s="315">
        <v>0</v>
      </c>
      <c r="AC53" s="315">
        <v>0</v>
      </c>
      <c r="AD53" s="315">
        <v>0</v>
      </c>
      <c r="AE53" s="315">
        <v>0</v>
      </c>
      <c r="AF53" s="315">
        <v>0</v>
      </c>
      <c r="AG53" s="315">
        <v>0</v>
      </c>
      <c r="AH53" s="315">
        <v>0</v>
      </c>
      <c r="AI53" s="315">
        <v>0</v>
      </c>
      <c r="AJ53" s="315">
        <v>0</v>
      </c>
      <c r="AK53" s="315">
        <v>0</v>
      </c>
      <c r="AL53" s="315">
        <v>0</v>
      </c>
    </row>
    <row r="54" spans="1:38" x14ac:dyDescent="0.55000000000000004">
      <c r="A54" s="1" t="s">
        <v>771</v>
      </c>
      <c r="B54" s="313" t="s">
        <v>65</v>
      </c>
      <c r="C54" s="313" t="s">
        <v>134</v>
      </c>
      <c r="D54" s="1" t="s">
        <v>1080</v>
      </c>
      <c r="E54" s="1"/>
      <c r="F54" s="1" t="s">
        <v>1083</v>
      </c>
      <c r="G54" s="1" t="s">
        <v>788</v>
      </c>
      <c r="H54" s="1" t="s">
        <v>644</v>
      </c>
      <c r="I54" s="315">
        <v>2483820.4081632653</v>
      </c>
      <c r="J54" s="315">
        <v>608536000</v>
      </c>
      <c r="K54" s="315">
        <v>608536000</v>
      </c>
      <c r="L54" s="315">
        <v>45640200</v>
      </c>
      <c r="M54" s="315">
        <v>262948874.5</v>
      </c>
      <c r="N54" s="806">
        <f>CEILING(J54*0.925*0.6-(V54*0.5),1000)</f>
        <v>320808000</v>
      </c>
      <c r="O54" s="335">
        <f t="shared" ref="O54:O70" si="10">N54/J54</f>
        <v>0.52717998606491645</v>
      </c>
      <c r="P54" s="315">
        <v>1768465</v>
      </c>
      <c r="Q54" s="315">
        <f t="shared" si="4"/>
        <v>4400</v>
      </c>
      <c r="R54" s="315">
        <v>4400</v>
      </c>
      <c r="S54" s="315">
        <v>1636</v>
      </c>
      <c r="T54" s="315">
        <v>245</v>
      </c>
      <c r="U54" s="335">
        <v>0.14979999999999999</v>
      </c>
      <c r="V54" s="315">
        <f t="shared" si="5"/>
        <v>33860871</v>
      </c>
      <c r="W54" s="315">
        <v>1999140</v>
      </c>
      <c r="X54" s="315">
        <v>18994684</v>
      </c>
      <c r="Y54" s="315">
        <v>12867047</v>
      </c>
      <c r="Z54" s="315">
        <v>0</v>
      </c>
      <c r="AA54" s="315">
        <v>0</v>
      </c>
      <c r="AB54" s="315">
        <v>7336</v>
      </c>
      <c r="AC54" s="315">
        <v>7450</v>
      </c>
      <c r="AD54" s="315">
        <v>0</v>
      </c>
      <c r="AE54" s="315">
        <v>0</v>
      </c>
      <c r="AF54" s="315">
        <v>0</v>
      </c>
      <c r="AG54" s="315">
        <v>0</v>
      </c>
      <c r="AH54" s="315">
        <v>0</v>
      </c>
      <c r="AI54" s="315">
        <v>205300</v>
      </c>
      <c r="AJ54" s="315">
        <v>2200000</v>
      </c>
      <c r="AK54" s="315"/>
      <c r="AL54" s="315">
        <v>561000</v>
      </c>
    </row>
    <row r="55" spans="1:38" x14ac:dyDescent="0.55000000000000004">
      <c r="A55" s="1" t="s">
        <v>771</v>
      </c>
      <c r="B55" s="313" t="s">
        <v>65</v>
      </c>
      <c r="C55" s="313" t="s">
        <v>134</v>
      </c>
      <c r="D55" s="1" t="s">
        <v>1084</v>
      </c>
      <c r="E55" s="1"/>
      <c r="F55" s="1" t="s">
        <v>1085</v>
      </c>
      <c r="G55" s="1" t="s">
        <v>1086</v>
      </c>
      <c r="H55" s="1" t="s">
        <v>644</v>
      </c>
      <c r="I55" s="315">
        <v>2789507.942857143</v>
      </c>
      <c r="J55" s="315">
        <v>292898334</v>
      </c>
      <c r="K55" s="315">
        <v>292898334</v>
      </c>
      <c r="L55" s="315">
        <v>21967375.050000001</v>
      </c>
      <c r="M55" s="315">
        <v>124093490.47499999</v>
      </c>
      <c r="N55" s="806">
        <f>CEILING(J55*0.925/2-(V55*0.5),1000)</f>
        <v>127047000</v>
      </c>
      <c r="O55" s="335">
        <f t="shared" si="10"/>
        <v>0.4337580151616704</v>
      </c>
      <c r="P55" s="315">
        <v>959374</v>
      </c>
      <c r="Q55" s="315">
        <f t="shared" si="4"/>
        <v>2750</v>
      </c>
      <c r="R55" s="315">
        <v>2750</v>
      </c>
      <c r="S55" s="315">
        <v>854</v>
      </c>
      <c r="T55" s="315">
        <v>105</v>
      </c>
      <c r="U55" s="335">
        <v>0.123</v>
      </c>
      <c r="V55" s="315">
        <f t="shared" si="5"/>
        <v>16838438</v>
      </c>
      <c r="W55" s="315">
        <v>2022990</v>
      </c>
      <c r="X55" s="315">
        <v>7337229</v>
      </c>
      <c r="Y55" s="315">
        <v>7478219</v>
      </c>
      <c r="Z55" s="315">
        <v>0</v>
      </c>
      <c r="AA55" s="315">
        <v>0</v>
      </c>
      <c r="AB55" s="315">
        <v>6825</v>
      </c>
      <c r="AC55" s="315">
        <v>6662</v>
      </c>
      <c r="AD55" s="315">
        <v>0</v>
      </c>
      <c r="AE55" s="315">
        <v>0</v>
      </c>
      <c r="AF55" s="315">
        <v>0</v>
      </c>
      <c r="AG55" s="315">
        <v>0</v>
      </c>
      <c r="AH55" s="315">
        <v>0</v>
      </c>
      <c r="AI55" s="315">
        <v>270900</v>
      </c>
      <c r="AJ55" s="315">
        <v>2153800</v>
      </c>
      <c r="AK55" s="315"/>
      <c r="AL55" s="315">
        <v>231000</v>
      </c>
    </row>
    <row r="56" spans="1:38" x14ac:dyDescent="0.55000000000000004">
      <c r="A56" s="1" t="s">
        <v>771</v>
      </c>
      <c r="B56" s="313" t="s">
        <v>65</v>
      </c>
      <c r="C56" s="313" t="s">
        <v>134</v>
      </c>
      <c r="D56" s="1" t="s">
        <v>1087</v>
      </c>
      <c r="E56" s="1"/>
      <c r="F56" s="1" t="s">
        <v>1021</v>
      </c>
      <c r="G56" s="1" t="s">
        <v>1021</v>
      </c>
      <c r="H56" s="1" t="s">
        <v>662</v>
      </c>
      <c r="I56" s="315">
        <v>3150000</v>
      </c>
      <c r="J56" s="315">
        <v>94500000</v>
      </c>
      <c r="K56" s="315">
        <v>94500000</v>
      </c>
      <c r="L56" s="315">
        <v>7087500</v>
      </c>
      <c r="M56" s="315">
        <v>31041842</v>
      </c>
      <c r="N56" s="315">
        <v>45057000</v>
      </c>
      <c r="O56" s="335">
        <f t="shared" si="10"/>
        <v>0.47679365079365077</v>
      </c>
      <c r="P56" s="315">
        <v>981692</v>
      </c>
      <c r="Q56" s="315">
        <f t="shared" si="4"/>
        <v>3340</v>
      </c>
      <c r="R56" s="315">
        <v>3340</v>
      </c>
      <c r="S56" s="315">
        <v>1100</v>
      </c>
      <c r="T56" s="315">
        <v>30</v>
      </c>
      <c r="U56" s="335">
        <v>2.7300000000000001E-2</v>
      </c>
      <c r="V56" s="315">
        <f t="shared" si="5"/>
        <v>22376436</v>
      </c>
      <c r="W56" s="315">
        <v>2142345</v>
      </c>
      <c r="X56" s="315">
        <v>14474601</v>
      </c>
      <c r="Y56" s="315">
        <v>5759490</v>
      </c>
      <c r="Z56" s="315">
        <v>0</v>
      </c>
      <c r="AA56" s="315">
        <v>0</v>
      </c>
      <c r="AB56" s="315">
        <v>6310</v>
      </c>
      <c r="AC56" s="315">
        <v>8100</v>
      </c>
      <c r="AD56" s="315">
        <v>0</v>
      </c>
      <c r="AE56" s="315">
        <v>0</v>
      </c>
      <c r="AF56" s="315">
        <v>0</v>
      </c>
      <c r="AG56" s="315">
        <v>0</v>
      </c>
      <c r="AH56" s="315">
        <v>0</v>
      </c>
      <c r="AI56" s="315">
        <v>210300</v>
      </c>
      <c r="AJ56" s="315">
        <v>2200000</v>
      </c>
      <c r="AK56" s="315"/>
      <c r="AL56" s="315">
        <v>0</v>
      </c>
    </row>
    <row r="57" spans="1:38" x14ac:dyDescent="0.55000000000000004">
      <c r="A57" s="1" t="s">
        <v>771</v>
      </c>
      <c r="B57" s="313" t="s">
        <v>65</v>
      </c>
      <c r="C57" s="313" t="s">
        <v>134</v>
      </c>
      <c r="D57" s="1" t="s">
        <v>1088</v>
      </c>
      <c r="E57" s="1"/>
      <c r="F57" s="1" t="s">
        <v>1089</v>
      </c>
      <c r="G57" s="1" t="s">
        <v>1089</v>
      </c>
      <c r="H57" s="1" t="s">
        <v>644</v>
      </c>
      <c r="I57" s="315">
        <v>2811138.2962962962</v>
      </c>
      <c r="J57" s="315">
        <v>607205872</v>
      </c>
      <c r="K57" s="315">
        <v>607205872</v>
      </c>
      <c r="L57" s="315">
        <v>45540440.399999999</v>
      </c>
      <c r="M57" s="315">
        <v>261327996.80000001</v>
      </c>
      <c r="N57" s="806">
        <f>CEILING(J57*0.925/2-(V57*0.5),1000)</f>
        <v>263487000</v>
      </c>
      <c r="O57" s="335">
        <f t="shared" si="10"/>
        <v>0.43393355062943134</v>
      </c>
      <c r="P57" s="315">
        <v>1455993</v>
      </c>
      <c r="Q57" s="315">
        <f t="shared" si="4"/>
        <v>6750</v>
      </c>
      <c r="R57" s="315">
        <v>6750</v>
      </c>
      <c r="S57" s="315">
        <v>2936</v>
      </c>
      <c r="T57" s="315">
        <v>216</v>
      </c>
      <c r="U57" s="335">
        <v>7.3599999999999999E-2</v>
      </c>
      <c r="V57" s="315">
        <f t="shared" si="5"/>
        <v>34692703</v>
      </c>
      <c r="W57" s="315">
        <v>2461320</v>
      </c>
      <c r="X57" s="315">
        <v>18164255</v>
      </c>
      <c r="Y57" s="315">
        <v>14067128</v>
      </c>
      <c r="Z57" s="315">
        <v>0</v>
      </c>
      <c r="AA57" s="315">
        <v>0</v>
      </c>
      <c r="AB57" s="315">
        <v>7450</v>
      </c>
      <c r="AC57" s="315">
        <v>8300</v>
      </c>
      <c r="AD57" s="315">
        <v>0</v>
      </c>
      <c r="AE57" s="315">
        <v>0</v>
      </c>
      <c r="AF57" s="315">
        <v>0</v>
      </c>
      <c r="AG57" s="315">
        <v>0</v>
      </c>
      <c r="AH57" s="315">
        <v>0</v>
      </c>
      <c r="AI57" s="315">
        <v>223300</v>
      </c>
      <c r="AJ57" s="315">
        <v>2200000</v>
      </c>
      <c r="AK57" s="315">
        <v>1650000</v>
      </c>
      <c r="AL57" s="315">
        <v>1188000</v>
      </c>
    </row>
    <row r="58" spans="1:38" x14ac:dyDescent="0.55000000000000004">
      <c r="A58" s="1" t="s">
        <v>771</v>
      </c>
      <c r="B58" s="313" t="s">
        <v>65</v>
      </c>
      <c r="C58" s="313" t="s">
        <v>134</v>
      </c>
      <c r="D58" s="1" t="s">
        <v>1090</v>
      </c>
      <c r="E58" s="1"/>
      <c r="F58" s="1" t="s">
        <v>1091</v>
      </c>
      <c r="G58" s="1" t="s">
        <v>1092</v>
      </c>
      <c r="H58" s="1" t="s">
        <v>662</v>
      </c>
      <c r="I58" s="315">
        <v>2737500</v>
      </c>
      <c r="J58" s="315">
        <v>21900000</v>
      </c>
      <c r="K58" s="315">
        <v>21900000</v>
      </c>
      <c r="L58" s="315">
        <v>1642500</v>
      </c>
      <c r="M58" s="838"/>
      <c r="N58" s="806">
        <f>MAX(CEILING(J58*0.925/2-(V58*0.5),1000),0)</f>
        <v>0</v>
      </c>
      <c r="O58" s="335">
        <f t="shared" si="10"/>
        <v>0</v>
      </c>
      <c r="P58" s="315">
        <v>528761</v>
      </c>
      <c r="Q58" s="315">
        <f t="shared" si="4"/>
        <v>1356</v>
      </c>
      <c r="R58" s="315">
        <v>1356</v>
      </c>
      <c r="S58" s="315">
        <v>404</v>
      </c>
      <c r="T58" s="315">
        <v>8</v>
      </c>
      <c r="U58" s="335">
        <v>1.9800000000000002E-2</v>
      </c>
      <c r="V58" s="315">
        <f t="shared" si="5"/>
        <v>21995758</v>
      </c>
      <c r="W58" s="315">
        <v>2346480</v>
      </c>
      <c r="X58" s="315">
        <v>12649093</v>
      </c>
      <c r="Y58" s="315">
        <v>7000185</v>
      </c>
      <c r="Z58" s="315">
        <v>0</v>
      </c>
      <c r="AA58" s="315">
        <v>0</v>
      </c>
      <c r="AB58" s="315">
        <v>15000</v>
      </c>
      <c r="AC58" s="315">
        <v>12000</v>
      </c>
      <c r="AD58" s="315">
        <v>0</v>
      </c>
      <c r="AE58" s="315">
        <v>0</v>
      </c>
      <c r="AF58" s="315">
        <v>0</v>
      </c>
      <c r="AG58" s="315">
        <v>0</v>
      </c>
      <c r="AH58" s="315">
        <v>0</v>
      </c>
      <c r="AI58" s="315">
        <v>196000</v>
      </c>
      <c r="AJ58" s="315">
        <v>2200000</v>
      </c>
      <c r="AK58" s="315"/>
      <c r="AL58" s="315">
        <v>0</v>
      </c>
    </row>
    <row r="59" spans="1:38" x14ac:dyDescent="0.55000000000000004">
      <c r="A59" s="1" t="s">
        <v>771</v>
      </c>
      <c r="B59" s="313" t="s">
        <v>65</v>
      </c>
      <c r="C59" s="313" t="s">
        <v>134</v>
      </c>
      <c r="D59" s="1" t="s">
        <v>1093</v>
      </c>
      <c r="E59" s="1"/>
      <c r="F59" s="1" t="s">
        <v>1094</v>
      </c>
      <c r="G59" s="1" t="s">
        <v>788</v>
      </c>
      <c r="H59" s="1"/>
      <c r="I59" s="315">
        <v>2344627.2189349113</v>
      </c>
      <c r="J59" s="315">
        <v>396242000</v>
      </c>
      <c r="K59" s="315">
        <v>396242000</v>
      </c>
      <c r="L59" s="315">
        <v>29718150</v>
      </c>
      <c r="M59" s="315">
        <v>160077320</v>
      </c>
      <c r="N59" s="806">
        <f>CEILING(J59*0.925*0.6-(V59*0.5),1000)</f>
        <v>198686000</v>
      </c>
      <c r="O59" s="335">
        <f t="shared" si="10"/>
        <v>0.50142589629569811</v>
      </c>
      <c r="P59" s="315">
        <v>2421957</v>
      </c>
      <c r="Q59" s="315">
        <f t="shared" si="4"/>
        <v>3849</v>
      </c>
      <c r="R59" s="315">
        <v>3849</v>
      </c>
      <c r="S59" s="315">
        <v>1180</v>
      </c>
      <c r="T59" s="315">
        <v>169</v>
      </c>
      <c r="U59" s="335">
        <v>0.14319999999999999</v>
      </c>
      <c r="V59" s="315">
        <f t="shared" si="5"/>
        <v>42457585</v>
      </c>
      <c r="W59" s="315">
        <v>2504385</v>
      </c>
      <c r="X59" s="315">
        <v>33993276</v>
      </c>
      <c r="Y59" s="315">
        <v>5959924</v>
      </c>
      <c r="Z59" s="315">
        <v>0</v>
      </c>
      <c r="AA59" s="315">
        <v>0</v>
      </c>
      <c r="AB59" s="315">
        <v>6241</v>
      </c>
      <c r="AC59" s="315">
        <v>8370</v>
      </c>
      <c r="AD59" s="315">
        <v>0</v>
      </c>
      <c r="AE59" s="315">
        <v>0</v>
      </c>
      <c r="AF59" s="315">
        <v>0</v>
      </c>
      <c r="AG59" s="315">
        <v>0</v>
      </c>
      <c r="AH59" s="315">
        <v>0</v>
      </c>
      <c r="AI59" s="315">
        <v>195000</v>
      </c>
      <c r="AJ59" s="315">
        <v>2200000</v>
      </c>
      <c r="AK59" s="315"/>
      <c r="AL59" s="315">
        <v>535000</v>
      </c>
    </row>
    <row r="60" spans="1:38" x14ac:dyDescent="0.55000000000000004">
      <c r="A60" s="1" t="s">
        <v>771</v>
      </c>
      <c r="B60" s="313" t="s">
        <v>65</v>
      </c>
      <c r="C60" s="313" t="s">
        <v>134</v>
      </c>
      <c r="D60" s="1" t="s">
        <v>1095</v>
      </c>
      <c r="E60" s="1"/>
      <c r="F60" s="1" t="s">
        <v>1096</v>
      </c>
      <c r="G60" s="1" t="s">
        <v>1097</v>
      </c>
      <c r="H60" s="1" t="s">
        <v>644</v>
      </c>
      <c r="I60" s="315">
        <v>2867800</v>
      </c>
      <c r="J60" s="315">
        <v>143390000</v>
      </c>
      <c r="K60" s="315">
        <v>143390000</v>
      </c>
      <c r="L60" s="315">
        <v>10754250</v>
      </c>
      <c r="M60" s="315">
        <v>57650454.25</v>
      </c>
      <c r="N60" s="806">
        <f>CEILING(J60*0.925/2-(V60*0.5),1000)</f>
        <v>60352000</v>
      </c>
      <c r="O60" s="335">
        <f t="shared" si="10"/>
        <v>0.42089406513703886</v>
      </c>
      <c r="P60" s="315">
        <v>407931</v>
      </c>
      <c r="Q60" s="315">
        <f t="shared" si="4"/>
        <v>1600</v>
      </c>
      <c r="R60" s="315">
        <v>1600</v>
      </c>
      <c r="S60" s="315">
        <v>520</v>
      </c>
      <c r="T60" s="315">
        <v>50</v>
      </c>
      <c r="U60" s="335">
        <v>9.6199999999999994E-2</v>
      </c>
      <c r="V60" s="315">
        <f t="shared" si="5"/>
        <v>11933184</v>
      </c>
      <c r="W60" s="315">
        <v>2084115</v>
      </c>
      <c r="X60" s="315">
        <v>3998893</v>
      </c>
      <c r="Y60" s="315">
        <v>5850176</v>
      </c>
      <c r="Z60" s="315">
        <v>0</v>
      </c>
      <c r="AA60" s="315">
        <v>0</v>
      </c>
      <c r="AB60" s="315">
        <v>8818</v>
      </c>
      <c r="AC60" s="315">
        <v>8200</v>
      </c>
      <c r="AD60" s="315">
        <v>0</v>
      </c>
      <c r="AE60" s="315">
        <v>0</v>
      </c>
      <c r="AF60" s="315">
        <v>0</v>
      </c>
      <c r="AG60" s="315">
        <v>0</v>
      </c>
      <c r="AH60" s="315">
        <v>0</v>
      </c>
      <c r="AI60" s="315">
        <v>269900</v>
      </c>
      <c r="AJ60" s="315">
        <v>1476000</v>
      </c>
      <c r="AK60" s="315"/>
      <c r="AL60" s="315">
        <v>660000</v>
      </c>
    </row>
    <row r="61" spans="1:38" x14ac:dyDescent="0.55000000000000004">
      <c r="A61" s="1" t="s">
        <v>771</v>
      </c>
      <c r="B61" s="313" t="s">
        <v>957</v>
      </c>
      <c r="C61" s="313" t="s">
        <v>68</v>
      </c>
      <c r="D61" s="1" t="s">
        <v>1098</v>
      </c>
      <c r="E61" s="1"/>
      <c r="F61" s="1" t="s">
        <v>1099</v>
      </c>
      <c r="G61" s="1" t="s">
        <v>1028</v>
      </c>
      <c r="H61" s="1" t="s">
        <v>662</v>
      </c>
      <c r="I61" s="315">
        <v>2314326.923076923</v>
      </c>
      <c r="J61" s="315">
        <v>120345000</v>
      </c>
      <c r="K61" s="315">
        <v>149435000</v>
      </c>
      <c r="L61" s="315">
        <v>11207625</v>
      </c>
      <c r="M61" s="315">
        <v>58687454.75</v>
      </c>
      <c r="N61" s="806">
        <f>CEILING(J61*0.925/2-(V61*0.5),1000)</f>
        <v>49366000</v>
      </c>
      <c r="O61" s="335">
        <f t="shared" si="10"/>
        <v>0.41020399684241138</v>
      </c>
      <c r="P61" s="315">
        <v>714882</v>
      </c>
      <c r="Q61" s="315">
        <f t="shared" si="4"/>
        <v>3300</v>
      </c>
      <c r="R61" s="315">
        <v>3300</v>
      </c>
      <c r="S61" s="315">
        <v>1260</v>
      </c>
      <c r="T61" s="315">
        <v>52</v>
      </c>
      <c r="U61" s="335">
        <v>4.1300000000000003E-2</v>
      </c>
      <c r="V61" s="315">
        <f t="shared" si="5"/>
        <v>12588283</v>
      </c>
      <c r="W61" s="315">
        <v>2591985</v>
      </c>
      <c r="X61" s="315">
        <v>3999987</v>
      </c>
      <c r="Y61" s="315">
        <v>5996311</v>
      </c>
      <c r="Z61" s="315">
        <v>0</v>
      </c>
      <c r="AA61" s="315">
        <v>0</v>
      </c>
      <c r="AB61" s="315">
        <v>8808</v>
      </c>
      <c r="AC61" s="315">
        <v>7604</v>
      </c>
      <c r="AD61" s="315">
        <v>0</v>
      </c>
      <c r="AE61" s="315">
        <v>0</v>
      </c>
      <c r="AF61" s="315">
        <v>0</v>
      </c>
      <c r="AG61" s="315">
        <v>0</v>
      </c>
      <c r="AH61" s="315">
        <v>0</v>
      </c>
      <c r="AI61" s="315">
        <v>176000</v>
      </c>
      <c r="AJ61" s="315">
        <v>1498000</v>
      </c>
      <c r="AK61" s="315"/>
      <c r="AL61" s="315"/>
    </row>
    <row r="62" spans="1:38" x14ac:dyDescent="0.55000000000000004">
      <c r="A62" s="1" t="s">
        <v>771</v>
      </c>
      <c r="B62" s="313" t="s">
        <v>65</v>
      </c>
      <c r="C62" s="313" t="s">
        <v>134</v>
      </c>
      <c r="D62" s="1" t="s">
        <v>1100</v>
      </c>
      <c r="E62" s="1"/>
      <c r="F62" s="1" t="s">
        <v>1101</v>
      </c>
      <c r="G62" s="1" t="s">
        <v>1102</v>
      </c>
      <c r="H62" s="1" t="s">
        <v>644</v>
      </c>
      <c r="I62" s="315">
        <v>1781666.6666666667</v>
      </c>
      <c r="J62" s="315">
        <v>21380000</v>
      </c>
      <c r="K62" s="315">
        <v>21380000</v>
      </c>
      <c r="L62" s="315">
        <v>1603500</v>
      </c>
      <c r="M62" s="315">
        <v>372470.25</v>
      </c>
      <c r="N62" s="806">
        <f>CEILING(J62*0.925/2-(V62*0.5),1000)</f>
        <v>2252000</v>
      </c>
      <c r="O62" s="335">
        <f t="shared" si="10"/>
        <v>0.10533208606173994</v>
      </c>
      <c r="P62" s="315">
        <v>704184</v>
      </c>
      <c r="Q62" s="315">
        <f t="shared" si="4"/>
        <v>2311</v>
      </c>
      <c r="R62" s="315">
        <v>2311</v>
      </c>
      <c r="S62" s="315">
        <v>704</v>
      </c>
      <c r="T62" s="315">
        <v>12</v>
      </c>
      <c r="U62" s="335">
        <v>1.7000000000000001E-2</v>
      </c>
      <c r="V62" s="315">
        <f t="shared" si="5"/>
        <v>15273677</v>
      </c>
      <c r="W62" s="315">
        <v>3280845</v>
      </c>
      <c r="X62" s="315">
        <v>9997740</v>
      </c>
      <c r="Y62" s="315">
        <v>1995092</v>
      </c>
      <c r="Z62" s="315">
        <v>0</v>
      </c>
      <c r="AA62" s="315">
        <v>0</v>
      </c>
      <c r="AB62" s="315">
        <v>3739</v>
      </c>
      <c r="AC62" s="315">
        <v>7920</v>
      </c>
      <c r="AD62" s="315">
        <v>0</v>
      </c>
      <c r="AE62" s="315">
        <v>0</v>
      </c>
      <c r="AF62" s="315">
        <v>0</v>
      </c>
      <c r="AG62" s="315">
        <v>0</v>
      </c>
      <c r="AH62" s="315">
        <v>0</v>
      </c>
      <c r="AI62" s="315">
        <v>266100</v>
      </c>
      <c r="AJ62" s="315">
        <v>1798000</v>
      </c>
      <c r="AK62" s="315"/>
      <c r="AL62" s="315"/>
    </row>
    <row r="63" spans="1:38" x14ac:dyDescent="0.55000000000000004">
      <c r="A63" s="1" t="s">
        <v>771</v>
      </c>
      <c r="B63" s="313" t="s">
        <v>65</v>
      </c>
      <c r="C63" s="313" t="s">
        <v>134</v>
      </c>
      <c r="D63" s="1" t="s">
        <v>1103</v>
      </c>
      <c r="E63" s="1"/>
      <c r="F63" s="1" t="s">
        <v>1104</v>
      </c>
      <c r="G63" s="1" t="s">
        <v>1063</v>
      </c>
      <c r="H63" s="1" t="s">
        <v>662</v>
      </c>
      <c r="I63" s="315">
        <v>3132408.5590062113</v>
      </c>
      <c r="J63" s="315">
        <v>1512953334</v>
      </c>
      <c r="K63" s="315">
        <v>1512953334</v>
      </c>
      <c r="L63" s="315">
        <v>113471500.05</v>
      </c>
      <c r="M63" s="315">
        <v>591877829.47500002</v>
      </c>
      <c r="N63" s="315">
        <v>652932000</v>
      </c>
      <c r="O63" s="335">
        <f t="shared" si="10"/>
        <v>0.43156122884091547</v>
      </c>
      <c r="P63" s="315">
        <v>12142819</v>
      </c>
      <c r="Q63" s="315">
        <f t="shared" si="4"/>
        <v>22858</v>
      </c>
      <c r="R63" s="315">
        <v>22858</v>
      </c>
      <c r="S63" s="315">
        <v>6174</v>
      </c>
      <c r="T63" s="315">
        <v>483</v>
      </c>
      <c r="U63" s="335">
        <v>7.8200000000000006E-2</v>
      </c>
      <c r="V63" s="315">
        <f t="shared" si="5"/>
        <v>112812970</v>
      </c>
      <c r="W63" s="315">
        <v>3148155</v>
      </c>
      <c r="X63" s="315">
        <v>65187988</v>
      </c>
      <c r="Y63" s="315">
        <v>44476827</v>
      </c>
      <c r="Z63" s="315">
        <v>0</v>
      </c>
      <c r="AA63" s="315">
        <v>0</v>
      </c>
      <c r="AB63" s="315">
        <v>15774</v>
      </c>
      <c r="AC63" s="315">
        <v>8001</v>
      </c>
      <c r="AD63" s="315">
        <v>0</v>
      </c>
      <c r="AE63" s="315">
        <v>0</v>
      </c>
      <c r="AF63" s="315">
        <v>0</v>
      </c>
      <c r="AG63" s="315">
        <v>0</v>
      </c>
      <c r="AH63" s="315">
        <v>0</v>
      </c>
      <c r="AI63" s="315">
        <v>389800</v>
      </c>
      <c r="AJ63" s="315">
        <v>2000000</v>
      </c>
      <c r="AK63" s="315"/>
      <c r="AL63" s="315"/>
    </row>
    <row r="64" spans="1:38" x14ac:dyDescent="0.55000000000000004">
      <c r="A64" s="1" t="s">
        <v>771</v>
      </c>
      <c r="B64" s="313" t="s">
        <v>65</v>
      </c>
      <c r="C64" s="313" t="s">
        <v>134</v>
      </c>
      <c r="D64" s="1" t="s">
        <v>1105</v>
      </c>
      <c r="E64" s="1"/>
      <c r="F64" s="1" t="s">
        <v>1106</v>
      </c>
      <c r="G64" s="1" t="s">
        <v>1107</v>
      </c>
      <c r="H64" s="1" t="s">
        <v>644</v>
      </c>
      <c r="I64" s="315">
        <v>2529233.8688524589</v>
      </c>
      <c r="J64" s="315">
        <v>154283266</v>
      </c>
      <c r="K64" s="315">
        <v>154283266</v>
      </c>
      <c r="L64" s="315">
        <v>11571244.949999999</v>
      </c>
      <c r="M64" s="315">
        <v>64328865.025000006</v>
      </c>
      <c r="N64" s="315">
        <v>65687000</v>
      </c>
      <c r="O64" s="335">
        <f t="shared" si="10"/>
        <v>0.42575583018834978</v>
      </c>
      <c r="P64" s="315">
        <v>539479</v>
      </c>
      <c r="Q64" s="315">
        <f t="shared" si="4"/>
        <v>1550</v>
      </c>
      <c r="R64" s="315">
        <v>1550</v>
      </c>
      <c r="S64" s="315">
        <v>595</v>
      </c>
      <c r="T64" s="315">
        <v>61</v>
      </c>
      <c r="U64" s="335">
        <v>0.10249999999999999</v>
      </c>
      <c r="V64" s="315">
        <f t="shared" si="5"/>
        <v>12103261</v>
      </c>
      <c r="W64" s="315">
        <v>2237820</v>
      </c>
      <c r="X64" s="315">
        <v>6890786</v>
      </c>
      <c r="Y64" s="315">
        <v>2974655</v>
      </c>
      <c r="Z64" s="315">
        <v>0</v>
      </c>
      <c r="AA64" s="315">
        <v>0</v>
      </c>
      <c r="AB64" s="315">
        <v>7039</v>
      </c>
      <c r="AC64" s="315">
        <v>9534</v>
      </c>
      <c r="AD64" s="315">
        <v>0</v>
      </c>
      <c r="AE64" s="315">
        <v>0</v>
      </c>
      <c r="AF64" s="315">
        <v>0</v>
      </c>
      <c r="AG64" s="315">
        <v>0</v>
      </c>
      <c r="AH64" s="315">
        <v>0</v>
      </c>
      <c r="AI64" s="315">
        <v>154000</v>
      </c>
      <c r="AJ64" s="315">
        <v>1446000</v>
      </c>
      <c r="AK64" s="315"/>
      <c r="AL64" s="315"/>
    </row>
    <row r="65" spans="1:38" x14ac:dyDescent="0.55000000000000004">
      <c r="A65" s="1" t="s">
        <v>771</v>
      </c>
      <c r="B65" s="313" t="s">
        <v>65</v>
      </c>
      <c r="C65" s="313" t="s">
        <v>134</v>
      </c>
      <c r="D65" s="1" t="s">
        <v>1108</v>
      </c>
      <c r="E65" s="1"/>
      <c r="F65" s="1" t="s">
        <v>1109</v>
      </c>
      <c r="G65" s="1" t="s">
        <v>1016</v>
      </c>
      <c r="H65" s="1" t="s">
        <v>680</v>
      </c>
      <c r="I65" s="315">
        <v>2840000</v>
      </c>
      <c r="J65" s="315">
        <v>31240000</v>
      </c>
      <c r="K65" s="315">
        <v>31240000</v>
      </c>
      <c r="L65" s="315">
        <v>2343000</v>
      </c>
      <c r="M65" s="315">
        <v>6882343.25</v>
      </c>
      <c r="N65" s="315">
        <v>14449000</v>
      </c>
      <c r="O65" s="335">
        <f t="shared" si="10"/>
        <v>0.46251600512163893</v>
      </c>
      <c r="P65" s="315">
        <v>480473</v>
      </c>
      <c r="Q65" s="315">
        <f t="shared" si="4"/>
        <v>1450</v>
      </c>
      <c r="R65" s="315">
        <v>1450</v>
      </c>
      <c r="S65" s="315">
        <v>580</v>
      </c>
      <c r="T65" s="315">
        <v>11</v>
      </c>
      <c r="U65" s="335">
        <v>1.9E-2</v>
      </c>
      <c r="V65" s="315">
        <f t="shared" si="5"/>
        <v>12946121</v>
      </c>
      <c r="W65" s="315">
        <v>3001500</v>
      </c>
      <c r="X65" s="315">
        <v>4999225</v>
      </c>
      <c r="Y65" s="315">
        <v>4945396</v>
      </c>
      <c r="Z65" s="315">
        <v>0</v>
      </c>
      <c r="AA65" s="315">
        <v>0</v>
      </c>
      <c r="AB65" s="315">
        <v>9024</v>
      </c>
      <c r="AC65" s="315">
        <v>6276</v>
      </c>
      <c r="AD65" s="315">
        <v>0</v>
      </c>
      <c r="AE65" s="315">
        <v>0</v>
      </c>
      <c r="AF65" s="315">
        <v>0</v>
      </c>
      <c r="AG65" s="315">
        <v>0</v>
      </c>
      <c r="AH65" s="315">
        <v>0</v>
      </c>
      <c r="AI65" s="315">
        <v>200000</v>
      </c>
      <c r="AJ65" s="315">
        <v>1491000</v>
      </c>
      <c r="AK65" s="315"/>
      <c r="AL65" s="315"/>
    </row>
    <row r="66" spans="1:38" x14ac:dyDescent="0.55000000000000004">
      <c r="A66" s="1" t="s">
        <v>771</v>
      </c>
      <c r="B66" s="313" t="s">
        <v>65</v>
      </c>
      <c r="C66" s="313" t="s">
        <v>134</v>
      </c>
      <c r="D66" s="1" t="s">
        <v>1110</v>
      </c>
      <c r="E66" s="1"/>
      <c r="F66" s="1" t="s">
        <v>1111</v>
      </c>
      <c r="G66" s="1" t="s">
        <v>1056</v>
      </c>
      <c r="H66" s="1" t="s">
        <v>680</v>
      </c>
      <c r="I66" s="315">
        <v>2504038.4615384615</v>
      </c>
      <c r="J66" s="315">
        <v>65105000</v>
      </c>
      <c r="K66" s="315">
        <v>65105000</v>
      </c>
      <c r="L66" s="315">
        <v>4882875</v>
      </c>
      <c r="M66" s="315">
        <v>14557879</v>
      </c>
      <c r="N66" s="315">
        <v>25803000</v>
      </c>
      <c r="O66" s="335">
        <f t="shared" si="10"/>
        <v>0.39632900698871054</v>
      </c>
      <c r="P66" s="315">
        <v>1657643</v>
      </c>
      <c r="Q66" s="315">
        <f t="shared" si="4"/>
        <v>2777</v>
      </c>
      <c r="R66" s="315">
        <v>2777</v>
      </c>
      <c r="S66" s="315">
        <v>631</v>
      </c>
      <c r="T66" s="315">
        <v>26</v>
      </c>
      <c r="U66" s="335">
        <v>4.1200000000000001E-2</v>
      </c>
      <c r="V66" s="315">
        <f t="shared" si="5"/>
        <v>23969122</v>
      </c>
      <c r="W66" s="315">
        <v>4034685</v>
      </c>
      <c r="X66" s="315">
        <v>11999895</v>
      </c>
      <c r="Y66" s="315">
        <v>7934542</v>
      </c>
      <c r="Z66" s="315">
        <v>0</v>
      </c>
      <c r="AA66" s="315">
        <v>0</v>
      </c>
      <c r="AB66" s="315">
        <v>8511</v>
      </c>
      <c r="AC66" s="315">
        <v>9919</v>
      </c>
      <c r="AD66" s="315">
        <v>0</v>
      </c>
      <c r="AE66" s="315">
        <v>0</v>
      </c>
      <c r="AF66" s="315">
        <v>0</v>
      </c>
      <c r="AG66" s="315">
        <v>0</v>
      </c>
      <c r="AH66" s="315">
        <v>0</v>
      </c>
      <c r="AI66" s="315">
        <v>160000</v>
      </c>
      <c r="AJ66" s="315">
        <v>2000000</v>
      </c>
      <c r="AK66" s="315"/>
      <c r="AL66" s="315"/>
    </row>
    <row r="67" spans="1:38" x14ac:dyDescent="0.55000000000000004">
      <c r="A67" s="1" t="s">
        <v>771</v>
      </c>
      <c r="B67" s="313" t="s">
        <v>65</v>
      </c>
      <c r="C67" s="313" t="s">
        <v>134</v>
      </c>
      <c r="D67" s="1" t="s">
        <v>1112</v>
      </c>
      <c r="E67" s="1"/>
      <c r="F67" s="1" t="s">
        <v>1113</v>
      </c>
      <c r="G67" s="1" t="s">
        <v>1040</v>
      </c>
      <c r="H67" s="1" t="s">
        <v>680</v>
      </c>
      <c r="I67" s="315">
        <v>2636666.6666666665</v>
      </c>
      <c r="J67" s="315">
        <v>118650000</v>
      </c>
      <c r="K67" s="315">
        <v>118650000</v>
      </c>
      <c r="L67" s="315">
        <v>8898750</v>
      </c>
      <c r="M67" s="315">
        <v>36566352.5</v>
      </c>
      <c r="N67" s="315">
        <v>52136000</v>
      </c>
      <c r="O67" s="335">
        <f t="shared" si="10"/>
        <v>0.43941002949852509</v>
      </c>
      <c r="P67" s="315">
        <v>3608075</v>
      </c>
      <c r="Q67" s="315">
        <f t="shared" si="4"/>
        <v>2337</v>
      </c>
      <c r="R67" s="315">
        <v>2337</v>
      </c>
      <c r="S67" s="315">
        <v>500</v>
      </c>
      <c r="T67" s="315">
        <v>45</v>
      </c>
      <c r="U67" s="335">
        <v>0.09</v>
      </c>
      <c r="V67" s="315">
        <f t="shared" si="5"/>
        <v>33941805</v>
      </c>
      <c r="W67" s="315">
        <v>3793935</v>
      </c>
      <c r="X67" s="315">
        <v>16112129</v>
      </c>
      <c r="Y67" s="315">
        <v>14035741</v>
      </c>
      <c r="Z67" s="315">
        <v>0</v>
      </c>
      <c r="AA67" s="315">
        <v>0</v>
      </c>
      <c r="AB67" s="315">
        <v>12111</v>
      </c>
      <c r="AC67" s="315">
        <v>12015</v>
      </c>
      <c r="AD67" s="315">
        <v>0</v>
      </c>
      <c r="AE67" s="315">
        <v>0</v>
      </c>
      <c r="AF67" s="315">
        <v>0</v>
      </c>
      <c r="AG67" s="315">
        <v>0</v>
      </c>
      <c r="AH67" s="315">
        <v>0</v>
      </c>
      <c r="AI67" s="315">
        <v>280000</v>
      </c>
      <c r="AJ67" s="315">
        <v>2000000</v>
      </c>
      <c r="AK67" s="315"/>
      <c r="AL67" s="315"/>
    </row>
    <row r="68" spans="1:38" x14ac:dyDescent="0.55000000000000004">
      <c r="A68" s="1" t="s">
        <v>771</v>
      </c>
      <c r="B68" s="313" t="s">
        <v>65</v>
      </c>
      <c r="C68" s="313" t="s">
        <v>134</v>
      </c>
      <c r="D68" s="1" t="s">
        <v>1114</v>
      </c>
      <c r="E68" s="1"/>
      <c r="F68" s="1" t="s">
        <v>1115</v>
      </c>
      <c r="G68" s="1" t="s">
        <v>1116</v>
      </c>
      <c r="H68" s="1"/>
      <c r="I68" s="315">
        <v>3085500</v>
      </c>
      <c r="J68" s="315">
        <v>92565000</v>
      </c>
      <c r="K68" s="315">
        <v>92565000</v>
      </c>
      <c r="L68" s="315">
        <v>6942375</v>
      </c>
      <c r="M68" s="315">
        <v>35440455</v>
      </c>
      <c r="N68" s="315">
        <v>44264000</v>
      </c>
      <c r="O68" s="335">
        <f t="shared" si="10"/>
        <v>0.47819370172311348</v>
      </c>
      <c r="P68" s="315">
        <v>1067608</v>
      </c>
      <c r="Q68" s="315">
        <f t="shared" si="4"/>
        <v>1538</v>
      </c>
      <c r="R68" s="315">
        <v>1538</v>
      </c>
      <c r="S68" s="315">
        <v>538</v>
      </c>
      <c r="T68" s="315">
        <v>30</v>
      </c>
      <c r="U68" s="335">
        <v>5.5800000000000002E-2</v>
      </c>
      <c r="V68" s="315">
        <f t="shared" si="5"/>
        <v>12697525</v>
      </c>
      <c r="W68" s="315">
        <v>2754765</v>
      </c>
      <c r="X68" s="315">
        <v>4999041</v>
      </c>
      <c r="Y68" s="315">
        <v>4943719</v>
      </c>
      <c r="Z68" s="315">
        <v>0</v>
      </c>
      <c r="AA68" s="315">
        <v>0</v>
      </c>
      <c r="AB68" s="315">
        <v>5347</v>
      </c>
      <c r="AC68" s="315">
        <v>7571</v>
      </c>
      <c r="AD68" s="315">
        <v>0</v>
      </c>
      <c r="AE68" s="315">
        <v>0</v>
      </c>
      <c r="AF68" s="315">
        <v>0</v>
      </c>
      <c r="AG68" s="315">
        <v>0</v>
      </c>
      <c r="AH68" s="315">
        <v>0</v>
      </c>
      <c r="AI68" s="315">
        <v>181300</v>
      </c>
      <c r="AJ68" s="315">
        <v>1491000</v>
      </c>
      <c r="AK68" s="315"/>
      <c r="AL68" s="315"/>
    </row>
    <row r="69" spans="1:38" x14ac:dyDescent="0.55000000000000004">
      <c r="A69" s="1" t="s">
        <v>771</v>
      </c>
      <c r="B69" s="313" t="s">
        <v>65</v>
      </c>
      <c r="C69" s="313" t="s">
        <v>134</v>
      </c>
      <c r="D69" s="1" t="s">
        <v>1117</v>
      </c>
      <c r="E69" s="1"/>
      <c r="F69" s="1" t="s">
        <v>1118</v>
      </c>
      <c r="G69" s="1" t="s">
        <v>653</v>
      </c>
      <c r="H69" s="1" t="s">
        <v>1119</v>
      </c>
      <c r="I69" s="315">
        <v>3007404.0303030303</v>
      </c>
      <c r="J69" s="315">
        <v>99244333</v>
      </c>
      <c r="K69" s="315">
        <v>99244333</v>
      </c>
      <c r="L69" s="315">
        <v>7443324.9749999996</v>
      </c>
      <c r="M69" s="315">
        <v>31905347.012500003</v>
      </c>
      <c r="N69" s="806">
        <f>CEILING(J69*0.925/2-(V69*0.5),1000)</f>
        <v>33206000</v>
      </c>
      <c r="O69" s="335">
        <f t="shared" si="10"/>
        <v>0.33458837392760754</v>
      </c>
      <c r="P69" s="315">
        <v>600711</v>
      </c>
      <c r="Q69" s="315">
        <f>IF(P69=0,0,R69)</f>
        <v>1837</v>
      </c>
      <c r="R69" s="315">
        <v>1837</v>
      </c>
      <c r="S69" s="315">
        <v>750</v>
      </c>
      <c r="T69" s="315">
        <v>33</v>
      </c>
      <c r="U69" s="335">
        <v>4.3999999999999997E-2</v>
      </c>
      <c r="V69" s="315">
        <f>SUM(W69:Y69)</f>
        <v>25389494</v>
      </c>
      <c r="W69" s="315">
        <v>4306680</v>
      </c>
      <c r="X69" s="315">
        <v>15140684</v>
      </c>
      <c r="Y69" s="315">
        <v>5942130</v>
      </c>
      <c r="Z69" s="315">
        <v>0</v>
      </c>
      <c r="AA69" s="315">
        <v>0</v>
      </c>
      <c r="AB69" s="315">
        <v>12280</v>
      </c>
      <c r="AC69" s="315">
        <v>13442</v>
      </c>
      <c r="AD69" s="315">
        <v>0</v>
      </c>
      <c r="AE69" s="315">
        <v>0</v>
      </c>
      <c r="AF69" s="315">
        <v>0</v>
      </c>
      <c r="AG69" s="315">
        <v>0</v>
      </c>
      <c r="AH69" s="315">
        <v>0</v>
      </c>
      <c r="AI69" s="315">
        <v>240000</v>
      </c>
      <c r="AJ69" s="315">
        <v>2000000</v>
      </c>
      <c r="AK69" s="315"/>
      <c r="AL69" s="315"/>
    </row>
    <row r="70" spans="1:38" x14ac:dyDescent="0.55000000000000004">
      <c r="A70" s="1" t="s">
        <v>4</v>
      </c>
      <c r="B70" s="313" t="s">
        <v>65</v>
      </c>
      <c r="C70" s="313" t="s">
        <v>134</v>
      </c>
      <c r="D70" s="1" t="s">
        <v>1120</v>
      </c>
      <c r="E70" s="1"/>
      <c r="F70" s="1" t="s">
        <v>1121</v>
      </c>
      <c r="G70" s="1" t="s">
        <v>913</v>
      </c>
      <c r="H70" s="1" t="s">
        <v>644</v>
      </c>
      <c r="I70" s="315">
        <v>2197368.4210526315</v>
      </c>
      <c r="J70" s="315">
        <v>41750000</v>
      </c>
      <c r="K70" s="315">
        <v>41750000</v>
      </c>
      <c r="L70" s="315">
        <v>3131250</v>
      </c>
      <c r="M70" s="315">
        <v>9067472.25</v>
      </c>
      <c r="N70" s="315">
        <v>10213000</v>
      </c>
      <c r="O70" s="335">
        <f t="shared" si="10"/>
        <v>0.24462275449101797</v>
      </c>
      <c r="P70" s="315">
        <v>758651</v>
      </c>
      <c r="Q70" s="315"/>
      <c r="R70" s="315">
        <v>1250</v>
      </c>
      <c r="S70" s="315">
        <v>496</v>
      </c>
      <c r="T70" s="315">
        <v>19</v>
      </c>
      <c r="U70" s="335">
        <v>3.8300000000000001E-2</v>
      </c>
      <c r="V70" s="335"/>
      <c r="W70" s="315">
        <v>3284685</v>
      </c>
      <c r="X70" s="315">
        <v>6499999</v>
      </c>
      <c r="Y70" s="315">
        <v>8410014</v>
      </c>
      <c r="Z70" s="315">
        <v>0</v>
      </c>
      <c r="AA70" s="315">
        <v>0</v>
      </c>
      <c r="AB70" s="315">
        <v>12974</v>
      </c>
      <c r="AC70" s="315">
        <v>12534</v>
      </c>
      <c r="AD70" s="315">
        <v>0</v>
      </c>
      <c r="AE70" s="315">
        <v>0</v>
      </c>
      <c r="AF70" s="315">
        <v>0</v>
      </c>
      <c r="AG70" s="315">
        <v>0</v>
      </c>
      <c r="AH70" s="315">
        <v>0</v>
      </c>
      <c r="AI70" s="315">
        <v>134100</v>
      </c>
      <c r="AJ70" s="315">
        <v>2200000</v>
      </c>
      <c r="AK70" s="315"/>
      <c r="AL70" s="315"/>
    </row>
    <row r="71" spans="1:38" x14ac:dyDescent="0.55000000000000004">
      <c r="A71" s="1" t="s">
        <v>4</v>
      </c>
      <c r="B71" s="313" t="s">
        <v>65</v>
      </c>
      <c r="C71" s="313" t="s">
        <v>134</v>
      </c>
      <c r="D71" s="1" t="s">
        <v>1122</v>
      </c>
      <c r="E71" s="1"/>
      <c r="F71" s="1" t="s">
        <v>1065</v>
      </c>
      <c r="G71" s="1" t="s">
        <v>1066</v>
      </c>
      <c r="H71" s="1" t="s">
        <v>662</v>
      </c>
      <c r="I71" s="315" t="e">
        <v>#DIV/0!</v>
      </c>
      <c r="J71" s="315">
        <v>0</v>
      </c>
      <c r="K71" s="315">
        <v>0</v>
      </c>
      <c r="L71" s="315">
        <v>0</v>
      </c>
      <c r="M71" s="315">
        <v>0</v>
      </c>
      <c r="N71" s="315">
        <v>0</v>
      </c>
      <c r="O71" s="315"/>
      <c r="P71" s="315"/>
      <c r="Q71" s="315"/>
      <c r="R71" s="315"/>
      <c r="S71" s="315"/>
      <c r="T71" s="315"/>
      <c r="U71" s="335"/>
      <c r="V71" s="335"/>
      <c r="W71" s="315">
        <v>0</v>
      </c>
      <c r="X71" s="315">
        <v>6092785</v>
      </c>
      <c r="Y71" s="315">
        <v>1689979</v>
      </c>
      <c r="Z71" s="315">
        <v>0</v>
      </c>
      <c r="AA71" s="315">
        <v>0</v>
      </c>
      <c r="AB71" s="315">
        <v>8381</v>
      </c>
      <c r="AC71" s="315">
        <v>12071</v>
      </c>
      <c r="AD71" s="315">
        <v>0</v>
      </c>
      <c r="AE71" s="315">
        <v>0</v>
      </c>
      <c r="AF71" s="315">
        <v>0</v>
      </c>
      <c r="AG71" s="315">
        <v>0</v>
      </c>
      <c r="AH71" s="315">
        <v>0</v>
      </c>
      <c r="AI71" s="315">
        <v>0</v>
      </c>
      <c r="AJ71" s="315">
        <v>2200000</v>
      </c>
      <c r="AK71" s="315"/>
      <c r="AL71" s="315"/>
    </row>
    <row r="72" spans="1:38" x14ac:dyDescent="0.55000000000000004">
      <c r="A72" s="1" t="s">
        <v>4</v>
      </c>
      <c r="B72" s="313" t="s">
        <v>65</v>
      </c>
      <c r="C72" s="313" t="s">
        <v>134</v>
      </c>
      <c r="D72" s="1" t="s">
        <v>1123</v>
      </c>
      <c r="E72" s="1"/>
      <c r="F72" s="1" t="s">
        <v>1124</v>
      </c>
      <c r="G72" s="1" t="s">
        <v>788</v>
      </c>
      <c r="H72" s="1" t="s">
        <v>662</v>
      </c>
      <c r="I72" s="315">
        <v>3696664.3356643356</v>
      </c>
      <c r="J72" s="315">
        <v>528623000</v>
      </c>
      <c r="K72" s="315">
        <v>528694000</v>
      </c>
      <c r="L72" s="315">
        <v>39652050</v>
      </c>
      <c r="M72" s="315">
        <v>217484574.25</v>
      </c>
      <c r="N72" s="315">
        <v>293425170</v>
      </c>
      <c r="O72" s="335">
        <f>N72/J72</f>
        <v>0.55507454272704748</v>
      </c>
      <c r="P72" s="315">
        <v>4894759</v>
      </c>
      <c r="Q72" s="315"/>
      <c r="R72" s="315">
        <v>4300</v>
      </c>
      <c r="S72" s="315">
        <v>1378</v>
      </c>
      <c r="T72" s="315">
        <v>143</v>
      </c>
      <c r="U72" s="335">
        <v>0.1038</v>
      </c>
      <c r="V72" s="335"/>
      <c r="W72" s="315">
        <v>3420390</v>
      </c>
      <c r="X72" s="315">
        <v>17494269</v>
      </c>
      <c r="Y72" s="315">
        <v>27973840</v>
      </c>
      <c r="Z72" s="315">
        <v>0</v>
      </c>
      <c r="AA72" s="315">
        <v>0</v>
      </c>
      <c r="AB72" s="315">
        <v>8426</v>
      </c>
      <c r="AC72" s="315">
        <v>9573</v>
      </c>
      <c r="AD72" s="315">
        <v>0</v>
      </c>
      <c r="AE72" s="315">
        <v>0</v>
      </c>
      <c r="AF72" s="315">
        <v>0</v>
      </c>
      <c r="AG72" s="315">
        <v>0</v>
      </c>
      <c r="AH72" s="315">
        <v>0</v>
      </c>
      <c r="AI72" s="315">
        <v>124800</v>
      </c>
      <c r="AJ72" s="315">
        <v>2200000</v>
      </c>
      <c r="AK72" s="315"/>
      <c r="AL72" s="315"/>
    </row>
    <row r="73" spans="1:38" x14ac:dyDescent="0.55000000000000004">
      <c r="A73" s="1" t="s">
        <v>4</v>
      </c>
      <c r="B73" s="313" t="s">
        <v>65</v>
      </c>
      <c r="C73" s="313" t="s">
        <v>134</v>
      </c>
      <c r="D73" s="1" t="s">
        <v>1125</v>
      </c>
      <c r="E73" s="1"/>
      <c r="F73" s="1" t="s">
        <v>1126</v>
      </c>
      <c r="G73" s="1" t="s">
        <v>1127</v>
      </c>
      <c r="H73" s="1" t="s">
        <v>644</v>
      </c>
      <c r="I73" s="315">
        <v>1900394.7368421052</v>
      </c>
      <c r="J73" s="315">
        <v>144430000</v>
      </c>
      <c r="K73" s="315">
        <v>146220000</v>
      </c>
      <c r="L73" s="315">
        <v>10966500</v>
      </c>
      <c r="M73" s="315">
        <v>57557352.5</v>
      </c>
      <c r="N73" s="315">
        <v>0</v>
      </c>
      <c r="O73" s="315"/>
      <c r="P73" s="315">
        <v>1869231</v>
      </c>
      <c r="Q73" s="315"/>
      <c r="R73" s="315">
        <v>3573</v>
      </c>
      <c r="S73" s="315">
        <v>1235</v>
      </c>
      <c r="T73" s="315">
        <v>76</v>
      </c>
      <c r="U73" s="335">
        <v>6.1499999999999999E-2</v>
      </c>
      <c r="V73" s="335"/>
      <c r="W73" s="315">
        <v>1492425</v>
      </c>
      <c r="X73" s="315">
        <v>6500000</v>
      </c>
      <c r="Y73" s="315">
        <v>8377645</v>
      </c>
      <c r="Z73" s="315">
        <v>0</v>
      </c>
      <c r="AA73" s="315">
        <v>0</v>
      </c>
      <c r="AB73" s="315">
        <v>4002</v>
      </c>
      <c r="AC73" s="315">
        <v>5672</v>
      </c>
      <c r="AD73" s="315">
        <v>0</v>
      </c>
      <c r="AE73" s="315">
        <v>0</v>
      </c>
      <c r="AF73" s="315">
        <v>0</v>
      </c>
      <c r="AG73" s="315">
        <v>0</v>
      </c>
      <c r="AH73" s="315">
        <v>0</v>
      </c>
      <c r="AI73" s="315">
        <v>130000</v>
      </c>
      <c r="AJ73" s="315">
        <v>2200000</v>
      </c>
      <c r="AK73" s="315"/>
      <c r="AL73" s="315">
        <v>660000</v>
      </c>
    </row>
    <row r="74" spans="1:38" x14ac:dyDescent="0.55000000000000004">
      <c r="A74" s="1" t="s">
        <v>4</v>
      </c>
      <c r="B74" s="313" t="s">
        <v>65</v>
      </c>
      <c r="C74" s="313" t="s">
        <v>134</v>
      </c>
      <c r="D74" s="1" t="s">
        <v>1128</v>
      </c>
      <c r="E74" s="1"/>
      <c r="F74" s="1" t="s">
        <v>1129</v>
      </c>
      <c r="G74" s="1" t="s">
        <v>1130</v>
      </c>
      <c r="H74" s="1" t="s">
        <v>644</v>
      </c>
      <c r="I74" s="315">
        <v>1434898.5057471264</v>
      </c>
      <c r="J74" s="315">
        <v>124836170</v>
      </c>
      <c r="K74" s="315">
        <v>125836170</v>
      </c>
      <c r="L74" s="315">
        <v>9437712.75</v>
      </c>
      <c r="M74" s="315">
        <v>58199228.625</v>
      </c>
      <c r="N74" s="315">
        <v>56322000</v>
      </c>
      <c r="O74" s="335">
        <f>N74/J74</f>
        <v>0.45116731793357645</v>
      </c>
      <c r="P74" s="315">
        <v>1333390</v>
      </c>
      <c r="Q74" s="315"/>
      <c r="R74" s="315">
        <v>4100</v>
      </c>
      <c r="S74" s="315">
        <v>1440</v>
      </c>
      <c r="T74" s="315">
        <v>87</v>
      </c>
      <c r="U74" s="335">
        <v>6.0400000000000002E-2</v>
      </c>
      <c r="V74" s="335"/>
      <c r="W74" s="315">
        <v>4087740</v>
      </c>
      <c r="X74" s="315">
        <v>12997734</v>
      </c>
      <c r="Y74" s="315">
        <v>5989190</v>
      </c>
      <c r="Z74" s="315">
        <v>0</v>
      </c>
      <c r="AA74" s="315">
        <v>0</v>
      </c>
      <c r="AB74" s="315">
        <v>4338</v>
      </c>
      <c r="AC74" s="315">
        <v>5800</v>
      </c>
      <c r="AD74" s="315">
        <v>0</v>
      </c>
      <c r="AE74" s="315">
        <v>0</v>
      </c>
      <c r="AF74" s="315">
        <v>0</v>
      </c>
      <c r="AG74" s="315">
        <v>0</v>
      </c>
      <c r="AH74" s="315">
        <v>0</v>
      </c>
      <c r="AI74" s="315">
        <v>210000</v>
      </c>
      <c r="AJ74" s="315">
        <v>2200000</v>
      </c>
      <c r="AK74" s="315"/>
      <c r="AL74" s="315"/>
    </row>
    <row r="75" spans="1:38" x14ac:dyDescent="0.55000000000000004">
      <c r="A75" s="1" t="s">
        <v>4</v>
      </c>
      <c r="B75" s="313" t="s">
        <v>65</v>
      </c>
      <c r="C75" s="313" t="s">
        <v>134</v>
      </c>
      <c r="D75" s="1" t="s">
        <v>1131</v>
      </c>
      <c r="E75" s="1"/>
      <c r="F75" s="1" t="s">
        <v>1132</v>
      </c>
      <c r="G75" s="1" t="s">
        <v>1133</v>
      </c>
      <c r="H75" s="1" t="s">
        <v>644</v>
      </c>
      <c r="I75" s="315">
        <v>2961395.3488372094</v>
      </c>
      <c r="J75" s="315">
        <v>127340000</v>
      </c>
      <c r="K75" s="315">
        <v>127340000</v>
      </c>
      <c r="L75" s="315">
        <v>9550500</v>
      </c>
      <c r="M75" s="315">
        <v>35336850</v>
      </c>
      <c r="N75" s="315">
        <v>49313000</v>
      </c>
      <c r="O75" s="335">
        <f>N75/J75</f>
        <v>0.38725459400031415</v>
      </c>
      <c r="P75" s="315">
        <v>882934</v>
      </c>
      <c r="Q75" s="315"/>
      <c r="R75" s="315">
        <v>1550</v>
      </c>
      <c r="S75" s="315">
        <v>510</v>
      </c>
      <c r="T75" s="315">
        <v>43</v>
      </c>
      <c r="U75" s="335">
        <v>8.43E-2</v>
      </c>
      <c r="V75" s="335"/>
      <c r="W75" s="315">
        <v>2640390</v>
      </c>
      <c r="X75" s="315">
        <v>8492411</v>
      </c>
      <c r="Y75" s="315">
        <v>6448461</v>
      </c>
      <c r="Z75" s="315">
        <v>0</v>
      </c>
      <c r="AA75" s="315">
        <v>0</v>
      </c>
      <c r="AB75" s="315">
        <v>10736</v>
      </c>
      <c r="AC75" s="315">
        <v>8691</v>
      </c>
      <c r="AD75" s="315">
        <v>0</v>
      </c>
      <c r="AE75" s="315">
        <v>0</v>
      </c>
      <c r="AF75" s="315">
        <v>0</v>
      </c>
      <c r="AG75" s="315">
        <v>0</v>
      </c>
      <c r="AH75" s="315">
        <v>0</v>
      </c>
      <c r="AI75" s="315">
        <v>230000</v>
      </c>
      <c r="AJ75" s="315">
        <v>2200000</v>
      </c>
      <c r="AK75" s="315"/>
      <c r="AL75" s="315"/>
    </row>
    <row r="76" spans="1:38" x14ac:dyDescent="0.55000000000000004">
      <c r="A76" s="1" t="s">
        <v>4</v>
      </c>
      <c r="B76" s="313" t="s">
        <v>65</v>
      </c>
      <c r="C76" s="313" t="s">
        <v>134</v>
      </c>
      <c r="D76" s="1" t="s">
        <v>1134</v>
      </c>
      <c r="E76" s="1"/>
      <c r="F76" s="1" t="s">
        <v>1135</v>
      </c>
      <c r="G76" s="1" t="s">
        <v>1136</v>
      </c>
      <c r="H76" s="1" t="s">
        <v>644</v>
      </c>
      <c r="I76" s="315">
        <v>3394382.0224719103</v>
      </c>
      <c r="J76" s="315">
        <v>302100000</v>
      </c>
      <c r="K76" s="315">
        <v>305340000</v>
      </c>
      <c r="L76" s="315">
        <v>22900500</v>
      </c>
      <c r="M76" s="315">
        <v>141219750</v>
      </c>
      <c r="N76" s="807" t="e">
        <f>CEILING(J76*0.925/2-(#REF!*0.5),1000)</f>
        <v>#REF!</v>
      </c>
      <c r="O76" s="315"/>
      <c r="P76" s="315">
        <v>1181946</v>
      </c>
      <c r="Q76" s="315"/>
      <c r="R76" s="315">
        <v>2967</v>
      </c>
      <c r="S76" s="315">
        <v>869</v>
      </c>
      <c r="T76" s="315">
        <v>89</v>
      </c>
      <c r="U76" s="335">
        <v>0.1024</v>
      </c>
      <c r="V76" s="335"/>
      <c r="W76" s="315">
        <v>3149010</v>
      </c>
      <c r="X76" s="315">
        <v>9994103</v>
      </c>
      <c r="Y76" s="315">
        <v>10017914</v>
      </c>
      <c r="Z76" s="315">
        <v>0</v>
      </c>
      <c r="AA76" s="315">
        <v>0</v>
      </c>
      <c r="AB76" s="315">
        <v>4482</v>
      </c>
      <c r="AC76" s="315">
        <v>7052</v>
      </c>
      <c r="AD76" s="315">
        <v>0</v>
      </c>
      <c r="AE76" s="315">
        <v>0</v>
      </c>
      <c r="AF76" s="315">
        <v>0</v>
      </c>
      <c r="AG76" s="315">
        <v>0</v>
      </c>
      <c r="AH76" s="315">
        <v>0</v>
      </c>
      <c r="AI76" s="315">
        <v>286000</v>
      </c>
      <c r="AJ76" s="315">
        <v>2200000</v>
      </c>
      <c r="AK76" s="315"/>
      <c r="AL76" s="315"/>
    </row>
    <row r="77" spans="1:38" x14ac:dyDescent="0.55000000000000004">
      <c r="A77" s="1" t="s">
        <v>4</v>
      </c>
      <c r="B77" s="313" t="s">
        <v>65</v>
      </c>
      <c r="C77" s="313" t="s">
        <v>134</v>
      </c>
      <c r="D77" s="1" t="s">
        <v>1137</v>
      </c>
      <c r="E77" s="1"/>
      <c r="F77" s="1" t="s">
        <v>1138</v>
      </c>
      <c r="G77" s="1" t="s">
        <v>1139</v>
      </c>
      <c r="H77" s="1" t="s">
        <v>644</v>
      </c>
      <c r="I77" s="315">
        <v>3795330</v>
      </c>
      <c r="J77" s="315">
        <v>75906600</v>
      </c>
      <c r="K77" s="315">
        <v>72426600</v>
      </c>
      <c r="L77" s="315">
        <v>5431995</v>
      </c>
      <c r="M77" s="315">
        <v>33174302.5</v>
      </c>
      <c r="N77" s="807" t="e">
        <f>CEILING(J77*0.925/2-(#REF!*0.5),1000)</f>
        <v>#REF!</v>
      </c>
      <c r="O77" s="315"/>
      <c r="P77" s="315">
        <v>1408882</v>
      </c>
      <c r="Q77" s="315"/>
      <c r="R77" s="315">
        <v>2019</v>
      </c>
      <c r="S77" s="315">
        <v>611</v>
      </c>
      <c r="T77" s="315">
        <v>20</v>
      </c>
      <c r="U77" s="335">
        <v>3.27E-2</v>
      </c>
      <c r="V77" s="335"/>
      <c r="W77" s="315">
        <v>2272875</v>
      </c>
      <c r="X77" s="315">
        <v>9996429</v>
      </c>
      <c r="Y77" s="315">
        <v>9914735</v>
      </c>
      <c r="Z77" s="315">
        <v>0</v>
      </c>
      <c r="AA77" s="315">
        <v>0</v>
      </c>
      <c r="AB77" s="315">
        <v>8214</v>
      </c>
      <c r="AC77" s="315">
        <v>6929</v>
      </c>
      <c r="AD77" s="315">
        <v>0</v>
      </c>
      <c r="AE77" s="315">
        <v>0</v>
      </c>
      <c r="AF77" s="315">
        <v>0</v>
      </c>
      <c r="AG77" s="315">
        <v>0</v>
      </c>
      <c r="AH77" s="315">
        <v>0</v>
      </c>
      <c r="AI77" s="315">
        <v>179200</v>
      </c>
      <c r="AJ77" s="315">
        <v>2200000</v>
      </c>
      <c r="AK77" s="315"/>
      <c r="AL77" s="315"/>
    </row>
    <row r="78" spans="1:38" x14ac:dyDescent="0.55000000000000004">
      <c r="A78" s="1" t="s">
        <v>4</v>
      </c>
      <c r="B78" s="313" t="s">
        <v>65</v>
      </c>
      <c r="C78" s="313" t="s">
        <v>134</v>
      </c>
      <c r="D78" s="1" t="s">
        <v>1140</v>
      </c>
      <c r="E78" s="1"/>
      <c r="F78" s="1" t="s">
        <v>1141</v>
      </c>
      <c r="G78" s="1" t="s">
        <v>1142</v>
      </c>
      <c r="H78" s="1" t="s">
        <v>644</v>
      </c>
      <c r="I78" s="315">
        <v>2586428.5714285714</v>
      </c>
      <c r="J78" s="315">
        <v>144840000</v>
      </c>
      <c r="K78" s="315">
        <v>144795000</v>
      </c>
      <c r="L78" s="315">
        <v>10859625</v>
      </c>
      <c r="M78" s="315">
        <v>66967687.5</v>
      </c>
      <c r="N78" s="807" t="e">
        <f>CEILING(J78*0.925*0.4-(#REF!*0.5),1000)</f>
        <v>#REF!</v>
      </c>
      <c r="O78" s="315"/>
      <c r="P78" s="315">
        <v>1666252</v>
      </c>
      <c r="Q78" s="315"/>
      <c r="R78" s="315">
        <v>4200</v>
      </c>
      <c r="S78" s="315">
        <v>1223</v>
      </c>
      <c r="T78" s="315">
        <v>56</v>
      </c>
      <c r="U78" s="335">
        <v>4.58E-2</v>
      </c>
      <c r="V78" s="335"/>
      <c r="W78" s="315">
        <v>3450855</v>
      </c>
      <c r="X78" s="315">
        <v>13196522</v>
      </c>
      <c r="Y78" s="315">
        <v>13196522</v>
      </c>
      <c r="Z78" s="315">
        <v>0</v>
      </c>
      <c r="AA78" s="315">
        <v>0</v>
      </c>
      <c r="AB78" s="315">
        <v>6239</v>
      </c>
      <c r="AC78" s="315">
        <v>7700</v>
      </c>
      <c r="AD78" s="315">
        <v>0</v>
      </c>
      <c r="AE78" s="315">
        <v>0</v>
      </c>
      <c r="AF78" s="315">
        <v>0</v>
      </c>
      <c r="AG78" s="315">
        <v>0</v>
      </c>
      <c r="AH78" s="315">
        <v>0</v>
      </c>
      <c r="AI78" s="315">
        <v>241700</v>
      </c>
      <c r="AJ78" s="315">
        <v>2200000</v>
      </c>
      <c r="AK78" s="315"/>
      <c r="AL78" s="315"/>
    </row>
    <row r="79" spans="1:38" x14ac:dyDescent="0.55000000000000004">
      <c r="A79" s="1" t="s">
        <v>4</v>
      </c>
      <c r="B79" s="313" t="s">
        <v>65</v>
      </c>
      <c r="C79" s="313" t="s">
        <v>134</v>
      </c>
      <c r="D79" s="1" t="s">
        <v>1143</v>
      </c>
      <c r="E79" s="1"/>
      <c r="F79" s="1" t="s">
        <v>1144</v>
      </c>
      <c r="G79" s="1" t="s">
        <v>1145</v>
      </c>
      <c r="H79" s="1" t="s">
        <v>644</v>
      </c>
      <c r="I79" s="315">
        <v>4632880</v>
      </c>
      <c r="J79" s="315">
        <v>231644000</v>
      </c>
      <c r="K79" s="315">
        <v>227984000</v>
      </c>
      <c r="L79" s="315">
        <v>17098800</v>
      </c>
      <c r="M79" s="315">
        <v>103951100</v>
      </c>
      <c r="N79" s="807" t="e">
        <f>CEILING(J79*0.925/2-(#REF!*0.5),1000)</f>
        <v>#REF!</v>
      </c>
      <c r="O79" s="315"/>
      <c r="P79" s="315">
        <v>2480228</v>
      </c>
      <c r="Q79" s="315"/>
      <c r="R79" s="315">
        <v>4610</v>
      </c>
      <c r="S79" s="315">
        <v>1450</v>
      </c>
      <c r="T79" s="315">
        <v>50</v>
      </c>
      <c r="U79" s="335">
        <v>3.4500000000000003E-2</v>
      </c>
      <c r="V79" s="335"/>
      <c r="W79" s="315">
        <v>3568095</v>
      </c>
      <c r="X79" s="315">
        <v>19425058</v>
      </c>
      <c r="Y79" s="315">
        <v>21250989</v>
      </c>
      <c r="Z79" s="315">
        <v>0</v>
      </c>
      <c r="AA79" s="315">
        <v>0</v>
      </c>
      <c r="AB79" s="315">
        <v>3900</v>
      </c>
      <c r="AC79" s="315">
        <v>9500</v>
      </c>
      <c r="AD79" s="315">
        <v>0</v>
      </c>
      <c r="AE79" s="315">
        <v>0</v>
      </c>
      <c r="AF79" s="315">
        <v>0</v>
      </c>
      <c r="AG79" s="315">
        <v>0</v>
      </c>
      <c r="AH79" s="315">
        <v>0</v>
      </c>
      <c r="AI79" s="315">
        <v>183000</v>
      </c>
      <c r="AJ79" s="315">
        <v>2200000</v>
      </c>
      <c r="AK79" s="315"/>
      <c r="AL79" s="315"/>
    </row>
    <row r="80" spans="1:38" x14ac:dyDescent="0.55000000000000004">
      <c r="A80" s="1" t="s">
        <v>4</v>
      </c>
      <c r="B80" s="313" t="s">
        <v>65</v>
      </c>
      <c r="C80" s="313" t="s">
        <v>65</v>
      </c>
      <c r="D80" s="1" t="s">
        <v>1146</v>
      </c>
      <c r="E80" s="1"/>
      <c r="F80" s="1" t="s">
        <v>1032</v>
      </c>
      <c r="G80" s="1" t="s">
        <v>1147</v>
      </c>
      <c r="H80" s="1" t="s">
        <v>644</v>
      </c>
      <c r="I80" s="315">
        <v>1878888.888888889</v>
      </c>
      <c r="J80" s="315">
        <v>16910000</v>
      </c>
      <c r="K80" s="315">
        <v>17440000</v>
      </c>
      <c r="L80" s="315">
        <v>1308000</v>
      </c>
      <c r="M80" s="315">
        <v>8066000</v>
      </c>
      <c r="N80" s="807" t="e">
        <f>CEILING(J80*0.925/2-(#REF!*0.5),1000)</f>
        <v>#REF!</v>
      </c>
      <c r="O80" s="315"/>
      <c r="P80" s="315">
        <v>149140</v>
      </c>
      <c r="Q80" s="315"/>
      <c r="R80" s="315">
        <v>1650</v>
      </c>
      <c r="S80" s="315">
        <v>510</v>
      </c>
      <c r="T80" s="315">
        <v>9</v>
      </c>
      <c r="U80" s="335">
        <v>1.7600000000000001E-2</v>
      </c>
      <c r="V80" s="335"/>
      <c r="W80" s="315">
        <v>3610935</v>
      </c>
      <c r="X80" s="315">
        <v>10863957</v>
      </c>
      <c r="Y80" s="315">
        <v>8611450</v>
      </c>
      <c r="Z80" s="315">
        <v>0</v>
      </c>
      <c r="AA80" s="315">
        <v>0</v>
      </c>
      <c r="AB80" s="315">
        <v>5864</v>
      </c>
      <c r="AC80" s="315">
        <v>2570</v>
      </c>
      <c r="AD80" s="315">
        <v>0</v>
      </c>
      <c r="AE80" s="315">
        <v>0</v>
      </c>
      <c r="AF80" s="315">
        <v>0</v>
      </c>
      <c r="AG80" s="315">
        <v>0</v>
      </c>
      <c r="AH80" s="315">
        <v>0</v>
      </c>
      <c r="AI80" s="315">
        <v>342200</v>
      </c>
      <c r="AJ80" s="315">
        <v>2200000</v>
      </c>
      <c r="AK80" s="315"/>
      <c r="AL80" s="315"/>
    </row>
    <row r="81" spans="1:14" x14ac:dyDescent="0.55000000000000004">
      <c r="A81" s="1" t="s">
        <v>4</v>
      </c>
      <c r="C81" t="s">
        <v>2114</v>
      </c>
      <c r="D81" s="1" t="s">
        <v>2044</v>
      </c>
      <c r="E81" s="1"/>
      <c r="F81" s="1" t="s">
        <v>2079</v>
      </c>
      <c r="G81" s="1" t="s">
        <v>2102</v>
      </c>
      <c r="J81" s="315">
        <v>115700000</v>
      </c>
      <c r="K81" s="315">
        <v>115700000</v>
      </c>
      <c r="L81" s="315">
        <v>8677500</v>
      </c>
      <c r="M81" s="315">
        <v>53511250</v>
      </c>
    </row>
    <row r="82" spans="1:14" x14ac:dyDescent="0.55000000000000004">
      <c r="A82" s="1" t="s">
        <v>4</v>
      </c>
      <c r="C82" t="s">
        <v>2114</v>
      </c>
      <c r="D82" s="1" t="s">
        <v>2045</v>
      </c>
      <c r="E82" s="1"/>
      <c r="F82" s="1" t="s">
        <v>2080</v>
      </c>
      <c r="G82" s="1" t="s">
        <v>788</v>
      </c>
      <c r="J82" s="315">
        <v>359303000</v>
      </c>
      <c r="K82" s="315">
        <v>359303000</v>
      </c>
      <c r="L82" s="315">
        <v>26947725</v>
      </c>
      <c r="M82" s="315">
        <v>199413165</v>
      </c>
      <c r="N82" s="808" t="e">
        <f>CEILING(J82*0.925*0.6-(#REF!*0.5),1000)</f>
        <v>#REF!</v>
      </c>
    </row>
    <row r="83" spans="1:14" x14ac:dyDescent="0.55000000000000004">
      <c r="A83" s="1" t="s">
        <v>4</v>
      </c>
      <c r="C83" t="s">
        <v>2114</v>
      </c>
      <c r="D83" s="1" t="s">
        <v>2046</v>
      </c>
      <c r="E83" s="1"/>
      <c r="F83" s="1" t="s">
        <v>2081</v>
      </c>
      <c r="G83" s="1" t="s">
        <v>1089</v>
      </c>
      <c r="J83" s="315">
        <v>358160000</v>
      </c>
      <c r="K83" s="315">
        <v>358160000</v>
      </c>
      <c r="L83" s="315">
        <v>26862000</v>
      </c>
      <c r="M83" s="315">
        <v>134870463.5</v>
      </c>
      <c r="N83" s="808" t="e">
        <f>CEILING(J83*0.925*0.5-(#REF!*0.5),1000)</f>
        <v>#REF!</v>
      </c>
    </row>
    <row r="84" spans="1:14" x14ac:dyDescent="0.55000000000000004">
      <c r="A84" s="1" t="s">
        <v>4</v>
      </c>
      <c r="C84" t="s">
        <v>2114</v>
      </c>
      <c r="D84" s="1" t="s">
        <v>2047</v>
      </c>
      <c r="E84" s="1"/>
      <c r="F84" s="1" t="s">
        <v>2082</v>
      </c>
      <c r="G84" s="1" t="s">
        <v>1021</v>
      </c>
      <c r="J84" s="315">
        <v>134080000</v>
      </c>
      <c r="K84" s="315">
        <v>134080000</v>
      </c>
      <c r="L84" s="315">
        <v>10056000</v>
      </c>
      <c r="M84" s="315">
        <v>60832500</v>
      </c>
      <c r="N84" s="808" t="e">
        <f>CEILING(J84*0.925*0.5-(#REF!*0.5),1000)</f>
        <v>#REF!</v>
      </c>
    </row>
    <row r="85" spans="1:14" x14ac:dyDescent="0.55000000000000004">
      <c r="A85" s="1" t="s">
        <v>4</v>
      </c>
      <c r="C85" t="s">
        <v>2114</v>
      </c>
      <c r="D85" s="1" t="s">
        <v>2048</v>
      </c>
      <c r="E85" s="1"/>
      <c r="F85" s="1" t="s">
        <v>2083</v>
      </c>
      <c r="G85" s="1" t="s">
        <v>1107</v>
      </c>
      <c r="J85" s="315">
        <v>145603334</v>
      </c>
      <c r="K85" s="315">
        <v>145603334</v>
      </c>
      <c r="L85" s="315">
        <v>10920250.049999999</v>
      </c>
      <c r="M85" s="315">
        <v>52183753.974999994</v>
      </c>
      <c r="N85" s="808" t="e">
        <f>CEILING(J85*0.925*0.5-(#REF!*0.5)-#REF!/2,1000)</f>
        <v>#REF!</v>
      </c>
    </row>
    <row r="86" spans="1:14" x14ac:dyDescent="0.55000000000000004">
      <c r="A86" s="1" t="s">
        <v>4</v>
      </c>
      <c r="C86" t="s">
        <v>2114</v>
      </c>
      <c r="D86" s="1" t="s">
        <v>2049</v>
      </c>
      <c r="E86" s="1"/>
      <c r="F86" s="1" t="s">
        <v>1104</v>
      </c>
      <c r="G86" s="1" t="s">
        <v>2103</v>
      </c>
      <c r="J86" s="315">
        <v>318360000</v>
      </c>
      <c r="K86" s="315">
        <v>318360000</v>
      </c>
      <c r="L86" s="315">
        <v>23877000</v>
      </c>
      <c r="M86" s="315">
        <v>147020000</v>
      </c>
      <c r="N86" s="808" t="e">
        <f>CEILING(J86*0.925*0.5-(#REF!*0.5),1000)</f>
        <v>#REF!</v>
      </c>
    </row>
    <row r="87" spans="1:14" x14ac:dyDescent="0.55000000000000004">
      <c r="A87" s="1" t="s">
        <v>4</v>
      </c>
      <c r="C87" t="s">
        <v>2114</v>
      </c>
      <c r="D87" s="1" t="s">
        <v>2050</v>
      </c>
      <c r="E87" s="1"/>
      <c r="F87" s="1" t="s">
        <v>2084</v>
      </c>
      <c r="G87" s="1" t="s">
        <v>2104</v>
      </c>
      <c r="J87" s="315">
        <v>666986600</v>
      </c>
      <c r="K87" s="315">
        <v>666986600</v>
      </c>
      <c r="L87" s="315">
        <v>50023995</v>
      </c>
      <c r="M87" s="315">
        <v>268892302.5</v>
      </c>
      <c r="N87" s="808" t="e">
        <f>CEILING(J87*0.925*0.5-(#REF!*0.5),1000)</f>
        <v>#REF!</v>
      </c>
    </row>
    <row r="88" spans="1:14" x14ac:dyDescent="0.55000000000000004">
      <c r="A88" s="1" t="s">
        <v>4</v>
      </c>
      <c r="C88" t="s">
        <v>2114</v>
      </c>
      <c r="D88" s="1" t="s">
        <v>2051</v>
      </c>
      <c r="E88" s="1"/>
      <c r="F88" s="1" t="s">
        <v>1085</v>
      </c>
      <c r="G88" s="1" t="s">
        <v>1086</v>
      </c>
      <c r="J88" s="315">
        <v>435290000</v>
      </c>
      <c r="K88" s="315">
        <v>435290000</v>
      </c>
      <c r="L88" s="315">
        <v>32646750</v>
      </c>
      <c r="M88" s="315">
        <v>197927625</v>
      </c>
      <c r="N88" s="808" t="e">
        <f>CEILING(J88*0.925*0.5-(#REF!*0.5),1000)</f>
        <v>#REF!</v>
      </c>
    </row>
    <row r="89" spans="1:14" x14ac:dyDescent="0.55000000000000004">
      <c r="A89" s="1" t="s">
        <v>4</v>
      </c>
      <c r="C89" t="s">
        <v>2114</v>
      </c>
      <c r="D89" s="1" t="s">
        <v>2052</v>
      </c>
      <c r="E89" s="1"/>
      <c r="F89" s="1" t="s">
        <v>2085</v>
      </c>
      <c r="G89" s="1" t="s">
        <v>1097</v>
      </c>
      <c r="J89" s="315">
        <v>87200000</v>
      </c>
      <c r="K89" s="315">
        <v>87200000</v>
      </c>
      <c r="L89" s="315">
        <v>6540000</v>
      </c>
      <c r="M89" s="315">
        <v>24778205</v>
      </c>
      <c r="N89" s="808" t="e">
        <f>CEILING(J89*0.925*0.5-(#REF!*0.5)-#REF!/2,1000)</f>
        <v>#REF!</v>
      </c>
    </row>
    <row r="90" spans="1:14" x14ac:dyDescent="0.55000000000000004">
      <c r="A90" s="1" t="s">
        <v>4</v>
      </c>
      <c r="C90" t="s">
        <v>2114</v>
      </c>
      <c r="D90" s="1" t="s">
        <v>2053</v>
      </c>
      <c r="E90" s="1"/>
      <c r="F90" s="1" t="s">
        <v>981</v>
      </c>
      <c r="G90" s="1" t="s">
        <v>653</v>
      </c>
      <c r="J90" s="315">
        <v>131049000</v>
      </c>
      <c r="K90" s="315">
        <v>131049000</v>
      </c>
      <c r="L90" s="315">
        <v>9828675</v>
      </c>
      <c r="M90" s="315">
        <v>60610162.5</v>
      </c>
      <c r="N90" s="808" t="e">
        <f>CEILING(J90*0.925/2-(#REF!*0.5),1000)</f>
        <v>#REF!</v>
      </c>
    </row>
    <row r="91" spans="1:14" x14ac:dyDescent="0.55000000000000004">
      <c r="A91" s="1" t="s">
        <v>4</v>
      </c>
      <c r="C91" t="s">
        <v>2113</v>
      </c>
      <c r="D91" s="1" t="s">
        <v>2054</v>
      </c>
      <c r="E91" s="1"/>
      <c r="F91" s="1" t="s">
        <v>1099</v>
      </c>
      <c r="G91" s="1" t="s">
        <v>1028</v>
      </c>
      <c r="J91" s="315">
        <v>129270000</v>
      </c>
      <c r="K91" s="315">
        <v>129270000</v>
      </c>
      <c r="L91" s="315">
        <v>9695250</v>
      </c>
      <c r="M91" s="315">
        <v>38259508</v>
      </c>
      <c r="N91" s="808" t="e">
        <f>CEILING(J91*0.925/2-(#REF!*0.5),1000)</f>
        <v>#REF!</v>
      </c>
    </row>
    <row r="92" spans="1:14" x14ac:dyDescent="0.55000000000000004">
      <c r="A92" s="1" t="s">
        <v>4</v>
      </c>
      <c r="C92" t="s">
        <v>2114</v>
      </c>
      <c r="D92" s="1" t="s">
        <v>2055</v>
      </c>
      <c r="E92" s="1"/>
      <c r="F92" s="1" t="s">
        <v>2086</v>
      </c>
      <c r="G92" s="1" t="s">
        <v>2105</v>
      </c>
      <c r="J92" s="315">
        <v>480150000</v>
      </c>
      <c r="K92" s="315">
        <v>480150000</v>
      </c>
      <c r="L92" s="315">
        <v>36011250</v>
      </c>
      <c r="M92" s="315">
        <v>164983380.25</v>
      </c>
      <c r="N92" s="808" t="e">
        <f>CEILING(J92*0.925*0.4-(#REF!*0.5),1000)</f>
        <v>#REF!</v>
      </c>
    </row>
    <row r="93" spans="1:14" x14ac:dyDescent="0.55000000000000004">
      <c r="A93" s="1" t="s">
        <v>4</v>
      </c>
      <c r="C93" t="s">
        <v>2114</v>
      </c>
      <c r="D93" s="1" t="s">
        <v>2056</v>
      </c>
      <c r="E93" s="1"/>
      <c r="F93" s="1" t="s">
        <v>1111</v>
      </c>
      <c r="G93" s="1" t="s">
        <v>1056</v>
      </c>
      <c r="J93" s="315">
        <v>153266000</v>
      </c>
      <c r="K93" s="315">
        <v>153266000</v>
      </c>
      <c r="L93" s="315">
        <v>11494950</v>
      </c>
      <c r="M93" s="315">
        <v>51717410.75</v>
      </c>
      <c r="N93" s="808" t="e">
        <f>CEILING(J93*0.925/2-(#REF!*0.5),1000)</f>
        <v>#REF!</v>
      </c>
    </row>
    <row r="94" spans="1:14" x14ac:dyDescent="0.55000000000000004">
      <c r="A94" s="1" t="s">
        <v>4</v>
      </c>
      <c r="C94" t="s">
        <v>2114</v>
      </c>
      <c r="D94" s="1" t="s">
        <v>2057</v>
      </c>
      <c r="E94" s="1"/>
      <c r="F94" s="1" t="s">
        <v>2087</v>
      </c>
      <c r="G94" s="1" t="s">
        <v>1040</v>
      </c>
      <c r="J94" s="315"/>
      <c r="K94" s="315"/>
      <c r="L94" s="315"/>
      <c r="M94" s="315"/>
      <c r="N94" s="808"/>
    </row>
    <row r="95" spans="1:14" x14ac:dyDescent="0.55000000000000004">
      <c r="A95" s="1" t="s">
        <v>4</v>
      </c>
      <c r="C95" t="s">
        <v>2114</v>
      </c>
      <c r="D95" s="1" t="s">
        <v>2058</v>
      </c>
      <c r="E95" s="1"/>
      <c r="F95" s="1" t="s">
        <v>2088</v>
      </c>
      <c r="G95" s="1" t="s">
        <v>1116</v>
      </c>
      <c r="J95" s="315">
        <v>121974000</v>
      </c>
      <c r="K95" s="315">
        <v>121974000</v>
      </c>
      <c r="L95" s="315">
        <v>9148050</v>
      </c>
      <c r="M95" s="315">
        <v>36761034.5</v>
      </c>
      <c r="N95" s="808" t="e">
        <f>CEILING(J95*0.925/2-(#REF!*0.5),1000)</f>
        <v>#REF!</v>
      </c>
    </row>
    <row r="96" spans="1:14" x14ac:dyDescent="0.55000000000000004">
      <c r="A96" s="1" t="s">
        <v>4</v>
      </c>
      <c r="C96" t="s">
        <v>2114</v>
      </c>
      <c r="D96" s="1" t="s">
        <v>2059</v>
      </c>
      <c r="E96" s="1"/>
      <c r="F96" s="1" t="s">
        <v>2089</v>
      </c>
      <c r="G96" s="1" t="s">
        <v>2106</v>
      </c>
      <c r="J96" s="315">
        <v>236172001</v>
      </c>
      <c r="K96" s="315">
        <v>236172001</v>
      </c>
      <c r="L96" s="315">
        <v>17712900.074999999</v>
      </c>
      <c r="M96" s="315">
        <v>89522555.462500006</v>
      </c>
      <c r="N96" s="808" t="e">
        <f>CEILING(J96*0.925*0.5-(#REF!*0.5)-#REF!/2,1000)</f>
        <v>#REF!</v>
      </c>
    </row>
    <row r="97" spans="1:14" x14ac:dyDescent="0.55000000000000004">
      <c r="A97" s="1" t="s">
        <v>4</v>
      </c>
      <c r="C97" t="s">
        <v>2114</v>
      </c>
      <c r="D97" s="1" t="s">
        <v>2060</v>
      </c>
      <c r="E97" s="1"/>
      <c r="F97" s="1" t="s">
        <v>2090</v>
      </c>
      <c r="G97" s="1" t="s">
        <v>2107</v>
      </c>
      <c r="J97" s="315">
        <v>280248667</v>
      </c>
      <c r="K97" s="315">
        <v>280248667</v>
      </c>
      <c r="L97" s="315">
        <v>21018650.024999999</v>
      </c>
      <c r="M97" s="315">
        <v>124137987.935</v>
      </c>
      <c r="N97" s="808" t="e">
        <f>CEILING(J97*0.925*0.6-(#REF!*0.5),1000)</f>
        <v>#REF!</v>
      </c>
    </row>
    <row r="98" spans="1:14" x14ac:dyDescent="0.55000000000000004">
      <c r="A98" s="1" t="s">
        <v>4</v>
      </c>
      <c r="C98" t="s">
        <v>2114</v>
      </c>
      <c r="D98" s="1" t="s">
        <v>2060</v>
      </c>
      <c r="E98" s="1"/>
      <c r="F98" s="1" t="s">
        <v>2084</v>
      </c>
      <c r="G98" s="1" t="s">
        <v>2104</v>
      </c>
      <c r="J98" s="315">
        <v>198470000</v>
      </c>
      <c r="K98" s="315">
        <v>198470000</v>
      </c>
      <c r="L98" s="315">
        <v>14885250</v>
      </c>
      <c r="M98" s="315">
        <v>74667850</v>
      </c>
      <c r="N98" s="808" t="e">
        <f>CEILING(J98*0.925*0.5-(#REF!*0.5),1000)</f>
        <v>#REF!</v>
      </c>
    </row>
    <row r="99" spans="1:14" x14ac:dyDescent="0.55000000000000004">
      <c r="A99" s="1" t="s">
        <v>4</v>
      </c>
      <c r="C99" t="s">
        <v>2114</v>
      </c>
      <c r="D99" s="1" t="s">
        <v>2061</v>
      </c>
      <c r="E99" s="1"/>
      <c r="F99" s="1" t="s">
        <v>1121</v>
      </c>
      <c r="G99" s="1" t="s">
        <v>913</v>
      </c>
      <c r="J99" s="315">
        <v>0</v>
      </c>
      <c r="K99" s="315">
        <v>0</v>
      </c>
      <c r="L99" s="315">
        <v>0</v>
      </c>
      <c r="M99" s="315">
        <v>0</v>
      </c>
      <c r="N99" s="808">
        <v>0</v>
      </c>
    </row>
    <row r="100" spans="1:14" x14ac:dyDescent="0.55000000000000004">
      <c r="A100" s="1" t="s">
        <v>4</v>
      </c>
      <c r="C100" t="s">
        <v>2114</v>
      </c>
      <c r="D100" s="1" t="s">
        <v>2062</v>
      </c>
      <c r="E100" s="1"/>
      <c r="F100" s="1" t="s">
        <v>2091</v>
      </c>
      <c r="G100" s="1" t="s">
        <v>693</v>
      </c>
      <c r="J100" s="315">
        <v>888709000</v>
      </c>
      <c r="K100" s="315">
        <v>888709000</v>
      </c>
      <c r="L100" s="315">
        <v>66653175</v>
      </c>
      <c r="M100" s="315">
        <v>447530262</v>
      </c>
      <c r="N100" s="808" t="e">
        <f>CEILING(J100*0.925*0.6-(#REF!*0.5)-#REF!/2,1000)</f>
        <v>#REF!</v>
      </c>
    </row>
    <row r="101" spans="1:14" x14ac:dyDescent="0.55000000000000004">
      <c r="A101" s="1" t="s">
        <v>4</v>
      </c>
      <c r="C101" t="s">
        <v>2114</v>
      </c>
      <c r="D101" s="1" t="s">
        <v>2063</v>
      </c>
      <c r="E101" s="1"/>
      <c r="F101" s="1" t="s">
        <v>747</v>
      </c>
      <c r="G101" s="1" t="s">
        <v>2108</v>
      </c>
      <c r="J101" s="315">
        <v>157990000</v>
      </c>
      <c r="K101" s="315">
        <v>157990000</v>
      </c>
      <c r="L101" s="315">
        <v>11849250</v>
      </c>
      <c r="M101" s="315">
        <v>46327856.25</v>
      </c>
      <c r="N101" s="808" t="e">
        <f>CEILING(J101*0.925*0.4-(#REF!*0.5),1000)</f>
        <v>#REF!</v>
      </c>
    </row>
    <row r="102" spans="1:14" x14ac:dyDescent="0.55000000000000004">
      <c r="A102" s="1" t="s">
        <v>4</v>
      </c>
      <c r="C102" t="s">
        <v>2114</v>
      </c>
      <c r="D102" s="1" t="s">
        <v>2064</v>
      </c>
      <c r="E102" s="1"/>
      <c r="F102" s="1" t="s">
        <v>2092</v>
      </c>
      <c r="G102" s="1" t="s">
        <v>916</v>
      </c>
      <c r="J102" s="315">
        <v>162607000</v>
      </c>
      <c r="K102" s="315">
        <v>162607000</v>
      </c>
      <c r="L102" s="315">
        <v>12195525</v>
      </c>
      <c r="M102" s="315">
        <v>61624219.25</v>
      </c>
      <c r="N102" s="808" t="e">
        <f>CEILING(J102*0.925*0.5-(#REF!*0.5)-#REF!/2,1000)</f>
        <v>#REF!</v>
      </c>
    </row>
    <row r="103" spans="1:14" x14ac:dyDescent="0.55000000000000004">
      <c r="A103" s="1" t="s">
        <v>4</v>
      </c>
      <c r="C103" t="s">
        <v>2114</v>
      </c>
      <c r="D103" s="1" t="s">
        <v>2065</v>
      </c>
      <c r="E103" s="1"/>
      <c r="F103" s="1" t="s">
        <v>2093</v>
      </c>
      <c r="G103" s="1" t="s">
        <v>2109</v>
      </c>
      <c r="J103" s="315">
        <v>89170000</v>
      </c>
      <c r="K103" s="315">
        <v>89170000</v>
      </c>
      <c r="L103" s="315">
        <v>6687750</v>
      </c>
      <c r="M103" s="315">
        <v>41241125</v>
      </c>
      <c r="N103" s="808" t="e">
        <f>CEILING(J103*0.925*0.4-(#REF!*0.5),1000)</f>
        <v>#REF!</v>
      </c>
    </row>
    <row r="104" spans="1:14" x14ac:dyDescent="0.55000000000000004">
      <c r="A104" s="1" t="s">
        <v>4</v>
      </c>
      <c r="C104" t="s">
        <v>2114</v>
      </c>
      <c r="D104" s="1" t="s">
        <v>2066</v>
      </c>
      <c r="E104" s="1"/>
      <c r="F104" s="1" t="s">
        <v>2082</v>
      </c>
      <c r="G104" s="1" t="s">
        <v>1021</v>
      </c>
      <c r="J104" s="315">
        <v>194041667</v>
      </c>
      <c r="K104" s="315">
        <v>194041667</v>
      </c>
      <c r="L104" s="315">
        <v>14553125.025</v>
      </c>
      <c r="M104" s="315">
        <v>89744270.987499997</v>
      </c>
      <c r="N104" s="808" t="e">
        <f>CEILING(J104*0.925*0.5-(#REF!*0.5)-#REF!/2,1000)</f>
        <v>#REF!</v>
      </c>
    </row>
    <row r="105" spans="1:14" x14ac:dyDescent="0.55000000000000004">
      <c r="A105" s="1" t="s">
        <v>4</v>
      </c>
      <c r="C105" t="s">
        <v>2114</v>
      </c>
      <c r="D105" s="1" t="s">
        <v>2066</v>
      </c>
      <c r="E105" s="1"/>
      <c r="F105" s="1" t="s">
        <v>1081</v>
      </c>
      <c r="G105" s="1" t="s">
        <v>1082</v>
      </c>
      <c r="J105" s="315"/>
      <c r="K105" s="315"/>
      <c r="L105" s="315">
        <v>0</v>
      </c>
      <c r="M105" s="315">
        <v>0</v>
      </c>
      <c r="N105" s="808"/>
    </row>
    <row r="106" spans="1:14" x14ac:dyDescent="0.55000000000000004">
      <c r="A106" s="1" t="s">
        <v>4</v>
      </c>
      <c r="C106" t="s">
        <v>2114</v>
      </c>
      <c r="D106" s="1" t="s">
        <v>2067</v>
      </c>
      <c r="E106" s="1"/>
      <c r="F106" s="1" t="s">
        <v>1135</v>
      </c>
      <c r="G106" s="1" t="s">
        <v>1136</v>
      </c>
      <c r="J106" s="315">
        <v>225810000</v>
      </c>
      <c r="K106" s="315">
        <v>225810000</v>
      </c>
      <c r="L106" s="315">
        <v>16935750</v>
      </c>
      <c r="M106" s="315">
        <v>104437125</v>
      </c>
      <c r="N106" s="808" t="e">
        <f>CEILING(J106*0.925*0.5-(#REF!*0.5),1000)</f>
        <v>#REF!</v>
      </c>
    </row>
    <row r="107" spans="1:14" x14ac:dyDescent="0.55000000000000004">
      <c r="A107" s="1" t="s">
        <v>4</v>
      </c>
      <c r="C107" t="s">
        <v>2114</v>
      </c>
      <c r="D107" s="1" t="s">
        <v>2068</v>
      </c>
      <c r="E107" s="1"/>
      <c r="F107" s="1" t="s">
        <v>2094</v>
      </c>
      <c r="G107" s="1" t="s">
        <v>1051</v>
      </c>
      <c r="J107" s="315">
        <v>376806334</v>
      </c>
      <c r="K107" s="315">
        <v>376806334</v>
      </c>
      <c r="L107" s="315">
        <v>28260475.050000001</v>
      </c>
      <c r="M107" s="315">
        <v>174272929.47499999</v>
      </c>
      <c r="N107" s="808" t="e">
        <f>CEILING(J107*0.925*0.5-(#REF!*0.5),1000)</f>
        <v>#REF!</v>
      </c>
    </row>
    <row r="108" spans="1:14" x14ac:dyDescent="0.55000000000000004">
      <c r="A108" s="1" t="s">
        <v>4</v>
      </c>
      <c r="C108" t="s">
        <v>2114</v>
      </c>
      <c r="D108" s="1" t="s">
        <v>2069</v>
      </c>
      <c r="E108" s="1"/>
      <c r="F108" s="1" t="s">
        <v>2095</v>
      </c>
      <c r="G108" s="1" t="s">
        <v>1107</v>
      </c>
      <c r="J108" s="315">
        <v>90580000</v>
      </c>
      <c r="K108" s="315">
        <v>145603334</v>
      </c>
      <c r="L108" s="315">
        <v>10920250</v>
      </c>
      <c r="M108" s="315">
        <v>52183754</v>
      </c>
      <c r="N108" s="808" t="e">
        <f>CEILING(J108*0.925*0.5-(#REF!*0.5)-#REF!/2,1000)</f>
        <v>#REF!</v>
      </c>
    </row>
    <row r="109" spans="1:14" x14ac:dyDescent="0.55000000000000004">
      <c r="A109" s="1" t="s">
        <v>4</v>
      </c>
      <c r="C109" t="s">
        <v>2114</v>
      </c>
      <c r="D109" s="1" t="s">
        <v>2070</v>
      </c>
      <c r="E109" s="1"/>
      <c r="F109" s="1" t="s">
        <v>2096</v>
      </c>
      <c r="G109" s="1" t="s">
        <v>2110</v>
      </c>
      <c r="J109" s="315">
        <v>150390000</v>
      </c>
      <c r="K109" s="315">
        <v>150390000</v>
      </c>
      <c r="L109" s="315">
        <v>11279250</v>
      </c>
      <c r="M109" s="315">
        <v>69555375</v>
      </c>
      <c r="N109" s="808" t="e">
        <f>CEILING(J109*0.925*0.5-(#REF!*0.5),1000)</f>
        <v>#REF!</v>
      </c>
    </row>
    <row r="110" spans="1:14" x14ac:dyDescent="0.55000000000000004">
      <c r="A110" s="1" t="s">
        <v>4</v>
      </c>
      <c r="C110" t="s">
        <v>2114</v>
      </c>
      <c r="D110" s="1" t="s">
        <v>2071</v>
      </c>
      <c r="E110" s="1"/>
      <c r="F110" s="1" t="s">
        <v>2097</v>
      </c>
      <c r="G110" s="1" t="s">
        <v>2103</v>
      </c>
      <c r="J110" s="315">
        <v>362010000</v>
      </c>
      <c r="K110" s="315">
        <v>362010000</v>
      </c>
      <c r="L110" s="315">
        <v>27150750</v>
      </c>
      <c r="M110" s="315">
        <v>167429625</v>
      </c>
      <c r="N110" s="808" t="e">
        <f>CEILING(J110*0.925*0.5-(#REF!*0.5),1000)</f>
        <v>#REF!</v>
      </c>
    </row>
    <row r="111" spans="1:14" x14ac:dyDescent="0.55000000000000004">
      <c r="A111" s="1" t="s">
        <v>4</v>
      </c>
      <c r="C111" t="s">
        <v>2114</v>
      </c>
      <c r="D111" s="1" t="s">
        <v>2072</v>
      </c>
      <c r="E111" s="1"/>
      <c r="F111" s="1" t="s">
        <v>2098</v>
      </c>
      <c r="G111" s="1" t="s">
        <v>1130</v>
      </c>
      <c r="J111" s="315">
        <v>128426667</v>
      </c>
      <c r="K111" s="315">
        <v>128426667</v>
      </c>
      <c r="L111" s="315">
        <v>9632000.0250000004</v>
      </c>
      <c r="M111" s="315">
        <v>59397333.487499997</v>
      </c>
      <c r="N111" s="808" t="e">
        <f>CEILING(J111*0.925*0.5-(#REF!*0.5),1000)</f>
        <v>#REF!</v>
      </c>
    </row>
    <row r="112" spans="1:14" x14ac:dyDescent="0.55000000000000004">
      <c r="A112" s="1" t="s">
        <v>4</v>
      </c>
      <c r="C112" t="s">
        <v>2114</v>
      </c>
      <c r="D112" s="1" t="s">
        <v>2073</v>
      </c>
      <c r="E112" s="1"/>
      <c r="F112" s="1" t="s">
        <v>2099</v>
      </c>
      <c r="G112" s="1" t="s">
        <v>2111</v>
      </c>
      <c r="J112" s="315">
        <v>192760000</v>
      </c>
      <c r="K112" s="315">
        <v>189470000</v>
      </c>
      <c r="L112" s="315">
        <v>14210250</v>
      </c>
      <c r="M112" s="315">
        <v>70103900</v>
      </c>
      <c r="N112" s="808" t="e">
        <f>CEILING(J112*0.925*0.4-(#REF!*0.5),1000)</f>
        <v>#REF!</v>
      </c>
    </row>
    <row r="113" spans="1:14" x14ac:dyDescent="0.55000000000000004">
      <c r="A113" s="1" t="s">
        <v>4</v>
      </c>
      <c r="C113" t="s">
        <v>2114</v>
      </c>
      <c r="D113" s="1" t="s">
        <v>2074</v>
      </c>
      <c r="E113" s="1"/>
      <c r="F113" s="1" t="s">
        <v>2084</v>
      </c>
      <c r="G113" s="1" t="s">
        <v>2104</v>
      </c>
      <c r="J113" s="315">
        <v>838925000</v>
      </c>
      <c r="K113" s="315">
        <v>842055000</v>
      </c>
      <c r="L113" s="315">
        <v>63154125</v>
      </c>
      <c r="M113" s="315">
        <v>389450437.5</v>
      </c>
      <c r="N113" s="808" t="e">
        <f>CEILING(J113*0.925*0.5-(#REF!*0.5),1000)</f>
        <v>#REF!</v>
      </c>
    </row>
    <row r="114" spans="1:14" x14ac:dyDescent="0.55000000000000004">
      <c r="A114" s="1" t="s">
        <v>4</v>
      </c>
      <c r="C114" t="s">
        <v>2114</v>
      </c>
      <c r="D114" s="1" t="s">
        <v>2075</v>
      </c>
      <c r="E114" s="1"/>
      <c r="F114" s="1" t="s">
        <v>2100</v>
      </c>
      <c r="G114" s="1" t="s">
        <v>2112</v>
      </c>
      <c r="J114" s="315">
        <v>175424333</v>
      </c>
      <c r="K114" s="315">
        <v>175424333</v>
      </c>
      <c r="L114" s="315">
        <v>13156824.975</v>
      </c>
      <c r="M114" s="315">
        <v>81133754.012500003</v>
      </c>
      <c r="N114" s="808" t="e">
        <f>CEILING(J114*0.925*0.5-(#REF!*0.5),1000)</f>
        <v>#REF!</v>
      </c>
    </row>
    <row r="115" spans="1:14" x14ac:dyDescent="0.55000000000000004">
      <c r="A115" s="1" t="s">
        <v>4</v>
      </c>
      <c r="C115" t="s">
        <v>2114</v>
      </c>
      <c r="D115" s="1" t="s">
        <v>2076</v>
      </c>
      <c r="E115" s="1"/>
      <c r="F115" s="1" t="s">
        <v>1126</v>
      </c>
      <c r="G115" s="1" t="s">
        <v>1127</v>
      </c>
      <c r="J115" s="315">
        <v>121676666</v>
      </c>
      <c r="K115" s="315">
        <v>122076666</v>
      </c>
      <c r="L115" s="315">
        <v>9155749.9499999993</v>
      </c>
      <c r="M115" s="315">
        <v>38590591.774999999</v>
      </c>
      <c r="N115" s="808" t="e">
        <f>CEILING(J115*0.925*0.5-(#REF!*0.5),1000)</f>
        <v>#REF!</v>
      </c>
    </row>
    <row r="116" spans="1:14" x14ac:dyDescent="0.55000000000000004">
      <c r="A116" s="1" t="s">
        <v>4</v>
      </c>
      <c r="C116" t="s">
        <v>2114</v>
      </c>
      <c r="D116" s="1" t="s">
        <v>2077</v>
      </c>
      <c r="E116" s="1"/>
      <c r="F116" s="1" t="s">
        <v>2101</v>
      </c>
      <c r="G116" s="1" t="s">
        <v>653</v>
      </c>
      <c r="J116" s="315">
        <v>104032000</v>
      </c>
      <c r="K116" s="315">
        <v>107222000</v>
      </c>
      <c r="L116" s="315">
        <v>8041650</v>
      </c>
      <c r="M116" s="315">
        <v>49590175</v>
      </c>
      <c r="N116" s="808" t="e">
        <f>CEILING(J116*0.925*0.5-(#REF!*0.5),1000)</f>
        <v>#REF!</v>
      </c>
    </row>
    <row r="117" spans="1:14" x14ac:dyDescent="0.55000000000000004">
      <c r="A117" s="1" t="s">
        <v>4</v>
      </c>
      <c r="C117" t="s">
        <v>2114</v>
      </c>
      <c r="D117" s="1" t="s">
        <v>2078</v>
      </c>
      <c r="E117" s="1"/>
      <c r="F117" s="1" t="s">
        <v>2079</v>
      </c>
      <c r="G117" s="1" t="s">
        <v>1089</v>
      </c>
      <c r="J117" s="315">
        <v>437620000</v>
      </c>
      <c r="K117" s="315">
        <v>463426667</v>
      </c>
      <c r="L117" s="315">
        <v>34757000.024999999</v>
      </c>
      <c r="M117" s="315">
        <v>186051027.48750001</v>
      </c>
      <c r="N117" s="808" t="e">
        <f>CEILING(J117*0.925*0.5-(#REF!*0.5),1000)</f>
        <v>#REF!</v>
      </c>
    </row>
  </sheetData>
  <autoFilter ref="A3:AL117" xr:uid="{199DEF4A-90BB-4F87-8F09-A105906FE540}"/>
  <phoneticPr fontId="2" type="noConversion"/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9B61-86E4-474A-836A-60414F7F78C2}">
  <dimension ref="A1:N42"/>
  <sheetViews>
    <sheetView workbookViewId="0"/>
  </sheetViews>
  <sheetFormatPr defaultRowHeight="17.600000000000001" x14ac:dyDescent="0.55000000000000004"/>
  <cols>
    <col min="1" max="1" width="12.140625" bestFit="1" customWidth="1"/>
    <col min="2" max="2" width="17.2109375" bestFit="1" customWidth="1"/>
    <col min="3" max="3" width="11" bestFit="1" customWidth="1"/>
    <col min="4" max="4" width="16.640625" bestFit="1" customWidth="1"/>
    <col min="6" max="6" width="8.2109375" bestFit="1" customWidth="1"/>
    <col min="7" max="7" width="15.140625" bestFit="1" customWidth="1"/>
    <col min="8" max="8" width="8.2109375" bestFit="1" customWidth="1"/>
    <col min="9" max="9" width="16.640625" bestFit="1" customWidth="1"/>
    <col min="11" max="11" width="7.35546875" bestFit="1" customWidth="1"/>
    <col min="12" max="12" width="15.140625" bestFit="1" customWidth="1"/>
    <col min="13" max="13" width="7.35546875" bestFit="1" customWidth="1"/>
    <col min="14" max="14" width="16.640625" bestFit="1" customWidth="1"/>
  </cols>
  <sheetData>
    <row r="1" spans="1:14" x14ac:dyDescent="0.55000000000000004">
      <c r="A1" s="883"/>
      <c r="B1" s="883" t="s">
        <v>162</v>
      </c>
      <c r="C1" s="883"/>
      <c r="D1" s="883"/>
      <c r="E1" s="883"/>
      <c r="F1" s="883"/>
      <c r="G1" s="883"/>
      <c r="H1" s="883"/>
      <c r="I1" s="883"/>
      <c r="J1" s="883"/>
      <c r="K1" s="883"/>
      <c r="L1" s="883"/>
      <c r="M1" s="883"/>
      <c r="N1" s="883"/>
    </row>
    <row r="2" spans="1:14" x14ac:dyDescent="0.55000000000000004">
      <c r="A2" s="883"/>
      <c r="B2" s="883"/>
      <c r="C2" s="883"/>
      <c r="D2" s="883"/>
      <c r="E2" s="883"/>
      <c r="F2" s="883"/>
      <c r="G2" s="883"/>
      <c r="H2" s="883"/>
      <c r="I2" s="883"/>
      <c r="J2" s="883"/>
      <c r="K2" s="883"/>
      <c r="L2" s="883"/>
      <c r="M2" s="883"/>
      <c r="N2" s="883"/>
    </row>
    <row r="3" spans="1:14" x14ac:dyDescent="0.55000000000000004">
      <c r="A3" s="884" t="s">
        <v>2685</v>
      </c>
      <c r="B3" s="884" t="s">
        <v>2686</v>
      </c>
      <c r="C3" s="884" t="s">
        <v>1360</v>
      </c>
      <c r="D3" s="884" t="s">
        <v>468</v>
      </c>
      <c r="E3" s="883"/>
      <c r="F3" s="883"/>
      <c r="G3" s="883"/>
      <c r="H3" s="883"/>
      <c r="I3" s="883"/>
      <c r="J3" s="883"/>
      <c r="K3" s="883"/>
      <c r="L3" s="883"/>
      <c r="M3" s="883"/>
      <c r="N3" s="883"/>
    </row>
    <row r="4" spans="1:14" x14ac:dyDescent="0.55000000000000004">
      <c r="A4" s="883" t="s">
        <v>2687</v>
      </c>
      <c r="B4" s="883" t="s">
        <v>2688</v>
      </c>
      <c r="C4" s="883" t="s">
        <v>2689</v>
      </c>
      <c r="D4" s="885">
        <v>437440218</v>
      </c>
      <c r="E4" s="883"/>
      <c r="F4" s="883"/>
      <c r="G4" s="883"/>
      <c r="H4" s="883"/>
      <c r="I4" s="883"/>
      <c r="J4" s="883"/>
      <c r="K4" s="883"/>
      <c r="L4" s="883"/>
      <c r="M4" s="883"/>
      <c r="N4" s="883"/>
    </row>
    <row r="5" spans="1:14" x14ac:dyDescent="0.55000000000000004">
      <c r="A5" s="883" t="s">
        <v>2690</v>
      </c>
      <c r="B5" s="883" t="s">
        <v>2691</v>
      </c>
      <c r="C5" s="883" t="s">
        <v>2689</v>
      </c>
      <c r="D5" s="885">
        <v>17449443</v>
      </c>
      <c r="E5" s="883"/>
      <c r="F5" s="883"/>
      <c r="G5" s="883"/>
      <c r="H5" s="883"/>
      <c r="I5" s="883"/>
      <c r="J5" s="883"/>
      <c r="K5" s="883"/>
      <c r="L5" s="883"/>
      <c r="M5" s="883"/>
      <c r="N5" s="883"/>
    </row>
    <row r="6" spans="1:14" x14ac:dyDescent="0.55000000000000004">
      <c r="A6" s="883" t="s">
        <v>2687</v>
      </c>
      <c r="B6" s="883" t="s">
        <v>2692</v>
      </c>
      <c r="C6" s="883" t="s">
        <v>2689</v>
      </c>
      <c r="D6" s="885">
        <v>80077637</v>
      </c>
      <c r="E6" s="883"/>
      <c r="F6" s="883"/>
      <c r="G6" s="883"/>
      <c r="H6" s="883"/>
      <c r="I6" s="883"/>
      <c r="J6" s="883"/>
      <c r="K6" s="883"/>
      <c r="L6" s="883"/>
      <c r="M6" s="883"/>
      <c r="N6" s="883"/>
    </row>
    <row r="7" spans="1:14" x14ac:dyDescent="0.55000000000000004">
      <c r="A7" s="883" t="s">
        <v>2687</v>
      </c>
      <c r="B7" s="883" t="s">
        <v>2693</v>
      </c>
      <c r="C7" s="883" t="s">
        <v>2689</v>
      </c>
      <c r="D7" s="885">
        <v>47105579</v>
      </c>
      <c r="E7" s="883"/>
      <c r="F7" s="883"/>
      <c r="G7" s="883"/>
      <c r="H7" s="883"/>
      <c r="I7" s="883"/>
      <c r="J7" s="883"/>
      <c r="K7" s="883"/>
      <c r="L7" s="883"/>
      <c r="M7" s="883"/>
      <c r="N7" s="883"/>
    </row>
    <row r="8" spans="1:14" x14ac:dyDescent="0.55000000000000004">
      <c r="A8" s="883" t="s">
        <v>2687</v>
      </c>
      <c r="B8" s="883" t="s">
        <v>2694</v>
      </c>
      <c r="C8" s="883" t="s">
        <v>2689</v>
      </c>
      <c r="D8" s="885">
        <v>113827550</v>
      </c>
      <c r="E8" s="883"/>
      <c r="F8" s="883"/>
      <c r="G8" s="883"/>
      <c r="H8" s="883"/>
      <c r="I8" s="883"/>
      <c r="J8" s="883"/>
      <c r="K8" s="883"/>
      <c r="L8" s="883"/>
      <c r="M8" s="883"/>
      <c r="N8" s="883"/>
    </row>
    <row r="9" spans="1:14" x14ac:dyDescent="0.55000000000000004">
      <c r="A9" s="883" t="s">
        <v>2687</v>
      </c>
      <c r="B9" s="883" t="s">
        <v>2695</v>
      </c>
      <c r="C9" s="883" t="s">
        <v>2689</v>
      </c>
      <c r="D9" s="885">
        <v>3202965</v>
      </c>
      <c r="E9" s="883"/>
      <c r="F9" s="883"/>
      <c r="G9" s="883"/>
      <c r="H9" s="883"/>
      <c r="I9" s="883"/>
      <c r="J9" s="883"/>
      <c r="K9" s="883"/>
      <c r="L9" s="883"/>
      <c r="M9" s="883"/>
      <c r="N9" s="883"/>
    </row>
    <row r="10" spans="1:14" x14ac:dyDescent="0.55000000000000004">
      <c r="A10" s="883" t="s">
        <v>2696</v>
      </c>
      <c r="B10" s="883" t="s">
        <v>2697</v>
      </c>
      <c r="C10" s="883" t="s">
        <v>2698</v>
      </c>
      <c r="D10" s="886">
        <v>59655779</v>
      </c>
      <c r="E10" s="883"/>
      <c r="F10" s="883"/>
      <c r="G10" s="883"/>
      <c r="H10" s="883"/>
      <c r="I10" s="883"/>
      <c r="J10" s="883"/>
      <c r="K10" s="883"/>
      <c r="L10" s="883"/>
      <c r="M10" s="883"/>
      <c r="N10" s="883"/>
    </row>
    <row r="11" spans="1:14" x14ac:dyDescent="0.55000000000000004">
      <c r="A11" s="883" t="s">
        <v>2696</v>
      </c>
      <c r="B11" s="883" t="s">
        <v>677</v>
      </c>
      <c r="C11" s="883" t="s">
        <v>2698</v>
      </c>
      <c r="D11" s="886">
        <v>100075253</v>
      </c>
      <c r="E11" s="883"/>
      <c r="F11" s="883"/>
      <c r="G11" s="883"/>
      <c r="H11" s="883"/>
      <c r="I11" s="883"/>
      <c r="J11" s="883"/>
      <c r="K11" s="883"/>
      <c r="L11" s="883"/>
      <c r="M11" s="883"/>
      <c r="N11" s="883"/>
    </row>
    <row r="12" spans="1:14" x14ac:dyDescent="0.55000000000000004">
      <c r="A12" s="883" t="s">
        <v>2696</v>
      </c>
      <c r="B12" s="883" t="s">
        <v>2699</v>
      </c>
      <c r="C12" s="883" t="s">
        <v>2698</v>
      </c>
      <c r="D12" s="885">
        <v>64540344</v>
      </c>
      <c r="E12" s="883"/>
      <c r="F12" s="883"/>
      <c r="G12" s="883"/>
      <c r="H12" s="883"/>
      <c r="I12" s="883"/>
      <c r="J12" s="883"/>
      <c r="K12" s="883"/>
      <c r="L12" s="883"/>
      <c r="M12" s="883"/>
      <c r="N12" s="883"/>
    </row>
    <row r="13" spans="1:14" x14ac:dyDescent="0.55000000000000004">
      <c r="A13" s="883" t="s">
        <v>2696</v>
      </c>
      <c r="B13" s="883" t="s">
        <v>2700</v>
      </c>
      <c r="C13" s="883" t="s">
        <v>2698</v>
      </c>
      <c r="D13" s="886">
        <v>45084301</v>
      </c>
      <c r="E13" s="883"/>
      <c r="F13" s="883"/>
      <c r="G13" s="883"/>
      <c r="H13" s="883"/>
      <c r="I13" s="883"/>
      <c r="J13" s="883"/>
      <c r="K13" s="883"/>
      <c r="L13" s="883"/>
      <c r="M13" s="883"/>
      <c r="N13" s="883"/>
    </row>
    <row r="14" spans="1:14" x14ac:dyDescent="0.55000000000000004">
      <c r="A14" s="883" t="s">
        <v>2696</v>
      </c>
      <c r="B14" s="883" t="s">
        <v>2701</v>
      </c>
      <c r="C14" s="883" t="s">
        <v>2698</v>
      </c>
      <c r="D14" s="885">
        <v>19826255</v>
      </c>
      <c r="E14" s="883"/>
      <c r="F14" s="883"/>
      <c r="G14" s="883"/>
      <c r="H14" s="883"/>
      <c r="I14" s="883"/>
      <c r="J14" s="883"/>
      <c r="K14" s="883"/>
      <c r="L14" s="883"/>
      <c r="M14" s="883"/>
      <c r="N14" s="883"/>
    </row>
    <row r="15" spans="1:14" x14ac:dyDescent="0.55000000000000004">
      <c r="A15" s="883" t="s">
        <v>2696</v>
      </c>
      <c r="B15" s="883" t="s">
        <v>2702</v>
      </c>
      <c r="C15" s="883" t="s">
        <v>2698</v>
      </c>
      <c r="D15" s="885">
        <v>190614028</v>
      </c>
      <c r="E15" s="883"/>
      <c r="F15" s="883"/>
      <c r="G15" s="883"/>
      <c r="H15" s="883"/>
      <c r="I15" s="883"/>
      <c r="J15" s="883"/>
      <c r="K15" s="883"/>
      <c r="L15" s="883"/>
      <c r="M15" s="883"/>
      <c r="N15" s="883"/>
    </row>
    <row r="16" spans="1:14" x14ac:dyDescent="0.55000000000000004">
      <c r="A16" s="883" t="s">
        <v>2696</v>
      </c>
      <c r="B16" s="883" t="s">
        <v>2703</v>
      </c>
      <c r="C16" s="883" t="s">
        <v>2698</v>
      </c>
      <c r="D16" s="885">
        <v>133798440</v>
      </c>
      <c r="E16" s="883"/>
      <c r="F16" s="883"/>
      <c r="G16" s="883"/>
      <c r="H16" s="883"/>
      <c r="I16" s="883"/>
      <c r="J16" s="883"/>
      <c r="K16" s="883"/>
      <c r="L16" s="883"/>
      <c r="M16" s="883"/>
      <c r="N16" s="883"/>
    </row>
    <row r="17" spans="1:14" x14ac:dyDescent="0.55000000000000004">
      <c r="A17" s="966" t="s">
        <v>1544</v>
      </c>
      <c r="B17" s="966"/>
      <c r="C17" s="966"/>
      <c r="D17" s="887">
        <f>SUM(D4:D16)</f>
        <v>1312697792</v>
      </c>
      <c r="E17" s="883"/>
      <c r="F17" s="883"/>
      <c r="G17" s="883"/>
      <c r="H17" s="883"/>
      <c r="I17" s="883"/>
      <c r="J17" s="883"/>
      <c r="K17" s="883"/>
      <c r="L17" s="883"/>
      <c r="M17" s="883"/>
      <c r="N17" s="883"/>
    </row>
    <row r="18" spans="1:14" x14ac:dyDescent="0.55000000000000004">
      <c r="A18" s="883"/>
      <c r="B18" s="883"/>
      <c r="C18" s="883"/>
      <c r="D18" s="885"/>
      <c r="E18" s="883"/>
      <c r="F18" s="883"/>
      <c r="G18" s="883"/>
      <c r="H18" s="883"/>
      <c r="I18" s="883"/>
      <c r="J18" s="883"/>
      <c r="K18" s="883"/>
      <c r="L18" s="883"/>
      <c r="M18" s="883"/>
      <c r="N18" s="883"/>
    </row>
    <row r="19" spans="1:14" x14ac:dyDescent="0.55000000000000004">
      <c r="A19" s="883"/>
      <c r="B19" s="883"/>
      <c r="C19" s="883"/>
      <c r="D19" s="885"/>
      <c r="E19" s="883"/>
      <c r="F19" s="883"/>
      <c r="G19" s="883"/>
      <c r="H19" s="883"/>
      <c r="I19" s="883"/>
      <c r="J19" s="883"/>
      <c r="K19" s="883"/>
      <c r="L19" s="883"/>
      <c r="M19" s="883"/>
      <c r="N19" s="883"/>
    </row>
    <row r="20" spans="1:14" x14ac:dyDescent="0.55000000000000004">
      <c r="A20" s="883"/>
      <c r="B20" s="883"/>
      <c r="C20" s="883"/>
      <c r="D20" s="885"/>
      <c r="E20" s="883"/>
      <c r="F20" s="883"/>
      <c r="G20" s="883" t="s">
        <v>346</v>
      </c>
      <c r="H20" s="883"/>
      <c r="I20" s="883"/>
      <c r="J20" s="883"/>
      <c r="K20" s="888"/>
      <c r="L20" s="888" t="s">
        <v>2704</v>
      </c>
      <c r="M20" s="888"/>
      <c r="N20" s="888"/>
    </row>
    <row r="21" spans="1:14" x14ac:dyDescent="0.55000000000000004">
      <c r="A21" s="883"/>
      <c r="B21" s="883"/>
      <c r="C21" s="883"/>
      <c r="D21" s="885"/>
      <c r="E21" s="883"/>
      <c r="F21" s="883"/>
      <c r="G21" s="883"/>
      <c r="H21" s="883"/>
      <c r="I21" s="883"/>
      <c r="J21" s="883"/>
      <c r="K21" s="888"/>
      <c r="L21" s="888"/>
      <c r="M21" s="888"/>
      <c r="N21" s="888"/>
    </row>
    <row r="22" spans="1:14" ht="18" thickBot="1" x14ac:dyDescent="0.6">
      <c r="A22" s="884" t="s">
        <v>2685</v>
      </c>
      <c r="B22" s="884" t="s">
        <v>2686</v>
      </c>
      <c r="C22" s="884" t="s">
        <v>1360</v>
      </c>
      <c r="D22" s="884" t="s">
        <v>468</v>
      </c>
      <c r="E22" s="883"/>
      <c r="F22" s="884" t="s">
        <v>2685</v>
      </c>
      <c r="G22" s="884" t="s">
        <v>2686</v>
      </c>
      <c r="H22" s="884" t="s">
        <v>1360</v>
      </c>
      <c r="I22" s="884" t="s">
        <v>468</v>
      </c>
      <c r="J22" s="883"/>
      <c r="K22" s="884" t="s">
        <v>2685</v>
      </c>
      <c r="L22" s="884" t="s">
        <v>2686</v>
      </c>
      <c r="M22" s="884" t="s">
        <v>1360</v>
      </c>
      <c r="N22" s="884" t="s">
        <v>468</v>
      </c>
    </row>
    <row r="23" spans="1:14" ht="18" thickBot="1" x14ac:dyDescent="0.6">
      <c r="A23" s="889">
        <v>45778</v>
      </c>
      <c r="B23" s="890" t="s">
        <v>856</v>
      </c>
      <c r="C23" s="889">
        <v>45839</v>
      </c>
      <c r="D23" s="885">
        <v>416454574</v>
      </c>
      <c r="E23" s="888"/>
      <c r="F23" s="889">
        <v>45778</v>
      </c>
      <c r="G23" s="890" t="s">
        <v>653</v>
      </c>
      <c r="H23" s="889">
        <v>45839</v>
      </c>
      <c r="I23" s="891">
        <v>51017552</v>
      </c>
      <c r="J23" s="883"/>
      <c r="K23" s="889"/>
      <c r="L23" s="890"/>
      <c r="M23" s="889"/>
      <c r="N23" s="891"/>
    </row>
    <row r="24" spans="1:14" ht="18" thickBot="1" x14ac:dyDescent="0.6">
      <c r="A24" s="892">
        <v>45778</v>
      </c>
      <c r="B24" s="890" t="s">
        <v>778</v>
      </c>
      <c r="C24" s="892">
        <v>45839</v>
      </c>
      <c r="D24" s="885">
        <v>286005930</v>
      </c>
      <c r="E24" s="888"/>
      <c r="F24" s="892">
        <v>45778</v>
      </c>
      <c r="G24" s="890" t="s">
        <v>2705</v>
      </c>
      <c r="H24" s="892">
        <v>45839</v>
      </c>
      <c r="I24" s="893">
        <v>8000000</v>
      </c>
      <c r="J24" s="883"/>
      <c r="K24" s="892"/>
      <c r="L24" s="890"/>
      <c r="M24" s="892"/>
      <c r="N24" s="893"/>
    </row>
    <row r="25" spans="1:14" ht="18" thickBot="1" x14ac:dyDescent="0.6">
      <c r="A25" s="889">
        <v>45778</v>
      </c>
      <c r="B25" s="890" t="s">
        <v>913</v>
      </c>
      <c r="C25" s="889">
        <v>45839</v>
      </c>
      <c r="D25" s="885">
        <v>211105473.16374999</v>
      </c>
      <c r="E25" s="888"/>
      <c r="F25" s="892">
        <v>45778</v>
      </c>
      <c r="G25" s="890" t="s">
        <v>976</v>
      </c>
      <c r="H25" s="889">
        <v>45839</v>
      </c>
      <c r="I25" s="893">
        <v>4191585</v>
      </c>
      <c r="J25" s="883"/>
      <c r="K25" s="892"/>
      <c r="L25" s="890"/>
      <c r="M25" s="889"/>
      <c r="N25" s="893"/>
    </row>
    <row r="26" spans="1:14" ht="18" thickBot="1" x14ac:dyDescent="0.6">
      <c r="A26" s="889">
        <v>45748</v>
      </c>
      <c r="B26" s="890" t="s">
        <v>916</v>
      </c>
      <c r="C26" s="889">
        <v>45839</v>
      </c>
      <c r="D26" s="885">
        <v>179155387.03749999</v>
      </c>
      <c r="E26" s="888"/>
      <c r="F26" s="889">
        <v>45778</v>
      </c>
      <c r="G26" s="890" t="s">
        <v>788</v>
      </c>
      <c r="H26" s="889">
        <v>45839</v>
      </c>
      <c r="I26" s="893">
        <v>262948875</v>
      </c>
      <c r="J26" s="883"/>
      <c r="K26" s="889"/>
      <c r="L26" s="890"/>
      <c r="M26" s="889"/>
      <c r="N26" s="893"/>
    </row>
    <row r="27" spans="1:14" ht="18" thickBot="1" x14ac:dyDescent="0.6">
      <c r="A27" s="889">
        <v>45778</v>
      </c>
      <c r="B27" s="890" t="s">
        <v>650</v>
      </c>
      <c r="C27" s="889">
        <v>45839</v>
      </c>
      <c r="D27" s="885">
        <v>140175115.68000001</v>
      </c>
      <c r="E27" s="888"/>
      <c r="F27" s="892">
        <v>45778</v>
      </c>
      <c r="G27" s="890" t="s">
        <v>2706</v>
      </c>
      <c r="H27" s="889">
        <v>45839</v>
      </c>
      <c r="I27" s="893">
        <v>124093490</v>
      </c>
      <c r="J27" s="883"/>
      <c r="K27" s="892"/>
      <c r="L27" s="890"/>
      <c r="M27" s="889"/>
      <c r="N27" s="893"/>
    </row>
    <row r="28" spans="1:14" ht="18" thickBot="1" x14ac:dyDescent="0.6">
      <c r="A28" s="889">
        <v>45717</v>
      </c>
      <c r="B28" s="890" t="s">
        <v>2707</v>
      </c>
      <c r="C28" s="889">
        <v>45839</v>
      </c>
      <c r="D28" s="885">
        <v>59279179.259999998</v>
      </c>
      <c r="E28" s="888"/>
      <c r="F28" s="889">
        <v>45778</v>
      </c>
      <c r="G28" s="890" t="s">
        <v>1021</v>
      </c>
      <c r="H28" s="889">
        <v>45839</v>
      </c>
      <c r="I28" s="893">
        <v>31041842</v>
      </c>
      <c r="J28" s="883"/>
      <c r="K28" s="889"/>
      <c r="L28" s="890"/>
      <c r="M28" s="889"/>
      <c r="N28" s="893"/>
    </row>
    <row r="29" spans="1:14" ht="18" thickBot="1" x14ac:dyDescent="0.6">
      <c r="A29" s="889">
        <v>45778</v>
      </c>
      <c r="B29" s="890" t="s">
        <v>785</v>
      </c>
      <c r="C29" s="889">
        <v>45839</v>
      </c>
      <c r="D29" s="885">
        <v>47104853.549999997</v>
      </c>
      <c r="E29" s="888"/>
      <c r="F29" s="889">
        <v>45778</v>
      </c>
      <c r="G29" s="890" t="s">
        <v>1089</v>
      </c>
      <c r="H29" s="889">
        <v>45839</v>
      </c>
      <c r="I29" s="893">
        <v>261327997</v>
      </c>
      <c r="J29" s="883"/>
      <c r="K29" s="889"/>
      <c r="L29" s="890"/>
      <c r="M29" s="889"/>
      <c r="N29" s="893"/>
    </row>
    <row r="30" spans="1:14" ht="18" thickBot="1" x14ac:dyDescent="0.6">
      <c r="A30" s="889">
        <v>45778</v>
      </c>
      <c r="B30" s="890" t="s">
        <v>2708</v>
      </c>
      <c r="C30" s="889">
        <v>45839</v>
      </c>
      <c r="D30" s="885">
        <v>293514833.02499998</v>
      </c>
      <c r="E30" s="888"/>
      <c r="F30" s="892">
        <v>45778</v>
      </c>
      <c r="G30" s="890" t="s">
        <v>889</v>
      </c>
      <c r="H30" s="894">
        <v>45870</v>
      </c>
      <c r="I30" s="893">
        <v>10000000</v>
      </c>
      <c r="J30" s="883"/>
      <c r="K30" s="892"/>
      <c r="L30" s="890"/>
      <c r="M30" s="894"/>
      <c r="N30" s="893"/>
    </row>
    <row r="31" spans="1:14" ht="18" thickBot="1" x14ac:dyDescent="0.6">
      <c r="A31" s="892">
        <v>45809</v>
      </c>
      <c r="B31" s="890" t="s">
        <v>2707</v>
      </c>
      <c r="C31" s="894">
        <v>45870</v>
      </c>
      <c r="D31" s="895">
        <v>70616350</v>
      </c>
      <c r="E31" s="888"/>
      <c r="F31" s="892">
        <v>45809</v>
      </c>
      <c r="G31" s="896" t="s">
        <v>788</v>
      </c>
      <c r="H31" s="894">
        <v>45870</v>
      </c>
      <c r="I31" s="893">
        <v>160077320</v>
      </c>
      <c r="J31" s="883"/>
      <c r="K31" s="892"/>
      <c r="L31" s="896"/>
      <c r="M31" s="894"/>
      <c r="N31" s="893"/>
    </row>
    <row r="32" spans="1:14" ht="18" thickBot="1" x14ac:dyDescent="0.6">
      <c r="A32" s="892">
        <v>45809</v>
      </c>
      <c r="B32" s="896" t="s">
        <v>865</v>
      </c>
      <c r="C32" s="894">
        <v>45870</v>
      </c>
      <c r="D32" s="895">
        <v>31585050</v>
      </c>
      <c r="E32" s="888"/>
      <c r="F32" s="892">
        <v>45809</v>
      </c>
      <c r="G32" s="890" t="s">
        <v>1097</v>
      </c>
      <c r="H32" s="894">
        <v>45870</v>
      </c>
      <c r="I32" s="893">
        <v>57650454</v>
      </c>
      <c r="J32" s="883"/>
      <c r="K32" s="892"/>
      <c r="L32" s="890"/>
      <c r="M32" s="894"/>
      <c r="N32" s="893"/>
    </row>
    <row r="33" spans="1:14" ht="18" thickBot="1" x14ac:dyDescent="0.6">
      <c r="A33" s="892">
        <v>45809</v>
      </c>
      <c r="B33" s="890" t="s">
        <v>2692</v>
      </c>
      <c r="C33" s="894">
        <v>45870</v>
      </c>
      <c r="D33" s="895">
        <v>95309780</v>
      </c>
      <c r="E33" s="888"/>
      <c r="F33" s="892">
        <v>45809</v>
      </c>
      <c r="G33" s="896" t="s">
        <v>1028</v>
      </c>
      <c r="H33" s="894">
        <v>45870</v>
      </c>
      <c r="I33" s="893">
        <v>58687455</v>
      </c>
      <c r="J33" s="883"/>
      <c r="K33" s="892"/>
      <c r="L33" s="896"/>
      <c r="M33" s="894"/>
      <c r="N33" s="893"/>
    </row>
    <row r="34" spans="1:14" ht="18" thickBot="1" x14ac:dyDescent="0.6">
      <c r="A34" s="892">
        <v>45809</v>
      </c>
      <c r="B34" s="896" t="s">
        <v>677</v>
      </c>
      <c r="C34" s="894">
        <v>45870</v>
      </c>
      <c r="D34" s="895">
        <v>218493633.02500001</v>
      </c>
      <c r="E34" s="888"/>
      <c r="F34" s="892">
        <v>45809</v>
      </c>
      <c r="G34" s="890" t="s">
        <v>2709</v>
      </c>
      <c r="H34" s="894">
        <v>45870</v>
      </c>
      <c r="I34" s="893">
        <v>10000000</v>
      </c>
      <c r="J34" s="883"/>
      <c r="K34" s="892"/>
      <c r="L34" s="890"/>
      <c r="M34" s="894"/>
      <c r="N34" s="893"/>
    </row>
    <row r="35" spans="1:14" ht="18" thickBot="1" x14ac:dyDescent="0.6">
      <c r="A35" s="892">
        <v>45809</v>
      </c>
      <c r="B35" s="890" t="s">
        <v>650</v>
      </c>
      <c r="C35" s="894">
        <v>45870</v>
      </c>
      <c r="D35" s="895">
        <v>316935833.57999998</v>
      </c>
      <c r="E35" s="888"/>
      <c r="F35" s="892">
        <v>45809</v>
      </c>
      <c r="G35" s="890" t="s">
        <v>1063</v>
      </c>
      <c r="H35" s="894">
        <v>45870</v>
      </c>
      <c r="I35" s="893">
        <v>591877829</v>
      </c>
      <c r="J35" s="883"/>
      <c r="K35" s="892"/>
      <c r="L35" s="890"/>
      <c r="M35" s="894"/>
      <c r="N35" s="893"/>
    </row>
    <row r="36" spans="1:14" ht="18" thickBot="1" x14ac:dyDescent="0.6">
      <c r="A36" s="892">
        <v>45809</v>
      </c>
      <c r="B36" s="890" t="s">
        <v>2710</v>
      </c>
      <c r="C36" s="894">
        <v>45870</v>
      </c>
      <c r="D36" s="895">
        <v>144040999.815</v>
      </c>
      <c r="E36" s="888"/>
      <c r="F36" s="892">
        <v>45809</v>
      </c>
      <c r="G36" s="890" t="s">
        <v>1107</v>
      </c>
      <c r="H36" s="894">
        <v>45870</v>
      </c>
      <c r="I36" s="893">
        <v>64328865</v>
      </c>
      <c r="J36" s="883"/>
      <c r="K36" s="892"/>
      <c r="L36" s="890"/>
      <c r="M36" s="894"/>
      <c r="N36" s="893"/>
    </row>
    <row r="37" spans="1:14" ht="18" thickBot="1" x14ac:dyDescent="0.6">
      <c r="A37" s="892">
        <v>45809</v>
      </c>
      <c r="B37" s="890" t="s">
        <v>913</v>
      </c>
      <c r="C37" s="894">
        <v>45870</v>
      </c>
      <c r="D37" s="895">
        <v>33882750</v>
      </c>
      <c r="E37" s="888"/>
      <c r="F37" s="892">
        <v>45778</v>
      </c>
      <c r="G37" s="890" t="s">
        <v>1016</v>
      </c>
      <c r="H37" s="894">
        <v>45870</v>
      </c>
      <c r="I37" s="893">
        <v>6882343</v>
      </c>
      <c r="J37" s="883"/>
      <c r="K37" s="892"/>
      <c r="L37" s="890"/>
      <c r="M37" s="894"/>
      <c r="N37" s="893"/>
    </row>
    <row r="38" spans="1:14" ht="18" thickBot="1" x14ac:dyDescent="0.6">
      <c r="A38" s="892">
        <v>45778</v>
      </c>
      <c r="B38" s="890" t="s">
        <v>769</v>
      </c>
      <c r="C38" s="894">
        <v>45870</v>
      </c>
      <c r="D38" s="897">
        <v>183333458.02500001</v>
      </c>
      <c r="E38" s="888"/>
      <c r="F38" s="892">
        <v>45778</v>
      </c>
      <c r="G38" s="890" t="s">
        <v>1056</v>
      </c>
      <c r="H38" s="894">
        <v>45870</v>
      </c>
      <c r="I38" s="893">
        <v>14557879</v>
      </c>
      <c r="J38" s="883"/>
      <c r="K38" s="892"/>
      <c r="L38" s="890"/>
      <c r="M38" s="894"/>
      <c r="N38" s="893"/>
    </row>
    <row r="39" spans="1:14" ht="18" thickBot="1" x14ac:dyDescent="0.6">
      <c r="A39" s="966" t="s">
        <v>1544</v>
      </c>
      <c r="B39" s="966"/>
      <c r="C39" s="966"/>
      <c r="D39" s="887">
        <f>SUM(D23:D38)</f>
        <v>2726993200.1612501</v>
      </c>
      <c r="E39" s="888"/>
      <c r="F39" s="892">
        <v>45778</v>
      </c>
      <c r="G39" s="890" t="s">
        <v>1040</v>
      </c>
      <c r="H39" s="894">
        <v>45870</v>
      </c>
      <c r="I39" s="893">
        <v>36566353</v>
      </c>
      <c r="J39" s="883"/>
      <c r="K39" s="892"/>
      <c r="L39" s="890"/>
      <c r="M39" s="894"/>
      <c r="N39" s="893"/>
    </row>
    <row r="40" spans="1:14" ht="18" thickBot="1" x14ac:dyDescent="0.6">
      <c r="A40" s="888"/>
      <c r="B40" s="888"/>
      <c r="C40" s="888"/>
      <c r="D40" s="888"/>
      <c r="E40" s="888"/>
      <c r="F40" s="892">
        <v>45778</v>
      </c>
      <c r="G40" s="890" t="s">
        <v>1116</v>
      </c>
      <c r="H40" s="894">
        <v>45870</v>
      </c>
      <c r="I40" s="893">
        <v>35440455</v>
      </c>
      <c r="J40" s="883"/>
      <c r="K40" s="892"/>
      <c r="L40" s="890"/>
      <c r="M40" s="894"/>
      <c r="N40" s="893"/>
    </row>
    <row r="41" spans="1:14" ht="18" thickBot="1" x14ac:dyDescent="0.6">
      <c r="A41" s="888"/>
      <c r="B41" s="888"/>
      <c r="C41" s="888"/>
      <c r="D41" s="888"/>
      <c r="E41" s="888"/>
      <c r="F41" s="892">
        <v>45778</v>
      </c>
      <c r="G41" s="890" t="s">
        <v>653</v>
      </c>
      <c r="H41" s="894">
        <v>45870</v>
      </c>
      <c r="I41" s="898">
        <v>31905347</v>
      </c>
      <c r="J41" s="883"/>
      <c r="K41" s="892"/>
      <c r="L41" s="890"/>
      <c r="M41" s="894"/>
      <c r="N41" s="898"/>
    </row>
    <row r="42" spans="1:14" x14ac:dyDescent="0.55000000000000004">
      <c r="A42" s="888"/>
      <c r="B42" s="888"/>
      <c r="C42" s="888"/>
      <c r="D42" s="888"/>
      <c r="E42" s="883"/>
      <c r="F42" s="966" t="s">
        <v>1544</v>
      </c>
      <c r="G42" s="966"/>
      <c r="H42" s="966"/>
      <c r="I42" s="887">
        <f>SUM(I23:I41)</f>
        <v>1820595641</v>
      </c>
      <c r="J42" s="883"/>
      <c r="K42" s="966" t="s">
        <v>1544</v>
      </c>
      <c r="L42" s="966"/>
      <c r="M42" s="966"/>
      <c r="N42" s="887">
        <v>1600000000</v>
      </c>
    </row>
  </sheetData>
  <mergeCells count="4">
    <mergeCell ref="A17:C17"/>
    <mergeCell ref="A39:C39"/>
    <mergeCell ref="F42:H42"/>
    <mergeCell ref="K42:M42"/>
  </mergeCells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D308E-DCDD-435A-A6C7-62CD362D7239}">
  <dimension ref="B1:W90"/>
  <sheetViews>
    <sheetView workbookViewId="0"/>
  </sheetViews>
  <sheetFormatPr defaultRowHeight="17.600000000000001" x14ac:dyDescent="0.55000000000000004"/>
  <cols>
    <col min="1" max="1" width="2.7109375" customWidth="1"/>
    <col min="4" max="4" width="14.2109375" customWidth="1"/>
  </cols>
  <sheetData>
    <row r="1" spans="2:18" x14ac:dyDescent="0.55000000000000004">
      <c r="B1" t="s">
        <v>528</v>
      </c>
      <c r="I1" s="373" t="s">
        <v>529</v>
      </c>
      <c r="J1" s="373" t="s">
        <v>530</v>
      </c>
    </row>
    <row r="2" spans="2:18" x14ac:dyDescent="0.55000000000000004">
      <c r="B2" s="233" t="s">
        <v>531</v>
      </c>
      <c r="C2" s="234" t="s">
        <v>532</v>
      </c>
      <c r="D2" s="234" t="s">
        <v>533</v>
      </c>
      <c r="E2" s="234" t="s">
        <v>534</v>
      </c>
      <c r="I2" s="373" t="s">
        <v>535</v>
      </c>
      <c r="J2" s="367" t="s">
        <v>536</v>
      </c>
      <c r="K2" s="367" t="s">
        <v>537</v>
      </c>
      <c r="L2" s="367" t="s">
        <v>538</v>
      </c>
    </row>
    <row r="3" spans="2:18" x14ac:dyDescent="0.55000000000000004">
      <c r="B3" s="233" t="s">
        <v>539</v>
      </c>
      <c r="C3" s="235">
        <v>5</v>
      </c>
      <c r="D3" s="235">
        <v>0</v>
      </c>
      <c r="E3" s="234">
        <v>5</v>
      </c>
      <c r="I3" s="373" t="s">
        <v>540</v>
      </c>
      <c r="J3" s="374" t="s">
        <v>541</v>
      </c>
      <c r="K3" s="375" t="s">
        <v>542</v>
      </c>
      <c r="L3" s="374" t="s">
        <v>543</v>
      </c>
      <c r="M3" s="367" t="s">
        <v>544</v>
      </c>
      <c r="N3" s="374" t="s">
        <v>545</v>
      </c>
      <c r="O3" s="375" t="s">
        <v>546</v>
      </c>
      <c r="P3" s="374" t="s">
        <v>547</v>
      </c>
      <c r="Q3" s="375" t="s">
        <v>548</v>
      </c>
    </row>
    <row r="4" spans="2:18" x14ac:dyDescent="0.55000000000000004">
      <c r="B4" s="233" t="s">
        <v>549</v>
      </c>
      <c r="C4" s="235">
        <v>10</v>
      </c>
      <c r="D4" s="235">
        <v>4</v>
      </c>
      <c r="E4" s="234">
        <v>14</v>
      </c>
      <c r="I4" s="373" t="s">
        <v>550</v>
      </c>
    </row>
    <row r="5" spans="2:18" x14ac:dyDescent="0.55000000000000004">
      <c r="B5" s="233" t="s">
        <v>551</v>
      </c>
      <c r="C5" s="235">
        <v>7</v>
      </c>
      <c r="D5" s="235">
        <v>1</v>
      </c>
      <c r="E5" s="234">
        <v>8</v>
      </c>
      <c r="I5" s="373" t="s">
        <v>552</v>
      </c>
      <c r="J5" s="367" t="s">
        <v>553</v>
      </c>
      <c r="K5" s="374" t="s">
        <v>554</v>
      </c>
      <c r="L5" s="367" t="s">
        <v>555</v>
      </c>
      <c r="M5" s="367" t="s">
        <v>556</v>
      </c>
      <c r="N5" s="367" t="s">
        <v>557</v>
      </c>
      <c r="O5" s="367" t="s">
        <v>558</v>
      </c>
      <c r="P5" s="374" t="s">
        <v>559</v>
      </c>
      <c r="Q5" s="367" t="s">
        <v>560</v>
      </c>
      <c r="R5" s="375" t="s">
        <v>561</v>
      </c>
    </row>
    <row r="6" spans="2:18" x14ac:dyDescent="0.55000000000000004">
      <c r="B6" s="233" t="s">
        <v>562</v>
      </c>
      <c r="C6" s="235">
        <v>1</v>
      </c>
      <c r="D6" s="235"/>
      <c r="E6" s="234">
        <v>1</v>
      </c>
      <c r="I6" s="373" t="s">
        <v>563</v>
      </c>
    </row>
    <row r="7" spans="2:18" x14ac:dyDescent="0.55000000000000004">
      <c r="B7" s="233" t="s">
        <v>564</v>
      </c>
      <c r="C7" s="235">
        <v>1</v>
      </c>
      <c r="D7" s="235"/>
      <c r="E7" s="234">
        <v>1</v>
      </c>
      <c r="I7" s="373" t="s">
        <v>565</v>
      </c>
      <c r="J7" s="375" t="s">
        <v>566</v>
      </c>
      <c r="K7" s="374" t="s">
        <v>567</v>
      </c>
    </row>
    <row r="8" spans="2:18" x14ac:dyDescent="0.55000000000000004">
      <c r="B8" s="234" t="s">
        <v>534</v>
      </c>
      <c r="C8" s="234">
        <v>24</v>
      </c>
      <c r="D8" s="234">
        <v>5</v>
      </c>
      <c r="E8" s="234">
        <v>29</v>
      </c>
      <c r="I8" s="373" t="s">
        <v>562</v>
      </c>
      <c r="J8" t="s">
        <v>568</v>
      </c>
    </row>
    <row r="9" spans="2:18" x14ac:dyDescent="0.55000000000000004">
      <c r="I9" s="373" t="s">
        <v>564</v>
      </c>
      <c r="J9" t="s">
        <v>569</v>
      </c>
    </row>
    <row r="10" spans="2:18" x14ac:dyDescent="0.55000000000000004">
      <c r="B10" t="s">
        <v>601</v>
      </c>
      <c r="C10" t="s">
        <v>602</v>
      </c>
      <c r="D10" t="s">
        <v>603</v>
      </c>
      <c r="E10" t="s">
        <v>604</v>
      </c>
      <c r="F10" t="s">
        <v>605</v>
      </c>
      <c r="G10" t="s">
        <v>606</v>
      </c>
      <c r="H10" t="s">
        <v>1468</v>
      </c>
      <c r="I10" s="835" t="s">
        <v>2151</v>
      </c>
      <c r="J10" t="s">
        <v>1457</v>
      </c>
    </row>
    <row r="11" spans="2:18" x14ac:dyDescent="0.55000000000000004">
      <c r="B11">
        <f>C8</f>
        <v>24</v>
      </c>
      <c r="C11">
        <f>E8</f>
        <v>29</v>
      </c>
      <c r="D11" s="366">
        <v>30</v>
      </c>
      <c r="E11" s="366">
        <v>31</v>
      </c>
      <c r="F11" s="366">
        <v>31</v>
      </c>
      <c r="G11" s="366">
        <f>F11+($J11-$F11)/4</f>
        <v>33.5</v>
      </c>
      <c r="H11" s="30">
        <f t="shared" ref="H11:I11" si="0">G11+($J11-$F11)/4</f>
        <v>36</v>
      </c>
      <c r="I11" s="836">
        <f t="shared" si="0"/>
        <v>38.5</v>
      </c>
      <c r="J11" s="366">
        <v>41</v>
      </c>
    </row>
    <row r="12" spans="2:18" x14ac:dyDescent="0.55000000000000004">
      <c r="I12" s="373"/>
    </row>
    <row r="14" spans="2:18" x14ac:dyDescent="0.55000000000000004">
      <c r="B14" t="s">
        <v>45</v>
      </c>
    </row>
    <row r="15" spans="2:18" x14ac:dyDescent="0.55000000000000004">
      <c r="B15" t="s">
        <v>1468</v>
      </c>
      <c r="C15" t="s">
        <v>2151</v>
      </c>
      <c r="D15" t="s">
        <v>1457</v>
      </c>
      <c r="E15" t="s">
        <v>598</v>
      </c>
      <c r="F15" t="s">
        <v>599</v>
      </c>
      <c r="G15" t="s">
        <v>600</v>
      </c>
      <c r="H15" t="s">
        <v>601</v>
      </c>
      <c r="I15" t="s">
        <v>2157</v>
      </c>
      <c r="J15" t="s">
        <v>2158</v>
      </c>
      <c r="K15" t="s">
        <v>2159</v>
      </c>
      <c r="L15" t="s">
        <v>2160</v>
      </c>
      <c r="M15" t="s">
        <v>2161</v>
      </c>
    </row>
    <row r="16" spans="2:18" x14ac:dyDescent="0.55000000000000004">
      <c r="B16">
        <f t="shared" ref="B16:G16" si="1">COUNTA(B17:B54)</f>
        <v>6</v>
      </c>
      <c r="C16">
        <f t="shared" si="1"/>
        <v>6</v>
      </c>
      <c r="D16">
        <f t="shared" si="1"/>
        <v>12</v>
      </c>
      <c r="E16">
        <f t="shared" si="1"/>
        <v>12</v>
      </c>
      <c r="F16">
        <f t="shared" si="1"/>
        <v>16</v>
      </c>
      <c r="G16">
        <f t="shared" si="1"/>
        <v>18</v>
      </c>
      <c r="H16">
        <v>19</v>
      </c>
      <c r="I16">
        <v>19</v>
      </c>
      <c r="J16">
        <v>26</v>
      </c>
      <c r="K16">
        <v>28</v>
      </c>
      <c r="L16">
        <v>31</v>
      </c>
      <c r="M16">
        <f>L16</f>
        <v>31</v>
      </c>
    </row>
    <row r="17" spans="2:7" x14ac:dyDescent="0.55000000000000004">
      <c r="B17" t="s">
        <v>570</v>
      </c>
      <c r="C17" t="s">
        <v>570</v>
      </c>
      <c r="D17" t="s">
        <v>570</v>
      </c>
      <c r="E17" t="s">
        <v>570</v>
      </c>
      <c r="F17" t="s">
        <v>570</v>
      </c>
      <c r="G17" t="s">
        <v>570</v>
      </c>
    </row>
    <row r="19" spans="2:7" x14ac:dyDescent="0.55000000000000004">
      <c r="B19" t="s">
        <v>571</v>
      </c>
      <c r="C19" t="s">
        <v>571</v>
      </c>
      <c r="D19" t="s">
        <v>571</v>
      </c>
      <c r="E19" t="s">
        <v>571</v>
      </c>
      <c r="F19" t="s">
        <v>571</v>
      </c>
      <c r="G19" t="s">
        <v>571</v>
      </c>
    </row>
    <row r="21" spans="2:7" x14ac:dyDescent="0.55000000000000004">
      <c r="B21" t="s">
        <v>572</v>
      </c>
      <c r="C21" t="s">
        <v>572</v>
      </c>
      <c r="D21" t="s">
        <v>572</v>
      </c>
      <c r="E21" t="s">
        <v>572</v>
      </c>
      <c r="F21" t="s">
        <v>572</v>
      </c>
      <c r="G21" t="s">
        <v>572</v>
      </c>
    </row>
    <row r="23" spans="2:7" x14ac:dyDescent="0.55000000000000004">
      <c r="B23" t="s">
        <v>573</v>
      </c>
      <c r="C23" t="s">
        <v>573</v>
      </c>
      <c r="D23" t="s">
        <v>573</v>
      </c>
      <c r="E23" t="s">
        <v>573</v>
      </c>
      <c r="F23" t="s">
        <v>573</v>
      </c>
      <c r="G23" t="s">
        <v>573</v>
      </c>
    </row>
    <row r="25" spans="2:7" x14ac:dyDescent="0.55000000000000004">
      <c r="B25" t="s">
        <v>574</v>
      </c>
      <c r="C25" t="s">
        <v>574</v>
      </c>
      <c r="D25" t="s">
        <v>574</v>
      </c>
      <c r="E25" t="s">
        <v>574</v>
      </c>
      <c r="F25" t="s">
        <v>574</v>
      </c>
      <c r="G25" t="s">
        <v>574</v>
      </c>
    </row>
    <row r="27" spans="2:7" x14ac:dyDescent="0.55000000000000004">
      <c r="B27" t="s">
        <v>575</v>
      </c>
      <c r="C27" t="s">
        <v>575</v>
      </c>
      <c r="D27" t="s">
        <v>576</v>
      </c>
      <c r="E27" t="s">
        <v>576</v>
      </c>
      <c r="F27" t="s">
        <v>576</v>
      </c>
      <c r="G27" t="s">
        <v>576</v>
      </c>
    </row>
    <row r="29" spans="2:7" x14ac:dyDescent="0.55000000000000004">
      <c r="D29" t="s">
        <v>577</v>
      </c>
      <c r="E29" t="s">
        <v>577</v>
      </c>
      <c r="F29" t="s">
        <v>577</v>
      </c>
      <c r="G29" t="s">
        <v>577</v>
      </c>
    </row>
    <row r="31" spans="2:7" x14ac:dyDescent="0.55000000000000004">
      <c r="D31" t="s">
        <v>578</v>
      </c>
      <c r="E31" t="s">
        <v>579</v>
      </c>
      <c r="F31" t="s">
        <v>580</v>
      </c>
      <c r="G31" t="s">
        <v>581</v>
      </c>
    </row>
    <row r="33" spans="4:7" x14ac:dyDescent="0.55000000000000004">
      <c r="D33" t="s">
        <v>581</v>
      </c>
      <c r="E33" t="s">
        <v>581</v>
      </c>
      <c r="F33" t="s">
        <v>581</v>
      </c>
      <c r="G33" t="s">
        <v>582</v>
      </c>
    </row>
    <row r="35" spans="4:7" x14ac:dyDescent="0.55000000000000004">
      <c r="D35" t="s">
        <v>582</v>
      </c>
      <c r="E35" t="s">
        <v>582</v>
      </c>
      <c r="F35" t="s">
        <v>582</v>
      </c>
      <c r="G35" t="s">
        <v>583</v>
      </c>
    </row>
    <row r="37" spans="4:7" x14ac:dyDescent="0.55000000000000004">
      <c r="D37" t="s">
        <v>584</v>
      </c>
      <c r="E37" t="s">
        <v>585</v>
      </c>
      <c r="F37" t="s">
        <v>586</v>
      </c>
      <c r="G37" t="s">
        <v>587</v>
      </c>
    </row>
    <row r="39" spans="4:7" x14ac:dyDescent="0.55000000000000004">
      <c r="D39" t="s">
        <v>588</v>
      </c>
      <c r="E39" t="s">
        <v>589</v>
      </c>
      <c r="F39" t="s">
        <v>590</v>
      </c>
      <c r="G39" t="s">
        <v>591</v>
      </c>
    </row>
    <row r="41" spans="4:7" x14ac:dyDescent="0.55000000000000004">
      <c r="F41" t="s">
        <v>583</v>
      </c>
      <c r="G41" t="s">
        <v>592</v>
      </c>
    </row>
    <row r="43" spans="4:7" x14ac:dyDescent="0.55000000000000004">
      <c r="F43" t="s">
        <v>587</v>
      </c>
      <c r="G43" t="s">
        <v>593</v>
      </c>
    </row>
    <row r="45" spans="4:7" x14ac:dyDescent="0.55000000000000004">
      <c r="F45" t="s">
        <v>591</v>
      </c>
      <c r="G45" t="s">
        <v>594</v>
      </c>
    </row>
    <row r="47" spans="4:7" x14ac:dyDescent="0.55000000000000004">
      <c r="F47" t="s">
        <v>592</v>
      </c>
      <c r="G47" t="s">
        <v>595</v>
      </c>
    </row>
    <row r="49" spans="2:22" x14ac:dyDescent="0.55000000000000004">
      <c r="G49" t="s">
        <v>596</v>
      </c>
    </row>
    <row r="51" spans="2:22" x14ac:dyDescent="0.55000000000000004">
      <c r="G51" t="s">
        <v>597</v>
      </c>
    </row>
    <row r="55" spans="2:22" x14ac:dyDescent="0.55000000000000004">
      <c r="B55" t="s">
        <v>46</v>
      </c>
    </row>
    <row r="56" spans="2:22" x14ac:dyDescent="0.55000000000000004">
      <c r="B56">
        <f>COUNTA(B58:B66)</f>
        <v>2</v>
      </c>
      <c r="C56">
        <f t="shared" ref="C56:E56" si="2">COUNTA(C58:C66)</f>
        <v>2</v>
      </c>
      <c r="D56">
        <f t="shared" si="2"/>
        <v>7</v>
      </c>
      <c r="E56">
        <f t="shared" si="2"/>
        <v>9</v>
      </c>
      <c r="F56" s="366">
        <f>E56+($I$56-$E$56)/4</f>
        <v>10.25</v>
      </c>
      <c r="G56" s="366">
        <f t="shared" ref="G56:H56" si="3">F56+($I$56-$E$56)/4</f>
        <v>11.5</v>
      </c>
      <c r="H56" s="366">
        <f t="shared" si="3"/>
        <v>12.75</v>
      </c>
      <c r="I56" s="367">
        <v>14</v>
      </c>
      <c r="J56" s="367">
        <f t="shared" ref="J56" si="4">I56</f>
        <v>14</v>
      </c>
      <c r="K56" s="30">
        <f>J56+($V$56-$J$56)/12</f>
        <v>14.5</v>
      </c>
      <c r="L56" s="30">
        <f t="shared" ref="L56:U56" si="5">K56+($V$56-$J$56)/12</f>
        <v>15</v>
      </c>
      <c r="M56" s="30">
        <f t="shared" si="5"/>
        <v>15.5</v>
      </c>
      <c r="N56" s="30">
        <f t="shared" si="5"/>
        <v>16</v>
      </c>
      <c r="O56" s="30">
        <f t="shared" si="5"/>
        <v>16.5</v>
      </c>
      <c r="P56" s="30">
        <f t="shared" si="5"/>
        <v>17</v>
      </c>
      <c r="Q56" s="30">
        <f t="shared" si="5"/>
        <v>17.5</v>
      </c>
      <c r="R56" s="30">
        <f t="shared" si="5"/>
        <v>18</v>
      </c>
      <c r="S56" s="30">
        <f t="shared" si="5"/>
        <v>18.5</v>
      </c>
      <c r="T56" s="30">
        <f t="shared" si="5"/>
        <v>19</v>
      </c>
      <c r="U56" s="30">
        <f t="shared" si="5"/>
        <v>19.5</v>
      </c>
      <c r="V56">
        <v>20</v>
      </c>
    </row>
    <row r="57" spans="2:22" x14ac:dyDescent="0.55000000000000004">
      <c r="B57" t="s">
        <v>598</v>
      </c>
      <c r="C57" t="s">
        <v>599</v>
      </c>
      <c r="D57" t="s">
        <v>600</v>
      </c>
      <c r="E57" t="s">
        <v>601</v>
      </c>
      <c r="F57" t="s">
        <v>602</v>
      </c>
      <c r="G57" t="s">
        <v>603</v>
      </c>
      <c r="H57" t="s">
        <v>604</v>
      </c>
      <c r="I57" t="s">
        <v>605</v>
      </c>
      <c r="J57" t="s">
        <v>606</v>
      </c>
      <c r="K57" t="s">
        <v>1468</v>
      </c>
      <c r="L57" t="s">
        <v>2150</v>
      </c>
      <c r="M57" t="s">
        <v>2152</v>
      </c>
      <c r="N57" t="s">
        <v>2153</v>
      </c>
      <c r="O57" t="s">
        <v>2154</v>
      </c>
      <c r="P57" t="s">
        <v>2155</v>
      </c>
      <c r="Q57" t="s">
        <v>2156</v>
      </c>
      <c r="R57" t="s">
        <v>2157</v>
      </c>
      <c r="S57" t="s">
        <v>2158</v>
      </c>
      <c r="T57" t="s">
        <v>2159</v>
      </c>
      <c r="U57" t="s">
        <v>2160</v>
      </c>
      <c r="V57" t="s">
        <v>2161</v>
      </c>
    </row>
    <row r="58" spans="2:22" x14ac:dyDescent="0.55000000000000004">
      <c r="B58" t="s">
        <v>607</v>
      </c>
      <c r="C58" t="s">
        <v>607</v>
      </c>
      <c r="D58" t="s">
        <v>607</v>
      </c>
      <c r="E58" t="s">
        <v>607</v>
      </c>
    </row>
    <row r="59" spans="2:22" x14ac:dyDescent="0.55000000000000004">
      <c r="B59" t="s">
        <v>608</v>
      </c>
      <c r="C59" t="s">
        <v>608</v>
      </c>
      <c r="D59" t="s">
        <v>608</v>
      </c>
      <c r="E59" t="s">
        <v>608</v>
      </c>
    </row>
    <row r="60" spans="2:22" x14ac:dyDescent="0.55000000000000004">
      <c r="D60" t="s">
        <v>609</v>
      </c>
      <c r="E60" t="s">
        <v>609</v>
      </c>
    </row>
    <row r="61" spans="2:22" x14ac:dyDescent="0.55000000000000004">
      <c r="D61" t="s">
        <v>610</v>
      </c>
      <c r="E61" t="s">
        <v>610</v>
      </c>
    </row>
    <row r="62" spans="2:22" x14ac:dyDescent="0.55000000000000004">
      <c r="D62" t="s">
        <v>611</v>
      </c>
      <c r="E62" t="s">
        <v>611</v>
      </c>
    </row>
    <row r="63" spans="2:22" x14ac:dyDescent="0.55000000000000004">
      <c r="D63" t="s">
        <v>612</v>
      </c>
      <c r="E63" t="s">
        <v>612</v>
      </c>
    </row>
    <row r="64" spans="2:22" x14ac:dyDescent="0.55000000000000004">
      <c r="D64" t="s">
        <v>613</v>
      </c>
      <c r="E64" t="s">
        <v>613</v>
      </c>
    </row>
    <row r="65" spans="5:5" x14ac:dyDescent="0.55000000000000004">
      <c r="E65" t="s">
        <v>614</v>
      </c>
    </row>
    <row r="66" spans="5:5" x14ac:dyDescent="0.55000000000000004">
      <c r="E66" s="367" t="s">
        <v>615</v>
      </c>
    </row>
    <row r="85" spans="2:23" x14ac:dyDescent="0.55000000000000004">
      <c r="B85" t="s">
        <v>47</v>
      </c>
    </row>
    <row r="86" spans="2:23" x14ac:dyDescent="0.55000000000000004">
      <c r="B86">
        <v>2</v>
      </c>
      <c r="C86">
        <v>3</v>
      </c>
      <c r="D86">
        <v>3</v>
      </c>
      <c r="E86">
        <v>3</v>
      </c>
      <c r="F86" s="30">
        <f>E86+($J$86-$E$86)/5</f>
        <v>4.5999999999999996</v>
      </c>
      <c r="G86" s="30">
        <f t="shared" ref="G86:I86" si="6">F86+($J$86-$E$86)/5</f>
        <v>6.1999999999999993</v>
      </c>
      <c r="H86" s="30">
        <f t="shared" si="6"/>
        <v>7.7999999999999989</v>
      </c>
      <c r="I86" s="30">
        <f t="shared" si="6"/>
        <v>9.3999999999999986</v>
      </c>
      <c r="J86">
        <v>11</v>
      </c>
      <c r="K86" s="30">
        <f>J86+($W$86-$J$86)/13</f>
        <v>12.461538461538462</v>
      </c>
      <c r="L86" s="30">
        <f t="shared" ref="L86:V86" si="7">K86+($W$86-$J$86)/13</f>
        <v>13.923076923076923</v>
      </c>
      <c r="M86" s="30">
        <f t="shared" si="7"/>
        <v>15.384615384615385</v>
      </c>
      <c r="N86" s="30">
        <f t="shared" si="7"/>
        <v>16.846153846153847</v>
      </c>
      <c r="O86" s="30">
        <f t="shared" si="7"/>
        <v>18.307692307692307</v>
      </c>
      <c r="P86" s="30">
        <f t="shared" si="7"/>
        <v>19.769230769230766</v>
      </c>
      <c r="Q86" s="30">
        <f t="shared" si="7"/>
        <v>21.230769230769226</v>
      </c>
      <c r="R86" s="30">
        <f t="shared" si="7"/>
        <v>22.692307692307686</v>
      </c>
      <c r="S86" s="30">
        <f t="shared" si="7"/>
        <v>24.153846153846146</v>
      </c>
      <c r="T86" s="30">
        <f t="shared" si="7"/>
        <v>25.615384615384606</v>
      </c>
      <c r="U86" s="30">
        <f t="shared" si="7"/>
        <v>27.076923076923066</v>
      </c>
      <c r="V86" s="30">
        <f t="shared" si="7"/>
        <v>28.538461538461526</v>
      </c>
      <c r="W86">
        <v>30</v>
      </c>
    </row>
    <row r="87" spans="2:23" x14ac:dyDescent="0.55000000000000004">
      <c r="B87" t="s">
        <v>1457</v>
      </c>
      <c r="C87" t="s">
        <v>598</v>
      </c>
      <c r="D87" t="s">
        <v>599</v>
      </c>
      <c r="E87" t="s">
        <v>600</v>
      </c>
      <c r="F87" t="s">
        <v>2156</v>
      </c>
      <c r="G87" t="s">
        <v>2157</v>
      </c>
      <c r="H87" t="s">
        <v>2158</v>
      </c>
      <c r="I87" t="s">
        <v>2159</v>
      </c>
      <c r="J87" t="s">
        <v>2160</v>
      </c>
      <c r="K87" t="s">
        <v>2161</v>
      </c>
      <c r="L87" t="s">
        <v>1468</v>
      </c>
      <c r="M87" t="s">
        <v>2150</v>
      </c>
      <c r="N87" t="s">
        <v>2152</v>
      </c>
      <c r="O87" t="s">
        <v>2153</v>
      </c>
      <c r="P87" t="s">
        <v>2154</v>
      </c>
      <c r="Q87" t="s">
        <v>2155</v>
      </c>
      <c r="R87" t="s">
        <v>2156</v>
      </c>
      <c r="S87" t="s">
        <v>2157</v>
      </c>
      <c r="T87" t="s">
        <v>2158</v>
      </c>
      <c r="U87" t="s">
        <v>2159</v>
      </c>
      <c r="V87" t="s">
        <v>2160</v>
      </c>
      <c r="W87" t="s">
        <v>2161</v>
      </c>
    </row>
    <row r="88" spans="2:23" x14ac:dyDescent="0.55000000000000004">
      <c r="C88" t="s">
        <v>1460</v>
      </c>
      <c r="D88" t="s">
        <v>1460</v>
      </c>
      <c r="E88" t="s">
        <v>1460</v>
      </c>
    </row>
    <row r="89" spans="2:23" x14ac:dyDescent="0.55000000000000004">
      <c r="B89" t="s">
        <v>1458</v>
      </c>
      <c r="C89" t="s">
        <v>1458</v>
      </c>
      <c r="D89" t="s">
        <v>1458</v>
      </c>
      <c r="E89" t="s">
        <v>1458</v>
      </c>
    </row>
    <row r="90" spans="2:23" x14ac:dyDescent="0.55000000000000004">
      <c r="B90" t="s">
        <v>1459</v>
      </c>
      <c r="C90" t="s">
        <v>1459</v>
      </c>
      <c r="D90" t="s">
        <v>1459</v>
      </c>
      <c r="E90" t="s">
        <v>1459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86B82-0CAA-4033-AA82-80C7F975F414}">
  <dimension ref="A1:T32"/>
  <sheetViews>
    <sheetView zoomScale="85" zoomScaleNormal="85" workbookViewId="0"/>
  </sheetViews>
  <sheetFormatPr defaultRowHeight="17.600000000000001" x14ac:dyDescent="0.55000000000000004"/>
  <cols>
    <col min="2" max="2" width="31.140625" customWidth="1"/>
    <col min="3" max="6" width="9.140625" bestFit="1" customWidth="1"/>
    <col min="7" max="7" width="14.640625" bestFit="1" customWidth="1"/>
    <col min="8" max="12" width="14.2109375" bestFit="1" customWidth="1"/>
    <col min="13" max="14" width="12.85546875" bestFit="1" customWidth="1"/>
    <col min="15" max="15" width="15.35546875" bestFit="1" customWidth="1"/>
    <col min="18" max="18" width="9" customWidth="1"/>
    <col min="19" max="19" width="9.2109375" customWidth="1"/>
    <col min="20" max="20" width="10.2109375" bestFit="1" customWidth="1"/>
  </cols>
  <sheetData>
    <row r="1" spans="1:20" ht="18" thickBot="1" x14ac:dyDescent="0.6">
      <c r="A1" s="337"/>
      <c r="B1" s="337"/>
      <c r="C1" s="338">
        <v>45658</v>
      </c>
      <c r="D1" s="338">
        <v>45689</v>
      </c>
      <c r="E1" s="338">
        <v>45717</v>
      </c>
      <c r="F1" s="338">
        <v>45748</v>
      </c>
      <c r="G1" s="339">
        <v>45778</v>
      </c>
      <c r="H1" s="339">
        <v>45809</v>
      </c>
      <c r="I1" s="339">
        <v>45839</v>
      </c>
      <c r="J1" s="339">
        <v>45870</v>
      </c>
      <c r="K1" s="339">
        <v>45901</v>
      </c>
      <c r="L1" s="339">
        <v>45931</v>
      </c>
      <c r="M1" s="339">
        <v>45962</v>
      </c>
      <c r="N1" s="339">
        <v>45992</v>
      </c>
      <c r="O1" s="340" t="s">
        <v>1148</v>
      </c>
    </row>
    <row r="2" spans="1:20" x14ac:dyDescent="0.55000000000000004">
      <c r="A2" s="341" t="s">
        <v>1149</v>
      </c>
      <c r="B2" s="341" t="s">
        <v>1150</v>
      </c>
      <c r="C2" s="342">
        <f>SUM(C3:C9)</f>
        <v>0</v>
      </c>
      <c r="D2" s="342">
        <f t="shared" ref="D2:K2" si="0">SUM(D3:D9)</f>
        <v>0</v>
      </c>
      <c r="E2" s="342">
        <f t="shared" si="0"/>
        <v>0</v>
      </c>
      <c r="F2" s="342">
        <f t="shared" si="0"/>
        <v>0</v>
      </c>
      <c r="G2" s="342">
        <f t="shared" si="0"/>
        <v>1266733805</v>
      </c>
      <c r="H2" s="342">
        <f t="shared" si="0"/>
        <v>1168063109</v>
      </c>
      <c r="I2" s="342">
        <f t="shared" si="0"/>
        <v>3405710098</v>
      </c>
      <c r="J2" s="342">
        <f t="shared" si="0"/>
        <v>3084273606</v>
      </c>
      <c r="K2" s="342">
        <f t="shared" si="0"/>
        <v>4437184667</v>
      </c>
      <c r="L2" s="363">
        <f>L21*L23</f>
        <v>5071068190.8571424</v>
      </c>
      <c r="M2" s="368">
        <f>M21*M23</f>
        <v>5071068190.8571424</v>
      </c>
      <c r="N2" s="368">
        <f>N21*N23</f>
        <v>5071068190.8571424</v>
      </c>
      <c r="O2" s="342">
        <f>SUM(C2:N2)</f>
        <v>28575169857.57143</v>
      </c>
      <c r="Q2" s="812" t="s">
        <v>2133</v>
      </c>
      <c r="R2" s="812" t="s">
        <v>2134</v>
      </c>
      <c r="S2" s="812" t="s">
        <v>2135</v>
      </c>
      <c r="T2" s="812" t="s">
        <v>2136</v>
      </c>
    </row>
    <row r="3" spans="1:20" x14ac:dyDescent="0.55000000000000004">
      <c r="A3" s="341"/>
      <c r="B3" s="343" t="s">
        <v>1151</v>
      </c>
      <c r="C3" s="344">
        <v>0</v>
      </c>
      <c r="D3" s="344">
        <v>0</v>
      </c>
      <c r="E3" s="344">
        <v>0</v>
      </c>
      <c r="F3" s="344">
        <v>0</v>
      </c>
      <c r="G3" s="344">
        <v>0</v>
      </c>
      <c r="H3" s="344">
        <v>0</v>
      </c>
      <c r="I3" s="344">
        <v>0</v>
      </c>
      <c r="J3" s="344">
        <v>0</v>
      </c>
      <c r="K3" s="345">
        <v>62780000</v>
      </c>
      <c r="L3" s="364"/>
      <c r="M3" s="364"/>
      <c r="N3" s="364"/>
      <c r="O3" s="346">
        <f t="shared" ref="O3:O18" si="1">SUM(C3:N3)</f>
        <v>62780000</v>
      </c>
      <c r="Q3" s="813" t="s">
        <v>483</v>
      </c>
      <c r="R3" s="813" t="s">
        <v>2137</v>
      </c>
      <c r="S3" s="814"/>
      <c r="T3" s="814">
        <v>20250000</v>
      </c>
    </row>
    <row r="4" spans="1:20" x14ac:dyDescent="0.55000000000000004">
      <c r="A4" s="341"/>
      <c r="B4" s="343" t="s">
        <v>1152</v>
      </c>
      <c r="C4" s="344">
        <v>0</v>
      </c>
      <c r="D4" s="344">
        <v>0</v>
      </c>
      <c r="E4" s="344">
        <v>0</v>
      </c>
      <c r="F4" s="344">
        <v>0</v>
      </c>
      <c r="G4" s="344">
        <v>0</v>
      </c>
      <c r="H4" s="344">
        <v>0</v>
      </c>
      <c r="I4" s="344">
        <v>649278330</v>
      </c>
      <c r="J4" s="344">
        <v>89489970</v>
      </c>
      <c r="K4" s="347">
        <v>578850000</v>
      </c>
      <c r="L4" s="364"/>
      <c r="M4" s="364"/>
      <c r="N4" s="364"/>
      <c r="O4" s="346">
        <f t="shared" si="1"/>
        <v>1317618300</v>
      </c>
      <c r="Q4" s="813" t="s">
        <v>483</v>
      </c>
      <c r="R4" s="813" t="s">
        <v>2138</v>
      </c>
      <c r="S4" s="814"/>
      <c r="T4" s="814">
        <v>20250000</v>
      </c>
    </row>
    <row r="5" spans="1:20" x14ac:dyDescent="0.55000000000000004">
      <c r="A5" s="341"/>
      <c r="B5" s="343" t="s">
        <v>1153</v>
      </c>
      <c r="C5" s="344">
        <v>0</v>
      </c>
      <c r="D5" s="344">
        <v>0</v>
      </c>
      <c r="E5" s="344">
        <v>0</v>
      </c>
      <c r="F5" s="344">
        <v>0</v>
      </c>
      <c r="G5" s="344">
        <v>0</v>
      </c>
      <c r="H5" s="344">
        <v>0</v>
      </c>
      <c r="I5" s="344">
        <v>180883333</v>
      </c>
      <c r="J5" s="344">
        <v>418300000</v>
      </c>
      <c r="K5" s="347">
        <v>262116667</v>
      </c>
      <c r="L5" s="364"/>
      <c r="M5" s="364"/>
      <c r="N5" s="364"/>
      <c r="O5" s="346">
        <f t="shared" si="1"/>
        <v>861300000</v>
      </c>
      <c r="Q5" s="815" t="s">
        <v>483</v>
      </c>
      <c r="R5" s="815" t="s">
        <v>2139</v>
      </c>
      <c r="S5" s="816"/>
      <c r="T5" s="816">
        <v>98001891</v>
      </c>
    </row>
    <row r="6" spans="1:20" x14ac:dyDescent="0.55000000000000004">
      <c r="A6" s="341"/>
      <c r="B6" s="343" t="s">
        <v>1154</v>
      </c>
      <c r="C6" s="344">
        <v>0</v>
      </c>
      <c r="D6" s="344">
        <v>0</v>
      </c>
      <c r="E6" s="344">
        <v>0</v>
      </c>
      <c r="F6" s="344">
        <v>0</v>
      </c>
      <c r="G6" s="344">
        <v>0</v>
      </c>
      <c r="H6" s="344">
        <v>0</v>
      </c>
      <c r="I6" s="344">
        <v>0</v>
      </c>
      <c r="J6" s="344">
        <v>0</v>
      </c>
      <c r="K6" s="348">
        <v>27965000</v>
      </c>
      <c r="L6" s="364"/>
      <c r="M6" s="364"/>
      <c r="N6" s="364"/>
      <c r="O6" s="346">
        <f t="shared" si="1"/>
        <v>27965000</v>
      </c>
      <c r="Q6" s="815" t="s">
        <v>483</v>
      </c>
      <c r="R6" s="815" t="s">
        <v>2140</v>
      </c>
      <c r="S6" s="816"/>
      <c r="T6" s="816">
        <v>17155729</v>
      </c>
    </row>
    <row r="7" spans="1:20" x14ac:dyDescent="0.55000000000000004">
      <c r="A7" s="341"/>
      <c r="B7" s="343" t="s">
        <v>1155</v>
      </c>
      <c r="C7" s="344">
        <v>0</v>
      </c>
      <c r="D7" s="344">
        <v>0</v>
      </c>
      <c r="E7" s="344">
        <v>0</v>
      </c>
      <c r="F7" s="344">
        <v>0</v>
      </c>
      <c r="G7" s="344">
        <v>0</v>
      </c>
      <c r="H7" s="344">
        <v>0</v>
      </c>
      <c r="I7" s="344">
        <v>0</v>
      </c>
      <c r="J7" s="344">
        <v>824150000</v>
      </c>
      <c r="K7" s="347">
        <v>464722000</v>
      </c>
      <c r="L7" s="364"/>
      <c r="M7" s="364"/>
      <c r="N7" s="364"/>
      <c r="O7" s="346">
        <f t="shared" si="1"/>
        <v>1288872000</v>
      </c>
      <c r="Q7" s="815" t="s">
        <v>483</v>
      </c>
      <c r="R7" s="815" t="s">
        <v>2141</v>
      </c>
      <c r="S7" s="816"/>
      <c r="T7" s="816">
        <v>98669615</v>
      </c>
    </row>
    <row r="8" spans="1:20" x14ac:dyDescent="0.55000000000000004">
      <c r="A8" s="341"/>
      <c r="B8" s="343" t="s">
        <v>1156</v>
      </c>
      <c r="C8" s="344">
        <v>0</v>
      </c>
      <c r="D8" s="344">
        <v>0</v>
      </c>
      <c r="E8" s="344">
        <v>0</v>
      </c>
      <c r="F8" s="344">
        <v>0</v>
      </c>
      <c r="G8" s="344">
        <v>1266733805</v>
      </c>
      <c r="H8" s="344">
        <v>1168063109</v>
      </c>
      <c r="I8" s="358">
        <v>2369735001</v>
      </c>
      <c r="J8" s="358">
        <v>1640654636</v>
      </c>
      <c r="K8" s="347">
        <v>3004991000</v>
      </c>
      <c r="L8" s="364"/>
      <c r="M8" s="364"/>
      <c r="N8" s="364"/>
      <c r="O8" s="346">
        <f t="shared" si="1"/>
        <v>9450177551</v>
      </c>
      <c r="Q8" s="815" t="s">
        <v>483</v>
      </c>
      <c r="R8" s="815" t="s">
        <v>2142</v>
      </c>
      <c r="S8" s="816"/>
      <c r="T8" s="816">
        <v>7517941</v>
      </c>
    </row>
    <row r="9" spans="1:20" x14ac:dyDescent="0.55000000000000004">
      <c r="A9" s="349"/>
      <c r="B9" s="350" t="s">
        <v>1157</v>
      </c>
      <c r="C9" s="351">
        <v>0</v>
      </c>
      <c r="D9" s="351">
        <v>0</v>
      </c>
      <c r="E9" s="351">
        <v>0</v>
      </c>
      <c r="F9" s="351">
        <v>0</v>
      </c>
      <c r="G9" s="351">
        <v>0</v>
      </c>
      <c r="H9" s="351">
        <v>0</v>
      </c>
      <c r="I9" s="359">
        <v>205813434</v>
      </c>
      <c r="J9" s="359">
        <v>111679000</v>
      </c>
      <c r="K9" s="347">
        <v>35760000</v>
      </c>
      <c r="L9" s="365"/>
      <c r="M9" s="365"/>
      <c r="N9" s="365"/>
      <c r="O9" s="352">
        <f t="shared" si="1"/>
        <v>353252434</v>
      </c>
    </row>
    <row r="10" spans="1:20" x14ac:dyDescent="0.55000000000000004">
      <c r="A10" s="341" t="s">
        <v>1158</v>
      </c>
      <c r="B10" s="341" t="s">
        <v>1150</v>
      </c>
      <c r="C10" s="342">
        <f>SUM(C11:C18)</f>
        <v>0</v>
      </c>
      <c r="D10" s="342">
        <f t="shared" ref="D10:N10" si="2">SUM(D11:D18)</f>
        <v>0</v>
      </c>
      <c r="E10" s="342">
        <f t="shared" si="2"/>
        <v>0</v>
      </c>
      <c r="F10" s="342">
        <f t="shared" si="2"/>
        <v>0</v>
      </c>
      <c r="G10" s="342">
        <f t="shared" si="2"/>
        <v>126673380.5</v>
      </c>
      <c r="H10" s="342">
        <f t="shared" si="2"/>
        <v>116806310.89999999</v>
      </c>
      <c r="I10" s="342">
        <f t="shared" si="2"/>
        <v>381035647.95575005</v>
      </c>
      <c r="J10" s="342">
        <f t="shared" si="2"/>
        <v>385321237.64100003</v>
      </c>
      <c r="K10" s="342">
        <f t="shared" si="2"/>
        <v>517353739.39224994</v>
      </c>
      <c r="L10" s="363">
        <f t="shared" si="2"/>
        <v>0</v>
      </c>
      <c r="M10" s="363">
        <f t="shared" si="2"/>
        <v>0</v>
      </c>
      <c r="N10" s="363">
        <f t="shared" si="2"/>
        <v>0</v>
      </c>
      <c r="O10" s="353">
        <f t="shared" si="1"/>
        <v>1527190316.3889999</v>
      </c>
    </row>
    <row r="11" spans="1:20" x14ac:dyDescent="0.55000000000000004">
      <c r="A11" s="341"/>
      <c r="B11" s="343" t="s">
        <v>1151</v>
      </c>
      <c r="C11" s="344">
        <v>0</v>
      </c>
      <c r="D11" s="344">
        <v>0</v>
      </c>
      <c r="E11" s="344">
        <v>0</v>
      </c>
      <c r="F11" s="344">
        <v>0</v>
      </c>
      <c r="G11" s="344">
        <v>0</v>
      </c>
      <c r="H11" s="344">
        <v>0</v>
      </c>
      <c r="I11" s="356">
        <v>0</v>
      </c>
      <c r="J11" s="356">
        <v>0</v>
      </c>
      <c r="K11" s="354">
        <v>9545996.625</v>
      </c>
      <c r="L11" s="364"/>
      <c r="M11" s="364"/>
      <c r="N11" s="364"/>
      <c r="O11" s="346">
        <f t="shared" si="1"/>
        <v>9545996.625</v>
      </c>
    </row>
    <row r="12" spans="1:20" x14ac:dyDescent="0.55000000000000004">
      <c r="A12" s="341"/>
      <c r="B12" s="343" t="s">
        <v>1152</v>
      </c>
      <c r="C12" s="344">
        <v>0</v>
      </c>
      <c r="D12" s="344">
        <v>0</v>
      </c>
      <c r="E12" s="344">
        <v>0</v>
      </c>
      <c r="F12" s="344">
        <v>0</v>
      </c>
      <c r="G12" s="344">
        <v>0</v>
      </c>
      <c r="H12" s="344">
        <v>0</v>
      </c>
      <c r="I12" s="356">
        <v>99096105.116250008</v>
      </c>
      <c r="J12" s="356">
        <v>9097332.1724999994</v>
      </c>
      <c r="K12" s="355">
        <v>76510058.625</v>
      </c>
      <c r="L12" s="364"/>
      <c r="M12" s="364"/>
      <c r="N12" s="364"/>
      <c r="O12" s="346">
        <f t="shared" si="1"/>
        <v>184703495.91374999</v>
      </c>
    </row>
    <row r="13" spans="1:20" x14ac:dyDescent="0.55000000000000004">
      <c r="A13" s="341"/>
      <c r="B13" s="343" t="s">
        <v>1153</v>
      </c>
      <c r="C13" s="344">
        <v>0</v>
      </c>
      <c r="D13" s="344">
        <v>0</v>
      </c>
      <c r="E13" s="344">
        <v>0</v>
      </c>
      <c r="F13" s="344">
        <v>0</v>
      </c>
      <c r="G13" s="344">
        <v>0</v>
      </c>
      <c r="H13" s="344">
        <v>0</v>
      </c>
      <c r="I13" s="356">
        <v>18432021.632750001</v>
      </c>
      <c r="J13" s="356">
        <v>42537285.725000001</v>
      </c>
      <c r="K13" s="355">
        <v>27002350.867249999</v>
      </c>
      <c r="L13" s="364"/>
      <c r="M13" s="364"/>
      <c r="N13" s="364"/>
      <c r="O13" s="346">
        <f t="shared" si="1"/>
        <v>87971658.224999994</v>
      </c>
    </row>
    <row r="14" spans="1:20" x14ac:dyDescent="0.55000000000000004">
      <c r="A14" s="341"/>
      <c r="B14" s="343" t="s">
        <v>1154</v>
      </c>
      <c r="C14" s="344">
        <v>0</v>
      </c>
      <c r="D14" s="344">
        <v>0</v>
      </c>
      <c r="E14" s="344">
        <v>0</v>
      </c>
      <c r="F14" s="344">
        <v>0</v>
      </c>
      <c r="G14" s="344">
        <v>0</v>
      </c>
      <c r="H14" s="344">
        <v>0</v>
      </c>
      <c r="I14" s="356">
        <v>0</v>
      </c>
      <c r="J14" s="356">
        <v>0</v>
      </c>
      <c r="K14" s="356">
        <v>2845438.75</v>
      </c>
      <c r="L14" s="364"/>
      <c r="M14" s="364"/>
      <c r="N14" s="364"/>
      <c r="O14" s="346">
        <f t="shared" si="1"/>
        <v>2845438.75</v>
      </c>
    </row>
    <row r="15" spans="1:20" x14ac:dyDescent="0.55000000000000004">
      <c r="A15" s="341"/>
      <c r="B15" s="343" t="s">
        <v>1155</v>
      </c>
      <c r="C15" s="344">
        <v>0</v>
      </c>
      <c r="D15" s="344">
        <v>0</v>
      </c>
      <c r="E15" s="344">
        <v>0</v>
      </c>
      <c r="F15" s="344">
        <v>0</v>
      </c>
      <c r="G15" s="344">
        <v>0</v>
      </c>
      <c r="H15" s="344">
        <v>0</v>
      </c>
      <c r="I15" s="344">
        <v>0</v>
      </c>
      <c r="J15" s="344">
        <v>125738955.375</v>
      </c>
      <c r="K15" s="355">
        <v>70975096.5</v>
      </c>
      <c r="L15" s="364"/>
      <c r="M15" s="364"/>
      <c r="N15" s="364"/>
      <c r="O15" s="346">
        <f t="shared" si="1"/>
        <v>196714051.875</v>
      </c>
    </row>
    <row r="16" spans="1:20" x14ac:dyDescent="0.55000000000000004">
      <c r="A16" s="341"/>
      <c r="B16" s="343" t="s">
        <v>1156</v>
      </c>
      <c r="C16" s="344">
        <v>0</v>
      </c>
      <c r="D16" s="344">
        <v>0</v>
      </c>
      <c r="E16" s="344">
        <v>0</v>
      </c>
      <c r="F16" s="344">
        <v>0</v>
      </c>
      <c r="G16" s="344">
        <v>126673380.5</v>
      </c>
      <c r="H16" s="344">
        <v>116806310.89999999</v>
      </c>
      <c r="I16" s="356">
        <v>219522237.5925</v>
      </c>
      <c r="J16" s="356">
        <v>166736119.6435</v>
      </c>
      <c r="K16" s="355">
        <v>308025685</v>
      </c>
      <c r="L16" s="364"/>
      <c r="M16" s="364"/>
      <c r="N16" s="364"/>
      <c r="O16" s="346">
        <f t="shared" si="1"/>
        <v>937763733.63599992</v>
      </c>
    </row>
    <row r="17" spans="1:15" x14ac:dyDescent="0.55000000000000004">
      <c r="A17" s="341"/>
      <c r="B17" s="350" t="s">
        <v>1157</v>
      </c>
      <c r="C17" s="351">
        <v>0</v>
      </c>
      <c r="D17" s="351">
        <v>0</v>
      </c>
      <c r="E17" s="351">
        <v>0</v>
      </c>
      <c r="F17" s="351">
        <v>0</v>
      </c>
      <c r="G17" s="351">
        <v>0</v>
      </c>
      <c r="H17" s="351">
        <v>0</v>
      </c>
      <c r="I17" s="360">
        <v>31499766.614250001</v>
      </c>
      <c r="J17" s="360">
        <v>17132488.725000001</v>
      </c>
      <c r="K17" s="357">
        <v>5457870</v>
      </c>
      <c r="L17" s="365"/>
      <c r="M17" s="365"/>
      <c r="N17" s="365"/>
      <c r="O17" s="352">
        <f t="shared" si="1"/>
        <v>54090125.339249998</v>
      </c>
    </row>
    <row r="18" spans="1:15" x14ac:dyDescent="0.55000000000000004">
      <c r="A18" s="341"/>
      <c r="B18" s="343" t="s">
        <v>1159</v>
      </c>
      <c r="C18" s="344">
        <v>0</v>
      </c>
      <c r="D18" s="344">
        <v>0</v>
      </c>
      <c r="E18" s="344">
        <v>0</v>
      </c>
      <c r="F18" s="344">
        <v>0</v>
      </c>
      <c r="G18" s="344">
        <v>0</v>
      </c>
      <c r="H18" s="344">
        <v>0</v>
      </c>
      <c r="I18" s="344">
        <v>12485517</v>
      </c>
      <c r="J18" s="344">
        <v>24079056</v>
      </c>
      <c r="K18" s="344">
        <v>16991243.024999976</v>
      </c>
      <c r="L18" s="344"/>
      <c r="M18" s="344"/>
      <c r="N18" s="344"/>
      <c r="O18" s="344">
        <f t="shared" si="1"/>
        <v>53555816.024999976</v>
      </c>
    </row>
    <row r="19" spans="1:15" x14ac:dyDescent="0.55000000000000004">
      <c r="G19" s="404">
        <f>G16/G8</f>
        <v>0.1</v>
      </c>
      <c r="H19" s="404">
        <f>H16/H8</f>
        <v>9.9999999999999992E-2</v>
      </c>
    </row>
    <row r="20" spans="1:15" x14ac:dyDescent="0.55000000000000004">
      <c r="G20" s="361"/>
      <c r="H20" s="361"/>
    </row>
    <row r="21" spans="1:15" x14ac:dyDescent="0.55000000000000004">
      <c r="G21" s="344">
        <v>1</v>
      </c>
      <c r="H21" s="344">
        <v>1</v>
      </c>
      <c r="I21">
        <v>4</v>
      </c>
      <c r="J21">
        <v>5</v>
      </c>
      <c r="K21">
        <v>7</v>
      </c>
      <c r="L21" s="367">
        <v>8</v>
      </c>
      <c r="M21" s="367">
        <f>L21</f>
        <v>8</v>
      </c>
      <c r="N21" s="367">
        <f>M21</f>
        <v>8</v>
      </c>
    </row>
    <row r="23" spans="1:15" x14ac:dyDescent="0.55000000000000004">
      <c r="G23" s="30">
        <f>G2/G21</f>
        <v>1266733805</v>
      </c>
      <c r="H23" s="30">
        <f t="shared" ref="H23:K23" si="3">H2/H21</f>
        <v>1168063109</v>
      </c>
      <c r="I23" s="30">
        <f t="shared" si="3"/>
        <v>851427524.5</v>
      </c>
      <c r="J23" s="30">
        <f t="shared" si="3"/>
        <v>616854721.20000005</v>
      </c>
      <c r="K23" s="366">
        <f t="shared" si="3"/>
        <v>633883523.85714281</v>
      </c>
      <c r="L23" s="30">
        <f>K23</f>
        <v>633883523.85714281</v>
      </c>
      <c r="M23" s="30">
        <f>L23</f>
        <v>633883523.85714281</v>
      </c>
      <c r="N23" s="30">
        <f>M23</f>
        <v>633883523.85714281</v>
      </c>
    </row>
    <row r="25" spans="1:15" x14ac:dyDescent="0.55000000000000004">
      <c r="G25" s="30">
        <f>G8*7.5%</f>
        <v>95005035.375</v>
      </c>
      <c r="H25" s="30">
        <f>H8*7.5%</f>
        <v>87604733.174999997</v>
      </c>
    </row>
    <row r="27" spans="1:15" x14ac:dyDescent="0.55000000000000004">
      <c r="G27" s="30">
        <f>(G8-G25)*10%</f>
        <v>117172876.96250001</v>
      </c>
      <c r="H27" s="30">
        <f>(H8-H25)*10%</f>
        <v>108045837.58250001</v>
      </c>
    </row>
    <row r="30" spans="1:15" x14ac:dyDescent="0.55000000000000004">
      <c r="G30" t="s">
        <v>2129</v>
      </c>
      <c r="H30" s="30">
        <v>73068127</v>
      </c>
    </row>
    <row r="31" spans="1:15" x14ac:dyDescent="0.55000000000000004">
      <c r="G31" t="s">
        <v>2130</v>
      </c>
      <c r="H31" s="30">
        <v>84262689</v>
      </c>
    </row>
    <row r="32" spans="1:15" x14ac:dyDescent="0.55000000000000004">
      <c r="G32" t="s">
        <v>2131</v>
      </c>
      <c r="H32" s="30">
        <v>1358500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0BD12-0A9E-4058-974C-6DD681B35032}">
  <dimension ref="A1:H584"/>
  <sheetViews>
    <sheetView workbookViewId="0"/>
  </sheetViews>
  <sheetFormatPr defaultRowHeight="17.600000000000001" x14ac:dyDescent="0.55000000000000004"/>
  <cols>
    <col min="2" max="2" width="26.35546875" bestFit="1" customWidth="1"/>
    <col min="8" max="8" width="12.140625" bestFit="1" customWidth="1"/>
  </cols>
  <sheetData>
    <row r="1" spans="1:8" x14ac:dyDescent="0.55000000000000004">
      <c r="A1" s="855" t="s">
        <v>2166</v>
      </c>
      <c r="B1" s="856" t="s">
        <v>2167</v>
      </c>
      <c r="C1" s="857" t="s">
        <v>2168</v>
      </c>
      <c r="D1" s="857" t="s">
        <v>2169</v>
      </c>
      <c r="E1" s="858" t="s">
        <v>2170</v>
      </c>
      <c r="F1" s="859" t="s">
        <v>2171</v>
      </c>
      <c r="G1" s="860" t="s">
        <v>2172</v>
      </c>
      <c r="H1" s="857" t="s">
        <v>2173</v>
      </c>
    </row>
    <row r="2" spans="1:8" x14ac:dyDescent="0.45">
      <c r="A2" s="861">
        <v>1</v>
      </c>
      <c r="B2" s="969" t="s">
        <v>2174</v>
      </c>
      <c r="C2" s="862" t="s">
        <v>2175</v>
      </c>
      <c r="D2" s="862">
        <v>1</v>
      </c>
      <c r="E2" s="863">
        <v>45717</v>
      </c>
      <c r="F2" s="863">
        <v>45719</v>
      </c>
      <c r="G2" s="864" t="s">
        <v>2176</v>
      </c>
      <c r="H2" s="865" t="s">
        <v>2177</v>
      </c>
    </row>
    <row r="3" spans="1:8" x14ac:dyDescent="0.45">
      <c r="A3" s="861">
        <v>2</v>
      </c>
      <c r="B3" s="970"/>
      <c r="C3" s="862" t="s">
        <v>2175</v>
      </c>
      <c r="D3" s="862">
        <v>2</v>
      </c>
      <c r="E3" s="863">
        <v>45724</v>
      </c>
      <c r="F3" s="863">
        <v>45727</v>
      </c>
      <c r="G3" s="864" t="s">
        <v>2176</v>
      </c>
      <c r="H3" s="865" t="s">
        <v>2177</v>
      </c>
    </row>
    <row r="4" spans="1:8" x14ac:dyDescent="0.45">
      <c r="A4" s="861">
        <v>3</v>
      </c>
      <c r="B4" s="970"/>
      <c r="C4" s="862" t="s">
        <v>2175</v>
      </c>
      <c r="D4" s="862">
        <v>3</v>
      </c>
      <c r="E4" s="863">
        <v>45731</v>
      </c>
      <c r="F4" s="863">
        <v>45734</v>
      </c>
      <c r="G4" s="864" t="s">
        <v>2176</v>
      </c>
      <c r="H4" s="865" t="s">
        <v>2177</v>
      </c>
    </row>
    <row r="5" spans="1:8" x14ac:dyDescent="0.45">
      <c r="A5" s="861">
        <v>4</v>
      </c>
      <c r="B5" s="970"/>
      <c r="C5" s="862" t="s">
        <v>2175</v>
      </c>
      <c r="D5" s="862">
        <v>4</v>
      </c>
      <c r="E5" s="863">
        <v>45738</v>
      </c>
      <c r="F5" s="863">
        <v>45741</v>
      </c>
      <c r="G5" s="864" t="s">
        <v>2176</v>
      </c>
      <c r="H5" s="865" t="s">
        <v>2177</v>
      </c>
    </row>
    <row r="6" spans="1:8" x14ac:dyDescent="0.45">
      <c r="A6" s="861">
        <v>5</v>
      </c>
      <c r="B6" s="970"/>
      <c r="C6" s="862" t="s">
        <v>2178</v>
      </c>
      <c r="D6" s="862">
        <v>1</v>
      </c>
      <c r="E6" s="863">
        <v>45747</v>
      </c>
      <c r="F6" s="863" t="s">
        <v>709</v>
      </c>
      <c r="G6" s="864" t="s">
        <v>2176</v>
      </c>
      <c r="H6" s="865" t="s">
        <v>2179</v>
      </c>
    </row>
    <row r="7" spans="1:8" x14ac:dyDescent="0.45">
      <c r="A7" s="861">
        <v>6</v>
      </c>
      <c r="B7" s="970"/>
      <c r="C7" s="862" t="s">
        <v>2178</v>
      </c>
      <c r="D7" s="862">
        <v>2</v>
      </c>
      <c r="E7" s="863">
        <v>45754</v>
      </c>
      <c r="F7" s="863" t="s">
        <v>709</v>
      </c>
      <c r="G7" s="864" t="s">
        <v>2176</v>
      </c>
      <c r="H7" s="865" t="s">
        <v>2179</v>
      </c>
    </row>
    <row r="8" spans="1:8" x14ac:dyDescent="0.45">
      <c r="A8" s="861">
        <v>7</v>
      </c>
      <c r="B8" s="970"/>
      <c r="C8" s="862" t="s">
        <v>2178</v>
      </c>
      <c r="D8" s="862">
        <v>3</v>
      </c>
      <c r="E8" s="863">
        <v>45761</v>
      </c>
      <c r="F8" s="863" t="s">
        <v>709</v>
      </c>
      <c r="G8" s="864" t="s">
        <v>2176</v>
      </c>
      <c r="H8" s="865" t="s">
        <v>2179</v>
      </c>
    </row>
    <row r="9" spans="1:8" x14ac:dyDescent="0.45">
      <c r="A9" s="861">
        <v>8</v>
      </c>
      <c r="B9" s="970"/>
      <c r="C9" s="862" t="s">
        <v>2178</v>
      </c>
      <c r="D9" s="862">
        <v>4</v>
      </c>
      <c r="E9" s="863">
        <v>45768</v>
      </c>
      <c r="F9" s="863" t="s">
        <v>709</v>
      </c>
      <c r="G9" s="864" t="s">
        <v>2176</v>
      </c>
      <c r="H9" s="865" t="s">
        <v>2179</v>
      </c>
    </row>
    <row r="10" spans="1:8" x14ac:dyDescent="0.45">
      <c r="A10" s="861">
        <v>9</v>
      </c>
      <c r="B10" s="969" t="s">
        <v>2180</v>
      </c>
      <c r="C10" s="862" t="s">
        <v>2175</v>
      </c>
      <c r="D10" s="862">
        <v>1</v>
      </c>
      <c r="E10" s="863">
        <v>45716</v>
      </c>
      <c r="F10" s="863">
        <v>45723</v>
      </c>
      <c r="G10" s="865" t="s">
        <v>2176</v>
      </c>
      <c r="H10" s="865" t="s">
        <v>2177</v>
      </c>
    </row>
    <row r="11" spans="1:8" x14ac:dyDescent="0.45">
      <c r="A11" s="861">
        <v>10</v>
      </c>
      <c r="B11" s="970"/>
      <c r="C11" s="862" t="s">
        <v>2175</v>
      </c>
      <c r="D11" s="862">
        <v>2</v>
      </c>
      <c r="E11" s="863">
        <v>45723</v>
      </c>
      <c r="F11" s="863">
        <v>45726</v>
      </c>
      <c r="G11" s="865" t="s">
        <v>2176</v>
      </c>
      <c r="H11" s="865" t="s">
        <v>2177</v>
      </c>
    </row>
    <row r="12" spans="1:8" x14ac:dyDescent="0.45">
      <c r="A12" s="861">
        <v>11</v>
      </c>
      <c r="B12" s="970"/>
      <c r="C12" s="862" t="s">
        <v>2175</v>
      </c>
      <c r="D12" s="862">
        <v>3</v>
      </c>
      <c r="E12" s="863">
        <v>45730</v>
      </c>
      <c r="F12" s="863">
        <v>45730</v>
      </c>
      <c r="G12" s="865" t="s">
        <v>2176</v>
      </c>
      <c r="H12" s="865" t="s">
        <v>2177</v>
      </c>
    </row>
    <row r="13" spans="1:8" x14ac:dyDescent="0.45">
      <c r="A13" s="861">
        <v>12</v>
      </c>
      <c r="B13" s="970"/>
      <c r="C13" s="862" t="s">
        <v>2175</v>
      </c>
      <c r="D13" s="862">
        <v>4</v>
      </c>
      <c r="E13" s="863">
        <v>45737</v>
      </c>
      <c r="F13" s="863">
        <v>45740</v>
      </c>
      <c r="G13" s="865" t="s">
        <v>2176</v>
      </c>
      <c r="H13" s="865" t="s">
        <v>2177</v>
      </c>
    </row>
    <row r="14" spans="1:8" x14ac:dyDescent="0.45">
      <c r="A14" s="861">
        <v>13</v>
      </c>
      <c r="B14" s="970"/>
      <c r="C14" s="862" t="s">
        <v>2175</v>
      </c>
      <c r="D14" s="862">
        <v>5</v>
      </c>
      <c r="E14" s="863">
        <v>45744</v>
      </c>
      <c r="F14" s="863">
        <v>45744</v>
      </c>
      <c r="G14" s="865" t="s">
        <v>2176</v>
      </c>
      <c r="H14" s="865" t="s">
        <v>2177</v>
      </c>
    </row>
    <row r="15" spans="1:8" x14ac:dyDescent="0.45">
      <c r="A15" s="861">
        <v>14</v>
      </c>
      <c r="B15" s="970"/>
      <c r="C15" s="862" t="s">
        <v>2175</v>
      </c>
      <c r="D15" s="862">
        <v>6</v>
      </c>
      <c r="E15" s="863">
        <v>45751</v>
      </c>
      <c r="F15" s="863">
        <v>45754</v>
      </c>
      <c r="G15" s="865" t="s">
        <v>2176</v>
      </c>
      <c r="H15" s="865" t="s">
        <v>2177</v>
      </c>
    </row>
    <row r="16" spans="1:8" x14ac:dyDescent="0.45">
      <c r="A16" s="861">
        <v>15</v>
      </c>
      <c r="B16" s="970"/>
      <c r="C16" s="862" t="s">
        <v>2175</v>
      </c>
      <c r="D16" s="862">
        <v>7</v>
      </c>
      <c r="E16" s="863">
        <v>45758</v>
      </c>
      <c r="F16" s="863">
        <v>45758</v>
      </c>
      <c r="G16" s="865" t="s">
        <v>2176</v>
      </c>
      <c r="H16" s="865" t="s">
        <v>2177</v>
      </c>
    </row>
    <row r="17" spans="1:8" x14ac:dyDescent="0.45">
      <c r="A17" s="861">
        <v>16</v>
      </c>
      <c r="B17" s="970"/>
      <c r="C17" s="862" t="s">
        <v>2175</v>
      </c>
      <c r="D17" s="862">
        <v>8</v>
      </c>
      <c r="E17" s="863">
        <v>45765</v>
      </c>
      <c r="F17" s="863">
        <v>45768</v>
      </c>
      <c r="G17" s="865" t="s">
        <v>2176</v>
      </c>
      <c r="H17" s="865" t="s">
        <v>2177</v>
      </c>
    </row>
    <row r="18" spans="1:8" x14ac:dyDescent="0.45">
      <c r="A18" s="861">
        <v>17</v>
      </c>
      <c r="B18" s="969" t="s">
        <v>2181</v>
      </c>
      <c r="C18" s="862" t="s">
        <v>2175</v>
      </c>
      <c r="D18" s="862">
        <v>1</v>
      </c>
      <c r="E18" s="863">
        <v>45732</v>
      </c>
      <c r="F18" s="863">
        <v>45733</v>
      </c>
      <c r="G18" s="865" t="s">
        <v>2182</v>
      </c>
      <c r="H18" s="865" t="s">
        <v>2177</v>
      </c>
    </row>
    <row r="19" spans="1:8" x14ac:dyDescent="0.45">
      <c r="A19" s="861">
        <v>18</v>
      </c>
      <c r="B19" s="970"/>
      <c r="C19" s="862" t="s">
        <v>2175</v>
      </c>
      <c r="D19" s="862">
        <v>2</v>
      </c>
      <c r="E19" s="863">
        <v>45739</v>
      </c>
      <c r="F19" s="863">
        <v>45740</v>
      </c>
      <c r="G19" s="865" t="s">
        <v>2182</v>
      </c>
      <c r="H19" s="865" t="s">
        <v>2177</v>
      </c>
    </row>
    <row r="20" spans="1:8" x14ac:dyDescent="0.45">
      <c r="A20" s="861">
        <v>19</v>
      </c>
      <c r="B20" s="970"/>
      <c r="C20" s="862" t="s">
        <v>2175</v>
      </c>
      <c r="D20" s="862">
        <v>3</v>
      </c>
      <c r="E20" s="863">
        <v>45746</v>
      </c>
      <c r="F20" s="863">
        <v>45747</v>
      </c>
      <c r="G20" s="865" t="s">
        <v>2182</v>
      </c>
      <c r="H20" s="865" t="s">
        <v>2177</v>
      </c>
    </row>
    <row r="21" spans="1:8" x14ac:dyDescent="0.45">
      <c r="A21" s="861">
        <v>20</v>
      </c>
      <c r="B21" s="970"/>
      <c r="C21" s="862" t="s">
        <v>2175</v>
      </c>
      <c r="D21" s="862">
        <v>4</v>
      </c>
      <c r="E21" s="863">
        <v>45753</v>
      </c>
      <c r="F21" s="863">
        <v>45754</v>
      </c>
      <c r="G21" s="865" t="s">
        <v>2182</v>
      </c>
      <c r="H21" s="865" t="s">
        <v>2177</v>
      </c>
    </row>
    <row r="22" spans="1:8" x14ac:dyDescent="0.45">
      <c r="A22" s="861">
        <v>21</v>
      </c>
      <c r="B22" s="970"/>
      <c r="C22" s="862" t="s">
        <v>2178</v>
      </c>
      <c r="D22" s="862">
        <v>1</v>
      </c>
      <c r="E22" s="863">
        <v>45736</v>
      </c>
      <c r="F22" s="863">
        <v>45737</v>
      </c>
      <c r="G22" s="865" t="s">
        <v>2182</v>
      </c>
      <c r="H22" s="865" t="s">
        <v>2177</v>
      </c>
    </row>
    <row r="23" spans="1:8" x14ac:dyDescent="0.45">
      <c r="A23" s="861">
        <v>22</v>
      </c>
      <c r="B23" s="970"/>
      <c r="C23" s="862" t="s">
        <v>2178</v>
      </c>
      <c r="D23" s="862">
        <v>2</v>
      </c>
      <c r="E23" s="863">
        <v>45743</v>
      </c>
      <c r="F23" s="863">
        <v>45744</v>
      </c>
      <c r="G23" s="865" t="s">
        <v>2182</v>
      </c>
      <c r="H23" s="865" t="s">
        <v>2177</v>
      </c>
    </row>
    <row r="24" spans="1:8" x14ac:dyDescent="0.45">
      <c r="A24" s="861">
        <v>23</v>
      </c>
      <c r="B24" s="970"/>
      <c r="C24" s="862" t="s">
        <v>2178</v>
      </c>
      <c r="D24" s="862">
        <v>3</v>
      </c>
      <c r="E24" s="863">
        <v>45750</v>
      </c>
      <c r="F24" s="863">
        <v>45751</v>
      </c>
      <c r="G24" s="865" t="s">
        <v>2182</v>
      </c>
      <c r="H24" s="865" t="s">
        <v>2177</v>
      </c>
    </row>
    <row r="25" spans="1:8" x14ac:dyDescent="0.45">
      <c r="A25" s="861">
        <v>24</v>
      </c>
      <c r="B25" s="970"/>
      <c r="C25" s="862" t="s">
        <v>2178</v>
      </c>
      <c r="D25" s="862">
        <v>4</v>
      </c>
      <c r="E25" s="863">
        <v>45757</v>
      </c>
      <c r="F25" s="863">
        <v>45758</v>
      </c>
      <c r="G25" s="865" t="s">
        <v>2182</v>
      </c>
      <c r="H25" s="865" t="s">
        <v>2177</v>
      </c>
    </row>
    <row r="26" spans="1:8" x14ac:dyDescent="0.45">
      <c r="A26" s="861">
        <v>25</v>
      </c>
      <c r="B26" s="969" t="s">
        <v>2183</v>
      </c>
      <c r="C26" s="862" t="s">
        <v>2175</v>
      </c>
      <c r="D26" s="862" t="s">
        <v>2184</v>
      </c>
      <c r="E26" s="865" t="s">
        <v>2185</v>
      </c>
      <c r="F26" s="863">
        <v>45735</v>
      </c>
      <c r="G26" s="865" t="s">
        <v>2186</v>
      </c>
      <c r="H26" s="865" t="s">
        <v>2177</v>
      </c>
    </row>
    <row r="27" spans="1:8" x14ac:dyDescent="0.45">
      <c r="A27" s="861">
        <v>26</v>
      </c>
      <c r="B27" s="970"/>
      <c r="C27" s="862" t="s">
        <v>2175</v>
      </c>
      <c r="D27" s="862" t="s">
        <v>2187</v>
      </c>
      <c r="E27" s="865" t="s">
        <v>2188</v>
      </c>
      <c r="F27" s="863">
        <v>45749</v>
      </c>
      <c r="G27" s="865" t="s">
        <v>2186</v>
      </c>
      <c r="H27" s="865" t="s">
        <v>2177</v>
      </c>
    </row>
    <row r="28" spans="1:8" x14ac:dyDescent="0.45">
      <c r="A28" s="861">
        <v>27</v>
      </c>
      <c r="B28" s="970"/>
      <c r="C28" s="862" t="s">
        <v>2175</v>
      </c>
      <c r="D28" s="862" t="s">
        <v>2189</v>
      </c>
      <c r="E28" s="865" t="s">
        <v>2190</v>
      </c>
      <c r="F28" s="863">
        <v>45754</v>
      </c>
      <c r="G28" s="865" t="s">
        <v>2186</v>
      </c>
      <c r="H28" s="865" t="s">
        <v>2177</v>
      </c>
    </row>
    <row r="29" spans="1:8" x14ac:dyDescent="0.45">
      <c r="A29" s="861">
        <v>28</v>
      </c>
      <c r="B29" s="970"/>
      <c r="C29" s="862" t="s">
        <v>2175</v>
      </c>
      <c r="D29" s="862" t="s">
        <v>2191</v>
      </c>
      <c r="E29" s="865" t="s">
        <v>2192</v>
      </c>
      <c r="F29" s="863">
        <v>45756</v>
      </c>
      <c r="G29" s="865" t="s">
        <v>2186</v>
      </c>
      <c r="H29" s="865" t="s">
        <v>2177</v>
      </c>
    </row>
    <row r="30" spans="1:8" x14ac:dyDescent="0.45">
      <c r="A30" s="861">
        <v>29</v>
      </c>
      <c r="B30" s="970"/>
      <c r="C30" s="862" t="s">
        <v>2175</v>
      </c>
      <c r="D30" s="862" t="s">
        <v>2193</v>
      </c>
      <c r="E30" s="865" t="s">
        <v>2194</v>
      </c>
      <c r="F30" s="863">
        <v>45761</v>
      </c>
      <c r="G30" s="865" t="s">
        <v>2186</v>
      </c>
      <c r="H30" s="865" t="s">
        <v>2177</v>
      </c>
    </row>
    <row r="31" spans="1:8" x14ac:dyDescent="0.45">
      <c r="A31" s="861">
        <v>30</v>
      </c>
      <c r="B31" s="970"/>
      <c r="C31" s="862" t="s">
        <v>2175</v>
      </c>
      <c r="D31" s="862" t="s">
        <v>2195</v>
      </c>
      <c r="E31" s="865" t="s">
        <v>2196</v>
      </c>
      <c r="F31" s="865" t="s">
        <v>2197</v>
      </c>
      <c r="G31" s="865" t="s">
        <v>2186</v>
      </c>
      <c r="H31" s="865" t="s">
        <v>2177</v>
      </c>
    </row>
    <row r="32" spans="1:8" x14ac:dyDescent="0.45">
      <c r="A32" s="861">
        <v>31</v>
      </c>
      <c r="B32" s="970"/>
      <c r="C32" s="862" t="s">
        <v>2175</v>
      </c>
      <c r="D32" s="862" t="s">
        <v>2198</v>
      </c>
      <c r="E32" s="865" t="s">
        <v>2199</v>
      </c>
      <c r="F32" s="865" t="s">
        <v>2200</v>
      </c>
      <c r="G32" s="865" t="s">
        <v>2186</v>
      </c>
      <c r="H32" s="865" t="s">
        <v>2177</v>
      </c>
    </row>
    <row r="33" spans="1:8" x14ac:dyDescent="0.45">
      <c r="A33" s="861">
        <v>32</v>
      </c>
      <c r="B33" s="970"/>
      <c r="C33" s="862" t="s">
        <v>2175</v>
      </c>
      <c r="D33" s="862" t="s">
        <v>2201</v>
      </c>
      <c r="E33" s="865" t="s">
        <v>2200</v>
      </c>
      <c r="F33" s="865" t="s">
        <v>2202</v>
      </c>
      <c r="G33" s="865" t="s">
        <v>2186</v>
      </c>
      <c r="H33" s="865" t="s">
        <v>2177</v>
      </c>
    </row>
    <row r="34" spans="1:8" x14ac:dyDescent="0.45">
      <c r="A34" s="861">
        <v>33</v>
      </c>
      <c r="B34" s="970"/>
      <c r="C34" s="862" t="s">
        <v>2178</v>
      </c>
      <c r="D34" s="862" t="s">
        <v>2203</v>
      </c>
      <c r="E34" s="862" t="s">
        <v>2203</v>
      </c>
      <c r="F34" s="862" t="s">
        <v>2203</v>
      </c>
      <c r="G34" s="865" t="s">
        <v>2186</v>
      </c>
      <c r="H34" s="865" t="s">
        <v>2204</v>
      </c>
    </row>
    <row r="35" spans="1:8" x14ac:dyDescent="0.45">
      <c r="A35" s="861">
        <v>34</v>
      </c>
      <c r="B35" s="970"/>
      <c r="C35" s="862" t="s">
        <v>2178</v>
      </c>
      <c r="D35" s="862" t="s">
        <v>2203</v>
      </c>
      <c r="E35" s="862" t="s">
        <v>2203</v>
      </c>
      <c r="F35" s="862" t="s">
        <v>2203</v>
      </c>
      <c r="G35" s="865" t="s">
        <v>2186</v>
      </c>
      <c r="H35" s="865" t="s">
        <v>2204</v>
      </c>
    </row>
    <row r="36" spans="1:8" x14ac:dyDescent="0.45">
      <c r="A36" s="861">
        <v>35</v>
      </c>
      <c r="B36" s="970"/>
      <c r="C36" s="862" t="s">
        <v>2178</v>
      </c>
      <c r="D36" s="862" t="s">
        <v>2203</v>
      </c>
      <c r="E36" s="862" t="s">
        <v>2203</v>
      </c>
      <c r="F36" s="862" t="s">
        <v>2203</v>
      </c>
      <c r="G36" s="865" t="s">
        <v>2186</v>
      </c>
      <c r="H36" s="865" t="s">
        <v>2204</v>
      </c>
    </row>
    <row r="37" spans="1:8" x14ac:dyDescent="0.45">
      <c r="A37" s="861">
        <v>36</v>
      </c>
      <c r="B37" s="970"/>
      <c r="C37" s="862" t="s">
        <v>2178</v>
      </c>
      <c r="D37" s="862" t="s">
        <v>2203</v>
      </c>
      <c r="E37" s="862" t="s">
        <v>2203</v>
      </c>
      <c r="F37" s="862" t="s">
        <v>2203</v>
      </c>
      <c r="G37" s="865" t="s">
        <v>2186</v>
      </c>
      <c r="H37" s="865" t="s">
        <v>2204</v>
      </c>
    </row>
    <row r="38" spans="1:8" x14ac:dyDescent="0.45">
      <c r="A38" s="861">
        <v>37</v>
      </c>
      <c r="B38" s="969" t="s">
        <v>2205</v>
      </c>
      <c r="C38" s="862" t="s">
        <v>2175</v>
      </c>
      <c r="D38" s="862">
        <v>1</v>
      </c>
      <c r="E38" s="865" t="s">
        <v>2206</v>
      </c>
      <c r="F38" s="865" t="s">
        <v>2207</v>
      </c>
      <c r="G38" s="865" t="s">
        <v>2182</v>
      </c>
      <c r="H38" s="865" t="s">
        <v>2177</v>
      </c>
    </row>
    <row r="39" spans="1:8" x14ac:dyDescent="0.45">
      <c r="A39" s="861">
        <v>38</v>
      </c>
      <c r="B39" s="970"/>
      <c r="C39" s="862" t="s">
        <v>2175</v>
      </c>
      <c r="D39" s="862">
        <v>2</v>
      </c>
      <c r="E39" s="865" t="s">
        <v>2208</v>
      </c>
      <c r="F39" s="863">
        <v>45743</v>
      </c>
      <c r="G39" s="865" t="s">
        <v>2182</v>
      </c>
      <c r="H39" s="865" t="s">
        <v>2177</v>
      </c>
    </row>
    <row r="40" spans="1:8" x14ac:dyDescent="0.45">
      <c r="A40" s="861">
        <v>39</v>
      </c>
      <c r="B40" s="970"/>
      <c r="C40" s="862" t="s">
        <v>2175</v>
      </c>
      <c r="D40" s="862">
        <v>3</v>
      </c>
      <c r="E40" s="865" t="s">
        <v>2209</v>
      </c>
      <c r="F40" s="865" t="s">
        <v>2210</v>
      </c>
      <c r="G40" s="865" t="s">
        <v>2182</v>
      </c>
      <c r="H40" s="865" t="s">
        <v>2177</v>
      </c>
    </row>
    <row r="41" spans="1:8" x14ac:dyDescent="0.45">
      <c r="A41" s="861">
        <v>40</v>
      </c>
      <c r="B41" s="970"/>
      <c r="C41" s="862" t="s">
        <v>2175</v>
      </c>
      <c r="D41" s="862">
        <v>4</v>
      </c>
      <c r="E41" s="865" t="s">
        <v>2211</v>
      </c>
      <c r="F41" s="865" t="s">
        <v>2212</v>
      </c>
      <c r="G41" s="865" t="s">
        <v>2182</v>
      </c>
      <c r="H41" s="865" t="s">
        <v>2177</v>
      </c>
    </row>
    <row r="42" spans="1:8" x14ac:dyDescent="0.45">
      <c r="A42" s="861">
        <v>41</v>
      </c>
      <c r="B42" s="970"/>
      <c r="C42" s="862" t="s">
        <v>2178</v>
      </c>
      <c r="D42" s="862">
        <v>1</v>
      </c>
      <c r="E42" s="865" t="s">
        <v>2213</v>
      </c>
      <c r="F42" s="863"/>
      <c r="G42" s="865" t="s">
        <v>2182</v>
      </c>
      <c r="H42" s="865" t="s">
        <v>2179</v>
      </c>
    </row>
    <row r="43" spans="1:8" x14ac:dyDescent="0.45">
      <c r="A43" s="861">
        <v>42</v>
      </c>
      <c r="B43" s="970"/>
      <c r="C43" s="862" t="s">
        <v>2178</v>
      </c>
      <c r="D43" s="862">
        <v>2</v>
      </c>
      <c r="E43" s="865" t="s">
        <v>2210</v>
      </c>
      <c r="F43" s="863"/>
      <c r="G43" s="865" t="s">
        <v>2182</v>
      </c>
      <c r="H43" s="865" t="s">
        <v>2179</v>
      </c>
    </row>
    <row r="44" spans="1:8" x14ac:dyDescent="0.45">
      <c r="A44" s="861">
        <v>43</v>
      </c>
      <c r="B44" s="970"/>
      <c r="C44" s="862" t="s">
        <v>2178</v>
      </c>
      <c r="D44" s="862">
        <v>3</v>
      </c>
      <c r="E44" s="865" t="s">
        <v>2214</v>
      </c>
      <c r="F44" s="863"/>
      <c r="G44" s="865" t="s">
        <v>2182</v>
      </c>
      <c r="H44" s="865" t="s">
        <v>2179</v>
      </c>
    </row>
    <row r="45" spans="1:8" x14ac:dyDescent="0.45">
      <c r="A45" s="861">
        <v>44</v>
      </c>
      <c r="B45" s="969" t="s">
        <v>2215</v>
      </c>
      <c r="C45" s="862" t="s">
        <v>2175</v>
      </c>
      <c r="D45" s="862" t="s">
        <v>2184</v>
      </c>
      <c r="E45" s="865" t="s">
        <v>2216</v>
      </c>
      <c r="F45" s="865" t="s">
        <v>2217</v>
      </c>
      <c r="G45" s="865" t="s">
        <v>2182</v>
      </c>
      <c r="H45" s="865" t="s">
        <v>2218</v>
      </c>
    </row>
    <row r="46" spans="1:8" x14ac:dyDescent="0.45">
      <c r="A46" s="861">
        <v>45</v>
      </c>
      <c r="B46" s="970"/>
      <c r="C46" s="862" t="s">
        <v>2175</v>
      </c>
      <c r="D46" s="862" t="s">
        <v>2187</v>
      </c>
      <c r="E46" s="865" t="s">
        <v>2219</v>
      </c>
      <c r="F46" s="865" t="s">
        <v>2220</v>
      </c>
      <c r="G46" s="865" t="s">
        <v>2182</v>
      </c>
      <c r="H46" s="865" t="s">
        <v>2218</v>
      </c>
    </row>
    <row r="47" spans="1:8" x14ac:dyDescent="0.45">
      <c r="A47" s="861">
        <v>46</v>
      </c>
      <c r="B47" s="970"/>
      <c r="C47" s="862" t="s">
        <v>2175</v>
      </c>
      <c r="D47" s="862" t="s">
        <v>2221</v>
      </c>
      <c r="E47" s="865" t="s">
        <v>2222</v>
      </c>
      <c r="F47" s="865" t="s">
        <v>2223</v>
      </c>
      <c r="G47" s="865" t="s">
        <v>2182</v>
      </c>
      <c r="H47" s="865" t="s">
        <v>2218</v>
      </c>
    </row>
    <row r="48" spans="1:8" x14ac:dyDescent="0.45">
      <c r="A48" s="861">
        <v>47</v>
      </c>
      <c r="B48" s="970"/>
      <c r="C48" s="862" t="s">
        <v>2175</v>
      </c>
      <c r="D48" s="862" t="s">
        <v>2224</v>
      </c>
      <c r="E48" s="865" t="s">
        <v>2225</v>
      </c>
      <c r="F48" s="865" t="s">
        <v>2226</v>
      </c>
      <c r="G48" s="865" t="s">
        <v>2182</v>
      </c>
      <c r="H48" s="865" t="s">
        <v>2218</v>
      </c>
    </row>
    <row r="49" spans="1:8" x14ac:dyDescent="0.45">
      <c r="A49" s="861">
        <v>48</v>
      </c>
      <c r="B49" s="970"/>
      <c r="C49" s="862" t="s">
        <v>2175</v>
      </c>
      <c r="D49" s="862" t="s">
        <v>2191</v>
      </c>
      <c r="E49" s="865" t="s">
        <v>2227</v>
      </c>
      <c r="F49" s="865" t="s">
        <v>2228</v>
      </c>
      <c r="G49" s="865" t="s">
        <v>2182</v>
      </c>
      <c r="H49" s="865" t="s">
        <v>2218</v>
      </c>
    </row>
    <row r="50" spans="1:8" x14ac:dyDescent="0.45">
      <c r="A50" s="861">
        <v>49</v>
      </c>
      <c r="B50" s="970"/>
      <c r="C50" s="862" t="s">
        <v>2175</v>
      </c>
      <c r="D50" s="862" t="s">
        <v>2193</v>
      </c>
      <c r="E50" s="865" t="s">
        <v>2229</v>
      </c>
      <c r="F50" s="865" t="s">
        <v>2230</v>
      </c>
      <c r="G50" s="865" t="s">
        <v>2182</v>
      </c>
      <c r="H50" s="865" t="s">
        <v>2218</v>
      </c>
    </row>
    <row r="51" spans="1:8" x14ac:dyDescent="0.45">
      <c r="A51" s="861">
        <v>50</v>
      </c>
      <c r="B51" s="969" t="s">
        <v>2231</v>
      </c>
      <c r="C51" s="862" t="s">
        <v>2175</v>
      </c>
      <c r="D51" s="862" t="s">
        <v>2184</v>
      </c>
      <c r="E51" s="865" t="s">
        <v>2232</v>
      </c>
      <c r="F51" s="865" t="s">
        <v>2233</v>
      </c>
      <c r="G51" s="865" t="s">
        <v>2234</v>
      </c>
      <c r="H51" s="865" t="s">
        <v>2204</v>
      </c>
    </row>
    <row r="52" spans="1:8" x14ac:dyDescent="0.45">
      <c r="A52" s="861">
        <v>51</v>
      </c>
      <c r="B52" s="970"/>
      <c r="C52" s="862" t="s">
        <v>2175</v>
      </c>
      <c r="D52" s="862" t="s">
        <v>2187</v>
      </c>
      <c r="E52" s="865" t="s">
        <v>2209</v>
      </c>
      <c r="F52" s="863">
        <v>45750</v>
      </c>
      <c r="G52" s="865" t="s">
        <v>2234</v>
      </c>
      <c r="H52" s="865" t="s">
        <v>2204</v>
      </c>
    </row>
    <row r="53" spans="1:8" x14ac:dyDescent="0.45">
      <c r="A53" s="861">
        <v>52</v>
      </c>
      <c r="B53" s="970"/>
      <c r="C53" s="862" t="s">
        <v>2175</v>
      </c>
      <c r="D53" s="862" t="s">
        <v>2189</v>
      </c>
      <c r="E53" s="863">
        <v>45756</v>
      </c>
      <c r="F53" s="863">
        <v>45756</v>
      </c>
      <c r="G53" s="865" t="s">
        <v>2234</v>
      </c>
      <c r="H53" s="865" t="s">
        <v>2204</v>
      </c>
    </row>
    <row r="54" spans="1:8" x14ac:dyDescent="0.45">
      <c r="A54" s="861">
        <v>53</v>
      </c>
      <c r="B54" s="970"/>
      <c r="C54" s="862" t="s">
        <v>2175</v>
      </c>
      <c r="D54" s="862" t="s">
        <v>2191</v>
      </c>
      <c r="E54" s="863">
        <v>45763</v>
      </c>
      <c r="F54" s="863">
        <v>45763</v>
      </c>
      <c r="G54" s="865" t="s">
        <v>2234</v>
      </c>
      <c r="H54" s="865" t="s">
        <v>2204</v>
      </c>
    </row>
    <row r="55" spans="1:8" x14ac:dyDescent="0.45">
      <c r="A55" s="861">
        <v>54</v>
      </c>
      <c r="B55" s="970"/>
      <c r="C55" s="862" t="s">
        <v>2175</v>
      </c>
      <c r="D55" s="862" t="s">
        <v>2193</v>
      </c>
      <c r="E55" s="863">
        <v>45770</v>
      </c>
      <c r="F55" s="863">
        <v>45771</v>
      </c>
      <c r="G55" s="865" t="s">
        <v>2234</v>
      </c>
      <c r="H55" s="865" t="s">
        <v>2204</v>
      </c>
    </row>
    <row r="56" spans="1:8" x14ac:dyDescent="0.45">
      <c r="A56" s="861">
        <v>55</v>
      </c>
      <c r="B56" s="970"/>
      <c r="C56" s="862" t="s">
        <v>2175</v>
      </c>
      <c r="D56" s="862" t="s">
        <v>2195</v>
      </c>
      <c r="E56" s="863">
        <v>45777</v>
      </c>
      <c r="F56" s="863">
        <v>45778</v>
      </c>
      <c r="G56" s="865" t="s">
        <v>2234</v>
      </c>
      <c r="H56" s="865" t="s">
        <v>2204</v>
      </c>
    </row>
    <row r="57" spans="1:8" x14ac:dyDescent="0.45">
      <c r="A57" s="861">
        <v>56</v>
      </c>
      <c r="B57" s="969" t="s">
        <v>2235</v>
      </c>
      <c r="C57" s="862" t="s">
        <v>2175</v>
      </c>
      <c r="D57" s="862" t="s">
        <v>2184</v>
      </c>
      <c r="E57" s="865" t="s">
        <v>2236</v>
      </c>
      <c r="F57" s="865" t="s">
        <v>2237</v>
      </c>
      <c r="G57" s="865" t="s">
        <v>2186</v>
      </c>
      <c r="H57" s="865" t="s">
        <v>2177</v>
      </c>
    </row>
    <row r="58" spans="1:8" x14ac:dyDescent="0.45">
      <c r="A58" s="861">
        <v>57</v>
      </c>
      <c r="B58" s="970"/>
      <c r="C58" s="862" t="s">
        <v>2175</v>
      </c>
      <c r="D58" s="862" t="s">
        <v>2187</v>
      </c>
      <c r="E58" s="865" t="s">
        <v>2238</v>
      </c>
      <c r="F58" s="865" t="s">
        <v>2239</v>
      </c>
      <c r="G58" s="865" t="s">
        <v>2186</v>
      </c>
      <c r="H58" s="865" t="s">
        <v>2177</v>
      </c>
    </row>
    <row r="59" spans="1:8" x14ac:dyDescent="0.45">
      <c r="A59" s="861">
        <v>58</v>
      </c>
      <c r="B59" s="970"/>
      <c r="C59" s="862" t="s">
        <v>2175</v>
      </c>
      <c r="D59" s="862" t="s">
        <v>2189</v>
      </c>
      <c r="E59" s="865" t="s">
        <v>2240</v>
      </c>
      <c r="F59" s="865" t="s">
        <v>2241</v>
      </c>
      <c r="G59" s="865" t="s">
        <v>2186</v>
      </c>
      <c r="H59" s="865" t="s">
        <v>2177</v>
      </c>
    </row>
    <row r="60" spans="1:8" x14ac:dyDescent="0.45">
      <c r="A60" s="861">
        <v>59</v>
      </c>
      <c r="B60" s="970"/>
      <c r="C60" s="862" t="s">
        <v>2175</v>
      </c>
      <c r="D60" s="862" t="s">
        <v>2191</v>
      </c>
      <c r="E60" s="865" t="s">
        <v>2242</v>
      </c>
      <c r="F60" s="865" t="s">
        <v>2243</v>
      </c>
      <c r="G60" s="865" t="s">
        <v>2186</v>
      </c>
      <c r="H60" s="865" t="s">
        <v>2177</v>
      </c>
    </row>
    <row r="61" spans="1:8" x14ac:dyDescent="0.45">
      <c r="A61" s="861">
        <v>60</v>
      </c>
      <c r="B61" s="970"/>
      <c r="C61" s="862" t="s">
        <v>2175</v>
      </c>
      <c r="D61" s="862" t="s">
        <v>2193</v>
      </c>
      <c r="E61" s="865" t="s">
        <v>2244</v>
      </c>
      <c r="F61" s="865" t="s">
        <v>2245</v>
      </c>
      <c r="G61" s="865" t="s">
        <v>2186</v>
      </c>
      <c r="H61" s="865" t="s">
        <v>2177</v>
      </c>
    </row>
    <row r="62" spans="1:8" x14ac:dyDescent="0.45">
      <c r="A62" s="861">
        <v>61</v>
      </c>
      <c r="B62" s="970"/>
      <c r="C62" s="862" t="s">
        <v>2175</v>
      </c>
      <c r="D62" s="862" t="s">
        <v>2195</v>
      </c>
      <c r="E62" s="865" t="s">
        <v>2246</v>
      </c>
      <c r="F62" s="863">
        <v>45776</v>
      </c>
      <c r="G62" s="865" t="s">
        <v>2186</v>
      </c>
      <c r="H62" s="865" t="s">
        <v>2177</v>
      </c>
    </row>
    <row r="63" spans="1:8" x14ac:dyDescent="0.45">
      <c r="A63" s="861">
        <v>62</v>
      </c>
      <c r="B63" s="970"/>
      <c r="C63" s="862" t="s">
        <v>2178</v>
      </c>
      <c r="D63" s="862" t="s">
        <v>2184</v>
      </c>
      <c r="E63" s="865" t="s">
        <v>2212</v>
      </c>
      <c r="F63" s="865" t="s">
        <v>2196</v>
      </c>
      <c r="G63" s="865" t="s">
        <v>2186</v>
      </c>
      <c r="H63" s="865" t="s">
        <v>2204</v>
      </c>
    </row>
    <row r="64" spans="1:8" x14ac:dyDescent="0.45">
      <c r="A64" s="861">
        <v>63</v>
      </c>
      <c r="B64" s="970"/>
      <c r="C64" s="862" t="s">
        <v>2178</v>
      </c>
      <c r="D64" s="862" t="s">
        <v>2187</v>
      </c>
      <c r="E64" s="865" t="s">
        <v>2247</v>
      </c>
      <c r="F64" s="865" t="s">
        <v>2200</v>
      </c>
      <c r="G64" s="865" t="s">
        <v>2186</v>
      </c>
      <c r="H64" s="865" t="s">
        <v>2204</v>
      </c>
    </row>
    <row r="65" spans="1:8" x14ac:dyDescent="0.45">
      <c r="A65" s="861">
        <v>64</v>
      </c>
      <c r="B65" s="970"/>
      <c r="C65" s="862" t="s">
        <v>2178</v>
      </c>
      <c r="D65" s="862" t="s">
        <v>2189</v>
      </c>
      <c r="E65" s="865" t="s">
        <v>2248</v>
      </c>
      <c r="F65" s="865" t="s">
        <v>2249</v>
      </c>
      <c r="G65" s="865" t="s">
        <v>2186</v>
      </c>
      <c r="H65" s="865" t="s">
        <v>2204</v>
      </c>
    </row>
    <row r="66" spans="1:8" x14ac:dyDescent="0.45">
      <c r="A66" s="861">
        <v>65</v>
      </c>
      <c r="B66" s="970"/>
      <c r="C66" s="862" t="s">
        <v>2178</v>
      </c>
      <c r="D66" s="862" t="s">
        <v>2191</v>
      </c>
      <c r="E66" s="865" t="s">
        <v>2250</v>
      </c>
      <c r="F66" s="865" t="s">
        <v>2251</v>
      </c>
      <c r="G66" s="865" t="s">
        <v>2186</v>
      </c>
      <c r="H66" s="865" t="s">
        <v>2204</v>
      </c>
    </row>
    <row r="67" spans="1:8" x14ac:dyDescent="0.45">
      <c r="A67" s="861">
        <v>66</v>
      </c>
      <c r="B67" s="969" t="s">
        <v>2252</v>
      </c>
      <c r="C67" s="862" t="s">
        <v>2175</v>
      </c>
      <c r="D67" s="862" t="s">
        <v>2184</v>
      </c>
      <c r="E67" s="865" t="s">
        <v>2253</v>
      </c>
      <c r="F67" s="866" t="s">
        <v>2238</v>
      </c>
      <c r="G67" s="865" t="s">
        <v>2186</v>
      </c>
      <c r="H67" s="865" t="s">
        <v>2177</v>
      </c>
    </row>
    <row r="68" spans="1:8" x14ac:dyDescent="0.45">
      <c r="A68" s="861">
        <v>67</v>
      </c>
      <c r="B68" s="970"/>
      <c r="C68" s="862" t="s">
        <v>2175</v>
      </c>
      <c r="D68" s="862" t="s">
        <v>2187</v>
      </c>
      <c r="E68" s="865" t="s">
        <v>2238</v>
      </c>
      <c r="F68" s="867">
        <v>45748</v>
      </c>
      <c r="G68" s="865" t="s">
        <v>2186</v>
      </c>
      <c r="H68" s="865" t="s">
        <v>2177</v>
      </c>
    </row>
    <row r="69" spans="1:8" x14ac:dyDescent="0.45">
      <c r="A69" s="861">
        <v>68</v>
      </c>
      <c r="B69" s="970"/>
      <c r="C69" s="862" t="s">
        <v>2175</v>
      </c>
      <c r="D69" s="862" t="s">
        <v>2189</v>
      </c>
      <c r="E69" s="865" t="s">
        <v>2209</v>
      </c>
      <c r="F69" s="867">
        <v>45750</v>
      </c>
      <c r="G69" s="865" t="s">
        <v>2186</v>
      </c>
      <c r="H69" s="865" t="s">
        <v>2177</v>
      </c>
    </row>
    <row r="70" spans="1:8" x14ac:dyDescent="0.45">
      <c r="A70" s="861">
        <v>69</v>
      </c>
      <c r="B70" s="970"/>
      <c r="C70" s="862" t="s">
        <v>2175</v>
      </c>
      <c r="D70" s="862" t="s">
        <v>2191</v>
      </c>
      <c r="E70" s="865" t="s">
        <v>2240</v>
      </c>
      <c r="F70" s="866" t="s">
        <v>2241</v>
      </c>
      <c r="G70" s="865" t="s">
        <v>2186</v>
      </c>
      <c r="H70" s="865" t="s">
        <v>2204</v>
      </c>
    </row>
    <row r="71" spans="1:8" x14ac:dyDescent="0.45">
      <c r="A71" s="861">
        <v>70</v>
      </c>
      <c r="B71" s="970"/>
      <c r="C71" s="862" t="s">
        <v>2175</v>
      </c>
      <c r="D71" s="862" t="s">
        <v>2193</v>
      </c>
      <c r="E71" s="865" t="s">
        <v>2211</v>
      </c>
      <c r="F71" s="866" t="s">
        <v>2212</v>
      </c>
      <c r="G71" s="865" t="s">
        <v>2186</v>
      </c>
      <c r="H71" s="865" t="s">
        <v>2204</v>
      </c>
    </row>
    <row r="72" spans="1:8" x14ac:dyDescent="0.45">
      <c r="A72" s="861">
        <v>71</v>
      </c>
      <c r="B72" s="970"/>
      <c r="C72" s="862" t="s">
        <v>2175</v>
      </c>
      <c r="D72" s="862" t="s">
        <v>2195</v>
      </c>
      <c r="E72" s="865" t="s">
        <v>2242</v>
      </c>
      <c r="F72" s="866" t="s">
        <v>2243</v>
      </c>
      <c r="G72" s="865" t="s">
        <v>2186</v>
      </c>
      <c r="H72" s="865" t="s">
        <v>2204</v>
      </c>
    </row>
    <row r="73" spans="1:8" x14ac:dyDescent="0.45">
      <c r="A73" s="861">
        <v>72</v>
      </c>
      <c r="B73" s="970"/>
      <c r="C73" s="862" t="s">
        <v>2175</v>
      </c>
      <c r="D73" s="862" t="s">
        <v>2198</v>
      </c>
      <c r="E73" s="865" t="s">
        <v>2254</v>
      </c>
      <c r="F73" s="866" t="s">
        <v>2243</v>
      </c>
      <c r="G73" s="865" t="s">
        <v>2186</v>
      </c>
      <c r="H73" s="865" t="s">
        <v>2204</v>
      </c>
    </row>
    <row r="74" spans="1:8" x14ac:dyDescent="0.45">
      <c r="A74" s="861">
        <v>73</v>
      </c>
      <c r="B74" s="970"/>
      <c r="C74" s="862" t="s">
        <v>2175</v>
      </c>
      <c r="D74" s="862" t="s">
        <v>2201</v>
      </c>
      <c r="E74" s="865" t="s">
        <v>2244</v>
      </c>
      <c r="F74" s="866" t="s">
        <v>2245</v>
      </c>
      <c r="G74" s="865" t="s">
        <v>2186</v>
      </c>
      <c r="H74" s="865" t="s">
        <v>2204</v>
      </c>
    </row>
    <row r="75" spans="1:8" x14ac:dyDescent="0.45">
      <c r="A75" s="861">
        <v>74</v>
      </c>
      <c r="B75" s="970"/>
      <c r="C75" s="862" t="s">
        <v>2175</v>
      </c>
      <c r="D75" s="862" t="s">
        <v>2255</v>
      </c>
      <c r="E75" s="865" t="s">
        <v>2200</v>
      </c>
      <c r="F75" s="866" t="s">
        <v>2245</v>
      </c>
      <c r="G75" s="865" t="s">
        <v>2186</v>
      </c>
      <c r="H75" s="865" t="s">
        <v>2204</v>
      </c>
    </row>
    <row r="76" spans="1:8" x14ac:dyDescent="0.45">
      <c r="A76" s="861">
        <v>75</v>
      </c>
      <c r="B76" s="970"/>
      <c r="C76" s="862" t="s">
        <v>2175</v>
      </c>
      <c r="D76" s="862" t="s">
        <v>2256</v>
      </c>
      <c r="E76" s="863">
        <v>45773</v>
      </c>
      <c r="F76" s="866" t="s">
        <v>2257</v>
      </c>
      <c r="G76" s="865" t="s">
        <v>2186</v>
      </c>
      <c r="H76" s="865" t="s">
        <v>2204</v>
      </c>
    </row>
    <row r="77" spans="1:8" x14ac:dyDescent="0.45">
      <c r="A77" s="861">
        <v>76</v>
      </c>
      <c r="B77" s="970"/>
      <c r="C77" s="862" t="s">
        <v>2178</v>
      </c>
      <c r="D77" s="862" t="s">
        <v>2184</v>
      </c>
      <c r="E77" s="865" t="s">
        <v>2258</v>
      </c>
      <c r="F77" s="867">
        <v>45778</v>
      </c>
      <c r="G77" s="865" t="s">
        <v>2186</v>
      </c>
      <c r="H77" s="865" t="s">
        <v>2204</v>
      </c>
    </row>
    <row r="78" spans="1:8" x14ac:dyDescent="0.45">
      <c r="A78" s="861">
        <v>77</v>
      </c>
      <c r="B78" s="969" t="s">
        <v>2259</v>
      </c>
      <c r="C78" s="862" t="s">
        <v>2175</v>
      </c>
      <c r="D78" s="862" t="s">
        <v>2184</v>
      </c>
      <c r="E78" s="865" t="s">
        <v>2260</v>
      </c>
      <c r="F78" s="866" t="s">
        <v>2239</v>
      </c>
      <c r="G78" s="865" t="s">
        <v>2182</v>
      </c>
      <c r="H78" s="865" t="s">
        <v>2218</v>
      </c>
    </row>
    <row r="79" spans="1:8" x14ac:dyDescent="0.45">
      <c r="A79" s="861">
        <v>78</v>
      </c>
      <c r="B79" s="970"/>
      <c r="C79" s="862" t="s">
        <v>2175</v>
      </c>
      <c r="D79" s="862" t="s">
        <v>2187</v>
      </c>
      <c r="E79" s="865" t="s">
        <v>2261</v>
      </c>
      <c r="F79" s="866" t="s">
        <v>2240</v>
      </c>
      <c r="G79" s="865" t="s">
        <v>2182</v>
      </c>
      <c r="H79" s="865" t="s">
        <v>2218</v>
      </c>
    </row>
    <row r="80" spans="1:8" x14ac:dyDescent="0.45">
      <c r="A80" s="861">
        <v>79</v>
      </c>
      <c r="B80" s="970"/>
      <c r="C80" s="862" t="s">
        <v>2175</v>
      </c>
      <c r="D80" s="862" t="s">
        <v>2189</v>
      </c>
      <c r="E80" s="865" t="s">
        <v>2262</v>
      </c>
      <c r="F80" s="866" t="s">
        <v>2242</v>
      </c>
      <c r="G80" s="865" t="s">
        <v>2182</v>
      </c>
      <c r="H80" s="865" t="s">
        <v>2218</v>
      </c>
    </row>
    <row r="81" spans="1:8" x14ac:dyDescent="0.45">
      <c r="A81" s="861">
        <v>80</v>
      </c>
      <c r="B81" s="970"/>
      <c r="C81" s="862" t="s">
        <v>2175</v>
      </c>
      <c r="D81" s="862" t="s">
        <v>2191</v>
      </c>
      <c r="E81" s="865" t="s">
        <v>2197</v>
      </c>
      <c r="F81" s="866" t="s">
        <v>2247</v>
      </c>
      <c r="G81" s="865" t="s">
        <v>2182</v>
      </c>
      <c r="H81" s="865" t="s">
        <v>2218</v>
      </c>
    </row>
    <row r="82" spans="1:8" x14ac:dyDescent="0.45">
      <c r="A82" s="861">
        <v>81</v>
      </c>
      <c r="B82" s="970"/>
      <c r="C82" s="862" t="s">
        <v>2175</v>
      </c>
      <c r="D82" s="862" t="s">
        <v>2193</v>
      </c>
      <c r="E82" s="865" t="s">
        <v>2263</v>
      </c>
      <c r="F82" s="866" t="s">
        <v>2244</v>
      </c>
      <c r="G82" s="865" t="s">
        <v>2182</v>
      </c>
      <c r="H82" s="865" t="s">
        <v>2218</v>
      </c>
    </row>
    <row r="83" spans="1:8" x14ac:dyDescent="0.45">
      <c r="A83" s="861">
        <v>82</v>
      </c>
      <c r="B83" s="969" t="s">
        <v>2264</v>
      </c>
      <c r="C83" s="862" t="s">
        <v>2175</v>
      </c>
      <c r="D83" s="862" t="s">
        <v>2184</v>
      </c>
      <c r="E83" s="865" t="s">
        <v>2265</v>
      </c>
      <c r="F83" s="866" t="s">
        <v>2211</v>
      </c>
      <c r="G83" s="865" t="s">
        <v>2186</v>
      </c>
      <c r="H83" s="865" t="s">
        <v>2177</v>
      </c>
    </row>
    <row r="84" spans="1:8" x14ac:dyDescent="0.45">
      <c r="A84" s="861">
        <v>83</v>
      </c>
      <c r="B84" s="970"/>
      <c r="C84" s="862" t="s">
        <v>2175</v>
      </c>
      <c r="D84" s="862" t="s">
        <v>2187</v>
      </c>
      <c r="E84" s="865" t="s">
        <v>2254</v>
      </c>
      <c r="F84" s="866" t="s">
        <v>2197</v>
      </c>
      <c r="G84" s="865" t="s">
        <v>2186</v>
      </c>
      <c r="H84" s="865" t="s">
        <v>2177</v>
      </c>
    </row>
    <row r="85" spans="1:8" x14ac:dyDescent="0.45">
      <c r="A85" s="861">
        <v>84</v>
      </c>
      <c r="B85" s="970"/>
      <c r="C85" s="862" t="s">
        <v>2175</v>
      </c>
      <c r="D85" s="862" t="s">
        <v>2189</v>
      </c>
      <c r="E85" s="865" t="s">
        <v>2200</v>
      </c>
      <c r="F85" s="866" t="s">
        <v>2202</v>
      </c>
      <c r="G85" s="865" t="s">
        <v>2186</v>
      </c>
      <c r="H85" s="865" t="s">
        <v>2177</v>
      </c>
    </row>
    <row r="86" spans="1:8" x14ac:dyDescent="0.45">
      <c r="A86" s="861">
        <v>85</v>
      </c>
      <c r="B86" s="970"/>
      <c r="C86" s="862" t="s">
        <v>2175</v>
      </c>
      <c r="D86" s="862" t="s">
        <v>2191</v>
      </c>
      <c r="E86" s="865" t="s">
        <v>2266</v>
      </c>
      <c r="F86" s="866" t="s">
        <v>2267</v>
      </c>
      <c r="G86" s="865" t="s">
        <v>2186</v>
      </c>
      <c r="H86" s="865" t="s">
        <v>2177</v>
      </c>
    </row>
    <row r="87" spans="1:8" x14ac:dyDescent="0.45">
      <c r="A87" s="861">
        <v>86</v>
      </c>
      <c r="B87" s="970"/>
      <c r="C87" s="862" t="s">
        <v>2175</v>
      </c>
      <c r="D87" s="862" t="s">
        <v>2193</v>
      </c>
      <c r="E87" s="865" t="s">
        <v>2268</v>
      </c>
      <c r="F87" s="866" t="s">
        <v>2269</v>
      </c>
      <c r="G87" s="865" t="s">
        <v>2186</v>
      </c>
      <c r="H87" s="865" t="s">
        <v>2177</v>
      </c>
    </row>
    <row r="88" spans="1:8" x14ac:dyDescent="0.45">
      <c r="A88" s="861">
        <v>87</v>
      </c>
      <c r="B88" s="970"/>
      <c r="C88" s="862" t="s">
        <v>2175</v>
      </c>
      <c r="D88" s="862" t="s">
        <v>2195</v>
      </c>
      <c r="E88" s="865" t="s">
        <v>2251</v>
      </c>
      <c r="F88" s="866" t="s">
        <v>2270</v>
      </c>
      <c r="G88" s="865" t="s">
        <v>2186</v>
      </c>
      <c r="H88" s="865" t="s">
        <v>2177</v>
      </c>
    </row>
    <row r="89" spans="1:8" x14ac:dyDescent="0.45">
      <c r="A89" s="861">
        <v>88</v>
      </c>
      <c r="B89" s="970"/>
      <c r="C89" s="862" t="s">
        <v>2175</v>
      </c>
      <c r="D89" s="862" t="s">
        <v>2271</v>
      </c>
      <c r="E89" s="865" t="s">
        <v>2212</v>
      </c>
      <c r="F89" s="866" t="s">
        <v>2254</v>
      </c>
      <c r="G89" s="865" t="s">
        <v>2186</v>
      </c>
      <c r="H89" s="865" t="s">
        <v>2177</v>
      </c>
    </row>
    <row r="90" spans="1:8" x14ac:dyDescent="0.45">
      <c r="A90" s="861"/>
      <c r="B90" s="970"/>
      <c r="C90" s="862" t="s">
        <v>2175</v>
      </c>
      <c r="D90" s="862" t="s">
        <v>2271</v>
      </c>
      <c r="E90" s="865" t="s">
        <v>2247</v>
      </c>
      <c r="F90" s="866" t="s">
        <v>2200</v>
      </c>
      <c r="G90" s="865" t="s">
        <v>2186</v>
      </c>
      <c r="H90" s="865" t="s">
        <v>2177</v>
      </c>
    </row>
    <row r="91" spans="1:8" x14ac:dyDescent="0.45">
      <c r="A91" s="861"/>
      <c r="B91" s="970"/>
      <c r="C91" s="862" t="s">
        <v>2178</v>
      </c>
      <c r="D91" s="862"/>
      <c r="E91" s="865"/>
      <c r="F91" s="866"/>
      <c r="G91" s="865"/>
      <c r="H91" s="865"/>
    </row>
    <row r="92" spans="1:8" x14ac:dyDescent="0.45">
      <c r="A92" s="861"/>
      <c r="B92" s="970"/>
      <c r="C92" s="862" t="s">
        <v>2178</v>
      </c>
      <c r="D92" s="862"/>
      <c r="E92" s="865"/>
      <c r="F92" s="866"/>
      <c r="G92" s="865"/>
      <c r="H92" s="865"/>
    </row>
    <row r="93" spans="1:8" x14ac:dyDescent="0.45">
      <c r="A93" s="861"/>
      <c r="B93" s="970"/>
      <c r="C93" s="862" t="s">
        <v>2178</v>
      </c>
      <c r="D93" s="862"/>
      <c r="E93" s="865"/>
      <c r="F93" s="866"/>
      <c r="G93" s="865"/>
      <c r="H93" s="865"/>
    </row>
    <row r="94" spans="1:8" x14ac:dyDescent="0.45">
      <c r="A94" s="861">
        <v>93</v>
      </c>
      <c r="B94" s="970"/>
      <c r="C94" s="862" t="s">
        <v>2178</v>
      </c>
      <c r="D94" s="862"/>
      <c r="E94" s="865"/>
      <c r="F94" s="866"/>
      <c r="G94" s="865"/>
      <c r="H94" s="865"/>
    </row>
    <row r="95" spans="1:8" x14ac:dyDescent="0.45">
      <c r="A95" s="861">
        <v>94</v>
      </c>
      <c r="B95" s="969" t="s">
        <v>827</v>
      </c>
      <c r="C95" s="862" t="s">
        <v>2175</v>
      </c>
      <c r="D95" s="862" t="s">
        <v>2184</v>
      </c>
      <c r="E95" s="865" t="s">
        <v>2242</v>
      </c>
      <c r="F95" s="866" t="s">
        <v>2243</v>
      </c>
      <c r="G95" s="865" t="s">
        <v>2186</v>
      </c>
      <c r="H95" s="865" t="s">
        <v>2177</v>
      </c>
    </row>
    <row r="96" spans="1:8" x14ac:dyDescent="0.45">
      <c r="A96" s="861">
        <v>95</v>
      </c>
      <c r="B96" s="970"/>
      <c r="C96" s="862" t="s">
        <v>2175</v>
      </c>
      <c r="D96" s="862" t="s">
        <v>2187</v>
      </c>
      <c r="E96" s="865" t="s">
        <v>2244</v>
      </c>
      <c r="F96" s="866" t="s">
        <v>2245</v>
      </c>
      <c r="G96" s="865" t="s">
        <v>2186</v>
      </c>
      <c r="H96" s="865" t="s">
        <v>2177</v>
      </c>
    </row>
    <row r="97" spans="1:8" x14ac:dyDescent="0.45">
      <c r="A97" s="861">
        <v>96</v>
      </c>
      <c r="B97" s="970"/>
      <c r="C97" s="862" t="s">
        <v>2175</v>
      </c>
      <c r="D97" s="862" t="s">
        <v>2189</v>
      </c>
      <c r="E97" s="865" t="s">
        <v>2246</v>
      </c>
      <c r="F97" s="866" t="s">
        <v>2257</v>
      </c>
      <c r="G97" s="865" t="s">
        <v>2186</v>
      </c>
      <c r="H97" s="865" t="s">
        <v>2177</v>
      </c>
    </row>
    <row r="98" spans="1:8" x14ac:dyDescent="0.45">
      <c r="A98" s="861">
        <v>97</v>
      </c>
      <c r="B98" s="970"/>
      <c r="C98" s="862" t="s">
        <v>2175</v>
      </c>
      <c r="D98" s="862" t="s">
        <v>2191</v>
      </c>
      <c r="E98" s="865" t="s">
        <v>2272</v>
      </c>
      <c r="F98" s="866" t="s">
        <v>2273</v>
      </c>
      <c r="G98" s="865" t="s">
        <v>2186</v>
      </c>
      <c r="H98" s="865" t="s">
        <v>2177</v>
      </c>
    </row>
    <row r="99" spans="1:8" x14ac:dyDescent="0.45">
      <c r="A99" s="861">
        <v>98</v>
      </c>
      <c r="B99" s="970"/>
      <c r="C99" s="862" t="s">
        <v>2175</v>
      </c>
      <c r="D99" s="862" t="s">
        <v>2193</v>
      </c>
      <c r="E99" s="865" t="s">
        <v>2274</v>
      </c>
      <c r="F99" s="866" t="s">
        <v>2275</v>
      </c>
      <c r="G99" s="865" t="s">
        <v>2186</v>
      </c>
      <c r="H99" s="865" t="s">
        <v>2177</v>
      </c>
    </row>
    <row r="100" spans="1:8" x14ac:dyDescent="0.45">
      <c r="A100" s="861">
        <v>99</v>
      </c>
      <c r="B100" s="970"/>
      <c r="C100" s="862" t="s">
        <v>2178</v>
      </c>
      <c r="D100" s="862" t="s">
        <v>2184</v>
      </c>
      <c r="E100" s="865" t="s">
        <v>2202</v>
      </c>
      <c r="F100" s="866"/>
      <c r="G100" s="865"/>
      <c r="H100" s="865" t="s">
        <v>2218</v>
      </c>
    </row>
    <row r="101" spans="1:8" x14ac:dyDescent="0.45">
      <c r="A101" s="861">
        <v>100</v>
      </c>
      <c r="B101" s="970"/>
      <c r="C101" s="862" t="s">
        <v>2178</v>
      </c>
      <c r="D101" s="862" t="s">
        <v>2187</v>
      </c>
      <c r="E101" s="865" t="s">
        <v>2267</v>
      </c>
      <c r="F101" s="866"/>
      <c r="G101" s="865"/>
      <c r="H101" s="865" t="s">
        <v>2218</v>
      </c>
    </row>
    <row r="102" spans="1:8" x14ac:dyDescent="0.45">
      <c r="A102" s="861">
        <v>101</v>
      </c>
      <c r="B102" s="970"/>
      <c r="C102" s="862" t="s">
        <v>2178</v>
      </c>
      <c r="D102" s="862" t="s">
        <v>2189</v>
      </c>
      <c r="E102" s="865" t="s">
        <v>2248</v>
      </c>
      <c r="F102" s="866"/>
      <c r="G102" s="865"/>
      <c r="H102" s="865" t="s">
        <v>2218</v>
      </c>
    </row>
    <row r="103" spans="1:8" x14ac:dyDescent="0.45">
      <c r="A103" s="861">
        <v>102</v>
      </c>
      <c r="B103" s="970"/>
      <c r="C103" s="862" t="s">
        <v>2178</v>
      </c>
      <c r="D103" s="862" t="s">
        <v>2191</v>
      </c>
      <c r="E103" s="863">
        <v>45784</v>
      </c>
      <c r="F103" s="866"/>
      <c r="G103" s="865"/>
      <c r="H103" s="865" t="s">
        <v>2218</v>
      </c>
    </row>
    <row r="104" spans="1:8" x14ac:dyDescent="0.45">
      <c r="A104" s="861">
        <v>103</v>
      </c>
      <c r="B104" s="970"/>
      <c r="C104" s="862" t="s">
        <v>2178</v>
      </c>
      <c r="D104" s="862" t="s">
        <v>2193</v>
      </c>
      <c r="E104" s="865" t="s">
        <v>2270</v>
      </c>
      <c r="F104" s="866"/>
      <c r="G104" s="865"/>
      <c r="H104" s="865" t="s">
        <v>2218</v>
      </c>
    </row>
    <row r="105" spans="1:8" x14ac:dyDescent="0.45">
      <c r="A105" s="861">
        <v>104</v>
      </c>
      <c r="B105" s="970"/>
      <c r="C105" s="862" t="s">
        <v>2178</v>
      </c>
      <c r="D105" s="862" t="s">
        <v>2195</v>
      </c>
      <c r="E105" s="863">
        <v>45798</v>
      </c>
      <c r="F105" s="866"/>
      <c r="G105" s="865"/>
      <c r="H105" s="865" t="s">
        <v>2218</v>
      </c>
    </row>
    <row r="106" spans="1:8" x14ac:dyDescent="0.45">
      <c r="A106" s="861">
        <v>105</v>
      </c>
      <c r="B106" s="969" t="s">
        <v>2276</v>
      </c>
      <c r="C106" s="862" t="s">
        <v>2175</v>
      </c>
      <c r="D106" s="862" t="s">
        <v>2184</v>
      </c>
      <c r="E106" s="863">
        <v>45776</v>
      </c>
      <c r="F106" s="866" t="s">
        <v>2267</v>
      </c>
      <c r="G106" s="865" t="s">
        <v>2186</v>
      </c>
      <c r="H106" s="865" t="s">
        <v>2177</v>
      </c>
    </row>
    <row r="107" spans="1:8" x14ac:dyDescent="0.45">
      <c r="A107" s="861">
        <v>106</v>
      </c>
      <c r="B107" s="970"/>
      <c r="C107" s="862" t="s">
        <v>2175</v>
      </c>
      <c r="D107" s="862" t="s">
        <v>2187</v>
      </c>
      <c r="E107" s="865" t="s">
        <v>2273</v>
      </c>
      <c r="F107" s="866" t="s">
        <v>2249</v>
      </c>
      <c r="G107" s="865" t="s">
        <v>2186</v>
      </c>
      <c r="H107" s="865" t="s">
        <v>2177</v>
      </c>
    </row>
    <row r="108" spans="1:8" x14ac:dyDescent="0.45">
      <c r="A108" s="861">
        <v>107</v>
      </c>
      <c r="B108" s="970"/>
      <c r="C108" s="862" t="s">
        <v>2175</v>
      </c>
      <c r="D108" s="862" t="s">
        <v>2189</v>
      </c>
      <c r="E108" s="865" t="s">
        <v>2269</v>
      </c>
      <c r="F108" s="866" t="s">
        <v>2270</v>
      </c>
      <c r="G108" s="865" t="s">
        <v>2186</v>
      </c>
      <c r="H108" s="865" t="s">
        <v>2177</v>
      </c>
    </row>
    <row r="109" spans="1:8" x14ac:dyDescent="0.45">
      <c r="A109" s="861">
        <v>108</v>
      </c>
      <c r="B109" s="970"/>
      <c r="C109" s="862" t="s">
        <v>2175</v>
      </c>
      <c r="D109" s="862" t="s">
        <v>2191</v>
      </c>
      <c r="E109" s="865" t="s">
        <v>2277</v>
      </c>
      <c r="F109" s="866" t="s">
        <v>2278</v>
      </c>
      <c r="G109" s="865" t="s">
        <v>2279</v>
      </c>
      <c r="H109" s="865" t="s">
        <v>2177</v>
      </c>
    </row>
    <row r="110" spans="1:8" x14ac:dyDescent="0.45">
      <c r="A110" s="861">
        <v>109</v>
      </c>
      <c r="B110" s="969" t="s">
        <v>2280</v>
      </c>
      <c r="C110" s="862" t="s">
        <v>2175</v>
      </c>
      <c r="D110" s="862" t="s">
        <v>2184</v>
      </c>
      <c r="E110" s="865" t="s">
        <v>2266</v>
      </c>
      <c r="F110" s="866" t="s">
        <v>2267</v>
      </c>
      <c r="G110" s="865" t="s">
        <v>2279</v>
      </c>
      <c r="H110" s="865" t="s">
        <v>2177</v>
      </c>
    </row>
    <row r="111" spans="1:8" x14ac:dyDescent="0.45">
      <c r="A111" s="861">
        <v>110</v>
      </c>
      <c r="B111" s="970"/>
      <c r="C111" s="862" t="s">
        <v>2175</v>
      </c>
      <c r="D111" s="862" t="s">
        <v>2187</v>
      </c>
      <c r="E111" s="865" t="s">
        <v>2281</v>
      </c>
      <c r="F111" s="866" t="s">
        <v>2249</v>
      </c>
      <c r="G111" s="865" t="s">
        <v>2279</v>
      </c>
      <c r="H111" s="865" t="s">
        <v>2177</v>
      </c>
    </row>
    <row r="112" spans="1:8" x14ac:dyDescent="0.45">
      <c r="A112" s="861">
        <v>111</v>
      </c>
      <c r="B112" s="970"/>
      <c r="C112" s="862" t="s">
        <v>2175</v>
      </c>
      <c r="D112" s="862" t="s">
        <v>2189</v>
      </c>
      <c r="E112" s="865" t="s">
        <v>2251</v>
      </c>
      <c r="F112" s="866" t="s">
        <v>2270</v>
      </c>
      <c r="G112" s="865" t="s">
        <v>2279</v>
      </c>
      <c r="H112" s="865" t="s">
        <v>2177</v>
      </c>
    </row>
    <row r="113" spans="1:8" x14ac:dyDescent="0.45">
      <c r="A113" s="861">
        <v>112</v>
      </c>
      <c r="B113" s="970"/>
      <c r="C113" s="862" t="s">
        <v>2175</v>
      </c>
      <c r="D113" s="862" t="s">
        <v>2191</v>
      </c>
      <c r="E113" s="865" t="s">
        <v>2282</v>
      </c>
      <c r="F113" s="866" t="s">
        <v>2278</v>
      </c>
      <c r="G113" s="865" t="s">
        <v>2279</v>
      </c>
      <c r="H113" s="865" t="s">
        <v>2177</v>
      </c>
    </row>
    <row r="114" spans="1:8" x14ac:dyDescent="0.45">
      <c r="A114" s="861">
        <v>113</v>
      </c>
      <c r="B114" s="970"/>
      <c r="C114" s="862" t="s">
        <v>2175</v>
      </c>
      <c r="D114" s="862" t="s">
        <v>2193</v>
      </c>
      <c r="E114" s="865" t="s">
        <v>2283</v>
      </c>
      <c r="F114" s="866" t="s">
        <v>2284</v>
      </c>
      <c r="G114" s="865" t="s">
        <v>2279</v>
      </c>
      <c r="H114" s="865" t="s">
        <v>2177</v>
      </c>
    </row>
    <row r="115" spans="1:8" x14ac:dyDescent="0.45">
      <c r="A115" s="861">
        <v>114</v>
      </c>
      <c r="B115" s="970"/>
      <c r="C115" s="862" t="s">
        <v>2175</v>
      </c>
      <c r="D115" s="862" t="s">
        <v>2195</v>
      </c>
      <c r="E115" s="865" t="s">
        <v>2285</v>
      </c>
      <c r="F115" s="866" t="s">
        <v>2286</v>
      </c>
      <c r="G115" s="865" t="s">
        <v>2279</v>
      </c>
      <c r="H115" s="865" t="s">
        <v>2177</v>
      </c>
    </row>
    <row r="116" spans="1:8" x14ac:dyDescent="0.45">
      <c r="A116" s="861">
        <v>115</v>
      </c>
      <c r="B116" s="970"/>
      <c r="C116" s="862" t="s">
        <v>2178</v>
      </c>
      <c r="D116" s="862" t="s">
        <v>2287</v>
      </c>
      <c r="E116" s="865" t="s">
        <v>2288</v>
      </c>
      <c r="F116" s="866" t="s">
        <v>2249</v>
      </c>
      <c r="G116" s="865" t="s">
        <v>2279</v>
      </c>
      <c r="H116" s="865" t="s">
        <v>2177</v>
      </c>
    </row>
    <row r="117" spans="1:8" x14ac:dyDescent="0.45">
      <c r="A117" s="861">
        <v>116</v>
      </c>
      <c r="B117" s="970"/>
      <c r="C117" s="862" t="s">
        <v>2178</v>
      </c>
      <c r="D117" s="862" t="s">
        <v>2289</v>
      </c>
      <c r="E117" s="865" t="s">
        <v>2268</v>
      </c>
      <c r="F117" s="866" t="s">
        <v>2251</v>
      </c>
      <c r="G117" s="865" t="s">
        <v>2279</v>
      </c>
      <c r="H117" s="865" t="s">
        <v>2177</v>
      </c>
    </row>
    <row r="118" spans="1:8" x14ac:dyDescent="0.45">
      <c r="A118" s="861">
        <v>117</v>
      </c>
      <c r="B118" s="970"/>
      <c r="C118" s="862" t="s">
        <v>2178</v>
      </c>
      <c r="D118" s="862" t="s">
        <v>2290</v>
      </c>
      <c r="E118" s="865" t="s">
        <v>2291</v>
      </c>
      <c r="F118" s="866" t="s">
        <v>2282</v>
      </c>
      <c r="G118" s="865" t="s">
        <v>2279</v>
      </c>
      <c r="H118" s="865" t="s">
        <v>2177</v>
      </c>
    </row>
    <row r="119" spans="1:8" x14ac:dyDescent="0.45">
      <c r="A119" s="861">
        <v>118</v>
      </c>
      <c r="B119" s="970"/>
      <c r="C119" s="862" t="s">
        <v>2178</v>
      </c>
      <c r="D119" s="862" t="s">
        <v>2292</v>
      </c>
      <c r="E119" s="863">
        <v>45800</v>
      </c>
      <c r="F119" s="866" t="s">
        <v>2283</v>
      </c>
      <c r="G119" s="865" t="s">
        <v>2279</v>
      </c>
      <c r="H119" s="865" t="s">
        <v>2177</v>
      </c>
    </row>
    <row r="120" spans="1:8" x14ac:dyDescent="0.45">
      <c r="A120" s="861">
        <v>119</v>
      </c>
      <c r="B120" s="969" t="s">
        <v>2293</v>
      </c>
      <c r="C120" s="862" t="s">
        <v>2175</v>
      </c>
      <c r="D120" s="862">
        <v>1</v>
      </c>
      <c r="E120" s="863">
        <v>45786</v>
      </c>
      <c r="F120" s="866" t="s">
        <v>2251</v>
      </c>
      <c r="G120" s="865" t="s">
        <v>578</v>
      </c>
      <c r="H120" s="865" t="s">
        <v>2177</v>
      </c>
    </row>
    <row r="121" spans="1:8" x14ac:dyDescent="0.45">
      <c r="A121" s="861">
        <v>120</v>
      </c>
      <c r="B121" s="970"/>
      <c r="C121" s="862" t="s">
        <v>2175</v>
      </c>
      <c r="D121" s="862">
        <v>2</v>
      </c>
      <c r="E121" s="863">
        <v>45791</v>
      </c>
      <c r="F121" s="866" t="s">
        <v>2291</v>
      </c>
      <c r="G121" s="865" t="s">
        <v>578</v>
      </c>
      <c r="H121" s="865" t="s">
        <v>2177</v>
      </c>
    </row>
    <row r="122" spans="1:8" x14ac:dyDescent="0.45">
      <c r="A122" s="861">
        <v>121</v>
      </c>
      <c r="B122" s="970"/>
      <c r="C122" s="862" t="s">
        <v>2175</v>
      </c>
      <c r="D122" s="862">
        <v>3</v>
      </c>
      <c r="E122" s="863">
        <v>45798</v>
      </c>
      <c r="F122" s="866" t="s">
        <v>2294</v>
      </c>
      <c r="G122" s="865" t="s">
        <v>2279</v>
      </c>
      <c r="H122" s="865" t="s">
        <v>2177</v>
      </c>
    </row>
    <row r="123" spans="1:8" x14ac:dyDescent="0.45">
      <c r="A123" s="861">
        <v>122</v>
      </c>
      <c r="B123" s="970"/>
      <c r="C123" s="862" t="s">
        <v>2175</v>
      </c>
      <c r="D123" s="862">
        <v>4</v>
      </c>
      <c r="E123" s="863">
        <v>45805</v>
      </c>
      <c r="F123" s="866" t="s">
        <v>2285</v>
      </c>
      <c r="G123" s="865" t="s">
        <v>2279</v>
      </c>
      <c r="H123" s="865" t="s">
        <v>2177</v>
      </c>
    </row>
    <row r="124" spans="1:8" x14ac:dyDescent="0.45">
      <c r="A124" s="861">
        <v>123</v>
      </c>
      <c r="B124" s="970"/>
      <c r="C124" s="862" t="s">
        <v>2175</v>
      </c>
      <c r="D124" s="862">
        <v>5</v>
      </c>
      <c r="E124" s="863">
        <v>45812</v>
      </c>
      <c r="F124" s="866" t="s">
        <v>2295</v>
      </c>
      <c r="G124" s="865" t="s">
        <v>2279</v>
      </c>
      <c r="H124" s="865" t="s">
        <v>2177</v>
      </c>
    </row>
    <row r="125" spans="1:8" x14ac:dyDescent="0.45">
      <c r="A125" s="861">
        <v>124</v>
      </c>
      <c r="B125" s="970"/>
      <c r="C125" s="862" t="s">
        <v>2175</v>
      </c>
      <c r="D125" s="862" t="s">
        <v>2296</v>
      </c>
      <c r="E125" s="863">
        <v>45789</v>
      </c>
      <c r="F125" s="866" t="s">
        <v>2270</v>
      </c>
      <c r="G125" s="865" t="s">
        <v>2279</v>
      </c>
      <c r="H125" s="865" t="s">
        <v>2177</v>
      </c>
    </row>
    <row r="126" spans="1:8" x14ac:dyDescent="0.45">
      <c r="A126" s="861">
        <v>125</v>
      </c>
      <c r="B126" s="970"/>
      <c r="C126" s="862" t="s">
        <v>2175</v>
      </c>
      <c r="D126" s="862" t="s">
        <v>2297</v>
      </c>
      <c r="E126" s="863">
        <v>45796</v>
      </c>
      <c r="F126" s="866" t="s">
        <v>2278</v>
      </c>
      <c r="G126" s="865" t="s">
        <v>2279</v>
      </c>
      <c r="H126" s="865" t="s">
        <v>2177</v>
      </c>
    </row>
    <row r="127" spans="1:8" x14ac:dyDescent="0.45">
      <c r="A127" s="861">
        <v>126</v>
      </c>
      <c r="B127" s="970"/>
      <c r="C127" s="862" t="s">
        <v>2175</v>
      </c>
      <c r="D127" s="862" t="s">
        <v>2298</v>
      </c>
      <c r="E127" s="863">
        <v>45800</v>
      </c>
      <c r="F127" s="866" t="s">
        <v>2283</v>
      </c>
      <c r="G127" s="865" t="s">
        <v>2279</v>
      </c>
      <c r="H127" s="865" t="s">
        <v>2177</v>
      </c>
    </row>
    <row r="128" spans="1:8" x14ac:dyDescent="0.45">
      <c r="A128" s="861">
        <v>127</v>
      </c>
      <c r="B128" s="970"/>
      <c r="C128" s="862" t="s">
        <v>2175</v>
      </c>
      <c r="D128" s="862" t="s">
        <v>2299</v>
      </c>
      <c r="E128" s="863">
        <v>45810</v>
      </c>
      <c r="F128" s="867">
        <v>45812</v>
      </c>
      <c r="G128" s="865" t="s">
        <v>2279</v>
      </c>
      <c r="H128" s="865" t="s">
        <v>2177</v>
      </c>
    </row>
    <row r="129" spans="1:8" x14ac:dyDescent="0.45">
      <c r="A129" s="861">
        <v>128</v>
      </c>
      <c r="B129" s="970"/>
      <c r="C129" s="862" t="s">
        <v>2175</v>
      </c>
      <c r="D129" s="862" t="s">
        <v>2300</v>
      </c>
      <c r="E129" s="863">
        <v>45817</v>
      </c>
      <c r="F129" s="866" t="s">
        <v>2301</v>
      </c>
      <c r="G129" s="865" t="s">
        <v>2279</v>
      </c>
      <c r="H129" s="865" t="s">
        <v>2177</v>
      </c>
    </row>
    <row r="130" spans="1:8" x14ac:dyDescent="0.45">
      <c r="A130" s="861">
        <v>129</v>
      </c>
      <c r="B130" s="969" t="s">
        <v>2302</v>
      </c>
      <c r="C130" s="862" t="s">
        <v>2175</v>
      </c>
      <c r="D130" s="862">
        <v>1</v>
      </c>
      <c r="E130" s="865" t="s">
        <v>2303</v>
      </c>
      <c r="F130" s="867">
        <v>45797</v>
      </c>
      <c r="G130" s="865" t="s">
        <v>2279</v>
      </c>
      <c r="H130" s="865" t="s">
        <v>2177</v>
      </c>
    </row>
    <row r="131" spans="1:8" x14ac:dyDescent="0.45">
      <c r="A131" s="861">
        <v>130</v>
      </c>
      <c r="B131" s="970"/>
      <c r="C131" s="862" t="s">
        <v>2175</v>
      </c>
      <c r="D131" s="862">
        <v>2</v>
      </c>
      <c r="E131" s="865" t="s">
        <v>2304</v>
      </c>
      <c r="F131" s="867">
        <v>45804</v>
      </c>
      <c r="G131" s="865" t="s">
        <v>2279</v>
      </c>
      <c r="H131" s="865" t="s">
        <v>2177</v>
      </c>
    </row>
    <row r="132" spans="1:8" x14ac:dyDescent="0.45">
      <c r="A132" s="861">
        <v>131</v>
      </c>
      <c r="B132" s="970"/>
      <c r="C132" s="862" t="s">
        <v>2175</v>
      </c>
      <c r="D132" s="862">
        <v>3</v>
      </c>
      <c r="E132" s="865" t="s">
        <v>2305</v>
      </c>
      <c r="F132" s="867">
        <v>45811</v>
      </c>
      <c r="G132" s="865" t="s">
        <v>2279</v>
      </c>
      <c r="H132" s="865" t="s">
        <v>2177</v>
      </c>
    </row>
    <row r="133" spans="1:8" x14ac:dyDescent="0.45">
      <c r="A133" s="861">
        <v>132</v>
      </c>
      <c r="B133" s="970"/>
      <c r="C133" s="862" t="s">
        <v>2175</v>
      </c>
      <c r="D133" s="862">
        <v>4</v>
      </c>
      <c r="E133" s="865" t="s">
        <v>2306</v>
      </c>
      <c r="F133" s="867">
        <v>45818</v>
      </c>
      <c r="G133" s="865" t="s">
        <v>2279</v>
      </c>
      <c r="H133" s="865" t="s">
        <v>2177</v>
      </c>
    </row>
    <row r="134" spans="1:8" x14ac:dyDescent="0.45">
      <c r="A134" s="861">
        <v>133</v>
      </c>
      <c r="B134" s="969" t="s">
        <v>2307</v>
      </c>
      <c r="C134" s="862" t="s">
        <v>2175</v>
      </c>
      <c r="D134" s="862" t="s">
        <v>2184</v>
      </c>
      <c r="E134" s="865" t="s">
        <v>2308</v>
      </c>
      <c r="F134" s="866" t="s">
        <v>2309</v>
      </c>
      <c r="G134" s="865" t="s">
        <v>2182</v>
      </c>
      <c r="H134" s="865" t="s">
        <v>2218</v>
      </c>
    </row>
    <row r="135" spans="1:8" x14ac:dyDescent="0.45">
      <c r="A135" s="861">
        <v>134</v>
      </c>
      <c r="B135" s="970"/>
      <c r="C135" s="862" t="s">
        <v>2175</v>
      </c>
      <c r="D135" s="862" t="s">
        <v>2187</v>
      </c>
      <c r="E135" s="865" t="s">
        <v>2250</v>
      </c>
      <c r="F135" s="866" t="s">
        <v>2268</v>
      </c>
      <c r="G135" s="865" t="s">
        <v>2182</v>
      </c>
      <c r="H135" s="865" t="s">
        <v>2218</v>
      </c>
    </row>
    <row r="136" spans="1:8" x14ac:dyDescent="0.45">
      <c r="A136" s="861">
        <v>135</v>
      </c>
      <c r="B136" s="970"/>
      <c r="C136" s="862" t="s">
        <v>2175</v>
      </c>
      <c r="D136" s="862" t="s">
        <v>2189</v>
      </c>
      <c r="E136" s="865" t="s">
        <v>2310</v>
      </c>
      <c r="F136" s="866" t="s">
        <v>2251</v>
      </c>
      <c r="G136" s="865" t="s">
        <v>2182</v>
      </c>
      <c r="H136" s="865" t="s">
        <v>2218</v>
      </c>
    </row>
    <row r="137" spans="1:8" x14ac:dyDescent="0.45">
      <c r="A137" s="861">
        <v>136</v>
      </c>
      <c r="B137" s="970"/>
      <c r="C137" s="862" t="s">
        <v>2175</v>
      </c>
      <c r="D137" s="862" t="s">
        <v>2191</v>
      </c>
      <c r="E137" s="865" t="s">
        <v>2311</v>
      </c>
      <c r="F137" s="866" t="s">
        <v>2291</v>
      </c>
      <c r="G137" s="865" t="s">
        <v>2182</v>
      </c>
      <c r="H137" s="865" t="s">
        <v>2218</v>
      </c>
    </row>
    <row r="138" spans="1:8" x14ac:dyDescent="0.45">
      <c r="A138" s="861">
        <v>137</v>
      </c>
      <c r="B138" s="970"/>
      <c r="C138" s="862" t="s">
        <v>2178</v>
      </c>
      <c r="D138" s="862" t="s">
        <v>2184</v>
      </c>
      <c r="E138" s="865" t="s">
        <v>2282</v>
      </c>
      <c r="F138" s="866" t="s">
        <v>2277</v>
      </c>
      <c r="G138" s="865" t="s">
        <v>2182</v>
      </c>
      <c r="H138" s="865" t="s">
        <v>2218</v>
      </c>
    </row>
    <row r="139" spans="1:8" x14ac:dyDescent="0.45">
      <c r="A139" s="861">
        <v>138</v>
      </c>
      <c r="B139" s="970"/>
      <c r="C139" s="862" t="s">
        <v>2178</v>
      </c>
      <c r="D139" s="862" t="s">
        <v>2187</v>
      </c>
      <c r="E139" s="865" t="s">
        <v>2277</v>
      </c>
      <c r="F139" s="866" t="s">
        <v>2278</v>
      </c>
      <c r="G139" s="865" t="s">
        <v>2182</v>
      </c>
      <c r="H139" s="865" t="s">
        <v>2218</v>
      </c>
    </row>
    <row r="140" spans="1:8" x14ac:dyDescent="0.45">
      <c r="A140" s="861">
        <v>139</v>
      </c>
      <c r="B140" s="970"/>
      <c r="C140" s="862" t="s">
        <v>2178</v>
      </c>
      <c r="D140" s="862" t="s">
        <v>2189</v>
      </c>
      <c r="E140" s="865" t="s">
        <v>2278</v>
      </c>
      <c r="F140" s="866" t="s">
        <v>2312</v>
      </c>
      <c r="G140" s="865" t="s">
        <v>2182</v>
      </c>
      <c r="H140" s="865" t="s">
        <v>2218</v>
      </c>
    </row>
    <row r="141" spans="1:8" x14ac:dyDescent="0.45">
      <c r="A141" s="861">
        <v>140</v>
      </c>
      <c r="B141" s="970"/>
      <c r="C141" s="862" t="s">
        <v>2178</v>
      </c>
      <c r="D141" s="862" t="s">
        <v>2191</v>
      </c>
      <c r="E141" s="865" t="s">
        <v>2312</v>
      </c>
      <c r="F141" s="866" t="s">
        <v>2294</v>
      </c>
      <c r="G141" s="865" t="s">
        <v>2182</v>
      </c>
      <c r="H141" s="865" t="s">
        <v>2218</v>
      </c>
    </row>
    <row r="142" spans="1:8" x14ac:dyDescent="0.45">
      <c r="A142" s="861">
        <v>141</v>
      </c>
      <c r="B142" s="970"/>
      <c r="C142" s="862" t="s">
        <v>2178</v>
      </c>
      <c r="D142" s="862" t="s">
        <v>2193</v>
      </c>
      <c r="E142" s="865" t="s">
        <v>2294</v>
      </c>
      <c r="F142" s="866" t="s">
        <v>2283</v>
      </c>
      <c r="G142" s="865" t="s">
        <v>2182</v>
      </c>
      <c r="H142" s="865" t="s">
        <v>2218</v>
      </c>
    </row>
    <row r="143" spans="1:8" x14ac:dyDescent="0.45">
      <c r="A143" s="861">
        <v>142</v>
      </c>
      <c r="B143" s="970"/>
      <c r="C143" s="862" t="s">
        <v>2178</v>
      </c>
      <c r="D143" s="862" t="s">
        <v>2195</v>
      </c>
      <c r="E143" s="865" t="s">
        <v>2283</v>
      </c>
      <c r="F143" s="866" t="s">
        <v>2313</v>
      </c>
      <c r="G143" s="865" t="s">
        <v>2182</v>
      </c>
      <c r="H143" s="865" t="s">
        <v>2218</v>
      </c>
    </row>
    <row r="144" spans="1:8" x14ac:dyDescent="0.45">
      <c r="A144" s="861">
        <v>143</v>
      </c>
      <c r="B144" s="970"/>
      <c r="C144" s="862" t="s">
        <v>2178</v>
      </c>
      <c r="D144" s="862" t="s">
        <v>2198</v>
      </c>
      <c r="E144" s="865" t="s">
        <v>2313</v>
      </c>
      <c r="F144" s="866" t="s">
        <v>2284</v>
      </c>
      <c r="G144" s="865" t="s">
        <v>2182</v>
      </c>
      <c r="H144" s="865" t="s">
        <v>2218</v>
      </c>
    </row>
    <row r="145" spans="1:8" x14ac:dyDescent="0.45">
      <c r="A145" s="861">
        <v>144</v>
      </c>
      <c r="B145" s="970"/>
      <c r="C145" s="862" t="s">
        <v>2178</v>
      </c>
      <c r="D145" s="862" t="s">
        <v>2201</v>
      </c>
      <c r="E145" s="865" t="s">
        <v>2284</v>
      </c>
      <c r="F145" s="866" t="s">
        <v>2314</v>
      </c>
      <c r="G145" s="865" t="s">
        <v>2182</v>
      </c>
      <c r="H145" s="865" t="s">
        <v>2218</v>
      </c>
    </row>
    <row r="146" spans="1:8" x14ac:dyDescent="0.45">
      <c r="A146" s="861">
        <v>145</v>
      </c>
      <c r="B146" s="970"/>
      <c r="C146" s="862" t="s">
        <v>2178</v>
      </c>
      <c r="D146" s="862" t="s">
        <v>2255</v>
      </c>
      <c r="E146" s="865" t="s">
        <v>2314</v>
      </c>
      <c r="F146" s="866" t="s">
        <v>2285</v>
      </c>
      <c r="G146" s="865" t="s">
        <v>2182</v>
      </c>
      <c r="H146" s="865" t="s">
        <v>2218</v>
      </c>
    </row>
    <row r="147" spans="1:8" x14ac:dyDescent="0.45">
      <c r="A147" s="861">
        <v>146</v>
      </c>
      <c r="B147" s="970"/>
      <c r="C147" s="862" t="s">
        <v>2178</v>
      </c>
      <c r="D147" s="862" t="s">
        <v>2256</v>
      </c>
      <c r="E147" s="865" t="s">
        <v>2285</v>
      </c>
      <c r="F147" s="866" t="s">
        <v>2305</v>
      </c>
      <c r="G147" s="865" t="s">
        <v>2182</v>
      </c>
      <c r="H147" s="865" t="s">
        <v>2218</v>
      </c>
    </row>
    <row r="148" spans="1:8" x14ac:dyDescent="0.45">
      <c r="A148" s="861">
        <v>147</v>
      </c>
      <c r="B148" s="969" t="s">
        <v>2315</v>
      </c>
      <c r="C148" s="862" t="s">
        <v>2175</v>
      </c>
      <c r="D148" s="865" t="s">
        <v>2184</v>
      </c>
      <c r="E148" s="865" t="s">
        <v>2273</v>
      </c>
      <c r="F148" s="866" t="s">
        <v>2249</v>
      </c>
      <c r="G148" s="865" t="s">
        <v>2182</v>
      </c>
      <c r="H148" s="865" t="s">
        <v>2177</v>
      </c>
    </row>
    <row r="149" spans="1:8" x14ac:dyDescent="0.45">
      <c r="A149" s="861">
        <v>148</v>
      </c>
      <c r="B149" s="970"/>
      <c r="C149" s="862" t="s">
        <v>2175</v>
      </c>
      <c r="D149" s="862" t="s">
        <v>2187</v>
      </c>
      <c r="E149" s="865" t="s">
        <v>2250</v>
      </c>
      <c r="F149" s="866" t="s">
        <v>2268</v>
      </c>
      <c r="G149" s="865" t="s">
        <v>2182</v>
      </c>
      <c r="H149" s="865" t="s">
        <v>2177</v>
      </c>
    </row>
    <row r="150" spans="1:8" x14ac:dyDescent="0.45">
      <c r="A150" s="861">
        <v>149</v>
      </c>
      <c r="B150" s="970"/>
      <c r="C150" s="862" t="s">
        <v>2175</v>
      </c>
      <c r="D150" s="862" t="s">
        <v>2189</v>
      </c>
      <c r="E150" s="865" t="s">
        <v>2311</v>
      </c>
      <c r="F150" s="866" t="s">
        <v>2291</v>
      </c>
      <c r="G150" s="865" t="s">
        <v>2182</v>
      </c>
      <c r="H150" s="865" t="s">
        <v>2177</v>
      </c>
    </row>
    <row r="151" spans="1:8" x14ac:dyDescent="0.45">
      <c r="A151" s="861">
        <v>150</v>
      </c>
      <c r="B151" s="970"/>
      <c r="C151" s="862" t="s">
        <v>2175</v>
      </c>
      <c r="D151" s="862" t="s">
        <v>2191</v>
      </c>
      <c r="E151" s="865" t="s">
        <v>2312</v>
      </c>
      <c r="F151" s="866" t="s">
        <v>2294</v>
      </c>
      <c r="G151" s="865" t="s">
        <v>2182</v>
      </c>
      <c r="H151" s="865" t="s">
        <v>2177</v>
      </c>
    </row>
    <row r="152" spans="1:8" x14ac:dyDescent="0.45">
      <c r="A152" s="861">
        <v>151</v>
      </c>
      <c r="B152" s="970"/>
      <c r="C152" s="862" t="s">
        <v>2175</v>
      </c>
      <c r="D152" s="862" t="s">
        <v>2193</v>
      </c>
      <c r="E152" s="865" t="s">
        <v>2314</v>
      </c>
      <c r="F152" s="866" t="s">
        <v>2285</v>
      </c>
      <c r="G152" s="865" t="s">
        <v>2182</v>
      </c>
      <c r="H152" s="865" t="s">
        <v>2177</v>
      </c>
    </row>
    <row r="153" spans="1:8" x14ac:dyDescent="0.45">
      <c r="A153" s="861"/>
      <c r="B153" s="970"/>
      <c r="C153" s="862" t="s">
        <v>2175</v>
      </c>
      <c r="D153" s="862" t="s">
        <v>2195</v>
      </c>
      <c r="E153" s="865" t="s">
        <v>2316</v>
      </c>
      <c r="F153" s="866" t="s">
        <v>2317</v>
      </c>
      <c r="G153" s="865" t="s">
        <v>2182</v>
      </c>
      <c r="H153" s="865" t="s">
        <v>2177</v>
      </c>
    </row>
    <row r="154" spans="1:8" x14ac:dyDescent="0.45">
      <c r="A154" s="861">
        <v>153</v>
      </c>
      <c r="B154" s="970"/>
      <c r="C154" s="862" t="s">
        <v>2175</v>
      </c>
      <c r="D154" s="862" t="s">
        <v>2198</v>
      </c>
      <c r="E154" s="865" t="s">
        <v>2318</v>
      </c>
      <c r="F154" s="866" t="s">
        <v>2319</v>
      </c>
      <c r="G154" s="865" t="s">
        <v>2182</v>
      </c>
      <c r="H154" s="865" t="s">
        <v>2177</v>
      </c>
    </row>
    <row r="155" spans="1:8" x14ac:dyDescent="0.45">
      <c r="A155" s="861">
        <v>154</v>
      </c>
      <c r="B155" s="970"/>
      <c r="C155" s="862" t="s">
        <v>2178</v>
      </c>
      <c r="D155" s="862" t="s">
        <v>2184</v>
      </c>
      <c r="E155" s="865" t="s">
        <v>2269</v>
      </c>
      <c r="F155" s="866" t="s">
        <v>2270</v>
      </c>
      <c r="G155" s="865" t="s">
        <v>2182</v>
      </c>
      <c r="H155" s="865" t="s">
        <v>2177</v>
      </c>
    </row>
    <row r="156" spans="1:8" x14ac:dyDescent="0.45">
      <c r="A156" s="861">
        <v>155</v>
      </c>
      <c r="B156" s="970"/>
      <c r="C156" s="862" t="s">
        <v>2178</v>
      </c>
      <c r="D156" s="862" t="s">
        <v>2187</v>
      </c>
      <c r="E156" s="865" t="s">
        <v>2277</v>
      </c>
      <c r="F156" s="866" t="s">
        <v>2278</v>
      </c>
      <c r="G156" s="865" t="s">
        <v>2182</v>
      </c>
      <c r="H156" s="865" t="s">
        <v>2177</v>
      </c>
    </row>
    <row r="157" spans="1:8" x14ac:dyDescent="0.45">
      <c r="A157" s="861">
        <v>156</v>
      </c>
      <c r="B157" s="970"/>
      <c r="C157" s="862" t="s">
        <v>2178</v>
      </c>
      <c r="D157" s="862" t="s">
        <v>2189</v>
      </c>
      <c r="E157" s="865" t="s">
        <v>2313</v>
      </c>
      <c r="F157" s="866" t="s">
        <v>2284</v>
      </c>
      <c r="G157" s="865" t="s">
        <v>2182</v>
      </c>
      <c r="H157" s="865" t="s">
        <v>2177</v>
      </c>
    </row>
    <row r="158" spans="1:8" x14ac:dyDescent="0.45">
      <c r="A158" s="861">
        <v>157</v>
      </c>
      <c r="B158" s="970"/>
      <c r="C158" s="862" t="s">
        <v>2178</v>
      </c>
      <c r="D158" s="862" t="s">
        <v>2191</v>
      </c>
      <c r="E158" s="865" t="s">
        <v>2320</v>
      </c>
      <c r="F158" s="866" t="s">
        <v>2301</v>
      </c>
      <c r="G158" s="865" t="s">
        <v>2182</v>
      </c>
      <c r="H158" s="865" t="s">
        <v>2177</v>
      </c>
    </row>
    <row r="159" spans="1:8" x14ac:dyDescent="0.45">
      <c r="A159" s="861">
        <v>158</v>
      </c>
      <c r="B159" s="970"/>
      <c r="C159" s="862" t="s">
        <v>2178</v>
      </c>
      <c r="D159" s="862"/>
      <c r="E159" s="863"/>
      <c r="F159" s="867"/>
      <c r="G159" s="865" t="s">
        <v>2182</v>
      </c>
      <c r="H159" s="865" t="s">
        <v>2204</v>
      </c>
    </row>
    <row r="160" spans="1:8" x14ac:dyDescent="0.45">
      <c r="A160" s="861">
        <v>159</v>
      </c>
      <c r="B160" s="969" t="s">
        <v>2321</v>
      </c>
      <c r="C160" s="862" t="s">
        <v>2175</v>
      </c>
      <c r="D160" s="862" t="s">
        <v>2184</v>
      </c>
      <c r="E160" s="865" t="s">
        <v>2282</v>
      </c>
      <c r="F160" s="866" t="s">
        <v>2277</v>
      </c>
      <c r="G160" s="865" t="s">
        <v>2182</v>
      </c>
      <c r="H160" s="865" t="s">
        <v>2218</v>
      </c>
    </row>
    <row r="161" spans="1:8" x14ac:dyDescent="0.45">
      <c r="A161" s="861">
        <v>160</v>
      </c>
      <c r="B161" s="970"/>
      <c r="C161" s="862" t="s">
        <v>2175</v>
      </c>
      <c r="D161" s="862" t="s">
        <v>2187</v>
      </c>
      <c r="E161" s="865" t="s">
        <v>2294</v>
      </c>
      <c r="F161" s="866" t="s">
        <v>2304</v>
      </c>
      <c r="G161" s="865" t="s">
        <v>2182</v>
      </c>
      <c r="H161" s="865" t="s">
        <v>2218</v>
      </c>
    </row>
    <row r="162" spans="1:8" x14ac:dyDescent="0.45">
      <c r="A162" s="861">
        <v>161</v>
      </c>
      <c r="B162" s="970"/>
      <c r="C162" s="862" t="s">
        <v>2175</v>
      </c>
      <c r="D162" s="862" t="s">
        <v>2189</v>
      </c>
      <c r="E162" s="865" t="s">
        <v>2283</v>
      </c>
      <c r="F162" s="866" t="s">
        <v>2313</v>
      </c>
      <c r="G162" s="865" t="s">
        <v>2182</v>
      </c>
      <c r="H162" s="865" t="s">
        <v>2218</v>
      </c>
    </row>
    <row r="163" spans="1:8" x14ac:dyDescent="0.45">
      <c r="A163" s="861">
        <v>162</v>
      </c>
      <c r="B163" s="970"/>
      <c r="C163" s="862" t="s">
        <v>2175</v>
      </c>
      <c r="D163" s="862" t="s">
        <v>2191</v>
      </c>
      <c r="E163" s="865" t="s">
        <v>2284</v>
      </c>
      <c r="F163" s="866" t="s">
        <v>2314</v>
      </c>
      <c r="G163" s="865" t="s">
        <v>2182</v>
      </c>
      <c r="H163" s="865" t="s">
        <v>2218</v>
      </c>
    </row>
    <row r="164" spans="1:8" x14ac:dyDescent="0.45">
      <c r="A164" s="861">
        <v>163</v>
      </c>
      <c r="B164" s="970"/>
      <c r="C164" s="862" t="s">
        <v>2175</v>
      </c>
      <c r="D164" s="862" t="s">
        <v>2193</v>
      </c>
      <c r="E164" s="865" t="s">
        <v>2285</v>
      </c>
      <c r="F164" s="866" t="s">
        <v>2305</v>
      </c>
      <c r="G164" s="865" t="s">
        <v>2182</v>
      </c>
      <c r="H164" s="865" t="s">
        <v>2218</v>
      </c>
    </row>
    <row r="165" spans="1:8" x14ac:dyDescent="0.45">
      <c r="A165" s="861">
        <v>164</v>
      </c>
      <c r="B165" s="969" t="s">
        <v>2322</v>
      </c>
      <c r="C165" s="862" t="s">
        <v>2175</v>
      </c>
      <c r="D165" s="862" t="s">
        <v>2184</v>
      </c>
      <c r="E165" s="865" t="s">
        <v>2323</v>
      </c>
      <c r="F165" s="866" t="s">
        <v>2320</v>
      </c>
      <c r="G165" s="865" t="s">
        <v>2279</v>
      </c>
      <c r="H165" s="865" t="s">
        <v>2177</v>
      </c>
    </row>
    <row r="166" spans="1:8" x14ac:dyDescent="0.45">
      <c r="A166" s="861">
        <v>165</v>
      </c>
      <c r="B166" s="970"/>
      <c r="C166" s="862" t="s">
        <v>2175</v>
      </c>
      <c r="D166" s="862" t="s">
        <v>2187</v>
      </c>
      <c r="E166" s="865" t="s">
        <v>2324</v>
      </c>
      <c r="F166" s="866" t="s">
        <v>2325</v>
      </c>
      <c r="G166" s="865" t="s">
        <v>2279</v>
      </c>
      <c r="H166" s="865" t="s">
        <v>2177</v>
      </c>
    </row>
    <row r="167" spans="1:8" x14ac:dyDescent="0.45">
      <c r="A167" s="861">
        <v>166</v>
      </c>
      <c r="B167" s="970"/>
      <c r="C167" s="862" t="s">
        <v>2175</v>
      </c>
      <c r="D167" s="862" t="s">
        <v>2189</v>
      </c>
      <c r="E167" s="865" t="s">
        <v>2326</v>
      </c>
      <c r="F167" s="866" t="s">
        <v>2327</v>
      </c>
      <c r="G167" s="865" t="s">
        <v>2279</v>
      </c>
      <c r="H167" s="865" t="s">
        <v>2177</v>
      </c>
    </row>
    <row r="168" spans="1:8" x14ac:dyDescent="0.45">
      <c r="A168" s="861">
        <v>167</v>
      </c>
      <c r="B168" s="970"/>
      <c r="C168" s="862" t="s">
        <v>2175</v>
      </c>
      <c r="D168" s="862" t="s">
        <v>2191</v>
      </c>
      <c r="E168" s="865" t="s">
        <v>2328</v>
      </c>
      <c r="F168" s="866" t="s">
        <v>2329</v>
      </c>
      <c r="G168" s="865" t="s">
        <v>2279</v>
      </c>
      <c r="H168" s="865" t="s">
        <v>2177</v>
      </c>
    </row>
    <row r="169" spans="1:8" x14ac:dyDescent="0.45">
      <c r="A169" s="861">
        <v>168</v>
      </c>
      <c r="B169" s="970"/>
      <c r="C169" s="862" t="s">
        <v>2178</v>
      </c>
      <c r="D169" s="862" t="s">
        <v>2184</v>
      </c>
      <c r="E169" s="865" t="s">
        <v>2203</v>
      </c>
      <c r="F169" s="867"/>
      <c r="G169" s="865" t="s">
        <v>2279</v>
      </c>
      <c r="H169" s="865" t="s">
        <v>2204</v>
      </c>
    </row>
    <row r="170" spans="1:8" x14ac:dyDescent="0.45">
      <c r="A170" s="861">
        <v>169</v>
      </c>
      <c r="B170" s="970"/>
      <c r="C170" s="862" t="s">
        <v>2178</v>
      </c>
      <c r="D170" s="862" t="s">
        <v>2187</v>
      </c>
      <c r="E170" s="865" t="s">
        <v>2203</v>
      </c>
      <c r="F170" s="867"/>
      <c r="G170" s="865" t="s">
        <v>2279</v>
      </c>
      <c r="H170" s="865" t="s">
        <v>2204</v>
      </c>
    </row>
    <row r="171" spans="1:8" x14ac:dyDescent="0.45">
      <c r="A171" s="861">
        <v>170</v>
      </c>
      <c r="B171" s="970"/>
      <c r="C171" s="862" t="s">
        <v>2178</v>
      </c>
      <c r="D171" s="862" t="s">
        <v>2189</v>
      </c>
      <c r="E171" s="865" t="s">
        <v>2203</v>
      </c>
      <c r="F171" s="867"/>
      <c r="G171" s="865" t="s">
        <v>2279</v>
      </c>
      <c r="H171" s="865" t="s">
        <v>2204</v>
      </c>
    </row>
    <row r="172" spans="1:8" x14ac:dyDescent="0.45">
      <c r="A172" s="861">
        <v>171</v>
      </c>
      <c r="B172" s="970"/>
      <c r="C172" s="862" t="s">
        <v>2178</v>
      </c>
      <c r="D172" s="862" t="s">
        <v>2191</v>
      </c>
      <c r="E172" s="865" t="s">
        <v>2203</v>
      </c>
      <c r="F172" s="867"/>
      <c r="G172" s="865" t="s">
        <v>2279</v>
      </c>
      <c r="H172" s="865" t="s">
        <v>2204</v>
      </c>
    </row>
    <row r="173" spans="1:8" x14ac:dyDescent="0.45">
      <c r="A173" s="861">
        <v>172</v>
      </c>
      <c r="B173" s="969" t="s">
        <v>2330</v>
      </c>
      <c r="C173" s="862" t="s">
        <v>2175</v>
      </c>
      <c r="D173" s="862" t="s">
        <v>2184</v>
      </c>
      <c r="E173" s="865" t="s">
        <v>2283</v>
      </c>
      <c r="F173" s="866" t="s">
        <v>2313</v>
      </c>
      <c r="G173" s="865" t="s">
        <v>2182</v>
      </c>
      <c r="H173" s="865" t="s">
        <v>2177</v>
      </c>
    </row>
    <row r="174" spans="1:8" x14ac:dyDescent="0.45">
      <c r="A174" s="861">
        <v>173</v>
      </c>
      <c r="B174" s="970"/>
      <c r="C174" s="862" t="s">
        <v>2175</v>
      </c>
      <c r="D174" s="862" t="s">
        <v>2187</v>
      </c>
      <c r="E174" s="865" t="s">
        <v>2286</v>
      </c>
      <c r="F174" s="866" t="s">
        <v>2331</v>
      </c>
      <c r="G174" s="865" t="s">
        <v>2182</v>
      </c>
      <c r="H174" s="865" t="s">
        <v>2177</v>
      </c>
    </row>
    <row r="175" spans="1:8" x14ac:dyDescent="0.45">
      <c r="A175" s="861">
        <v>174</v>
      </c>
      <c r="B175" s="970"/>
      <c r="C175" s="862" t="s">
        <v>2175</v>
      </c>
      <c r="D175" s="862" t="s">
        <v>2189</v>
      </c>
      <c r="E175" s="865" t="s">
        <v>2332</v>
      </c>
      <c r="F175" s="866" t="s">
        <v>2320</v>
      </c>
      <c r="G175" s="865" t="s">
        <v>2182</v>
      </c>
      <c r="H175" s="865" t="s">
        <v>2177</v>
      </c>
    </row>
    <row r="176" spans="1:8" x14ac:dyDescent="0.45">
      <c r="A176" s="861">
        <v>175</v>
      </c>
      <c r="B176" s="970"/>
      <c r="C176" s="862" t="s">
        <v>2175</v>
      </c>
      <c r="D176" s="862" t="s">
        <v>2191</v>
      </c>
      <c r="E176" s="865" t="s">
        <v>2333</v>
      </c>
      <c r="F176" s="866" t="s">
        <v>2320</v>
      </c>
      <c r="G176" s="865" t="s">
        <v>2182</v>
      </c>
      <c r="H176" s="865" t="s">
        <v>2204</v>
      </c>
    </row>
    <row r="177" spans="1:8" x14ac:dyDescent="0.45">
      <c r="A177" s="861">
        <v>176</v>
      </c>
      <c r="B177" s="970"/>
      <c r="C177" s="862" t="s">
        <v>2175</v>
      </c>
      <c r="D177" s="862"/>
      <c r="E177" s="863"/>
      <c r="F177" s="867"/>
      <c r="G177" s="865" t="s">
        <v>2182</v>
      </c>
      <c r="H177" s="865" t="s">
        <v>2204</v>
      </c>
    </row>
    <row r="178" spans="1:8" x14ac:dyDescent="0.45">
      <c r="A178" s="861">
        <v>177</v>
      </c>
      <c r="B178" s="970"/>
      <c r="C178" s="862" t="s">
        <v>2175</v>
      </c>
      <c r="D178" s="862"/>
      <c r="E178" s="863"/>
      <c r="F178" s="867"/>
      <c r="G178" s="865" t="s">
        <v>2182</v>
      </c>
      <c r="H178" s="865" t="s">
        <v>2204</v>
      </c>
    </row>
    <row r="179" spans="1:8" x14ac:dyDescent="0.45">
      <c r="A179" s="861">
        <v>178</v>
      </c>
      <c r="B179" s="970"/>
      <c r="C179" s="862" t="s">
        <v>2175</v>
      </c>
      <c r="D179" s="862"/>
      <c r="E179" s="863"/>
      <c r="F179" s="867"/>
      <c r="G179" s="865" t="s">
        <v>2182</v>
      </c>
      <c r="H179" s="865" t="s">
        <v>2204</v>
      </c>
    </row>
    <row r="180" spans="1:8" x14ac:dyDescent="0.45">
      <c r="A180" s="861">
        <v>179</v>
      </c>
      <c r="B180" s="970"/>
      <c r="C180" s="862" t="s">
        <v>2175</v>
      </c>
      <c r="D180" s="862"/>
      <c r="E180" s="863"/>
      <c r="F180" s="867"/>
      <c r="G180" s="865" t="s">
        <v>2182</v>
      </c>
      <c r="H180" s="865" t="s">
        <v>2204</v>
      </c>
    </row>
    <row r="181" spans="1:8" x14ac:dyDescent="0.45">
      <c r="A181" s="861">
        <v>180</v>
      </c>
      <c r="B181" s="970"/>
      <c r="C181" s="862" t="s">
        <v>2175</v>
      </c>
      <c r="D181" s="862"/>
      <c r="E181" s="863"/>
      <c r="F181" s="867"/>
      <c r="G181" s="865" t="s">
        <v>2182</v>
      </c>
      <c r="H181" s="865" t="s">
        <v>2204</v>
      </c>
    </row>
    <row r="182" spans="1:8" x14ac:dyDescent="0.45">
      <c r="A182" s="861">
        <v>181</v>
      </c>
      <c r="B182" s="970"/>
      <c r="C182" s="862" t="s">
        <v>2175</v>
      </c>
      <c r="D182" s="862"/>
      <c r="E182" s="863"/>
      <c r="F182" s="867"/>
      <c r="G182" s="865" t="s">
        <v>2182</v>
      </c>
      <c r="H182" s="865" t="s">
        <v>2204</v>
      </c>
    </row>
    <row r="183" spans="1:8" x14ac:dyDescent="0.45">
      <c r="A183" s="861">
        <v>182</v>
      </c>
      <c r="B183" s="969" t="s">
        <v>859</v>
      </c>
      <c r="C183" s="862" t="s">
        <v>2175</v>
      </c>
      <c r="D183" s="868" t="s">
        <v>2184</v>
      </c>
      <c r="E183" s="861" t="s">
        <v>2305</v>
      </c>
      <c r="F183" s="866" t="s">
        <v>2331</v>
      </c>
      <c r="G183" s="865" t="s">
        <v>2279</v>
      </c>
      <c r="H183" s="865" t="s">
        <v>2177</v>
      </c>
    </row>
    <row r="184" spans="1:8" x14ac:dyDescent="0.45">
      <c r="A184" s="861">
        <v>183</v>
      </c>
      <c r="B184" s="970"/>
      <c r="C184" s="862" t="s">
        <v>2175</v>
      </c>
      <c r="D184" s="862" t="s">
        <v>2187</v>
      </c>
      <c r="E184" s="865" t="s">
        <v>2306</v>
      </c>
      <c r="F184" s="866" t="s">
        <v>2320</v>
      </c>
      <c r="G184" s="865" t="s">
        <v>2279</v>
      </c>
      <c r="H184" s="865" t="s">
        <v>2177</v>
      </c>
    </row>
    <row r="185" spans="1:8" x14ac:dyDescent="0.45">
      <c r="A185" s="861">
        <v>184</v>
      </c>
      <c r="B185" s="970"/>
      <c r="C185" s="862" t="s">
        <v>2175</v>
      </c>
      <c r="D185" s="862" t="s">
        <v>2189</v>
      </c>
      <c r="E185" s="865" t="s">
        <v>2334</v>
      </c>
      <c r="F185" s="866" t="s">
        <v>2325</v>
      </c>
      <c r="G185" s="865" t="s">
        <v>2279</v>
      </c>
      <c r="H185" s="865" t="s">
        <v>2177</v>
      </c>
    </row>
    <row r="186" spans="1:8" x14ac:dyDescent="0.45">
      <c r="A186" s="861">
        <v>185</v>
      </c>
      <c r="B186" s="970"/>
      <c r="C186" s="862" t="s">
        <v>2175</v>
      </c>
      <c r="D186" s="862" t="s">
        <v>2191</v>
      </c>
      <c r="E186" s="865" t="s">
        <v>2335</v>
      </c>
      <c r="F186" s="866" t="s">
        <v>2327</v>
      </c>
      <c r="G186" s="865" t="s">
        <v>2279</v>
      </c>
      <c r="H186" s="865" t="s">
        <v>2177</v>
      </c>
    </row>
    <row r="187" spans="1:8" x14ac:dyDescent="0.45">
      <c r="A187" s="861">
        <v>186</v>
      </c>
      <c r="B187" s="969" t="s">
        <v>2336</v>
      </c>
      <c r="C187" s="862" t="s">
        <v>2175</v>
      </c>
      <c r="D187" s="862" t="s">
        <v>2337</v>
      </c>
      <c r="E187" s="865" t="s">
        <v>2286</v>
      </c>
      <c r="F187" s="866" t="s">
        <v>2331</v>
      </c>
      <c r="G187" s="865" t="s">
        <v>2182</v>
      </c>
      <c r="H187" s="865" t="s">
        <v>2177</v>
      </c>
    </row>
    <row r="188" spans="1:8" x14ac:dyDescent="0.45">
      <c r="A188" s="861">
        <v>187</v>
      </c>
      <c r="B188" s="970"/>
      <c r="C188" s="862" t="s">
        <v>2175</v>
      </c>
      <c r="D188" s="862" t="s">
        <v>2338</v>
      </c>
      <c r="E188" s="865" t="s">
        <v>2306</v>
      </c>
      <c r="F188" s="866" t="s">
        <v>2320</v>
      </c>
      <c r="G188" s="865" t="s">
        <v>2182</v>
      </c>
      <c r="H188" s="865" t="s">
        <v>2177</v>
      </c>
    </row>
    <row r="189" spans="1:8" x14ac:dyDescent="0.45">
      <c r="A189" s="861">
        <v>188</v>
      </c>
      <c r="B189" s="970"/>
      <c r="C189" s="862" t="s">
        <v>2175</v>
      </c>
      <c r="D189" s="862" t="s">
        <v>2339</v>
      </c>
      <c r="E189" s="865" t="s">
        <v>2301</v>
      </c>
      <c r="F189" s="866" t="s">
        <v>2318</v>
      </c>
      <c r="G189" s="865" t="s">
        <v>2182</v>
      </c>
      <c r="H189" s="865" t="s">
        <v>2177</v>
      </c>
    </row>
    <row r="190" spans="1:8" x14ac:dyDescent="0.45">
      <c r="A190" s="861">
        <v>189</v>
      </c>
      <c r="B190" s="970"/>
      <c r="C190" s="862" t="s">
        <v>2175</v>
      </c>
      <c r="D190" s="862" t="s">
        <v>2340</v>
      </c>
      <c r="E190" s="865" t="s">
        <v>2334</v>
      </c>
      <c r="F190" s="866" t="s">
        <v>2325</v>
      </c>
      <c r="G190" s="865" t="s">
        <v>2182</v>
      </c>
      <c r="H190" s="865" t="s">
        <v>2177</v>
      </c>
    </row>
    <row r="191" spans="1:8" x14ac:dyDescent="0.45">
      <c r="A191" s="861">
        <v>190</v>
      </c>
      <c r="B191" s="970"/>
      <c r="C191" s="862" t="s">
        <v>2175</v>
      </c>
      <c r="D191" s="862" t="s">
        <v>2341</v>
      </c>
      <c r="E191" s="865" t="s">
        <v>2342</v>
      </c>
      <c r="F191" s="866" t="s">
        <v>2343</v>
      </c>
      <c r="G191" s="865" t="s">
        <v>2182</v>
      </c>
      <c r="H191" s="865" t="s">
        <v>2177</v>
      </c>
    </row>
    <row r="192" spans="1:8" x14ac:dyDescent="0.45">
      <c r="A192" s="861">
        <v>191</v>
      </c>
      <c r="B192" s="970"/>
      <c r="C192" s="862" t="s">
        <v>2175</v>
      </c>
      <c r="D192" s="862"/>
      <c r="E192" s="863"/>
      <c r="F192" s="867"/>
      <c r="G192" s="865" t="s">
        <v>2182</v>
      </c>
      <c r="H192" s="865" t="s">
        <v>2204</v>
      </c>
    </row>
    <row r="193" spans="1:8" x14ac:dyDescent="0.45">
      <c r="A193" s="861">
        <v>192</v>
      </c>
      <c r="B193" s="970"/>
      <c r="C193" s="862" t="s">
        <v>2175</v>
      </c>
      <c r="D193" s="862"/>
      <c r="E193" s="863"/>
      <c r="F193" s="867"/>
      <c r="G193" s="865" t="s">
        <v>2182</v>
      </c>
      <c r="H193" s="865" t="s">
        <v>2204</v>
      </c>
    </row>
    <row r="194" spans="1:8" x14ac:dyDescent="0.45">
      <c r="A194" s="861">
        <v>193</v>
      </c>
      <c r="B194" s="970"/>
      <c r="C194" s="862" t="s">
        <v>2175</v>
      </c>
      <c r="D194" s="862"/>
      <c r="E194" s="863"/>
      <c r="F194" s="867"/>
      <c r="G194" s="865" t="s">
        <v>2182</v>
      </c>
      <c r="H194" s="865" t="s">
        <v>2204</v>
      </c>
    </row>
    <row r="195" spans="1:8" x14ac:dyDescent="0.45">
      <c r="A195" s="861">
        <v>194</v>
      </c>
      <c r="B195" s="970"/>
      <c r="C195" s="862" t="s">
        <v>2175</v>
      </c>
      <c r="D195" s="862"/>
      <c r="E195" s="863"/>
      <c r="F195" s="867"/>
      <c r="G195" s="865" t="s">
        <v>2182</v>
      </c>
      <c r="H195" s="865" t="s">
        <v>2204</v>
      </c>
    </row>
    <row r="196" spans="1:8" x14ac:dyDescent="0.45">
      <c r="A196" s="861">
        <v>195</v>
      </c>
      <c r="B196" s="970"/>
      <c r="C196" s="862" t="s">
        <v>2175</v>
      </c>
      <c r="D196" s="862"/>
      <c r="E196" s="863"/>
      <c r="F196" s="867"/>
      <c r="G196" s="865" t="s">
        <v>2182</v>
      </c>
      <c r="H196" s="865" t="s">
        <v>2204</v>
      </c>
    </row>
    <row r="197" spans="1:8" x14ac:dyDescent="0.45">
      <c r="A197" s="861">
        <v>196</v>
      </c>
      <c r="B197" s="969" t="s">
        <v>2344</v>
      </c>
      <c r="C197" s="862" t="s">
        <v>2175</v>
      </c>
      <c r="D197" s="868" t="s">
        <v>2184</v>
      </c>
      <c r="E197" s="861" t="s">
        <v>2333</v>
      </c>
      <c r="F197" s="866" t="s">
        <v>2342</v>
      </c>
      <c r="G197" s="865" t="s">
        <v>2279</v>
      </c>
      <c r="H197" s="865" t="s">
        <v>2177</v>
      </c>
    </row>
    <row r="198" spans="1:8" x14ac:dyDescent="0.45">
      <c r="A198" s="861">
        <v>197</v>
      </c>
      <c r="B198" s="970"/>
      <c r="C198" s="862" t="s">
        <v>2175</v>
      </c>
      <c r="D198" s="862" t="s">
        <v>2187</v>
      </c>
      <c r="E198" s="865" t="s">
        <v>2345</v>
      </c>
      <c r="F198" s="866" t="s">
        <v>2346</v>
      </c>
      <c r="G198" s="865" t="s">
        <v>2279</v>
      </c>
      <c r="H198" s="865" t="s">
        <v>2177</v>
      </c>
    </row>
    <row r="199" spans="1:8" x14ac:dyDescent="0.45">
      <c r="A199" s="861">
        <v>198</v>
      </c>
      <c r="B199" s="970"/>
      <c r="C199" s="862" t="s">
        <v>2175</v>
      </c>
      <c r="D199" s="862" t="s">
        <v>2189</v>
      </c>
      <c r="E199" s="865" t="s">
        <v>2347</v>
      </c>
      <c r="F199" s="866" t="s">
        <v>2348</v>
      </c>
      <c r="G199" s="865" t="s">
        <v>2279</v>
      </c>
      <c r="H199" s="865" t="s">
        <v>2177</v>
      </c>
    </row>
    <row r="200" spans="1:8" x14ac:dyDescent="0.45">
      <c r="A200" s="861">
        <v>199</v>
      </c>
      <c r="B200" s="970"/>
      <c r="C200" s="869" t="s">
        <v>2175</v>
      </c>
      <c r="D200" s="862" t="s">
        <v>2191</v>
      </c>
      <c r="E200" s="865" t="s">
        <v>2349</v>
      </c>
      <c r="F200" s="866" t="s">
        <v>2350</v>
      </c>
      <c r="G200" s="865" t="s">
        <v>2279</v>
      </c>
      <c r="H200" s="865" t="s">
        <v>2177</v>
      </c>
    </row>
    <row r="201" spans="1:8" x14ac:dyDescent="0.45">
      <c r="A201" s="861">
        <v>200</v>
      </c>
      <c r="B201" s="970"/>
      <c r="C201" s="869" t="s">
        <v>2175</v>
      </c>
      <c r="D201" s="862" t="s">
        <v>2193</v>
      </c>
      <c r="E201" s="865" t="s">
        <v>2351</v>
      </c>
      <c r="F201" s="866" t="s">
        <v>2352</v>
      </c>
      <c r="G201" s="865" t="s">
        <v>2279</v>
      </c>
      <c r="H201" s="865" t="s">
        <v>2177</v>
      </c>
    </row>
    <row r="202" spans="1:8" x14ac:dyDescent="0.45">
      <c r="A202" s="861">
        <v>201</v>
      </c>
      <c r="B202" s="970"/>
      <c r="C202" s="869" t="s">
        <v>2175</v>
      </c>
      <c r="D202" s="862" t="s">
        <v>2195</v>
      </c>
      <c r="E202" s="865" t="s">
        <v>2353</v>
      </c>
      <c r="F202" s="866" t="s">
        <v>2354</v>
      </c>
      <c r="G202" s="865" t="s">
        <v>2279</v>
      </c>
      <c r="H202" s="865" t="s">
        <v>2177</v>
      </c>
    </row>
    <row r="203" spans="1:8" x14ac:dyDescent="0.45">
      <c r="A203" s="861">
        <v>202</v>
      </c>
      <c r="B203" s="970"/>
      <c r="C203" s="869" t="s">
        <v>2175</v>
      </c>
      <c r="D203" s="862" t="s">
        <v>2198</v>
      </c>
      <c r="E203" s="865" t="s">
        <v>2355</v>
      </c>
      <c r="F203" s="866" t="s">
        <v>2356</v>
      </c>
      <c r="G203" s="865" t="s">
        <v>2279</v>
      </c>
      <c r="H203" s="865" t="s">
        <v>2177</v>
      </c>
    </row>
    <row r="204" spans="1:8" x14ac:dyDescent="0.45">
      <c r="A204" s="861">
        <v>203</v>
      </c>
      <c r="B204" s="970"/>
      <c r="C204" s="869" t="s">
        <v>2175</v>
      </c>
      <c r="D204" s="862" t="s">
        <v>2201</v>
      </c>
      <c r="E204" s="865" t="s">
        <v>2357</v>
      </c>
      <c r="F204" s="866" t="s">
        <v>2358</v>
      </c>
      <c r="G204" s="865" t="s">
        <v>2279</v>
      </c>
      <c r="H204" s="865" t="s">
        <v>2177</v>
      </c>
    </row>
    <row r="205" spans="1:8" x14ac:dyDescent="0.45">
      <c r="A205" s="861">
        <v>204</v>
      </c>
      <c r="B205" s="969" t="s">
        <v>2359</v>
      </c>
      <c r="C205" s="862" t="s">
        <v>2175</v>
      </c>
      <c r="D205" s="868" t="s">
        <v>2184</v>
      </c>
      <c r="E205" s="861" t="s">
        <v>2327</v>
      </c>
      <c r="F205" s="866" t="s">
        <v>2346</v>
      </c>
      <c r="G205" s="865" t="s">
        <v>2182</v>
      </c>
      <c r="H205" s="865" t="s">
        <v>2177</v>
      </c>
    </row>
    <row r="206" spans="1:8" x14ac:dyDescent="0.45">
      <c r="A206" s="861">
        <v>205</v>
      </c>
      <c r="B206" s="970"/>
      <c r="C206" s="862" t="s">
        <v>2175</v>
      </c>
      <c r="D206" s="862" t="s">
        <v>2187</v>
      </c>
      <c r="E206" s="865" t="s">
        <v>2360</v>
      </c>
      <c r="F206" s="866" t="s">
        <v>2347</v>
      </c>
      <c r="G206" s="865" t="s">
        <v>2182</v>
      </c>
      <c r="H206" s="865" t="s">
        <v>2177</v>
      </c>
    </row>
    <row r="207" spans="1:8" x14ac:dyDescent="0.45">
      <c r="A207" s="861">
        <v>206</v>
      </c>
      <c r="B207" s="970"/>
      <c r="C207" s="869" t="s">
        <v>2175</v>
      </c>
      <c r="D207" s="862" t="s">
        <v>2189</v>
      </c>
      <c r="E207" s="863">
        <v>45839</v>
      </c>
      <c r="F207" s="866" t="s">
        <v>2348</v>
      </c>
      <c r="G207" s="865" t="s">
        <v>2182</v>
      </c>
      <c r="H207" s="865" t="s">
        <v>2177</v>
      </c>
    </row>
    <row r="208" spans="1:8" x14ac:dyDescent="0.45">
      <c r="A208" s="861">
        <v>207</v>
      </c>
      <c r="B208" s="970"/>
      <c r="C208" s="869" t="s">
        <v>2175</v>
      </c>
      <c r="D208" s="862" t="s">
        <v>2191</v>
      </c>
      <c r="E208" s="863">
        <v>45843</v>
      </c>
      <c r="F208" s="867"/>
      <c r="G208" s="865" t="s">
        <v>2182</v>
      </c>
      <c r="H208" s="865" t="s">
        <v>2204</v>
      </c>
    </row>
    <row r="209" spans="1:8" x14ac:dyDescent="0.45">
      <c r="A209" s="861">
        <v>208</v>
      </c>
      <c r="B209" s="970"/>
      <c r="C209" s="869" t="s">
        <v>2175</v>
      </c>
      <c r="D209" s="862" t="s">
        <v>2193</v>
      </c>
      <c r="E209" s="863">
        <v>45846</v>
      </c>
      <c r="F209" s="867"/>
      <c r="G209" s="865" t="s">
        <v>2182</v>
      </c>
      <c r="H209" s="865" t="s">
        <v>2204</v>
      </c>
    </row>
    <row r="210" spans="1:8" x14ac:dyDescent="0.45">
      <c r="A210" s="861">
        <v>209</v>
      </c>
      <c r="B210" s="970"/>
      <c r="C210" s="869" t="s">
        <v>2175</v>
      </c>
      <c r="D210" s="862" t="s">
        <v>2195</v>
      </c>
      <c r="E210" s="863">
        <v>45850</v>
      </c>
      <c r="F210" s="867"/>
      <c r="G210" s="865" t="s">
        <v>2182</v>
      </c>
      <c r="H210" s="865" t="s">
        <v>2204</v>
      </c>
    </row>
    <row r="211" spans="1:8" x14ac:dyDescent="0.45">
      <c r="A211" s="861">
        <v>210</v>
      </c>
      <c r="B211" s="970"/>
      <c r="C211" s="869" t="s">
        <v>2175</v>
      </c>
      <c r="D211" s="862" t="s">
        <v>2198</v>
      </c>
      <c r="E211" s="865" t="s">
        <v>2361</v>
      </c>
      <c r="F211" s="867"/>
      <c r="G211" s="865" t="s">
        <v>2182</v>
      </c>
      <c r="H211" s="865" t="s">
        <v>2204</v>
      </c>
    </row>
    <row r="212" spans="1:8" x14ac:dyDescent="0.45">
      <c r="A212" s="861">
        <v>211</v>
      </c>
      <c r="B212" s="970"/>
      <c r="C212" s="869" t="s">
        <v>2175</v>
      </c>
      <c r="D212" s="862" t="s">
        <v>2201</v>
      </c>
      <c r="E212" s="863">
        <v>45857</v>
      </c>
      <c r="F212" s="867"/>
      <c r="G212" s="865" t="s">
        <v>2182</v>
      </c>
      <c r="H212" s="865" t="s">
        <v>2204</v>
      </c>
    </row>
    <row r="213" spans="1:8" x14ac:dyDescent="0.45">
      <c r="A213" s="861">
        <v>212</v>
      </c>
      <c r="B213" s="970"/>
      <c r="C213" s="869" t="s">
        <v>2175</v>
      </c>
      <c r="D213" s="862" t="s">
        <v>2255</v>
      </c>
      <c r="E213" s="863">
        <v>45860</v>
      </c>
      <c r="F213" s="867"/>
      <c r="G213" s="865" t="s">
        <v>2182</v>
      </c>
      <c r="H213" s="865" t="s">
        <v>2204</v>
      </c>
    </row>
    <row r="214" spans="1:8" x14ac:dyDescent="0.45">
      <c r="A214" s="861">
        <v>213</v>
      </c>
      <c r="B214" s="970"/>
      <c r="C214" s="869" t="s">
        <v>2178</v>
      </c>
      <c r="D214" s="862" t="s">
        <v>2184</v>
      </c>
      <c r="E214" s="863">
        <v>45843</v>
      </c>
      <c r="F214" s="867"/>
      <c r="G214" s="865" t="s">
        <v>2182</v>
      </c>
      <c r="H214" s="865" t="s">
        <v>2204</v>
      </c>
    </row>
    <row r="215" spans="1:8" x14ac:dyDescent="0.45">
      <c r="A215" s="861">
        <v>214</v>
      </c>
      <c r="B215" s="970"/>
      <c r="C215" s="869" t="s">
        <v>2178</v>
      </c>
      <c r="D215" s="862" t="s">
        <v>2187</v>
      </c>
      <c r="E215" s="863">
        <v>45850</v>
      </c>
      <c r="F215" s="867"/>
      <c r="G215" s="865" t="s">
        <v>2182</v>
      </c>
      <c r="H215" s="865" t="s">
        <v>2204</v>
      </c>
    </row>
    <row r="216" spans="1:8" x14ac:dyDescent="0.45">
      <c r="A216" s="861">
        <v>215</v>
      </c>
      <c r="B216" s="970"/>
      <c r="C216" s="869" t="s">
        <v>2178</v>
      </c>
      <c r="D216" s="862" t="s">
        <v>2189</v>
      </c>
      <c r="E216" s="863">
        <v>45857</v>
      </c>
      <c r="F216" s="867"/>
      <c r="G216" s="865" t="s">
        <v>2182</v>
      </c>
      <c r="H216" s="865" t="s">
        <v>2204</v>
      </c>
    </row>
    <row r="217" spans="1:8" x14ac:dyDescent="0.45">
      <c r="A217" s="861">
        <v>216</v>
      </c>
      <c r="B217" s="969" t="s">
        <v>2362</v>
      </c>
      <c r="C217" s="862" t="s">
        <v>2175</v>
      </c>
      <c r="D217" s="868" t="s">
        <v>2363</v>
      </c>
      <c r="E217" s="861" t="s">
        <v>2327</v>
      </c>
      <c r="F217" s="866" t="s">
        <v>2346</v>
      </c>
      <c r="G217" s="865" t="s">
        <v>2182</v>
      </c>
      <c r="H217" s="865" t="s">
        <v>2177</v>
      </c>
    </row>
    <row r="218" spans="1:8" x14ac:dyDescent="0.45">
      <c r="A218" s="861">
        <v>217</v>
      </c>
      <c r="B218" s="970"/>
      <c r="C218" s="862" t="s">
        <v>2175</v>
      </c>
      <c r="D218" s="870" t="s">
        <v>2184</v>
      </c>
      <c r="E218" s="871" t="s">
        <v>2364</v>
      </c>
      <c r="F218" s="866" t="s">
        <v>2365</v>
      </c>
      <c r="G218" s="865" t="s">
        <v>2182</v>
      </c>
      <c r="H218" s="865" t="s">
        <v>2177</v>
      </c>
    </row>
    <row r="219" spans="1:8" x14ac:dyDescent="0.45">
      <c r="A219" s="861">
        <v>218</v>
      </c>
      <c r="B219" s="970"/>
      <c r="C219" s="869" t="s">
        <v>2175</v>
      </c>
      <c r="D219" s="862" t="s">
        <v>2187</v>
      </c>
      <c r="E219" s="863">
        <v>45841</v>
      </c>
      <c r="F219" s="867"/>
      <c r="G219" s="865" t="s">
        <v>2182</v>
      </c>
      <c r="H219" s="865" t="s">
        <v>2204</v>
      </c>
    </row>
    <row r="220" spans="1:8" x14ac:dyDescent="0.45">
      <c r="A220" s="861">
        <v>219</v>
      </c>
      <c r="B220" s="970"/>
      <c r="C220" s="869" t="s">
        <v>2175</v>
      </c>
      <c r="D220" s="862" t="s">
        <v>2189</v>
      </c>
      <c r="E220" s="865" t="s">
        <v>2353</v>
      </c>
      <c r="F220" s="867"/>
      <c r="G220" s="865" t="s">
        <v>2182</v>
      </c>
      <c r="H220" s="865" t="s">
        <v>2204</v>
      </c>
    </row>
    <row r="221" spans="1:8" x14ac:dyDescent="0.45">
      <c r="A221" s="861">
        <v>220</v>
      </c>
      <c r="B221" s="970"/>
      <c r="C221" s="869" t="s">
        <v>2175</v>
      </c>
      <c r="D221" s="862" t="s">
        <v>2191</v>
      </c>
      <c r="E221" s="865" t="s">
        <v>2357</v>
      </c>
      <c r="F221" s="867"/>
      <c r="G221" s="865" t="s">
        <v>2182</v>
      </c>
      <c r="H221" s="865" t="s">
        <v>2204</v>
      </c>
    </row>
    <row r="222" spans="1:8" x14ac:dyDescent="0.45">
      <c r="A222" s="861">
        <v>221</v>
      </c>
      <c r="B222" s="970"/>
      <c r="C222" s="869" t="s">
        <v>2175</v>
      </c>
      <c r="D222" s="862" t="s">
        <v>2193</v>
      </c>
      <c r="E222" s="865" t="s">
        <v>2366</v>
      </c>
      <c r="F222" s="867"/>
      <c r="G222" s="865" t="s">
        <v>2182</v>
      </c>
      <c r="H222" s="865" t="s">
        <v>2204</v>
      </c>
    </row>
    <row r="223" spans="1:8" x14ac:dyDescent="0.45">
      <c r="A223" s="861">
        <v>222</v>
      </c>
      <c r="B223" s="970"/>
      <c r="C223" s="869" t="s">
        <v>2175</v>
      </c>
      <c r="D223" s="862" t="s">
        <v>2367</v>
      </c>
      <c r="E223" s="865" t="s">
        <v>2368</v>
      </c>
      <c r="F223" s="867"/>
      <c r="G223" s="865" t="s">
        <v>2182</v>
      </c>
      <c r="H223" s="865" t="s">
        <v>2204</v>
      </c>
    </row>
    <row r="224" spans="1:8" x14ac:dyDescent="0.45">
      <c r="A224" s="861">
        <v>223</v>
      </c>
      <c r="B224" s="970"/>
      <c r="C224" s="862" t="s">
        <v>2178</v>
      </c>
      <c r="D224" s="868" t="s">
        <v>2184</v>
      </c>
      <c r="E224" s="861" t="s">
        <v>2347</v>
      </c>
      <c r="F224" s="866" t="s">
        <v>2329</v>
      </c>
      <c r="G224" s="865" t="s">
        <v>2182</v>
      </c>
      <c r="H224" s="865" t="s">
        <v>2177</v>
      </c>
    </row>
    <row r="225" spans="1:8" x14ac:dyDescent="0.45">
      <c r="A225" s="861">
        <v>224</v>
      </c>
      <c r="B225" s="970"/>
      <c r="C225" s="869" t="s">
        <v>2178</v>
      </c>
      <c r="D225" s="862" t="s">
        <v>2187</v>
      </c>
      <c r="E225" s="865" t="s">
        <v>2351</v>
      </c>
      <c r="F225" s="867"/>
      <c r="G225" s="865" t="s">
        <v>2182</v>
      </c>
      <c r="H225" s="865" t="s">
        <v>2204</v>
      </c>
    </row>
    <row r="226" spans="1:8" x14ac:dyDescent="0.45">
      <c r="A226" s="861">
        <v>225</v>
      </c>
      <c r="B226" s="970"/>
      <c r="C226" s="869" t="s">
        <v>2178</v>
      </c>
      <c r="D226" s="862" t="s">
        <v>2189</v>
      </c>
      <c r="E226" s="865" t="s">
        <v>2355</v>
      </c>
      <c r="F226" s="867"/>
      <c r="G226" s="865" t="s">
        <v>2182</v>
      </c>
      <c r="H226" s="865" t="s">
        <v>2204</v>
      </c>
    </row>
    <row r="227" spans="1:8" x14ac:dyDescent="0.45">
      <c r="A227" s="861">
        <v>226</v>
      </c>
      <c r="B227" s="970"/>
      <c r="C227" s="869" t="s">
        <v>2178</v>
      </c>
      <c r="D227" s="862" t="s">
        <v>2191</v>
      </c>
      <c r="E227" s="865" t="s">
        <v>2369</v>
      </c>
      <c r="F227" s="867"/>
      <c r="G227" s="865" t="s">
        <v>2182</v>
      </c>
      <c r="H227" s="865" t="s">
        <v>2204</v>
      </c>
    </row>
    <row r="228" spans="1:8" x14ac:dyDescent="0.45">
      <c r="A228" s="861">
        <v>227</v>
      </c>
      <c r="B228" s="969" t="s">
        <v>2370</v>
      </c>
      <c r="C228" s="862" t="s">
        <v>2175</v>
      </c>
      <c r="D228" s="868" t="s">
        <v>2184</v>
      </c>
      <c r="E228" s="861" t="s">
        <v>2345</v>
      </c>
      <c r="F228" s="866" t="s">
        <v>2327</v>
      </c>
      <c r="G228" s="865" t="s">
        <v>2182</v>
      </c>
      <c r="H228" s="865" t="s">
        <v>2177</v>
      </c>
    </row>
    <row r="229" spans="1:8" x14ac:dyDescent="0.45">
      <c r="A229" s="861">
        <v>228</v>
      </c>
      <c r="B229" s="970"/>
      <c r="C229" s="862" t="s">
        <v>2175</v>
      </c>
      <c r="D229" s="862" t="s">
        <v>2187</v>
      </c>
      <c r="E229" s="865" t="s">
        <v>2346</v>
      </c>
      <c r="F229" s="866" t="s">
        <v>2364</v>
      </c>
      <c r="G229" s="865" t="s">
        <v>2182</v>
      </c>
      <c r="H229" s="865" t="s">
        <v>2177</v>
      </c>
    </row>
    <row r="230" spans="1:8" x14ac:dyDescent="0.45">
      <c r="A230" s="861">
        <v>229</v>
      </c>
      <c r="B230" s="970"/>
      <c r="C230" s="869" t="s">
        <v>2175</v>
      </c>
      <c r="D230" s="862" t="s">
        <v>2189</v>
      </c>
      <c r="E230" s="865" t="s">
        <v>2348</v>
      </c>
      <c r="F230" s="867"/>
      <c r="G230" s="865" t="s">
        <v>2182</v>
      </c>
      <c r="H230" s="865" t="s">
        <v>2204</v>
      </c>
    </row>
    <row r="231" spans="1:8" x14ac:dyDescent="0.45">
      <c r="A231" s="861">
        <v>230</v>
      </c>
      <c r="B231" s="970"/>
      <c r="C231" s="869" t="s">
        <v>2175</v>
      </c>
      <c r="D231" s="862" t="s">
        <v>2191</v>
      </c>
      <c r="E231" s="865" t="s">
        <v>2350</v>
      </c>
      <c r="F231" s="867"/>
      <c r="G231" s="865" t="s">
        <v>2182</v>
      </c>
      <c r="H231" s="865" t="s">
        <v>2204</v>
      </c>
    </row>
    <row r="232" spans="1:8" x14ac:dyDescent="0.45">
      <c r="A232" s="861">
        <v>231</v>
      </c>
      <c r="B232" s="970"/>
      <c r="C232" s="869" t="s">
        <v>2175</v>
      </c>
      <c r="D232" s="862" t="s">
        <v>2193</v>
      </c>
      <c r="E232" s="865" t="s">
        <v>2351</v>
      </c>
      <c r="F232" s="867"/>
      <c r="G232" s="865" t="s">
        <v>2182</v>
      </c>
      <c r="H232" s="865" t="s">
        <v>2204</v>
      </c>
    </row>
    <row r="233" spans="1:8" x14ac:dyDescent="0.45">
      <c r="A233" s="861">
        <v>232</v>
      </c>
      <c r="B233" s="969" t="s">
        <v>2371</v>
      </c>
      <c r="C233" s="862" t="s">
        <v>2175</v>
      </c>
      <c r="D233" s="868" t="s">
        <v>2184</v>
      </c>
      <c r="E233" s="861" t="s">
        <v>2360</v>
      </c>
      <c r="F233" s="866" t="s">
        <v>2329</v>
      </c>
      <c r="G233" s="865" t="s">
        <v>2279</v>
      </c>
      <c r="H233" s="865" t="s">
        <v>2177</v>
      </c>
    </row>
    <row r="234" spans="1:8" x14ac:dyDescent="0.45">
      <c r="A234" s="861">
        <v>233</v>
      </c>
      <c r="B234" s="970"/>
      <c r="C234" s="869" t="s">
        <v>2175</v>
      </c>
      <c r="D234" s="862" t="s">
        <v>2187</v>
      </c>
      <c r="E234" s="865" t="s">
        <v>2372</v>
      </c>
      <c r="F234" s="866" t="s">
        <v>2373</v>
      </c>
      <c r="G234" s="865" t="s">
        <v>2279</v>
      </c>
      <c r="H234" s="865" t="s">
        <v>2177</v>
      </c>
    </row>
    <row r="235" spans="1:8" x14ac:dyDescent="0.45">
      <c r="A235" s="861">
        <v>234</v>
      </c>
      <c r="B235" s="970"/>
      <c r="C235" s="869" t="s">
        <v>2175</v>
      </c>
      <c r="D235" s="862" t="s">
        <v>2189</v>
      </c>
      <c r="E235" s="865" t="s">
        <v>2374</v>
      </c>
      <c r="F235" s="866" t="s">
        <v>2361</v>
      </c>
      <c r="G235" s="865" t="s">
        <v>2279</v>
      </c>
      <c r="H235" s="865" t="s">
        <v>2177</v>
      </c>
    </row>
    <row r="236" spans="1:8" x14ac:dyDescent="0.45">
      <c r="A236" s="861">
        <v>235</v>
      </c>
      <c r="B236" s="970"/>
      <c r="C236" s="869" t="s">
        <v>2175</v>
      </c>
      <c r="D236" s="862" t="s">
        <v>2191</v>
      </c>
      <c r="E236" s="865" t="s">
        <v>2375</v>
      </c>
      <c r="F236" s="866" t="s">
        <v>2376</v>
      </c>
      <c r="G236" s="865" t="s">
        <v>2279</v>
      </c>
      <c r="H236" s="865" t="s">
        <v>2177</v>
      </c>
    </row>
    <row r="237" spans="1:8" x14ac:dyDescent="0.45">
      <c r="A237" s="861">
        <v>236</v>
      </c>
      <c r="B237" s="969" t="s">
        <v>2377</v>
      </c>
      <c r="C237" s="869" t="s">
        <v>2175</v>
      </c>
      <c r="D237" s="868" t="s">
        <v>2184</v>
      </c>
      <c r="E237" s="861" t="s">
        <v>2329</v>
      </c>
      <c r="F237" s="866" t="s">
        <v>2349</v>
      </c>
      <c r="G237" s="865" t="s">
        <v>2279</v>
      </c>
      <c r="H237" s="865" t="s">
        <v>2177</v>
      </c>
    </row>
    <row r="238" spans="1:8" x14ac:dyDescent="0.45">
      <c r="A238" s="861">
        <v>237</v>
      </c>
      <c r="B238" s="970"/>
      <c r="C238" s="869" t="s">
        <v>2175</v>
      </c>
      <c r="D238" s="862" t="s">
        <v>2187</v>
      </c>
      <c r="E238" s="865" t="s">
        <v>2350</v>
      </c>
      <c r="F238" s="866" t="s">
        <v>2351</v>
      </c>
      <c r="G238" s="865" t="s">
        <v>2279</v>
      </c>
      <c r="H238" s="865" t="s">
        <v>2177</v>
      </c>
    </row>
    <row r="239" spans="1:8" x14ac:dyDescent="0.45">
      <c r="A239" s="861">
        <v>238</v>
      </c>
      <c r="B239" s="970"/>
      <c r="C239" s="869" t="s">
        <v>2175</v>
      </c>
      <c r="D239" s="862" t="s">
        <v>2189</v>
      </c>
      <c r="E239" s="865" t="s">
        <v>2373</v>
      </c>
      <c r="F239" s="866" t="s">
        <v>2353</v>
      </c>
      <c r="G239" s="865" t="s">
        <v>2279</v>
      </c>
      <c r="H239" s="865" t="s">
        <v>2177</v>
      </c>
    </row>
    <row r="240" spans="1:8" x14ac:dyDescent="0.45">
      <c r="A240" s="861">
        <v>239</v>
      </c>
      <c r="B240" s="970"/>
      <c r="C240" s="869" t="s">
        <v>2175</v>
      </c>
      <c r="D240" s="862" t="s">
        <v>2191</v>
      </c>
      <c r="E240" s="865" t="s">
        <v>2354</v>
      </c>
      <c r="F240" s="866" t="s">
        <v>2355</v>
      </c>
      <c r="G240" s="865" t="s">
        <v>2279</v>
      </c>
      <c r="H240" s="865" t="s">
        <v>2177</v>
      </c>
    </row>
    <row r="241" spans="1:8" x14ac:dyDescent="0.45">
      <c r="A241" s="861">
        <v>240</v>
      </c>
      <c r="B241" s="970"/>
      <c r="C241" s="869" t="s">
        <v>2175</v>
      </c>
      <c r="D241" s="862" t="s">
        <v>2193</v>
      </c>
      <c r="E241" s="865" t="s">
        <v>2361</v>
      </c>
      <c r="F241" s="866" t="s">
        <v>2357</v>
      </c>
      <c r="G241" s="865" t="s">
        <v>2279</v>
      </c>
      <c r="H241" s="865" t="s">
        <v>2177</v>
      </c>
    </row>
    <row r="242" spans="1:8" x14ac:dyDescent="0.45">
      <c r="A242" s="861">
        <v>241</v>
      </c>
      <c r="B242" s="970"/>
      <c r="C242" s="869" t="s">
        <v>2175</v>
      </c>
      <c r="D242" s="862" t="s">
        <v>2195</v>
      </c>
      <c r="E242" s="865" t="s">
        <v>2358</v>
      </c>
      <c r="F242" s="866" t="s">
        <v>2369</v>
      </c>
      <c r="G242" s="865" t="s">
        <v>2279</v>
      </c>
      <c r="H242" s="865" t="s">
        <v>2177</v>
      </c>
    </row>
    <row r="243" spans="1:8" x14ac:dyDescent="0.45">
      <c r="A243" s="861">
        <v>242</v>
      </c>
      <c r="B243" s="970"/>
      <c r="C243" s="869" t="s">
        <v>2175</v>
      </c>
      <c r="D243" s="862" t="s">
        <v>2198</v>
      </c>
      <c r="E243" s="865" t="s">
        <v>2376</v>
      </c>
      <c r="F243" s="866" t="s">
        <v>2378</v>
      </c>
      <c r="G243" s="865" t="s">
        <v>2279</v>
      </c>
      <c r="H243" s="865" t="s">
        <v>2177</v>
      </c>
    </row>
    <row r="244" spans="1:8" x14ac:dyDescent="0.45">
      <c r="A244" s="861">
        <v>243</v>
      </c>
      <c r="B244" s="967" t="s">
        <v>2379</v>
      </c>
      <c r="C244" s="862"/>
      <c r="D244" s="862"/>
      <c r="E244" s="863"/>
      <c r="F244" s="867"/>
      <c r="G244" s="865"/>
      <c r="H244" s="865" t="s">
        <v>2204</v>
      </c>
    </row>
    <row r="245" spans="1:8" x14ac:dyDescent="0.45">
      <c r="A245" s="861">
        <v>244</v>
      </c>
      <c r="B245" s="968"/>
      <c r="C245" s="862"/>
      <c r="D245" s="862"/>
      <c r="E245" s="863"/>
      <c r="F245" s="867"/>
      <c r="G245" s="865"/>
      <c r="H245" s="865" t="s">
        <v>2204</v>
      </c>
    </row>
    <row r="246" spans="1:8" x14ac:dyDescent="0.45">
      <c r="A246" s="861">
        <v>245</v>
      </c>
      <c r="B246" s="968"/>
      <c r="C246" s="862"/>
      <c r="D246" s="862"/>
      <c r="E246" s="863"/>
      <c r="F246" s="867"/>
      <c r="G246" s="865"/>
      <c r="H246" s="865" t="s">
        <v>2204</v>
      </c>
    </row>
    <row r="247" spans="1:8" x14ac:dyDescent="0.45">
      <c r="A247" s="861">
        <v>246</v>
      </c>
      <c r="B247" s="968"/>
      <c r="C247" s="862"/>
      <c r="D247" s="862"/>
      <c r="E247" s="863"/>
      <c r="F247" s="867"/>
      <c r="G247" s="865"/>
      <c r="H247" s="865" t="s">
        <v>2204</v>
      </c>
    </row>
    <row r="248" spans="1:8" x14ac:dyDescent="0.45">
      <c r="A248" s="861">
        <v>247</v>
      </c>
      <c r="B248" s="968"/>
      <c r="C248" s="862"/>
      <c r="D248" s="862"/>
      <c r="E248" s="863"/>
      <c r="F248" s="867"/>
      <c r="G248" s="865"/>
      <c r="H248" s="865" t="s">
        <v>2204</v>
      </c>
    </row>
    <row r="249" spans="1:8" x14ac:dyDescent="0.45">
      <c r="A249" s="861">
        <v>248</v>
      </c>
      <c r="B249" s="968"/>
      <c r="C249" s="862"/>
      <c r="D249" s="862"/>
      <c r="E249" s="863"/>
      <c r="F249" s="867"/>
      <c r="G249" s="865"/>
      <c r="H249" s="865" t="s">
        <v>2204</v>
      </c>
    </row>
    <row r="250" spans="1:8" x14ac:dyDescent="0.45">
      <c r="A250" s="861">
        <v>249</v>
      </c>
      <c r="B250" s="968"/>
      <c r="C250" s="862"/>
      <c r="D250" s="862"/>
      <c r="E250" s="863"/>
      <c r="F250" s="867"/>
      <c r="G250" s="865"/>
      <c r="H250" s="865" t="s">
        <v>2204</v>
      </c>
    </row>
    <row r="251" spans="1:8" x14ac:dyDescent="0.45">
      <c r="A251" s="861">
        <v>250</v>
      </c>
      <c r="B251" s="968"/>
      <c r="C251" s="862"/>
      <c r="D251" s="862"/>
      <c r="E251" s="863"/>
      <c r="F251" s="867"/>
      <c r="G251" s="865"/>
      <c r="H251" s="865" t="s">
        <v>2204</v>
      </c>
    </row>
    <row r="252" spans="1:8" x14ac:dyDescent="0.45">
      <c r="A252" s="861">
        <v>251</v>
      </c>
      <c r="B252" s="968"/>
      <c r="C252" s="862"/>
      <c r="D252" s="862"/>
      <c r="E252" s="863"/>
      <c r="F252" s="867"/>
      <c r="G252" s="865"/>
      <c r="H252" s="865" t="s">
        <v>2204</v>
      </c>
    </row>
    <row r="253" spans="1:8" x14ac:dyDescent="0.45">
      <c r="A253" s="861">
        <v>252</v>
      </c>
      <c r="B253" s="968"/>
      <c r="C253" s="862"/>
      <c r="D253" s="862"/>
      <c r="E253" s="863"/>
      <c r="F253" s="867"/>
      <c r="G253" s="865"/>
      <c r="H253" s="865" t="s">
        <v>2204</v>
      </c>
    </row>
    <row r="254" spans="1:8" x14ac:dyDescent="0.45">
      <c r="A254" s="861">
        <v>253</v>
      </c>
      <c r="B254" s="967" t="s">
        <v>2380</v>
      </c>
      <c r="C254" s="869" t="s">
        <v>2175</v>
      </c>
      <c r="D254" s="862" t="s">
        <v>2184</v>
      </c>
      <c r="E254" s="861" t="s">
        <v>2355</v>
      </c>
      <c r="F254" s="866" t="s">
        <v>2361</v>
      </c>
      <c r="G254" s="865" t="s">
        <v>2279</v>
      </c>
      <c r="H254" s="865" t="s">
        <v>2177</v>
      </c>
    </row>
    <row r="255" spans="1:8" x14ac:dyDescent="0.45">
      <c r="A255" s="861">
        <v>254</v>
      </c>
      <c r="B255" s="968"/>
      <c r="C255" s="869" t="s">
        <v>2175</v>
      </c>
      <c r="D255" s="862" t="s">
        <v>2187</v>
      </c>
      <c r="E255" s="865" t="s">
        <v>2357</v>
      </c>
      <c r="F255" s="866" t="s">
        <v>2358</v>
      </c>
      <c r="G255" s="865" t="s">
        <v>2279</v>
      </c>
      <c r="H255" s="865" t="s">
        <v>2177</v>
      </c>
    </row>
    <row r="256" spans="1:8" x14ac:dyDescent="0.45">
      <c r="A256" s="861">
        <v>255</v>
      </c>
      <c r="B256" s="968"/>
      <c r="C256" s="869" t="s">
        <v>2175</v>
      </c>
      <c r="D256" s="862" t="s">
        <v>2189</v>
      </c>
      <c r="E256" s="865" t="s">
        <v>2369</v>
      </c>
      <c r="F256" s="866" t="s">
        <v>2378</v>
      </c>
      <c r="G256" s="865" t="s">
        <v>2279</v>
      </c>
      <c r="H256" s="865" t="s">
        <v>2177</v>
      </c>
    </row>
    <row r="257" spans="1:8" x14ac:dyDescent="0.45">
      <c r="A257" s="861">
        <v>256</v>
      </c>
      <c r="B257" s="968"/>
      <c r="C257" s="869" t="s">
        <v>2175</v>
      </c>
      <c r="D257" s="862" t="s">
        <v>2191</v>
      </c>
      <c r="E257" s="865" t="s">
        <v>2366</v>
      </c>
      <c r="F257" s="866" t="s">
        <v>2381</v>
      </c>
      <c r="G257" s="865" t="s">
        <v>2279</v>
      </c>
      <c r="H257" s="865" t="s">
        <v>2177</v>
      </c>
    </row>
    <row r="258" spans="1:8" x14ac:dyDescent="0.45">
      <c r="A258" s="861">
        <v>257</v>
      </c>
      <c r="B258" s="968"/>
      <c r="C258" s="869" t="s">
        <v>2178</v>
      </c>
      <c r="D258" s="862" t="s">
        <v>2184</v>
      </c>
      <c r="E258" s="865" t="s">
        <v>2368</v>
      </c>
      <c r="F258" s="866" t="s">
        <v>2382</v>
      </c>
      <c r="G258" s="865" t="s">
        <v>2279</v>
      </c>
      <c r="H258" s="865" t="s">
        <v>2177</v>
      </c>
    </row>
    <row r="259" spans="1:8" x14ac:dyDescent="0.45">
      <c r="A259" s="861">
        <v>258</v>
      </c>
      <c r="B259" s="968"/>
      <c r="C259" s="869" t="s">
        <v>2178</v>
      </c>
      <c r="D259" s="862" t="s">
        <v>2187</v>
      </c>
      <c r="E259" s="865" t="s">
        <v>2382</v>
      </c>
      <c r="F259" s="866" t="s">
        <v>2383</v>
      </c>
      <c r="G259" s="865" t="s">
        <v>2279</v>
      </c>
      <c r="H259" s="865" t="s">
        <v>2177</v>
      </c>
    </row>
    <row r="260" spans="1:8" x14ac:dyDescent="0.45">
      <c r="A260" s="861">
        <v>259</v>
      </c>
      <c r="B260" s="968"/>
      <c r="C260" s="869" t="s">
        <v>2178</v>
      </c>
      <c r="D260" s="862" t="s">
        <v>2189</v>
      </c>
      <c r="E260" s="865" t="s">
        <v>2383</v>
      </c>
      <c r="F260" s="866" t="s">
        <v>2384</v>
      </c>
      <c r="G260" s="865" t="s">
        <v>2279</v>
      </c>
      <c r="H260" s="865" t="s">
        <v>2177</v>
      </c>
    </row>
    <row r="261" spans="1:8" x14ac:dyDescent="0.45">
      <c r="A261" s="861">
        <v>260</v>
      </c>
      <c r="B261" s="968"/>
      <c r="C261" s="869" t="s">
        <v>2178</v>
      </c>
      <c r="D261" s="862" t="s">
        <v>2191</v>
      </c>
      <c r="E261" s="865" t="s">
        <v>2385</v>
      </c>
      <c r="F261" s="866" t="s">
        <v>2386</v>
      </c>
      <c r="G261" s="865" t="s">
        <v>2279</v>
      </c>
      <c r="H261" s="865" t="s">
        <v>2177</v>
      </c>
    </row>
    <row r="262" spans="1:8" x14ac:dyDescent="0.45">
      <c r="A262" s="861">
        <v>261</v>
      </c>
      <c r="B262" s="967" t="s">
        <v>2387</v>
      </c>
      <c r="C262" s="869" t="s">
        <v>2175</v>
      </c>
      <c r="D262" s="862" t="s">
        <v>2184</v>
      </c>
      <c r="E262" s="861" t="s">
        <v>2355</v>
      </c>
      <c r="F262" s="866" t="s">
        <v>2361</v>
      </c>
      <c r="G262" s="865" t="s">
        <v>2279</v>
      </c>
      <c r="H262" s="865" t="s">
        <v>2177</v>
      </c>
    </row>
    <row r="263" spans="1:8" x14ac:dyDescent="0.45">
      <c r="A263" s="861">
        <v>262</v>
      </c>
      <c r="B263" s="968"/>
      <c r="C263" s="869" t="s">
        <v>2175</v>
      </c>
      <c r="D263" s="862" t="s">
        <v>2187</v>
      </c>
      <c r="E263" s="865" t="s">
        <v>2369</v>
      </c>
      <c r="F263" s="866" t="s">
        <v>2376</v>
      </c>
      <c r="G263" s="865" t="s">
        <v>2279</v>
      </c>
      <c r="H263" s="865" t="s">
        <v>2177</v>
      </c>
    </row>
    <row r="264" spans="1:8" x14ac:dyDescent="0.45">
      <c r="A264" s="861">
        <v>263</v>
      </c>
      <c r="B264" s="968"/>
      <c r="C264" s="869" t="s">
        <v>2175</v>
      </c>
      <c r="D264" s="862" t="s">
        <v>2189</v>
      </c>
      <c r="E264" s="865" t="s">
        <v>2388</v>
      </c>
      <c r="F264" s="866" t="s">
        <v>2389</v>
      </c>
      <c r="G264" s="865" t="s">
        <v>2279</v>
      </c>
      <c r="H264" s="865" t="s">
        <v>2177</v>
      </c>
    </row>
    <row r="265" spans="1:8" x14ac:dyDescent="0.45">
      <c r="A265" s="861">
        <v>264</v>
      </c>
      <c r="B265" s="968"/>
      <c r="C265" s="869" t="s">
        <v>2175</v>
      </c>
      <c r="D265" s="862" t="s">
        <v>2191</v>
      </c>
      <c r="E265" s="865" t="s">
        <v>2368</v>
      </c>
      <c r="F265" s="866" t="s">
        <v>2382</v>
      </c>
      <c r="G265" s="865" t="s">
        <v>2279</v>
      </c>
      <c r="H265" s="865" t="s">
        <v>2177</v>
      </c>
    </row>
    <row r="266" spans="1:8" x14ac:dyDescent="0.45">
      <c r="A266" s="861">
        <v>265</v>
      </c>
      <c r="B266" s="968"/>
      <c r="C266" s="869" t="s">
        <v>2175</v>
      </c>
      <c r="D266" s="862" t="s">
        <v>2193</v>
      </c>
      <c r="E266" s="865" t="s">
        <v>2384</v>
      </c>
      <c r="F266" s="866" t="s">
        <v>2386</v>
      </c>
      <c r="G266" s="865" t="s">
        <v>2279</v>
      </c>
      <c r="H266" s="865" t="s">
        <v>2177</v>
      </c>
    </row>
    <row r="267" spans="1:8" x14ac:dyDescent="0.45">
      <c r="A267" s="861"/>
      <c r="B267" s="968"/>
      <c r="C267" s="862" t="s">
        <v>2175</v>
      </c>
      <c r="D267" s="862" t="s">
        <v>2390</v>
      </c>
      <c r="E267" s="865"/>
      <c r="F267" s="866" t="s">
        <v>2391</v>
      </c>
      <c r="G267" s="865" t="s">
        <v>2279</v>
      </c>
      <c r="H267" s="865" t="s">
        <v>2177</v>
      </c>
    </row>
    <row r="268" spans="1:8" x14ac:dyDescent="0.45">
      <c r="A268" s="861"/>
      <c r="B268" s="968"/>
      <c r="C268" s="862" t="s">
        <v>2175</v>
      </c>
      <c r="D268" s="862" t="s">
        <v>2392</v>
      </c>
      <c r="E268" s="865"/>
      <c r="F268" s="866"/>
      <c r="G268" s="865" t="s">
        <v>2279</v>
      </c>
      <c r="H268" s="865"/>
    </row>
    <row r="269" spans="1:8" x14ac:dyDescent="0.45">
      <c r="A269" s="861">
        <v>268</v>
      </c>
      <c r="B269" s="967" t="s">
        <v>2393</v>
      </c>
      <c r="C269" s="869" t="s">
        <v>2175</v>
      </c>
      <c r="D269" s="862" t="s">
        <v>2184</v>
      </c>
      <c r="E269" s="865" t="s">
        <v>2394</v>
      </c>
      <c r="F269" s="866" t="s">
        <v>2395</v>
      </c>
      <c r="G269" s="865" t="s">
        <v>2279</v>
      </c>
      <c r="H269" s="865" t="s">
        <v>2177</v>
      </c>
    </row>
    <row r="270" spans="1:8" x14ac:dyDescent="0.45">
      <c r="A270" s="861">
        <v>269</v>
      </c>
      <c r="B270" s="968"/>
      <c r="C270" s="869" t="s">
        <v>2175</v>
      </c>
      <c r="D270" s="862" t="s">
        <v>2187</v>
      </c>
      <c r="E270" s="865" t="s">
        <v>2396</v>
      </c>
      <c r="F270" s="866" t="s">
        <v>2397</v>
      </c>
      <c r="G270" s="865" t="s">
        <v>2279</v>
      </c>
      <c r="H270" s="865" t="s">
        <v>2177</v>
      </c>
    </row>
    <row r="271" spans="1:8" x14ac:dyDescent="0.45">
      <c r="A271" s="861">
        <v>270</v>
      </c>
      <c r="B271" s="968"/>
      <c r="C271" s="869" t="s">
        <v>2175</v>
      </c>
      <c r="D271" s="862" t="s">
        <v>2189</v>
      </c>
      <c r="E271" s="865" t="s">
        <v>2398</v>
      </c>
      <c r="F271" s="866" t="s">
        <v>2399</v>
      </c>
      <c r="G271" s="865" t="s">
        <v>2279</v>
      </c>
      <c r="H271" s="865" t="s">
        <v>2177</v>
      </c>
    </row>
    <row r="272" spans="1:8" x14ac:dyDescent="0.45">
      <c r="A272" s="861">
        <v>271</v>
      </c>
      <c r="B272" s="968"/>
      <c r="C272" s="869" t="s">
        <v>2175</v>
      </c>
      <c r="D272" s="862" t="s">
        <v>2191</v>
      </c>
      <c r="E272" s="865" t="s">
        <v>2400</v>
      </c>
      <c r="F272" s="866" t="s">
        <v>2401</v>
      </c>
      <c r="G272" s="865" t="s">
        <v>2279</v>
      </c>
      <c r="H272" s="865" t="s">
        <v>2177</v>
      </c>
    </row>
    <row r="273" spans="1:8" x14ac:dyDescent="0.45">
      <c r="A273" s="861"/>
      <c r="B273" s="967" t="s">
        <v>2402</v>
      </c>
      <c r="C273" s="869" t="s">
        <v>2175</v>
      </c>
      <c r="D273" s="868" t="s">
        <v>2363</v>
      </c>
      <c r="E273" s="861" t="s">
        <v>2357</v>
      </c>
      <c r="F273" s="866" t="s">
        <v>2358</v>
      </c>
      <c r="G273" s="865" t="s">
        <v>2279</v>
      </c>
      <c r="H273" s="865" t="s">
        <v>2177</v>
      </c>
    </row>
    <row r="274" spans="1:8" x14ac:dyDescent="0.45">
      <c r="A274" s="861">
        <v>273</v>
      </c>
      <c r="B274" s="968"/>
      <c r="C274" s="869" t="s">
        <v>2175</v>
      </c>
      <c r="D274" s="862" t="s">
        <v>2184</v>
      </c>
      <c r="E274" s="865" t="s">
        <v>2358</v>
      </c>
      <c r="F274" s="866" t="s">
        <v>2369</v>
      </c>
      <c r="G274" s="865" t="s">
        <v>2279</v>
      </c>
      <c r="H274" s="865" t="s">
        <v>2177</v>
      </c>
    </row>
    <row r="275" spans="1:8" x14ac:dyDescent="0.45">
      <c r="A275" s="861">
        <v>274</v>
      </c>
      <c r="B275" s="968"/>
      <c r="C275" s="869" t="s">
        <v>2175</v>
      </c>
      <c r="D275" s="862" t="s">
        <v>2187</v>
      </c>
      <c r="E275" s="865" t="s">
        <v>2378</v>
      </c>
      <c r="F275" s="866" t="s">
        <v>2403</v>
      </c>
      <c r="G275" s="865" t="s">
        <v>2404</v>
      </c>
      <c r="H275" s="865" t="s">
        <v>2177</v>
      </c>
    </row>
    <row r="276" spans="1:8" x14ac:dyDescent="0.45">
      <c r="A276" s="861">
        <v>275</v>
      </c>
      <c r="B276" s="968"/>
      <c r="C276" s="869" t="s">
        <v>2175</v>
      </c>
      <c r="D276" s="862" t="s">
        <v>2189</v>
      </c>
      <c r="E276" s="865" t="s">
        <v>2405</v>
      </c>
      <c r="F276" s="866" t="s">
        <v>2384</v>
      </c>
      <c r="G276" s="865" t="s">
        <v>2404</v>
      </c>
      <c r="H276" s="865" t="s">
        <v>2177</v>
      </c>
    </row>
    <row r="277" spans="1:8" x14ac:dyDescent="0.45">
      <c r="A277" s="861">
        <v>276</v>
      </c>
      <c r="B277" s="968"/>
      <c r="C277" s="869" t="s">
        <v>2175</v>
      </c>
      <c r="D277" s="862" t="s">
        <v>2191</v>
      </c>
      <c r="E277" s="865" t="s">
        <v>2406</v>
      </c>
      <c r="F277" s="866" t="s">
        <v>2407</v>
      </c>
      <c r="G277" s="865" t="s">
        <v>2404</v>
      </c>
      <c r="H277" s="865" t="s">
        <v>2177</v>
      </c>
    </row>
    <row r="278" spans="1:8" x14ac:dyDescent="0.45">
      <c r="A278" s="861">
        <v>277</v>
      </c>
      <c r="B278" s="968"/>
      <c r="C278" s="869" t="s">
        <v>2175</v>
      </c>
      <c r="D278" s="862" t="s">
        <v>2193</v>
      </c>
      <c r="E278" s="865" t="s">
        <v>2408</v>
      </c>
      <c r="F278" s="866" t="s">
        <v>2409</v>
      </c>
      <c r="G278" s="865" t="s">
        <v>2404</v>
      </c>
      <c r="H278" s="865" t="s">
        <v>2177</v>
      </c>
    </row>
    <row r="279" spans="1:8" x14ac:dyDescent="0.45">
      <c r="A279" s="861">
        <v>278</v>
      </c>
      <c r="B279" s="968"/>
      <c r="C279" s="869" t="s">
        <v>2175</v>
      </c>
      <c r="D279" s="862" t="s">
        <v>2195</v>
      </c>
      <c r="E279" s="865" t="s">
        <v>2410</v>
      </c>
      <c r="F279" s="866" t="s">
        <v>2411</v>
      </c>
      <c r="G279" s="865" t="s">
        <v>2404</v>
      </c>
      <c r="H279" s="865" t="s">
        <v>2177</v>
      </c>
    </row>
    <row r="280" spans="1:8" x14ac:dyDescent="0.45">
      <c r="A280" s="861">
        <v>279</v>
      </c>
      <c r="B280" s="968"/>
      <c r="C280" s="869" t="s">
        <v>2178</v>
      </c>
      <c r="D280" s="862" t="s">
        <v>2390</v>
      </c>
      <c r="E280" s="865" t="s">
        <v>2369</v>
      </c>
      <c r="F280" s="866" t="s">
        <v>2376</v>
      </c>
      <c r="G280" s="865" t="s">
        <v>2404</v>
      </c>
      <c r="H280" s="865" t="s">
        <v>2177</v>
      </c>
    </row>
    <row r="281" spans="1:8" x14ac:dyDescent="0.45">
      <c r="A281" s="861">
        <v>280</v>
      </c>
      <c r="B281" s="968"/>
      <c r="C281" s="869" t="s">
        <v>2178</v>
      </c>
      <c r="D281" s="862" t="s">
        <v>2392</v>
      </c>
      <c r="E281" s="865" t="s">
        <v>2403</v>
      </c>
      <c r="F281" s="866" t="s">
        <v>2407</v>
      </c>
      <c r="G281" s="865" t="s">
        <v>2404</v>
      </c>
      <c r="H281" s="865" t="s">
        <v>2177</v>
      </c>
    </row>
    <row r="282" spans="1:8" x14ac:dyDescent="0.45">
      <c r="A282" s="861">
        <v>281</v>
      </c>
      <c r="B282" s="968"/>
      <c r="C282" s="869" t="s">
        <v>2178</v>
      </c>
      <c r="D282" s="862" t="s">
        <v>2412</v>
      </c>
      <c r="E282" s="865" t="s">
        <v>2389</v>
      </c>
      <c r="F282" s="866" t="s">
        <v>2405</v>
      </c>
      <c r="G282" s="865" t="s">
        <v>2404</v>
      </c>
      <c r="H282" s="865" t="s">
        <v>2177</v>
      </c>
    </row>
    <row r="283" spans="1:8" x14ac:dyDescent="0.45">
      <c r="A283" s="861">
        <v>282</v>
      </c>
      <c r="B283" s="968"/>
      <c r="C283" s="869" t="s">
        <v>2178</v>
      </c>
      <c r="D283" s="862" t="s">
        <v>2413</v>
      </c>
      <c r="E283" s="865" t="s">
        <v>2384</v>
      </c>
      <c r="F283" s="866" t="s">
        <v>2386</v>
      </c>
      <c r="G283" s="865" t="s">
        <v>2404</v>
      </c>
      <c r="H283" s="865" t="s">
        <v>2177</v>
      </c>
    </row>
    <row r="284" spans="1:8" x14ac:dyDescent="0.45">
      <c r="A284" s="861">
        <v>283</v>
      </c>
      <c r="B284" s="968"/>
      <c r="C284" s="869" t="s">
        <v>2178</v>
      </c>
      <c r="D284" s="862" t="s">
        <v>2414</v>
      </c>
      <c r="E284" s="865" t="s">
        <v>2415</v>
      </c>
      <c r="F284" s="866" t="s">
        <v>2408</v>
      </c>
      <c r="G284" s="865" t="s">
        <v>2404</v>
      </c>
      <c r="H284" s="865" t="s">
        <v>2177</v>
      </c>
    </row>
    <row r="285" spans="1:8" x14ac:dyDescent="0.45">
      <c r="A285" s="861">
        <v>284</v>
      </c>
      <c r="B285" s="968"/>
      <c r="C285" s="869" t="s">
        <v>2178</v>
      </c>
      <c r="D285" s="862" t="s">
        <v>2416</v>
      </c>
      <c r="E285" s="865" t="s">
        <v>2417</v>
      </c>
      <c r="F285" s="866" t="s">
        <v>2418</v>
      </c>
      <c r="G285" s="865" t="s">
        <v>2404</v>
      </c>
      <c r="H285" s="865" t="s">
        <v>2177</v>
      </c>
    </row>
    <row r="286" spans="1:8" x14ac:dyDescent="0.45">
      <c r="A286" s="861">
        <v>285</v>
      </c>
      <c r="B286" s="968"/>
      <c r="C286" s="869" t="s">
        <v>2178</v>
      </c>
      <c r="D286" s="862" t="s">
        <v>2419</v>
      </c>
      <c r="E286" s="865" t="s">
        <v>2420</v>
      </c>
      <c r="F286" s="866" t="s">
        <v>2411</v>
      </c>
      <c r="G286" s="865" t="s">
        <v>2404</v>
      </c>
      <c r="H286" s="865" t="s">
        <v>2177</v>
      </c>
    </row>
    <row r="287" spans="1:8" x14ac:dyDescent="0.45">
      <c r="A287" s="861">
        <v>286</v>
      </c>
      <c r="B287" s="968"/>
      <c r="C287" s="869" t="s">
        <v>2178</v>
      </c>
      <c r="D287" s="862" t="s">
        <v>2421</v>
      </c>
      <c r="E287" s="865" t="s">
        <v>2422</v>
      </c>
      <c r="F287" s="866" t="s">
        <v>2423</v>
      </c>
      <c r="G287" s="865" t="s">
        <v>2404</v>
      </c>
      <c r="H287" s="865" t="s">
        <v>2177</v>
      </c>
    </row>
    <row r="288" spans="1:8" x14ac:dyDescent="0.45">
      <c r="A288" s="861">
        <v>287</v>
      </c>
      <c r="B288" s="967" t="s">
        <v>2424</v>
      </c>
      <c r="C288" s="869" t="s">
        <v>2175</v>
      </c>
      <c r="D288" s="862" t="s">
        <v>2425</v>
      </c>
      <c r="E288" s="865" t="s">
        <v>2403</v>
      </c>
      <c r="F288" s="866" t="s">
        <v>2426</v>
      </c>
      <c r="G288" s="865" t="s">
        <v>2427</v>
      </c>
      <c r="H288" s="865" t="s">
        <v>2177</v>
      </c>
    </row>
    <row r="289" spans="1:8" x14ac:dyDescent="0.45">
      <c r="A289" s="861">
        <v>288</v>
      </c>
      <c r="B289" s="968"/>
      <c r="C289" s="869" t="s">
        <v>2175</v>
      </c>
      <c r="D289" s="862" t="s">
        <v>2428</v>
      </c>
      <c r="E289" s="865" t="s">
        <v>2426</v>
      </c>
      <c r="F289" s="866" t="s">
        <v>2429</v>
      </c>
      <c r="G289" s="865" t="s">
        <v>2427</v>
      </c>
      <c r="H289" s="865" t="s">
        <v>2177</v>
      </c>
    </row>
    <row r="290" spans="1:8" x14ac:dyDescent="0.45">
      <c r="A290" s="861">
        <v>289</v>
      </c>
      <c r="B290" s="968"/>
      <c r="C290" s="869" t="s">
        <v>2175</v>
      </c>
      <c r="D290" s="862" t="s">
        <v>2430</v>
      </c>
      <c r="E290" s="865" t="s">
        <v>2405</v>
      </c>
      <c r="F290" s="866" t="s">
        <v>2368</v>
      </c>
      <c r="G290" s="865" t="s">
        <v>2427</v>
      </c>
      <c r="H290" s="865" t="s">
        <v>2177</v>
      </c>
    </row>
    <row r="291" spans="1:8" x14ac:dyDescent="0.45">
      <c r="A291" s="861">
        <v>290</v>
      </c>
      <c r="B291" s="968"/>
      <c r="C291" s="869" t="s">
        <v>2175</v>
      </c>
      <c r="D291" s="862" t="s">
        <v>2431</v>
      </c>
      <c r="E291" s="865" t="s">
        <v>2383</v>
      </c>
      <c r="F291" s="866" t="s">
        <v>2385</v>
      </c>
      <c r="G291" s="865" t="s">
        <v>2427</v>
      </c>
      <c r="H291" s="865" t="s">
        <v>2177</v>
      </c>
    </row>
    <row r="292" spans="1:8" x14ac:dyDescent="0.45">
      <c r="A292" s="861">
        <v>291</v>
      </c>
      <c r="B292" s="968"/>
      <c r="C292" s="869" t="s">
        <v>2175</v>
      </c>
      <c r="D292" s="862" t="s">
        <v>2432</v>
      </c>
      <c r="E292" s="865" t="s">
        <v>2406</v>
      </c>
      <c r="F292" s="866" t="s">
        <v>2407</v>
      </c>
      <c r="G292" s="865" t="s">
        <v>2427</v>
      </c>
      <c r="H292" s="865" t="s">
        <v>2177</v>
      </c>
    </row>
    <row r="293" spans="1:8" x14ac:dyDescent="0.45">
      <c r="A293" s="861">
        <v>292</v>
      </c>
      <c r="B293" s="968"/>
      <c r="C293" s="869" t="s">
        <v>2175</v>
      </c>
      <c r="D293" s="862" t="s">
        <v>2433</v>
      </c>
      <c r="E293" s="865" t="s">
        <v>2434</v>
      </c>
      <c r="F293" s="866" t="s">
        <v>2435</v>
      </c>
      <c r="G293" s="865" t="s">
        <v>2427</v>
      </c>
      <c r="H293" s="865" t="s">
        <v>2177</v>
      </c>
    </row>
    <row r="294" spans="1:8" x14ac:dyDescent="0.45">
      <c r="A294" s="861">
        <v>293</v>
      </c>
      <c r="B294" s="968"/>
      <c r="C294" s="869" t="s">
        <v>2175</v>
      </c>
      <c r="D294" s="862" t="s">
        <v>2436</v>
      </c>
      <c r="E294" s="865" t="s">
        <v>2435</v>
      </c>
      <c r="F294" s="866" t="s">
        <v>2415</v>
      </c>
      <c r="G294" s="865" t="s">
        <v>2427</v>
      </c>
      <c r="H294" s="865" t="s">
        <v>2177</v>
      </c>
    </row>
    <row r="295" spans="1:8" x14ac:dyDescent="0.45">
      <c r="A295" s="861">
        <v>294</v>
      </c>
      <c r="B295" s="968"/>
      <c r="C295" s="869" t="s">
        <v>2175</v>
      </c>
      <c r="D295" s="862" t="s">
        <v>2437</v>
      </c>
      <c r="E295" s="865" t="s">
        <v>2438</v>
      </c>
      <c r="F295" s="866" t="s">
        <v>2418</v>
      </c>
      <c r="G295" s="865" t="s">
        <v>2427</v>
      </c>
      <c r="H295" s="865" t="s">
        <v>2177</v>
      </c>
    </row>
    <row r="296" spans="1:8" x14ac:dyDescent="0.45">
      <c r="A296" s="861">
        <v>295</v>
      </c>
      <c r="B296" s="968"/>
      <c r="C296" s="869" t="s">
        <v>2175</v>
      </c>
      <c r="D296" s="862" t="s">
        <v>2439</v>
      </c>
      <c r="E296" s="865" t="s">
        <v>2417</v>
      </c>
      <c r="F296" s="866" t="s">
        <v>2418</v>
      </c>
      <c r="G296" s="865" t="s">
        <v>2427</v>
      </c>
      <c r="H296" s="865" t="s">
        <v>2177</v>
      </c>
    </row>
    <row r="297" spans="1:8" x14ac:dyDescent="0.45">
      <c r="A297" s="861">
        <v>296</v>
      </c>
      <c r="B297" s="968"/>
      <c r="C297" s="869" t="s">
        <v>2175</v>
      </c>
      <c r="D297" s="862" t="s">
        <v>2440</v>
      </c>
      <c r="E297" s="865" t="s">
        <v>2441</v>
      </c>
      <c r="F297" s="866" t="s">
        <v>2441</v>
      </c>
      <c r="G297" s="865" t="s">
        <v>2427</v>
      </c>
      <c r="H297" s="865" t="s">
        <v>2177</v>
      </c>
    </row>
    <row r="298" spans="1:8" x14ac:dyDescent="0.45">
      <c r="A298" s="861">
        <v>297</v>
      </c>
      <c r="B298" s="967" t="s">
        <v>2442</v>
      </c>
      <c r="C298" s="869" t="s">
        <v>2175</v>
      </c>
      <c r="D298" s="868" t="s">
        <v>2184</v>
      </c>
      <c r="E298" s="861" t="s">
        <v>2405</v>
      </c>
      <c r="F298" s="866" t="s">
        <v>2368</v>
      </c>
      <c r="G298" s="865" t="s">
        <v>2279</v>
      </c>
      <c r="H298" s="865" t="s">
        <v>2177</v>
      </c>
    </row>
    <row r="299" spans="1:8" x14ac:dyDescent="0.45">
      <c r="A299" s="861">
        <v>298</v>
      </c>
      <c r="B299" s="968"/>
      <c r="C299" s="869" t="s">
        <v>2175</v>
      </c>
      <c r="D299" s="862" t="s">
        <v>2187</v>
      </c>
      <c r="E299" s="865" t="s">
        <v>2406</v>
      </c>
      <c r="F299" s="866" t="s">
        <v>2407</v>
      </c>
      <c r="G299" s="865" t="s">
        <v>2279</v>
      </c>
      <c r="H299" s="865" t="s">
        <v>2177</v>
      </c>
    </row>
    <row r="300" spans="1:8" x14ac:dyDescent="0.45">
      <c r="A300" s="861">
        <v>299</v>
      </c>
      <c r="B300" s="968"/>
      <c r="C300" s="869" t="s">
        <v>2175</v>
      </c>
      <c r="D300" s="862" t="s">
        <v>2189</v>
      </c>
      <c r="E300" s="865" t="s">
        <v>2408</v>
      </c>
      <c r="F300" s="866" t="s">
        <v>2409</v>
      </c>
      <c r="G300" s="865" t="s">
        <v>2279</v>
      </c>
      <c r="H300" s="865" t="s">
        <v>2177</v>
      </c>
    </row>
    <row r="301" spans="1:8" x14ac:dyDescent="0.45">
      <c r="A301" s="861">
        <v>300</v>
      </c>
      <c r="B301" s="968"/>
      <c r="C301" s="869" t="s">
        <v>2175</v>
      </c>
      <c r="D301" s="862" t="s">
        <v>2191</v>
      </c>
      <c r="E301" s="865" t="s">
        <v>2410</v>
      </c>
      <c r="F301" s="866" t="s">
        <v>2411</v>
      </c>
      <c r="G301" s="865" t="s">
        <v>2279</v>
      </c>
      <c r="H301" s="865" t="s">
        <v>2177</v>
      </c>
    </row>
    <row r="302" spans="1:8" x14ac:dyDescent="0.45">
      <c r="A302" s="861">
        <v>301</v>
      </c>
      <c r="B302" s="967" t="s">
        <v>2443</v>
      </c>
      <c r="C302" s="869" t="s">
        <v>2175</v>
      </c>
      <c r="D302" s="862" t="s">
        <v>2184</v>
      </c>
      <c r="E302" s="865" t="s">
        <v>2396</v>
      </c>
      <c r="F302" s="867"/>
      <c r="G302" s="865" t="s">
        <v>2444</v>
      </c>
      <c r="H302" s="865" t="s">
        <v>2177</v>
      </c>
    </row>
    <row r="303" spans="1:8" x14ac:dyDescent="0.45">
      <c r="A303" s="861">
        <v>302</v>
      </c>
      <c r="B303" s="968"/>
      <c r="C303" s="869" t="s">
        <v>2175</v>
      </c>
      <c r="D303" s="862" t="s">
        <v>2187</v>
      </c>
      <c r="E303" s="865" t="s">
        <v>2445</v>
      </c>
      <c r="F303" s="867"/>
      <c r="G303" s="865" t="s">
        <v>2444</v>
      </c>
      <c r="H303" s="865" t="s">
        <v>2177</v>
      </c>
    </row>
    <row r="304" spans="1:8" x14ac:dyDescent="0.45">
      <c r="A304" s="861">
        <v>303</v>
      </c>
      <c r="B304" s="968"/>
      <c r="C304" s="869" t="s">
        <v>2175</v>
      </c>
      <c r="D304" s="862" t="s">
        <v>2189</v>
      </c>
      <c r="E304" s="865" t="s">
        <v>2398</v>
      </c>
      <c r="F304" s="867"/>
      <c r="G304" s="865" t="s">
        <v>2444</v>
      </c>
      <c r="H304" s="865" t="s">
        <v>2177</v>
      </c>
    </row>
    <row r="305" spans="1:8" x14ac:dyDescent="0.45">
      <c r="A305" s="861">
        <v>304</v>
      </c>
      <c r="B305" s="968"/>
      <c r="C305" s="869" t="s">
        <v>2175</v>
      </c>
      <c r="D305" s="862" t="s">
        <v>2191</v>
      </c>
      <c r="E305" s="865" t="s">
        <v>2446</v>
      </c>
      <c r="F305" s="866" t="s">
        <v>2447</v>
      </c>
      <c r="G305" s="865" t="s">
        <v>2404</v>
      </c>
      <c r="H305" s="865" t="s">
        <v>2177</v>
      </c>
    </row>
    <row r="306" spans="1:8" x14ac:dyDescent="0.45">
      <c r="A306" s="861">
        <v>305</v>
      </c>
      <c r="B306" s="968"/>
      <c r="C306" s="869" t="s">
        <v>2175</v>
      </c>
      <c r="D306" s="862" t="s">
        <v>2193</v>
      </c>
      <c r="E306" s="865" t="s">
        <v>2448</v>
      </c>
      <c r="F306" s="866" t="s">
        <v>2434</v>
      </c>
      <c r="G306" s="865" t="s">
        <v>2427</v>
      </c>
      <c r="H306" s="865" t="s">
        <v>2177</v>
      </c>
    </row>
    <row r="307" spans="1:8" x14ac:dyDescent="0.45">
      <c r="A307" s="861">
        <v>306</v>
      </c>
      <c r="B307" s="967" t="s">
        <v>2449</v>
      </c>
      <c r="C307" s="869" t="s">
        <v>2175</v>
      </c>
      <c r="D307" s="862" t="s">
        <v>2184</v>
      </c>
      <c r="E307" s="865" t="s">
        <v>2399</v>
      </c>
      <c r="F307" s="865" t="s">
        <v>2406</v>
      </c>
      <c r="G307" s="865" t="s">
        <v>2427</v>
      </c>
      <c r="H307" s="865" t="s">
        <v>2177</v>
      </c>
    </row>
    <row r="308" spans="1:8" x14ac:dyDescent="0.45">
      <c r="A308" s="861">
        <v>307</v>
      </c>
      <c r="B308" s="968"/>
      <c r="C308" s="869" t="s">
        <v>2175</v>
      </c>
      <c r="D308" s="862" t="s">
        <v>2187</v>
      </c>
      <c r="E308" s="863">
        <v>45877</v>
      </c>
      <c r="F308" s="872">
        <v>45878</v>
      </c>
      <c r="G308" s="865" t="s">
        <v>2182</v>
      </c>
      <c r="H308" s="865" t="s">
        <v>2177</v>
      </c>
    </row>
    <row r="309" spans="1:8" x14ac:dyDescent="0.45">
      <c r="A309" s="861">
        <v>308</v>
      </c>
      <c r="B309" s="968"/>
      <c r="C309" s="869" t="s">
        <v>2175</v>
      </c>
      <c r="D309" s="862" t="s">
        <v>2189</v>
      </c>
      <c r="E309" s="863">
        <v>45881</v>
      </c>
      <c r="F309" s="866" t="s">
        <v>2450</v>
      </c>
      <c r="G309" s="865" t="s">
        <v>2444</v>
      </c>
      <c r="H309" s="865" t="s">
        <v>2177</v>
      </c>
    </row>
    <row r="310" spans="1:8" x14ac:dyDescent="0.45">
      <c r="A310" s="861">
        <v>309</v>
      </c>
      <c r="B310" s="968"/>
      <c r="C310" s="869" t="s">
        <v>2175</v>
      </c>
      <c r="D310" s="862" t="s">
        <v>2191</v>
      </c>
      <c r="E310" s="863">
        <v>45883</v>
      </c>
      <c r="F310" s="866" t="s">
        <v>2451</v>
      </c>
      <c r="G310" s="865" t="s">
        <v>2444</v>
      </c>
      <c r="H310" s="865" t="s">
        <v>2177</v>
      </c>
    </row>
    <row r="311" spans="1:8" x14ac:dyDescent="0.45">
      <c r="A311" s="861">
        <v>310</v>
      </c>
      <c r="B311" s="968"/>
      <c r="C311" s="869" t="s">
        <v>2175</v>
      </c>
      <c r="D311" s="862" t="s">
        <v>2193</v>
      </c>
      <c r="E311" s="865" t="s">
        <v>2452</v>
      </c>
      <c r="F311" s="866" t="s">
        <v>2453</v>
      </c>
      <c r="G311" s="865" t="s">
        <v>2444</v>
      </c>
      <c r="H311" s="865" t="s">
        <v>2177</v>
      </c>
    </row>
    <row r="312" spans="1:8" x14ac:dyDescent="0.45">
      <c r="A312" s="861">
        <v>311</v>
      </c>
      <c r="B312" s="968"/>
      <c r="C312" s="869" t="s">
        <v>2175</v>
      </c>
      <c r="D312" s="862" t="s">
        <v>2195</v>
      </c>
      <c r="E312" s="863">
        <v>45891</v>
      </c>
      <c r="F312" s="866" t="s">
        <v>2454</v>
      </c>
      <c r="G312" s="865" t="s">
        <v>2444</v>
      </c>
      <c r="H312" s="865" t="s">
        <v>2177</v>
      </c>
    </row>
    <row r="313" spans="1:8" x14ac:dyDescent="0.45">
      <c r="A313" s="861">
        <v>312</v>
      </c>
      <c r="B313" s="968"/>
      <c r="C313" s="869" t="s">
        <v>2175</v>
      </c>
      <c r="D313" s="862" t="s">
        <v>2198</v>
      </c>
      <c r="E313" s="865" t="s">
        <v>2455</v>
      </c>
      <c r="F313" s="866" t="s">
        <v>2456</v>
      </c>
      <c r="G313" s="865" t="s">
        <v>2444</v>
      </c>
      <c r="H313" s="865" t="s">
        <v>2177</v>
      </c>
    </row>
    <row r="314" spans="1:8" x14ac:dyDescent="0.45">
      <c r="A314" s="861">
        <v>313</v>
      </c>
      <c r="B314" s="968"/>
      <c r="C314" s="869" t="s">
        <v>2178</v>
      </c>
      <c r="D314" s="862" t="s">
        <v>2184</v>
      </c>
      <c r="E314" s="865" t="s">
        <v>2457</v>
      </c>
      <c r="F314" s="866" t="s">
        <v>2458</v>
      </c>
      <c r="G314" s="865" t="s">
        <v>2444</v>
      </c>
      <c r="H314" s="865" t="s">
        <v>2177</v>
      </c>
    </row>
    <row r="315" spans="1:8" x14ac:dyDescent="0.45">
      <c r="A315" s="861">
        <v>314</v>
      </c>
      <c r="B315" s="968"/>
      <c r="C315" s="869" t="s">
        <v>2178</v>
      </c>
      <c r="D315" s="862" t="s">
        <v>2187</v>
      </c>
      <c r="E315" s="865" t="s">
        <v>2459</v>
      </c>
      <c r="F315" s="866" t="s">
        <v>2460</v>
      </c>
      <c r="G315" s="865" t="s">
        <v>2444</v>
      </c>
      <c r="H315" s="865" t="s">
        <v>2177</v>
      </c>
    </row>
    <row r="316" spans="1:8" x14ac:dyDescent="0.45">
      <c r="A316" s="861">
        <v>315</v>
      </c>
      <c r="B316" s="968"/>
      <c r="C316" s="869" t="s">
        <v>2178</v>
      </c>
      <c r="D316" s="862" t="s">
        <v>2189</v>
      </c>
      <c r="E316" s="863">
        <v>45912</v>
      </c>
      <c r="F316" s="866" t="s">
        <v>2461</v>
      </c>
      <c r="G316" s="865" t="s">
        <v>2444</v>
      </c>
      <c r="H316" s="865" t="s">
        <v>2177</v>
      </c>
    </row>
    <row r="317" spans="1:8" x14ac:dyDescent="0.45">
      <c r="A317" s="861">
        <v>316</v>
      </c>
      <c r="B317" s="968"/>
      <c r="C317" s="869" t="s">
        <v>2178</v>
      </c>
      <c r="D317" s="862" t="s">
        <v>2191</v>
      </c>
      <c r="E317" s="863">
        <v>45919</v>
      </c>
      <c r="F317" s="867"/>
      <c r="G317" s="865"/>
      <c r="H317" s="865" t="s">
        <v>2204</v>
      </c>
    </row>
    <row r="318" spans="1:8" x14ac:dyDescent="0.45">
      <c r="A318" s="861">
        <v>317</v>
      </c>
      <c r="B318" s="967" t="s">
        <v>2462</v>
      </c>
      <c r="C318" s="869" t="s">
        <v>2175</v>
      </c>
      <c r="D318" s="862" t="s">
        <v>2184</v>
      </c>
      <c r="E318" s="865" t="s">
        <v>2399</v>
      </c>
      <c r="F318" s="865" t="s">
        <v>2446</v>
      </c>
      <c r="G318" s="865" t="s">
        <v>2279</v>
      </c>
      <c r="H318" s="865" t="s">
        <v>2177</v>
      </c>
    </row>
    <row r="319" spans="1:8" x14ac:dyDescent="0.45">
      <c r="A319" s="861">
        <v>318</v>
      </c>
      <c r="B319" s="968"/>
      <c r="C319" s="869" t="s">
        <v>2175</v>
      </c>
      <c r="D319" s="862" t="s">
        <v>2187</v>
      </c>
      <c r="E319" s="873">
        <v>45881</v>
      </c>
      <c r="F319" s="873">
        <v>45881</v>
      </c>
      <c r="G319" s="865" t="s">
        <v>2279</v>
      </c>
      <c r="H319" s="865" t="s">
        <v>2177</v>
      </c>
    </row>
    <row r="320" spans="1:8" x14ac:dyDescent="0.45">
      <c r="A320" s="861">
        <v>319</v>
      </c>
      <c r="B320" s="968"/>
      <c r="C320" s="869" t="s">
        <v>2175</v>
      </c>
      <c r="D320" s="862" t="s">
        <v>2189</v>
      </c>
      <c r="E320" s="874" t="s">
        <v>2452</v>
      </c>
      <c r="F320" s="875" t="s">
        <v>2410</v>
      </c>
      <c r="G320" s="865" t="s">
        <v>2279</v>
      </c>
      <c r="H320" s="865" t="s">
        <v>2177</v>
      </c>
    </row>
    <row r="321" spans="1:8" x14ac:dyDescent="0.45">
      <c r="A321" s="861">
        <v>320</v>
      </c>
      <c r="B321" s="968"/>
      <c r="C321" s="869" t="s">
        <v>2178</v>
      </c>
      <c r="D321" s="862" t="s">
        <v>2463</v>
      </c>
      <c r="E321" s="873">
        <v>45892</v>
      </c>
      <c r="F321" s="867"/>
      <c r="G321" s="865" t="s">
        <v>2279</v>
      </c>
      <c r="H321" s="865" t="s">
        <v>2177</v>
      </c>
    </row>
    <row r="322" spans="1:8" x14ac:dyDescent="0.45">
      <c r="A322" s="861">
        <v>321</v>
      </c>
      <c r="B322" s="968"/>
      <c r="C322" s="869" t="s">
        <v>2178</v>
      </c>
      <c r="D322" s="862" t="s">
        <v>2464</v>
      </c>
      <c r="E322" s="873">
        <v>45899</v>
      </c>
      <c r="F322" s="867"/>
      <c r="G322" s="865" t="s">
        <v>2279</v>
      </c>
      <c r="H322" s="865" t="s">
        <v>2177</v>
      </c>
    </row>
    <row r="323" spans="1:8" x14ac:dyDescent="0.45">
      <c r="A323" s="861">
        <v>322</v>
      </c>
      <c r="B323" s="967" t="s">
        <v>2465</v>
      </c>
      <c r="C323" s="869" t="s">
        <v>2175</v>
      </c>
      <c r="D323" s="862" t="s">
        <v>2363</v>
      </c>
      <c r="E323" s="865" t="s">
        <v>2448</v>
      </c>
      <c r="F323" s="866" t="s">
        <v>2434</v>
      </c>
      <c r="G323" s="865" t="s">
        <v>2427</v>
      </c>
      <c r="H323" s="865" t="s">
        <v>2177</v>
      </c>
    </row>
    <row r="324" spans="1:8" x14ac:dyDescent="0.45">
      <c r="A324" s="861">
        <v>323</v>
      </c>
      <c r="B324" s="968"/>
      <c r="C324" s="869" t="s">
        <v>2175</v>
      </c>
      <c r="D324" s="862" t="s">
        <v>2184</v>
      </c>
      <c r="E324" s="865" t="s">
        <v>2466</v>
      </c>
      <c r="F324" s="867"/>
      <c r="G324" s="865"/>
      <c r="H324" s="865" t="s">
        <v>2204</v>
      </c>
    </row>
    <row r="325" spans="1:8" x14ac:dyDescent="0.45">
      <c r="A325" s="861">
        <v>324</v>
      </c>
      <c r="B325" s="968"/>
      <c r="C325" s="869" t="s">
        <v>2175</v>
      </c>
      <c r="D325" s="862" t="s">
        <v>2187</v>
      </c>
      <c r="E325" s="865" t="s">
        <v>2467</v>
      </c>
      <c r="F325" s="867"/>
      <c r="G325" s="865"/>
      <c r="H325" s="865" t="s">
        <v>2204</v>
      </c>
    </row>
    <row r="326" spans="1:8" x14ac:dyDescent="0.45">
      <c r="A326" s="861">
        <v>325</v>
      </c>
      <c r="B326" s="968"/>
      <c r="C326" s="869" t="s">
        <v>2175</v>
      </c>
      <c r="D326" s="862" t="s">
        <v>2189</v>
      </c>
      <c r="E326" s="865" t="s">
        <v>2468</v>
      </c>
      <c r="F326" s="867"/>
      <c r="G326" s="865"/>
      <c r="H326" s="865" t="s">
        <v>2204</v>
      </c>
    </row>
    <row r="327" spans="1:8" x14ac:dyDescent="0.45">
      <c r="A327" s="861">
        <v>326</v>
      </c>
      <c r="B327" s="968"/>
      <c r="C327" s="869" t="s">
        <v>2175</v>
      </c>
      <c r="D327" s="862" t="s">
        <v>2191</v>
      </c>
      <c r="E327" s="865" t="s">
        <v>2469</v>
      </c>
      <c r="F327" s="867"/>
      <c r="G327" s="865"/>
      <c r="H327" s="865" t="s">
        <v>2204</v>
      </c>
    </row>
    <row r="328" spans="1:8" x14ac:dyDescent="0.45">
      <c r="A328" s="861">
        <v>327</v>
      </c>
      <c r="B328" s="968"/>
      <c r="C328" s="869" t="s">
        <v>2175</v>
      </c>
      <c r="D328" s="862" t="s">
        <v>2193</v>
      </c>
      <c r="E328" s="865" t="s">
        <v>2470</v>
      </c>
      <c r="F328" s="867"/>
      <c r="G328" s="865"/>
      <c r="H328" s="865" t="s">
        <v>2204</v>
      </c>
    </row>
    <row r="329" spans="1:8" x14ac:dyDescent="0.45">
      <c r="A329" s="861">
        <v>328</v>
      </c>
      <c r="B329" s="968"/>
      <c r="C329" s="869" t="s">
        <v>2175</v>
      </c>
      <c r="D329" s="862" t="s">
        <v>2471</v>
      </c>
      <c r="E329" s="865" t="s">
        <v>2451</v>
      </c>
      <c r="F329" s="867"/>
      <c r="G329" s="865"/>
      <c r="H329" s="865" t="s">
        <v>2204</v>
      </c>
    </row>
    <row r="330" spans="1:8" x14ac:dyDescent="0.45">
      <c r="A330" s="861">
        <v>329</v>
      </c>
      <c r="B330" s="968"/>
      <c r="C330" s="869" t="s">
        <v>2175</v>
      </c>
      <c r="D330" s="862" t="s">
        <v>2472</v>
      </c>
      <c r="E330" s="865" t="s">
        <v>2473</v>
      </c>
      <c r="F330" s="867"/>
      <c r="G330" s="865"/>
      <c r="H330" s="865" t="s">
        <v>2204</v>
      </c>
    </row>
    <row r="331" spans="1:8" x14ac:dyDescent="0.45">
      <c r="A331" s="861">
        <v>330</v>
      </c>
      <c r="B331" s="968"/>
      <c r="C331" s="869" t="s">
        <v>2175</v>
      </c>
      <c r="D331" s="862" t="s">
        <v>2474</v>
      </c>
      <c r="E331" s="865" t="s">
        <v>2457</v>
      </c>
      <c r="F331" s="867"/>
      <c r="G331" s="865"/>
      <c r="H331" s="865" t="s">
        <v>2204</v>
      </c>
    </row>
    <row r="332" spans="1:8" x14ac:dyDescent="0.45">
      <c r="A332" s="861">
        <v>331</v>
      </c>
      <c r="B332" s="968"/>
      <c r="C332" s="869" t="s">
        <v>2175</v>
      </c>
      <c r="D332" s="862" t="s">
        <v>2475</v>
      </c>
      <c r="E332" s="865" t="s">
        <v>2459</v>
      </c>
      <c r="F332" s="867"/>
      <c r="G332" s="865"/>
      <c r="H332" s="865" t="s">
        <v>2204</v>
      </c>
    </row>
    <row r="333" spans="1:8" x14ac:dyDescent="0.45">
      <c r="A333" s="861">
        <v>332</v>
      </c>
      <c r="B333" s="968"/>
      <c r="C333" s="869" t="s">
        <v>2175</v>
      </c>
      <c r="D333" s="862" t="s">
        <v>2476</v>
      </c>
      <c r="E333" s="865" t="s">
        <v>2477</v>
      </c>
      <c r="F333" s="867"/>
      <c r="G333" s="865"/>
      <c r="H333" s="865" t="s">
        <v>2204</v>
      </c>
    </row>
    <row r="334" spans="1:8" x14ac:dyDescent="0.45">
      <c r="A334" s="861">
        <v>333</v>
      </c>
      <c r="B334" s="967" t="s">
        <v>2478</v>
      </c>
      <c r="C334" s="869" t="s">
        <v>2175</v>
      </c>
      <c r="D334" s="862" t="s">
        <v>2184</v>
      </c>
      <c r="E334" s="865" t="s">
        <v>2438</v>
      </c>
      <c r="F334" s="866" t="s">
        <v>2418</v>
      </c>
      <c r="G334" s="865" t="s">
        <v>2279</v>
      </c>
      <c r="H334" s="865" t="s">
        <v>2177</v>
      </c>
    </row>
    <row r="335" spans="1:8" x14ac:dyDescent="0.45">
      <c r="A335" s="861">
        <v>334</v>
      </c>
      <c r="B335" s="968"/>
      <c r="C335" s="869" t="s">
        <v>2175</v>
      </c>
      <c r="D335" s="862" t="s">
        <v>2187</v>
      </c>
      <c r="E335" s="865" t="s">
        <v>2441</v>
      </c>
      <c r="F335" s="866" t="s">
        <v>2422</v>
      </c>
      <c r="G335" s="865" t="s">
        <v>2279</v>
      </c>
      <c r="H335" s="865" t="s">
        <v>2177</v>
      </c>
    </row>
    <row r="336" spans="1:8" x14ac:dyDescent="0.45">
      <c r="A336" s="861">
        <v>335</v>
      </c>
      <c r="B336" s="968"/>
      <c r="C336" s="869" t="s">
        <v>2175</v>
      </c>
      <c r="D336" s="862" t="s">
        <v>2189</v>
      </c>
      <c r="E336" s="865" t="s">
        <v>2479</v>
      </c>
      <c r="F336" s="866" t="s">
        <v>2480</v>
      </c>
      <c r="G336" s="865" t="s">
        <v>2279</v>
      </c>
      <c r="H336" s="865" t="s">
        <v>2177</v>
      </c>
    </row>
    <row r="337" spans="1:8" x14ac:dyDescent="0.45">
      <c r="A337" s="861">
        <v>336</v>
      </c>
      <c r="B337" s="968"/>
      <c r="C337" s="869" t="s">
        <v>2175</v>
      </c>
      <c r="D337" s="862" t="s">
        <v>2191</v>
      </c>
      <c r="E337" s="865" t="s">
        <v>2481</v>
      </c>
      <c r="F337" s="866" t="s">
        <v>2482</v>
      </c>
      <c r="G337" s="865" t="s">
        <v>2279</v>
      </c>
      <c r="H337" s="865" t="s">
        <v>2177</v>
      </c>
    </row>
    <row r="338" spans="1:8" x14ac:dyDescent="0.45">
      <c r="A338" s="861">
        <v>337</v>
      </c>
      <c r="B338" s="967" t="s">
        <v>2483</v>
      </c>
      <c r="C338" s="869" t="s">
        <v>2175</v>
      </c>
      <c r="D338" s="862" t="s">
        <v>2184</v>
      </c>
      <c r="E338" s="865" t="s">
        <v>2484</v>
      </c>
      <c r="F338" s="866" t="s">
        <v>2452</v>
      </c>
      <c r="G338" s="865" t="s">
        <v>2444</v>
      </c>
      <c r="H338" s="865" t="s">
        <v>2177</v>
      </c>
    </row>
    <row r="339" spans="1:8" x14ac:dyDescent="0.45">
      <c r="A339" s="861">
        <v>338</v>
      </c>
      <c r="B339" s="968"/>
      <c r="C339" s="869" t="s">
        <v>2175</v>
      </c>
      <c r="D339" s="862" t="s">
        <v>2187</v>
      </c>
      <c r="E339" s="865" t="s">
        <v>2485</v>
      </c>
      <c r="F339" s="866" t="s">
        <v>2455</v>
      </c>
      <c r="G339" s="865" t="s">
        <v>2444</v>
      </c>
      <c r="H339" s="865" t="s">
        <v>2177</v>
      </c>
    </row>
    <row r="340" spans="1:8" x14ac:dyDescent="0.45">
      <c r="A340" s="861">
        <v>339</v>
      </c>
      <c r="B340" s="968"/>
      <c r="C340" s="869" t="s">
        <v>2175</v>
      </c>
      <c r="D340" s="862" t="s">
        <v>2189</v>
      </c>
      <c r="E340" s="865" t="s">
        <v>2469</v>
      </c>
      <c r="F340" s="866" t="s">
        <v>2486</v>
      </c>
      <c r="G340" s="865" t="s">
        <v>2444</v>
      </c>
      <c r="H340" s="865" t="s">
        <v>2177</v>
      </c>
    </row>
    <row r="341" spans="1:8" x14ac:dyDescent="0.45">
      <c r="A341" s="861">
        <v>340</v>
      </c>
      <c r="B341" s="968"/>
      <c r="C341" s="869" t="s">
        <v>2175</v>
      </c>
      <c r="D341" s="862" t="s">
        <v>2191</v>
      </c>
      <c r="E341" s="863">
        <v>45908</v>
      </c>
      <c r="F341" s="866" t="s">
        <v>2487</v>
      </c>
      <c r="G341" s="865" t="s">
        <v>2444</v>
      </c>
      <c r="H341" s="865" t="s">
        <v>2177</v>
      </c>
    </row>
    <row r="342" spans="1:8" x14ac:dyDescent="0.45">
      <c r="A342" s="861">
        <v>341</v>
      </c>
      <c r="B342" s="968"/>
      <c r="C342" s="869" t="s">
        <v>2175</v>
      </c>
      <c r="D342" s="862" t="s">
        <v>2193</v>
      </c>
      <c r="E342" s="863">
        <v>45915</v>
      </c>
      <c r="F342" s="866" t="s">
        <v>2488</v>
      </c>
      <c r="G342" s="865" t="s">
        <v>2444</v>
      </c>
      <c r="H342" s="865" t="s">
        <v>2177</v>
      </c>
    </row>
    <row r="343" spans="1:8" x14ac:dyDescent="0.45">
      <c r="A343" s="861">
        <v>342</v>
      </c>
      <c r="B343" s="968"/>
      <c r="C343" s="869" t="s">
        <v>2178</v>
      </c>
      <c r="D343" s="862" t="s">
        <v>2184</v>
      </c>
      <c r="E343" s="865" t="s">
        <v>2473</v>
      </c>
      <c r="F343" s="866" t="s">
        <v>2489</v>
      </c>
      <c r="G343" s="865" t="s">
        <v>2444</v>
      </c>
      <c r="H343" s="865" t="s">
        <v>2177</v>
      </c>
    </row>
    <row r="344" spans="1:8" x14ac:dyDescent="0.45">
      <c r="A344" s="861">
        <v>343</v>
      </c>
      <c r="B344" s="968"/>
      <c r="C344" s="869" t="s">
        <v>2178</v>
      </c>
      <c r="D344" s="862" t="s">
        <v>2187</v>
      </c>
      <c r="E344" s="865" t="s">
        <v>2457</v>
      </c>
      <c r="F344" s="866" t="s">
        <v>2490</v>
      </c>
      <c r="G344" s="865" t="s">
        <v>2444</v>
      </c>
      <c r="H344" s="865" t="s">
        <v>2177</v>
      </c>
    </row>
    <row r="345" spans="1:8" x14ac:dyDescent="0.45">
      <c r="A345" s="861">
        <v>344</v>
      </c>
      <c r="B345" s="968"/>
      <c r="C345" s="869" t="s">
        <v>2178</v>
      </c>
      <c r="D345" s="862" t="s">
        <v>2189</v>
      </c>
      <c r="E345" s="865" t="s">
        <v>2459</v>
      </c>
      <c r="F345" s="866" t="s">
        <v>2460</v>
      </c>
      <c r="G345" s="865" t="s">
        <v>2444</v>
      </c>
      <c r="H345" s="865" t="s">
        <v>2177</v>
      </c>
    </row>
    <row r="346" spans="1:8" x14ac:dyDescent="0.45">
      <c r="A346" s="861">
        <v>345</v>
      </c>
      <c r="B346" s="968"/>
      <c r="C346" s="869" t="s">
        <v>2178</v>
      </c>
      <c r="D346" s="862" t="s">
        <v>2191</v>
      </c>
      <c r="E346" s="865" t="s">
        <v>2477</v>
      </c>
      <c r="F346" s="866" t="s">
        <v>2461</v>
      </c>
      <c r="G346" s="865" t="s">
        <v>2444</v>
      </c>
      <c r="H346" s="865" t="s">
        <v>2177</v>
      </c>
    </row>
    <row r="347" spans="1:8" x14ac:dyDescent="0.45">
      <c r="A347" s="861">
        <v>346</v>
      </c>
      <c r="B347" s="968"/>
      <c r="C347" s="869" t="s">
        <v>2178</v>
      </c>
      <c r="D347" s="862" t="s">
        <v>2193</v>
      </c>
      <c r="E347" s="863">
        <v>45919</v>
      </c>
      <c r="F347" s="867">
        <v>45920</v>
      </c>
      <c r="G347" s="865" t="s">
        <v>2444</v>
      </c>
      <c r="H347" s="865" t="s">
        <v>2177</v>
      </c>
    </row>
    <row r="348" spans="1:8" x14ac:dyDescent="0.45">
      <c r="A348" s="861">
        <v>347</v>
      </c>
      <c r="B348" s="967" t="s">
        <v>2491</v>
      </c>
      <c r="C348" s="869" t="s">
        <v>2175</v>
      </c>
      <c r="D348" s="868" t="s">
        <v>2184</v>
      </c>
      <c r="E348" s="861" t="s">
        <v>2420</v>
      </c>
      <c r="F348" s="866" t="s">
        <v>2410</v>
      </c>
      <c r="G348" s="865" t="s">
        <v>2404</v>
      </c>
      <c r="H348" s="865" t="s">
        <v>2177</v>
      </c>
    </row>
    <row r="349" spans="1:8" x14ac:dyDescent="0.45">
      <c r="A349" s="861">
        <v>348</v>
      </c>
      <c r="B349" s="968"/>
      <c r="C349" s="869" t="s">
        <v>2175</v>
      </c>
      <c r="D349" s="862" t="s">
        <v>2187</v>
      </c>
      <c r="E349" s="865" t="s">
        <v>2492</v>
      </c>
      <c r="F349" s="867">
        <v>45896</v>
      </c>
      <c r="G349" s="865" t="s">
        <v>2404</v>
      </c>
      <c r="H349" s="865" t="s">
        <v>2177</v>
      </c>
    </row>
    <row r="350" spans="1:8" x14ac:dyDescent="0.45">
      <c r="A350" s="861">
        <v>349</v>
      </c>
      <c r="B350" s="968"/>
      <c r="C350" s="869" t="s">
        <v>2175</v>
      </c>
      <c r="D350" s="862" t="s">
        <v>2189</v>
      </c>
      <c r="E350" s="865" t="s">
        <v>2493</v>
      </c>
      <c r="F350" s="866" t="s">
        <v>2494</v>
      </c>
      <c r="G350" s="865" t="s">
        <v>2404</v>
      </c>
      <c r="H350" s="865" t="s">
        <v>2177</v>
      </c>
    </row>
    <row r="351" spans="1:8" x14ac:dyDescent="0.45">
      <c r="A351" s="861">
        <v>350</v>
      </c>
      <c r="B351" s="968"/>
      <c r="C351" s="869" t="s">
        <v>2175</v>
      </c>
      <c r="D351" s="862" t="s">
        <v>2191</v>
      </c>
      <c r="E351" s="865" t="s">
        <v>2495</v>
      </c>
      <c r="F351" s="866" t="s">
        <v>2496</v>
      </c>
      <c r="G351" s="865" t="s">
        <v>2404</v>
      </c>
      <c r="H351" s="865" t="s">
        <v>2177</v>
      </c>
    </row>
    <row r="352" spans="1:8" x14ac:dyDescent="0.45">
      <c r="A352" s="861">
        <v>351</v>
      </c>
      <c r="B352" s="968"/>
      <c r="C352" s="869" t="s">
        <v>2175</v>
      </c>
      <c r="D352" s="862" t="s">
        <v>2497</v>
      </c>
      <c r="E352" s="865" t="s">
        <v>2498</v>
      </c>
      <c r="F352" s="866" t="s">
        <v>2498</v>
      </c>
      <c r="G352" s="865" t="s">
        <v>2404</v>
      </c>
      <c r="H352" s="865" t="s">
        <v>2177</v>
      </c>
    </row>
    <row r="353" spans="1:8" x14ac:dyDescent="0.45">
      <c r="A353" s="861">
        <v>352</v>
      </c>
      <c r="B353" s="968"/>
      <c r="C353" s="869" t="s">
        <v>2175</v>
      </c>
      <c r="D353" s="862" t="s">
        <v>2499</v>
      </c>
      <c r="E353" s="863">
        <v>45898</v>
      </c>
      <c r="F353" s="866" t="s">
        <v>2479</v>
      </c>
      <c r="G353" s="865" t="s">
        <v>2404</v>
      </c>
      <c r="H353" s="865" t="s">
        <v>2177</v>
      </c>
    </row>
    <row r="354" spans="1:8" x14ac:dyDescent="0.45">
      <c r="A354" s="861">
        <v>353</v>
      </c>
      <c r="B354" s="968"/>
      <c r="C354" s="869" t="s">
        <v>2175</v>
      </c>
      <c r="D354" s="862" t="s">
        <v>2500</v>
      </c>
      <c r="E354" s="863">
        <v>45905</v>
      </c>
      <c r="F354" s="866" t="s">
        <v>2501</v>
      </c>
      <c r="G354" s="865" t="s">
        <v>2404</v>
      </c>
      <c r="H354" s="865" t="s">
        <v>2177</v>
      </c>
    </row>
    <row r="355" spans="1:8" x14ac:dyDescent="0.45">
      <c r="A355" s="861">
        <v>354</v>
      </c>
      <c r="B355" s="968"/>
      <c r="C355" s="869" t="s">
        <v>2175</v>
      </c>
      <c r="D355" s="862" t="s">
        <v>2502</v>
      </c>
      <c r="E355" s="863">
        <v>45912</v>
      </c>
      <c r="F355" s="866" t="s">
        <v>2503</v>
      </c>
      <c r="G355" s="865" t="s">
        <v>2404</v>
      </c>
      <c r="H355" s="865" t="s">
        <v>2177</v>
      </c>
    </row>
    <row r="356" spans="1:8" x14ac:dyDescent="0.45">
      <c r="A356" s="861">
        <v>355</v>
      </c>
      <c r="B356" s="968"/>
      <c r="C356" s="869" t="s">
        <v>2178</v>
      </c>
      <c r="D356" s="862" t="s">
        <v>2504</v>
      </c>
      <c r="E356" s="865" t="s">
        <v>2505</v>
      </c>
      <c r="F356" s="866" t="s">
        <v>2503</v>
      </c>
      <c r="G356" s="865" t="s">
        <v>2404</v>
      </c>
      <c r="H356" s="865" t="s">
        <v>2177</v>
      </c>
    </row>
    <row r="357" spans="1:8" x14ac:dyDescent="0.45">
      <c r="A357" s="861">
        <v>356</v>
      </c>
      <c r="B357" s="968"/>
      <c r="C357" s="869" t="s">
        <v>2178</v>
      </c>
      <c r="D357" s="862" t="s">
        <v>2506</v>
      </c>
      <c r="E357" s="865" t="s">
        <v>2507</v>
      </c>
      <c r="F357" s="866" t="s">
        <v>2508</v>
      </c>
      <c r="G357" s="865" t="s">
        <v>2427</v>
      </c>
      <c r="H357" s="865" t="s">
        <v>2177</v>
      </c>
    </row>
    <row r="358" spans="1:8" x14ac:dyDescent="0.45">
      <c r="A358" s="861">
        <v>357</v>
      </c>
      <c r="B358" s="968"/>
      <c r="C358" s="869" t="s">
        <v>2178</v>
      </c>
      <c r="D358" s="862" t="s">
        <v>2509</v>
      </c>
      <c r="E358" s="865" t="s">
        <v>2510</v>
      </c>
      <c r="F358" s="866" t="s">
        <v>2511</v>
      </c>
      <c r="G358" s="865" t="s">
        <v>2427</v>
      </c>
      <c r="H358" s="865" t="s">
        <v>2177</v>
      </c>
    </row>
    <row r="359" spans="1:8" x14ac:dyDescent="0.45">
      <c r="A359" s="861">
        <v>358</v>
      </c>
      <c r="B359" s="968"/>
      <c r="C359" s="869" t="s">
        <v>2178</v>
      </c>
      <c r="D359" s="862" t="s">
        <v>2512</v>
      </c>
      <c r="E359" s="865" t="s">
        <v>2513</v>
      </c>
      <c r="F359" s="866" t="s">
        <v>2514</v>
      </c>
      <c r="G359" s="865" t="s">
        <v>2427</v>
      </c>
      <c r="H359" s="865" t="s">
        <v>2177</v>
      </c>
    </row>
    <row r="360" spans="1:8" x14ac:dyDescent="0.45">
      <c r="A360" s="861">
        <v>359</v>
      </c>
      <c r="B360" s="967" t="s">
        <v>2515</v>
      </c>
      <c r="C360" s="869" t="s">
        <v>2175</v>
      </c>
      <c r="D360" s="868" t="s">
        <v>2184</v>
      </c>
      <c r="E360" s="861" t="s">
        <v>2441</v>
      </c>
      <c r="F360" s="866" t="s">
        <v>2422</v>
      </c>
      <c r="G360" s="865" t="s">
        <v>2279</v>
      </c>
      <c r="H360" s="865" t="s">
        <v>2177</v>
      </c>
    </row>
    <row r="361" spans="1:8" x14ac:dyDescent="0.45">
      <c r="A361" s="861">
        <v>360</v>
      </c>
      <c r="B361" s="968"/>
      <c r="C361" s="869" t="s">
        <v>2175</v>
      </c>
      <c r="D361" s="862" t="s">
        <v>2187</v>
      </c>
      <c r="E361" s="865" t="s">
        <v>2479</v>
      </c>
      <c r="F361" s="866" t="s">
        <v>2480</v>
      </c>
      <c r="G361" s="865" t="s">
        <v>2279</v>
      </c>
      <c r="H361" s="865" t="s">
        <v>2177</v>
      </c>
    </row>
    <row r="362" spans="1:8" x14ac:dyDescent="0.45">
      <c r="A362" s="861">
        <v>361</v>
      </c>
      <c r="B362" s="968"/>
      <c r="C362" s="869" t="s">
        <v>2175</v>
      </c>
      <c r="D362" s="862" t="s">
        <v>2189</v>
      </c>
      <c r="E362" s="865" t="s">
        <v>2481</v>
      </c>
      <c r="F362" s="866" t="s">
        <v>2516</v>
      </c>
      <c r="G362" s="865" t="s">
        <v>2279</v>
      </c>
      <c r="H362" s="865" t="s">
        <v>2177</v>
      </c>
    </row>
    <row r="363" spans="1:8" x14ac:dyDescent="0.45">
      <c r="A363" s="861">
        <v>362</v>
      </c>
      <c r="B363" s="968"/>
      <c r="C363" s="869" t="s">
        <v>2175</v>
      </c>
      <c r="D363" s="862" t="s">
        <v>2191</v>
      </c>
      <c r="E363" s="865" t="s">
        <v>2517</v>
      </c>
      <c r="F363" s="866" t="s">
        <v>2518</v>
      </c>
      <c r="G363" s="865" t="s">
        <v>2279</v>
      </c>
      <c r="H363" s="865" t="s">
        <v>2177</v>
      </c>
    </row>
    <row r="364" spans="1:8" x14ac:dyDescent="0.45">
      <c r="A364" s="861">
        <v>363</v>
      </c>
      <c r="B364" s="967" t="s">
        <v>2519</v>
      </c>
      <c r="C364" s="869" t="s">
        <v>2175</v>
      </c>
      <c r="D364" s="868" t="s">
        <v>2184</v>
      </c>
      <c r="E364" s="876">
        <v>45895</v>
      </c>
      <c r="F364" s="866" t="s">
        <v>2422</v>
      </c>
      <c r="G364" s="865" t="s">
        <v>2427</v>
      </c>
      <c r="H364" s="865" t="s">
        <v>2177</v>
      </c>
    </row>
    <row r="365" spans="1:8" x14ac:dyDescent="0.45">
      <c r="A365" s="861">
        <v>364</v>
      </c>
      <c r="B365" s="968"/>
      <c r="C365" s="869" t="s">
        <v>2175</v>
      </c>
      <c r="D365" s="862" t="s">
        <v>2187</v>
      </c>
      <c r="E365" s="865" t="s">
        <v>2495</v>
      </c>
      <c r="F365" s="865" t="s">
        <v>2495</v>
      </c>
      <c r="G365" s="865" t="s">
        <v>2427</v>
      </c>
      <c r="H365" s="865" t="s">
        <v>2177</v>
      </c>
    </row>
    <row r="366" spans="1:8" x14ac:dyDescent="0.45">
      <c r="A366" s="861">
        <v>365</v>
      </c>
      <c r="B366" s="968"/>
      <c r="C366" s="869" t="s">
        <v>2175</v>
      </c>
      <c r="D366" s="862" t="s">
        <v>2189</v>
      </c>
      <c r="E366" s="863">
        <v>45923</v>
      </c>
      <c r="F366" s="863">
        <v>45923</v>
      </c>
      <c r="G366" s="865" t="s">
        <v>2427</v>
      </c>
      <c r="H366" s="865" t="s">
        <v>2177</v>
      </c>
    </row>
    <row r="367" spans="1:8" x14ac:dyDescent="0.45">
      <c r="A367" s="861">
        <v>366</v>
      </c>
      <c r="B367" s="968"/>
      <c r="C367" s="869" t="s">
        <v>2175</v>
      </c>
      <c r="D367" s="862" t="s">
        <v>2191</v>
      </c>
      <c r="E367" s="863">
        <v>45937</v>
      </c>
      <c r="F367" s="866" t="s">
        <v>2520</v>
      </c>
      <c r="G367" s="865" t="s">
        <v>2427</v>
      </c>
      <c r="H367" s="865" t="s">
        <v>2177</v>
      </c>
    </row>
    <row r="368" spans="1:8" x14ac:dyDescent="0.45">
      <c r="A368" s="861">
        <v>367</v>
      </c>
      <c r="B368" s="968"/>
      <c r="C368" s="869" t="s">
        <v>2178</v>
      </c>
      <c r="D368" s="868" t="s">
        <v>2184</v>
      </c>
      <c r="E368" s="876">
        <v>45902</v>
      </c>
      <c r="F368" s="866" t="s">
        <v>2493</v>
      </c>
      <c r="G368" s="865" t="s">
        <v>2427</v>
      </c>
      <c r="H368" s="865" t="s">
        <v>2177</v>
      </c>
    </row>
    <row r="369" spans="1:8" x14ac:dyDescent="0.45">
      <c r="A369" s="861">
        <v>368</v>
      </c>
      <c r="B369" s="968"/>
      <c r="C369" s="869" t="s">
        <v>2178</v>
      </c>
      <c r="D369" s="862" t="s">
        <v>2187</v>
      </c>
      <c r="E369" s="863">
        <v>45916</v>
      </c>
      <c r="F369" s="866" t="s">
        <v>2521</v>
      </c>
      <c r="G369" s="865" t="s">
        <v>2427</v>
      </c>
      <c r="H369" s="865" t="s">
        <v>2177</v>
      </c>
    </row>
    <row r="370" spans="1:8" x14ac:dyDescent="0.45">
      <c r="A370" s="861">
        <v>369</v>
      </c>
      <c r="B370" s="968"/>
      <c r="C370" s="869" t="s">
        <v>2178</v>
      </c>
      <c r="D370" s="862" t="s">
        <v>2189</v>
      </c>
      <c r="E370" s="863">
        <v>45930</v>
      </c>
      <c r="F370" s="873">
        <v>45931</v>
      </c>
      <c r="G370" s="865" t="s">
        <v>2427</v>
      </c>
      <c r="H370" s="865" t="s">
        <v>2177</v>
      </c>
    </row>
    <row r="371" spans="1:8" x14ac:dyDescent="0.45">
      <c r="A371" s="861">
        <v>370</v>
      </c>
      <c r="B371" s="968"/>
      <c r="C371" s="869" t="s">
        <v>2178</v>
      </c>
      <c r="D371" s="862" t="s">
        <v>2191</v>
      </c>
      <c r="E371" s="863">
        <v>45944</v>
      </c>
      <c r="F371" s="866" t="s">
        <v>2522</v>
      </c>
      <c r="G371" s="865" t="s">
        <v>2427</v>
      </c>
      <c r="H371" s="865" t="s">
        <v>2177</v>
      </c>
    </row>
    <row r="372" spans="1:8" x14ac:dyDescent="0.45">
      <c r="A372" s="861">
        <v>371</v>
      </c>
      <c r="B372" s="967" t="s">
        <v>2523</v>
      </c>
      <c r="C372" s="869" t="s">
        <v>2175</v>
      </c>
      <c r="D372" s="868" t="s">
        <v>2184</v>
      </c>
      <c r="E372" s="861" t="s">
        <v>2480</v>
      </c>
      <c r="F372" s="866" t="s">
        <v>2493</v>
      </c>
      <c r="G372" s="865" t="s">
        <v>2279</v>
      </c>
      <c r="H372" s="865" t="s">
        <v>2177</v>
      </c>
    </row>
    <row r="373" spans="1:8" x14ac:dyDescent="0.45">
      <c r="A373" s="861">
        <v>372</v>
      </c>
      <c r="B373" s="968"/>
      <c r="C373" s="869" t="s">
        <v>2175</v>
      </c>
      <c r="D373" s="862" t="s">
        <v>2187</v>
      </c>
      <c r="E373" s="865" t="s">
        <v>2516</v>
      </c>
      <c r="F373" s="866" t="s">
        <v>2495</v>
      </c>
      <c r="G373" s="865" t="s">
        <v>2279</v>
      </c>
      <c r="H373" s="865" t="s">
        <v>2177</v>
      </c>
    </row>
    <row r="374" spans="1:8" x14ac:dyDescent="0.45">
      <c r="A374" s="861">
        <v>373</v>
      </c>
      <c r="B374" s="968"/>
      <c r="C374" s="869" t="s">
        <v>2175</v>
      </c>
      <c r="D374" s="862" t="s">
        <v>2189</v>
      </c>
      <c r="E374" s="865" t="s">
        <v>2518</v>
      </c>
      <c r="F374" s="866" t="s">
        <v>2524</v>
      </c>
      <c r="G374" s="865" t="s">
        <v>2279</v>
      </c>
      <c r="H374" s="865" t="s">
        <v>2177</v>
      </c>
    </row>
    <row r="375" spans="1:8" x14ac:dyDescent="0.45">
      <c r="A375" s="861">
        <v>374</v>
      </c>
      <c r="B375" s="968"/>
      <c r="C375" s="869" t="s">
        <v>2175</v>
      </c>
      <c r="D375" s="862" t="s">
        <v>2191</v>
      </c>
      <c r="E375" s="865" t="s">
        <v>2525</v>
      </c>
      <c r="F375" s="866" t="s">
        <v>2526</v>
      </c>
      <c r="G375" s="865" t="s">
        <v>2279</v>
      </c>
      <c r="H375" s="865" t="s">
        <v>2177</v>
      </c>
    </row>
    <row r="376" spans="1:8" x14ac:dyDescent="0.45">
      <c r="A376" s="861">
        <v>375</v>
      </c>
      <c r="B376" s="968"/>
      <c r="C376" s="869" t="s">
        <v>2175</v>
      </c>
      <c r="D376" s="862" t="s">
        <v>2193</v>
      </c>
      <c r="E376" s="865" t="s">
        <v>2527</v>
      </c>
      <c r="F376" s="866" t="s">
        <v>2528</v>
      </c>
      <c r="G376" s="865" t="s">
        <v>2279</v>
      </c>
      <c r="H376" s="865" t="s">
        <v>2177</v>
      </c>
    </row>
    <row r="377" spans="1:8" x14ac:dyDescent="0.45">
      <c r="A377" s="861">
        <v>376</v>
      </c>
      <c r="B377" s="968"/>
      <c r="C377" s="869" t="s">
        <v>2175</v>
      </c>
      <c r="D377" s="862" t="s">
        <v>2195</v>
      </c>
      <c r="E377" s="865" t="s">
        <v>2529</v>
      </c>
      <c r="F377" s="866" t="s">
        <v>2530</v>
      </c>
      <c r="G377" s="865" t="s">
        <v>2279</v>
      </c>
      <c r="H377" s="865" t="s">
        <v>2177</v>
      </c>
    </row>
    <row r="378" spans="1:8" x14ac:dyDescent="0.45">
      <c r="A378" s="861">
        <v>377</v>
      </c>
      <c r="B378" s="968"/>
      <c r="C378" s="869" t="s">
        <v>2175</v>
      </c>
      <c r="D378" s="862" t="s">
        <v>2198</v>
      </c>
      <c r="E378" s="865" t="s">
        <v>2531</v>
      </c>
      <c r="F378" s="866" t="s">
        <v>2532</v>
      </c>
      <c r="G378" s="865" t="s">
        <v>2279</v>
      </c>
      <c r="H378" s="865" t="s">
        <v>2177</v>
      </c>
    </row>
    <row r="379" spans="1:8" x14ac:dyDescent="0.45">
      <c r="A379" s="861">
        <v>378</v>
      </c>
      <c r="B379" s="968"/>
      <c r="C379" s="869" t="s">
        <v>2175</v>
      </c>
      <c r="D379" s="862" t="s">
        <v>2201</v>
      </c>
      <c r="E379" s="865" t="s">
        <v>2533</v>
      </c>
      <c r="F379" s="866" t="s">
        <v>2534</v>
      </c>
      <c r="G379" s="865" t="s">
        <v>2279</v>
      </c>
      <c r="H379" s="865" t="s">
        <v>2177</v>
      </c>
    </row>
    <row r="380" spans="1:8" x14ac:dyDescent="0.45">
      <c r="A380" s="861">
        <v>379</v>
      </c>
      <c r="B380" s="967" t="s">
        <v>2535</v>
      </c>
      <c r="C380" s="869" t="s">
        <v>2175</v>
      </c>
      <c r="D380" s="868" t="s">
        <v>2184</v>
      </c>
      <c r="E380" s="863">
        <v>45896</v>
      </c>
      <c r="F380" s="867">
        <v>45897</v>
      </c>
      <c r="G380" s="865" t="s">
        <v>2444</v>
      </c>
      <c r="H380" s="865" t="s">
        <v>2177</v>
      </c>
    </row>
    <row r="381" spans="1:8" x14ac:dyDescent="0.45">
      <c r="A381" s="861">
        <v>380</v>
      </c>
      <c r="B381" s="968"/>
      <c r="C381" s="869" t="s">
        <v>2175</v>
      </c>
      <c r="D381" s="862" t="s">
        <v>2187</v>
      </c>
      <c r="E381" s="863">
        <v>45903</v>
      </c>
      <c r="F381" s="867">
        <v>45904</v>
      </c>
      <c r="G381" s="865" t="s">
        <v>2444</v>
      </c>
      <c r="H381" s="865" t="s">
        <v>2177</v>
      </c>
    </row>
    <row r="382" spans="1:8" x14ac:dyDescent="0.45">
      <c r="A382" s="861">
        <v>381</v>
      </c>
      <c r="B382" s="968"/>
      <c r="C382" s="869" t="s">
        <v>2175</v>
      </c>
      <c r="D382" s="862" t="s">
        <v>2189</v>
      </c>
      <c r="E382" s="863">
        <v>45910</v>
      </c>
      <c r="F382" s="867">
        <v>45911</v>
      </c>
      <c r="G382" s="865" t="s">
        <v>2444</v>
      </c>
      <c r="H382" s="865" t="s">
        <v>2177</v>
      </c>
    </row>
    <row r="383" spans="1:8" x14ac:dyDescent="0.45">
      <c r="A383" s="861">
        <v>382</v>
      </c>
      <c r="B383" s="968"/>
      <c r="C383" s="869" t="s">
        <v>2175</v>
      </c>
      <c r="D383" s="862" t="s">
        <v>2191</v>
      </c>
      <c r="E383" s="863">
        <v>45917</v>
      </c>
      <c r="F383" s="867">
        <v>45918</v>
      </c>
      <c r="G383" s="865" t="s">
        <v>2444</v>
      </c>
      <c r="H383" s="865" t="s">
        <v>2177</v>
      </c>
    </row>
    <row r="384" spans="1:8" x14ac:dyDescent="0.45">
      <c r="A384" s="861">
        <v>383</v>
      </c>
      <c r="B384" s="968"/>
      <c r="C384" s="869" t="s">
        <v>2178</v>
      </c>
      <c r="D384" s="868" t="s">
        <v>2184</v>
      </c>
      <c r="E384" s="863">
        <v>45924</v>
      </c>
      <c r="F384" s="866" t="s">
        <v>2536</v>
      </c>
      <c r="G384" s="865" t="s">
        <v>2444</v>
      </c>
      <c r="H384" s="865" t="s">
        <v>2177</v>
      </c>
    </row>
    <row r="385" spans="1:8" x14ac:dyDescent="0.45">
      <c r="A385" s="861">
        <v>384</v>
      </c>
      <c r="B385" s="968"/>
      <c r="C385" s="869" t="s">
        <v>2178</v>
      </c>
      <c r="D385" s="862" t="s">
        <v>2187</v>
      </c>
      <c r="E385" s="863">
        <v>45931</v>
      </c>
      <c r="F385" s="866" t="s">
        <v>2513</v>
      </c>
      <c r="G385" s="865" t="s">
        <v>2444</v>
      </c>
      <c r="H385" s="865" t="s">
        <v>2177</v>
      </c>
    </row>
    <row r="386" spans="1:8" x14ac:dyDescent="0.45">
      <c r="A386" s="861">
        <v>385</v>
      </c>
      <c r="B386" s="968"/>
      <c r="C386" s="869" t="s">
        <v>2178</v>
      </c>
      <c r="D386" s="862" t="s">
        <v>2189</v>
      </c>
      <c r="E386" s="863">
        <v>45940</v>
      </c>
      <c r="F386" s="866" t="s">
        <v>2537</v>
      </c>
      <c r="G386" s="865" t="s">
        <v>2444</v>
      </c>
      <c r="H386" s="865" t="s">
        <v>2177</v>
      </c>
    </row>
    <row r="387" spans="1:8" x14ac:dyDescent="0.45">
      <c r="A387" s="861">
        <v>386</v>
      </c>
      <c r="B387" s="968"/>
      <c r="C387" s="869" t="s">
        <v>2178</v>
      </c>
      <c r="D387" s="862" t="s">
        <v>2191</v>
      </c>
      <c r="E387" s="863">
        <v>45945</v>
      </c>
      <c r="F387" s="866" t="s">
        <v>2538</v>
      </c>
      <c r="G387" s="865" t="s">
        <v>2444</v>
      </c>
      <c r="H387" s="865" t="s">
        <v>2177</v>
      </c>
    </row>
    <row r="388" spans="1:8" x14ac:dyDescent="0.45">
      <c r="A388" s="861">
        <v>387</v>
      </c>
      <c r="B388" s="967" t="s">
        <v>2539</v>
      </c>
      <c r="C388" s="869" t="s">
        <v>2363</v>
      </c>
      <c r="D388" s="868" t="s">
        <v>2363</v>
      </c>
      <c r="E388" s="861" t="s">
        <v>2540</v>
      </c>
      <c r="F388" s="866" t="s">
        <v>2501</v>
      </c>
      <c r="G388" s="865" t="s">
        <v>2404</v>
      </c>
      <c r="H388" s="865" t="s">
        <v>2177</v>
      </c>
    </row>
    <row r="389" spans="1:8" x14ac:dyDescent="0.45">
      <c r="A389" s="861">
        <v>388</v>
      </c>
      <c r="B389" s="968"/>
      <c r="C389" s="869" t="s">
        <v>2175</v>
      </c>
      <c r="D389" s="862" t="s">
        <v>2184</v>
      </c>
      <c r="E389" s="865" t="s">
        <v>2516</v>
      </c>
      <c r="F389" s="866" t="s">
        <v>2495</v>
      </c>
      <c r="G389" s="865" t="s">
        <v>2404</v>
      </c>
      <c r="H389" s="865" t="s">
        <v>2177</v>
      </c>
    </row>
    <row r="390" spans="1:8" x14ac:dyDescent="0.45">
      <c r="A390" s="861">
        <v>389</v>
      </c>
      <c r="B390" s="968"/>
      <c r="C390" s="869" t="s">
        <v>2175</v>
      </c>
      <c r="D390" s="862" t="s">
        <v>2187</v>
      </c>
      <c r="E390" s="865" t="s">
        <v>2518</v>
      </c>
      <c r="F390" s="866" t="s">
        <v>2524</v>
      </c>
      <c r="G390" s="865" t="s">
        <v>2427</v>
      </c>
      <c r="H390" s="865" t="s">
        <v>2177</v>
      </c>
    </row>
    <row r="391" spans="1:8" x14ac:dyDescent="0.45">
      <c r="A391" s="861">
        <v>390</v>
      </c>
      <c r="B391" s="968"/>
      <c r="C391" s="869" t="s">
        <v>2175</v>
      </c>
      <c r="D391" s="862" t="s">
        <v>2189</v>
      </c>
      <c r="E391" s="865" t="s">
        <v>2525</v>
      </c>
      <c r="F391" s="866" t="s">
        <v>2526</v>
      </c>
      <c r="G391" s="865" t="s">
        <v>2427</v>
      </c>
      <c r="H391" s="865" t="s">
        <v>2177</v>
      </c>
    </row>
    <row r="392" spans="1:8" x14ac:dyDescent="0.45">
      <c r="A392" s="861">
        <v>391</v>
      </c>
      <c r="B392" s="968"/>
      <c r="C392" s="869" t="s">
        <v>2175</v>
      </c>
      <c r="D392" s="862" t="s">
        <v>2191</v>
      </c>
      <c r="E392" s="865" t="s">
        <v>2527</v>
      </c>
      <c r="F392" s="866" t="s">
        <v>2528</v>
      </c>
      <c r="G392" s="865" t="s">
        <v>2427</v>
      </c>
      <c r="H392" s="865" t="s">
        <v>2177</v>
      </c>
    </row>
    <row r="393" spans="1:8" x14ac:dyDescent="0.45">
      <c r="A393" s="861">
        <v>392</v>
      </c>
      <c r="B393" s="968"/>
      <c r="C393" s="869" t="s">
        <v>2175</v>
      </c>
      <c r="D393" s="862" t="s">
        <v>2193</v>
      </c>
      <c r="E393" s="863">
        <v>45936</v>
      </c>
      <c r="F393" s="866" t="s">
        <v>2541</v>
      </c>
      <c r="G393" s="865" t="s">
        <v>2427</v>
      </c>
      <c r="H393" s="865" t="s">
        <v>2177</v>
      </c>
    </row>
    <row r="394" spans="1:8" x14ac:dyDescent="0.45">
      <c r="A394" s="861">
        <v>393</v>
      </c>
      <c r="B394" s="968"/>
      <c r="C394" s="869" t="s">
        <v>2178</v>
      </c>
      <c r="D394" s="862" t="s">
        <v>2504</v>
      </c>
      <c r="E394" s="865" t="s">
        <v>2503</v>
      </c>
      <c r="F394" s="866" t="s">
        <v>2517</v>
      </c>
      <c r="G394" s="865" t="s">
        <v>2404</v>
      </c>
      <c r="H394" s="865" t="s">
        <v>2177</v>
      </c>
    </row>
    <row r="395" spans="1:8" x14ac:dyDescent="0.45">
      <c r="A395" s="861">
        <v>394</v>
      </c>
      <c r="B395" s="968"/>
      <c r="C395" s="869" t="s">
        <v>2178</v>
      </c>
      <c r="D395" s="862" t="s">
        <v>2506</v>
      </c>
      <c r="E395" s="865" t="s">
        <v>2508</v>
      </c>
      <c r="F395" s="867">
        <v>45922</v>
      </c>
      <c r="G395" s="865" t="s">
        <v>2427</v>
      </c>
      <c r="H395" s="865" t="s">
        <v>2177</v>
      </c>
    </row>
    <row r="396" spans="1:8" x14ac:dyDescent="0.45">
      <c r="A396" s="861">
        <v>395</v>
      </c>
      <c r="B396" s="968"/>
      <c r="C396" s="869" t="s">
        <v>2178</v>
      </c>
      <c r="D396" s="862" t="s">
        <v>2509</v>
      </c>
      <c r="E396" s="865" t="s">
        <v>2511</v>
      </c>
      <c r="F396" s="866" t="s">
        <v>2527</v>
      </c>
      <c r="G396" s="865" t="s">
        <v>2427</v>
      </c>
      <c r="H396" s="865" t="s">
        <v>2177</v>
      </c>
    </row>
    <row r="397" spans="1:8" x14ac:dyDescent="0.45">
      <c r="A397" s="861">
        <v>396</v>
      </c>
      <c r="B397" s="968"/>
      <c r="C397" s="869" t="s">
        <v>2178</v>
      </c>
      <c r="D397" s="862" t="s">
        <v>2512</v>
      </c>
      <c r="E397" s="865" t="s">
        <v>2514</v>
      </c>
      <c r="F397" s="866" t="s">
        <v>2542</v>
      </c>
      <c r="G397" s="865" t="s">
        <v>2427</v>
      </c>
      <c r="H397" s="865" t="s">
        <v>2177</v>
      </c>
    </row>
    <row r="398" spans="1:8" x14ac:dyDescent="0.45">
      <c r="A398" s="861">
        <v>397</v>
      </c>
      <c r="B398" s="968"/>
      <c r="C398" s="869" t="s">
        <v>2178</v>
      </c>
      <c r="D398" s="862" t="s">
        <v>2543</v>
      </c>
      <c r="E398" s="865" t="s">
        <v>2544</v>
      </c>
      <c r="F398" s="866" t="s">
        <v>2537</v>
      </c>
      <c r="G398" s="865" t="s">
        <v>2427</v>
      </c>
      <c r="H398" s="865" t="s">
        <v>2177</v>
      </c>
    </row>
    <row r="399" spans="1:8" x14ac:dyDescent="0.45">
      <c r="A399" s="861"/>
      <c r="B399" s="968"/>
      <c r="C399" s="869" t="s">
        <v>2178</v>
      </c>
      <c r="D399" s="862" t="s">
        <v>2545</v>
      </c>
      <c r="E399" s="865" t="s">
        <v>2529</v>
      </c>
      <c r="F399" s="866" t="s">
        <v>2530</v>
      </c>
      <c r="G399" s="865" t="s">
        <v>2427</v>
      </c>
      <c r="H399" s="865" t="s">
        <v>2177</v>
      </c>
    </row>
    <row r="400" spans="1:8" x14ac:dyDescent="0.45">
      <c r="A400" s="861">
        <v>399</v>
      </c>
      <c r="B400" s="967" t="s">
        <v>2546</v>
      </c>
      <c r="C400" s="869" t="s">
        <v>2175</v>
      </c>
      <c r="D400" s="862" t="s">
        <v>2184</v>
      </c>
      <c r="E400" s="863">
        <v>45903</v>
      </c>
      <c r="F400" s="867">
        <v>45904</v>
      </c>
      <c r="G400" s="865" t="s">
        <v>2444</v>
      </c>
      <c r="H400" s="865" t="s">
        <v>2177</v>
      </c>
    </row>
    <row r="401" spans="1:8" x14ac:dyDescent="0.45">
      <c r="A401" s="861">
        <v>400</v>
      </c>
      <c r="B401" s="968"/>
      <c r="C401" s="869" t="s">
        <v>2175</v>
      </c>
      <c r="D401" s="862" t="s">
        <v>2187</v>
      </c>
      <c r="E401" s="863">
        <v>45910</v>
      </c>
      <c r="F401" s="872">
        <v>45911</v>
      </c>
      <c r="G401" s="865" t="s">
        <v>2444</v>
      </c>
      <c r="H401" s="865" t="s">
        <v>2177</v>
      </c>
    </row>
    <row r="402" spans="1:8" x14ac:dyDescent="0.45">
      <c r="A402" s="861">
        <v>401</v>
      </c>
      <c r="B402" s="968"/>
      <c r="C402" s="869" t="s">
        <v>2175</v>
      </c>
      <c r="D402" s="862" t="s">
        <v>2189</v>
      </c>
      <c r="E402" s="863">
        <v>45917</v>
      </c>
      <c r="F402" s="863">
        <v>45917</v>
      </c>
      <c r="G402" s="865" t="s">
        <v>2427</v>
      </c>
      <c r="H402" s="865" t="s">
        <v>2177</v>
      </c>
    </row>
    <row r="403" spans="1:8" x14ac:dyDescent="0.45">
      <c r="A403" s="861">
        <v>402</v>
      </c>
      <c r="B403" s="968"/>
      <c r="C403" s="869" t="s">
        <v>2175</v>
      </c>
      <c r="D403" s="862" t="s">
        <v>2191</v>
      </c>
      <c r="E403" s="863">
        <v>45924</v>
      </c>
      <c r="F403" s="866" t="s">
        <v>2547</v>
      </c>
      <c r="G403" s="865" t="s">
        <v>2444</v>
      </c>
      <c r="H403" s="865" t="s">
        <v>2177</v>
      </c>
    </row>
    <row r="404" spans="1:8" x14ac:dyDescent="0.45">
      <c r="A404" s="861">
        <v>403</v>
      </c>
      <c r="B404" s="968"/>
      <c r="C404" s="869" t="s">
        <v>2175</v>
      </c>
      <c r="D404" s="862" t="s">
        <v>2193</v>
      </c>
      <c r="E404" s="863">
        <v>45931</v>
      </c>
      <c r="F404" s="867">
        <v>45932</v>
      </c>
      <c r="G404" s="865" t="s">
        <v>2444</v>
      </c>
      <c r="H404" s="865" t="s">
        <v>2177</v>
      </c>
    </row>
    <row r="405" spans="1:8" x14ac:dyDescent="0.45">
      <c r="A405" s="861">
        <v>404</v>
      </c>
      <c r="B405" s="968"/>
      <c r="C405" s="869" t="s">
        <v>2175</v>
      </c>
      <c r="D405" s="862" t="s">
        <v>2195</v>
      </c>
      <c r="E405" s="863">
        <v>45938</v>
      </c>
      <c r="F405" s="867">
        <v>45939</v>
      </c>
      <c r="G405" s="865" t="s">
        <v>2444</v>
      </c>
      <c r="H405" s="865" t="s">
        <v>2177</v>
      </c>
    </row>
    <row r="406" spans="1:8" x14ac:dyDescent="0.45">
      <c r="A406" s="861">
        <v>405</v>
      </c>
      <c r="B406" s="967" t="s">
        <v>2548</v>
      </c>
      <c r="C406" s="869" t="s">
        <v>2175</v>
      </c>
      <c r="D406" s="862" t="s">
        <v>2184</v>
      </c>
      <c r="E406" s="865" t="s">
        <v>2517</v>
      </c>
      <c r="F406" s="866" t="s">
        <v>2518</v>
      </c>
      <c r="G406" s="865" t="s">
        <v>2279</v>
      </c>
      <c r="H406" s="865" t="s">
        <v>2177</v>
      </c>
    </row>
    <row r="407" spans="1:8" x14ac:dyDescent="0.45">
      <c r="A407" s="861">
        <v>406</v>
      </c>
      <c r="B407" s="968"/>
      <c r="C407" s="869" t="s">
        <v>2175</v>
      </c>
      <c r="D407" s="862" t="s">
        <v>2187</v>
      </c>
      <c r="E407" s="865" t="s">
        <v>2549</v>
      </c>
      <c r="F407" s="866" t="s">
        <v>2525</v>
      </c>
      <c r="G407" s="865" t="s">
        <v>2279</v>
      </c>
      <c r="H407" s="865" t="s">
        <v>2177</v>
      </c>
    </row>
    <row r="408" spans="1:8" x14ac:dyDescent="0.45">
      <c r="A408" s="861">
        <v>407</v>
      </c>
      <c r="B408" s="968"/>
      <c r="C408" s="869" t="s">
        <v>2175</v>
      </c>
      <c r="D408" s="862" t="s">
        <v>2189</v>
      </c>
      <c r="E408" s="865" t="s">
        <v>2550</v>
      </c>
      <c r="F408" s="866" t="s">
        <v>2527</v>
      </c>
      <c r="G408" s="865" t="s">
        <v>2279</v>
      </c>
      <c r="H408" s="865" t="s">
        <v>2177</v>
      </c>
    </row>
    <row r="409" spans="1:8" x14ac:dyDescent="0.45">
      <c r="A409" s="861">
        <v>408</v>
      </c>
      <c r="B409" s="968"/>
      <c r="C409" s="869" t="s">
        <v>2175</v>
      </c>
      <c r="D409" s="862" t="s">
        <v>2191</v>
      </c>
      <c r="E409" s="865" t="s">
        <v>2514</v>
      </c>
      <c r="F409" s="866" t="s">
        <v>2541</v>
      </c>
      <c r="G409" s="865" t="s">
        <v>2279</v>
      </c>
      <c r="H409" s="865" t="s">
        <v>2177</v>
      </c>
    </row>
    <row r="410" spans="1:8" x14ac:dyDescent="0.45">
      <c r="A410" s="861">
        <v>409</v>
      </c>
      <c r="B410" s="967" t="s">
        <v>2551</v>
      </c>
      <c r="C410" s="869" t="s">
        <v>2175</v>
      </c>
      <c r="D410" s="868" t="s">
        <v>2184</v>
      </c>
      <c r="E410" s="861" t="s">
        <v>2495</v>
      </c>
      <c r="F410" s="866" t="s">
        <v>2496</v>
      </c>
      <c r="G410" s="865" t="s">
        <v>2404</v>
      </c>
      <c r="H410" s="865" t="s">
        <v>2177</v>
      </c>
    </row>
    <row r="411" spans="1:8" x14ac:dyDescent="0.45">
      <c r="A411" s="861">
        <v>410</v>
      </c>
      <c r="B411" s="968"/>
      <c r="C411" s="869" t="s">
        <v>2175</v>
      </c>
      <c r="D411" s="862" t="s">
        <v>2187</v>
      </c>
      <c r="E411" s="865" t="s">
        <v>2503</v>
      </c>
      <c r="F411" s="866" t="s">
        <v>2517</v>
      </c>
      <c r="G411" s="865" t="s">
        <v>2404</v>
      </c>
      <c r="H411" s="865" t="s">
        <v>2177</v>
      </c>
    </row>
    <row r="412" spans="1:8" x14ac:dyDescent="0.45">
      <c r="A412" s="861">
        <v>411</v>
      </c>
      <c r="B412" s="968"/>
      <c r="C412" s="869" t="s">
        <v>2175</v>
      </c>
      <c r="D412" s="862" t="s">
        <v>2189</v>
      </c>
      <c r="E412" s="865" t="s">
        <v>2524</v>
      </c>
      <c r="F412" s="866" t="s">
        <v>2521</v>
      </c>
      <c r="G412" s="865" t="s">
        <v>2427</v>
      </c>
      <c r="H412" s="865" t="s">
        <v>2177</v>
      </c>
    </row>
    <row r="413" spans="1:8" x14ac:dyDescent="0.45">
      <c r="A413" s="861">
        <v>412</v>
      </c>
      <c r="B413" s="968"/>
      <c r="C413" s="869" t="s">
        <v>2175</v>
      </c>
      <c r="D413" s="862" t="s">
        <v>2191</v>
      </c>
      <c r="E413" s="865" t="s">
        <v>2508</v>
      </c>
      <c r="F413" s="866" t="s">
        <v>2525</v>
      </c>
      <c r="G413" s="865" t="s">
        <v>2427</v>
      </c>
      <c r="H413" s="865" t="s">
        <v>2177</v>
      </c>
    </row>
    <row r="414" spans="1:8" x14ac:dyDescent="0.45">
      <c r="A414" s="861">
        <v>413</v>
      </c>
      <c r="B414" s="968"/>
      <c r="C414" s="869" t="s">
        <v>2175</v>
      </c>
      <c r="D414" s="862" t="s">
        <v>2193</v>
      </c>
      <c r="E414" s="865" t="s">
        <v>2525</v>
      </c>
      <c r="F414" s="866" t="s">
        <v>2526</v>
      </c>
      <c r="G414" s="865" t="s">
        <v>2427</v>
      </c>
      <c r="H414" s="865" t="s">
        <v>2177</v>
      </c>
    </row>
    <row r="415" spans="1:8" x14ac:dyDescent="0.45">
      <c r="A415" s="861">
        <v>414</v>
      </c>
      <c r="B415" s="879" t="s">
        <v>2552</v>
      </c>
      <c r="C415" s="862"/>
      <c r="D415" s="862"/>
      <c r="E415" s="863"/>
      <c r="F415" s="867"/>
      <c r="G415" s="865"/>
      <c r="H415" s="865" t="s">
        <v>2204</v>
      </c>
    </row>
    <row r="416" spans="1:8" x14ac:dyDescent="0.45">
      <c r="A416" s="861">
        <v>415</v>
      </c>
      <c r="B416" s="967" t="s">
        <v>2553</v>
      </c>
      <c r="C416" s="869" t="s">
        <v>2175</v>
      </c>
      <c r="D416" s="862" t="s">
        <v>2184</v>
      </c>
      <c r="E416" s="863">
        <v>45913</v>
      </c>
      <c r="F416" s="866" t="s">
        <v>2554</v>
      </c>
      <c r="G416" s="865" t="s">
        <v>2444</v>
      </c>
      <c r="H416" s="865" t="s">
        <v>2177</v>
      </c>
    </row>
    <row r="417" spans="1:8" x14ac:dyDescent="0.45">
      <c r="A417" s="861">
        <v>416</v>
      </c>
      <c r="B417" s="968"/>
      <c r="C417" s="869" t="s">
        <v>2175</v>
      </c>
      <c r="D417" s="862" t="s">
        <v>2187</v>
      </c>
      <c r="E417" s="863">
        <v>45914</v>
      </c>
      <c r="F417" s="866" t="s">
        <v>2554</v>
      </c>
      <c r="G417" s="865" t="s">
        <v>2444</v>
      </c>
      <c r="H417" s="865" t="s">
        <v>2177</v>
      </c>
    </row>
    <row r="418" spans="1:8" x14ac:dyDescent="0.45">
      <c r="A418" s="861">
        <v>417</v>
      </c>
      <c r="B418" s="968"/>
      <c r="C418" s="869" t="s">
        <v>2175</v>
      </c>
      <c r="D418" s="862" t="s">
        <v>2189</v>
      </c>
      <c r="E418" s="863">
        <v>45920</v>
      </c>
      <c r="F418" s="867">
        <v>45921</v>
      </c>
      <c r="G418" s="865" t="s">
        <v>2444</v>
      </c>
      <c r="H418" s="865" t="s">
        <v>2177</v>
      </c>
    </row>
    <row r="419" spans="1:8" x14ac:dyDescent="0.45">
      <c r="A419" s="861">
        <v>418</v>
      </c>
      <c r="B419" s="968"/>
      <c r="C419" s="869" t="s">
        <v>2175</v>
      </c>
      <c r="D419" s="862" t="s">
        <v>2191</v>
      </c>
      <c r="E419" s="863">
        <v>45927</v>
      </c>
      <c r="F419" s="866" t="s">
        <v>2536</v>
      </c>
      <c r="G419" s="865" t="s">
        <v>2444</v>
      </c>
      <c r="H419" s="865" t="s">
        <v>2177</v>
      </c>
    </row>
    <row r="420" spans="1:8" x14ac:dyDescent="0.45">
      <c r="A420" s="861">
        <v>419</v>
      </c>
      <c r="B420" s="968"/>
      <c r="C420" s="869" t="s">
        <v>2175</v>
      </c>
      <c r="D420" s="862" t="s">
        <v>2193</v>
      </c>
      <c r="E420" s="863">
        <v>45928</v>
      </c>
      <c r="F420" s="866" t="s">
        <v>2536</v>
      </c>
      <c r="G420" s="865" t="s">
        <v>2444</v>
      </c>
      <c r="H420" s="865" t="s">
        <v>2177</v>
      </c>
    </row>
    <row r="421" spans="1:8" x14ac:dyDescent="0.45">
      <c r="A421" s="861">
        <v>420</v>
      </c>
      <c r="B421" s="968"/>
      <c r="C421" s="869" t="s">
        <v>2178</v>
      </c>
      <c r="D421" s="862" t="s">
        <v>2184</v>
      </c>
      <c r="E421" s="863">
        <v>45924</v>
      </c>
      <c r="F421" s="866" t="s">
        <v>2547</v>
      </c>
      <c r="G421" s="865" t="s">
        <v>2444</v>
      </c>
      <c r="H421" s="865" t="s">
        <v>2177</v>
      </c>
    </row>
    <row r="422" spans="1:8" x14ac:dyDescent="0.45">
      <c r="A422" s="861">
        <v>421</v>
      </c>
      <c r="B422" s="968"/>
      <c r="C422" s="869" t="s">
        <v>2178</v>
      </c>
      <c r="D422" s="862" t="s">
        <v>2187</v>
      </c>
      <c r="E422" s="863">
        <v>45931</v>
      </c>
      <c r="F422" s="867">
        <v>45932</v>
      </c>
      <c r="G422" s="865" t="s">
        <v>2444</v>
      </c>
      <c r="H422" s="865" t="s">
        <v>2177</v>
      </c>
    </row>
    <row r="423" spans="1:8" x14ac:dyDescent="0.45">
      <c r="A423" s="861">
        <v>422</v>
      </c>
      <c r="B423" s="968"/>
      <c r="C423" s="869" t="s">
        <v>2178</v>
      </c>
      <c r="D423" s="862" t="s">
        <v>2189</v>
      </c>
      <c r="E423" s="863">
        <v>45945</v>
      </c>
      <c r="F423" s="867"/>
      <c r="G423" s="865"/>
      <c r="H423" s="865" t="s">
        <v>2204</v>
      </c>
    </row>
    <row r="424" spans="1:8" x14ac:dyDescent="0.45">
      <c r="A424" s="861">
        <v>423</v>
      </c>
      <c r="B424" s="967" t="s">
        <v>2555</v>
      </c>
      <c r="C424" s="869" t="s">
        <v>2175</v>
      </c>
      <c r="D424" s="862" t="s">
        <v>2184</v>
      </c>
      <c r="E424" s="863">
        <v>45915</v>
      </c>
      <c r="F424" s="867">
        <v>45916</v>
      </c>
      <c r="G424" s="865" t="s">
        <v>2444</v>
      </c>
      <c r="H424" s="865" t="s">
        <v>2177</v>
      </c>
    </row>
    <row r="425" spans="1:8" x14ac:dyDescent="0.45">
      <c r="A425" s="861">
        <v>424</v>
      </c>
      <c r="B425" s="968"/>
      <c r="C425" s="869" t="s">
        <v>2175</v>
      </c>
      <c r="D425" s="862" t="s">
        <v>2187</v>
      </c>
      <c r="E425" s="863">
        <v>45922</v>
      </c>
      <c r="F425" s="867">
        <v>45923</v>
      </c>
      <c r="G425" s="865" t="s">
        <v>2444</v>
      </c>
      <c r="H425" s="865" t="s">
        <v>2177</v>
      </c>
    </row>
    <row r="426" spans="1:8" x14ac:dyDescent="0.45">
      <c r="A426" s="861">
        <v>425</v>
      </c>
      <c r="B426" s="968"/>
      <c r="C426" s="869" t="s">
        <v>2175</v>
      </c>
      <c r="D426" s="862" t="s">
        <v>2189</v>
      </c>
      <c r="E426" s="863">
        <v>45926</v>
      </c>
      <c r="F426" s="866" t="s">
        <v>2556</v>
      </c>
      <c r="G426" s="865" t="s">
        <v>2444</v>
      </c>
      <c r="H426" s="865" t="s">
        <v>2177</v>
      </c>
    </row>
    <row r="427" spans="1:8" x14ac:dyDescent="0.45">
      <c r="A427" s="861">
        <v>426</v>
      </c>
      <c r="B427" s="968"/>
      <c r="C427" s="869" t="s">
        <v>2175</v>
      </c>
      <c r="D427" s="862" t="s">
        <v>2191</v>
      </c>
      <c r="E427" s="863">
        <v>45929</v>
      </c>
      <c r="F427" s="866" t="s">
        <v>2557</v>
      </c>
      <c r="G427" s="865" t="s">
        <v>2444</v>
      </c>
      <c r="H427" s="865" t="s">
        <v>2177</v>
      </c>
    </row>
    <row r="428" spans="1:8" x14ac:dyDescent="0.45">
      <c r="A428" s="861">
        <v>427</v>
      </c>
      <c r="B428" s="968"/>
      <c r="C428" s="869" t="s">
        <v>2175</v>
      </c>
      <c r="D428" s="862" t="s">
        <v>2193</v>
      </c>
      <c r="E428" s="863">
        <v>45933</v>
      </c>
      <c r="F428" s="867">
        <v>45934</v>
      </c>
      <c r="G428" s="865" t="s">
        <v>2444</v>
      </c>
      <c r="H428" s="865" t="s">
        <v>2177</v>
      </c>
    </row>
    <row r="429" spans="1:8" x14ac:dyDescent="0.45">
      <c r="A429" s="861">
        <v>428</v>
      </c>
      <c r="B429" s="968"/>
      <c r="C429" s="869" t="s">
        <v>2558</v>
      </c>
      <c r="D429" s="862" t="s">
        <v>2184</v>
      </c>
      <c r="E429" s="863">
        <v>45916</v>
      </c>
      <c r="F429" s="867">
        <v>45916</v>
      </c>
      <c r="G429" s="865" t="s">
        <v>2444</v>
      </c>
      <c r="H429" s="865" t="s">
        <v>2177</v>
      </c>
    </row>
    <row r="430" spans="1:8" x14ac:dyDescent="0.45">
      <c r="A430" s="861">
        <v>429</v>
      </c>
      <c r="B430" s="968"/>
      <c r="C430" s="869" t="s">
        <v>2558</v>
      </c>
      <c r="D430" s="862" t="s">
        <v>2187</v>
      </c>
      <c r="E430" s="863">
        <v>45916</v>
      </c>
      <c r="F430" s="867">
        <v>45916</v>
      </c>
      <c r="G430" s="865" t="s">
        <v>2444</v>
      </c>
      <c r="H430" s="865" t="s">
        <v>2177</v>
      </c>
    </row>
    <row r="431" spans="1:8" x14ac:dyDescent="0.45">
      <c r="A431" s="861">
        <v>430</v>
      </c>
      <c r="B431" s="968"/>
      <c r="C431" s="869" t="s">
        <v>2558</v>
      </c>
      <c r="D431" s="862" t="s">
        <v>2189</v>
      </c>
      <c r="E431" s="863">
        <v>45920</v>
      </c>
      <c r="F431" s="867">
        <v>45920</v>
      </c>
      <c r="G431" s="865" t="s">
        <v>2444</v>
      </c>
      <c r="H431" s="865" t="s">
        <v>2177</v>
      </c>
    </row>
    <row r="432" spans="1:8" x14ac:dyDescent="0.45">
      <c r="A432" s="861">
        <v>431</v>
      </c>
      <c r="B432" s="968"/>
      <c r="C432" s="869" t="s">
        <v>2558</v>
      </c>
      <c r="D432" s="862" t="s">
        <v>2191</v>
      </c>
      <c r="E432" s="863">
        <v>45920</v>
      </c>
      <c r="F432" s="867">
        <v>45920</v>
      </c>
      <c r="G432" s="865" t="s">
        <v>2444</v>
      </c>
      <c r="H432" s="865" t="s">
        <v>2177</v>
      </c>
    </row>
    <row r="433" spans="1:8" x14ac:dyDescent="0.45">
      <c r="A433" s="861">
        <v>432</v>
      </c>
      <c r="B433" s="968"/>
      <c r="C433" s="869" t="s">
        <v>2558</v>
      </c>
      <c r="D433" s="862" t="s">
        <v>2193</v>
      </c>
      <c r="E433" s="863">
        <v>45923</v>
      </c>
      <c r="F433" s="867">
        <v>45923</v>
      </c>
      <c r="G433" s="865" t="s">
        <v>2444</v>
      </c>
      <c r="H433" s="865" t="s">
        <v>2177</v>
      </c>
    </row>
    <row r="434" spans="1:8" x14ac:dyDescent="0.45">
      <c r="A434" s="861">
        <v>433</v>
      </c>
      <c r="B434" s="968"/>
      <c r="C434" s="869" t="s">
        <v>2558</v>
      </c>
      <c r="D434" s="862" t="s">
        <v>2195</v>
      </c>
      <c r="E434" s="863">
        <v>45923</v>
      </c>
      <c r="F434" s="867">
        <v>45923</v>
      </c>
      <c r="G434" s="865" t="s">
        <v>2444</v>
      </c>
      <c r="H434" s="865" t="s">
        <v>2177</v>
      </c>
    </row>
    <row r="435" spans="1:8" x14ac:dyDescent="0.45">
      <c r="A435" s="861">
        <v>434</v>
      </c>
      <c r="B435" s="968"/>
      <c r="C435" s="869" t="s">
        <v>2558</v>
      </c>
      <c r="D435" s="862" t="s">
        <v>2198</v>
      </c>
      <c r="E435" s="863">
        <v>45930</v>
      </c>
      <c r="F435" s="866" t="s">
        <v>2557</v>
      </c>
      <c r="G435" s="865" t="s">
        <v>2444</v>
      </c>
      <c r="H435" s="865" t="s">
        <v>2177</v>
      </c>
    </row>
    <row r="436" spans="1:8" x14ac:dyDescent="0.45">
      <c r="A436" s="861">
        <v>435</v>
      </c>
      <c r="B436" s="968"/>
      <c r="C436" s="869" t="s">
        <v>2558</v>
      </c>
      <c r="D436" s="862" t="s">
        <v>2201</v>
      </c>
      <c r="E436" s="863">
        <v>45934</v>
      </c>
      <c r="F436" s="866" t="s">
        <v>2559</v>
      </c>
      <c r="G436" s="865" t="s">
        <v>2444</v>
      </c>
      <c r="H436" s="865" t="s">
        <v>2177</v>
      </c>
    </row>
    <row r="437" spans="1:8" x14ac:dyDescent="0.45">
      <c r="A437" s="861">
        <v>436</v>
      </c>
      <c r="B437" s="967" t="s">
        <v>2560</v>
      </c>
      <c r="C437" s="869" t="s">
        <v>2175</v>
      </c>
      <c r="D437" s="862" t="s">
        <v>2184</v>
      </c>
      <c r="E437" s="865" t="s">
        <v>2549</v>
      </c>
      <c r="F437" s="866" t="s">
        <v>2525</v>
      </c>
      <c r="G437" s="865" t="s">
        <v>2279</v>
      </c>
      <c r="H437" s="865" t="s">
        <v>2177</v>
      </c>
    </row>
    <row r="438" spans="1:8" x14ac:dyDescent="0.45">
      <c r="A438" s="861">
        <v>437</v>
      </c>
      <c r="B438" s="968"/>
      <c r="C438" s="869" t="s">
        <v>2175</v>
      </c>
      <c r="D438" s="862" t="s">
        <v>2187</v>
      </c>
      <c r="E438" s="865" t="s">
        <v>2526</v>
      </c>
      <c r="F438" s="866" t="s">
        <v>2561</v>
      </c>
      <c r="G438" s="865" t="s">
        <v>2279</v>
      </c>
      <c r="H438" s="865" t="s">
        <v>2177</v>
      </c>
    </row>
    <row r="439" spans="1:8" x14ac:dyDescent="0.45">
      <c r="A439" s="861">
        <v>438</v>
      </c>
      <c r="B439" s="968"/>
      <c r="C439" s="869" t="s">
        <v>2175</v>
      </c>
      <c r="D439" s="862" t="s">
        <v>2189</v>
      </c>
      <c r="E439" s="865" t="s">
        <v>2550</v>
      </c>
      <c r="F439" s="866" t="s">
        <v>2527</v>
      </c>
      <c r="G439" s="865" t="s">
        <v>2279</v>
      </c>
      <c r="H439" s="865" t="s">
        <v>2177</v>
      </c>
    </row>
    <row r="440" spans="1:8" x14ac:dyDescent="0.45">
      <c r="A440" s="861">
        <v>439</v>
      </c>
      <c r="B440" s="968"/>
      <c r="C440" s="869" t="s">
        <v>2175</v>
      </c>
      <c r="D440" s="862" t="s">
        <v>2191</v>
      </c>
      <c r="E440" s="865" t="s">
        <v>2528</v>
      </c>
      <c r="F440" s="866" t="s">
        <v>2562</v>
      </c>
      <c r="G440" s="865" t="s">
        <v>2279</v>
      </c>
      <c r="H440" s="865" t="s">
        <v>2177</v>
      </c>
    </row>
    <row r="441" spans="1:8" x14ac:dyDescent="0.45">
      <c r="A441" s="861">
        <v>440</v>
      </c>
      <c r="B441" s="968"/>
      <c r="C441" s="869" t="s">
        <v>2178</v>
      </c>
      <c r="D441" s="862" t="s">
        <v>2184</v>
      </c>
      <c r="E441" s="865" t="s">
        <v>2513</v>
      </c>
      <c r="F441" s="866" t="s">
        <v>2529</v>
      </c>
      <c r="G441" s="865" t="s">
        <v>2279</v>
      </c>
      <c r="H441" s="865" t="s">
        <v>2177</v>
      </c>
    </row>
    <row r="442" spans="1:8" x14ac:dyDescent="0.45">
      <c r="A442" s="861">
        <v>441</v>
      </c>
      <c r="B442" s="968"/>
      <c r="C442" s="869" t="s">
        <v>2178</v>
      </c>
      <c r="D442" s="862" t="s">
        <v>2187</v>
      </c>
      <c r="E442" s="865" t="s">
        <v>2522</v>
      </c>
      <c r="F442" s="866" t="s">
        <v>2563</v>
      </c>
      <c r="G442" s="865" t="s">
        <v>2279</v>
      </c>
      <c r="H442" s="865"/>
    </row>
    <row r="443" spans="1:8" x14ac:dyDescent="0.45">
      <c r="A443" s="861">
        <v>442</v>
      </c>
      <c r="B443" s="968"/>
      <c r="C443" s="869" t="s">
        <v>2178</v>
      </c>
      <c r="D443" s="862" t="s">
        <v>2189</v>
      </c>
      <c r="E443" s="865" t="s">
        <v>2563</v>
      </c>
      <c r="F443" s="866" t="s">
        <v>2564</v>
      </c>
      <c r="G443" s="865" t="s">
        <v>2279</v>
      </c>
      <c r="H443" s="865"/>
    </row>
    <row r="444" spans="1:8" x14ac:dyDescent="0.45">
      <c r="A444" s="861">
        <v>443</v>
      </c>
      <c r="B444" s="968"/>
      <c r="C444" s="869" t="s">
        <v>2178</v>
      </c>
      <c r="D444" s="862" t="s">
        <v>2191</v>
      </c>
      <c r="E444" s="865" t="s">
        <v>2564</v>
      </c>
      <c r="F444" s="866" t="s">
        <v>2531</v>
      </c>
      <c r="G444" s="865" t="s">
        <v>2279</v>
      </c>
      <c r="H444" s="865"/>
    </row>
    <row r="445" spans="1:8" x14ac:dyDescent="0.45">
      <c r="A445" s="861">
        <v>444</v>
      </c>
      <c r="B445" s="967" t="s">
        <v>2565</v>
      </c>
      <c r="C445" s="869" t="s">
        <v>2175</v>
      </c>
      <c r="D445" s="862" t="s">
        <v>2425</v>
      </c>
      <c r="E445" s="863">
        <v>45926</v>
      </c>
      <c r="F445" s="863">
        <v>45927</v>
      </c>
      <c r="G445" s="865" t="s">
        <v>2427</v>
      </c>
      <c r="H445" s="865" t="s">
        <v>2177</v>
      </c>
    </row>
    <row r="446" spans="1:8" x14ac:dyDescent="0.45">
      <c r="A446" s="861">
        <v>445</v>
      </c>
      <c r="B446" s="968"/>
      <c r="C446" s="869" t="s">
        <v>2175</v>
      </c>
      <c r="D446" s="862" t="s">
        <v>2428</v>
      </c>
      <c r="E446" s="863">
        <v>45927</v>
      </c>
      <c r="F446" s="873">
        <v>45928</v>
      </c>
      <c r="G446" s="865" t="s">
        <v>2427</v>
      </c>
      <c r="H446" s="865" t="s">
        <v>2177</v>
      </c>
    </row>
    <row r="447" spans="1:8" x14ac:dyDescent="0.45">
      <c r="A447" s="861">
        <v>446</v>
      </c>
      <c r="B447" s="968"/>
      <c r="C447" s="869" t="s">
        <v>2175</v>
      </c>
      <c r="D447" s="862" t="s">
        <v>2430</v>
      </c>
      <c r="E447" s="863">
        <v>45931</v>
      </c>
      <c r="F447" s="877">
        <v>45932</v>
      </c>
      <c r="G447" s="865" t="s">
        <v>2427</v>
      </c>
      <c r="H447" s="865" t="s">
        <v>2177</v>
      </c>
    </row>
    <row r="448" spans="1:8" x14ac:dyDescent="0.45">
      <c r="A448" s="861">
        <v>447</v>
      </c>
      <c r="B448" s="968"/>
      <c r="C448" s="869" t="s">
        <v>2175</v>
      </c>
      <c r="D448" s="862" t="s">
        <v>2431</v>
      </c>
      <c r="E448" s="863">
        <v>45934</v>
      </c>
      <c r="F448" s="863">
        <v>45934</v>
      </c>
      <c r="G448" s="865" t="s">
        <v>2427</v>
      </c>
      <c r="H448" s="865" t="s">
        <v>2177</v>
      </c>
    </row>
    <row r="449" spans="1:8" x14ac:dyDescent="0.45">
      <c r="A449" s="861">
        <v>448</v>
      </c>
      <c r="B449" s="968"/>
      <c r="C449" s="869" t="s">
        <v>2175</v>
      </c>
      <c r="D449" s="862" t="s">
        <v>2432</v>
      </c>
      <c r="E449" s="863">
        <v>45938</v>
      </c>
      <c r="F449" s="866" t="s">
        <v>2566</v>
      </c>
      <c r="G449" s="865" t="s">
        <v>2427</v>
      </c>
      <c r="H449" s="865" t="s">
        <v>2177</v>
      </c>
    </row>
    <row r="450" spans="1:8" x14ac:dyDescent="0.45">
      <c r="A450" s="861">
        <v>449</v>
      </c>
      <c r="B450" s="968"/>
      <c r="C450" s="869" t="s">
        <v>2175</v>
      </c>
      <c r="D450" s="862" t="s">
        <v>2433</v>
      </c>
      <c r="E450" s="863">
        <v>45941</v>
      </c>
      <c r="F450" s="863">
        <v>45941</v>
      </c>
      <c r="G450" s="865" t="s">
        <v>2427</v>
      </c>
      <c r="H450" s="865" t="s">
        <v>2177</v>
      </c>
    </row>
    <row r="451" spans="1:8" x14ac:dyDescent="0.45">
      <c r="A451" s="861">
        <v>450</v>
      </c>
      <c r="B451" s="968"/>
      <c r="C451" s="869" t="s">
        <v>2175</v>
      </c>
      <c r="D451" s="862" t="s">
        <v>2436</v>
      </c>
      <c r="E451" s="863">
        <v>45942</v>
      </c>
      <c r="F451" s="878">
        <v>45943</v>
      </c>
      <c r="G451" s="865" t="s">
        <v>2427</v>
      </c>
      <c r="H451" s="865" t="s">
        <v>2177</v>
      </c>
    </row>
    <row r="452" spans="1:8" x14ac:dyDescent="0.45">
      <c r="A452" s="861">
        <v>451</v>
      </c>
      <c r="B452" s="968"/>
      <c r="C452" s="869" t="s">
        <v>2175</v>
      </c>
      <c r="D452" s="862" t="s">
        <v>2437</v>
      </c>
      <c r="E452" s="863">
        <v>45948</v>
      </c>
      <c r="F452" s="866" t="s">
        <v>2567</v>
      </c>
      <c r="G452" s="865" t="s">
        <v>2427</v>
      </c>
      <c r="H452" s="865" t="s">
        <v>2177</v>
      </c>
    </row>
    <row r="453" spans="1:8" x14ac:dyDescent="0.45">
      <c r="A453" s="861">
        <v>452</v>
      </c>
      <c r="B453" s="968"/>
      <c r="C453" s="869" t="s">
        <v>2175</v>
      </c>
      <c r="D453" s="862" t="s">
        <v>2439</v>
      </c>
      <c r="E453" s="863">
        <v>45949</v>
      </c>
      <c r="F453" s="866" t="s">
        <v>2567</v>
      </c>
      <c r="G453" s="865" t="s">
        <v>2427</v>
      </c>
      <c r="H453" s="865" t="s">
        <v>2177</v>
      </c>
    </row>
    <row r="454" spans="1:8" x14ac:dyDescent="0.45">
      <c r="A454" s="861">
        <v>453</v>
      </c>
      <c r="B454" s="968"/>
      <c r="C454" s="869" t="s">
        <v>2175</v>
      </c>
      <c r="D454" s="862" t="s">
        <v>2440</v>
      </c>
      <c r="E454" s="863">
        <v>45955</v>
      </c>
      <c r="F454" s="866" t="s">
        <v>2568</v>
      </c>
      <c r="G454" s="865" t="s">
        <v>2427</v>
      </c>
      <c r="H454" s="865" t="s">
        <v>2177</v>
      </c>
    </row>
    <row r="455" spans="1:8" x14ac:dyDescent="0.45">
      <c r="A455" s="861">
        <v>454</v>
      </c>
      <c r="B455" s="967" t="s">
        <v>2569</v>
      </c>
      <c r="C455" s="869" t="s">
        <v>2175</v>
      </c>
      <c r="D455" s="862" t="s">
        <v>2184</v>
      </c>
      <c r="E455" s="876">
        <v>45931</v>
      </c>
      <c r="F455" s="877">
        <v>45932</v>
      </c>
      <c r="G455" s="865" t="s">
        <v>2279</v>
      </c>
      <c r="H455" s="865" t="s">
        <v>2177</v>
      </c>
    </row>
    <row r="456" spans="1:8" x14ac:dyDescent="0.45">
      <c r="A456" s="861">
        <v>455</v>
      </c>
      <c r="B456" s="968"/>
      <c r="C456" s="869" t="s">
        <v>2175</v>
      </c>
      <c r="D456" s="862" t="s">
        <v>2187</v>
      </c>
      <c r="E456" s="865" t="s">
        <v>2522</v>
      </c>
      <c r="F456" s="866" t="s">
        <v>2563</v>
      </c>
      <c r="G456" s="865" t="s">
        <v>2279</v>
      </c>
      <c r="H456" s="865" t="s">
        <v>2177</v>
      </c>
    </row>
    <row r="457" spans="1:8" x14ac:dyDescent="0.45">
      <c r="A457" s="861">
        <v>456</v>
      </c>
      <c r="B457" s="968"/>
      <c r="C457" s="869" t="s">
        <v>2175</v>
      </c>
      <c r="D457" s="862" t="s">
        <v>2189</v>
      </c>
      <c r="E457" s="865" t="s">
        <v>2570</v>
      </c>
      <c r="F457" s="865" t="s">
        <v>2571</v>
      </c>
      <c r="G457" s="865" t="s">
        <v>2279</v>
      </c>
      <c r="H457" s="865" t="s">
        <v>2177</v>
      </c>
    </row>
    <row r="458" spans="1:8" x14ac:dyDescent="0.45">
      <c r="A458" s="861">
        <v>457</v>
      </c>
      <c r="B458" s="968"/>
      <c r="C458" s="869" t="s">
        <v>2175</v>
      </c>
      <c r="D458" s="862" t="s">
        <v>2191</v>
      </c>
      <c r="E458" s="865" t="s">
        <v>2572</v>
      </c>
      <c r="F458" s="863">
        <v>45960</v>
      </c>
      <c r="G458" s="865" t="s">
        <v>2279</v>
      </c>
      <c r="H458" s="865" t="s">
        <v>2204</v>
      </c>
    </row>
    <row r="459" spans="1:8" x14ac:dyDescent="0.45">
      <c r="A459" s="861">
        <v>458</v>
      </c>
      <c r="B459" s="967" t="s">
        <v>2573</v>
      </c>
      <c r="C459" s="869" t="s">
        <v>2175</v>
      </c>
      <c r="D459" s="862" t="s">
        <v>2184</v>
      </c>
      <c r="E459" s="876">
        <v>45930</v>
      </c>
      <c r="F459" s="876">
        <v>45931</v>
      </c>
      <c r="G459" s="865" t="s">
        <v>2427</v>
      </c>
      <c r="H459" s="865" t="s">
        <v>2177</v>
      </c>
    </row>
    <row r="460" spans="1:8" x14ac:dyDescent="0.45">
      <c r="A460" s="861">
        <v>459</v>
      </c>
      <c r="B460" s="968"/>
      <c r="C460" s="869" t="s">
        <v>2175</v>
      </c>
      <c r="D460" s="862" t="s">
        <v>2187</v>
      </c>
      <c r="E460" s="876">
        <v>45931</v>
      </c>
      <c r="F460" s="877">
        <v>45932</v>
      </c>
      <c r="G460" s="865" t="s">
        <v>2427</v>
      </c>
      <c r="H460" s="865" t="s">
        <v>2177</v>
      </c>
    </row>
    <row r="461" spans="1:8" x14ac:dyDescent="0.45">
      <c r="A461" s="861">
        <v>460</v>
      </c>
      <c r="B461" s="968"/>
      <c r="C461" s="869" t="s">
        <v>2175</v>
      </c>
      <c r="D461" s="862" t="s">
        <v>2189</v>
      </c>
      <c r="E461" s="878">
        <v>45943</v>
      </c>
      <c r="F461" s="878">
        <v>45943</v>
      </c>
      <c r="G461" s="865" t="s">
        <v>2427</v>
      </c>
      <c r="H461" s="865" t="s">
        <v>2177</v>
      </c>
    </row>
    <row r="462" spans="1:8" x14ac:dyDescent="0.45">
      <c r="A462" s="861">
        <v>461</v>
      </c>
      <c r="B462" s="968"/>
      <c r="C462" s="869" t="s">
        <v>2175</v>
      </c>
      <c r="D462" s="862" t="s">
        <v>2191</v>
      </c>
      <c r="E462" s="865" t="s">
        <v>2574</v>
      </c>
      <c r="F462" s="878">
        <v>45943</v>
      </c>
      <c r="G462" s="865" t="s">
        <v>2427</v>
      </c>
      <c r="H462" s="865" t="s">
        <v>2177</v>
      </c>
    </row>
    <row r="463" spans="1:8" x14ac:dyDescent="0.45">
      <c r="A463" s="861">
        <v>462</v>
      </c>
      <c r="B463" s="967" t="s">
        <v>2575</v>
      </c>
      <c r="C463" s="869" t="s">
        <v>2175</v>
      </c>
      <c r="D463" s="862" t="s">
        <v>2184</v>
      </c>
      <c r="E463" s="865" t="s">
        <v>2513</v>
      </c>
      <c r="F463" s="866" t="s">
        <v>2514</v>
      </c>
      <c r="G463" s="865" t="s">
        <v>2279</v>
      </c>
      <c r="H463" s="865" t="s">
        <v>2177</v>
      </c>
    </row>
    <row r="464" spans="1:8" x14ac:dyDescent="0.45">
      <c r="A464" s="861">
        <v>463</v>
      </c>
      <c r="B464" s="968"/>
      <c r="C464" s="869" t="s">
        <v>2175</v>
      </c>
      <c r="D464" s="862" t="s">
        <v>2187</v>
      </c>
      <c r="E464" s="865" t="s">
        <v>2544</v>
      </c>
      <c r="F464" s="866" t="s">
        <v>2529</v>
      </c>
      <c r="G464" s="865" t="s">
        <v>2279</v>
      </c>
      <c r="H464" s="865" t="s">
        <v>2177</v>
      </c>
    </row>
    <row r="465" spans="1:8" x14ac:dyDescent="0.45">
      <c r="A465" s="861">
        <v>464</v>
      </c>
      <c r="B465" s="968"/>
      <c r="C465" s="869" t="s">
        <v>2175</v>
      </c>
      <c r="D465" s="862" t="s">
        <v>2189</v>
      </c>
      <c r="E465" s="865" t="s">
        <v>2530</v>
      </c>
      <c r="F465" s="866" t="s">
        <v>2522</v>
      </c>
      <c r="G465" s="865" t="s">
        <v>2279</v>
      </c>
      <c r="H465" s="865" t="s">
        <v>2177</v>
      </c>
    </row>
    <row r="466" spans="1:8" x14ac:dyDescent="0.45">
      <c r="A466" s="861">
        <v>465</v>
      </c>
      <c r="B466" s="968"/>
      <c r="C466" s="869" t="s">
        <v>2175</v>
      </c>
      <c r="D466" s="862" t="s">
        <v>2191</v>
      </c>
      <c r="E466" s="865" t="s">
        <v>2564</v>
      </c>
      <c r="F466" s="866" t="s">
        <v>2531</v>
      </c>
      <c r="G466" s="865" t="s">
        <v>2279</v>
      </c>
      <c r="H466" s="865" t="s">
        <v>2177</v>
      </c>
    </row>
    <row r="467" spans="1:8" x14ac:dyDescent="0.45">
      <c r="A467" s="861">
        <v>466</v>
      </c>
      <c r="B467" s="968"/>
      <c r="C467" s="869" t="s">
        <v>2175</v>
      </c>
      <c r="D467" s="862" t="s">
        <v>2193</v>
      </c>
      <c r="E467" s="865" t="s">
        <v>2532</v>
      </c>
      <c r="F467" s="866" t="s">
        <v>2570</v>
      </c>
      <c r="G467" s="865" t="s">
        <v>2279</v>
      </c>
      <c r="H467" s="865" t="s">
        <v>2177</v>
      </c>
    </row>
    <row r="468" spans="1:8" x14ac:dyDescent="0.45">
      <c r="A468" s="861">
        <v>467</v>
      </c>
      <c r="B468" s="968"/>
      <c r="C468" s="869" t="s">
        <v>2175</v>
      </c>
      <c r="D468" s="862" t="s">
        <v>2195</v>
      </c>
      <c r="E468" s="865" t="s">
        <v>2576</v>
      </c>
      <c r="F468" s="866" t="s">
        <v>2533</v>
      </c>
      <c r="G468" s="865" t="s">
        <v>2279</v>
      </c>
      <c r="H468" s="865" t="s">
        <v>2177</v>
      </c>
    </row>
    <row r="469" spans="1:8" x14ac:dyDescent="0.45">
      <c r="A469" s="861">
        <v>468</v>
      </c>
      <c r="B469" s="968"/>
      <c r="C469" s="869" t="s">
        <v>2175</v>
      </c>
      <c r="D469" s="862" t="s">
        <v>2198</v>
      </c>
      <c r="E469" s="865" t="s">
        <v>2534</v>
      </c>
      <c r="F469" s="866" t="s">
        <v>2572</v>
      </c>
      <c r="G469" s="865" t="s">
        <v>2279</v>
      </c>
      <c r="H469" s="865" t="s">
        <v>2177</v>
      </c>
    </row>
    <row r="470" spans="1:8" x14ac:dyDescent="0.45">
      <c r="A470" s="861">
        <v>469</v>
      </c>
      <c r="B470" s="968"/>
      <c r="C470" s="869" t="s">
        <v>2175</v>
      </c>
      <c r="D470" s="862" t="s">
        <v>2201</v>
      </c>
      <c r="E470" s="865" t="s">
        <v>2577</v>
      </c>
      <c r="F470" s="866" t="s">
        <v>2578</v>
      </c>
      <c r="G470" s="865" t="s">
        <v>2279</v>
      </c>
      <c r="H470" s="865" t="s">
        <v>2204</v>
      </c>
    </row>
    <row r="471" spans="1:8" x14ac:dyDescent="0.45">
      <c r="A471" s="861">
        <v>470</v>
      </c>
      <c r="B471" s="967" t="s">
        <v>1394</v>
      </c>
      <c r="C471" s="869" t="s">
        <v>2175</v>
      </c>
      <c r="D471" s="862" t="s">
        <v>2184</v>
      </c>
      <c r="E471" s="863">
        <v>45948</v>
      </c>
      <c r="F471" s="866" t="s">
        <v>2579</v>
      </c>
      <c r="G471" s="865" t="s">
        <v>2444</v>
      </c>
      <c r="H471" s="865" t="s">
        <v>2177</v>
      </c>
    </row>
    <row r="472" spans="1:8" x14ac:dyDescent="0.45">
      <c r="A472" s="861">
        <v>471</v>
      </c>
      <c r="B472" s="968"/>
      <c r="C472" s="869" t="s">
        <v>2175</v>
      </c>
      <c r="D472" s="862" t="s">
        <v>2187</v>
      </c>
      <c r="E472" s="863">
        <v>45955</v>
      </c>
      <c r="F472" s="866" t="s">
        <v>2580</v>
      </c>
      <c r="G472" s="865" t="s">
        <v>2444</v>
      </c>
      <c r="H472" s="865" t="s">
        <v>2177</v>
      </c>
    </row>
    <row r="473" spans="1:8" x14ac:dyDescent="0.45">
      <c r="A473" s="861">
        <v>472</v>
      </c>
      <c r="B473" s="968"/>
      <c r="C473" s="869" t="s">
        <v>2175</v>
      </c>
      <c r="D473" s="862" t="s">
        <v>2189</v>
      </c>
      <c r="E473" s="863">
        <v>45962</v>
      </c>
      <c r="F473" s="867"/>
      <c r="G473" s="865"/>
      <c r="H473" s="865" t="s">
        <v>2204</v>
      </c>
    </row>
    <row r="474" spans="1:8" x14ac:dyDescent="0.45">
      <c r="A474" s="861">
        <v>473</v>
      </c>
      <c r="B474" s="968"/>
      <c r="C474" s="869" t="s">
        <v>2175</v>
      </c>
      <c r="D474" s="862" t="s">
        <v>2191</v>
      </c>
      <c r="E474" s="863">
        <v>45969</v>
      </c>
      <c r="F474" s="867"/>
      <c r="G474" s="865"/>
      <c r="H474" s="865" t="s">
        <v>2204</v>
      </c>
    </row>
    <row r="475" spans="1:8" x14ac:dyDescent="0.45">
      <c r="A475" s="861">
        <v>474</v>
      </c>
      <c r="B475" s="968"/>
      <c r="C475" s="869" t="s">
        <v>2558</v>
      </c>
      <c r="D475" s="862" t="s">
        <v>2193</v>
      </c>
      <c r="E475" s="878">
        <v>45979</v>
      </c>
      <c r="F475" s="867"/>
      <c r="G475" s="865"/>
      <c r="H475" s="865" t="s">
        <v>2204</v>
      </c>
    </row>
    <row r="476" spans="1:8" x14ac:dyDescent="0.45">
      <c r="A476" s="861">
        <v>475</v>
      </c>
      <c r="B476" s="968"/>
      <c r="C476" s="869" t="s">
        <v>2178</v>
      </c>
      <c r="D476" s="862" t="s">
        <v>2184</v>
      </c>
      <c r="E476" s="863">
        <v>45953</v>
      </c>
      <c r="F476" s="867">
        <v>45954</v>
      </c>
      <c r="G476" s="865" t="s">
        <v>2444</v>
      </c>
      <c r="H476" s="865" t="s">
        <v>2177</v>
      </c>
    </row>
    <row r="477" spans="1:8" x14ac:dyDescent="0.45">
      <c r="A477" s="861">
        <v>476</v>
      </c>
      <c r="B477" s="968"/>
      <c r="C477" s="869" t="s">
        <v>2178</v>
      </c>
      <c r="D477" s="862" t="s">
        <v>2187</v>
      </c>
      <c r="E477" s="863">
        <v>45960</v>
      </c>
      <c r="F477" s="867"/>
      <c r="G477" s="865"/>
      <c r="H477" s="865" t="s">
        <v>2204</v>
      </c>
    </row>
    <row r="478" spans="1:8" x14ac:dyDescent="0.45">
      <c r="A478" s="861">
        <v>477</v>
      </c>
      <c r="B478" s="968"/>
      <c r="C478" s="869" t="s">
        <v>2178</v>
      </c>
      <c r="D478" s="862" t="s">
        <v>2189</v>
      </c>
      <c r="E478" s="863">
        <v>45967</v>
      </c>
      <c r="F478" s="866" t="s">
        <v>2581</v>
      </c>
      <c r="G478" s="865" t="s">
        <v>2582</v>
      </c>
      <c r="H478" s="865" t="s">
        <v>2177</v>
      </c>
    </row>
    <row r="479" spans="1:8" x14ac:dyDescent="0.45">
      <c r="A479" s="861">
        <v>478</v>
      </c>
      <c r="B479" s="968"/>
      <c r="C479" s="869" t="s">
        <v>2178</v>
      </c>
      <c r="D479" s="862" t="s">
        <v>2191</v>
      </c>
      <c r="E479" s="863">
        <v>45974</v>
      </c>
      <c r="F479" s="866" t="s">
        <v>2583</v>
      </c>
      <c r="G479" s="865" t="s">
        <v>2582</v>
      </c>
      <c r="H479" s="865" t="s">
        <v>2177</v>
      </c>
    </row>
    <row r="480" spans="1:8" x14ac:dyDescent="0.45">
      <c r="A480" s="861">
        <v>479</v>
      </c>
      <c r="B480" s="967" t="s">
        <v>2584</v>
      </c>
      <c r="C480" s="869" t="s">
        <v>2175</v>
      </c>
      <c r="D480" s="862" t="s">
        <v>2184</v>
      </c>
      <c r="E480" s="865" t="s">
        <v>2533</v>
      </c>
      <c r="F480" s="866" t="s">
        <v>2534</v>
      </c>
      <c r="G480" s="865" t="s">
        <v>2279</v>
      </c>
      <c r="H480" s="865" t="s">
        <v>2177</v>
      </c>
    </row>
    <row r="481" spans="1:8" x14ac:dyDescent="0.45">
      <c r="A481" s="861">
        <v>480</v>
      </c>
      <c r="B481" s="968"/>
      <c r="C481" s="869" t="s">
        <v>2178</v>
      </c>
      <c r="D481" s="862" t="s">
        <v>2184</v>
      </c>
      <c r="E481" s="865" t="s">
        <v>2585</v>
      </c>
      <c r="F481" s="866" t="s">
        <v>2577</v>
      </c>
      <c r="G481" s="865" t="s">
        <v>2279</v>
      </c>
      <c r="H481" s="865" t="s">
        <v>2177</v>
      </c>
    </row>
    <row r="482" spans="1:8" x14ac:dyDescent="0.45">
      <c r="A482" s="861">
        <v>481</v>
      </c>
      <c r="B482" s="968"/>
      <c r="C482" s="869" t="s">
        <v>2175</v>
      </c>
      <c r="D482" s="862" t="s">
        <v>2187</v>
      </c>
      <c r="E482" s="865" t="s">
        <v>2578</v>
      </c>
      <c r="F482" s="866" t="s">
        <v>2586</v>
      </c>
      <c r="G482" s="865" t="s">
        <v>2582</v>
      </c>
      <c r="H482" s="865" t="s">
        <v>2177</v>
      </c>
    </row>
    <row r="483" spans="1:8" x14ac:dyDescent="0.45">
      <c r="A483" s="861">
        <v>482</v>
      </c>
      <c r="B483" s="968"/>
      <c r="C483" s="869" t="s">
        <v>2178</v>
      </c>
      <c r="D483" s="862" t="s">
        <v>2187</v>
      </c>
      <c r="E483" s="865" t="s">
        <v>2587</v>
      </c>
      <c r="F483" s="866" t="s">
        <v>2588</v>
      </c>
      <c r="G483" s="865" t="s">
        <v>2582</v>
      </c>
      <c r="H483" s="865" t="s">
        <v>2177</v>
      </c>
    </row>
    <row r="484" spans="1:8" x14ac:dyDescent="0.45">
      <c r="A484" s="861">
        <v>483</v>
      </c>
      <c r="B484" s="968"/>
      <c r="C484" s="869" t="s">
        <v>2175</v>
      </c>
      <c r="D484" s="862" t="s">
        <v>2189</v>
      </c>
      <c r="E484" s="865" t="s">
        <v>2581</v>
      </c>
      <c r="F484" s="866" t="s">
        <v>2589</v>
      </c>
      <c r="G484" s="865" t="s">
        <v>2582</v>
      </c>
      <c r="H484" s="865" t="s">
        <v>2177</v>
      </c>
    </row>
    <row r="485" spans="1:8" x14ac:dyDescent="0.45">
      <c r="A485" s="861">
        <v>484</v>
      </c>
      <c r="B485" s="968"/>
      <c r="C485" s="869" t="s">
        <v>2178</v>
      </c>
      <c r="D485" s="862" t="s">
        <v>2189</v>
      </c>
      <c r="E485" s="865" t="s">
        <v>2590</v>
      </c>
      <c r="F485" s="866" t="s">
        <v>2583</v>
      </c>
      <c r="G485" s="865" t="s">
        <v>2582</v>
      </c>
      <c r="H485" s="865" t="s">
        <v>2177</v>
      </c>
    </row>
    <row r="486" spans="1:8" x14ac:dyDescent="0.45">
      <c r="A486" s="861">
        <v>485</v>
      </c>
      <c r="B486" s="968"/>
      <c r="C486" s="869" t="s">
        <v>2175</v>
      </c>
      <c r="D486" s="862" t="s">
        <v>2191</v>
      </c>
      <c r="E486" s="865" t="s">
        <v>2591</v>
      </c>
      <c r="F486" s="866" t="s">
        <v>2592</v>
      </c>
      <c r="G486" s="865"/>
      <c r="H486" s="865" t="s">
        <v>2204</v>
      </c>
    </row>
    <row r="487" spans="1:8" x14ac:dyDescent="0.45">
      <c r="A487" s="861">
        <v>486</v>
      </c>
      <c r="B487" s="968"/>
      <c r="C487" s="869" t="s">
        <v>2178</v>
      </c>
      <c r="D487" s="862" t="s">
        <v>2191</v>
      </c>
      <c r="E487" s="865" t="s">
        <v>2593</v>
      </c>
      <c r="F487" s="866" t="s">
        <v>2594</v>
      </c>
      <c r="G487" s="865"/>
      <c r="H487" s="865" t="s">
        <v>2204</v>
      </c>
    </row>
    <row r="488" spans="1:8" x14ac:dyDescent="0.45">
      <c r="A488" s="861">
        <v>487</v>
      </c>
      <c r="B488" s="968"/>
      <c r="C488" s="869" t="s">
        <v>2175</v>
      </c>
      <c r="D488" s="862" t="s">
        <v>2193</v>
      </c>
      <c r="E488" s="865" t="s">
        <v>2595</v>
      </c>
      <c r="F488" s="866" t="s">
        <v>2596</v>
      </c>
      <c r="G488" s="865"/>
      <c r="H488" s="865" t="s">
        <v>2204</v>
      </c>
    </row>
    <row r="489" spans="1:8" x14ac:dyDescent="0.45">
      <c r="A489" s="861">
        <v>488</v>
      </c>
      <c r="B489" s="968"/>
      <c r="C489" s="869" t="s">
        <v>2178</v>
      </c>
      <c r="D489" s="862" t="s">
        <v>2193</v>
      </c>
      <c r="E489" s="865" t="s">
        <v>2597</v>
      </c>
      <c r="F489" s="866" t="s">
        <v>2598</v>
      </c>
      <c r="G489" s="865"/>
      <c r="H489" s="865" t="s">
        <v>2204</v>
      </c>
    </row>
    <row r="490" spans="1:8" x14ac:dyDescent="0.45">
      <c r="A490" s="861">
        <v>489</v>
      </c>
      <c r="B490" s="967" t="s">
        <v>2599</v>
      </c>
      <c r="C490" s="869" t="s">
        <v>2175</v>
      </c>
      <c r="D490" s="862" t="s">
        <v>2184</v>
      </c>
      <c r="E490" s="865" t="s">
        <v>2534</v>
      </c>
      <c r="F490" s="866" t="s">
        <v>2572</v>
      </c>
      <c r="G490" s="865" t="s">
        <v>2582</v>
      </c>
      <c r="H490" s="865" t="s">
        <v>2177</v>
      </c>
    </row>
    <row r="491" spans="1:8" x14ac:dyDescent="0.45">
      <c r="A491" s="861">
        <v>490</v>
      </c>
      <c r="B491" s="968"/>
      <c r="C491" s="869" t="s">
        <v>2175</v>
      </c>
      <c r="D491" s="862" t="s">
        <v>2187</v>
      </c>
      <c r="E491" s="865" t="s">
        <v>2577</v>
      </c>
      <c r="F491" s="866" t="s">
        <v>2600</v>
      </c>
      <c r="G491" s="865" t="s">
        <v>2444</v>
      </c>
      <c r="H491" s="865" t="s">
        <v>2177</v>
      </c>
    </row>
    <row r="492" spans="1:8" x14ac:dyDescent="0.45">
      <c r="A492" s="861">
        <v>491</v>
      </c>
      <c r="B492" s="968"/>
      <c r="C492" s="869" t="s">
        <v>2175</v>
      </c>
      <c r="D492" s="862" t="s">
        <v>2189</v>
      </c>
      <c r="E492" s="865" t="s">
        <v>2586</v>
      </c>
      <c r="F492" s="866" t="s">
        <v>2601</v>
      </c>
      <c r="G492" s="865" t="s">
        <v>2582</v>
      </c>
      <c r="H492" s="865" t="s">
        <v>2177</v>
      </c>
    </row>
    <row r="493" spans="1:8" x14ac:dyDescent="0.45">
      <c r="A493" s="861">
        <v>492</v>
      </c>
      <c r="B493" s="968"/>
      <c r="C493" s="869" t="s">
        <v>2175</v>
      </c>
      <c r="D493" s="862" t="s">
        <v>2191</v>
      </c>
      <c r="E493" s="865" t="s">
        <v>2588</v>
      </c>
      <c r="F493" s="866" t="s">
        <v>2581</v>
      </c>
      <c r="G493" s="865" t="s">
        <v>2582</v>
      </c>
      <c r="H493" s="865" t="s">
        <v>2177</v>
      </c>
    </row>
    <row r="494" spans="1:8" x14ac:dyDescent="0.45">
      <c r="A494" s="861">
        <v>493</v>
      </c>
      <c r="B494" s="968"/>
      <c r="C494" s="869" t="s">
        <v>2175</v>
      </c>
      <c r="D494" s="862" t="s">
        <v>2193</v>
      </c>
      <c r="E494" s="865" t="s">
        <v>2581</v>
      </c>
      <c r="F494" s="866" t="s">
        <v>2602</v>
      </c>
      <c r="G494" s="865" t="s">
        <v>2603</v>
      </c>
      <c r="H494" s="865" t="s">
        <v>2177</v>
      </c>
    </row>
    <row r="495" spans="1:8" x14ac:dyDescent="0.45">
      <c r="A495" s="861">
        <v>494</v>
      </c>
      <c r="B495" s="967" t="s">
        <v>2604</v>
      </c>
      <c r="C495" s="869" t="s">
        <v>2175</v>
      </c>
      <c r="D495" s="862" t="s">
        <v>2184</v>
      </c>
      <c r="E495" s="865" t="s">
        <v>2605</v>
      </c>
      <c r="F495" s="866" t="s">
        <v>2600</v>
      </c>
      <c r="G495" s="865" t="s">
        <v>2427</v>
      </c>
      <c r="H495" s="865" t="s">
        <v>2177</v>
      </c>
    </row>
    <row r="496" spans="1:8" x14ac:dyDescent="0.45">
      <c r="A496" s="861">
        <v>495</v>
      </c>
      <c r="B496" s="968"/>
      <c r="C496" s="869" t="s">
        <v>2175</v>
      </c>
      <c r="D496" s="862" t="s">
        <v>2187</v>
      </c>
      <c r="E496" s="865" t="s">
        <v>2606</v>
      </c>
      <c r="F496" s="866" t="s">
        <v>2601</v>
      </c>
      <c r="G496" s="865" t="s">
        <v>2427</v>
      </c>
      <c r="H496" s="865" t="s">
        <v>2177</v>
      </c>
    </row>
    <row r="497" spans="1:8" x14ac:dyDescent="0.45">
      <c r="A497" s="861">
        <v>496</v>
      </c>
      <c r="B497" s="968"/>
      <c r="C497" s="869" t="s">
        <v>2175</v>
      </c>
      <c r="D497" s="862" t="s">
        <v>2189</v>
      </c>
      <c r="E497" s="865" t="s">
        <v>2607</v>
      </c>
      <c r="F497" s="866" t="s">
        <v>2608</v>
      </c>
      <c r="G497" s="865" t="s">
        <v>2427</v>
      </c>
      <c r="H497" s="865" t="s">
        <v>2177</v>
      </c>
    </row>
    <row r="498" spans="1:8" x14ac:dyDescent="0.45">
      <c r="A498" s="861">
        <v>497</v>
      </c>
      <c r="B498" s="968"/>
      <c r="C498" s="869" t="s">
        <v>2175</v>
      </c>
      <c r="D498" s="862" t="s">
        <v>2191</v>
      </c>
      <c r="E498" s="865" t="s">
        <v>2609</v>
      </c>
      <c r="F498" s="866" t="s">
        <v>2610</v>
      </c>
      <c r="G498" s="865" t="s">
        <v>2582</v>
      </c>
      <c r="H498" s="865" t="s">
        <v>2177</v>
      </c>
    </row>
    <row r="499" spans="1:8" x14ac:dyDescent="0.45">
      <c r="A499" s="861">
        <v>498</v>
      </c>
      <c r="B499" s="968"/>
      <c r="C499" s="869" t="s">
        <v>2175</v>
      </c>
      <c r="D499" s="862" t="s">
        <v>2193</v>
      </c>
      <c r="E499" s="865" t="s">
        <v>2611</v>
      </c>
      <c r="F499" s="866" t="s">
        <v>2612</v>
      </c>
      <c r="G499" s="865" t="s">
        <v>2582</v>
      </c>
      <c r="H499" s="865" t="s">
        <v>2177</v>
      </c>
    </row>
    <row r="500" spans="1:8" x14ac:dyDescent="0.45">
      <c r="A500" s="861">
        <v>499</v>
      </c>
      <c r="B500" s="968"/>
      <c r="C500" s="869" t="s">
        <v>2175</v>
      </c>
      <c r="D500" s="862" t="s">
        <v>2195</v>
      </c>
      <c r="E500" s="865" t="s">
        <v>2613</v>
      </c>
      <c r="F500" s="866" t="s">
        <v>2593</v>
      </c>
      <c r="G500" s="865" t="s">
        <v>2582</v>
      </c>
      <c r="H500" s="865" t="s">
        <v>2177</v>
      </c>
    </row>
    <row r="501" spans="1:8" x14ac:dyDescent="0.45">
      <c r="A501" s="861">
        <v>500</v>
      </c>
      <c r="B501" s="968"/>
      <c r="C501" s="869" t="s">
        <v>2175</v>
      </c>
      <c r="D501" s="862" t="s">
        <v>2198</v>
      </c>
      <c r="E501" s="865" t="s">
        <v>2614</v>
      </c>
      <c r="F501" s="867"/>
      <c r="G501" s="865"/>
      <c r="H501" s="865" t="s">
        <v>2204</v>
      </c>
    </row>
    <row r="502" spans="1:8" x14ac:dyDescent="0.45">
      <c r="A502" s="861">
        <v>501</v>
      </c>
      <c r="B502" s="968"/>
      <c r="C502" s="869" t="s">
        <v>2178</v>
      </c>
      <c r="D502" s="862" t="s">
        <v>2201</v>
      </c>
      <c r="E502" s="865" t="s">
        <v>2615</v>
      </c>
      <c r="F502" s="867"/>
      <c r="G502" s="865"/>
      <c r="H502" s="865" t="s">
        <v>2204</v>
      </c>
    </row>
    <row r="503" spans="1:8" x14ac:dyDescent="0.45">
      <c r="A503" s="861">
        <v>502</v>
      </c>
      <c r="B503" s="968"/>
      <c r="C503" s="869" t="s">
        <v>2178</v>
      </c>
      <c r="D503" s="862" t="s">
        <v>2255</v>
      </c>
      <c r="E503" s="865" t="s">
        <v>2616</v>
      </c>
      <c r="F503" s="867"/>
      <c r="G503" s="865"/>
      <c r="H503" s="865" t="s">
        <v>2204</v>
      </c>
    </row>
    <row r="504" spans="1:8" x14ac:dyDescent="0.45">
      <c r="A504" s="861">
        <v>503</v>
      </c>
      <c r="B504" s="968"/>
      <c r="C504" s="869" t="s">
        <v>2178</v>
      </c>
      <c r="D504" s="862" t="s">
        <v>2256</v>
      </c>
      <c r="E504" s="865" t="s">
        <v>2617</v>
      </c>
      <c r="F504" s="867"/>
      <c r="G504" s="865"/>
      <c r="H504" s="865" t="s">
        <v>2204</v>
      </c>
    </row>
    <row r="505" spans="1:8" x14ac:dyDescent="0.45">
      <c r="A505" s="861">
        <v>504</v>
      </c>
      <c r="B505" s="968"/>
      <c r="C505" s="869" t="s">
        <v>2178</v>
      </c>
      <c r="D505" s="862" t="s">
        <v>2618</v>
      </c>
      <c r="E505" s="865" t="s">
        <v>2619</v>
      </c>
      <c r="F505" s="867"/>
      <c r="G505" s="865"/>
      <c r="H505" s="865" t="s">
        <v>2204</v>
      </c>
    </row>
    <row r="506" spans="1:8" x14ac:dyDescent="0.45">
      <c r="A506" s="861">
        <v>505</v>
      </c>
      <c r="B506" s="968"/>
      <c r="C506" s="869" t="s">
        <v>2558</v>
      </c>
      <c r="D506" s="862" t="s">
        <v>2184</v>
      </c>
      <c r="E506" s="865" t="s">
        <v>2620</v>
      </c>
      <c r="F506" s="865" t="s">
        <v>2620</v>
      </c>
      <c r="G506" s="865" t="s">
        <v>2621</v>
      </c>
      <c r="H506" s="865" t="s">
        <v>2177</v>
      </c>
    </row>
    <row r="507" spans="1:8" x14ac:dyDescent="0.45">
      <c r="A507" s="861">
        <v>506</v>
      </c>
      <c r="B507" s="968"/>
      <c r="C507" s="869" t="s">
        <v>2558</v>
      </c>
      <c r="D507" s="862" t="s">
        <v>2187</v>
      </c>
      <c r="E507" s="865" t="s">
        <v>2622</v>
      </c>
      <c r="F507" s="865" t="s">
        <v>2622</v>
      </c>
      <c r="G507" s="865" t="s">
        <v>2621</v>
      </c>
      <c r="H507" s="865" t="s">
        <v>2177</v>
      </c>
    </row>
    <row r="508" spans="1:8" x14ac:dyDescent="0.45">
      <c r="A508" s="861">
        <v>507</v>
      </c>
      <c r="B508" s="968"/>
      <c r="C508" s="869" t="s">
        <v>2558</v>
      </c>
      <c r="D508" s="862" t="s">
        <v>2189</v>
      </c>
      <c r="E508" s="865" t="s">
        <v>2623</v>
      </c>
      <c r="F508" s="865" t="s">
        <v>2623</v>
      </c>
      <c r="G508" s="865" t="s">
        <v>2621</v>
      </c>
      <c r="H508" s="865" t="s">
        <v>2177</v>
      </c>
    </row>
    <row r="509" spans="1:8" x14ac:dyDescent="0.45">
      <c r="A509" s="861">
        <v>508</v>
      </c>
      <c r="B509" s="968"/>
      <c r="C509" s="869" t="s">
        <v>2558</v>
      </c>
      <c r="D509" s="862" t="s">
        <v>2191</v>
      </c>
      <c r="E509" s="865" t="s">
        <v>2624</v>
      </c>
      <c r="F509" s="867"/>
      <c r="G509" s="865" t="s">
        <v>2621</v>
      </c>
      <c r="H509" s="865" t="s">
        <v>2204</v>
      </c>
    </row>
    <row r="510" spans="1:8" x14ac:dyDescent="0.45">
      <c r="A510" s="861">
        <v>509</v>
      </c>
      <c r="B510" s="968"/>
      <c r="C510" s="869" t="s">
        <v>2558</v>
      </c>
      <c r="D510" s="862" t="s">
        <v>2625</v>
      </c>
      <c r="E510" s="865" t="s">
        <v>2626</v>
      </c>
      <c r="F510" s="867"/>
      <c r="G510" s="865" t="s">
        <v>2621</v>
      </c>
      <c r="H510" s="865" t="s">
        <v>2204</v>
      </c>
    </row>
    <row r="511" spans="1:8" x14ac:dyDescent="0.45">
      <c r="A511" s="861">
        <v>510</v>
      </c>
      <c r="B511" s="968"/>
      <c r="C511" s="869" t="s">
        <v>2558</v>
      </c>
      <c r="D511" s="862" t="s">
        <v>2627</v>
      </c>
      <c r="E511" s="865" t="s">
        <v>2628</v>
      </c>
      <c r="F511" s="867"/>
      <c r="G511" s="865" t="s">
        <v>2621</v>
      </c>
      <c r="H511" s="865" t="s">
        <v>2204</v>
      </c>
    </row>
    <row r="512" spans="1:8" x14ac:dyDescent="0.45">
      <c r="A512" s="861">
        <v>511</v>
      </c>
      <c r="B512" s="967" t="s">
        <v>2629</v>
      </c>
      <c r="C512" s="869" t="s">
        <v>2175</v>
      </c>
      <c r="D512" s="862" t="s">
        <v>2184</v>
      </c>
      <c r="E512" s="865" t="s">
        <v>2630</v>
      </c>
      <c r="F512" s="866" t="s">
        <v>2631</v>
      </c>
      <c r="G512" s="865" t="s">
        <v>2582</v>
      </c>
      <c r="H512" s="865" t="s">
        <v>2177</v>
      </c>
    </row>
    <row r="513" spans="1:8" x14ac:dyDescent="0.45">
      <c r="A513" s="861">
        <v>512</v>
      </c>
      <c r="B513" s="968"/>
      <c r="C513" s="869" t="s">
        <v>2178</v>
      </c>
      <c r="D513" s="862" t="s">
        <v>2184</v>
      </c>
      <c r="E513" s="865" t="s">
        <v>2632</v>
      </c>
      <c r="F513" s="866" t="s">
        <v>2633</v>
      </c>
      <c r="G513" s="865" t="s">
        <v>2582</v>
      </c>
      <c r="H513" s="865" t="s">
        <v>2177</v>
      </c>
    </row>
    <row r="514" spans="1:8" x14ac:dyDescent="0.45">
      <c r="A514" s="861">
        <v>513</v>
      </c>
      <c r="B514" s="968"/>
      <c r="C514" s="869" t="s">
        <v>2175</v>
      </c>
      <c r="D514" s="862" t="s">
        <v>2187</v>
      </c>
      <c r="E514" s="865" t="s">
        <v>2634</v>
      </c>
      <c r="F514" s="866" t="s">
        <v>2591</v>
      </c>
      <c r="G514" s="865" t="s">
        <v>2582</v>
      </c>
      <c r="H514" s="865" t="s">
        <v>2177</v>
      </c>
    </row>
    <row r="515" spans="1:8" x14ac:dyDescent="0.45">
      <c r="A515" s="861">
        <v>514</v>
      </c>
      <c r="B515" s="968"/>
      <c r="C515" s="869" t="s">
        <v>2178</v>
      </c>
      <c r="D515" s="862" t="s">
        <v>2187</v>
      </c>
      <c r="E515" s="865" t="s">
        <v>2635</v>
      </c>
      <c r="F515" s="866"/>
      <c r="G515" s="865"/>
      <c r="H515" s="865" t="s">
        <v>2204</v>
      </c>
    </row>
    <row r="516" spans="1:8" x14ac:dyDescent="0.45">
      <c r="A516" s="861">
        <v>515</v>
      </c>
      <c r="B516" s="968"/>
      <c r="C516" s="869" t="s">
        <v>2175</v>
      </c>
      <c r="D516" s="862" t="s">
        <v>2189</v>
      </c>
      <c r="E516" s="865" t="s">
        <v>2636</v>
      </c>
      <c r="F516" s="866"/>
      <c r="G516" s="865"/>
      <c r="H516" s="865" t="s">
        <v>2204</v>
      </c>
    </row>
    <row r="517" spans="1:8" x14ac:dyDescent="0.45">
      <c r="A517" s="861">
        <v>516</v>
      </c>
      <c r="B517" s="968"/>
      <c r="C517" s="869" t="s">
        <v>2178</v>
      </c>
      <c r="D517" s="862" t="s">
        <v>2189</v>
      </c>
      <c r="E517" s="865" t="s">
        <v>2637</v>
      </c>
      <c r="F517" s="866"/>
      <c r="G517" s="865"/>
      <c r="H517" s="865" t="s">
        <v>2204</v>
      </c>
    </row>
    <row r="518" spans="1:8" x14ac:dyDescent="0.45">
      <c r="A518" s="861">
        <v>517</v>
      </c>
      <c r="B518" s="968"/>
      <c r="C518" s="869" t="s">
        <v>2175</v>
      </c>
      <c r="D518" s="862" t="s">
        <v>2191</v>
      </c>
      <c r="E518" s="865" t="s">
        <v>2638</v>
      </c>
      <c r="F518" s="866"/>
      <c r="G518" s="865"/>
      <c r="H518" s="865" t="s">
        <v>2204</v>
      </c>
    </row>
    <row r="519" spans="1:8" x14ac:dyDescent="0.45">
      <c r="A519" s="861">
        <v>518</v>
      </c>
      <c r="B519" s="968"/>
      <c r="C519" s="869" t="s">
        <v>2178</v>
      </c>
      <c r="D519" s="862" t="s">
        <v>2191</v>
      </c>
      <c r="E519" s="865" t="s">
        <v>2639</v>
      </c>
      <c r="F519" s="866"/>
      <c r="G519" s="865"/>
      <c r="H519" s="865" t="s">
        <v>2204</v>
      </c>
    </row>
    <row r="520" spans="1:8" x14ac:dyDescent="0.45">
      <c r="A520" s="861">
        <v>519</v>
      </c>
      <c r="B520" s="967" t="s">
        <v>2640</v>
      </c>
      <c r="C520" s="869" t="s">
        <v>2175</v>
      </c>
      <c r="D520" s="862" t="s">
        <v>2184</v>
      </c>
      <c r="E520" s="865" t="s">
        <v>2641</v>
      </c>
      <c r="F520" s="866" t="s">
        <v>2588</v>
      </c>
      <c r="G520" s="865" t="s">
        <v>2582</v>
      </c>
      <c r="H520" s="865" t="s">
        <v>2177</v>
      </c>
    </row>
    <row r="521" spans="1:8" x14ac:dyDescent="0.45">
      <c r="A521" s="861">
        <v>520</v>
      </c>
      <c r="B521" s="968"/>
      <c r="C521" s="869" t="s">
        <v>2558</v>
      </c>
      <c r="D521" s="862" t="s">
        <v>2184</v>
      </c>
      <c r="E521" s="865" t="s">
        <v>2607</v>
      </c>
      <c r="F521" s="866" t="s">
        <v>2588</v>
      </c>
      <c r="G521" s="865" t="s">
        <v>2582</v>
      </c>
      <c r="H521" s="865" t="s">
        <v>2177</v>
      </c>
    </row>
    <row r="522" spans="1:8" x14ac:dyDescent="0.45">
      <c r="A522" s="861">
        <v>521</v>
      </c>
      <c r="B522" s="968"/>
      <c r="C522" s="869" t="s">
        <v>2178</v>
      </c>
      <c r="D522" s="862" t="s">
        <v>2184</v>
      </c>
      <c r="E522" s="865" t="s">
        <v>2642</v>
      </c>
      <c r="F522" s="866" t="s">
        <v>2590</v>
      </c>
      <c r="G522" s="865" t="s">
        <v>2582</v>
      </c>
      <c r="H522" s="865" t="s">
        <v>2177</v>
      </c>
    </row>
    <row r="523" spans="1:8" x14ac:dyDescent="0.45">
      <c r="A523" s="861">
        <v>522</v>
      </c>
      <c r="B523" s="968"/>
      <c r="C523" s="869" t="s">
        <v>2175</v>
      </c>
      <c r="D523" s="862" t="s">
        <v>2187</v>
      </c>
      <c r="E523" s="865" t="s">
        <v>2643</v>
      </c>
      <c r="F523" s="866" t="s">
        <v>2583</v>
      </c>
      <c r="G523" s="865" t="s">
        <v>2582</v>
      </c>
      <c r="H523" s="865" t="s">
        <v>2177</v>
      </c>
    </row>
    <row r="524" spans="1:8" x14ac:dyDescent="0.45">
      <c r="A524" s="861">
        <v>523</v>
      </c>
      <c r="B524" s="968"/>
      <c r="C524" s="869" t="s">
        <v>2558</v>
      </c>
      <c r="D524" s="862" t="s">
        <v>2187</v>
      </c>
      <c r="E524" s="865" t="s">
        <v>2611</v>
      </c>
      <c r="F524" s="866" t="s">
        <v>2583</v>
      </c>
      <c r="G524" s="865" t="s">
        <v>2582</v>
      </c>
      <c r="H524" s="865" t="s">
        <v>2177</v>
      </c>
    </row>
    <row r="525" spans="1:8" x14ac:dyDescent="0.45">
      <c r="A525" s="861">
        <v>524</v>
      </c>
      <c r="B525" s="968"/>
      <c r="C525" s="869" t="s">
        <v>2178</v>
      </c>
      <c r="D525" s="862" t="s">
        <v>2187</v>
      </c>
      <c r="E525" s="865" t="s">
        <v>2613</v>
      </c>
      <c r="F525" s="866" t="s">
        <v>2593</v>
      </c>
      <c r="G525" s="865" t="s">
        <v>2582</v>
      </c>
      <c r="H525" s="865" t="s">
        <v>2177</v>
      </c>
    </row>
    <row r="526" spans="1:8" x14ac:dyDescent="0.45">
      <c r="A526" s="861">
        <v>525</v>
      </c>
      <c r="B526" s="968"/>
      <c r="C526" s="869" t="s">
        <v>2175</v>
      </c>
      <c r="D526" s="862" t="s">
        <v>2189</v>
      </c>
      <c r="E526" s="865" t="s">
        <v>2644</v>
      </c>
      <c r="F526" s="867"/>
      <c r="G526" s="865"/>
      <c r="H526" s="865" t="s">
        <v>2204</v>
      </c>
    </row>
    <row r="527" spans="1:8" x14ac:dyDescent="0.45">
      <c r="A527" s="861">
        <v>526</v>
      </c>
      <c r="B527" s="968"/>
      <c r="C527" s="869" t="s">
        <v>2558</v>
      </c>
      <c r="D527" s="862" t="s">
        <v>2189</v>
      </c>
      <c r="E527" s="865" t="s">
        <v>2614</v>
      </c>
      <c r="F527" s="867"/>
      <c r="G527" s="865"/>
      <c r="H527" s="865" t="s">
        <v>2204</v>
      </c>
    </row>
    <row r="528" spans="1:8" x14ac:dyDescent="0.45">
      <c r="A528" s="861">
        <v>527</v>
      </c>
      <c r="B528" s="968"/>
      <c r="C528" s="869" t="s">
        <v>2178</v>
      </c>
      <c r="D528" s="862" t="s">
        <v>2189</v>
      </c>
      <c r="E528" s="865" t="s">
        <v>2645</v>
      </c>
      <c r="F528" s="867"/>
      <c r="G528" s="865"/>
      <c r="H528" s="865" t="s">
        <v>2204</v>
      </c>
    </row>
    <row r="529" spans="1:8" x14ac:dyDescent="0.45">
      <c r="A529" s="861">
        <v>528</v>
      </c>
      <c r="B529" s="968"/>
      <c r="C529" s="869" t="s">
        <v>2175</v>
      </c>
      <c r="D529" s="862" t="s">
        <v>2191</v>
      </c>
      <c r="E529" s="865" t="s">
        <v>2646</v>
      </c>
      <c r="F529" s="867"/>
      <c r="G529" s="865"/>
      <c r="H529" s="865" t="s">
        <v>2204</v>
      </c>
    </row>
    <row r="530" spans="1:8" x14ac:dyDescent="0.45">
      <c r="A530" s="861">
        <v>529</v>
      </c>
      <c r="B530" s="968"/>
      <c r="C530" s="869" t="s">
        <v>2178</v>
      </c>
      <c r="D530" s="862" t="s">
        <v>2191</v>
      </c>
      <c r="E530" s="865" t="s">
        <v>2647</v>
      </c>
      <c r="F530" s="867"/>
      <c r="G530" s="865"/>
      <c r="H530" s="865" t="s">
        <v>2204</v>
      </c>
    </row>
    <row r="531" spans="1:8" x14ac:dyDescent="0.45">
      <c r="A531" s="861">
        <v>530</v>
      </c>
      <c r="B531" s="968"/>
      <c r="C531" s="869" t="s">
        <v>2175</v>
      </c>
      <c r="D531" s="862" t="s">
        <v>2193</v>
      </c>
      <c r="E531" s="865" t="s">
        <v>2648</v>
      </c>
      <c r="F531" s="867"/>
      <c r="G531" s="865"/>
      <c r="H531" s="865" t="s">
        <v>2204</v>
      </c>
    </row>
    <row r="532" spans="1:8" x14ac:dyDescent="0.45">
      <c r="A532" s="861">
        <v>531</v>
      </c>
      <c r="B532" s="968"/>
      <c r="C532" s="869" t="s">
        <v>2178</v>
      </c>
      <c r="D532" s="862" t="s">
        <v>2193</v>
      </c>
      <c r="E532" s="865" t="s">
        <v>2649</v>
      </c>
      <c r="F532" s="867"/>
      <c r="G532" s="865"/>
      <c r="H532" s="865" t="s">
        <v>2204</v>
      </c>
    </row>
    <row r="533" spans="1:8" x14ac:dyDescent="0.45">
      <c r="A533" s="861">
        <v>532</v>
      </c>
      <c r="B533" s="968"/>
      <c r="C533" s="869" t="s">
        <v>2175</v>
      </c>
      <c r="D533" s="862" t="s">
        <v>2195</v>
      </c>
      <c r="E533" s="865" t="s">
        <v>2650</v>
      </c>
      <c r="F533" s="867"/>
      <c r="G533" s="865"/>
      <c r="H533" s="865" t="s">
        <v>2204</v>
      </c>
    </row>
    <row r="534" spans="1:8" x14ac:dyDescent="0.45">
      <c r="A534" s="861">
        <v>533</v>
      </c>
      <c r="B534" s="967" t="s">
        <v>2651</v>
      </c>
      <c r="C534" s="869" t="s">
        <v>2363</v>
      </c>
      <c r="D534" s="862" t="s">
        <v>2363</v>
      </c>
      <c r="E534" s="865" t="s">
        <v>2652</v>
      </c>
      <c r="F534" s="866" t="s">
        <v>2589</v>
      </c>
      <c r="G534" s="865" t="s">
        <v>2582</v>
      </c>
      <c r="H534" s="865" t="s">
        <v>2177</v>
      </c>
    </row>
    <row r="535" spans="1:8" x14ac:dyDescent="0.45">
      <c r="A535" s="861">
        <v>534</v>
      </c>
      <c r="B535" s="968"/>
      <c r="C535" s="869" t="s">
        <v>2175</v>
      </c>
      <c r="D535" s="862" t="s">
        <v>2184</v>
      </c>
      <c r="E535" s="865" t="s">
        <v>2642</v>
      </c>
      <c r="F535" s="866" t="s">
        <v>2590</v>
      </c>
      <c r="G535" s="865" t="s">
        <v>2582</v>
      </c>
      <c r="H535" s="865" t="s">
        <v>2177</v>
      </c>
    </row>
    <row r="536" spans="1:8" x14ac:dyDescent="0.45">
      <c r="A536" s="861">
        <v>535</v>
      </c>
      <c r="B536" s="968"/>
      <c r="C536" s="869" t="s">
        <v>2175</v>
      </c>
      <c r="D536" s="862" t="s">
        <v>2187</v>
      </c>
      <c r="E536" s="865" t="s">
        <v>2613</v>
      </c>
      <c r="F536" s="866" t="s">
        <v>2593</v>
      </c>
      <c r="G536" s="865" t="s">
        <v>2582</v>
      </c>
      <c r="H536" s="865" t="s">
        <v>2177</v>
      </c>
    </row>
    <row r="537" spans="1:8" x14ac:dyDescent="0.45">
      <c r="A537" s="861">
        <v>536</v>
      </c>
      <c r="B537" s="968"/>
      <c r="C537" s="869" t="s">
        <v>2175</v>
      </c>
      <c r="D537" s="862" t="s">
        <v>2189</v>
      </c>
      <c r="E537" s="865" t="s">
        <v>2645</v>
      </c>
      <c r="F537" s="867"/>
      <c r="G537" s="865"/>
      <c r="H537" s="865" t="s">
        <v>2204</v>
      </c>
    </row>
    <row r="538" spans="1:8" x14ac:dyDescent="0.45">
      <c r="A538" s="861">
        <v>537</v>
      </c>
      <c r="B538" s="968"/>
      <c r="C538" s="869" t="s">
        <v>2175</v>
      </c>
      <c r="D538" s="862" t="s">
        <v>2191</v>
      </c>
      <c r="E538" s="865" t="s">
        <v>2647</v>
      </c>
      <c r="F538" s="867"/>
      <c r="G538" s="865"/>
      <c r="H538" s="865" t="s">
        <v>2204</v>
      </c>
    </row>
    <row r="539" spans="1:8" x14ac:dyDescent="0.45">
      <c r="A539" s="861">
        <v>538</v>
      </c>
      <c r="B539" s="968"/>
      <c r="C539" s="869" t="s">
        <v>2178</v>
      </c>
      <c r="D539" s="862" t="s">
        <v>2184</v>
      </c>
      <c r="E539" s="865" t="s">
        <v>2653</v>
      </c>
      <c r="F539" s="867"/>
      <c r="G539" s="865"/>
      <c r="H539" s="865" t="s">
        <v>2204</v>
      </c>
    </row>
    <row r="540" spans="1:8" x14ac:dyDescent="0.45">
      <c r="A540" s="861">
        <v>539</v>
      </c>
      <c r="B540" s="968"/>
      <c r="C540" s="869" t="s">
        <v>2178</v>
      </c>
      <c r="D540" s="862" t="s">
        <v>2187</v>
      </c>
      <c r="E540" s="865" t="s">
        <v>2654</v>
      </c>
      <c r="F540" s="867"/>
      <c r="G540" s="865"/>
      <c r="H540" s="865" t="s">
        <v>2204</v>
      </c>
    </row>
    <row r="541" spans="1:8" x14ac:dyDescent="0.45">
      <c r="A541" s="861">
        <v>540</v>
      </c>
      <c r="B541" s="968"/>
      <c r="C541" s="869" t="s">
        <v>2178</v>
      </c>
      <c r="D541" s="862" t="s">
        <v>2189</v>
      </c>
      <c r="E541" s="865" t="s">
        <v>2655</v>
      </c>
      <c r="F541" s="867"/>
      <c r="G541" s="865"/>
      <c r="H541" s="865" t="s">
        <v>2204</v>
      </c>
    </row>
    <row r="542" spans="1:8" x14ac:dyDescent="0.45">
      <c r="A542" s="861">
        <v>541</v>
      </c>
      <c r="B542" s="968"/>
      <c r="C542" s="869" t="s">
        <v>2178</v>
      </c>
      <c r="D542" s="862" t="s">
        <v>2191</v>
      </c>
      <c r="E542" s="865" t="s">
        <v>2656</v>
      </c>
      <c r="F542" s="867"/>
      <c r="G542" s="865"/>
      <c r="H542" s="865" t="s">
        <v>2204</v>
      </c>
    </row>
    <row r="543" spans="1:8" x14ac:dyDescent="0.45">
      <c r="A543" s="861">
        <v>542</v>
      </c>
      <c r="B543" s="967" t="s">
        <v>2657</v>
      </c>
      <c r="C543" s="869" t="s">
        <v>2363</v>
      </c>
      <c r="D543" s="862" t="s">
        <v>2363</v>
      </c>
      <c r="E543" s="865" t="s">
        <v>2609</v>
      </c>
      <c r="F543" s="866" t="s">
        <v>2610</v>
      </c>
      <c r="G543" s="865" t="s">
        <v>2582</v>
      </c>
      <c r="H543" s="865" t="s">
        <v>2177</v>
      </c>
    </row>
    <row r="544" spans="1:8" x14ac:dyDescent="0.45">
      <c r="A544" s="861">
        <v>543</v>
      </c>
      <c r="B544" s="968"/>
      <c r="C544" s="869" t="s">
        <v>2175</v>
      </c>
      <c r="D544" s="862" t="s">
        <v>2184</v>
      </c>
      <c r="E544" s="865" t="s">
        <v>2643</v>
      </c>
      <c r="F544" s="866" t="s">
        <v>2658</v>
      </c>
      <c r="G544" s="865" t="s">
        <v>2582</v>
      </c>
      <c r="H544" s="865" t="s">
        <v>2177</v>
      </c>
    </row>
    <row r="545" spans="1:8" x14ac:dyDescent="0.45">
      <c r="A545" s="861">
        <v>544</v>
      </c>
      <c r="B545" s="968"/>
      <c r="C545" s="869" t="s">
        <v>2175</v>
      </c>
      <c r="D545" s="862" t="s">
        <v>2187</v>
      </c>
      <c r="E545" s="865" t="s">
        <v>2659</v>
      </c>
      <c r="F545" s="866" t="s">
        <v>2660</v>
      </c>
      <c r="G545" s="865" t="s">
        <v>2582</v>
      </c>
      <c r="H545" s="865" t="s">
        <v>2177</v>
      </c>
    </row>
    <row r="546" spans="1:8" x14ac:dyDescent="0.45">
      <c r="A546" s="861">
        <v>545</v>
      </c>
      <c r="B546" s="968"/>
      <c r="C546" s="869" t="s">
        <v>2175</v>
      </c>
      <c r="D546" s="862" t="s">
        <v>2189</v>
      </c>
      <c r="E546" s="865" t="s">
        <v>2644</v>
      </c>
      <c r="F546" s="867"/>
      <c r="G546" s="865"/>
      <c r="H546" s="865" t="s">
        <v>2204</v>
      </c>
    </row>
    <row r="547" spans="1:8" x14ac:dyDescent="0.45">
      <c r="A547" s="861">
        <v>546</v>
      </c>
      <c r="B547" s="968"/>
      <c r="C547" s="869" t="s">
        <v>2175</v>
      </c>
      <c r="D547" s="862" t="s">
        <v>2191</v>
      </c>
      <c r="E547" s="865" t="s">
        <v>2645</v>
      </c>
      <c r="F547" s="867"/>
      <c r="G547" s="865"/>
      <c r="H547" s="865" t="s">
        <v>2204</v>
      </c>
    </row>
    <row r="548" spans="1:8" x14ac:dyDescent="0.45">
      <c r="A548" s="861">
        <v>547</v>
      </c>
      <c r="B548" s="968"/>
      <c r="C548" s="869" t="s">
        <v>2175</v>
      </c>
      <c r="D548" s="862" t="s">
        <v>2193</v>
      </c>
      <c r="E548" s="865" t="s">
        <v>2647</v>
      </c>
      <c r="F548" s="867"/>
      <c r="G548" s="865"/>
      <c r="H548" s="865" t="s">
        <v>2204</v>
      </c>
    </row>
    <row r="549" spans="1:8" x14ac:dyDescent="0.45">
      <c r="A549" s="861">
        <v>548</v>
      </c>
      <c r="B549" s="968"/>
      <c r="C549" s="869" t="s">
        <v>2175</v>
      </c>
      <c r="D549" s="862" t="s">
        <v>2195</v>
      </c>
      <c r="E549" s="865" t="s">
        <v>2649</v>
      </c>
      <c r="F549" s="867"/>
      <c r="G549" s="865"/>
      <c r="H549" s="865" t="s">
        <v>2204</v>
      </c>
    </row>
    <row r="550" spans="1:8" x14ac:dyDescent="0.45">
      <c r="A550" s="861">
        <v>549</v>
      </c>
      <c r="B550" s="968"/>
      <c r="C550" s="869" t="s">
        <v>2175</v>
      </c>
      <c r="D550" s="862" t="s">
        <v>2198</v>
      </c>
      <c r="E550" s="865" t="s">
        <v>2661</v>
      </c>
      <c r="F550" s="867"/>
      <c r="G550" s="865"/>
      <c r="H550" s="865" t="s">
        <v>2204</v>
      </c>
    </row>
    <row r="551" spans="1:8" x14ac:dyDescent="0.45">
      <c r="A551" s="861">
        <v>550</v>
      </c>
      <c r="B551" s="967" t="s">
        <v>2662</v>
      </c>
      <c r="C551" s="869" t="s">
        <v>2363</v>
      </c>
      <c r="D551" s="862" t="s">
        <v>2663</v>
      </c>
      <c r="E551" s="865" t="s">
        <v>2634</v>
      </c>
      <c r="F551" s="866" t="s">
        <v>2664</v>
      </c>
      <c r="G551" s="865" t="s">
        <v>2582</v>
      </c>
      <c r="H551" s="865" t="s">
        <v>2177</v>
      </c>
    </row>
    <row r="552" spans="1:8" x14ac:dyDescent="0.45">
      <c r="A552" s="861">
        <v>551</v>
      </c>
      <c r="B552" s="968"/>
      <c r="C552" s="869" t="s">
        <v>2175</v>
      </c>
      <c r="D552" s="862" t="s">
        <v>2665</v>
      </c>
      <c r="E552" s="865" t="s">
        <v>2614</v>
      </c>
      <c r="F552" s="867"/>
      <c r="G552" s="865"/>
      <c r="H552" s="865" t="s">
        <v>2204</v>
      </c>
    </row>
    <row r="553" spans="1:8" x14ac:dyDescent="0.45">
      <c r="A553" s="861">
        <v>552</v>
      </c>
      <c r="B553" s="968"/>
      <c r="C553" s="869" t="s">
        <v>2178</v>
      </c>
      <c r="D553" s="862" t="s">
        <v>2504</v>
      </c>
      <c r="E553" s="865" t="s">
        <v>2615</v>
      </c>
      <c r="F553" s="867"/>
      <c r="G553" s="865"/>
      <c r="H553" s="865" t="s">
        <v>2204</v>
      </c>
    </row>
    <row r="554" spans="1:8" x14ac:dyDescent="0.45">
      <c r="A554" s="861">
        <v>553</v>
      </c>
      <c r="B554" s="968"/>
      <c r="C554" s="869" t="s">
        <v>2666</v>
      </c>
      <c r="D554" s="862" t="s">
        <v>2184</v>
      </c>
      <c r="E554" s="865" t="s">
        <v>2616</v>
      </c>
      <c r="F554" s="867"/>
      <c r="G554" s="865"/>
      <c r="H554" s="865" t="s">
        <v>2204</v>
      </c>
    </row>
    <row r="555" spans="1:8" x14ac:dyDescent="0.45">
      <c r="A555" s="861">
        <v>554</v>
      </c>
      <c r="B555" s="968"/>
      <c r="C555" s="869" t="s">
        <v>2175</v>
      </c>
      <c r="D555" s="862" t="s">
        <v>2187</v>
      </c>
      <c r="E555" s="865" t="s">
        <v>2667</v>
      </c>
      <c r="F555" s="867"/>
      <c r="G555" s="865"/>
      <c r="H555" s="865" t="s">
        <v>2204</v>
      </c>
    </row>
    <row r="556" spans="1:8" x14ac:dyDescent="0.45">
      <c r="A556" s="861">
        <v>555</v>
      </c>
      <c r="B556" s="968"/>
      <c r="C556" s="869" t="s">
        <v>2178</v>
      </c>
      <c r="D556" s="862" t="s">
        <v>2506</v>
      </c>
      <c r="E556" s="865" t="s">
        <v>2668</v>
      </c>
      <c r="F556" s="867"/>
      <c r="G556" s="865"/>
      <c r="H556" s="865" t="s">
        <v>2204</v>
      </c>
    </row>
    <row r="557" spans="1:8" x14ac:dyDescent="0.45">
      <c r="A557" s="861">
        <v>556</v>
      </c>
      <c r="B557" s="968"/>
      <c r="C557" s="869" t="s">
        <v>2666</v>
      </c>
      <c r="D557" s="862" t="s">
        <v>2187</v>
      </c>
      <c r="E557" s="865" t="s">
        <v>2617</v>
      </c>
      <c r="F557" s="867"/>
      <c r="G557" s="865"/>
      <c r="H557" s="865" t="s">
        <v>2204</v>
      </c>
    </row>
    <row r="558" spans="1:8" x14ac:dyDescent="0.45">
      <c r="A558" s="861">
        <v>557</v>
      </c>
      <c r="B558" s="968"/>
      <c r="C558" s="869" t="s">
        <v>2175</v>
      </c>
      <c r="D558" s="862" t="s">
        <v>2189</v>
      </c>
      <c r="E558" s="865" t="s">
        <v>2669</v>
      </c>
      <c r="F558" s="867"/>
      <c r="G558" s="865"/>
      <c r="H558" s="865" t="s">
        <v>2204</v>
      </c>
    </row>
    <row r="559" spans="1:8" x14ac:dyDescent="0.45">
      <c r="A559" s="861">
        <v>558</v>
      </c>
      <c r="B559" s="968"/>
      <c r="C559" s="869" t="s">
        <v>2178</v>
      </c>
      <c r="D559" s="862" t="s">
        <v>2509</v>
      </c>
      <c r="E559" s="865" t="s">
        <v>2653</v>
      </c>
      <c r="F559" s="867"/>
      <c r="G559" s="865"/>
      <c r="H559" s="865" t="s">
        <v>2204</v>
      </c>
    </row>
    <row r="560" spans="1:8" x14ac:dyDescent="0.45">
      <c r="A560" s="861">
        <v>559</v>
      </c>
      <c r="B560" s="968"/>
      <c r="C560" s="869" t="s">
        <v>2666</v>
      </c>
      <c r="D560" s="862" t="s">
        <v>2189</v>
      </c>
      <c r="E560" s="865" t="s">
        <v>2619</v>
      </c>
      <c r="F560" s="867"/>
      <c r="G560" s="865"/>
      <c r="H560" s="865" t="s">
        <v>2204</v>
      </c>
    </row>
    <row r="561" spans="1:8" x14ac:dyDescent="0.45">
      <c r="A561" s="861">
        <v>560</v>
      </c>
      <c r="B561" s="968"/>
      <c r="C561" s="869" t="s">
        <v>2175</v>
      </c>
      <c r="D561" s="862" t="s">
        <v>2191</v>
      </c>
      <c r="E561" s="865" t="s">
        <v>2670</v>
      </c>
      <c r="F561" s="867"/>
      <c r="G561" s="865"/>
      <c r="H561" s="865" t="s">
        <v>2204</v>
      </c>
    </row>
    <row r="562" spans="1:8" x14ac:dyDescent="0.45">
      <c r="A562" s="861">
        <v>561</v>
      </c>
      <c r="B562" s="968"/>
      <c r="C562" s="869" t="s">
        <v>2178</v>
      </c>
      <c r="D562" s="862" t="s">
        <v>2512</v>
      </c>
      <c r="E562" s="865" t="s">
        <v>2654</v>
      </c>
      <c r="F562" s="867"/>
      <c r="G562" s="865"/>
      <c r="H562" s="865" t="s">
        <v>2204</v>
      </c>
    </row>
    <row r="563" spans="1:8" x14ac:dyDescent="0.45">
      <c r="A563" s="861">
        <v>562</v>
      </c>
      <c r="B563" s="968"/>
      <c r="C563" s="869" t="s">
        <v>2175</v>
      </c>
      <c r="D563" s="862" t="s">
        <v>2193</v>
      </c>
      <c r="E563" s="865" t="s">
        <v>2671</v>
      </c>
      <c r="F563" s="867"/>
      <c r="G563" s="865"/>
      <c r="H563" s="865" t="s">
        <v>2204</v>
      </c>
    </row>
    <row r="564" spans="1:8" x14ac:dyDescent="0.45">
      <c r="A564" s="861">
        <v>563</v>
      </c>
      <c r="B564" s="968"/>
      <c r="C564" s="869" t="s">
        <v>2175</v>
      </c>
      <c r="D564" s="865" t="s">
        <v>2195</v>
      </c>
      <c r="E564" s="865" t="s">
        <v>2672</v>
      </c>
      <c r="F564" s="867"/>
      <c r="G564" s="865"/>
      <c r="H564" s="865" t="s">
        <v>2204</v>
      </c>
    </row>
    <row r="565" spans="1:8" x14ac:dyDescent="0.45">
      <c r="A565" s="861">
        <v>564</v>
      </c>
      <c r="B565" s="968"/>
      <c r="C565" s="869" t="s">
        <v>2178</v>
      </c>
      <c r="D565" s="862" t="s">
        <v>2543</v>
      </c>
      <c r="E565" s="865" t="s">
        <v>2673</v>
      </c>
      <c r="F565" s="867"/>
      <c r="G565" s="865"/>
      <c r="H565" s="865" t="s">
        <v>2204</v>
      </c>
    </row>
    <row r="566" spans="1:8" x14ac:dyDescent="0.45">
      <c r="A566" s="861">
        <v>565</v>
      </c>
      <c r="B566" s="968"/>
      <c r="C566" s="869" t="s">
        <v>2666</v>
      </c>
      <c r="D566" s="862" t="s">
        <v>2191</v>
      </c>
      <c r="E566" s="865" t="s">
        <v>2674</v>
      </c>
      <c r="F566" s="867"/>
      <c r="G566" s="865"/>
      <c r="H566" s="865" t="s">
        <v>2204</v>
      </c>
    </row>
    <row r="567" spans="1:8" x14ac:dyDescent="0.45">
      <c r="A567" s="861">
        <v>566</v>
      </c>
      <c r="B567" s="967" t="s">
        <v>2675</v>
      </c>
      <c r="C567" s="869" t="s">
        <v>2175</v>
      </c>
      <c r="D567" s="862" t="s">
        <v>2184</v>
      </c>
      <c r="E567" s="865" t="s">
        <v>2667</v>
      </c>
      <c r="F567" s="867"/>
      <c r="G567" s="865"/>
      <c r="H567" s="865" t="s">
        <v>2204</v>
      </c>
    </row>
    <row r="568" spans="1:8" x14ac:dyDescent="0.45">
      <c r="A568" s="861">
        <v>567</v>
      </c>
      <c r="B568" s="968"/>
      <c r="C568" s="869" t="s">
        <v>2558</v>
      </c>
      <c r="D568" s="862" t="s">
        <v>2676</v>
      </c>
      <c r="E568" s="865" t="s">
        <v>2615</v>
      </c>
      <c r="F568" s="867"/>
      <c r="G568" s="865"/>
      <c r="H568" s="865" t="s">
        <v>2204</v>
      </c>
    </row>
    <row r="569" spans="1:8" x14ac:dyDescent="0.45">
      <c r="A569" s="861">
        <v>568</v>
      </c>
      <c r="B569" s="968"/>
      <c r="C569" s="869" t="s">
        <v>2558</v>
      </c>
      <c r="D569" s="862" t="s">
        <v>2677</v>
      </c>
      <c r="E569" s="865" t="s">
        <v>2636</v>
      </c>
      <c r="F569" s="867"/>
      <c r="G569" s="865"/>
      <c r="H569" s="865" t="s">
        <v>2204</v>
      </c>
    </row>
    <row r="570" spans="1:8" x14ac:dyDescent="0.45">
      <c r="A570" s="861">
        <v>569</v>
      </c>
      <c r="B570" s="968"/>
      <c r="C570" s="869" t="s">
        <v>2175</v>
      </c>
      <c r="D570" s="862" t="s">
        <v>2187</v>
      </c>
      <c r="E570" s="865" t="s">
        <v>2669</v>
      </c>
      <c r="F570" s="867"/>
      <c r="G570" s="865"/>
      <c r="H570" s="865" t="s">
        <v>2204</v>
      </c>
    </row>
    <row r="571" spans="1:8" x14ac:dyDescent="0.45">
      <c r="A571" s="861">
        <v>570</v>
      </c>
      <c r="B571" s="968"/>
      <c r="C571" s="869" t="s">
        <v>2558</v>
      </c>
      <c r="D571" s="862" t="s">
        <v>2678</v>
      </c>
      <c r="E571" s="865" t="s">
        <v>2668</v>
      </c>
      <c r="F571" s="867"/>
      <c r="G571" s="865"/>
      <c r="H571" s="865" t="s">
        <v>2204</v>
      </c>
    </row>
    <row r="572" spans="1:8" x14ac:dyDescent="0.45">
      <c r="A572" s="861">
        <v>571</v>
      </c>
      <c r="B572" s="968"/>
      <c r="C572" s="869" t="s">
        <v>2175</v>
      </c>
      <c r="D572" s="862" t="s">
        <v>2189</v>
      </c>
      <c r="E572" s="865" t="s">
        <v>2670</v>
      </c>
      <c r="F572" s="867"/>
      <c r="G572" s="865"/>
      <c r="H572" s="865" t="s">
        <v>2204</v>
      </c>
    </row>
    <row r="573" spans="1:8" x14ac:dyDescent="0.45">
      <c r="A573" s="861">
        <v>572</v>
      </c>
      <c r="B573" s="968"/>
      <c r="C573" s="869" t="s">
        <v>2175</v>
      </c>
      <c r="D573" s="862" t="s">
        <v>2191</v>
      </c>
      <c r="E573" s="865" t="s">
        <v>2619</v>
      </c>
      <c r="F573" s="867"/>
      <c r="G573" s="865"/>
      <c r="H573" s="865" t="s">
        <v>2204</v>
      </c>
    </row>
    <row r="574" spans="1:8" x14ac:dyDescent="0.45">
      <c r="A574" s="861">
        <v>573</v>
      </c>
      <c r="B574" s="968"/>
      <c r="C574" s="869" t="s">
        <v>2558</v>
      </c>
      <c r="D574" s="862" t="s">
        <v>2679</v>
      </c>
      <c r="E574" s="865" t="s">
        <v>2638</v>
      </c>
      <c r="F574" s="867"/>
      <c r="G574" s="865"/>
      <c r="H574" s="865" t="s">
        <v>2204</v>
      </c>
    </row>
    <row r="575" spans="1:8" x14ac:dyDescent="0.45">
      <c r="A575" s="861">
        <v>574</v>
      </c>
      <c r="B575" s="968"/>
      <c r="C575" s="869" t="s">
        <v>2175</v>
      </c>
      <c r="D575" s="862" t="s">
        <v>2193</v>
      </c>
      <c r="E575" s="865" t="s">
        <v>2671</v>
      </c>
      <c r="F575" s="867"/>
      <c r="G575" s="865"/>
      <c r="H575" s="865" t="s">
        <v>2204</v>
      </c>
    </row>
    <row r="576" spans="1:8" x14ac:dyDescent="0.45">
      <c r="A576" s="861">
        <v>575</v>
      </c>
      <c r="B576" s="968"/>
      <c r="C576" s="869" t="s">
        <v>2558</v>
      </c>
      <c r="D576" s="862" t="s">
        <v>2680</v>
      </c>
      <c r="E576" s="865" t="s">
        <v>2654</v>
      </c>
      <c r="F576" s="867"/>
      <c r="G576" s="865"/>
      <c r="H576" s="865" t="s">
        <v>2204</v>
      </c>
    </row>
    <row r="577" spans="1:8" x14ac:dyDescent="0.45">
      <c r="A577" s="861">
        <v>576</v>
      </c>
      <c r="B577" s="967" t="s">
        <v>2681</v>
      </c>
      <c r="C577" s="869" t="s">
        <v>2175</v>
      </c>
      <c r="D577" s="862" t="s">
        <v>2184</v>
      </c>
      <c r="E577" s="865" t="s">
        <v>2667</v>
      </c>
      <c r="F577" s="867"/>
      <c r="G577" s="865"/>
      <c r="H577" s="865" t="s">
        <v>2204</v>
      </c>
    </row>
    <row r="578" spans="1:8" x14ac:dyDescent="0.45">
      <c r="A578" s="861">
        <v>577</v>
      </c>
      <c r="B578" s="968"/>
      <c r="C578" s="869" t="s">
        <v>2175</v>
      </c>
      <c r="D578" s="862" t="s">
        <v>2187</v>
      </c>
      <c r="E578" s="865" t="s">
        <v>2646</v>
      </c>
      <c r="F578" s="867"/>
      <c r="G578" s="865"/>
      <c r="H578" s="865" t="s">
        <v>2204</v>
      </c>
    </row>
    <row r="579" spans="1:8" x14ac:dyDescent="0.45">
      <c r="A579" s="861">
        <v>578</v>
      </c>
      <c r="B579" s="968"/>
      <c r="C579" s="869" t="s">
        <v>2175</v>
      </c>
      <c r="D579" s="862" t="s">
        <v>2189</v>
      </c>
      <c r="E579" s="865" t="s">
        <v>2669</v>
      </c>
      <c r="F579" s="867"/>
      <c r="G579" s="865"/>
      <c r="H579" s="865" t="s">
        <v>2204</v>
      </c>
    </row>
    <row r="580" spans="1:8" x14ac:dyDescent="0.45">
      <c r="A580" s="861">
        <v>579</v>
      </c>
      <c r="B580" s="968"/>
      <c r="C580" s="869" t="s">
        <v>2175</v>
      </c>
      <c r="D580" s="862" t="s">
        <v>2191</v>
      </c>
      <c r="E580" s="865" t="s">
        <v>2648</v>
      </c>
      <c r="F580" s="867"/>
      <c r="G580" s="865"/>
      <c r="H580" s="865" t="s">
        <v>2204</v>
      </c>
    </row>
    <row r="581" spans="1:8" x14ac:dyDescent="0.45">
      <c r="A581" s="861">
        <v>580</v>
      </c>
      <c r="B581" s="968"/>
      <c r="C581" s="869" t="s">
        <v>2178</v>
      </c>
      <c r="D581" s="862" t="s">
        <v>2184</v>
      </c>
      <c r="E581" s="865" t="s">
        <v>2649</v>
      </c>
      <c r="F581" s="867"/>
      <c r="G581" s="865"/>
      <c r="H581" s="865" t="s">
        <v>2204</v>
      </c>
    </row>
    <row r="582" spans="1:8" x14ac:dyDescent="0.45">
      <c r="A582" s="861">
        <v>581</v>
      </c>
      <c r="B582" s="968"/>
      <c r="C582" s="869" t="s">
        <v>2178</v>
      </c>
      <c r="D582" s="862" t="s">
        <v>2187</v>
      </c>
      <c r="E582" s="865" t="s">
        <v>2650</v>
      </c>
      <c r="F582" s="867"/>
      <c r="G582" s="865"/>
      <c r="H582" s="865" t="s">
        <v>2204</v>
      </c>
    </row>
    <row r="583" spans="1:8" x14ac:dyDescent="0.45">
      <c r="A583" s="861">
        <v>582</v>
      </c>
      <c r="B583" s="968"/>
      <c r="C583" s="869" t="s">
        <v>2178</v>
      </c>
      <c r="D583" s="862" t="s">
        <v>2189</v>
      </c>
      <c r="E583" s="865" t="s">
        <v>2671</v>
      </c>
      <c r="F583" s="867"/>
      <c r="G583" s="865"/>
      <c r="H583" s="865" t="s">
        <v>2204</v>
      </c>
    </row>
    <row r="584" spans="1:8" x14ac:dyDescent="0.45">
      <c r="A584" s="861">
        <v>583</v>
      </c>
      <c r="B584" s="968"/>
      <c r="C584" s="869" t="s">
        <v>2178</v>
      </c>
      <c r="D584" s="862" t="s">
        <v>2191</v>
      </c>
      <c r="E584" s="865" t="s">
        <v>2654</v>
      </c>
      <c r="F584" s="867"/>
      <c r="G584" s="865"/>
      <c r="H584" s="865" t="s">
        <v>2204</v>
      </c>
    </row>
  </sheetData>
  <mergeCells count="69">
    <mergeCell ref="B95:B105"/>
    <mergeCell ref="B2:B9"/>
    <mergeCell ref="B10:B17"/>
    <mergeCell ref="B18:B25"/>
    <mergeCell ref="B26:B37"/>
    <mergeCell ref="B38:B44"/>
    <mergeCell ref="B45:B50"/>
    <mergeCell ref="B51:B56"/>
    <mergeCell ref="B57:B66"/>
    <mergeCell ref="B67:B77"/>
    <mergeCell ref="B78:B82"/>
    <mergeCell ref="B83:B94"/>
    <mergeCell ref="B197:B204"/>
    <mergeCell ref="B106:B109"/>
    <mergeCell ref="B110:B119"/>
    <mergeCell ref="B120:B129"/>
    <mergeCell ref="B130:B133"/>
    <mergeCell ref="B134:B147"/>
    <mergeCell ref="B148:B159"/>
    <mergeCell ref="B160:B164"/>
    <mergeCell ref="B165:B172"/>
    <mergeCell ref="B173:B182"/>
    <mergeCell ref="B183:B186"/>
    <mergeCell ref="B187:B196"/>
    <mergeCell ref="B298:B301"/>
    <mergeCell ref="B205:B216"/>
    <mergeCell ref="B217:B227"/>
    <mergeCell ref="B228:B232"/>
    <mergeCell ref="B233:B236"/>
    <mergeCell ref="B237:B243"/>
    <mergeCell ref="B244:B253"/>
    <mergeCell ref="B254:B261"/>
    <mergeCell ref="B262:B268"/>
    <mergeCell ref="B269:B272"/>
    <mergeCell ref="B273:B287"/>
    <mergeCell ref="B288:B297"/>
    <mergeCell ref="B388:B399"/>
    <mergeCell ref="B302:B306"/>
    <mergeCell ref="B307:B317"/>
    <mergeCell ref="B318:B322"/>
    <mergeCell ref="B323:B333"/>
    <mergeCell ref="B334:B337"/>
    <mergeCell ref="B338:B347"/>
    <mergeCell ref="B348:B359"/>
    <mergeCell ref="B360:B363"/>
    <mergeCell ref="B364:B371"/>
    <mergeCell ref="B372:B379"/>
    <mergeCell ref="B380:B387"/>
    <mergeCell ref="B480:B489"/>
    <mergeCell ref="B400:B405"/>
    <mergeCell ref="B406:B409"/>
    <mergeCell ref="B410:B414"/>
    <mergeCell ref="B416:B423"/>
    <mergeCell ref="B424:B436"/>
    <mergeCell ref="B437:B444"/>
    <mergeCell ref="B445:B454"/>
    <mergeCell ref="B455:B458"/>
    <mergeCell ref="B459:B462"/>
    <mergeCell ref="B463:B470"/>
    <mergeCell ref="B471:B479"/>
    <mergeCell ref="B551:B566"/>
    <mergeCell ref="B567:B576"/>
    <mergeCell ref="B577:B584"/>
    <mergeCell ref="B490:B494"/>
    <mergeCell ref="B495:B511"/>
    <mergeCell ref="B512:B519"/>
    <mergeCell ref="B520:B533"/>
    <mergeCell ref="B534:B542"/>
    <mergeCell ref="B543:B550"/>
  </mergeCells>
  <phoneticPr fontId="2" type="noConversion"/>
  <conditionalFormatting sqref="A1">
    <cfRule type="expression" dxfId="3" priority="2">
      <formula>AND(ISNUMBER(A1),TRUNC(A1)&lt;TODAY())</formula>
    </cfRule>
  </conditionalFormatting>
  <conditionalFormatting sqref="A1:H1">
    <cfRule type="notContainsBlanks" dxfId="2" priority="1">
      <formula>LEN(TRIM(A1))&gt;0</formula>
    </cfRule>
  </conditionalFormatting>
  <conditionalFormatting sqref="E1:F33 E38:F147 E156:F159 E161:F584">
    <cfRule type="expression" dxfId="1" priority="4">
      <formula>AND(ISNUMBER(E1),TRUNC(E1)&lt;TODAY())</formula>
    </cfRule>
  </conditionalFormatting>
  <conditionalFormatting sqref="E2:F33 E38:F147 E156:F159 E161:F584">
    <cfRule type="timePeriod" dxfId="0" priority="3" timePeriod="today">
      <formula>FLOOR(E2,1)=TODAY()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EFE48-7BB8-40F8-993A-EBB3C2D059B1}">
  <dimension ref="A1:AK131"/>
  <sheetViews>
    <sheetView zoomScale="70" zoomScaleNormal="70"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H4" sqref="H4"/>
    </sheetView>
  </sheetViews>
  <sheetFormatPr defaultRowHeight="17.600000000000001" x14ac:dyDescent="0.55000000000000004"/>
  <cols>
    <col min="5" max="5" width="37.140625" customWidth="1"/>
    <col min="7" max="7" width="39.7109375" customWidth="1"/>
    <col min="8" max="8" width="27.35546875" customWidth="1"/>
    <col min="9" max="9" width="27.35546875" style="30" hidden="1" customWidth="1"/>
    <col min="10" max="11" width="16.7109375" style="30" customWidth="1"/>
    <col min="12" max="12" width="9.140625" bestFit="1" customWidth="1"/>
    <col min="13" max="13" width="9.140625" customWidth="1"/>
    <col min="14" max="14" width="19.5" customWidth="1"/>
    <col min="15" max="15" width="11.5" bestFit="1" customWidth="1"/>
    <col min="16" max="16" width="11.5" customWidth="1"/>
    <col min="17" max="17" width="19.640625" customWidth="1"/>
    <col min="18" max="18" width="12.5" bestFit="1" customWidth="1"/>
    <col min="19" max="22" width="12.5" customWidth="1"/>
    <col min="23" max="23" width="10.140625" bestFit="1" customWidth="1"/>
    <col min="24" max="24" width="9.140625" bestFit="1" customWidth="1"/>
    <col min="25" max="25" width="12.5" bestFit="1" customWidth="1"/>
    <col min="26" max="26" width="10.140625" bestFit="1" customWidth="1"/>
    <col min="27" max="27" width="9.2109375" bestFit="1" customWidth="1"/>
    <col min="28" max="30" width="10.140625" bestFit="1" customWidth="1"/>
    <col min="31" max="31" width="11.5" bestFit="1" customWidth="1"/>
    <col min="32" max="33" width="9.140625" bestFit="1" customWidth="1"/>
    <col min="34" max="35" width="9.2109375" bestFit="1" customWidth="1"/>
    <col min="36" max="37" width="11.5" bestFit="1" customWidth="1"/>
  </cols>
  <sheetData>
    <row r="1" spans="1:37" x14ac:dyDescent="0.55000000000000004">
      <c r="L1" s="361">
        <f>L2/J2</f>
        <v>5.2224474336138242E-2</v>
      </c>
      <c r="O1" s="404">
        <f>O2/N2</f>
        <v>4.2430037767416738E-2</v>
      </c>
      <c r="R1" s="404">
        <f>R2/N2</f>
        <v>0.53716390116288215</v>
      </c>
      <c r="S1" s="404">
        <f>R2/Q2</f>
        <v>0.56866143852827467</v>
      </c>
      <c r="T1" s="404">
        <f>T2/Q2</f>
        <v>0.38023776254342306</v>
      </c>
      <c r="U1" s="404"/>
      <c r="V1" s="404"/>
    </row>
    <row r="2" spans="1:37" x14ac:dyDescent="0.55000000000000004">
      <c r="B2" s="27"/>
      <c r="C2" s="27"/>
      <c r="D2" s="10"/>
      <c r="E2" s="10"/>
      <c r="F2" s="10"/>
      <c r="G2" s="10"/>
      <c r="H2" s="10"/>
      <c r="I2" s="28"/>
      <c r="J2" s="28">
        <f>SUBTOTAL(9,J4:J179)</f>
        <v>244215</v>
      </c>
      <c r="K2" s="28">
        <f>SUBTOTAL(9,K4:K179)</f>
        <v>78078</v>
      </c>
      <c r="L2" s="28">
        <f t="shared" ref="L2:AK2" si="0">SUBTOTAL(9,L4:L179)</f>
        <v>12754</v>
      </c>
      <c r="M2" s="28">
        <f t="shared" si="0"/>
        <v>6.0277486149434338</v>
      </c>
      <c r="N2" s="28">
        <f t="shared" si="0"/>
        <v>31963489013</v>
      </c>
      <c r="O2" s="28">
        <f t="shared" si="0"/>
        <v>1356212046</v>
      </c>
      <c r="P2" s="28"/>
      <c r="Q2" s="28">
        <f t="shared" si="0"/>
        <v>30193066189.675003</v>
      </c>
      <c r="R2" s="28">
        <f t="shared" si="0"/>
        <v>17169632453</v>
      </c>
      <c r="S2" s="28"/>
      <c r="T2" s="28">
        <f t="shared" si="0"/>
        <v>11480543932.287498</v>
      </c>
      <c r="U2" s="28"/>
      <c r="V2" s="28"/>
      <c r="W2" s="28">
        <f t="shared" si="0"/>
        <v>327272170</v>
      </c>
      <c r="X2" s="28">
        <f t="shared" si="0"/>
        <v>5503750</v>
      </c>
      <c r="Y2" s="28">
        <f t="shared" si="0"/>
        <v>13036211182</v>
      </c>
      <c r="Z2" s="28">
        <f t="shared" si="0"/>
        <v>1019381734</v>
      </c>
      <c r="AA2" s="28">
        <f t="shared" si="0"/>
        <v>101938178</v>
      </c>
      <c r="AB2" s="28">
        <f t="shared" si="0"/>
        <v>1233735097</v>
      </c>
      <c r="AC2" s="28">
        <f t="shared" si="0"/>
        <v>162331633</v>
      </c>
      <c r="AD2" s="28">
        <f t="shared" si="0"/>
        <v>237571383</v>
      </c>
      <c r="AE2" s="28">
        <f t="shared" si="0"/>
        <v>2826517666</v>
      </c>
      <c r="AF2" s="28">
        <f t="shared" si="0"/>
        <v>9755500</v>
      </c>
      <c r="AG2" s="28">
        <f t="shared" si="0"/>
        <v>1000000</v>
      </c>
      <c r="AH2" s="28">
        <f t="shared" si="0"/>
        <v>14009375</v>
      </c>
      <c r="AI2" s="28">
        <f t="shared" si="0"/>
        <v>13369883</v>
      </c>
      <c r="AJ2" s="28">
        <f t="shared" si="0"/>
        <v>2864652424</v>
      </c>
      <c r="AK2" s="28">
        <f t="shared" si="0"/>
        <v>10427421808</v>
      </c>
    </row>
    <row r="3" spans="1:37" x14ac:dyDescent="0.55000000000000004">
      <c r="A3" s="27">
        <v>2025</v>
      </c>
      <c r="B3" s="27" t="s">
        <v>616</v>
      </c>
      <c r="C3" s="27" t="s">
        <v>617</v>
      </c>
      <c r="D3" s="10" t="s">
        <v>618</v>
      </c>
      <c r="E3" s="10" t="s">
        <v>619</v>
      </c>
      <c r="F3" s="10" t="s">
        <v>620</v>
      </c>
      <c r="G3" s="10" t="s">
        <v>621</v>
      </c>
      <c r="H3" s="10"/>
      <c r="I3" s="28" t="s">
        <v>1339</v>
      </c>
      <c r="J3" s="10" t="s">
        <v>1333</v>
      </c>
      <c r="K3" s="10" t="s">
        <v>1334</v>
      </c>
      <c r="L3" s="10" t="s">
        <v>622</v>
      </c>
      <c r="M3" s="10"/>
      <c r="N3" s="10" t="s">
        <v>623</v>
      </c>
      <c r="O3" s="10" t="s">
        <v>624</v>
      </c>
      <c r="P3" s="296" t="s">
        <v>2143</v>
      </c>
      <c r="Q3" s="10" t="s">
        <v>625</v>
      </c>
      <c r="R3" s="296" t="s">
        <v>626</v>
      </c>
      <c r="S3" s="296" t="s">
        <v>2036</v>
      </c>
      <c r="T3" s="881" t="s">
        <v>2683</v>
      </c>
      <c r="U3" s="881" t="s">
        <v>2682</v>
      </c>
      <c r="V3" s="881" t="s">
        <v>2684</v>
      </c>
      <c r="W3" s="10" t="s">
        <v>627</v>
      </c>
      <c r="X3" s="10" t="s">
        <v>628</v>
      </c>
      <c r="Y3" s="10" t="s">
        <v>629</v>
      </c>
      <c r="Z3" s="10" t="s">
        <v>630</v>
      </c>
      <c r="AA3" s="10" t="s">
        <v>631</v>
      </c>
      <c r="AB3" s="10" t="s">
        <v>632</v>
      </c>
      <c r="AC3" s="10" t="s">
        <v>633</v>
      </c>
      <c r="AD3" s="10" t="s">
        <v>634</v>
      </c>
      <c r="AE3" s="10" t="s">
        <v>635</v>
      </c>
      <c r="AF3" s="10" t="s">
        <v>636</v>
      </c>
      <c r="AG3" s="10" t="s">
        <v>637</v>
      </c>
      <c r="AH3" s="10" t="s">
        <v>638</v>
      </c>
      <c r="AI3" s="10" t="s">
        <v>639</v>
      </c>
      <c r="AJ3" s="10" t="s">
        <v>640</v>
      </c>
      <c r="AK3" s="10" t="s">
        <v>641</v>
      </c>
    </row>
    <row r="4" spans="1:37" x14ac:dyDescent="0.55000000000000004">
      <c r="B4" s="27" t="s">
        <v>2</v>
      </c>
      <c r="C4" s="27" t="s">
        <v>65</v>
      </c>
      <c r="D4" s="10" t="s">
        <v>642</v>
      </c>
      <c r="E4" s="10" t="s">
        <v>643</v>
      </c>
      <c r="F4" s="10" t="s">
        <v>644</v>
      </c>
      <c r="G4" s="10" t="s">
        <v>645</v>
      </c>
      <c r="L4" s="24">
        <v>17</v>
      </c>
      <c r="M4" s="31">
        <f t="shared" ref="M4:M67" si="1">IF(J4=0,0,L4/J4)</f>
        <v>0</v>
      </c>
      <c r="N4" s="24">
        <v>22950000</v>
      </c>
      <c r="O4" s="24">
        <v>918000</v>
      </c>
      <c r="P4" s="24"/>
      <c r="Q4" s="24">
        <v>22032000</v>
      </c>
      <c r="R4" s="24">
        <v>13770000</v>
      </c>
      <c r="S4" s="412">
        <f>R4/N4</f>
        <v>0.6</v>
      </c>
      <c r="T4" s="412"/>
      <c r="U4" s="412"/>
      <c r="V4" s="412"/>
      <c r="W4" s="24"/>
      <c r="X4" s="24"/>
      <c r="Y4" s="24">
        <v>8262000</v>
      </c>
      <c r="Z4" s="24">
        <v>0</v>
      </c>
      <c r="AA4" s="24"/>
      <c r="AB4" s="24">
        <v>6445322</v>
      </c>
      <c r="AC4" s="24">
        <v>1063478</v>
      </c>
      <c r="AD4" s="24">
        <v>308632</v>
      </c>
      <c r="AE4" s="24">
        <v>7817432</v>
      </c>
      <c r="AF4" s="24"/>
      <c r="AG4" s="24"/>
      <c r="AH4" s="24">
        <v>0</v>
      </c>
      <c r="AI4" s="24">
        <v>0</v>
      </c>
      <c r="AJ4" s="24">
        <v>7817432</v>
      </c>
      <c r="AK4" s="24">
        <v>444568</v>
      </c>
    </row>
    <row r="5" spans="1:37" x14ac:dyDescent="0.55000000000000004">
      <c r="B5" s="27" t="s">
        <v>646</v>
      </c>
      <c r="C5" s="27" t="s">
        <v>65</v>
      </c>
      <c r="D5" s="10" t="s">
        <v>647</v>
      </c>
      <c r="E5" s="10" t="s">
        <v>570</v>
      </c>
      <c r="F5" s="10" t="s">
        <v>644</v>
      </c>
      <c r="G5" s="10" t="s">
        <v>648</v>
      </c>
      <c r="L5" s="24">
        <v>24</v>
      </c>
      <c r="M5" s="31">
        <f t="shared" si="1"/>
        <v>0</v>
      </c>
      <c r="N5" s="24">
        <v>52060000</v>
      </c>
      <c r="O5" s="24">
        <v>1911400</v>
      </c>
      <c r="P5" s="24"/>
      <c r="Q5" s="24">
        <v>50148600</v>
      </c>
      <c r="R5" s="24">
        <v>28830000</v>
      </c>
      <c r="S5" s="412">
        <f t="shared" ref="S5:S62" si="2">R5/N5</f>
        <v>0.55378409527468309</v>
      </c>
      <c r="T5" s="412"/>
      <c r="U5" s="412"/>
      <c r="V5" s="412"/>
      <c r="W5" s="24"/>
      <c r="X5" s="24"/>
      <c r="Y5" s="24">
        <v>26030000</v>
      </c>
      <c r="Z5" s="24">
        <v>0</v>
      </c>
      <c r="AA5" s="24"/>
      <c r="AB5" s="24">
        <v>0</v>
      </c>
      <c r="AC5" s="24">
        <v>0</v>
      </c>
      <c r="AD5" s="24">
        <v>154291</v>
      </c>
      <c r="AE5" s="24">
        <v>154291</v>
      </c>
      <c r="AF5" s="24"/>
      <c r="AG5" s="24"/>
      <c r="AH5" s="24">
        <v>0</v>
      </c>
      <c r="AI5" s="24">
        <v>0</v>
      </c>
      <c r="AJ5" s="24">
        <v>154291</v>
      </c>
      <c r="AK5" s="24">
        <v>25875709</v>
      </c>
    </row>
    <row r="6" spans="1:37" x14ac:dyDescent="0.55000000000000004">
      <c r="B6" s="27" t="s">
        <v>646</v>
      </c>
      <c r="C6" s="27" t="s">
        <v>65</v>
      </c>
      <c r="D6" s="10" t="s">
        <v>649</v>
      </c>
      <c r="E6" s="10" t="s">
        <v>650</v>
      </c>
      <c r="F6" s="10" t="s">
        <v>644</v>
      </c>
      <c r="G6" s="10" t="s">
        <v>651</v>
      </c>
      <c r="L6" s="24">
        <v>69</v>
      </c>
      <c r="M6" s="31">
        <f t="shared" si="1"/>
        <v>0</v>
      </c>
      <c r="N6" s="24">
        <v>122100000</v>
      </c>
      <c r="O6" s="24">
        <v>4877535</v>
      </c>
      <c r="P6" s="24"/>
      <c r="Q6" s="24">
        <v>117222465</v>
      </c>
      <c r="R6" s="24">
        <v>73260000</v>
      </c>
      <c r="S6" s="412">
        <f t="shared" si="2"/>
        <v>0.6</v>
      </c>
      <c r="T6" s="412"/>
      <c r="U6" s="412"/>
      <c r="V6" s="412"/>
      <c r="W6" s="24"/>
      <c r="X6" s="24"/>
      <c r="Y6" s="24">
        <v>43962465</v>
      </c>
      <c r="Z6" s="24">
        <v>727297</v>
      </c>
      <c r="AA6" s="24">
        <v>72730</v>
      </c>
      <c r="AB6" s="24">
        <v>6977955</v>
      </c>
      <c r="AC6" s="24">
        <v>1151363</v>
      </c>
      <c r="AD6" s="24">
        <v>640000</v>
      </c>
      <c r="AE6" s="24">
        <v>9569344</v>
      </c>
      <c r="AF6" s="24"/>
      <c r="AG6" s="24"/>
      <c r="AH6" s="24">
        <v>0</v>
      </c>
      <c r="AI6" s="24">
        <v>0</v>
      </c>
      <c r="AJ6" s="24">
        <v>9569344</v>
      </c>
      <c r="AK6" s="24">
        <v>34393121</v>
      </c>
    </row>
    <row r="7" spans="1:37" x14ac:dyDescent="0.55000000000000004">
      <c r="B7" s="27" t="s">
        <v>646</v>
      </c>
      <c r="C7" s="27" t="s">
        <v>65</v>
      </c>
      <c r="D7" s="10" t="s">
        <v>652</v>
      </c>
      <c r="E7" s="10" t="s">
        <v>653</v>
      </c>
      <c r="F7" s="10" t="s">
        <v>644</v>
      </c>
      <c r="G7" s="10" t="s">
        <v>654</v>
      </c>
      <c r="L7" s="24">
        <v>25</v>
      </c>
      <c r="M7" s="31">
        <f t="shared" si="1"/>
        <v>0</v>
      </c>
      <c r="N7" s="24">
        <v>47500000</v>
      </c>
      <c r="O7" s="24">
        <v>1592171</v>
      </c>
      <c r="P7" s="24"/>
      <c r="Q7" s="24">
        <v>45907829</v>
      </c>
      <c r="R7" s="24">
        <v>23750000</v>
      </c>
      <c r="S7" s="412">
        <f t="shared" si="2"/>
        <v>0.5</v>
      </c>
      <c r="T7" s="412"/>
      <c r="U7" s="412"/>
      <c r="V7" s="412"/>
      <c r="W7" s="24"/>
      <c r="X7" s="24"/>
      <c r="Y7" s="24">
        <v>22157829</v>
      </c>
      <c r="Z7" s="24">
        <v>681620</v>
      </c>
      <c r="AA7" s="24">
        <v>68162</v>
      </c>
      <c r="AB7" s="24">
        <v>6518568</v>
      </c>
      <c r="AC7" s="24">
        <v>1075564</v>
      </c>
      <c r="AD7" s="24">
        <v>494323</v>
      </c>
      <c r="AE7" s="24">
        <v>8838237</v>
      </c>
      <c r="AF7" s="24"/>
      <c r="AG7" s="24"/>
      <c r="AH7" s="24">
        <v>0</v>
      </c>
      <c r="AI7" s="24">
        <v>0</v>
      </c>
      <c r="AJ7" s="24">
        <v>8838237</v>
      </c>
      <c r="AK7" s="24">
        <v>13319592</v>
      </c>
    </row>
    <row r="8" spans="1:37" x14ac:dyDescent="0.55000000000000004">
      <c r="B8" s="27" t="s">
        <v>646</v>
      </c>
      <c r="C8" s="27" t="s">
        <v>65</v>
      </c>
      <c r="D8" s="10" t="s">
        <v>655</v>
      </c>
      <c r="E8" s="10" t="s">
        <v>656</v>
      </c>
      <c r="F8" s="10" t="s">
        <v>644</v>
      </c>
      <c r="G8" s="10" t="s">
        <v>657</v>
      </c>
      <c r="L8" s="24">
        <v>46</v>
      </c>
      <c r="M8" s="31">
        <f t="shared" si="1"/>
        <v>0</v>
      </c>
      <c r="N8" s="24">
        <v>98070000</v>
      </c>
      <c r="O8" s="24">
        <v>3922800</v>
      </c>
      <c r="P8" s="24"/>
      <c r="Q8" s="24">
        <v>94147200</v>
      </c>
      <c r="R8" s="24">
        <v>56488320</v>
      </c>
      <c r="S8" s="412">
        <f t="shared" si="2"/>
        <v>0.57599999999999996</v>
      </c>
      <c r="T8" s="412"/>
      <c r="U8" s="412"/>
      <c r="V8" s="412"/>
      <c r="W8" s="24"/>
      <c r="X8" s="24"/>
      <c r="Y8" s="24">
        <v>37658880</v>
      </c>
      <c r="Z8" s="24"/>
      <c r="AA8" s="24">
        <v>0</v>
      </c>
      <c r="AB8" s="24">
        <v>9771691</v>
      </c>
      <c r="AC8" s="24">
        <v>1612329</v>
      </c>
      <c r="AD8" s="24">
        <v>678958</v>
      </c>
      <c r="AE8" s="24">
        <v>12062978</v>
      </c>
      <c r="AF8" s="24"/>
      <c r="AG8" s="24"/>
      <c r="AH8" s="24">
        <v>0</v>
      </c>
      <c r="AI8" s="24">
        <v>100000</v>
      </c>
      <c r="AJ8" s="24">
        <v>12162978</v>
      </c>
      <c r="AK8" s="24">
        <v>25495902</v>
      </c>
    </row>
    <row r="9" spans="1:37" x14ac:dyDescent="0.55000000000000004">
      <c r="B9" s="27" t="s">
        <v>646</v>
      </c>
      <c r="C9" s="27" t="s">
        <v>65</v>
      </c>
      <c r="D9" s="10" t="s">
        <v>658</v>
      </c>
      <c r="E9" s="10" t="s">
        <v>659</v>
      </c>
      <c r="F9" s="10" t="s">
        <v>644</v>
      </c>
      <c r="G9" s="10" t="s">
        <v>660</v>
      </c>
      <c r="H9" s="10" t="s">
        <v>660</v>
      </c>
      <c r="I9" s="28">
        <v>42435</v>
      </c>
      <c r="J9" s="28">
        <v>500</v>
      </c>
      <c r="K9" s="28"/>
      <c r="L9" s="24">
        <v>35</v>
      </c>
      <c r="M9" s="31">
        <f t="shared" si="1"/>
        <v>7.0000000000000007E-2</v>
      </c>
      <c r="N9" s="24">
        <v>110510000</v>
      </c>
      <c r="O9" s="24">
        <v>4420400</v>
      </c>
      <c r="P9" s="24"/>
      <c r="Q9" s="24">
        <v>106089600</v>
      </c>
      <c r="R9" s="24">
        <v>53044800</v>
      </c>
      <c r="S9" s="412">
        <f t="shared" si="2"/>
        <v>0.48</v>
      </c>
      <c r="T9" s="412"/>
      <c r="U9" s="412"/>
      <c r="V9" s="412"/>
      <c r="W9" s="24"/>
      <c r="X9" s="24"/>
      <c r="Y9" s="24">
        <v>53044800</v>
      </c>
      <c r="Z9" s="24">
        <v>1033745</v>
      </c>
      <c r="AA9" s="24">
        <v>103375</v>
      </c>
      <c r="AB9" s="24">
        <v>8438305</v>
      </c>
      <c r="AC9" s="24">
        <v>1392320</v>
      </c>
      <c r="AD9" s="24">
        <v>539186</v>
      </c>
      <c r="AE9" s="24">
        <v>11506931</v>
      </c>
      <c r="AF9" s="24"/>
      <c r="AG9" s="24"/>
      <c r="AH9" s="24">
        <v>0</v>
      </c>
      <c r="AI9" s="24">
        <v>0</v>
      </c>
      <c r="AJ9" s="24">
        <v>11506931</v>
      </c>
      <c r="AK9" s="24">
        <v>41537869</v>
      </c>
    </row>
    <row r="10" spans="1:37" x14ac:dyDescent="0.55000000000000004">
      <c r="B10" s="27" t="s">
        <v>646</v>
      </c>
      <c r="C10" s="27" t="s">
        <v>65</v>
      </c>
      <c r="D10" s="10" t="s">
        <v>661</v>
      </c>
      <c r="E10" s="10" t="s">
        <v>570</v>
      </c>
      <c r="F10" s="10" t="s">
        <v>662</v>
      </c>
      <c r="G10" s="10" t="s">
        <v>648</v>
      </c>
      <c r="H10" s="10" t="s">
        <v>648</v>
      </c>
      <c r="I10" s="28">
        <v>39696</v>
      </c>
      <c r="J10" s="28">
        <v>433</v>
      </c>
      <c r="K10" s="28"/>
      <c r="L10" s="24">
        <v>20</v>
      </c>
      <c r="M10" s="31">
        <f t="shared" si="1"/>
        <v>4.6189376443418015E-2</v>
      </c>
      <c r="N10" s="24">
        <v>54696000</v>
      </c>
      <c r="O10" s="24">
        <v>2187840</v>
      </c>
      <c r="P10" s="24"/>
      <c r="Q10" s="24">
        <v>52508160</v>
      </c>
      <c r="R10" s="24">
        <v>26348000</v>
      </c>
      <c r="S10" s="412">
        <f t="shared" si="2"/>
        <v>0.48171712739505629</v>
      </c>
      <c r="T10" s="412"/>
      <c r="U10" s="412"/>
      <c r="V10" s="412"/>
      <c r="W10" s="24"/>
      <c r="X10" s="24"/>
      <c r="Y10" s="24">
        <v>26160160</v>
      </c>
      <c r="Z10" s="24">
        <v>0</v>
      </c>
      <c r="AA10" s="24">
        <v>0</v>
      </c>
      <c r="AB10" s="24">
        <v>9669127</v>
      </c>
      <c r="AC10" s="24">
        <v>1595406</v>
      </c>
      <c r="AD10" s="24">
        <v>565026</v>
      </c>
      <c r="AE10" s="24">
        <v>11829559</v>
      </c>
      <c r="AF10" s="24"/>
      <c r="AG10" s="24"/>
      <c r="AH10" s="24">
        <v>0</v>
      </c>
      <c r="AI10" s="24">
        <v>0</v>
      </c>
      <c r="AJ10" s="24">
        <v>11829559</v>
      </c>
      <c r="AK10" s="24">
        <v>14330601</v>
      </c>
    </row>
    <row r="11" spans="1:37" x14ac:dyDescent="0.55000000000000004">
      <c r="B11" s="27" t="s">
        <v>646</v>
      </c>
      <c r="C11" s="27" t="s">
        <v>65</v>
      </c>
      <c r="D11" s="10" t="s">
        <v>663</v>
      </c>
      <c r="E11" s="10" t="s">
        <v>650</v>
      </c>
      <c r="F11" s="10" t="s">
        <v>662</v>
      </c>
      <c r="G11" s="10" t="s">
        <v>651</v>
      </c>
      <c r="H11" s="10" t="s">
        <v>651</v>
      </c>
      <c r="I11" s="28">
        <v>87015</v>
      </c>
      <c r="J11" s="28">
        <v>765</v>
      </c>
      <c r="K11" s="28"/>
      <c r="L11" s="24">
        <v>167</v>
      </c>
      <c r="M11" s="31">
        <f t="shared" si="1"/>
        <v>0.21830065359477124</v>
      </c>
      <c r="N11" s="24">
        <v>266593333</v>
      </c>
      <c r="O11" s="24">
        <v>4882133</v>
      </c>
      <c r="P11" s="24"/>
      <c r="Q11" s="24">
        <v>261711200</v>
      </c>
      <c r="R11" s="24">
        <v>167084000</v>
      </c>
      <c r="S11" s="412">
        <f t="shared" si="2"/>
        <v>0.62673735355564952</v>
      </c>
      <c r="T11" s="412"/>
      <c r="U11" s="412"/>
      <c r="V11" s="412"/>
      <c r="W11" s="24"/>
      <c r="X11" s="24"/>
      <c r="Y11" s="24">
        <v>94627200</v>
      </c>
      <c r="Z11" s="24">
        <v>1919373</v>
      </c>
      <c r="AA11" s="24">
        <v>191937</v>
      </c>
      <c r="AB11" s="24">
        <v>6735559</v>
      </c>
      <c r="AC11" s="24">
        <v>1111367</v>
      </c>
      <c r="AD11" s="24">
        <v>595600</v>
      </c>
      <c r="AE11" s="24">
        <v>10553837</v>
      </c>
      <c r="AF11" s="24"/>
      <c r="AG11" s="24"/>
      <c r="AH11" s="24">
        <v>0</v>
      </c>
      <c r="AI11" s="24">
        <v>0</v>
      </c>
      <c r="AJ11" s="24">
        <v>10553837</v>
      </c>
      <c r="AK11" s="24">
        <v>84073363</v>
      </c>
    </row>
    <row r="12" spans="1:37" x14ac:dyDescent="0.55000000000000004">
      <c r="B12" s="27" t="s">
        <v>646</v>
      </c>
      <c r="C12" s="27" t="s">
        <v>65</v>
      </c>
      <c r="D12" s="10" t="s">
        <v>664</v>
      </c>
      <c r="E12" s="10" t="s">
        <v>665</v>
      </c>
      <c r="F12" s="10" t="s">
        <v>644</v>
      </c>
      <c r="G12" s="10" t="s">
        <v>666</v>
      </c>
      <c r="H12" s="10" t="s">
        <v>666</v>
      </c>
      <c r="I12" s="28">
        <v>81692</v>
      </c>
      <c r="J12" s="28">
        <v>1009</v>
      </c>
      <c r="K12" s="28"/>
      <c r="L12" s="24">
        <v>43</v>
      </c>
      <c r="M12" s="31">
        <f t="shared" si="1"/>
        <v>4.261645193260654E-2</v>
      </c>
      <c r="N12" s="24">
        <v>113770000</v>
      </c>
      <c r="O12" s="24">
        <v>4550800</v>
      </c>
      <c r="P12" s="24"/>
      <c r="Q12" s="24">
        <v>109219200</v>
      </c>
      <c r="R12" s="24">
        <v>68262000</v>
      </c>
      <c r="S12" s="412">
        <f t="shared" si="2"/>
        <v>0.6</v>
      </c>
      <c r="T12" s="412"/>
      <c r="U12" s="412"/>
      <c r="V12" s="412"/>
      <c r="W12" s="24"/>
      <c r="X12" s="24"/>
      <c r="Y12" s="24">
        <v>40957200</v>
      </c>
      <c r="Z12" s="24">
        <v>1847957</v>
      </c>
      <c r="AA12" s="24">
        <v>184796</v>
      </c>
      <c r="AB12" s="24">
        <v>5985432</v>
      </c>
      <c r="AC12" s="24">
        <v>987596</v>
      </c>
      <c r="AD12" s="24">
        <v>826946</v>
      </c>
      <c r="AE12" s="24">
        <v>9832727</v>
      </c>
      <c r="AF12" s="24"/>
      <c r="AG12" s="24"/>
      <c r="AH12" s="24">
        <v>0</v>
      </c>
      <c r="AI12" s="24">
        <v>0</v>
      </c>
      <c r="AJ12" s="24">
        <v>9832727</v>
      </c>
      <c r="AK12" s="24">
        <v>31124473</v>
      </c>
    </row>
    <row r="13" spans="1:37" x14ac:dyDescent="0.55000000000000004">
      <c r="B13" s="27" t="s">
        <v>646</v>
      </c>
      <c r="C13" s="27" t="s">
        <v>65</v>
      </c>
      <c r="D13" s="10" t="s">
        <v>667</v>
      </c>
      <c r="E13" s="10" t="s">
        <v>659</v>
      </c>
      <c r="F13" s="10" t="s">
        <v>644</v>
      </c>
      <c r="G13" s="10" t="s">
        <v>668</v>
      </c>
      <c r="H13" s="10" t="s">
        <v>668</v>
      </c>
      <c r="I13" s="28">
        <v>105148</v>
      </c>
      <c r="J13" s="28">
        <v>800</v>
      </c>
      <c r="K13" s="28"/>
      <c r="L13" s="24">
        <v>25</v>
      </c>
      <c r="M13" s="31">
        <f t="shared" si="1"/>
        <v>3.125E-2</v>
      </c>
      <c r="N13" s="24">
        <v>40470000</v>
      </c>
      <c r="O13" s="24">
        <v>1618800</v>
      </c>
      <c r="P13" s="24"/>
      <c r="Q13" s="24">
        <v>38851200</v>
      </c>
      <c r="R13" s="24">
        <v>19425600</v>
      </c>
      <c r="S13" s="412">
        <f t="shared" si="2"/>
        <v>0.48</v>
      </c>
      <c r="T13" s="412"/>
      <c r="U13" s="412"/>
      <c r="V13" s="412"/>
      <c r="W13" s="24"/>
      <c r="X13" s="24"/>
      <c r="Y13" s="24">
        <v>19425600</v>
      </c>
      <c r="Z13" s="24">
        <v>1214454</v>
      </c>
      <c r="AA13" s="24">
        <v>121445</v>
      </c>
      <c r="AB13" s="24">
        <v>6313732</v>
      </c>
      <c r="AC13" s="24">
        <v>1041766</v>
      </c>
      <c r="AD13" s="24">
        <v>627462</v>
      </c>
      <c r="AE13" s="24">
        <v>9318859</v>
      </c>
      <c r="AF13" s="24"/>
      <c r="AG13" s="24"/>
      <c r="AH13" s="24">
        <v>0</v>
      </c>
      <c r="AI13" s="24">
        <v>0</v>
      </c>
      <c r="AJ13" s="24">
        <v>9318859</v>
      </c>
      <c r="AK13" s="24">
        <v>10106741</v>
      </c>
    </row>
    <row r="14" spans="1:37" x14ac:dyDescent="0.55000000000000004">
      <c r="B14" s="27" t="s">
        <v>646</v>
      </c>
      <c r="C14" s="27" t="s">
        <v>65</v>
      </c>
      <c r="D14" s="10" t="s">
        <v>669</v>
      </c>
      <c r="E14" s="10" t="s">
        <v>653</v>
      </c>
      <c r="F14" s="10" t="s">
        <v>662</v>
      </c>
      <c r="G14" s="10" t="s">
        <v>654</v>
      </c>
      <c r="H14" s="10" t="s">
        <v>654</v>
      </c>
      <c r="I14" s="28">
        <v>78563</v>
      </c>
      <c r="J14" s="28">
        <v>556</v>
      </c>
      <c r="K14" s="28"/>
      <c r="L14" s="24">
        <v>24</v>
      </c>
      <c r="M14" s="31">
        <f t="shared" si="1"/>
        <v>4.3165467625899283E-2</v>
      </c>
      <c r="N14" s="24">
        <v>49020000</v>
      </c>
      <c r="O14" s="24">
        <v>1960800</v>
      </c>
      <c r="P14" s="24"/>
      <c r="Q14" s="24">
        <v>47059200</v>
      </c>
      <c r="R14" s="24">
        <v>24510000</v>
      </c>
      <c r="S14" s="412">
        <f t="shared" si="2"/>
        <v>0.5</v>
      </c>
      <c r="T14" s="412"/>
      <c r="U14" s="412"/>
      <c r="V14" s="412"/>
      <c r="W14" s="24"/>
      <c r="X14" s="24"/>
      <c r="Y14" s="24">
        <v>22549200</v>
      </c>
      <c r="Z14" s="24">
        <v>1056785</v>
      </c>
      <c r="AA14" s="24">
        <v>105679</v>
      </c>
      <c r="AB14" s="24">
        <v>7037998</v>
      </c>
      <c r="AC14" s="24">
        <v>1161270</v>
      </c>
      <c r="AD14" s="24">
        <v>868790</v>
      </c>
      <c r="AE14" s="24">
        <v>10230521</v>
      </c>
      <c r="AF14" s="24"/>
      <c r="AG14" s="24"/>
      <c r="AH14" s="24">
        <v>0</v>
      </c>
      <c r="AI14" s="24">
        <v>0</v>
      </c>
      <c r="AJ14" s="24">
        <v>10230521</v>
      </c>
      <c r="AK14" s="24">
        <v>12318679</v>
      </c>
    </row>
    <row r="15" spans="1:37" x14ac:dyDescent="0.55000000000000004">
      <c r="B15" s="27" t="s">
        <v>646</v>
      </c>
      <c r="C15" s="27" t="s">
        <v>65</v>
      </c>
      <c r="D15" s="10" t="s">
        <v>670</v>
      </c>
      <c r="E15" s="10" t="s">
        <v>659</v>
      </c>
      <c r="F15" s="10" t="s">
        <v>662</v>
      </c>
      <c r="G15" s="10" t="s">
        <v>671</v>
      </c>
      <c r="H15" s="10" t="s">
        <v>671</v>
      </c>
      <c r="I15" s="28">
        <v>72312</v>
      </c>
      <c r="J15" s="28">
        <v>408</v>
      </c>
      <c r="K15" s="28"/>
      <c r="L15" s="24">
        <v>40</v>
      </c>
      <c r="M15" s="31">
        <f t="shared" si="1"/>
        <v>9.8039215686274508E-2</v>
      </c>
      <c r="N15" s="24">
        <v>122400000</v>
      </c>
      <c r="O15" s="24">
        <v>4896000</v>
      </c>
      <c r="P15" s="24"/>
      <c r="Q15" s="24">
        <v>117504000</v>
      </c>
      <c r="R15" s="24">
        <v>46363200</v>
      </c>
      <c r="S15" s="412">
        <f t="shared" si="2"/>
        <v>0.37878431372549021</v>
      </c>
      <c r="T15" s="412"/>
      <c r="U15" s="412"/>
      <c r="V15" s="412"/>
      <c r="W15" s="24"/>
      <c r="X15" s="24"/>
      <c r="Y15" s="24">
        <v>45330800</v>
      </c>
      <c r="Z15" s="24">
        <v>3691209</v>
      </c>
      <c r="AA15" s="24">
        <v>369121</v>
      </c>
      <c r="AB15" s="24">
        <v>6647709</v>
      </c>
      <c r="AC15" s="24">
        <v>1096872</v>
      </c>
      <c r="AD15" s="24">
        <v>672705</v>
      </c>
      <c r="AE15" s="24">
        <v>12477616</v>
      </c>
      <c r="AF15" s="24"/>
      <c r="AG15" s="24"/>
      <c r="AH15" s="24">
        <v>0</v>
      </c>
      <c r="AI15" s="24">
        <v>0</v>
      </c>
      <c r="AJ15" s="24">
        <v>12477616</v>
      </c>
      <c r="AK15" s="24">
        <v>32853184</v>
      </c>
    </row>
    <row r="16" spans="1:37" x14ac:dyDescent="0.55000000000000004">
      <c r="B16" s="27" t="s">
        <v>646</v>
      </c>
      <c r="C16" s="27" t="s">
        <v>65</v>
      </c>
      <c r="D16" s="10" t="s">
        <v>672</v>
      </c>
      <c r="E16" s="10" t="s">
        <v>673</v>
      </c>
      <c r="F16" s="10" t="s">
        <v>644</v>
      </c>
      <c r="G16" s="10" t="s">
        <v>674</v>
      </c>
      <c r="H16" s="10" t="s">
        <v>674</v>
      </c>
      <c r="I16" s="28">
        <v>114265</v>
      </c>
      <c r="J16" s="28">
        <v>1067</v>
      </c>
      <c r="K16" s="28"/>
      <c r="L16" s="24">
        <v>34</v>
      </c>
      <c r="M16" s="31">
        <f t="shared" si="1"/>
        <v>3.1865042174320526E-2</v>
      </c>
      <c r="N16" s="24">
        <v>60860000</v>
      </c>
      <c r="O16" s="24">
        <v>2434400</v>
      </c>
      <c r="P16" s="24"/>
      <c r="Q16" s="24">
        <v>58425600</v>
      </c>
      <c r="R16" s="24">
        <v>29212800</v>
      </c>
      <c r="S16" s="412">
        <f t="shared" si="2"/>
        <v>0.48</v>
      </c>
      <c r="T16" s="412"/>
      <c r="U16" s="412"/>
      <c r="V16" s="412"/>
      <c r="W16" s="24"/>
      <c r="X16" s="24"/>
      <c r="Y16" s="24">
        <v>29212800</v>
      </c>
      <c r="Z16" s="24">
        <v>2038117</v>
      </c>
      <c r="AA16" s="24">
        <v>203812</v>
      </c>
      <c r="AB16" s="24">
        <v>5833044</v>
      </c>
      <c r="AC16" s="24">
        <v>962452</v>
      </c>
      <c r="AD16" s="24">
        <v>675625</v>
      </c>
      <c r="AE16" s="24">
        <v>9713050</v>
      </c>
      <c r="AF16" s="24"/>
      <c r="AG16" s="24"/>
      <c r="AH16" s="24">
        <v>0</v>
      </c>
      <c r="AI16" s="24">
        <v>0</v>
      </c>
      <c r="AJ16" s="24">
        <v>9713050</v>
      </c>
      <c r="AK16" s="24">
        <v>19499750</v>
      </c>
    </row>
    <row r="17" spans="2:37" x14ac:dyDescent="0.55000000000000004">
      <c r="B17" s="27" t="s">
        <v>646</v>
      </c>
      <c r="C17" s="27" t="s">
        <v>65</v>
      </c>
      <c r="D17" s="10" t="s">
        <v>675</v>
      </c>
      <c r="E17" s="10" t="s">
        <v>656</v>
      </c>
      <c r="F17" s="10" t="s">
        <v>662</v>
      </c>
      <c r="G17" s="10" t="s">
        <v>657</v>
      </c>
      <c r="H17" s="10" t="s">
        <v>657</v>
      </c>
      <c r="I17" s="28">
        <v>92616</v>
      </c>
      <c r="J17" s="28">
        <v>648</v>
      </c>
      <c r="K17" s="28"/>
      <c r="L17" s="24">
        <v>30</v>
      </c>
      <c r="M17" s="31">
        <f t="shared" si="1"/>
        <v>4.6296296296296294E-2</v>
      </c>
      <c r="N17" s="24">
        <v>59700000</v>
      </c>
      <c r="O17" s="24">
        <v>2388000</v>
      </c>
      <c r="P17" s="24"/>
      <c r="Q17" s="24">
        <v>57312000</v>
      </c>
      <c r="R17" s="24">
        <v>34387200</v>
      </c>
      <c r="S17" s="412">
        <f t="shared" si="2"/>
        <v>0.57599999999999996</v>
      </c>
      <c r="T17" s="412"/>
      <c r="U17" s="412"/>
      <c r="V17" s="412"/>
      <c r="W17" s="24"/>
      <c r="X17" s="24"/>
      <c r="Y17" s="24">
        <v>22924800</v>
      </c>
      <c r="Z17" s="24">
        <v>2463672</v>
      </c>
      <c r="AA17" s="24">
        <v>246367</v>
      </c>
      <c r="AB17" s="24">
        <v>5703273</v>
      </c>
      <c r="AC17" s="24">
        <v>941040</v>
      </c>
      <c r="AD17" s="24">
        <v>697735</v>
      </c>
      <c r="AE17" s="24">
        <v>10052087</v>
      </c>
      <c r="AF17" s="24"/>
      <c r="AG17" s="24"/>
      <c r="AH17" s="24">
        <v>0</v>
      </c>
      <c r="AI17" s="24">
        <v>0</v>
      </c>
      <c r="AJ17" s="24">
        <v>10052087</v>
      </c>
      <c r="AK17" s="24">
        <v>12872713</v>
      </c>
    </row>
    <row r="18" spans="2:37" x14ac:dyDescent="0.55000000000000004">
      <c r="B18" s="27" t="s">
        <v>646</v>
      </c>
      <c r="C18" s="27" t="s">
        <v>65</v>
      </c>
      <c r="D18" s="10" t="s">
        <v>676</v>
      </c>
      <c r="E18" s="10" t="s">
        <v>677</v>
      </c>
      <c r="F18" s="10" t="s">
        <v>644</v>
      </c>
      <c r="G18" s="10" t="s">
        <v>678</v>
      </c>
      <c r="H18" s="10" t="s">
        <v>678</v>
      </c>
      <c r="I18" s="28">
        <v>122544</v>
      </c>
      <c r="J18" s="28">
        <v>732</v>
      </c>
      <c r="K18" s="28"/>
      <c r="L18" s="24">
        <v>1</v>
      </c>
      <c r="M18" s="31">
        <f t="shared" si="1"/>
        <v>1.366120218579235E-3</v>
      </c>
      <c r="N18" s="24">
        <v>3490000</v>
      </c>
      <c r="O18" s="24">
        <v>139600</v>
      </c>
      <c r="P18" s="24"/>
      <c r="Q18" s="24">
        <v>3350400</v>
      </c>
      <c r="R18" s="24">
        <v>1745000</v>
      </c>
      <c r="S18" s="412">
        <f t="shared" si="2"/>
        <v>0.5</v>
      </c>
      <c r="T18" s="412"/>
      <c r="U18" s="412"/>
      <c r="V18" s="412"/>
      <c r="W18" s="24"/>
      <c r="X18" s="24"/>
      <c r="Y18" s="24">
        <v>1605400</v>
      </c>
      <c r="Z18" s="24">
        <v>3021494</v>
      </c>
      <c r="AA18" s="24">
        <v>302149</v>
      </c>
      <c r="AB18" s="24">
        <v>6865150</v>
      </c>
      <c r="AC18" s="24">
        <v>1132750</v>
      </c>
      <c r="AD18" s="24">
        <v>721478</v>
      </c>
      <c r="AE18" s="24">
        <v>12043021</v>
      </c>
      <c r="AF18" s="24"/>
      <c r="AG18" s="24"/>
      <c r="AH18" s="24">
        <v>0</v>
      </c>
      <c r="AI18" s="24">
        <v>0</v>
      </c>
      <c r="AJ18" s="24">
        <v>12043021</v>
      </c>
      <c r="AK18" s="24">
        <v>-10437621</v>
      </c>
    </row>
    <row r="19" spans="2:37" x14ac:dyDescent="0.55000000000000004">
      <c r="B19" s="27" t="s">
        <v>646</v>
      </c>
      <c r="C19" s="27" t="s">
        <v>65</v>
      </c>
      <c r="D19" s="10" t="s">
        <v>679</v>
      </c>
      <c r="E19" s="10" t="s">
        <v>570</v>
      </c>
      <c r="F19" s="10" t="s">
        <v>680</v>
      </c>
      <c r="G19" s="10" t="s">
        <v>648</v>
      </c>
      <c r="H19" s="10" t="s">
        <v>648</v>
      </c>
      <c r="I19" s="28">
        <v>72285</v>
      </c>
      <c r="J19" s="28">
        <v>605</v>
      </c>
      <c r="K19" s="28"/>
      <c r="L19" s="24">
        <v>11</v>
      </c>
      <c r="M19" s="31">
        <f t="shared" si="1"/>
        <v>1.8181818181818181E-2</v>
      </c>
      <c r="N19" s="24">
        <v>34020000</v>
      </c>
      <c r="O19" s="24">
        <v>1360800</v>
      </c>
      <c r="P19" s="24"/>
      <c r="Q19" s="24">
        <v>32659200</v>
      </c>
      <c r="R19" s="24">
        <v>17010000</v>
      </c>
      <c r="S19" s="412">
        <f t="shared" si="2"/>
        <v>0.5</v>
      </c>
      <c r="T19" s="412"/>
      <c r="U19" s="412"/>
      <c r="V19" s="412"/>
      <c r="W19" s="24"/>
      <c r="X19" s="24"/>
      <c r="Y19" s="24">
        <v>15649200</v>
      </c>
      <c r="Z19" s="24">
        <v>1074148</v>
      </c>
      <c r="AA19" s="24">
        <v>107415</v>
      </c>
      <c r="AB19" s="24">
        <v>5849085</v>
      </c>
      <c r="AC19" s="24">
        <v>965099</v>
      </c>
      <c r="AD19" s="24">
        <v>722734</v>
      </c>
      <c r="AE19" s="24">
        <v>8718481</v>
      </c>
      <c r="AF19" s="24"/>
      <c r="AG19" s="24"/>
      <c r="AH19" s="24">
        <v>0</v>
      </c>
      <c r="AI19" s="24">
        <v>0</v>
      </c>
      <c r="AJ19" s="24">
        <v>8718481</v>
      </c>
      <c r="AK19" s="24">
        <v>6930719</v>
      </c>
    </row>
    <row r="20" spans="2:37" x14ac:dyDescent="0.55000000000000004">
      <c r="B20" s="27" t="s">
        <v>646</v>
      </c>
      <c r="C20" s="27" t="s">
        <v>65</v>
      </c>
      <c r="D20" s="10" t="s">
        <v>681</v>
      </c>
      <c r="E20" s="10" t="s">
        <v>650</v>
      </c>
      <c r="F20" s="10" t="s">
        <v>680</v>
      </c>
      <c r="G20" s="10" t="s">
        <v>651</v>
      </c>
      <c r="H20" s="10" t="s">
        <v>651</v>
      </c>
      <c r="I20" s="28">
        <v>75879</v>
      </c>
      <c r="J20" s="28">
        <v>554</v>
      </c>
      <c r="K20" s="28"/>
      <c r="L20" s="24">
        <v>176</v>
      </c>
      <c r="M20" s="31">
        <f t="shared" si="1"/>
        <v>0.3176895306859206</v>
      </c>
      <c r="N20" s="24">
        <v>285570000</v>
      </c>
      <c r="O20" s="24">
        <v>11422800</v>
      </c>
      <c r="P20" s="24"/>
      <c r="Q20" s="24">
        <v>274147200</v>
      </c>
      <c r="R20" s="24">
        <v>178998000</v>
      </c>
      <c r="S20" s="412">
        <f t="shared" si="2"/>
        <v>0.62680953881710266</v>
      </c>
      <c r="T20" s="412"/>
      <c r="U20" s="412"/>
      <c r="V20" s="412"/>
      <c r="W20" s="24"/>
      <c r="X20" s="24"/>
      <c r="Y20" s="24">
        <v>95149200</v>
      </c>
      <c r="Z20" s="24">
        <v>2761288</v>
      </c>
      <c r="AA20" s="24">
        <v>276129</v>
      </c>
      <c r="AB20" s="24">
        <v>7715757</v>
      </c>
      <c r="AC20" s="24">
        <v>1273100</v>
      </c>
      <c r="AD20" s="24">
        <v>1201002</v>
      </c>
      <c r="AE20" s="24">
        <v>13227276</v>
      </c>
      <c r="AF20" s="24"/>
      <c r="AG20" s="24"/>
      <c r="AH20" s="24">
        <v>0</v>
      </c>
      <c r="AI20" s="24">
        <v>0</v>
      </c>
      <c r="AJ20" s="24">
        <v>13227276</v>
      </c>
      <c r="AK20" s="24">
        <v>81921924</v>
      </c>
    </row>
    <row r="21" spans="2:37" x14ac:dyDescent="0.55000000000000004">
      <c r="B21" s="27" t="s">
        <v>646</v>
      </c>
      <c r="C21" s="27" t="s">
        <v>65</v>
      </c>
      <c r="D21" s="10" t="s">
        <v>682</v>
      </c>
      <c r="E21" s="10" t="s">
        <v>659</v>
      </c>
      <c r="F21" s="10" t="s">
        <v>644</v>
      </c>
      <c r="G21" s="10" t="s">
        <v>683</v>
      </c>
      <c r="H21" s="10" t="s">
        <v>683</v>
      </c>
      <c r="I21" s="28">
        <v>61512</v>
      </c>
      <c r="J21" s="28">
        <v>536</v>
      </c>
      <c r="K21" s="28"/>
      <c r="L21" s="24">
        <v>59</v>
      </c>
      <c r="M21" s="31">
        <f t="shared" si="1"/>
        <v>0.11007462686567164</v>
      </c>
      <c r="N21" s="24">
        <v>129925000</v>
      </c>
      <c r="O21" s="24">
        <v>5197000</v>
      </c>
      <c r="P21" s="24"/>
      <c r="Q21" s="24">
        <v>124728000</v>
      </c>
      <c r="R21" s="24">
        <v>55417822</v>
      </c>
      <c r="S21" s="412">
        <f t="shared" si="2"/>
        <v>0.42653701751010198</v>
      </c>
      <c r="T21" s="412"/>
      <c r="U21" s="412"/>
      <c r="V21" s="412"/>
      <c r="W21" s="24"/>
      <c r="X21" s="24"/>
      <c r="Y21" s="24">
        <v>69310178</v>
      </c>
      <c r="Z21" s="24">
        <v>972498</v>
      </c>
      <c r="AA21" s="24">
        <v>97250</v>
      </c>
      <c r="AB21" s="24">
        <v>7276674</v>
      </c>
      <c r="AC21" s="24">
        <v>1200651</v>
      </c>
      <c r="AD21" s="24">
        <v>953880</v>
      </c>
      <c r="AE21" s="24">
        <v>10500953</v>
      </c>
      <c r="AF21" s="24"/>
      <c r="AG21" s="24"/>
      <c r="AH21" s="24">
        <v>0</v>
      </c>
      <c r="AI21" s="24">
        <v>0</v>
      </c>
      <c r="AJ21" s="24">
        <v>10500953</v>
      </c>
      <c r="AK21" s="24">
        <v>58809225</v>
      </c>
    </row>
    <row r="22" spans="2:37" x14ac:dyDescent="0.55000000000000004">
      <c r="B22" s="27" t="s">
        <v>646</v>
      </c>
      <c r="C22" s="27" t="s">
        <v>65</v>
      </c>
      <c r="D22" s="10" t="s">
        <v>684</v>
      </c>
      <c r="E22" s="10" t="s">
        <v>685</v>
      </c>
      <c r="F22" s="10" t="s">
        <v>644</v>
      </c>
      <c r="G22" s="10" t="s">
        <v>686</v>
      </c>
      <c r="H22" s="10" t="s">
        <v>686</v>
      </c>
      <c r="I22" s="28">
        <v>64001</v>
      </c>
      <c r="J22" s="28">
        <v>525</v>
      </c>
      <c r="K22" s="28"/>
      <c r="L22" s="24">
        <v>4</v>
      </c>
      <c r="M22" s="31">
        <f t="shared" si="1"/>
        <v>7.619047619047619E-3</v>
      </c>
      <c r="N22" s="24">
        <v>6580000</v>
      </c>
      <c r="O22" s="24">
        <v>263200</v>
      </c>
      <c r="P22" s="24"/>
      <c r="Q22" s="24">
        <v>6316800</v>
      </c>
      <c r="R22" s="24">
        <v>4137500</v>
      </c>
      <c r="S22" s="412">
        <f t="shared" si="2"/>
        <v>0.62879939209726443</v>
      </c>
      <c r="T22" s="412"/>
      <c r="U22" s="412"/>
      <c r="V22" s="412"/>
      <c r="W22" s="24"/>
      <c r="X22" s="24"/>
      <c r="Y22" s="24">
        <v>2179300</v>
      </c>
      <c r="Z22" s="24"/>
      <c r="AA22" s="24"/>
      <c r="AB22" s="24">
        <v>5782226</v>
      </c>
      <c r="AC22" s="24">
        <v>954067</v>
      </c>
      <c r="AD22" s="24">
        <v>955152</v>
      </c>
      <c r="AE22" s="24">
        <v>7691445</v>
      </c>
      <c r="AF22" s="24"/>
      <c r="AG22" s="24"/>
      <c r="AH22" s="24">
        <v>0</v>
      </c>
      <c r="AI22" s="24">
        <v>2418833</v>
      </c>
      <c r="AJ22" s="24">
        <v>10110278</v>
      </c>
      <c r="AK22" s="24">
        <v>-7930978</v>
      </c>
    </row>
    <row r="23" spans="2:37" x14ac:dyDescent="0.55000000000000004">
      <c r="B23" s="27" t="s">
        <v>646</v>
      </c>
      <c r="C23" s="27" t="s">
        <v>65</v>
      </c>
      <c r="D23" s="10" t="s">
        <v>687</v>
      </c>
      <c r="E23" s="10" t="s">
        <v>643</v>
      </c>
      <c r="F23" s="10" t="s">
        <v>662</v>
      </c>
      <c r="G23" s="10" t="s">
        <v>688</v>
      </c>
      <c r="H23" s="10" t="s">
        <v>688</v>
      </c>
      <c r="I23" s="28"/>
      <c r="J23" s="28"/>
      <c r="K23" s="28"/>
      <c r="L23" s="24">
        <v>53</v>
      </c>
      <c r="M23" s="31">
        <f t="shared" si="1"/>
        <v>0</v>
      </c>
      <c r="N23" s="24">
        <v>82370000</v>
      </c>
      <c r="O23" s="24">
        <v>3294800</v>
      </c>
      <c r="P23" s="24"/>
      <c r="Q23" s="24">
        <v>79075200</v>
      </c>
      <c r="R23" s="24">
        <v>47445120</v>
      </c>
      <c r="S23" s="412">
        <f t="shared" si="2"/>
        <v>0.57599999999999996</v>
      </c>
      <c r="T23" s="412"/>
      <c r="U23" s="412"/>
      <c r="V23" s="412"/>
      <c r="W23" s="24"/>
      <c r="X23" s="24"/>
      <c r="Y23" s="24">
        <v>31630080</v>
      </c>
      <c r="Z23" s="24"/>
      <c r="AA23" s="24"/>
      <c r="AB23" s="24">
        <v>4956826</v>
      </c>
      <c r="AC23" s="24">
        <v>817876</v>
      </c>
      <c r="AD23" s="24">
        <v>726379</v>
      </c>
      <c r="AE23" s="24">
        <v>6501081</v>
      </c>
      <c r="AF23" s="24"/>
      <c r="AG23" s="24"/>
      <c r="AH23" s="24">
        <v>0</v>
      </c>
      <c r="AI23" s="24">
        <v>0</v>
      </c>
      <c r="AJ23" s="24">
        <v>6501081</v>
      </c>
      <c r="AK23" s="24">
        <v>25128999</v>
      </c>
    </row>
    <row r="24" spans="2:37" x14ac:dyDescent="0.55000000000000004">
      <c r="B24" s="27" t="s">
        <v>646</v>
      </c>
      <c r="C24" s="27" t="s">
        <v>65</v>
      </c>
      <c r="D24" s="10" t="s">
        <v>689</v>
      </c>
      <c r="E24" s="10" t="s">
        <v>659</v>
      </c>
      <c r="F24" s="10" t="s">
        <v>662</v>
      </c>
      <c r="G24" s="10" t="s">
        <v>668</v>
      </c>
      <c r="H24" s="10" t="s">
        <v>668</v>
      </c>
      <c r="I24" s="28"/>
      <c r="J24" s="28"/>
      <c r="K24" s="28"/>
      <c r="L24" s="24">
        <v>15</v>
      </c>
      <c r="M24" s="31">
        <f t="shared" si="1"/>
        <v>0</v>
      </c>
      <c r="N24" s="24">
        <v>24000000</v>
      </c>
      <c r="O24" s="24">
        <v>960000</v>
      </c>
      <c r="P24" s="24"/>
      <c r="Q24" s="24">
        <v>23040000</v>
      </c>
      <c r="R24" s="24">
        <v>11520000</v>
      </c>
      <c r="S24" s="412">
        <f t="shared" si="2"/>
        <v>0.48</v>
      </c>
      <c r="T24" s="412"/>
      <c r="U24" s="412"/>
      <c r="V24" s="412"/>
      <c r="W24" s="24"/>
      <c r="X24" s="24"/>
      <c r="Y24" s="24">
        <v>11520000</v>
      </c>
      <c r="Z24" s="24"/>
      <c r="AA24" s="24"/>
      <c r="AB24" s="24">
        <v>6041363</v>
      </c>
      <c r="AC24" s="24">
        <v>996825</v>
      </c>
      <c r="AD24" s="24">
        <v>1240584</v>
      </c>
      <c r="AE24" s="24">
        <v>8278772</v>
      </c>
      <c r="AF24" s="24"/>
      <c r="AG24" s="24"/>
      <c r="AH24" s="24">
        <v>0</v>
      </c>
      <c r="AI24" s="24">
        <v>0</v>
      </c>
      <c r="AJ24" s="24">
        <v>8278772</v>
      </c>
      <c r="AK24" s="24">
        <v>3241228</v>
      </c>
    </row>
    <row r="25" spans="2:37" x14ac:dyDescent="0.55000000000000004">
      <c r="B25" s="27" t="s">
        <v>646</v>
      </c>
      <c r="C25" s="27" t="s">
        <v>65</v>
      </c>
      <c r="D25" s="10" t="s">
        <v>690</v>
      </c>
      <c r="E25" s="10" t="s">
        <v>665</v>
      </c>
      <c r="F25" s="10" t="s">
        <v>662</v>
      </c>
      <c r="G25" s="10" t="s">
        <v>666</v>
      </c>
      <c r="H25" s="10" t="s">
        <v>666</v>
      </c>
      <c r="I25" s="28"/>
      <c r="J25" s="28"/>
      <c r="K25" s="28"/>
      <c r="L25" s="24">
        <v>44</v>
      </c>
      <c r="M25" s="31">
        <f t="shared" si="1"/>
        <v>0</v>
      </c>
      <c r="N25" s="24">
        <v>116960000</v>
      </c>
      <c r="O25" s="24">
        <v>4678400</v>
      </c>
      <c r="P25" s="24"/>
      <c r="Q25" s="24">
        <v>112281600</v>
      </c>
      <c r="R25" s="24">
        <v>70176000</v>
      </c>
      <c r="S25" s="412">
        <f t="shared" si="2"/>
        <v>0.6</v>
      </c>
      <c r="T25" s="412"/>
      <c r="U25" s="412"/>
      <c r="V25" s="412"/>
      <c r="W25" s="24"/>
      <c r="X25" s="24"/>
      <c r="Y25" s="24">
        <v>42105600</v>
      </c>
      <c r="Z25" s="24">
        <v>2136874</v>
      </c>
      <c r="AA25" s="24">
        <v>213687</v>
      </c>
      <c r="AB25" s="24">
        <v>6044243</v>
      </c>
      <c r="AC25" s="24">
        <v>997300</v>
      </c>
      <c r="AD25" s="24">
        <v>1048112</v>
      </c>
      <c r="AE25" s="24">
        <v>10440216</v>
      </c>
      <c r="AF25" s="24"/>
      <c r="AG25" s="24"/>
      <c r="AH25" s="24">
        <v>0</v>
      </c>
      <c r="AI25" s="24">
        <v>0</v>
      </c>
      <c r="AJ25" s="24">
        <v>10440216</v>
      </c>
      <c r="AK25" s="24">
        <v>31665384</v>
      </c>
    </row>
    <row r="26" spans="2:37" x14ac:dyDescent="0.55000000000000004">
      <c r="B26" s="27" t="s">
        <v>646</v>
      </c>
      <c r="C26" s="27" t="s">
        <v>65</v>
      </c>
      <c r="D26" s="10" t="s">
        <v>691</v>
      </c>
      <c r="E26" s="10" t="s">
        <v>659</v>
      </c>
      <c r="F26" s="10" t="s">
        <v>680</v>
      </c>
      <c r="G26" s="10" t="s">
        <v>660</v>
      </c>
      <c r="H26" s="10" t="s">
        <v>660</v>
      </c>
      <c r="I26" s="28">
        <v>65889</v>
      </c>
      <c r="J26" s="28">
        <v>547</v>
      </c>
      <c r="K26" s="28"/>
      <c r="L26" s="24">
        <v>47</v>
      </c>
      <c r="M26" s="31">
        <f t="shared" si="1"/>
        <v>8.5923217550274225E-2</v>
      </c>
      <c r="N26" s="24">
        <v>168193000</v>
      </c>
      <c r="O26" s="24">
        <v>6727720</v>
      </c>
      <c r="P26" s="24"/>
      <c r="Q26" s="24">
        <v>161465280</v>
      </c>
      <c r="R26" s="24">
        <v>64598400</v>
      </c>
      <c r="S26" s="412">
        <f t="shared" si="2"/>
        <v>0.38407305892635246</v>
      </c>
      <c r="T26" s="412"/>
      <c r="U26" s="412"/>
      <c r="V26" s="412"/>
      <c r="W26" s="24"/>
      <c r="X26" s="24"/>
      <c r="Y26" s="24">
        <v>67707531</v>
      </c>
      <c r="Z26" s="24">
        <v>6144665</v>
      </c>
      <c r="AA26" s="24">
        <v>614467</v>
      </c>
      <c r="AB26" s="24">
        <v>4396457</v>
      </c>
      <c r="AC26" s="24">
        <v>725415</v>
      </c>
      <c r="AD26" s="24">
        <v>1141864</v>
      </c>
      <c r="AE26" s="24">
        <v>13022868</v>
      </c>
      <c r="AF26" s="24"/>
      <c r="AG26" s="24"/>
      <c r="AH26" s="24">
        <v>0</v>
      </c>
      <c r="AI26" s="24">
        <v>0</v>
      </c>
      <c r="AJ26" s="24">
        <v>13022868</v>
      </c>
      <c r="AK26" s="24">
        <v>54684663</v>
      </c>
    </row>
    <row r="27" spans="2:37" x14ac:dyDescent="0.55000000000000004">
      <c r="B27" s="27" t="s">
        <v>646</v>
      </c>
      <c r="C27" s="27" t="s">
        <v>65</v>
      </c>
      <c r="D27" s="10" t="s">
        <v>692</v>
      </c>
      <c r="E27" s="10" t="s">
        <v>693</v>
      </c>
      <c r="F27" s="10" t="s">
        <v>644</v>
      </c>
      <c r="G27" s="10" t="s">
        <v>694</v>
      </c>
      <c r="H27" s="10" t="s">
        <v>694</v>
      </c>
      <c r="I27" s="28">
        <v>121991</v>
      </c>
      <c r="J27" s="28">
        <v>1172</v>
      </c>
      <c r="K27" s="28"/>
      <c r="L27" s="24">
        <v>222</v>
      </c>
      <c r="M27" s="31">
        <f t="shared" si="1"/>
        <v>0.18941979522184299</v>
      </c>
      <c r="N27" s="24">
        <v>620310000</v>
      </c>
      <c r="O27" s="24">
        <v>24812400</v>
      </c>
      <c r="P27" s="24"/>
      <c r="Q27" s="24">
        <v>595497600</v>
      </c>
      <c r="R27" s="24">
        <v>297748800</v>
      </c>
      <c r="S27" s="412">
        <f t="shared" si="2"/>
        <v>0.48</v>
      </c>
      <c r="T27" s="412"/>
      <c r="U27" s="412"/>
      <c r="V27" s="412"/>
      <c r="W27" s="24"/>
      <c r="X27" s="24"/>
      <c r="Y27" s="24">
        <v>297748800</v>
      </c>
      <c r="Z27" s="24">
        <v>4578778</v>
      </c>
      <c r="AA27" s="24">
        <v>457878</v>
      </c>
      <c r="AB27" s="24">
        <v>6698031</v>
      </c>
      <c r="AC27" s="24">
        <v>1105175</v>
      </c>
      <c r="AD27" s="24">
        <v>2064649</v>
      </c>
      <c r="AE27" s="24">
        <v>14904511</v>
      </c>
      <c r="AF27" s="24"/>
      <c r="AG27" s="24"/>
      <c r="AH27" s="24">
        <v>0</v>
      </c>
      <c r="AI27" s="24">
        <v>2731250</v>
      </c>
      <c r="AJ27" s="24">
        <v>17635761</v>
      </c>
      <c r="AK27" s="24">
        <v>280113039</v>
      </c>
    </row>
    <row r="28" spans="2:37" x14ac:dyDescent="0.55000000000000004">
      <c r="B28" s="27" t="s">
        <v>646</v>
      </c>
      <c r="C28" s="27" t="s">
        <v>65</v>
      </c>
      <c r="D28" s="10" t="s">
        <v>695</v>
      </c>
      <c r="E28" s="10" t="s">
        <v>677</v>
      </c>
      <c r="F28" s="10" t="s">
        <v>662</v>
      </c>
      <c r="G28" s="10" t="s">
        <v>696</v>
      </c>
      <c r="H28" s="10" t="s">
        <v>696</v>
      </c>
      <c r="I28" s="28">
        <v>65905</v>
      </c>
      <c r="J28" s="28">
        <v>343</v>
      </c>
      <c r="K28" s="28"/>
      <c r="L28" s="24">
        <v>38</v>
      </c>
      <c r="M28" s="31">
        <f t="shared" si="1"/>
        <v>0.11078717201166181</v>
      </c>
      <c r="N28" s="24">
        <v>52815000</v>
      </c>
      <c r="O28" s="24">
        <v>2112600</v>
      </c>
      <c r="P28" s="24"/>
      <c r="Q28" s="24">
        <v>50702400</v>
      </c>
      <c r="R28" s="24">
        <v>25351200</v>
      </c>
      <c r="S28" s="412">
        <f t="shared" si="2"/>
        <v>0.48</v>
      </c>
      <c r="T28" s="412"/>
      <c r="U28" s="412"/>
      <c r="V28" s="412"/>
      <c r="W28" s="24"/>
      <c r="X28" s="24"/>
      <c r="Y28" s="24">
        <v>25351200</v>
      </c>
      <c r="Z28" s="24">
        <v>2572810</v>
      </c>
      <c r="AA28" s="24">
        <v>257281</v>
      </c>
      <c r="AB28" s="24">
        <v>2871429</v>
      </c>
      <c r="AC28" s="24">
        <v>473786</v>
      </c>
      <c r="AD28" s="24">
        <v>954639</v>
      </c>
      <c r="AE28" s="24">
        <v>7129945</v>
      </c>
      <c r="AF28" s="24"/>
      <c r="AG28" s="24"/>
      <c r="AH28" s="24">
        <v>0</v>
      </c>
      <c r="AI28" s="24">
        <v>0</v>
      </c>
      <c r="AJ28" s="24">
        <v>7129945</v>
      </c>
      <c r="AK28" s="24">
        <v>18221255</v>
      </c>
    </row>
    <row r="29" spans="2:37" x14ac:dyDescent="0.55000000000000004">
      <c r="B29" s="27" t="s">
        <v>646</v>
      </c>
      <c r="C29" s="27" t="s">
        <v>65</v>
      </c>
      <c r="D29" s="10" t="s">
        <v>697</v>
      </c>
      <c r="E29" s="10" t="s">
        <v>650</v>
      </c>
      <c r="F29" s="10" t="s">
        <v>698</v>
      </c>
      <c r="G29" s="10" t="s">
        <v>699</v>
      </c>
      <c r="H29" s="10" t="s">
        <v>699</v>
      </c>
      <c r="I29" s="28">
        <v>134696</v>
      </c>
      <c r="J29" s="28">
        <v>1376</v>
      </c>
      <c r="K29" s="28"/>
      <c r="L29" s="24">
        <v>201</v>
      </c>
      <c r="M29" s="31">
        <f t="shared" si="1"/>
        <v>0.14607558139534885</v>
      </c>
      <c r="N29" s="24">
        <v>463577280</v>
      </c>
      <c r="O29" s="24">
        <v>19315720</v>
      </c>
      <c r="P29" s="24"/>
      <c r="Q29" s="24">
        <v>463577280</v>
      </c>
      <c r="R29" s="24">
        <v>332867616</v>
      </c>
      <c r="S29" s="412">
        <f t="shared" si="2"/>
        <v>0.71804126379964095</v>
      </c>
      <c r="T29" s="412"/>
      <c r="U29" s="412"/>
      <c r="V29" s="412"/>
      <c r="W29" s="24"/>
      <c r="X29" s="24"/>
      <c r="Y29" s="24">
        <v>130709664</v>
      </c>
      <c r="Z29" s="24">
        <v>9292793</v>
      </c>
      <c r="AA29" s="24">
        <v>929279</v>
      </c>
      <c r="AB29" s="24">
        <v>5704274</v>
      </c>
      <c r="AC29" s="24">
        <v>941205</v>
      </c>
      <c r="AD29" s="24">
        <v>1307360</v>
      </c>
      <c r="AE29" s="24">
        <v>18174912</v>
      </c>
      <c r="AF29" s="24"/>
      <c r="AG29" s="24"/>
      <c r="AH29" s="24">
        <v>0</v>
      </c>
      <c r="AI29" s="24">
        <v>0</v>
      </c>
      <c r="AJ29" s="24">
        <v>18174912</v>
      </c>
      <c r="AK29" s="24">
        <v>112534752</v>
      </c>
    </row>
    <row r="30" spans="2:37" x14ac:dyDescent="0.55000000000000004">
      <c r="B30" s="27" t="s">
        <v>646</v>
      </c>
      <c r="C30" s="27" t="s">
        <v>65</v>
      </c>
      <c r="D30" s="10" t="s">
        <v>700</v>
      </c>
      <c r="E30" s="10" t="s">
        <v>656</v>
      </c>
      <c r="F30" s="10" t="s">
        <v>680</v>
      </c>
      <c r="G30" s="10" t="s">
        <v>701</v>
      </c>
      <c r="H30" s="10" t="s">
        <v>701</v>
      </c>
      <c r="I30" s="28">
        <v>80027</v>
      </c>
      <c r="J30" s="28">
        <v>674</v>
      </c>
      <c r="K30" s="28"/>
      <c r="L30" s="24">
        <v>83</v>
      </c>
      <c r="M30" s="31">
        <f t="shared" si="1"/>
        <v>0.12314540059347182</v>
      </c>
      <c r="N30" s="24">
        <v>179070000</v>
      </c>
      <c r="O30" s="24">
        <v>7162800</v>
      </c>
      <c r="P30" s="24"/>
      <c r="Q30" s="24">
        <v>171907200</v>
      </c>
      <c r="R30" s="24">
        <v>103144320</v>
      </c>
      <c r="S30" s="412">
        <f t="shared" si="2"/>
        <v>0.57599999999999996</v>
      </c>
      <c r="T30" s="412"/>
      <c r="U30" s="412"/>
      <c r="V30" s="412"/>
      <c r="W30" s="24"/>
      <c r="X30" s="24"/>
      <c r="Y30" s="24">
        <v>68762880</v>
      </c>
      <c r="Z30" s="24">
        <v>6355142</v>
      </c>
      <c r="AA30" s="24">
        <v>635514</v>
      </c>
      <c r="AB30" s="24">
        <v>4753448</v>
      </c>
      <c r="AC30" s="24">
        <v>784319</v>
      </c>
      <c r="AD30" s="24">
        <v>673744</v>
      </c>
      <c r="AE30" s="24">
        <v>13202167</v>
      </c>
      <c r="AF30" s="24"/>
      <c r="AG30" s="24"/>
      <c r="AH30" s="24">
        <v>0</v>
      </c>
      <c r="AI30" s="24">
        <v>0</v>
      </c>
      <c r="AJ30" s="24">
        <v>13202167</v>
      </c>
      <c r="AK30" s="24">
        <v>55560713</v>
      </c>
    </row>
    <row r="31" spans="2:37" x14ac:dyDescent="0.55000000000000004">
      <c r="B31" s="27" t="s">
        <v>646</v>
      </c>
      <c r="C31" s="27" t="s">
        <v>65</v>
      </c>
      <c r="D31" s="10" t="s">
        <v>702</v>
      </c>
      <c r="E31" s="10" t="s">
        <v>673</v>
      </c>
      <c r="F31" s="10" t="s">
        <v>662</v>
      </c>
      <c r="G31" s="10" t="s">
        <v>674</v>
      </c>
      <c r="H31" s="10" t="s">
        <v>674</v>
      </c>
      <c r="I31" s="28"/>
      <c r="J31" s="28"/>
      <c r="K31" s="28"/>
      <c r="L31" s="24">
        <v>63</v>
      </c>
      <c r="M31" s="31">
        <f t="shared" si="1"/>
        <v>0</v>
      </c>
      <c r="N31" s="24">
        <v>113870000</v>
      </c>
      <c r="O31" s="24">
        <v>4554800</v>
      </c>
      <c r="P31" s="24"/>
      <c r="Q31" s="24">
        <v>109315200</v>
      </c>
      <c r="R31" s="24">
        <v>54657600</v>
      </c>
      <c r="S31" s="412">
        <f t="shared" si="2"/>
        <v>0.48</v>
      </c>
      <c r="T31" s="412"/>
      <c r="U31" s="412"/>
      <c r="V31" s="412"/>
      <c r="W31" s="24"/>
      <c r="X31" s="24"/>
      <c r="Y31" s="24">
        <v>54657600</v>
      </c>
      <c r="Z31" s="24">
        <v>6358978</v>
      </c>
      <c r="AA31" s="24">
        <v>635898</v>
      </c>
      <c r="AB31" s="24">
        <v>0</v>
      </c>
      <c r="AC31" s="24">
        <v>0</v>
      </c>
      <c r="AD31" s="24">
        <v>1018082</v>
      </c>
      <c r="AE31" s="24">
        <v>8012958</v>
      </c>
      <c r="AF31" s="24"/>
      <c r="AG31" s="24"/>
      <c r="AH31" s="24">
        <v>0</v>
      </c>
      <c r="AI31" s="24">
        <v>0</v>
      </c>
      <c r="AJ31" s="24">
        <v>8012958</v>
      </c>
      <c r="AK31" s="24">
        <v>46644642</v>
      </c>
    </row>
    <row r="32" spans="2:37" x14ac:dyDescent="0.55000000000000004">
      <c r="B32" s="27" t="s">
        <v>646</v>
      </c>
      <c r="C32" s="27" t="s">
        <v>65</v>
      </c>
      <c r="D32" s="10" t="s">
        <v>703</v>
      </c>
      <c r="E32" s="10" t="s">
        <v>659</v>
      </c>
      <c r="F32" s="10" t="s">
        <v>662</v>
      </c>
      <c r="G32" s="10" t="s">
        <v>683</v>
      </c>
      <c r="H32" s="10" t="s">
        <v>683</v>
      </c>
      <c r="I32" s="28">
        <v>82028</v>
      </c>
      <c r="J32" s="28">
        <v>527</v>
      </c>
      <c r="K32" s="28"/>
      <c r="L32" s="24">
        <v>86</v>
      </c>
      <c r="M32" s="31">
        <f t="shared" si="1"/>
        <v>0.16318785578747627</v>
      </c>
      <c r="N32" s="24">
        <v>61560000</v>
      </c>
      <c r="O32" s="24">
        <v>2462400</v>
      </c>
      <c r="P32" s="24"/>
      <c r="Q32" s="24">
        <v>59097600</v>
      </c>
      <c r="R32" s="24">
        <v>29548800</v>
      </c>
      <c r="S32" s="412">
        <f t="shared" si="2"/>
        <v>0.48</v>
      </c>
      <c r="T32" s="412"/>
      <c r="U32" s="412"/>
      <c r="V32" s="412"/>
      <c r="W32" s="24"/>
      <c r="X32" s="24"/>
      <c r="Y32" s="24">
        <v>29548800</v>
      </c>
      <c r="Z32" s="24">
        <v>9280400</v>
      </c>
      <c r="AA32" s="24">
        <v>928040</v>
      </c>
      <c r="AB32" s="24">
        <v>3362256</v>
      </c>
      <c r="AC32" s="24">
        <v>554772</v>
      </c>
      <c r="AD32" s="24">
        <v>1397731</v>
      </c>
      <c r="AE32" s="24">
        <v>15523199</v>
      </c>
      <c r="AF32" s="24"/>
      <c r="AG32" s="24"/>
      <c r="AH32" s="24">
        <v>0</v>
      </c>
      <c r="AI32" s="24">
        <v>0</v>
      </c>
      <c r="AJ32" s="24">
        <v>15523199</v>
      </c>
      <c r="AK32" s="24">
        <v>14025601</v>
      </c>
    </row>
    <row r="33" spans="2:37" x14ac:dyDescent="0.55000000000000004">
      <c r="B33" s="27" t="s">
        <v>646</v>
      </c>
      <c r="C33" s="27" t="s">
        <v>65</v>
      </c>
      <c r="D33" s="10" t="s">
        <v>704</v>
      </c>
      <c r="E33" s="10" t="s">
        <v>653</v>
      </c>
      <c r="F33" s="10" t="s">
        <v>680</v>
      </c>
      <c r="G33" s="10" t="s">
        <v>654</v>
      </c>
      <c r="H33" s="10" t="s">
        <v>654</v>
      </c>
      <c r="I33" s="28">
        <v>34707</v>
      </c>
      <c r="J33" s="28">
        <v>292</v>
      </c>
      <c r="K33" s="28"/>
      <c r="L33" s="24">
        <v>34</v>
      </c>
      <c r="M33" s="31">
        <f t="shared" si="1"/>
        <v>0.11643835616438356</v>
      </c>
      <c r="N33" s="24">
        <v>67320000</v>
      </c>
      <c r="O33" s="24">
        <v>2692800</v>
      </c>
      <c r="P33" s="24"/>
      <c r="Q33" s="24">
        <v>64627200</v>
      </c>
      <c r="R33" s="24">
        <v>32313600</v>
      </c>
      <c r="S33" s="412">
        <f t="shared" si="2"/>
        <v>0.48</v>
      </c>
      <c r="T33" s="412"/>
      <c r="U33" s="412"/>
      <c r="V33" s="412"/>
      <c r="W33" s="24"/>
      <c r="X33" s="24"/>
      <c r="Y33" s="24">
        <v>32313600</v>
      </c>
      <c r="Z33" s="24">
        <v>2810870</v>
      </c>
      <c r="AA33" s="24">
        <v>281087</v>
      </c>
      <c r="AB33" s="24">
        <v>2299013</v>
      </c>
      <c r="AC33" s="24">
        <v>379337</v>
      </c>
      <c r="AD33" s="24">
        <v>1480000</v>
      </c>
      <c r="AE33" s="24">
        <v>7250307</v>
      </c>
      <c r="AF33" s="24"/>
      <c r="AG33" s="24"/>
      <c r="AH33" s="24">
        <v>0</v>
      </c>
      <c r="AI33" s="24">
        <v>0</v>
      </c>
      <c r="AJ33" s="24">
        <v>7250307</v>
      </c>
      <c r="AK33" s="24">
        <v>25063293</v>
      </c>
    </row>
    <row r="34" spans="2:37" x14ac:dyDescent="0.55000000000000004">
      <c r="B34" s="27" t="s">
        <v>646</v>
      </c>
      <c r="C34" s="27" t="s">
        <v>65</v>
      </c>
      <c r="D34" s="10" t="s">
        <v>705</v>
      </c>
      <c r="E34" s="10" t="s">
        <v>659</v>
      </c>
      <c r="F34" s="10" t="s">
        <v>698</v>
      </c>
      <c r="G34" s="10" t="s">
        <v>660</v>
      </c>
      <c r="H34" s="10" t="s">
        <v>660</v>
      </c>
      <c r="I34" s="28">
        <v>74219</v>
      </c>
      <c r="J34" s="28">
        <v>607</v>
      </c>
      <c r="K34" s="28"/>
      <c r="L34" s="24">
        <v>59</v>
      </c>
      <c r="M34" s="31">
        <f t="shared" si="1"/>
        <v>9.7199341021416807E-2</v>
      </c>
      <c r="N34" s="24">
        <v>175132000</v>
      </c>
      <c r="O34" s="24">
        <v>7005280</v>
      </c>
      <c r="P34" s="24"/>
      <c r="Q34" s="24">
        <v>168126720</v>
      </c>
      <c r="R34" s="24">
        <v>84063360</v>
      </c>
      <c r="S34" s="412">
        <f t="shared" si="2"/>
        <v>0.48</v>
      </c>
      <c r="T34" s="412"/>
      <c r="U34" s="412"/>
      <c r="V34" s="412"/>
      <c r="W34" s="24"/>
      <c r="X34" s="24"/>
      <c r="Y34" s="24">
        <v>75063360</v>
      </c>
      <c r="Z34" s="24">
        <v>7458468</v>
      </c>
      <c r="AA34" s="24">
        <v>745847</v>
      </c>
      <c r="AB34" s="24">
        <v>3784074</v>
      </c>
      <c r="AC34" s="24">
        <v>624372</v>
      </c>
      <c r="AD34" s="24">
        <v>1480000</v>
      </c>
      <c r="AE34" s="24">
        <v>14092761</v>
      </c>
      <c r="AF34" s="24"/>
      <c r="AG34" s="24"/>
      <c r="AH34" s="24">
        <v>0</v>
      </c>
      <c r="AI34" s="24">
        <v>0</v>
      </c>
      <c r="AJ34" s="24">
        <v>14092761</v>
      </c>
      <c r="AK34" s="24">
        <v>60970599</v>
      </c>
    </row>
    <row r="35" spans="2:37" x14ac:dyDescent="0.55000000000000004">
      <c r="B35" s="27" t="s">
        <v>646</v>
      </c>
      <c r="C35" s="27" t="s">
        <v>65</v>
      </c>
      <c r="D35" s="10" t="s">
        <v>706</v>
      </c>
      <c r="E35" s="10" t="s">
        <v>643</v>
      </c>
      <c r="F35" s="10" t="s">
        <v>680</v>
      </c>
      <c r="G35" s="10" t="s">
        <v>688</v>
      </c>
      <c r="H35" s="10" t="s">
        <v>688</v>
      </c>
      <c r="I35" s="28">
        <v>72023</v>
      </c>
      <c r="J35" s="28">
        <v>474</v>
      </c>
      <c r="K35" s="28"/>
      <c r="L35" s="24">
        <v>33</v>
      </c>
      <c r="M35" s="31">
        <f t="shared" si="1"/>
        <v>6.9620253164556958E-2</v>
      </c>
      <c r="N35" s="24">
        <v>52470000</v>
      </c>
      <c r="O35" s="24">
        <v>2098800</v>
      </c>
      <c r="P35" s="24"/>
      <c r="Q35" s="24">
        <v>50371200</v>
      </c>
      <c r="R35" s="24">
        <v>30222720</v>
      </c>
      <c r="S35" s="412">
        <f t="shared" si="2"/>
        <v>0.57599999999999996</v>
      </c>
      <c r="T35" s="412"/>
      <c r="U35" s="412"/>
      <c r="V35" s="412"/>
      <c r="W35" s="24"/>
      <c r="X35" s="24"/>
      <c r="Y35" s="24">
        <v>20148480</v>
      </c>
      <c r="Z35" s="24">
        <v>4446451</v>
      </c>
      <c r="AA35" s="24">
        <v>444645</v>
      </c>
      <c r="AB35" s="24">
        <v>2560100</v>
      </c>
      <c r="AC35" s="24">
        <v>422417</v>
      </c>
      <c r="AD35" s="24">
        <v>1480000</v>
      </c>
      <c r="AE35" s="24">
        <v>9353613</v>
      </c>
      <c r="AF35" s="24"/>
      <c r="AG35" s="24"/>
      <c r="AH35" s="24">
        <v>0</v>
      </c>
      <c r="AI35" s="24">
        <v>0</v>
      </c>
      <c r="AJ35" s="24">
        <v>9353613</v>
      </c>
      <c r="AK35" s="24">
        <v>10794867</v>
      </c>
    </row>
    <row r="36" spans="2:37" x14ac:dyDescent="0.55000000000000004">
      <c r="B36" s="27" t="s">
        <v>646</v>
      </c>
      <c r="C36" s="27" t="s">
        <v>65</v>
      </c>
      <c r="D36" s="10" t="s">
        <v>707</v>
      </c>
      <c r="E36" s="10" t="s">
        <v>708</v>
      </c>
      <c r="F36" s="10" t="s">
        <v>709</v>
      </c>
      <c r="G36" s="10" t="s">
        <v>710</v>
      </c>
      <c r="H36" s="10" t="s">
        <v>710</v>
      </c>
      <c r="I36" s="28">
        <v>175820</v>
      </c>
      <c r="J36" s="28">
        <v>629</v>
      </c>
      <c r="K36" s="28"/>
      <c r="L36" s="24">
        <v>0</v>
      </c>
      <c r="M36" s="31">
        <f t="shared" si="1"/>
        <v>0</v>
      </c>
      <c r="N36" s="24"/>
      <c r="O36" s="24"/>
      <c r="P36" s="24"/>
      <c r="Q36" s="24">
        <v>0</v>
      </c>
      <c r="R36" s="24"/>
      <c r="S36" s="412"/>
      <c r="T36" s="412"/>
      <c r="U36" s="412"/>
      <c r="V36" s="412"/>
      <c r="W36" s="24"/>
      <c r="X36" s="24"/>
      <c r="Y36" s="24">
        <v>0</v>
      </c>
      <c r="Z36" s="24"/>
      <c r="AA36" s="24">
        <v>0</v>
      </c>
      <c r="AB36" s="24">
        <v>10637052</v>
      </c>
      <c r="AC36" s="24">
        <v>1755113</v>
      </c>
      <c r="AD36" s="24"/>
      <c r="AE36" s="24">
        <v>12392165</v>
      </c>
      <c r="AF36" s="24"/>
      <c r="AG36" s="24"/>
      <c r="AH36" s="24">
        <v>0</v>
      </c>
      <c r="AI36" s="24">
        <v>0</v>
      </c>
      <c r="AJ36" s="24">
        <v>12392165</v>
      </c>
      <c r="AK36" s="24">
        <v>-12392165</v>
      </c>
    </row>
    <row r="37" spans="2:37" x14ac:dyDescent="0.55000000000000004">
      <c r="B37" s="27" t="s">
        <v>646</v>
      </c>
      <c r="C37" s="27" t="s">
        <v>65</v>
      </c>
      <c r="D37" s="10" t="s">
        <v>711</v>
      </c>
      <c r="E37" s="10" t="s">
        <v>665</v>
      </c>
      <c r="F37" s="10" t="s">
        <v>680</v>
      </c>
      <c r="G37" s="10" t="s">
        <v>666</v>
      </c>
      <c r="H37" s="10" t="s">
        <v>666</v>
      </c>
      <c r="I37" s="28">
        <v>73640</v>
      </c>
      <c r="J37" s="28">
        <v>897</v>
      </c>
      <c r="K37" s="28"/>
      <c r="L37" s="24">
        <v>34</v>
      </c>
      <c r="M37" s="31">
        <f t="shared" si="1"/>
        <v>3.79041248606466E-2</v>
      </c>
      <c r="N37" s="24">
        <v>97260000</v>
      </c>
      <c r="O37" s="24">
        <v>3890400</v>
      </c>
      <c r="P37" s="24"/>
      <c r="Q37" s="24">
        <v>93369600</v>
      </c>
      <c r="R37" s="24">
        <v>56021760</v>
      </c>
      <c r="S37" s="412">
        <f t="shared" si="2"/>
        <v>0.57599999999999996</v>
      </c>
      <c r="T37" s="412"/>
      <c r="U37" s="412"/>
      <c r="V37" s="412"/>
      <c r="W37" s="24"/>
      <c r="X37" s="24"/>
      <c r="Y37" s="24">
        <v>37347840</v>
      </c>
      <c r="Z37" s="24">
        <v>5078397</v>
      </c>
      <c r="AA37" s="24">
        <v>507840</v>
      </c>
      <c r="AB37" s="24">
        <v>3277250</v>
      </c>
      <c r="AC37" s="24">
        <v>540746</v>
      </c>
      <c r="AD37" s="24">
        <v>1461472</v>
      </c>
      <c r="AE37" s="24">
        <v>10865705</v>
      </c>
      <c r="AF37" s="24"/>
      <c r="AG37" s="24"/>
      <c r="AH37" s="24">
        <v>0</v>
      </c>
      <c r="AI37" s="24">
        <v>0</v>
      </c>
      <c r="AJ37" s="24">
        <v>10865705</v>
      </c>
      <c r="AK37" s="24">
        <v>26482135</v>
      </c>
    </row>
    <row r="38" spans="2:37" x14ac:dyDescent="0.55000000000000004">
      <c r="B38" s="27" t="s">
        <v>646</v>
      </c>
      <c r="C38" s="27" t="s">
        <v>65</v>
      </c>
      <c r="D38" s="10" t="s">
        <v>712</v>
      </c>
      <c r="E38" s="10" t="s">
        <v>656</v>
      </c>
      <c r="F38" s="10" t="s">
        <v>698</v>
      </c>
      <c r="G38" s="10" t="s">
        <v>701</v>
      </c>
      <c r="H38" s="10" t="s">
        <v>701</v>
      </c>
      <c r="I38" s="28">
        <v>75517</v>
      </c>
      <c r="J38" s="28">
        <v>782</v>
      </c>
      <c r="K38" s="28"/>
      <c r="L38" s="24">
        <v>83</v>
      </c>
      <c r="M38" s="31">
        <f t="shared" si="1"/>
        <v>0.10613810741687979</v>
      </c>
      <c r="N38" s="24">
        <v>170790000</v>
      </c>
      <c r="O38" s="24">
        <v>6831600</v>
      </c>
      <c r="P38" s="24"/>
      <c r="Q38" s="24">
        <v>163958400</v>
      </c>
      <c r="R38" s="24">
        <v>98375040</v>
      </c>
      <c r="S38" s="412">
        <f t="shared" si="2"/>
        <v>0.57599999999999996</v>
      </c>
      <c r="T38" s="412"/>
      <c r="U38" s="412"/>
      <c r="V38" s="412"/>
      <c r="W38" s="24"/>
      <c r="X38" s="24"/>
      <c r="Y38" s="24">
        <v>65583360</v>
      </c>
      <c r="Z38" s="24">
        <v>7713177</v>
      </c>
      <c r="AA38" s="24">
        <v>771318</v>
      </c>
      <c r="AB38" s="24">
        <v>5310270</v>
      </c>
      <c r="AC38" s="24">
        <v>876195</v>
      </c>
      <c r="AD38" s="24">
        <v>1582136</v>
      </c>
      <c r="AE38" s="24">
        <v>16253095</v>
      </c>
      <c r="AF38" s="24"/>
      <c r="AG38" s="24"/>
      <c r="AH38" s="24">
        <v>0</v>
      </c>
      <c r="AI38" s="24">
        <v>0</v>
      </c>
      <c r="AJ38" s="24">
        <v>16253095</v>
      </c>
      <c r="AK38" s="24">
        <v>49330265</v>
      </c>
    </row>
    <row r="39" spans="2:37" x14ac:dyDescent="0.55000000000000004">
      <c r="B39" s="27" t="s">
        <v>646</v>
      </c>
      <c r="C39" s="27" t="s">
        <v>65</v>
      </c>
      <c r="D39" s="10" t="s">
        <v>713</v>
      </c>
      <c r="E39" s="10" t="s">
        <v>659</v>
      </c>
      <c r="F39" s="10" t="s">
        <v>644</v>
      </c>
      <c r="G39" s="10" t="s">
        <v>714</v>
      </c>
      <c r="H39" s="10" t="s">
        <v>714</v>
      </c>
      <c r="I39" s="28">
        <v>57270</v>
      </c>
      <c r="J39" s="28">
        <v>529</v>
      </c>
      <c r="K39" s="28"/>
      <c r="L39" s="24">
        <v>63</v>
      </c>
      <c r="M39" s="31">
        <f t="shared" si="1"/>
        <v>0.11909262759924386</v>
      </c>
      <c r="N39" s="24">
        <v>143970000</v>
      </c>
      <c r="O39" s="24">
        <v>5758800</v>
      </c>
      <c r="P39" s="24"/>
      <c r="Q39" s="24">
        <v>138211200</v>
      </c>
      <c r="R39" s="24">
        <v>69105600</v>
      </c>
      <c r="S39" s="412">
        <f t="shared" si="2"/>
        <v>0.48</v>
      </c>
      <c r="T39" s="412"/>
      <c r="U39" s="412"/>
      <c r="V39" s="412"/>
      <c r="W39" s="24"/>
      <c r="X39" s="24"/>
      <c r="Y39" s="24">
        <v>69105600</v>
      </c>
      <c r="Z39" s="24">
        <v>8269770</v>
      </c>
      <c r="AA39" s="24">
        <v>826977</v>
      </c>
      <c r="AB39" s="24">
        <v>4593097</v>
      </c>
      <c r="AC39" s="24">
        <v>757861</v>
      </c>
      <c r="AD39" s="24">
        <v>1590716</v>
      </c>
      <c r="AE39" s="24">
        <v>16038420</v>
      </c>
      <c r="AF39" s="24"/>
      <c r="AG39" s="24"/>
      <c r="AH39" s="24">
        <v>0</v>
      </c>
      <c r="AI39" s="24">
        <v>0</v>
      </c>
      <c r="AJ39" s="24">
        <v>16038420</v>
      </c>
      <c r="AK39" s="24">
        <v>53067180</v>
      </c>
    </row>
    <row r="40" spans="2:37" x14ac:dyDescent="0.55000000000000004">
      <c r="B40" s="27" t="s">
        <v>646</v>
      </c>
      <c r="C40" s="27" t="s">
        <v>65</v>
      </c>
      <c r="D40" s="10" t="s">
        <v>715</v>
      </c>
      <c r="E40" s="10" t="s">
        <v>716</v>
      </c>
      <c r="F40" s="10" t="s">
        <v>644</v>
      </c>
      <c r="G40" s="10" t="s">
        <v>717</v>
      </c>
      <c r="H40" s="10" t="s">
        <v>717</v>
      </c>
      <c r="I40" s="28">
        <v>68215</v>
      </c>
      <c r="J40" s="28">
        <v>1179</v>
      </c>
      <c r="K40" s="28"/>
      <c r="L40" s="24">
        <v>19</v>
      </c>
      <c r="M40" s="31">
        <f t="shared" si="1"/>
        <v>1.6115351993214587E-2</v>
      </c>
      <c r="N40" s="24">
        <v>0</v>
      </c>
      <c r="O40" s="24">
        <v>0</v>
      </c>
      <c r="P40" s="24"/>
      <c r="Q40" s="24">
        <v>0</v>
      </c>
      <c r="R40" s="24">
        <v>0</v>
      </c>
      <c r="S40" s="412"/>
      <c r="T40" s="412"/>
      <c r="U40" s="412"/>
      <c r="V40" s="412"/>
      <c r="W40" s="24"/>
      <c r="X40" s="24"/>
      <c r="Y40" s="24">
        <v>0</v>
      </c>
      <c r="Z40" s="24">
        <v>10107049</v>
      </c>
      <c r="AA40" s="24">
        <v>1010705</v>
      </c>
      <c r="AB40" s="24">
        <v>5303271</v>
      </c>
      <c r="AC40" s="24">
        <v>875040</v>
      </c>
      <c r="AD40" s="24">
        <v>1625579</v>
      </c>
      <c r="AE40" s="24">
        <v>18921644</v>
      </c>
      <c r="AF40" s="24"/>
      <c r="AG40" s="24"/>
      <c r="AH40" s="24">
        <v>0</v>
      </c>
      <c r="AI40" s="24">
        <v>0</v>
      </c>
      <c r="AJ40" s="24">
        <v>18921644</v>
      </c>
      <c r="AK40" s="24">
        <v>-18921644</v>
      </c>
    </row>
    <row r="41" spans="2:37" x14ac:dyDescent="0.55000000000000004">
      <c r="B41" s="27" t="s">
        <v>646</v>
      </c>
      <c r="C41" s="27" t="s">
        <v>65</v>
      </c>
      <c r="D41" s="10" t="s">
        <v>718</v>
      </c>
      <c r="E41" s="10" t="s">
        <v>719</v>
      </c>
      <c r="F41" s="10" t="s">
        <v>644</v>
      </c>
      <c r="G41" s="10" t="s">
        <v>720</v>
      </c>
      <c r="H41" s="10" t="s">
        <v>720</v>
      </c>
      <c r="I41" s="28">
        <v>94196</v>
      </c>
      <c r="J41" s="28">
        <v>1189</v>
      </c>
      <c r="K41" s="28"/>
      <c r="L41" s="24">
        <v>121</v>
      </c>
      <c r="M41" s="31">
        <f t="shared" si="1"/>
        <v>0.10176619007569386</v>
      </c>
      <c r="N41" s="24">
        <v>203990000</v>
      </c>
      <c r="O41" s="24">
        <v>8159600</v>
      </c>
      <c r="P41" s="24"/>
      <c r="Q41" s="24">
        <v>195830400</v>
      </c>
      <c r="R41" s="24">
        <v>97915200</v>
      </c>
      <c r="S41" s="412">
        <f t="shared" si="2"/>
        <v>0.48</v>
      </c>
      <c r="T41" s="412"/>
      <c r="U41" s="412"/>
      <c r="V41" s="412"/>
      <c r="W41" s="24"/>
      <c r="X41" s="24"/>
      <c r="Y41" s="24">
        <v>97915200</v>
      </c>
      <c r="Z41" s="24">
        <v>6534823</v>
      </c>
      <c r="AA41" s="24">
        <v>653482</v>
      </c>
      <c r="AB41" s="24">
        <v>6325000</v>
      </c>
      <c r="AC41" s="24">
        <v>1043625</v>
      </c>
      <c r="AD41" s="24">
        <v>1687075</v>
      </c>
      <c r="AE41" s="24">
        <v>16244005</v>
      </c>
      <c r="AF41" s="24"/>
      <c r="AG41" s="24"/>
      <c r="AH41" s="24">
        <v>0</v>
      </c>
      <c r="AI41" s="24">
        <v>0</v>
      </c>
      <c r="AJ41" s="24">
        <v>16244005</v>
      </c>
      <c r="AK41" s="24">
        <v>81671195</v>
      </c>
    </row>
    <row r="42" spans="2:37" x14ac:dyDescent="0.55000000000000004">
      <c r="B42" s="27" t="s">
        <v>646</v>
      </c>
      <c r="C42" s="27" t="s">
        <v>65</v>
      </c>
      <c r="D42" s="10" t="s">
        <v>721</v>
      </c>
      <c r="E42" s="10" t="s">
        <v>722</v>
      </c>
      <c r="F42" s="10" t="s">
        <v>644</v>
      </c>
      <c r="G42" s="10" t="s">
        <v>723</v>
      </c>
      <c r="H42" s="10" t="s">
        <v>723</v>
      </c>
      <c r="I42" s="28">
        <v>85766</v>
      </c>
      <c r="J42" s="28">
        <v>1262</v>
      </c>
      <c r="K42" s="28"/>
      <c r="L42" s="24">
        <v>183</v>
      </c>
      <c r="M42" s="31">
        <f t="shared" si="1"/>
        <v>0.1450079239302694</v>
      </c>
      <c r="N42" s="24">
        <v>448230000</v>
      </c>
      <c r="O42" s="24">
        <v>31200162</v>
      </c>
      <c r="P42" s="24"/>
      <c r="Q42" s="24">
        <v>417029838</v>
      </c>
      <c r="R42" s="24">
        <v>254970000</v>
      </c>
      <c r="S42" s="412">
        <f t="shared" si="2"/>
        <v>0.56883742721370723</v>
      </c>
      <c r="T42" s="412"/>
      <c r="U42" s="412"/>
      <c r="V42" s="412"/>
      <c r="W42" s="24"/>
      <c r="X42" s="24"/>
      <c r="Y42" s="24">
        <v>159546438</v>
      </c>
      <c r="Z42" s="24">
        <v>8258267</v>
      </c>
      <c r="AA42" s="24">
        <v>825827</v>
      </c>
      <c r="AB42" s="24">
        <v>6325000</v>
      </c>
      <c r="AC42" s="24">
        <v>1043625</v>
      </c>
      <c r="AD42" s="24">
        <v>2171333</v>
      </c>
      <c r="AE42" s="24">
        <v>18624052</v>
      </c>
      <c r="AF42" s="24"/>
      <c r="AG42" s="24"/>
      <c r="AH42" s="24">
        <v>0</v>
      </c>
      <c r="AI42" s="24">
        <v>0</v>
      </c>
      <c r="AJ42" s="24">
        <v>18624052</v>
      </c>
      <c r="AK42" s="24">
        <v>140922386</v>
      </c>
    </row>
    <row r="43" spans="2:37" x14ac:dyDescent="0.55000000000000004">
      <c r="B43" s="27" t="s">
        <v>646</v>
      </c>
      <c r="C43" s="27" t="s">
        <v>65</v>
      </c>
      <c r="D43" s="10" t="s">
        <v>724</v>
      </c>
      <c r="E43" s="10" t="s">
        <v>725</v>
      </c>
      <c r="F43" s="10" t="s">
        <v>644</v>
      </c>
      <c r="G43" s="10" t="s">
        <v>726</v>
      </c>
      <c r="H43" s="10" t="s">
        <v>726</v>
      </c>
      <c r="I43" s="28">
        <v>151108</v>
      </c>
      <c r="J43" s="28">
        <v>1276</v>
      </c>
      <c r="K43" s="28"/>
      <c r="L43" s="24">
        <v>117</v>
      </c>
      <c r="M43" s="31">
        <f t="shared" si="1"/>
        <v>9.1692789968652044E-2</v>
      </c>
      <c r="N43" s="24">
        <v>487983117</v>
      </c>
      <c r="O43" s="24">
        <v>31200162</v>
      </c>
      <c r="P43" s="24"/>
      <c r="Q43" s="24">
        <v>456782955</v>
      </c>
      <c r="R43" s="24">
        <v>341588182</v>
      </c>
      <c r="S43" s="412">
        <f t="shared" si="2"/>
        <v>0.70000000020492514</v>
      </c>
      <c r="T43" s="412"/>
      <c r="U43" s="412"/>
      <c r="V43" s="412"/>
      <c r="W43" s="24"/>
      <c r="X43" s="24"/>
      <c r="Y43" s="24">
        <v>115194773</v>
      </c>
      <c r="Z43" s="24">
        <v>11248869</v>
      </c>
      <c r="AA43" s="24">
        <v>1124887</v>
      </c>
      <c r="AB43" s="24">
        <v>9360000</v>
      </c>
      <c r="AC43" s="24">
        <v>1544400</v>
      </c>
      <c r="AD43" s="24">
        <v>2692056</v>
      </c>
      <c r="AE43" s="24">
        <v>25970212</v>
      </c>
      <c r="AF43" s="24"/>
      <c r="AG43" s="24"/>
      <c r="AH43" s="24">
        <v>0</v>
      </c>
      <c r="AI43" s="24">
        <v>3484800</v>
      </c>
      <c r="AJ43" s="24">
        <v>29455012</v>
      </c>
      <c r="AK43" s="24">
        <v>85739761</v>
      </c>
    </row>
    <row r="44" spans="2:37" x14ac:dyDescent="0.55000000000000004">
      <c r="B44" s="27" t="s">
        <v>646</v>
      </c>
      <c r="C44" s="27" t="s">
        <v>65</v>
      </c>
      <c r="D44" s="10" t="s">
        <v>727</v>
      </c>
      <c r="E44" s="10" t="s">
        <v>650</v>
      </c>
      <c r="F44" s="10" t="s">
        <v>728</v>
      </c>
      <c r="G44" s="10" t="s">
        <v>651</v>
      </c>
      <c r="H44" s="10" t="s">
        <v>651</v>
      </c>
      <c r="I44" s="28">
        <v>113058</v>
      </c>
      <c r="J44" s="28">
        <v>1298</v>
      </c>
      <c r="K44" s="28"/>
      <c r="L44" s="24">
        <v>129</v>
      </c>
      <c r="M44" s="31">
        <f t="shared" si="1"/>
        <v>9.9383667180277344E-2</v>
      </c>
      <c r="N44" s="24">
        <v>313433000</v>
      </c>
      <c r="O44" s="24">
        <v>19921168</v>
      </c>
      <c r="P44" s="24"/>
      <c r="Q44" s="24">
        <v>293511832</v>
      </c>
      <c r="R44" s="24">
        <v>214970915</v>
      </c>
      <c r="S44" s="412">
        <f t="shared" si="2"/>
        <v>0.68585922669278598</v>
      </c>
      <c r="T44" s="412"/>
      <c r="U44" s="412"/>
      <c r="V44" s="412"/>
      <c r="W44" s="24"/>
      <c r="X44" s="24"/>
      <c r="Y44" s="24">
        <v>78540917</v>
      </c>
      <c r="Z44" s="24">
        <v>13916096</v>
      </c>
      <c r="AA44" s="24">
        <v>1391610</v>
      </c>
      <c r="AB44" s="24">
        <v>8043156</v>
      </c>
      <c r="AC44" s="24">
        <v>1327121</v>
      </c>
      <c r="AD44" s="24">
        <v>2277808</v>
      </c>
      <c r="AE44" s="24">
        <v>26955790</v>
      </c>
      <c r="AF44" s="24"/>
      <c r="AG44" s="24"/>
      <c r="AH44" s="24">
        <v>0</v>
      </c>
      <c r="AI44" s="24">
        <v>0</v>
      </c>
      <c r="AJ44" s="24">
        <v>26955790</v>
      </c>
      <c r="AK44" s="24">
        <v>51585127</v>
      </c>
    </row>
    <row r="45" spans="2:37" x14ac:dyDescent="0.55000000000000004">
      <c r="B45" s="27" t="s">
        <v>646</v>
      </c>
      <c r="C45" s="27" t="s">
        <v>65</v>
      </c>
      <c r="D45" s="10" t="s">
        <v>729</v>
      </c>
      <c r="E45" s="10" t="s">
        <v>673</v>
      </c>
      <c r="F45" s="10" t="s">
        <v>680</v>
      </c>
      <c r="G45" s="10" t="s">
        <v>730</v>
      </c>
      <c r="H45" s="10" t="s">
        <v>730</v>
      </c>
      <c r="I45" s="28">
        <v>102469</v>
      </c>
      <c r="J45" s="28">
        <v>766</v>
      </c>
      <c r="K45" s="28"/>
      <c r="L45" s="24">
        <v>28</v>
      </c>
      <c r="M45" s="31">
        <f t="shared" si="1"/>
        <v>3.6553524804177548E-2</v>
      </c>
      <c r="N45" s="24">
        <v>51705000</v>
      </c>
      <c r="O45" s="24">
        <v>3717601</v>
      </c>
      <c r="P45" s="24"/>
      <c r="Q45" s="24">
        <v>47987399</v>
      </c>
      <c r="R45" s="24">
        <v>23993700</v>
      </c>
      <c r="S45" s="412">
        <f t="shared" si="2"/>
        <v>0.46404989846243111</v>
      </c>
      <c r="T45" s="412"/>
      <c r="U45" s="412"/>
      <c r="V45" s="412"/>
      <c r="W45" s="24"/>
      <c r="X45" s="24"/>
      <c r="Y45" s="24">
        <v>23993699</v>
      </c>
      <c r="Z45" s="24">
        <v>6990072</v>
      </c>
      <c r="AA45" s="24">
        <v>699007</v>
      </c>
      <c r="AB45" s="24">
        <v>3495000</v>
      </c>
      <c r="AC45" s="24">
        <v>576675</v>
      </c>
      <c r="AD45" s="24">
        <v>922778</v>
      </c>
      <c r="AE45" s="24">
        <v>12683532</v>
      </c>
      <c r="AF45" s="24"/>
      <c r="AG45" s="24"/>
      <c r="AH45" s="24">
        <v>0</v>
      </c>
      <c r="AI45" s="24">
        <v>0</v>
      </c>
      <c r="AJ45" s="24">
        <v>12683532</v>
      </c>
      <c r="AK45" s="24">
        <v>11310167</v>
      </c>
    </row>
    <row r="46" spans="2:37" x14ac:dyDescent="0.55000000000000004">
      <c r="B46" s="27" t="s">
        <v>646</v>
      </c>
      <c r="C46" s="27" t="s">
        <v>65</v>
      </c>
      <c r="D46" s="10" t="s">
        <v>731</v>
      </c>
      <c r="E46" s="10" t="s">
        <v>659</v>
      </c>
      <c r="F46" s="10" t="s">
        <v>680</v>
      </c>
      <c r="G46" s="10" t="s">
        <v>683</v>
      </c>
      <c r="H46" s="10" t="s">
        <v>683</v>
      </c>
      <c r="I46" s="28">
        <v>142767</v>
      </c>
      <c r="J46" s="28">
        <v>699</v>
      </c>
      <c r="K46" s="28"/>
      <c r="L46" s="24">
        <v>25</v>
      </c>
      <c r="M46" s="31">
        <f t="shared" si="1"/>
        <v>3.5765379113018601E-2</v>
      </c>
      <c r="N46" s="24">
        <v>61750000</v>
      </c>
      <c r="O46" s="24">
        <v>4322500</v>
      </c>
      <c r="P46" s="24"/>
      <c r="Q46" s="24">
        <v>57427500</v>
      </c>
      <c r="R46" s="24">
        <v>25365750</v>
      </c>
      <c r="S46" s="412">
        <f t="shared" si="2"/>
        <v>0.41078137651821861</v>
      </c>
      <c r="T46" s="412"/>
      <c r="U46" s="412"/>
      <c r="V46" s="412"/>
      <c r="W46" s="24"/>
      <c r="X46" s="24"/>
      <c r="Y46" s="24">
        <v>25365750</v>
      </c>
      <c r="Z46" s="24">
        <v>9091693</v>
      </c>
      <c r="AA46" s="24">
        <v>909169</v>
      </c>
      <c r="AB46" s="24">
        <v>5382605</v>
      </c>
      <c r="AC46" s="24">
        <v>888130</v>
      </c>
      <c r="AD46" s="24">
        <v>460614</v>
      </c>
      <c r="AE46" s="24">
        <v>16732211</v>
      </c>
      <c r="AF46" s="24"/>
      <c r="AG46" s="24"/>
      <c r="AH46" s="24">
        <v>0</v>
      </c>
      <c r="AI46" s="24">
        <v>0</v>
      </c>
      <c r="AJ46" s="24">
        <v>16732211</v>
      </c>
      <c r="AK46" s="24">
        <v>8633539</v>
      </c>
    </row>
    <row r="47" spans="2:37" x14ac:dyDescent="0.55000000000000004">
      <c r="B47" s="27" t="s">
        <v>646</v>
      </c>
      <c r="C47" s="27" t="s">
        <v>65</v>
      </c>
      <c r="D47" s="10" t="s">
        <v>732</v>
      </c>
      <c r="E47" s="10" t="s">
        <v>677</v>
      </c>
      <c r="F47" s="10" t="s">
        <v>680</v>
      </c>
      <c r="G47" s="10" t="s">
        <v>696</v>
      </c>
      <c r="H47" s="10" t="s">
        <v>696</v>
      </c>
      <c r="I47" s="28">
        <v>72731</v>
      </c>
      <c r="J47" s="28">
        <v>479</v>
      </c>
      <c r="K47" s="28"/>
      <c r="L47" s="24">
        <v>71</v>
      </c>
      <c r="M47" s="31">
        <f t="shared" si="1"/>
        <v>0.14822546972860126</v>
      </c>
      <c r="N47" s="24">
        <v>115131334</v>
      </c>
      <c r="O47" s="24">
        <v>8227168</v>
      </c>
      <c r="P47" s="24"/>
      <c r="Q47" s="24">
        <v>106904166</v>
      </c>
      <c r="R47" s="24">
        <v>53452083</v>
      </c>
      <c r="S47" s="412">
        <f t="shared" si="2"/>
        <v>0.46427050866969022</v>
      </c>
      <c r="T47" s="412"/>
      <c r="U47" s="412"/>
      <c r="V47" s="412"/>
      <c r="W47" s="24"/>
      <c r="X47" s="24"/>
      <c r="Y47" s="24">
        <v>53452083</v>
      </c>
      <c r="Z47" s="24">
        <v>5160675</v>
      </c>
      <c r="AA47" s="24">
        <v>516068</v>
      </c>
      <c r="AB47" s="24">
        <v>5825000</v>
      </c>
      <c r="AC47" s="24">
        <v>961125</v>
      </c>
      <c r="AD47" s="24">
        <v>921145</v>
      </c>
      <c r="AE47" s="24">
        <v>13384013</v>
      </c>
      <c r="AF47" s="24"/>
      <c r="AG47" s="24"/>
      <c r="AH47" s="24">
        <v>0</v>
      </c>
      <c r="AI47" s="24">
        <v>0</v>
      </c>
      <c r="AJ47" s="24">
        <v>13384013</v>
      </c>
      <c r="AK47" s="24">
        <v>40068071</v>
      </c>
    </row>
    <row r="48" spans="2:37" x14ac:dyDescent="0.55000000000000004">
      <c r="B48" s="27" t="s">
        <v>646</v>
      </c>
      <c r="C48" s="27" t="s">
        <v>65</v>
      </c>
      <c r="D48" s="10" t="s">
        <v>733</v>
      </c>
      <c r="E48" s="10" t="s">
        <v>734</v>
      </c>
      <c r="F48" s="10" t="s">
        <v>644</v>
      </c>
      <c r="G48" s="10" t="s">
        <v>735</v>
      </c>
      <c r="H48" s="10" t="s">
        <v>735</v>
      </c>
      <c r="I48" s="28">
        <v>71910</v>
      </c>
      <c r="J48" s="28">
        <v>666</v>
      </c>
      <c r="K48" s="28"/>
      <c r="L48" s="24">
        <v>16</v>
      </c>
      <c r="M48" s="31">
        <f t="shared" si="1"/>
        <v>2.4024024024024024E-2</v>
      </c>
      <c r="N48" s="24">
        <v>75340000</v>
      </c>
      <c r="O48" s="24">
        <v>5542229</v>
      </c>
      <c r="P48" s="24"/>
      <c r="Q48" s="24">
        <v>69797771</v>
      </c>
      <c r="R48" s="24">
        <v>34898886</v>
      </c>
      <c r="S48" s="412">
        <f t="shared" si="2"/>
        <v>0.4632185558800106</v>
      </c>
      <c r="T48" s="412"/>
      <c r="U48" s="412"/>
      <c r="V48" s="412"/>
      <c r="W48" s="24"/>
      <c r="X48" s="24"/>
      <c r="Y48" s="24">
        <v>34898885</v>
      </c>
      <c r="Z48" s="24">
        <v>3824990</v>
      </c>
      <c r="AA48" s="24">
        <v>382499</v>
      </c>
      <c r="AB48" s="24">
        <v>5825000</v>
      </c>
      <c r="AC48" s="24">
        <v>961125</v>
      </c>
      <c r="AD48" s="24">
        <v>1371446</v>
      </c>
      <c r="AE48" s="24">
        <v>12365060</v>
      </c>
      <c r="AF48" s="24"/>
      <c r="AG48" s="24"/>
      <c r="AH48" s="24">
        <v>0</v>
      </c>
      <c r="AI48" s="24">
        <v>0</v>
      </c>
      <c r="AJ48" s="24">
        <v>12365060</v>
      </c>
      <c r="AK48" s="24">
        <v>22533825</v>
      </c>
    </row>
    <row r="49" spans="1:37" x14ac:dyDescent="0.55000000000000004">
      <c r="B49" s="27" t="s">
        <v>646</v>
      </c>
      <c r="C49" s="27" t="s">
        <v>65</v>
      </c>
      <c r="D49" s="10" t="s">
        <v>736</v>
      </c>
      <c r="E49" s="10" t="s">
        <v>665</v>
      </c>
      <c r="F49" s="10" t="s">
        <v>698</v>
      </c>
      <c r="G49" s="10" t="s">
        <v>666</v>
      </c>
      <c r="H49" s="10" t="s">
        <v>666</v>
      </c>
      <c r="I49" s="28">
        <v>158739</v>
      </c>
      <c r="J49" s="28">
        <v>1303</v>
      </c>
      <c r="K49" s="28"/>
      <c r="L49" s="24">
        <v>42</v>
      </c>
      <c r="M49" s="31">
        <f t="shared" si="1"/>
        <v>3.2233307751343053E-2</v>
      </c>
      <c r="N49" s="24">
        <v>122480000</v>
      </c>
      <c r="O49" s="24">
        <v>8239938</v>
      </c>
      <c r="P49" s="24"/>
      <c r="Q49" s="24">
        <v>114240062</v>
      </c>
      <c r="R49" s="24">
        <v>68544037</v>
      </c>
      <c r="S49" s="412">
        <f t="shared" si="2"/>
        <v>0.55963452808621816</v>
      </c>
      <c r="T49" s="412"/>
      <c r="U49" s="412"/>
      <c r="V49" s="412"/>
      <c r="W49" s="24"/>
      <c r="X49" s="24"/>
      <c r="Y49" s="24">
        <v>45696025</v>
      </c>
      <c r="Z49" s="24">
        <v>4010360</v>
      </c>
      <c r="AA49" s="24">
        <v>401036</v>
      </c>
      <c r="AB49" s="24">
        <v>6990000</v>
      </c>
      <c r="AC49" s="24">
        <v>1153350</v>
      </c>
      <c r="AD49" s="24">
        <v>1890668</v>
      </c>
      <c r="AE49" s="24">
        <v>14445414</v>
      </c>
      <c r="AF49" s="24"/>
      <c r="AG49" s="24"/>
      <c r="AH49" s="24">
        <v>0</v>
      </c>
      <c r="AI49" s="24">
        <v>0</v>
      </c>
      <c r="AJ49" s="24">
        <v>14445414</v>
      </c>
      <c r="AK49" s="24">
        <v>31250611</v>
      </c>
    </row>
    <row r="50" spans="1:37" x14ac:dyDescent="0.55000000000000004">
      <c r="B50" s="27" t="s">
        <v>646</v>
      </c>
      <c r="C50" s="27" t="s">
        <v>65</v>
      </c>
      <c r="D50" s="10" t="s">
        <v>737</v>
      </c>
      <c r="E50" s="10" t="s">
        <v>738</v>
      </c>
      <c r="F50" s="10" t="s">
        <v>644</v>
      </c>
      <c r="G50" s="10" t="s">
        <v>738</v>
      </c>
      <c r="H50" s="10" t="s">
        <v>738</v>
      </c>
      <c r="I50" s="28">
        <v>115768</v>
      </c>
      <c r="J50" s="28">
        <v>912</v>
      </c>
      <c r="K50" s="28"/>
      <c r="L50" s="24">
        <v>55</v>
      </c>
      <c r="M50" s="31">
        <f t="shared" si="1"/>
        <v>6.0307017543859649E-2</v>
      </c>
      <c r="N50" s="24">
        <v>136698000</v>
      </c>
      <c r="O50" s="24">
        <v>9568860</v>
      </c>
      <c r="P50" s="24"/>
      <c r="Q50" s="24">
        <v>127129140</v>
      </c>
      <c r="R50" s="24">
        <v>77612220</v>
      </c>
      <c r="S50" s="412">
        <f t="shared" si="2"/>
        <v>0.56776412237194396</v>
      </c>
      <c r="T50" s="412"/>
      <c r="U50" s="412"/>
      <c r="V50" s="412"/>
      <c r="W50" s="24"/>
      <c r="X50" s="24"/>
      <c r="Y50" s="24">
        <v>49516920</v>
      </c>
      <c r="Z50" s="24">
        <v>5118186</v>
      </c>
      <c r="AA50" s="24">
        <v>511819</v>
      </c>
      <c r="AB50" s="24">
        <v>4659063</v>
      </c>
      <c r="AC50" s="24">
        <v>768745</v>
      </c>
      <c r="AD50" s="24">
        <v>1922265</v>
      </c>
      <c r="AE50" s="24">
        <v>12980078</v>
      </c>
      <c r="AF50" s="24"/>
      <c r="AG50" s="24"/>
      <c r="AH50" s="24">
        <v>0</v>
      </c>
      <c r="AI50" s="24">
        <v>1486000</v>
      </c>
      <c r="AJ50" s="24">
        <v>14466078</v>
      </c>
      <c r="AK50" s="24">
        <v>35050842</v>
      </c>
    </row>
    <row r="51" spans="1:37" x14ac:dyDescent="0.55000000000000004">
      <c r="B51" s="27" t="s">
        <v>646</v>
      </c>
      <c r="C51" s="27" t="s">
        <v>65</v>
      </c>
      <c r="D51" s="10" t="s">
        <v>739</v>
      </c>
      <c r="E51" s="10" t="s">
        <v>740</v>
      </c>
      <c r="F51" s="10" t="s">
        <v>644</v>
      </c>
      <c r="G51" s="10" t="s">
        <v>741</v>
      </c>
      <c r="H51" s="10" t="s">
        <v>741</v>
      </c>
      <c r="I51" s="28">
        <v>72106</v>
      </c>
      <c r="J51" s="28">
        <v>579</v>
      </c>
      <c r="K51" s="28"/>
      <c r="L51" s="24">
        <v>29</v>
      </c>
      <c r="M51" s="31">
        <f t="shared" si="1"/>
        <v>5.0086355785837651E-2</v>
      </c>
      <c r="N51" s="24">
        <v>83900000</v>
      </c>
      <c r="O51" s="24">
        <v>5390702</v>
      </c>
      <c r="P51" s="24"/>
      <c r="Q51" s="24">
        <v>78509298</v>
      </c>
      <c r="R51" s="24">
        <v>47105579</v>
      </c>
      <c r="S51" s="412">
        <f t="shared" si="2"/>
        <v>0.56144909415971389</v>
      </c>
      <c r="T51" s="412"/>
      <c r="U51" s="412"/>
      <c r="V51" s="412"/>
      <c r="W51" s="24"/>
      <c r="X51" s="24"/>
      <c r="Y51" s="24">
        <v>31403719</v>
      </c>
      <c r="Z51" s="24">
        <v>5352026</v>
      </c>
      <c r="AA51" s="24">
        <v>535203</v>
      </c>
      <c r="AB51" s="24">
        <v>5824205</v>
      </c>
      <c r="AC51" s="24">
        <v>960994</v>
      </c>
      <c r="AD51" s="24">
        <v>1946999</v>
      </c>
      <c r="AE51" s="24">
        <v>14619427</v>
      </c>
      <c r="AF51" s="24"/>
      <c r="AG51" s="24"/>
      <c r="AH51" s="24">
        <v>0</v>
      </c>
      <c r="AI51" s="24">
        <v>0</v>
      </c>
      <c r="AJ51" s="24">
        <v>14619427</v>
      </c>
      <c r="AK51" s="24">
        <v>16784292</v>
      </c>
    </row>
    <row r="52" spans="1:37" x14ac:dyDescent="0.55000000000000004">
      <c r="B52" s="27" t="s">
        <v>646</v>
      </c>
      <c r="C52" s="27" t="s">
        <v>65</v>
      </c>
      <c r="D52" s="10" t="s">
        <v>742</v>
      </c>
      <c r="E52" s="10" t="s">
        <v>656</v>
      </c>
      <c r="F52" s="10" t="s">
        <v>728</v>
      </c>
      <c r="G52" s="10" t="s">
        <v>701</v>
      </c>
      <c r="H52" s="10" t="s">
        <v>701</v>
      </c>
      <c r="I52" s="28">
        <v>90159</v>
      </c>
      <c r="J52" s="28">
        <v>692</v>
      </c>
      <c r="K52" s="28"/>
      <c r="L52" s="24">
        <v>104</v>
      </c>
      <c r="M52" s="31">
        <f t="shared" si="1"/>
        <v>0.15028901734104047</v>
      </c>
      <c r="N52" s="24">
        <v>202432400</v>
      </c>
      <c r="O52" s="24">
        <v>12719817</v>
      </c>
      <c r="P52" s="24"/>
      <c r="Q52" s="24">
        <v>189712583</v>
      </c>
      <c r="R52" s="24">
        <v>113827550</v>
      </c>
      <c r="S52" s="412">
        <f t="shared" si="2"/>
        <v>0.56229906872615254</v>
      </c>
      <c r="T52" s="412"/>
      <c r="U52" s="412"/>
      <c r="V52" s="412"/>
      <c r="W52" s="24"/>
      <c r="X52" s="24"/>
      <c r="Y52" s="24">
        <v>75885033</v>
      </c>
      <c r="Z52" s="24">
        <v>6046128</v>
      </c>
      <c r="AA52" s="24">
        <v>604613</v>
      </c>
      <c r="AB52" s="24">
        <v>7001955</v>
      </c>
      <c r="AC52" s="24">
        <v>1155323</v>
      </c>
      <c r="AD52" s="24">
        <v>1979933</v>
      </c>
      <c r="AE52" s="24">
        <v>16787952</v>
      </c>
      <c r="AF52" s="24"/>
      <c r="AG52" s="24"/>
      <c r="AH52" s="24">
        <v>0</v>
      </c>
      <c r="AI52" s="24">
        <v>0</v>
      </c>
      <c r="AJ52" s="24">
        <v>16787952</v>
      </c>
      <c r="AK52" s="24">
        <v>59097081</v>
      </c>
    </row>
    <row r="53" spans="1:37" x14ac:dyDescent="0.55000000000000004">
      <c r="B53" s="27" t="s">
        <v>646</v>
      </c>
      <c r="C53" s="27" t="s">
        <v>65</v>
      </c>
      <c r="D53" s="10" t="s">
        <v>743</v>
      </c>
      <c r="E53" s="10" t="s">
        <v>659</v>
      </c>
      <c r="F53" s="10" t="s">
        <v>644</v>
      </c>
      <c r="G53" s="10" t="s">
        <v>744</v>
      </c>
      <c r="H53" s="10" t="s">
        <v>744</v>
      </c>
      <c r="I53" s="28">
        <v>131237</v>
      </c>
      <c r="J53" s="28">
        <v>909</v>
      </c>
      <c r="K53" s="28"/>
      <c r="L53" s="24">
        <v>131</v>
      </c>
      <c r="M53" s="31">
        <f t="shared" si="1"/>
        <v>0.14411441144114412</v>
      </c>
      <c r="N53" s="24">
        <v>175450000</v>
      </c>
      <c r="O53" s="24">
        <v>12281500</v>
      </c>
      <c r="P53" s="24"/>
      <c r="Q53" s="24">
        <v>163168500</v>
      </c>
      <c r="R53" s="24">
        <v>79491750</v>
      </c>
      <c r="S53" s="412">
        <f t="shared" si="2"/>
        <v>0.45307352522086064</v>
      </c>
      <c r="T53" s="412"/>
      <c r="U53" s="412"/>
      <c r="V53" s="412"/>
      <c r="W53" s="24"/>
      <c r="X53" s="24"/>
      <c r="Y53" s="24">
        <v>71676750</v>
      </c>
      <c r="Z53" s="24">
        <v>6162723</v>
      </c>
      <c r="AA53" s="24">
        <v>616272</v>
      </c>
      <c r="AB53" s="24">
        <v>5833311</v>
      </c>
      <c r="AC53" s="24">
        <v>962496</v>
      </c>
      <c r="AD53" s="24">
        <v>1497424</v>
      </c>
      <c r="AE53" s="24">
        <v>15072227</v>
      </c>
      <c r="AF53" s="24"/>
      <c r="AG53" s="24"/>
      <c r="AH53" s="24">
        <v>0</v>
      </c>
      <c r="AI53" s="24">
        <v>0</v>
      </c>
      <c r="AJ53" s="24">
        <v>15072227</v>
      </c>
      <c r="AK53" s="24">
        <v>56604523</v>
      </c>
    </row>
    <row r="54" spans="1:37" x14ac:dyDescent="0.55000000000000004">
      <c r="B54" s="27" t="s">
        <v>646</v>
      </c>
      <c r="C54" s="27" t="s">
        <v>65</v>
      </c>
      <c r="D54" s="10" t="s">
        <v>745</v>
      </c>
      <c r="E54" s="10" t="s">
        <v>650</v>
      </c>
      <c r="F54" s="10" t="s">
        <v>746</v>
      </c>
      <c r="G54" s="10" t="s">
        <v>747</v>
      </c>
      <c r="H54" s="10" t="s">
        <v>747</v>
      </c>
      <c r="I54" s="28">
        <v>140797</v>
      </c>
      <c r="J54" s="28">
        <v>1167</v>
      </c>
      <c r="K54" s="28"/>
      <c r="L54" s="24">
        <v>204</v>
      </c>
      <c r="M54" s="31">
        <f t="shared" si="1"/>
        <v>0.17480719794344474</v>
      </c>
      <c r="N54" s="24">
        <v>655704308</v>
      </c>
      <c r="O54" s="24">
        <v>45947054</v>
      </c>
      <c r="P54" s="24"/>
      <c r="Q54" s="24">
        <v>609757254</v>
      </c>
      <c r="R54" s="24">
        <v>437624276</v>
      </c>
      <c r="S54" s="412">
        <f t="shared" si="2"/>
        <v>0.66741101234308198</v>
      </c>
      <c r="T54" s="412"/>
      <c r="U54" s="412"/>
      <c r="V54" s="412"/>
      <c r="W54" s="24"/>
      <c r="X54" s="24"/>
      <c r="Y54" s="24">
        <v>172132978</v>
      </c>
      <c r="Z54" s="24">
        <v>10062282</v>
      </c>
      <c r="AA54" s="24">
        <v>1006228</v>
      </c>
      <c r="AB54" s="24">
        <v>6988379</v>
      </c>
      <c r="AC54" s="24">
        <v>1153083</v>
      </c>
      <c r="AD54" s="24">
        <v>2520011</v>
      </c>
      <c r="AE54" s="24">
        <v>21729983</v>
      </c>
      <c r="AF54" s="24"/>
      <c r="AG54" s="24"/>
      <c r="AH54" s="24">
        <v>0</v>
      </c>
      <c r="AI54" s="24">
        <v>0</v>
      </c>
      <c r="AJ54" s="24">
        <v>21729983</v>
      </c>
      <c r="AK54" s="24">
        <v>150402995</v>
      </c>
    </row>
    <row r="55" spans="1:37" x14ac:dyDescent="0.55000000000000004">
      <c r="B55" s="27" t="s">
        <v>646</v>
      </c>
      <c r="C55" s="27" t="s">
        <v>65</v>
      </c>
      <c r="D55" s="10" t="s">
        <v>748</v>
      </c>
      <c r="E55" s="10" t="s">
        <v>749</v>
      </c>
      <c r="F55" s="10" t="s">
        <v>644</v>
      </c>
      <c r="G55" s="10" t="s">
        <v>750</v>
      </c>
      <c r="H55" s="10" t="s">
        <v>750</v>
      </c>
      <c r="I55" s="28">
        <v>67338</v>
      </c>
      <c r="J55" s="28">
        <v>481</v>
      </c>
      <c r="K55" s="28"/>
      <c r="L55" s="24">
        <v>4</v>
      </c>
      <c r="M55" s="31">
        <f t="shared" si="1"/>
        <v>8.3160083160083165E-3</v>
      </c>
      <c r="N55" s="24">
        <v>6405930</v>
      </c>
      <c r="O55" s="24">
        <v>354070</v>
      </c>
      <c r="P55" s="24"/>
      <c r="Q55" s="24">
        <v>6051860</v>
      </c>
      <c r="R55" s="24">
        <v>3025930</v>
      </c>
      <c r="S55" s="412">
        <f t="shared" si="2"/>
        <v>0.47236388783517774</v>
      </c>
      <c r="T55" s="412"/>
      <c r="U55" s="412"/>
      <c r="V55" s="412"/>
      <c r="W55" s="24"/>
      <c r="X55" s="24"/>
      <c r="Y55" s="24">
        <v>3025930</v>
      </c>
      <c r="Z55" s="24">
        <v>6002894</v>
      </c>
      <c r="AA55" s="24">
        <v>600289</v>
      </c>
      <c r="AB55" s="24">
        <v>4658850</v>
      </c>
      <c r="AC55" s="24">
        <v>768710</v>
      </c>
      <c r="AD55" s="24">
        <v>1516250</v>
      </c>
      <c r="AE55" s="24">
        <v>13546994</v>
      </c>
      <c r="AF55" s="24"/>
      <c r="AG55" s="24"/>
      <c r="AH55" s="24">
        <v>728750</v>
      </c>
      <c r="AI55" s="24">
        <v>0</v>
      </c>
      <c r="AJ55" s="24">
        <v>14275744</v>
      </c>
      <c r="AK55" s="24">
        <v>-11249814</v>
      </c>
    </row>
    <row r="56" spans="1:37" x14ac:dyDescent="0.55000000000000004">
      <c r="B56" s="27" t="s">
        <v>646</v>
      </c>
      <c r="C56" s="27" t="s">
        <v>65</v>
      </c>
      <c r="D56" s="10" t="s">
        <v>751</v>
      </c>
      <c r="E56" s="10" t="s">
        <v>752</v>
      </c>
      <c r="F56" s="10" t="s">
        <v>644</v>
      </c>
      <c r="G56" s="10" t="s">
        <v>753</v>
      </c>
      <c r="H56" s="10" t="s">
        <v>753</v>
      </c>
      <c r="I56" s="28">
        <v>73180</v>
      </c>
      <c r="J56" s="28">
        <v>930</v>
      </c>
      <c r="K56" s="28"/>
      <c r="L56" s="24">
        <v>109</v>
      </c>
      <c r="M56" s="31">
        <f t="shared" si="1"/>
        <v>0.11720430107526882</v>
      </c>
      <c r="N56" s="24">
        <v>287370000</v>
      </c>
      <c r="O56" s="24">
        <v>19773120</v>
      </c>
      <c r="P56" s="24"/>
      <c r="Q56" s="24">
        <v>267596880</v>
      </c>
      <c r="R56" s="24">
        <v>133798440</v>
      </c>
      <c r="S56" s="412">
        <f t="shared" si="2"/>
        <v>0.46559640881094061</v>
      </c>
      <c r="T56" s="412"/>
      <c r="U56" s="412"/>
      <c r="V56" s="412"/>
      <c r="W56" s="24"/>
      <c r="X56" s="24"/>
      <c r="Y56" s="24">
        <v>133798440</v>
      </c>
      <c r="Z56" s="24">
        <v>5960578</v>
      </c>
      <c r="AA56" s="24">
        <v>596058</v>
      </c>
      <c r="AB56" s="24">
        <v>4659809</v>
      </c>
      <c r="AC56" s="24">
        <v>768868</v>
      </c>
      <c r="AD56" s="24">
        <v>1524269</v>
      </c>
      <c r="AE56" s="24">
        <v>13509582</v>
      </c>
      <c r="AF56" s="24"/>
      <c r="AG56" s="24"/>
      <c r="AH56" s="24">
        <v>522500</v>
      </c>
      <c r="AI56" s="24">
        <v>0</v>
      </c>
      <c r="AJ56" s="24">
        <v>14032082</v>
      </c>
      <c r="AK56" s="24">
        <v>119766358</v>
      </c>
    </row>
    <row r="57" spans="1:37" x14ac:dyDescent="0.55000000000000004">
      <c r="B57" s="27" t="s">
        <v>646</v>
      </c>
      <c r="C57" s="27" t="s">
        <v>65</v>
      </c>
      <c r="D57" s="10" t="s">
        <v>754</v>
      </c>
      <c r="E57" s="10" t="s">
        <v>722</v>
      </c>
      <c r="F57" s="10" t="s">
        <v>662</v>
      </c>
      <c r="G57" s="10" t="s">
        <v>723</v>
      </c>
      <c r="H57" s="10" t="s">
        <v>723</v>
      </c>
      <c r="I57" s="28">
        <v>105152</v>
      </c>
      <c r="J57" s="28">
        <v>1110</v>
      </c>
      <c r="K57" s="28"/>
      <c r="L57" s="24">
        <v>124</v>
      </c>
      <c r="M57" s="31">
        <f t="shared" si="1"/>
        <v>0.11171171171171171</v>
      </c>
      <c r="N57" s="24">
        <v>314314999</v>
      </c>
      <c r="O57" s="24">
        <v>21995887</v>
      </c>
      <c r="P57" s="24"/>
      <c r="Q57" s="24">
        <v>292319112</v>
      </c>
      <c r="R57" s="24">
        <v>190614028</v>
      </c>
      <c r="S57" s="412">
        <f t="shared" si="2"/>
        <v>0.60644267249874384</v>
      </c>
      <c r="T57" s="412"/>
      <c r="U57" s="412"/>
      <c r="V57" s="412"/>
      <c r="W57" s="24"/>
      <c r="X57" s="24"/>
      <c r="Y57" s="24">
        <v>101705084</v>
      </c>
      <c r="Z57" s="24">
        <v>6789902</v>
      </c>
      <c r="AA57" s="24">
        <v>678990</v>
      </c>
      <c r="AB57" s="24">
        <v>6985799</v>
      </c>
      <c r="AC57" s="24">
        <v>1152657</v>
      </c>
      <c r="AD57" s="24">
        <v>2066377</v>
      </c>
      <c r="AE57" s="24">
        <v>17673725</v>
      </c>
      <c r="AF57" s="24"/>
      <c r="AG57" s="24"/>
      <c r="AH57" s="24">
        <v>0</v>
      </c>
      <c r="AI57" s="24">
        <v>0</v>
      </c>
      <c r="AJ57" s="24">
        <v>17673725</v>
      </c>
      <c r="AK57" s="24">
        <v>84031359</v>
      </c>
    </row>
    <row r="58" spans="1:37" x14ac:dyDescent="0.55000000000000004">
      <c r="B58" s="27" t="s">
        <v>646</v>
      </c>
      <c r="C58" s="27" t="s">
        <v>65</v>
      </c>
      <c r="D58" s="10" t="s">
        <v>755</v>
      </c>
      <c r="E58" s="10" t="s">
        <v>756</v>
      </c>
      <c r="F58" s="10" t="s">
        <v>698</v>
      </c>
      <c r="G58" s="10" t="s">
        <v>757</v>
      </c>
      <c r="H58" s="10" t="s">
        <v>757</v>
      </c>
      <c r="I58" s="28">
        <v>79380</v>
      </c>
      <c r="J58" s="28">
        <v>709</v>
      </c>
      <c r="K58" s="28"/>
      <c r="L58" s="24">
        <v>45</v>
      </c>
      <c r="M58" s="31">
        <f t="shared" si="1"/>
        <v>6.3469675599435824E-2</v>
      </c>
      <c r="N58" s="24">
        <v>80550000</v>
      </c>
      <c r="O58" s="24">
        <v>5409499</v>
      </c>
      <c r="P58" s="24"/>
      <c r="Q58" s="24">
        <v>75140501</v>
      </c>
      <c r="R58" s="24">
        <v>45084301</v>
      </c>
      <c r="S58" s="412">
        <f t="shared" si="2"/>
        <v>0.55970578522656733</v>
      </c>
      <c r="T58" s="412"/>
      <c r="U58" s="412"/>
      <c r="V58" s="412"/>
      <c r="W58" s="24"/>
      <c r="X58" s="24"/>
      <c r="Y58" s="24">
        <v>30056200</v>
      </c>
      <c r="Z58" s="24">
        <v>4388027</v>
      </c>
      <c r="AA58" s="24">
        <v>438803</v>
      </c>
      <c r="AB58" s="24">
        <v>4653830</v>
      </c>
      <c r="AC58" s="24">
        <v>767882</v>
      </c>
      <c r="AD58" s="24">
        <v>2084395</v>
      </c>
      <c r="AE58" s="24">
        <v>12332937</v>
      </c>
      <c r="AF58" s="24"/>
      <c r="AG58" s="24"/>
      <c r="AH58" s="24">
        <v>0</v>
      </c>
      <c r="AI58" s="24">
        <v>0</v>
      </c>
      <c r="AJ58" s="24">
        <v>12332937</v>
      </c>
      <c r="AK58" s="24">
        <v>17723264</v>
      </c>
    </row>
    <row r="59" spans="1:37" x14ac:dyDescent="0.55000000000000004">
      <c r="B59" s="27" t="s">
        <v>646</v>
      </c>
      <c r="C59" s="27" t="s">
        <v>65</v>
      </c>
      <c r="D59" s="10" t="s">
        <v>758</v>
      </c>
      <c r="E59" s="10" t="s">
        <v>759</v>
      </c>
      <c r="F59" s="10" t="s">
        <v>644</v>
      </c>
      <c r="G59" s="10" t="s">
        <v>760</v>
      </c>
      <c r="H59" s="10" t="s">
        <v>760</v>
      </c>
      <c r="I59" s="28">
        <v>110547</v>
      </c>
      <c r="J59" s="28">
        <v>818</v>
      </c>
      <c r="K59" s="28"/>
      <c r="L59" s="24">
        <v>26</v>
      </c>
      <c r="M59" s="31">
        <f t="shared" si="1"/>
        <v>3.1784841075794622E-2</v>
      </c>
      <c r="N59" s="24">
        <v>28840000</v>
      </c>
      <c r="O59" s="24">
        <v>1486900</v>
      </c>
      <c r="P59" s="24"/>
      <c r="Q59" s="24">
        <v>27353100</v>
      </c>
      <c r="R59" s="24">
        <v>19826255</v>
      </c>
      <c r="S59" s="412">
        <f t="shared" si="2"/>
        <v>0.68745683079056863</v>
      </c>
      <c r="T59" s="412"/>
      <c r="U59" s="412"/>
      <c r="V59" s="412"/>
      <c r="W59" s="24"/>
      <c r="X59" s="24"/>
      <c r="Y59" s="24">
        <v>7526845</v>
      </c>
      <c r="Z59" s="24">
        <v>5565326</v>
      </c>
      <c r="AA59" s="24">
        <v>556533</v>
      </c>
      <c r="AB59" s="24">
        <v>5820398</v>
      </c>
      <c r="AC59" s="24">
        <v>960366</v>
      </c>
      <c r="AD59" s="24">
        <v>2126453</v>
      </c>
      <c r="AE59" s="24">
        <v>15029076</v>
      </c>
      <c r="AF59" s="24"/>
      <c r="AG59" s="24"/>
      <c r="AH59" s="24">
        <v>0</v>
      </c>
      <c r="AI59" s="24">
        <v>0</v>
      </c>
      <c r="AJ59" s="24">
        <v>15029076</v>
      </c>
      <c r="AK59" s="24">
        <v>-7502231</v>
      </c>
    </row>
    <row r="60" spans="1:37" x14ac:dyDescent="0.55000000000000004">
      <c r="B60" s="27" t="s">
        <v>646</v>
      </c>
      <c r="C60" s="27" t="s">
        <v>65</v>
      </c>
      <c r="D60" s="10" t="s">
        <v>761</v>
      </c>
      <c r="E60" s="10" t="s">
        <v>762</v>
      </c>
      <c r="F60" s="10" t="s">
        <v>728</v>
      </c>
      <c r="G60" s="10" t="s">
        <v>763</v>
      </c>
      <c r="H60" s="10" t="s">
        <v>763</v>
      </c>
      <c r="I60" s="28">
        <v>128757</v>
      </c>
      <c r="J60" s="28">
        <v>828</v>
      </c>
      <c r="K60" s="28"/>
      <c r="L60" s="24">
        <v>34</v>
      </c>
      <c r="M60" s="31">
        <f t="shared" si="1"/>
        <v>4.1062801932367152E-2</v>
      </c>
      <c r="N60" s="24">
        <v>115483333</v>
      </c>
      <c r="O60" s="24">
        <v>7916092</v>
      </c>
      <c r="P60" s="24"/>
      <c r="Q60" s="24">
        <v>107567241</v>
      </c>
      <c r="R60" s="24">
        <v>60000000</v>
      </c>
      <c r="S60" s="412">
        <f t="shared" si="2"/>
        <v>0.51955549291255732</v>
      </c>
      <c r="T60" s="412"/>
      <c r="U60" s="412"/>
      <c r="V60" s="412"/>
      <c r="W60" s="24"/>
      <c r="X60" s="24"/>
      <c r="Y60" s="24">
        <v>47567241</v>
      </c>
      <c r="Z60" s="24">
        <v>7087285</v>
      </c>
      <c r="AA60" s="24">
        <v>708729</v>
      </c>
      <c r="AB60" s="24">
        <v>7336776</v>
      </c>
      <c r="AC60" s="24">
        <v>1210568</v>
      </c>
      <c r="AD60" s="24">
        <v>1607858</v>
      </c>
      <c r="AE60" s="24">
        <v>17951216</v>
      </c>
      <c r="AF60" s="24"/>
      <c r="AG60" s="24"/>
      <c r="AH60" s="24">
        <v>0</v>
      </c>
      <c r="AI60" s="24">
        <v>0</v>
      </c>
      <c r="AJ60" s="24">
        <v>17951216</v>
      </c>
      <c r="AK60" s="24">
        <v>29616026</v>
      </c>
    </row>
    <row r="61" spans="1:37" x14ac:dyDescent="0.55000000000000004">
      <c r="B61" s="27" t="s">
        <v>646</v>
      </c>
      <c r="C61" s="27" t="s">
        <v>65</v>
      </c>
      <c r="D61" s="10" t="s">
        <v>764</v>
      </c>
      <c r="E61" s="10" t="s">
        <v>677</v>
      </c>
      <c r="F61" s="10" t="s">
        <v>680</v>
      </c>
      <c r="G61" s="10" t="s">
        <v>696</v>
      </c>
      <c r="H61" s="10" t="s">
        <v>696</v>
      </c>
      <c r="I61" s="28">
        <v>59215</v>
      </c>
      <c r="J61" s="28">
        <v>453</v>
      </c>
      <c r="K61" s="28"/>
      <c r="L61" s="24">
        <v>107</v>
      </c>
      <c r="M61" s="31">
        <f t="shared" si="1"/>
        <v>0.23620309050772628</v>
      </c>
      <c r="N61" s="24">
        <v>214190000</v>
      </c>
      <c r="O61" s="24">
        <v>14039494</v>
      </c>
      <c r="P61" s="24"/>
      <c r="Q61" s="24">
        <v>200150506</v>
      </c>
      <c r="R61" s="24">
        <v>100075253</v>
      </c>
      <c r="S61" s="412">
        <f t="shared" si="2"/>
        <v>0.46722654185536205</v>
      </c>
      <c r="T61" s="412"/>
      <c r="U61" s="412"/>
      <c r="V61" s="412"/>
      <c r="W61" s="24"/>
      <c r="X61" s="24"/>
      <c r="Y61" s="24">
        <v>100075253</v>
      </c>
      <c r="Z61" s="24">
        <v>5837822</v>
      </c>
      <c r="AA61" s="24">
        <v>583782</v>
      </c>
      <c r="AB61" s="24">
        <v>5823602</v>
      </c>
      <c r="AC61" s="24">
        <v>960894</v>
      </c>
      <c r="AD61" s="24">
        <v>2147606</v>
      </c>
      <c r="AE61" s="24">
        <v>15353707</v>
      </c>
      <c r="AF61" s="24"/>
      <c r="AG61" s="24"/>
      <c r="AH61" s="24">
        <v>0</v>
      </c>
      <c r="AI61" s="24">
        <v>0</v>
      </c>
      <c r="AJ61" s="24">
        <v>15353707</v>
      </c>
      <c r="AK61" s="24">
        <v>84721546</v>
      </c>
    </row>
    <row r="62" spans="1:37" x14ac:dyDescent="0.55000000000000004">
      <c r="B62" s="27" t="s">
        <v>646</v>
      </c>
      <c r="C62" s="27" t="s">
        <v>65</v>
      </c>
      <c r="D62" s="10" t="s">
        <v>765</v>
      </c>
      <c r="E62" s="10" t="s">
        <v>766</v>
      </c>
      <c r="F62" s="10" t="s">
        <v>698</v>
      </c>
      <c r="G62" s="10" t="s">
        <v>767</v>
      </c>
      <c r="H62" s="10" t="s">
        <v>767</v>
      </c>
      <c r="I62" s="28">
        <v>185894</v>
      </c>
      <c r="J62" s="28">
        <v>725</v>
      </c>
      <c r="K62" s="28"/>
      <c r="L62" s="24">
        <v>58</v>
      </c>
      <c r="M62" s="31">
        <f t="shared" si="1"/>
        <v>0.08</v>
      </c>
      <c r="N62" s="24">
        <v>154620000</v>
      </c>
      <c r="O62" s="24">
        <v>11234698</v>
      </c>
      <c r="P62" s="24"/>
      <c r="Q62" s="24">
        <v>143385302</v>
      </c>
      <c r="R62" s="24">
        <v>70301641</v>
      </c>
      <c r="S62" s="412">
        <f t="shared" si="2"/>
        <v>0.45467365800025872</v>
      </c>
      <c r="T62" s="412"/>
      <c r="U62" s="412"/>
      <c r="V62" s="412"/>
      <c r="W62" s="24"/>
      <c r="X62" s="24"/>
      <c r="Y62" s="24">
        <v>70301641</v>
      </c>
      <c r="Z62" s="24"/>
      <c r="AA62" s="24"/>
      <c r="AB62" s="24">
        <v>8144509</v>
      </c>
      <c r="AC62" s="24">
        <v>1343844</v>
      </c>
      <c r="AD62" s="24"/>
      <c r="AE62" s="24">
        <v>9488353</v>
      </c>
      <c r="AF62" s="24"/>
      <c r="AG62" s="24"/>
      <c r="AH62" s="24">
        <v>0</v>
      </c>
      <c r="AI62" s="24">
        <v>0</v>
      </c>
      <c r="AJ62" s="24">
        <v>9488353</v>
      </c>
      <c r="AK62" s="24">
        <v>60813288</v>
      </c>
    </row>
    <row r="63" spans="1:37" x14ac:dyDescent="0.55000000000000004">
      <c r="A63">
        <v>2025</v>
      </c>
      <c r="B63" s="27" t="s">
        <v>3</v>
      </c>
      <c r="C63" s="27" t="s">
        <v>65</v>
      </c>
      <c r="D63" s="10" t="s">
        <v>768</v>
      </c>
      <c r="E63" s="10" t="s">
        <v>769</v>
      </c>
      <c r="F63" s="10" t="s">
        <v>644</v>
      </c>
      <c r="G63" s="10" t="s">
        <v>770</v>
      </c>
      <c r="H63" s="10" t="s">
        <v>770</v>
      </c>
      <c r="I63" s="28">
        <v>92214</v>
      </c>
      <c r="J63" s="28">
        <v>3000</v>
      </c>
      <c r="K63" s="28">
        <v>1203</v>
      </c>
      <c r="L63" s="24">
        <v>94</v>
      </c>
      <c r="M63" s="31">
        <f t="shared" si="1"/>
        <v>3.1333333333333331E-2</v>
      </c>
      <c r="N63" s="24">
        <v>194394000</v>
      </c>
      <c r="O63" s="24">
        <v>12805137</v>
      </c>
      <c r="P63" s="412">
        <f>O63/N63</f>
        <v>6.5872079385166205E-2</v>
      </c>
      <c r="Q63" s="24">
        <v>186710918</v>
      </c>
      <c r="R63" s="24">
        <v>112026551</v>
      </c>
      <c r="S63" s="412">
        <f>R63/Q63</f>
        <v>0.60000000107117468</v>
      </c>
      <c r="T63" s="28">
        <f>Q63*U63</f>
        <v>93355459</v>
      </c>
      <c r="U63" s="412">
        <v>0.5</v>
      </c>
      <c r="V63" s="412">
        <v>0</v>
      </c>
      <c r="W63" s="24">
        <v>0</v>
      </c>
      <c r="X63" s="24">
        <v>0</v>
      </c>
      <c r="Y63" s="24">
        <v>74684367</v>
      </c>
      <c r="Z63" s="24">
        <v>6567593</v>
      </c>
      <c r="AA63" s="24">
        <v>656759</v>
      </c>
      <c r="AB63" s="24">
        <v>4659193</v>
      </c>
      <c r="AC63" s="24">
        <v>768767</v>
      </c>
      <c r="AD63" s="24">
        <v>2355177</v>
      </c>
      <c r="AE63" s="24">
        <v>15007489</v>
      </c>
      <c r="AF63" s="24">
        <v>0</v>
      </c>
      <c r="AG63" s="24">
        <v>0</v>
      </c>
      <c r="AH63" s="24">
        <v>1141250</v>
      </c>
      <c r="AI63" s="24">
        <v>50000</v>
      </c>
      <c r="AJ63" s="24">
        <v>16198739</v>
      </c>
      <c r="AK63" s="24">
        <v>58485628</v>
      </c>
    </row>
    <row r="64" spans="1:37" x14ac:dyDescent="0.55000000000000004">
      <c r="A64">
        <v>2025</v>
      </c>
      <c r="B64" s="27" t="s">
        <v>771</v>
      </c>
      <c r="C64" s="27" t="s">
        <v>65</v>
      </c>
      <c r="D64" s="10" t="s">
        <v>772</v>
      </c>
      <c r="E64" s="10" t="s">
        <v>650</v>
      </c>
      <c r="F64" s="10" t="s">
        <v>773</v>
      </c>
      <c r="G64" s="10" t="s">
        <v>747</v>
      </c>
      <c r="H64" s="10" t="s">
        <v>747</v>
      </c>
      <c r="I64" s="28">
        <v>249946</v>
      </c>
      <c r="J64" s="28">
        <v>3000</v>
      </c>
      <c r="K64" s="28">
        <v>1251</v>
      </c>
      <c r="L64" s="24">
        <v>266</v>
      </c>
      <c r="M64" s="31">
        <f t="shared" si="1"/>
        <v>8.8666666666666671E-2</v>
      </c>
      <c r="N64" s="24">
        <v>774620001</v>
      </c>
      <c r="O64" s="24">
        <v>54035756</v>
      </c>
      <c r="P64" s="412">
        <f t="shared" ref="P64:P108" si="3">O64/N64</f>
        <v>6.975775984384891E-2</v>
      </c>
      <c r="Q64" s="24">
        <v>720584245</v>
      </c>
      <c r="R64" s="24">
        <v>519573781</v>
      </c>
      <c r="S64" s="412">
        <f t="shared" ref="S64:S108" si="4">R64/Q64</f>
        <v>0.72104515829373983</v>
      </c>
      <c r="T64" s="882">
        <f t="shared" ref="T64:T108" si="5">Q64*U64</f>
        <v>432350547</v>
      </c>
      <c r="U64" s="412">
        <v>0.6</v>
      </c>
      <c r="V64" s="412">
        <v>0</v>
      </c>
      <c r="W64" s="24">
        <v>0</v>
      </c>
      <c r="X64" s="24">
        <v>0</v>
      </c>
      <c r="Y64" s="24">
        <v>201010464</v>
      </c>
      <c r="Z64" s="24">
        <v>10160895</v>
      </c>
      <c r="AA64" s="24">
        <v>1016090</v>
      </c>
      <c r="AB64" s="24">
        <v>9316754</v>
      </c>
      <c r="AC64" s="24">
        <v>1537264</v>
      </c>
      <c r="AD64" s="24">
        <v>2354170</v>
      </c>
      <c r="AE64" s="24">
        <v>24385173</v>
      </c>
      <c r="AF64" s="24">
        <v>0</v>
      </c>
      <c r="AG64" s="24">
        <v>0</v>
      </c>
      <c r="AH64" s="24">
        <v>0</v>
      </c>
      <c r="AI64" s="24">
        <v>0</v>
      </c>
      <c r="AJ64" s="24">
        <v>24385173</v>
      </c>
      <c r="AK64" s="24">
        <v>176625291</v>
      </c>
    </row>
    <row r="65" spans="1:37" x14ac:dyDescent="0.55000000000000004">
      <c r="A65">
        <v>2025</v>
      </c>
      <c r="B65" s="27" t="s">
        <v>771</v>
      </c>
      <c r="C65" s="27" t="s">
        <v>65</v>
      </c>
      <c r="D65" s="10" t="s">
        <v>774</v>
      </c>
      <c r="E65" s="10" t="s">
        <v>719</v>
      </c>
      <c r="F65" s="10" t="s">
        <v>662</v>
      </c>
      <c r="G65" s="10" t="s">
        <v>720</v>
      </c>
      <c r="H65" s="10" t="s">
        <v>720</v>
      </c>
      <c r="I65" s="28">
        <v>170520</v>
      </c>
      <c r="J65" s="28">
        <v>3000</v>
      </c>
      <c r="K65" s="28">
        <v>2234</v>
      </c>
      <c r="L65" s="24">
        <v>90</v>
      </c>
      <c r="M65" s="31">
        <f t="shared" si="1"/>
        <v>0.03</v>
      </c>
      <c r="N65" s="24">
        <v>174641666</v>
      </c>
      <c r="O65" s="24">
        <v>10893157</v>
      </c>
      <c r="P65" s="412">
        <f t="shared" si="3"/>
        <v>6.2374330533470745E-2</v>
      </c>
      <c r="Q65" s="24">
        <v>163748509</v>
      </c>
      <c r="R65" s="24">
        <v>97129580</v>
      </c>
      <c r="S65" s="412">
        <f t="shared" si="4"/>
        <v>0.59316314141217619</v>
      </c>
      <c r="T65" s="28">
        <f t="shared" si="5"/>
        <v>98249105.399999991</v>
      </c>
      <c r="U65" s="412">
        <v>0.6</v>
      </c>
      <c r="V65" s="412">
        <v>0</v>
      </c>
      <c r="W65" s="24">
        <v>0</v>
      </c>
      <c r="X65" s="24">
        <v>0</v>
      </c>
      <c r="Y65" s="24">
        <v>66618929</v>
      </c>
      <c r="Z65" s="24">
        <v>6141473</v>
      </c>
      <c r="AA65" s="24">
        <v>614147</v>
      </c>
      <c r="AB65" s="24">
        <v>6989808</v>
      </c>
      <c r="AC65" s="24">
        <v>1153318</v>
      </c>
      <c r="AD65" s="24">
        <v>2356050</v>
      </c>
      <c r="AE65" s="24">
        <v>17254796</v>
      </c>
      <c r="AF65" s="24">
        <v>0</v>
      </c>
      <c r="AG65" s="24">
        <v>0</v>
      </c>
      <c r="AH65" s="24">
        <v>1278750</v>
      </c>
      <c r="AI65" s="24">
        <v>0</v>
      </c>
      <c r="AJ65" s="24">
        <v>18533546</v>
      </c>
      <c r="AK65" s="24">
        <v>48085382</v>
      </c>
    </row>
    <row r="66" spans="1:37" x14ac:dyDescent="0.55000000000000004">
      <c r="A66">
        <v>2025</v>
      </c>
      <c r="B66" s="27" t="s">
        <v>771</v>
      </c>
      <c r="C66" s="27" t="s">
        <v>65</v>
      </c>
      <c r="D66" s="10" t="s">
        <v>775</v>
      </c>
      <c r="E66" s="10" t="s">
        <v>656</v>
      </c>
      <c r="F66" s="10" t="s">
        <v>746</v>
      </c>
      <c r="G66" s="10" t="s">
        <v>776</v>
      </c>
      <c r="H66" s="10" t="s">
        <v>776</v>
      </c>
      <c r="I66" s="28">
        <v>115093</v>
      </c>
      <c r="J66" s="28">
        <v>3000</v>
      </c>
      <c r="K66" s="28">
        <v>500</v>
      </c>
      <c r="L66" s="24">
        <v>72</v>
      </c>
      <c r="M66" s="31">
        <f t="shared" si="1"/>
        <v>2.4E-2</v>
      </c>
      <c r="N66" s="24">
        <v>156161667</v>
      </c>
      <c r="O66" s="24">
        <v>10330361</v>
      </c>
      <c r="P66" s="412">
        <f t="shared" si="3"/>
        <v>6.6151708024479533E-2</v>
      </c>
      <c r="Q66" s="24">
        <v>145831306</v>
      </c>
      <c r="R66" s="24">
        <v>87498784</v>
      </c>
      <c r="S66" s="412">
        <f t="shared" si="4"/>
        <v>0.60000000274289522</v>
      </c>
      <c r="T66" s="28">
        <f t="shared" si="5"/>
        <v>14583130.600000001</v>
      </c>
      <c r="U66" s="412">
        <v>0.1</v>
      </c>
      <c r="V66" s="412"/>
      <c r="W66" s="24">
        <v>0</v>
      </c>
      <c r="X66" s="24">
        <v>0</v>
      </c>
      <c r="Y66" s="24">
        <v>58332523</v>
      </c>
      <c r="Z66" s="24">
        <v>5947836</v>
      </c>
      <c r="AA66" s="24">
        <v>594784</v>
      </c>
      <c r="AB66" s="24">
        <v>6989873</v>
      </c>
      <c r="AC66" s="24">
        <v>1153329</v>
      </c>
      <c r="AD66" s="24">
        <v>2388507</v>
      </c>
      <c r="AE66" s="24">
        <v>17074329</v>
      </c>
      <c r="AF66" s="24">
        <v>0</v>
      </c>
      <c r="AG66" s="24">
        <v>0</v>
      </c>
      <c r="AH66" s="24">
        <v>0</v>
      </c>
      <c r="AI66" s="24">
        <v>0</v>
      </c>
      <c r="AJ66" s="24">
        <v>17074329</v>
      </c>
      <c r="AK66" s="24">
        <v>41258194</v>
      </c>
    </row>
    <row r="67" spans="1:37" x14ac:dyDescent="0.55000000000000004">
      <c r="A67">
        <v>2025</v>
      </c>
      <c r="B67" s="27" t="s">
        <v>771</v>
      </c>
      <c r="C67" s="27" t="s">
        <v>65</v>
      </c>
      <c r="D67" s="10" t="s">
        <v>777</v>
      </c>
      <c r="E67" s="10" t="s">
        <v>778</v>
      </c>
      <c r="F67" s="10" t="s">
        <v>728</v>
      </c>
      <c r="G67" s="10" t="s">
        <v>779</v>
      </c>
      <c r="H67" s="10" t="s">
        <v>779</v>
      </c>
      <c r="I67" s="28">
        <v>189431</v>
      </c>
      <c r="J67" s="28">
        <v>3000</v>
      </c>
      <c r="K67" s="28">
        <v>1973</v>
      </c>
      <c r="L67" s="24">
        <v>246</v>
      </c>
      <c r="M67" s="31">
        <f t="shared" si="1"/>
        <v>8.2000000000000003E-2</v>
      </c>
      <c r="N67" s="24">
        <v>708840000</v>
      </c>
      <c r="O67" s="24">
        <v>47475177</v>
      </c>
      <c r="P67" s="412">
        <f t="shared" si="3"/>
        <v>6.697587184696123E-2</v>
      </c>
      <c r="Q67" s="24">
        <v>661364823</v>
      </c>
      <c r="R67" s="24">
        <v>396818894</v>
      </c>
      <c r="S67" s="412">
        <f t="shared" si="4"/>
        <v>0.60000000030240497</v>
      </c>
      <c r="T67" s="28">
        <f t="shared" si="5"/>
        <v>330682411.5</v>
      </c>
      <c r="U67" s="412">
        <v>0.5</v>
      </c>
      <c r="V67" s="412">
        <v>0</v>
      </c>
      <c r="W67" s="24">
        <v>0</v>
      </c>
      <c r="X67" s="24">
        <v>0</v>
      </c>
      <c r="Y67" s="24">
        <v>264545929</v>
      </c>
      <c r="Z67" s="24">
        <v>5823435</v>
      </c>
      <c r="AA67" s="24">
        <v>582344</v>
      </c>
      <c r="AB67" s="24">
        <v>6989854</v>
      </c>
      <c r="AC67" s="24">
        <v>1153326</v>
      </c>
      <c r="AD67" s="24">
        <v>2396855</v>
      </c>
      <c r="AE67" s="24">
        <v>16945814</v>
      </c>
      <c r="AF67" s="24">
        <v>0</v>
      </c>
      <c r="AG67" s="24">
        <v>0</v>
      </c>
      <c r="AH67" s="24">
        <v>0</v>
      </c>
      <c r="AI67" s="24">
        <v>0</v>
      </c>
      <c r="AJ67" s="24">
        <v>16945814</v>
      </c>
      <c r="AK67" s="24">
        <v>247600115</v>
      </c>
    </row>
    <row r="68" spans="1:37" x14ac:dyDescent="0.55000000000000004">
      <c r="A68">
        <v>2025</v>
      </c>
      <c r="B68" s="27" t="s">
        <v>771</v>
      </c>
      <c r="C68" s="27" t="s">
        <v>65</v>
      </c>
      <c r="D68" s="10" t="s">
        <v>780</v>
      </c>
      <c r="E68" s="10" t="s">
        <v>734</v>
      </c>
      <c r="F68" s="10" t="s">
        <v>662</v>
      </c>
      <c r="G68" s="10" t="s">
        <v>735</v>
      </c>
      <c r="H68" s="10" t="s">
        <v>735</v>
      </c>
      <c r="I68" s="28">
        <v>67904</v>
      </c>
      <c r="J68" s="28">
        <v>3000</v>
      </c>
      <c r="K68" s="28">
        <v>391</v>
      </c>
      <c r="L68" s="24">
        <v>8</v>
      </c>
      <c r="M68" s="31">
        <f t="shared" ref="M68:M120" si="6">IF(J68=0,0,L68/J68)</f>
        <v>2.6666666666666666E-3</v>
      </c>
      <c r="N68" s="24">
        <v>19560000</v>
      </c>
      <c r="O68" s="24">
        <v>1201666</v>
      </c>
      <c r="P68" s="412">
        <f t="shared" si="3"/>
        <v>6.1434867075664625E-2</v>
      </c>
      <c r="Q68" s="24">
        <v>18358334</v>
      </c>
      <c r="R68" s="24">
        <v>10723608</v>
      </c>
      <c r="S68" s="412">
        <f t="shared" si="4"/>
        <v>0.58412751396722595</v>
      </c>
      <c r="T68" s="28">
        <f t="shared" si="5"/>
        <v>9179167</v>
      </c>
      <c r="U68" s="412">
        <v>0.5</v>
      </c>
      <c r="V68" s="412"/>
      <c r="W68" s="24">
        <v>0</v>
      </c>
      <c r="X68" s="24">
        <v>0</v>
      </c>
      <c r="Y68" s="24">
        <v>7634726</v>
      </c>
      <c r="Z68" s="24">
        <v>4589263</v>
      </c>
      <c r="AA68" s="24">
        <v>458926</v>
      </c>
      <c r="AB68" s="24">
        <v>5240142</v>
      </c>
      <c r="AC68" s="24">
        <v>864623</v>
      </c>
      <c r="AD68" s="24">
        <v>1800000</v>
      </c>
      <c r="AE68" s="24">
        <v>12952955</v>
      </c>
      <c r="AF68" s="24">
        <v>0</v>
      </c>
      <c r="AG68" s="24">
        <v>0</v>
      </c>
      <c r="AH68" s="24">
        <v>0</v>
      </c>
      <c r="AI68" s="24">
        <v>0</v>
      </c>
      <c r="AJ68" s="24">
        <v>12952955</v>
      </c>
      <c r="AK68" s="24">
        <v>-5318229</v>
      </c>
    </row>
    <row r="69" spans="1:37" x14ac:dyDescent="0.55000000000000004">
      <c r="A69">
        <v>2025</v>
      </c>
      <c r="B69" s="27" t="s">
        <v>771</v>
      </c>
      <c r="C69" s="27" t="s">
        <v>65</v>
      </c>
      <c r="D69" s="10" t="s">
        <v>781</v>
      </c>
      <c r="E69" s="10" t="s">
        <v>673</v>
      </c>
      <c r="F69" s="10" t="s">
        <v>698</v>
      </c>
      <c r="G69" s="10" t="s">
        <v>730</v>
      </c>
      <c r="H69" s="10" t="s">
        <v>730</v>
      </c>
      <c r="I69" s="28">
        <v>155910</v>
      </c>
      <c r="J69" s="28">
        <v>3000</v>
      </c>
      <c r="K69" s="28">
        <v>1203</v>
      </c>
      <c r="L69" s="24">
        <v>30</v>
      </c>
      <c r="M69" s="31">
        <f t="shared" si="6"/>
        <v>0.01</v>
      </c>
      <c r="N69" s="24">
        <v>61163334</v>
      </c>
      <c r="O69" s="24">
        <v>3504694</v>
      </c>
      <c r="P69" s="412">
        <f t="shared" si="3"/>
        <v>5.7300571613705685E-2</v>
      </c>
      <c r="Q69" s="24">
        <v>57658640</v>
      </c>
      <c r="R69" s="24">
        <v>28829320</v>
      </c>
      <c r="S69" s="412">
        <f t="shared" si="4"/>
        <v>0.5</v>
      </c>
      <c r="T69" s="28">
        <f t="shared" si="5"/>
        <v>28829320</v>
      </c>
      <c r="U69" s="412">
        <v>0.5</v>
      </c>
      <c r="V69" s="412">
        <v>0</v>
      </c>
      <c r="W69" s="24">
        <v>0</v>
      </c>
      <c r="X69" s="24">
        <v>0</v>
      </c>
      <c r="Y69" s="24">
        <v>28829320</v>
      </c>
      <c r="Z69" s="24">
        <v>3878124</v>
      </c>
      <c r="AA69" s="24">
        <v>387812</v>
      </c>
      <c r="AB69" s="24">
        <v>5234485</v>
      </c>
      <c r="AC69" s="24">
        <v>863690</v>
      </c>
      <c r="AD69" s="24">
        <v>1800000</v>
      </c>
      <c r="AE69" s="24">
        <v>12164111</v>
      </c>
      <c r="AF69" s="24">
        <v>0</v>
      </c>
      <c r="AG69" s="24">
        <v>0</v>
      </c>
      <c r="AH69" s="24">
        <v>0</v>
      </c>
      <c r="AI69" s="24">
        <v>30000</v>
      </c>
      <c r="AJ69" s="24">
        <v>12194111</v>
      </c>
      <c r="AK69" s="24">
        <v>16635209</v>
      </c>
    </row>
    <row r="70" spans="1:37" x14ac:dyDescent="0.55000000000000004">
      <c r="A70">
        <v>2025</v>
      </c>
      <c r="B70" s="27" t="s">
        <v>771</v>
      </c>
      <c r="C70" s="27" t="s">
        <v>65</v>
      </c>
      <c r="D70" s="10" t="s">
        <v>782</v>
      </c>
      <c r="E70" s="10" t="s">
        <v>677</v>
      </c>
      <c r="F70" s="10" t="s">
        <v>698</v>
      </c>
      <c r="G70" s="10" t="s">
        <v>783</v>
      </c>
      <c r="H70" s="10" t="s">
        <v>783</v>
      </c>
      <c r="I70" s="28">
        <v>201278</v>
      </c>
      <c r="J70" s="28">
        <v>2250</v>
      </c>
      <c r="K70" s="28">
        <v>866</v>
      </c>
      <c r="L70" s="24">
        <v>65</v>
      </c>
      <c r="M70" s="31">
        <f t="shared" si="6"/>
        <v>2.8888888888888888E-2</v>
      </c>
      <c r="N70" s="24">
        <v>156943332</v>
      </c>
      <c r="O70" s="24">
        <v>11537533</v>
      </c>
      <c r="P70" s="412">
        <f t="shared" si="3"/>
        <v>7.3514005679451225E-2</v>
      </c>
      <c r="Q70" s="24">
        <v>145405799</v>
      </c>
      <c r="R70" s="24">
        <v>72592185</v>
      </c>
      <c r="S70" s="412">
        <f t="shared" si="4"/>
        <v>0.49923858263727156</v>
      </c>
      <c r="T70" s="28">
        <f t="shared" si="5"/>
        <v>72702899.5</v>
      </c>
      <c r="U70" s="412">
        <v>0.5</v>
      </c>
      <c r="V70" s="412">
        <v>0</v>
      </c>
      <c r="W70" s="24">
        <v>0</v>
      </c>
      <c r="X70" s="24">
        <v>0</v>
      </c>
      <c r="Y70" s="24">
        <v>72592185</v>
      </c>
      <c r="Z70" s="24">
        <v>7691694</v>
      </c>
      <c r="AA70" s="24">
        <v>769169</v>
      </c>
      <c r="AB70" s="24">
        <v>5999684</v>
      </c>
      <c r="AC70" s="24">
        <v>989948</v>
      </c>
      <c r="AD70" s="24">
        <v>1297906</v>
      </c>
      <c r="AE70" s="24">
        <v>16748401</v>
      </c>
      <c r="AF70" s="24">
        <v>0</v>
      </c>
      <c r="AG70" s="24">
        <v>0</v>
      </c>
      <c r="AH70" s="24">
        <v>0</v>
      </c>
      <c r="AI70" s="24">
        <v>0</v>
      </c>
      <c r="AJ70" s="24">
        <v>16748401</v>
      </c>
      <c r="AK70" s="24">
        <v>56065213</v>
      </c>
    </row>
    <row r="71" spans="1:37" x14ac:dyDescent="0.55000000000000004">
      <c r="A71">
        <v>2025</v>
      </c>
      <c r="B71" s="27" t="s">
        <v>771</v>
      </c>
      <c r="C71" s="27" t="s">
        <v>65</v>
      </c>
      <c r="D71" s="10" t="s">
        <v>784</v>
      </c>
      <c r="E71" s="10" t="s">
        <v>785</v>
      </c>
      <c r="F71" s="10" t="s">
        <v>644</v>
      </c>
      <c r="G71" s="10" t="s">
        <v>786</v>
      </c>
      <c r="H71" s="10" t="s">
        <v>786</v>
      </c>
      <c r="I71" s="28">
        <v>159594</v>
      </c>
      <c r="J71" s="28">
        <v>1700</v>
      </c>
      <c r="K71" s="28">
        <v>602</v>
      </c>
      <c r="L71" s="24">
        <v>36</v>
      </c>
      <c r="M71" s="31">
        <f t="shared" si="6"/>
        <v>2.1176470588235293E-2</v>
      </c>
      <c r="N71" s="24">
        <v>65226666</v>
      </c>
      <c r="O71" s="24">
        <v>4412779</v>
      </c>
      <c r="P71" s="412">
        <f t="shared" si="3"/>
        <v>6.765299026628159E-2</v>
      </c>
      <c r="Q71" s="24">
        <v>60813887</v>
      </c>
      <c r="R71" s="24">
        <v>28993505</v>
      </c>
      <c r="S71" s="412">
        <f t="shared" si="4"/>
        <v>0.4767579648378667</v>
      </c>
      <c r="T71" s="28">
        <f t="shared" si="5"/>
        <v>30406943.5</v>
      </c>
      <c r="U71" s="412">
        <v>0.5</v>
      </c>
      <c r="V71" s="412"/>
      <c r="W71" s="24">
        <v>0</v>
      </c>
      <c r="X71" s="24">
        <v>0</v>
      </c>
      <c r="Y71" s="24">
        <v>28993505</v>
      </c>
      <c r="Z71" s="24">
        <v>5119152</v>
      </c>
      <c r="AA71" s="24">
        <v>511915</v>
      </c>
      <c r="AB71" s="24">
        <v>5999750</v>
      </c>
      <c r="AC71" s="24">
        <v>989959</v>
      </c>
      <c r="AD71" s="24">
        <v>1317706</v>
      </c>
      <c r="AE71" s="24">
        <v>13938482</v>
      </c>
      <c r="AF71" s="24">
        <v>1375000</v>
      </c>
      <c r="AG71" s="24">
        <v>0</v>
      </c>
      <c r="AH71" s="24">
        <v>1141250</v>
      </c>
      <c r="AI71" s="24">
        <v>0</v>
      </c>
      <c r="AJ71" s="24">
        <v>16454732</v>
      </c>
      <c r="AK71" s="24">
        <v>15365650</v>
      </c>
    </row>
    <row r="72" spans="1:37" x14ac:dyDescent="0.55000000000000004">
      <c r="A72">
        <v>2025</v>
      </c>
      <c r="B72" s="27" t="s">
        <v>771</v>
      </c>
      <c r="C72" s="27" t="s">
        <v>65</v>
      </c>
      <c r="D72" s="10" t="s">
        <v>787</v>
      </c>
      <c r="E72" s="10" t="s">
        <v>788</v>
      </c>
      <c r="F72" s="10" t="s">
        <v>644</v>
      </c>
      <c r="G72" s="10" t="s">
        <v>789</v>
      </c>
      <c r="H72" s="10" t="s">
        <v>789</v>
      </c>
      <c r="I72" s="28">
        <v>287967</v>
      </c>
      <c r="J72" s="28">
        <v>3519</v>
      </c>
      <c r="K72" s="28">
        <v>1345</v>
      </c>
      <c r="L72" s="24">
        <v>235</v>
      </c>
      <c r="M72" s="31">
        <f t="shared" si="6"/>
        <v>6.6780335322534815E-2</v>
      </c>
      <c r="N72" s="24">
        <v>561020001</v>
      </c>
      <c r="O72" s="24">
        <v>42076500</v>
      </c>
      <c r="P72" s="412">
        <f t="shared" si="3"/>
        <v>7.499999986631492E-2</v>
      </c>
      <c r="Q72" s="24">
        <v>518943501</v>
      </c>
      <c r="R72" s="24">
        <v>311366101</v>
      </c>
      <c r="S72" s="412">
        <f t="shared" si="4"/>
        <v>0.60000000077079685</v>
      </c>
      <c r="T72" s="28">
        <f t="shared" si="5"/>
        <v>311366100.59999996</v>
      </c>
      <c r="U72" s="412">
        <v>0.6</v>
      </c>
      <c r="V72" s="412"/>
      <c r="W72" s="24">
        <v>0</v>
      </c>
      <c r="X72" s="24">
        <v>0</v>
      </c>
      <c r="Y72" s="24">
        <v>207577400</v>
      </c>
      <c r="Z72" s="24">
        <v>10887893</v>
      </c>
      <c r="AA72" s="24">
        <v>1088789</v>
      </c>
      <c r="AB72" s="24">
        <v>7997885</v>
      </c>
      <c r="AC72" s="24">
        <v>1100000</v>
      </c>
      <c r="AD72" s="24">
        <v>1358082</v>
      </c>
      <c r="AE72" s="24">
        <v>22432649</v>
      </c>
      <c r="AF72" s="24">
        <v>450000</v>
      </c>
      <c r="AG72" s="24">
        <v>0</v>
      </c>
      <c r="AH72" s="24">
        <v>1086250</v>
      </c>
      <c r="AI72" s="24">
        <v>0</v>
      </c>
      <c r="AJ72" s="24">
        <v>23968899</v>
      </c>
      <c r="AK72" s="24">
        <v>183608501</v>
      </c>
    </row>
    <row r="73" spans="1:37" x14ac:dyDescent="0.55000000000000004">
      <c r="A73">
        <v>2025</v>
      </c>
      <c r="B73" s="27" t="s">
        <v>771</v>
      </c>
      <c r="C73" s="27" t="s">
        <v>65</v>
      </c>
      <c r="D73" s="10" t="s">
        <v>790</v>
      </c>
      <c r="E73" s="10" t="s">
        <v>756</v>
      </c>
      <c r="F73" s="10" t="s">
        <v>728</v>
      </c>
      <c r="G73" s="10" t="s">
        <v>791</v>
      </c>
      <c r="H73" s="10" t="s">
        <v>791</v>
      </c>
      <c r="I73" s="28">
        <v>163841</v>
      </c>
      <c r="J73" s="28">
        <v>1784</v>
      </c>
      <c r="K73" s="28">
        <v>724</v>
      </c>
      <c r="L73" s="24">
        <v>66</v>
      </c>
      <c r="M73" s="31">
        <f t="shared" si="6"/>
        <v>3.6995515695067267E-2</v>
      </c>
      <c r="N73" s="24">
        <v>116650000</v>
      </c>
      <c r="O73" s="24">
        <v>7816479</v>
      </c>
      <c r="P73" s="412">
        <f t="shared" si="3"/>
        <v>6.7007963994856409E-2</v>
      </c>
      <c r="Q73" s="24">
        <v>108833521</v>
      </c>
      <c r="R73" s="24">
        <v>65300113</v>
      </c>
      <c r="S73" s="412">
        <f t="shared" si="4"/>
        <v>0.60000000367533823</v>
      </c>
      <c r="T73" s="28">
        <f t="shared" si="5"/>
        <v>54416760.5</v>
      </c>
      <c r="U73" s="412">
        <v>0.5</v>
      </c>
      <c r="V73" s="412"/>
      <c r="W73" s="24">
        <v>0</v>
      </c>
      <c r="X73" s="24">
        <v>0</v>
      </c>
      <c r="Y73" s="24">
        <v>43533408</v>
      </c>
      <c r="Z73" s="24">
        <v>5876915</v>
      </c>
      <c r="AA73" s="24">
        <v>587692</v>
      </c>
      <c r="AB73" s="24">
        <v>3999964</v>
      </c>
      <c r="AC73" s="24">
        <v>659994</v>
      </c>
      <c r="AD73" s="24">
        <v>1365242</v>
      </c>
      <c r="AE73" s="24">
        <v>12489807</v>
      </c>
      <c r="AF73" s="24">
        <v>360000</v>
      </c>
      <c r="AG73" s="24">
        <v>0</v>
      </c>
      <c r="AH73" s="24">
        <v>0</v>
      </c>
      <c r="AI73" s="24">
        <v>0</v>
      </c>
      <c r="AJ73" s="24">
        <v>12849807</v>
      </c>
      <c r="AK73" s="24">
        <v>24658402</v>
      </c>
    </row>
    <row r="74" spans="1:37" x14ac:dyDescent="0.55000000000000004">
      <c r="A74">
        <v>2025</v>
      </c>
      <c r="B74" s="27" t="s">
        <v>771</v>
      </c>
      <c r="C74" s="27" t="s">
        <v>65</v>
      </c>
      <c r="D74" s="10" t="s">
        <v>792</v>
      </c>
      <c r="E74" s="10" t="s">
        <v>793</v>
      </c>
      <c r="F74" s="10" t="s">
        <v>644</v>
      </c>
      <c r="G74" s="10" t="s">
        <v>794</v>
      </c>
      <c r="H74" s="10" t="s">
        <v>794</v>
      </c>
      <c r="I74" s="28"/>
      <c r="J74" s="28">
        <v>3580</v>
      </c>
      <c r="K74" s="28">
        <v>1150</v>
      </c>
      <c r="L74" s="24">
        <v>127</v>
      </c>
      <c r="M74" s="31">
        <f t="shared" si="6"/>
        <v>3.5474860335195528E-2</v>
      </c>
      <c r="N74" s="24">
        <v>374145000</v>
      </c>
      <c r="O74" s="24">
        <v>25409533</v>
      </c>
      <c r="P74" s="412">
        <f t="shared" si="3"/>
        <v>6.7913597669352788E-2</v>
      </c>
      <c r="Q74" s="24">
        <v>348735467</v>
      </c>
      <c r="R74" s="24">
        <v>189755548</v>
      </c>
      <c r="S74" s="412">
        <f t="shared" si="4"/>
        <v>0.54412460433799237</v>
      </c>
      <c r="T74" s="28">
        <f t="shared" si="5"/>
        <v>174367733.5</v>
      </c>
      <c r="U74" s="412">
        <v>0.5</v>
      </c>
      <c r="V74" s="412"/>
      <c r="W74" s="24">
        <v>182689</v>
      </c>
      <c r="X74" s="24">
        <v>0</v>
      </c>
      <c r="Y74" s="24">
        <v>156946107</v>
      </c>
      <c r="Z74" s="24">
        <v>7637679</v>
      </c>
      <c r="AA74" s="24">
        <v>763768</v>
      </c>
      <c r="AB74" s="24">
        <v>5964689</v>
      </c>
      <c r="AC74" s="24">
        <v>984174</v>
      </c>
      <c r="AD74" s="24">
        <v>2082992</v>
      </c>
      <c r="AE74" s="24">
        <v>17433302</v>
      </c>
      <c r="AF74" s="24">
        <v>2045000</v>
      </c>
      <c r="AG74" s="24">
        <v>1000000</v>
      </c>
      <c r="AH74" s="24">
        <v>55000</v>
      </c>
      <c r="AI74" s="24">
        <v>99000</v>
      </c>
      <c r="AJ74" s="24">
        <v>20632302</v>
      </c>
      <c r="AK74" s="24">
        <v>129315763</v>
      </c>
    </row>
    <row r="75" spans="1:37" x14ac:dyDescent="0.55000000000000004">
      <c r="A75">
        <v>2025</v>
      </c>
      <c r="B75" s="27" t="s">
        <v>771</v>
      </c>
      <c r="C75" s="27" t="s">
        <v>65</v>
      </c>
      <c r="D75" s="10" t="s">
        <v>795</v>
      </c>
      <c r="E75" s="10" t="s">
        <v>752</v>
      </c>
      <c r="F75" s="10" t="s">
        <v>662</v>
      </c>
      <c r="G75" s="10" t="s">
        <v>796</v>
      </c>
      <c r="H75" s="10" t="s">
        <v>796</v>
      </c>
      <c r="I75" s="28">
        <v>185723</v>
      </c>
      <c r="J75" s="28">
        <v>2140</v>
      </c>
      <c r="K75" s="28">
        <v>832</v>
      </c>
      <c r="L75" s="24">
        <v>82</v>
      </c>
      <c r="M75" s="31">
        <f t="shared" si="6"/>
        <v>3.8317757009345796E-2</v>
      </c>
      <c r="N75" s="24">
        <v>271210000</v>
      </c>
      <c r="O75" s="24">
        <v>20340750</v>
      </c>
      <c r="P75" s="412">
        <f t="shared" si="3"/>
        <v>7.4999999999999997E-2</v>
      </c>
      <c r="Q75" s="24">
        <v>250869250</v>
      </c>
      <c r="R75" s="24">
        <v>125434625</v>
      </c>
      <c r="S75" s="412">
        <f t="shared" si="4"/>
        <v>0.5</v>
      </c>
      <c r="T75" s="28">
        <f t="shared" si="5"/>
        <v>125434625</v>
      </c>
      <c r="U75" s="412">
        <v>0.5</v>
      </c>
      <c r="V75" s="412"/>
      <c r="W75" s="24">
        <v>0</v>
      </c>
      <c r="X75" s="24">
        <v>0</v>
      </c>
      <c r="Y75" s="24">
        <v>125434625</v>
      </c>
      <c r="Z75" s="24">
        <v>7564472</v>
      </c>
      <c r="AA75" s="24">
        <v>756447</v>
      </c>
      <c r="AB75" s="24">
        <v>5137639</v>
      </c>
      <c r="AC75" s="24">
        <v>847710</v>
      </c>
      <c r="AD75" s="24">
        <v>2080154</v>
      </c>
      <c r="AE75" s="24">
        <v>16386423</v>
      </c>
      <c r="AF75" s="24">
        <v>0</v>
      </c>
      <c r="AG75" s="24">
        <v>0</v>
      </c>
      <c r="AH75" s="24">
        <v>0</v>
      </c>
      <c r="AI75" s="24">
        <v>0</v>
      </c>
      <c r="AJ75" s="24">
        <v>16386423</v>
      </c>
      <c r="AK75" s="24">
        <v>100982699</v>
      </c>
    </row>
    <row r="76" spans="1:37" x14ac:dyDescent="0.55000000000000004">
      <c r="A76">
        <v>2025</v>
      </c>
      <c r="B76" s="27" t="s">
        <v>771</v>
      </c>
      <c r="C76" s="27" t="s">
        <v>65</v>
      </c>
      <c r="D76" s="10" t="s">
        <v>797</v>
      </c>
      <c r="E76" s="10" t="s">
        <v>650</v>
      </c>
      <c r="F76" s="10" t="s">
        <v>798</v>
      </c>
      <c r="G76" s="10" t="s">
        <v>799</v>
      </c>
      <c r="H76" s="10" t="s">
        <v>799</v>
      </c>
      <c r="I76" s="28"/>
      <c r="J76" s="28">
        <v>3964</v>
      </c>
      <c r="K76" s="28">
        <v>1528</v>
      </c>
      <c r="L76" s="24">
        <v>255</v>
      </c>
      <c r="M76" s="31">
        <f t="shared" si="6"/>
        <v>6.4328960645812311E-2</v>
      </c>
      <c r="N76" s="24">
        <v>738409999</v>
      </c>
      <c r="O76" s="24">
        <v>50845962</v>
      </c>
      <c r="P76" s="412">
        <f t="shared" si="3"/>
        <v>6.8858712732572297E-2</v>
      </c>
      <c r="Q76" s="24">
        <v>687564037</v>
      </c>
      <c r="R76" s="24">
        <v>502414826</v>
      </c>
      <c r="S76" s="412">
        <f t="shared" si="4"/>
        <v>0.73071713900591928</v>
      </c>
      <c r="T76" s="28">
        <f t="shared" si="5"/>
        <v>412538422.19999999</v>
      </c>
      <c r="U76" s="412">
        <v>0.6</v>
      </c>
      <c r="V76" s="412"/>
      <c r="W76" s="24">
        <v>0</v>
      </c>
      <c r="X76" s="24">
        <v>0</v>
      </c>
      <c r="Y76" s="24">
        <v>185149211</v>
      </c>
      <c r="Z76" s="24">
        <v>12444187</v>
      </c>
      <c r="AA76" s="24">
        <v>1244419</v>
      </c>
      <c r="AB76" s="24">
        <v>2132025</v>
      </c>
      <c r="AC76" s="24">
        <v>351784</v>
      </c>
      <c r="AD76" s="24">
        <v>2946982</v>
      </c>
      <c r="AE76" s="24">
        <v>19119397</v>
      </c>
      <c r="AF76" s="24">
        <v>1450500</v>
      </c>
      <c r="AG76" s="24">
        <v>0</v>
      </c>
      <c r="AH76" s="24">
        <v>0</v>
      </c>
      <c r="AI76" s="24">
        <v>0</v>
      </c>
      <c r="AJ76" s="24">
        <v>20569897</v>
      </c>
      <c r="AK76" s="24">
        <v>159148523</v>
      </c>
    </row>
    <row r="77" spans="1:37" x14ac:dyDescent="0.55000000000000004">
      <c r="A77">
        <v>2025</v>
      </c>
      <c r="B77" s="27" t="s">
        <v>771</v>
      </c>
      <c r="C77" s="27" t="s">
        <v>65</v>
      </c>
      <c r="D77" s="10" t="s">
        <v>800</v>
      </c>
      <c r="E77" s="10" t="s">
        <v>801</v>
      </c>
      <c r="F77" s="10" t="s">
        <v>644</v>
      </c>
      <c r="G77" s="10" t="s">
        <v>802</v>
      </c>
      <c r="H77" s="10" t="s">
        <v>802</v>
      </c>
      <c r="I77" s="28"/>
      <c r="J77" s="28">
        <v>4859</v>
      </c>
      <c r="K77" s="28">
        <v>1613</v>
      </c>
      <c r="L77" s="24">
        <v>118</v>
      </c>
      <c r="M77" s="31">
        <f t="shared" si="6"/>
        <v>2.4284832270014406E-2</v>
      </c>
      <c r="N77" s="24">
        <v>301880001</v>
      </c>
      <c r="O77" s="24">
        <v>22641000</v>
      </c>
      <c r="P77" s="412">
        <f t="shared" si="3"/>
        <v>7.4999999751556912E-2</v>
      </c>
      <c r="Q77" s="24">
        <v>279239001</v>
      </c>
      <c r="R77" s="24">
        <v>139619500</v>
      </c>
      <c r="S77" s="412">
        <f t="shared" si="4"/>
        <v>0.49999999820941921</v>
      </c>
      <c r="T77" s="28">
        <f t="shared" si="5"/>
        <v>139619500.5</v>
      </c>
      <c r="U77" s="412">
        <v>0.5</v>
      </c>
      <c r="V77" s="412"/>
      <c r="W77" s="24">
        <v>0</v>
      </c>
      <c r="X77" s="24">
        <v>0</v>
      </c>
      <c r="Y77" s="24">
        <v>139619500</v>
      </c>
      <c r="Z77" s="24">
        <v>6199252</v>
      </c>
      <c r="AA77" s="24">
        <v>619925</v>
      </c>
      <c r="AB77" s="24">
        <v>9746042</v>
      </c>
      <c r="AC77" s="24">
        <v>1608097</v>
      </c>
      <c r="AD77" s="24">
        <v>1568143</v>
      </c>
      <c r="AE77" s="24">
        <v>19741459</v>
      </c>
      <c r="AF77" s="24">
        <v>300000</v>
      </c>
      <c r="AG77" s="24">
        <v>0</v>
      </c>
      <c r="AH77" s="24">
        <v>797500</v>
      </c>
      <c r="AI77" s="24">
        <v>540000</v>
      </c>
      <c r="AJ77" s="24">
        <v>21378959</v>
      </c>
      <c r="AK77" s="24">
        <v>118240541</v>
      </c>
    </row>
    <row r="78" spans="1:37" x14ac:dyDescent="0.55000000000000004">
      <c r="A78">
        <v>2025</v>
      </c>
      <c r="B78" s="27" t="s">
        <v>771</v>
      </c>
      <c r="C78" s="27" t="s">
        <v>65</v>
      </c>
      <c r="D78" s="10" t="s">
        <v>803</v>
      </c>
      <c r="E78" s="10" t="s">
        <v>778</v>
      </c>
      <c r="F78" s="10" t="s">
        <v>746</v>
      </c>
      <c r="G78" s="10" t="s">
        <v>804</v>
      </c>
      <c r="H78" s="10" t="s">
        <v>804</v>
      </c>
      <c r="I78" s="28">
        <v>408919</v>
      </c>
      <c r="J78" s="28">
        <v>10345</v>
      </c>
      <c r="K78" s="28">
        <v>4128</v>
      </c>
      <c r="L78" s="24">
        <v>371</v>
      </c>
      <c r="M78" s="31">
        <f t="shared" si="6"/>
        <v>3.5862735621072984E-2</v>
      </c>
      <c r="N78" s="24">
        <v>1073790000</v>
      </c>
      <c r="O78" s="24">
        <v>80534250</v>
      </c>
      <c r="P78" s="412">
        <f t="shared" si="3"/>
        <v>7.4999999999999997E-2</v>
      </c>
      <c r="Q78" s="24">
        <v>993255750</v>
      </c>
      <c r="R78" s="24">
        <v>595953450</v>
      </c>
      <c r="S78" s="412">
        <f t="shared" si="4"/>
        <v>0.6</v>
      </c>
      <c r="T78" s="28">
        <f t="shared" si="5"/>
        <v>595953450</v>
      </c>
      <c r="U78" s="412">
        <v>0.6</v>
      </c>
      <c r="V78" s="412"/>
      <c r="W78" s="24">
        <v>0</v>
      </c>
      <c r="X78" s="24">
        <v>1197875</v>
      </c>
      <c r="Y78" s="24">
        <v>396104425</v>
      </c>
      <c r="Z78" s="24">
        <v>9986007</v>
      </c>
      <c r="AA78" s="24">
        <v>998601</v>
      </c>
      <c r="AB78" s="24">
        <v>9999958</v>
      </c>
      <c r="AC78" s="24">
        <v>1649993</v>
      </c>
      <c r="AD78" s="24">
        <v>2434095</v>
      </c>
      <c r="AE78" s="24">
        <v>25068654</v>
      </c>
      <c r="AF78" s="24">
        <v>1375000</v>
      </c>
      <c r="AG78" s="24">
        <v>0</v>
      </c>
      <c r="AH78" s="24">
        <v>0</v>
      </c>
      <c r="AI78" s="24">
        <v>490000</v>
      </c>
      <c r="AJ78" s="24">
        <v>26933654</v>
      </c>
      <c r="AK78" s="24">
        <v>370368646</v>
      </c>
    </row>
    <row r="79" spans="1:37" x14ac:dyDescent="0.55000000000000004">
      <c r="A79">
        <v>2025</v>
      </c>
      <c r="B79" s="27" t="s">
        <v>771</v>
      </c>
      <c r="C79" s="27" t="s">
        <v>65</v>
      </c>
      <c r="D79" s="10" t="s">
        <v>805</v>
      </c>
      <c r="E79" s="10" t="s">
        <v>806</v>
      </c>
      <c r="F79" s="10" t="s">
        <v>644</v>
      </c>
      <c r="G79" s="10" t="s">
        <v>807</v>
      </c>
      <c r="H79" s="10" t="s">
        <v>807</v>
      </c>
      <c r="I79" s="28"/>
      <c r="J79" s="28">
        <v>2800</v>
      </c>
      <c r="K79" s="28">
        <v>1135</v>
      </c>
      <c r="L79" s="24">
        <v>101</v>
      </c>
      <c r="M79" s="31">
        <f t="shared" si="6"/>
        <v>3.6071428571428574E-2</v>
      </c>
      <c r="N79" s="24">
        <v>407683332</v>
      </c>
      <c r="O79" s="24">
        <v>30576250</v>
      </c>
      <c r="P79" s="412">
        <f t="shared" si="3"/>
        <v>7.5000000245288426E-2</v>
      </c>
      <c r="Q79" s="24">
        <v>377107082</v>
      </c>
      <c r="R79" s="24">
        <v>226264249</v>
      </c>
      <c r="S79" s="412">
        <f t="shared" si="4"/>
        <v>0.59999999946964666</v>
      </c>
      <c r="T79" s="28">
        <f t="shared" si="5"/>
        <v>188553541</v>
      </c>
      <c r="U79" s="412">
        <v>0.5</v>
      </c>
      <c r="V79" s="412"/>
      <c r="W79" s="24">
        <v>0</v>
      </c>
      <c r="X79" s="24">
        <v>0</v>
      </c>
      <c r="Y79" s="24">
        <v>150842833</v>
      </c>
      <c r="Z79" s="24">
        <v>8383143</v>
      </c>
      <c r="AA79" s="24">
        <v>838314</v>
      </c>
      <c r="AB79" s="24">
        <v>5673867</v>
      </c>
      <c r="AC79" s="24">
        <v>936188</v>
      </c>
      <c r="AD79" s="24">
        <v>1686267</v>
      </c>
      <c r="AE79" s="24">
        <v>17517779</v>
      </c>
      <c r="AF79" s="24">
        <v>360000</v>
      </c>
      <c r="AG79" s="24">
        <v>0</v>
      </c>
      <c r="AH79" s="24">
        <v>825000</v>
      </c>
      <c r="AI79" s="24">
        <v>70000</v>
      </c>
      <c r="AJ79" s="24">
        <v>18772779</v>
      </c>
      <c r="AK79" s="24">
        <v>132070053</v>
      </c>
    </row>
    <row r="80" spans="1:37" x14ac:dyDescent="0.55000000000000004">
      <c r="A80">
        <v>2025</v>
      </c>
      <c r="B80" s="27" t="s">
        <v>771</v>
      </c>
      <c r="C80" s="27" t="s">
        <v>65</v>
      </c>
      <c r="D80" s="10" t="s">
        <v>790</v>
      </c>
      <c r="E80" s="10" t="s">
        <v>808</v>
      </c>
      <c r="F80" s="10" t="s">
        <v>644</v>
      </c>
      <c r="G80" s="10" t="s">
        <v>809</v>
      </c>
      <c r="H80" s="10" t="s">
        <v>809</v>
      </c>
      <c r="I80" s="28">
        <v>142121</v>
      </c>
      <c r="J80" s="28">
        <v>5755</v>
      </c>
      <c r="K80" s="28">
        <v>2273</v>
      </c>
      <c r="L80" s="24">
        <v>207</v>
      </c>
      <c r="M80" s="31">
        <f t="shared" si="6"/>
        <v>3.5968722849695919E-2</v>
      </c>
      <c r="N80" s="24">
        <v>417073338</v>
      </c>
      <c r="O80" s="24">
        <v>31280500</v>
      </c>
      <c r="P80" s="412">
        <f t="shared" si="3"/>
        <v>7.499999916081905E-2</v>
      </c>
      <c r="Q80" s="24">
        <v>385792838</v>
      </c>
      <c r="R80" s="24">
        <v>192896419</v>
      </c>
      <c r="S80" s="412">
        <f t="shared" si="4"/>
        <v>0.5</v>
      </c>
      <c r="T80" s="28">
        <f t="shared" si="5"/>
        <v>192896419</v>
      </c>
      <c r="U80" s="412">
        <v>0.5</v>
      </c>
      <c r="V80" s="412"/>
      <c r="W80" s="24">
        <v>9525881</v>
      </c>
      <c r="X80" s="24">
        <v>0</v>
      </c>
      <c r="Y80" s="24">
        <v>183370538</v>
      </c>
      <c r="Z80" s="24">
        <v>9082843</v>
      </c>
      <c r="AA80" s="24">
        <v>908284</v>
      </c>
      <c r="AB80" s="24">
        <v>5995920</v>
      </c>
      <c r="AC80" s="24">
        <v>989327</v>
      </c>
      <c r="AD80" s="24">
        <v>1734463</v>
      </c>
      <c r="AE80" s="24">
        <v>18710837</v>
      </c>
      <c r="AF80" s="24">
        <v>360000</v>
      </c>
      <c r="AG80" s="24">
        <v>0</v>
      </c>
      <c r="AH80" s="24">
        <v>852500</v>
      </c>
      <c r="AI80" s="24">
        <v>70000</v>
      </c>
      <c r="AJ80" s="24">
        <v>19993337</v>
      </c>
      <c r="AK80" s="24">
        <v>172903082</v>
      </c>
    </row>
    <row r="81" spans="1:37" x14ac:dyDescent="0.55000000000000004">
      <c r="A81">
        <v>2025</v>
      </c>
      <c r="B81" s="27" t="s">
        <v>771</v>
      </c>
      <c r="C81" s="27" t="s">
        <v>65</v>
      </c>
      <c r="D81" s="10" t="s">
        <v>810</v>
      </c>
      <c r="E81" s="10" t="s">
        <v>756</v>
      </c>
      <c r="F81" s="10" t="s">
        <v>746</v>
      </c>
      <c r="G81" s="10" t="s">
        <v>688</v>
      </c>
      <c r="H81" s="10" t="s">
        <v>688</v>
      </c>
      <c r="I81" s="28">
        <v>311701</v>
      </c>
      <c r="J81" s="28">
        <v>3149</v>
      </c>
      <c r="K81" s="28">
        <v>1264</v>
      </c>
      <c r="L81" s="24">
        <v>99</v>
      </c>
      <c r="M81" s="31">
        <f t="shared" si="6"/>
        <v>3.1438551921244839E-2</v>
      </c>
      <c r="N81" s="24">
        <v>187410000</v>
      </c>
      <c r="O81" s="24">
        <v>14055750</v>
      </c>
      <c r="P81" s="412">
        <f t="shared" si="3"/>
        <v>7.4999999999999997E-2</v>
      </c>
      <c r="Q81" s="24">
        <v>173354250</v>
      </c>
      <c r="R81" s="24">
        <v>104012550</v>
      </c>
      <c r="S81" s="412">
        <f t="shared" si="4"/>
        <v>0.6</v>
      </c>
      <c r="T81" s="28">
        <f t="shared" si="5"/>
        <v>86677125</v>
      </c>
      <c r="U81" s="412">
        <v>0.5</v>
      </c>
      <c r="V81" s="412"/>
      <c r="W81" s="24">
        <v>0</v>
      </c>
      <c r="X81" s="24">
        <v>0</v>
      </c>
      <c r="Y81" s="24">
        <v>69341700</v>
      </c>
      <c r="Z81" s="24">
        <v>5965976</v>
      </c>
      <c r="AA81" s="24">
        <v>596598</v>
      </c>
      <c r="AB81" s="24">
        <v>5999943</v>
      </c>
      <c r="AC81" s="24">
        <v>989991</v>
      </c>
      <c r="AD81" s="24">
        <v>2653150</v>
      </c>
      <c r="AE81" s="24">
        <v>16205657</v>
      </c>
      <c r="AF81" s="24">
        <v>0</v>
      </c>
      <c r="AG81" s="24">
        <v>0</v>
      </c>
      <c r="AH81" s="24">
        <v>0</v>
      </c>
      <c r="AI81" s="24">
        <v>20000</v>
      </c>
      <c r="AJ81" s="24">
        <v>16225657</v>
      </c>
      <c r="AK81" s="24">
        <v>53116043</v>
      </c>
    </row>
    <row r="82" spans="1:37" x14ac:dyDescent="0.55000000000000004">
      <c r="A82">
        <v>2025</v>
      </c>
      <c r="B82" s="27" t="s">
        <v>771</v>
      </c>
      <c r="C82" s="27" t="s">
        <v>65</v>
      </c>
      <c r="D82" s="10" t="s">
        <v>811</v>
      </c>
      <c r="E82" s="10" t="s">
        <v>812</v>
      </c>
      <c r="F82" s="10" t="s">
        <v>680</v>
      </c>
      <c r="G82" s="10" t="s">
        <v>813</v>
      </c>
      <c r="H82" s="10" t="s">
        <v>813</v>
      </c>
      <c r="I82" s="28"/>
      <c r="J82" s="28">
        <v>6142</v>
      </c>
      <c r="K82" s="28">
        <v>1890</v>
      </c>
      <c r="L82" s="24">
        <v>259</v>
      </c>
      <c r="M82" s="31">
        <f t="shared" si="6"/>
        <v>4.2168674698795178E-2</v>
      </c>
      <c r="N82" s="24">
        <v>581930000</v>
      </c>
      <c r="O82" s="24">
        <v>43644750</v>
      </c>
      <c r="P82" s="412">
        <f t="shared" si="3"/>
        <v>7.4999999999999997E-2</v>
      </c>
      <c r="Q82" s="24">
        <v>538285250</v>
      </c>
      <c r="R82" s="24">
        <v>354651150</v>
      </c>
      <c r="S82" s="412">
        <f t="shared" si="4"/>
        <v>0.65885355394746559</v>
      </c>
      <c r="T82" s="28">
        <f t="shared" si="5"/>
        <v>322971150</v>
      </c>
      <c r="U82" s="412">
        <v>0.6</v>
      </c>
      <c r="V82" s="412"/>
      <c r="W82" s="24">
        <v>36309950</v>
      </c>
      <c r="X82" s="24">
        <v>0</v>
      </c>
      <c r="Y82" s="24">
        <v>147324150</v>
      </c>
      <c r="Z82" s="24">
        <v>11761350</v>
      </c>
      <c r="AA82" s="24">
        <v>1176135</v>
      </c>
      <c r="AB82" s="24">
        <v>7477279</v>
      </c>
      <c r="AC82" s="24">
        <v>1233751</v>
      </c>
      <c r="AD82" s="24">
        <v>2680853</v>
      </c>
      <c r="AE82" s="24">
        <v>24329368</v>
      </c>
      <c r="AF82" s="24">
        <v>0</v>
      </c>
      <c r="AG82" s="24">
        <v>0</v>
      </c>
      <c r="AH82" s="24">
        <v>0</v>
      </c>
      <c r="AI82" s="24">
        <v>20000</v>
      </c>
      <c r="AJ82" s="24">
        <v>24349368</v>
      </c>
      <c r="AK82" s="24">
        <v>159284732</v>
      </c>
    </row>
    <row r="83" spans="1:37" x14ac:dyDescent="0.55000000000000004">
      <c r="A83">
        <v>2025</v>
      </c>
      <c r="B83" s="27" t="s">
        <v>771</v>
      </c>
      <c r="C83" s="27" t="s">
        <v>65</v>
      </c>
      <c r="D83" s="10" t="s">
        <v>814</v>
      </c>
      <c r="E83" s="10" t="s">
        <v>815</v>
      </c>
      <c r="F83" s="10" t="s">
        <v>644</v>
      </c>
      <c r="G83" s="10" t="s">
        <v>816</v>
      </c>
      <c r="H83" s="10" t="s">
        <v>816</v>
      </c>
      <c r="I83" s="28">
        <v>277062</v>
      </c>
      <c r="J83" s="28">
        <v>5691</v>
      </c>
      <c r="K83" s="28">
        <v>3033</v>
      </c>
      <c r="L83" s="24">
        <v>126</v>
      </c>
      <c r="M83" s="31">
        <f t="shared" si="6"/>
        <v>2.2140221402214021E-2</v>
      </c>
      <c r="N83" s="24">
        <v>292140000</v>
      </c>
      <c r="O83" s="24">
        <v>21910500</v>
      </c>
      <c r="P83" s="412">
        <f t="shared" si="3"/>
        <v>7.4999999999999997E-2</v>
      </c>
      <c r="Q83" s="24">
        <v>270229500</v>
      </c>
      <c r="R83" s="24">
        <v>131506788</v>
      </c>
      <c r="S83" s="412">
        <f t="shared" si="4"/>
        <v>0.48664852653022711</v>
      </c>
      <c r="T83" s="28">
        <f t="shared" si="5"/>
        <v>135114750</v>
      </c>
      <c r="U83" s="412">
        <v>0.5</v>
      </c>
      <c r="V83" s="412"/>
      <c r="W83" s="24">
        <v>2910050</v>
      </c>
      <c r="X83" s="24">
        <v>4305875</v>
      </c>
      <c r="Y83" s="24">
        <v>131506788</v>
      </c>
      <c r="Z83" s="24">
        <v>6730997</v>
      </c>
      <c r="AA83" s="24">
        <v>673100</v>
      </c>
      <c r="AB83" s="24">
        <v>7298350</v>
      </c>
      <c r="AC83" s="24">
        <v>1204228</v>
      </c>
      <c r="AD83" s="24">
        <v>1804027</v>
      </c>
      <c r="AE83" s="24">
        <v>17710701</v>
      </c>
      <c r="AF83" s="24">
        <v>0</v>
      </c>
      <c r="AG83" s="24">
        <v>0</v>
      </c>
      <c r="AH83" s="24">
        <v>880000</v>
      </c>
      <c r="AI83" s="24">
        <v>540000</v>
      </c>
      <c r="AJ83" s="24">
        <v>19130701</v>
      </c>
      <c r="AK83" s="24">
        <v>119592011</v>
      </c>
    </row>
    <row r="84" spans="1:37" x14ac:dyDescent="0.55000000000000004">
      <c r="A84">
        <v>2025</v>
      </c>
      <c r="B84" s="27" t="s">
        <v>771</v>
      </c>
      <c r="C84" s="27" t="s">
        <v>65</v>
      </c>
      <c r="D84" s="10" t="s">
        <v>817</v>
      </c>
      <c r="E84" s="10" t="s">
        <v>769</v>
      </c>
      <c r="F84" s="10" t="s">
        <v>662</v>
      </c>
      <c r="G84" s="10" t="s">
        <v>770</v>
      </c>
      <c r="H84" s="10" t="s">
        <v>770</v>
      </c>
      <c r="I84" s="28"/>
      <c r="J84" s="28">
        <v>3195</v>
      </c>
      <c r="K84" s="28">
        <v>1408</v>
      </c>
      <c r="L84" s="24">
        <v>39</v>
      </c>
      <c r="M84" s="31">
        <f t="shared" si="6"/>
        <v>1.2206572769953052E-2</v>
      </c>
      <c r="N84" s="24">
        <v>85903332</v>
      </c>
      <c r="O84" s="24">
        <v>6442750</v>
      </c>
      <c r="P84" s="412">
        <f t="shared" si="3"/>
        <v>7.5000001164099203E-2</v>
      </c>
      <c r="Q84" s="24">
        <v>79460582</v>
      </c>
      <c r="R84" s="24">
        <v>47946628</v>
      </c>
      <c r="S84" s="412">
        <f t="shared" si="4"/>
        <v>0.60340141983858109</v>
      </c>
      <c r="T84" s="28">
        <f t="shared" si="5"/>
        <v>39730291</v>
      </c>
      <c r="U84" s="412">
        <v>0.5</v>
      </c>
      <c r="V84" s="412"/>
      <c r="W84" s="24">
        <v>0</v>
      </c>
      <c r="X84" s="24">
        <v>0</v>
      </c>
      <c r="Y84" s="24">
        <v>31513954</v>
      </c>
      <c r="Z84" s="24">
        <v>7097388</v>
      </c>
      <c r="AA84" s="24">
        <v>709739</v>
      </c>
      <c r="AB84" s="24">
        <v>5540519</v>
      </c>
      <c r="AC84" s="24">
        <v>914186</v>
      </c>
      <c r="AD84" s="24">
        <v>906130</v>
      </c>
      <c r="AE84" s="24">
        <v>15167961</v>
      </c>
      <c r="AF84" s="24">
        <v>0</v>
      </c>
      <c r="AG84" s="24">
        <v>0</v>
      </c>
      <c r="AH84" s="24">
        <v>0</v>
      </c>
      <c r="AI84" s="24">
        <v>70000</v>
      </c>
      <c r="AJ84" s="24">
        <v>15237961</v>
      </c>
      <c r="AK84" s="24">
        <v>16275992</v>
      </c>
    </row>
    <row r="85" spans="1:37" x14ac:dyDescent="0.55000000000000004">
      <c r="A85">
        <v>2025</v>
      </c>
      <c r="B85" s="27" t="s">
        <v>771</v>
      </c>
      <c r="C85" s="27" t="s">
        <v>65</v>
      </c>
      <c r="D85" s="10" t="s">
        <v>818</v>
      </c>
      <c r="E85" s="10" t="s">
        <v>677</v>
      </c>
      <c r="F85" s="10" t="s">
        <v>728</v>
      </c>
      <c r="G85" s="10" t="s">
        <v>819</v>
      </c>
      <c r="H85" s="10" t="s">
        <v>819</v>
      </c>
      <c r="I85" s="28"/>
      <c r="J85" s="28">
        <v>2341</v>
      </c>
      <c r="K85" s="28">
        <v>723</v>
      </c>
      <c r="L85" s="24">
        <v>106</v>
      </c>
      <c r="M85" s="31">
        <f t="shared" si="6"/>
        <v>4.5279794959419049E-2</v>
      </c>
      <c r="N85" s="24">
        <v>267260000</v>
      </c>
      <c r="O85" s="24">
        <v>20044500</v>
      </c>
      <c r="P85" s="412">
        <f t="shared" si="3"/>
        <v>7.4999999999999997E-2</v>
      </c>
      <c r="Q85" s="24">
        <v>247215500</v>
      </c>
      <c r="R85" s="24">
        <v>122456125</v>
      </c>
      <c r="S85" s="412">
        <f t="shared" si="4"/>
        <v>0.49534161490683232</v>
      </c>
      <c r="T85" s="28">
        <f t="shared" si="5"/>
        <v>123607750</v>
      </c>
      <c r="U85" s="412">
        <v>0.5</v>
      </c>
      <c r="V85" s="412"/>
      <c r="W85" s="24">
        <v>2303250</v>
      </c>
      <c r="X85" s="24">
        <v>0</v>
      </c>
      <c r="Y85" s="24">
        <v>122456125</v>
      </c>
      <c r="Z85" s="24">
        <v>9397990</v>
      </c>
      <c r="AA85" s="24">
        <v>939799</v>
      </c>
      <c r="AB85" s="24">
        <v>6984962</v>
      </c>
      <c r="AC85" s="24">
        <v>1152519</v>
      </c>
      <c r="AD85" s="24">
        <v>906642</v>
      </c>
      <c r="AE85" s="24">
        <v>19381912</v>
      </c>
      <c r="AF85" s="24">
        <v>0</v>
      </c>
      <c r="AG85" s="24">
        <v>0</v>
      </c>
      <c r="AH85" s="24">
        <v>0</v>
      </c>
      <c r="AI85" s="24">
        <v>20000</v>
      </c>
      <c r="AJ85" s="24">
        <v>19401912</v>
      </c>
      <c r="AK85" s="24">
        <v>105357463</v>
      </c>
    </row>
    <row r="86" spans="1:37" x14ac:dyDescent="0.55000000000000004">
      <c r="A86">
        <v>2025</v>
      </c>
      <c r="B86" s="27" t="s">
        <v>771</v>
      </c>
      <c r="C86" s="27" t="s">
        <v>65</v>
      </c>
      <c r="D86" s="10" t="s">
        <v>820</v>
      </c>
      <c r="E86" s="10" t="s">
        <v>725</v>
      </c>
      <c r="F86" s="10" t="s">
        <v>662</v>
      </c>
      <c r="G86" s="10" t="s">
        <v>821</v>
      </c>
      <c r="H86" s="10" t="s">
        <v>821</v>
      </c>
      <c r="I86" s="28">
        <v>360914</v>
      </c>
      <c r="J86" s="28">
        <v>3029</v>
      </c>
      <c r="K86" s="28">
        <v>1035</v>
      </c>
      <c r="L86" s="24">
        <v>114</v>
      </c>
      <c r="M86" s="31">
        <f t="shared" si="6"/>
        <v>3.7636183558930343E-2</v>
      </c>
      <c r="N86" s="24">
        <v>6860000</v>
      </c>
      <c r="O86" s="24">
        <v>207172</v>
      </c>
      <c r="P86" s="412">
        <f t="shared" si="3"/>
        <v>3.0200000000000001E-2</v>
      </c>
      <c r="Q86" s="24">
        <v>5640000</v>
      </c>
      <c r="R86" s="24">
        <v>3828615</v>
      </c>
      <c r="S86" s="412">
        <f t="shared" si="4"/>
        <v>0.67883244680851063</v>
      </c>
      <c r="T86" s="28">
        <f t="shared" si="5"/>
        <v>3947999.9999999995</v>
      </c>
      <c r="U86" s="412">
        <v>0.7</v>
      </c>
      <c r="V86" s="412"/>
      <c r="W86" s="24">
        <v>0</v>
      </c>
      <c r="X86" s="24">
        <v>0</v>
      </c>
      <c r="Y86" s="24">
        <v>1811385</v>
      </c>
      <c r="Z86" s="24">
        <v>15438943</v>
      </c>
      <c r="AA86" s="24">
        <v>1543894</v>
      </c>
      <c r="AB86" s="24">
        <v>11992847</v>
      </c>
      <c r="AC86" s="24">
        <v>1100000</v>
      </c>
      <c r="AD86" s="24">
        <v>886380</v>
      </c>
      <c r="AE86" s="24">
        <v>30962064</v>
      </c>
      <c r="AF86" s="24">
        <v>0</v>
      </c>
      <c r="AG86" s="24">
        <v>0</v>
      </c>
      <c r="AH86" s="24">
        <v>0</v>
      </c>
      <c r="AI86" s="24">
        <v>20000</v>
      </c>
      <c r="AJ86" s="24">
        <v>30982064</v>
      </c>
      <c r="AK86" s="24">
        <v>-29170679</v>
      </c>
    </row>
    <row r="87" spans="1:37" x14ac:dyDescent="0.55000000000000004">
      <c r="A87">
        <v>2025</v>
      </c>
      <c r="B87" s="27" t="s">
        <v>771</v>
      </c>
      <c r="C87" s="27" t="s">
        <v>65</v>
      </c>
      <c r="D87" s="10" t="s">
        <v>822</v>
      </c>
      <c r="E87" s="10" t="s">
        <v>823</v>
      </c>
      <c r="F87" s="10" t="s">
        <v>644</v>
      </c>
      <c r="G87" s="10" t="s">
        <v>824</v>
      </c>
      <c r="H87" s="10" t="s">
        <v>824</v>
      </c>
      <c r="I87" s="28"/>
      <c r="J87" s="28">
        <v>3026</v>
      </c>
      <c r="K87" s="28">
        <v>2334</v>
      </c>
      <c r="L87" s="24">
        <v>119</v>
      </c>
      <c r="M87" s="31">
        <f t="shared" si="6"/>
        <v>3.9325842696629212E-2</v>
      </c>
      <c r="N87" s="24">
        <v>134575000</v>
      </c>
      <c r="O87" s="24">
        <v>10093125</v>
      </c>
      <c r="P87" s="412">
        <f t="shared" si="3"/>
        <v>7.4999999999999997E-2</v>
      </c>
      <c r="Q87" s="24">
        <v>124481875</v>
      </c>
      <c r="R87" s="24">
        <v>62240938</v>
      </c>
      <c r="S87" s="412">
        <f t="shared" si="4"/>
        <v>0.50000000401664901</v>
      </c>
      <c r="T87" s="28">
        <f t="shared" si="5"/>
        <v>62240937.5</v>
      </c>
      <c r="U87" s="412">
        <v>0.5</v>
      </c>
      <c r="V87" s="412"/>
      <c r="W87" s="24">
        <v>5960700</v>
      </c>
      <c r="X87" s="24">
        <v>0</v>
      </c>
      <c r="Y87" s="24">
        <v>56280238</v>
      </c>
      <c r="Z87" s="24">
        <v>7815285</v>
      </c>
      <c r="AA87" s="24">
        <v>781529</v>
      </c>
      <c r="AB87" s="24">
        <v>9541467</v>
      </c>
      <c r="AC87" s="24">
        <v>1259474</v>
      </c>
      <c r="AD87" s="24">
        <v>1798500</v>
      </c>
      <c r="AE87" s="24">
        <v>21196254</v>
      </c>
      <c r="AF87" s="24"/>
      <c r="AG87" s="24"/>
      <c r="AH87" s="24">
        <v>550000</v>
      </c>
      <c r="AI87" s="24">
        <v>100000</v>
      </c>
      <c r="AJ87" s="24">
        <v>21846254</v>
      </c>
      <c r="AK87" s="24">
        <v>40394683</v>
      </c>
    </row>
    <row r="88" spans="1:37" x14ac:dyDescent="0.55000000000000004">
      <c r="A88">
        <v>2025</v>
      </c>
      <c r="B88" s="27" t="s">
        <v>771</v>
      </c>
      <c r="C88" s="27" t="s">
        <v>65</v>
      </c>
      <c r="D88" s="10" t="s">
        <v>825</v>
      </c>
      <c r="E88" s="10" t="s">
        <v>826</v>
      </c>
      <c r="F88" s="10" t="s">
        <v>662</v>
      </c>
      <c r="G88" s="10" t="s">
        <v>827</v>
      </c>
      <c r="H88" s="10" t="s">
        <v>827</v>
      </c>
      <c r="I88" s="28"/>
      <c r="J88" s="28">
        <v>4608</v>
      </c>
      <c r="K88" s="28">
        <v>1607</v>
      </c>
      <c r="L88" s="24">
        <v>210</v>
      </c>
      <c r="M88" s="31">
        <f t="shared" si="6"/>
        <v>4.5572916666666664E-2</v>
      </c>
      <c r="N88" s="24">
        <v>593665000</v>
      </c>
      <c r="O88" s="24">
        <v>149728</v>
      </c>
      <c r="P88" s="412">
        <f t="shared" si="3"/>
        <v>2.5220957947664086E-4</v>
      </c>
      <c r="Q88" s="24">
        <v>593515272</v>
      </c>
      <c r="R88" s="24">
        <v>296757636</v>
      </c>
      <c r="S88" s="412">
        <f t="shared" si="4"/>
        <v>0.5</v>
      </c>
      <c r="T88" s="28">
        <f t="shared" si="5"/>
        <v>296757636</v>
      </c>
      <c r="U88" s="412">
        <v>0.5</v>
      </c>
      <c r="V88" s="412"/>
      <c r="W88" s="24">
        <v>11214700</v>
      </c>
      <c r="X88" s="24">
        <v>0</v>
      </c>
      <c r="Y88" s="24">
        <v>282598198</v>
      </c>
      <c r="Z88" s="24">
        <v>19468603</v>
      </c>
      <c r="AA88" s="24">
        <v>1946860</v>
      </c>
      <c r="AB88" s="24">
        <v>17255811</v>
      </c>
      <c r="AC88" s="24">
        <v>2277767</v>
      </c>
      <c r="AD88" s="24">
        <v>2754675</v>
      </c>
      <c r="AE88" s="24">
        <v>43703716</v>
      </c>
      <c r="AF88" s="24">
        <v>0</v>
      </c>
      <c r="AG88" s="24">
        <v>0</v>
      </c>
      <c r="AH88" s="24">
        <v>0</v>
      </c>
      <c r="AI88" s="24">
        <v>0</v>
      </c>
      <c r="AJ88" s="24">
        <v>43703716</v>
      </c>
      <c r="AK88" s="24">
        <v>253053920</v>
      </c>
    </row>
    <row r="89" spans="1:37" x14ac:dyDescent="0.55000000000000004">
      <c r="A89">
        <v>2025</v>
      </c>
      <c r="B89" s="27" t="s">
        <v>771</v>
      </c>
      <c r="C89" s="27" t="s">
        <v>65</v>
      </c>
      <c r="D89" s="10" t="s">
        <v>828</v>
      </c>
      <c r="E89" s="10" t="s">
        <v>829</v>
      </c>
      <c r="F89" s="10" t="s">
        <v>644</v>
      </c>
      <c r="G89" s="10" t="s">
        <v>830</v>
      </c>
      <c r="H89" s="10" t="s">
        <v>830</v>
      </c>
      <c r="I89" s="28">
        <v>251022</v>
      </c>
      <c r="J89" s="28">
        <v>7625</v>
      </c>
      <c r="K89" s="28">
        <v>2708</v>
      </c>
      <c r="L89" s="24">
        <v>158</v>
      </c>
      <c r="M89" s="31">
        <f t="shared" si="6"/>
        <v>2.0721311475409836E-2</v>
      </c>
      <c r="N89" s="24">
        <v>404454999</v>
      </c>
      <c r="O89" s="24">
        <v>310314</v>
      </c>
      <c r="P89" s="412">
        <f t="shared" si="3"/>
        <v>7.6723986788948062E-4</v>
      </c>
      <c r="Q89" s="24">
        <v>404144685</v>
      </c>
      <c r="R89" s="24">
        <v>202072343</v>
      </c>
      <c r="S89" s="412">
        <f t="shared" si="4"/>
        <v>0.50000000123718069</v>
      </c>
      <c r="T89" s="28">
        <f t="shared" si="5"/>
        <v>202072342.5</v>
      </c>
      <c r="U89" s="412">
        <v>0.5</v>
      </c>
      <c r="V89" s="412"/>
      <c r="W89" s="24">
        <v>15810100</v>
      </c>
      <c r="X89" s="24">
        <v>0</v>
      </c>
      <c r="Y89" s="24">
        <v>186262243</v>
      </c>
      <c r="Z89" s="24">
        <v>14731696</v>
      </c>
      <c r="AA89" s="24">
        <v>1473170</v>
      </c>
      <c r="AB89" s="24">
        <v>9995304</v>
      </c>
      <c r="AC89" s="24">
        <v>1100000</v>
      </c>
      <c r="AD89" s="24">
        <v>1857720</v>
      </c>
      <c r="AE89" s="24">
        <v>29157890</v>
      </c>
      <c r="AF89" s="24"/>
      <c r="AG89" s="24"/>
      <c r="AH89" s="24">
        <v>811250</v>
      </c>
      <c r="AI89" s="24">
        <v>520000</v>
      </c>
      <c r="AJ89" s="24">
        <v>30489140</v>
      </c>
      <c r="AK89" s="24">
        <v>171583203</v>
      </c>
    </row>
    <row r="90" spans="1:37" x14ac:dyDescent="0.55000000000000004">
      <c r="A90">
        <v>2025</v>
      </c>
      <c r="B90" s="27" t="s">
        <v>771</v>
      </c>
      <c r="C90" s="27" t="s">
        <v>65</v>
      </c>
      <c r="D90" s="10" t="s">
        <v>831</v>
      </c>
      <c r="E90" s="10" t="s">
        <v>650</v>
      </c>
      <c r="F90" s="10" t="s">
        <v>832</v>
      </c>
      <c r="G90" s="10" t="s">
        <v>833</v>
      </c>
      <c r="H90" s="10" t="s">
        <v>833</v>
      </c>
      <c r="I90" s="28">
        <v>630987</v>
      </c>
      <c r="J90" s="28">
        <v>5069</v>
      </c>
      <c r="K90" s="28">
        <v>1518</v>
      </c>
      <c r="L90" s="24">
        <v>203</v>
      </c>
      <c r="M90" s="31">
        <f t="shared" si="6"/>
        <v>4.0047346616689683E-2</v>
      </c>
      <c r="N90" s="24">
        <v>590726664</v>
      </c>
      <c r="O90" s="24">
        <v>1893200</v>
      </c>
      <c r="P90" s="412">
        <f t="shared" si="3"/>
        <v>3.2048663373014765E-3</v>
      </c>
      <c r="Q90" s="24">
        <v>588833464</v>
      </c>
      <c r="R90" s="24">
        <v>353300078</v>
      </c>
      <c r="S90" s="412">
        <f t="shared" si="4"/>
        <v>0.59999999932069081</v>
      </c>
      <c r="T90" s="28">
        <f t="shared" si="5"/>
        <v>353300078.39999998</v>
      </c>
      <c r="U90" s="412">
        <v>0.6</v>
      </c>
      <c r="V90" s="412"/>
      <c r="W90" s="24">
        <v>7788500</v>
      </c>
      <c r="X90" s="24">
        <v>0</v>
      </c>
      <c r="Y90" s="24">
        <v>227744886</v>
      </c>
      <c r="Z90" s="24">
        <v>24836929</v>
      </c>
      <c r="AA90" s="24">
        <v>2483693</v>
      </c>
      <c r="AB90" s="24">
        <v>24022952</v>
      </c>
      <c r="AC90" s="24">
        <v>4271030</v>
      </c>
      <c r="AD90" s="24">
        <v>3771195</v>
      </c>
      <c r="AE90" s="24">
        <v>59385799</v>
      </c>
      <c r="AF90" s="24"/>
      <c r="AG90" s="24"/>
      <c r="AH90" s="24"/>
      <c r="AI90" s="24"/>
      <c r="AJ90" s="24">
        <v>59385799</v>
      </c>
      <c r="AK90" s="24">
        <v>176147587</v>
      </c>
    </row>
    <row r="91" spans="1:37" x14ac:dyDescent="0.55000000000000004">
      <c r="A91">
        <v>2025</v>
      </c>
      <c r="B91" s="27" t="s">
        <v>771</v>
      </c>
      <c r="C91" s="27" t="s">
        <v>65</v>
      </c>
      <c r="D91" s="10" t="s">
        <v>834</v>
      </c>
      <c r="E91" s="10" t="s">
        <v>719</v>
      </c>
      <c r="F91" s="10" t="s">
        <v>680</v>
      </c>
      <c r="G91" s="10" t="s">
        <v>835</v>
      </c>
      <c r="H91" s="10" t="s">
        <v>835</v>
      </c>
      <c r="I91" s="28"/>
      <c r="J91" s="28">
        <v>7197</v>
      </c>
      <c r="K91" s="28">
        <v>3051</v>
      </c>
      <c r="L91" s="24">
        <v>96</v>
      </c>
      <c r="M91" s="31">
        <f t="shared" si="6"/>
        <v>1.3338891204668612E-2</v>
      </c>
      <c r="N91" s="24">
        <v>191040000</v>
      </c>
      <c r="O91" s="24">
        <v>14328000</v>
      </c>
      <c r="P91" s="412">
        <f t="shared" si="3"/>
        <v>7.4999999999999997E-2</v>
      </c>
      <c r="Q91" s="24">
        <v>176712000</v>
      </c>
      <c r="R91" s="24">
        <v>106027200</v>
      </c>
      <c r="S91" s="412">
        <f t="shared" si="4"/>
        <v>0.6</v>
      </c>
      <c r="T91" s="28">
        <f t="shared" si="5"/>
        <v>106027200</v>
      </c>
      <c r="U91" s="412">
        <v>0.6</v>
      </c>
      <c r="V91" s="412"/>
      <c r="W91" s="24">
        <v>5890400</v>
      </c>
      <c r="X91" s="24">
        <v>0</v>
      </c>
      <c r="Y91" s="24">
        <v>64794400</v>
      </c>
      <c r="Z91" s="24">
        <v>13908336</v>
      </c>
      <c r="AA91" s="24">
        <v>1390834</v>
      </c>
      <c r="AB91" s="24">
        <v>14946428</v>
      </c>
      <c r="AC91" s="24">
        <v>1972929</v>
      </c>
      <c r="AD91" s="24">
        <v>3071520</v>
      </c>
      <c r="AE91" s="24">
        <v>35290046</v>
      </c>
      <c r="AF91" s="24"/>
      <c r="AG91" s="24"/>
      <c r="AH91" s="24"/>
      <c r="AI91" s="24">
        <v>30000</v>
      </c>
      <c r="AJ91" s="24">
        <v>35320046</v>
      </c>
      <c r="AK91" s="24">
        <v>15373877</v>
      </c>
    </row>
    <row r="92" spans="1:37" x14ac:dyDescent="0.55000000000000004">
      <c r="A92">
        <v>2025</v>
      </c>
      <c r="B92" s="27" t="s">
        <v>771</v>
      </c>
      <c r="C92" s="27" t="s">
        <v>65</v>
      </c>
      <c r="D92" s="10" t="s">
        <v>836</v>
      </c>
      <c r="E92" s="10" t="s">
        <v>673</v>
      </c>
      <c r="F92" s="10" t="s">
        <v>728</v>
      </c>
      <c r="G92" s="10" t="s">
        <v>837</v>
      </c>
      <c r="H92" s="10" t="s">
        <v>837</v>
      </c>
      <c r="I92" s="28">
        <v>329339</v>
      </c>
      <c r="J92" s="28">
        <v>5123</v>
      </c>
      <c r="K92" s="28">
        <v>2045</v>
      </c>
      <c r="L92" s="24">
        <v>133</v>
      </c>
      <c r="M92" s="31">
        <f t="shared" si="6"/>
        <v>2.5961350771032597E-2</v>
      </c>
      <c r="N92" s="24">
        <v>250740000</v>
      </c>
      <c r="O92" s="24">
        <v>18805500</v>
      </c>
      <c r="P92" s="412">
        <f t="shared" si="3"/>
        <v>7.4999999999999997E-2</v>
      </c>
      <c r="Q92" s="24">
        <v>231934500</v>
      </c>
      <c r="R92" s="24">
        <v>115967250</v>
      </c>
      <c r="S92" s="412">
        <f t="shared" si="4"/>
        <v>0.5</v>
      </c>
      <c r="T92" s="28">
        <f t="shared" si="5"/>
        <v>115967250</v>
      </c>
      <c r="U92" s="412">
        <v>0.5</v>
      </c>
      <c r="V92" s="412"/>
      <c r="W92" s="24"/>
      <c r="X92" s="24"/>
      <c r="Y92" s="24">
        <v>115967250</v>
      </c>
      <c r="Z92" s="24">
        <v>9720439</v>
      </c>
      <c r="AA92" s="24">
        <v>972044</v>
      </c>
      <c r="AB92" s="24">
        <v>9999596</v>
      </c>
      <c r="AC92" s="24">
        <v>1100000</v>
      </c>
      <c r="AD92" s="24">
        <v>2116110</v>
      </c>
      <c r="AE92" s="24">
        <v>23908189</v>
      </c>
      <c r="AF92" s="24"/>
      <c r="AG92" s="24"/>
      <c r="AH92" s="24">
        <v>687500</v>
      </c>
      <c r="AI92" s="24"/>
      <c r="AJ92" s="24">
        <v>24595689</v>
      </c>
      <c r="AK92" s="24">
        <v>78155855</v>
      </c>
    </row>
    <row r="93" spans="1:37" x14ac:dyDescent="0.55000000000000004">
      <c r="A93">
        <v>2025</v>
      </c>
      <c r="B93" s="27" t="s">
        <v>771</v>
      </c>
      <c r="C93" s="27" t="s">
        <v>65</v>
      </c>
      <c r="D93" s="10" t="s">
        <v>838</v>
      </c>
      <c r="E93" s="10" t="s">
        <v>801</v>
      </c>
      <c r="F93" s="10" t="s">
        <v>662</v>
      </c>
      <c r="G93" s="10" t="s">
        <v>839</v>
      </c>
      <c r="H93" s="10" t="s">
        <v>839</v>
      </c>
      <c r="I93" s="28">
        <v>1421506</v>
      </c>
      <c r="J93" s="28">
        <v>5661</v>
      </c>
      <c r="K93" s="28">
        <v>1630</v>
      </c>
      <c r="L93" s="24">
        <v>82</v>
      </c>
      <c r="M93" s="31">
        <f t="shared" si="6"/>
        <v>1.4485073308602721E-2</v>
      </c>
      <c r="N93" s="24">
        <v>244771666</v>
      </c>
      <c r="O93" s="24">
        <v>10580787</v>
      </c>
      <c r="P93" s="412">
        <f t="shared" si="3"/>
        <v>4.3227172380319541E-2</v>
      </c>
      <c r="Q93" s="24">
        <v>234190879</v>
      </c>
      <c r="R93" s="24">
        <v>117095440</v>
      </c>
      <c r="S93" s="412">
        <f t="shared" si="4"/>
        <v>0.50000000213501061</v>
      </c>
      <c r="T93" s="28">
        <f t="shared" si="5"/>
        <v>117095439.5</v>
      </c>
      <c r="U93" s="412">
        <v>0.5</v>
      </c>
      <c r="V93" s="412"/>
      <c r="W93" s="24">
        <v>0</v>
      </c>
      <c r="X93" s="24">
        <v>0</v>
      </c>
      <c r="Y93" s="24">
        <v>117095440</v>
      </c>
      <c r="Z93" s="24">
        <v>17627503</v>
      </c>
      <c r="AA93" s="24">
        <v>1762750</v>
      </c>
      <c r="AB93" s="24">
        <v>17327515</v>
      </c>
      <c r="AC93" s="24">
        <v>3387232</v>
      </c>
      <c r="AD93" s="24">
        <v>3271185</v>
      </c>
      <c r="AE93" s="24">
        <v>43376185</v>
      </c>
      <c r="AF93" s="24"/>
      <c r="AG93" s="24"/>
      <c r="AH93" s="24"/>
      <c r="AI93" s="24"/>
      <c r="AJ93" s="24">
        <v>43376185</v>
      </c>
      <c r="AK93" s="24">
        <v>49733322</v>
      </c>
    </row>
    <row r="94" spans="1:37" x14ac:dyDescent="0.55000000000000004">
      <c r="A94">
        <v>2025</v>
      </c>
      <c r="B94" s="27" t="s">
        <v>771</v>
      </c>
      <c r="C94" s="27" t="s">
        <v>65</v>
      </c>
      <c r="D94" s="10" t="s">
        <v>840</v>
      </c>
      <c r="E94" s="10" t="s">
        <v>785</v>
      </c>
      <c r="F94" s="10" t="s">
        <v>662</v>
      </c>
      <c r="G94" s="10" t="s">
        <v>841</v>
      </c>
      <c r="H94" s="10" t="s">
        <v>841</v>
      </c>
      <c r="I94" s="28"/>
      <c r="J94" s="28">
        <v>2183</v>
      </c>
      <c r="K94" s="28">
        <v>1082</v>
      </c>
      <c r="L94" s="24">
        <v>50</v>
      </c>
      <c r="M94" s="31">
        <f t="shared" si="6"/>
        <v>2.2904260192395786E-2</v>
      </c>
      <c r="N94" s="24">
        <v>107853332</v>
      </c>
      <c r="O94" s="24">
        <v>7088928</v>
      </c>
      <c r="P94" s="412">
        <f t="shared" si="3"/>
        <v>6.5727482577914234E-2</v>
      </c>
      <c r="Q94" s="24">
        <v>100764404</v>
      </c>
      <c r="R94" s="24">
        <v>50382202</v>
      </c>
      <c r="S94" s="412">
        <f t="shared" si="4"/>
        <v>0.5</v>
      </c>
      <c r="T94" s="28">
        <f t="shared" si="5"/>
        <v>50382202</v>
      </c>
      <c r="U94" s="412">
        <v>0.5</v>
      </c>
      <c r="V94" s="412"/>
      <c r="W94" s="24">
        <v>4565800</v>
      </c>
      <c r="X94" s="24">
        <v>0</v>
      </c>
      <c r="Y94" s="24">
        <v>44827577</v>
      </c>
      <c r="Z94" s="24">
        <v>0</v>
      </c>
      <c r="AA94" s="24">
        <v>0</v>
      </c>
      <c r="AB94" s="24">
        <v>14057694</v>
      </c>
      <c r="AC94" s="24">
        <v>2200000</v>
      </c>
      <c r="AD94" s="24">
        <v>2230050</v>
      </c>
      <c r="AE94" s="24">
        <v>18487744</v>
      </c>
      <c r="AF94" s="24">
        <v>120000</v>
      </c>
      <c r="AG94" s="24"/>
      <c r="AH94" s="24">
        <v>50000</v>
      </c>
      <c r="AI94" s="24">
        <v>20000</v>
      </c>
      <c r="AJ94" s="24">
        <v>18677744</v>
      </c>
      <c r="AK94" s="24">
        <v>31704458</v>
      </c>
    </row>
    <row r="95" spans="1:37" x14ac:dyDescent="0.55000000000000004">
      <c r="A95">
        <v>2025</v>
      </c>
      <c r="B95" s="27" t="s">
        <v>771</v>
      </c>
      <c r="C95" s="27" t="s">
        <v>65</v>
      </c>
      <c r="D95" s="10" t="s">
        <v>842</v>
      </c>
      <c r="E95" s="10" t="s">
        <v>843</v>
      </c>
      <c r="F95" s="10" t="s">
        <v>644</v>
      </c>
      <c r="G95" s="10" t="s">
        <v>844</v>
      </c>
      <c r="H95" s="10" t="s">
        <v>844</v>
      </c>
      <c r="I95" s="28">
        <v>4845231</v>
      </c>
      <c r="J95" s="28">
        <v>15769</v>
      </c>
      <c r="K95" s="28">
        <v>6309</v>
      </c>
      <c r="L95" s="24">
        <v>474</v>
      </c>
      <c r="M95" s="31">
        <f t="shared" si="6"/>
        <v>3.0058976472826432E-2</v>
      </c>
      <c r="N95" s="24">
        <v>1619600000</v>
      </c>
      <c r="O95" s="24">
        <v>106452230</v>
      </c>
      <c r="P95" s="412">
        <f t="shared" si="3"/>
        <v>6.5727482094344286E-2</v>
      </c>
      <c r="Q95" s="24">
        <v>1513147770</v>
      </c>
      <c r="R95" s="24">
        <v>756573885</v>
      </c>
      <c r="S95" s="412">
        <f t="shared" si="4"/>
        <v>0.5</v>
      </c>
      <c r="T95" s="28">
        <f t="shared" si="5"/>
        <v>756573885</v>
      </c>
      <c r="U95" s="412">
        <v>0.5</v>
      </c>
      <c r="V95" s="412"/>
      <c r="W95" s="24">
        <v>134210100</v>
      </c>
      <c r="X95" s="24">
        <v>0</v>
      </c>
      <c r="Y95" s="24">
        <v>622363785</v>
      </c>
      <c r="Z95" s="24">
        <v>24669993</v>
      </c>
      <c r="AA95" s="24">
        <v>2466999</v>
      </c>
      <c r="AB95" s="24">
        <v>24999851</v>
      </c>
      <c r="AC95" s="24">
        <v>2200000</v>
      </c>
      <c r="AD95" s="24">
        <v>3473850</v>
      </c>
      <c r="AE95" s="24">
        <v>57810693</v>
      </c>
      <c r="AF95" s="24">
        <v>300000</v>
      </c>
      <c r="AG95" s="24"/>
      <c r="AH95" s="24">
        <v>728750</v>
      </c>
      <c r="AI95" s="24"/>
      <c r="AJ95" s="24">
        <v>58839443</v>
      </c>
      <c r="AK95" s="24">
        <v>697734442</v>
      </c>
    </row>
    <row r="96" spans="1:37" x14ac:dyDescent="0.55000000000000004">
      <c r="A96">
        <v>2025</v>
      </c>
      <c r="B96" s="27" t="s">
        <v>771</v>
      </c>
      <c r="C96" s="27" t="s">
        <v>65</v>
      </c>
      <c r="D96" s="10" t="s">
        <v>845</v>
      </c>
      <c r="E96" s="10" t="s">
        <v>846</v>
      </c>
      <c r="F96" s="10" t="s">
        <v>773</v>
      </c>
      <c r="G96" s="10" t="s">
        <v>804</v>
      </c>
      <c r="H96" s="10" t="s">
        <v>804</v>
      </c>
      <c r="I96" s="28">
        <v>4432630</v>
      </c>
      <c r="J96" s="28">
        <v>9902</v>
      </c>
      <c r="K96" s="28">
        <v>3037</v>
      </c>
      <c r="L96" s="24">
        <v>195</v>
      </c>
      <c r="M96" s="31">
        <f t="shared" si="6"/>
        <v>1.9692991314885881E-2</v>
      </c>
      <c r="N96" s="24">
        <v>525050000</v>
      </c>
      <c r="O96" s="24">
        <v>2566400</v>
      </c>
      <c r="P96" s="412">
        <f t="shared" si="3"/>
        <v>4.8879154366250829E-3</v>
      </c>
      <c r="Q96" s="24">
        <v>522483600</v>
      </c>
      <c r="R96" s="24">
        <v>313490160</v>
      </c>
      <c r="S96" s="412">
        <f t="shared" si="4"/>
        <v>0.6</v>
      </c>
      <c r="T96" s="28">
        <f t="shared" si="5"/>
        <v>313490160</v>
      </c>
      <c r="U96" s="412">
        <f>S96</f>
        <v>0.6</v>
      </c>
      <c r="V96" s="412"/>
      <c r="W96" s="24">
        <v>8994700</v>
      </c>
      <c r="X96" s="24">
        <v>0</v>
      </c>
      <c r="Y96" s="24">
        <v>199998740</v>
      </c>
      <c r="Z96" s="24">
        <v>34644230</v>
      </c>
      <c r="AA96" s="24">
        <v>3464423</v>
      </c>
      <c r="AB96" s="24">
        <v>34996201</v>
      </c>
      <c r="AC96" s="24">
        <v>2200000</v>
      </c>
      <c r="AD96" s="24">
        <v>1163910</v>
      </c>
      <c r="AE96" s="24">
        <v>76468764</v>
      </c>
      <c r="AF96" s="24"/>
      <c r="AG96" s="24"/>
      <c r="AH96" s="24">
        <v>50000</v>
      </c>
      <c r="AI96" s="24"/>
      <c r="AJ96" s="24">
        <v>76518764</v>
      </c>
      <c r="AK96" s="24">
        <v>132474676</v>
      </c>
    </row>
    <row r="97" spans="1:37" x14ac:dyDescent="0.55000000000000004">
      <c r="A97">
        <v>2025</v>
      </c>
      <c r="B97" s="27" t="s">
        <v>771</v>
      </c>
      <c r="C97" s="27" t="s">
        <v>65</v>
      </c>
      <c r="D97" s="10" t="s">
        <v>847</v>
      </c>
      <c r="E97" s="10" t="s">
        <v>650</v>
      </c>
      <c r="F97" s="10" t="s">
        <v>848</v>
      </c>
      <c r="G97" s="10" t="s">
        <v>849</v>
      </c>
      <c r="H97" s="10" t="s">
        <v>849</v>
      </c>
      <c r="I97" s="28">
        <v>3775156</v>
      </c>
      <c r="J97" s="28">
        <v>2968</v>
      </c>
      <c r="K97" s="28">
        <v>1082</v>
      </c>
      <c r="L97" s="24">
        <v>87</v>
      </c>
      <c r="M97" s="31">
        <f t="shared" si="6"/>
        <v>2.9312668463611861E-2</v>
      </c>
      <c r="N97" s="24">
        <v>246163332</v>
      </c>
      <c r="O97" s="24">
        <v>741810</v>
      </c>
      <c r="P97" s="412">
        <f t="shared" si="3"/>
        <v>3.0134869965117309E-3</v>
      </c>
      <c r="Q97" s="24">
        <v>245421522</v>
      </c>
      <c r="R97" s="24">
        <v>147252913</v>
      </c>
      <c r="S97" s="412">
        <f t="shared" si="4"/>
        <v>0.59999999918507552</v>
      </c>
      <c r="T97" s="28">
        <f t="shared" si="5"/>
        <v>147252913.19999999</v>
      </c>
      <c r="U97" s="412">
        <v>0.6</v>
      </c>
      <c r="V97" s="412"/>
      <c r="W97" s="24"/>
      <c r="X97" s="24"/>
      <c r="Y97" s="24">
        <v>98168609</v>
      </c>
      <c r="Z97" s="24">
        <v>18705392</v>
      </c>
      <c r="AA97" s="24">
        <v>1870539</v>
      </c>
      <c r="AB97" s="24">
        <v>31043293</v>
      </c>
      <c r="AC97" s="24">
        <v>2200000</v>
      </c>
      <c r="AD97" s="24">
        <v>3650565</v>
      </c>
      <c r="AE97" s="24">
        <v>57469789</v>
      </c>
      <c r="AF97" s="24"/>
      <c r="AG97" s="24"/>
      <c r="AH97" s="24"/>
      <c r="AI97" s="24"/>
      <c r="AJ97" s="24">
        <v>57469789</v>
      </c>
      <c r="AK97" s="24">
        <v>40698819</v>
      </c>
    </row>
    <row r="98" spans="1:37" x14ac:dyDescent="0.55000000000000004">
      <c r="A98">
        <v>2025</v>
      </c>
      <c r="B98" s="27" t="s">
        <v>771</v>
      </c>
      <c r="C98" s="27" t="s">
        <v>65</v>
      </c>
      <c r="D98" s="10" t="s">
        <v>850</v>
      </c>
      <c r="E98" s="10" t="s">
        <v>677</v>
      </c>
      <c r="F98" s="10" t="s">
        <v>746</v>
      </c>
      <c r="G98" s="10" t="s">
        <v>851</v>
      </c>
      <c r="H98" s="10" t="s">
        <v>851</v>
      </c>
      <c r="I98" s="28">
        <v>1779351</v>
      </c>
      <c r="J98" s="28">
        <v>4223</v>
      </c>
      <c r="K98" s="28">
        <v>1640</v>
      </c>
      <c r="L98" s="24">
        <v>135</v>
      </c>
      <c r="M98" s="31">
        <f t="shared" si="6"/>
        <v>3.1967795406109403E-2</v>
      </c>
      <c r="N98" s="24">
        <v>377448328</v>
      </c>
      <c r="O98" s="24">
        <v>28308625</v>
      </c>
      <c r="P98" s="412">
        <f t="shared" si="3"/>
        <v>7.5000001059747703E-2</v>
      </c>
      <c r="Q98" s="24">
        <v>349139703</v>
      </c>
      <c r="R98" s="24">
        <v>174569852</v>
      </c>
      <c r="S98" s="412">
        <f t="shared" si="4"/>
        <v>0.50000000143209145</v>
      </c>
      <c r="T98" s="28">
        <f t="shared" si="5"/>
        <v>174569851.5</v>
      </c>
      <c r="U98" s="412">
        <v>0.5</v>
      </c>
      <c r="V98" s="412"/>
      <c r="W98" s="24">
        <v>0</v>
      </c>
      <c r="X98" s="24">
        <v>0</v>
      </c>
      <c r="Y98" s="24">
        <v>174569852</v>
      </c>
      <c r="Z98" s="24">
        <v>11959282</v>
      </c>
      <c r="AA98" s="24">
        <v>1195928</v>
      </c>
      <c r="AB98" s="24">
        <v>27998303</v>
      </c>
      <c r="AC98" s="24">
        <v>2200000</v>
      </c>
      <c r="AD98" s="24">
        <v>3696375</v>
      </c>
      <c r="AE98" s="24">
        <v>47049888</v>
      </c>
      <c r="AF98" s="24">
        <v>120000</v>
      </c>
      <c r="AG98" s="24"/>
      <c r="AH98" s="24"/>
      <c r="AI98" s="24"/>
      <c r="AJ98" s="24">
        <v>47169888</v>
      </c>
      <c r="AK98" s="24">
        <v>127399964</v>
      </c>
    </row>
    <row r="99" spans="1:37" x14ac:dyDescent="0.55000000000000004">
      <c r="A99">
        <v>2025</v>
      </c>
      <c r="B99" s="27" t="s">
        <v>771</v>
      </c>
      <c r="C99" s="27" t="s">
        <v>65</v>
      </c>
      <c r="D99" s="10" t="s">
        <v>852</v>
      </c>
      <c r="E99" s="10" t="s">
        <v>853</v>
      </c>
      <c r="F99" s="10" t="s">
        <v>644</v>
      </c>
      <c r="G99" s="10" t="s">
        <v>854</v>
      </c>
      <c r="H99" s="10" t="s">
        <v>854</v>
      </c>
      <c r="I99" s="28">
        <v>825943</v>
      </c>
      <c r="J99" s="28">
        <v>2900</v>
      </c>
      <c r="K99" s="28">
        <v>1293</v>
      </c>
      <c r="L99" s="24">
        <v>157</v>
      </c>
      <c r="M99" s="31">
        <f t="shared" si="6"/>
        <v>5.4137931034482757E-2</v>
      </c>
      <c r="N99" s="24">
        <v>516983333</v>
      </c>
      <c r="O99" s="24">
        <v>38773750</v>
      </c>
      <c r="P99" s="412">
        <f t="shared" si="3"/>
        <v>7.5000000048357454E-2</v>
      </c>
      <c r="Q99" s="24">
        <v>478209583</v>
      </c>
      <c r="R99" s="24">
        <v>263015271</v>
      </c>
      <c r="S99" s="412">
        <f t="shared" si="4"/>
        <v>0.5500000007318967</v>
      </c>
      <c r="T99" s="28">
        <f t="shared" si="5"/>
        <v>263015270.65000004</v>
      </c>
      <c r="U99" s="412">
        <v>0.55000000000000004</v>
      </c>
      <c r="V99" s="412"/>
      <c r="W99" s="24">
        <v>32776450</v>
      </c>
      <c r="X99" s="24">
        <v>0</v>
      </c>
      <c r="Y99" s="24">
        <v>182417862</v>
      </c>
      <c r="Z99" s="24">
        <v>7748447</v>
      </c>
      <c r="AA99" s="24">
        <v>774845</v>
      </c>
      <c r="AB99" s="24">
        <v>12999192</v>
      </c>
      <c r="AC99" s="24">
        <v>2200000</v>
      </c>
      <c r="AD99" s="24">
        <v>2501595</v>
      </c>
      <c r="AE99" s="24">
        <v>26224079</v>
      </c>
      <c r="AF99" s="24">
        <v>180000</v>
      </c>
      <c r="AG99" s="24"/>
      <c r="AH99" s="24">
        <v>978125</v>
      </c>
      <c r="AI99" s="24">
        <v>20000</v>
      </c>
      <c r="AJ99" s="24">
        <v>27402204</v>
      </c>
      <c r="AK99" s="24">
        <v>187792109</v>
      </c>
    </row>
    <row r="100" spans="1:37" x14ac:dyDescent="0.55000000000000004">
      <c r="A100">
        <v>2025</v>
      </c>
      <c r="B100" s="27" t="s">
        <v>771</v>
      </c>
      <c r="C100" s="27" t="s">
        <v>65</v>
      </c>
      <c r="D100" s="10" t="s">
        <v>855</v>
      </c>
      <c r="E100" s="10" t="s">
        <v>856</v>
      </c>
      <c r="F100" s="10" t="s">
        <v>644</v>
      </c>
      <c r="G100" s="10" t="s">
        <v>857</v>
      </c>
      <c r="H100" s="10" t="s">
        <v>857</v>
      </c>
      <c r="I100" s="28">
        <v>5695919</v>
      </c>
      <c r="J100" s="28">
        <v>12484</v>
      </c>
      <c r="K100" s="28">
        <v>4589</v>
      </c>
      <c r="L100" s="24">
        <v>403</v>
      </c>
      <c r="M100" s="31">
        <f t="shared" si="6"/>
        <v>3.2281320089714835E-2</v>
      </c>
      <c r="N100" s="24">
        <v>1005130000</v>
      </c>
      <c r="O100" s="24">
        <v>75384750</v>
      </c>
      <c r="P100" s="412">
        <f t="shared" si="3"/>
        <v>7.4999999999999997E-2</v>
      </c>
      <c r="Q100" s="24">
        <v>929745250</v>
      </c>
      <c r="R100" s="24">
        <v>464872625</v>
      </c>
      <c r="S100" s="412">
        <f t="shared" si="4"/>
        <v>0.5</v>
      </c>
      <c r="T100" s="28">
        <f t="shared" si="5"/>
        <v>464872625</v>
      </c>
      <c r="U100" s="412">
        <v>0.5</v>
      </c>
      <c r="V100" s="412"/>
      <c r="W100" s="24">
        <v>48828900</v>
      </c>
      <c r="X100" s="24">
        <v>0</v>
      </c>
      <c r="Y100" s="24">
        <v>416043725</v>
      </c>
      <c r="Z100" s="24">
        <v>23657889</v>
      </c>
      <c r="AA100" s="24">
        <v>2365789</v>
      </c>
      <c r="AB100" s="24">
        <v>16996499</v>
      </c>
      <c r="AC100" s="24">
        <v>2200000</v>
      </c>
      <c r="AD100" s="24">
        <v>2510010</v>
      </c>
      <c r="AE100" s="24">
        <v>49107202</v>
      </c>
      <c r="AF100" s="24">
        <v>240000</v>
      </c>
      <c r="AG100" s="24"/>
      <c r="AH100" s="24">
        <v>50000</v>
      </c>
      <c r="AI100" s="24">
        <v>20000</v>
      </c>
      <c r="AJ100" s="24">
        <v>49417202</v>
      </c>
      <c r="AK100" s="24">
        <v>415455423</v>
      </c>
    </row>
    <row r="101" spans="1:37" x14ac:dyDescent="0.55000000000000004">
      <c r="A101">
        <v>2025</v>
      </c>
      <c r="B101" s="27" t="s">
        <v>771</v>
      </c>
      <c r="C101" s="27" t="s">
        <v>65</v>
      </c>
      <c r="D101" s="10" t="s">
        <v>858</v>
      </c>
      <c r="E101" s="10" t="s">
        <v>826</v>
      </c>
      <c r="F101" s="10" t="s">
        <v>680</v>
      </c>
      <c r="G101" s="10" t="s">
        <v>859</v>
      </c>
      <c r="H101" s="10" t="s">
        <v>859</v>
      </c>
      <c r="I101" s="28">
        <v>3261913</v>
      </c>
      <c r="J101" s="28">
        <v>5800</v>
      </c>
      <c r="K101" s="28">
        <v>1375</v>
      </c>
      <c r="L101" s="24">
        <v>202</v>
      </c>
      <c r="M101" s="31">
        <f t="shared" si="6"/>
        <v>3.4827586206896549E-2</v>
      </c>
      <c r="N101" s="24">
        <v>576415666</v>
      </c>
      <c r="O101" s="24">
        <v>3042533</v>
      </c>
      <c r="P101" s="412">
        <f t="shared" si="3"/>
        <v>5.2783662545354904E-3</v>
      </c>
      <c r="Q101" s="24">
        <v>573373133</v>
      </c>
      <c r="R101" s="24">
        <v>286686566</v>
      </c>
      <c r="S101" s="412">
        <f t="shared" si="4"/>
        <v>0.4999999991279675</v>
      </c>
      <c r="T101" s="28">
        <f t="shared" si="5"/>
        <v>286686566.5</v>
      </c>
      <c r="U101" s="412">
        <v>0.5</v>
      </c>
      <c r="V101" s="412"/>
      <c r="W101" s="24"/>
      <c r="X101" s="24"/>
      <c r="Y101" s="24">
        <v>286686566</v>
      </c>
      <c r="Z101" s="24">
        <v>26943023</v>
      </c>
      <c r="AA101" s="24">
        <v>2694302</v>
      </c>
      <c r="AB101" s="24">
        <v>27764808</v>
      </c>
      <c r="AC101" s="24">
        <v>4764955</v>
      </c>
      <c r="AD101" s="24">
        <v>5043585</v>
      </c>
      <c r="AE101" s="24">
        <v>67210673</v>
      </c>
      <c r="AF101" s="24">
        <v>200000</v>
      </c>
      <c r="AG101" s="24"/>
      <c r="AH101" s="24">
        <v>125000</v>
      </c>
      <c r="AI101" s="24">
        <v>50000</v>
      </c>
      <c r="AJ101" s="24">
        <v>67585673</v>
      </c>
      <c r="AK101" s="24">
        <v>219100893</v>
      </c>
    </row>
    <row r="102" spans="1:37" x14ac:dyDescent="0.55000000000000004">
      <c r="A102">
        <v>2025</v>
      </c>
      <c r="B102" s="27" t="s">
        <v>771</v>
      </c>
      <c r="C102" s="27" t="s">
        <v>65</v>
      </c>
      <c r="D102" s="10" t="s">
        <v>860</v>
      </c>
      <c r="E102" s="10" t="s">
        <v>769</v>
      </c>
      <c r="F102" s="10" t="s">
        <v>680</v>
      </c>
      <c r="G102" s="10" t="s">
        <v>861</v>
      </c>
      <c r="H102" s="10" t="s">
        <v>861</v>
      </c>
      <c r="I102" s="28">
        <v>1688410</v>
      </c>
      <c r="J102" s="28">
        <v>2712</v>
      </c>
      <c r="K102" s="28">
        <v>1212</v>
      </c>
      <c r="L102" s="24">
        <v>180</v>
      </c>
      <c r="M102" s="31">
        <f t="shared" si="6"/>
        <v>6.637168141592921E-2</v>
      </c>
      <c r="N102" s="24">
        <v>396396666</v>
      </c>
      <c r="O102" s="24">
        <v>1624800</v>
      </c>
      <c r="P102" s="412">
        <f t="shared" si="3"/>
        <v>4.0989244848996789E-3</v>
      </c>
      <c r="Q102" s="24">
        <v>394771866</v>
      </c>
      <c r="R102" s="24">
        <v>197385933</v>
      </c>
      <c r="S102" s="412">
        <f t="shared" si="4"/>
        <v>0.5</v>
      </c>
      <c r="T102" s="28">
        <f t="shared" si="5"/>
        <v>197385933</v>
      </c>
      <c r="U102" s="412">
        <v>0.5</v>
      </c>
      <c r="V102" s="412"/>
      <c r="W102" s="24"/>
      <c r="X102" s="24"/>
      <c r="Y102" s="24">
        <v>197385933</v>
      </c>
      <c r="Z102" s="24">
        <v>12903035</v>
      </c>
      <c r="AA102" s="24">
        <v>1290304</v>
      </c>
      <c r="AB102" s="24">
        <v>6980088</v>
      </c>
      <c r="AC102" s="24">
        <v>2200000</v>
      </c>
      <c r="AD102" s="24">
        <v>2508750</v>
      </c>
      <c r="AE102" s="24">
        <v>25882177</v>
      </c>
      <c r="AF102" s="24"/>
      <c r="AG102" s="24"/>
      <c r="AH102" s="24">
        <v>50000</v>
      </c>
      <c r="AI102" s="24"/>
      <c r="AJ102" s="24">
        <v>25932177</v>
      </c>
      <c r="AK102" s="24">
        <v>171453757</v>
      </c>
    </row>
    <row r="103" spans="1:37" x14ac:dyDescent="0.55000000000000004">
      <c r="A103">
        <v>2025</v>
      </c>
      <c r="B103" s="27" t="s">
        <v>771</v>
      </c>
      <c r="C103" s="27" t="s">
        <v>65</v>
      </c>
      <c r="D103" s="10" t="s">
        <v>862</v>
      </c>
      <c r="E103" s="10" t="s">
        <v>806</v>
      </c>
      <c r="F103" s="10" t="s">
        <v>662</v>
      </c>
      <c r="G103" s="10" t="s">
        <v>863</v>
      </c>
      <c r="H103" s="10" t="s">
        <v>863</v>
      </c>
      <c r="I103" s="28"/>
      <c r="J103" s="28">
        <v>3537</v>
      </c>
      <c r="K103" s="28">
        <v>924</v>
      </c>
      <c r="L103" s="24">
        <v>42</v>
      </c>
      <c r="M103" s="31">
        <f t="shared" si="6"/>
        <v>1.1874469889737066E-2</v>
      </c>
      <c r="N103" s="24">
        <v>207570000</v>
      </c>
      <c r="O103" s="24">
        <v>952883</v>
      </c>
      <c r="P103" s="412">
        <f t="shared" si="3"/>
        <v>4.5906585730115142E-3</v>
      </c>
      <c r="Q103" s="24">
        <v>206617117</v>
      </c>
      <c r="R103" s="24">
        <v>103308558</v>
      </c>
      <c r="S103" s="412">
        <f t="shared" si="4"/>
        <v>0.49999999758006497</v>
      </c>
      <c r="T103" s="28">
        <f t="shared" si="5"/>
        <v>103308558.5</v>
      </c>
      <c r="U103" s="412">
        <v>0.5</v>
      </c>
      <c r="V103" s="412"/>
      <c r="W103" s="24"/>
      <c r="X103" s="24"/>
      <c r="Y103" s="24">
        <v>103308558</v>
      </c>
      <c r="Z103" s="24">
        <v>9378757</v>
      </c>
      <c r="AA103" s="24">
        <v>937876</v>
      </c>
      <c r="AB103" s="24">
        <v>20920875</v>
      </c>
      <c r="AC103" s="24">
        <v>2761556</v>
      </c>
      <c r="AD103" s="24">
        <v>3822285</v>
      </c>
      <c r="AE103" s="24">
        <v>37821348</v>
      </c>
      <c r="AF103" s="24">
        <v>280000</v>
      </c>
      <c r="AG103" s="24"/>
      <c r="AH103" s="24">
        <v>50000</v>
      </c>
      <c r="AI103" s="24"/>
      <c r="AJ103" s="24">
        <v>38151348</v>
      </c>
      <c r="AK103" s="24">
        <v>65157210</v>
      </c>
    </row>
    <row r="104" spans="1:37" x14ac:dyDescent="0.55000000000000004">
      <c r="A104">
        <v>2025</v>
      </c>
      <c r="B104" s="27" t="s">
        <v>771</v>
      </c>
      <c r="C104" s="27" t="s">
        <v>65</v>
      </c>
      <c r="D104" s="10" t="s">
        <v>864</v>
      </c>
      <c r="E104" s="10" t="s">
        <v>865</v>
      </c>
      <c r="F104" s="10" t="s">
        <v>644</v>
      </c>
      <c r="G104" s="10" t="s">
        <v>866</v>
      </c>
      <c r="H104" s="10" t="s">
        <v>866</v>
      </c>
      <c r="I104" s="28">
        <v>1985995</v>
      </c>
      <c r="J104" s="28">
        <v>2317</v>
      </c>
      <c r="K104" s="28">
        <v>1256</v>
      </c>
      <c r="L104" s="24">
        <v>44</v>
      </c>
      <c r="M104" s="31">
        <f t="shared" si="6"/>
        <v>1.8990073370738023E-2</v>
      </c>
      <c r="N104" s="24">
        <v>83160000</v>
      </c>
      <c r="O104" s="24">
        <v>257765</v>
      </c>
      <c r="P104" s="412">
        <f t="shared" si="3"/>
        <v>3.0996272246272246E-3</v>
      </c>
      <c r="Q104" s="24">
        <v>82902235</v>
      </c>
      <c r="R104" s="24">
        <v>33160894</v>
      </c>
      <c r="S104" s="412">
        <f t="shared" si="4"/>
        <v>0.4</v>
      </c>
      <c r="T104" s="28">
        <f t="shared" si="5"/>
        <v>33160894</v>
      </c>
      <c r="U104" s="412">
        <v>0.4</v>
      </c>
      <c r="V104" s="412"/>
      <c r="W104" s="24"/>
      <c r="X104" s="24"/>
      <c r="Y104" s="24">
        <v>49741341</v>
      </c>
      <c r="Z104" s="24">
        <v>9897326</v>
      </c>
      <c r="AA104" s="24">
        <v>989733</v>
      </c>
      <c r="AB104" s="24">
        <v>9998478</v>
      </c>
      <c r="AC104" s="24">
        <v>2200000</v>
      </c>
      <c r="AD104" s="24">
        <v>3888360</v>
      </c>
      <c r="AE104" s="24">
        <v>26973897</v>
      </c>
      <c r="AF104" s="24">
        <v>120000</v>
      </c>
      <c r="AG104" s="24"/>
      <c r="AH104" s="24">
        <v>50000</v>
      </c>
      <c r="AI104" s="24">
        <v>20000</v>
      </c>
      <c r="AJ104" s="24">
        <v>27163897</v>
      </c>
      <c r="AK104" s="24">
        <v>22577444</v>
      </c>
    </row>
    <row r="105" spans="1:37" x14ac:dyDescent="0.55000000000000004">
      <c r="A105">
        <v>2025</v>
      </c>
      <c r="B105" s="27" t="s">
        <v>771</v>
      </c>
      <c r="C105" s="27" t="s">
        <v>65</v>
      </c>
      <c r="D105" s="10" t="s">
        <v>867</v>
      </c>
      <c r="E105" s="10" t="s">
        <v>868</v>
      </c>
      <c r="F105" s="10" t="s">
        <v>662</v>
      </c>
      <c r="G105" s="10" t="s">
        <v>869</v>
      </c>
      <c r="H105" s="10" t="s">
        <v>869</v>
      </c>
      <c r="I105" s="28">
        <v>2479642</v>
      </c>
      <c r="J105" s="28">
        <v>2723</v>
      </c>
      <c r="K105" s="28">
        <v>1223</v>
      </c>
      <c r="L105" s="24">
        <v>92</v>
      </c>
      <c r="M105" s="31">
        <f t="shared" si="6"/>
        <v>3.3786265148733015E-2</v>
      </c>
      <c r="N105" s="24">
        <v>172990000</v>
      </c>
      <c r="O105" s="24">
        <v>558400</v>
      </c>
      <c r="P105" s="412">
        <f t="shared" si="3"/>
        <v>3.2279322504190993E-3</v>
      </c>
      <c r="Q105" s="24">
        <v>172431600</v>
      </c>
      <c r="R105" s="24">
        <v>103458960</v>
      </c>
      <c r="S105" s="412">
        <f t="shared" si="4"/>
        <v>0.6</v>
      </c>
      <c r="T105" s="28">
        <f t="shared" si="5"/>
        <v>103458960</v>
      </c>
      <c r="U105" s="412">
        <v>0.6</v>
      </c>
      <c r="V105" s="412"/>
      <c r="W105" s="24"/>
      <c r="X105" s="24"/>
      <c r="Y105" s="24">
        <v>68972640</v>
      </c>
      <c r="Z105" s="24">
        <v>17650720</v>
      </c>
      <c r="AA105" s="24">
        <v>1765072</v>
      </c>
      <c r="AB105" s="24">
        <v>8098347</v>
      </c>
      <c r="AC105" s="24">
        <v>2200000</v>
      </c>
      <c r="AD105" s="24">
        <v>1294905</v>
      </c>
      <c r="AE105" s="24">
        <v>31009044</v>
      </c>
      <c r="AF105" s="24"/>
      <c r="AG105" s="24"/>
      <c r="AH105" s="24">
        <v>50000</v>
      </c>
      <c r="AI105" s="24">
        <v>50000</v>
      </c>
      <c r="AJ105" s="24">
        <v>31109044</v>
      </c>
      <c r="AK105" s="24">
        <v>37863596</v>
      </c>
    </row>
    <row r="106" spans="1:37" x14ac:dyDescent="0.55000000000000004">
      <c r="A106">
        <v>2025</v>
      </c>
      <c r="B106" s="27" t="s">
        <v>771</v>
      </c>
      <c r="C106" s="27" t="s">
        <v>65</v>
      </c>
      <c r="D106" s="10" t="s">
        <v>870</v>
      </c>
      <c r="E106" s="10" t="s">
        <v>677</v>
      </c>
      <c r="F106" s="10" t="s">
        <v>773</v>
      </c>
      <c r="G106" s="10" t="s">
        <v>871</v>
      </c>
      <c r="H106" s="10" t="s">
        <v>871</v>
      </c>
      <c r="I106" s="28">
        <v>3397247</v>
      </c>
      <c r="J106" s="28">
        <v>5342</v>
      </c>
      <c r="K106" s="28">
        <v>1600</v>
      </c>
      <c r="L106" s="24">
        <v>164</v>
      </c>
      <c r="M106" s="31">
        <f t="shared" si="6"/>
        <v>3.0700112317484089E-2</v>
      </c>
      <c r="N106" s="24">
        <v>472033333</v>
      </c>
      <c r="O106" s="24">
        <v>2884140</v>
      </c>
      <c r="P106" s="412">
        <f t="shared" si="3"/>
        <v>6.1100346063908163E-3</v>
      </c>
      <c r="Q106" s="24">
        <v>469149193</v>
      </c>
      <c r="R106" s="24">
        <v>234574596</v>
      </c>
      <c r="S106" s="412">
        <f t="shared" si="4"/>
        <v>0.49999999893424096</v>
      </c>
      <c r="T106" s="28">
        <f t="shared" si="5"/>
        <v>234574596.5</v>
      </c>
      <c r="U106" s="412">
        <v>0.5</v>
      </c>
      <c r="V106" s="412"/>
      <c r="W106" s="24"/>
      <c r="X106" s="24"/>
      <c r="Y106" s="24">
        <v>234574596</v>
      </c>
      <c r="Z106" s="24">
        <v>29271112</v>
      </c>
      <c r="AA106" s="24">
        <v>2927111</v>
      </c>
      <c r="AB106" s="24">
        <v>37412804</v>
      </c>
      <c r="AC106" s="24">
        <v>7273113</v>
      </c>
      <c r="AD106" s="24">
        <v>3876270</v>
      </c>
      <c r="AE106" s="24">
        <v>80760410</v>
      </c>
      <c r="AF106" s="24">
        <v>120000</v>
      </c>
      <c r="AG106" s="24"/>
      <c r="AH106" s="24"/>
      <c r="AI106" s="24"/>
      <c r="AJ106" s="24">
        <v>80880410</v>
      </c>
      <c r="AK106" s="24">
        <v>153694187</v>
      </c>
    </row>
    <row r="107" spans="1:37" x14ac:dyDescent="0.55000000000000004">
      <c r="A107">
        <v>2025</v>
      </c>
      <c r="B107" s="27" t="s">
        <v>771</v>
      </c>
      <c r="C107" s="27" t="s">
        <v>65</v>
      </c>
      <c r="D107" s="10" t="s">
        <v>872</v>
      </c>
      <c r="E107" s="10" t="s">
        <v>650</v>
      </c>
      <c r="F107" s="10" t="s">
        <v>873</v>
      </c>
      <c r="G107" s="10" t="s">
        <v>874</v>
      </c>
      <c r="H107" s="10" t="s">
        <v>874</v>
      </c>
      <c r="I107" s="28">
        <v>1747077</v>
      </c>
      <c r="J107" s="28">
        <v>4536</v>
      </c>
      <c r="K107" s="28">
        <v>1248</v>
      </c>
      <c r="L107" s="24">
        <v>183</v>
      </c>
      <c r="M107" s="31">
        <f t="shared" si="6"/>
        <v>4.0343915343915342E-2</v>
      </c>
      <c r="N107" s="24">
        <v>551940000</v>
      </c>
      <c r="O107" s="24">
        <v>2252154</v>
      </c>
      <c r="P107" s="412">
        <f t="shared" si="3"/>
        <v>4.0804326557234479E-3</v>
      </c>
      <c r="Q107" s="24">
        <v>549687846</v>
      </c>
      <c r="R107" s="24">
        <v>329812707</v>
      </c>
      <c r="S107" s="412">
        <f t="shared" si="4"/>
        <v>0.59999999890847144</v>
      </c>
      <c r="T107" s="28">
        <f t="shared" si="5"/>
        <v>329812707.59999996</v>
      </c>
      <c r="U107" s="412">
        <v>0.6</v>
      </c>
      <c r="V107" s="412"/>
      <c r="W107" s="24"/>
      <c r="X107" s="24"/>
      <c r="Y107" s="24">
        <v>219875138</v>
      </c>
      <c r="Z107" s="24">
        <v>18653704</v>
      </c>
      <c r="AA107" s="24">
        <v>1865370</v>
      </c>
      <c r="AB107" s="24">
        <v>37493861</v>
      </c>
      <c r="AC107" s="24">
        <v>6049190</v>
      </c>
      <c r="AD107" s="24">
        <v>5235780</v>
      </c>
      <c r="AE107" s="24">
        <v>69297905</v>
      </c>
      <c r="AF107" s="24"/>
      <c r="AG107" s="24"/>
      <c r="AH107" s="24"/>
      <c r="AI107" s="24">
        <v>30000</v>
      </c>
      <c r="AJ107" s="24">
        <v>69327905</v>
      </c>
      <c r="AK107" s="24">
        <v>150547233</v>
      </c>
    </row>
    <row r="108" spans="1:37" x14ac:dyDescent="0.55000000000000004">
      <c r="A108">
        <v>2025</v>
      </c>
      <c r="B108" s="27" t="s">
        <v>771</v>
      </c>
      <c r="C108" s="27" t="s">
        <v>65</v>
      </c>
      <c r="D108" s="10" t="s">
        <v>875</v>
      </c>
      <c r="E108" s="10" t="s">
        <v>756</v>
      </c>
      <c r="F108" s="10" t="s">
        <v>773</v>
      </c>
      <c r="G108" s="10" t="s">
        <v>876</v>
      </c>
      <c r="H108" s="10" t="s">
        <v>876</v>
      </c>
      <c r="I108" s="28">
        <v>574191</v>
      </c>
      <c r="J108" s="28">
        <v>2850</v>
      </c>
      <c r="K108" s="28">
        <v>1011</v>
      </c>
      <c r="L108" s="24">
        <v>113</v>
      </c>
      <c r="M108" s="31">
        <f t="shared" si="6"/>
        <v>3.9649122807017545E-2</v>
      </c>
      <c r="N108" s="24">
        <v>258770000</v>
      </c>
      <c r="O108" s="24">
        <v>1187298</v>
      </c>
      <c r="P108" s="412">
        <f t="shared" si="3"/>
        <v>4.5882366580360942E-3</v>
      </c>
      <c r="Q108" s="24">
        <v>257582702</v>
      </c>
      <c r="R108" s="24">
        <v>154549621</v>
      </c>
      <c r="S108" s="412">
        <f t="shared" si="4"/>
        <v>0.5999999992235503</v>
      </c>
      <c r="T108" s="28">
        <f t="shared" si="5"/>
        <v>154549621.19999999</v>
      </c>
      <c r="U108" s="412">
        <v>0.6</v>
      </c>
      <c r="V108" s="412"/>
      <c r="W108" s="24"/>
      <c r="X108" s="24">
        <v>0</v>
      </c>
      <c r="Y108" s="24">
        <v>103033081</v>
      </c>
      <c r="Z108" s="24">
        <v>10920267</v>
      </c>
      <c r="AA108" s="24">
        <v>1092027</v>
      </c>
      <c r="AB108" s="24">
        <v>18992154</v>
      </c>
      <c r="AC108" s="24">
        <v>2200000</v>
      </c>
      <c r="AD108" s="24">
        <v>3961965</v>
      </c>
      <c r="AE108" s="24">
        <v>37166413</v>
      </c>
      <c r="AF108" s="24"/>
      <c r="AG108" s="24"/>
      <c r="AH108" s="24">
        <v>50000</v>
      </c>
      <c r="AI108" s="24">
        <v>20000</v>
      </c>
      <c r="AJ108" s="24">
        <v>37236413</v>
      </c>
      <c r="AK108" s="24">
        <v>65796668</v>
      </c>
    </row>
    <row r="109" spans="1:37" x14ac:dyDescent="0.55000000000000004">
      <c r="A109">
        <v>2025</v>
      </c>
      <c r="B109" s="27" t="s">
        <v>877</v>
      </c>
      <c r="C109" s="27" t="s">
        <v>65</v>
      </c>
      <c r="D109" s="10" t="s">
        <v>878</v>
      </c>
      <c r="E109" s="10" t="s">
        <v>879</v>
      </c>
      <c r="F109" s="10" t="s">
        <v>644</v>
      </c>
      <c r="G109" s="10" t="s">
        <v>880</v>
      </c>
      <c r="H109" s="10"/>
      <c r="I109" s="28"/>
      <c r="J109" s="28"/>
      <c r="K109" s="28"/>
      <c r="L109" s="24">
        <v>80</v>
      </c>
      <c r="M109" s="31">
        <f t="shared" si="6"/>
        <v>0</v>
      </c>
      <c r="N109" s="24">
        <v>227746334</v>
      </c>
      <c r="O109" s="24">
        <v>0</v>
      </c>
      <c r="P109" s="24"/>
      <c r="Q109" s="817">
        <f>N109*92.5%</f>
        <v>210665358.95000002</v>
      </c>
      <c r="R109" s="24">
        <v>113873167</v>
      </c>
      <c r="S109" s="412">
        <f t="shared" ref="S109:S121" si="7">R109/N109</f>
        <v>0.5</v>
      </c>
      <c r="T109" s="28">
        <f t="shared" ref="T109:T114" si="8">(Q109-AE109)*U109</f>
        <v>86540546.975000009</v>
      </c>
      <c r="U109" s="412">
        <v>0.5</v>
      </c>
      <c r="V109" s="412"/>
      <c r="W109" s="24"/>
      <c r="X109" s="24"/>
      <c r="Y109" s="24">
        <v>113873167</v>
      </c>
      <c r="Z109" s="24">
        <v>9727796</v>
      </c>
      <c r="AA109" s="24">
        <v>972780</v>
      </c>
      <c r="AB109" s="24">
        <v>19995443</v>
      </c>
      <c r="AC109" s="24">
        <v>2200000</v>
      </c>
      <c r="AD109" s="24">
        <v>4097655</v>
      </c>
      <c r="AE109" s="24">
        <v>37584265</v>
      </c>
      <c r="AF109" s="24"/>
      <c r="AG109" s="24"/>
      <c r="AH109" s="24"/>
      <c r="AI109" s="24"/>
      <c r="AJ109" s="24">
        <v>37584265</v>
      </c>
      <c r="AK109" s="24">
        <v>76288902</v>
      </c>
    </row>
    <row r="110" spans="1:37" x14ac:dyDescent="0.55000000000000004">
      <c r="A110">
        <v>2025</v>
      </c>
      <c r="B110" s="27" t="s">
        <v>877</v>
      </c>
      <c r="C110" s="27" t="s">
        <v>65</v>
      </c>
      <c r="D110" s="10" t="s">
        <v>881</v>
      </c>
      <c r="E110" s="10" t="s">
        <v>801</v>
      </c>
      <c r="F110" s="10" t="s">
        <v>680</v>
      </c>
      <c r="G110" s="10" t="s">
        <v>882</v>
      </c>
      <c r="H110" s="10"/>
      <c r="I110" s="28"/>
      <c r="J110" s="28"/>
      <c r="K110" s="28"/>
      <c r="L110" s="24">
        <v>234</v>
      </c>
      <c r="M110" s="31">
        <f t="shared" si="6"/>
        <v>0</v>
      </c>
      <c r="N110" s="24">
        <v>715550000</v>
      </c>
      <c r="O110" s="24">
        <v>0</v>
      </c>
      <c r="P110" s="24"/>
      <c r="Q110" s="817">
        <f t="shared" ref="Q110:Q121" si="9">N110*92.5%</f>
        <v>661883750</v>
      </c>
      <c r="R110" s="24">
        <v>357775000</v>
      </c>
      <c r="S110" s="412">
        <f t="shared" si="7"/>
        <v>0.5</v>
      </c>
      <c r="T110" s="28">
        <f t="shared" si="8"/>
        <v>315655167</v>
      </c>
      <c r="U110" s="412">
        <v>0.5</v>
      </c>
      <c r="V110" s="412"/>
      <c r="W110" s="24"/>
      <c r="X110" s="24"/>
      <c r="Y110" s="24">
        <v>357775000</v>
      </c>
      <c r="Z110" s="24">
        <v>0</v>
      </c>
      <c r="AA110" s="24">
        <v>0</v>
      </c>
      <c r="AB110" s="24">
        <v>22331516</v>
      </c>
      <c r="AC110" s="24">
        <v>707143</v>
      </c>
      <c r="AD110" s="24">
        <v>2801325</v>
      </c>
      <c r="AE110" s="24">
        <v>30573416</v>
      </c>
      <c r="AF110" s="24"/>
      <c r="AG110" s="24"/>
      <c r="AH110" s="24">
        <v>50000</v>
      </c>
      <c r="AI110" s="24"/>
      <c r="AJ110" s="24">
        <v>30623416</v>
      </c>
      <c r="AK110" s="24">
        <v>327151584</v>
      </c>
    </row>
    <row r="111" spans="1:37" x14ac:dyDescent="0.55000000000000004">
      <c r="A111">
        <v>2025</v>
      </c>
      <c r="B111" s="27" t="s">
        <v>877</v>
      </c>
      <c r="C111" s="27" t="s">
        <v>65</v>
      </c>
      <c r="D111" s="10" t="s">
        <v>883</v>
      </c>
      <c r="E111" s="10" t="s">
        <v>673</v>
      </c>
      <c r="F111" s="10" t="s">
        <v>746</v>
      </c>
      <c r="G111" s="10" t="s">
        <v>884</v>
      </c>
      <c r="H111" s="10"/>
      <c r="I111" s="28"/>
      <c r="J111" s="28"/>
      <c r="K111" s="28"/>
      <c r="L111" s="24">
        <v>241</v>
      </c>
      <c r="M111" s="31">
        <f t="shared" si="6"/>
        <v>0</v>
      </c>
      <c r="N111" s="24">
        <v>484856994</v>
      </c>
      <c r="O111" s="24">
        <v>0</v>
      </c>
      <c r="P111" s="24"/>
      <c r="Q111" s="817">
        <f t="shared" si="9"/>
        <v>448492719.45000005</v>
      </c>
      <c r="R111" s="24">
        <v>242428497</v>
      </c>
      <c r="S111" s="412">
        <f t="shared" si="7"/>
        <v>0.5</v>
      </c>
      <c r="T111" s="28">
        <f t="shared" si="8"/>
        <v>203307341.22500002</v>
      </c>
      <c r="U111" s="412">
        <v>0.5</v>
      </c>
      <c r="V111" s="412"/>
      <c r="W111" s="24"/>
      <c r="X111" s="24"/>
      <c r="Y111" s="24">
        <v>242428497</v>
      </c>
      <c r="Z111" s="24">
        <v>15702839</v>
      </c>
      <c r="AA111" s="24">
        <v>1570284</v>
      </c>
      <c r="AB111" s="24">
        <v>14098468</v>
      </c>
      <c r="AC111" s="24">
        <v>2200000</v>
      </c>
      <c r="AD111" s="24">
        <v>2824590</v>
      </c>
      <c r="AE111" s="24">
        <v>41878037</v>
      </c>
      <c r="AF111" s="24"/>
      <c r="AG111" s="24"/>
      <c r="AH111" s="24">
        <v>60000</v>
      </c>
      <c r="AI111" s="24">
        <v>30000</v>
      </c>
      <c r="AJ111" s="24">
        <v>41968037</v>
      </c>
      <c r="AK111" s="24">
        <v>200460460</v>
      </c>
    </row>
    <row r="112" spans="1:37" x14ac:dyDescent="0.55000000000000004">
      <c r="A112">
        <v>2025</v>
      </c>
      <c r="B112" s="27" t="s">
        <v>877</v>
      </c>
      <c r="C112" s="27" t="s">
        <v>65</v>
      </c>
      <c r="D112" s="10" t="s">
        <v>885</v>
      </c>
      <c r="E112" s="10" t="s">
        <v>846</v>
      </c>
      <c r="F112" s="10" t="s">
        <v>798</v>
      </c>
      <c r="G112" s="10" t="s">
        <v>886</v>
      </c>
      <c r="H112" s="10"/>
      <c r="I112" s="28"/>
      <c r="J112" s="28"/>
      <c r="K112" s="28"/>
      <c r="L112" s="24">
        <v>253</v>
      </c>
      <c r="M112" s="31">
        <f t="shared" si="6"/>
        <v>0</v>
      </c>
      <c r="N112" s="24">
        <v>749260000</v>
      </c>
      <c r="O112" s="24">
        <v>0</v>
      </c>
      <c r="P112" s="24"/>
      <c r="Q112" s="817">
        <f t="shared" si="9"/>
        <v>693065500</v>
      </c>
      <c r="R112" s="24">
        <v>449556000</v>
      </c>
      <c r="S112" s="412">
        <f t="shared" si="7"/>
        <v>0.6</v>
      </c>
      <c r="T112" s="28">
        <f t="shared" si="8"/>
        <v>363235877.39999998</v>
      </c>
      <c r="U112" s="412">
        <v>0.6</v>
      </c>
      <c r="V112" s="412"/>
      <c r="W112" s="24"/>
      <c r="X112" s="24"/>
      <c r="Y112" s="24">
        <v>299704000</v>
      </c>
      <c r="Z112" s="24">
        <v>35473740</v>
      </c>
      <c r="AA112" s="24">
        <v>3547374</v>
      </c>
      <c r="AB112" s="24">
        <v>33965388</v>
      </c>
      <c r="AC112" s="24">
        <v>2200000</v>
      </c>
      <c r="AD112" s="24">
        <v>5648010</v>
      </c>
      <c r="AE112" s="24">
        <v>87672371</v>
      </c>
      <c r="AF112" s="24"/>
      <c r="AG112" s="24"/>
      <c r="AH112" s="24"/>
      <c r="AI112" s="24">
        <v>30000</v>
      </c>
      <c r="AJ112" s="24">
        <v>87702371</v>
      </c>
      <c r="AK112" s="24">
        <v>212001629</v>
      </c>
    </row>
    <row r="113" spans="1:37" x14ac:dyDescent="0.55000000000000004">
      <c r="A113">
        <v>2025</v>
      </c>
      <c r="B113" s="27" t="s">
        <v>877</v>
      </c>
      <c r="C113" s="27" t="s">
        <v>65</v>
      </c>
      <c r="D113" s="10" t="s">
        <v>887</v>
      </c>
      <c r="E113" s="10" t="s">
        <v>843</v>
      </c>
      <c r="F113" s="10" t="s">
        <v>662</v>
      </c>
      <c r="G113" s="10" t="s">
        <v>844</v>
      </c>
      <c r="H113" s="10"/>
      <c r="I113" s="28"/>
      <c r="J113" s="28"/>
      <c r="K113" s="28"/>
      <c r="L113" s="24">
        <v>261</v>
      </c>
      <c r="M113" s="31">
        <f t="shared" si="6"/>
        <v>0</v>
      </c>
      <c r="N113" s="24">
        <v>898350000</v>
      </c>
      <c r="O113" s="24">
        <v>0</v>
      </c>
      <c r="P113" s="24"/>
      <c r="Q113" s="817">
        <f t="shared" si="9"/>
        <v>830973750</v>
      </c>
      <c r="R113" s="24">
        <v>494092500</v>
      </c>
      <c r="S113" s="412">
        <f t="shared" si="7"/>
        <v>0.55000000000000004</v>
      </c>
      <c r="T113" s="28">
        <f t="shared" si="8"/>
        <v>376236595.90000004</v>
      </c>
      <c r="U113" s="412">
        <v>0.55000000000000004</v>
      </c>
      <c r="V113" s="412"/>
      <c r="W113" s="24"/>
      <c r="X113" s="24"/>
      <c r="Y113" s="24">
        <v>404257500</v>
      </c>
      <c r="Z113" s="24">
        <v>52476813</v>
      </c>
      <c r="AA113" s="24">
        <v>5247681</v>
      </c>
      <c r="AB113" s="24">
        <v>66194456</v>
      </c>
      <c r="AC113" s="24">
        <v>2495513</v>
      </c>
      <c r="AD113" s="24">
        <v>5672805</v>
      </c>
      <c r="AE113" s="24">
        <v>146907212</v>
      </c>
      <c r="AF113" s="24"/>
      <c r="AG113" s="24"/>
      <c r="AH113" s="24">
        <v>60000</v>
      </c>
      <c r="AI113" s="24">
        <v>70000</v>
      </c>
      <c r="AJ113" s="24">
        <v>147037212</v>
      </c>
      <c r="AK113" s="24">
        <v>257220288</v>
      </c>
    </row>
    <row r="114" spans="1:37" x14ac:dyDescent="0.55000000000000004">
      <c r="A114">
        <v>2025</v>
      </c>
      <c r="B114" s="27" t="s">
        <v>877</v>
      </c>
      <c r="C114" s="27" t="s">
        <v>65</v>
      </c>
      <c r="D114" s="10" t="s">
        <v>888</v>
      </c>
      <c r="E114" s="10" t="s">
        <v>889</v>
      </c>
      <c r="F114" s="10" t="s">
        <v>644</v>
      </c>
      <c r="G114" s="10" t="s">
        <v>890</v>
      </c>
      <c r="H114" s="10"/>
      <c r="I114" s="28"/>
      <c r="J114" s="28"/>
      <c r="K114" s="28"/>
      <c r="L114" s="24">
        <v>45</v>
      </c>
      <c r="M114" s="31">
        <f t="shared" si="6"/>
        <v>0</v>
      </c>
      <c r="N114" s="24">
        <v>120929998</v>
      </c>
      <c r="O114" s="24">
        <v>0</v>
      </c>
      <c r="P114" s="24"/>
      <c r="Q114" s="817">
        <f t="shared" si="9"/>
        <v>111860248.15000001</v>
      </c>
      <c r="R114" s="24">
        <v>47523202</v>
      </c>
      <c r="S114" s="412">
        <f t="shared" si="7"/>
        <v>0.3929810864629304</v>
      </c>
      <c r="T114" s="28">
        <f t="shared" si="8"/>
        <v>42988326.575000003</v>
      </c>
      <c r="U114" s="412">
        <v>0.5</v>
      </c>
      <c r="V114" s="412"/>
      <c r="W114" s="24"/>
      <c r="X114" s="24"/>
      <c r="Y114" s="24">
        <v>73406796</v>
      </c>
      <c r="Z114" s="24">
        <v>0</v>
      </c>
      <c r="AA114" s="24">
        <v>0</v>
      </c>
      <c r="AB114" s="24">
        <v>15671282</v>
      </c>
      <c r="AC114" s="24">
        <v>707143</v>
      </c>
      <c r="AD114" s="24">
        <v>4249380</v>
      </c>
      <c r="AE114" s="24">
        <v>25883595</v>
      </c>
      <c r="AF114" s="24"/>
      <c r="AG114" s="24"/>
      <c r="AH114" s="24">
        <v>50000</v>
      </c>
      <c r="AI114" s="24">
        <v>30000</v>
      </c>
      <c r="AJ114" s="24">
        <v>25963595</v>
      </c>
      <c r="AK114" s="24">
        <v>47443202</v>
      </c>
    </row>
    <row r="115" spans="1:37" x14ac:dyDescent="0.55000000000000004">
      <c r="A115">
        <v>2025</v>
      </c>
      <c r="B115" s="27" t="s">
        <v>877</v>
      </c>
      <c r="C115" s="27" t="s">
        <v>65</v>
      </c>
      <c r="D115" s="10" t="s">
        <v>891</v>
      </c>
      <c r="E115" s="10" t="s">
        <v>892</v>
      </c>
      <c r="F115" s="10" t="s">
        <v>644</v>
      </c>
      <c r="G115" s="10" t="s">
        <v>893</v>
      </c>
      <c r="H115" s="10"/>
      <c r="I115" s="28"/>
      <c r="J115" s="28"/>
      <c r="K115" s="28"/>
      <c r="L115" s="24">
        <v>214</v>
      </c>
      <c r="M115" s="31">
        <f t="shared" si="6"/>
        <v>0</v>
      </c>
      <c r="N115" s="24">
        <v>530380000</v>
      </c>
      <c r="O115" s="24">
        <v>0</v>
      </c>
      <c r="P115" s="24"/>
      <c r="Q115" s="817">
        <f t="shared" si="9"/>
        <v>490601500</v>
      </c>
      <c r="R115" s="24">
        <v>265190000</v>
      </c>
      <c r="S115" s="412">
        <f t="shared" si="7"/>
        <v>0.5</v>
      </c>
      <c r="T115" s="28">
        <f>Q115*U115</f>
        <v>245300750</v>
      </c>
      <c r="U115" s="412">
        <f>S115</f>
        <v>0.5</v>
      </c>
      <c r="V115" s="412"/>
      <c r="W115" s="24"/>
      <c r="X115" s="24"/>
      <c r="Y115" s="24">
        <v>265190000</v>
      </c>
      <c r="Z115" s="24">
        <v>9716564</v>
      </c>
      <c r="AA115" s="24">
        <v>971656</v>
      </c>
      <c r="AB115" s="24">
        <v>9996934</v>
      </c>
      <c r="AC115" s="24">
        <v>2200000</v>
      </c>
      <c r="AD115" s="24">
        <v>1415010</v>
      </c>
      <c r="AE115" s="24">
        <v>29870170</v>
      </c>
      <c r="AF115" s="24"/>
      <c r="AG115" s="24"/>
      <c r="AH115" s="24"/>
      <c r="AI115" s="24"/>
      <c r="AJ115" s="24">
        <v>29870170</v>
      </c>
      <c r="AK115" s="24">
        <v>235319830</v>
      </c>
    </row>
    <row r="116" spans="1:37" x14ac:dyDescent="0.55000000000000004">
      <c r="A116">
        <v>2025</v>
      </c>
      <c r="B116" s="27" t="s">
        <v>877</v>
      </c>
      <c r="C116" s="27" t="s">
        <v>65</v>
      </c>
      <c r="D116" s="10" t="s">
        <v>894</v>
      </c>
      <c r="E116" s="10" t="s">
        <v>895</v>
      </c>
      <c r="F116" s="10" t="s">
        <v>698</v>
      </c>
      <c r="G116" s="10" t="s">
        <v>896</v>
      </c>
      <c r="H116" s="10"/>
      <c r="I116" s="28"/>
      <c r="J116" s="28"/>
      <c r="K116" s="28"/>
      <c r="L116" s="24">
        <v>207</v>
      </c>
      <c r="M116" s="31">
        <f t="shared" si="6"/>
        <v>0</v>
      </c>
      <c r="N116" s="24">
        <v>498988000</v>
      </c>
      <c r="O116" s="24">
        <v>0</v>
      </c>
      <c r="P116" s="24"/>
      <c r="Q116" s="817">
        <f t="shared" si="9"/>
        <v>461563900</v>
      </c>
      <c r="R116" s="24">
        <v>249494000</v>
      </c>
      <c r="S116" s="412">
        <f t="shared" si="7"/>
        <v>0.5</v>
      </c>
      <c r="T116" s="28">
        <f>Q116*U116</f>
        <v>230781950</v>
      </c>
      <c r="U116" s="412">
        <f>S116</f>
        <v>0.5</v>
      </c>
      <c r="V116" s="412"/>
      <c r="W116" s="24"/>
      <c r="X116" s="24"/>
      <c r="Y116" s="24">
        <v>249494000</v>
      </c>
      <c r="Z116" s="24">
        <v>18121565</v>
      </c>
      <c r="AA116" s="24">
        <v>1812157</v>
      </c>
      <c r="AB116" s="24">
        <v>14428780</v>
      </c>
      <c r="AC116" s="24">
        <v>2200000</v>
      </c>
      <c r="AD116" s="24">
        <v>4256700</v>
      </c>
      <c r="AE116" s="24">
        <v>46267119</v>
      </c>
      <c r="AF116" s="24"/>
      <c r="AG116" s="24"/>
      <c r="AH116" s="24">
        <v>50000</v>
      </c>
      <c r="AI116" s="24"/>
      <c r="AJ116" s="24">
        <v>46317119</v>
      </c>
      <c r="AK116" s="24">
        <v>203176881</v>
      </c>
    </row>
    <row r="117" spans="1:37" x14ac:dyDescent="0.55000000000000004">
      <c r="A117">
        <v>2025</v>
      </c>
      <c r="B117" s="27" t="s">
        <v>877</v>
      </c>
      <c r="C117" s="27" t="s">
        <v>65</v>
      </c>
      <c r="D117" s="10" t="s">
        <v>897</v>
      </c>
      <c r="E117" s="10" t="s">
        <v>898</v>
      </c>
      <c r="F117" s="10" t="s">
        <v>644</v>
      </c>
      <c r="G117" s="10" t="s">
        <v>899</v>
      </c>
      <c r="H117" s="10"/>
      <c r="I117" s="28"/>
      <c r="J117" s="28"/>
      <c r="K117" s="28"/>
      <c r="L117" s="24">
        <v>45</v>
      </c>
      <c r="M117" s="31">
        <f t="shared" si="6"/>
        <v>0</v>
      </c>
      <c r="N117" s="24">
        <v>64840000</v>
      </c>
      <c r="O117" s="24">
        <v>0</v>
      </c>
      <c r="P117" s="24"/>
      <c r="Q117" s="817">
        <f t="shared" si="9"/>
        <v>59977000</v>
      </c>
      <c r="R117" s="24">
        <v>20140577</v>
      </c>
      <c r="S117" s="412">
        <f t="shared" si="7"/>
        <v>0.31061963294262801</v>
      </c>
      <c r="T117" s="28">
        <f>(Q117-AE117)*U117</f>
        <v>18195376.800000001</v>
      </c>
      <c r="U117" s="412">
        <v>0.4</v>
      </c>
      <c r="V117" s="412"/>
      <c r="W117" s="24"/>
      <c r="X117" s="24"/>
      <c r="Y117" s="24">
        <v>44699423</v>
      </c>
      <c r="Z117" s="24">
        <v>0</v>
      </c>
      <c r="AA117" s="24">
        <v>0</v>
      </c>
      <c r="AB117" s="24">
        <v>10828214</v>
      </c>
      <c r="AC117" s="24">
        <v>707143</v>
      </c>
      <c r="AD117" s="24">
        <v>2845620</v>
      </c>
      <c r="AE117" s="24">
        <v>14488558</v>
      </c>
      <c r="AF117" s="24"/>
      <c r="AG117" s="24"/>
      <c r="AH117" s="24">
        <v>50000</v>
      </c>
      <c r="AI117" s="24">
        <v>50000</v>
      </c>
      <c r="AJ117" s="24">
        <v>14588558</v>
      </c>
      <c r="AK117" s="24">
        <v>30110865</v>
      </c>
    </row>
    <row r="118" spans="1:37" x14ac:dyDescent="0.55000000000000004">
      <c r="A118">
        <v>2025</v>
      </c>
      <c r="B118" s="27" t="s">
        <v>877</v>
      </c>
      <c r="C118" s="27" t="s">
        <v>65</v>
      </c>
      <c r="D118" s="10" t="s">
        <v>900</v>
      </c>
      <c r="E118" s="10" t="s">
        <v>677</v>
      </c>
      <c r="F118" s="10" t="s">
        <v>798</v>
      </c>
      <c r="G118" s="10" t="s">
        <v>901</v>
      </c>
      <c r="H118" s="10"/>
      <c r="I118" s="28"/>
      <c r="J118" s="28"/>
      <c r="K118" s="28"/>
      <c r="L118" s="24">
        <v>107</v>
      </c>
      <c r="M118" s="31">
        <f t="shared" si="6"/>
        <v>0</v>
      </c>
      <c r="N118" s="24">
        <v>319681665</v>
      </c>
      <c r="O118" s="24">
        <v>0</v>
      </c>
      <c r="P118" s="24"/>
      <c r="Q118" s="817">
        <f t="shared" si="9"/>
        <v>295705540.125</v>
      </c>
      <c r="R118" s="24">
        <v>159840833</v>
      </c>
      <c r="S118" s="412">
        <f t="shared" si="7"/>
        <v>0.50000000156405588</v>
      </c>
      <c r="T118" s="28">
        <f>Q118*U118</f>
        <v>147852770.0625</v>
      </c>
      <c r="U118" s="412">
        <v>0.5</v>
      </c>
      <c r="V118" s="412"/>
      <c r="W118" s="24"/>
      <c r="X118" s="24"/>
      <c r="Y118" s="24">
        <v>159840833</v>
      </c>
      <c r="Z118" s="24">
        <v>34763944</v>
      </c>
      <c r="AA118" s="24">
        <v>3476394</v>
      </c>
      <c r="AB118" s="24">
        <v>35669741</v>
      </c>
      <c r="AC118" s="24">
        <v>707143</v>
      </c>
      <c r="AD118" s="24">
        <v>5684400</v>
      </c>
      <c r="AE118" s="24">
        <v>87976387</v>
      </c>
      <c r="AF118" s="24"/>
      <c r="AG118" s="24"/>
      <c r="AH118" s="24"/>
      <c r="AI118" s="24"/>
      <c r="AJ118" s="24">
        <v>87976387</v>
      </c>
      <c r="AK118" s="24">
        <v>71864446</v>
      </c>
    </row>
    <row r="119" spans="1:37" x14ac:dyDescent="0.55000000000000004">
      <c r="A119">
        <v>2025</v>
      </c>
      <c r="B119" s="27" t="s">
        <v>877</v>
      </c>
      <c r="C119" s="27" t="s">
        <v>65</v>
      </c>
      <c r="D119" s="10" t="s">
        <v>902</v>
      </c>
      <c r="E119" s="10" t="s">
        <v>756</v>
      </c>
      <c r="F119" s="10" t="s">
        <v>798</v>
      </c>
      <c r="G119" s="10" t="s">
        <v>903</v>
      </c>
      <c r="H119" s="10"/>
      <c r="I119" s="28"/>
      <c r="J119" s="28"/>
      <c r="K119" s="28"/>
      <c r="L119" s="24">
        <v>231</v>
      </c>
      <c r="M119" s="31">
        <f t="shared" si="6"/>
        <v>0</v>
      </c>
      <c r="N119" s="24">
        <v>359050000</v>
      </c>
      <c r="O119" s="24">
        <v>0</v>
      </c>
      <c r="P119" s="24"/>
      <c r="Q119" s="817">
        <f t="shared" si="9"/>
        <v>332121250</v>
      </c>
      <c r="R119" s="24">
        <v>179525000</v>
      </c>
      <c r="S119" s="412">
        <f t="shared" si="7"/>
        <v>0.5</v>
      </c>
      <c r="T119" s="28">
        <f>Q119*U119</f>
        <v>166060625</v>
      </c>
      <c r="U119" s="412">
        <v>0.5</v>
      </c>
      <c r="V119" s="412"/>
      <c r="W119" s="24"/>
      <c r="X119" s="24"/>
      <c r="Y119" s="24">
        <v>179525000</v>
      </c>
      <c r="Z119" s="24">
        <v>16836049</v>
      </c>
      <c r="AA119" s="24">
        <v>1683605</v>
      </c>
      <c r="AB119" s="24">
        <v>12990705</v>
      </c>
      <c r="AC119" s="24">
        <v>2200000</v>
      </c>
      <c r="AD119" s="24">
        <v>5728860</v>
      </c>
      <c r="AE119" s="24">
        <v>40922655</v>
      </c>
      <c r="AF119" s="24"/>
      <c r="AG119" s="24"/>
      <c r="AH119" s="24">
        <v>50000</v>
      </c>
      <c r="AI119" s="24">
        <v>20000</v>
      </c>
      <c r="AJ119" s="24">
        <v>40992655</v>
      </c>
      <c r="AK119" s="24">
        <v>138532345</v>
      </c>
    </row>
    <row r="120" spans="1:37" x14ac:dyDescent="0.55000000000000004">
      <c r="A120">
        <v>2025</v>
      </c>
      <c r="B120" s="27" t="s">
        <v>877</v>
      </c>
      <c r="C120" s="27" t="s">
        <v>65</v>
      </c>
      <c r="D120" s="10" t="s">
        <v>904</v>
      </c>
      <c r="E120" s="10" t="s">
        <v>801</v>
      </c>
      <c r="F120" s="10" t="s">
        <v>644</v>
      </c>
      <c r="G120" s="10" t="s">
        <v>905</v>
      </c>
      <c r="H120" s="10"/>
      <c r="I120" s="28"/>
      <c r="J120" s="28"/>
      <c r="K120" s="28"/>
      <c r="L120" s="24">
        <v>240</v>
      </c>
      <c r="M120" s="31">
        <f t="shared" si="6"/>
        <v>0</v>
      </c>
      <c r="N120" s="24">
        <v>659050000</v>
      </c>
      <c r="O120" s="24">
        <v>0</v>
      </c>
      <c r="P120" s="24"/>
      <c r="Q120" s="817">
        <f t="shared" si="9"/>
        <v>609621250</v>
      </c>
      <c r="R120" s="24">
        <v>329525000</v>
      </c>
      <c r="S120" s="412">
        <f t="shared" si="7"/>
        <v>0.5</v>
      </c>
      <c r="T120" s="28">
        <f>Q120*U120</f>
        <v>304810625</v>
      </c>
      <c r="U120" s="412">
        <v>0.5</v>
      </c>
      <c r="V120" s="412"/>
      <c r="W120" s="24"/>
      <c r="X120" s="24"/>
      <c r="Y120" s="24">
        <v>329525000</v>
      </c>
      <c r="Z120" s="24">
        <v>401164</v>
      </c>
      <c r="AA120" s="24">
        <v>40116</v>
      </c>
      <c r="AB120" s="24">
        <v>21696475</v>
      </c>
      <c r="AC120" s="24">
        <v>707143</v>
      </c>
      <c r="AD120" s="24">
        <v>2872680</v>
      </c>
      <c r="AE120" s="24">
        <v>30918113</v>
      </c>
      <c r="AF120" s="24"/>
      <c r="AG120" s="24"/>
      <c r="AH120" s="24">
        <v>50000</v>
      </c>
      <c r="AI120" s="24"/>
      <c r="AJ120" s="24">
        <v>30968113</v>
      </c>
      <c r="AK120" s="24">
        <v>298556887</v>
      </c>
    </row>
    <row r="121" spans="1:37" x14ac:dyDescent="0.55000000000000004">
      <c r="A121">
        <v>2025</v>
      </c>
      <c r="B121" s="27" t="s">
        <v>877</v>
      </c>
      <c r="C121" s="27" t="s">
        <v>65</v>
      </c>
      <c r="D121" s="10" t="s">
        <v>906</v>
      </c>
      <c r="E121" s="10" t="s">
        <v>907</v>
      </c>
      <c r="F121" s="10" t="s">
        <v>644</v>
      </c>
      <c r="G121" s="10" t="s">
        <v>908</v>
      </c>
      <c r="H121" s="10"/>
      <c r="I121" s="28"/>
      <c r="J121" s="28"/>
      <c r="K121" s="28"/>
      <c r="L121" s="24">
        <v>73</v>
      </c>
      <c r="M121" s="31">
        <f>IF(J121=0,0,L121/J121)</f>
        <v>0</v>
      </c>
      <c r="N121" s="24">
        <v>206460000</v>
      </c>
      <c r="O121" s="24">
        <v>0</v>
      </c>
      <c r="P121" s="24"/>
      <c r="Q121" s="817">
        <f t="shared" si="9"/>
        <v>190975500</v>
      </c>
      <c r="R121" s="24">
        <v>103230000</v>
      </c>
      <c r="S121" s="412">
        <f t="shared" si="7"/>
        <v>0.5</v>
      </c>
      <c r="T121" s="28">
        <f>Q121*U121</f>
        <v>95487750</v>
      </c>
      <c r="U121" s="412">
        <v>0.5</v>
      </c>
      <c r="V121" s="412"/>
      <c r="W121" s="24"/>
      <c r="X121" s="24"/>
      <c r="Y121" s="24">
        <v>103230000</v>
      </c>
      <c r="Z121" s="24">
        <v>10157489</v>
      </c>
      <c r="AA121" s="24">
        <v>1015749</v>
      </c>
      <c r="AB121" s="24">
        <v>18544434</v>
      </c>
      <c r="AC121" s="24">
        <v>707143</v>
      </c>
      <c r="AD121" s="24">
        <v>4307880</v>
      </c>
      <c r="AE121" s="24">
        <v>41711613</v>
      </c>
      <c r="AF121" s="24"/>
      <c r="AG121" s="24"/>
      <c r="AH121" s="24"/>
      <c r="AI121" s="24"/>
      <c r="AJ121" s="24">
        <v>41711613</v>
      </c>
      <c r="AK121" s="24">
        <v>61518387</v>
      </c>
    </row>
    <row r="122" spans="1:37" x14ac:dyDescent="0.55000000000000004">
      <c r="A122">
        <v>2025</v>
      </c>
      <c r="B122" s="27" t="s">
        <v>909</v>
      </c>
      <c r="C122" s="27" t="s">
        <v>65</v>
      </c>
      <c r="D122" s="10" t="s">
        <v>910</v>
      </c>
      <c r="E122" s="10" t="s">
        <v>856</v>
      </c>
      <c r="F122" s="10" t="s">
        <v>662</v>
      </c>
      <c r="G122" s="10" t="s">
        <v>911</v>
      </c>
      <c r="H122" s="10"/>
      <c r="I122" s="28"/>
      <c r="J122" s="28"/>
      <c r="K122" s="28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  <c r="AA122" s="24"/>
      <c r="AB122" s="24"/>
      <c r="AC122" s="24"/>
      <c r="AD122" s="24"/>
      <c r="AE122" s="24"/>
      <c r="AF122" s="24"/>
      <c r="AG122" s="24"/>
      <c r="AH122" s="24"/>
      <c r="AI122" s="24"/>
      <c r="AJ122" s="24"/>
      <c r="AK122" s="24"/>
    </row>
    <row r="123" spans="1:37" x14ac:dyDescent="0.55000000000000004">
      <c r="A123">
        <v>2025</v>
      </c>
      <c r="B123" s="27" t="s">
        <v>909</v>
      </c>
      <c r="C123" s="27" t="s">
        <v>65</v>
      </c>
      <c r="D123" s="10" t="s">
        <v>912</v>
      </c>
      <c r="E123" s="10" t="s">
        <v>913</v>
      </c>
      <c r="F123" s="10" t="s">
        <v>662</v>
      </c>
      <c r="G123" s="10" t="s">
        <v>914</v>
      </c>
      <c r="H123" s="10"/>
      <c r="I123" s="28"/>
      <c r="J123" s="28"/>
      <c r="K123" s="28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  <c r="AA123" s="24"/>
      <c r="AB123" s="24"/>
      <c r="AC123" s="24"/>
      <c r="AD123" s="24"/>
      <c r="AE123" s="24"/>
      <c r="AF123" s="24"/>
      <c r="AG123" s="24"/>
      <c r="AH123" s="24"/>
      <c r="AI123" s="24"/>
      <c r="AJ123" s="24"/>
      <c r="AK123" s="24"/>
    </row>
    <row r="124" spans="1:37" x14ac:dyDescent="0.55000000000000004">
      <c r="A124">
        <v>2025</v>
      </c>
      <c r="B124" s="27" t="s">
        <v>909</v>
      </c>
      <c r="C124" s="27" t="s">
        <v>65</v>
      </c>
      <c r="D124" s="10" t="s">
        <v>915</v>
      </c>
      <c r="E124" s="10" t="s">
        <v>916</v>
      </c>
      <c r="F124" s="10" t="s">
        <v>662</v>
      </c>
      <c r="G124" s="10" t="s">
        <v>917</v>
      </c>
      <c r="H124" s="10"/>
      <c r="I124" s="28"/>
      <c r="J124" s="28"/>
      <c r="K124" s="28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  <c r="AA124" s="24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</row>
    <row r="125" spans="1:37" x14ac:dyDescent="0.55000000000000004">
      <c r="A125">
        <v>2025</v>
      </c>
      <c r="B125" s="27" t="s">
        <v>909</v>
      </c>
      <c r="C125" s="27" t="s">
        <v>65</v>
      </c>
      <c r="D125" s="10" t="s">
        <v>918</v>
      </c>
      <c r="E125" s="10" t="s">
        <v>919</v>
      </c>
      <c r="F125" s="10" t="s">
        <v>644</v>
      </c>
      <c r="G125" s="10" t="s">
        <v>920</v>
      </c>
      <c r="H125" s="10"/>
      <c r="I125" s="28"/>
      <c r="J125" s="28"/>
      <c r="K125" s="28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24"/>
      <c r="AH125" s="24"/>
      <c r="AI125" s="24"/>
      <c r="AJ125" s="24"/>
      <c r="AK125" s="24"/>
    </row>
    <row r="126" spans="1:37" x14ac:dyDescent="0.55000000000000004">
      <c r="A126">
        <v>2025</v>
      </c>
      <c r="B126" s="27" t="s">
        <v>909</v>
      </c>
      <c r="C126" s="27" t="s">
        <v>65</v>
      </c>
      <c r="D126" s="10" t="s">
        <v>921</v>
      </c>
      <c r="E126" s="10" t="s">
        <v>650</v>
      </c>
      <c r="F126" s="10" t="s">
        <v>922</v>
      </c>
      <c r="G126" s="10" t="s">
        <v>923</v>
      </c>
      <c r="H126" s="10"/>
      <c r="I126" s="28"/>
      <c r="J126" s="28"/>
      <c r="K126" s="28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  <c r="AA126" s="24"/>
      <c r="AB126" s="24"/>
      <c r="AC126" s="24"/>
      <c r="AD126" s="24"/>
      <c r="AE126" s="24"/>
      <c r="AF126" s="24"/>
      <c r="AG126" s="24"/>
      <c r="AH126" s="24"/>
      <c r="AI126" s="24"/>
      <c r="AJ126" s="24"/>
      <c r="AK126" s="24"/>
    </row>
    <row r="127" spans="1:37" x14ac:dyDescent="0.55000000000000004">
      <c r="A127">
        <v>2025</v>
      </c>
      <c r="B127" s="27" t="s">
        <v>909</v>
      </c>
      <c r="C127" s="27" t="s">
        <v>65</v>
      </c>
      <c r="D127" s="10" t="s">
        <v>924</v>
      </c>
      <c r="E127" s="10" t="s">
        <v>925</v>
      </c>
      <c r="F127" s="10" t="s">
        <v>644</v>
      </c>
      <c r="G127" s="10" t="s">
        <v>926</v>
      </c>
      <c r="H127" s="10"/>
      <c r="I127" s="28"/>
      <c r="J127" s="28"/>
      <c r="K127" s="28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  <c r="AA127" s="24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</row>
    <row r="128" spans="1:37" x14ac:dyDescent="0.55000000000000004">
      <c r="A128">
        <v>2025</v>
      </c>
      <c r="B128" s="27" t="s">
        <v>909</v>
      </c>
      <c r="C128" s="27" t="s">
        <v>65</v>
      </c>
      <c r="D128" s="10" t="s">
        <v>927</v>
      </c>
      <c r="E128" s="10" t="s">
        <v>752</v>
      </c>
      <c r="F128" s="10" t="s">
        <v>680</v>
      </c>
      <c r="G128" s="10" t="s">
        <v>928</v>
      </c>
      <c r="H128" s="10"/>
      <c r="I128" s="28"/>
      <c r="J128" s="28"/>
      <c r="K128" s="28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  <c r="AA128" s="24"/>
      <c r="AB128" s="24"/>
      <c r="AC128" s="24"/>
      <c r="AD128" s="24"/>
      <c r="AE128" s="24"/>
      <c r="AF128" s="24"/>
      <c r="AG128" s="24"/>
      <c r="AH128" s="24"/>
      <c r="AI128" s="24"/>
      <c r="AJ128" s="24"/>
      <c r="AK128" s="24"/>
    </row>
    <row r="129" spans="1:37" x14ac:dyDescent="0.55000000000000004">
      <c r="A129">
        <v>2025</v>
      </c>
      <c r="B129" s="27" t="s">
        <v>909</v>
      </c>
      <c r="C129" s="27" t="s">
        <v>65</v>
      </c>
      <c r="D129" s="10" t="s">
        <v>929</v>
      </c>
      <c r="E129" s="10" t="s">
        <v>930</v>
      </c>
      <c r="F129" s="10" t="s">
        <v>644</v>
      </c>
      <c r="G129" s="10" t="s">
        <v>931</v>
      </c>
      <c r="H129" s="10"/>
      <c r="I129" s="28"/>
      <c r="J129" s="28"/>
      <c r="K129" s="28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  <c r="AA129" s="24"/>
      <c r="AB129" s="24"/>
      <c r="AC129" s="24"/>
      <c r="AD129" s="24"/>
      <c r="AE129" s="24"/>
      <c r="AF129" s="24"/>
      <c r="AG129" s="24"/>
      <c r="AH129" s="24"/>
      <c r="AI129" s="24"/>
      <c r="AJ129" s="24"/>
      <c r="AK129" s="24"/>
    </row>
    <row r="130" spans="1:37" x14ac:dyDescent="0.55000000000000004">
      <c r="A130">
        <v>2025</v>
      </c>
      <c r="B130" s="27" t="s">
        <v>909</v>
      </c>
      <c r="C130" s="27" t="s">
        <v>65</v>
      </c>
      <c r="D130" s="10" t="s">
        <v>932</v>
      </c>
      <c r="E130" s="10" t="s">
        <v>933</v>
      </c>
      <c r="F130" s="10" t="s">
        <v>644</v>
      </c>
      <c r="G130" s="10" t="s">
        <v>934</v>
      </c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  <c r="AA130" s="24"/>
      <c r="AB130" s="24"/>
      <c r="AC130" s="24"/>
      <c r="AD130" s="24"/>
      <c r="AE130" s="24"/>
      <c r="AF130" s="24"/>
      <c r="AG130" s="24"/>
      <c r="AH130" s="24"/>
      <c r="AI130" s="24"/>
      <c r="AJ130" s="24"/>
      <c r="AK130" s="24"/>
    </row>
    <row r="131" spans="1:37" x14ac:dyDescent="0.55000000000000004">
      <c r="A131">
        <v>2025</v>
      </c>
      <c r="B131" s="27" t="s">
        <v>909</v>
      </c>
      <c r="C131" s="27" t="s">
        <v>65</v>
      </c>
      <c r="D131" s="10" t="s">
        <v>935</v>
      </c>
      <c r="E131" s="10" t="s">
        <v>815</v>
      </c>
      <c r="F131" s="10" t="s">
        <v>662</v>
      </c>
      <c r="G131" s="10" t="s">
        <v>936</v>
      </c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  <c r="AA131" s="24"/>
      <c r="AB131" s="24"/>
      <c r="AC131" s="24"/>
      <c r="AD131" s="24"/>
      <c r="AE131" s="24"/>
      <c r="AF131" s="24"/>
      <c r="AG131" s="24"/>
      <c r="AH131" s="24"/>
      <c r="AI131" s="24"/>
      <c r="AJ131" s="24"/>
      <c r="AK131" s="24"/>
    </row>
  </sheetData>
  <autoFilter ref="B3:AK131" xr:uid="{402EFE48-7BB8-40F8-993A-EBB3C2D059B1}"/>
  <phoneticPr fontId="2" type="noConversion"/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40494-42AF-4B81-8326-103F0C7C4B7A}">
  <dimension ref="A1:BG46"/>
  <sheetViews>
    <sheetView zoomScale="115" zoomScaleNormal="115" workbookViewId="0">
      <pane xSplit="6" ySplit="2" topLeftCell="K3" activePane="bottomRight" state="frozen"/>
      <selection pane="topRight" activeCell="G1" sqref="G1"/>
      <selection pane="bottomLeft" activeCell="A3" sqref="A3"/>
      <selection pane="bottomRight" activeCell="K3" sqref="K3"/>
    </sheetView>
  </sheetViews>
  <sheetFormatPr defaultColWidth="9" defaultRowHeight="15" x14ac:dyDescent="0.55000000000000004"/>
  <cols>
    <col min="1" max="2" width="9" style="315"/>
    <col min="3" max="3" width="11.7109375" style="315" bestFit="1" customWidth="1"/>
    <col min="4" max="5" width="9" style="315"/>
    <col min="6" max="6" width="49.640625" style="315" customWidth="1"/>
    <col min="7" max="10" width="0" style="315" hidden="1" customWidth="1"/>
    <col min="11" max="12" width="9" style="315"/>
    <col min="13" max="14" width="9.140625" style="315" bestFit="1" customWidth="1"/>
    <col min="15" max="15" width="9" style="315"/>
    <col min="16" max="16" width="12.5" style="315" bestFit="1" customWidth="1"/>
    <col min="17" max="17" width="9.140625" style="315" bestFit="1" customWidth="1"/>
    <col min="18" max="19" width="11.5" style="315" bestFit="1" customWidth="1"/>
    <col min="20" max="21" width="9.2109375" style="315" bestFit="1" customWidth="1"/>
    <col min="22" max="22" width="9.140625" style="315" bestFit="1" customWidth="1"/>
    <col min="23" max="23" width="11.5" style="315" bestFit="1" customWidth="1"/>
    <col min="24" max="24" width="12.5" style="315" bestFit="1" customWidth="1"/>
    <col min="25" max="26" width="9.2109375" style="315" bestFit="1" customWidth="1"/>
    <col min="27" max="27" width="10.140625" style="315" bestFit="1" customWidth="1"/>
    <col min="28" max="28" width="16.85546875" style="315" customWidth="1"/>
    <col min="29" max="31" width="9.140625" style="315" bestFit="1" customWidth="1"/>
    <col min="32" max="32" width="9.2109375" style="315" bestFit="1" customWidth="1"/>
    <col min="33" max="33" width="9.140625" style="315" bestFit="1" customWidth="1"/>
    <col min="34" max="34" width="11.5" style="315" bestFit="1" customWidth="1"/>
    <col min="35" max="43" width="9.2109375" style="315" bestFit="1" customWidth="1"/>
    <col min="44" max="44" width="10.140625" style="315" bestFit="1" customWidth="1"/>
    <col min="45" max="45" width="9.2109375" style="315" bestFit="1" customWidth="1"/>
    <col min="46" max="46" width="10.140625" style="315" bestFit="1" customWidth="1"/>
    <col min="47" max="51" width="9.2109375" style="315" bestFit="1" customWidth="1"/>
    <col min="52" max="52" width="11.5" style="315" bestFit="1" customWidth="1"/>
    <col min="53" max="58" width="9.2109375" style="315" bestFit="1" customWidth="1"/>
    <col min="59" max="59" width="11.5" style="315" bestFit="1" customWidth="1"/>
    <col min="60" max="16384" width="9" style="315"/>
  </cols>
  <sheetData>
    <row r="1" spans="1:59" x14ac:dyDescent="0.55000000000000004">
      <c r="K1" s="315">
        <f>SUBTOTAL(9,K3:K1048576)</f>
        <v>165050</v>
      </c>
      <c r="M1" s="315">
        <f>SUBTOTAL(9,M3:M1048576)</f>
        <v>4566</v>
      </c>
      <c r="N1" s="315">
        <f>SUBTOTAL(9,N3:N1048576)</f>
        <v>10606</v>
      </c>
      <c r="O1" s="315">
        <f>SUBTOTAL(9,O3:O1048576)</f>
        <v>0</v>
      </c>
      <c r="P1" s="315">
        <f>SUBTOTAL(9,P3:P1048576)</f>
        <v>10209305110</v>
      </c>
      <c r="Q1" s="315">
        <f>SUBTOTAL(9,Q3:Q1048576)</f>
        <v>3687</v>
      </c>
      <c r="R1" s="315">
        <f t="shared" ref="R1:BG1" si="0">SUBTOTAL(9,R3:R1048576)</f>
        <v>2994890000</v>
      </c>
      <c r="S1" s="315">
        <f t="shared" si="0"/>
        <v>8257389754</v>
      </c>
      <c r="T1" s="315">
        <f t="shared" si="0"/>
        <v>60352000</v>
      </c>
      <c r="U1" s="315">
        <f t="shared" si="0"/>
        <v>98073772</v>
      </c>
      <c r="V1" s="315">
        <f t="shared" si="0"/>
        <v>0</v>
      </c>
      <c r="W1" s="315">
        <f t="shared" si="0"/>
        <v>3510000000</v>
      </c>
      <c r="X1" s="315">
        <f t="shared" si="0"/>
        <v>11330186776</v>
      </c>
      <c r="Y1" s="315">
        <f t="shared" si="0"/>
        <v>7.4999999999999997E-2</v>
      </c>
      <c r="Z1" s="315">
        <f t="shared" si="0"/>
        <v>3.2838000000000021</v>
      </c>
      <c r="AA1" s="315">
        <f t="shared" si="0"/>
        <v>781700786</v>
      </c>
      <c r="AB1" s="315">
        <f t="shared" si="0"/>
        <v>10639146390</v>
      </c>
      <c r="AC1" s="315">
        <f t="shared" si="0"/>
        <v>0</v>
      </c>
      <c r="AD1" s="315">
        <f t="shared" si="0"/>
        <v>0</v>
      </c>
      <c r="AE1" s="315">
        <f t="shared" si="0"/>
        <v>0</v>
      </c>
      <c r="AF1" s="315">
        <f t="shared" si="0"/>
        <v>4.8499999999999996</v>
      </c>
      <c r="AG1" s="315">
        <f t="shared" si="0"/>
        <v>0</v>
      </c>
      <c r="AH1" s="315">
        <f t="shared" si="0"/>
        <v>5250746332</v>
      </c>
      <c r="AI1" s="315">
        <f t="shared" si="0"/>
        <v>0</v>
      </c>
      <c r="AJ1" s="315">
        <f t="shared" si="0"/>
        <v>0</v>
      </c>
      <c r="AK1" s="315">
        <f t="shared" si="0"/>
        <v>0</v>
      </c>
      <c r="AL1" s="315">
        <f t="shared" si="0"/>
        <v>0</v>
      </c>
      <c r="AM1" s="315">
        <f t="shared" si="0"/>
        <v>0</v>
      </c>
      <c r="AN1" s="315">
        <f t="shared" si="0"/>
        <v>0</v>
      </c>
      <c r="AO1" s="315">
        <f t="shared" si="0"/>
        <v>0</v>
      </c>
      <c r="AP1" s="315">
        <f t="shared" si="0"/>
        <v>0</v>
      </c>
      <c r="AQ1" s="315">
        <f t="shared" si="0"/>
        <v>0</v>
      </c>
      <c r="AR1" s="315">
        <f t="shared" si="0"/>
        <v>473125206</v>
      </c>
      <c r="AS1" s="315">
        <f t="shared" si="0"/>
        <v>0</v>
      </c>
      <c r="AT1" s="315">
        <f t="shared" si="0"/>
        <v>563016134</v>
      </c>
      <c r="AU1" s="315">
        <f t="shared" si="0"/>
        <v>0</v>
      </c>
      <c r="AV1" s="315">
        <f t="shared" si="0"/>
        <v>55813924</v>
      </c>
      <c r="AW1" s="315">
        <f t="shared" si="0"/>
        <v>9420674</v>
      </c>
      <c r="AX1" s="315">
        <f t="shared" si="0"/>
        <v>17453244</v>
      </c>
      <c r="AY1" s="315">
        <f t="shared" si="0"/>
        <v>0</v>
      </c>
      <c r="AZ1" s="315">
        <f t="shared" si="0"/>
        <v>1118829182</v>
      </c>
      <c r="BA1" s="315">
        <f t="shared" si="0"/>
        <v>0</v>
      </c>
      <c r="BB1" s="315">
        <f t="shared" si="0"/>
        <v>3430000</v>
      </c>
      <c r="BC1" s="315">
        <f t="shared" si="0"/>
        <v>0</v>
      </c>
      <c r="BD1" s="315">
        <f t="shared" si="0"/>
        <v>0</v>
      </c>
      <c r="BE1" s="315">
        <f t="shared" si="0"/>
        <v>0</v>
      </c>
      <c r="BF1" s="315">
        <f t="shared" si="0"/>
        <v>3430000</v>
      </c>
      <c r="BG1" s="315">
        <f t="shared" si="0"/>
        <v>4956925905</v>
      </c>
    </row>
    <row r="2" spans="1:59" x14ac:dyDescent="0.55000000000000004">
      <c r="A2" s="315" t="s">
        <v>616</v>
      </c>
      <c r="B2" s="315" t="s">
        <v>1445</v>
      </c>
      <c r="C2" s="315" t="s">
        <v>1863</v>
      </c>
      <c r="D2" s="315" t="s">
        <v>619</v>
      </c>
      <c r="E2" s="315" t="s">
        <v>620</v>
      </c>
      <c r="F2" s="315" t="s">
        <v>621</v>
      </c>
      <c r="G2" s="315" t="s">
        <v>1340</v>
      </c>
      <c r="H2" s="315" t="s">
        <v>1341</v>
      </c>
      <c r="I2" s="315" t="s">
        <v>1342</v>
      </c>
      <c r="J2" s="315" t="s">
        <v>1343</v>
      </c>
      <c r="K2" s="315" t="s">
        <v>1344</v>
      </c>
      <c r="L2" s="315" t="s">
        <v>1345</v>
      </c>
      <c r="M2" s="315" t="s">
        <v>1346</v>
      </c>
      <c r="N2" s="315" t="s">
        <v>1347</v>
      </c>
      <c r="O2" s="315" t="s">
        <v>1348</v>
      </c>
      <c r="P2" s="315" t="s">
        <v>1349</v>
      </c>
      <c r="Q2" s="315" t="s">
        <v>622</v>
      </c>
      <c r="R2" s="315" t="s">
        <v>1350</v>
      </c>
      <c r="S2" s="315" t="s">
        <v>1351</v>
      </c>
      <c r="T2" s="315" t="s">
        <v>1352</v>
      </c>
      <c r="U2" s="315" t="s">
        <v>1353</v>
      </c>
      <c r="V2" s="315" t="s">
        <v>1354</v>
      </c>
      <c r="W2" s="315" t="s">
        <v>1355</v>
      </c>
      <c r="X2" s="776" t="s">
        <v>623</v>
      </c>
      <c r="Y2" s="315" t="s">
        <v>1356</v>
      </c>
      <c r="Z2" s="315" t="s">
        <v>1357</v>
      </c>
      <c r="AA2" s="315" t="s">
        <v>624</v>
      </c>
      <c r="AB2" s="315" t="s">
        <v>625</v>
      </c>
      <c r="AC2" s="315" t="s">
        <v>1358</v>
      </c>
      <c r="AD2" s="315" t="s">
        <v>1359</v>
      </c>
      <c r="AE2" s="315" t="s">
        <v>1360</v>
      </c>
      <c r="AF2" s="315" t="s">
        <v>1361</v>
      </c>
      <c r="AG2" s="315" t="s">
        <v>1362</v>
      </c>
      <c r="AH2" s="315" t="s">
        <v>626</v>
      </c>
      <c r="AI2" s="315" t="s">
        <v>1363</v>
      </c>
      <c r="AJ2" s="315" t="s">
        <v>1364</v>
      </c>
      <c r="AK2" s="315" t="s">
        <v>1365</v>
      </c>
      <c r="AL2" s="315" t="s">
        <v>627</v>
      </c>
      <c r="AM2" s="315" t="s">
        <v>1366</v>
      </c>
      <c r="AN2" s="315" t="s">
        <v>628</v>
      </c>
      <c r="AO2" s="315" t="s">
        <v>629</v>
      </c>
      <c r="AP2" s="315" t="s">
        <v>1367</v>
      </c>
      <c r="AQ2" s="315" t="s">
        <v>1368</v>
      </c>
      <c r="AR2" s="315" t="s">
        <v>630</v>
      </c>
      <c r="AS2" s="315" t="s">
        <v>631</v>
      </c>
      <c r="AT2" s="315" t="s">
        <v>632</v>
      </c>
      <c r="AU2" s="315" t="s">
        <v>633</v>
      </c>
      <c r="AV2" s="315" t="s">
        <v>1369</v>
      </c>
      <c r="AW2" s="315" t="s">
        <v>1370</v>
      </c>
      <c r="AX2" s="315" t="s">
        <v>1371</v>
      </c>
      <c r="AY2" s="315" t="s">
        <v>1372</v>
      </c>
      <c r="AZ2" s="315" t="s">
        <v>1373</v>
      </c>
      <c r="BA2" s="315" t="s">
        <v>1374</v>
      </c>
      <c r="BB2" s="315" t="s">
        <v>636</v>
      </c>
      <c r="BC2" s="315" t="s">
        <v>637</v>
      </c>
      <c r="BD2" s="315" t="s">
        <v>638</v>
      </c>
      <c r="BE2" s="315" t="s">
        <v>639</v>
      </c>
      <c r="BF2" s="315" t="s">
        <v>640</v>
      </c>
      <c r="BG2" s="315" t="s">
        <v>1864</v>
      </c>
    </row>
    <row r="3" spans="1:59" x14ac:dyDescent="0.55000000000000004">
      <c r="A3" s="315" t="s">
        <v>3</v>
      </c>
      <c r="B3" s="315" t="s">
        <v>65</v>
      </c>
      <c r="C3" s="315" t="s">
        <v>1865</v>
      </c>
      <c r="D3" s="315" t="s">
        <v>1866</v>
      </c>
      <c r="E3" s="315" t="s">
        <v>644</v>
      </c>
      <c r="F3" s="315" t="s">
        <v>1381</v>
      </c>
      <c r="K3" s="315">
        <v>3000</v>
      </c>
      <c r="M3" s="315">
        <v>168</v>
      </c>
      <c r="O3" s="315" t="s">
        <v>709</v>
      </c>
      <c r="P3" s="315">
        <v>296040000</v>
      </c>
      <c r="Q3" s="315">
        <v>168</v>
      </c>
      <c r="R3" s="315">
        <v>0</v>
      </c>
      <c r="S3" s="315">
        <v>296040000</v>
      </c>
      <c r="X3" s="315">
        <v>296040000</v>
      </c>
      <c r="Z3" s="315">
        <v>9.35E-2</v>
      </c>
      <c r="AA3" s="315">
        <v>12823098</v>
      </c>
      <c r="AB3" s="315">
        <v>283216902</v>
      </c>
      <c r="AF3" s="315" t="s">
        <v>1382</v>
      </c>
      <c r="AH3" s="315">
        <v>138354496</v>
      </c>
      <c r="AI3" s="315">
        <v>0</v>
      </c>
      <c r="AJ3" s="315">
        <v>0</v>
      </c>
      <c r="AK3" s="315">
        <v>0</v>
      </c>
      <c r="AL3" s="315">
        <v>0</v>
      </c>
      <c r="AM3" s="315">
        <v>0</v>
      </c>
      <c r="AN3" s="315">
        <v>0</v>
      </c>
      <c r="AO3" s="315">
        <v>0</v>
      </c>
      <c r="AP3" s="315">
        <v>0</v>
      </c>
      <c r="AQ3" s="315">
        <v>0</v>
      </c>
      <c r="AR3" s="315">
        <v>0</v>
      </c>
      <c r="AS3" s="315">
        <v>0</v>
      </c>
      <c r="AT3" s="315">
        <v>0</v>
      </c>
      <c r="AU3" s="315">
        <v>0</v>
      </c>
      <c r="AV3" s="315">
        <v>0</v>
      </c>
      <c r="AW3" s="315">
        <v>0</v>
      </c>
      <c r="AX3" s="315">
        <v>0</v>
      </c>
      <c r="AY3" s="315">
        <v>0</v>
      </c>
      <c r="AZ3" s="315">
        <v>0</v>
      </c>
      <c r="BA3" s="315">
        <v>0</v>
      </c>
      <c r="BB3" s="315">
        <v>0</v>
      </c>
      <c r="BC3" s="315">
        <v>0</v>
      </c>
      <c r="BD3" s="315">
        <v>0</v>
      </c>
      <c r="BE3" s="315">
        <v>0</v>
      </c>
      <c r="BF3" s="315">
        <v>0</v>
      </c>
      <c r="BG3" s="315">
        <v>144862406</v>
      </c>
    </row>
    <row r="4" spans="1:59" x14ac:dyDescent="0.55000000000000004">
      <c r="A4" s="315" t="s">
        <v>3</v>
      </c>
      <c r="B4" s="315" t="s">
        <v>65</v>
      </c>
      <c r="C4" s="315" t="s">
        <v>1867</v>
      </c>
      <c r="D4" s="315" t="s">
        <v>907</v>
      </c>
      <c r="E4" s="315" t="s">
        <v>644</v>
      </c>
      <c r="F4" s="315" t="s">
        <v>1385</v>
      </c>
      <c r="K4" s="315">
        <v>3000</v>
      </c>
      <c r="M4" s="315">
        <v>98</v>
      </c>
      <c r="O4" s="315" t="s">
        <v>709</v>
      </c>
      <c r="P4" s="315">
        <v>234546674</v>
      </c>
      <c r="Q4" s="315">
        <v>131</v>
      </c>
      <c r="R4" s="315">
        <v>0</v>
      </c>
      <c r="S4" s="315">
        <v>232446674</v>
      </c>
      <c r="X4" s="315">
        <v>234546674</v>
      </c>
      <c r="Z4" s="315">
        <v>7.4999999999999997E-2</v>
      </c>
      <c r="AA4" s="315">
        <v>15939000</v>
      </c>
      <c r="AB4" s="315">
        <v>218607674</v>
      </c>
      <c r="AF4" s="315" t="s">
        <v>1868</v>
      </c>
      <c r="AH4" s="315">
        <v>59679895</v>
      </c>
      <c r="AI4" s="315">
        <v>0</v>
      </c>
      <c r="AJ4" s="315">
        <v>0</v>
      </c>
      <c r="AK4" s="315">
        <v>0</v>
      </c>
      <c r="AL4" s="315">
        <v>0</v>
      </c>
      <c r="AM4" s="315">
        <v>0</v>
      </c>
      <c r="AN4" s="315">
        <v>0</v>
      </c>
      <c r="AO4" s="315">
        <v>0</v>
      </c>
      <c r="AP4" s="315">
        <v>0</v>
      </c>
      <c r="AQ4" s="315">
        <v>0</v>
      </c>
      <c r="AR4" s="315">
        <v>0</v>
      </c>
      <c r="AS4" s="315">
        <v>0</v>
      </c>
      <c r="AT4" s="315">
        <v>0</v>
      </c>
      <c r="AU4" s="315">
        <v>0</v>
      </c>
      <c r="AV4" s="315">
        <v>0</v>
      </c>
      <c r="AW4" s="315">
        <v>0</v>
      </c>
      <c r="AX4" s="315">
        <v>0</v>
      </c>
      <c r="AY4" s="315">
        <v>0</v>
      </c>
      <c r="AZ4" s="315">
        <v>0</v>
      </c>
      <c r="BA4" s="315">
        <v>0</v>
      </c>
      <c r="BB4" s="315">
        <v>0</v>
      </c>
      <c r="BC4" s="315">
        <v>0</v>
      </c>
      <c r="BD4" s="315">
        <v>0</v>
      </c>
      <c r="BE4" s="315">
        <v>0</v>
      </c>
      <c r="BF4" s="315">
        <v>0</v>
      </c>
      <c r="BG4" s="315">
        <v>158927779</v>
      </c>
    </row>
    <row r="5" spans="1:59" x14ac:dyDescent="0.55000000000000004">
      <c r="A5" s="315" t="s">
        <v>3</v>
      </c>
      <c r="B5" s="315" t="s">
        <v>65</v>
      </c>
      <c r="C5" s="315" t="s">
        <v>1869</v>
      </c>
      <c r="D5" s="315" t="s">
        <v>1870</v>
      </c>
      <c r="E5" s="315" t="s">
        <v>644</v>
      </c>
      <c r="F5" s="315" t="s">
        <v>1388</v>
      </c>
      <c r="K5" s="315">
        <v>20000</v>
      </c>
      <c r="M5" s="315">
        <v>226</v>
      </c>
      <c r="O5" s="315" t="s">
        <v>709</v>
      </c>
      <c r="P5" s="315">
        <v>702544330</v>
      </c>
      <c r="Q5" s="315">
        <v>226</v>
      </c>
      <c r="R5" s="315">
        <v>0</v>
      </c>
      <c r="S5" s="315">
        <v>702544330</v>
      </c>
      <c r="X5" s="315">
        <v>702544330</v>
      </c>
      <c r="Z5" s="315">
        <v>7.4999999999999997E-2</v>
      </c>
      <c r="AA5" s="315">
        <v>50537575</v>
      </c>
      <c r="AB5" s="315">
        <v>652006755</v>
      </c>
      <c r="AF5" s="315" t="s">
        <v>1871</v>
      </c>
      <c r="AH5" s="315">
        <v>359623053</v>
      </c>
      <c r="AI5" s="315">
        <v>0</v>
      </c>
      <c r="AJ5" s="315">
        <v>0</v>
      </c>
      <c r="AK5" s="315">
        <v>0</v>
      </c>
      <c r="AL5" s="315">
        <v>0</v>
      </c>
      <c r="AM5" s="315">
        <v>0</v>
      </c>
      <c r="AN5" s="315">
        <v>0</v>
      </c>
      <c r="AO5" s="315">
        <v>0</v>
      </c>
      <c r="AP5" s="315">
        <v>0</v>
      </c>
      <c r="AQ5" s="315">
        <v>0</v>
      </c>
      <c r="AR5" s="315">
        <v>9760446</v>
      </c>
      <c r="AS5" s="315">
        <v>0</v>
      </c>
      <c r="AT5" s="315">
        <v>0</v>
      </c>
      <c r="AU5" s="315">
        <v>0</v>
      </c>
      <c r="AV5" s="315">
        <v>0</v>
      </c>
      <c r="AW5" s="315">
        <v>0</v>
      </c>
      <c r="AX5" s="315">
        <v>0</v>
      </c>
      <c r="AY5" s="315">
        <v>0</v>
      </c>
      <c r="AZ5" s="315">
        <v>9760446</v>
      </c>
      <c r="BA5" s="315">
        <v>0</v>
      </c>
      <c r="BB5" s="315">
        <v>0</v>
      </c>
      <c r="BC5" s="315">
        <v>0</v>
      </c>
      <c r="BD5" s="315">
        <v>0</v>
      </c>
      <c r="BE5" s="315">
        <v>0</v>
      </c>
      <c r="BF5" s="315">
        <v>0</v>
      </c>
      <c r="BG5" s="315">
        <v>517905545</v>
      </c>
    </row>
    <row r="6" spans="1:59" x14ac:dyDescent="0.55000000000000004">
      <c r="A6" s="315" t="s">
        <v>3</v>
      </c>
      <c r="B6" s="315" t="s">
        <v>65</v>
      </c>
      <c r="C6" s="315" t="s">
        <v>1872</v>
      </c>
      <c r="D6" s="315" t="s">
        <v>659</v>
      </c>
      <c r="E6" s="315" t="s">
        <v>644</v>
      </c>
      <c r="F6" s="315" t="s">
        <v>1873</v>
      </c>
      <c r="K6" s="315">
        <v>2000</v>
      </c>
      <c r="M6" s="315">
        <v>130</v>
      </c>
      <c r="O6" s="315" t="s">
        <v>709</v>
      </c>
      <c r="P6" s="315">
        <v>293852000</v>
      </c>
      <c r="Q6" s="315">
        <v>130</v>
      </c>
      <c r="R6" s="315">
        <v>0</v>
      </c>
      <c r="S6" s="315">
        <v>284700000</v>
      </c>
      <c r="T6" s="315">
        <v>9152000</v>
      </c>
      <c r="X6" s="315">
        <v>293852000</v>
      </c>
      <c r="Z6" s="315">
        <v>7.2700000000000001E-2</v>
      </c>
      <c r="AA6" s="315">
        <v>21373125</v>
      </c>
      <c r="AB6" s="315">
        <v>272478875</v>
      </c>
      <c r="AF6" s="315" t="s">
        <v>1382</v>
      </c>
      <c r="AH6" s="315">
        <v>124340764</v>
      </c>
      <c r="AL6" s="315">
        <v>0</v>
      </c>
      <c r="AM6" s="315">
        <v>0</v>
      </c>
      <c r="AN6" s="315">
        <v>0</v>
      </c>
      <c r="AO6" s="315">
        <v>0</v>
      </c>
      <c r="AP6" s="315">
        <v>0</v>
      </c>
      <c r="AQ6" s="315">
        <v>0</v>
      </c>
      <c r="AR6" s="315">
        <v>12071143</v>
      </c>
      <c r="AS6" s="315">
        <v>0</v>
      </c>
      <c r="AT6" s="315">
        <v>0</v>
      </c>
      <c r="AU6" s="315">
        <v>0</v>
      </c>
      <c r="AV6" s="315">
        <v>0</v>
      </c>
      <c r="AW6" s="315">
        <v>0</v>
      </c>
      <c r="AX6" s="315">
        <v>0</v>
      </c>
      <c r="AY6" s="315">
        <v>0</v>
      </c>
      <c r="AZ6" s="315">
        <v>12071143</v>
      </c>
      <c r="BA6" s="315">
        <v>0</v>
      </c>
      <c r="BB6" s="315">
        <v>0</v>
      </c>
      <c r="BC6" s="315">
        <v>0</v>
      </c>
      <c r="BD6" s="315">
        <v>0</v>
      </c>
      <c r="BE6" s="315">
        <v>0</v>
      </c>
      <c r="BF6" s="315">
        <v>0</v>
      </c>
      <c r="BG6" s="315">
        <v>229617982</v>
      </c>
    </row>
    <row r="7" spans="1:59" x14ac:dyDescent="0.55000000000000004">
      <c r="A7" s="315" t="s">
        <v>3</v>
      </c>
      <c r="B7" s="315" t="s">
        <v>65</v>
      </c>
      <c r="C7" s="315" t="s">
        <v>1874</v>
      </c>
      <c r="D7" s="315" t="s">
        <v>656</v>
      </c>
      <c r="E7" s="315" t="s">
        <v>644</v>
      </c>
      <c r="F7" s="315" t="s">
        <v>1393</v>
      </c>
      <c r="K7" s="315">
        <v>2000</v>
      </c>
      <c r="M7" s="315">
        <v>44</v>
      </c>
      <c r="O7" s="315" t="s">
        <v>709</v>
      </c>
      <c r="P7" s="315">
        <v>66680000</v>
      </c>
      <c r="Q7" s="315">
        <v>44</v>
      </c>
      <c r="R7" s="315">
        <v>14940000</v>
      </c>
      <c r="S7" s="315">
        <v>51740000</v>
      </c>
      <c r="X7" s="315">
        <v>66680000</v>
      </c>
      <c r="Z7" s="315">
        <v>7.4999999999999997E-2</v>
      </c>
      <c r="AA7" s="315">
        <v>4702500</v>
      </c>
      <c r="AB7" s="315">
        <v>61977500</v>
      </c>
      <c r="AF7" s="315" t="s">
        <v>1382</v>
      </c>
      <c r="AH7" s="315">
        <v>30789750</v>
      </c>
      <c r="AI7" s="315">
        <v>0</v>
      </c>
      <c r="AJ7" s="315">
        <v>0</v>
      </c>
      <c r="AK7" s="315">
        <v>0</v>
      </c>
      <c r="AL7" s="315">
        <v>0</v>
      </c>
      <c r="AM7" s="315">
        <v>0</v>
      </c>
      <c r="AN7" s="315">
        <v>0</v>
      </c>
      <c r="AO7" s="315">
        <v>0</v>
      </c>
      <c r="AP7" s="315">
        <v>0</v>
      </c>
      <c r="AQ7" s="315">
        <v>0</v>
      </c>
      <c r="AR7" s="315">
        <v>8266401</v>
      </c>
      <c r="AS7" s="315">
        <v>0</v>
      </c>
      <c r="AT7" s="315">
        <v>8796347</v>
      </c>
      <c r="AU7" s="315">
        <v>0</v>
      </c>
      <c r="AV7" s="315">
        <v>0</v>
      </c>
      <c r="AW7" s="315">
        <v>0</v>
      </c>
      <c r="AX7" s="315">
        <v>0</v>
      </c>
      <c r="AY7" s="315">
        <v>0</v>
      </c>
      <c r="AZ7" s="315">
        <v>17062748</v>
      </c>
      <c r="BA7" s="315">
        <v>0</v>
      </c>
      <c r="BB7" s="315">
        <v>0</v>
      </c>
      <c r="BC7" s="315">
        <v>0</v>
      </c>
      <c r="BD7" s="315">
        <v>0</v>
      </c>
      <c r="BE7" s="315">
        <v>0</v>
      </c>
      <c r="BF7" s="315">
        <v>0</v>
      </c>
      <c r="BG7" s="315">
        <v>14125002</v>
      </c>
    </row>
    <row r="8" spans="1:59" x14ac:dyDescent="0.55000000000000004">
      <c r="A8" s="315" t="s">
        <v>3</v>
      </c>
      <c r="B8" s="315" t="s">
        <v>65</v>
      </c>
      <c r="C8" s="315" t="s">
        <v>1875</v>
      </c>
      <c r="D8" s="315" t="s">
        <v>1876</v>
      </c>
      <c r="E8" s="315" t="s">
        <v>644</v>
      </c>
      <c r="F8" s="315" t="s">
        <v>1395</v>
      </c>
      <c r="K8" s="315">
        <v>4000</v>
      </c>
      <c r="M8" s="315">
        <v>165</v>
      </c>
      <c r="O8" s="315" t="s">
        <v>709</v>
      </c>
      <c r="P8" s="315">
        <v>383197000</v>
      </c>
      <c r="Q8" s="315">
        <v>165</v>
      </c>
      <c r="R8" s="315">
        <v>123450000</v>
      </c>
      <c r="S8" s="315">
        <v>257600000</v>
      </c>
      <c r="U8" s="315">
        <v>2147000</v>
      </c>
      <c r="X8" s="315">
        <v>383197000</v>
      </c>
      <c r="Z8" s="315">
        <v>7.4999999999999997E-2</v>
      </c>
      <c r="AA8" s="315">
        <v>28368525</v>
      </c>
      <c r="AB8" s="315">
        <v>354828475</v>
      </c>
      <c r="AF8" s="315" t="s">
        <v>1396</v>
      </c>
      <c r="AH8" s="315">
        <v>185715826</v>
      </c>
      <c r="AI8" s="315">
        <v>0</v>
      </c>
      <c r="AJ8" s="315">
        <v>0</v>
      </c>
      <c r="AK8" s="315">
        <v>0</v>
      </c>
      <c r="AL8" s="315">
        <v>0</v>
      </c>
      <c r="AM8" s="315">
        <v>0</v>
      </c>
      <c r="AN8" s="315">
        <v>0</v>
      </c>
      <c r="AO8" s="315">
        <v>0</v>
      </c>
      <c r="AP8" s="315">
        <v>0</v>
      </c>
      <c r="AQ8" s="315">
        <v>0</v>
      </c>
      <c r="AR8" s="315">
        <v>10203236</v>
      </c>
      <c r="AS8" s="315">
        <v>0</v>
      </c>
      <c r="AT8" s="315">
        <v>12814819</v>
      </c>
      <c r="AU8" s="315">
        <v>0</v>
      </c>
      <c r="AV8" s="315">
        <v>0</v>
      </c>
      <c r="AW8" s="315">
        <v>0</v>
      </c>
      <c r="AX8" s="315">
        <v>0</v>
      </c>
      <c r="AY8" s="315">
        <v>0</v>
      </c>
      <c r="AZ8" s="315">
        <v>23018055</v>
      </c>
      <c r="BA8" s="315">
        <v>0</v>
      </c>
      <c r="BB8" s="315">
        <v>0</v>
      </c>
      <c r="BC8" s="315">
        <v>0</v>
      </c>
      <c r="BD8" s="315">
        <v>0</v>
      </c>
      <c r="BE8" s="315">
        <v>0</v>
      </c>
      <c r="BF8" s="315">
        <v>0</v>
      </c>
      <c r="BG8" s="315">
        <v>169112649</v>
      </c>
    </row>
    <row r="9" spans="1:59" x14ac:dyDescent="0.55000000000000004">
      <c r="A9" s="315" t="s">
        <v>3</v>
      </c>
      <c r="B9" s="315" t="s">
        <v>65</v>
      </c>
      <c r="C9" s="315" t="s">
        <v>1877</v>
      </c>
      <c r="D9" s="315" t="s">
        <v>1878</v>
      </c>
      <c r="E9" s="315" t="s">
        <v>644</v>
      </c>
      <c r="F9" s="315" t="s">
        <v>1399</v>
      </c>
      <c r="K9" s="315">
        <v>2000</v>
      </c>
      <c r="M9" s="315">
        <v>63</v>
      </c>
      <c r="O9" s="315" t="s">
        <v>709</v>
      </c>
      <c r="P9" s="315">
        <v>139020000</v>
      </c>
      <c r="Q9" s="315">
        <v>63</v>
      </c>
      <c r="S9" s="315">
        <v>139020000</v>
      </c>
      <c r="X9" s="315">
        <v>139020000</v>
      </c>
      <c r="Z9" s="315">
        <v>7.4999999999999997E-2</v>
      </c>
      <c r="AA9" s="315">
        <v>10108500</v>
      </c>
      <c r="AB9" s="315">
        <v>128911500</v>
      </c>
      <c r="AF9" s="315" t="s">
        <v>1400</v>
      </c>
      <c r="AH9" s="315">
        <v>56883521</v>
      </c>
      <c r="AI9" s="315">
        <v>0</v>
      </c>
      <c r="AJ9" s="315">
        <v>0</v>
      </c>
      <c r="AK9" s="315">
        <v>0</v>
      </c>
      <c r="AL9" s="315">
        <v>0</v>
      </c>
      <c r="AM9" s="315">
        <v>0</v>
      </c>
      <c r="AN9" s="315">
        <v>0</v>
      </c>
      <c r="AO9" s="315">
        <v>0</v>
      </c>
      <c r="AP9" s="315">
        <v>0</v>
      </c>
      <c r="AQ9" s="315">
        <v>0</v>
      </c>
      <c r="AR9" s="315">
        <v>12029426</v>
      </c>
      <c r="AS9" s="315">
        <v>0</v>
      </c>
      <c r="AT9" s="315">
        <v>10138160</v>
      </c>
      <c r="AU9" s="315">
        <v>0</v>
      </c>
      <c r="AV9" s="315">
        <v>0</v>
      </c>
      <c r="AW9" s="315">
        <v>0</v>
      </c>
      <c r="AX9" s="315">
        <v>0</v>
      </c>
      <c r="AY9" s="315">
        <v>0</v>
      </c>
      <c r="AZ9" s="315">
        <v>22167586</v>
      </c>
      <c r="BA9" s="315">
        <v>0</v>
      </c>
      <c r="BB9" s="315">
        <v>0</v>
      </c>
      <c r="BC9" s="315">
        <v>0</v>
      </c>
      <c r="BD9" s="315">
        <v>0</v>
      </c>
      <c r="BE9" s="315">
        <v>0</v>
      </c>
      <c r="BF9" s="315">
        <v>0</v>
      </c>
      <c r="BG9" s="315">
        <v>49860393</v>
      </c>
    </row>
    <row r="10" spans="1:59" x14ac:dyDescent="0.55000000000000004">
      <c r="A10" s="315" t="s">
        <v>3</v>
      </c>
      <c r="B10" s="315" t="s">
        <v>65</v>
      </c>
      <c r="C10" s="315" t="s">
        <v>1879</v>
      </c>
      <c r="D10" s="315" t="s">
        <v>1866</v>
      </c>
      <c r="E10" s="315" t="s">
        <v>662</v>
      </c>
      <c r="F10" s="315" t="s">
        <v>1403</v>
      </c>
      <c r="K10" s="315">
        <v>3000</v>
      </c>
      <c r="M10" s="315">
        <v>82</v>
      </c>
      <c r="O10" s="315" t="s">
        <v>709</v>
      </c>
      <c r="P10" s="315">
        <v>187780000</v>
      </c>
      <c r="Q10" s="315">
        <v>82</v>
      </c>
      <c r="S10" s="315">
        <v>187780000</v>
      </c>
      <c r="X10" s="315">
        <v>187780000</v>
      </c>
      <c r="Z10" s="315">
        <v>7.4999999999999997E-2</v>
      </c>
      <c r="AA10" s="315">
        <v>13396500</v>
      </c>
      <c r="AB10" s="315">
        <v>174383500</v>
      </c>
      <c r="AF10" s="315" t="s">
        <v>1400</v>
      </c>
      <c r="AH10" s="315">
        <v>81662517</v>
      </c>
      <c r="AI10" s="315" t="s">
        <v>709</v>
      </c>
      <c r="AJ10" s="315" t="s">
        <v>709</v>
      </c>
      <c r="AK10" s="315" t="s">
        <v>709</v>
      </c>
      <c r="AL10" s="315" t="s">
        <v>709</v>
      </c>
      <c r="AM10" s="315" t="s">
        <v>709</v>
      </c>
      <c r="AN10" s="315">
        <v>0</v>
      </c>
      <c r="AO10" s="315">
        <v>0</v>
      </c>
      <c r="AP10" s="315">
        <v>0</v>
      </c>
      <c r="AQ10" s="315">
        <v>0</v>
      </c>
      <c r="AR10" s="315">
        <v>13050343</v>
      </c>
      <c r="AS10" s="315">
        <v>0</v>
      </c>
      <c r="AT10" s="315">
        <v>9773146</v>
      </c>
      <c r="AU10" s="315">
        <v>0</v>
      </c>
      <c r="AV10" s="315">
        <v>0</v>
      </c>
      <c r="AW10" s="315">
        <v>0</v>
      </c>
      <c r="AX10" s="315">
        <v>0</v>
      </c>
      <c r="AY10" s="315">
        <v>0</v>
      </c>
      <c r="AZ10" s="315">
        <v>22823489</v>
      </c>
      <c r="BA10" s="315">
        <v>0</v>
      </c>
      <c r="BB10" s="315">
        <v>0</v>
      </c>
      <c r="BC10" s="315">
        <v>0</v>
      </c>
      <c r="BD10" s="315">
        <v>0</v>
      </c>
      <c r="BE10" s="315">
        <v>0</v>
      </c>
      <c r="BF10" s="315">
        <v>0</v>
      </c>
      <c r="BG10" s="315">
        <v>145369911</v>
      </c>
    </row>
    <row r="11" spans="1:59" x14ac:dyDescent="0.55000000000000004">
      <c r="A11" s="315" t="s">
        <v>3</v>
      </c>
      <c r="B11" s="315" t="s">
        <v>65</v>
      </c>
      <c r="C11" s="315" t="s">
        <v>1880</v>
      </c>
      <c r="D11" s="315" t="s">
        <v>1405</v>
      </c>
      <c r="E11" s="315" t="s">
        <v>644</v>
      </c>
      <c r="F11" s="315" t="s">
        <v>1406</v>
      </c>
      <c r="K11" s="315">
        <v>2000</v>
      </c>
      <c r="M11" s="315">
        <v>6</v>
      </c>
      <c r="O11" s="315" t="s">
        <v>709</v>
      </c>
      <c r="Q11" s="315">
        <v>6</v>
      </c>
      <c r="R11" s="315">
        <v>14340000</v>
      </c>
      <c r="X11" s="315">
        <v>14340000</v>
      </c>
      <c r="Z11" s="315">
        <v>7.4999999999999997E-2</v>
      </c>
      <c r="AA11" s="315">
        <v>1075500</v>
      </c>
      <c r="AB11" s="315">
        <v>13264500</v>
      </c>
      <c r="AF11" s="315" t="s">
        <v>1400</v>
      </c>
      <c r="AH11" s="315">
        <v>6190100</v>
      </c>
      <c r="AN11" s="315">
        <v>0</v>
      </c>
      <c r="AO11" s="315">
        <v>0</v>
      </c>
      <c r="AP11" s="315">
        <v>0</v>
      </c>
      <c r="AQ11" s="315">
        <v>0</v>
      </c>
      <c r="AR11" s="315">
        <v>10596126</v>
      </c>
      <c r="AS11" s="315">
        <v>0</v>
      </c>
      <c r="AT11" s="315">
        <v>9288179</v>
      </c>
      <c r="AU11" s="315">
        <v>0</v>
      </c>
      <c r="AV11" s="315">
        <v>0</v>
      </c>
      <c r="AW11" s="315">
        <v>0</v>
      </c>
      <c r="AX11" s="315">
        <v>0</v>
      </c>
      <c r="AY11" s="315">
        <v>0</v>
      </c>
      <c r="AZ11" s="315">
        <v>19884305</v>
      </c>
      <c r="BA11" s="315">
        <v>0</v>
      </c>
      <c r="BB11" s="315">
        <v>0</v>
      </c>
      <c r="BC11" s="315">
        <v>0</v>
      </c>
      <c r="BD11" s="315">
        <v>0</v>
      </c>
      <c r="BE11" s="315">
        <v>0</v>
      </c>
      <c r="BF11" s="315">
        <v>0</v>
      </c>
      <c r="BG11" s="315">
        <v>-12809905</v>
      </c>
    </row>
    <row r="12" spans="1:59" x14ac:dyDescent="0.55000000000000004">
      <c r="A12" s="315" t="s">
        <v>3</v>
      </c>
      <c r="B12" s="315" t="s">
        <v>65</v>
      </c>
      <c r="C12" s="315" t="s">
        <v>1881</v>
      </c>
      <c r="D12" s="315" t="s">
        <v>1882</v>
      </c>
      <c r="E12" s="315" t="s">
        <v>644</v>
      </c>
      <c r="F12" s="315" t="s">
        <v>1408</v>
      </c>
      <c r="K12" s="315">
        <v>4000</v>
      </c>
      <c r="M12" s="315">
        <v>145</v>
      </c>
      <c r="O12" s="315" t="s">
        <v>709</v>
      </c>
      <c r="P12" s="315">
        <v>414680000</v>
      </c>
      <c r="Q12" s="315">
        <v>145</v>
      </c>
      <c r="R12" s="315">
        <v>98400000</v>
      </c>
      <c r="S12" s="315">
        <v>314780000</v>
      </c>
      <c r="U12" s="315">
        <v>1500000</v>
      </c>
      <c r="X12" s="315">
        <v>414680000</v>
      </c>
      <c r="Z12" s="315">
        <v>7.4999999999999997E-2</v>
      </c>
      <c r="AA12" s="315">
        <v>30693000</v>
      </c>
      <c r="AB12" s="315">
        <v>383987000</v>
      </c>
      <c r="AF12" s="315" t="s">
        <v>1396</v>
      </c>
      <c r="AH12" s="315">
        <v>221389414</v>
      </c>
      <c r="AI12" s="315">
        <v>0</v>
      </c>
      <c r="AJ12" s="315">
        <v>0</v>
      </c>
      <c r="AK12" s="315">
        <v>0</v>
      </c>
      <c r="AL12" s="315">
        <v>0</v>
      </c>
      <c r="AM12" s="315">
        <v>0</v>
      </c>
      <c r="AN12" s="315">
        <v>0</v>
      </c>
      <c r="AO12" s="315">
        <v>0</v>
      </c>
      <c r="AP12" s="315">
        <v>0</v>
      </c>
      <c r="AQ12" s="315">
        <v>0</v>
      </c>
      <c r="AR12" s="315">
        <v>20197433</v>
      </c>
      <c r="AS12" s="315">
        <v>0</v>
      </c>
      <c r="AT12" s="315">
        <v>18918496</v>
      </c>
      <c r="AU12" s="315">
        <v>0</v>
      </c>
      <c r="AV12" s="315">
        <v>0</v>
      </c>
      <c r="AW12" s="315">
        <v>0</v>
      </c>
      <c r="AX12" s="315">
        <v>0</v>
      </c>
      <c r="AY12" s="315">
        <v>0</v>
      </c>
      <c r="AZ12" s="315">
        <v>39115929</v>
      </c>
      <c r="BA12" s="315">
        <v>0</v>
      </c>
      <c r="BB12" s="315">
        <v>0</v>
      </c>
      <c r="BC12" s="315">
        <v>0</v>
      </c>
      <c r="BD12" s="315">
        <v>0</v>
      </c>
      <c r="BE12" s="315">
        <v>0</v>
      </c>
      <c r="BF12" s="315">
        <v>0</v>
      </c>
      <c r="BG12" s="315">
        <v>123481657</v>
      </c>
    </row>
    <row r="13" spans="1:59" x14ac:dyDescent="0.55000000000000004">
      <c r="A13" s="315" t="s">
        <v>3</v>
      </c>
      <c r="B13" s="315" t="s">
        <v>65</v>
      </c>
      <c r="C13" s="315" t="s">
        <v>1883</v>
      </c>
      <c r="D13" s="315" t="s">
        <v>1884</v>
      </c>
      <c r="E13" s="315" t="s">
        <v>644</v>
      </c>
      <c r="F13" s="315" t="s">
        <v>1410</v>
      </c>
      <c r="K13" s="315">
        <v>4000</v>
      </c>
      <c r="M13" s="315">
        <v>133</v>
      </c>
      <c r="O13" s="315" t="s">
        <v>709</v>
      </c>
      <c r="Q13" s="315">
        <v>133</v>
      </c>
      <c r="R13" s="315">
        <v>101410000</v>
      </c>
      <c r="S13" s="315">
        <v>216260000</v>
      </c>
      <c r="U13" s="315">
        <v>5151666</v>
      </c>
      <c r="X13" s="315">
        <v>322821666</v>
      </c>
      <c r="Z13" s="315">
        <v>7.4999999999999997E-2</v>
      </c>
      <c r="AA13" s="315">
        <v>23644625</v>
      </c>
      <c r="AB13" s="315">
        <v>299177041</v>
      </c>
      <c r="AF13" s="315" t="s">
        <v>1400</v>
      </c>
      <c r="AH13" s="315">
        <v>131316592</v>
      </c>
      <c r="AI13" s="315">
        <v>0</v>
      </c>
      <c r="AJ13" s="315">
        <v>0</v>
      </c>
      <c r="AK13" s="315">
        <v>0</v>
      </c>
      <c r="AL13" s="315">
        <v>0</v>
      </c>
      <c r="AM13" s="315">
        <v>0</v>
      </c>
      <c r="AN13" s="315">
        <v>0</v>
      </c>
      <c r="AO13" s="315">
        <v>0</v>
      </c>
      <c r="AP13" s="315">
        <v>0</v>
      </c>
      <c r="AQ13" s="315">
        <v>0</v>
      </c>
      <c r="AR13" s="315">
        <v>568939</v>
      </c>
      <c r="AS13" s="315">
        <v>0</v>
      </c>
      <c r="AT13" s="315">
        <v>21580938</v>
      </c>
      <c r="AU13" s="315">
        <v>0</v>
      </c>
      <c r="AV13" s="315">
        <v>0</v>
      </c>
      <c r="AW13" s="315">
        <v>0</v>
      </c>
      <c r="AX13" s="315">
        <v>0</v>
      </c>
      <c r="AY13" s="315">
        <v>0</v>
      </c>
      <c r="AZ13" s="315">
        <v>22149877</v>
      </c>
      <c r="BA13" s="315">
        <v>0</v>
      </c>
      <c r="BB13" s="315">
        <v>0</v>
      </c>
      <c r="BC13" s="315">
        <v>0</v>
      </c>
      <c r="BD13" s="315">
        <v>0</v>
      </c>
      <c r="BE13" s="315">
        <v>0</v>
      </c>
      <c r="BF13" s="315">
        <v>0</v>
      </c>
      <c r="BG13" s="315">
        <v>145710572</v>
      </c>
    </row>
    <row r="14" spans="1:59" x14ac:dyDescent="0.55000000000000004">
      <c r="A14" s="315" t="s">
        <v>3</v>
      </c>
      <c r="B14" s="315" t="s">
        <v>65</v>
      </c>
      <c r="C14" s="315" t="s">
        <v>1885</v>
      </c>
      <c r="D14" s="315" t="s">
        <v>1886</v>
      </c>
      <c r="E14" s="315" t="s">
        <v>662</v>
      </c>
      <c r="F14" s="315" t="s">
        <v>1385</v>
      </c>
      <c r="K14" s="315">
        <v>3000</v>
      </c>
      <c r="M14" s="315">
        <v>171</v>
      </c>
      <c r="O14" s="315" t="s">
        <v>709</v>
      </c>
      <c r="P14" s="315">
        <v>425790000</v>
      </c>
      <c r="Q14" s="315">
        <v>171</v>
      </c>
      <c r="S14" s="315">
        <v>420810000</v>
      </c>
      <c r="U14" s="315">
        <v>4980000</v>
      </c>
      <c r="X14" s="315">
        <v>425790000</v>
      </c>
      <c r="Z14" s="315">
        <v>7.4999999999999997E-2</v>
      </c>
      <c r="AA14" s="315">
        <v>30575250</v>
      </c>
      <c r="AB14" s="315">
        <v>395214750</v>
      </c>
      <c r="AF14" s="315" t="s">
        <v>1382</v>
      </c>
      <c r="AH14" s="315">
        <v>174957641</v>
      </c>
      <c r="AI14" s="315">
        <v>0</v>
      </c>
      <c r="AJ14" s="315">
        <v>0</v>
      </c>
      <c r="AK14" s="315">
        <v>0</v>
      </c>
      <c r="AL14" s="315">
        <v>0</v>
      </c>
      <c r="AM14" s="315">
        <v>0</v>
      </c>
      <c r="AN14" s="315">
        <v>0</v>
      </c>
      <c r="AO14" s="315">
        <v>0</v>
      </c>
      <c r="AP14" s="315">
        <v>0</v>
      </c>
      <c r="AQ14" s="315">
        <v>0</v>
      </c>
      <c r="AR14" s="315">
        <v>11926010</v>
      </c>
      <c r="AS14" s="315">
        <v>0</v>
      </c>
      <c r="AT14" s="315">
        <v>7273157</v>
      </c>
      <c r="AU14" s="315">
        <v>0</v>
      </c>
      <c r="AV14" s="315">
        <v>0</v>
      </c>
      <c r="AW14" s="315">
        <v>0</v>
      </c>
      <c r="AX14" s="315">
        <v>0</v>
      </c>
      <c r="AY14" s="315">
        <v>0</v>
      </c>
      <c r="AZ14" s="315">
        <v>19199167</v>
      </c>
      <c r="BA14" s="315">
        <v>0</v>
      </c>
      <c r="BB14" s="315">
        <v>0</v>
      </c>
      <c r="BC14" s="315">
        <v>0</v>
      </c>
      <c r="BD14" s="315">
        <v>0</v>
      </c>
      <c r="BE14" s="315">
        <v>0</v>
      </c>
      <c r="BF14" s="315">
        <v>0</v>
      </c>
      <c r="BG14" s="315">
        <v>201057942</v>
      </c>
    </row>
    <row r="15" spans="1:59" x14ac:dyDescent="0.55000000000000004">
      <c r="A15" s="315" t="s">
        <v>3</v>
      </c>
      <c r="B15" s="315" t="s">
        <v>65</v>
      </c>
      <c r="C15" s="315" t="s">
        <v>1887</v>
      </c>
      <c r="D15" s="315" t="s">
        <v>659</v>
      </c>
      <c r="E15" s="315" t="s">
        <v>662</v>
      </c>
      <c r="F15" s="315" t="s">
        <v>1873</v>
      </c>
      <c r="K15" s="315">
        <v>2200</v>
      </c>
      <c r="M15" s="315">
        <v>77</v>
      </c>
      <c r="O15" s="315" t="s">
        <v>709</v>
      </c>
      <c r="P15" s="315">
        <v>171540000</v>
      </c>
      <c r="Q15" s="315">
        <v>77</v>
      </c>
      <c r="S15" s="315">
        <v>167540000</v>
      </c>
      <c r="T15" s="315">
        <v>4000000</v>
      </c>
      <c r="X15" s="315">
        <v>171540000</v>
      </c>
      <c r="Z15" s="315">
        <v>7.4999999999999997E-2</v>
      </c>
      <c r="AA15" s="315">
        <v>12693750</v>
      </c>
      <c r="AB15" s="315">
        <v>158846250</v>
      </c>
      <c r="AF15" s="315" t="s">
        <v>1382</v>
      </c>
      <c r="AH15" s="315">
        <v>78288774</v>
      </c>
      <c r="AI15" s="315">
        <v>0</v>
      </c>
      <c r="AJ15" s="315">
        <v>0</v>
      </c>
      <c r="AK15" s="315">
        <v>0</v>
      </c>
      <c r="AL15" s="315">
        <v>0</v>
      </c>
      <c r="AM15" s="315">
        <v>0</v>
      </c>
      <c r="AN15" s="315">
        <v>0</v>
      </c>
      <c r="AO15" s="315">
        <v>0</v>
      </c>
      <c r="AP15" s="315">
        <v>0</v>
      </c>
      <c r="AQ15" s="315">
        <v>0</v>
      </c>
      <c r="AR15" s="315">
        <v>15835394</v>
      </c>
      <c r="AS15" s="315">
        <v>0</v>
      </c>
      <c r="AT15" s="315">
        <v>12376542</v>
      </c>
      <c r="AU15" s="315">
        <v>0</v>
      </c>
      <c r="AV15" s="315">
        <v>0</v>
      </c>
      <c r="AW15" s="315">
        <v>0</v>
      </c>
      <c r="AX15" s="315">
        <v>0</v>
      </c>
      <c r="AY15" s="315">
        <v>0</v>
      </c>
      <c r="AZ15" s="315">
        <v>28211936</v>
      </c>
      <c r="BA15" s="315">
        <v>0</v>
      </c>
      <c r="BB15" s="315">
        <v>0</v>
      </c>
      <c r="BC15" s="315">
        <v>0</v>
      </c>
      <c r="BD15" s="315">
        <v>0</v>
      </c>
      <c r="BE15" s="315">
        <v>0</v>
      </c>
      <c r="BF15" s="315">
        <v>0</v>
      </c>
      <c r="BG15" s="315">
        <v>52345540</v>
      </c>
    </row>
    <row r="16" spans="1:59" x14ac:dyDescent="0.55000000000000004">
      <c r="A16" s="315" t="s">
        <v>3</v>
      </c>
      <c r="B16" s="315" t="s">
        <v>65</v>
      </c>
      <c r="C16" s="315" t="s">
        <v>1888</v>
      </c>
      <c r="D16" s="315" t="s">
        <v>1413</v>
      </c>
      <c r="E16" s="315" t="s">
        <v>644</v>
      </c>
      <c r="F16" s="315" t="s">
        <v>1414</v>
      </c>
      <c r="K16" s="315">
        <v>21300</v>
      </c>
      <c r="M16" s="315">
        <v>589</v>
      </c>
      <c r="O16" s="315" t="s">
        <v>709</v>
      </c>
      <c r="P16" s="315">
        <v>1499730002</v>
      </c>
      <c r="Q16" s="315">
        <v>592</v>
      </c>
      <c r="R16" s="315">
        <v>1476300000</v>
      </c>
      <c r="U16" s="315">
        <v>23430002</v>
      </c>
      <c r="X16" s="315">
        <v>1499730002</v>
      </c>
      <c r="Z16" s="315">
        <v>7.4999999999999997E-2</v>
      </c>
      <c r="AA16" s="315">
        <v>110030250</v>
      </c>
      <c r="AB16" s="315">
        <v>1389699752</v>
      </c>
      <c r="AF16" s="315">
        <v>0.55000000000000004</v>
      </c>
      <c r="AH16" s="315">
        <v>685135516</v>
      </c>
      <c r="AI16" s="315">
        <v>0</v>
      </c>
      <c r="AJ16" s="315">
        <v>0</v>
      </c>
      <c r="AK16" s="315">
        <v>0</v>
      </c>
      <c r="AL16" s="315">
        <v>0</v>
      </c>
      <c r="AM16" s="315">
        <v>0</v>
      </c>
      <c r="AN16" s="315">
        <v>0</v>
      </c>
      <c r="AO16" s="315">
        <v>0</v>
      </c>
      <c r="AP16" s="315">
        <v>0</v>
      </c>
      <c r="AQ16" s="315">
        <v>0</v>
      </c>
      <c r="AR16" s="315">
        <v>23072818</v>
      </c>
      <c r="AS16" s="315">
        <v>0</v>
      </c>
      <c r="AT16" s="315">
        <v>15940724</v>
      </c>
      <c r="AU16" s="315">
        <v>0</v>
      </c>
      <c r="AV16" s="315">
        <v>0</v>
      </c>
      <c r="AW16" s="315">
        <v>0</v>
      </c>
      <c r="AX16" s="315">
        <v>0</v>
      </c>
      <c r="AY16" s="315">
        <v>0</v>
      </c>
      <c r="AZ16" s="315">
        <v>39013542</v>
      </c>
      <c r="BA16" s="315">
        <v>0</v>
      </c>
      <c r="BB16" s="315">
        <v>0</v>
      </c>
      <c r="BC16" s="315">
        <v>0</v>
      </c>
      <c r="BD16" s="315">
        <v>0</v>
      </c>
      <c r="BE16" s="315">
        <v>0</v>
      </c>
      <c r="BF16" s="315">
        <v>0</v>
      </c>
      <c r="BG16" s="315">
        <v>665550694</v>
      </c>
    </row>
    <row r="17" spans="1:59" x14ac:dyDescent="0.55000000000000004">
      <c r="A17" s="315" t="s">
        <v>3</v>
      </c>
      <c r="B17" s="315" t="s">
        <v>65</v>
      </c>
      <c r="C17" s="315" t="s">
        <v>1889</v>
      </c>
      <c r="D17" s="315" t="s">
        <v>1882</v>
      </c>
      <c r="E17" s="315" t="s">
        <v>662</v>
      </c>
      <c r="F17" s="315" t="s">
        <v>1408</v>
      </c>
      <c r="K17" s="315">
        <v>2500</v>
      </c>
      <c r="M17" s="315">
        <v>115</v>
      </c>
      <c r="O17" s="315" t="s">
        <v>709</v>
      </c>
      <c r="Q17" s="315">
        <v>117</v>
      </c>
      <c r="R17" s="315">
        <v>66520000</v>
      </c>
      <c r="S17" s="315">
        <v>249060000</v>
      </c>
      <c r="T17" s="315">
        <v>6760000</v>
      </c>
      <c r="X17" s="315">
        <v>322340000</v>
      </c>
      <c r="Z17" s="315">
        <v>7.4999999999999997E-2</v>
      </c>
      <c r="AA17" s="315">
        <v>23382000</v>
      </c>
      <c r="AB17" s="315">
        <v>298958000</v>
      </c>
      <c r="AF17" s="315" t="s">
        <v>1396</v>
      </c>
      <c r="AH17" s="315">
        <v>178203972</v>
      </c>
      <c r="AI17" s="315">
        <v>0</v>
      </c>
      <c r="AJ17" s="315">
        <v>0</v>
      </c>
      <c r="AK17" s="315">
        <v>0</v>
      </c>
      <c r="AL17" s="315">
        <v>0</v>
      </c>
      <c r="AM17" s="315">
        <v>0</v>
      </c>
      <c r="AN17" s="315">
        <v>0</v>
      </c>
      <c r="AO17" s="315">
        <v>0</v>
      </c>
      <c r="AP17" s="315">
        <v>0</v>
      </c>
      <c r="AQ17" s="315">
        <v>0</v>
      </c>
      <c r="AR17" s="315">
        <v>11619746</v>
      </c>
      <c r="AS17" s="315">
        <v>0</v>
      </c>
      <c r="AT17" s="315">
        <v>17427306</v>
      </c>
      <c r="AU17" s="315">
        <v>0</v>
      </c>
      <c r="AV17" s="315">
        <v>0</v>
      </c>
      <c r="AW17" s="315">
        <v>0</v>
      </c>
      <c r="AX17" s="315">
        <v>0</v>
      </c>
      <c r="AY17" s="315">
        <v>0</v>
      </c>
      <c r="AZ17" s="315">
        <v>29047052</v>
      </c>
      <c r="BA17" s="315">
        <v>0</v>
      </c>
      <c r="BB17" s="315">
        <v>0</v>
      </c>
      <c r="BC17" s="315">
        <v>0</v>
      </c>
      <c r="BD17" s="315">
        <v>0</v>
      </c>
      <c r="BE17" s="315">
        <v>0</v>
      </c>
      <c r="BF17" s="315">
        <v>0</v>
      </c>
      <c r="BG17" s="315">
        <v>91706976</v>
      </c>
    </row>
    <row r="18" spans="1:59" x14ac:dyDescent="0.55000000000000004">
      <c r="A18" s="315" t="s">
        <v>4</v>
      </c>
      <c r="B18" s="315" t="s">
        <v>65</v>
      </c>
      <c r="C18" s="315" t="s">
        <v>1890</v>
      </c>
      <c r="D18" s="315" t="s">
        <v>1891</v>
      </c>
      <c r="E18" s="315" t="s">
        <v>644</v>
      </c>
      <c r="F18" s="315" t="s">
        <v>1418</v>
      </c>
      <c r="L18" s="315" t="s">
        <v>709</v>
      </c>
      <c r="M18" s="315">
        <v>49</v>
      </c>
      <c r="N18" s="315" t="s">
        <v>709</v>
      </c>
      <c r="O18" s="315" t="s">
        <v>709</v>
      </c>
      <c r="P18" s="315">
        <v>133375000</v>
      </c>
      <c r="Q18" s="315">
        <v>49</v>
      </c>
      <c r="S18" s="315">
        <v>132000000</v>
      </c>
      <c r="U18" s="315">
        <v>1375000</v>
      </c>
      <c r="X18" s="315">
        <v>133375000</v>
      </c>
      <c r="Y18" s="315">
        <v>7.4999999999999997E-2</v>
      </c>
      <c r="Z18" s="315">
        <v>7.1900000000000006E-2</v>
      </c>
      <c r="AA18" s="315">
        <v>9590625</v>
      </c>
      <c r="AB18" s="315">
        <v>123784375</v>
      </c>
      <c r="AF18" s="315" t="s">
        <v>1382</v>
      </c>
      <c r="AH18" s="315">
        <v>55766775</v>
      </c>
      <c r="AI18" s="315">
        <v>0</v>
      </c>
      <c r="AJ18" s="315">
        <v>0</v>
      </c>
      <c r="AK18" s="315">
        <v>0</v>
      </c>
      <c r="AL18" s="315">
        <v>0</v>
      </c>
      <c r="AM18" s="315">
        <v>0</v>
      </c>
      <c r="AN18" s="315">
        <v>0</v>
      </c>
      <c r="AO18" s="315">
        <v>0</v>
      </c>
      <c r="AP18" s="315">
        <v>0</v>
      </c>
      <c r="AQ18" s="315">
        <v>0</v>
      </c>
      <c r="AR18" s="315">
        <v>828886</v>
      </c>
      <c r="AS18" s="315">
        <v>0</v>
      </c>
      <c r="AT18" s="315">
        <v>1591520</v>
      </c>
      <c r="AU18" s="315">
        <v>0</v>
      </c>
      <c r="AV18" s="315">
        <v>0</v>
      </c>
      <c r="AW18" s="315">
        <v>0</v>
      </c>
      <c r="AX18" s="315">
        <v>0</v>
      </c>
      <c r="AY18" s="315">
        <v>0</v>
      </c>
      <c r="AZ18" s="315">
        <v>2420406</v>
      </c>
      <c r="BC18" s="315" t="s">
        <v>709</v>
      </c>
      <c r="BD18" s="315" t="s">
        <v>709</v>
      </c>
      <c r="BF18" s="315">
        <v>0</v>
      </c>
      <c r="BG18" s="315">
        <v>65597194</v>
      </c>
    </row>
    <row r="19" spans="1:59" x14ac:dyDescent="0.55000000000000004">
      <c r="A19" s="315" t="s">
        <v>4</v>
      </c>
      <c r="B19" s="315" t="s">
        <v>65</v>
      </c>
      <c r="C19" s="315" t="s">
        <v>1892</v>
      </c>
      <c r="D19" s="315" t="s">
        <v>1893</v>
      </c>
      <c r="E19" s="315" t="s">
        <v>644</v>
      </c>
      <c r="F19" s="315" t="s">
        <v>1420</v>
      </c>
      <c r="K19" s="315">
        <v>4700</v>
      </c>
      <c r="M19" s="315">
        <v>146</v>
      </c>
      <c r="O19" s="315" t="s">
        <v>709</v>
      </c>
      <c r="P19" s="315">
        <v>298882400</v>
      </c>
      <c r="Q19" s="315">
        <v>146</v>
      </c>
      <c r="S19" s="315">
        <v>286730000</v>
      </c>
      <c r="T19" s="315">
        <v>9580000</v>
      </c>
      <c r="U19" s="315">
        <v>2572400</v>
      </c>
      <c r="X19" s="315">
        <v>298882400</v>
      </c>
      <c r="Z19" s="315">
        <v>7.3200000000000001E-2</v>
      </c>
      <c r="AA19" s="315">
        <v>21878430</v>
      </c>
      <c r="AB19" s="315">
        <v>277003970</v>
      </c>
      <c r="AF19" s="315" t="s">
        <v>1382</v>
      </c>
      <c r="AH19" s="315">
        <v>124771455</v>
      </c>
      <c r="AI19" s="315">
        <v>0</v>
      </c>
      <c r="AJ19" s="315">
        <v>0</v>
      </c>
      <c r="AK19" s="315">
        <v>0</v>
      </c>
      <c r="AL19" s="315">
        <v>0</v>
      </c>
      <c r="AM19" s="315">
        <v>0</v>
      </c>
      <c r="AN19" s="315">
        <v>0</v>
      </c>
      <c r="AO19" s="315">
        <v>0</v>
      </c>
      <c r="AP19" s="315">
        <v>0</v>
      </c>
      <c r="AQ19" s="315">
        <v>0</v>
      </c>
      <c r="AR19" s="315">
        <v>500109</v>
      </c>
      <c r="AS19" s="315">
        <v>0</v>
      </c>
      <c r="AT19" s="315">
        <v>26858223</v>
      </c>
      <c r="AU19" s="315">
        <v>0</v>
      </c>
      <c r="AV19" s="315">
        <v>0</v>
      </c>
      <c r="AW19" s="315">
        <v>0</v>
      </c>
      <c r="AX19" s="315">
        <v>0</v>
      </c>
      <c r="AY19" s="315">
        <v>0</v>
      </c>
      <c r="AZ19" s="315">
        <v>27358332</v>
      </c>
      <c r="BA19" s="315">
        <v>0</v>
      </c>
      <c r="BB19" s="315">
        <v>250000</v>
      </c>
      <c r="BC19" s="315" t="s">
        <v>709</v>
      </c>
      <c r="BD19" s="315" t="s">
        <v>709</v>
      </c>
      <c r="BE19" s="315">
        <v>0</v>
      </c>
      <c r="BF19" s="315">
        <v>250000</v>
      </c>
      <c r="BG19" s="315">
        <v>124624183</v>
      </c>
    </row>
    <row r="20" spans="1:59" x14ac:dyDescent="0.55000000000000004">
      <c r="A20" s="315" t="s">
        <v>4</v>
      </c>
      <c r="B20" s="315" t="s">
        <v>65</v>
      </c>
      <c r="C20" s="315" t="s">
        <v>1894</v>
      </c>
      <c r="D20" s="315" t="s">
        <v>1895</v>
      </c>
      <c r="E20" s="315" t="s">
        <v>662</v>
      </c>
      <c r="F20" s="315" t="s">
        <v>1395</v>
      </c>
      <c r="K20" s="315">
        <v>4300</v>
      </c>
      <c r="M20" s="315">
        <v>174</v>
      </c>
      <c r="O20" s="315" t="s">
        <v>709</v>
      </c>
      <c r="P20" s="315">
        <v>526984000</v>
      </c>
      <c r="Q20" s="315">
        <v>175</v>
      </c>
      <c r="R20" s="315">
        <v>131900000</v>
      </c>
      <c r="S20" s="315">
        <v>381900000</v>
      </c>
      <c r="T20" s="315">
        <v>4600000</v>
      </c>
      <c r="U20" s="315">
        <v>8584000</v>
      </c>
      <c r="X20" s="315">
        <v>526984000</v>
      </c>
      <c r="Z20" s="315">
        <v>7.1400000000000005E-2</v>
      </c>
      <c r="AA20" s="315">
        <v>37641300</v>
      </c>
      <c r="AB20" s="315">
        <v>489342700</v>
      </c>
      <c r="AF20" s="315" t="s">
        <v>1396</v>
      </c>
      <c r="AH20" s="315">
        <v>288513330</v>
      </c>
      <c r="AI20" s="315">
        <v>0</v>
      </c>
      <c r="AJ20" s="315">
        <v>0</v>
      </c>
      <c r="AK20" s="315">
        <v>0</v>
      </c>
      <c r="AL20" s="315">
        <v>0</v>
      </c>
      <c r="AM20" s="315">
        <v>0</v>
      </c>
      <c r="AN20" s="315">
        <v>0</v>
      </c>
      <c r="AO20" s="315">
        <v>0</v>
      </c>
      <c r="AP20" s="315">
        <v>0</v>
      </c>
      <c r="AQ20" s="315">
        <v>0</v>
      </c>
      <c r="AR20" s="315">
        <v>27526595</v>
      </c>
      <c r="AS20" s="315">
        <v>0</v>
      </c>
      <c r="AT20" s="315">
        <v>39271521</v>
      </c>
      <c r="AU20" s="315">
        <v>0</v>
      </c>
      <c r="AV20" s="315">
        <v>0</v>
      </c>
      <c r="AW20" s="315">
        <v>0</v>
      </c>
      <c r="AX20" s="315">
        <v>0</v>
      </c>
      <c r="AY20" s="315">
        <v>0</v>
      </c>
      <c r="AZ20" s="315">
        <v>66798116</v>
      </c>
      <c r="BC20" s="315" t="s">
        <v>709</v>
      </c>
      <c r="BD20" s="315" t="s">
        <v>709</v>
      </c>
      <c r="BF20" s="315">
        <v>0</v>
      </c>
      <c r="BG20" s="315">
        <v>134031254</v>
      </c>
    </row>
    <row r="21" spans="1:59" x14ac:dyDescent="0.55000000000000004">
      <c r="A21" s="315" t="s">
        <v>4</v>
      </c>
      <c r="B21" s="315" t="s">
        <v>65</v>
      </c>
      <c r="C21" s="315" t="s">
        <v>1896</v>
      </c>
      <c r="D21" s="315" t="s">
        <v>656</v>
      </c>
      <c r="E21" s="315" t="s">
        <v>662</v>
      </c>
      <c r="F21" s="315" t="s">
        <v>1423</v>
      </c>
      <c r="K21" s="315">
        <v>1800</v>
      </c>
      <c r="M21" s="315">
        <v>101</v>
      </c>
      <c r="O21" s="315" t="s">
        <v>709</v>
      </c>
      <c r="P21" s="315">
        <v>231744600</v>
      </c>
      <c r="Q21" s="315">
        <v>103</v>
      </c>
      <c r="R21" s="315">
        <v>64560000</v>
      </c>
      <c r="S21" s="315">
        <v>162060000</v>
      </c>
      <c r="U21" s="315">
        <v>5124600</v>
      </c>
      <c r="X21" s="315">
        <v>231744600</v>
      </c>
      <c r="Z21" s="315">
        <v>7.4999999999999997E-2</v>
      </c>
      <c r="AA21" s="315">
        <v>15873345</v>
      </c>
      <c r="AB21" s="315">
        <v>215871255</v>
      </c>
      <c r="AF21" s="315" t="s">
        <v>1382</v>
      </c>
      <c r="AH21" s="315">
        <v>104234758</v>
      </c>
      <c r="AI21" s="315">
        <v>0</v>
      </c>
      <c r="AJ21" s="315">
        <v>0</v>
      </c>
      <c r="AK21" s="315">
        <v>0</v>
      </c>
      <c r="AL21" s="315">
        <v>0</v>
      </c>
      <c r="AM21" s="315">
        <v>0</v>
      </c>
      <c r="AN21" s="315">
        <v>0</v>
      </c>
      <c r="AO21" s="315">
        <v>0</v>
      </c>
      <c r="AP21" s="315">
        <v>0</v>
      </c>
      <c r="AQ21" s="315">
        <v>0</v>
      </c>
      <c r="AR21" s="315">
        <v>19691340</v>
      </c>
      <c r="AS21" s="315">
        <v>0</v>
      </c>
      <c r="AT21" s="315">
        <v>17689540</v>
      </c>
      <c r="AU21" s="315">
        <v>0</v>
      </c>
      <c r="AV21" s="315">
        <v>0</v>
      </c>
      <c r="AW21" s="315">
        <v>0</v>
      </c>
      <c r="AX21" s="315">
        <v>0</v>
      </c>
      <c r="AY21" s="315">
        <v>0</v>
      </c>
      <c r="AZ21" s="315">
        <v>37380880</v>
      </c>
      <c r="BA21" s="315">
        <v>0</v>
      </c>
      <c r="BB21" s="315">
        <v>200000</v>
      </c>
      <c r="BC21" s="315" t="s">
        <v>709</v>
      </c>
      <c r="BD21" s="315" t="s">
        <v>709</v>
      </c>
      <c r="BE21" s="315">
        <v>0</v>
      </c>
      <c r="BF21" s="315">
        <v>200000</v>
      </c>
      <c r="BG21" s="315">
        <v>74055617</v>
      </c>
    </row>
    <row r="22" spans="1:59" x14ac:dyDescent="0.55000000000000004">
      <c r="A22" s="315" t="s">
        <v>4</v>
      </c>
      <c r="B22" s="315" t="s">
        <v>65</v>
      </c>
      <c r="C22" s="315" t="s">
        <v>1897</v>
      </c>
      <c r="D22" s="315" t="s">
        <v>793</v>
      </c>
      <c r="E22" s="315" t="s">
        <v>644</v>
      </c>
      <c r="F22" s="315" t="s">
        <v>1425</v>
      </c>
      <c r="K22" s="315">
        <v>3000</v>
      </c>
      <c r="M22" s="315">
        <v>95</v>
      </c>
      <c r="O22" s="315" t="s">
        <v>709</v>
      </c>
      <c r="P22" s="315">
        <v>269850000</v>
      </c>
      <c r="Q22" s="315">
        <v>99</v>
      </c>
      <c r="R22" s="315">
        <v>52010000</v>
      </c>
      <c r="S22" s="315">
        <v>200640000</v>
      </c>
      <c r="T22" s="315">
        <v>17200000</v>
      </c>
      <c r="X22" s="315">
        <v>269850000</v>
      </c>
      <c r="Z22" s="315">
        <v>7.4999999999999997E-2</v>
      </c>
      <c r="AA22" s="315">
        <v>19155030</v>
      </c>
      <c r="AB22" s="315">
        <v>254195370</v>
      </c>
      <c r="AF22" s="315" t="s">
        <v>1396</v>
      </c>
      <c r="AH22" s="315">
        <v>152191671</v>
      </c>
      <c r="AI22" s="315">
        <v>0</v>
      </c>
      <c r="AJ22" s="315">
        <v>0</v>
      </c>
      <c r="AK22" s="315">
        <v>0</v>
      </c>
      <c r="AL22" s="315">
        <v>0</v>
      </c>
      <c r="AM22" s="315">
        <v>0</v>
      </c>
      <c r="AN22" s="315">
        <v>0</v>
      </c>
      <c r="AO22" s="315">
        <v>0</v>
      </c>
      <c r="AP22" s="315">
        <v>0</v>
      </c>
      <c r="AQ22" s="315">
        <v>0</v>
      </c>
      <c r="AR22" s="315">
        <v>25542439</v>
      </c>
      <c r="AS22" s="315">
        <v>0</v>
      </c>
      <c r="AT22" s="315">
        <v>27349726</v>
      </c>
      <c r="AU22" s="315">
        <v>0</v>
      </c>
      <c r="AV22" s="315">
        <v>0</v>
      </c>
      <c r="AW22" s="315">
        <v>0</v>
      </c>
      <c r="AX22" s="315">
        <v>0</v>
      </c>
      <c r="AY22" s="315">
        <v>0</v>
      </c>
      <c r="AZ22" s="315">
        <v>52892165</v>
      </c>
      <c r="BA22" s="315">
        <v>0</v>
      </c>
      <c r="BB22" s="315">
        <v>250000</v>
      </c>
      <c r="BC22" s="315" t="s">
        <v>709</v>
      </c>
      <c r="BD22" s="315" t="s">
        <v>709</v>
      </c>
      <c r="BE22" s="315">
        <v>0</v>
      </c>
      <c r="BF22" s="315">
        <v>250000</v>
      </c>
      <c r="BG22" s="315">
        <v>48861534</v>
      </c>
    </row>
    <row r="23" spans="1:59" x14ac:dyDescent="0.55000000000000004">
      <c r="A23" s="315" t="s">
        <v>4</v>
      </c>
      <c r="B23" s="315" t="s">
        <v>65</v>
      </c>
      <c r="C23" s="315" t="s">
        <v>1898</v>
      </c>
      <c r="D23" s="315" t="s">
        <v>1876</v>
      </c>
      <c r="E23" s="315" t="s">
        <v>680</v>
      </c>
      <c r="F23" s="315" t="s">
        <v>1395</v>
      </c>
      <c r="K23" s="315">
        <v>4800</v>
      </c>
      <c r="M23" s="315">
        <v>197</v>
      </c>
      <c r="N23" s="315">
        <v>1512</v>
      </c>
      <c r="O23" s="315" t="s">
        <v>1899</v>
      </c>
      <c r="P23" s="315">
        <v>613890000</v>
      </c>
      <c r="Q23" s="315">
        <v>193</v>
      </c>
      <c r="R23" s="315">
        <v>147690000</v>
      </c>
      <c r="S23" s="315">
        <v>456620000</v>
      </c>
      <c r="T23" s="315">
        <v>4500000</v>
      </c>
      <c r="U23" s="315">
        <v>5080000</v>
      </c>
      <c r="W23" s="315">
        <v>400000000</v>
      </c>
      <c r="X23" s="315">
        <v>613890000</v>
      </c>
      <c r="Z23" s="315">
        <v>7.4999999999999997E-2</v>
      </c>
      <c r="AA23" s="315">
        <v>44181000</v>
      </c>
      <c r="AB23" s="315">
        <v>569709000</v>
      </c>
      <c r="AF23" s="315" t="s">
        <v>1396</v>
      </c>
      <c r="AH23" s="315">
        <v>339728421</v>
      </c>
      <c r="AI23" s="315">
        <v>0</v>
      </c>
      <c r="AJ23" s="315">
        <v>0</v>
      </c>
      <c r="AK23" s="315">
        <v>0</v>
      </c>
      <c r="AL23" s="315">
        <v>0</v>
      </c>
      <c r="AM23" s="315">
        <v>0</v>
      </c>
      <c r="AN23" s="315">
        <v>0</v>
      </c>
      <c r="AO23" s="315">
        <v>0</v>
      </c>
      <c r="AP23" s="315">
        <v>0</v>
      </c>
      <c r="AQ23" s="315">
        <v>0</v>
      </c>
      <c r="AR23" s="315">
        <v>20054001</v>
      </c>
      <c r="AS23" s="315">
        <v>0</v>
      </c>
      <c r="AT23" s="315">
        <v>35954918</v>
      </c>
      <c r="AU23" s="315">
        <v>0</v>
      </c>
      <c r="AV23" s="315">
        <v>0</v>
      </c>
      <c r="AW23" s="315">
        <v>0</v>
      </c>
      <c r="AX23" s="315">
        <v>0</v>
      </c>
      <c r="AY23" s="315">
        <v>0</v>
      </c>
      <c r="AZ23" s="315">
        <v>56008919</v>
      </c>
      <c r="BB23" s="315">
        <v>750000</v>
      </c>
      <c r="BC23" s="315" t="s">
        <v>709</v>
      </c>
      <c r="BD23" s="315" t="s">
        <v>709</v>
      </c>
      <c r="BF23" s="315">
        <v>750000</v>
      </c>
      <c r="BG23" s="315">
        <v>475770456</v>
      </c>
    </row>
    <row r="24" spans="1:59" x14ac:dyDescent="0.55000000000000004">
      <c r="A24" s="315" t="s">
        <v>4</v>
      </c>
      <c r="B24" s="315" t="s">
        <v>65</v>
      </c>
      <c r="C24" s="315" t="s">
        <v>1900</v>
      </c>
      <c r="D24" s="315" t="s">
        <v>1878</v>
      </c>
      <c r="E24" s="315" t="s">
        <v>662</v>
      </c>
      <c r="F24" s="315" t="s">
        <v>1399</v>
      </c>
      <c r="K24" s="315">
        <v>3200</v>
      </c>
      <c r="M24" s="315">
        <v>33</v>
      </c>
      <c r="N24" s="315">
        <v>820</v>
      </c>
      <c r="O24" s="315" t="s">
        <v>1901</v>
      </c>
      <c r="P24" s="315">
        <v>82010000</v>
      </c>
      <c r="Q24" s="315">
        <v>33</v>
      </c>
      <c r="S24" s="315">
        <v>81450000</v>
      </c>
      <c r="T24" s="315">
        <v>560000</v>
      </c>
      <c r="X24" s="315">
        <v>82010000</v>
      </c>
      <c r="Z24" s="315">
        <v>7.4999999999999997E-2</v>
      </c>
      <c r="AA24" s="315">
        <v>6150750</v>
      </c>
      <c r="AB24" s="315">
        <v>75859250</v>
      </c>
      <c r="AF24" s="315" t="s">
        <v>1382</v>
      </c>
      <c r="AH24" s="315">
        <v>37929625</v>
      </c>
      <c r="AI24" s="315">
        <v>0</v>
      </c>
      <c r="AJ24" s="315">
        <v>0</v>
      </c>
      <c r="AK24" s="315">
        <v>0</v>
      </c>
      <c r="AL24" s="315">
        <v>0</v>
      </c>
      <c r="AM24" s="315">
        <v>0</v>
      </c>
      <c r="AN24" s="315">
        <v>0</v>
      </c>
      <c r="AO24" s="315">
        <v>0</v>
      </c>
      <c r="AP24" s="315">
        <v>0</v>
      </c>
      <c r="AQ24" s="315">
        <v>0</v>
      </c>
      <c r="AR24" s="315">
        <v>5829491</v>
      </c>
      <c r="AS24" s="315">
        <v>0</v>
      </c>
      <c r="AT24" s="315">
        <v>21467293</v>
      </c>
      <c r="AU24" s="315">
        <v>0</v>
      </c>
      <c r="AV24" s="315">
        <v>0</v>
      </c>
      <c r="AW24" s="315">
        <v>0</v>
      </c>
      <c r="AX24" s="315">
        <v>0</v>
      </c>
      <c r="AY24" s="315">
        <v>0</v>
      </c>
      <c r="AZ24" s="315">
        <v>27296784</v>
      </c>
      <c r="BB24" s="315">
        <v>400000</v>
      </c>
      <c r="BC24" s="315" t="s">
        <v>709</v>
      </c>
      <c r="BD24" s="315" t="s">
        <v>709</v>
      </c>
      <c r="BF24" s="315">
        <v>400000</v>
      </c>
      <c r="BG24" s="315">
        <v>16383591</v>
      </c>
    </row>
    <row r="25" spans="1:59" x14ac:dyDescent="0.55000000000000004">
      <c r="A25" s="315" t="s">
        <v>4</v>
      </c>
      <c r="B25" s="315" t="s">
        <v>65</v>
      </c>
      <c r="C25" s="315" t="s">
        <v>1902</v>
      </c>
      <c r="D25" s="315" t="s">
        <v>1891</v>
      </c>
      <c r="E25" s="315" t="s">
        <v>662</v>
      </c>
      <c r="F25" s="315" t="s">
        <v>1414</v>
      </c>
      <c r="K25" s="315">
        <v>5000</v>
      </c>
      <c r="M25" s="315">
        <v>41</v>
      </c>
      <c r="N25" s="315">
        <v>1821</v>
      </c>
      <c r="O25" s="315" t="s">
        <v>1903</v>
      </c>
      <c r="P25" s="315">
        <v>108810000</v>
      </c>
      <c r="Q25" s="315">
        <v>41</v>
      </c>
      <c r="R25" s="315">
        <v>108810000</v>
      </c>
      <c r="U25" s="315">
        <v>279000</v>
      </c>
      <c r="W25" s="315">
        <v>300000000</v>
      </c>
      <c r="X25" s="315">
        <v>109089000</v>
      </c>
      <c r="Z25" s="315">
        <v>7.4999999999999997E-2</v>
      </c>
      <c r="AA25" s="315">
        <v>7972425</v>
      </c>
      <c r="AB25" s="315">
        <v>101116575</v>
      </c>
      <c r="AF25" s="315" t="s">
        <v>1382</v>
      </c>
      <c r="AH25" s="315">
        <v>48489406</v>
      </c>
      <c r="AI25" s="315">
        <v>0</v>
      </c>
      <c r="AJ25" s="315">
        <v>0</v>
      </c>
      <c r="AK25" s="315">
        <v>0</v>
      </c>
      <c r="AL25" s="315">
        <v>0</v>
      </c>
      <c r="AM25" s="315">
        <v>0</v>
      </c>
      <c r="AN25" s="315">
        <v>0</v>
      </c>
      <c r="AO25" s="315">
        <v>0</v>
      </c>
      <c r="AP25" s="315">
        <v>0</v>
      </c>
      <c r="AQ25" s="315">
        <v>0</v>
      </c>
      <c r="AR25" s="315">
        <v>7306515</v>
      </c>
      <c r="AS25" s="315">
        <v>0</v>
      </c>
      <c r="AT25" s="315">
        <v>21455448</v>
      </c>
      <c r="AU25" s="315">
        <v>0</v>
      </c>
      <c r="AV25" s="315">
        <v>6045360</v>
      </c>
      <c r="AW25" s="315">
        <v>640736</v>
      </c>
      <c r="AX25" s="315">
        <v>839970</v>
      </c>
      <c r="AY25" s="315">
        <v>0</v>
      </c>
      <c r="AZ25" s="315">
        <v>36288029</v>
      </c>
      <c r="BB25" s="315">
        <v>450000</v>
      </c>
      <c r="BC25" s="315" t="s">
        <v>709</v>
      </c>
      <c r="BD25" s="315" t="s">
        <v>709</v>
      </c>
      <c r="BF25" s="315">
        <v>450000</v>
      </c>
      <c r="BG25" s="315">
        <v>-153620533</v>
      </c>
    </row>
    <row r="26" spans="1:59" x14ac:dyDescent="0.55000000000000004">
      <c r="A26" s="315" t="s">
        <v>4</v>
      </c>
      <c r="B26" s="315" t="s">
        <v>65</v>
      </c>
      <c r="C26" s="315" t="s">
        <v>1904</v>
      </c>
      <c r="D26" s="315" t="s">
        <v>1884</v>
      </c>
      <c r="E26" s="315" t="s">
        <v>662</v>
      </c>
      <c r="F26" s="315" t="s">
        <v>1410</v>
      </c>
      <c r="K26" s="315">
        <v>4300</v>
      </c>
      <c r="M26" s="315">
        <v>200</v>
      </c>
      <c r="N26" s="315">
        <v>1299</v>
      </c>
      <c r="O26" s="315" t="s">
        <v>1905</v>
      </c>
      <c r="P26" s="315">
        <v>469502334</v>
      </c>
      <c r="Q26" s="315">
        <v>200</v>
      </c>
      <c r="R26" s="315">
        <v>378170000</v>
      </c>
      <c r="S26" s="315">
        <v>86610000</v>
      </c>
      <c r="U26" s="315">
        <v>4722334</v>
      </c>
      <c r="W26" s="315">
        <v>300000000</v>
      </c>
      <c r="X26" s="315">
        <v>469502334</v>
      </c>
      <c r="Z26" s="315">
        <v>7.4999999999999997E-2</v>
      </c>
      <c r="AA26" s="315">
        <v>32604175</v>
      </c>
      <c r="AB26" s="315">
        <v>436898159</v>
      </c>
      <c r="AF26" s="315" t="s">
        <v>1382</v>
      </c>
      <c r="AH26" s="315">
        <v>218449079</v>
      </c>
      <c r="AI26" s="315">
        <v>0</v>
      </c>
      <c r="AJ26" s="315">
        <v>0</v>
      </c>
      <c r="AK26" s="315">
        <v>0</v>
      </c>
      <c r="AL26" s="315">
        <v>0</v>
      </c>
      <c r="AM26" s="315">
        <v>0</v>
      </c>
      <c r="AN26" s="315">
        <v>0</v>
      </c>
      <c r="AO26" s="315">
        <v>0</v>
      </c>
      <c r="AP26" s="315">
        <v>0</v>
      </c>
      <c r="AQ26" s="315">
        <v>0</v>
      </c>
      <c r="AR26" s="315">
        <v>10674574</v>
      </c>
      <c r="AS26" s="315">
        <v>0</v>
      </c>
      <c r="AT26" s="315">
        <v>17047690</v>
      </c>
      <c r="AU26" s="315">
        <v>0</v>
      </c>
      <c r="AV26" s="315">
        <v>6173715</v>
      </c>
      <c r="AW26" s="315">
        <v>968296</v>
      </c>
      <c r="AX26" s="315">
        <v>752760</v>
      </c>
      <c r="AY26" s="315">
        <v>0</v>
      </c>
      <c r="AZ26" s="315">
        <v>35617035</v>
      </c>
      <c r="BB26" s="315">
        <v>100000</v>
      </c>
      <c r="BC26" s="315" t="s">
        <v>709</v>
      </c>
      <c r="BD26" s="315" t="s">
        <v>709</v>
      </c>
      <c r="BF26" s="315">
        <v>100000</v>
      </c>
      <c r="BG26" s="315">
        <v>217650796</v>
      </c>
    </row>
    <row r="27" spans="1:59" x14ac:dyDescent="0.55000000000000004">
      <c r="A27" s="315" t="s">
        <v>4</v>
      </c>
      <c r="B27" s="315" t="s">
        <v>65</v>
      </c>
      <c r="C27" s="315" t="s">
        <v>1906</v>
      </c>
      <c r="D27" s="315" t="s">
        <v>1907</v>
      </c>
      <c r="E27" s="315" t="s">
        <v>680</v>
      </c>
      <c r="F27" s="315" t="s">
        <v>1381</v>
      </c>
      <c r="K27" s="315">
        <v>5500</v>
      </c>
      <c r="M27" s="315">
        <v>171</v>
      </c>
      <c r="N27" s="315">
        <v>1345</v>
      </c>
      <c r="O27" s="315" t="s">
        <v>1908</v>
      </c>
      <c r="P27" s="315">
        <v>423915770</v>
      </c>
      <c r="Q27" s="315">
        <v>163</v>
      </c>
      <c r="S27" s="315">
        <v>423020000</v>
      </c>
      <c r="U27" s="315">
        <v>895770</v>
      </c>
      <c r="W27" s="315">
        <v>100000000</v>
      </c>
      <c r="X27" s="315">
        <v>423915770</v>
      </c>
      <c r="Z27" s="315">
        <v>7.4999999999999997E-2</v>
      </c>
      <c r="AA27" s="315">
        <v>30784933</v>
      </c>
      <c r="AB27" s="315">
        <v>393130837</v>
      </c>
      <c r="AF27" s="315" t="s">
        <v>1382</v>
      </c>
      <c r="AH27" s="315">
        <v>183630328</v>
      </c>
      <c r="AI27" s="315">
        <v>0</v>
      </c>
      <c r="AJ27" s="315">
        <v>0</v>
      </c>
      <c r="AK27" s="315">
        <v>0</v>
      </c>
      <c r="AL27" s="315">
        <v>0</v>
      </c>
      <c r="AM27" s="315">
        <v>0</v>
      </c>
      <c r="AN27" s="315">
        <v>0</v>
      </c>
      <c r="AO27" s="315">
        <v>0</v>
      </c>
      <c r="AP27" s="315">
        <v>0</v>
      </c>
      <c r="AQ27" s="315">
        <v>0</v>
      </c>
      <c r="AR27" s="315">
        <v>14395903</v>
      </c>
      <c r="AS27" s="315">
        <v>0</v>
      </c>
      <c r="AT27" s="315">
        <v>14011063</v>
      </c>
      <c r="AU27" s="315">
        <v>0</v>
      </c>
      <c r="AV27" s="315">
        <v>5559270</v>
      </c>
      <c r="AW27" s="315">
        <v>710944</v>
      </c>
      <c r="AX27" s="315">
        <v>234630</v>
      </c>
      <c r="AY27" s="315">
        <v>0</v>
      </c>
      <c r="AZ27" s="315">
        <v>34911810</v>
      </c>
      <c r="BB27" s="315">
        <v>210000</v>
      </c>
      <c r="BC27" s="315" t="s">
        <v>709</v>
      </c>
      <c r="BD27" s="315" t="s">
        <v>709</v>
      </c>
      <c r="BF27" s="315">
        <v>210000</v>
      </c>
      <c r="BG27" s="315">
        <v>347680964</v>
      </c>
    </row>
    <row r="28" spans="1:59" x14ac:dyDescent="0.55000000000000004">
      <c r="A28" s="315" t="s">
        <v>4</v>
      </c>
      <c r="B28" s="315" t="s">
        <v>65</v>
      </c>
      <c r="C28" s="315" t="s">
        <v>1909</v>
      </c>
      <c r="D28" s="315" t="s">
        <v>785</v>
      </c>
      <c r="E28" s="315" t="s">
        <v>644</v>
      </c>
      <c r="F28" s="315" t="s">
        <v>1431</v>
      </c>
      <c r="K28" s="315">
        <v>1700</v>
      </c>
      <c r="M28" s="315">
        <v>21</v>
      </c>
      <c r="N28" s="315">
        <v>358</v>
      </c>
      <c r="O28" s="315" t="s">
        <v>1910</v>
      </c>
      <c r="P28" s="315" t="s">
        <v>1911</v>
      </c>
      <c r="Q28" s="315">
        <v>21</v>
      </c>
      <c r="S28" s="315">
        <v>22600000</v>
      </c>
      <c r="U28" s="315">
        <v>185000</v>
      </c>
      <c r="W28" s="315">
        <v>50000000</v>
      </c>
      <c r="X28" s="315">
        <v>22785000</v>
      </c>
      <c r="Z28" s="315">
        <v>7.4999999999999997E-2</v>
      </c>
      <c r="AA28" s="315">
        <v>1708875</v>
      </c>
      <c r="AB28" s="315">
        <v>21076125</v>
      </c>
      <c r="AF28" s="315" t="s">
        <v>1382</v>
      </c>
      <c r="AH28" s="315">
        <v>10538063</v>
      </c>
      <c r="AI28" s="315">
        <v>0</v>
      </c>
      <c r="AJ28" s="315">
        <v>0</v>
      </c>
      <c r="AK28" s="315">
        <v>0</v>
      </c>
      <c r="AL28" s="315">
        <v>0</v>
      </c>
      <c r="AM28" s="315">
        <v>0</v>
      </c>
      <c r="AN28" s="315">
        <v>0</v>
      </c>
      <c r="AO28" s="315">
        <v>0</v>
      </c>
      <c r="AP28" s="315">
        <v>0</v>
      </c>
      <c r="AQ28" s="315">
        <v>0</v>
      </c>
      <c r="AR28" s="315">
        <v>7956628</v>
      </c>
      <c r="AS28" s="315">
        <v>0</v>
      </c>
      <c r="AT28" s="315">
        <v>6759024</v>
      </c>
      <c r="AU28" s="315">
        <v>0</v>
      </c>
      <c r="AV28" s="315">
        <v>5726460</v>
      </c>
      <c r="AW28" s="315">
        <v>89760</v>
      </c>
      <c r="AX28" s="315">
        <v>42180</v>
      </c>
      <c r="AY28" s="315">
        <v>0</v>
      </c>
      <c r="AZ28" s="315">
        <v>20574052</v>
      </c>
      <c r="BB28" s="315">
        <v>80000</v>
      </c>
      <c r="BC28" s="315" t="s">
        <v>709</v>
      </c>
      <c r="BD28" s="315" t="s">
        <v>709</v>
      </c>
      <c r="BF28" s="315">
        <v>80000</v>
      </c>
      <c r="BG28" s="315">
        <v>-118846836</v>
      </c>
    </row>
    <row r="29" spans="1:59" x14ac:dyDescent="0.55000000000000004">
      <c r="A29" s="315" t="s">
        <v>4</v>
      </c>
      <c r="B29" s="315" t="s">
        <v>65</v>
      </c>
      <c r="C29" s="315" t="s">
        <v>1912</v>
      </c>
      <c r="D29" s="315" t="s">
        <v>1893</v>
      </c>
      <c r="E29" s="315" t="s">
        <v>662</v>
      </c>
      <c r="F29" s="315" t="s">
        <v>1420</v>
      </c>
      <c r="K29" s="315">
        <v>7000</v>
      </c>
      <c r="M29" s="315">
        <v>92</v>
      </c>
      <c r="N29" s="315">
        <v>2703</v>
      </c>
      <c r="O29" s="315" t="s">
        <v>1913</v>
      </c>
      <c r="P29" s="315">
        <v>259080000</v>
      </c>
      <c r="Q29" s="315">
        <v>93</v>
      </c>
      <c r="R29" s="315">
        <v>10770000</v>
      </c>
      <c r="S29" s="315">
        <v>245520000</v>
      </c>
      <c r="U29" s="315">
        <v>2790000</v>
      </c>
      <c r="W29" s="315">
        <v>300000000</v>
      </c>
      <c r="X29" s="315">
        <v>259080000</v>
      </c>
      <c r="Z29" s="315">
        <v>7.4999999999999997E-2</v>
      </c>
      <c r="AA29" s="315">
        <v>18384750</v>
      </c>
      <c r="AB29" s="315">
        <v>240695250</v>
      </c>
      <c r="AF29" s="315" t="s">
        <v>1382</v>
      </c>
      <c r="AH29" s="315">
        <v>119348909</v>
      </c>
      <c r="AI29" s="315">
        <v>0</v>
      </c>
      <c r="AJ29" s="315">
        <v>0</v>
      </c>
      <c r="AK29" s="315">
        <v>0</v>
      </c>
      <c r="AL29" s="315">
        <v>0</v>
      </c>
      <c r="AM29" s="315">
        <v>0</v>
      </c>
      <c r="AN29" s="315">
        <v>0</v>
      </c>
      <c r="AO29" s="315">
        <v>0</v>
      </c>
      <c r="AP29" s="315">
        <v>0</v>
      </c>
      <c r="AQ29" s="315">
        <v>0</v>
      </c>
      <c r="AR29" s="315">
        <v>20792612</v>
      </c>
      <c r="AS29" s="315">
        <v>0</v>
      </c>
      <c r="AT29" s="315">
        <v>25044273</v>
      </c>
      <c r="AU29" s="315">
        <v>0</v>
      </c>
      <c r="AV29" s="315">
        <v>8424760</v>
      </c>
      <c r="AW29" s="315">
        <v>1030488</v>
      </c>
      <c r="AX29" s="315">
        <v>1260120</v>
      </c>
      <c r="AY29" s="315">
        <v>0</v>
      </c>
      <c r="AZ29" s="315">
        <v>56552253</v>
      </c>
      <c r="BC29" s="315" t="s">
        <v>709</v>
      </c>
      <c r="BD29" s="315" t="s">
        <v>709</v>
      </c>
      <c r="BF29" s="315">
        <v>0</v>
      </c>
      <c r="BG29" s="315">
        <v>158503892</v>
      </c>
    </row>
    <row r="30" spans="1:59" x14ac:dyDescent="0.55000000000000004">
      <c r="A30" s="315" t="s">
        <v>4</v>
      </c>
      <c r="B30" s="315" t="s">
        <v>65</v>
      </c>
      <c r="C30" s="315" t="s">
        <v>1914</v>
      </c>
      <c r="D30" s="315" t="s">
        <v>1433</v>
      </c>
      <c r="E30" s="315" t="s">
        <v>644</v>
      </c>
      <c r="F30" s="315" t="s">
        <v>1434</v>
      </c>
      <c r="K30" s="315">
        <v>2600</v>
      </c>
      <c r="M30" s="315">
        <v>53</v>
      </c>
      <c r="N30" s="315">
        <v>748</v>
      </c>
      <c r="O30" s="315" t="s">
        <v>1915</v>
      </c>
      <c r="P30" s="315" t="s">
        <v>1916</v>
      </c>
      <c r="Q30" s="315">
        <v>52</v>
      </c>
      <c r="S30" s="315">
        <v>92420000</v>
      </c>
      <c r="T30" s="315">
        <v>400000</v>
      </c>
      <c r="U30" s="315">
        <v>1740000</v>
      </c>
      <c r="W30" s="315">
        <v>60000000</v>
      </c>
      <c r="X30" s="315">
        <v>94560000</v>
      </c>
      <c r="Z30" s="315">
        <v>5.11E-2</v>
      </c>
      <c r="AA30" s="315">
        <v>4947375</v>
      </c>
      <c r="AB30" s="315">
        <v>89612625</v>
      </c>
      <c r="AF30" s="315" t="s">
        <v>1382</v>
      </c>
      <c r="AH30" s="315">
        <v>25639105</v>
      </c>
      <c r="AI30" s="315">
        <v>0</v>
      </c>
      <c r="AJ30" s="315">
        <v>0</v>
      </c>
      <c r="AK30" s="315">
        <v>0</v>
      </c>
      <c r="AL30" s="315">
        <v>0</v>
      </c>
      <c r="AM30" s="315">
        <v>0</v>
      </c>
      <c r="AN30" s="315">
        <v>0</v>
      </c>
      <c r="AO30" s="315">
        <v>0</v>
      </c>
      <c r="AP30" s="315">
        <v>0</v>
      </c>
      <c r="AQ30" s="315">
        <v>0</v>
      </c>
      <c r="AR30" s="315">
        <v>10484933</v>
      </c>
      <c r="AS30" s="315">
        <v>0</v>
      </c>
      <c r="AT30" s="315">
        <v>7897448</v>
      </c>
      <c r="AU30" s="315">
        <v>0</v>
      </c>
      <c r="AV30" s="315">
        <v>4240025</v>
      </c>
      <c r="AW30" s="315">
        <v>383840</v>
      </c>
      <c r="AX30" s="315">
        <v>339870</v>
      </c>
      <c r="AY30" s="315">
        <v>0</v>
      </c>
      <c r="AZ30" s="315">
        <v>23346116</v>
      </c>
      <c r="BC30" s="315" t="s">
        <v>709</v>
      </c>
      <c r="BD30" s="315" t="s">
        <v>709</v>
      </c>
      <c r="BF30" s="315">
        <v>0</v>
      </c>
      <c r="BG30" s="315">
        <v>-4415927</v>
      </c>
    </row>
    <row r="31" spans="1:59" x14ac:dyDescent="0.55000000000000004">
      <c r="A31" s="315" t="s">
        <v>4</v>
      </c>
      <c r="B31" s="315" t="s">
        <v>65</v>
      </c>
      <c r="C31" s="315" t="s">
        <v>1917</v>
      </c>
      <c r="D31" s="315" t="s">
        <v>656</v>
      </c>
      <c r="E31" s="315" t="s">
        <v>680</v>
      </c>
      <c r="F31" s="315" t="s">
        <v>1393</v>
      </c>
      <c r="K31" s="315">
        <v>2600</v>
      </c>
      <c r="M31" s="315">
        <v>69</v>
      </c>
      <c r="O31" s="315" t="s">
        <v>1918</v>
      </c>
      <c r="P31" s="315">
        <v>155810000</v>
      </c>
      <c r="Q31" s="315">
        <v>69</v>
      </c>
      <c r="R31" s="315">
        <v>34770000</v>
      </c>
      <c r="S31" s="315">
        <v>121040000</v>
      </c>
      <c r="W31" s="315">
        <v>200000000</v>
      </c>
      <c r="X31" s="315">
        <v>155810000</v>
      </c>
      <c r="Z31" s="315">
        <v>7.4999999999999997E-2</v>
      </c>
      <c r="AA31" s="315">
        <v>8789250</v>
      </c>
      <c r="AB31" s="315">
        <v>147020750</v>
      </c>
      <c r="AF31" s="315" t="s">
        <v>1382</v>
      </c>
      <c r="AH31" s="315">
        <v>70682436</v>
      </c>
      <c r="AI31" s="315">
        <v>0</v>
      </c>
      <c r="AJ31" s="315">
        <v>0</v>
      </c>
      <c r="AK31" s="315">
        <v>0</v>
      </c>
      <c r="AL31" s="315">
        <v>0</v>
      </c>
      <c r="AM31" s="315">
        <v>0</v>
      </c>
      <c r="AN31" s="315">
        <v>0</v>
      </c>
      <c r="AO31" s="315">
        <v>0</v>
      </c>
      <c r="AP31" s="315">
        <v>0</v>
      </c>
      <c r="AQ31" s="315">
        <v>0</v>
      </c>
      <c r="AR31" s="315">
        <v>14916797</v>
      </c>
      <c r="AS31" s="315">
        <v>0</v>
      </c>
      <c r="AT31" s="315">
        <v>12270518</v>
      </c>
      <c r="AU31" s="315">
        <v>0</v>
      </c>
      <c r="AV31" s="315">
        <v>2098960</v>
      </c>
      <c r="AW31" s="315">
        <v>590640</v>
      </c>
      <c r="AX31" s="315">
        <v>0</v>
      </c>
      <c r="AY31" s="315">
        <v>0</v>
      </c>
      <c r="AZ31" s="315">
        <v>29876915</v>
      </c>
      <c r="BB31" s="315">
        <v>80000</v>
      </c>
      <c r="BC31" s="315" t="s">
        <v>709</v>
      </c>
      <c r="BD31" s="315" t="s">
        <v>709</v>
      </c>
      <c r="BF31" s="315">
        <v>80000</v>
      </c>
      <c r="BG31" s="315">
        <v>113258835</v>
      </c>
    </row>
    <row r="32" spans="1:59" x14ac:dyDescent="0.55000000000000004">
      <c r="A32" s="315" t="s">
        <v>4</v>
      </c>
      <c r="B32" s="315" t="s">
        <v>65</v>
      </c>
      <c r="C32" s="315" t="s">
        <v>1919</v>
      </c>
      <c r="D32" s="315" t="s">
        <v>1436</v>
      </c>
      <c r="E32" s="315" t="s">
        <v>644</v>
      </c>
      <c r="F32" s="315" t="s">
        <v>1920</v>
      </c>
      <c r="K32" s="315">
        <v>1600</v>
      </c>
      <c r="M32" s="315">
        <v>3</v>
      </c>
      <c r="O32" s="315" t="s">
        <v>1921</v>
      </c>
      <c r="P32" s="315" t="s">
        <v>1922</v>
      </c>
      <c r="R32" s="315">
        <v>7770000</v>
      </c>
      <c r="W32" s="315">
        <v>0</v>
      </c>
      <c r="X32" s="315">
        <v>7770000</v>
      </c>
      <c r="Z32" s="315">
        <v>7.4999999999999997E-2</v>
      </c>
      <c r="AA32" s="315" t="s">
        <v>709</v>
      </c>
      <c r="AB32" s="315">
        <v>7770000</v>
      </c>
      <c r="AF32" s="315" t="s">
        <v>1400</v>
      </c>
      <c r="AH32" s="315">
        <v>3885000</v>
      </c>
      <c r="AI32" s="315">
        <v>0</v>
      </c>
      <c r="AJ32" s="315">
        <v>0</v>
      </c>
      <c r="AK32" s="315">
        <v>0</v>
      </c>
      <c r="AL32" s="315">
        <v>0</v>
      </c>
      <c r="AM32" s="315">
        <v>0</v>
      </c>
      <c r="AN32" s="315">
        <v>0</v>
      </c>
      <c r="AO32" s="315">
        <v>0</v>
      </c>
      <c r="AP32" s="315">
        <v>0</v>
      </c>
      <c r="AQ32" s="315">
        <v>0</v>
      </c>
      <c r="AR32" s="315">
        <v>7515253</v>
      </c>
      <c r="AS32" s="315">
        <v>0</v>
      </c>
      <c r="AT32" s="315">
        <v>6933217</v>
      </c>
      <c r="AU32" s="315">
        <v>0</v>
      </c>
      <c r="AV32" s="315">
        <v>1399460</v>
      </c>
      <c r="AW32" s="315">
        <v>123872</v>
      </c>
      <c r="AX32" s="315">
        <v>0</v>
      </c>
      <c r="AY32" s="315">
        <v>0</v>
      </c>
      <c r="AZ32" s="315">
        <v>15971802</v>
      </c>
      <c r="BC32" s="315" t="s">
        <v>709</v>
      </c>
      <c r="BD32" s="315" t="s">
        <v>709</v>
      </c>
      <c r="BF32" s="315">
        <v>0</v>
      </c>
      <c r="BG32" s="315">
        <v>-26614653</v>
      </c>
    </row>
    <row r="33" spans="1:59" x14ac:dyDescent="0.55000000000000004">
      <c r="A33" s="315" t="s">
        <v>4</v>
      </c>
      <c r="B33" s="315" t="s">
        <v>65</v>
      </c>
      <c r="C33" s="315" t="s">
        <v>1923</v>
      </c>
      <c r="D33" s="315" t="s">
        <v>1437</v>
      </c>
      <c r="E33" s="315" t="s">
        <v>644</v>
      </c>
      <c r="F33" s="315" t="s">
        <v>1924</v>
      </c>
      <c r="K33" s="315">
        <v>2200</v>
      </c>
      <c r="M33" s="315">
        <v>20</v>
      </c>
      <c r="O33" s="315" t="s">
        <v>1925</v>
      </c>
      <c r="P33" s="315">
        <v>39392000</v>
      </c>
      <c r="S33" s="315">
        <v>33060000</v>
      </c>
      <c r="U33" s="315">
        <v>6332000</v>
      </c>
      <c r="W33" s="315">
        <v>50000000</v>
      </c>
      <c r="X33" s="315">
        <v>39392000</v>
      </c>
      <c r="Z33" s="315">
        <v>7.4999999999999997E-2</v>
      </c>
      <c r="AA33" s="315">
        <v>2113950</v>
      </c>
      <c r="AB33" s="315">
        <v>37278050</v>
      </c>
      <c r="AF33" s="315" t="s">
        <v>1400</v>
      </c>
      <c r="AH33" s="315">
        <v>18412851</v>
      </c>
      <c r="AI33" s="315">
        <v>0</v>
      </c>
      <c r="AJ33" s="315">
        <v>0</v>
      </c>
      <c r="AK33" s="315">
        <v>0</v>
      </c>
      <c r="AL33" s="315">
        <v>0</v>
      </c>
      <c r="AM33" s="315">
        <v>0</v>
      </c>
      <c r="AN33" s="315">
        <v>0</v>
      </c>
      <c r="AO33" s="315">
        <v>0</v>
      </c>
      <c r="AP33" s="315">
        <v>0</v>
      </c>
      <c r="AQ33" s="315">
        <v>0</v>
      </c>
      <c r="AR33" s="315">
        <v>6573422</v>
      </c>
      <c r="AS33" s="315">
        <v>0</v>
      </c>
      <c r="AT33" s="315">
        <v>6586055</v>
      </c>
      <c r="AU33" s="315">
        <v>0</v>
      </c>
      <c r="AV33" s="315">
        <v>2162200</v>
      </c>
      <c r="AW33" s="315">
        <v>173336</v>
      </c>
      <c r="AX33" s="315">
        <v>0</v>
      </c>
      <c r="AY33" s="315">
        <v>0</v>
      </c>
      <c r="AZ33" s="315">
        <v>15495013</v>
      </c>
      <c r="BC33" s="315" t="s">
        <v>709</v>
      </c>
      <c r="BD33" s="315" t="s">
        <v>709</v>
      </c>
      <c r="BF33" s="315">
        <v>0</v>
      </c>
      <c r="BG33" s="315">
        <v>-72864661</v>
      </c>
    </row>
    <row r="34" spans="1:59" x14ac:dyDescent="0.55000000000000004">
      <c r="A34" s="315" t="s">
        <v>4</v>
      </c>
      <c r="B34" s="315" t="s">
        <v>65</v>
      </c>
      <c r="C34" s="315" t="s">
        <v>1926</v>
      </c>
      <c r="D34" s="315" t="s">
        <v>1927</v>
      </c>
      <c r="E34" s="315" t="s">
        <v>644</v>
      </c>
      <c r="F34" s="315" t="s">
        <v>1928</v>
      </c>
      <c r="K34" s="315">
        <v>3500</v>
      </c>
      <c r="M34" s="315">
        <v>97</v>
      </c>
      <c r="O34" s="315" t="s">
        <v>1929</v>
      </c>
      <c r="P34" s="315" t="s">
        <v>1930</v>
      </c>
      <c r="S34" s="315">
        <v>212460000</v>
      </c>
      <c r="U34" s="315">
        <v>3046000</v>
      </c>
      <c r="W34" s="315">
        <v>100000000</v>
      </c>
      <c r="X34" s="315">
        <v>215506000</v>
      </c>
      <c r="Z34" s="315">
        <v>7.4999999999999997E-2</v>
      </c>
      <c r="AA34" s="315">
        <v>11467200</v>
      </c>
      <c r="AB34" s="315">
        <v>204038800</v>
      </c>
      <c r="AF34" s="315" t="s">
        <v>1400</v>
      </c>
      <c r="AH34" s="315">
        <v>94647698</v>
      </c>
      <c r="AI34" s="315">
        <v>0</v>
      </c>
      <c r="AJ34" s="315">
        <v>0</v>
      </c>
      <c r="AK34" s="315">
        <v>0</v>
      </c>
      <c r="AL34" s="315">
        <v>0</v>
      </c>
      <c r="AM34" s="315">
        <v>0</v>
      </c>
      <c r="AN34" s="315">
        <v>0</v>
      </c>
      <c r="AO34" s="315">
        <v>0</v>
      </c>
      <c r="AP34" s="315">
        <v>0</v>
      </c>
      <c r="AQ34" s="315">
        <v>0</v>
      </c>
      <c r="AR34" s="315">
        <v>13906860</v>
      </c>
      <c r="AT34" s="315">
        <v>13922656</v>
      </c>
      <c r="AV34" s="315">
        <v>535290</v>
      </c>
      <c r="AW34" s="315">
        <v>247408</v>
      </c>
      <c r="AX34" s="315">
        <v>535290</v>
      </c>
      <c r="AY34" s="315">
        <v>0</v>
      </c>
      <c r="AZ34" s="315">
        <v>29147504</v>
      </c>
      <c r="BC34" s="315" t="s">
        <v>709</v>
      </c>
      <c r="BD34" s="315" t="s">
        <v>709</v>
      </c>
      <c r="BF34" s="315">
        <v>0</v>
      </c>
      <c r="BG34" s="315">
        <v>80243598</v>
      </c>
    </row>
    <row r="35" spans="1:59" x14ac:dyDescent="0.55000000000000004">
      <c r="A35" s="315" t="s">
        <v>4</v>
      </c>
      <c r="B35" s="315" t="s">
        <v>65</v>
      </c>
      <c r="C35" s="315" t="s">
        <v>1931</v>
      </c>
      <c r="D35" s="315" t="s">
        <v>1145</v>
      </c>
      <c r="E35" s="315" t="s">
        <v>680</v>
      </c>
      <c r="F35" s="315" t="s">
        <v>1932</v>
      </c>
      <c r="K35" s="315">
        <v>3600</v>
      </c>
      <c r="M35" s="315">
        <v>93</v>
      </c>
      <c r="O35" s="315" t="s">
        <v>1933</v>
      </c>
      <c r="P35" s="315">
        <v>230930000</v>
      </c>
      <c r="R35" s="315">
        <v>70140000</v>
      </c>
      <c r="S35" s="315">
        <v>152540000</v>
      </c>
      <c r="T35" s="315">
        <v>2970000</v>
      </c>
      <c r="U35" s="315">
        <v>5280000</v>
      </c>
      <c r="W35" s="315">
        <v>200000000</v>
      </c>
      <c r="X35" s="315">
        <v>230930000</v>
      </c>
      <c r="Z35" s="315">
        <v>7.4999999999999997E-2</v>
      </c>
      <c r="AA35" s="315">
        <v>13365750</v>
      </c>
      <c r="AB35" s="315">
        <v>217564250</v>
      </c>
      <c r="AF35" s="315" t="s">
        <v>1400</v>
      </c>
      <c r="AH35" s="315">
        <v>106813090</v>
      </c>
      <c r="AI35" s="315">
        <v>0</v>
      </c>
      <c r="AJ35" s="315">
        <v>0</v>
      </c>
      <c r="AK35" s="315">
        <v>0</v>
      </c>
      <c r="AL35" s="315">
        <v>0</v>
      </c>
      <c r="AM35" s="315">
        <v>0</v>
      </c>
      <c r="AN35" s="315">
        <v>0</v>
      </c>
      <c r="AO35" s="315">
        <v>0</v>
      </c>
      <c r="AP35" s="315">
        <v>0</v>
      </c>
      <c r="AQ35" s="315">
        <v>0</v>
      </c>
      <c r="AR35" s="315">
        <v>24687356</v>
      </c>
      <c r="AS35" s="315">
        <v>0</v>
      </c>
      <c r="AT35" s="315">
        <v>22477810</v>
      </c>
      <c r="AU35" s="315">
        <v>0</v>
      </c>
      <c r="AV35" s="315">
        <v>1372350</v>
      </c>
      <c r="AW35" s="315">
        <v>925160</v>
      </c>
      <c r="AX35" s="315">
        <v>1372350</v>
      </c>
      <c r="AY35" s="315">
        <v>0</v>
      </c>
      <c r="AZ35" s="315">
        <v>50835026</v>
      </c>
      <c r="BB35" s="315">
        <v>80000</v>
      </c>
      <c r="BC35" s="315" t="s">
        <v>709</v>
      </c>
      <c r="BD35" s="315" t="s">
        <v>709</v>
      </c>
      <c r="BF35" s="315">
        <v>80000</v>
      </c>
      <c r="BG35" s="315">
        <v>59836134</v>
      </c>
    </row>
    <row r="36" spans="1:59" x14ac:dyDescent="0.55000000000000004">
      <c r="A36" s="315" t="s">
        <v>4</v>
      </c>
      <c r="B36" s="315" t="s">
        <v>65</v>
      </c>
      <c r="C36" s="315" t="s">
        <v>1934</v>
      </c>
      <c r="D36" s="315" t="s">
        <v>1935</v>
      </c>
      <c r="E36" s="315" t="s">
        <v>644</v>
      </c>
      <c r="F36" s="315" t="s">
        <v>1936</v>
      </c>
      <c r="K36" s="315">
        <v>2300</v>
      </c>
      <c r="M36" s="315">
        <v>84</v>
      </c>
      <c r="O36" s="315" t="s">
        <v>1937</v>
      </c>
      <c r="P36" s="315" t="s">
        <v>1938</v>
      </c>
      <c r="S36" s="315">
        <v>202300000</v>
      </c>
      <c r="U36" s="315">
        <v>5340000</v>
      </c>
      <c r="W36" s="315">
        <v>100000000</v>
      </c>
      <c r="X36" s="315">
        <v>207640000</v>
      </c>
      <c r="Z36" s="315">
        <v>7.4999999999999997E-2</v>
      </c>
      <c r="AA36" s="315">
        <v>12996750</v>
      </c>
      <c r="AB36" s="315">
        <v>194643250</v>
      </c>
      <c r="AF36" s="315" t="s">
        <v>1400</v>
      </c>
      <c r="AH36" s="315">
        <v>91793734</v>
      </c>
      <c r="AI36" s="315">
        <v>0</v>
      </c>
      <c r="AJ36" s="315">
        <v>0</v>
      </c>
      <c r="AK36" s="315">
        <v>0</v>
      </c>
      <c r="AL36" s="315">
        <v>0</v>
      </c>
      <c r="AM36" s="315">
        <v>0</v>
      </c>
      <c r="AN36" s="315">
        <v>0</v>
      </c>
      <c r="AO36" s="315">
        <v>0</v>
      </c>
      <c r="AP36" s="315">
        <v>0</v>
      </c>
      <c r="AQ36" s="315">
        <v>0</v>
      </c>
      <c r="AR36" s="315">
        <v>8727693</v>
      </c>
      <c r="AS36" s="315">
        <v>0</v>
      </c>
      <c r="AT36" s="315">
        <v>8826806</v>
      </c>
      <c r="AU36" s="315">
        <v>0</v>
      </c>
      <c r="AV36" s="315">
        <v>1478220</v>
      </c>
      <c r="AW36" s="315">
        <v>49274</v>
      </c>
      <c r="AX36" s="315">
        <v>1478220</v>
      </c>
      <c r="AY36" s="315">
        <v>0</v>
      </c>
      <c r="AZ36" s="315">
        <v>20560213</v>
      </c>
      <c r="BB36" s="315">
        <v>350000</v>
      </c>
      <c r="BC36" s="315" t="s">
        <v>709</v>
      </c>
      <c r="BD36" s="315" t="s">
        <v>709</v>
      </c>
      <c r="BF36" s="315">
        <v>350000</v>
      </c>
      <c r="BG36" s="315">
        <v>81939303</v>
      </c>
    </row>
    <row r="37" spans="1:59" x14ac:dyDescent="0.55000000000000004">
      <c r="A37" s="315" t="s">
        <v>4</v>
      </c>
      <c r="B37" s="315" t="s">
        <v>65</v>
      </c>
      <c r="C37" s="315" t="s">
        <v>1939</v>
      </c>
      <c r="D37" s="315" t="s">
        <v>1940</v>
      </c>
      <c r="E37" s="315" t="s">
        <v>644</v>
      </c>
      <c r="F37" s="315" t="s">
        <v>1941</v>
      </c>
      <c r="K37" s="315">
        <v>2500</v>
      </c>
      <c r="M37" s="315">
        <v>31</v>
      </c>
      <c r="O37" s="315" t="s">
        <v>1942</v>
      </c>
      <c r="P37" s="315">
        <v>76900000</v>
      </c>
      <c r="S37" s="315">
        <v>72058750</v>
      </c>
      <c r="T37" s="315">
        <v>300000</v>
      </c>
      <c r="W37" s="315">
        <v>100000000</v>
      </c>
      <c r="Z37" s="315">
        <v>7.4999999999999997E-2</v>
      </c>
      <c r="AA37" s="315">
        <v>4841250</v>
      </c>
      <c r="AB37" s="315">
        <v>72058750</v>
      </c>
      <c r="AF37" s="315" t="s">
        <v>1400</v>
      </c>
      <c r="AH37" s="315">
        <v>33817012</v>
      </c>
      <c r="AI37" s="315">
        <v>0</v>
      </c>
      <c r="AJ37" s="315">
        <v>0</v>
      </c>
      <c r="AK37" s="315">
        <v>0</v>
      </c>
      <c r="AL37" s="315">
        <v>0</v>
      </c>
      <c r="AM37" s="315">
        <v>0</v>
      </c>
      <c r="AN37" s="315">
        <v>0</v>
      </c>
      <c r="AO37" s="315">
        <v>0</v>
      </c>
      <c r="AP37" s="315">
        <v>0</v>
      </c>
      <c r="AQ37" s="315">
        <v>0</v>
      </c>
      <c r="AR37" s="315">
        <v>6775902</v>
      </c>
      <c r="AS37" s="315">
        <v>0</v>
      </c>
      <c r="AT37" s="315">
        <v>7548866</v>
      </c>
      <c r="AU37" s="315">
        <v>0</v>
      </c>
      <c r="AV37" s="315">
        <v>1648650</v>
      </c>
      <c r="AW37" s="315">
        <v>185368</v>
      </c>
      <c r="AX37" s="315">
        <v>1648650</v>
      </c>
      <c r="AY37" s="315">
        <v>0</v>
      </c>
      <c r="AZ37" s="315">
        <v>17807436</v>
      </c>
      <c r="BC37" s="315" t="s">
        <v>709</v>
      </c>
      <c r="BD37" s="315" t="s">
        <v>709</v>
      </c>
      <c r="BF37" s="315">
        <v>0</v>
      </c>
      <c r="BG37" s="315">
        <v>20434302</v>
      </c>
    </row>
    <row r="38" spans="1:59" x14ac:dyDescent="0.55000000000000004">
      <c r="A38" s="315" t="s">
        <v>4</v>
      </c>
      <c r="B38" s="315" t="s">
        <v>65</v>
      </c>
      <c r="C38" s="315" t="s">
        <v>1943</v>
      </c>
      <c r="D38" s="315" t="s">
        <v>1866</v>
      </c>
      <c r="E38" s="315" t="s">
        <v>698</v>
      </c>
      <c r="F38" s="315" t="s">
        <v>1381</v>
      </c>
      <c r="K38" s="315">
        <v>2800</v>
      </c>
      <c r="M38" s="315">
        <v>177</v>
      </c>
      <c r="O38" s="315" t="s">
        <v>1944</v>
      </c>
      <c r="P38" s="315">
        <v>466550000</v>
      </c>
      <c r="S38" s="315">
        <v>463860000</v>
      </c>
      <c r="U38" s="315">
        <v>2690000</v>
      </c>
      <c r="W38" s="315">
        <v>300000000</v>
      </c>
      <c r="X38" s="315">
        <v>466550000</v>
      </c>
      <c r="Z38" s="315">
        <v>7.4999999999999997E-2</v>
      </c>
      <c r="AA38" s="315">
        <v>27609750</v>
      </c>
      <c r="AB38" s="315">
        <v>438940250</v>
      </c>
      <c r="AF38" s="315">
        <v>0.5</v>
      </c>
      <c r="AH38" s="315">
        <v>203779105</v>
      </c>
      <c r="AI38" s="315">
        <v>0</v>
      </c>
      <c r="AJ38" s="315">
        <v>0</v>
      </c>
      <c r="AK38" s="315">
        <v>0</v>
      </c>
      <c r="AL38" s="315">
        <v>0</v>
      </c>
      <c r="AM38" s="315">
        <v>0</v>
      </c>
      <c r="AN38" s="315">
        <v>0</v>
      </c>
      <c r="AO38" s="315">
        <v>0</v>
      </c>
      <c r="AP38" s="315">
        <v>0</v>
      </c>
      <c r="AQ38" s="315">
        <v>0</v>
      </c>
      <c r="AR38" s="315">
        <v>6814209</v>
      </c>
      <c r="AS38" s="315">
        <v>0</v>
      </c>
      <c r="AT38" s="315">
        <v>7824305</v>
      </c>
      <c r="AU38" s="315">
        <v>0</v>
      </c>
      <c r="AV38" s="315">
        <v>2042160</v>
      </c>
      <c r="AW38" s="315">
        <v>807872</v>
      </c>
      <c r="AX38" s="315">
        <v>2042160</v>
      </c>
      <c r="AY38" s="315">
        <v>0</v>
      </c>
      <c r="AZ38" s="315">
        <v>19530706</v>
      </c>
      <c r="BC38" s="315" t="s">
        <v>709</v>
      </c>
      <c r="BD38" s="315" t="s">
        <v>709</v>
      </c>
      <c r="BF38" s="315">
        <v>0</v>
      </c>
      <c r="BG38" s="315">
        <v>215630439</v>
      </c>
    </row>
    <row r="39" spans="1:59" x14ac:dyDescent="0.55000000000000004">
      <c r="A39" s="315" t="s">
        <v>4</v>
      </c>
      <c r="B39" s="315" t="s">
        <v>65</v>
      </c>
      <c r="C39" s="315" t="s">
        <v>1945</v>
      </c>
      <c r="D39" s="315" t="s">
        <v>1946</v>
      </c>
      <c r="E39" s="315" t="s">
        <v>644</v>
      </c>
      <c r="F39" s="315" t="s">
        <v>1947</v>
      </c>
      <c r="K39" s="315">
        <v>3900</v>
      </c>
      <c r="M39" s="315">
        <v>69</v>
      </c>
      <c r="O39" s="315" t="s">
        <v>1948</v>
      </c>
      <c r="P39" s="315">
        <v>163399000</v>
      </c>
      <c r="S39" s="315">
        <v>159360000</v>
      </c>
      <c r="U39" s="315">
        <v>4039000</v>
      </c>
      <c r="W39" s="315">
        <v>100000000</v>
      </c>
      <c r="X39" s="315">
        <v>163399000</v>
      </c>
      <c r="Z39" s="315">
        <v>7.4999999999999997E-2</v>
      </c>
      <c r="AA39" s="315">
        <v>9356925</v>
      </c>
      <c r="AB39" s="315">
        <v>154042075</v>
      </c>
      <c r="AF39" s="315">
        <v>0.5</v>
      </c>
      <c r="AH39" s="315">
        <v>67968889</v>
      </c>
      <c r="AI39" s="315">
        <v>0</v>
      </c>
      <c r="AJ39" s="315">
        <v>0</v>
      </c>
      <c r="AK39" s="315">
        <v>0</v>
      </c>
      <c r="AL39" s="315">
        <v>0</v>
      </c>
      <c r="AM39" s="315">
        <v>0</v>
      </c>
      <c r="AN39" s="315">
        <v>0</v>
      </c>
      <c r="AO39" s="315">
        <v>0</v>
      </c>
      <c r="AP39" s="315">
        <v>0</v>
      </c>
      <c r="AQ39" s="315">
        <v>0</v>
      </c>
      <c r="AR39" s="315">
        <v>6632008</v>
      </c>
      <c r="AS39" s="315">
        <v>0</v>
      </c>
      <c r="AT39" s="315">
        <v>7317212</v>
      </c>
      <c r="AU39" s="315">
        <v>0</v>
      </c>
      <c r="AV39" s="315">
        <v>583680</v>
      </c>
      <c r="AW39" s="315">
        <v>344712</v>
      </c>
      <c r="AX39" s="315">
        <v>583680</v>
      </c>
      <c r="AY39" s="315">
        <v>0</v>
      </c>
      <c r="AZ39" s="315">
        <v>15461292</v>
      </c>
      <c r="BC39" s="315" t="s">
        <v>709</v>
      </c>
      <c r="BD39" s="315" t="s">
        <v>709</v>
      </c>
      <c r="BF39" s="315">
        <v>0</v>
      </c>
      <c r="BG39" s="315">
        <v>70611894</v>
      </c>
    </row>
    <row r="40" spans="1:59" x14ac:dyDescent="0.55000000000000004">
      <c r="A40" s="315" t="s">
        <v>4</v>
      </c>
      <c r="B40" s="315" t="s">
        <v>65</v>
      </c>
      <c r="C40" s="315" t="s">
        <v>1949</v>
      </c>
      <c r="D40" s="315" t="s">
        <v>907</v>
      </c>
      <c r="E40" s="315" t="s">
        <v>680</v>
      </c>
      <c r="F40" s="315" t="s">
        <v>1950</v>
      </c>
      <c r="K40" s="315">
        <v>1300</v>
      </c>
      <c r="M40" s="315">
        <v>24</v>
      </c>
      <c r="O40" s="315" t="s">
        <v>1951</v>
      </c>
      <c r="P40" s="315">
        <v>66360000</v>
      </c>
      <c r="S40" s="315">
        <v>66360000</v>
      </c>
      <c r="W40" s="315">
        <v>50000000</v>
      </c>
      <c r="X40" s="315">
        <v>66360000</v>
      </c>
      <c r="Z40" s="315">
        <v>7.4999999999999997E-2</v>
      </c>
      <c r="AA40" s="315">
        <v>3766500</v>
      </c>
      <c r="AB40" s="315">
        <v>62593500</v>
      </c>
      <c r="AF40" s="315">
        <v>0.5</v>
      </c>
      <c r="AH40" s="315">
        <v>30244093</v>
      </c>
      <c r="AI40" s="315">
        <v>0</v>
      </c>
      <c r="AJ40" s="315">
        <v>0</v>
      </c>
      <c r="AK40" s="315">
        <v>0</v>
      </c>
      <c r="AL40" s="315">
        <v>0</v>
      </c>
      <c r="AM40" s="315">
        <v>0</v>
      </c>
      <c r="AN40" s="315">
        <v>0</v>
      </c>
      <c r="AO40" s="315">
        <v>0</v>
      </c>
      <c r="AP40" s="315">
        <v>0</v>
      </c>
      <c r="AQ40" s="315">
        <v>0</v>
      </c>
      <c r="AR40" s="315">
        <v>3133496</v>
      </c>
      <c r="AS40" s="315">
        <v>0</v>
      </c>
      <c r="AT40" s="315">
        <v>5912068</v>
      </c>
      <c r="AU40" s="315">
        <v>0</v>
      </c>
      <c r="AV40" s="315">
        <v>954150</v>
      </c>
      <c r="AW40" s="315">
        <v>419144</v>
      </c>
      <c r="AX40" s="315">
        <v>954150</v>
      </c>
      <c r="AY40" s="315">
        <v>0</v>
      </c>
      <c r="AZ40" s="315">
        <v>11373008</v>
      </c>
      <c r="BC40" s="315" t="s">
        <v>709</v>
      </c>
      <c r="BD40" s="315" t="s">
        <v>709</v>
      </c>
      <c r="BF40" s="315">
        <v>0</v>
      </c>
      <c r="BG40" s="315">
        <v>20976399</v>
      </c>
    </row>
    <row r="41" spans="1:59" x14ac:dyDescent="0.55000000000000004">
      <c r="A41" s="315" t="s">
        <v>4</v>
      </c>
      <c r="B41" s="315" t="s">
        <v>65</v>
      </c>
      <c r="C41" s="315" t="s">
        <v>1952</v>
      </c>
      <c r="D41" s="315" t="s">
        <v>1953</v>
      </c>
      <c r="E41" s="315" t="s">
        <v>644</v>
      </c>
      <c r="F41" s="315" t="s">
        <v>1954</v>
      </c>
      <c r="K41" s="315">
        <v>650</v>
      </c>
      <c r="M41" s="315">
        <v>4</v>
      </c>
      <c r="O41" s="315" t="s">
        <v>1955</v>
      </c>
      <c r="P41" s="315">
        <v>10260000</v>
      </c>
      <c r="S41" s="315">
        <v>10260000</v>
      </c>
      <c r="W41" s="315">
        <v>50000000</v>
      </c>
      <c r="Z41" s="315">
        <v>7.4999999999999997E-2</v>
      </c>
      <c r="AA41" s="315">
        <v>612750</v>
      </c>
      <c r="AB41" s="315">
        <v>9647250</v>
      </c>
      <c r="AF41" s="315">
        <v>0.5</v>
      </c>
      <c r="AH41" s="315">
        <v>4823625</v>
      </c>
      <c r="AI41" s="315">
        <v>0</v>
      </c>
      <c r="AJ41" s="315">
        <v>0</v>
      </c>
      <c r="AK41" s="315">
        <v>0</v>
      </c>
      <c r="AL41" s="315">
        <v>0</v>
      </c>
      <c r="AM41" s="315">
        <v>0</v>
      </c>
      <c r="AN41" s="315">
        <v>0</v>
      </c>
      <c r="AO41" s="315">
        <v>0</v>
      </c>
      <c r="AP41" s="315">
        <v>0</v>
      </c>
      <c r="AQ41" s="315">
        <v>0</v>
      </c>
      <c r="AR41" s="315">
        <v>6091238</v>
      </c>
      <c r="AS41" s="315">
        <v>0</v>
      </c>
      <c r="AT41" s="315">
        <v>7678905</v>
      </c>
      <c r="AU41" s="315">
        <v>0</v>
      </c>
      <c r="AV41" s="315">
        <v>71880</v>
      </c>
      <c r="AW41" s="315">
        <v>255784</v>
      </c>
      <c r="AX41" s="315">
        <v>71880</v>
      </c>
      <c r="AY41" s="315">
        <v>0</v>
      </c>
      <c r="AZ41" s="315">
        <v>14169687</v>
      </c>
      <c r="BB41" s="315">
        <v>80000</v>
      </c>
      <c r="BC41" s="315" t="s">
        <v>709</v>
      </c>
      <c r="BD41" s="315" t="s">
        <v>709</v>
      </c>
      <c r="BF41" s="315">
        <v>80000</v>
      </c>
      <c r="BG41" s="315">
        <v>-9426062</v>
      </c>
    </row>
    <row r="42" spans="1:59" x14ac:dyDescent="0.55000000000000004">
      <c r="A42" s="315" t="s">
        <v>4</v>
      </c>
      <c r="B42" s="315" t="s">
        <v>65</v>
      </c>
      <c r="C42" s="315" t="s">
        <v>1956</v>
      </c>
      <c r="D42" s="315" t="s">
        <v>1145</v>
      </c>
      <c r="E42" s="315" t="s">
        <v>698</v>
      </c>
      <c r="F42" s="315" t="s">
        <v>1932</v>
      </c>
      <c r="K42" s="315">
        <v>2600</v>
      </c>
      <c r="M42" s="315">
        <v>90</v>
      </c>
      <c r="O42" s="315" t="s">
        <v>1957</v>
      </c>
      <c r="P42" s="315">
        <v>254840000</v>
      </c>
      <c r="R42" s="315">
        <v>92940000</v>
      </c>
      <c r="S42" s="315">
        <v>160780000</v>
      </c>
      <c r="T42" s="315">
        <v>330000</v>
      </c>
      <c r="U42" s="315">
        <v>790000</v>
      </c>
      <c r="W42" s="315">
        <v>200000000</v>
      </c>
      <c r="X42" s="315">
        <v>254840000</v>
      </c>
      <c r="Z42" s="315">
        <v>7.4999999999999997E-2</v>
      </c>
      <c r="AA42" s="315">
        <v>15674250</v>
      </c>
      <c r="AB42" s="315">
        <v>239165750</v>
      </c>
      <c r="AF42" s="315">
        <v>0.5</v>
      </c>
      <c r="AH42" s="315">
        <v>115193540</v>
      </c>
      <c r="AI42" s="315">
        <v>0</v>
      </c>
      <c r="AJ42" s="315">
        <v>0</v>
      </c>
      <c r="AK42" s="315">
        <v>0</v>
      </c>
      <c r="AL42" s="315">
        <v>0</v>
      </c>
      <c r="AM42" s="315">
        <v>0</v>
      </c>
      <c r="AN42" s="315">
        <v>0</v>
      </c>
      <c r="AO42" s="315">
        <v>0</v>
      </c>
      <c r="AP42" s="315">
        <v>0</v>
      </c>
      <c r="AQ42" s="315">
        <v>0</v>
      </c>
      <c r="AR42" s="315">
        <v>10989464</v>
      </c>
      <c r="AS42" s="315">
        <v>0</v>
      </c>
      <c r="AT42" s="315">
        <v>17143375</v>
      </c>
      <c r="AU42" s="315">
        <v>0</v>
      </c>
      <c r="AV42" s="315">
        <v>2369250</v>
      </c>
      <c r="AW42" s="315">
        <v>456128</v>
      </c>
      <c r="AX42" s="315">
        <v>2369250</v>
      </c>
      <c r="AY42" s="315">
        <v>0</v>
      </c>
      <c r="AZ42" s="315">
        <v>33327467</v>
      </c>
      <c r="BC42" s="315" t="s">
        <v>709</v>
      </c>
      <c r="BD42" s="315" t="s">
        <v>709</v>
      </c>
      <c r="BF42" s="315">
        <v>0</v>
      </c>
      <c r="BG42" s="315">
        <v>90644743</v>
      </c>
    </row>
    <row r="43" spans="1:59" x14ac:dyDescent="0.55000000000000004">
      <c r="A43" s="315" t="s">
        <v>4</v>
      </c>
      <c r="B43" s="315" t="s">
        <v>65</v>
      </c>
      <c r="C43" s="315" t="s">
        <v>1958</v>
      </c>
      <c r="D43" s="315" t="s">
        <v>1959</v>
      </c>
      <c r="E43" s="315" t="s">
        <v>662</v>
      </c>
      <c r="F43" s="315" t="s">
        <v>1434</v>
      </c>
      <c r="K43" s="315">
        <v>2800</v>
      </c>
      <c r="M43" s="315">
        <v>89</v>
      </c>
      <c r="O43" s="315" t="s">
        <v>1960</v>
      </c>
      <c r="P43" s="315">
        <v>188510000</v>
      </c>
      <c r="S43" s="315">
        <v>188510000</v>
      </c>
      <c r="W43" s="315">
        <v>100000000</v>
      </c>
      <c r="X43" s="315">
        <v>188510000</v>
      </c>
      <c r="Z43" s="315">
        <v>7.4999999999999997E-2</v>
      </c>
      <c r="AA43" s="315">
        <v>11063250</v>
      </c>
      <c r="AB43" s="315">
        <v>177446750</v>
      </c>
      <c r="AF43" s="315">
        <v>0.3</v>
      </c>
      <c r="AH43" s="315">
        <v>46263420</v>
      </c>
      <c r="AI43" s="315">
        <v>0</v>
      </c>
      <c r="AJ43" s="315">
        <v>0</v>
      </c>
      <c r="AK43" s="315">
        <v>0</v>
      </c>
      <c r="AL43" s="315">
        <v>0</v>
      </c>
      <c r="AM43" s="315">
        <v>0</v>
      </c>
      <c r="AN43" s="315">
        <v>0</v>
      </c>
      <c r="AO43" s="315">
        <v>0</v>
      </c>
      <c r="AP43" s="315">
        <v>0</v>
      </c>
      <c r="AQ43" s="315">
        <v>0</v>
      </c>
      <c r="AR43" s="315">
        <v>6598943</v>
      </c>
      <c r="AS43" s="315">
        <v>0</v>
      </c>
      <c r="AT43" s="315">
        <v>7238932</v>
      </c>
      <c r="AU43" s="315">
        <v>0</v>
      </c>
      <c r="AV43" s="315">
        <v>657180</v>
      </c>
      <c r="AW43" s="315">
        <v>335656</v>
      </c>
      <c r="AX43" s="315">
        <v>657180</v>
      </c>
      <c r="AY43" s="315">
        <v>0</v>
      </c>
      <c r="AZ43" s="315">
        <v>15487891</v>
      </c>
      <c r="BC43" s="315" t="s">
        <v>709</v>
      </c>
      <c r="BD43" s="315" t="s">
        <v>709</v>
      </c>
      <c r="BF43" s="315">
        <v>0</v>
      </c>
      <c r="BG43" s="315">
        <v>115695439</v>
      </c>
    </row>
    <row r="44" spans="1:59" x14ac:dyDescent="0.55000000000000004">
      <c r="A44" s="315" t="s">
        <v>4</v>
      </c>
      <c r="B44" s="315" t="s">
        <v>65</v>
      </c>
      <c r="C44" s="315" t="s">
        <v>1961</v>
      </c>
      <c r="D44" s="315" t="s">
        <v>1962</v>
      </c>
      <c r="E44" s="315" t="s">
        <v>680</v>
      </c>
      <c r="F44" s="315" t="s">
        <v>1420</v>
      </c>
      <c r="K44" s="315">
        <v>2900</v>
      </c>
      <c r="M44" s="315">
        <v>93</v>
      </c>
      <c r="O44" s="315" t="s">
        <v>1963</v>
      </c>
      <c r="P44" s="315">
        <v>220280000</v>
      </c>
      <c r="S44" s="315">
        <v>220280000</v>
      </c>
      <c r="W44" s="315">
        <v>300000000</v>
      </c>
      <c r="X44" s="315">
        <v>220280000</v>
      </c>
      <c r="Z44" s="315">
        <v>7.4999999999999997E-2</v>
      </c>
      <c r="AA44" s="315">
        <v>13474500</v>
      </c>
      <c r="AB44" s="315">
        <v>206805500</v>
      </c>
      <c r="AF44" s="315">
        <v>0.5</v>
      </c>
      <c r="AH44" s="315">
        <v>96801835</v>
      </c>
      <c r="AI44" s="315">
        <v>0</v>
      </c>
      <c r="AJ44" s="315">
        <v>0</v>
      </c>
      <c r="AK44" s="315">
        <v>0</v>
      </c>
      <c r="AL44" s="315">
        <v>0</v>
      </c>
      <c r="AM44" s="315">
        <v>0</v>
      </c>
      <c r="AN44" s="315">
        <v>0</v>
      </c>
      <c r="AO44" s="315">
        <v>0</v>
      </c>
      <c r="AP44" s="315">
        <v>0</v>
      </c>
      <c r="AQ44" s="315">
        <v>0</v>
      </c>
      <c r="AR44" s="315">
        <v>11077324</v>
      </c>
      <c r="AS44" s="315">
        <v>0</v>
      </c>
      <c r="AT44" s="315">
        <v>11804851</v>
      </c>
      <c r="AU44" s="315">
        <v>0</v>
      </c>
      <c r="AV44" s="315">
        <v>1159852</v>
      </c>
      <c r="AW44" s="315">
        <v>682256</v>
      </c>
      <c r="AX44" s="315">
        <v>1159852</v>
      </c>
      <c r="AY44" s="315">
        <v>0</v>
      </c>
      <c r="AZ44" s="315">
        <v>25884135</v>
      </c>
      <c r="BC44" s="315" t="s">
        <v>709</v>
      </c>
      <c r="BD44" s="315" t="s">
        <v>709</v>
      </c>
      <c r="BF44" s="315">
        <v>0</v>
      </c>
      <c r="BG44" s="315">
        <v>84119530</v>
      </c>
    </row>
    <row r="45" spans="1:59" x14ac:dyDescent="0.55000000000000004">
      <c r="A45" s="315" t="s">
        <v>4</v>
      </c>
      <c r="B45" s="315" t="s">
        <v>65</v>
      </c>
      <c r="C45" s="315" t="s">
        <v>1964</v>
      </c>
      <c r="D45" s="315" t="s">
        <v>1965</v>
      </c>
      <c r="E45" s="315" t="s">
        <v>680</v>
      </c>
      <c r="F45" s="315" t="s">
        <v>1966</v>
      </c>
      <c r="K45" s="315">
        <v>2000</v>
      </c>
      <c r="M45" s="315">
        <v>38</v>
      </c>
      <c r="O45" s="315" t="s">
        <v>1967</v>
      </c>
      <c r="P45" s="315">
        <v>102630000</v>
      </c>
      <c r="S45" s="315">
        <v>102630000</v>
      </c>
      <c r="W45" s="315">
        <v>100000000</v>
      </c>
      <c r="X45" s="315">
        <v>102630000</v>
      </c>
      <c r="Z45" s="315">
        <v>7.4999999999999997E-2</v>
      </c>
      <c r="AA45" s="315">
        <v>6352500</v>
      </c>
      <c r="AB45" s="315">
        <v>96277500</v>
      </c>
      <c r="AF45" s="315">
        <v>0.5</v>
      </c>
      <c r="AH45" s="315">
        <v>43857248</v>
      </c>
      <c r="AI45" s="315">
        <v>0</v>
      </c>
      <c r="AJ45" s="315">
        <v>0</v>
      </c>
      <c r="AK45" s="315">
        <v>0</v>
      </c>
      <c r="AL45" s="315">
        <v>0</v>
      </c>
      <c r="AM45" s="315">
        <v>0</v>
      </c>
      <c r="AN45" s="315">
        <v>0</v>
      </c>
      <c r="AO45" s="315">
        <v>0</v>
      </c>
      <c r="AP45" s="315">
        <v>0</v>
      </c>
      <c r="AQ45" s="315">
        <v>0</v>
      </c>
      <c r="AR45" s="315">
        <v>3245371</v>
      </c>
      <c r="AS45" s="315">
        <v>0</v>
      </c>
      <c r="AT45" s="315">
        <v>5167665</v>
      </c>
      <c r="AU45" s="315">
        <v>0</v>
      </c>
      <c r="AV45" s="315">
        <v>1111052</v>
      </c>
      <c r="AX45" s="315">
        <v>1111052</v>
      </c>
      <c r="AY45" s="315">
        <v>0</v>
      </c>
      <c r="AZ45" s="315">
        <v>10635140</v>
      </c>
      <c r="BC45" s="315" t="s">
        <v>709</v>
      </c>
      <c r="BD45" s="315" t="s">
        <v>709</v>
      </c>
      <c r="BF45" s="315">
        <v>0</v>
      </c>
      <c r="BG45" s="315">
        <v>41785112</v>
      </c>
    </row>
    <row r="46" spans="1:59" x14ac:dyDescent="0.55000000000000004">
      <c r="A46" s="315" t="s">
        <v>4</v>
      </c>
      <c r="B46" s="315" t="s">
        <v>65</v>
      </c>
      <c r="C46" s="315" t="s">
        <v>1968</v>
      </c>
      <c r="D46" s="315" t="s">
        <v>1969</v>
      </c>
      <c r="E46" s="315" t="s">
        <v>644</v>
      </c>
      <c r="F46" s="315" t="s">
        <v>1970</v>
      </c>
      <c r="K46" s="315">
        <v>1900</v>
      </c>
      <c r="W46" s="315">
        <v>50000000</v>
      </c>
      <c r="Z46" s="315">
        <v>7.4999999999999997E-2</v>
      </c>
      <c r="AF46" s="315">
        <v>0.5</v>
      </c>
      <c r="AI46" s="315">
        <v>0</v>
      </c>
      <c r="AJ46" s="315">
        <v>0</v>
      </c>
      <c r="AK46" s="315">
        <v>0</v>
      </c>
      <c r="AL46" s="315">
        <v>0</v>
      </c>
      <c r="AM46" s="315">
        <v>0</v>
      </c>
      <c r="AN46" s="315">
        <v>0</v>
      </c>
      <c r="AO46" s="315">
        <v>0</v>
      </c>
      <c r="AP46" s="315">
        <v>0</v>
      </c>
      <c r="AQ46" s="315">
        <v>0</v>
      </c>
      <c r="AR46" s="315">
        <v>4658383</v>
      </c>
      <c r="AS46" s="315">
        <v>0</v>
      </c>
      <c r="AT46" s="315">
        <v>7637392</v>
      </c>
      <c r="AU46" s="315">
        <v>0</v>
      </c>
      <c r="AV46" s="315">
        <v>0</v>
      </c>
      <c r="AW46" s="315">
        <v>0</v>
      </c>
      <c r="AX46" s="315">
        <v>0</v>
      </c>
      <c r="AY46" s="315">
        <v>0</v>
      </c>
      <c r="AZ46" s="315">
        <v>12295775</v>
      </c>
      <c r="BB46" s="315">
        <v>150000</v>
      </c>
      <c r="BC46" s="315" t="s">
        <v>709</v>
      </c>
      <c r="BD46" s="315" t="s">
        <v>709</v>
      </c>
      <c r="BF46" s="315">
        <v>150000</v>
      </c>
      <c r="BG46" s="315">
        <v>-12445775</v>
      </c>
    </row>
  </sheetData>
  <autoFilter ref="A2:BG46" xr:uid="{39A40494-42AF-4B81-8326-103F0C7C4B7A}"/>
  <phoneticPr fontId="2" type="noConversion"/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2D600-CC23-483C-8535-1F0ABA9DBA18}">
  <dimension ref="A1:AY173"/>
  <sheetViews>
    <sheetView zoomScale="85" zoomScaleNormal="85" workbookViewId="0"/>
  </sheetViews>
  <sheetFormatPr defaultColWidth="8.35546875" defaultRowHeight="11.6" outlineLevelRow="1" outlineLevelCol="2" x14ac:dyDescent="0.55000000000000004"/>
  <cols>
    <col min="1" max="1" width="3.5" style="506" customWidth="1"/>
    <col min="2" max="2" width="31.2109375" style="506" customWidth="1"/>
    <col min="3" max="3" width="5.35546875" style="506" customWidth="1" outlineLevel="1"/>
    <col min="4" max="4" width="9" style="506" customWidth="1" outlineLevel="1"/>
    <col min="5" max="5" width="11.2109375" style="505" customWidth="1" outlineLevel="1"/>
    <col min="6" max="6" width="11.85546875" style="505" customWidth="1" outlineLevel="1"/>
    <col min="7" max="10" width="11.2109375" style="505" customWidth="1" outlineLevel="1"/>
    <col min="11" max="13" width="11.2109375" style="506" customWidth="1" outlineLevel="1"/>
    <col min="14" max="14" width="7.7109375" style="506" customWidth="1" outlineLevel="1"/>
    <col min="15" max="16" width="11" style="506" customWidth="1"/>
    <col min="17" max="17" width="19.35546875" style="506" customWidth="1" outlineLevel="2"/>
    <col min="18" max="19" width="11.2109375" style="506" customWidth="1" outlineLevel="2"/>
    <col min="20" max="27" width="11.2109375" style="506" customWidth="1" outlineLevel="1"/>
    <col min="28" max="28" width="11.2109375" style="505" customWidth="1" outlineLevel="1"/>
    <col min="29" max="29" width="3.140625" style="506" customWidth="1"/>
    <col min="30" max="31" width="12.640625" style="506" customWidth="1"/>
    <col min="32" max="55" width="12.7109375" style="506" customWidth="1"/>
    <col min="56" max="16384" width="8.35546875" style="506"/>
  </cols>
  <sheetData>
    <row r="1" spans="1:51" ht="12" customHeight="1" thickBot="1" x14ac:dyDescent="0.6">
      <c r="A1" s="504"/>
      <c r="B1" s="504"/>
      <c r="C1" s="504"/>
      <c r="D1" s="504"/>
    </row>
    <row r="2" spans="1:51" ht="12" customHeight="1" thickBot="1" x14ac:dyDescent="0.6">
      <c r="B2" s="507">
        <v>0</v>
      </c>
      <c r="K2" s="508"/>
      <c r="L2" s="508"/>
      <c r="T2" s="509" t="s">
        <v>1838</v>
      </c>
      <c r="U2" s="510">
        <v>434000000</v>
      </c>
      <c r="X2" s="511"/>
      <c r="Y2" s="511"/>
      <c r="AD2" s="512" t="s">
        <v>1839</v>
      </c>
      <c r="AE2" s="513"/>
      <c r="AF2" s="513"/>
      <c r="AG2" s="513"/>
      <c r="AH2" s="513"/>
      <c r="AI2" s="513"/>
      <c r="AJ2" s="513"/>
      <c r="AK2" s="513"/>
      <c r="AL2" s="513"/>
      <c r="AM2" s="513"/>
      <c r="AN2" s="513"/>
      <c r="AO2" s="513"/>
      <c r="AP2" s="513"/>
      <c r="AQ2" s="513"/>
      <c r="AR2" s="513"/>
      <c r="AS2" s="513"/>
      <c r="AT2" s="513"/>
      <c r="AU2" s="513"/>
      <c r="AV2" s="513"/>
      <c r="AW2" s="513"/>
      <c r="AX2" s="513"/>
      <c r="AY2" s="513"/>
    </row>
    <row r="3" spans="1:51" ht="12" customHeight="1" thickBot="1" x14ac:dyDescent="0.6">
      <c r="E3" s="514">
        <v>0</v>
      </c>
      <c r="F3" s="514">
        <v>0</v>
      </c>
      <c r="G3" s="514">
        <v>0</v>
      </c>
      <c r="H3" s="514">
        <v>0</v>
      </c>
      <c r="I3" s="514">
        <v>0</v>
      </c>
      <c r="J3" s="514">
        <v>0</v>
      </c>
      <c r="K3" s="514">
        <v>0</v>
      </c>
      <c r="M3" s="514">
        <v>0</v>
      </c>
      <c r="O3" s="514">
        <v>0</v>
      </c>
      <c r="P3" s="514">
        <v>0</v>
      </c>
      <c r="T3" s="515" t="s">
        <v>1840</v>
      </c>
      <c r="U3" s="516">
        <v>326000000</v>
      </c>
      <c r="AW3" s="517"/>
    </row>
    <row r="4" spans="1:51" s="518" customFormat="1" ht="12" customHeight="1" thickBot="1" x14ac:dyDescent="0.6">
      <c r="B4" s="519" t="s">
        <v>152</v>
      </c>
      <c r="C4" s="519" t="s">
        <v>153</v>
      </c>
      <c r="D4" s="520" t="s">
        <v>154</v>
      </c>
      <c r="E4" s="521" t="s">
        <v>158</v>
      </c>
      <c r="F4" s="522" t="s">
        <v>158</v>
      </c>
      <c r="G4" s="522" t="s">
        <v>158</v>
      </c>
      <c r="H4" s="522" t="s">
        <v>158</v>
      </c>
      <c r="I4" s="523" t="s">
        <v>159</v>
      </c>
      <c r="J4" s="524"/>
      <c r="K4" s="525"/>
      <c r="L4" s="526"/>
      <c r="M4" s="524" t="s">
        <v>159</v>
      </c>
      <c r="O4" s="527" t="s">
        <v>159</v>
      </c>
      <c r="P4" s="528" t="s">
        <v>160</v>
      </c>
      <c r="R4" s="529"/>
      <c r="T4" s="530" t="s">
        <v>1841</v>
      </c>
      <c r="U4" s="531">
        <v>22000000</v>
      </c>
      <c r="AB4" s="532"/>
    </row>
    <row r="5" spans="1:51" s="518" customFormat="1" ht="12" customHeight="1" thickBot="1" x14ac:dyDescent="0.6">
      <c r="B5" s="520"/>
      <c r="C5" s="520"/>
      <c r="D5" s="520"/>
      <c r="E5" s="533" t="s">
        <v>165</v>
      </c>
      <c r="F5" s="534" t="s">
        <v>166</v>
      </c>
      <c r="G5" s="534" t="s">
        <v>167</v>
      </c>
      <c r="H5" s="534" t="s">
        <v>161</v>
      </c>
      <c r="I5" s="535" t="s">
        <v>162</v>
      </c>
      <c r="J5" s="524" t="s">
        <v>163</v>
      </c>
      <c r="K5" s="536">
        <v>4501989393</v>
      </c>
      <c r="L5" s="537">
        <v>4501989393</v>
      </c>
      <c r="M5" s="524" t="s">
        <v>168</v>
      </c>
      <c r="O5" s="538" t="s">
        <v>162</v>
      </c>
      <c r="P5" s="539" t="s">
        <v>162</v>
      </c>
      <c r="R5" s="529"/>
      <c r="AB5" s="532"/>
      <c r="AD5" s="540">
        <v>0</v>
      </c>
      <c r="AE5" s="540">
        <v>624000000</v>
      </c>
      <c r="AF5" s="971" t="s">
        <v>1842</v>
      </c>
      <c r="AG5" s="972"/>
      <c r="AH5" s="972"/>
      <c r="AI5" s="972"/>
      <c r="AJ5" s="972"/>
      <c r="AK5" s="972"/>
      <c r="AL5" s="973"/>
      <c r="AM5" s="974" t="s">
        <v>1843</v>
      </c>
      <c r="AN5" s="975"/>
      <c r="AO5" s="975"/>
      <c r="AP5" s="976"/>
      <c r="AQ5" s="977" t="s">
        <v>1844</v>
      </c>
      <c r="AR5" s="977"/>
      <c r="AS5" s="977"/>
      <c r="AT5" s="978"/>
      <c r="AU5" s="541">
        <v>0</v>
      </c>
      <c r="AV5" s="541">
        <v>0</v>
      </c>
      <c r="AW5" s="541">
        <v>0</v>
      </c>
      <c r="AX5" s="541">
        <v>0</v>
      </c>
      <c r="AY5" s="541">
        <v>0</v>
      </c>
    </row>
    <row r="6" spans="1:51" s="518" customFormat="1" ht="12" customHeight="1" thickBot="1" x14ac:dyDescent="0.6">
      <c r="B6" s="520"/>
      <c r="C6" s="520"/>
      <c r="D6" s="542"/>
      <c r="E6" s="543" t="s">
        <v>175</v>
      </c>
      <c r="F6" s="544" t="s">
        <v>176</v>
      </c>
      <c r="G6" s="544" t="s">
        <v>169</v>
      </c>
      <c r="H6" s="544" t="s">
        <v>177</v>
      </c>
      <c r="I6" s="545" t="s">
        <v>178</v>
      </c>
      <c r="J6" s="546" t="s">
        <v>179</v>
      </c>
      <c r="K6" s="547" t="s">
        <v>172</v>
      </c>
      <c r="L6" s="548" t="s">
        <v>173</v>
      </c>
      <c r="M6" s="549" t="s">
        <v>180</v>
      </c>
      <c r="O6" s="550" t="s">
        <v>181</v>
      </c>
      <c r="P6" s="551" t="s">
        <v>182</v>
      </c>
      <c r="Q6" s="552" t="s">
        <v>1845</v>
      </c>
      <c r="R6" s="553" t="s">
        <v>1846</v>
      </c>
      <c r="S6" s="553" t="s">
        <v>1847</v>
      </c>
      <c r="T6" s="554"/>
      <c r="U6" s="555"/>
      <c r="V6" s="555"/>
      <c r="W6" s="556" t="s">
        <v>1848</v>
      </c>
      <c r="X6" s="557"/>
      <c r="Y6" s="557"/>
      <c r="Z6" s="555"/>
      <c r="AA6" s="558"/>
      <c r="AB6" s="532"/>
      <c r="AD6" s="559" t="s">
        <v>1849</v>
      </c>
      <c r="AE6" s="559" t="s">
        <v>1850</v>
      </c>
      <c r="AF6" s="560" t="s">
        <v>1851</v>
      </c>
      <c r="AG6" s="561" t="s">
        <v>1852</v>
      </c>
      <c r="AH6" s="562" t="s">
        <v>1853</v>
      </c>
      <c r="AI6" s="562" t="s">
        <v>1854</v>
      </c>
      <c r="AJ6" s="563" t="s">
        <v>1855</v>
      </c>
      <c r="AK6" s="564" t="s">
        <v>1856</v>
      </c>
      <c r="AL6" s="565" t="s">
        <v>1857</v>
      </c>
      <c r="AM6" s="566" t="s">
        <v>1823</v>
      </c>
      <c r="AN6" s="567" t="s">
        <v>1824</v>
      </c>
      <c r="AO6" s="567" t="s">
        <v>1858</v>
      </c>
      <c r="AP6" s="568" t="s">
        <v>1822</v>
      </c>
      <c r="AQ6" s="566" t="s">
        <v>1823</v>
      </c>
      <c r="AR6" s="567" t="s">
        <v>1824</v>
      </c>
      <c r="AS6" s="567" t="s">
        <v>1858</v>
      </c>
      <c r="AT6" s="568" t="s">
        <v>1822</v>
      </c>
      <c r="AU6" s="569" t="s">
        <v>1859</v>
      </c>
      <c r="AV6" s="569" t="s">
        <v>1859</v>
      </c>
      <c r="AW6" s="569" t="s">
        <v>1859</v>
      </c>
      <c r="AX6" s="569" t="s">
        <v>1859</v>
      </c>
      <c r="AY6" s="570" t="s">
        <v>1859</v>
      </c>
    </row>
    <row r="7" spans="1:51" ht="12" customHeight="1" x14ac:dyDescent="0.55000000000000004">
      <c r="B7" s="571" t="s">
        <v>183</v>
      </c>
      <c r="C7" s="572">
        <v>1</v>
      </c>
      <c r="D7" s="571" t="s">
        <v>184</v>
      </c>
      <c r="E7" s="573"/>
      <c r="F7" s="574">
        <v>3782756101</v>
      </c>
      <c r="G7" s="574">
        <v>230106131</v>
      </c>
      <c r="H7" s="574">
        <v>3599642825</v>
      </c>
      <c r="I7" s="575">
        <v>8574474385</v>
      </c>
      <c r="J7" s="576">
        <v>16186979442</v>
      </c>
      <c r="K7" s="577">
        <v>0</v>
      </c>
      <c r="L7" s="578">
        <v>0</v>
      </c>
      <c r="M7" s="579">
        <v>16785728442</v>
      </c>
      <c r="O7" s="580">
        <v>16785728442</v>
      </c>
      <c r="P7" s="581">
        <v>3393840383</v>
      </c>
      <c r="Q7" s="582"/>
      <c r="R7" s="583"/>
      <c r="S7" s="583"/>
      <c r="T7" s="584"/>
      <c r="U7" s="584"/>
      <c r="V7" s="584"/>
      <c r="W7" s="584"/>
      <c r="X7" s="584"/>
      <c r="Y7" s="584"/>
      <c r="Z7" s="584"/>
      <c r="AA7" s="584"/>
      <c r="AD7" s="585"/>
      <c r="AE7" s="585"/>
      <c r="AF7" s="586"/>
      <c r="AG7" s="587"/>
      <c r="AH7" s="588"/>
      <c r="AJ7" s="589"/>
      <c r="AL7" s="589"/>
      <c r="AM7" s="587"/>
      <c r="AN7" s="588"/>
      <c r="AP7" s="589"/>
      <c r="AQ7" s="587"/>
      <c r="AR7" s="588"/>
      <c r="AT7" s="589"/>
      <c r="AU7" s="590"/>
      <c r="AV7" s="590"/>
      <c r="AW7" s="590"/>
      <c r="AX7" s="590"/>
      <c r="AY7" s="591"/>
    </row>
    <row r="8" spans="1:51" ht="12" customHeight="1" x14ac:dyDescent="0.55000000000000004">
      <c r="B8" s="592" t="s">
        <v>185</v>
      </c>
      <c r="C8" s="593">
        <v>2</v>
      </c>
      <c r="D8" s="592" t="s">
        <v>186</v>
      </c>
      <c r="E8" s="594"/>
      <c r="F8" s="595">
        <v>3782756101</v>
      </c>
      <c r="G8" s="595">
        <v>230106131</v>
      </c>
      <c r="H8" s="595">
        <v>3599642825</v>
      </c>
      <c r="I8" s="596">
        <v>8574474385</v>
      </c>
      <c r="J8" s="597">
        <v>16186979442</v>
      </c>
      <c r="K8" s="577">
        <v>0</v>
      </c>
      <c r="L8" s="578">
        <v>0</v>
      </c>
      <c r="M8" s="598">
        <v>16785728442</v>
      </c>
      <c r="O8" s="599">
        <v>16785728442</v>
      </c>
      <c r="P8" s="600">
        <v>3393840383</v>
      </c>
      <c r="Q8" s="582"/>
      <c r="R8" s="583"/>
      <c r="S8" s="583"/>
      <c r="T8" s="584"/>
      <c r="U8" s="584"/>
      <c r="V8" s="584"/>
      <c r="W8" s="584"/>
      <c r="X8" s="584"/>
      <c r="Y8" s="584"/>
      <c r="Z8" s="584"/>
      <c r="AA8" s="584"/>
      <c r="AD8" s="585"/>
      <c r="AE8" s="585"/>
      <c r="AF8" s="586"/>
      <c r="AG8" s="587"/>
      <c r="AH8" s="588"/>
      <c r="AJ8" s="589"/>
      <c r="AL8" s="589"/>
      <c r="AM8" s="587"/>
      <c r="AN8" s="588"/>
      <c r="AP8" s="589"/>
      <c r="AQ8" s="587"/>
      <c r="AR8" s="588"/>
      <c r="AT8" s="589"/>
      <c r="AU8" s="590"/>
      <c r="AV8" s="590"/>
      <c r="AW8" s="590"/>
      <c r="AX8" s="590"/>
      <c r="AY8" s="591"/>
    </row>
    <row r="9" spans="1:51" ht="12" customHeight="1" x14ac:dyDescent="0.55000000000000004">
      <c r="B9" s="601" t="s">
        <v>187</v>
      </c>
      <c r="C9" s="602">
        <v>4</v>
      </c>
      <c r="D9" s="603" t="s">
        <v>188</v>
      </c>
      <c r="E9" s="604"/>
      <c r="F9" s="605">
        <v>0</v>
      </c>
      <c r="G9" s="605">
        <v>0</v>
      </c>
      <c r="H9" s="605">
        <v>0</v>
      </c>
      <c r="I9" s="606">
        <v>0</v>
      </c>
      <c r="J9" s="607">
        <v>0</v>
      </c>
      <c r="K9" s="577">
        <v>0</v>
      </c>
      <c r="L9" s="578">
        <v>0</v>
      </c>
      <c r="M9" s="608">
        <v>0</v>
      </c>
      <c r="O9" s="609">
        <v>0</v>
      </c>
      <c r="P9" s="610">
        <v>0</v>
      </c>
      <c r="Q9" s="582" t="s">
        <v>1825</v>
      </c>
      <c r="R9" s="583"/>
      <c r="S9" s="583"/>
      <c r="T9" s="584"/>
      <c r="U9" s="584"/>
      <c r="V9" s="584"/>
      <c r="W9" s="584"/>
      <c r="X9" s="584"/>
      <c r="Y9" s="584"/>
      <c r="Z9" s="584"/>
      <c r="AA9" s="584"/>
      <c r="AD9" s="585">
        <v>0</v>
      </c>
      <c r="AE9" s="611"/>
      <c r="AF9" s="586"/>
      <c r="AG9" s="587"/>
      <c r="AH9" s="588"/>
      <c r="AJ9" s="589"/>
      <c r="AL9" s="589"/>
      <c r="AM9" s="587"/>
      <c r="AN9" s="588"/>
      <c r="AP9" s="589"/>
      <c r="AQ9" s="587"/>
      <c r="AR9" s="588"/>
      <c r="AT9" s="589"/>
      <c r="AU9" s="590"/>
      <c r="AV9" s="590"/>
      <c r="AW9" s="590"/>
      <c r="AX9" s="590"/>
      <c r="AY9" s="591"/>
    </row>
    <row r="10" spans="1:51" ht="12" customHeight="1" thickBot="1" x14ac:dyDescent="0.6">
      <c r="B10" s="601" t="s">
        <v>189</v>
      </c>
      <c r="C10" s="602">
        <v>4</v>
      </c>
      <c r="D10" s="603" t="s">
        <v>190</v>
      </c>
      <c r="E10" s="604"/>
      <c r="F10" s="605">
        <v>702331581</v>
      </c>
      <c r="G10" s="605">
        <v>112404898</v>
      </c>
      <c r="H10" s="605">
        <v>915898496</v>
      </c>
      <c r="I10" s="606">
        <v>3258793368</v>
      </c>
      <c r="J10" s="612">
        <v>4989428343</v>
      </c>
      <c r="K10" s="577">
        <v>0</v>
      </c>
      <c r="L10" s="578">
        <v>0</v>
      </c>
      <c r="M10" s="608">
        <v>4989428343</v>
      </c>
      <c r="O10" s="609">
        <v>4989428343</v>
      </c>
      <c r="P10" s="610">
        <v>1161554954</v>
      </c>
      <c r="Q10" s="582" t="s">
        <v>1825</v>
      </c>
      <c r="R10" s="583"/>
      <c r="S10" s="583"/>
      <c r="T10" s="584"/>
      <c r="U10" s="584"/>
      <c r="V10" s="584"/>
      <c r="W10" s="584"/>
      <c r="X10" s="584"/>
      <c r="Y10" s="584"/>
      <c r="Z10" s="584"/>
      <c r="AA10" s="584"/>
      <c r="AD10" s="585">
        <v>-3827873389</v>
      </c>
      <c r="AE10" s="611"/>
      <c r="AF10" s="586"/>
      <c r="AG10" s="587"/>
      <c r="AH10" s="588"/>
      <c r="AJ10" s="589"/>
      <c r="AL10" s="589"/>
      <c r="AM10" s="587"/>
      <c r="AN10" s="588"/>
      <c r="AP10" s="589"/>
      <c r="AQ10" s="587"/>
      <c r="AR10" s="588"/>
      <c r="AT10" s="589"/>
      <c r="AU10" s="590"/>
      <c r="AV10" s="590"/>
      <c r="AW10" s="590"/>
      <c r="AX10" s="590"/>
      <c r="AY10" s="591"/>
    </row>
    <row r="11" spans="1:51" ht="12" customHeight="1" x14ac:dyDescent="0.55000000000000004">
      <c r="B11" s="613" t="s">
        <v>191</v>
      </c>
      <c r="C11" s="602">
        <v>4</v>
      </c>
      <c r="D11" s="603" t="s">
        <v>192</v>
      </c>
      <c r="E11" s="604"/>
      <c r="F11" s="605"/>
      <c r="G11" s="605"/>
      <c r="H11" s="605"/>
      <c r="I11" s="606">
        <v>100224360</v>
      </c>
      <c r="J11" s="607">
        <v>100224360</v>
      </c>
      <c r="K11" s="577">
        <v>0</v>
      </c>
      <c r="L11" s="578">
        <v>0</v>
      </c>
      <c r="M11" s="608">
        <v>100224360</v>
      </c>
      <c r="O11" s="609">
        <v>100224360</v>
      </c>
      <c r="P11" s="610">
        <v>221279</v>
      </c>
      <c r="Q11" s="582" t="s">
        <v>1825</v>
      </c>
      <c r="R11" s="583"/>
      <c r="S11" s="583"/>
      <c r="T11" s="614" t="s">
        <v>1985</v>
      </c>
      <c r="U11" s="615" t="s">
        <v>1986</v>
      </c>
      <c r="V11" s="615" t="s">
        <v>1987</v>
      </c>
      <c r="W11" s="615" t="s">
        <v>1988</v>
      </c>
      <c r="X11" s="615"/>
      <c r="Y11" s="615"/>
      <c r="Z11" s="615"/>
      <c r="AA11" s="616" t="s">
        <v>1989</v>
      </c>
      <c r="AD11" s="585">
        <v>-100003081</v>
      </c>
      <c r="AE11" s="611"/>
      <c r="AF11" s="586"/>
      <c r="AG11" s="587"/>
      <c r="AH11" s="588"/>
      <c r="AJ11" s="589"/>
      <c r="AL11" s="589"/>
      <c r="AM11" s="587"/>
      <c r="AN11" s="588"/>
      <c r="AP11" s="589"/>
      <c r="AQ11" s="587"/>
      <c r="AR11" s="588"/>
      <c r="AT11" s="589"/>
      <c r="AU11" s="590"/>
      <c r="AV11" s="590"/>
      <c r="AW11" s="590"/>
      <c r="AX11" s="590"/>
      <c r="AY11" s="591"/>
    </row>
    <row r="12" spans="1:51" ht="12" customHeight="1" thickBot="1" x14ac:dyDescent="0.6">
      <c r="B12" s="617" t="s">
        <v>193</v>
      </c>
      <c r="C12" s="618">
        <v>4</v>
      </c>
      <c r="D12" s="603" t="s">
        <v>194</v>
      </c>
      <c r="E12" s="604"/>
      <c r="F12" s="605"/>
      <c r="G12" s="605"/>
      <c r="H12" s="605">
        <v>80000000</v>
      </c>
      <c r="I12" s="606">
        <v>216654188</v>
      </c>
      <c r="J12" s="607">
        <v>296654188</v>
      </c>
      <c r="K12" s="577">
        <v>0</v>
      </c>
      <c r="L12" s="578">
        <v>0</v>
      </c>
      <c r="M12" s="619">
        <v>296654188</v>
      </c>
      <c r="O12" s="609">
        <v>296654188</v>
      </c>
      <c r="P12" s="620">
        <v>187099372</v>
      </c>
      <c r="Q12" s="582" t="s">
        <v>1826</v>
      </c>
      <c r="R12" s="583"/>
      <c r="S12" s="621"/>
      <c r="T12" s="622">
        <v>187099372</v>
      </c>
      <c r="U12" s="623">
        <v>80000000</v>
      </c>
      <c r="V12" s="623"/>
      <c r="W12" s="623">
        <v>29554816</v>
      </c>
      <c r="X12" s="623"/>
      <c r="Y12" s="623"/>
      <c r="Z12" s="623"/>
      <c r="AA12" s="624">
        <v>296654188</v>
      </c>
      <c r="AB12" s="625">
        <v>0</v>
      </c>
      <c r="AD12" s="585">
        <v>-109554816</v>
      </c>
      <c r="AE12" s="626">
        <v>0</v>
      </c>
      <c r="AF12" s="586"/>
      <c r="AG12" s="587"/>
      <c r="AH12" s="588"/>
      <c r="AI12" s="506" t="s">
        <v>441</v>
      </c>
      <c r="AJ12" s="589">
        <v>-29554816</v>
      </c>
      <c r="AL12" s="589"/>
      <c r="AM12" s="587"/>
      <c r="AN12" s="588"/>
      <c r="AO12" s="506" t="s">
        <v>1798</v>
      </c>
      <c r="AP12" s="589">
        <v>-80000000</v>
      </c>
      <c r="AQ12" s="587"/>
      <c r="AR12" s="588"/>
      <c r="AT12" s="589"/>
      <c r="AU12" s="590"/>
      <c r="AV12" s="590"/>
      <c r="AW12" s="590"/>
      <c r="AX12" s="590"/>
      <c r="AY12" s="591"/>
    </row>
    <row r="13" spans="1:51" ht="12" customHeight="1" x14ac:dyDescent="0.55000000000000004">
      <c r="B13" s="627" t="s">
        <v>195</v>
      </c>
      <c r="C13" s="618">
        <v>4</v>
      </c>
      <c r="D13" s="603" t="s">
        <v>196</v>
      </c>
      <c r="E13" s="604"/>
      <c r="F13" s="605">
        <v>2971359731</v>
      </c>
      <c r="G13" s="605">
        <v>116806311</v>
      </c>
      <c r="H13" s="605">
        <v>1555327521</v>
      </c>
      <c r="I13" s="606">
        <v>1671729441</v>
      </c>
      <c r="J13" s="607">
        <v>6315223004</v>
      </c>
      <c r="K13" s="577">
        <v>0</v>
      </c>
      <c r="L13" s="578">
        <v>0</v>
      </c>
      <c r="M13" s="619">
        <v>6315223004</v>
      </c>
      <c r="O13" s="609">
        <v>6315223004</v>
      </c>
      <c r="P13" s="620">
        <v>1424287209</v>
      </c>
      <c r="Q13" s="582" t="s">
        <v>149</v>
      </c>
      <c r="R13" s="583"/>
      <c r="S13" s="583" t="s">
        <v>1990</v>
      </c>
      <c r="T13" s="584"/>
      <c r="U13" s="584"/>
      <c r="V13" s="584"/>
      <c r="W13" s="584"/>
      <c r="X13" s="584"/>
      <c r="Y13" s="584"/>
      <c r="Z13" s="584"/>
      <c r="AA13" s="584"/>
      <c r="AD13" s="585">
        <v>-4890935795</v>
      </c>
      <c r="AE13" s="626">
        <v>0</v>
      </c>
      <c r="AF13" s="586"/>
      <c r="AG13" s="587"/>
      <c r="AH13" s="588"/>
      <c r="AJ13" s="589"/>
      <c r="AK13" s="506" t="s">
        <v>1773</v>
      </c>
      <c r="AL13" s="589">
        <v>-4890935795</v>
      </c>
      <c r="AM13" s="587"/>
      <c r="AN13" s="588"/>
      <c r="AP13" s="589"/>
      <c r="AQ13" s="587"/>
      <c r="AR13" s="588"/>
      <c r="AT13" s="589"/>
      <c r="AU13" s="590"/>
      <c r="AV13" s="590"/>
      <c r="AW13" s="590"/>
      <c r="AX13" s="590"/>
      <c r="AY13" s="591"/>
    </row>
    <row r="14" spans="1:51" ht="12" customHeight="1" x14ac:dyDescent="0.55000000000000004">
      <c r="B14" s="627" t="s">
        <v>197</v>
      </c>
      <c r="C14" s="618">
        <v>4</v>
      </c>
      <c r="D14" s="603" t="s">
        <v>198</v>
      </c>
      <c r="E14" s="604"/>
      <c r="F14" s="605"/>
      <c r="G14" s="605"/>
      <c r="H14" s="605">
        <v>4762815</v>
      </c>
      <c r="I14" s="606">
        <v>6067555</v>
      </c>
      <c r="J14" s="607">
        <v>10830370</v>
      </c>
      <c r="K14" s="577">
        <v>0</v>
      </c>
      <c r="L14" s="578">
        <v>0</v>
      </c>
      <c r="M14" s="608">
        <v>10830370</v>
      </c>
      <c r="O14" s="609">
        <v>10830370</v>
      </c>
      <c r="P14" s="610">
        <v>31209895</v>
      </c>
      <c r="Q14" s="582" t="s">
        <v>197</v>
      </c>
      <c r="R14" s="583"/>
      <c r="S14" s="583"/>
      <c r="T14" s="584"/>
      <c r="U14" s="584"/>
      <c r="V14" s="584"/>
      <c r="W14" s="584"/>
      <c r="X14" s="584"/>
      <c r="Y14" s="584"/>
      <c r="Z14" s="584"/>
      <c r="AA14" s="584"/>
      <c r="AD14" s="585">
        <v>20379525</v>
      </c>
      <c r="AE14" s="626">
        <v>0</v>
      </c>
      <c r="AF14" s="586"/>
      <c r="AG14" s="587"/>
      <c r="AH14" s="588"/>
      <c r="AJ14" s="589"/>
      <c r="AK14" s="506" t="s">
        <v>1774</v>
      </c>
      <c r="AL14" s="589">
        <v>20379525</v>
      </c>
      <c r="AM14" s="587"/>
      <c r="AN14" s="588"/>
      <c r="AP14" s="589"/>
      <c r="AQ14" s="587"/>
      <c r="AR14" s="588"/>
      <c r="AT14" s="589"/>
      <c r="AU14" s="590"/>
      <c r="AV14" s="590"/>
      <c r="AW14" s="590"/>
      <c r="AX14" s="590"/>
      <c r="AY14" s="591"/>
    </row>
    <row r="15" spans="1:51" ht="12" customHeight="1" x14ac:dyDescent="0.55000000000000004">
      <c r="B15" s="627" t="s">
        <v>199</v>
      </c>
      <c r="C15" s="602">
        <v>4</v>
      </c>
      <c r="D15" s="603" t="s">
        <v>200</v>
      </c>
      <c r="E15" s="604"/>
      <c r="F15" s="605">
        <v>105625532</v>
      </c>
      <c r="G15" s="605">
        <v>52700</v>
      </c>
      <c r="H15" s="605">
        <v>54888484</v>
      </c>
      <c r="I15" s="606">
        <v>1698883220</v>
      </c>
      <c r="J15" s="607">
        <v>1859449936</v>
      </c>
      <c r="K15" s="577">
        <v>0</v>
      </c>
      <c r="L15" s="578">
        <v>0</v>
      </c>
      <c r="M15" s="608">
        <v>1859449936</v>
      </c>
      <c r="O15" s="609">
        <v>1859449936</v>
      </c>
      <c r="P15" s="610">
        <v>216850719</v>
      </c>
      <c r="Q15" s="582" t="s">
        <v>199</v>
      </c>
      <c r="R15" s="583"/>
      <c r="S15" s="583"/>
      <c r="T15" s="584"/>
      <c r="U15" s="584"/>
      <c r="V15" s="584"/>
      <c r="W15" s="584"/>
      <c r="X15" s="584"/>
      <c r="Y15" s="584"/>
      <c r="Z15" s="584"/>
      <c r="AA15" s="584"/>
      <c r="AD15" s="585">
        <v>-1642599217</v>
      </c>
      <c r="AE15" s="626">
        <v>0</v>
      </c>
      <c r="AF15" s="586"/>
      <c r="AG15" s="587"/>
      <c r="AH15" s="588"/>
      <c r="AJ15" s="589"/>
      <c r="AK15" s="506" t="s">
        <v>1775</v>
      </c>
      <c r="AL15" s="589">
        <v>-1642599217</v>
      </c>
      <c r="AM15" s="587"/>
      <c r="AN15" s="588"/>
      <c r="AP15" s="589"/>
      <c r="AQ15" s="587"/>
      <c r="AR15" s="588"/>
      <c r="AT15" s="589"/>
      <c r="AU15" s="590"/>
      <c r="AV15" s="590"/>
      <c r="AW15" s="590"/>
      <c r="AX15" s="590"/>
      <c r="AY15" s="591"/>
    </row>
    <row r="16" spans="1:51" ht="12" customHeight="1" x14ac:dyDescent="0.55000000000000004">
      <c r="B16" s="627" t="s">
        <v>201</v>
      </c>
      <c r="C16" s="602">
        <v>4</v>
      </c>
      <c r="D16" s="603" t="s">
        <v>202</v>
      </c>
      <c r="E16" s="604"/>
      <c r="F16" s="605">
        <v>3016257</v>
      </c>
      <c r="G16" s="605">
        <v>840822</v>
      </c>
      <c r="H16" s="605">
        <v>3428082</v>
      </c>
      <c r="I16" s="606">
        <v>15933380</v>
      </c>
      <c r="J16" s="607">
        <v>23218541</v>
      </c>
      <c r="K16" s="577">
        <v>0</v>
      </c>
      <c r="L16" s="578">
        <v>1251000</v>
      </c>
      <c r="M16" s="608">
        <v>21967541</v>
      </c>
      <c r="O16" s="609">
        <v>21967541</v>
      </c>
      <c r="P16" s="610">
        <v>3428082</v>
      </c>
      <c r="Q16" s="582" t="s">
        <v>496</v>
      </c>
      <c r="R16" s="583"/>
      <c r="S16" s="583"/>
      <c r="T16" s="584"/>
      <c r="U16" s="584"/>
      <c r="V16" s="584"/>
      <c r="W16" s="584"/>
      <c r="X16" s="584"/>
      <c r="Y16" s="584"/>
      <c r="Z16" s="584"/>
      <c r="AA16" s="584"/>
      <c r="AD16" s="585">
        <v>-18539459</v>
      </c>
      <c r="AE16" s="626">
        <v>0</v>
      </c>
      <c r="AF16" s="586"/>
      <c r="AG16" s="587"/>
      <c r="AH16" s="588"/>
      <c r="AJ16" s="589"/>
      <c r="AK16" s="506" t="s">
        <v>1776</v>
      </c>
      <c r="AL16" s="589">
        <v>-18539459</v>
      </c>
      <c r="AM16" s="587"/>
      <c r="AN16" s="588"/>
      <c r="AP16" s="589"/>
      <c r="AQ16" s="587"/>
      <c r="AR16" s="588"/>
      <c r="AT16" s="589"/>
      <c r="AU16" s="590"/>
      <c r="AV16" s="590"/>
      <c r="AW16" s="590"/>
      <c r="AX16" s="590"/>
      <c r="AY16" s="591"/>
    </row>
    <row r="17" spans="2:51" ht="12" customHeight="1" thickBot="1" x14ac:dyDescent="0.6">
      <c r="B17" s="627" t="s">
        <v>203</v>
      </c>
      <c r="C17" s="602">
        <v>4</v>
      </c>
      <c r="D17" s="603" t="s">
        <v>204</v>
      </c>
      <c r="E17" s="604"/>
      <c r="F17" s="605">
        <v>423000</v>
      </c>
      <c r="G17" s="605"/>
      <c r="H17" s="605"/>
      <c r="I17" s="606">
        <v>0</v>
      </c>
      <c r="J17" s="607">
        <v>423000</v>
      </c>
      <c r="K17" s="577">
        <v>0</v>
      </c>
      <c r="L17" s="578">
        <v>423000</v>
      </c>
      <c r="M17" s="608">
        <v>0</v>
      </c>
      <c r="O17" s="609">
        <v>0</v>
      </c>
      <c r="P17" s="610">
        <v>0</v>
      </c>
      <c r="Q17" s="582"/>
      <c r="R17" s="583"/>
      <c r="S17" s="583"/>
      <c r="T17" s="584"/>
      <c r="U17" s="584"/>
      <c r="V17" s="584"/>
      <c r="W17" s="584"/>
      <c r="X17" s="584"/>
      <c r="Y17" s="584"/>
      <c r="Z17" s="584"/>
      <c r="AA17" s="584"/>
      <c r="AD17" s="585">
        <v>0</v>
      </c>
      <c r="AE17" s="626">
        <v>0</v>
      </c>
      <c r="AF17" s="586"/>
      <c r="AG17" s="587"/>
      <c r="AH17" s="588"/>
      <c r="AJ17" s="589"/>
      <c r="AK17" s="506" t="s">
        <v>1777</v>
      </c>
      <c r="AL17" s="589">
        <v>0</v>
      </c>
      <c r="AM17" s="587"/>
      <c r="AN17" s="588"/>
      <c r="AP17" s="589"/>
      <c r="AQ17" s="587"/>
      <c r="AR17" s="588"/>
      <c r="AT17" s="589"/>
      <c r="AU17" s="590"/>
      <c r="AV17" s="590"/>
      <c r="AW17" s="590"/>
      <c r="AX17" s="590"/>
      <c r="AY17" s="591"/>
    </row>
    <row r="18" spans="2:51" ht="12" customHeight="1" x14ac:dyDescent="0.55000000000000004">
      <c r="B18" s="627" t="s">
        <v>205</v>
      </c>
      <c r="C18" s="602">
        <v>4</v>
      </c>
      <c r="D18" s="603" t="s">
        <v>206</v>
      </c>
      <c r="E18" s="604"/>
      <c r="F18" s="605"/>
      <c r="G18" s="605">
        <v>1400</v>
      </c>
      <c r="H18" s="605">
        <v>33730</v>
      </c>
      <c r="I18" s="606">
        <v>0</v>
      </c>
      <c r="J18" s="607">
        <v>35130</v>
      </c>
      <c r="K18" s="577">
        <v>0</v>
      </c>
      <c r="L18" s="578">
        <v>0</v>
      </c>
      <c r="M18" s="608">
        <v>35130</v>
      </c>
      <c r="O18" s="609">
        <v>35130</v>
      </c>
      <c r="P18" s="610">
        <v>0</v>
      </c>
      <c r="Q18" s="582" t="s">
        <v>496</v>
      </c>
      <c r="R18" s="583"/>
      <c r="S18" s="621"/>
      <c r="T18" s="614" t="s">
        <v>1985</v>
      </c>
      <c r="U18" s="615" t="s">
        <v>1827</v>
      </c>
      <c r="V18" s="615" t="s">
        <v>1828</v>
      </c>
      <c r="W18" s="615"/>
      <c r="X18" s="615"/>
      <c r="Y18" s="615"/>
      <c r="Z18" s="615"/>
      <c r="AA18" s="616" t="s">
        <v>1989</v>
      </c>
      <c r="AD18" s="585">
        <v>-35130</v>
      </c>
      <c r="AE18" s="626">
        <v>0</v>
      </c>
      <c r="AF18" s="586"/>
      <c r="AG18" s="587"/>
      <c r="AH18" s="588"/>
      <c r="AJ18" s="589"/>
      <c r="AK18" s="506" t="s">
        <v>1778</v>
      </c>
      <c r="AL18" s="589">
        <v>-35130</v>
      </c>
      <c r="AM18" s="587"/>
      <c r="AN18" s="588"/>
      <c r="AP18" s="589"/>
      <c r="AQ18" s="587"/>
      <c r="AR18" s="588"/>
      <c r="AT18" s="589"/>
      <c r="AU18" s="590"/>
      <c r="AV18" s="590"/>
      <c r="AW18" s="590"/>
      <c r="AX18" s="590"/>
      <c r="AY18" s="591"/>
    </row>
    <row r="19" spans="2:51" ht="12" customHeight="1" x14ac:dyDescent="0.55000000000000004">
      <c r="B19" s="627" t="s">
        <v>207</v>
      </c>
      <c r="C19" s="602">
        <v>4</v>
      </c>
      <c r="D19" s="603" t="s">
        <v>208</v>
      </c>
      <c r="E19" s="604"/>
      <c r="F19" s="605"/>
      <c r="G19" s="605"/>
      <c r="H19" s="605"/>
      <c r="I19" s="606">
        <v>1250000000</v>
      </c>
      <c r="J19" s="607">
        <v>1250000000</v>
      </c>
      <c r="K19" s="577">
        <v>0</v>
      </c>
      <c r="L19" s="578">
        <v>50000000</v>
      </c>
      <c r="M19" s="619">
        <v>1200000000</v>
      </c>
      <c r="O19" s="609">
        <v>1200000000</v>
      </c>
      <c r="P19" s="620">
        <v>0</v>
      </c>
      <c r="Q19" s="582" t="s">
        <v>207</v>
      </c>
      <c r="R19" s="583"/>
      <c r="S19" s="621"/>
      <c r="T19" s="628">
        <v>0</v>
      </c>
      <c r="U19" s="629">
        <v>1200000000</v>
      </c>
      <c r="V19" s="629"/>
      <c r="W19" s="629"/>
      <c r="X19" s="629"/>
      <c r="Y19" s="629"/>
      <c r="Z19" s="629"/>
      <c r="AA19" s="630">
        <v>1200000000</v>
      </c>
      <c r="AB19" s="625">
        <v>0</v>
      </c>
      <c r="AD19" s="585">
        <v>-1200000000</v>
      </c>
      <c r="AE19" s="626">
        <v>0</v>
      </c>
      <c r="AF19" s="586"/>
      <c r="AG19" s="587"/>
      <c r="AH19" s="588"/>
      <c r="AJ19" s="589"/>
      <c r="AL19" s="589"/>
      <c r="AM19" s="587" t="s">
        <v>1787</v>
      </c>
      <c r="AN19" s="588">
        <v>0</v>
      </c>
      <c r="AO19" s="506" t="s">
        <v>1792</v>
      </c>
      <c r="AP19" s="589">
        <v>-1200000000</v>
      </c>
      <c r="AQ19" s="587"/>
      <c r="AR19" s="588"/>
      <c r="AT19" s="589"/>
      <c r="AU19" s="590"/>
      <c r="AV19" s="590"/>
      <c r="AW19" s="590"/>
      <c r="AX19" s="590"/>
      <c r="AY19" s="591"/>
    </row>
    <row r="20" spans="2:51" ht="12" customHeight="1" thickBot="1" x14ac:dyDescent="0.6">
      <c r="B20" s="631" t="s">
        <v>209</v>
      </c>
      <c r="C20" s="602">
        <v>4</v>
      </c>
      <c r="D20" s="603" t="s">
        <v>210</v>
      </c>
      <c r="E20" s="604"/>
      <c r="F20" s="605"/>
      <c r="G20" s="605"/>
      <c r="H20" s="632">
        <v>985303697</v>
      </c>
      <c r="I20" s="606">
        <v>356188873</v>
      </c>
      <c r="J20" s="607">
        <v>1341492570</v>
      </c>
      <c r="K20" s="577">
        <v>650423000</v>
      </c>
      <c r="L20" s="578">
        <v>0</v>
      </c>
      <c r="M20" s="608">
        <v>1991915570</v>
      </c>
      <c r="O20" s="609">
        <v>1991915570</v>
      </c>
      <c r="P20" s="620">
        <v>369188873</v>
      </c>
      <c r="Q20" s="582" t="s">
        <v>1991</v>
      </c>
      <c r="R20" s="583"/>
      <c r="S20" s="583"/>
      <c r="T20" s="622">
        <v>369188873</v>
      </c>
      <c r="U20" s="623">
        <v>1635726697</v>
      </c>
      <c r="V20" s="623">
        <v>-13000000</v>
      </c>
      <c r="W20" s="623"/>
      <c r="X20" s="623"/>
      <c r="Y20" s="623"/>
      <c r="Z20" s="623"/>
      <c r="AA20" s="624">
        <v>1991915570</v>
      </c>
      <c r="AB20" s="625">
        <v>0</v>
      </c>
      <c r="AD20" s="585">
        <v>-1622726697</v>
      </c>
      <c r="AE20" s="626">
        <v>0</v>
      </c>
      <c r="AF20" s="586"/>
      <c r="AG20" s="587"/>
      <c r="AH20" s="588"/>
      <c r="AJ20" s="589"/>
      <c r="AL20" s="589"/>
      <c r="AM20" s="587" t="s">
        <v>1787</v>
      </c>
      <c r="AN20" s="588">
        <v>13000000</v>
      </c>
      <c r="AO20" s="506" t="s">
        <v>1792</v>
      </c>
      <c r="AP20" s="589">
        <v>-1635726697</v>
      </c>
      <c r="AQ20" s="587"/>
      <c r="AR20" s="588"/>
      <c r="AT20" s="589"/>
      <c r="AU20" s="590"/>
      <c r="AV20" s="590"/>
      <c r="AW20" s="590"/>
      <c r="AX20" s="590"/>
      <c r="AY20" s="591"/>
    </row>
    <row r="21" spans="2:51" ht="12" customHeight="1" x14ac:dyDescent="0.55000000000000004">
      <c r="B21" s="592" t="s">
        <v>211</v>
      </c>
      <c r="C21" s="593">
        <v>2</v>
      </c>
      <c r="D21" s="592" t="s">
        <v>212</v>
      </c>
      <c r="E21" s="594"/>
      <c r="F21" s="595">
        <v>0</v>
      </c>
      <c r="G21" s="595">
        <v>0</v>
      </c>
      <c r="H21" s="595">
        <v>0</v>
      </c>
      <c r="I21" s="596">
        <v>0</v>
      </c>
      <c r="J21" s="597">
        <v>0</v>
      </c>
      <c r="K21" s="577">
        <v>0</v>
      </c>
      <c r="L21" s="578">
        <v>0</v>
      </c>
      <c r="M21" s="598">
        <v>0</v>
      </c>
      <c r="O21" s="599">
        <v>0</v>
      </c>
      <c r="P21" s="600">
        <v>0</v>
      </c>
      <c r="Q21" s="582"/>
      <c r="R21" s="583"/>
      <c r="S21" s="583"/>
      <c r="T21" s="584"/>
      <c r="U21" s="584"/>
      <c r="V21" s="584"/>
      <c r="W21" s="584"/>
      <c r="X21" s="584"/>
      <c r="Y21" s="584"/>
      <c r="Z21" s="584"/>
      <c r="AA21" s="584"/>
      <c r="AD21" s="585"/>
      <c r="AE21" s="626">
        <v>0</v>
      </c>
      <c r="AF21" s="586"/>
      <c r="AG21" s="587"/>
      <c r="AH21" s="588"/>
      <c r="AJ21" s="589"/>
      <c r="AL21" s="589"/>
      <c r="AM21" s="587"/>
      <c r="AN21" s="588"/>
      <c r="AP21" s="589"/>
      <c r="AQ21" s="587"/>
      <c r="AR21" s="588"/>
      <c r="AT21" s="589"/>
      <c r="AU21" s="590"/>
      <c r="AV21" s="590"/>
      <c r="AW21" s="590"/>
      <c r="AX21" s="590"/>
      <c r="AY21" s="591"/>
    </row>
    <row r="22" spans="2:51" ht="12" customHeight="1" x14ac:dyDescent="0.55000000000000004">
      <c r="B22" s="613" t="s">
        <v>213</v>
      </c>
      <c r="C22" s="602">
        <v>4</v>
      </c>
      <c r="D22" s="633" t="s">
        <v>214</v>
      </c>
      <c r="E22" s="634"/>
      <c r="F22" s="635"/>
      <c r="G22" s="635">
        <v>0</v>
      </c>
      <c r="H22" s="635">
        <v>0</v>
      </c>
      <c r="I22" s="636">
        <v>0</v>
      </c>
      <c r="J22" s="637">
        <v>0</v>
      </c>
      <c r="K22" s="577">
        <v>0</v>
      </c>
      <c r="L22" s="578">
        <v>0</v>
      </c>
      <c r="M22" s="608">
        <v>0</v>
      </c>
      <c r="O22" s="638">
        <v>0</v>
      </c>
      <c r="P22" s="610">
        <v>0</v>
      </c>
      <c r="Q22" s="582"/>
      <c r="R22" s="583"/>
      <c r="S22" s="583"/>
      <c r="T22" s="584"/>
      <c r="U22" s="584"/>
      <c r="V22" s="584"/>
      <c r="W22" s="584"/>
      <c r="X22" s="584"/>
      <c r="Y22" s="584"/>
      <c r="Z22" s="584"/>
      <c r="AA22" s="584"/>
      <c r="AD22" s="585">
        <v>0</v>
      </c>
      <c r="AE22" s="626">
        <v>0</v>
      </c>
      <c r="AF22" s="586"/>
      <c r="AG22" s="587"/>
      <c r="AH22" s="588"/>
      <c r="AJ22" s="589"/>
      <c r="AL22" s="589"/>
      <c r="AM22" s="587"/>
      <c r="AN22" s="588"/>
      <c r="AP22" s="589"/>
      <c r="AQ22" s="587"/>
      <c r="AR22" s="588"/>
      <c r="AT22" s="589"/>
      <c r="AU22" s="590"/>
      <c r="AV22" s="590"/>
      <c r="AW22" s="590"/>
      <c r="AX22" s="590"/>
      <c r="AY22" s="591"/>
    </row>
    <row r="23" spans="2:51" ht="12" customHeight="1" x14ac:dyDescent="0.55000000000000004">
      <c r="B23" s="571" t="s">
        <v>215</v>
      </c>
      <c r="C23" s="572">
        <v>1</v>
      </c>
      <c r="D23" s="571" t="s">
        <v>184</v>
      </c>
      <c r="E23" s="573"/>
      <c r="F23" s="574">
        <v>49046546</v>
      </c>
      <c r="G23" s="574">
        <v>26177001</v>
      </c>
      <c r="H23" s="574">
        <v>989643648</v>
      </c>
      <c r="I23" s="575">
        <v>1561865929</v>
      </c>
      <c r="J23" s="576">
        <v>2626733124</v>
      </c>
      <c r="K23" s="577">
        <v>0</v>
      </c>
      <c r="L23" s="578">
        <v>0</v>
      </c>
      <c r="M23" s="579">
        <v>1856459208</v>
      </c>
      <c r="O23" s="580">
        <v>1856459208</v>
      </c>
      <c r="P23" s="581">
        <v>1137226144</v>
      </c>
      <c r="Q23" s="582"/>
      <c r="R23" s="583"/>
      <c r="S23" s="583"/>
      <c r="T23" s="584"/>
      <c r="U23" s="584"/>
      <c r="V23" s="584"/>
      <c r="W23" s="584"/>
      <c r="X23" s="584"/>
      <c r="Y23" s="584"/>
      <c r="Z23" s="584"/>
      <c r="AA23" s="584"/>
      <c r="AD23" s="585"/>
      <c r="AE23" s="626">
        <v>0</v>
      </c>
      <c r="AF23" s="586"/>
      <c r="AG23" s="587"/>
      <c r="AH23" s="588"/>
      <c r="AJ23" s="589"/>
      <c r="AL23" s="589"/>
      <c r="AM23" s="587"/>
      <c r="AN23" s="588"/>
      <c r="AP23" s="589"/>
      <c r="AQ23" s="587"/>
      <c r="AR23" s="588"/>
      <c r="AT23" s="589"/>
      <c r="AU23" s="590"/>
      <c r="AV23" s="590"/>
      <c r="AW23" s="590"/>
      <c r="AX23" s="590"/>
      <c r="AY23" s="591"/>
    </row>
    <row r="24" spans="2:51" ht="12" customHeight="1" thickBot="1" x14ac:dyDescent="0.6">
      <c r="B24" s="592" t="s">
        <v>216</v>
      </c>
      <c r="C24" s="593">
        <v>2</v>
      </c>
      <c r="D24" s="592" t="s">
        <v>217</v>
      </c>
      <c r="E24" s="594"/>
      <c r="F24" s="595">
        <v>0</v>
      </c>
      <c r="G24" s="595">
        <v>0</v>
      </c>
      <c r="H24" s="595">
        <v>160000000</v>
      </c>
      <c r="I24" s="596">
        <v>224700000</v>
      </c>
      <c r="J24" s="597">
        <v>384700000</v>
      </c>
      <c r="K24" s="577">
        <v>0</v>
      </c>
      <c r="L24" s="578">
        <v>0</v>
      </c>
      <c r="M24" s="598">
        <v>310000000</v>
      </c>
      <c r="O24" s="599">
        <v>310000000</v>
      </c>
      <c r="P24" s="600">
        <v>0</v>
      </c>
      <c r="Q24" s="582"/>
      <c r="R24" s="583"/>
      <c r="S24" s="583"/>
      <c r="T24" s="584"/>
      <c r="U24" s="584"/>
      <c r="V24" s="584"/>
      <c r="W24" s="584"/>
      <c r="X24" s="584"/>
      <c r="Y24" s="584"/>
      <c r="Z24" s="584"/>
      <c r="AA24" s="584"/>
      <c r="AD24" s="585"/>
      <c r="AE24" s="626">
        <v>0</v>
      </c>
      <c r="AF24" s="586"/>
      <c r="AG24" s="587"/>
      <c r="AH24" s="588"/>
      <c r="AJ24" s="589"/>
      <c r="AL24" s="589"/>
      <c r="AM24" s="587"/>
      <c r="AN24" s="588"/>
      <c r="AP24" s="589"/>
      <c r="AQ24" s="587"/>
      <c r="AR24" s="588"/>
      <c r="AT24" s="589"/>
      <c r="AU24" s="590"/>
      <c r="AV24" s="590"/>
      <c r="AW24" s="590"/>
      <c r="AX24" s="590"/>
      <c r="AY24" s="591"/>
    </row>
    <row r="25" spans="2:51" ht="12" customHeight="1" x14ac:dyDescent="0.55000000000000004">
      <c r="B25" s="639" t="s">
        <v>218</v>
      </c>
      <c r="C25" s="640">
        <v>3</v>
      </c>
      <c r="D25" s="641" t="s">
        <v>219</v>
      </c>
      <c r="E25" s="642"/>
      <c r="F25" s="643">
        <v>0</v>
      </c>
      <c r="G25" s="643">
        <v>0</v>
      </c>
      <c r="H25" s="643">
        <v>160000000</v>
      </c>
      <c r="I25" s="644">
        <v>224700000</v>
      </c>
      <c r="J25" s="645">
        <v>384700000</v>
      </c>
      <c r="K25" s="577">
        <v>0</v>
      </c>
      <c r="L25" s="578">
        <v>0</v>
      </c>
      <c r="M25" s="646">
        <v>310000000</v>
      </c>
      <c r="O25" s="647">
        <v>310000000</v>
      </c>
      <c r="P25" s="648">
        <v>0</v>
      </c>
      <c r="Q25" s="582"/>
      <c r="R25" s="583"/>
      <c r="S25" s="583"/>
      <c r="T25" s="614" t="s">
        <v>1985</v>
      </c>
      <c r="U25" s="615" t="s">
        <v>1986</v>
      </c>
      <c r="V25" s="615" t="s">
        <v>1987</v>
      </c>
      <c r="W25" s="615"/>
      <c r="X25" s="615"/>
      <c r="Y25" s="615"/>
      <c r="Z25" s="615"/>
      <c r="AA25" s="616" t="s">
        <v>1989</v>
      </c>
      <c r="AD25" s="585"/>
      <c r="AE25" s="626">
        <v>0</v>
      </c>
      <c r="AF25" s="586"/>
      <c r="AG25" s="587"/>
      <c r="AH25" s="588"/>
      <c r="AJ25" s="589"/>
      <c r="AL25" s="589"/>
      <c r="AM25" s="587"/>
      <c r="AN25" s="588"/>
      <c r="AP25" s="589"/>
      <c r="AQ25" s="587"/>
      <c r="AR25" s="588"/>
      <c r="AT25" s="589"/>
      <c r="AU25" s="590"/>
      <c r="AV25" s="590"/>
      <c r="AW25" s="590"/>
      <c r="AX25" s="590"/>
      <c r="AY25" s="591"/>
    </row>
    <row r="26" spans="2:51" ht="12" customHeight="1" x14ac:dyDescent="0.55000000000000004">
      <c r="B26" s="649" t="s">
        <v>220</v>
      </c>
      <c r="C26" s="650">
        <v>4</v>
      </c>
      <c r="D26" s="651" t="s">
        <v>221</v>
      </c>
      <c r="E26" s="652"/>
      <c r="F26" s="653"/>
      <c r="G26" s="653">
        <v>0</v>
      </c>
      <c r="H26" s="653">
        <v>0</v>
      </c>
      <c r="I26" s="654">
        <v>39000000</v>
      </c>
      <c r="J26" s="655">
        <v>39000000</v>
      </c>
      <c r="K26" s="577">
        <v>0</v>
      </c>
      <c r="L26" s="578">
        <v>39000000</v>
      </c>
      <c r="M26" s="656">
        <v>0</v>
      </c>
      <c r="O26" s="657">
        <v>0</v>
      </c>
      <c r="P26" s="658">
        <v>0</v>
      </c>
      <c r="Q26" s="582" t="s">
        <v>1829</v>
      </c>
      <c r="R26" s="583"/>
      <c r="S26" s="583"/>
      <c r="T26" s="659">
        <v>0</v>
      </c>
      <c r="U26" s="660"/>
      <c r="V26" s="660"/>
      <c r="W26" s="660"/>
      <c r="X26" s="660"/>
      <c r="Y26" s="660"/>
      <c r="Z26" s="660"/>
      <c r="AA26" s="661">
        <v>0</v>
      </c>
      <c r="AB26" s="625">
        <v>0</v>
      </c>
      <c r="AD26" s="585"/>
      <c r="AE26" s="626">
        <v>0</v>
      </c>
      <c r="AF26" s="586"/>
      <c r="AG26" s="587"/>
      <c r="AH26" s="588"/>
      <c r="AJ26" s="589"/>
      <c r="AL26" s="589"/>
      <c r="AM26" s="587" t="s">
        <v>1788</v>
      </c>
      <c r="AN26" s="588"/>
      <c r="AO26" s="506" t="s">
        <v>1793</v>
      </c>
      <c r="AP26" s="589">
        <v>0</v>
      </c>
      <c r="AQ26" s="587"/>
      <c r="AR26" s="588"/>
      <c r="AT26" s="589"/>
      <c r="AU26" s="590"/>
      <c r="AV26" s="590"/>
      <c r="AW26" s="590"/>
      <c r="AX26" s="590"/>
      <c r="AY26" s="591"/>
    </row>
    <row r="27" spans="2:51" ht="12" customHeight="1" x14ac:dyDescent="0.55000000000000004">
      <c r="B27" s="649" t="s">
        <v>222</v>
      </c>
      <c r="C27" s="650">
        <v>4</v>
      </c>
      <c r="D27" s="651" t="s">
        <v>223</v>
      </c>
      <c r="E27" s="652"/>
      <c r="F27" s="653"/>
      <c r="G27" s="653">
        <v>0</v>
      </c>
      <c r="H27" s="653">
        <v>0</v>
      </c>
      <c r="I27" s="654">
        <v>5100000</v>
      </c>
      <c r="J27" s="655">
        <v>5100000</v>
      </c>
      <c r="K27" s="577">
        <v>0</v>
      </c>
      <c r="L27" s="578">
        <v>5100000</v>
      </c>
      <c r="M27" s="656">
        <v>0</v>
      </c>
      <c r="O27" s="657">
        <v>0</v>
      </c>
      <c r="P27" s="658">
        <v>0</v>
      </c>
      <c r="Q27" s="582" t="s">
        <v>1829</v>
      </c>
      <c r="R27" s="583"/>
      <c r="S27" s="583"/>
      <c r="T27" s="659">
        <v>0</v>
      </c>
      <c r="U27" s="660"/>
      <c r="V27" s="660"/>
      <c r="W27" s="660"/>
      <c r="X27" s="660"/>
      <c r="Y27" s="660"/>
      <c r="Z27" s="660"/>
      <c r="AA27" s="661">
        <v>0</v>
      </c>
      <c r="AB27" s="625">
        <v>0</v>
      </c>
      <c r="AD27" s="585">
        <v>0</v>
      </c>
      <c r="AE27" s="626">
        <v>0</v>
      </c>
      <c r="AF27" s="586"/>
      <c r="AG27" s="587" t="s">
        <v>1770</v>
      </c>
      <c r="AH27" s="588"/>
      <c r="AJ27" s="589"/>
      <c r="AL27" s="589"/>
      <c r="AM27" s="587" t="s">
        <v>1788</v>
      </c>
      <c r="AN27" s="588"/>
      <c r="AO27" s="506" t="s">
        <v>1793</v>
      </c>
      <c r="AP27" s="589">
        <v>0</v>
      </c>
      <c r="AQ27" s="587"/>
      <c r="AR27" s="588"/>
      <c r="AT27" s="589"/>
      <c r="AU27" s="590"/>
      <c r="AV27" s="590"/>
      <c r="AW27" s="590"/>
      <c r="AX27" s="590"/>
      <c r="AY27" s="591"/>
    </row>
    <row r="28" spans="2:51" ht="12" customHeight="1" x14ac:dyDescent="0.55000000000000004">
      <c r="B28" s="662" t="s">
        <v>224</v>
      </c>
      <c r="C28" s="650">
        <v>4</v>
      </c>
      <c r="D28" s="651" t="s">
        <v>225</v>
      </c>
      <c r="E28" s="652"/>
      <c r="F28" s="653"/>
      <c r="G28" s="653"/>
      <c r="H28" s="653"/>
      <c r="I28" s="654">
        <v>30600000</v>
      </c>
      <c r="J28" s="655">
        <v>30600000</v>
      </c>
      <c r="K28" s="577">
        <v>0</v>
      </c>
      <c r="L28" s="578">
        <v>30600000</v>
      </c>
      <c r="M28" s="656">
        <v>0</v>
      </c>
      <c r="O28" s="657">
        <v>0</v>
      </c>
      <c r="P28" s="658">
        <v>0</v>
      </c>
      <c r="Q28" s="582" t="s">
        <v>1829</v>
      </c>
      <c r="R28" s="583"/>
      <c r="S28" s="583"/>
      <c r="T28" s="659">
        <v>0</v>
      </c>
      <c r="U28" s="660"/>
      <c r="V28" s="660"/>
      <c r="W28" s="660"/>
      <c r="X28" s="660"/>
      <c r="Y28" s="660"/>
      <c r="Z28" s="660"/>
      <c r="AA28" s="661">
        <v>0</v>
      </c>
      <c r="AB28" s="625">
        <v>0</v>
      </c>
      <c r="AD28" s="585">
        <v>0</v>
      </c>
      <c r="AE28" s="626">
        <v>0</v>
      </c>
      <c r="AF28" s="586"/>
      <c r="AG28" s="587"/>
      <c r="AH28" s="588"/>
      <c r="AJ28" s="589"/>
      <c r="AL28" s="589"/>
      <c r="AM28" s="587" t="s">
        <v>1788</v>
      </c>
      <c r="AN28" s="588"/>
      <c r="AO28" s="506" t="s">
        <v>1793</v>
      </c>
      <c r="AP28" s="589">
        <v>0</v>
      </c>
      <c r="AQ28" s="587"/>
      <c r="AR28" s="588"/>
      <c r="AT28" s="589"/>
      <c r="AU28" s="590"/>
      <c r="AV28" s="590"/>
      <c r="AW28" s="590"/>
      <c r="AX28" s="590"/>
      <c r="AY28" s="591"/>
    </row>
    <row r="29" spans="2:51" ht="12" customHeight="1" x14ac:dyDescent="0.55000000000000004">
      <c r="B29" s="662" t="s">
        <v>226</v>
      </c>
      <c r="C29" s="650">
        <v>4</v>
      </c>
      <c r="D29" s="651" t="s">
        <v>227</v>
      </c>
      <c r="E29" s="652"/>
      <c r="F29" s="653"/>
      <c r="G29" s="653"/>
      <c r="H29" s="653">
        <v>150000000</v>
      </c>
      <c r="I29" s="654">
        <v>150000000</v>
      </c>
      <c r="J29" s="655">
        <v>300000000</v>
      </c>
      <c r="K29" s="577">
        <v>0</v>
      </c>
      <c r="L29" s="578">
        <v>0</v>
      </c>
      <c r="M29" s="656">
        <v>300000000</v>
      </c>
      <c r="O29" s="657">
        <v>300000000</v>
      </c>
      <c r="P29" s="658">
        <v>0</v>
      </c>
      <c r="Q29" s="582" t="s">
        <v>1829</v>
      </c>
      <c r="R29" s="583"/>
      <c r="S29" s="583"/>
      <c r="T29" s="659">
        <v>0</v>
      </c>
      <c r="U29" s="660">
        <v>300000000</v>
      </c>
      <c r="V29" s="660"/>
      <c r="W29" s="660"/>
      <c r="X29" s="660"/>
      <c r="Y29" s="660"/>
      <c r="Z29" s="660"/>
      <c r="AA29" s="661">
        <v>300000000</v>
      </c>
      <c r="AB29" s="625">
        <v>0</v>
      </c>
      <c r="AD29" s="585">
        <v>-300000000</v>
      </c>
      <c r="AE29" s="626">
        <v>0</v>
      </c>
      <c r="AF29" s="586"/>
      <c r="AG29" s="587"/>
      <c r="AH29" s="588"/>
      <c r="AJ29" s="589"/>
      <c r="AL29" s="589"/>
      <c r="AM29" s="587" t="s">
        <v>1788</v>
      </c>
      <c r="AN29" s="588"/>
      <c r="AO29" s="506" t="s">
        <v>1793</v>
      </c>
      <c r="AP29" s="589">
        <v>-300000000</v>
      </c>
      <c r="AQ29" s="587"/>
      <c r="AR29" s="588"/>
      <c r="AT29" s="589"/>
      <c r="AU29" s="590"/>
      <c r="AV29" s="590"/>
      <c r="AW29" s="590"/>
      <c r="AX29" s="590"/>
      <c r="AY29" s="591"/>
    </row>
    <row r="30" spans="2:51" ht="12" customHeight="1" x14ac:dyDescent="0.55000000000000004">
      <c r="B30" s="649" t="s">
        <v>228</v>
      </c>
      <c r="C30" s="663">
        <v>4</v>
      </c>
      <c r="D30" s="664" t="s">
        <v>229</v>
      </c>
      <c r="E30" s="652"/>
      <c r="F30" s="653"/>
      <c r="G30" s="653"/>
      <c r="H30" s="653">
        <v>0</v>
      </c>
      <c r="I30" s="654"/>
      <c r="J30" s="655">
        <v>0</v>
      </c>
      <c r="K30" s="577">
        <v>0</v>
      </c>
      <c r="L30" s="578">
        <v>0</v>
      </c>
      <c r="M30" s="656">
        <v>0</v>
      </c>
      <c r="O30" s="657">
        <v>0</v>
      </c>
      <c r="P30" s="658">
        <v>0</v>
      </c>
      <c r="Q30" s="582" t="s">
        <v>1303</v>
      </c>
      <c r="R30" s="583"/>
      <c r="S30" s="621"/>
      <c r="T30" s="659">
        <v>0</v>
      </c>
      <c r="U30" s="660"/>
      <c r="V30" s="660"/>
      <c r="W30" s="660"/>
      <c r="X30" s="660"/>
      <c r="Y30" s="660"/>
      <c r="Z30" s="660"/>
      <c r="AA30" s="661">
        <v>0</v>
      </c>
      <c r="AB30" s="625">
        <v>0</v>
      </c>
      <c r="AD30" s="585">
        <v>0</v>
      </c>
      <c r="AE30" s="626">
        <v>0</v>
      </c>
      <c r="AF30" s="586"/>
      <c r="AG30" s="587"/>
      <c r="AH30" s="588"/>
      <c r="AJ30" s="589"/>
      <c r="AL30" s="589"/>
      <c r="AM30" s="587" t="s">
        <v>1788</v>
      </c>
      <c r="AN30" s="588"/>
      <c r="AO30" s="506" t="s">
        <v>1793</v>
      </c>
      <c r="AP30" s="589">
        <v>0</v>
      </c>
      <c r="AQ30" s="587"/>
      <c r="AR30" s="588"/>
      <c r="AT30" s="589"/>
      <c r="AU30" s="590"/>
      <c r="AV30" s="590"/>
      <c r="AW30" s="590"/>
      <c r="AX30" s="590"/>
      <c r="AY30" s="591"/>
    </row>
    <row r="31" spans="2:51" ht="12" customHeight="1" x14ac:dyDescent="0.55000000000000004">
      <c r="B31" s="649" t="s">
        <v>230</v>
      </c>
      <c r="C31" s="663">
        <v>4</v>
      </c>
      <c r="D31" s="664" t="s">
        <v>231</v>
      </c>
      <c r="E31" s="652"/>
      <c r="F31" s="653"/>
      <c r="G31" s="653"/>
      <c r="H31" s="653">
        <v>5000000</v>
      </c>
      <c r="I31" s="654"/>
      <c r="J31" s="655">
        <v>5000000</v>
      </c>
      <c r="K31" s="577">
        <v>0</v>
      </c>
      <c r="L31" s="578">
        <v>0</v>
      </c>
      <c r="M31" s="656">
        <v>5000000</v>
      </c>
      <c r="O31" s="657">
        <v>5000000</v>
      </c>
      <c r="P31" s="658">
        <v>0</v>
      </c>
      <c r="Q31" s="582" t="s">
        <v>1303</v>
      </c>
      <c r="R31" s="583"/>
      <c r="S31" s="621"/>
      <c r="T31" s="659">
        <v>0</v>
      </c>
      <c r="U31" s="660">
        <v>5000000</v>
      </c>
      <c r="V31" s="660"/>
      <c r="W31" s="660"/>
      <c r="X31" s="660"/>
      <c r="Y31" s="660"/>
      <c r="Z31" s="660"/>
      <c r="AA31" s="661">
        <v>5000000</v>
      </c>
      <c r="AB31" s="625">
        <v>0</v>
      </c>
      <c r="AD31" s="585">
        <v>-5000000</v>
      </c>
      <c r="AE31" s="626">
        <v>0</v>
      </c>
      <c r="AF31" s="586"/>
      <c r="AG31" s="587"/>
      <c r="AH31" s="588"/>
      <c r="AJ31" s="589"/>
      <c r="AL31" s="589"/>
      <c r="AM31" s="587" t="s">
        <v>1788</v>
      </c>
      <c r="AN31" s="588"/>
      <c r="AO31" s="506" t="s">
        <v>1793</v>
      </c>
      <c r="AP31" s="589">
        <v>-5000000</v>
      </c>
      <c r="AQ31" s="587"/>
      <c r="AR31" s="588"/>
      <c r="AT31" s="589"/>
      <c r="AU31" s="590"/>
      <c r="AV31" s="590"/>
      <c r="AW31" s="590"/>
      <c r="AX31" s="590"/>
      <c r="AY31" s="591"/>
    </row>
    <row r="32" spans="2:51" ht="12" customHeight="1" thickBot="1" x14ac:dyDescent="0.6">
      <c r="B32" s="649" t="s">
        <v>232</v>
      </c>
      <c r="C32" s="663">
        <v>4</v>
      </c>
      <c r="D32" s="664" t="s">
        <v>233</v>
      </c>
      <c r="E32" s="652"/>
      <c r="F32" s="653"/>
      <c r="G32" s="653"/>
      <c r="H32" s="653">
        <v>5000000</v>
      </c>
      <c r="I32" s="654"/>
      <c r="J32" s="655">
        <v>5000000</v>
      </c>
      <c r="K32" s="577">
        <v>0</v>
      </c>
      <c r="L32" s="578">
        <v>0</v>
      </c>
      <c r="M32" s="656">
        <v>5000000</v>
      </c>
      <c r="O32" s="657">
        <v>5000000</v>
      </c>
      <c r="P32" s="658">
        <v>0</v>
      </c>
      <c r="Q32" s="582" t="s">
        <v>1303</v>
      </c>
      <c r="R32" s="583"/>
      <c r="S32" s="621"/>
      <c r="T32" s="659">
        <v>0</v>
      </c>
      <c r="U32" s="660">
        <v>5000000</v>
      </c>
      <c r="V32" s="660"/>
      <c r="W32" s="660"/>
      <c r="X32" s="660"/>
      <c r="Y32" s="660"/>
      <c r="Z32" s="660"/>
      <c r="AA32" s="661">
        <v>5000000</v>
      </c>
      <c r="AB32" s="625">
        <v>0</v>
      </c>
      <c r="AD32" s="585">
        <v>-5000000</v>
      </c>
      <c r="AE32" s="626">
        <v>0</v>
      </c>
      <c r="AF32" s="586"/>
      <c r="AG32" s="587"/>
      <c r="AH32" s="588"/>
      <c r="AJ32" s="589"/>
      <c r="AL32" s="589"/>
      <c r="AM32" s="587" t="s">
        <v>1788</v>
      </c>
      <c r="AN32" s="588"/>
      <c r="AO32" s="506" t="s">
        <v>1793</v>
      </c>
      <c r="AP32" s="589">
        <v>-5000000</v>
      </c>
      <c r="AQ32" s="587"/>
      <c r="AR32" s="588"/>
      <c r="AT32" s="589"/>
      <c r="AU32" s="590"/>
      <c r="AV32" s="590"/>
      <c r="AW32" s="590"/>
      <c r="AX32" s="590"/>
      <c r="AY32" s="591"/>
    </row>
    <row r="33" spans="1:51" ht="12" customHeight="1" x14ac:dyDescent="0.55000000000000004">
      <c r="B33" s="665" t="s">
        <v>234</v>
      </c>
      <c r="C33" s="593">
        <v>2</v>
      </c>
      <c r="D33" s="592" t="s">
        <v>235</v>
      </c>
      <c r="E33" s="594"/>
      <c r="F33" s="595">
        <v>10438546</v>
      </c>
      <c r="G33" s="595">
        <v>26177001</v>
      </c>
      <c r="H33" s="595">
        <v>61001964</v>
      </c>
      <c r="I33" s="596">
        <v>984225609</v>
      </c>
      <c r="J33" s="597">
        <v>1081843120</v>
      </c>
      <c r="K33" s="577">
        <v>0</v>
      </c>
      <c r="L33" s="578">
        <v>0</v>
      </c>
      <c r="M33" s="598">
        <v>1080910888</v>
      </c>
      <c r="O33" s="599">
        <v>1080910888</v>
      </c>
      <c r="P33" s="600">
        <v>987435824</v>
      </c>
      <c r="Q33" s="582"/>
      <c r="R33" s="583"/>
      <c r="S33" s="621"/>
      <c r="T33" s="614" t="s">
        <v>1985</v>
      </c>
      <c r="U33" s="615" t="s">
        <v>1986</v>
      </c>
      <c r="V33" s="615" t="s">
        <v>1987</v>
      </c>
      <c r="W33" s="615" t="s">
        <v>1992</v>
      </c>
      <c r="X33" s="615" t="s">
        <v>1993</v>
      </c>
      <c r="Y33" s="615"/>
      <c r="Z33" s="615"/>
      <c r="AA33" s="616" t="s">
        <v>1989</v>
      </c>
      <c r="AB33" s="269"/>
      <c r="AD33" s="585"/>
      <c r="AE33" s="626">
        <v>0</v>
      </c>
      <c r="AF33" s="586"/>
      <c r="AG33" s="587"/>
      <c r="AH33" s="588"/>
      <c r="AJ33" s="589"/>
      <c r="AL33" s="589"/>
      <c r="AM33" s="587"/>
      <c r="AN33" s="588"/>
      <c r="AP33" s="589"/>
      <c r="AQ33" s="587"/>
      <c r="AR33" s="588"/>
      <c r="AT33" s="589"/>
      <c r="AU33" s="590"/>
      <c r="AV33" s="590"/>
      <c r="AW33" s="590"/>
      <c r="AX33" s="590"/>
      <c r="AY33" s="591"/>
    </row>
    <row r="34" spans="1:51" ht="12" customHeight="1" x14ac:dyDescent="0.55000000000000004">
      <c r="B34" s="601" t="s">
        <v>236</v>
      </c>
      <c r="C34" s="602">
        <v>4</v>
      </c>
      <c r="D34" s="603" t="s">
        <v>237</v>
      </c>
      <c r="E34" s="666"/>
      <c r="F34" s="667"/>
      <c r="G34" s="667"/>
      <c r="H34" s="667"/>
      <c r="I34" s="668">
        <v>567250274</v>
      </c>
      <c r="J34" s="669">
        <v>567250274</v>
      </c>
      <c r="K34" s="577">
        <v>0</v>
      </c>
      <c r="L34" s="578">
        <v>0</v>
      </c>
      <c r="M34" s="608">
        <v>567250274</v>
      </c>
      <c r="O34" s="638">
        <v>567250274</v>
      </c>
      <c r="P34" s="610">
        <v>567250274</v>
      </c>
      <c r="Q34" s="582" t="s">
        <v>236</v>
      </c>
      <c r="R34" s="583"/>
      <c r="S34" s="621"/>
      <c r="T34" s="659">
        <v>567250274</v>
      </c>
      <c r="U34" s="660"/>
      <c r="V34" s="660"/>
      <c r="W34" s="660"/>
      <c r="X34" s="660"/>
      <c r="Y34" s="660"/>
      <c r="Z34" s="660"/>
      <c r="AA34" s="661">
        <v>567250274</v>
      </c>
      <c r="AB34" s="625">
        <v>0</v>
      </c>
      <c r="AD34" s="585">
        <v>0</v>
      </c>
      <c r="AE34" s="626">
        <v>0</v>
      </c>
      <c r="AF34" s="586"/>
      <c r="AG34" s="587"/>
      <c r="AH34" s="588"/>
      <c r="AJ34" s="589"/>
      <c r="AL34" s="589"/>
      <c r="AM34" s="587"/>
      <c r="AN34" s="588"/>
      <c r="AP34" s="589"/>
      <c r="AQ34" s="587"/>
      <c r="AR34" s="588"/>
      <c r="AT34" s="589"/>
      <c r="AU34" s="590"/>
      <c r="AV34" s="590"/>
      <c r="AW34" s="590"/>
      <c r="AX34" s="590"/>
      <c r="AY34" s="591"/>
    </row>
    <row r="35" spans="1:51" ht="12" customHeight="1" x14ac:dyDescent="0.55000000000000004">
      <c r="B35" s="613" t="s">
        <v>238</v>
      </c>
      <c r="C35" s="602">
        <v>4</v>
      </c>
      <c r="D35" s="633" t="s">
        <v>239</v>
      </c>
      <c r="E35" s="604"/>
      <c r="F35" s="605"/>
      <c r="G35" s="605"/>
      <c r="H35" s="605"/>
      <c r="I35" s="606">
        <v>242353726</v>
      </c>
      <c r="J35" s="637">
        <v>242353726</v>
      </c>
      <c r="K35" s="577">
        <v>0</v>
      </c>
      <c r="L35" s="578">
        <v>0</v>
      </c>
      <c r="M35" s="608">
        <v>242353726</v>
      </c>
      <c r="O35" s="638">
        <v>242353726</v>
      </c>
      <c r="P35" s="610">
        <v>242353726</v>
      </c>
      <c r="Q35" s="582" t="s">
        <v>238</v>
      </c>
      <c r="R35" s="583"/>
      <c r="S35" s="621"/>
      <c r="T35" s="659">
        <v>242353726</v>
      </c>
      <c r="U35" s="660"/>
      <c r="V35" s="660"/>
      <c r="W35" s="660"/>
      <c r="X35" s="660"/>
      <c r="Y35" s="660"/>
      <c r="Z35" s="660"/>
      <c r="AA35" s="661">
        <v>242353726</v>
      </c>
      <c r="AB35" s="625">
        <v>0</v>
      </c>
      <c r="AD35" s="585">
        <v>0</v>
      </c>
      <c r="AE35" s="626">
        <v>0</v>
      </c>
      <c r="AF35" s="586"/>
      <c r="AG35" s="587"/>
      <c r="AH35" s="588"/>
      <c r="AJ35" s="589"/>
      <c r="AL35" s="589"/>
      <c r="AM35" s="587"/>
      <c r="AN35" s="588"/>
      <c r="AP35" s="589"/>
      <c r="AQ35" s="587"/>
      <c r="AR35" s="588"/>
      <c r="AT35" s="589"/>
      <c r="AU35" s="590"/>
      <c r="AV35" s="590"/>
      <c r="AW35" s="590"/>
      <c r="AX35" s="590"/>
      <c r="AY35" s="591"/>
    </row>
    <row r="36" spans="1:51" ht="12" customHeight="1" x14ac:dyDescent="0.55000000000000004">
      <c r="B36" s="670" t="s">
        <v>240</v>
      </c>
      <c r="C36" s="602">
        <v>4</v>
      </c>
      <c r="D36" s="603" t="s">
        <v>241</v>
      </c>
      <c r="E36" s="604"/>
      <c r="F36" s="605"/>
      <c r="G36" s="605"/>
      <c r="H36" s="605"/>
      <c r="I36" s="606">
        <v>-12360039</v>
      </c>
      <c r="J36" s="637">
        <v>-12360039</v>
      </c>
      <c r="K36" s="577">
        <v>0</v>
      </c>
      <c r="L36" s="578">
        <v>0</v>
      </c>
      <c r="M36" s="608">
        <v>-12360039</v>
      </c>
      <c r="O36" s="638">
        <v>-12360039</v>
      </c>
      <c r="P36" s="610">
        <v>-8240026</v>
      </c>
      <c r="Q36" s="582" t="s">
        <v>1830</v>
      </c>
      <c r="R36" s="583"/>
      <c r="S36" s="621"/>
      <c r="T36" s="659">
        <v>-8240026</v>
      </c>
      <c r="U36" s="660"/>
      <c r="V36" s="660"/>
      <c r="W36" s="660">
        <v>-4120013</v>
      </c>
      <c r="X36" s="660"/>
      <c r="Y36" s="660"/>
      <c r="Z36" s="660"/>
      <c r="AA36" s="661">
        <v>-12360039</v>
      </c>
      <c r="AB36" s="625">
        <v>0</v>
      </c>
      <c r="AD36" s="585">
        <v>4120013</v>
      </c>
      <c r="AE36" s="626">
        <v>0</v>
      </c>
      <c r="AF36" s="586"/>
      <c r="AG36" s="587" t="s">
        <v>109</v>
      </c>
      <c r="AH36" s="588">
        <v>4120013</v>
      </c>
      <c r="AJ36" s="589"/>
      <c r="AL36" s="589"/>
      <c r="AM36" s="587"/>
      <c r="AN36" s="588"/>
      <c r="AP36" s="589"/>
      <c r="AQ36" s="587"/>
      <c r="AR36" s="588"/>
      <c r="AT36" s="589"/>
      <c r="AU36" s="590"/>
      <c r="AV36" s="590"/>
      <c r="AW36" s="590"/>
      <c r="AX36" s="590"/>
      <c r="AY36" s="591"/>
    </row>
    <row r="37" spans="1:51" ht="12" customHeight="1" x14ac:dyDescent="0.55000000000000004">
      <c r="B37" s="613" t="s">
        <v>141</v>
      </c>
      <c r="C37" s="602">
        <v>4</v>
      </c>
      <c r="D37" s="603" t="s">
        <v>242</v>
      </c>
      <c r="E37" s="604"/>
      <c r="F37" s="605">
        <v>10438546</v>
      </c>
      <c r="G37" s="605">
        <v>28309429</v>
      </c>
      <c r="H37" s="605">
        <v>47647991</v>
      </c>
      <c r="I37" s="606">
        <v>118554428</v>
      </c>
      <c r="J37" s="637">
        <v>204950394</v>
      </c>
      <c r="K37" s="577">
        <v>0</v>
      </c>
      <c r="L37" s="578">
        <v>0</v>
      </c>
      <c r="M37" s="608">
        <v>204950394</v>
      </c>
      <c r="O37" s="638">
        <v>204950394</v>
      </c>
      <c r="P37" s="610">
        <v>97058628</v>
      </c>
      <c r="Q37" s="582" t="s">
        <v>141</v>
      </c>
      <c r="R37" s="583"/>
      <c r="S37" s="621"/>
      <c r="T37" s="659">
        <v>97058628</v>
      </c>
      <c r="U37" s="660">
        <v>107891766</v>
      </c>
      <c r="V37" s="660"/>
      <c r="W37" s="660">
        <v>0</v>
      </c>
      <c r="X37" s="660"/>
      <c r="Y37" s="660"/>
      <c r="Z37" s="660"/>
      <c r="AA37" s="661">
        <v>204950394</v>
      </c>
      <c r="AB37" s="625">
        <v>0</v>
      </c>
      <c r="AD37" s="585">
        <v>-107891766</v>
      </c>
      <c r="AE37" s="626">
        <v>0</v>
      </c>
      <c r="AF37" s="586"/>
      <c r="AG37" s="587"/>
      <c r="AH37" s="588"/>
      <c r="AJ37" s="589"/>
      <c r="AL37" s="589"/>
      <c r="AM37" s="587"/>
      <c r="AN37" s="588"/>
      <c r="AO37" s="506" t="s">
        <v>1794</v>
      </c>
      <c r="AP37" s="589">
        <v>-107891766</v>
      </c>
      <c r="AQ37" s="587"/>
      <c r="AR37" s="588"/>
      <c r="AT37" s="589"/>
      <c r="AU37" s="590"/>
      <c r="AV37" s="590"/>
      <c r="AW37" s="590"/>
      <c r="AX37" s="590"/>
      <c r="AY37" s="591"/>
    </row>
    <row r="38" spans="1:51" ht="12" customHeight="1" x14ac:dyDescent="0.55000000000000004">
      <c r="B38" s="670" t="s">
        <v>240</v>
      </c>
      <c r="C38" s="602">
        <v>4</v>
      </c>
      <c r="D38" s="633" t="s">
        <v>243</v>
      </c>
      <c r="E38" s="604"/>
      <c r="F38" s="605"/>
      <c r="G38" s="605">
        <v>-2132428</v>
      </c>
      <c r="H38" s="605">
        <v>-5572711</v>
      </c>
      <c r="I38" s="606">
        <v>-46438807</v>
      </c>
      <c r="J38" s="637">
        <v>-54143946</v>
      </c>
      <c r="K38" s="577">
        <v>0</v>
      </c>
      <c r="L38" s="578">
        <v>932232</v>
      </c>
      <c r="M38" s="608">
        <v>-55076178</v>
      </c>
      <c r="O38" s="638">
        <v>-55076178</v>
      </c>
      <c r="P38" s="610">
        <v>-32416543</v>
      </c>
      <c r="Q38" s="582" t="s">
        <v>1994</v>
      </c>
      <c r="R38" s="583"/>
      <c r="S38" s="621"/>
      <c r="T38" s="659">
        <v>-32416543</v>
      </c>
      <c r="U38" s="660"/>
      <c r="V38" s="660"/>
      <c r="W38" s="660">
        <v>-22659635</v>
      </c>
      <c r="X38" s="660"/>
      <c r="Y38" s="660"/>
      <c r="Z38" s="660"/>
      <c r="AA38" s="661">
        <v>-55076178</v>
      </c>
      <c r="AB38" s="625">
        <v>0</v>
      </c>
      <c r="AD38" s="585">
        <v>22659635</v>
      </c>
      <c r="AE38" s="626">
        <v>0</v>
      </c>
      <c r="AF38" s="586"/>
      <c r="AG38" s="587" t="s">
        <v>109</v>
      </c>
      <c r="AH38" s="588">
        <v>22659635</v>
      </c>
      <c r="AJ38" s="589"/>
      <c r="AL38" s="589"/>
      <c r="AM38" s="587"/>
      <c r="AN38" s="588"/>
      <c r="AP38" s="589"/>
      <c r="AQ38" s="587"/>
      <c r="AR38" s="588"/>
      <c r="AT38" s="589"/>
      <c r="AU38" s="590"/>
      <c r="AV38" s="590"/>
      <c r="AW38" s="590"/>
      <c r="AX38" s="590"/>
      <c r="AY38" s="591"/>
    </row>
    <row r="39" spans="1:51" ht="12" customHeight="1" x14ac:dyDescent="0.55000000000000004">
      <c r="B39" s="613" t="s">
        <v>142</v>
      </c>
      <c r="C39" s="602">
        <v>4</v>
      </c>
      <c r="D39" s="603" t="s">
        <v>244</v>
      </c>
      <c r="E39" s="604"/>
      <c r="F39" s="605"/>
      <c r="G39" s="605"/>
      <c r="H39" s="605">
        <v>21550000</v>
      </c>
      <c r="I39" s="606">
        <v>276025800</v>
      </c>
      <c r="J39" s="637">
        <v>297575800</v>
      </c>
      <c r="K39" s="577">
        <v>0</v>
      </c>
      <c r="L39" s="578">
        <v>0</v>
      </c>
      <c r="M39" s="608">
        <v>297575800</v>
      </c>
      <c r="O39" s="638">
        <v>297575800</v>
      </c>
      <c r="P39" s="610">
        <v>254817800</v>
      </c>
      <c r="Q39" s="582" t="s">
        <v>142</v>
      </c>
      <c r="R39" s="583"/>
      <c r="S39" s="621"/>
      <c r="T39" s="659">
        <v>254817800</v>
      </c>
      <c r="U39" s="660">
        <v>42758000</v>
      </c>
      <c r="V39" s="660"/>
      <c r="W39" s="660">
        <v>0</v>
      </c>
      <c r="X39" s="660"/>
      <c r="Y39" s="660"/>
      <c r="Z39" s="660"/>
      <c r="AA39" s="661">
        <v>297575800</v>
      </c>
      <c r="AB39" s="625">
        <v>0</v>
      </c>
      <c r="AD39" s="585">
        <v>-42758000</v>
      </c>
      <c r="AE39" s="626">
        <v>0</v>
      </c>
      <c r="AF39" s="586"/>
      <c r="AG39" s="587"/>
      <c r="AH39" s="588"/>
      <c r="AJ39" s="589"/>
      <c r="AL39" s="589"/>
      <c r="AM39" s="587"/>
      <c r="AN39" s="588"/>
      <c r="AO39" s="506" t="s">
        <v>1795</v>
      </c>
      <c r="AP39" s="589">
        <v>-42758000</v>
      </c>
      <c r="AQ39" s="587"/>
      <c r="AR39" s="588"/>
      <c r="AT39" s="589"/>
      <c r="AU39" s="590"/>
      <c r="AV39" s="590"/>
      <c r="AW39" s="590"/>
      <c r="AX39" s="590"/>
      <c r="AY39" s="591"/>
    </row>
    <row r="40" spans="1:51" ht="12" customHeight="1" x14ac:dyDescent="0.55000000000000004">
      <c r="B40" s="670" t="s">
        <v>240</v>
      </c>
      <c r="C40" s="602">
        <v>4</v>
      </c>
      <c r="D40" s="603" t="s">
        <v>245</v>
      </c>
      <c r="E40" s="604"/>
      <c r="F40" s="605"/>
      <c r="G40" s="605"/>
      <c r="H40" s="605">
        <v>-2623316</v>
      </c>
      <c r="I40" s="606">
        <v>-161159773</v>
      </c>
      <c r="J40" s="637">
        <v>-163783089</v>
      </c>
      <c r="K40" s="577">
        <v>0</v>
      </c>
      <c r="L40" s="578">
        <v>0</v>
      </c>
      <c r="M40" s="608">
        <v>-163783089</v>
      </c>
      <c r="O40" s="638">
        <v>-163783089</v>
      </c>
      <c r="P40" s="610">
        <v>-133388035</v>
      </c>
      <c r="Q40" s="582" t="s">
        <v>1995</v>
      </c>
      <c r="R40" s="583"/>
      <c r="S40" s="621"/>
      <c r="T40" s="659">
        <v>-133388035</v>
      </c>
      <c r="U40" s="660"/>
      <c r="V40" s="660"/>
      <c r="W40" s="660">
        <v>-30395054</v>
      </c>
      <c r="X40" s="660"/>
      <c r="Y40" s="660"/>
      <c r="Z40" s="660"/>
      <c r="AA40" s="661">
        <v>-163783089</v>
      </c>
      <c r="AB40" s="625">
        <v>0</v>
      </c>
      <c r="AD40" s="585">
        <v>30395054</v>
      </c>
      <c r="AE40" s="626">
        <v>0</v>
      </c>
      <c r="AF40" s="586"/>
      <c r="AG40" s="587" t="s">
        <v>109</v>
      </c>
      <c r="AH40" s="588">
        <v>30395054</v>
      </c>
      <c r="AJ40" s="589"/>
      <c r="AL40" s="589"/>
      <c r="AM40" s="587"/>
      <c r="AN40" s="588"/>
      <c r="AP40" s="589"/>
      <c r="AQ40" s="587"/>
      <c r="AR40" s="588"/>
      <c r="AT40" s="589"/>
      <c r="AU40" s="590"/>
      <c r="AV40" s="590"/>
      <c r="AW40" s="590"/>
      <c r="AX40" s="590"/>
      <c r="AY40" s="591"/>
    </row>
    <row r="41" spans="1:51" ht="12" customHeight="1" thickBot="1" x14ac:dyDescent="0.6">
      <c r="B41" s="613" t="s">
        <v>246</v>
      </c>
      <c r="C41" s="602">
        <v>4</v>
      </c>
      <c r="D41" s="633" t="s">
        <v>247</v>
      </c>
      <c r="E41" s="604"/>
      <c r="F41" s="605"/>
      <c r="G41" s="605"/>
      <c r="H41" s="605"/>
      <c r="I41" s="606">
        <v>0</v>
      </c>
      <c r="J41" s="637">
        <v>0</v>
      </c>
      <c r="K41" s="577">
        <v>0</v>
      </c>
      <c r="L41" s="578">
        <v>0</v>
      </c>
      <c r="M41" s="608">
        <v>0</v>
      </c>
      <c r="O41" s="638">
        <v>0</v>
      </c>
      <c r="P41" s="610">
        <v>0</v>
      </c>
      <c r="Q41" s="582" t="s">
        <v>246</v>
      </c>
      <c r="R41" s="583"/>
      <c r="S41" s="621"/>
      <c r="T41" s="659">
        <v>0</v>
      </c>
      <c r="U41" s="660"/>
      <c r="V41" s="660"/>
      <c r="W41" s="660"/>
      <c r="X41" s="660"/>
      <c r="Y41" s="660"/>
      <c r="Z41" s="660"/>
      <c r="AA41" s="661">
        <v>0</v>
      </c>
      <c r="AB41" s="625">
        <v>0</v>
      </c>
      <c r="AD41" s="585">
        <v>0</v>
      </c>
      <c r="AE41" s="626">
        <v>0</v>
      </c>
      <c r="AF41" s="586"/>
      <c r="AG41" s="587"/>
      <c r="AH41" s="588"/>
      <c r="AJ41" s="589"/>
      <c r="AL41" s="589"/>
      <c r="AM41" s="587"/>
      <c r="AN41" s="588"/>
      <c r="AO41" s="506" t="s">
        <v>1799</v>
      </c>
      <c r="AP41" s="589">
        <v>0</v>
      </c>
      <c r="AQ41" s="587"/>
      <c r="AR41" s="588"/>
      <c r="AT41" s="589"/>
      <c r="AU41" s="590"/>
      <c r="AV41" s="590"/>
      <c r="AW41" s="590"/>
      <c r="AX41" s="590"/>
      <c r="AY41" s="591"/>
    </row>
    <row r="42" spans="1:51" ht="12" customHeight="1" x14ac:dyDescent="0.55000000000000004">
      <c r="B42" s="665" t="s">
        <v>248</v>
      </c>
      <c r="C42" s="593">
        <v>2</v>
      </c>
      <c r="D42" s="592" t="s">
        <v>249</v>
      </c>
      <c r="E42" s="594"/>
      <c r="F42" s="595">
        <v>0</v>
      </c>
      <c r="G42" s="595">
        <v>0</v>
      </c>
      <c r="H42" s="595">
        <v>44641684</v>
      </c>
      <c r="I42" s="596">
        <v>0</v>
      </c>
      <c r="J42" s="597">
        <v>44641684</v>
      </c>
      <c r="K42" s="577">
        <v>0</v>
      </c>
      <c r="L42" s="578">
        <v>0</v>
      </c>
      <c r="M42" s="598">
        <v>0</v>
      </c>
      <c r="O42" s="599">
        <v>0</v>
      </c>
      <c r="P42" s="600">
        <v>0</v>
      </c>
      <c r="Q42" s="582"/>
      <c r="R42" s="583"/>
      <c r="S42" s="621"/>
      <c r="T42" s="614" t="s">
        <v>1985</v>
      </c>
      <c r="U42" s="615" t="s">
        <v>1986</v>
      </c>
      <c r="V42" s="615" t="s">
        <v>1987</v>
      </c>
      <c r="W42" s="615" t="s">
        <v>1992</v>
      </c>
      <c r="X42" s="615" t="s">
        <v>1993</v>
      </c>
      <c r="Y42" s="615"/>
      <c r="Z42" s="615"/>
      <c r="AA42" s="616" t="s">
        <v>1989</v>
      </c>
      <c r="AB42" s="269"/>
      <c r="AD42" s="585"/>
      <c r="AE42" s="626">
        <v>0</v>
      </c>
      <c r="AF42" s="586"/>
      <c r="AG42" s="587"/>
      <c r="AH42" s="588"/>
      <c r="AJ42" s="589"/>
      <c r="AL42" s="589"/>
      <c r="AM42" s="587"/>
      <c r="AN42" s="588"/>
      <c r="AP42" s="589"/>
      <c r="AQ42" s="587"/>
      <c r="AR42" s="588"/>
      <c r="AT42" s="589"/>
      <c r="AU42" s="590"/>
      <c r="AV42" s="590"/>
      <c r="AW42" s="590"/>
      <c r="AX42" s="590"/>
      <c r="AY42" s="591"/>
    </row>
    <row r="43" spans="1:51" ht="12" customHeight="1" x14ac:dyDescent="0.55000000000000004">
      <c r="B43" s="613" t="s">
        <v>250</v>
      </c>
      <c r="C43" s="602">
        <v>4</v>
      </c>
      <c r="D43" s="603" t="s">
        <v>251</v>
      </c>
      <c r="E43" s="634"/>
      <c r="F43" s="635"/>
      <c r="G43" s="635"/>
      <c r="H43" s="605">
        <v>44641684</v>
      </c>
      <c r="I43" s="606">
        <v>0</v>
      </c>
      <c r="J43" s="607">
        <v>44641684</v>
      </c>
      <c r="K43" s="577">
        <v>0</v>
      </c>
      <c r="L43" s="578">
        <v>44641684</v>
      </c>
      <c r="M43" s="608">
        <v>0</v>
      </c>
      <c r="O43" s="638">
        <v>0</v>
      </c>
      <c r="P43" s="610">
        <v>0</v>
      </c>
      <c r="Q43" s="582"/>
      <c r="R43" s="583"/>
      <c r="S43" s="621"/>
      <c r="T43" s="659">
        <v>0</v>
      </c>
      <c r="U43" s="660"/>
      <c r="V43" s="660"/>
      <c r="W43" s="660"/>
      <c r="X43" s="660"/>
      <c r="Y43" s="660"/>
      <c r="Z43" s="660"/>
      <c r="AA43" s="661">
        <v>0</v>
      </c>
      <c r="AB43" s="625">
        <v>0</v>
      </c>
      <c r="AD43" s="585">
        <v>0</v>
      </c>
      <c r="AE43" s="626">
        <v>0</v>
      </c>
      <c r="AF43" s="586"/>
      <c r="AG43" s="587"/>
      <c r="AH43" s="588"/>
      <c r="AJ43" s="589"/>
      <c r="AL43" s="589"/>
      <c r="AM43" s="587"/>
      <c r="AN43" s="588"/>
      <c r="AP43" s="589"/>
      <c r="AQ43" s="587"/>
      <c r="AR43" s="588"/>
      <c r="AT43" s="589"/>
      <c r="AU43" s="590"/>
      <c r="AV43" s="590"/>
      <c r="AW43" s="590"/>
      <c r="AX43" s="590"/>
      <c r="AY43" s="591"/>
    </row>
    <row r="44" spans="1:51" ht="12" customHeight="1" thickBot="1" x14ac:dyDescent="0.6">
      <c r="A44" s="671"/>
      <c r="B44" s="613" t="s">
        <v>252</v>
      </c>
      <c r="C44" s="602">
        <v>4</v>
      </c>
      <c r="D44" s="603" t="s">
        <v>253</v>
      </c>
      <c r="E44" s="634"/>
      <c r="F44" s="635"/>
      <c r="G44" s="635"/>
      <c r="H44" s="635"/>
      <c r="I44" s="636">
        <v>0</v>
      </c>
      <c r="J44" s="637">
        <v>0</v>
      </c>
      <c r="K44" s="577">
        <v>0</v>
      </c>
      <c r="L44" s="578">
        <v>0</v>
      </c>
      <c r="M44" s="608">
        <v>0</v>
      </c>
      <c r="O44" s="638">
        <v>0</v>
      </c>
      <c r="P44" s="610">
        <v>0</v>
      </c>
      <c r="Q44" s="582"/>
      <c r="R44" s="583"/>
      <c r="S44" s="583"/>
      <c r="T44" s="672">
        <v>0</v>
      </c>
      <c r="U44" s="673">
        <v>10454545</v>
      </c>
      <c r="V44" s="673">
        <v>-10454545</v>
      </c>
      <c r="W44" s="673"/>
      <c r="X44" s="673"/>
      <c r="Y44" s="673"/>
      <c r="Z44" s="673"/>
      <c r="AA44" s="674">
        <v>0</v>
      </c>
      <c r="AB44" s="625">
        <v>0</v>
      </c>
      <c r="AD44" s="585">
        <v>0</v>
      </c>
      <c r="AE44" s="626">
        <v>0</v>
      </c>
      <c r="AF44" s="586"/>
      <c r="AG44" s="587"/>
      <c r="AH44" s="588"/>
      <c r="AI44" s="506" t="s">
        <v>1771</v>
      </c>
      <c r="AJ44" s="589">
        <v>-4545455</v>
      </c>
      <c r="AL44" s="589"/>
      <c r="AM44" s="506" t="s">
        <v>1789</v>
      </c>
      <c r="AN44" s="588">
        <v>15000000</v>
      </c>
      <c r="AO44" s="506" t="s">
        <v>1796</v>
      </c>
      <c r="AP44" s="589">
        <v>-10454545</v>
      </c>
      <c r="AQ44" s="587"/>
      <c r="AR44" s="588"/>
      <c r="AT44" s="589"/>
      <c r="AU44" s="590"/>
      <c r="AV44" s="590"/>
      <c r="AW44" s="590"/>
      <c r="AX44" s="590"/>
      <c r="AY44" s="591"/>
    </row>
    <row r="45" spans="1:51" ht="12" customHeight="1" x14ac:dyDescent="0.55000000000000004">
      <c r="B45" s="592" t="s">
        <v>254</v>
      </c>
      <c r="C45" s="593">
        <v>2</v>
      </c>
      <c r="D45" s="592" t="s">
        <v>255</v>
      </c>
      <c r="E45" s="594"/>
      <c r="F45" s="595">
        <v>0</v>
      </c>
      <c r="G45" s="595">
        <v>0</v>
      </c>
      <c r="H45" s="595">
        <v>650000000</v>
      </c>
      <c r="I45" s="596">
        <v>0</v>
      </c>
      <c r="J45" s="597">
        <v>650000000</v>
      </c>
      <c r="K45" s="577">
        <v>0</v>
      </c>
      <c r="L45" s="578">
        <v>0</v>
      </c>
      <c r="M45" s="598">
        <v>0</v>
      </c>
      <c r="O45" s="599">
        <v>0</v>
      </c>
      <c r="P45" s="600">
        <v>0</v>
      </c>
      <c r="Q45" s="582"/>
      <c r="R45" s="583"/>
      <c r="S45" s="583"/>
      <c r="T45" s="614" t="s">
        <v>1985</v>
      </c>
      <c r="U45" s="615" t="s">
        <v>1827</v>
      </c>
      <c r="V45" s="615" t="s">
        <v>1828</v>
      </c>
      <c r="W45" s="615"/>
      <c r="X45" s="615"/>
      <c r="Y45" s="615"/>
      <c r="Z45" s="615"/>
      <c r="AA45" s="616" t="s">
        <v>1989</v>
      </c>
      <c r="AD45" s="585"/>
      <c r="AE45" s="626">
        <v>0</v>
      </c>
      <c r="AF45" s="586"/>
      <c r="AG45" s="587"/>
      <c r="AH45" s="588"/>
      <c r="AJ45" s="589"/>
      <c r="AL45" s="589"/>
      <c r="AM45" s="587"/>
      <c r="AN45" s="588"/>
      <c r="AP45" s="589"/>
      <c r="AQ45" s="587"/>
      <c r="AR45" s="588"/>
      <c r="AT45" s="589"/>
      <c r="AU45" s="590"/>
      <c r="AV45" s="590"/>
      <c r="AW45" s="590"/>
      <c r="AX45" s="590"/>
      <c r="AY45" s="591"/>
    </row>
    <row r="46" spans="1:51" ht="12" customHeight="1" x14ac:dyDescent="0.55000000000000004">
      <c r="B46" s="617" t="s">
        <v>256</v>
      </c>
      <c r="C46" s="618">
        <v>4</v>
      </c>
      <c r="D46" s="675" t="s">
        <v>257</v>
      </c>
      <c r="E46" s="604"/>
      <c r="F46" s="605"/>
      <c r="G46" s="605"/>
      <c r="H46" s="632">
        <v>650000000</v>
      </c>
      <c r="I46" s="606">
        <v>0</v>
      </c>
      <c r="J46" s="607">
        <v>650000000</v>
      </c>
      <c r="K46" s="577">
        <v>0</v>
      </c>
      <c r="L46" s="578">
        <v>650000000</v>
      </c>
      <c r="M46" s="608">
        <v>0</v>
      </c>
      <c r="O46" s="638">
        <v>0</v>
      </c>
      <c r="P46" s="610">
        <v>0</v>
      </c>
      <c r="Q46" s="582"/>
      <c r="R46" s="583"/>
      <c r="S46" s="583"/>
      <c r="T46" s="659">
        <v>0</v>
      </c>
      <c r="U46" s="660"/>
      <c r="V46" s="660"/>
      <c r="W46" s="660"/>
      <c r="X46" s="660"/>
      <c r="Y46" s="660"/>
      <c r="Z46" s="660"/>
      <c r="AA46" s="661">
        <v>0</v>
      </c>
      <c r="AB46" s="625">
        <v>0</v>
      </c>
      <c r="AD46" s="585">
        <v>0</v>
      </c>
      <c r="AE46" s="626">
        <v>0</v>
      </c>
      <c r="AF46" s="586"/>
      <c r="AG46" s="587"/>
      <c r="AH46" s="588"/>
      <c r="AJ46" s="589"/>
      <c r="AL46" s="589"/>
      <c r="AM46" s="587"/>
      <c r="AN46" s="588"/>
      <c r="AP46" s="589"/>
      <c r="AQ46" s="587"/>
      <c r="AR46" s="588"/>
      <c r="AT46" s="589"/>
      <c r="AU46" s="590"/>
      <c r="AV46" s="590"/>
      <c r="AW46" s="590"/>
      <c r="AX46" s="590"/>
      <c r="AY46" s="591"/>
    </row>
    <row r="47" spans="1:51" ht="12" customHeight="1" thickBot="1" x14ac:dyDescent="0.6">
      <c r="B47" s="617"/>
      <c r="C47" s="618">
        <v>4</v>
      </c>
      <c r="D47" s="675" t="s">
        <v>258</v>
      </c>
      <c r="E47" s="604"/>
      <c r="F47" s="605"/>
      <c r="G47" s="605"/>
      <c r="H47" s="605"/>
      <c r="I47" s="606">
        <v>0</v>
      </c>
      <c r="J47" s="607">
        <v>0</v>
      </c>
      <c r="K47" s="577">
        <v>0</v>
      </c>
      <c r="L47" s="578">
        <v>0</v>
      </c>
      <c r="M47" s="608">
        <v>0</v>
      </c>
      <c r="O47" s="609">
        <v>0</v>
      </c>
      <c r="P47" s="610">
        <v>0</v>
      </c>
      <c r="Q47" s="582"/>
      <c r="R47" s="583"/>
      <c r="S47" s="583"/>
      <c r="T47" s="659">
        <v>0</v>
      </c>
      <c r="U47" s="660"/>
      <c r="V47" s="660"/>
      <c r="W47" s="660"/>
      <c r="X47" s="660"/>
      <c r="Y47" s="660"/>
      <c r="Z47" s="660"/>
      <c r="AA47" s="661">
        <v>0</v>
      </c>
      <c r="AB47" s="625">
        <v>0</v>
      </c>
      <c r="AD47" s="585">
        <v>0</v>
      </c>
      <c r="AE47" s="626">
        <v>0</v>
      </c>
      <c r="AF47" s="586"/>
      <c r="AG47" s="587"/>
      <c r="AH47" s="588"/>
      <c r="AJ47" s="589"/>
      <c r="AL47" s="589"/>
      <c r="AM47" s="587"/>
      <c r="AN47" s="588"/>
      <c r="AP47" s="589"/>
      <c r="AQ47" s="587"/>
      <c r="AR47" s="588"/>
      <c r="AT47" s="589"/>
      <c r="AU47" s="590"/>
      <c r="AV47" s="590"/>
      <c r="AW47" s="590"/>
      <c r="AX47" s="590"/>
      <c r="AY47" s="591"/>
    </row>
    <row r="48" spans="1:51" ht="12" customHeight="1" x14ac:dyDescent="0.55000000000000004">
      <c r="B48" s="592" t="s">
        <v>259</v>
      </c>
      <c r="C48" s="593">
        <v>2</v>
      </c>
      <c r="D48" s="592" t="s">
        <v>260</v>
      </c>
      <c r="E48" s="594"/>
      <c r="F48" s="595">
        <v>38608000</v>
      </c>
      <c r="G48" s="595">
        <v>0</v>
      </c>
      <c r="H48" s="595">
        <v>74000000</v>
      </c>
      <c r="I48" s="596">
        <v>352940320</v>
      </c>
      <c r="J48" s="597">
        <v>465548320</v>
      </c>
      <c r="K48" s="577">
        <v>0</v>
      </c>
      <c r="L48" s="578">
        <v>0</v>
      </c>
      <c r="M48" s="598">
        <v>465548320</v>
      </c>
      <c r="O48" s="599">
        <v>465548320</v>
      </c>
      <c r="P48" s="600">
        <v>149790320</v>
      </c>
      <c r="Q48" s="582"/>
      <c r="R48" s="583"/>
      <c r="S48" s="583"/>
      <c r="T48" s="614" t="s">
        <v>1985</v>
      </c>
      <c r="U48" s="615" t="s">
        <v>1827</v>
      </c>
      <c r="V48" s="615" t="s">
        <v>1828</v>
      </c>
      <c r="W48" s="615"/>
      <c r="X48" s="615"/>
      <c r="Y48" s="615"/>
      <c r="Z48" s="615"/>
      <c r="AA48" s="616" t="s">
        <v>1989</v>
      </c>
      <c r="AD48" s="585"/>
      <c r="AE48" s="626">
        <v>0</v>
      </c>
      <c r="AF48" s="586"/>
      <c r="AG48" s="587"/>
      <c r="AH48" s="588"/>
      <c r="AJ48" s="589"/>
      <c r="AL48" s="589"/>
      <c r="AM48" s="587"/>
      <c r="AN48" s="588"/>
      <c r="AP48" s="589"/>
      <c r="AQ48" s="587"/>
      <c r="AR48" s="588"/>
      <c r="AT48" s="589"/>
      <c r="AU48" s="590"/>
      <c r="AV48" s="590"/>
      <c r="AW48" s="590"/>
      <c r="AX48" s="590"/>
      <c r="AY48" s="591"/>
    </row>
    <row r="49" spans="2:51" ht="12" customHeight="1" x14ac:dyDescent="0.55000000000000004">
      <c r="B49" s="617" t="s">
        <v>261</v>
      </c>
      <c r="C49" s="618">
        <v>4</v>
      </c>
      <c r="D49" s="675" t="s">
        <v>262</v>
      </c>
      <c r="E49" s="604"/>
      <c r="F49" s="605">
        <v>30000000</v>
      </c>
      <c r="G49" s="605"/>
      <c r="H49" s="605">
        <v>74000000</v>
      </c>
      <c r="I49" s="606">
        <v>135100000</v>
      </c>
      <c r="J49" s="607">
        <v>239100000</v>
      </c>
      <c r="K49" s="577">
        <v>0</v>
      </c>
      <c r="L49" s="578">
        <v>0</v>
      </c>
      <c r="M49" s="608">
        <v>239100000</v>
      </c>
      <c r="O49" s="638">
        <v>239100000</v>
      </c>
      <c r="P49" s="610">
        <v>39100000</v>
      </c>
      <c r="Q49" s="582" t="s">
        <v>261</v>
      </c>
      <c r="R49" s="583"/>
      <c r="S49" s="583"/>
      <c r="T49" s="659">
        <v>39100000</v>
      </c>
      <c r="U49" s="660">
        <v>200000000</v>
      </c>
      <c r="V49" s="660"/>
      <c r="W49" s="660"/>
      <c r="X49" s="660"/>
      <c r="Y49" s="660"/>
      <c r="Z49" s="660"/>
      <c r="AA49" s="661">
        <v>239100000</v>
      </c>
      <c r="AB49" s="625">
        <v>0</v>
      </c>
      <c r="AD49" s="585">
        <v>-200000000</v>
      </c>
      <c r="AE49" s="626">
        <v>0</v>
      </c>
      <c r="AF49" s="586"/>
      <c r="AG49" s="587"/>
      <c r="AH49" s="588"/>
      <c r="AJ49" s="589"/>
      <c r="AL49" s="589"/>
      <c r="AM49" s="587"/>
      <c r="AN49" s="588"/>
      <c r="AO49" s="506" t="s">
        <v>1797</v>
      </c>
      <c r="AP49" s="589">
        <v>-200000000</v>
      </c>
      <c r="AQ49" s="587"/>
      <c r="AR49" s="588"/>
      <c r="AT49" s="589"/>
      <c r="AU49" s="590"/>
      <c r="AV49" s="590"/>
      <c r="AW49" s="590"/>
      <c r="AX49" s="590"/>
      <c r="AY49" s="591"/>
    </row>
    <row r="50" spans="2:51" ht="12" customHeight="1" x14ac:dyDescent="0.55000000000000004">
      <c r="B50" s="617" t="s">
        <v>263</v>
      </c>
      <c r="C50" s="618">
        <v>4</v>
      </c>
      <c r="D50" s="675" t="s">
        <v>264</v>
      </c>
      <c r="E50" s="604"/>
      <c r="F50" s="605">
        <v>8608000</v>
      </c>
      <c r="G50" s="605"/>
      <c r="H50" s="605"/>
      <c r="I50" s="606">
        <v>217840320</v>
      </c>
      <c r="J50" s="607">
        <v>226448320</v>
      </c>
      <c r="K50" s="577">
        <v>0</v>
      </c>
      <c r="L50" s="578">
        <v>0</v>
      </c>
      <c r="M50" s="608">
        <v>226448320</v>
      </c>
      <c r="O50" s="609">
        <v>226448320</v>
      </c>
      <c r="P50" s="610">
        <v>110690320</v>
      </c>
      <c r="Q50" s="582" t="s">
        <v>263</v>
      </c>
      <c r="R50" s="583"/>
      <c r="S50" s="583"/>
      <c r="T50" s="659">
        <v>110690320</v>
      </c>
      <c r="U50" s="660">
        <v>115758000</v>
      </c>
      <c r="V50" s="660"/>
      <c r="W50" s="660"/>
      <c r="X50" s="660"/>
      <c r="Y50" s="660"/>
      <c r="Z50" s="660"/>
      <c r="AA50" s="661">
        <v>226448320</v>
      </c>
      <c r="AB50" s="625">
        <v>0</v>
      </c>
      <c r="AD50" s="585">
        <v>-115758000</v>
      </c>
      <c r="AE50" s="626">
        <v>0</v>
      </c>
      <c r="AF50" s="586"/>
      <c r="AG50" s="587"/>
      <c r="AH50" s="588"/>
      <c r="AJ50" s="589"/>
      <c r="AL50" s="589"/>
      <c r="AM50" s="587"/>
      <c r="AN50" s="588"/>
      <c r="AO50" s="506" t="s">
        <v>1797</v>
      </c>
      <c r="AP50" s="589">
        <v>-115758000</v>
      </c>
      <c r="AQ50" s="587"/>
      <c r="AR50" s="588"/>
      <c r="AT50" s="589"/>
      <c r="AU50" s="590"/>
      <c r="AV50" s="590"/>
      <c r="AW50" s="590"/>
      <c r="AX50" s="590"/>
      <c r="AY50" s="591"/>
    </row>
    <row r="51" spans="2:51" ht="12" customHeight="1" x14ac:dyDescent="0.55000000000000004">
      <c r="B51" s="617" t="s">
        <v>265</v>
      </c>
      <c r="C51" s="618">
        <v>4</v>
      </c>
      <c r="D51" s="675" t="s">
        <v>266</v>
      </c>
      <c r="E51" s="604"/>
      <c r="F51" s="605"/>
      <c r="G51" s="605"/>
      <c r="H51" s="605"/>
      <c r="I51" s="606">
        <v>0</v>
      </c>
      <c r="J51" s="607">
        <v>0</v>
      </c>
      <c r="K51" s="577">
        <v>0</v>
      </c>
      <c r="L51" s="578">
        <v>0</v>
      </c>
      <c r="M51" s="619">
        <v>0</v>
      </c>
      <c r="O51" s="609">
        <v>0</v>
      </c>
      <c r="P51" s="610">
        <v>0</v>
      </c>
      <c r="Q51" s="582"/>
      <c r="R51" s="583"/>
      <c r="S51" s="583"/>
      <c r="T51" s="659">
        <v>0</v>
      </c>
      <c r="U51" s="660"/>
      <c r="V51" s="660"/>
      <c r="W51" s="660"/>
      <c r="X51" s="660"/>
      <c r="Y51" s="660"/>
      <c r="Z51" s="660"/>
      <c r="AA51" s="661">
        <v>0</v>
      </c>
      <c r="AB51" s="625">
        <v>0</v>
      </c>
      <c r="AD51" s="585">
        <v>0</v>
      </c>
      <c r="AE51" s="626">
        <v>0</v>
      </c>
      <c r="AF51" s="586"/>
      <c r="AG51" s="587"/>
      <c r="AH51" s="588"/>
      <c r="AJ51" s="589"/>
      <c r="AL51" s="589"/>
      <c r="AM51" s="587"/>
      <c r="AN51" s="588"/>
      <c r="AP51" s="589"/>
      <c r="AQ51" s="587"/>
      <c r="AR51" s="588"/>
      <c r="AT51" s="589"/>
      <c r="AU51" s="590"/>
      <c r="AV51" s="590"/>
      <c r="AW51" s="590"/>
      <c r="AX51" s="590"/>
      <c r="AY51" s="591"/>
    </row>
    <row r="52" spans="2:51" ht="12" customHeight="1" thickBot="1" x14ac:dyDescent="0.6">
      <c r="B52" s="631" t="s">
        <v>267</v>
      </c>
      <c r="C52" s="618">
        <v>4</v>
      </c>
      <c r="D52" s="675" t="s">
        <v>268</v>
      </c>
      <c r="E52" s="634"/>
      <c r="F52" s="635"/>
      <c r="G52" s="635"/>
      <c r="H52" s="635"/>
      <c r="I52" s="636">
        <v>0</v>
      </c>
      <c r="J52" s="637">
        <v>0</v>
      </c>
      <c r="K52" s="577">
        <v>0</v>
      </c>
      <c r="L52" s="578">
        <v>0</v>
      </c>
      <c r="M52" s="608">
        <v>0</v>
      </c>
      <c r="O52" s="638">
        <v>0</v>
      </c>
      <c r="P52" s="610">
        <v>0</v>
      </c>
      <c r="Q52" s="582"/>
      <c r="R52" s="583"/>
      <c r="S52" s="583"/>
      <c r="T52" s="672">
        <v>0</v>
      </c>
      <c r="U52" s="673"/>
      <c r="V52" s="673"/>
      <c r="W52" s="673"/>
      <c r="X52" s="673"/>
      <c r="Y52" s="673"/>
      <c r="Z52" s="673"/>
      <c r="AA52" s="674">
        <v>0</v>
      </c>
      <c r="AB52" s="625">
        <v>0</v>
      </c>
      <c r="AD52" s="585">
        <v>0</v>
      </c>
      <c r="AE52" s="626">
        <v>0</v>
      </c>
      <c r="AF52" s="586"/>
      <c r="AG52" s="587"/>
      <c r="AH52" s="588"/>
      <c r="AJ52" s="589"/>
      <c r="AL52" s="589"/>
      <c r="AM52" s="587"/>
      <c r="AN52" s="588"/>
      <c r="AP52" s="589"/>
      <c r="AQ52" s="587"/>
      <c r="AR52" s="588"/>
      <c r="AT52" s="589"/>
      <c r="AU52" s="590"/>
      <c r="AV52" s="590"/>
      <c r="AW52" s="590"/>
      <c r="AX52" s="590"/>
      <c r="AY52" s="591"/>
    </row>
    <row r="53" spans="2:51" ht="12" customHeight="1" x14ac:dyDescent="0.55000000000000004">
      <c r="B53" s="676" t="s">
        <v>269</v>
      </c>
      <c r="C53" s="677">
        <v>1</v>
      </c>
      <c r="D53" s="678" t="s">
        <v>184</v>
      </c>
      <c r="E53" s="679"/>
      <c r="F53" s="680">
        <v>3831802647</v>
      </c>
      <c r="G53" s="680">
        <v>256283132</v>
      </c>
      <c r="H53" s="680">
        <v>4589286473</v>
      </c>
      <c r="I53" s="681">
        <v>10136340314</v>
      </c>
      <c r="J53" s="682">
        <v>18813712566</v>
      </c>
      <c r="K53" s="577">
        <v>0</v>
      </c>
      <c r="L53" s="578">
        <v>0</v>
      </c>
      <c r="M53" s="683">
        <v>18642187650</v>
      </c>
      <c r="O53" s="684">
        <v>18642187650</v>
      </c>
      <c r="P53" s="685">
        <v>4531066527</v>
      </c>
      <c r="Q53" s="582"/>
      <c r="R53" s="583"/>
      <c r="S53" s="583"/>
      <c r="T53" s="584"/>
      <c r="U53" s="584"/>
      <c r="V53" s="584"/>
      <c r="W53" s="584"/>
      <c r="X53" s="584"/>
      <c r="Y53" s="584"/>
      <c r="Z53" s="584"/>
      <c r="AA53" s="584"/>
      <c r="AD53" s="585"/>
      <c r="AE53" s="626">
        <v>0</v>
      </c>
      <c r="AF53" s="586"/>
      <c r="AG53" s="587"/>
      <c r="AH53" s="588"/>
      <c r="AJ53" s="589"/>
      <c r="AL53" s="589"/>
      <c r="AM53" s="587"/>
      <c r="AN53" s="588"/>
      <c r="AP53" s="589"/>
      <c r="AQ53" s="587"/>
      <c r="AR53" s="588"/>
      <c r="AT53" s="589"/>
      <c r="AU53" s="590"/>
      <c r="AV53" s="590"/>
      <c r="AW53" s="590"/>
      <c r="AX53" s="590"/>
      <c r="AY53" s="591"/>
    </row>
    <row r="54" spans="2:51" ht="12" customHeight="1" x14ac:dyDescent="0.55000000000000004">
      <c r="B54" s="571" t="s">
        <v>270</v>
      </c>
      <c r="C54" s="572">
        <v>2</v>
      </c>
      <c r="D54" s="571" t="s">
        <v>271</v>
      </c>
      <c r="E54" s="573"/>
      <c r="F54" s="574">
        <v>285128155</v>
      </c>
      <c r="G54" s="574">
        <v>232600815</v>
      </c>
      <c r="H54" s="574">
        <v>753305854</v>
      </c>
      <c r="I54" s="575">
        <v>412381840</v>
      </c>
      <c r="J54" s="576">
        <v>1683416664</v>
      </c>
      <c r="K54" s="577">
        <v>0</v>
      </c>
      <c r="L54" s="578">
        <v>0</v>
      </c>
      <c r="M54" s="579">
        <v>1631868664</v>
      </c>
      <c r="O54" s="580">
        <v>1631868664</v>
      </c>
      <c r="P54" s="581">
        <v>1203729196</v>
      </c>
      <c r="Q54" s="582"/>
      <c r="R54" s="583"/>
      <c r="S54" s="583"/>
      <c r="T54" s="584"/>
      <c r="U54" s="584"/>
      <c r="V54" s="584"/>
      <c r="W54" s="584"/>
      <c r="X54" s="584"/>
      <c r="Y54" s="584"/>
      <c r="Z54" s="584"/>
      <c r="AA54" s="584"/>
      <c r="AD54" s="585"/>
      <c r="AE54" s="626">
        <v>0</v>
      </c>
      <c r="AF54" s="586"/>
      <c r="AG54" s="587"/>
      <c r="AH54" s="588"/>
      <c r="AJ54" s="589"/>
      <c r="AL54" s="589"/>
      <c r="AM54" s="587"/>
      <c r="AN54" s="588"/>
      <c r="AP54" s="589"/>
      <c r="AQ54" s="587"/>
      <c r="AR54" s="588"/>
      <c r="AT54" s="589"/>
      <c r="AU54" s="590"/>
      <c r="AV54" s="590"/>
      <c r="AW54" s="590"/>
      <c r="AX54" s="590"/>
      <c r="AY54" s="591"/>
    </row>
    <row r="55" spans="2:51" ht="12" customHeight="1" x14ac:dyDescent="0.55000000000000004">
      <c r="B55" s="601" t="s">
        <v>151</v>
      </c>
      <c r="C55" s="602">
        <v>4</v>
      </c>
      <c r="D55" s="603" t="s">
        <v>272</v>
      </c>
      <c r="E55" s="634"/>
      <c r="F55" s="635">
        <v>7402399</v>
      </c>
      <c r="G55" s="635">
        <v>179534585</v>
      </c>
      <c r="H55" s="635">
        <v>534721414</v>
      </c>
      <c r="I55" s="636">
        <v>205820205</v>
      </c>
      <c r="J55" s="637">
        <v>927478603</v>
      </c>
      <c r="K55" s="577">
        <v>1251000</v>
      </c>
      <c r="L55" s="578">
        <v>114461539</v>
      </c>
      <c r="M55" s="608">
        <v>1040689142</v>
      </c>
      <c r="O55" s="609">
        <v>1040689142</v>
      </c>
      <c r="P55" s="610">
        <v>437912728</v>
      </c>
      <c r="Q55" s="582" t="s">
        <v>151</v>
      </c>
      <c r="R55" s="583"/>
      <c r="S55" s="583"/>
      <c r="T55" s="584"/>
      <c r="U55" s="584"/>
      <c r="V55" s="584"/>
      <c r="W55" s="584"/>
      <c r="X55" s="584"/>
      <c r="Y55" s="584"/>
      <c r="Z55" s="584"/>
      <c r="AA55" s="584"/>
      <c r="AD55" s="585">
        <v>602776414</v>
      </c>
      <c r="AE55" s="626">
        <v>0</v>
      </c>
      <c r="AF55" s="586"/>
      <c r="AG55" s="587"/>
      <c r="AH55" s="588"/>
      <c r="AJ55" s="589"/>
      <c r="AK55" s="506" t="s">
        <v>1779</v>
      </c>
      <c r="AL55" s="589">
        <v>602776414</v>
      </c>
      <c r="AM55" s="587"/>
      <c r="AN55" s="588"/>
      <c r="AP55" s="589"/>
      <c r="AQ55" s="587"/>
      <c r="AR55" s="588"/>
      <c r="AT55" s="589"/>
      <c r="AU55" s="590"/>
      <c r="AV55" s="590"/>
      <c r="AW55" s="590"/>
      <c r="AX55" s="590"/>
      <c r="AY55" s="591"/>
    </row>
    <row r="56" spans="2:51" ht="12" customHeight="1" x14ac:dyDescent="0.55000000000000004">
      <c r="B56" s="601" t="s">
        <v>273</v>
      </c>
      <c r="C56" s="602">
        <v>4</v>
      </c>
      <c r="D56" s="603" t="s">
        <v>274</v>
      </c>
      <c r="E56" s="634"/>
      <c r="F56" s="605">
        <v>114461539</v>
      </c>
      <c r="G56" s="605"/>
      <c r="H56" s="605"/>
      <c r="I56" s="606">
        <v>0</v>
      </c>
      <c r="J56" s="637">
        <v>114461539</v>
      </c>
      <c r="K56" s="577">
        <v>114461539</v>
      </c>
      <c r="L56" s="578">
        <v>0</v>
      </c>
      <c r="M56" s="608">
        <v>0</v>
      </c>
      <c r="O56" s="609">
        <v>0</v>
      </c>
      <c r="P56" s="610">
        <v>0</v>
      </c>
      <c r="Q56" s="582"/>
      <c r="R56" s="583"/>
      <c r="S56" s="583"/>
      <c r="T56" s="584"/>
      <c r="U56" s="584"/>
      <c r="V56" s="584"/>
      <c r="W56" s="584"/>
      <c r="X56" s="584"/>
      <c r="Y56" s="584"/>
      <c r="Z56" s="584"/>
      <c r="AA56" s="584"/>
      <c r="AD56" s="585">
        <v>0</v>
      </c>
      <c r="AE56" s="626">
        <v>0</v>
      </c>
      <c r="AF56" s="586"/>
      <c r="AG56" s="587"/>
      <c r="AH56" s="588"/>
      <c r="AJ56" s="589"/>
      <c r="AK56" s="506" t="s">
        <v>1780</v>
      </c>
      <c r="AL56" s="589">
        <v>0</v>
      </c>
      <c r="AM56" s="587"/>
      <c r="AN56" s="588"/>
      <c r="AP56" s="589"/>
      <c r="AQ56" s="587"/>
      <c r="AR56" s="588"/>
      <c r="AT56" s="589"/>
      <c r="AU56" s="590"/>
      <c r="AV56" s="590"/>
      <c r="AW56" s="590"/>
      <c r="AX56" s="590"/>
      <c r="AY56" s="591"/>
    </row>
    <row r="57" spans="2:51" ht="12" customHeight="1" x14ac:dyDescent="0.55000000000000004">
      <c r="B57" s="601" t="s">
        <v>275</v>
      </c>
      <c r="C57" s="602">
        <v>4</v>
      </c>
      <c r="D57" s="603" t="s">
        <v>276</v>
      </c>
      <c r="E57" s="686"/>
      <c r="F57" s="687">
        <v>4530880</v>
      </c>
      <c r="G57" s="687">
        <v>2769230</v>
      </c>
      <c r="H57" s="687">
        <v>11101410</v>
      </c>
      <c r="I57" s="688">
        <v>19722900</v>
      </c>
      <c r="J57" s="689">
        <v>38124420</v>
      </c>
      <c r="K57" s="577">
        <v>0</v>
      </c>
      <c r="L57" s="578">
        <v>0</v>
      </c>
      <c r="M57" s="608">
        <v>38124420</v>
      </c>
      <c r="O57" s="609">
        <v>38124420</v>
      </c>
      <c r="P57" s="610">
        <v>14618887</v>
      </c>
      <c r="Q57" s="582" t="s">
        <v>275</v>
      </c>
      <c r="R57" s="583"/>
      <c r="S57" s="583"/>
      <c r="T57" s="584"/>
      <c r="U57" s="584"/>
      <c r="V57" s="584"/>
      <c r="W57" s="584"/>
      <c r="X57" s="584"/>
      <c r="Y57" s="584"/>
      <c r="Z57" s="584"/>
      <c r="AA57" s="584"/>
      <c r="AD57" s="585">
        <v>23505533</v>
      </c>
      <c r="AE57" s="626">
        <v>0</v>
      </c>
      <c r="AF57" s="586"/>
      <c r="AG57" s="587"/>
      <c r="AH57" s="588"/>
      <c r="AJ57" s="589"/>
      <c r="AK57" s="506" t="s">
        <v>1781</v>
      </c>
      <c r="AL57" s="589">
        <v>23505533</v>
      </c>
      <c r="AM57" s="587"/>
      <c r="AN57" s="588"/>
      <c r="AP57" s="589"/>
      <c r="AQ57" s="587"/>
      <c r="AR57" s="588"/>
      <c r="AT57" s="589"/>
      <c r="AU57" s="590"/>
      <c r="AV57" s="590"/>
      <c r="AW57" s="590"/>
      <c r="AX57" s="590"/>
      <c r="AY57" s="591"/>
    </row>
    <row r="58" spans="2:51" ht="12" customHeight="1" thickBot="1" x14ac:dyDescent="0.6">
      <c r="B58" s="601" t="s">
        <v>277</v>
      </c>
      <c r="C58" s="602">
        <v>4</v>
      </c>
      <c r="D58" s="603" t="s">
        <v>278</v>
      </c>
      <c r="E58" s="686"/>
      <c r="F58" s="687"/>
      <c r="G58" s="687"/>
      <c r="H58" s="687"/>
      <c r="I58" s="688">
        <v>4351740</v>
      </c>
      <c r="J58" s="689">
        <v>4351740</v>
      </c>
      <c r="K58" s="577">
        <v>0</v>
      </c>
      <c r="L58" s="578">
        <v>0</v>
      </c>
      <c r="M58" s="608">
        <v>4351740</v>
      </c>
      <c r="O58" s="609">
        <v>4351740</v>
      </c>
      <c r="P58" s="610">
        <v>0</v>
      </c>
      <c r="Q58" s="582" t="s">
        <v>1996</v>
      </c>
      <c r="R58" s="583"/>
      <c r="S58" s="583"/>
      <c r="T58" s="584"/>
      <c r="U58" s="584"/>
      <c r="V58" s="584"/>
      <c r="W58" s="584"/>
      <c r="X58" s="584"/>
      <c r="Y58" s="584"/>
      <c r="Z58" s="584"/>
      <c r="AA58" s="584"/>
      <c r="AD58" s="585">
        <v>4351740</v>
      </c>
      <c r="AE58" s="626">
        <v>0</v>
      </c>
      <c r="AF58" s="586"/>
      <c r="AG58" s="587"/>
      <c r="AH58" s="588"/>
      <c r="AJ58" s="589"/>
      <c r="AK58" s="506" t="s">
        <v>1782</v>
      </c>
      <c r="AL58" s="589">
        <v>4351740</v>
      </c>
      <c r="AM58" s="587"/>
      <c r="AN58" s="588"/>
      <c r="AP58" s="589"/>
      <c r="AQ58" s="587"/>
      <c r="AR58" s="588"/>
      <c r="AT58" s="589"/>
      <c r="AU58" s="590"/>
      <c r="AV58" s="590"/>
      <c r="AW58" s="590"/>
      <c r="AX58" s="590"/>
      <c r="AY58" s="591"/>
    </row>
    <row r="59" spans="2:51" ht="12" customHeight="1" x14ac:dyDescent="0.55000000000000004">
      <c r="B59" s="601" t="s">
        <v>279</v>
      </c>
      <c r="C59" s="602">
        <v>4</v>
      </c>
      <c r="D59" s="603" t="s">
        <v>280</v>
      </c>
      <c r="E59" s="634"/>
      <c r="F59" s="605"/>
      <c r="G59" s="605">
        <v>0</v>
      </c>
      <c r="H59" s="605"/>
      <c r="I59" s="606">
        <v>0</v>
      </c>
      <c r="J59" s="637">
        <v>0</v>
      </c>
      <c r="K59" s="577">
        <v>0</v>
      </c>
      <c r="L59" s="578">
        <v>0</v>
      </c>
      <c r="M59" s="608">
        <v>0</v>
      </c>
      <c r="O59" s="609">
        <v>0</v>
      </c>
      <c r="P59" s="610">
        <v>0</v>
      </c>
      <c r="Q59" s="582"/>
      <c r="R59" s="583"/>
      <c r="S59" s="583"/>
      <c r="T59" s="614" t="s">
        <v>1985</v>
      </c>
      <c r="U59" s="615"/>
      <c r="V59" s="615"/>
      <c r="W59" s="615"/>
      <c r="X59" s="615"/>
      <c r="Y59" s="615"/>
      <c r="Z59" s="615"/>
      <c r="AA59" s="616" t="s">
        <v>1989</v>
      </c>
      <c r="AB59" s="269"/>
      <c r="AD59" s="585">
        <v>0</v>
      </c>
      <c r="AE59" s="626">
        <v>0</v>
      </c>
      <c r="AF59" s="586"/>
      <c r="AG59" s="587"/>
      <c r="AH59" s="588"/>
      <c r="AJ59" s="589"/>
      <c r="AK59" s="506" t="s">
        <v>1783</v>
      </c>
      <c r="AL59" s="589">
        <v>0</v>
      </c>
      <c r="AM59" s="587"/>
      <c r="AN59" s="588"/>
      <c r="AP59" s="589"/>
      <c r="AQ59" s="587"/>
      <c r="AR59" s="588"/>
      <c r="AT59" s="589"/>
      <c r="AU59" s="590"/>
      <c r="AV59" s="590"/>
      <c r="AW59" s="590"/>
      <c r="AX59" s="590"/>
      <c r="AY59" s="591"/>
    </row>
    <row r="60" spans="2:51" ht="12" customHeight="1" x14ac:dyDescent="0.55000000000000004">
      <c r="B60" s="601" t="s">
        <v>281</v>
      </c>
      <c r="C60" s="602">
        <v>4</v>
      </c>
      <c r="D60" s="603" t="s">
        <v>282</v>
      </c>
      <c r="E60" s="634"/>
      <c r="F60" s="605"/>
      <c r="G60" s="605">
        <v>50297000</v>
      </c>
      <c r="H60" s="605"/>
      <c r="I60" s="606">
        <v>0</v>
      </c>
      <c r="J60" s="637">
        <v>50297000</v>
      </c>
      <c r="K60" s="577">
        <v>50297000</v>
      </c>
      <c r="L60" s="578">
        <v>0</v>
      </c>
      <c r="M60" s="608">
        <v>0</v>
      </c>
      <c r="O60" s="609">
        <v>0</v>
      </c>
      <c r="P60" s="610">
        <v>0</v>
      </c>
      <c r="Q60" s="582"/>
      <c r="R60" s="583"/>
      <c r="S60" s="583"/>
      <c r="T60" s="659">
        <v>0</v>
      </c>
      <c r="U60" s="660"/>
      <c r="V60" s="660"/>
      <c r="W60" s="660"/>
      <c r="X60" s="660"/>
      <c r="Y60" s="660"/>
      <c r="Z60" s="660"/>
      <c r="AA60" s="661">
        <v>0</v>
      </c>
      <c r="AB60" s="625">
        <v>0</v>
      </c>
      <c r="AD60" s="585">
        <v>0</v>
      </c>
      <c r="AE60" s="626">
        <v>0</v>
      </c>
      <c r="AF60" s="586"/>
      <c r="AG60" s="587"/>
      <c r="AH60" s="588"/>
      <c r="AJ60" s="589"/>
      <c r="AL60" s="589"/>
      <c r="AM60" s="587"/>
      <c r="AN60" s="588"/>
      <c r="AP60" s="589"/>
      <c r="AQ60" s="587"/>
      <c r="AR60" s="588"/>
      <c r="AT60" s="589"/>
      <c r="AU60" s="590"/>
      <c r="AV60" s="590"/>
      <c r="AW60" s="590"/>
      <c r="AX60" s="590"/>
      <c r="AY60" s="591"/>
    </row>
    <row r="61" spans="2:51" ht="12" customHeight="1" thickBot="1" x14ac:dyDescent="0.6">
      <c r="B61" s="601" t="s">
        <v>283</v>
      </c>
      <c r="C61" s="602">
        <v>4</v>
      </c>
      <c r="D61" s="603" t="s">
        <v>284</v>
      </c>
      <c r="E61" s="634"/>
      <c r="F61" s="605"/>
      <c r="G61" s="605"/>
      <c r="H61" s="605"/>
      <c r="I61" s="606">
        <v>0</v>
      </c>
      <c r="J61" s="637">
        <v>0</v>
      </c>
      <c r="K61" s="577">
        <v>0</v>
      </c>
      <c r="L61" s="578">
        <v>0</v>
      </c>
      <c r="M61" s="608">
        <v>0</v>
      </c>
      <c r="O61" s="609">
        <v>0</v>
      </c>
      <c r="P61" s="610">
        <v>0</v>
      </c>
      <c r="Q61" s="582"/>
      <c r="R61" s="583"/>
      <c r="S61" s="583"/>
      <c r="T61" s="672">
        <v>0</v>
      </c>
      <c r="U61" s="673"/>
      <c r="V61" s="673"/>
      <c r="W61" s="673"/>
      <c r="X61" s="673"/>
      <c r="Y61" s="673"/>
      <c r="Z61" s="673"/>
      <c r="AA61" s="674">
        <v>0</v>
      </c>
      <c r="AB61" s="625">
        <v>0</v>
      </c>
      <c r="AD61" s="585">
        <v>0</v>
      </c>
      <c r="AE61" s="626">
        <v>0</v>
      </c>
      <c r="AF61" s="586"/>
      <c r="AG61" s="587"/>
      <c r="AH61" s="588"/>
      <c r="AJ61" s="589"/>
      <c r="AL61" s="589"/>
      <c r="AM61" s="587"/>
      <c r="AN61" s="588"/>
      <c r="AP61" s="589"/>
      <c r="AQ61" s="587"/>
      <c r="AR61" s="588"/>
      <c r="AT61" s="589"/>
      <c r="AU61" s="590"/>
      <c r="AV61" s="590"/>
      <c r="AW61" s="590"/>
      <c r="AX61" s="590"/>
      <c r="AY61" s="591"/>
    </row>
    <row r="62" spans="2:51" ht="12" customHeight="1" thickBot="1" x14ac:dyDescent="0.6">
      <c r="B62" s="601" t="s">
        <v>285</v>
      </c>
      <c r="C62" s="602">
        <v>4</v>
      </c>
      <c r="D62" s="603" t="s">
        <v>286</v>
      </c>
      <c r="E62" s="634"/>
      <c r="F62" s="605">
        <v>125692388</v>
      </c>
      <c r="G62" s="605"/>
      <c r="H62" s="605">
        <v>196239450</v>
      </c>
      <c r="I62" s="606">
        <v>14531543</v>
      </c>
      <c r="J62" s="637">
        <v>336463381</v>
      </c>
      <c r="K62" s="577">
        <v>0</v>
      </c>
      <c r="L62" s="578">
        <v>0</v>
      </c>
      <c r="M62" s="608">
        <v>336463381</v>
      </c>
      <c r="O62" s="609">
        <v>336463381</v>
      </c>
      <c r="P62" s="610">
        <v>596787933</v>
      </c>
      <c r="Q62" s="582" t="s">
        <v>279</v>
      </c>
      <c r="R62" s="583"/>
      <c r="S62" s="583"/>
      <c r="T62" s="584"/>
      <c r="U62" s="584"/>
      <c r="V62" s="584"/>
      <c r="W62" s="584"/>
      <c r="X62" s="584"/>
      <c r="Y62" s="584"/>
      <c r="Z62" s="584"/>
      <c r="AA62" s="584"/>
      <c r="AD62" s="585">
        <v>-260324552</v>
      </c>
      <c r="AE62" s="626">
        <v>0</v>
      </c>
      <c r="AF62" s="586"/>
      <c r="AG62" s="587"/>
      <c r="AH62" s="588"/>
      <c r="AJ62" s="589"/>
      <c r="AK62" s="506" t="s">
        <v>1784</v>
      </c>
      <c r="AL62" s="589">
        <v>-260324552</v>
      </c>
      <c r="AM62" s="587"/>
      <c r="AN62" s="588"/>
      <c r="AP62" s="589"/>
      <c r="AQ62" s="587"/>
      <c r="AR62" s="588"/>
      <c r="AT62" s="589"/>
      <c r="AU62" s="590"/>
      <c r="AV62" s="590"/>
      <c r="AW62" s="590"/>
      <c r="AX62" s="590"/>
      <c r="AY62" s="591"/>
    </row>
    <row r="63" spans="2:51" ht="12" customHeight="1" x14ac:dyDescent="0.55000000000000004">
      <c r="B63" s="617" t="s">
        <v>287</v>
      </c>
      <c r="C63" s="618">
        <v>4</v>
      </c>
      <c r="D63" s="603" t="s">
        <v>288</v>
      </c>
      <c r="E63" s="634"/>
      <c r="F63" s="605">
        <v>33040949</v>
      </c>
      <c r="G63" s="605"/>
      <c r="H63" s="605">
        <v>11243580</v>
      </c>
      <c r="I63" s="606">
        <v>67955452</v>
      </c>
      <c r="J63" s="637">
        <v>112239981</v>
      </c>
      <c r="K63" s="577">
        <v>0</v>
      </c>
      <c r="L63" s="578">
        <v>0</v>
      </c>
      <c r="M63" s="608">
        <v>112239981</v>
      </c>
      <c r="O63" s="609">
        <v>112239981</v>
      </c>
      <c r="P63" s="610">
        <v>54409648</v>
      </c>
      <c r="Q63" s="582" t="s">
        <v>287</v>
      </c>
      <c r="R63" s="583"/>
      <c r="S63" s="583"/>
      <c r="T63" s="614" t="s">
        <v>1985</v>
      </c>
      <c r="U63" s="615"/>
      <c r="V63" s="615"/>
      <c r="W63" s="615"/>
      <c r="X63" s="615"/>
      <c r="Y63" s="615"/>
      <c r="Z63" s="615"/>
      <c r="AA63" s="616" t="s">
        <v>1989</v>
      </c>
      <c r="AB63" s="269"/>
      <c r="AC63" s="690"/>
      <c r="AD63" s="585">
        <v>57830333</v>
      </c>
      <c r="AE63" s="626">
        <v>0</v>
      </c>
      <c r="AF63" s="586"/>
      <c r="AG63" s="587"/>
      <c r="AH63" s="588"/>
      <c r="AJ63" s="589"/>
      <c r="AK63" s="506" t="s">
        <v>1785</v>
      </c>
      <c r="AL63" s="589">
        <v>57830333</v>
      </c>
      <c r="AM63" s="587"/>
      <c r="AN63" s="588"/>
      <c r="AP63" s="589"/>
      <c r="AQ63" s="587"/>
      <c r="AR63" s="588"/>
      <c r="AT63" s="589"/>
      <c r="AU63" s="590"/>
      <c r="AV63" s="590"/>
      <c r="AW63" s="590"/>
      <c r="AX63" s="590"/>
      <c r="AY63" s="591"/>
    </row>
    <row r="64" spans="2:51" ht="12" customHeight="1" thickBot="1" x14ac:dyDescent="0.6">
      <c r="B64" s="631" t="s">
        <v>289</v>
      </c>
      <c r="C64" s="618">
        <v>4</v>
      </c>
      <c r="D64" s="603" t="s">
        <v>290</v>
      </c>
      <c r="E64" s="691"/>
      <c r="F64" s="692"/>
      <c r="G64" s="692"/>
      <c r="H64" s="692"/>
      <c r="I64" s="693">
        <v>100000000</v>
      </c>
      <c r="J64" s="694">
        <v>100000000</v>
      </c>
      <c r="K64" s="577">
        <v>0</v>
      </c>
      <c r="L64" s="578">
        <v>0</v>
      </c>
      <c r="M64" s="608">
        <v>100000000</v>
      </c>
      <c r="O64" s="609">
        <v>100000000</v>
      </c>
      <c r="P64" s="620">
        <v>100000000</v>
      </c>
      <c r="Q64" s="582" t="s">
        <v>289</v>
      </c>
      <c r="R64" s="583"/>
      <c r="S64" s="583"/>
      <c r="T64" s="659">
        <v>100000000</v>
      </c>
      <c r="U64" s="660"/>
      <c r="V64" s="660"/>
      <c r="W64" s="660"/>
      <c r="X64" s="660"/>
      <c r="Y64" s="660"/>
      <c r="Z64" s="660"/>
      <c r="AA64" s="661">
        <v>100000000</v>
      </c>
      <c r="AB64" s="625">
        <v>0</v>
      </c>
      <c r="AD64" s="585">
        <v>0</v>
      </c>
      <c r="AE64" s="626">
        <v>0</v>
      </c>
      <c r="AF64" s="586"/>
      <c r="AG64" s="587"/>
      <c r="AH64" s="588"/>
      <c r="AJ64" s="589"/>
      <c r="AL64" s="589"/>
      <c r="AM64" s="587"/>
      <c r="AN64" s="588"/>
      <c r="AP64" s="589"/>
      <c r="AQ64" s="587"/>
      <c r="AR64" s="588"/>
      <c r="AT64" s="589"/>
      <c r="AU64" s="590"/>
      <c r="AV64" s="590"/>
      <c r="AW64" s="590"/>
      <c r="AX64" s="590"/>
      <c r="AY64" s="591"/>
    </row>
    <row r="65" spans="1:51" ht="12" customHeight="1" x14ac:dyDescent="0.55000000000000004">
      <c r="B65" s="571" t="s">
        <v>291</v>
      </c>
      <c r="C65" s="572">
        <v>2</v>
      </c>
      <c r="D65" s="571" t="s">
        <v>292</v>
      </c>
      <c r="E65" s="573"/>
      <c r="F65" s="574">
        <v>0</v>
      </c>
      <c r="G65" s="574">
        <v>0</v>
      </c>
      <c r="H65" s="574">
        <v>0</v>
      </c>
      <c r="I65" s="575">
        <v>611758310</v>
      </c>
      <c r="J65" s="576">
        <v>611758310</v>
      </c>
      <c r="K65" s="577">
        <v>0</v>
      </c>
      <c r="L65" s="578">
        <v>0</v>
      </c>
      <c r="M65" s="579">
        <v>611758310</v>
      </c>
      <c r="O65" s="580">
        <v>611758310</v>
      </c>
      <c r="P65" s="581">
        <v>575190278</v>
      </c>
      <c r="Q65" s="582"/>
      <c r="R65" s="583"/>
      <c r="S65" s="583"/>
      <c r="T65" s="614" t="s">
        <v>1985</v>
      </c>
      <c r="U65" s="615" t="s">
        <v>1827</v>
      </c>
      <c r="V65" s="615" t="s">
        <v>1997</v>
      </c>
      <c r="W65" s="615"/>
      <c r="X65" s="615"/>
      <c r="Y65" s="615"/>
      <c r="Z65" s="615"/>
      <c r="AA65" s="616" t="s">
        <v>1989</v>
      </c>
      <c r="AD65" s="585"/>
      <c r="AE65" s="626">
        <v>0</v>
      </c>
      <c r="AF65" s="586"/>
      <c r="AG65" s="587"/>
      <c r="AH65" s="588"/>
      <c r="AJ65" s="589"/>
      <c r="AL65" s="589"/>
      <c r="AM65" s="587"/>
      <c r="AN65" s="588"/>
      <c r="AP65" s="589"/>
      <c r="AQ65" s="587"/>
      <c r="AR65" s="588"/>
      <c r="AT65" s="589"/>
      <c r="AU65" s="590"/>
      <c r="AV65" s="590"/>
      <c r="AW65" s="590"/>
      <c r="AX65" s="590"/>
      <c r="AY65" s="591"/>
    </row>
    <row r="66" spans="1:51" ht="12" customHeight="1" x14ac:dyDescent="0.55000000000000004">
      <c r="B66" s="601" t="s">
        <v>293</v>
      </c>
      <c r="C66" s="602">
        <v>4</v>
      </c>
      <c r="D66" s="603" t="s">
        <v>294</v>
      </c>
      <c r="E66" s="634"/>
      <c r="F66" s="635"/>
      <c r="G66" s="635"/>
      <c r="H66" s="635"/>
      <c r="I66" s="636">
        <v>69758310</v>
      </c>
      <c r="J66" s="637">
        <v>69758310</v>
      </c>
      <c r="K66" s="577">
        <v>0</v>
      </c>
      <c r="L66" s="578">
        <v>0</v>
      </c>
      <c r="M66" s="608">
        <v>69758310</v>
      </c>
      <c r="O66" s="638">
        <v>69758310</v>
      </c>
      <c r="P66" s="610">
        <v>33190278</v>
      </c>
      <c r="Q66" s="582" t="s">
        <v>293</v>
      </c>
      <c r="R66" s="583"/>
      <c r="S66" s="583"/>
      <c r="T66" s="659">
        <v>33190278</v>
      </c>
      <c r="U66" s="660">
        <v>36568032</v>
      </c>
      <c r="V66" s="660"/>
      <c r="W66" s="660"/>
      <c r="X66" s="660"/>
      <c r="Y66" s="660"/>
      <c r="Z66" s="660"/>
      <c r="AA66" s="661">
        <v>69758310</v>
      </c>
      <c r="AB66" s="625">
        <v>0</v>
      </c>
      <c r="AD66" s="585">
        <v>36568032</v>
      </c>
      <c r="AE66" s="626">
        <v>0</v>
      </c>
      <c r="AF66" s="586"/>
      <c r="AG66" s="587" t="s">
        <v>387</v>
      </c>
      <c r="AH66" s="588">
        <v>36568032</v>
      </c>
      <c r="AJ66" s="589"/>
      <c r="AK66" s="506" t="s">
        <v>1786</v>
      </c>
      <c r="AL66" s="589"/>
      <c r="AM66" s="587"/>
      <c r="AN66" s="588"/>
      <c r="AP66" s="589"/>
      <c r="AQ66" s="587"/>
      <c r="AR66" s="588"/>
      <c r="AT66" s="589"/>
      <c r="AU66" s="590"/>
      <c r="AV66" s="590"/>
      <c r="AW66" s="590"/>
      <c r="AX66" s="590"/>
      <c r="AY66" s="591"/>
    </row>
    <row r="67" spans="1:51" ht="12" customHeight="1" x14ac:dyDescent="0.55000000000000004">
      <c r="B67" s="695" t="s">
        <v>295</v>
      </c>
      <c r="C67" s="602">
        <v>4</v>
      </c>
      <c r="D67" s="603" t="s">
        <v>296</v>
      </c>
      <c r="E67" s="634"/>
      <c r="F67" s="635"/>
      <c r="G67" s="635"/>
      <c r="H67" s="635"/>
      <c r="I67" s="636">
        <v>0</v>
      </c>
      <c r="J67" s="637">
        <v>0</v>
      </c>
      <c r="K67" s="577">
        <v>0</v>
      </c>
      <c r="L67" s="578">
        <v>0</v>
      </c>
      <c r="M67" s="608">
        <v>0</v>
      </c>
      <c r="O67" s="638">
        <v>0</v>
      </c>
      <c r="P67" s="610">
        <v>0</v>
      </c>
      <c r="Q67" s="582"/>
      <c r="R67" s="583"/>
      <c r="S67" s="583"/>
      <c r="T67" s="659">
        <v>0</v>
      </c>
      <c r="U67" s="660"/>
      <c r="V67" s="660"/>
      <c r="W67" s="660"/>
      <c r="X67" s="660"/>
      <c r="Y67" s="660"/>
      <c r="Z67" s="660"/>
      <c r="AA67" s="661">
        <v>0</v>
      </c>
      <c r="AB67" s="625">
        <v>0</v>
      </c>
      <c r="AD67" s="585">
        <v>0</v>
      </c>
      <c r="AE67" s="626">
        <v>0</v>
      </c>
      <c r="AF67" s="586"/>
      <c r="AG67" s="587"/>
      <c r="AH67" s="588"/>
      <c r="AJ67" s="589"/>
      <c r="AL67" s="589"/>
      <c r="AM67" s="587"/>
      <c r="AN67" s="588"/>
      <c r="AP67" s="589"/>
      <c r="AQ67" s="587"/>
      <c r="AR67" s="588"/>
      <c r="AT67" s="589"/>
      <c r="AU67" s="590"/>
      <c r="AV67" s="590"/>
      <c r="AW67" s="590"/>
      <c r="AX67" s="590"/>
      <c r="AY67" s="591"/>
    </row>
    <row r="68" spans="1:51" ht="12" customHeight="1" thickBot="1" x14ac:dyDescent="0.6">
      <c r="B68" s="601" t="s">
        <v>297</v>
      </c>
      <c r="C68" s="602">
        <v>4</v>
      </c>
      <c r="D68" s="603" t="s">
        <v>298</v>
      </c>
      <c r="E68" s="634"/>
      <c r="F68" s="635"/>
      <c r="G68" s="635"/>
      <c r="H68" s="635"/>
      <c r="I68" s="636">
        <v>542000000</v>
      </c>
      <c r="J68" s="637">
        <v>542000000</v>
      </c>
      <c r="K68" s="577">
        <v>0</v>
      </c>
      <c r="L68" s="578">
        <v>0</v>
      </c>
      <c r="M68" s="608">
        <v>542000000</v>
      </c>
      <c r="O68" s="638">
        <v>542000000</v>
      </c>
      <c r="P68" s="610">
        <v>542000000</v>
      </c>
      <c r="Q68" s="582" t="s">
        <v>297</v>
      </c>
      <c r="R68" s="583"/>
      <c r="S68" s="583"/>
      <c r="T68" s="672">
        <v>542000000</v>
      </c>
      <c r="U68" s="673"/>
      <c r="V68" s="673"/>
      <c r="W68" s="673"/>
      <c r="X68" s="673"/>
      <c r="Y68" s="673"/>
      <c r="Z68" s="673"/>
      <c r="AA68" s="674">
        <v>542000000</v>
      </c>
      <c r="AB68" s="625">
        <v>0</v>
      </c>
      <c r="AD68" s="585">
        <v>0</v>
      </c>
      <c r="AE68" s="626">
        <v>0</v>
      </c>
      <c r="AF68" s="586"/>
      <c r="AG68" s="587"/>
      <c r="AH68" s="588"/>
      <c r="AJ68" s="589"/>
      <c r="AL68" s="589"/>
      <c r="AM68" s="587"/>
      <c r="AN68" s="588"/>
      <c r="AP68" s="589"/>
      <c r="AQ68" s="587"/>
      <c r="AR68" s="588"/>
      <c r="AT68" s="589"/>
      <c r="AU68" s="590"/>
      <c r="AV68" s="590"/>
      <c r="AW68" s="590"/>
      <c r="AX68" s="590"/>
      <c r="AY68" s="591"/>
    </row>
    <row r="69" spans="1:51" ht="12" customHeight="1" x14ac:dyDescent="0.55000000000000004">
      <c r="B69" s="601" t="s">
        <v>299</v>
      </c>
      <c r="C69" s="602">
        <v>4</v>
      </c>
      <c r="D69" s="603" t="s">
        <v>300</v>
      </c>
      <c r="E69" s="634"/>
      <c r="F69" s="635"/>
      <c r="G69" s="635"/>
      <c r="H69" s="635"/>
      <c r="I69" s="636">
        <v>0</v>
      </c>
      <c r="J69" s="637">
        <v>0</v>
      </c>
      <c r="K69" s="577">
        <v>0</v>
      </c>
      <c r="L69" s="578">
        <v>0</v>
      </c>
      <c r="M69" s="608">
        <v>0</v>
      </c>
      <c r="O69" s="638">
        <v>0</v>
      </c>
      <c r="P69" s="610">
        <v>0</v>
      </c>
      <c r="Q69" s="582"/>
      <c r="R69" s="583"/>
      <c r="S69" s="583"/>
      <c r="T69" s="584"/>
      <c r="U69" s="584"/>
      <c r="V69" s="584"/>
      <c r="W69" s="584"/>
      <c r="X69" s="584"/>
      <c r="Y69" s="584"/>
      <c r="Z69" s="584"/>
      <c r="AA69" s="584"/>
      <c r="AD69" s="585">
        <v>0</v>
      </c>
      <c r="AE69" s="626">
        <v>0</v>
      </c>
      <c r="AF69" s="586"/>
      <c r="AG69" s="587"/>
      <c r="AH69" s="588"/>
      <c r="AJ69" s="589"/>
      <c r="AL69" s="589"/>
      <c r="AM69" s="587"/>
      <c r="AN69" s="588"/>
      <c r="AP69" s="589"/>
      <c r="AQ69" s="587"/>
      <c r="AR69" s="588"/>
      <c r="AT69" s="589"/>
      <c r="AU69" s="590"/>
      <c r="AV69" s="590"/>
      <c r="AW69" s="590"/>
      <c r="AX69" s="590"/>
      <c r="AY69" s="591"/>
    </row>
    <row r="70" spans="1:51" ht="12" customHeight="1" x14ac:dyDescent="0.55000000000000004">
      <c r="A70" s="696"/>
      <c r="B70" s="627" t="s">
        <v>213</v>
      </c>
      <c r="C70" s="697">
        <v>4</v>
      </c>
      <c r="D70" s="603" t="s">
        <v>299</v>
      </c>
      <c r="E70" s="634"/>
      <c r="F70" s="635"/>
      <c r="G70" s="635"/>
      <c r="H70" s="635"/>
      <c r="I70" s="636">
        <v>0</v>
      </c>
      <c r="J70" s="637">
        <v>0</v>
      </c>
      <c r="K70" s="577">
        <v>0</v>
      </c>
      <c r="L70" s="578">
        <v>0</v>
      </c>
      <c r="M70" s="608">
        <v>0</v>
      </c>
      <c r="O70" s="638">
        <v>0</v>
      </c>
      <c r="P70" s="610">
        <v>0</v>
      </c>
      <c r="Q70" s="582"/>
      <c r="R70" s="583"/>
      <c r="S70" s="583"/>
      <c r="T70" s="584"/>
      <c r="U70" s="584"/>
      <c r="V70" s="584"/>
      <c r="W70" s="584"/>
      <c r="X70" s="584"/>
      <c r="Y70" s="584"/>
      <c r="Z70" s="584"/>
      <c r="AA70" s="584"/>
      <c r="AD70" s="585">
        <v>0</v>
      </c>
      <c r="AE70" s="626">
        <v>0</v>
      </c>
      <c r="AF70" s="586"/>
      <c r="AG70" s="587"/>
      <c r="AH70" s="588"/>
      <c r="AJ70" s="589"/>
      <c r="AL70" s="589"/>
      <c r="AM70" s="587"/>
      <c r="AN70" s="588"/>
      <c r="AP70" s="589"/>
      <c r="AQ70" s="587"/>
      <c r="AR70" s="588"/>
      <c r="AT70" s="589"/>
      <c r="AU70" s="590"/>
      <c r="AV70" s="590"/>
      <c r="AW70" s="590"/>
      <c r="AX70" s="590"/>
      <c r="AY70" s="591"/>
    </row>
    <row r="71" spans="1:51" ht="12" customHeight="1" x14ac:dyDescent="0.55000000000000004">
      <c r="B71" s="676" t="s">
        <v>301</v>
      </c>
      <c r="C71" s="677">
        <v>1</v>
      </c>
      <c r="D71" s="678" t="s">
        <v>302</v>
      </c>
      <c r="E71" s="679"/>
      <c r="F71" s="680">
        <v>285128155</v>
      </c>
      <c r="G71" s="680">
        <v>232600815</v>
      </c>
      <c r="H71" s="680">
        <v>753305854</v>
      </c>
      <c r="I71" s="681">
        <v>1024140150</v>
      </c>
      <c r="J71" s="682">
        <v>2295174974</v>
      </c>
      <c r="K71" s="577">
        <v>0</v>
      </c>
      <c r="L71" s="578">
        <v>0</v>
      </c>
      <c r="M71" s="683">
        <v>2243626974</v>
      </c>
      <c r="O71" s="698">
        <v>2243626974</v>
      </c>
      <c r="P71" s="685">
        <v>1778919474</v>
      </c>
      <c r="Q71" s="582"/>
      <c r="R71" s="583"/>
      <c r="S71" s="583"/>
      <c r="T71" s="584"/>
      <c r="U71" s="584"/>
      <c r="V71" s="584"/>
      <c r="W71" s="584"/>
      <c r="X71" s="584"/>
      <c r="Y71" s="584"/>
      <c r="Z71" s="584"/>
      <c r="AA71" s="584"/>
      <c r="AD71" s="585"/>
      <c r="AE71" s="626">
        <v>0</v>
      </c>
      <c r="AF71" s="586"/>
      <c r="AG71" s="587"/>
      <c r="AH71" s="588"/>
      <c r="AJ71" s="589"/>
      <c r="AL71" s="589"/>
      <c r="AM71" s="587"/>
      <c r="AN71" s="588"/>
      <c r="AP71" s="589"/>
      <c r="AQ71" s="587"/>
      <c r="AR71" s="588"/>
      <c r="AT71" s="589"/>
      <c r="AU71" s="590"/>
      <c r="AV71" s="590"/>
      <c r="AW71" s="590"/>
      <c r="AX71" s="590"/>
      <c r="AY71" s="591"/>
    </row>
    <row r="72" spans="1:51" ht="12" customHeight="1" thickBot="1" x14ac:dyDescent="0.6">
      <c r="B72" s="571" t="s">
        <v>303</v>
      </c>
      <c r="C72" s="572">
        <v>1</v>
      </c>
      <c r="D72" s="571" t="s">
        <v>304</v>
      </c>
      <c r="E72" s="573"/>
      <c r="F72" s="574">
        <v>3546674492</v>
      </c>
      <c r="G72" s="574">
        <v>23682317</v>
      </c>
      <c r="H72" s="574">
        <v>3835980619</v>
      </c>
      <c r="I72" s="575">
        <v>9112200164</v>
      </c>
      <c r="J72" s="576">
        <v>16518537592</v>
      </c>
      <c r="K72" s="577">
        <v>0</v>
      </c>
      <c r="L72" s="578">
        <v>0</v>
      </c>
      <c r="M72" s="579">
        <v>16303260676</v>
      </c>
      <c r="O72" s="580">
        <v>16303260676</v>
      </c>
      <c r="P72" s="581">
        <v>2691147053</v>
      </c>
      <c r="Q72" s="582"/>
      <c r="R72" s="583"/>
      <c r="S72" s="583"/>
      <c r="T72" s="584"/>
      <c r="U72" s="584"/>
      <c r="V72" s="584"/>
      <c r="W72" s="584"/>
      <c r="X72" s="584"/>
      <c r="Y72" s="584"/>
      <c r="Z72" s="584"/>
      <c r="AA72" s="584"/>
      <c r="AD72" s="585"/>
      <c r="AE72" s="626">
        <v>0</v>
      </c>
      <c r="AF72" s="586"/>
      <c r="AG72" s="587"/>
      <c r="AH72" s="588"/>
      <c r="AJ72" s="589"/>
      <c r="AL72" s="589"/>
      <c r="AM72" s="587"/>
      <c r="AN72" s="588"/>
      <c r="AP72" s="589"/>
      <c r="AQ72" s="587"/>
      <c r="AR72" s="588"/>
      <c r="AT72" s="589"/>
      <c r="AU72" s="590"/>
      <c r="AV72" s="590"/>
      <c r="AW72" s="590"/>
      <c r="AX72" s="590"/>
      <c r="AY72" s="591"/>
    </row>
    <row r="73" spans="1:51" ht="12" customHeight="1" x14ac:dyDescent="0.55000000000000004">
      <c r="B73" s="699" t="s">
        <v>305</v>
      </c>
      <c r="C73" s="700">
        <v>2</v>
      </c>
      <c r="D73" s="699" t="s">
        <v>306</v>
      </c>
      <c r="E73" s="594"/>
      <c r="F73" s="595">
        <v>60000000</v>
      </c>
      <c r="G73" s="595">
        <v>10000000</v>
      </c>
      <c r="H73" s="595">
        <v>100000000</v>
      </c>
      <c r="I73" s="596">
        <v>100000000</v>
      </c>
      <c r="J73" s="597">
        <v>270000000</v>
      </c>
      <c r="K73" s="577">
        <v>0</v>
      </c>
      <c r="L73" s="578">
        <v>0</v>
      </c>
      <c r="M73" s="598">
        <v>100000000</v>
      </c>
      <c r="O73" s="599">
        <v>100000000</v>
      </c>
      <c r="P73" s="600">
        <v>100000000</v>
      </c>
      <c r="Q73" s="582"/>
      <c r="R73" s="583"/>
      <c r="S73" s="583"/>
      <c r="T73" s="614" t="s">
        <v>1985</v>
      </c>
      <c r="U73" s="615"/>
      <c r="V73" s="615"/>
      <c r="W73" s="615"/>
      <c r="X73" s="615"/>
      <c r="Y73" s="615"/>
      <c r="Z73" s="615"/>
      <c r="AA73" s="616" t="s">
        <v>1989</v>
      </c>
      <c r="AB73" s="269"/>
      <c r="AD73" s="585"/>
      <c r="AE73" s="626">
        <v>0</v>
      </c>
      <c r="AF73" s="586"/>
      <c r="AG73" s="587"/>
      <c r="AH73" s="588"/>
      <c r="AJ73" s="589"/>
      <c r="AL73" s="589"/>
      <c r="AM73" s="587"/>
      <c r="AN73" s="588"/>
      <c r="AP73" s="589"/>
      <c r="AQ73" s="587"/>
      <c r="AR73" s="588"/>
      <c r="AT73" s="589"/>
      <c r="AU73" s="590"/>
      <c r="AV73" s="590"/>
      <c r="AW73" s="590"/>
      <c r="AX73" s="590"/>
      <c r="AY73" s="591"/>
    </row>
    <row r="74" spans="1:51" ht="12" customHeight="1" thickBot="1" x14ac:dyDescent="0.6">
      <c r="B74" s="601" t="s">
        <v>307</v>
      </c>
      <c r="C74" s="602">
        <v>4</v>
      </c>
      <c r="D74" s="603" t="s">
        <v>308</v>
      </c>
      <c r="E74" s="634"/>
      <c r="F74" s="635">
        <v>60000000</v>
      </c>
      <c r="G74" s="605">
        <v>10000000</v>
      </c>
      <c r="H74" s="635">
        <v>100000000</v>
      </c>
      <c r="I74" s="636">
        <v>100000000</v>
      </c>
      <c r="J74" s="637">
        <v>270000000</v>
      </c>
      <c r="K74" s="577">
        <v>170000000</v>
      </c>
      <c r="L74" s="578">
        <v>0</v>
      </c>
      <c r="M74" s="608">
        <v>100000000</v>
      </c>
      <c r="O74" s="638">
        <v>100000000</v>
      </c>
      <c r="P74" s="610">
        <v>100000000</v>
      </c>
      <c r="Q74" s="582" t="s">
        <v>1831</v>
      </c>
      <c r="R74" s="583"/>
      <c r="S74" s="583"/>
      <c r="T74" s="701">
        <v>100000000</v>
      </c>
      <c r="U74" s="702"/>
      <c r="V74" s="702"/>
      <c r="W74" s="702"/>
      <c r="X74" s="702"/>
      <c r="Y74" s="702"/>
      <c r="Z74" s="702"/>
      <c r="AA74" s="703">
        <v>100000000</v>
      </c>
      <c r="AB74" s="625">
        <v>0</v>
      </c>
      <c r="AD74" s="585">
        <v>0</v>
      </c>
      <c r="AE74" s="626">
        <v>0</v>
      </c>
      <c r="AF74" s="586"/>
      <c r="AG74" s="587"/>
      <c r="AH74" s="588"/>
      <c r="AJ74" s="589"/>
      <c r="AL74" s="589"/>
      <c r="AM74" s="587"/>
      <c r="AN74" s="588"/>
      <c r="AP74" s="589"/>
      <c r="AQ74" s="587"/>
      <c r="AR74" s="588"/>
      <c r="AT74" s="589"/>
      <c r="AU74" s="590"/>
      <c r="AV74" s="590"/>
      <c r="AW74" s="590"/>
      <c r="AX74" s="590"/>
      <c r="AY74" s="591"/>
    </row>
    <row r="75" spans="1:51" ht="12" customHeight="1" x14ac:dyDescent="0.55000000000000004">
      <c r="B75" s="699" t="s">
        <v>309</v>
      </c>
      <c r="C75" s="700">
        <v>2</v>
      </c>
      <c r="D75" s="699" t="s">
        <v>310</v>
      </c>
      <c r="E75" s="594"/>
      <c r="F75" s="595">
        <v>0</v>
      </c>
      <c r="G75" s="595">
        <v>0</v>
      </c>
      <c r="H75" s="595">
        <v>0</v>
      </c>
      <c r="I75" s="596">
        <v>0</v>
      </c>
      <c r="J75" s="597">
        <v>0</v>
      </c>
      <c r="K75" s="577">
        <v>0</v>
      </c>
      <c r="L75" s="578">
        <v>0</v>
      </c>
      <c r="M75" s="598">
        <v>0</v>
      </c>
      <c r="O75" s="599">
        <v>0</v>
      </c>
      <c r="P75" s="600">
        <v>0</v>
      </c>
      <c r="Q75" s="582"/>
      <c r="R75" s="583"/>
      <c r="S75" s="583"/>
      <c r="T75" s="614" t="s">
        <v>1985</v>
      </c>
      <c r="U75" s="615"/>
      <c r="V75" s="615"/>
      <c r="W75" s="615"/>
      <c r="X75" s="615"/>
      <c r="Y75" s="615"/>
      <c r="Z75" s="615"/>
      <c r="AA75" s="616" t="s">
        <v>1989</v>
      </c>
      <c r="AB75" s="269"/>
      <c r="AD75" s="585"/>
      <c r="AE75" s="626">
        <v>0</v>
      </c>
      <c r="AF75" s="586"/>
      <c r="AG75" s="587"/>
      <c r="AH75" s="588"/>
      <c r="AJ75" s="589"/>
      <c r="AL75" s="589"/>
      <c r="AM75" s="587"/>
      <c r="AN75" s="588"/>
      <c r="AP75" s="589"/>
      <c r="AQ75" s="587"/>
      <c r="AR75" s="588"/>
      <c r="AT75" s="589"/>
      <c r="AU75" s="590"/>
      <c r="AV75" s="590"/>
      <c r="AW75" s="590"/>
      <c r="AX75" s="590"/>
      <c r="AY75" s="591"/>
    </row>
    <row r="76" spans="1:51" ht="12" customHeight="1" x14ac:dyDescent="0.55000000000000004">
      <c r="B76" s="601" t="s">
        <v>311</v>
      </c>
      <c r="C76" s="602">
        <v>4</v>
      </c>
      <c r="D76" s="603" t="s">
        <v>312</v>
      </c>
      <c r="E76" s="634"/>
      <c r="F76" s="635"/>
      <c r="G76" s="635"/>
      <c r="H76" s="635"/>
      <c r="I76" s="636"/>
      <c r="J76" s="637">
        <v>0</v>
      </c>
      <c r="K76" s="577">
        <v>0</v>
      </c>
      <c r="L76" s="578">
        <v>0</v>
      </c>
      <c r="M76" s="608">
        <v>0</v>
      </c>
      <c r="O76" s="638">
        <v>0</v>
      </c>
      <c r="P76" s="610">
        <v>0</v>
      </c>
      <c r="Q76" s="582"/>
      <c r="R76" s="583"/>
      <c r="S76" s="583"/>
      <c r="T76" s="701">
        <v>0</v>
      </c>
      <c r="U76" s="702"/>
      <c r="V76" s="702"/>
      <c r="W76" s="702"/>
      <c r="X76" s="702"/>
      <c r="Y76" s="702"/>
      <c r="Z76" s="702"/>
      <c r="AA76" s="703">
        <v>0</v>
      </c>
      <c r="AB76" s="625">
        <v>0</v>
      </c>
      <c r="AD76" s="585">
        <v>0</v>
      </c>
      <c r="AE76" s="626">
        <v>0</v>
      </c>
      <c r="AF76" s="586"/>
      <c r="AG76" s="587"/>
      <c r="AH76" s="588"/>
      <c r="AJ76" s="589"/>
      <c r="AL76" s="589"/>
      <c r="AM76" s="587"/>
      <c r="AN76" s="588"/>
      <c r="AP76" s="589"/>
      <c r="AQ76" s="587"/>
      <c r="AR76" s="588"/>
      <c r="AT76" s="589"/>
      <c r="AU76" s="590"/>
      <c r="AV76" s="590"/>
      <c r="AW76" s="590"/>
      <c r="AX76" s="590"/>
      <c r="AY76" s="591"/>
    </row>
    <row r="77" spans="1:51" ht="12" customHeight="1" thickBot="1" x14ac:dyDescent="0.6">
      <c r="B77" s="617" t="s">
        <v>213</v>
      </c>
      <c r="C77" s="618">
        <v>4</v>
      </c>
      <c r="D77" s="675" t="s">
        <v>313</v>
      </c>
      <c r="E77" s="634"/>
      <c r="F77" s="635"/>
      <c r="G77" s="635"/>
      <c r="H77" s="635"/>
      <c r="I77" s="636"/>
      <c r="J77" s="637">
        <v>0</v>
      </c>
      <c r="K77" s="577">
        <v>0</v>
      </c>
      <c r="L77" s="578">
        <v>0</v>
      </c>
      <c r="M77" s="608">
        <v>0</v>
      </c>
      <c r="O77" s="638">
        <v>0</v>
      </c>
      <c r="P77" s="610">
        <v>0</v>
      </c>
      <c r="Q77" s="582"/>
      <c r="R77" s="583"/>
      <c r="S77" s="583"/>
      <c r="T77" s="659">
        <v>0</v>
      </c>
      <c r="U77" s="660"/>
      <c r="V77" s="660"/>
      <c r="W77" s="660"/>
      <c r="X77" s="660"/>
      <c r="Y77" s="660"/>
      <c r="Z77" s="660"/>
      <c r="AA77" s="661">
        <v>0</v>
      </c>
      <c r="AB77" s="625">
        <v>0</v>
      </c>
      <c r="AD77" s="585">
        <v>0</v>
      </c>
      <c r="AE77" s="626">
        <v>0</v>
      </c>
      <c r="AF77" s="586"/>
      <c r="AG77" s="587"/>
      <c r="AH77" s="588"/>
      <c r="AJ77" s="589"/>
      <c r="AL77" s="589"/>
      <c r="AM77" s="587"/>
      <c r="AN77" s="588"/>
      <c r="AP77" s="589"/>
      <c r="AQ77" s="587"/>
      <c r="AR77" s="588"/>
      <c r="AT77" s="589"/>
      <c r="AU77" s="590"/>
      <c r="AV77" s="590"/>
      <c r="AW77" s="590"/>
      <c r="AX77" s="590"/>
      <c r="AY77" s="591"/>
    </row>
    <row r="78" spans="1:51" ht="12" customHeight="1" x14ac:dyDescent="0.55000000000000004">
      <c r="B78" s="699" t="s">
        <v>314</v>
      </c>
      <c r="C78" s="700">
        <v>2</v>
      </c>
      <c r="D78" s="699" t="s">
        <v>315</v>
      </c>
      <c r="E78" s="594"/>
      <c r="F78" s="595">
        <v>0</v>
      </c>
      <c r="G78" s="595">
        <v>0</v>
      </c>
      <c r="H78" s="595">
        <v>0</v>
      </c>
      <c r="I78" s="596">
        <v>0</v>
      </c>
      <c r="J78" s="597">
        <v>0</v>
      </c>
      <c r="K78" s="577">
        <v>0</v>
      </c>
      <c r="L78" s="578">
        <v>0</v>
      </c>
      <c r="M78" s="598">
        <v>0</v>
      </c>
      <c r="O78" s="599">
        <v>0</v>
      </c>
      <c r="P78" s="600">
        <v>0</v>
      </c>
      <c r="Q78" s="582"/>
      <c r="R78" s="583"/>
      <c r="S78" s="583"/>
      <c r="T78" s="614" t="s">
        <v>1985</v>
      </c>
      <c r="U78" s="615"/>
      <c r="V78" s="615"/>
      <c r="W78" s="615"/>
      <c r="X78" s="615"/>
      <c r="Y78" s="615"/>
      <c r="Z78" s="615"/>
      <c r="AA78" s="616" t="s">
        <v>1989</v>
      </c>
      <c r="AB78" s="269"/>
      <c r="AD78" s="585"/>
      <c r="AE78" s="626">
        <v>0</v>
      </c>
      <c r="AF78" s="586"/>
      <c r="AG78" s="587"/>
      <c r="AH78" s="588"/>
      <c r="AJ78" s="589"/>
      <c r="AL78" s="589"/>
      <c r="AM78" s="587"/>
      <c r="AN78" s="588"/>
      <c r="AP78" s="589"/>
      <c r="AQ78" s="587"/>
      <c r="AR78" s="588"/>
      <c r="AT78" s="589"/>
      <c r="AU78" s="590"/>
      <c r="AV78" s="590"/>
      <c r="AW78" s="590"/>
      <c r="AX78" s="590"/>
      <c r="AY78" s="591"/>
    </row>
    <row r="79" spans="1:51" ht="12" customHeight="1" thickBot="1" x14ac:dyDescent="0.6">
      <c r="B79" s="617" t="s">
        <v>213</v>
      </c>
      <c r="C79" s="618">
        <v>4</v>
      </c>
      <c r="D79" s="675" t="s">
        <v>316</v>
      </c>
      <c r="E79" s="634"/>
      <c r="F79" s="635"/>
      <c r="G79" s="635"/>
      <c r="H79" s="635"/>
      <c r="I79" s="636"/>
      <c r="J79" s="637">
        <v>0</v>
      </c>
      <c r="K79" s="577">
        <v>0</v>
      </c>
      <c r="L79" s="578">
        <v>0</v>
      </c>
      <c r="M79" s="608">
        <v>0</v>
      </c>
      <c r="O79" s="638">
        <v>0</v>
      </c>
      <c r="P79" s="610">
        <v>0</v>
      </c>
      <c r="Q79" s="582"/>
      <c r="R79" s="583"/>
      <c r="S79" s="583"/>
      <c r="T79" s="701">
        <v>0</v>
      </c>
      <c r="U79" s="702"/>
      <c r="V79" s="702"/>
      <c r="W79" s="702"/>
      <c r="X79" s="702"/>
      <c r="Y79" s="702"/>
      <c r="Z79" s="702"/>
      <c r="AA79" s="703">
        <v>0</v>
      </c>
      <c r="AB79" s="625">
        <v>0</v>
      </c>
      <c r="AD79" s="585">
        <v>0</v>
      </c>
      <c r="AE79" s="626">
        <v>0</v>
      </c>
      <c r="AF79" s="586"/>
      <c r="AG79" s="587"/>
      <c r="AH79" s="588"/>
      <c r="AJ79" s="589"/>
      <c r="AL79" s="589"/>
      <c r="AM79" s="587"/>
      <c r="AN79" s="588"/>
      <c r="AP79" s="589"/>
      <c r="AQ79" s="587"/>
      <c r="AR79" s="588"/>
      <c r="AT79" s="589"/>
      <c r="AU79" s="590"/>
      <c r="AV79" s="590"/>
      <c r="AW79" s="590"/>
      <c r="AX79" s="590"/>
      <c r="AY79" s="591"/>
    </row>
    <row r="80" spans="1:51" ht="12" customHeight="1" x14ac:dyDescent="0.55000000000000004">
      <c r="B80" s="699" t="s">
        <v>317</v>
      </c>
      <c r="C80" s="700">
        <v>2</v>
      </c>
      <c r="D80" s="699" t="s">
        <v>318</v>
      </c>
      <c r="E80" s="594"/>
      <c r="F80" s="595">
        <v>0</v>
      </c>
      <c r="G80" s="595">
        <v>0</v>
      </c>
      <c r="H80" s="595">
        <v>0</v>
      </c>
      <c r="I80" s="596">
        <v>0</v>
      </c>
      <c r="J80" s="597">
        <v>0</v>
      </c>
      <c r="K80" s="577">
        <v>0</v>
      </c>
      <c r="L80" s="578">
        <v>0</v>
      </c>
      <c r="M80" s="598">
        <v>0</v>
      </c>
      <c r="O80" s="599">
        <v>0</v>
      </c>
      <c r="P80" s="600">
        <v>0</v>
      </c>
      <c r="Q80" s="582"/>
      <c r="R80" s="583"/>
      <c r="S80" s="583"/>
      <c r="T80" s="614" t="s">
        <v>1985</v>
      </c>
      <c r="U80" s="615"/>
      <c r="V80" s="615"/>
      <c r="W80" s="615"/>
      <c r="X80" s="615"/>
      <c r="Y80" s="615"/>
      <c r="Z80" s="615"/>
      <c r="AA80" s="616" t="s">
        <v>1989</v>
      </c>
      <c r="AB80" s="269"/>
      <c r="AD80" s="585"/>
      <c r="AE80" s="626">
        <v>0</v>
      </c>
      <c r="AF80" s="586"/>
      <c r="AG80" s="587"/>
      <c r="AH80" s="588"/>
      <c r="AJ80" s="589"/>
      <c r="AL80" s="589"/>
      <c r="AM80" s="587"/>
      <c r="AN80" s="588"/>
      <c r="AP80" s="589"/>
      <c r="AQ80" s="587"/>
      <c r="AR80" s="588"/>
      <c r="AT80" s="589"/>
      <c r="AU80" s="590"/>
      <c r="AV80" s="590"/>
      <c r="AW80" s="590"/>
      <c r="AX80" s="590"/>
      <c r="AY80" s="591"/>
    </row>
    <row r="81" spans="2:51" ht="12" customHeight="1" x14ac:dyDescent="0.55000000000000004">
      <c r="B81" s="704" t="s">
        <v>319</v>
      </c>
      <c r="C81" s="705">
        <v>4</v>
      </c>
      <c r="D81" s="706" t="s">
        <v>320</v>
      </c>
      <c r="E81" s="634"/>
      <c r="F81" s="635"/>
      <c r="G81" s="635"/>
      <c r="H81" s="635"/>
      <c r="I81" s="636"/>
      <c r="J81" s="637">
        <v>0</v>
      </c>
      <c r="K81" s="577">
        <v>0</v>
      </c>
      <c r="L81" s="578">
        <v>0</v>
      </c>
      <c r="M81" s="619">
        <v>0</v>
      </c>
      <c r="O81" s="609">
        <v>0</v>
      </c>
      <c r="P81" s="610">
        <v>0</v>
      </c>
      <c r="Q81" s="582"/>
      <c r="R81" s="583"/>
      <c r="S81" s="583"/>
      <c r="T81" s="701">
        <v>0</v>
      </c>
      <c r="U81" s="702"/>
      <c r="V81" s="702"/>
      <c r="W81" s="702"/>
      <c r="X81" s="702"/>
      <c r="Y81" s="702"/>
      <c r="Z81" s="702"/>
      <c r="AA81" s="703">
        <v>0</v>
      </c>
      <c r="AB81" s="625">
        <v>0</v>
      </c>
      <c r="AD81" s="585">
        <v>0</v>
      </c>
      <c r="AE81" s="626">
        <v>0</v>
      </c>
      <c r="AF81" s="586"/>
      <c r="AG81" s="587"/>
      <c r="AH81" s="588"/>
      <c r="AJ81" s="589"/>
      <c r="AL81" s="589"/>
      <c r="AM81" s="587"/>
      <c r="AN81" s="588"/>
      <c r="AP81" s="589"/>
      <c r="AQ81" s="587"/>
      <c r="AR81" s="588"/>
      <c r="AT81" s="589"/>
      <c r="AU81" s="590"/>
      <c r="AV81" s="590"/>
      <c r="AW81" s="590"/>
      <c r="AX81" s="590"/>
      <c r="AY81" s="591"/>
    </row>
    <row r="82" spans="2:51" ht="12" customHeight="1" x14ac:dyDescent="0.55000000000000004">
      <c r="B82" s="601" t="s">
        <v>321</v>
      </c>
      <c r="C82" s="602">
        <v>4</v>
      </c>
      <c r="D82" s="603" t="s">
        <v>322</v>
      </c>
      <c r="E82" s="634"/>
      <c r="F82" s="635"/>
      <c r="G82" s="635"/>
      <c r="H82" s="635"/>
      <c r="I82" s="636">
        <v>0</v>
      </c>
      <c r="J82" s="637">
        <v>0</v>
      </c>
      <c r="K82" s="577">
        <v>0</v>
      </c>
      <c r="L82" s="578">
        <v>0</v>
      </c>
      <c r="M82" s="608">
        <v>0</v>
      </c>
      <c r="O82" s="609">
        <v>0</v>
      </c>
      <c r="P82" s="610">
        <v>0</v>
      </c>
      <c r="Q82" s="582"/>
      <c r="R82" s="583"/>
      <c r="S82" s="583"/>
      <c r="T82" s="659">
        <v>0</v>
      </c>
      <c r="U82" s="660"/>
      <c r="V82" s="660"/>
      <c r="W82" s="660"/>
      <c r="X82" s="660"/>
      <c r="Y82" s="660"/>
      <c r="Z82" s="660"/>
      <c r="AA82" s="661">
        <v>0</v>
      </c>
      <c r="AB82" s="625">
        <v>0</v>
      </c>
      <c r="AD82" s="585">
        <v>0</v>
      </c>
      <c r="AE82" s="626">
        <v>0</v>
      </c>
      <c r="AF82" s="586"/>
      <c r="AG82" s="587"/>
      <c r="AH82" s="588"/>
      <c r="AJ82" s="589"/>
      <c r="AL82" s="589"/>
      <c r="AM82" s="587"/>
      <c r="AN82" s="588"/>
      <c r="AP82" s="589"/>
      <c r="AQ82" s="587"/>
      <c r="AR82" s="588"/>
      <c r="AT82" s="589"/>
      <c r="AU82" s="590"/>
      <c r="AV82" s="590"/>
      <c r="AW82" s="590"/>
      <c r="AX82" s="590"/>
      <c r="AY82" s="591"/>
    </row>
    <row r="83" spans="2:51" ht="12" customHeight="1" thickBot="1" x14ac:dyDescent="0.6">
      <c r="B83" s="601" t="s">
        <v>213</v>
      </c>
      <c r="C83" s="602">
        <v>4</v>
      </c>
      <c r="D83" s="603" t="s">
        <v>299</v>
      </c>
      <c r="E83" s="634"/>
      <c r="F83" s="635"/>
      <c r="G83" s="635"/>
      <c r="H83" s="635"/>
      <c r="I83" s="636">
        <v>0</v>
      </c>
      <c r="J83" s="637">
        <v>0</v>
      </c>
      <c r="K83" s="577">
        <v>0</v>
      </c>
      <c r="L83" s="578">
        <v>0</v>
      </c>
      <c r="M83" s="608">
        <v>0</v>
      </c>
      <c r="O83" s="638">
        <v>0</v>
      </c>
      <c r="P83" s="610">
        <v>0</v>
      </c>
      <c r="Q83" s="582"/>
      <c r="R83" s="583"/>
      <c r="S83" s="583"/>
      <c r="T83" s="672">
        <v>0</v>
      </c>
      <c r="U83" s="673"/>
      <c r="V83" s="673"/>
      <c r="W83" s="673"/>
      <c r="X83" s="673"/>
      <c r="Y83" s="673"/>
      <c r="Z83" s="673"/>
      <c r="AA83" s="674">
        <v>0</v>
      </c>
      <c r="AB83" s="625">
        <v>0</v>
      </c>
      <c r="AD83" s="585">
        <v>0</v>
      </c>
      <c r="AE83" s="626">
        <v>0</v>
      </c>
      <c r="AF83" s="586"/>
      <c r="AG83" s="587"/>
      <c r="AH83" s="588"/>
      <c r="AJ83" s="589"/>
      <c r="AL83" s="589"/>
      <c r="AM83" s="587"/>
      <c r="AN83" s="588"/>
      <c r="AP83" s="589"/>
      <c r="AQ83" s="587"/>
      <c r="AR83" s="588"/>
      <c r="AT83" s="589"/>
      <c r="AU83" s="590"/>
      <c r="AV83" s="590"/>
      <c r="AW83" s="590"/>
      <c r="AX83" s="590"/>
      <c r="AY83" s="591"/>
    </row>
    <row r="84" spans="2:51" ht="12" customHeight="1" x14ac:dyDescent="0.55000000000000004">
      <c r="B84" s="699" t="s">
        <v>323</v>
      </c>
      <c r="C84" s="700">
        <v>2</v>
      </c>
      <c r="D84" s="699" t="s">
        <v>324</v>
      </c>
      <c r="E84" s="594"/>
      <c r="F84" s="595">
        <v>3486674492</v>
      </c>
      <c r="G84" s="595">
        <v>13682317</v>
      </c>
      <c r="H84" s="595">
        <v>3735980619</v>
      </c>
      <c r="I84" s="596">
        <v>9012200164</v>
      </c>
      <c r="J84" s="597">
        <v>16248537592</v>
      </c>
      <c r="K84" s="577">
        <v>0</v>
      </c>
      <c r="L84" s="578">
        <v>0</v>
      </c>
      <c r="M84" s="598">
        <v>16203260676</v>
      </c>
      <c r="O84" s="599">
        <v>16203260676</v>
      </c>
      <c r="P84" s="600">
        <v>2591147053</v>
      </c>
      <c r="Q84" s="582"/>
      <c r="R84" s="583"/>
      <c r="S84" s="583"/>
      <c r="T84" s="614" t="s">
        <v>1998</v>
      </c>
      <c r="U84" s="615" t="s">
        <v>1999</v>
      </c>
      <c r="V84" s="615" t="s">
        <v>2000</v>
      </c>
      <c r="W84" s="615" t="s">
        <v>2001</v>
      </c>
      <c r="X84" s="615"/>
      <c r="Y84" s="615"/>
      <c r="Z84" s="615"/>
      <c r="AA84" s="616" t="s">
        <v>2002</v>
      </c>
      <c r="AB84" s="269"/>
      <c r="AD84" s="585"/>
      <c r="AE84" s="626">
        <v>0</v>
      </c>
      <c r="AF84" s="586"/>
      <c r="AG84" s="587"/>
      <c r="AH84" s="588"/>
      <c r="AJ84" s="589"/>
      <c r="AL84" s="589"/>
      <c r="AM84" s="587"/>
      <c r="AN84" s="588"/>
      <c r="AP84" s="589"/>
      <c r="AQ84" s="587"/>
      <c r="AR84" s="588"/>
      <c r="AT84" s="589"/>
      <c r="AU84" s="590"/>
      <c r="AV84" s="590"/>
      <c r="AW84" s="590"/>
      <c r="AX84" s="590"/>
      <c r="AY84" s="591"/>
    </row>
    <row r="85" spans="2:51" ht="12" customHeight="1" x14ac:dyDescent="0.55000000000000004">
      <c r="B85" s="601" t="s">
        <v>325</v>
      </c>
      <c r="C85" s="602">
        <v>4</v>
      </c>
      <c r="D85" s="603" t="s">
        <v>326</v>
      </c>
      <c r="E85" s="634"/>
      <c r="F85" s="635"/>
      <c r="G85" s="635"/>
      <c r="H85" s="635"/>
      <c r="I85" s="636">
        <v>2857143</v>
      </c>
      <c r="J85" s="637">
        <v>2857143</v>
      </c>
      <c r="K85" s="577">
        <v>0</v>
      </c>
      <c r="L85" s="578">
        <v>0</v>
      </c>
      <c r="M85" s="608">
        <v>2857143</v>
      </c>
      <c r="O85" s="609">
        <v>2857143</v>
      </c>
      <c r="P85" s="610">
        <v>0</v>
      </c>
      <c r="Q85" s="582" t="s">
        <v>325</v>
      </c>
      <c r="R85" s="583"/>
      <c r="S85" s="583"/>
      <c r="T85" s="701">
        <v>0</v>
      </c>
      <c r="U85" s="702"/>
      <c r="V85" s="702"/>
      <c r="W85" s="702">
        <v>2857143</v>
      </c>
      <c r="X85" s="702"/>
      <c r="Y85" s="702"/>
      <c r="Z85" s="702"/>
      <c r="AA85" s="703">
        <v>2857143</v>
      </c>
      <c r="AB85" s="625">
        <v>0</v>
      </c>
      <c r="AD85" s="585">
        <v>2857143</v>
      </c>
      <c r="AE85" s="626">
        <v>0</v>
      </c>
      <c r="AF85" s="586"/>
      <c r="AG85" s="587"/>
      <c r="AH85" s="588"/>
      <c r="AJ85" s="589"/>
      <c r="AL85" s="589"/>
      <c r="AM85" s="587"/>
      <c r="AN85" s="588"/>
      <c r="AP85" s="589"/>
      <c r="AQ85" s="587"/>
      <c r="AR85" s="588"/>
      <c r="AT85" s="589"/>
      <c r="AU85" s="590">
        <v>2857143</v>
      </c>
      <c r="AV85" s="590"/>
      <c r="AW85" s="590"/>
      <c r="AX85" s="590"/>
      <c r="AY85" s="591"/>
    </row>
    <row r="86" spans="2:51" ht="12" customHeight="1" x14ac:dyDescent="0.55000000000000004">
      <c r="B86" s="601" t="s">
        <v>327</v>
      </c>
      <c r="C86" s="602">
        <v>4</v>
      </c>
      <c r="D86" s="603" t="s">
        <v>328</v>
      </c>
      <c r="E86" s="634"/>
      <c r="F86" s="635"/>
      <c r="G86" s="635"/>
      <c r="H86" s="635"/>
      <c r="I86" s="636">
        <v>2648078724</v>
      </c>
      <c r="J86" s="637">
        <v>2648078724</v>
      </c>
      <c r="K86" s="577">
        <v>0</v>
      </c>
      <c r="L86" s="578">
        <v>0</v>
      </c>
      <c r="M86" s="608">
        <v>2648078724</v>
      </c>
      <c r="O86" s="609">
        <v>2648078724</v>
      </c>
      <c r="P86" s="610">
        <v>215325032</v>
      </c>
      <c r="Q86" s="582" t="s">
        <v>1832</v>
      </c>
      <c r="R86" s="583"/>
      <c r="S86" s="621"/>
      <c r="T86" s="659">
        <v>2591147053</v>
      </c>
      <c r="U86" s="660">
        <v>13640685052</v>
      </c>
      <c r="V86" s="660">
        <v>-28571429</v>
      </c>
      <c r="W86" s="660">
        <v>-2857143</v>
      </c>
      <c r="X86" s="660"/>
      <c r="Y86" s="660"/>
      <c r="Z86" s="660"/>
      <c r="AA86" s="661">
        <v>16200403533</v>
      </c>
      <c r="AB86" s="625">
        <v>0</v>
      </c>
      <c r="AD86" s="585">
        <v>2432753692</v>
      </c>
      <c r="AE86" s="626">
        <v>7247992183</v>
      </c>
      <c r="AF86" s="586">
        <v>13640685052</v>
      </c>
      <c r="AG86" s="587"/>
      <c r="AH86" s="588"/>
      <c r="AJ86" s="589"/>
      <c r="AL86" s="589"/>
      <c r="AM86" s="587"/>
      <c r="AN86" s="588"/>
      <c r="AP86" s="589"/>
      <c r="AQ86" s="587"/>
      <c r="AR86" s="588"/>
      <c r="AS86" s="506" t="s">
        <v>1800</v>
      </c>
      <c r="AT86" s="589">
        <v>-28571429</v>
      </c>
      <c r="AU86" s="590">
        <v>-2857143</v>
      </c>
      <c r="AV86" s="590">
        <v>-3959939177</v>
      </c>
      <c r="AW86" s="590">
        <v>31428572</v>
      </c>
      <c r="AX86" s="590"/>
      <c r="AY86" s="591"/>
    </row>
    <row r="87" spans="2:51" ht="12" customHeight="1" x14ac:dyDescent="0.55000000000000004">
      <c r="B87" s="601" t="s">
        <v>329</v>
      </c>
      <c r="C87" s="602">
        <v>4</v>
      </c>
      <c r="D87" s="603" t="s">
        <v>330</v>
      </c>
      <c r="E87" s="634"/>
      <c r="F87" s="635"/>
      <c r="G87" s="635"/>
      <c r="H87" s="635"/>
      <c r="I87" s="636">
        <v>-31428572</v>
      </c>
      <c r="J87" s="637">
        <v>-31428572</v>
      </c>
      <c r="K87" s="577">
        <v>0</v>
      </c>
      <c r="L87" s="578">
        <v>0</v>
      </c>
      <c r="M87" s="608">
        <v>-31428572</v>
      </c>
      <c r="O87" s="609">
        <v>-31428572</v>
      </c>
      <c r="P87" s="610">
        <v>0</v>
      </c>
      <c r="Q87" s="582" t="s">
        <v>1832</v>
      </c>
      <c r="R87" s="583"/>
      <c r="S87" s="621"/>
      <c r="T87" s="659"/>
      <c r="U87" s="660"/>
      <c r="V87" s="660"/>
      <c r="W87" s="660"/>
      <c r="X87" s="660"/>
      <c r="Y87" s="660"/>
      <c r="Z87" s="660"/>
      <c r="AA87" s="661"/>
      <c r="AB87" s="625">
        <v>0</v>
      </c>
      <c r="AD87" s="585">
        <v>-31428572</v>
      </c>
      <c r="AE87" s="626">
        <v>0</v>
      </c>
      <c r="AF87" s="586"/>
      <c r="AG87" s="587"/>
      <c r="AH87" s="588"/>
      <c r="AJ87" s="589"/>
      <c r="AL87" s="589"/>
      <c r="AM87" s="587"/>
      <c r="AN87" s="588"/>
      <c r="AP87" s="589"/>
      <c r="AQ87" s="587"/>
      <c r="AR87" s="588"/>
      <c r="AT87" s="589"/>
      <c r="AU87" s="590"/>
      <c r="AV87" s="590"/>
      <c r="AW87" s="590">
        <v>-31428572</v>
      </c>
      <c r="AX87" s="590"/>
      <c r="AY87" s="591"/>
    </row>
    <row r="88" spans="2:51" ht="12" customHeight="1" x14ac:dyDescent="0.55000000000000004">
      <c r="B88" s="601" t="s">
        <v>331</v>
      </c>
      <c r="C88" s="602">
        <v>4</v>
      </c>
      <c r="D88" s="603" t="s">
        <v>332</v>
      </c>
      <c r="E88" s="634"/>
      <c r="F88" s="635"/>
      <c r="G88" s="635"/>
      <c r="H88" s="635">
        <v>-56931671</v>
      </c>
      <c r="I88" s="636">
        <v>0</v>
      </c>
      <c r="J88" s="637">
        <v>-56931671</v>
      </c>
      <c r="K88" s="577">
        <v>0</v>
      </c>
      <c r="L88" s="578">
        <v>0</v>
      </c>
      <c r="M88" s="608">
        <v>-56931671</v>
      </c>
      <c r="O88" s="609">
        <v>-56931671</v>
      </c>
      <c r="P88" s="610">
        <v>0</v>
      </c>
      <c r="Q88" s="582" t="s">
        <v>1832</v>
      </c>
      <c r="R88" s="583"/>
      <c r="S88" s="621"/>
      <c r="T88" s="659"/>
      <c r="U88" s="660"/>
      <c r="V88" s="660"/>
      <c r="W88" s="660"/>
      <c r="X88" s="660"/>
      <c r="Y88" s="660"/>
      <c r="Z88" s="660"/>
      <c r="AA88" s="661"/>
      <c r="AB88" s="625">
        <v>0</v>
      </c>
      <c r="AD88" s="585">
        <v>-56931671</v>
      </c>
      <c r="AE88" s="626">
        <v>56931671</v>
      </c>
      <c r="AF88" s="586"/>
      <c r="AG88" s="587"/>
      <c r="AH88" s="588"/>
      <c r="AJ88" s="589"/>
      <c r="AL88" s="589"/>
      <c r="AM88" s="587"/>
      <c r="AN88" s="588"/>
      <c r="AP88" s="589"/>
      <c r="AQ88" s="587"/>
      <c r="AR88" s="588"/>
      <c r="AT88" s="589"/>
      <c r="AU88" s="590"/>
      <c r="AV88" s="590"/>
      <c r="AW88" s="590"/>
      <c r="AX88" s="590"/>
      <c r="AY88" s="591"/>
    </row>
    <row r="89" spans="2:51" ht="12" customHeight="1" thickBot="1" x14ac:dyDescent="0.6">
      <c r="B89" s="617" t="s">
        <v>333</v>
      </c>
      <c r="C89" s="618">
        <v>4</v>
      </c>
      <c r="D89" s="603" t="s">
        <v>334</v>
      </c>
      <c r="E89" s="634"/>
      <c r="F89" s="635">
        <v>3486674492</v>
      </c>
      <c r="G89" s="635">
        <v>13682317</v>
      </c>
      <c r="H89" s="635">
        <v>3792912290</v>
      </c>
      <c r="I89" s="636">
        <v>6392692869</v>
      </c>
      <c r="J89" s="637">
        <v>13685961968</v>
      </c>
      <c r="K89" s="577">
        <v>0</v>
      </c>
      <c r="L89" s="578">
        <v>0</v>
      </c>
      <c r="M89" s="608">
        <v>13640685052</v>
      </c>
      <c r="O89" s="638">
        <v>13640685052</v>
      </c>
      <c r="P89" s="610">
        <v>2375822021</v>
      </c>
      <c r="Q89" s="582" t="s">
        <v>1832</v>
      </c>
      <c r="R89" s="583"/>
      <c r="S89" s="621"/>
      <c r="T89" s="672"/>
      <c r="U89" s="673"/>
      <c r="V89" s="673"/>
      <c r="W89" s="673"/>
      <c r="X89" s="673"/>
      <c r="Y89" s="673"/>
      <c r="Z89" s="673"/>
      <c r="AA89" s="674"/>
      <c r="AB89" s="625">
        <v>0</v>
      </c>
      <c r="AD89" s="585">
        <v>11264863031</v>
      </c>
      <c r="AE89" s="585">
        <v>-7304923854</v>
      </c>
      <c r="AF89" s="586"/>
      <c r="AG89" s="587"/>
      <c r="AH89" s="588"/>
      <c r="AJ89" s="589"/>
      <c r="AL89" s="589"/>
      <c r="AM89" s="587"/>
      <c r="AN89" s="588"/>
      <c r="AP89" s="589"/>
      <c r="AQ89" s="587"/>
      <c r="AR89" s="588"/>
      <c r="AT89" s="589"/>
      <c r="AU89" s="590"/>
      <c r="AV89" s="590">
        <v>3959939177</v>
      </c>
      <c r="AW89" s="590"/>
      <c r="AX89" s="590"/>
      <c r="AY89" s="591"/>
    </row>
    <row r="90" spans="2:51" ht="12" customHeight="1" x14ac:dyDescent="0.55000000000000004">
      <c r="B90" s="571" t="s">
        <v>335</v>
      </c>
      <c r="C90" s="572">
        <v>4</v>
      </c>
      <c r="D90" s="707" t="s">
        <v>336</v>
      </c>
      <c r="E90" s="573"/>
      <c r="F90" s="574"/>
      <c r="G90" s="574"/>
      <c r="H90" s="574"/>
      <c r="I90" s="575"/>
      <c r="J90" s="576">
        <v>0</v>
      </c>
      <c r="K90" s="577">
        <v>0</v>
      </c>
      <c r="L90" s="578">
        <v>95300000</v>
      </c>
      <c r="M90" s="579">
        <v>95300000</v>
      </c>
      <c r="O90" s="580">
        <v>95300000</v>
      </c>
      <c r="P90" s="581">
        <v>61000000</v>
      </c>
      <c r="Q90" s="582" t="s">
        <v>482</v>
      </c>
      <c r="R90" s="583"/>
      <c r="S90" s="621"/>
      <c r="T90" s="584"/>
      <c r="U90" s="584"/>
      <c r="V90" s="584"/>
      <c r="W90" s="584"/>
      <c r="X90" s="584"/>
      <c r="Y90" s="584"/>
      <c r="Z90" s="584"/>
      <c r="AA90" s="584"/>
      <c r="AD90" s="585">
        <v>34300000</v>
      </c>
      <c r="AE90" s="585">
        <v>0</v>
      </c>
      <c r="AF90" s="588"/>
      <c r="AG90" s="708"/>
      <c r="AH90" s="709"/>
      <c r="AI90" s="710"/>
      <c r="AJ90" s="711"/>
      <c r="AL90" s="588"/>
      <c r="AM90" s="708" t="s">
        <v>1791</v>
      </c>
      <c r="AN90" s="709">
        <v>34300000</v>
      </c>
      <c r="AO90" s="710"/>
      <c r="AP90" s="711"/>
      <c r="AQ90" s="708"/>
      <c r="AR90" s="709"/>
      <c r="AS90" s="710"/>
      <c r="AT90" s="711"/>
      <c r="AU90" s="712"/>
      <c r="AV90" s="712"/>
      <c r="AW90" s="712"/>
      <c r="AX90" s="712"/>
      <c r="AY90" s="712"/>
    </row>
    <row r="91" spans="2:51" ht="12" customHeight="1" thickBot="1" x14ac:dyDescent="0.6">
      <c r="B91" s="676" t="s">
        <v>337</v>
      </c>
      <c r="C91" s="677">
        <v>1</v>
      </c>
      <c r="D91" s="678" t="s">
        <v>339</v>
      </c>
      <c r="E91" s="679"/>
      <c r="F91" s="680">
        <v>3546674492</v>
      </c>
      <c r="G91" s="680">
        <v>23682317</v>
      </c>
      <c r="H91" s="680">
        <v>3835980619</v>
      </c>
      <c r="I91" s="681">
        <v>9112200164</v>
      </c>
      <c r="J91" s="682">
        <v>16518537592</v>
      </c>
      <c r="K91" s="577">
        <v>0</v>
      </c>
      <c r="L91" s="578">
        <v>0</v>
      </c>
      <c r="M91" s="683">
        <v>16398560676</v>
      </c>
      <c r="O91" s="684">
        <v>16398560676</v>
      </c>
      <c r="P91" s="685">
        <v>2752147053</v>
      </c>
      <c r="Q91" s="582"/>
      <c r="R91" s="583"/>
      <c r="S91" s="583"/>
      <c r="T91" s="584"/>
      <c r="U91" s="584"/>
      <c r="V91" s="584"/>
      <c r="W91" s="584"/>
      <c r="X91" s="584"/>
      <c r="Y91" s="584"/>
      <c r="Z91" s="584"/>
      <c r="AA91" s="584"/>
      <c r="AF91" s="713">
        <v>13640685052</v>
      </c>
      <c r="AG91" s="713">
        <v>0</v>
      </c>
      <c r="AH91" s="713">
        <v>93742734</v>
      </c>
      <c r="AI91" s="713">
        <v>0</v>
      </c>
      <c r="AJ91" s="713">
        <v>-34100271</v>
      </c>
      <c r="AK91" s="713">
        <v>0</v>
      </c>
      <c r="AL91" s="713">
        <v>-6103590608</v>
      </c>
      <c r="AM91" s="713">
        <v>0</v>
      </c>
      <c r="AN91" s="713">
        <v>62300000</v>
      </c>
      <c r="AO91" s="713">
        <v>0</v>
      </c>
      <c r="AP91" s="713">
        <v>-3702589008</v>
      </c>
      <c r="AQ91" s="713">
        <v>0</v>
      </c>
      <c r="AR91" s="713">
        <v>0</v>
      </c>
      <c r="AS91" s="713">
        <v>0</v>
      </c>
      <c r="AT91" s="713">
        <v>-28571429</v>
      </c>
      <c r="AU91" s="713">
        <v>0</v>
      </c>
      <c r="AV91" s="713">
        <v>0</v>
      </c>
      <c r="AW91" s="713">
        <v>0</v>
      </c>
      <c r="AX91" s="713">
        <v>0</v>
      </c>
      <c r="AY91" s="713">
        <v>0</v>
      </c>
    </row>
    <row r="92" spans="2:51" ht="12" customHeight="1" thickTop="1" thickBot="1" x14ac:dyDescent="0.6">
      <c r="B92" s="676" t="s">
        <v>340</v>
      </c>
      <c r="C92" s="677">
        <v>1</v>
      </c>
      <c r="D92" s="678" t="s">
        <v>339</v>
      </c>
      <c r="E92" s="714"/>
      <c r="F92" s="715">
        <v>3831802647</v>
      </c>
      <c r="G92" s="715">
        <v>256283132</v>
      </c>
      <c r="H92" s="715">
        <v>4589286473</v>
      </c>
      <c r="I92" s="716">
        <v>10136340314</v>
      </c>
      <c r="J92" s="682">
        <v>18813712566</v>
      </c>
      <c r="K92" s="577">
        <v>0</v>
      </c>
      <c r="L92" s="578">
        <v>0</v>
      </c>
      <c r="M92" s="683">
        <v>18642187650</v>
      </c>
      <c r="O92" s="717">
        <v>18642187650</v>
      </c>
      <c r="P92" s="718">
        <v>4531066527</v>
      </c>
      <c r="Q92" s="582"/>
      <c r="R92" s="583"/>
      <c r="S92" s="583"/>
      <c r="T92" s="719"/>
      <c r="U92" s="584"/>
      <c r="V92" s="584"/>
      <c r="W92" s="584"/>
      <c r="X92" s="584"/>
      <c r="Y92" s="584"/>
      <c r="Z92" s="584"/>
      <c r="AA92" s="584"/>
    </row>
    <row r="93" spans="2:51" ht="12" customHeight="1" x14ac:dyDescent="0.55000000000000004">
      <c r="C93" s="720" t="s">
        <v>338</v>
      </c>
      <c r="D93" s="506" t="s">
        <v>338</v>
      </c>
      <c r="E93" s="514">
        <v>0</v>
      </c>
      <c r="F93" s="514">
        <v>0</v>
      </c>
      <c r="G93" s="514">
        <v>0</v>
      </c>
      <c r="H93" s="514">
        <v>0</v>
      </c>
      <c r="I93" s="514">
        <v>0</v>
      </c>
      <c r="J93" s="514">
        <v>0</v>
      </c>
      <c r="K93" s="577">
        <v>0</v>
      </c>
      <c r="L93" s="578">
        <v>0</v>
      </c>
      <c r="M93" s="721">
        <v>0</v>
      </c>
      <c r="O93" s="721">
        <v>0</v>
      </c>
      <c r="P93" s="721">
        <v>0</v>
      </c>
      <c r="Q93" s="583"/>
      <c r="R93" s="583"/>
      <c r="S93" s="583"/>
      <c r="T93" s="719"/>
      <c r="U93" s="584"/>
      <c r="V93" s="584"/>
      <c r="W93" s="722"/>
      <c r="X93" s="584"/>
      <c r="Y93" s="584"/>
      <c r="Z93" s="584"/>
      <c r="AA93" s="584"/>
    </row>
    <row r="94" spans="2:51" ht="12" customHeight="1" thickBot="1" x14ac:dyDescent="0.6">
      <c r="C94" s="720" t="s">
        <v>338</v>
      </c>
      <c r="D94" s="506" t="s">
        <v>338</v>
      </c>
      <c r="E94" s="625"/>
      <c r="F94" s="625"/>
      <c r="G94" s="625" t="s">
        <v>2003</v>
      </c>
      <c r="H94" s="625"/>
      <c r="I94" s="625"/>
      <c r="J94" s="625"/>
      <c r="K94" s="577">
        <v>0</v>
      </c>
      <c r="L94" s="578">
        <v>0</v>
      </c>
      <c r="M94" s="625"/>
      <c r="O94" s="625"/>
      <c r="P94" s="625"/>
      <c r="Q94" s="583"/>
      <c r="R94" s="583"/>
      <c r="S94" s="583"/>
      <c r="T94" s="719"/>
      <c r="U94" s="584"/>
      <c r="V94" s="584"/>
      <c r="W94" s="584"/>
      <c r="X94" s="584"/>
      <c r="Y94" s="584"/>
      <c r="Z94" s="584"/>
      <c r="AA94" s="584"/>
    </row>
    <row r="95" spans="2:51" ht="12" customHeight="1" x14ac:dyDescent="0.55000000000000004">
      <c r="B95" s="723" t="s">
        <v>342</v>
      </c>
      <c r="C95" s="723" t="s">
        <v>343</v>
      </c>
      <c r="D95" s="723" t="s">
        <v>344</v>
      </c>
      <c r="E95" s="724" t="s">
        <v>158</v>
      </c>
      <c r="F95" s="725" t="s">
        <v>158</v>
      </c>
      <c r="G95" s="725" t="s">
        <v>158</v>
      </c>
      <c r="H95" s="725" t="s">
        <v>158</v>
      </c>
      <c r="I95" s="523" t="s">
        <v>159</v>
      </c>
      <c r="J95" s="726">
        <v>0</v>
      </c>
      <c r="K95" s="577">
        <v>0</v>
      </c>
      <c r="L95" s="578">
        <v>0</v>
      </c>
      <c r="M95" s="727" t="s">
        <v>159</v>
      </c>
      <c r="O95" s="527" t="s">
        <v>159</v>
      </c>
      <c r="P95" s="528" t="s">
        <v>2004</v>
      </c>
      <c r="Q95" s="582"/>
      <c r="R95" s="583"/>
      <c r="S95" s="583"/>
      <c r="T95" s="719"/>
      <c r="U95" s="584"/>
      <c r="V95" s="584"/>
      <c r="W95" s="584"/>
      <c r="X95" s="584"/>
      <c r="Y95" s="584"/>
      <c r="Z95" s="584"/>
      <c r="AA95" s="584"/>
      <c r="AD95" s="491" t="s">
        <v>2005</v>
      </c>
      <c r="AE95" s="491"/>
      <c r="AF95" s="492"/>
      <c r="AG95" s="493">
        <v>7596736907</v>
      </c>
      <c r="AH95" s="728">
        <v>0</v>
      </c>
    </row>
    <row r="96" spans="2:51" ht="12" customHeight="1" x14ac:dyDescent="0.55000000000000004">
      <c r="B96" s="723"/>
      <c r="C96" s="723" t="s">
        <v>338</v>
      </c>
      <c r="D96" s="723" t="s">
        <v>338</v>
      </c>
      <c r="E96" s="729" t="s">
        <v>348</v>
      </c>
      <c r="F96" s="730" t="s">
        <v>349</v>
      </c>
      <c r="G96" s="730" t="s">
        <v>350</v>
      </c>
      <c r="H96" s="730" t="s">
        <v>346</v>
      </c>
      <c r="I96" s="731" t="s">
        <v>162</v>
      </c>
      <c r="J96" s="726" t="s">
        <v>347</v>
      </c>
      <c r="K96" s="577">
        <v>0</v>
      </c>
      <c r="L96" s="578">
        <v>0</v>
      </c>
      <c r="M96" s="727" t="s">
        <v>351</v>
      </c>
      <c r="O96" s="538" t="s">
        <v>162</v>
      </c>
      <c r="P96" s="539" t="s">
        <v>162</v>
      </c>
      <c r="Q96" s="582"/>
      <c r="R96" s="583"/>
      <c r="S96" s="583"/>
      <c r="T96" s="719"/>
      <c r="U96" s="584"/>
      <c r="V96" s="584"/>
      <c r="W96" s="584"/>
      <c r="X96" s="584"/>
      <c r="Y96" s="584"/>
      <c r="Z96" s="584"/>
      <c r="AA96" s="584"/>
      <c r="AD96" s="494" t="s">
        <v>2006</v>
      </c>
      <c r="AE96" s="495"/>
      <c r="AF96" s="496">
        <v>13640685052</v>
      </c>
      <c r="AG96" s="497"/>
      <c r="AH96" s="728">
        <v>0</v>
      </c>
    </row>
    <row r="97" spans="2:40" ht="12" customHeight="1" outlineLevel="1" x14ac:dyDescent="0.55000000000000004">
      <c r="B97" s="723"/>
      <c r="C97" s="732" t="s">
        <v>338</v>
      </c>
      <c r="D97" s="723" t="s">
        <v>299</v>
      </c>
      <c r="E97" s="729" t="s">
        <v>169</v>
      </c>
      <c r="F97" s="730" t="s">
        <v>353</v>
      </c>
      <c r="G97" s="730" t="s">
        <v>169</v>
      </c>
      <c r="H97" s="730" t="s">
        <v>177</v>
      </c>
      <c r="I97" s="731" t="s">
        <v>178</v>
      </c>
      <c r="J97" s="726" t="s">
        <v>179</v>
      </c>
      <c r="K97" s="577">
        <v>0</v>
      </c>
      <c r="L97" s="578">
        <v>0</v>
      </c>
      <c r="M97" s="727" t="s">
        <v>179</v>
      </c>
      <c r="O97" s="733" t="s">
        <v>2007</v>
      </c>
      <c r="P97" s="734" t="s">
        <v>2008</v>
      </c>
      <c r="Q97" s="582"/>
      <c r="R97" s="583"/>
      <c r="S97" s="583"/>
      <c r="T97" s="719"/>
      <c r="U97" s="722"/>
      <c r="V97" s="584"/>
      <c r="W97" s="584"/>
      <c r="X97" s="584"/>
      <c r="Y97" s="584"/>
      <c r="Z97" s="584"/>
      <c r="AA97" s="584"/>
      <c r="AD97" s="494" t="s">
        <v>2009</v>
      </c>
      <c r="AE97" s="495"/>
      <c r="AF97" s="496">
        <v>59642463</v>
      </c>
      <c r="AG97" s="497"/>
      <c r="AH97" s="728">
        <v>0</v>
      </c>
    </row>
    <row r="98" spans="2:40" ht="12" customHeight="1" outlineLevel="1" x14ac:dyDescent="0.55000000000000004">
      <c r="B98" s="735" t="s">
        <v>355</v>
      </c>
      <c r="C98" s="736">
        <v>1</v>
      </c>
      <c r="D98" s="735" t="s">
        <v>356</v>
      </c>
      <c r="E98" s="573"/>
      <c r="F98" s="574">
        <v>5406086357</v>
      </c>
      <c r="G98" s="574">
        <v>261845176</v>
      </c>
      <c r="H98" s="574">
        <v>10266381021</v>
      </c>
      <c r="I98" s="575">
        <v>17504878434</v>
      </c>
      <c r="J98" s="576">
        <v>33439190988</v>
      </c>
      <c r="K98" s="577">
        <v>0</v>
      </c>
      <c r="L98" s="578">
        <v>0</v>
      </c>
      <c r="M98" s="579">
        <v>33392893260</v>
      </c>
      <c r="O98" s="580">
        <v>33392893260</v>
      </c>
      <c r="P98" s="581">
        <v>1907385734</v>
      </c>
      <c r="Q98" s="582"/>
      <c r="R98" s="583"/>
      <c r="S98" s="583"/>
      <c r="T98" s="719"/>
      <c r="U98" s="584"/>
      <c r="V98" s="584"/>
      <c r="W98" s="584"/>
      <c r="X98" s="584"/>
      <c r="Y98" s="584"/>
      <c r="Z98" s="584"/>
      <c r="AA98" s="584"/>
      <c r="AD98" s="498" t="s">
        <v>387</v>
      </c>
      <c r="AE98" s="499"/>
      <c r="AF98" s="500">
        <v>36568032</v>
      </c>
      <c r="AG98" s="501"/>
      <c r="AH98" s="737">
        <v>36568032</v>
      </c>
      <c r="AI98" s="737">
        <v>0</v>
      </c>
      <c r="AJ98" s="737">
        <v>0</v>
      </c>
      <c r="AK98" s="737">
        <v>0</v>
      </c>
      <c r="AL98" s="737">
        <v>0</v>
      </c>
      <c r="AM98" s="737">
        <v>0</v>
      </c>
      <c r="AN98" s="737">
        <v>0</v>
      </c>
    </row>
    <row r="99" spans="2:40" ht="12" customHeight="1" outlineLevel="1" x14ac:dyDescent="0.55000000000000004">
      <c r="B99" s="601" t="s">
        <v>357</v>
      </c>
      <c r="C99" s="602">
        <v>4</v>
      </c>
      <c r="D99" s="603" t="s">
        <v>358</v>
      </c>
      <c r="E99" s="634"/>
      <c r="F99" s="635">
        <v>0</v>
      </c>
      <c r="G99" s="635">
        <v>0</v>
      </c>
      <c r="H99" s="635">
        <v>0</v>
      </c>
      <c r="I99" s="636">
        <v>0</v>
      </c>
      <c r="J99" s="637">
        <v>0</v>
      </c>
      <c r="K99" s="577">
        <v>0</v>
      </c>
      <c r="L99" s="578">
        <v>0</v>
      </c>
      <c r="M99" s="608">
        <v>0</v>
      </c>
      <c r="O99" s="638">
        <v>0</v>
      </c>
      <c r="P99" s="610">
        <v>0</v>
      </c>
      <c r="Q99" s="582"/>
      <c r="R99" s="583"/>
      <c r="S99" s="583"/>
      <c r="T99" s="719"/>
      <c r="U99" s="584"/>
      <c r="V99" s="584"/>
      <c r="W99" s="584"/>
      <c r="X99" s="584"/>
      <c r="Y99" s="584"/>
      <c r="Z99" s="584"/>
      <c r="AA99" s="584"/>
      <c r="AC99" s="517"/>
      <c r="AD99" s="498" t="s">
        <v>109</v>
      </c>
      <c r="AE99" s="499"/>
      <c r="AF99" s="500">
        <v>57174702</v>
      </c>
      <c r="AG99" s="501"/>
      <c r="AH99" s="737">
        <v>57174702</v>
      </c>
      <c r="AI99" s="737">
        <v>0</v>
      </c>
      <c r="AJ99" s="737">
        <v>0</v>
      </c>
      <c r="AK99" s="737">
        <v>0</v>
      </c>
      <c r="AL99" s="737">
        <v>0</v>
      </c>
      <c r="AM99" s="737">
        <v>0</v>
      </c>
      <c r="AN99" s="737">
        <v>0</v>
      </c>
    </row>
    <row r="100" spans="2:40" ht="12" customHeight="1" outlineLevel="1" x14ac:dyDescent="0.55000000000000004">
      <c r="B100" s="601" t="s">
        <v>359</v>
      </c>
      <c r="C100" s="602">
        <v>4</v>
      </c>
      <c r="D100" s="603" t="s">
        <v>360</v>
      </c>
      <c r="E100" s="634"/>
      <c r="F100" s="635">
        <v>5406086357</v>
      </c>
      <c r="G100" s="635"/>
      <c r="H100" s="635">
        <v>10266381021</v>
      </c>
      <c r="I100" s="636">
        <v>17501105706</v>
      </c>
      <c r="J100" s="637">
        <v>33173573084</v>
      </c>
      <c r="K100" s="577">
        <v>0</v>
      </c>
      <c r="L100" s="578">
        <v>0</v>
      </c>
      <c r="M100" s="608">
        <v>33173573084</v>
      </c>
      <c r="O100" s="638">
        <v>33173573084</v>
      </c>
      <c r="P100" s="610">
        <v>1907385734</v>
      </c>
      <c r="Q100" s="582" t="s">
        <v>359</v>
      </c>
      <c r="R100" s="583"/>
      <c r="S100" s="583"/>
      <c r="T100" s="719" t="s">
        <v>2010</v>
      </c>
      <c r="U100" s="584"/>
      <c r="V100" s="584"/>
      <c r="W100" s="584"/>
      <c r="X100" s="584"/>
      <c r="Y100" s="584"/>
      <c r="Z100" s="584"/>
      <c r="AA100" s="584"/>
      <c r="AD100" s="498" t="s">
        <v>2011</v>
      </c>
      <c r="AE100" s="499"/>
      <c r="AF100" s="500">
        <v>0</v>
      </c>
      <c r="AG100" s="501"/>
      <c r="AH100" s="737">
        <v>0</v>
      </c>
      <c r="AI100" s="737">
        <v>0</v>
      </c>
      <c r="AJ100" s="737">
        <v>0</v>
      </c>
      <c r="AK100" s="737">
        <v>0</v>
      </c>
      <c r="AL100" s="737">
        <v>0</v>
      </c>
      <c r="AM100" s="737">
        <v>0</v>
      </c>
      <c r="AN100" s="737">
        <v>0</v>
      </c>
    </row>
    <row r="101" spans="2:40" ht="12" customHeight="1" outlineLevel="1" x14ac:dyDescent="0.55000000000000004">
      <c r="B101" s="601" t="s">
        <v>361</v>
      </c>
      <c r="C101" s="602">
        <v>4</v>
      </c>
      <c r="D101" s="603" t="s">
        <v>362</v>
      </c>
      <c r="E101" s="634"/>
      <c r="F101" s="635"/>
      <c r="G101" s="605">
        <v>261845176</v>
      </c>
      <c r="H101" s="635"/>
      <c r="I101" s="636">
        <v>0</v>
      </c>
      <c r="J101" s="637">
        <v>261845176</v>
      </c>
      <c r="K101" s="577">
        <v>42525000</v>
      </c>
      <c r="L101" s="578">
        <v>0</v>
      </c>
      <c r="M101" s="608">
        <v>219320176</v>
      </c>
      <c r="O101" s="638">
        <v>219320176</v>
      </c>
      <c r="P101" s="610">
        <v>0</v>
      </c>
      <c r="Q101" s="582" t="s">
        <v>1833</v>
      </c>
      <c r="R101" s="583"/>
      <c r="S101" s="583"/>
      <c r="T101" s="719"/>
      <c r="U101" s="584"/>
      <c r="V101" s="584"/>
      <c r="W101" s="584"/>
      <c r="X101" s="584"/>
      <c r="Y101" s="584"/>
      <c r="Z101" s="584"/>
      <c r="AA101" s="584"/>
      <c r="AD101" s="498" t="s">
        <v>1770</v>
      </c>
      <c r="AE101" s="499"/>
      <c r="AF101" s="500">
        <v>0</v>
      </c>
      <c r="AG101" s="501"/>
      <c r="AH101" s="737">
        <v>0</v>
      </c>
      <c r="AI101" s="737">
        <v>0</v>
      </c>
      <c r="AJ101" s="737">
        <v>0</v>
      </c>
      <c r="AK101" s="737">
        <v>0</v>
      </c>
      <c r="AL101" s="737">
        <v>0</v>
      </c>
      <c r="AM101" s="737">
        <v>0</v>
      </c>
      <c r="AN101" s="737">
        <v>0</v>
      </c>
    </row>
    <row r="102" spans="2:40" ht="12" customHeight="1" outlineLevel="1" x14ac:dyDescent="0.55000000000000004">
      <c r="B102" s="601" t="s">
        <v>363</v>
      </c>
      <c r="C102" s="602">
        <v>4</v>
      </c>
      <c r="D102" s="603" t="s">
        <v>364</v>
      </c>
      <c r="E102" s="634"/>
      <c r="F102" s="635"/>
      <c r="G102" s="635"/>
      <c r="H102" s="635"/>
      <c r="I102" s="636">
        <v>3772728</v>
      </c>
      <c r="J102" s="637">
        <v>3772728</v>
      </c>
      <c r="K102" s="577">
        <v>3772728</v>
      </c>
      <c r="L102" s="578">
        <v>0</v>
      </c>
      <c r="M102" s="619">
        <v>0</v>
      </c>
      <c r="O102" s="638">
        <v>0</v>
      </c>
      <c r="P102" s="610">
        <v>0</v>
      </c>
      <c r="Q102" s="582" t="s">
        <v>1833</v>
      </c>
      <c r="R102" s="583"/>
      <c r="S102" s="738"/>
      <c r="T102" s="719"/>
      <c r="U102" s="584"/>
      <c r="V102" s="584"/>
      <c r="W102" s="584"/>
      <c r="X102" s="584"/>
      <c r="Y102" s="584"/>
      <c r="Z102" s="584"/>
      <c r="AA102" s="584"/>
      <c r="AD102" s="498" t="s">
        <v>441</v>
      </c>
      <c r="AE102" s="499"/>
      <c r="AF102" s="500">
        <v>-29554816</v>
      </c>
      <c r="AG102" s="501"/>
      <c r="AH102" s="737">
        <v>0</v>
      </c>
      <c r="AI102" s="737">
        <v>-29554816</v>
      </c>
      <c r="AJ102" s="737">
        <v>0</v>
      </c>
      <c r="AK102" s="737">
        <v>0</v>
      </c>
      <c r="AL102" s="737">
        <v>0</v>
      </c>
      <c r="AM102" s="737">
        <v>0</v>
      </c>
      <c r="AN102" s="737">
        <v>0</v>
      </c>
    </row>
    <row r="103" spans="2:40" ht="12" customHeight="1" outlineLevel="1" x14ac:dyDescent="0.55000000000000004">
      <c r="B103" s="735" t="s">
        <v>365</v>
      </c>
      <c r="C103" s="736">
        <v>1</v>
      </c>
      <c r="D103" s="735" t="s">
        <v>366</v>
      </c>
      <c r="E103" s="573"/>
      <c r="F103" s="574">
        <v>0</v>
      </c>
      <c r="G103" s="574">
        <v>0</v>
      </c>
      <c r="H103" s="574">
        <v>0</v>
      </c>
      <c r="I103" s="575">
        <v>0</v>
      </c>
      <c r="J103" s="576">
        <v>0</v>
      </c>
      <c r="K103" s="577">
        <v>0</v>
      </c>
      <c r="L103" s="578">
        <v>0</v>
      </c>
      <c r="M103" s="579">
        <v>0</v>
      </c>
      <c r="O103" s="580">
        <v>0</v>
      </c>
      <c r="P103" s="581">
        <v>0</v>
      </c>
      <c r="Q103" s="582"/>
      <c r="R103" s="583"/>
      <c r="S103" s="739"/>
      <c r="T103" s="719"/>
      <c r="U103" s="584"/>
      <c r="V103" s="584"/>
      <c r="W103" s="584"/>
      <c r="X103" s="584"/>
      <c r="Y103" s="584"/>
      <c r="Z103" s="584"/>
      <c r="AA103" s="584"/>
      <c r="AD103" s="498" t="s">
        <v>1771</v>
      </c>
      <c r="AE103" s="499"/>
      <c r="AF103" s="500">
        <v>-4545455</v>
      </c>
      <c r="AG103" s="501"/>
      <c r="AH103" s="737">
        <v>0</v>
      </c>
      <c r="AI103" s="737">
        <v>-4545455</v>
      </c>
      <c r="AJ103" s="737">
        <v>0</v>
      </c>
      <c r="AK103" s="737">
        <v>0</v>
      </c>
      <c r="AL103" s="737">
        <v>0</v>
      </c>
      <c r="AM103" s="737">
        <v>0</v>
      </c>
      <c r="AN103" s="737">
        <v>0</v>
      </c>
    </row>
    <row r="104" spans="2:40" s="505" customFormat="1" ht="12" customHeight="1" outlineLevel="1" x14ac:dyDescent="0.55000000000000004">
      <c r="B104" s="740" t="s">
        <v>367</v>
      </c>
      <c r="C104" s="741">
        <v>2</v>
      </c>
      <c r="D104" s="643" t="s">
        <v>368</v>
      </c>
      <c r="E104" s="642"/>
      <c r="F104" s="643">
        <v>0</v>
      </c>
      <c r="G104" s="643">
        <v>0</v>
      </c>
      <c r="H104" s="643">
        <v>0</v>
      </c>
      <c r="I104" s="644">
        <v>0</v>
      </c>
      <c r="J104" s="645">
        <v>0</v>
      </c>
      <c r="K104" s="742">
        <v>0</v>
      </c>
      <c r="L104" s="743">
        <v>0</v>
      </c>
      <c r="M104" s="645">
        <v>0</v>
      </c>
      <c r="O104" s="744">
        <v>0</v>
      </c>
      <c r="P104" s="745">
        <v>0</v>
      </c>
      <c r="Q104" s="746"/>
      <c r="R104" s="747"/>
      <c r="S104" s="748"/>
      <c r="T104" s="719"/>
      <c r="U104" s="584"/>
      <c r="V104" s="584"/>
      <c r="W104" s="584"/>
      <c r="X104" s="584"/>
      <c r="Y104" s="584"/>
      <c r="Z104" s="584"/>
      <c r="AA104" s="584"/>
      <c r="AD104" s="498" t="s">
        <v>1772</v>
      </c>
      <c r="AE104" s="499"/>
      <c r="AF104" s="500">
        <v>0</v>
      </c>
      <c r="AG104" s="501"/>
      <c r="AH104" s="737">
        <v>0</v>
      </c>
      <c r="AI104" s="737">
        <v>0</v>
      </c>
      <c r="AJ104" s="737">
        <v>0</v>
      </c>
      <c r="AK104" s="737">
        <v>0</v>
      </c>
      <c r="AL104" s="737">
        <v>0</v>
      </c>
      <c r="AM104" s="737">
        <v>0</v>
      </c>
      <c r="AN104" s="737">
        <v>0</v>
      </c>
    </row>
    <row r="105" spans="2:40" s="505" customFormat="1" ht="12" customHeight="1" outlineLevel="1" x14ac:dyDescent="0.55000000000000004">
      <c r="B105" s="749" t="s">
        <v>369</v>
      </c>
      <c r="C105" s="750">
        <v>4</v>
      </c>
      <c r="D105" s="635" t="s">
        <v>370</v>
      </c>
      <c r="E105" s="634"/>
      <c r="F105" s="635">
        <v>0</v>
      </c>
      <c r="G105" s="635">
        <v>0</v>
      </c>
      <c r="H105" s="635">
        <v>0</v>
      </c>
      <c r="I105" s="636">
        <v>0</v>
      </c>
      <c r="J105" s="637">
        <v>0</v>
      </c>
      <c r="K105" s="742">
        <v>0</v>
      </c>
      <c r="L105" s="743">
        <v>0</v>
      </c>
      <c r="M105" s="637">
        <v>0</v>
      </c>
      <c r="O105" s="751">
        <v>0</v>
      </c>
      <c r="P105" s="752">
        <v>0</v>
      </c>
      <c r="Q105" s="746"/>
      <c r="R105" s="747"/>
      <c r="S105" s="748"/>
      <c r="T105" s="719"/>
      <c r="U105" s="584"/>
      <c r="V105" s="584"/>
      <c r="W105" s="584"/>
      <c r="X105" s="584"/>
      <c r="Y105" s="584"/>
      <c r="Z105" s="584"/>
      <c r="AA105" s="584"/>
      <c r="AD105" s="494" t="s">
        <v>2012</v>
      </c>
      <c r="AE105" s="495"/>
      <c r="AF105" s="496">
        <v>-6103590608</v>
      </c>
      <c r="AG105" s="497"/>
      <c r="AH105" s="728">
        <v>0</v>
      </c>
      <c r="AI105" s="506"/>
      <c r="AJ105" s="506"/>
      <c r="AK105" s="506"/>
      <c r="AL105" s="506"/>
      <c r="AM105" s="506"/>
      <c r="AN105" s="506"/>
    </row>
    <row r="106" spans="2:40" s="505" customFormat="1" ht="12" customHeight="1" outlineLevel="1" x14ac:dyDescent="0.55000000000000004">
      <c r="B106" s="749" t="s">
        <v>371</v>
      </c>
      <c r="C106" s="750">
        <v>4</v>
      </c>
      <c r="D106" s="635" t="s">
        <v>372</v>
      </c>
      <c r="E106" s="634"/>
      <c r="F106" s="635">
        <v>0</v>
      </c>
      <c r="G106" s="635">
        <v>0</v>
      </c>
      <c r="H106" s="635">
        <v>0</v>
      </c>
      <c r="I106" s="636">
        <v>0</v>
      </c>
      <c r="J106" s="637">
        <v>0</v>
      </c>
      <c r="K106" s="742">
        <v>0</v>
      </c>
      <c r="L106" s="743">
        <v>0</v>
      </c>
      <c r="M106" s="637">
        <v>0</v>
      </c>
      <c r="O106" s="751">
        <v>0</v>
      </c>
      <c r="P106" s="752">
        <v>0</v>
      </c>
      <c r="Q106" s="746"/>
      <c r="R106" s="747"/>
      <c r="S106" s="748"/>
      <c r="T106" s="719"/>
      <c r="U106" s="584"/>
      <c r="V106" s="584"/>
      <c r="W106" s="584"/>
      <c r="X106" s="584"/>
      <c r="Y106" s="584"/>
      <c r="Z106" s="584"/>
      <c r="AA106" s="584"/>
      <c r="AD106" s="498" t="s">
        <v>1773</v>
      </c>
      <c r="AE106" s="499"/>
      <c r="AF106" s="500">
        <v>-4890935795</v>
      </c>
      <c r="AG106" s="501"/>
      <c r="AH106" s="737">
        <v>0</v>
      </c>
      <c r="AI106" s="737">
        <v>0</v>
      </c>
      <c r="AJ106" s="737">
        <v>-4890935795</v>
      </c>
      <c r="AK106" s="737">
        <v>0</v>
      </c>
      <c r="AL106" s="737">
        <v>0</v>
      </c>
      <c r="AM106" s="737">
        <v>0</v>
      </c>
      <c r="AN106" s="737">
        <v>0</v>
      </c>
    </row>
    <row r="107" spans="2:40" ht="12" customHeight="1" outlineLevel="1" x14ac:dyDescent="0.55000000000000004">
      <c r="B107" s="617" t="s">
        <v>373</v>
      </c>
      <c r="C107" s="618">
        <v>4</v>
      </c>
      <c r="D107" s="635" t="s">
        <v>374</v>
      </c>
      <c r="E107" s="634"/>
      <c r="F107" s="635">
        <v>0</v>
      </c>
      <c r="G107" s="635">
        <v>0</v>
      </c>
      <c r="H107" s="635">
        <v>0</v>
      </c>
      <c r="I107" s="636">
        <v>0</v>
      </c>
      <c r="J107" s="637">
        <v>0</v>
      </c>
      <c r="K107" s="742">
        <v>0</v>
      </c>
      <c r="L107" s="743">
        <v>0</v>
      </c>
      <c r="M107" s="637">
        <v>0</v>
      </c>
      <c r="N107" s="505"/>
      <c r="O107" s="751">
        <v>0</v>
      </c>
      <c r="P107" s="752">
        <v>0</v>
      </c>
      <c r="Q107" s="582"/>
      <c r="R107" s="583"/>
      <c r="S107" s="738"/>
      <c r="T107" s="719"/>
      <c r="U107" s="584"/>
      <c r="V107" s="584"/>
      <c r="W107" s="584"/>
      <c r="X107" s="584"/>
      <c r="Y107" s="584"/>
      <c r="Z107" s="584"/>
      <c r="AA107" s="584"/>
      <c r="AD107" s="498" t="s">
        <v>1774</v>
      </c>
      <c r="AE107" s="499"/>
      <c r="AF107" s="500">
        <v>20379525</v>
      </c>
      <c r="AG107" s="501"/>
      <c r="AH107" s="737">
        <v>0</v>
      </c>
      <c r="AI107" s="737">
        <v>0</v>
      </c>
      <c r="AJ107" s="737">
        <v>20379525</v>
      </c>
      <c r="AK107" s="737">
        <v>0</v>
      </c>
      <c r="AL107" s="737">
        <v>0</v>
      </c>
      <c r="AM107" s="737">
        <v>0</v>
      </c>
      <c r="AN107" s="737">
        <v>0</v>
      </c>
    </row>
    <row r="108" spans="2:40" s="505" customFormat="1" ht="12" customHeight="1" outlineLevel="1" x14ac:dyDescent="0.55000000000000004">
      <c r="B108" s="740" t="s">
        <v>375</v>
      </c>
      <c r="C108" s="741">
        <v>4</v>
      </c>
      <c r="D108" s="643" t="s">
        <v>376</v>
      </c>
      <c r="E108" s="642"/>
      <c r="F108" s="643"/>
      <c r="G108" s="643"/>
      <c r="H108" s="643"/>
      <c r="I108" s="644"/>
      <c r="J108" s="645">
        <v>0</v>
      </c>
      <c r="K108" s="742">
        <v>0</v>
      </c>
      <c r="L108" s="743">
        <v>0</v>
      </c>
      <c r="M108" s="645">
        <v>0</v>
      </c>
      <c r="O108" s="744">
        <v>0</v>
      </c>
      <c r="P108" s="745">
        <v>0</v>
      </c>
      <c r="Q108" s="746"/>
      <c r="R108" s="747"/>
      <c r="S108" s="748"/>
      <c r="T108" s="719"/>
      <c r="U108" s="584"/>
      <c r="V108" s="584"/>
      <c r="W108" s="584"/>
      <c r="X108" s="584"/>
      <c r="Y108" s="584"/>
      <c r="Z108" s="584"/>
      <c r="AA108" s="584"/>
      <c r="AD108" s="498" t="s">
        <v>1775</v>
      </c>
      <c r="AE108" s="499"/>
      <c r="AF108" s="500">
        <v>-1642599217</v>
      </c>
      <c r="AG108" s="501"/>
      <c r="AH108" s="737">
        <v>0</v>
      </c>
      <c r="AI108" s="737">
        <v>0</v>
      </c>
      <c r="AJ108" s="737">
        <v>-1642599217</v>
      </c>
      <c r="AK108" s="737">
        <v>0</v>
      </c>
      <c r="AL108" s="737">
        <v>0</v>
      </c>
      <c r="AM108" s="737">
        <v>0</v>
      </c>
      <c r="AN108" s="737">
        <v>0</v>
      </c>
    </row>
    <row r="109" spans="2:40" ht="12" customHeight="1" outlineLevel="1" x14ac:dyDescent="0.55000000000000004">
      <c r="B109" s="735" t="s">
        <v>377</v>
      </c>
      <c r="C109" s="736">
        <v>1</v>
      </c>
      <c r="D109" s="574" t="s">
        <v>378</v>
      </c>
      <c r="E109" s="573"/>
      <c r="F109" s="574">
        <v>5406086357</v>
      </c>
      <c r="G109" s="574">
        <v>261845176</v>
      </c>
      <c r="H109" s="574">
        <v>10266381021</v>
      </c>
      <c r="I109" s="575">
        <v>17504878434</v>
      </c>
      <c r="J109" s="576">
        <v>33439190988</v>
      </c>
      <c r="K109" s="742">
        <v>0</v>
      </c>
      <c r="L109" s="743">
        <v>0</v>
      </c>
      <c r="M109" s="576">
        <v>33392893260</v>
      </c>
      <c r="N109" s="505"/>
      <c r="O109" s="753">
        <v>33392893260</v>
      </c>
      <c r="P109" s="754">
        <v>1907385734</v>
      </c>
      <c r="Q109" s="582"/>
      <c r="R109" s="583"/>
      <c r="S109" s="738"/>
      <c r="T109" s="584"/>
      <c r="U109" s="584"/>
      <c r="V109" s="584"/>
      <c r="W109" s="584"/>
      <c r="X109" s="584"/>
      <c r="Y109" s="584"/>
      <c r="Z109" s="584"/>
      <c r="AA109" s="584"/>
      <c r="AD109" s="498" t="s">
        <v>1776</v>
      </c>
      <c r="AE109" s="499"/>
      <c r="AF109" s="500">
        <v>-18539459</v>
      </c>
      <c r="AG109" s="501"/>
      <c r="AH109" s="737">
        <v>0</v>
      </c>
      <c r="AI109" s="737">
        <v>0</v>
      </c>
      <c r="AJ109" s="737">
        <v>-18539459</v>
      </c>
      <c r="AK109" s="737">
        <v>0</v>
      </c>
      <c r="AL109" s="737">
        <v>0</v>
      </c>
      <c r="AM109" s="737">
        <v>0</v>
      </c>
      <c r="AN109" s="737">
        <v>0</v>
      </c>
    </row>
    <row r="110" spans="2:40" ht="12" customHeight="1" outlineLevel="1" x14ac:dyDescent="0.55000000000000004">
      <c r="B110" s="735" t="s">
        <v>379</v>
      </c>
      <c r="C110" s="736">
        <v>1</v>
      </c>
      <c r="D110" s="574" t="s">
        <v>380</v>
      </c>
      <c r="E110" s="573"/>
      <c r="F110" s="574">
        <v>1919479315</v>
      </c>
      <c r="G110" s="574">
        <v>247986811</v>
      </c>
      <c r="H110" s="574">
        <v>6468495012</v>
      </c>
      <c r="I110" s="575">
        <v>10871796025</v>
      </c>
      <c r="J110" s="576">
        <v>19507757163</v>
      </c>
      <c r="K110" s="742">
        <v>0</v>
      </c>
      <c r="L110" s="743">
        <v>0</v>
      </c>
      <c r="M110" s="576">
        <v>19480857441</v>
      </c>
      <c r="N110" s="505"/>
      <c r="O110" s="753">
        <v>19480857441</v>
      </c>
      <c r="P110" s="754">
        <v>1132133760</v>
      </c>
      <c r="Q110" s="582" t="s">
        <v>1834</v>
      </c>
      <c r="R110" s="583"/>
      <c r="S110" s="738"/>
      <c r="T110" s="584"/>
      <c r="U110" s="584"/>
      <c r="V110" s="584"/>
      <c r="W110" s="584"/>
      <c r="X110" s="584"/>
      <c r="Y110" s="584"/>
      <c r="Z110" s="584"/>
      <c r="AA110" s="584"/>
      <c r="AD110" s="498" t="s">
        <v>1777</v>
      </c>
      <c r="AE110" s="499"/>
      <c r="AF110" s="500">
        <v>0</v>
      </c>
      <c r="AG110" s="501"/>
      <c r="AH110" s="737">
        <v>0</v>
      </c>
      <c r="AI110" s="737">
        <v>0</v>
      </c>
      <c r="AJ110" s="737">
        <v>0</v>
      </c>
      <c r="AK110" s="737">
        <v>0</v>
      </c>
      <c r="AL110" s="737">
        <v>0</v>
      </c>
      <c r="AM110" s="737">
        <v>0</v>
      </c>
      <c r="AN110" s="737">
        <v>0</v>
      </c>
    </row>
    <row r="111" spans="2:40" ht="12" customHeight="1" outlineLevel="1" x14ac:dyDescent="0.55000000000000004">
      <c r="B111" s="617" t="s">
        <v>381</v>
      </c>
      <c r="C111" s="602">
        <v>4</v>
      </c>
      <c r="D111" s="635" t="s">
        <v>382</v>
      </c>
      <c r="E111" s="634"/>
      <c r="F111" s="635">
        <v>32622618</v>
      </c>
      <c r="G111" s="605">
        <v>35188940</v>
      </c>
      <c r="H111" s="635">
        <v>251626470</v>
      </c>
      <c r="I111" s="636">
        <v>412753054</v>
      </c>
      <c r="J111" s="637">
        <v>732191082</v>
      </c>
      <c r="K111" s="742">
        <v>0</v>
      </c>
      <c r="L111" s="743">
        <v>0</v>
      </c>
      <c r="M111" s="637">
        <v>732191082</v>
      </c>
      <c r="N111" s="505"/>
      <c r="O111" s="751">
        <v>732191082</v>
      </c>
      <c r="P111" s="755">
        <v>226336029</v>
      </c>
      <c r="Q111" s="582" t="s">
        <v>1449</v>
      </c>
      <c r="R111" s="583"/>
      <c r="S111" s="738" t="s">
        <v>1449</v>
      </c>
      <c r="T111" s="584"/>
      <c r="U111" s="584"/>
      <c r="V111" s="584"/>
      <c r="W111" s="584"/>
      <c r="X111" s="584"/>
      <c r="Y111" s="584"/>
      <c r="Z111" s="584"/>
      <c r="AA111" s="584"/>
      <c r="AD111" s="498" t="s">
        <v>1778</v>
      </c>
      <c r="AE111" s="499"/>
      <c r="AF111" s="500">
        <v>-35130</v>
      </c>
      <c r="AG111" s="501"/>
      <c r="AH111" s="737">
        <v>0</v>
      </c>
      <c r="AI111" s="737">
        <v>0</v>
      </c>
      <c r="AJ111" s="737">
        <v>-35130</v>
      </c>
      <c r="AK111" s="737">
        <v>0</v>
      </c>
      <c r="AL111" s="737">
        <v>0</v>
      </c>
      <c r="AM111" s="737">
        <v>0</v>
      </c>
      <c r="AN111" s="737">
        <v>0</v>
      </c>
    </row>
    <row r="112" spans="2:40" ht="12" customHeight="1" outlineLevel="1" x14ac:dyDescent="0.55000000000000004">
      <c r="B112" s="617" t="s">
        <v>383</v>
      </c>
      <c r="C112" s="602">
        <v>4</v>
      </c>
      <c r="D112" s="635" t="s">
        <v>384</v>
      </c>
      <c r="E112" s="634"/>
      <c r="F112" s="635">
        <v>6800000</v>
      </c>
      <c r="G112" s="605">
        <v>12000000</v>
      </c>
      <c r="H112" s="635">
        <v>57871860</v>
      </c>
      <c r="I112" s="636">
        <v>62522608</v>
      </c>
      <c r="J112" s="637">
        <v>139194468</v>
      </c>
      <c r="K112" s="742">
        <v>0</v>
      </c>
      <c r="L112" s="743">
        <v>0</v>
      </c>
      <c r="M112" s="637">
        <v>139194468</v>
      </c>
      <c r="N112" s="505"/>
      <c r="O112" s="751">
        <v>139194468</v>
      </c>
      <c r="P112" s="755">
        <v>3000000</v>
      </c>
      <c r="Q112" s="582" t="s">
        <v>1449</v>
      </c>
      <c r="R112" s="738"/>
      <c r="S112" s="738" t="s">
        <v>1449</v>
      </c>
      <c r="T112" s="584"/>
      <c r="U112" s="584"/>
      <c r="V112" s="584"/>
      <c r="W112" s="584"/>
      <c r="X112" s="584"/>
      <c r="Y112" s="584"/>
      <c r="Z112" s="584"/>
      <c r="AA112" s="584"/>
      <c r="AD112" s="498" t="s">
        <v>1779</v>
      </c>
      <c r="AE112" s="499"/>
      <c r="AF112" s="500">
        <v>602776414</v>
      </c>
      <c r="AG112" s="501"/>
      <c r="AH112" s="737">
        <v>0</v>
      </c>
      <c r="AI112" s="737">
        <v>0</v>
      </c>
      <c r="AJ112" s="737">
        <v>602776414</v>
      </c>
      <c r="AK112" s="737">
        <v>0</v>
      </c>
      <c r="AL112" s="737">
        <v>0</v>
      </c>
      <c r="AM112" s="737">
        <v>0</v>
      </c>
      <c r="AN112" s="737">
        <v>0</v>
      </c>
    </row>
    <row r="113" spans="1:45" ht="12" customHeight="1" outlineLevel="1" x14ac:dyDescent="0.55000000000000004">
      <c r="B113" s="617" t="s">
        <v>385</v>
      </c>
      <c r="C113" s="602">
        <v>4</v>
      </c>
      <c r="D113" s="635" t="s">
        <v>386</v>
      </c>
      <c r="E113" s="634"/>
      <c r="F113" s="635">
        <v>0</v>
      </c>
      <c r="G113" s="605"/>
      <c r="H113" s="635"/>
      <c r="I113" s="636">
        <v>0</v>
      </c>
      <c r="J113" s="637">
        <v>0</v>
      </c>
      <c r="K113" s="742">
        <v>0</v>
      </c>
      <c r="L113" s="743">
        <v>0</v>
      </c>
      <c r="M113" s="637">
        <v>0</v>
      </c>
      <c r="N113" s="505"/>
      <c r="O113" s="751">
        <v>0</v>
      </c>
      <c r="P113" s="755">
        <v>0</v>
      </c>
      <c r="Q113" s="582" t="s">
        <v>1449</v>
      </c>
      <c r="R113" s="738"/>
      <c r="S113" s="738" t="s">
        <v>1449</v>
      </c>
      <c r="T113" s="584"/>
      <c r="U113" s="584"/>
      <c r="V113" s="584"/>
      <c r="W113" s="584"/>
      <c r="X113" s="584"/>
      <c r="Y113" s="584"/>
      <c r="Z113" s="584"/>
      <c r="AA113" s="584"/>
      <c r="AD113" s="498" t="s">
        <v>1780</v>
      </c>
      <c r="AE113" s="499"/>
      <c r="AF113" s="500">
        <v>0</v>
      </c>
      <c r="AG113" s="501"/>
      <c r="AH113" s="737">
        <v>0</v>
      </c>
      <c r="AI113" s="737">
        <v>0</v>
      </c>
      <c r="AJ113" s="737">
        <v>0</v>
      </c>
      <c r="AK113" s="737">
        <v>0</v>
      </c>
      <c r="AL113" s="737">
        <v>0</v>
      </c>
      <c r="AM113" s="737">
        <v>0</v>
      </c>
      <c r="AN113" s="737">
        <v>0</v>
      </c>
    </row>
    <row r="114" spans="1:45" ht="12" customHeight="1" outlineLevel="1" x14ac:dyDescent="0.55000000000000004">
      <c r="B114" s="617" t="s">
        <v>387</v>
      </c>
      <c r="C114" s="602">
        <v>4</v>
      </c>
      <c r="D114" s="635" t="s">
        <v>388</v>
      </c>
      <c r="E114" s="634"/>
      <c r="F114" s="635"/>
      <c r="G114" s="605"/>
      <c r="H114" s="635"/>
      <c r="I114" s="636">
        <v>45841642</v>
      </c>
      <c r="J114" s="637">
        <v>45841642</v>
      </c>
      <c r="K114" s="742">
        <v>0</v>
      </c>
      <c r="L114" s="743">
        <v>0</v>
      </c>
      <c r="M114" s="637">
        <v>45841642</v>
      </c>
      <c r="N114" s="505"/>
      <c r="O114" s="751">
        <v>45841642</v>
      </c>
      <c r="P114" s="755">
        <v>24314159</v>
      </c>
      <c r="Q114" s="582" t="s">
        <v>387</v>
      </c>
      <c r="R114" s="738"/>
      <c r="S114" s="738" t="s">
        <v>387</v>
      </c>
      <c r="T114" s="584"/>
      <c r="U114" s="584"/>
      <c r="V114" s="584"/>
      <c r="W114" s="584"/>
      <c r="X114" s="584"/>
      <c r="Y114" s="584"/>
      <c r="Z114" s="584"/>
      <c r="AA114" s="584"/>
      <c r="AD114" s="498" t="s">
        <v>1781</v>
      </c>
      <c r="AE114" s="499"/>
      <c r="AF114" s="500">
        <v>23505533</v>
      </c>
      <c r="AG114" s="501"/>
      <c r="AH114" s="737">
        <v>0</v>
      </c>
      <c r="AI114" s="737">
        <v>0</v>
      </c>
      <c r="AJ114" s="737">
        <v>23505533</v>
      </c>
      <c r="AK114" s="737">
        <v>0</v>
      </c>
      <c r="AL114" s="737">
        <v>0</v>
      </c>
      <c r="AM114" s="737">
        <v>0</v>
      </c>
      <c r="AN114" s="737">
        <v>0</v>
      </c>
    </row>
    <row r="115" spans="1:45" ht="12" customHeight="1" outlineLevel="1" x14ac:dyDescent="0.55000000000000004">
      <c r="B115" s="617" t="s">
        <v>389</v>
      </c>
      <c r="C115" s="602">
        <v>4</v>
      </c>
      <c r="D115" s="635" t="s">
        <v>390</v>
      </c>
      <c r="E115" s="634"/>
      <c r="F115" s="635">
        <v>10274919</v>
      </c>
      <c r="G115" s="635">
        <v>946215</v>
      </c>
      <c r="H115" s="635"/>
      <c r="I115" s="636">
        <v>60229419</v>
      </c>
      <c r="J115" s="637">
        <v>71450553</v>
      </c>
      <c r="K115" s="742">
        <v>0</v>
      </c>
      <c r="L115" s="743">
        <v>0</v>
      </c>
      <c r="M115" s="637">
        <v>71450553</v>
      </c>
      <c r="N115" s="505"/>
      <c r="O115" s="751">
        <v>71450553</v>
      </c>
      <c r="P115" s="755">
        <v>17887298</v>
      </c>
      <c r="Q115" s="582" t="s">
        <v>389</v>
      </c>
      <c r="R115" s="738"/>
      <c r="S115" s="738" t="s">
        <v>389</v>
      </c>
      <c r="T115" s="584"/>
      <c r="U115" s="584"/>
      <c r="V115" s="584"/>
      <c r="W115" s="584"/>
      <c r="X115" s="584"/>
      <c r="Y115" s="584"/>
      <c r="Z115" s="584"/>
      <c r="AA115" s="584"/>
      <c r="AD115" s="498" t="s">
        <v>1782</v>
      </c>
      <c r="AE115" s="499"/>
      <c r="AF115" s="500">
        <v>4351740</v>
      </c>
      <c r="AG115" s="501"/>
      <c r="AH115" s="737">
        <v>0</v>
      </c>
      <c r="AI115" s="737">
        <v>0</v>
      </c>
      <c r="AJ115" s="737">
        <v>4351740</v>
      </c>
      <c r="AK115" s="737">
        <v>0</v>
      </c>
      <c r="AL115" s="737">
        <v>0</v>
      </c>
      <c r="AM115" s="737">
        <v>0</v>
      </c>
      <c r="AN115" s="737">
        <v>0</v>
      </c>
    </row>
    <row r="116" spans="1:45" ht="12" customHeight="1" outlineLevel="1" x14ac:dyDescent="0.55000000000000004">
      <c r="B116" s="617" t="s">
        <v>107</v>
      </c>
      <c r="C116" s="602">
        <v>4</v>
      </c>
      <c r="D116" s="635" t="s">
        <v>391</v>
      </c>
      <c r="E116" s="634"/>
      <c r="F116" s="635">
        <v>1534202</v>
      </c>
      <c r="G116" s="635">
        <v>816539</v>
      </c>
      <c r="H116" s="635">
        <v>18470808</v>
      </c>
      <c r="I116" s="636">
        <v>46363120</v>
      </c>
      <c r="J116" s="637">
        <v>67184669</v>
      </c>
      <c r="K116" s="742">
        <v>0</v>
      </c>
      <c r="L116" s="743">
        <v>0</v>
      </c>
      <c r="M116" s="637">
        <v>67184669</v>
      </c>
      <c r="N116" s="505"/>
      <c r="O116" s="751">
        <v>67184669</v>
      </c>
      <c r="P116" s="755">
        <v>5303160</v>
      </c>
      <c r="Q116" s="582" t="s">
        <v>107</v>
      </c>
      <c r="R116" s="738"/>
      <c r="S116" s="738"/>
      <c r="T116" s="584"/>
      <c r="U116" s="584"/>
      <c r="V116" s="584"/>
      <c r="W116" s="584"/>
      <c r="X116" s="584"/>
      <c r="Y116" s="584"/>
      <c r="Z116" s="584"/>
      <c r="AA116" s="584"/>
      <c r="AD116" s="498" t="s">
        <v>1783</v>
      </c>
      <c r="AE116" s="499"/>
      <c r="AF116" s="500">
        <v>0</v>
      </c>
      <c r="AG116" s="501"/>
      <c r="AH116" s="737">
        <v>0</v>
      </c>
      <c r="AI116" s="737">
        <v>0</v>
      </c>
      <c r="AJ116" s="737">
        <v>0</v>
      </c>
      <c r="AK116" s="737">
        <v>0</v>
      </c>
      <c r="AL116" s="737">
        <v>0</v>
      </c>
      <c r="AM116" s="737">
        <v>0</v>
      </c>
      <c r="AN116" s="737">
        <v>0</v>
      </c>
    </row>
    <row r="117" spans="1:45" ht="12" customHeight="1" outlineLevel="1" x14ac:dyDescent="0.55000000000000004">
      <c r="B117" s="617" t="s">
        <v>108</v>
      </c>
      <c r="C117" s="602">
        <v>4</v>
      </c>
      <c r="D117" s="635" t="s">
        <v>392</v>
      </c>
      <c r="E117" s="634"/>
      <c r="F117" s="635">
        <v>550000</v>
      </c>
      <c r="G117" s="635">
        <v>150000</v>
      </c>
      <c r="H117" s="635">
        <v>20275700</v>
      </c>
      <c r="I117" s="636">
        <v>10659750</v>
      </c>
      <c r="J117" s="637">
        <v>31635450</v>
      </c>
      <c r="K117" s="742">
        <v>0</v>
      </c>
      <c r="L117" s="743">
        <v>0</v>
      </c>
      <c r="M117" s="637">
        <v>31635450</v>
      </c>
      <c r="N117" s="505"/>
      <c r="O117" s="751">
        <v>31635450</v>
      </c>
      <c r="P117" s="755">
        <v>19803660</v>
      </c>
      <c r="Q117" s="582" t="s">
        <v>2013</v>
      </c>
      <c r="R117" s="738"/>
      <c r="S117" s="738"/>
      <c r="T117" s="584"/>
      <c r="U117" s="584"/>
      <c r="V117" s="584"/>
      <c r="W117" s="584"/>
      <c r="X117" s="584"/>
      <c r="Y117" s="584"/>
      <c r="Z117" s="584"/>
      <c r="AA117" s="584"/>
      <c r="AD117" s="498" t="s">
        <v>1784</v>
      </c>
      <c r="AE117" s="499"/>
      <c r="AF117" s="500">
        <v>-260324552</v>
      </c>
      <c r="AG117" s="501"/>
      <c r="AH117" s="737">
        <v>0</v>
      </c>
      <c r="AI117" s="737">
        <v>0</v>
      </c>
      <c r="AJ117" s="737">
        <v>-260324552</v>
      </c>
      <c r="AK117" s="737">
        <v>0</v>
      </c>
      <c r="AL117" s="737">
        <v>0</v>
      </c>
      <c r="AM117" s="737">
        <v>0</v>
      </c>
      <c r="AN117" s="737">
        <v>0</v>
      </c>
    </row>
    <row r="118" spans="1:45" ht="12" customHeight="1" outlineLevel="1" x14ac:dyDescent="0.55000000000000004">
      <c r="B118" s="617" t="s">
        <v>393</v>
      </c>
      <c r="C118" s="602">
        <v>4</v>
      </c>
      <c r="D118" s="635" t="s">
        <v>394</v>
      </c>
      <c r="E118" s="634"/>
      <c r="F118" s="635">
        <v>183384</v>
      </c>
      <c r="G118" s="635">
        <v>21481</v>
      </c>
      <c r="H118" s="635">
        <v>2081266</v>
      </c>
      <c r="I118" s="636">
        <v>8473141</v>
      </c>
      <c r="J118" s="637">
        <v>10759272</v>
      </c>
      <c r="K118" s="742">
        <v>0</v>
      </c>
      <c r="L118" s="743">
        <v>0</v>
      </c>
      <c r="M118" s="637">
        <v>10759272</v>
      </c>
      <c r="N118" s="505"/>
      <c r="O118" s="751">
        <v>10759272</v>
      </c>
      <c r="P118" s="755">
        <v>5642972</v>
      </c>
      <c r="Q118" s="582" t="s">
        <v>393</v>
      </c>
      <c r="R118" s="738"/>
      <c r="S118" s="738"/>
      <c r="T118" s="584"/>
      <c r="U118" s="584"/>
      <c r="V118" s="584"/>
      <c r="W118" s="584"/>
      <c r="X118" s="584"/>
      <c r="Y118" s="584"/>
      <c r="Z118" s="584"/>
      <c r="AA118" s="584"/>
      <c r="AD118" s="498" t="s">
        <v>1785</v>
      </c>
      <c r="AE118" s="499"/>
      <c r="AF118" s="500">
        <v>57830333</v>
      </c>
      <c r="AG118" s="501"/>
      <c r="AH118" s="737">
        <v>0</v>
      </c>
      <c r="AI118" s="737">
        <v>0</v>
      </c>
      <c r="AJ118" s="737">
        <v>57830333</v>
      </c>
      <c r="AK118" s="737">
        <v>0</v>
      </c>
      <c r="AL118" s="737">
        <v>0</v>
      </c>
      <c r="AM118" s="737">
        <v>0</v>
      </c>
      <c r="AN118" s="737">
        <v>0</v>
      </c>
    </row>
    <row r="119" spans="1:45" ht="12" customHeight="1" outlineLevel="1" x14ac:dyDescent="0.55000000000000004">
      <c r="B119" s="617" t="s">
        <v>395</v>
      </c>
      <c r="C119" s="602">
        <v>4</v>
      </c>
      <c r="D119" s="635" t="s">
        <v>396</v>
      </c>
      <c r="E119" s="634"/>
      <c r="F119" s="635"/>
      <c r="G119" s="635"/>
      <c r="H119" s="635"/>
      <c r="I119" s="636">
        <v>11040</v>
      </c>
      <c r="J119" s="637">
        <v>11040</v>
      </c>
      <c r="K119" s="742">
        <v>0</v>
      </c>
      <c r="L119" s="743">
        <v>0</v>
      </c>
      <c r="M119" s="637">
        <v>11040</v>
      </c>
      <c r="N119" s="505"/>
      <c r="O119" s="756">
        <v>11040</v>
      </c>
      <c r="P119" s="752">
        <v>534505</v>
      </c>
      <c r="Q119" s="582" t="s">
        <v>395</v>
      </c>
      <c r="R119" s="738"/>
      <c r="S119" s="738"/>
      <c r="T119" s="584"/>
      <c r="U119" s="584"/>
      <c r="V119" s="584"/>
      <c r="W119" s="584"/>
      <c r="X119" s="584"/>
      <c r="Y119" s="584"/>
      <c r="Z119" s="584"/>
      <c r="AA119" s="584"/>
      <c r="AD119" s="498" t="s">
        <v>1786</v>
      </c>
      <c r="AE119" s="499"/>
      <c r="AF119" s="500">
        <v>0</v>
      </c>
      <c r="AG119" s="501"/>
      <c r="AH119" s="737">
        <v>0</v>
      </c>
      <c r="AI119" s="737">
        <v>0</v>
      </c>
      <c r="AJ119" s="737">
        <v>0</v>
      </c>
      <c r="AK119" s="737">
        <v>0</v>
      </c>
      <c r="AL119" s="737">
        <v>0</v>
      </c>
      <c r="AM119" s="737">
        <v>0</v>
      </c>
      <c r="AN119" s="737">
        <v>0</v>
      </c>
    </row>
    <row r="120" spans="1:45" ht="12" customHeight="1" outlineLevel="1" x14ac:dyDescent="0.55000000000000004">
      <c r="B120" s="617" t="s">
        <v>397</v>
      </c>
      <c r="C120" s="602">
        <v>4</v>
      </c>
      <c r="D120" s="635" t="s">
        <v>398</v>
      </c>
      <c r="E120" s="634"/>
      <c r="F120" s="635"/>
      <c r="G120" s="635"/>
      <c r="H120" s="635"/>
      <c r="I120" s="636">
        <v>734610</v>
      </c>
      <c r="J120" s="637">
        <v>734610</v>
      </c>
      <c r="K120" s="742">
        <v>0</v>
      </c>
      <c r="L120" s="743">
        <v>0</v>
      </c>
      <c r="M120" s="637">
        <v>734610</v>
      </c>
      <c r="N120" s="505"/>
      <c r="O120" s="756">
        <v>734610</v>
      </c>
      <c r="P120" s="752">
        <v>0</v>
      </c>
      <c r="Q120" s="582" t="s">
        <v>1835</v>
      </c>
      <c r="R120" s="738"/>
      <c r="S120" s="738"/>
      <c r="T120" s="584"/>
      <c r="U120" s="584"/>
      <c r="V120" s="584"/>
      <c r="W120" s="584"/>
      <c r="X120" s="584"/>
      <c r="Y120" s="584"/>
      <c r="Z120" s="584"/>
      <c r="AA120" s="584"/>
      <c r="AD120" s="502" t="s">
        <v>2014</v>
      </c>
      <c r="AE120" s="503"/>
      <c r="AF120" s="492"/>
      <c r="AG120" s="493">
        <v>-3640289008</v>
      </c>
    </row>
    <row r="121" spans="1:45" ht="12" customHeight="1" outlineLevel="1" x14ac:dyDescent="0.55000000000000004">
      <c r="B121" s="617" t="s">
        <v>399</v>
      </c>
      <c r="C121" s="602">
        <v>4</v>
      </c>
      <c r="D121" s="635" t="s">
        <v>400</v>
      </c>
      <c r="E121" s="634"/>
      <c r="F121" s="635">
        <v>87500</v>
      </c>
      <c r="G121" s="635">
        <v>908820</v>
      </c>
      <c r="H121" s="635">
        <v>7024590</v>
      </c>
      <c r="I121" s="636">
        <v>17190960</v>
      </c>
      <c r="J121" s="637">
        <v>25211870</v>
      </c>
      <c r="K121" s="742">
        <v>0</v>
      </c>
      <c r="L121" s="743">
        <v>0</v>
      </c>
      <c r="M121" s="637">
        <v>25211870</v>
      </c>
      <c r="N121" s="505"/>
      <c r="O121" s="756">
        <v>25211870</v>
      </c>
      <c r="P121" s="752">
        <v>6980370</v>
      </c>
      <c r="Q121" s="582" t="s">
        <v>399</v>
      </c>
      <c r="R121" s="738"/>
      <c r="S121" s="738" t="s">
        <v>1836</v>
      </c>
      <c r="T121" s="584"/>
      <c r="U121" s="584"/>
      <c r="V121" s="584"/>
      <c r="W121" s="584"/>
      <c r="X121" s="584"/>
      <c r="Y121" s="584"/>
      <c r="Z121" s="584"/>
      <c r="AA121" s="584"/>
      <c r="AD121" s="494" t="s">
        <v>2015</v>
      </c>
      <c r="AE121" s="495"/>
      <c r="AF121" s="496">
        <v>62300000</v>
      </c>
      <c r="AG121" s="497"/>
      <c r="AH121" s="728">
        <v>0</v>
      </c>
    </row>
    <row r="122" spans="1:45" s="505" customFormat="1" ht="12" customHeight="1" outlineLevel="1" x14ac:dyDescent="0.55000000000000004">
      <c r="A122" s="506"/>
      <c r="B122" s="617" t="s">
        <v>109</v>
      </c>
      <c r="C122" s="602">
        <v>4</v>
      </c>
      <c r="D122" s="635" t="s">
        <v>401</v>
      </c>
      <c r="E122" s="634"/>
      <c r="F122" s="635"/>
      <c r="G122" s="605">
        <v>2132428</v>
      </c>
      <c r="H122" s="605">
        <v>8196027</v>
      </c>
      <c r="I122" s="606">
        <v>45914015</v>
      </c>
      <c r="J122" s="637">
        <v>56242470</v>
      </c>
      <c r="K122" s="742">
        <v>932232</v>
      </c>
      <c r="L122" s="743">
        <v>0</v>
      </c>
      <c r="M122" s="637">
        <v>57174702</v>
      </c>
      <c r="O122" s="757">
        <v>57174702</v>
      </c>
      <c r="P122" s="758">
        <v>61892681</v>
      </c>
      <c r="Q122" s="582" t="s">
        <v>109</v>
      </c>
      <c r="R122" s="738"/>
      <c r="S122" s="738" t="s">
        <v>109</v>
      </c>
      <c r="T122" s="584"/>
      <c r="U122" s="584"/>
      <c r="V122" s="584"/>
      <c r="W122" s="584"/>
      <c r="X122" s="584"/>
      <c r="Y122" s="584"/>
      <c r="Z122" s="584"/>
      <c r="AA122" s="584"/>
      <c r="AC122" s="506"/>
      <c r="AD122" s="498" t="s">
        <v>1787</v>
      </c>
      <c r="AE122" s="499"/>
      <c r="AF122" s="500">
        <v>13000000</v>
      </c>
      <c r="AG122" s="501"/>
      <c r="AH122" s="737">
        <v>0</v>
      </c>
      <c r="AI122" s="737">
        <v>0</v>
      </c>
      <c r="AJ122" s="737">
        <v>0</v>
      </c>
      <c r="AK122" s="737">
        <v>13000000</v>
      </c>
      <c r="AL122" s="737">
        <v>0</v>
      </c>
      <c r="AM122" s="737">
        <v>0</v>
      </c>
      <c r="AN122" s="737">
        <v>0</v>
      </c>
      <c r="AP122" s="506"/>
      <c r="AQ122" s="506"/>
      <c r="AR122" s="506"/>
      <c r="AS122" s="506"/>
    </row>
    <row r="123" spans="1:45" s="505" customFormat="1" ht="12" customHeight="1" outlineLevel="1" x14ac:dyDescent="0.55000000000000004">
      <c r="A123" s="506"/>
      <c r="B123" s="617" t="s">
        <v>110</v>
      </c>
      <c r="C123" s="602">
        <v>4</v>
      </c>
      <c r="D123" s="635" t="s">
        <v>402</v>
      </c>
      <c r="E123" s="634"/>
      <c r="F123" s="635">
        <v>15333636</v>
      </c>
      <c r="G123" s="635"/>
      <c r="H123" s="605">
        <v>24285432</v>
      </c>
      <c r="I123" s="606">
        <v>49812207</v>
      </c>
      <c r="J123" s="637">
        <v>89431275</v>
      </c>
      <c r="K123" s="742">
        <v>0</v>
      </c>
      <c r="L123" s="743">
        <v>0</v>
      </c>
      <c r="M123" s="637">
        <v>89431275</v>
      </c>
      <c r="O123" s="756">
        <v>89431275</v>
      </c>
      <c r="P123" s="752">
        <v>26739400</v>
      </c>
      <c r="Q123" s="582" t="s">
        <v>110</v>
      </c>
      <c r="R123" s="738"/>
      <c r="S123" s="738" t="s">
        <v>110</v>
      </c>
      <c r="T123" s="584"/>
      <c r="U123" s="584"/>
      <c r="V123" s="584"/>
      <c r="W123" s="584"/>
      <c r="X123" s="584"/>
      <c r="Y123" s="584"/>
      <c r="Z123" s="584"/>
      <c r="AA123" s="584"/>
      <c r="AC123" s="506"/>
      <c r="AD123" s="498" t="s">
        <v>1788</v>
      </c>
      <c r="AE123" s="499"/>
      <c r="AF123" s="500">
        <v>0</v>
      </c>
      <c r="AG123" s="501"/>
      <c r="AH123" s="737">
        <v>0</v>
      </c>
      <c r="AI123" s="737">
        <v>0</v>
      </c>
      <c r="AJ123" s="737">
        <v>0</v>
      </c>
      <c r="AK123" s="737">
        <v>0</v>
      </c>
      <c r="AL123" s="737">
        <v>0</v>
      </c>
      <c r="AM123" s="737">
        <v>0</v>
      </c>
      <c r="AN123" s="737">
        <v>0</v>
      </c>
      <c r="AP123" s="506"/>
      <c r="AQ123" s="506"/>
      <c r="AR123" s="506"/>
      <c r="AS123" s="506"/>
    </row>
    <row r="124" spans="1:45" s="505" customFormat="1" ht="12" customHeight="1" outlineLevel="1" x14ac:dyDescent="0.55000000000000004">
      <c r="A124" s="506"/>
      <c r="B124" s="617" t="s">
        <v>403</v>
      </c>
      <c r="C124" s="602">
        <v>4</v>
      </c>
      <c r="D124" s="635" t="s">
        <v>404</v>
      </c>
      <c r="E124" s="634"/>
      <c r="F124" s="635">
        <v>1360000</v>
      </c>
      <c r="G124" s="635"/>
      <c r="H124" s="605">
        <v>0</v>
      </c>
      <c r="I124" s="606">
        <v>11592000</v>
      </c>
      <c r="J124" s="637">
        <v>12952000</v>
      </c>
      <c r="K124" s="742">
        <v>979000</v>
      </c>
      <c r="L124" s="743">
        <v>0</v>
      </c>
      <c r="M124" s="637">
        <v>13931000</v>
      </c>
      <c r="O124" s="756">
        <v>13931000</v>
      </c>
      <c r="P124" s="752">
        <v>0</v>
      </c>
      <c r="Q124" s="582" t="s">
        <v>403</v>
      </c>
      <c r="R124" s="738"/>
      <c r="S124" s="738"/>
      <c r="T124" s="584"/>
      <c r="U124" s="584"/>
      <c r="V124" s="584"/>
      <c r="W124" s="584"/>
      <c r="X124" s="584"/>
      <c r="Y124" s="584"/>
      <c r="Z124" s="584"/>
      <c r="AA124" s="584"/>
      <c r="AC124" s="506"/>
      <c r="AD124" s="796" t="s">
        <v>1789</v>
      </c>
      <c r="AE124" s="499"/>
      <c r="AF124" s="500">
        <v>15000000</v>
      </c>
      <c r="AG124" s="501"/>
      <c r="AH124" s="737">
        <v>0</v>
      </c>
      <c r="AI124" s="737">
        <v>0</v>
      </c>
      <c r="AJ124" s="737">
        <v>0</v>
      </c>
      <c r="AK124" s="737">
        <v>15000000</v>
      </c>
      <c r="AL124" s="737">
        <v>0</v>
      </c>
      <c r="AM124" s="737">
        <v>0</v>
      </c>
      <c r="AN124" s="737">
        <v>0</v>
      </c>
      <c r="AP124" s="506"/>
      <c r="AQ124" s="506"/>
      <c r="AR124" s="506"/>
      <c r="AS124" s="506"/>
    </row>
    <row r="125" spans="1:45" s="505" customFormat="1" ht="12" customHeight="1" outlineLevel="1" x14ac:dyDescent="0.55000000000000004">
      <c r="A125" s="506"/>
      <c r="B125" s="617" t="s">
        <v>111</v>
      </c>
      <c r="C125" s="602">
        <v>4</v>
      </c>
      <c r="D125" s="635" t="s">
        <v>405</v>
      </c>
      <c r="E125" s="634"/>
      <c r="F125" s="635">
        <v>2420540</v>
      </c>
      <c r="G125" s="635">
        <v>1789578</v>
      </c>
      <c r="H125" s="605">
        <v>3418170</v>
      </c>
      <c r="I125" s="606">
        <v>41440246</v>
      </c>
      <c r="J125" s="637">
        <v>49068534</v>
      </c>
      <c r="K125" s="742">
        <v>0</v>
      </c>
      <c r="L125" s="743">
        <v>0</v>
      </c>
      <c r="M125" s="637">
        <v>49068534</v>
      </c>
      <c r="O125" s="756">
        <v>49068534</v>
      </c>
      <c r="P125" s="752">
        <v>22482709</v>
      </c>
      <c r="Q125" s="582" t="s">
        <v>111</v>
      </c>
      <c r="R125" s="738"/>
      <c r="S125" s="738"/>
      <c r="T125" s="584"/>
      <c r="U125" s="584"/>
      <c r="V125" s="584"/>
      <c r="W125" s="584"/>
      <c r="X125" s="584"/>
      <c r="Y125" s="584"/>
      <c r="Z125" s="584"/>
      <c r="AA125" s="584"/>
      <c r="AC125" s="506"/>
      <c r="AD125" s="498" t="s">
        <v>1790</v>
      </c>
      <c r="AE125" s="499"/>
      <c r="AF125" s="500">
        <v>0</v>
      </c>
      <c r="AG125" s="501"/>
      <c r="AH125" s="737">
        <v>0</v>
      </c>
      <c r="AI125" s="737">
        <v>0</v>
      </c>
      <c r="AJ125" s="737">
        <v>0</v>
      </c>
      <c r="AK125" s="737">
        <v>0</v>
      </c>
      <c r="AL125" s="737">
        <v>0</v>
      </c>
      <c r="AM125" s="737">
        <v>0</v>
      </c>
      <c r="AN125" s="737">
        <v>0</v>
      </c>
      <c r="AP125" s="506"/>
      <c r="AQ125" s="506"/>
      <c r="AR125" s="506"/>
      <c r="AS125" s="506"/>
    </row>
    <row r="126" spans="1:45" s="505" customFormat="1" ht="12" customHeight="1" outlineLevel="1" x14ac:dyDescent="0.55000000000000004">
      <c r="A126" s="506"/>
      <c r="B126" s="617" t="s">
        <v>406</v>
      </c>
      <c r="C126" s="602">
        <v>4</v>
      </c>
      <c r="D126" s="635" t="s">
        <v>407</v>
      </c>
      <c r="E126" s="634"/>
      <c r="F126" s="635">
        <v>2837550</v>
      </c>
      <c r="G126" s="635"/>
      <c r="H126" s="605"/>
      <c r="I126" s="636">
        <v>4857853</v>
      </c>
      <c r="J126" s="637">
        <v>7695403</v>
      </c>
      <c r="K126" s="742">
        <v>0</v>
      </c>
      <c r="L126" s="743">
        <v>0</v>
      </c>
      <c r="M126" s="637">
        <v>7695403</v>
      </c>
      <c r="O126" s="751">
        <v>7695403</v>
      </c>
      <c r="P126" s="755">
        <v>500496</v>
      </c>
      <c r="Q126" s="582" t="s">
        <v>406</v>
      </c>
      <c r="R126" s="738"/>
      <c r="S126" s="738"/>
      <c r="T126" s="584"/>
      <c r="U126" s="584"/>
      <c r="V126" s="584"/>
      <c r="W126" s="584"/>
      <c r="X126" s="584"/>
      <c r="Y126" s="584"/>
      <c r="Z126" s="584"/>
      <c r="AA126" s="584"/>
      <c r="AC126" s="506"/>
      <c r="AD126" s="498" t="s">
        <v>1791</v>
      </c>
      <c r="AE126" s="499"/>
      <c r="AF126" s="500">
        <v>34300000</v>
      </c>
      <c r="AG126" s="501"/>
      <c r="AH126" s="737">
        <v>0</v>
      </c>
      <c r="AI126" s="737">
        <v>0</v>
      </c>
      <c r="AJ126" s="737">
        <v>0</v>
      </c>
      <c r="AK126" s="737">
        <v>34300000</v>
      </c>
      <c r="AL126" s="737">
        <v>0</v>
      </c>
      <c r="AM126" s="737">
        <v>0</v>
      </c>
      <c r="AN126" s="737">
        <v>0</v>
      </c>
      <c r="AP126" s="506"/>
      <c r="AQ126" s="506"/>
      <c r="AR126" s="506"/>
      <c r="AS126" s="506"/>
    </row>
    <row r="127" spans="1:45" s="505" customFormat="1" ht="12" customHeight="1" outlineLevel="1" x14ac:dyDescent="0.55000000000000004">
      <c r="A127" s="506"/>
      <c r="B127" s="617" t="s">
        <v>408</v>
      </c>
      <c r="C127" s="602">
        <v>4</v>
      </c>
      <c r="D127" s="635" t="s">
        <v>409</v>
      </c>
      <c r="E127" s="634"/>
      <c r="F127" s="635">
        <v>84637</v>
      </c>
      <c r="G127" s="635"/>
      <c r="H127" s="605">
        <v>160900</v>
      </c>
      <c r="I127" s="636">
        <v>661000</v>
      </c>
      <c r="J127" s="637">
        <v>906537</v>
      </c>
      <c r="K127" s="742">
        <v>0</v>
      </c>
      <c r="L127" s="743">
        <v>0</v>
      </c>
      <c r="M127" s="637">
        <v>906537</v>
      </c>
      <c r="O127" s="751">
        <v>906537</v>
      </c>
      <c r="P127" s="755">
        <v>3000</v>
      </c>
      <c r="Q127" s="582" t="s">
        <v>408</v>
      </c>
      <c r="R127" s="738"/>
      <c r="S127" s="738"/>
      <c r="T127" s="584"/>
      <c r="U127" s="584"/>
      <c r="V127" s="584"/>
      <c r="W127" s="584"/>
      <c r="X127" s="584"/>
      <c r="Y127" s="584"/>
      <c r="Z127" s="584"/>
      <c r="AA127" s="584"/>
      <c r="AC127" s="506"/>
      <c r="AD127" s="494" t="s">
        <v>2016</v>
      </c>
      <c r="AE127" s="495"/>
      <c r="AF127" s="496">
        <v>-3702589008</v>
      </c>
      <c r="AG127" s="497"/>
      <c r="AH127" s="728">
        <v>0</v>
      </c>
      <c r="AI127" s="506"/>
      <c r="AM127" s="506"/>
      <c r="AN127" s="506"/>
      <c r="AP127" s="506"/>
      <c r="AQ127" s="506"/>
      <c r="AR127" s="506"/>
      <c r="AS127" s="506"/>
    </row>
    <row r="128" spans="1:45" s="505" customFormat="1" ht="12" customHeight="1" outlineLevel="1" x14ac:dyDescent="0.55000000000000004">
      <c r="A128" s="506"/>
      <c r="B128" s="617" t="s">
        <v>410</v>
      </c>
      <c r="C128" s="602">
        <v>4</v>
      </c>
      <c r="D128" s="635" t="s">
        <v>411</v>
      </c>
      <c r="E128" s="634"/>
      <c r="F128" s="635"/>
      <c r="G128" s="635"/>
      <c r="H128" s="605"/>
      <c r="I128" s="636">
        <v>0</v>
      </c>
      <c r="J128" s="637">
        <v>0</v>
      </c>
      <c r="K128" s="742">
        <v>0</v>
      </c>
      <c r="L128" s="743">
        <v>0</v>
      </c>
      <c r="M128" s="637">
        <v>0</v>
      </c>
      <c r="O128" s="751">
        <v>0</v>
      </c>
      <c r="P128" s="755">
        <v>0</v>
      </c>
      <c r="Q128" s="582" t="s">
        <v>410</v>
      </c>
      <c r="R128" s="738"/>
      <c r="S128" s="738"/>
      <c r="T128" s="584"/>
      <c r="U128" s="584"/>
      <c r="V128" s="584"/>
      <c r="W128" s="584"/>
      <c r="X128" s="584"/>
      <c r="Y128" s="584"/>
      <c r="Z128" s="584"/>
      <c r="AA128" s="584"/>
      <c r="AC128" s="506"/>
      <c r="AD128" s="498" t="s">
        <v>1792</v>
      </c>
      <c r="AE128" s="499"/>
      <c r="AF128" s="500">
        <v>-2835726697</v>
      </c>
      <c r="AG128" s="501"/>
      <c r="AH128" s="737">
        <v>0</v>
      </c>
      <c r="AI128" s="737">
        <v>0</v>
      </c>
      <c r="AJ128" s="737">
        <v>0</v>
      </c>
      <c r="AK128" s="737">
        <v>0</v>
      </c>
      <c r="AL128" s="737">
        <v>-2835726697</v>
      </c>
      <c r="AM128" s="737">
        <v>0</v>
      </c>
      <c r="AN128" s="737">
        <v>0</v>
      </c>
      <c r="AP128" s="506"/>
      <c r="AQ128" s="506"/>
      <c r="AR128" s="506"/>
      <c r="AS128" s="506"/>
    </row>
    <row r="129" spans="1:49" s="505" customFormat="1" ht="12" customHeight="1" outlineLevel="1" x14ac:dyDescent="0.55000000000000004">
      <c r="A129" s="506"/>
      <c r="B129" s="617" t="s">
        <v>412</v>
      </c>
      <c r="C129" s="602">
        <v>4</v>
      </c>
      <c r="D129" s="635" t="s">
        <v>413</v>
      </c>
      <c r="E129" s="634"/>
      <c r="F129" s="635"/>
      <c r="G129" s="635"/>
      <c r="H129" s="605">
        <v>19356870</v>
      </c>
      <c r="I129" s="636">
        <v>117473</v>
      </c>
      <c r="J129" s="637">
        <v>19474343</v>
      </c>
      <c r="K129" s="742">
        <v>0</v>
      </c>
      <c r="L129" s="743">
        <v>0</v>
      </c>
      <c r="M129" s="637">
        <v>19474343</v>
      </c>
      <c r="O129" s="751">
        <v>19474343</v>
      </c>
      <c r="P129" s="755">
        <v>469291</v>
      </c>
      <c r="Q129" s="582" t="s">
        <v>412</v>
      </c>
      <c r="R129" s="738"/>
      <c r="S129" s="738"/>
      <c r="T129" s="584"/>
      <c r="U129" s="584"/>
      <c r="V129" s="584"/>
      <c r="W129" s="584"/>
      <c r="X129" s="584"/>
      <c r="Y129" s="584"/>
      <c r="Z129" s="584"/>
      <c r="AA129" s="584"/>
      <c r="AC129" s="506"/>
      <c r="AD129" s="498" t="s">
        <v>1793</v>
      </c>
      <c r="AE129" s="499"/>
      <c r="AF129" s="500">
        <v>-310000000</v>
      </c>
      <c r="AG129" s="501"/>
      <c r="AH129" s="737">
        <v>0</v>
      </c>
      <c r="AI129" s="737">
        <v>0</v>
      </c>
      <c r="AJ129" s="737">
        <v>0</v>
      </c>
      <c r="AK129" s="737">
        <v>0</v>
      </c>
      <c r="AL129" s="737">
        <v>-310000000</v>
      </c>
      <c r="AM129" s="737">
        <v>0</v>
      </c>
      <c r="AN129" s="737">
        <v>0</v>
      </c>
      <c r="AP129" s="506"/>
      <c r="AQ129" s="506"/>
      <c r="AR129" s="506"/>
      <c r="AS129" s="506"/>
    </row>
    <row r="130" spans="1:49" s="505" customFormat="1" ht="12" customHeight="1" outlineLevel="1" x14ac:dyDescent="0.55000000000000004">
      <c r="A130" s="506"/>
      <c r="B130" s="617" t="s">
        <v>414</v>
      </c>
      <c r="C130" s="602">
        <v>4</v>
      </c>
      <c r="D130" s="635" t="s">
        <v>415</v>
      </c>
      <c r="E130" s="634"/>
      <c r="F130" s="635"/>
      <c r="G130" s="635"/>
      <c r="H130" s="605">
        <v>62778593</v>
      </c>
      <c r="I130" s="636">
        <v>575295</v>
      </c>
      <c r="J130" s="637">
        <v>63353888</v>
      </c>
      <c r="K130" s="742">
        <v>0</v>
      </c>
      <c r="L130" s="743">
        <v>0</v>
      </c>
      <c r="M130" s="637">
        <v>63353888</v>
      </c>
      <c r="O130" s="751">
        <v>63353888</v>
      </c>
      <c r="P130" s="755">
        <v>0</v>
      </c>
      <c r="Q130" s="582" t="s">
        <v>414</v>
      </c>
      <c r="R130" s="738"/>
      <c r="S130" s="738"/>
      <c r="T130" s="584"/>
      <c r="U130" s="584"/>
      <c r="V130" s="584"/>
      <c r="W130" s="584"/>
      <c r="X130" s="584"/>
      <c r="Y130" s="584"/>
      <c r="Z130" s="584"/>
      <c r="AA130" s="584"/>
      <c r="AC130" s="506"/>
      <c r="AD130" s="796" t="s">
        <v>1794</v>
      </c>
      <c r="AE130" s="499"/>
      <c r="AF130" s="500">
        <v>-107891766</v>
      </c>
      <c r="AG130" s="501"/>
      <c r="AH130" s="737">
        <v>0</v>
      </c>
      <c r="AI130" s="737">
        <v>0</v>
      </c>
      <c r="AJ130" s="737">
        <v>0</v>
      </c>
      <c r="AK130" s="737">
        <v>0</v>
      </c>
      <c r="AL130" s="737">
        <v>-107891766</v>
      </c>
      <c r="AM130" s="737">
        <v>0</v>
      </c>
      <c r="AN130" s="737">
        <v>0</v>
      </c>
      <c r="AO130" s="506"/>
      <c r="AP130" s="506"/>
      <c r="AQ130" s="506"/>
      <c r="AR130" s="506"/>
      <c r="AS130" s="506"/>
    </row>
    <row r="131" spans="1:49" s="505" customFormat="1" ht="12" customHeight="1" outlineLevel="1" x14ac:dyDescent="0.55000000000000004">
      <c r="A131" s="506"/>
      <c r="B131" s="601" t="s">
        <v>416</v>
      </c>
      <c r="C131" s="602">
        <v>4</v>
      </c>
      <c r="D131" s="635" t="s">
        <v>417</v>
      </c>
      <c r="E131" s="634"/>
      <c r="F131" s="635">
        <v>52984943</v>
      </c>
      <c r="G131" s="635">
        <v>9148240</v>
      </c>
      <c r="H131" s="605">
        <v>93114044</v>
      </c>
      <c r="I131" s="636">
        <v>345402564</v>
      </c>
      <c r="J131" s="637">
        <v>500649791</v>
      </c>
      <c r="K131" s="742">
        <v>0</v>
      </c>
      <c r="L131" s="743">
        <v>0</v>
      </c>
      <c r="M131" s="637">
        <v>500649791</v>
      </c>
      <c r="O131" s="756">
        <v>500649791</v>
      </c>
      <c r="P131" s="752">
        <v>60581534</v>
      </c>
      <c r="Q131" s="582" t="s">
        <v>416</v>
      </c>
      <c r="R131" s="738"/>
      <c r="S131" s="738"/>
      <c r="T131" s="584"/>
      <c r="U131" s="584"/>
      <c r="V131" s="584"/>
      <c r="W131" s="584"/>
      <c r="X131" s="584"/>
      <c r="Y131" s="584"/>
      <c r="Z131" s="584"/>
      <c r="AA131" s="584"/>
      <c r="AC131" s="506"/>
      <c r="AD131" s="796" t="s">
        <v>1795</v>
      </c>
      <c r="AE131" s="499"/>
      <c r="AF131" s="500">
        <v>-42758000</v>
      </c>
      <c r="AG131" s="501"/>
      <c r="AH131" s="737">
        <v>0</v>
      </c>
      <c r="AI131" s="737">
        <v>0</v>
      </c>
      <c r="AJ131" s="737">
        <v>0</v>
      </c>
      <c r="AK131" s="737">
        <v>0</v>
      </c>
      <c r="AL131" s="737">
        <v>-42758000</v>
      </c>
      <c r="AM131" s="737">
        <v>0</v>
      </c>
      <c r="AN131" s="737">
        <v>0</v>
      </c>
      <c r="AO131" s="506"/>
      <c r="AP131" s="506"/>
      <c r="AQ131" s="506"/>
      <c r="AR131" s="506"/>
      <c r="AS131" s="506"/>
    </row>
    <row r="132" spans="1:49" s="505" customFormat="1" ht="12" customHeight="1" outlineLevel="1" x14ac:dyDescent="0.55000000000000004">
      <c r="A132" s="506"/>
      <c r="B132" s="601" t="s">
        <v>102</v>
      </c>
      <c r="C132" s="602">
        <v>4</v>
      </c>
      <c r="D132" s="635" t="s">
        <v>418</v>
      </c>
      <c r="E132" s="634"/>
      <c r="F132" s="605">
        <v>1221319054</v>
      </c>
      <c r="G132" s="605">
        <v>162654570</v>
      </c>
      <c r="H132" s="605">
        <v>745515849</v>
      </c>
      <c r="I132" s="636">
        <v>7022303450</v>
      </c>
      <c r="J132" s="637">
        <v>9151792923</v>
      </c>
      <c r="K132" s="742">
        <v>0</v>
      </c>
      <c r="L132" s="743">
        <v>26047728</v>
      </c>
      <c r="M132" s="637">
        <v>9125745195</v>
      </c>
      <c r="N132" s="831">
        <f>(M132+L138)/M98</f>
        <v>0.37632934092156589</v>
      </c>
      <c r="O132" s="756">
        <v>9125745195</v>
      </c>
      <c r="P132" s="752">
        <v>373072509</v>
      </c>
      <c r="Q132" s="582" t="s">
        <v>102</v>
      </c>
      <c r="R132" s="738"/>
      <c r="S132" s="738"/>
      <c r="T132" s="584"/>
      <c r="U132" s="584"/>
      <c r="V132" s="584"/>
      <c r="W132" s="584"/>
      <c r="X132" s="584"/>
      <c r="Y132" s="584"/>
      <c r="Z132" s="584"/>
      <c r="AA132" s="584"/>
      <c r="AC132" s="506"/>
      <c r="AD132" s="796" t="s">
        <v>1796</v>
      </c>
      <c r="AE132" s="499"/>
      <c r="AF132" s="500">
        <v>-10454545</v>
      </c>
      <c r="AG132" s="501"/>
      <c r="AH132" s="737">
        <v>0</v>
      </c>
      <c r="AI132" s="737">
        <v>0</v>
      </c>
      <c r="AJ132" s="737">
        <v>0</v>
      </c>
      <c r="AK132" s="737">
        <v>0</v>
      </c>
      <c r="AL132" s="737">
        <v>-10454545</v>
      </c>
      <c r="AM132" s="737">
        <v>0</v>
      </c>
      <c r="AN132" s="737">
        <v>0</v>
      </c>
      <c r="AO132" s="506"/>
      <c r="AP132" s="506"/>
      <c r="AQ132" s="506"/>
      <c r="AR132" s="506"/>
      <c r="AS132" s="506"/>
    </row>
    <row r="133" spans="1:49" s="505" customFormat="1" ht="12" customHeight="1" outlineLevel="1" x14ac:dyDescent="0.55000000000000004">
      <c r="A133" s="506"/>
      <c r="B133" s="601" t="s">
        <v>104</v>
      </c>
      <c r="C133" s="602">
        <v>4</v>
      </c>
      <c r="D133" s="635" t="s">
        <v>419</v>
      </c>
      <c r="E133" s="634"/>
      <c r="F133" s="605">
        <v>527395568</v>
      </c>
      <c r="G133" s="605"/>
      <c r="H133" s="605">
        <v>1636512063</v>
      </c>
      <c r="I133" s="636">
        <v>2132901003</v>
      </c>
      <c r="J133" s="637">
        <v>4296808634</v>
      </c>
      <c r="K133" s="742">
        <v>0</v>
      </c>
      <c r="L133" s="743">
        <v>0</v>
      </c>
      <c r="M133" s="637">
        <v>4296808634</v>
      </c>
      <c r="O133" s="756">
        <v>4296808634</v>
      </c>
      <c r="P133" s="752">
        <v>236984695</v>
      </c>
      <c r="Q133" s="582" t="s">
        <v>104</v>
      </c>
      <c r="R133" s="738"/>
      <c r="S133" s="738"/>
      <c r="T133" s="584"/>
      <c r="U133" s="584"/>
      <c r="V133" s="584"/>
      <c r="W133" s="584"/>
      <c r="X133" s="584"/>
      <c r="Y133" s="584"/>
      <c r="Z133" s="584"/>
      <c r="AA133" s="584"/>
      <c r="AC133" s="506"/>
      <c r="AD133" s="498" t="s">
        <v>1797</v>
      </c>
      <c r="AE133" s="499"/>
      <c r="AF133" s="500">
        <v>-315758000</v>
      </c>
      <c r="AG133" s="501"/>
      <c r="AH133" s="737">
        <v>0</v>
      </c>
      <c r="AI133" s="737">
        <v>0</v>
      </c>
      <c r="AJ133" s="737">
        <v>0</v>
      </c>
      <c r="AK133" s="737">
        <v>0</v>
      </c>
      <c r="AL133" s="737">
        <v>-315758000</v>
      </c>
      <c r="AM133" s="737">
        <v>0</v>
      </c>
      <c r="AN133" s="737">
        <v>0</v>
      </c>
      <c r="AO133" s="506"/>
      <c r="AP133" s="506"/>
      <c r="AQ133" s="506"/>
      <c r="AR133" s="506"/>
      <c r="AS133" s="506"/>
    </row>
    <row r="134" spans="1:49" s="505" customFormat="1" ht="12" customHeight="1" outlineLevel="1" x14ac:dyDescent="0.55000000000000004">
      <c r="A134" s="506"/>
      <c r="B134" s="601" t="s">
        <v>113</v>
      </c>
      <c r="C134" s="602">
        <v>4</v>
      </c>
      <c r="D134" s="635" t="s">
        <v>420</v>
      </c>
      <c r="E134" s="634"/>
      <c r="F134" s="635"/>
      <c r="G134" s="635"/>
      <c r="H134" s="605">
        <v>1116737</v>
      </c>
      <c r="I134" s="636">
        <v>52376322</v>
      </c>
      <c r="J134" s="637">
        <v>53493059</v>
      </c>
      <c r="K134" s="742">
        <v>0</v>
      </c>
      <c r="L134" s="743">
        <v>0</v>
      </c>
      <c r="M134" s="637">
        <v>53493059</v>
      </c>
      <c r="O134" s="756">
        <v>53493059</v>
      </c>
      <c r="P134" s="752">
        <v>25999333</v>
      </c>
      <c r="Q134" s="582" t="s">
        <v>113</v>
      </c>
      <c r="R134" s="738"/>
      <c r="S134" s="738"/>
      <c r="T134" s="584"/>
      <c r="U134" s="584"/>
      <c r="V134" s="584"/>
      <c r="W134" s="584"/>
      <c r="X134" s="584"/>
      <c r="Y134" s="584"/>
      <c r="Z134" s="584"/>
      <c r="AA134" s="584"/>
      <c r="AC134" s="506"/>
      <c r="AD134" s="498" t="s">
        <v>1798</v>
      </c>
      <c r="AE134" s="499"/>
      <c r="AF134" s="500">
        <v>-80000000</v>
      </c>
      <c r="AG134" s="501"/>
      <c r="AH134" s="737">
        <v>0</v>
      </c>
      <c r="AI134" s="737">
        <v>0</v>
      </c>
      <c r="AJ134" s="737">
        <v>0</v>
      </c>
      <c r="AK134" s="737">
        <v>0</v>
      </c>
      <c r="AL134" s="737">
        <v>-80000000</v>
      </c>
      <c r="AM134" s="737">
        <v>0</v>
      </c>
      <c r="AN134" s="737">
        <v>0</v>
      </c>
      <c r="AO134" s="506"/>
      <c r="AP134" s="506"/>
      <c r="AQ134" s="506"/>
      <c r="AR134" s="506"/>
      <c r="AS134" s="506"/>
    </row>
    <row r="135" spans="1:49" s="505" customFormat="1" ht="12" customHeight="1" outlineLevel="1" x14ac:dyDescent="0.55000000000000004">
      <c r="A135" s="506"/>
      <c r="B135" s="601" t="s">
        <v>421</v>
      </c>
      <c r="C135" s="602">
        <v>4</v>
      </c>
      <c r="D135" s="635" t="s">
        <v>422</v>
      </c>
      <c r="E135" s="634"/>
      <c r="F135" s="635"/>
      <c r="G135" s="635"/>
      <c r="H135" s="605">
        <v>1784226</v>
      </c>
      <c r="I135" s="636">
        <v>0</v>
      </c>
      <c r="J135" s="637">
        <v>1784226</v>
      </c>
      <c r="K135" s="742">
        <v>0</v>
      </c>
      <c r="L135" s="743">
        <v>1784226</v>
      </c>
      <c r="M135" s="637">
        <v>0</v>
      </c>
      <c r="O135" s="757">
        <v>0</v>
      </c>
      <c r="P135" s="758">
        <v>0</v>
      </c>
      <c r="Q135" s="582" t="s">
        <v>421</v>
      </c>
      <c r="R135" s="738"/>
      <c r="S135" s="738"/>
      <c r="T135" s="584"/>
      <c r="U135" s="584"/>
      <c r="V135" s="584"/>
      <c r="W135" s="584"/>
      <c r="X135" s="584"/>
      <c r="Y135" s="584"/>
      <c r="Z135" s="584"/>
      <c r="AA135" s="584"/>
      <c r="AC135" s="506"/>
      <c r="AD135" s="498" t="s">
        <v>1799</v>
      </c>
      <c r="AE135" s="499"/>
      <c r="AF135" s="500">
        <v>0</v>
      </c>
      <c r="AG135" s="501"/>
      <c r="AH135" s="737">
        <v>0</v>
      </c>
      <c r="AI135" s="737">
        <v>0</v>
      </c>
      <c r="AJ135" s="737">
        <v>0</v>
      </c>
      <c r="AK135" s="737">
        <v>0</v>
      </c>
      <c r="AL135" s="737">
        <v>0</v>
      </c>
      <c r="AM135" s="737">
        <v>0</v>
      </c>
      <c r="AN135" s="737">
        <v>0</v>
      </c>
      <c r="AO135" s="506"/>
      <c r="AP135" s="506"/>
      <c r="AQ135" s="506"/>
      <c r="AR135" s="506"/>
      <c r="AS135" s="506"/>
    </row>
    <row r="136" spans="1:49" s="505" customFormat="1" ht="12" customHeight="1" outlineLevel="1" x14ac:dyDescent="0.55000000000000004">
      <c r="A136" s="506"/>
      <c r="B136" s="601" t="s">
        <v>114</v>
      </c>
      <c r="C136" s="602">
        <v>4</v>
      </c>
      <c r="D136" s="635" t="s">
        <v>423</v>
      </c>
      <c r="E136" s="634"/>
      <c r="F136" s="635"/>
      <c r="G136" s="635"/>
      <c r="H136" s="605">
        <v>0</v>
      </c>
      <c r="I136" s="606">
        <v>42200597</v>
      </c>
      <c r="J136" s="637">
        <v>42200597</v>
      </c>
      <c r="K136" s="742">
        <v>0</v>
      </c>
      <c r="L136" s="743">
        <v>0</v>
      </c>
      <c r="M136" s="637">
        <v>42200597</v>
      </c>
      <c r="O136" s="751">
        <v>42200597</v>
      </c>
      <c r="P136" s="755">
        <v>9676299</v>
      </c>
      <c r="Q136" s="582" t="s">
        <v>114</v>
      </c>
      <c r="R136" s="738"/>
      <c r="S136" s="738"/>
      <c r="T136" s="584"/>
      <c r="U136" s="584"/>
      <c r="V136" s="584"/>
      <c r="W136" s="584"/>
      <c r="X136" s="584"/>
      <c r="Y136" s="584"/>
      <c r="Z136" s="584"/>
      <c r="AA136" s="584"/>
      <c r="AC136" s="506"/>
      <c r="AD136" s="502" t="s">
        <v>2017</v>
      </c>
      <c r="AE136" s="503"/>
      <c r="AF136" s="492"/>
      <c r="AG136" s="493">
        <v>-28571429</v>
      </c>
      <c r="AH136" s="506"/>
      <c r="AJ136" s="506"/>
      <c r="AK136" s="506"/>
      <c r="AL136" s="506"/>
      <c r="AM136" s="506"/>
      <c r="AN136" s="506"/>
      <c r="AO136" s="506"/>
      <c r="AP136" s="506"/>
      <c r="AQ136" s="506"/>
      <c r="AR136" s="506"/>
      <c r="AS136" s="506"/>
    </row>
    <row r="137" spans="1:49" s="505" customFormat="1" ht="12" customHeight="1" outlineLevel="1" x14ac:dyDescent="0.55000000000000004">
      <c r="A137" s="506"/>
      <c r="B137" s="601" t="s">
        <v>105</v>
      </c>
      <c r="C137" s="602">
        <v>4</v>
      </c>
      <c r="D137" s="635" t="s">
        <v>424</v>
      </c>
      <c r="E137" s="634"/>
      <c r="F137" s="635">
        <v>43690764</v>
      </c>
      <c r="G137" s="635">
        <v>22230000</v>
      </c>
      <c r="H137" s="605">
        <v>72946090</v>
      </c>
      <c r="I137" s="606">
        <v>456862656</v>
      </c>
      <c r="J137" s="637">
        <v>595729510</v>
      </c>
      <c r="K137" s="742">
        <v>3440980317</v>
      </c>
      <c r="L137" s="743">
        <v>0</v>
      </c>
      <c r="M137" s="637">
        <v>4036709827</v>
      </c>
      <c r="O137" s="751">
        <v>4036709827</v>
      </c>
      <c r="P137" s="755">
        <v>3929660</v>
      </c>
      <c r="Q137" s="582" t="s">
        <v>105</v>
      </c>
      <c r="R137" s="738"/>
      <c r="S137" s="738"/>
      <c r="T137" s="584" t="s">
        <v>2018</v>
      </c>
      <c r="U137" s="584"/>
      <c r="V137" s="584"/>
      <c r="W137" s="584"/>
      <c r="X137" s="584"/>
      <c r="Y137" s="584"/>
      <c r="Z137" s="584"/>
      <c r="AA137" s="584"/>
      <c r="AC137" s="506"/>
      <c r="AD137" s="494" t="s">
        <v>2019</v>
      </c>
      <c r="AE137" s="495"/>
      <c r="AF137" s="496">
        <v>0</v>
      </c>
      <c r="AG137" s="497"/>
      <c r="AH137" s="728">
        <v>0</v>
      </c>
      <c r="AJ137" s="506"/>
      <c r="AK137" s="506"/>
      <c r="AL137" s="506"/>
      <c r="AM137" s="506"/>
      <c r="AN137" s="506"/>
      <c r="AO137" s="506"/>
      <c r="AP137" s="506"/>
      <c r="AQ137" s="506"/>
      <c r="AR137" s="506"/>
      <c r="AS137" s="506"/>
    </row>
    <row r="138" spans="1:49" s="505" customFormat="1" ht="12" customHeight="1" outlineLevel="1" x14ac:dyDescent="0.55000000000000004">
      <c r="A138" s="506"/>
      <c r="B138" s="601" t="s">
        <v>425</v>
      </c>
      <c r="C138" s="602">
        <v>4</v>
      </c>
      <c r="D138" s="635" t="s">
        <v>426</v>
      </c>
      <c r="E138" s="634"/>
      <c r="F138" s="635"/>
      <c r="G138" s="635"/>
      <c r="H138" s="605">
        <v>3440980317</v>
      </c>
      <c r="I138" s="606">
        <v>0</v>
      </c>
      <c r="J138" s="637">
        <v>3440980317</v>
      </c>
      <c r="K138" s="742">
        <v>0</v>
      </c>
      <c r="L138" s="743">
        <v>3440980317</v>
      </c>
      <c r="M138" s="637">
        <v>0</v>
      </c>
      <c r="O138" s="751">
        <v>0</v>
      </c>
      <c r="P138" s="755">
        <v>0</v>
      </c>
      <c r="Q138" s="582" t="s">
        <v>1837</v>
      </c>
      <c r="R138" s="738"/>
      <c r="S138" s="738"/>
      <c r="T138" s="584"/>
      <c r="U138" s="584"/>
      <c r="V138" s="584"/>
      <c r="W138" s="584"/>
      <c r="X138" s="584"/>
      <c r="Y138" s="584"/>
      <c r="Z138" s="584"/>
      <c r="AA138" s="584"/>
      <c r="AC138" s="506"/>
      <c r="AD138" s="498" t="s">
        <v>2020</v>
      </c>
      <c r="AE138" s="499"/>
      <c r="AF138" s="500">
        <v>0</v>
      </c>
      <c r="AG138" s="501"/>
      <c r="AH138" s="737">
        <v>0</v>
      </c>
      <c r="AI138" s="737">
        <v>0</v>
      </c>
      <c r="AJ138" s="737">
        <v>0</v>
      </c>
      <c r="AK138" s="737">
        <v>0</v>
      </c>
      <c r="AL138" s="737">
        <v>0</v>
      </c>
      <c r="AM138" s="737">
        <v>0</v>
      </c>
      <c r="AN138" s="737">
        <v>0</v>
      </c>
      <c r="AO138" s="506"/>
      <c r="AP138" s="506"/>
      <c r="AQ138" s="506"/>
      <c r="AR138" s="506"/>
      <c r="AS138" s="506"/>
      <c r="AT138" s="506"/>
      <c r="AU138" s="506"/>
    </row>
    <row r="139" spans="1:49" s="505" customFormat="1" ht="12" customHeight="1" outlineLevel="1" x14ac:dyDescent="0.55000000000000004">
      <c r="A139" s="506"/>
      <c r="B139" s="601" t="s">
        <v>427</v>
      </c>
      <c r="C139" s="602">
        <v>4</v>
      </c>
      <c r="D139" s="635" t="s">
        <v>428</v>
      </c>
      <c r="E139" s="634"/>
      <c r="F139" s="635"/>
      <c r="G139" s="635"/>
      <c r="H139" s="635">
        <v>979000</v>
      </c>
      <c r="I139" s="636">
        <v>0</v>
      </c>
      <c r="J139" s="637">
        <v>979000</v>
      </c>
      <c r="K139" s="742">
        <v>0</v>
      </c>
      <c r="L139" s="743">
        <v>979000</v>
      </c>
      <c r="M139" s="637">
        <v>0</v>
      </c>
      <c r="O139" s="751">
        <v>0</v>
      </c>
      <c r="P139" s="755">
        <v>0</v>
      </c>
      <c r="Q139" s="582" t="s">
        <v>427</v>
      </c>
      <c r="R139" s="738"/>
      <c r="S139" s="738"/>
      <c r="T139" s="584"/>
      <c r="U139" s="584"/>
      <c r="V139" s="584"/>
      <c r="W139" s="584"/>
      <c r="X139" s="584"/>
      <c r="Y139" s="584"/>
      <c r="Z139" s="584"/>
      <c r="AA139" s="584"/>
      <c r="AC139" s="506"/>
      <c r="AD139" s="498" t="s">
        <v>299</v>
      </c>
      <c r="AE139" s="499"/>
      <c r="AF139" s="500">
        <v>0</v>
      </c>
      <c r="AG139" s="501"/>
      <c r="AH139" s="737">
        <v>0</v>
      </c>
      <c r="AI139" s="737">
        <v>0</v>
      </c>
      <c r="AJ139" s="737">
        <v>0</v>
      </c>
      <c r="AK139" s="737">
        <v>0</v>
      </c>
      <c r="AL139" s="737">
        <v>0</v>
      </c>
      <c r="AM139" s="737">
        <v>0</v>
      </c>
      <c r="AN139" s="737">
        <v>0</v>
      </c>
      <c r="AO139" s="506"/>
      <c r="AP139" s="506"/>
      <c r="AQ139" s="506"/>
      <c r="AR139" s="506"/>
      <c r="AS139" s="506"/>
      <c r="AT139" s="506"/>
      <c r="AU139" s="506"/>
    </row>
    <row r="140" spans="1:49" s="505" customFormat="1" ht="12" customHeight="1" outlineLevel="1" x14ac:dyDescent="0.55000000000000004">
      <c r="A140" s="506"/>
      <c r="B140" s="735" t="s">
        <v>429</v>
      </c>
      <c r="C140" s="736">
        <v>1</v>
      </c>
      <c r="D140" s="574" t="s">
        <v>430</v>
      </c>
      <c r="E140" s="573"/>
      <c r="F140" s="574">
        <v>3486607042</v>
      </c>
      <c r="G140" s="574">
        <v>13858365</v>
      </c>
      <c r="H140" s="574">
        <v>3797886009</v>
      </c>
      <c r="I140" s="575">
        <v>6633082409</v>
      </c>
      <c r="J140" s="576">
        <v>13931433825</v>
      </c>
      <c r="K140" s="742">
        <v>0</v>
      </c>
      <c r="L140" s="743">
        <v>0</v>
      </c>
      <c r="M140" s="576">
        <v>13912035819</v>
      </c>
      <c r="O140" s="753">
        <v>13912035819</v>
      </c>
      <c r="P140" s="754">
        <v>775251974</v>
      </c>
      <c r="Q140" s="582"/>
      <c r="R140" s="583"/>
      <c r="S140" s="738"/>
      <c r="T140" s="584"/>
      <c r="U140" s="584"/>
      <c r="V140" s="584"/>
      <c r="W140" s="584"/>
      <c r="X140" s="584"/>
      <c r="Y140" s="584"/>
      <c r="Z140" s="584"/>
      <c r="AA140" s="584"/>
      <c r="AC140" s="506"/>
      <c r="AD140" s="494" t="s">
        <v>2021</v>
      </c>
      <c r="AE140" s="495"/>
      <c r="AF140" s="496">
        <v>-28571429</v>
      </c>
      <c r="AG140" s="497"/>
      <c r="AH140" s="728">
        <v>0</v>
      </c>
      <c r="AJ140" s="506"/>
      <c r="AK140" s="506"/>
      <c r="AL140" s="506"/>
      <c r="AM140" s="506"/>
      <c r="AN140" s="506"/>
      <c r="AO140" s="506"/>
      <c r="AP140" s="506"/>
      <c r="AQ140" s="506"/>
      <c r="AR140" s="506"/>
      <c r="AS140" s="506"/>
      <c r="AT140" s="506"/>
      <c r="AU140" s="506"/>
    </row>
    <row r="141" spans="1:49" s="505" customFormat="1" ht="12" customHeight="1" outlineLevel="1" x14ac:dyDescent="0.55000000000000004">
      <c r="A141" s="506"/>
      <c r="B141" s="699" t="s">
        <v>431</v>
      </c>
      <c r="C141" s="700">
        <v>2</v>
      </c>
      <c r="D141" s="595" t="s">
        <v>432</v>
      </c>
      <c r="E141" s="594"/>
      <c r="F141" s="595">
        <v>95093</v>
      </c>
      <c r="G141" s="595">
        <v>49165</v>
      </c>
      <c r="H141" s="595">
        <v>481219</v>
      </c>
      <c r="I141" s="596">
        <v>38200284</v>
      </c>
      <c r="J141" s="597">
        <v>38825761</v>
      </c>
      <c r="K141" s="742">
        <v>0</v>
      </c>
      <c r="L141" s="743">
        <v>0</v>
      </c>
      <c r="M141" s="595">
        <v>38931094</v>
      </c>
      <c r="O141" s="759">
        <v>38931094</v>
      </c>
      <c r="P141" s="760">
        <v>7762842</v>
      </c>
      <c r="Q141" s="582" t="s">
        <v>2022</v>
      </c>
      <c r="R141" s="583"/>
      <c r="S141" s="738"/>
      <c r="T141" s="584"/>
      <c r="U141" s="584"/>
      <c r="V141" s="584"/>
      <c r="W141" s="584"/>
      <c r="X141" s="584"/>
      <c r="Y141" s="584"/>
      <c r="Z141" s="584"/>
      <c r="AA141" s="584"/>
      <c r="AC141" s="506"/>
      <c r="AD141" s="498" t="s">
        <v>2023</v>
      </c>
      <c r="AE141" s="499"/>
      <c r="AF141" s="500">
        <v>0</v>
      </c>
      <c r="AG141" s="501"/>
      <c r="AH141" s="737">
        <v>0</v>
      </c>
      <c r="AI141" s="737">
        <v>0</v>
      </c>
      <c r="AJ141" s="737">
        <v>0</v>
      </c>
      <c r="AK141" s="737">
        <v>0</v>
      </c>
      <c r="AL141" s="737">
        <v>0</v>
      </c>
      <c r="AM141" s="737">
        <v>0</v>
      </c>
      <c r="AN141" s="737">
        <v>0</v>
      </c>
      <c r="AO141" s="506"/>
      <c r="AP141" s="506"/>
      <c r="AQ141" s="506"/>
      <c r="AR141" s="506"/>
      <c r="AS141" s="506"/>
      <c r="AT141" s="506"/>
      <c r="AU141" s="506"/>
    </row>
    <row r="142" spans="1:49" s="505" customFormat="1" ht="12" customHeight="1" outlineLevel="1" x14ac:dyDescent="0.55000000000000004">
      <c r="A142" s="506"/>
      <c r="B142" s="601" t="s">
        <v>433</v>
      </c>
      <c r="C142" s="602">
        <v>4</v>
      </c>
      <c r="D142" s="635" t="s">
        <v>434</v>
      </c>
      <c r="E142" s="634"/>
      <c r="F142" s="635">
        <v>62264</v>
      </c>
      <c r="G142" s="635">
        <v>9165</v>
      </c>
      <c r="H142" s="635">
        <v>219176</v>
      </c>
      <c r="I142" s="636">
        <v>499920</v>
      </c>
      <c r="J142" s="637">
        <v>790525</v>
      </c>
      <c r="K142" s="742">
        <v>191667</v>
      </c>
      <c r="L142" s="743">
        <v>0</v>
      </c>
      <c r="M142" s="637">
        <v>598858</v>
      </c>
      <c r="O142" s="751">
        <v>598858</v>
      </c>
      <c r="P142" s="755">
        <v>5250</v>
      </c>
      <c r="Q142" s="761" t="s">
        <v>433</v>
      </c>
      <c r="R142" s="583"/>
      <c r="S142" s="738"/>
      <c r="T142" s="584"/>
      <c r="U142" s="584"/>
      <c r="V142" s="584"/>
      <c r="W142" s="584"/>
      <c r="X142" s="584"/>
      <c r="Y142" s="584"/>
      <c r="Z142" s="584"/>
      <c r="AA142" s="584"/>
      <c r="AC142" s="506"/>
      <c r="AD142" s="498" t="s">
        <v>1800</v>
      </c>
      <c r="AE142" s="499"/>
      <c r="AF142" s="500">
        <v>-28571429</v>
      </c>
      <c r="AG142" s="501"/>
      <c r="AH142" s="737">
        <v>0</v>
      </c>
      <c r="AI142" s="737">
        <v>0</v>
      </c>
      <c r="AJ142" s="737">
        <v>0</v>
      </c>
      <c r="AK142" s="737">
        <v>0</v>
      </c>
      <c r="AL142" s="737">
        <v>0</v>
      </c>
      <c r="AM142" s="737">
        <v>0</v>
      </c>
      <c r="AN142" s="737">
        <v>-28571429</v>
      </c>
      <c r="AO142" s="506"/>
      <c r="AP142" s="506"/>
      <c r="AQ142" s="506"/>
      <c r="AR142" s="506"/>
      <c r="AS142" s="506"/>
      <c r="AT142" s="506"/>
      <c r="AU142" s="506"/>
    </row>
    <row r="143" spans="1:49" s="505" customFormat="1" ht="12" customHeight="1" outlineLevel="1" x14ac:dyDescent="0.55000000000000004">
      <c r="A143" s="506"/>
      <c r="B143" s="601" t="s">
        <v>435</v>
      </c>
      <c r="C143" s="602">
        <v>4</v>
      </c>
      <c r="D143" s="635" t="s">
        <v>436</v>
      </c>
      <c r="E143" s="634"/>
      <c r="F143" s="635"/>
      <c r="G143" s="635"/>
      <c r="H143" s="635"/>
      <c r="I143" s="636">
        <v>0</v>
      </c>
      <c r="J143" s="637">
        <v>0</v>
      </c>
      <c r="K143" s="742">
        <v>0</v>
      </c>
      <c r="L143" s="743">
        <v>0</v>
      </c>
      <c r="M143" s="637">
        <v>0</v>
      </c>
      <c r="O143" s="751">
        <v>0</v>
      </c>
      <c r="P143" s="755">
        <v>0</v>
      </c>
      <c r="Q143" s="761"/>
      <c r="R143" s="583"/>
      <c r="S143" s="738"/>
      <c r="T143" s="584"/>
      <c r="U143" s="584"/>
      <c r="V143" s="584"/>
      <c r="W143" s="584"/>
      <c r="X143" s="584"/>
      <c r="Y143" s="584"/>
      <c r="Z143" s="584"/>
      <c r="AA143" s="584"/>
      <c r="AC143" s="506"/>
      <c r="AD143" s="498" t="s">
        <v>299</v>
      </c>
      <c r="AE143" s="499"/>
      <c r="AF143" s="500">
        <v>0</v>
      </c>
      <c r="AG143" s="501"/>
      <c r="AH143" s="737">
        <v>0</v>
      </c>
      <c r="AI143" s="737">
        <v>0</v>
      </c>
      <c r="AJ143" s="737">
        <v>0</v>
      </c>
      <c r="AK143" s="737">
        <v>0</v>
      </c>
      <c r="AL143" s="737">
        <v>0</v>
      </c>
      <c r="AM143" s="737">
        <v>0</v>
      </c>
      <c r="AN143" s="737">
        <v>0</v>
      </c>
      <c r="AO143" s="506"/>
      <c r="AP143" s="506"/>
      <c r="AQ143" s="506"/>
      <c r="AR143" s="506"/>
      <c r="AS143" s="506"/>
      <c r="AT143" s="506"/>
      <c r="AU143" s="506"/>
    </row>
    <row r="144" spans="1:49" s="505" customFormat="1" ht="12" customHeight="1" outlineLevel="1" x14ac:dyDescent="0.55000000000000004">
      <c r="A144" s="506"/>
      <c r="B144" s="601" t="s">
        <v>437</v>
      </c>
      <c r="C144" s="602">
        <v>4</v>
      </c>
      <c r="D144" s="635" t="s">
        <v>438</v>
      </c>
      <c r="E144" s="634"/>
      <c r="F144" s="635"/>
      <c r="G144" s="635"/>
      <c r="H144" s="635"/>
      <c r="I144" s="636">
        <v>0</v>
      </c>
      <c r="J144" s="637">
        <v>0</v>
      </c>
      <c r="K144" s="742">
        <v>0</v>
      </c>
      <c r="L144" s="743">
        <v>0</v>
      </c>
      <c r="M144" s="637">
        <v>0</v>
      </c>
      <c r="O144" s="757">
        <v>0</v>
      </c>
      <c r="P144" s="758">
        <v>0</v>
      </c>
      <c r="Q144" s="761"/>
      <c r="R144" s="583"/>
      <c r="S144" s="738"/>
      <c r="T144" s="584"/>
      <c r="U144" s="584"/>
      <c r="V144" s="584"/>
      <c r="W144" s="584"/>
      <c r="X144" s="584"/>
      <c r="Y144" s="584"/>
      <c r="Z144" s="584"/>
      <c r="AA144" s="584"/>
      <c r="AC144" s="506"/>
      <c r="AD144" s="502" t="s">
        <v>2024</v>
      </c>
      <c r="AE144" s="503"/>
      <c r="AF144" s="492"/>
      <c r="AG144" s="493">
        <v>3927876470</v>
      </c>
      <c r="AH144" s="762"/>
      <c r="AI144" s="762"/>
      <c r="AJ144" s="762"/>
      <c r="AK144" s="762"/>
      <c r="AL144" s="762"/>
      <c r="AM144" s="762"/>
      <c r="AN144" s="762"/>
      <c r="AO144" s="506"/>
      <c r="AP144" s="506"/>
      <c r="AQ144" s="506"/>
      <c r="AR144" s="506"/>
      <c r="AS144" s="506"/>
      <c r="AT144" s="506"/>
      <c r="AU144" s="506"/>
      <c r="AV144" s="506"/>
      <c r="AW144" s="506"/>
    </row>
    <row r="145" spans="1:51" s="505" customFormat="1" ht="12" customHeight="1" outlineLevel="1" x14ac:dyDescent="0.55000000000000004">
      <c r="A145" s="506"/>
      <c r="B145" s="601" t="s">
        <v>439</v>
      </c>
      <c r="C145" s="602">
        <v>4</v>
      </c>
      <c r="D145" s="635" t="s">
        <v>440</v>
      </c>
      <c r="E145" s="634"/>
      <c r="F145" s="635">
        <v>32829</v>
      </c>
      <c r="G145" s="635">
        <v>40000</v>
      </c>
      <c r="H145" s="635">
        <v>262043</v>
      </c>
      <c r="I145" s="636">
        <v>3600093</v>
      </c>
      <c r="J145" s="637">
        <v>3934965</v>
      </c>
      <c r="K145" s="742">
        <v>0</v>
      </c>
      <c r="L145" s="743">
        <v>297000</v>
      </c>
      <c r="M145" s="637">
        <v>4231965</v>
      </c>
      <c r="O145" s="751">
        <v>4231965</v>
      </c>
      <c r="P145" s="755">
        <v>7200016</v>
      </c>
      <c r="Q145" s="761" t="s">
        <v>439</v>
      </c>
      <c r="R145" s="583"/>
      <c r="S145" s="738"/>
      <c r="T145" s="584"/>
      <c r="U145" s="584"/>
      <c r="V145" s="584"/>
      <c r="W145" s="584"/>
      <c r="X145" s="584"/>
      <c r="Y145" s="584"/>
      <c r="Z145" s="584"/>
      <c r="AA145" s="584"/>
      <c r="AC145" s="506"/>
      <c r="AD145" s="502" t="s">
        <v>2025</v>
      </c>
      <c r="AE145" s="503"/>
      <c r="AF145" s="492"/>
      <c r="AG145" s="493">
        <v>1161776233</v>
      </c>
      <c r="AH145" s="762"/>
      <c r="AI145" s="762"/>
      <c r="AJ145" s="762"/>
      <c r="AK145" s="762"/>
      <c r="AL145" s="762"/>
      <c r="AM145" s="762"/>
      <c r="AN145" s="762"/>
      <c r="AO145" s="506"/>
      <c r="AP145" s="506"/>
      <c r="AQ145" s="506"/>
      <c r="AR145" s="506"/>
      <c r="AS145" s="506"/>
      <c r="AT145" s="506"/>
      <c r="AU145" s="506"/>
      <c r="AV145" s="506"/>
      <c r="AW145" s="506"/>
    </row>
    <row r="146" spans="1:51" s="505" customFormat="1" ht="12" customHeight="1" outlineLevel="1" x14ac:dyDescent="0.55000000000000004">
      <c r="A146" s="506"/>
      <c r="B146" s="617" t="s">
        <v>441</v>
      </c>
      <c r="C146" s="618">
        <v>4</v>
      </c>
      <c r="D146" s="635" t="s">
        <v>442</v>
      </c>
      <c r="E146" s="634"/>
      <c r="F146" s="635"/>
      <c r="G146" s="635"/>
      <c r="H146" s="635"/>
      <c r="I146" s="636">
        <v>29554816</v>
      </c>
      <c r="J146" s="637">
        <v>29554816</v>
      </c>
      <c r="K146" s="742">
        <v>0</v>
      </c>
      <c r="L146" s="743">
        <v>0</v>
      </c>
      <c r="M146" s="637">
        <v>29554816</v>
      </c>
      <c r="O146" s="757">
        <v>29554816</v>
      </c>
      <c r="P146" s="758">
        <v>557576</v>
      </c>
      <c r="Q146" s="761" t="s">
        <v>2026</v>
      </c>
      <c r="R146" s="583"/>
      <c r="S146" s="583"/>
      <c r="T146" s="584"/>
      <c r="U146" s="584"/>
      <c r="V146" s="584"/>
      <c r="W146" s="584"/>
      <c r="X146" s="584"/>
      <c r="Y146" s="584"/>
      <c r="Z146" s="584"/>
      <c r="AA146" s="584"/>
      <c r="AC146" s="506"/>
      <c r="AD146" s="502" t="s">
        <v>2027</v>
      </c>
      <c r="AE146" s="503"/>
      <c r="AF146" s="492"/>
      <c r="AG146" s="493">
        <v>5089652703</v>
      </c>
      <c r="AH146" s="763">
        <v>0</v>
      </c>
      <c r="AI146" s="762"/>
      <c r="AJ146" s="762"/>
      <c r="AK146" s="764"/>
      <c r="AL146" s="764"/>
      <c r="AM146" s="762"/>
      <c r="AN146" s="762"/>
      <c r="AO146" s="762"/>
      <c r="AP146" s="506"/>
      <c r="AQ146" s="506"/>
      <c r="AR146" s="506"/>
      <c r="AS146" s="506"/>
      <c r="AT146" s="506"/>
      <c r="AU146" s="506"/>
      <c r="AV146" s="506"/>
      <c r="AW146" s="506"/>
    </row>
    <row r="147" spans="1:51" s="505" customFormat="1" ht="12" customHeight="1" outlineLevel="1" x14ac:dyDescent="0.55000000000000004">
      <c r="A147" s="506"/>
      <c r="B147" s="617" t="s">
        <v>443</v>
      </c>
      <c r="C147" s="618">
        <v>4</v>
      </c>
      <c r="D147" s="635" t="s">
        <v>444</v>
      </c>
      <c r="E147" s="634"/>
      <c r="F147" s="635"/>
      <c r="G147" s="635"/>
      <c r="H147" s="635"/>
      <c r="I147" s="636">
        <v>4545455</v>
      </c>
      <c r="J147" s="637">
        <v>4545455</v>
      </c>
      <c r="K147" s="742">
        <v>0</v>
      </c>
      <c r="L147" s="743">
        <v>0</v>
      </c>
      <c r="M147" s="637">
        <v>4545455</v>
      </c>
      <c r="O147" s="757">
        <v>4545455</v>
      </c>
      <c r="P147" s="758">
        <v>0</v>
      </c>
      <c r="Q147" s="761" t="s">
        <v>1771</v>
      </c>
      <c r="R147" s="583"/>
      <c r="S147" s="583"/>
      <c r="T147" s="584"/>
      <c r="U147" s="584"/>
      <c r="V147" s="584"/>
      <c r="W147" s="584"/>
      <c r="X147" s="584"/>
      <c r="Y147" s="584"/>
      <c r="Z147" s="584"/>
      <c r="AA147" s="584"/>
      <c r="AC147" s="506"/>
      <c r="AD147" s="762"/>
      <c r="AF147" s="506"/>
      <c r="AH147" s="764"/>
      <c r="AI147" s="762"/>
      <c r="AJ147" s="762"/>
      <c r="AK147" s="764"/>
      <c r="AL147" s="764"/>
      <c r="AM147" s="762"/>
      <c r="AN147" s="762"/>
      <c r="AO147" s="762"/>
      <c r="AP147" s="506"/>
      <c r="AQ147" s="506"/>
      <c r="AR147" s="506"/>
      <c r="AS147" s="506"/>
      <c r="AT147" s="506"/>
      <c r="AU147" s="506"/>
      <c r="AV147" s="506"/>
      <c r="AW147" s="506"/>
    </row>
    <row r="148" spans="1:51" s="505" customFormat="1" ht="12" customHeight="1" outlineLevel="1" x14ac:dyDescent="0.55000000000000004">
      <c r="A148" s="506"/>
      <c r="B148" s="699" t="s">
        <v>445</v>
      </c>
      <c r="C148" s="700">
        <v>2</v>
      </c>
      <c r="D148" s="595" t="s">
        <v>446</v>
      </c>
      <c r="E148" s="594"/>
      <c r="F148" s="595">
        <v>27643</v>
      </c>
      <c r="G148" s="595">
        <v>225213</v>
      </c>
      <c r="H148" s="595">
        <v>5454938</v>
      </c>
      <c r="I148" s="596">
        <v>278589824</v>
      </c>
      <c r="J148" s="597">
        <v>284297618</v>
      </c>
      <c r="K148" s="742">
        <v>0</v>
      </c>
      <c r="L148" s="743">
        <v>0</v>
      </c>
      <c r="M148" s="597">
        <v>310281861</v>
      </c>
      <c r="O148" s="759">
        <v>310281861</v>
      </c>
      <c r="P148" s="760">
        <v>63424157</v>
      </c>
      <c r="Q148" s="761" t="s">
        <v>2028</v>
      </c>
      <c r="R148" s="583"/>
      <c r="S148" s="583"/>
      <c r="T148" s="584"/>
      <c r="U148" s="584"/>
      <c r="V148" s="584"/>
      <c r="W148" s="584"/>
      <c r="X148" s="584"/>
      <c r="Y148" s="584"/>
      <c r="Z148" s="584"/>
      <c r="AA148" s="584"/>
      <c r="AC148" s="506"/>
      <c r="AD148" s="762"/>
      <c r="AF148" s="506"/>
      <c r="AH148" s="762"/>
      <c r="AI148" s="762"/>
      <c r="AJ148" s="762"/>
      <c r="AK148" s="762"/>
      <c r="AL148" s="762"/>
      <c r="AM148" s="762"/>
      <c r="AN148" s="762"/>
      <c r="AO148" s="762"/>
      <c r="AP148" s="506"/>
      <c r="AQ148" s="506"/>
      <c r="AR148" s="506"/>
      <c r="AS148" s="506"/>
      <c r="AT148" s="506"/>
      <c r="AU148" s="506"/>
      <c r="AV148" s="506"/>
      <c r="AW148" s="506"/>
    </row>
    <row r="149" spans="1:51" s="505" customFormat="1" ht="12" customHeight="1" outlineLevel="1" x14ac:dyDescent="0.55000000000000004">
      <c r="A149" s="506"/>
      <c r="B149" s="601" t="s">
        <v>447</v>
      </c>
      <c r="C149" s="602">
        <v>4</v>
      </c>
      <c r="D149" s="635" t="s">
        <v>448</v>
      </c>
      <c r="E149" s="634"/>
      <c r="F149" s="635"/>
      <c r="G149" s="635">
        <v>191667</v>
      </c>
      <c r="H149" s="635"/>
      <c r="I149" s="636">
        <v>14810261</v>
      </c>
      <c r="J149" s="637">
        <v>15001928</v>
      </c>
      <c r="K149" s="742">
        <v>0</v>
      </c>
      <c r="L149" s="743">
        <v>191667</v>
      </c>
      <c r="M149" s="637">
        <v>14810261</v>
      </c>
      <c r="O149" s="756">
        <v>14810261</v>
      </c>
      <c r="P149" s="755">
        <v>17583610</v>
      </c>
      <c r="Q149" s="761" t="s">
        <v>447</v>
      </c>
      <c r="R149" s="583"/>
      <c r="S149" s="583"/>
      <c r="T149" s="584"/>
      <c r="U149" s="584"/>
      <c r="V149" s="584"/>
      <c r="W149" s="584"/>
      <c r="X149" s="584"/>
      <c r="Y149" s="584"/>
      <c r="Z149" s="584"/>
      <c r="AA149" s="584"/>
      <c r="AC149" s="506"/>
      <c r="AD149" s="762"/>
      <c r="AE149" s="506"/>
      <c r="AF149" s="762"/>
      <c r="AG149" s="762"/>
      <c r="AH149" s="762"/>
      <c r="AI149" s="762"/>
      <c r="AJ149" s="762"/>
      <c r="AK149" s="762"/>
      <c r="AL149" s="762"/>
      <c r="AM149" s="762"/>
      <c r="AN149" s="762"/>
      <c r="AO149" s="762"/>
      <c r="AP149" s="506"/>
      <c r="AQ149" s="506"/>
      <c r="AR149" s="506"/>
      <c r="AS149" s="506"/>
      <c r="AT149" s="506"/>
      <c r="AU149" s="506"/>
      <c r="AV149" s="506"/>
      <c r="AW149" s="506"/>
    </row>
    <row r="150" spans="1:51" s="505" customFormat="1" ht="12" customHeight="1" outlineLevel="1" x14ac:dyDescent="0.55000000000000004">
      <c r="A150" s="506"/>
      <c r="B150" s="617" t="s">
        <v>449</v>
      </c>
      <c r="C150" s="602">
        <v>4</v>
      </c>
      <c r="D150" s="635" t="s">
        <v>450</v>
      </c>
      <c r="E150" s="634"/>
      <c r="F150" s="635"/>
      <c r="G150" s="635"/>
      <c r="H150" s="635"/>
      <c r="I150" s="636">
        <v>0</v>
      </c>
      <c r="J150" s="637">
        <v>0</v>
      </c>
      <c r="K150" s="742">
        <v>0</v>
      </c>
      <c r="L150" s="743">
        <v>0</v>
      </c>
      <c r="M150" s="637">
        <v>0</v>
      </c>
      <c r="O150" s="756">
        <v>0</v>
      </c>
      <c r="P150" s="755">
        <v>0</v>
      </c>
      <c r="Q150" s="761"/>
      <c r="R150" s="583"/>
      <c r="S150" s="583"/>
      <c r="T150" s="584"/>
      <c r="U150" s="584"/>
      <c r="V150" s="584"/>
      <c r="W150" s="584"/>
      <c r="X150" s="584"/>
      <c r="Y150" s="584"/>
      <c r="Z150" s="584"/>
      <c r="AA150" s="584"/>
      <c r="AC150" s="506"/>
      <c r="AD150" s="506"/>
      <c r="AE150" s="506"/>
      <c r="AF150" s="506"/>
      <c r="AG150" s="506"/>
      <c r="AH150" s="762"/>
      <c r="AI150" s="762"/>
      <c r="AJ150" s="762"/>
      <c r="AK150" s="762"/>
      <c r="AL150" s="762"/>
      <c r="AM150" s="762"/>
      <c r="AN150" s="762"/>
      <c r="AO150" s="762"/>
      <c r="AP150" s="506"/>
      <c r="AQ150" s="506"/>
      <c r="AR150" s="506"/>
      <c r="AS150" s="506"/>
      <c r="AT150" s="506"/>
      <c r="AU150" s="506"/>
      <c r="AV150" s="506"/>
      <c r="AW150" s="506"/>
    </row>
    <row r="151" spans="1:51" s="505" customFormat="1" ht="12" customHeight="1" outlineLevel="1" x14ac:dyDescent="0.55000000000000004">
      <c r="A151" s="506"/>
      <c r="B151" s="617" t="s">
        <v>451</v>
      </c>
      <c r="C151" s="602">
        <v>4</v>
      </c>
      <c r="D151" s="635" t="s">
        <v>452</v>
      </c>
      <c r="E151" s="634"/>
      <c r="F151" s="635"/>
      <c r="G151" s="635"/>
      <c r="H151" s="635"/>
      <c r="I151" s="636">
        <v>0</v>
      </c>
      <c r="J151" s="637">
        <v>0</v>
      </c>
      <c r="K151" s="742">
        <v>0</v>
      </c>
      <c r="L151" s="743">
        <v>0</v>
      </c>
      <c r="M151" s="637">
        <v>0</v>
      </c>
      <c r="O151" s="757">
        <v>0</v>
      </c>
      <c r="P151" s="758">
        <v>0</v>
      </c>
      <c r="Q151" s="761"/>
      <c r="R151" s="583"/>
      <c r="S151" s="583"/>
      <c r="T151" s="584"/>
      <c r="U151" s="584"/>
      <c r="V151" s="584"/>
      <c r="W151" s="584"/>
      <c r="X151" s="584"/>
      <c r="Y151" s="584"/>
      <c r="Z151" s="584"/>
      <c r="AA151" s="584"/>
      <c r="AC151" s="506"/>
      <c r="AD151" s="506"/>
      <c r="AE151" s="506"/>
      <c r="AF151" s="506"/>
      <c r="AG151" s="506"/>
      <c r="AH151" s="762"/>
      <c r="AI151" s="762"/>
      <c r="AJ151" s="762"/>
      <c r="AK151" s="762"/>
      <c r="AL151" s="762"/>
      <c r="AM151" s="762"/>
      <c r="AN151" s="762"/>
      <c r="AO151" s="762"/>
      <c r="AP151" s="506"/>
      <c r="AQ151" s="506"/>
      <c r="AR151" s="506"/>
      <c r="AS151" s="506"/>
      <c r="AT151" s="506"/>
      <c r="AU151" s="506"/>
      <c r="AV151" s="506"/>
      <c r="AW151" s="506"/>
    </row>
    <row r="152" spans="1:51" s="505" customFormat="1" ht="12" customHeight="1" outlineLevel="1" x14ac:dyDescent="0.55000000000000004">
      <c r="A152" s="506"/>
      <c r="B152" s="617" t="s">
        <v>453</v>
      </c>
      <c r="C152" s="602">
        <v>4</v>
      </c>
      <c r="D152" s="635" t="s">
        <v>454</v>
      </c>
      <c r="E152" s="634"/>
      <c r="F152" s="635"/>
      <c r="G152" s="635"/>
      <c r="H152" s="635"/>
      <c r="I152" s="636">
        <v>900000</v>
      </c>
      <c r="J152" s="637">
        <v>900000</v>
      </c>
      <c r="K152" s="742">
        <v>0</v>
      </c>
      <c r="L152" s="743">
        <v>0</v>
      </c>
      <c r="M152" s="637">
        <v>900000</v>
      </c>
      <c r="O152" s="757">
        <v>900000</v>
      </c>
      <c r="P152" s="758">
        <v>0</v>
      </c>
      <c r="Q152" s="761" t="s">
        <v>2029</v>
      </c>
      <c r="R152" s="583"/>
      <c r="S152" s="583"/>
      <c r="T152" s="584"/>
      <c r="U152" s="584"/>
      <c r="V152" s="584"/>
      <c r="W152" s="584"/>
      <c r="X152" s="584"/>
      <c r="Y152" s="584"/>
      <c r="Z152" s="584"/>
      <c r="AA152" s="584"/>
      <c r="AC152" s="506"/>
      <c r="AD152" s="506"/>
      <c r="AE152" s="506"/>
      <c r="AF152" s="506"/>
      <c r="AG152" s="506"/>
      <c r="AH152" s="762"/>
      <c r="AI152" s="762"/>
      <c r="AJ152" s="762"/>
      <c r="AK152" s="762"/>
      <c r="AL152" s="762"/>
      <c r="AM152" s="762"/>
      <c r="AN152" s="762"/>
      <c r="AO152" s="762"/>
      <c r="AP152" s="506"/>
      <c r="AQ152" s="506"/>
      <c r="AR152" s="506"/>
      <c r="AS152" s="506"/>
      <c r="AT152" s="506"/>
      <c r="AU152" s="506"/>
      <c r="AV152" s="506"/>
      <c r="AW152" s="506"/>
    </row>
    <row r="153" spans="1:51" s="505" customFormat="1" ht="12" customHeight="1" outlineLevel="1" x14ac:dyDescent="0.55000000000000004">
      <c r="A153" s="506"/>
      <c r="B153" s="601" t="s">
        <v>455</v>
      </c>
      <c r="C153" s="602">
        <v>4</v>
      </c>
      <c r="D153" s="635" t="s">
        <v>456</v>
      </c>
      <c r="E153" s="634"/>
      <c r="F153" s="635">
        <v>27643</v>
      </c>
      <c r="G153" s="635">
        <v>33546</v>
      </c>
      <c r="H153" s="635">
        <v>5454938</v>
      </c>
      <c r="I153" s="636">
        <v>262879563</v>
      </c>
      <c r="J153" s="637">
        <v>268395690</v>
      </c>
      <c r="K153" s="742">
        <v>0</v>
      </c>
      <c r="L153" s="743">
        <v>0</v>
      </c>
      <c r="M153" s="637">
        <v>268395690</v>
      </c>
      <c r="O153" s="756">
        <v>268395690</v>
      </c>
      <c r="P153" s="755">
        <v>7213</v>
      </c>
      <c r="Q153" s="761" t="s">
        <v>455</v>
      </c>
      <c r="R153" s="583"/>
      <c r="S153" s="583"/>
      <c r="T153" s="584" t="s">
        <v>2030</v>
      </c>
      <c r="U153" s="584"/>
      <c r="V153" s="584"/>
      <c r="W153" s="584"/>
      <c r="X153" s="584"/>
      <c r="Y153" s="584"/>
      <c r="Z153" s="584"/>
      <c r="AA153" s="584"/>
      <c r="AC153" s="506"/>
      <c r="AD153" s="506"/>
      <c r="AE153" s="506"/>
      <c r="AF153" s="506"/>
      <c r="AG153" s="506"/>
      <c r="AH153" s="762"/>
      <c r="AI153" s="762"/>
      <c r="AJ153" s="762"/>
      <c r="AK153" s="762"/>
      <c r="AL153" s="762"/>
      <c r="AM153" s="762"/>
      <c r="AN153" s="762"/>
      <c r="AO153" s="762"/>
      <c r="AP153" s="506"/>
      <c r="AQ153" s="506"/>
      <c r="AR153" s="506"/>
      <c r="AS153" s="506"/>
      <c r="AT153" s="506"/>
      <c r="AU153" s="506"/>
      <c r="AV153" s="506"/>
      <c r="AW153" s="506"/>
    </row>
    <row r="154" spans="1:51" s="505" customFormat="1" ht="12" customHeight="1" outlineLevel="1" x14ac:dyDescent="0.55000000000000004">
      <c r="A154" s="506"/>
      <c r="B154" s="617" t="s">
        <v>457</v>
      </c>
      <c r="C154" s="618">
        <v>4</v>
      </c>
      <c r="D154" s="635" t="s">
        <v>458</v>
      </c>
      <c r="E154" s="634"/>
      <c r="F154" s="635"/>
      <c r="G154" s="635"/>
      <c r="H154" s="635"/>
      <c r="I154" s="636">
        <v>0</v>
      </c>
      <c r="J154" s="637">
        <v>0</v>
      </c>
      <c r="K154" s="742">
        <v>26175910</v>
      </c>
      <c r="L154" s="743">
        <v>0</v>
      </c>
      <c r="M154" s="637">
        <v>26175910</v>
      </c>
      <c r="O154" s="757">
        <v>26175910</v>
      </c>
      <c r="P154" s="758">
        <v>45833334</v>
      </c>
      <c r="Q154" s="761" t="s">
        <v>1772</v>
      </c>
      <c r="R154" s="583"/>
      <c r="S154" s="583"/>
      <c r="T154" s="584"/>
      <c r="U154" s="584"/>
      <c r="V154" s="584"/>
      <c r="W154" s="584"/>
      <c r="X154" s="584"/>
      <c r="Y154" s="584"/>
      <c r="Z154" s="584"/>
      <c r="AA154" s="584"/>
      <c r="AC154" s="506"/>
      <c r="AD154" s="506"/>
      <c r="AE154" s="506"/>
      <c r="AF154" s="506"/>
      <c r="AG154" s="506"/>
      <c r="AH154" s="762"/>
      <c r="AI154" s="762"/>
      <c r="AJ154" s="762"/>
      <c r="AK154" s="762"/>
      <c r="AL154" s="762"/>
      <c r="AM154" s="762"/>
      <c r="AN154" s="762"/>
      <c r="AO154" s="762"/>
      <c r="AP154" s="506"/>
      <c r="AQ154" s="506"/>
      <c r="AR154" s="506"/>
      <c r="AS154" s="506"/>
      <c r="AT154" s="506"/>
      <c r="AU154" s="506"/>
      <c r="AV154" s="506"/>
      <c r="AW154" s="506"/>
    </row>
    <row r="155" spans="1:51" s="505" customFormat="1" ht="12" customHeight="1" outlineLevel="1" x14ac:dyDescent="0.55000000000000004">
      <c r="A155" s="506"/>
      <c r="B155" s="735" t="s">
        <v>459</v>
      </c>
      <c r="C155" s="736">
        <v>1</v>
      </c>
      <c r="D155" s="574" t="s">
        <v>378</v>
      </c>
      <c r="E155" s="573"/>
      <c r="F155" s="574">
        <v>3486674492</v>
      </c>
      <c r="G155" s="574">
        <v>13682317</v>
      </c>
      <c r="H155" s="574">
        <v>3792912290</v>
      </c>
      <c r="I155" s="575">
        <v>6392692869</v>
      </c>
      <c r="J155" s="576">
        <v>13685961968</v>
      </c>
      <c r="K155" s="742">
        <v>0</v>
      </c>
      <c r="L155" s="743">
        <v>0</v>
      </c>
      <c r="M155" s="576">
        <v>13640685052</v>
      </c>
      <c r="O155" s="753">
        <v>13640685052</v>
      </c>
      <c r="P155" s="754">
        <v>719590659</v>
      </c>
      <c r="Q155" s="582"/>
      <c r="R155" s="583"/>
      <c r="S155" s="583"/>
      <c r="T155" s="584"/>
      <c r="U155" s="584"/>
      <c r="V155" s="584"/>
      <c r="W155" s="584"/>
      <c r="X155" s="584"/>
      <c r="Y155" s="584"/>
      <c r="Z155" s="584"/>
      <c r="AA155" s="584"/>
      <c r="AC155" s="506"/>
      <c r="AD155" s="506"/>
      <c r="AE155" s="506"/>
      <c r="AF155" s="506"/>
      <c r="AG155" s="506"/>
      <c r="AH155" s="762"/>
      <c r="AI155" s="762"/>
      <c r="AJ155" s="762"/>
      <c r="AK155" s="762"/>
      <c r="AL155" s="762"/>
      <c r="AM155" s="762"/>
      <c r="AN155" s="762"/>
      <c r="AO155" s="762"/>
      <c r="AP155" s="506"/>
      <c r="AQ155" s="506"/>
      <c r="AR155" s="506"/>
      <c r="AS155" s="506"/>
      <c r="AT155" s="506"/>
      <c r="AU155" s="506"/>
      <c r="AV155" s="506"/>
      <c r="AW155" s="506"/>
    </row>
    <row r="156" spans="1:51" s="505" customFormat="1" ht="12" customHeight="1" outlineLevel="1" x14ac:dyDescent="0.55000000000000004">
      <c r="A156" s="506"/>
      <c r="B156" s="765" t="s">
        <v>460</v>
      </c>
      <c r="C156" s="766">
        <v>4</v>
      </c>
      <c r="D156" s="635" t="s">
        <v>461</v>
      </c>
      <c r="E156" s="634"/>
      <c r="F156" s="635"/>
      <c r="G156" s="635"/>
      <c r="H156" s="635"/>
      <c r="I156" s="636"/>
      <c r="J156" s="637">
        <v>0</v>
      </c>
      <c r="K156" s="742">
        <v>0</v>
      </c>
      <c r="L156" s="743">
        <v>0</v>
      </c>
      <c r="M156" s="637">
        <v>0</v>
      </c>
      <c r="O156" s="756">
        <v>0</v>
      </c>
      <c r="P156" s="755">
        <v>0</v>
      </c>
      <c r="Q156" s="582" t="s">
        <v>460</v>
      </c>
      <c r="R156" s="583"/>
      <c r="S156" s="583"/>
      <c r="T156" s="584" t="s">
        <v>2031</v>
      </c>
      <c r="U156" s="584"/>
      <c r="V156" s="584"/>
      <c r="W156" s="584"/>
      <c r="X156" s="584"/>
      <c r="Y156" s="584"/>
      <c r="Z156" s="584"/>
      <c r="AA156" s="584"/>
      <c r="AC156" s="506"/>
      <c r="AD156" s="506"/>
      <c r="AE156" s="506"/>
      <c r="AF156" s="506"/>
      <c r="AG156" s="506"/>
      <c r="AH156" s="506"/>
      <c r="AI156" s="506"/>
      <c r="AJ156" s="506"/>
      <c r="AK156" s="506"/>
      <c r="AL156" s="506"/>
      <c r="AM156" s="506"/>
      <c r="AN156" s="506"/>
      <c r="AO156" s="762"/>
      <c r="AP156" s="506"/>
      <c r="AQ156" s="506"/>
      <c r="AR156" s="506"/>
      <c r="AS156" s="506"/>
      <c r="AT156" s="506"/>
      <c r="AU156" s="506"/>
      <c r="AV156" s="506"/>
      <c r="AW156" s="506"/>
    </row>
    <row r="157" spans="1:51" s="505" customFormat="1" ht="12" customHeight="1" outlineLevel="1" thickBot="1" x14ac:dyDescent="0.6">
      <c r="A157" s="506"/>
      <c r="B157" s="735" t="s">
        <v>462</v>
      </c>
      <c r="C157" s="736">
        <v>1</v>
      </c>
      <c r="D157" s="574" t="s">
        <v>378</v>
      </c>
      <c r="E157" s="767">
        <v>0</v>
      </c>
      <c r="F157" s="768">
        <v>3486674492</v>
      </c>
      <c r="G157" s="768">
        <v>13682317</v>
      </c>
      <c r="H157" s="768">
        <v>3792912290</v>
      </c>
      <c r="I157" s="769">
        <v>6392692869</v>
      </c>
      <c r="J157" s="576">
        <v>13685961968</v>
      </c>
      <c r="K157" s="742">
        <v>0</v>
      </c>
      <c r="L157" s="743">
        <v>0</v>
      </c>
      <c r="M157" s="576">
        <v>13640685052</v>
      </c>
      <c r="O157" s="753">
        <v>13640685052</v>
      </c>
      <c r="P157" s="754">
        <v>719590659</v>
      </c>
      <c r="Q157" s="770"/>
      <c r="R157" s="771"/>
      <c r="S157" s="771"/>
      <c r="T157" s="584"/>
      <c r="U157" s="584"/>
      <c r="V157" s="584"/>
      <c r="W157" s="584"/>
      <c r="X157" s="584"/>
      <c r="Y157" s="584"/>
      <c r="Z157" s="584"/>
      <c r="AA157" s="584"/>
      <c r="AC157" s="506"/>
      <c r="AD157" s="506"/>
      <c r="AE157" s="506"/>
      <c r="AF157" s="506"/>
      <c r="AG157" s="506"/>
      <c r="AH157" s="506"/>
      <c r="AI157" s="506"/>
      <c r="AJ157" s="506"/>
      <c r="AK157" s="506"/>
      <c r="AL157" s="506"/>
      <c r="AM157" s="506"/>
      <c r="AN157" s="506"/>
      <c r="AO157" s="762"/>
      <c r="AP157" s="506"/>
      <c r="AQ157" s="506"/>
      <c r="AR157" s="506"/>
      <c r="AS157" s="506"/>
      <c r="AT157" s="506"/>
      <c r="AU157" s="506"/>
      <c r="AV157" s="506"/>
      <c r="AW157" s="506"/>
    </row>
    <row r="158" spans="1:51" s="505" customFormat="1" ht="12" customHeight="1" thickBot="1" x14ac:dyDescent="0.6">
      <c r="A158" s="506"/>
      <c r="B158" s="506"/>
      <c r="C158" s="506"/>
      <c r="E158" s="625">
        <v>0</v>
      </c>
      <c r="F158" s="625">
        <v>0</v>
      </c>
      <c r="G158" s="625">
        <v>0</v>
      </c>
      <c r="H158" s="625">
        <v>0</v>
      </c>
      <c r="I158" s="625">
        <v>0</v>
      </c>
      <c r="J158" s="625">
        <v>0</v>
      </c>
      <c r="K158" s="772">
        <v>3515556854</v>
      </c>
      <c r="L158" s="772">
        <v>3470279938</v>
      </c>
      <c r="M158" s="625">
        <v>0</v>
      </c>
      <c r="P158" s="269" t="b">
        <v>1</v>
      </c>
      <c r="Q158" s="506"/>
      <c r="R158" s="506"/>
      <c r="S158" s="506"/>
      <c r="T158" s="506"/>
      <c r="U158" s="506"/>
      <c r="V158" s="506"/>
      <c r="W158" s="506"/>
      <c r="X158" s="506"/>
      <c r="Y158" s="506"/>
      <c r="Z158" s="506"/>
      <c r="AA158" s="506"/>
      <c r="AC158" s="506"/>
      <c r="AD158" s="506"/>
      <c r="AE158" s="506"/>
      <c r="AF158" s="506"/>
      <c r="AG158" s="506"/>
      <c r="AH158" s="506"/>
      <c r="AI158" s="506"/>
      <c r="AJ158" s="506"/>
      <c r="AK158" s="506"/>
      <c r="AL158" s="506"/>
      <c r="AM158" s="506"/>
      <c r="AN158" s="506"/>
      <c r="AO158" s="506"/>
      <c r="AP158" s="506"/>
      <c r="AQ158" s="506"/>
      <c r="AR158" s="506"/>
      <c r="AS158" s="506"/>
      <c r="AT158" s="506"/>
      <c r="AU158" s="506"/>
      <c r="AV158" s="506"/>
      <c r="AW158" s="506"/>
    </row>
    <row r="159" spans="1:51" s="505" customFormat="1" ht="12" customHeight="1" thickTop="1" x14ac:dyDescent="0.55000000000000004">
      <c r="A159" s="506"/>
      <c r="B159" s="506"/>
      <c r="C159" s="506"/>
      <c r="Q159" s="506"/>
      <c r="R159" s="506"/>
      <c r="S159" s="506"/>
      <c r="T159" s="506"/>
      <c r="U159" s="506"/>
      <c r="V159" s="506"/>
      <c r="W159" s="506"/>
      <c r="X159" s="506"/>
      <c r="Y159" s="506"/>
      <c r="Z159" s="506"/>
      <c r="AA159" s="506"/>
      <c r="AC159" s="506"/>
      <c r="AD159" s="506"/>
      <c r="AE159" s="506"/>
      <c r="AF159" s="506"/>
      <c r="AG159" s="506"/>
      <c r="AH159" s="506"/>
      <c r="AI159" s="506"/>
      <c r="AJ159" s="506"/>
      <c r="AK159" s="506"/>
      <c r="AL159" s="506"/>
      <c r="AM159" s="506"/>
      <c r="AN159" s="506"/>
      <c r="AO159" s="506"/>
      <c r="AP159" s="506"/>
      <c r="AQ159" s="506"/>
      <c r="AR159" s="506"/>
      <c r="AS159" s="506"/>
      <c r="AT159" s="506"/>
      <c r="AU159" s="506"/>
      <c r="AV159" s="506"/>
      <c r="AW159" s="506"/>
      <c r="AX159" s="506"/>
      <c r="AY159" s="506"/>
    </row>
    <row r="160" spans="1:51" s="505" customFormat="1" ht="12" customHeight="1" x14ac:dyDescent="0.55000000000000004">
      <c r="A160" s="506"/>
      <c r="B160" s="506"/>
      <c r="C160" s="506"/>
      <c r="Q160" s="506"/>
      <c r="R160" s="506"/>
      <c r="S160" s="506"/>
      <c r="T160" s="506"/>
      <c r="U160" s="506"/>
      <c r="V160" s="506"/>
      <c r="W160" s="506"/>
      <c r="X160" s="506"/>
      <c r="Y160" s="506"/>
      <c r="Z160" s="506"/>
      <c r="AA160" s="506"/>
      <c r="AC160" s="506"/>
      <c r="AD160" s="506"/>
      <c r="AE160" s="506"/>
      <c r="AF160" s="506"/>
      <c r="AG160" s="506"/>
      <c r="AH160" s="506"/>
      <c r="AI160" s="506"/>
      <c r="AJ160" s="506"/>
      <c r="AK160" s="506"/>
      <c r="AL160" s="506"/>
      <c r="AM160" s="506"/>
      <c r="AN160" s="506"/>
      <c r="AO160" s="506"/>
      <c r="AP160" s="506"/>
      <c r="AQ160" s="506"/>
      <c r="AR160" s="506"/>
      <c r="AS160" s="506"/>
      <c r="AT160" s="506"/>
      <c r="AU160" s="506"/>
      <c r="AV160" s="506"/>
      <c r="AW160" s="506"/>
      <c r="AX160" s="506"/>
      <c r="AY160" s="506"/>
    </row>
    <row r="161" spans="1:51" s="505" customFormat="1" ht="12" customHeight="1" x14ac:dyDescent="0.55000000000000004">
      <c r="A161" s="506"/>
      <c r="B161" s="506"/>
      <c r="C161" s="506"/>
      <c r="Q161" s="506"/>
      <c r="R161" s="506"/>
      <c r="S161" s="506"/>
      <c r="T161" s="506"/>
      <c r="U161" s="506"/>
      <c r="V161" s="506"/>
      <c r="W161" s="506"/>
      <c r="X161" s="506"/>
      <c r="Y161" s="506"/>
      <c r="Z161" s="506"/>
      <c r="AA161" s="506"/>
      <c r="AC161" s="506"/>
      <c r="AD161" s="506"/>
      <c r="AE161" s="506"/>
      <c r="AF161" s="506"/>
      <c r="AG161" s="506"/>
      <c r="AH161" s="506"/>
      <c r="AI161" s="506"/>
      <c r="AJ161" s="506"/>
      <c r="AK161" s="506"/>
      <c r="AL161" s="506"/>
      <c r="AM161" s="506"/>
      <c r="AN161" s="506"/>
      <c r="AO161" s="506"/>
      <c r="AP161" s="506"/>
      <c r="AQ161" s="506"/>
      <c r="AR161" s="506"/>
      <c r="AS161" s="506"/>
      <c r="AT161" s="506"/>
      <c r="AU161" s="506"/>
      <c r="AV161" s="506"/>
      <c r="AW161" s="506"/>
      <c r="AX161" s="506"/>
      <c r="AY161" s="506"/>
    </row>
    <row r="162" spans="1:51" s="505" customFormat="1" ht="12" customHeight="1" x14ac:dyDescent="0.55000000000000004">
      <c r="A162" s="506"/>
      <c r="B162" s="506"/>
      <c r="C162" s="506"/>
      <c r="Q162" s="506"/>
      <c r="R162" s="506"/>
      <c r="S162" s="506"/>
      <c r="T162" s="506"/>
      <c r="U162" s="506"/>
      <c r="V162" s="506"/>
      <c r="W162" s="506"/>
      <c r="X162" s="506"/>
      <c r="Y162" s="506"/>
      <c r="Z162" s="506"/>
      <c r="AA162" s="506"/>
      <c r="AC162" s="506"/>
      <c r="AD162" s="506"/>
      <c r="AE162" s="506"/>
      <c r="AF162" s="506"/>
      <c r="AG162" s="506"/>
      <c r="AH162" s="506"/>
      <c r="AI162" s="506"/>
      <c r="AJ162" s="506"/>
      <c r="AK162" s="506"/>
      <c r="AL162" s="506"/>
      <c r="AM162" s="506"/>
      <c r="AN162" s="506"/>
      <c r="AO162" s="506"/>
      <c r="AP162" s="506"/>
      <c r="AQ162" s="506"/>
      <c r="AR162" s="506"/>
      <c r="AS162" s="506"/>
      <c r="AT162" s="506"/>
      <c r="AU162" s="506"/>
      <c r="AV162" s="506"/>
      <c r="AW162" s="506"/>
      <c r="AX162" s="506"/>
      <c r="AY162" s="506"/>
    </row>
    <row r="163" spans="1:51" s="505" customFormat="1" ht="12" customHeight="1" x14ac:dyDescent="0.55000000000000004">
      <c r="A163" s="506"/>
      <c r="B163" s="506"/>
      <c r="C163" s="506"/>
      <c r="Q163" s="506"/>
      <c r="R163" s="506"/>
      <c r="S163" s="506"/>
      <c r="T163" s="506"/>
      <c r="U163" s="506"/>
      <c r="V163" s="506"/>
      <c r="W163" s="506"/>
      <c r="X163" s="506"/>
      <c r="Y163" s="506"/>
      <c r="Z163" s="506"/>
      <c r="AA163" s="506"/>
      <c r="AC163" s="506"/>
      <c r="AD163" s="506"/>
      <c r="AE163" s="506"/>
      <c r="AF163" s="506"/>
      <c r="AG163" s="506"/>
      <c r="AH163" s="506"/>
      <c r="AI163" s="506"/>
      <c r="AJ163" s="506"/>
      <c r="AK163" s="506"/>
      <c r="AL163" s="506"/>
      <c r="AM163" s="506"/>
      <c r="AN163" s="506"/>
      <c r="AO163" s="506"/>
      <c r="AP163" s="506"/>
      <c r="AQ163" s="506"/>
      <c r="AR163" s="506"/>
      <c r="AS163" s="506"/>
      <c r="AT163" s="506"/>
      <c r="AU163" s="506"/>
      <c r="AV163" s="506"/>
      <c r="AW163" s="506"/>
      <c r="AX163" s="506"/>
      <c r="AY163" s="506"/>
    </row>
    <row r="164" spans="1:51" s="505" customFormat="1" ht="12" customHeight="1" x14ac:dyDescent="0.55000000000000004">
      <c r="A164" s="506"/>
      <c r="B164" s="506"/>
      <c r="C164" s="506"/>
      <c r="Q164" s="506"/>
      <c r="R164" s="506"/>
      <c r="S164" s="506"/>
      <c r="T164" s="506"/>
      <c r="U164" s="506"/>
      <c r="V164" s="506"/>
      <c r="W164" s="506"/>
      <c r="X164" s="506"/>
      <c r="Y164" s="506"/>
      <c r="Z164" s="506"/>
      <c r="AA164" s="506"/>
      <c r="AC164" s="506"/>
      <c r="AD164" s="506"/>
      <c r="AE164" s="506"/>
      <c r="AF164" s="506"/>
      <c r="AG164" s="506"/>
      <c r="AH164" s="506"/>
      <c r="AI164" s="506"/>
      <c r="AJ164" s="506"/>
      <c r="AK164" s="506"/>
      <c r="AL164" s="506"/>
      <c r="AM164" s="506"/>
      <c r="AN164" s="506"/>
      <c r="AO164" s="506"/>
      <c r="AP164" s="506"/>
      <c r="AQ164" s="506"/>
      <c r="AR164" s="506"/>
      <c r="AS164" s="506"/>
      <c r="AT164" s="506"/>
      <c r="AU164" s="506"/>
      <c r="AV164" s="506"/>
      <c r="AW164" s="506"/>
      <c r="AX164" s="506"/>
      <c r="AY164" s="506"/>
    </row>
    <row r="165" spans="1:51" s="505" customFormat="1" ht="12" customHeight="1" x14ac:dyDescent="0.55000000000000004">
      <c r="A165" s="506"/>
      <c r="B165" s="506"/>
      <c r="C165" s="506"/>
      <c r="Q165" s="506"/>
      <c r="R165" s="506"/>
      <c r="S165" s="506"/>
      <c r="T165" s="506"/>
      <c r="U165" s="506"/>
      <c r="V165" s="506"/>
      <c r="W165" s="506"/>
      <c r="X165" s="506"/>
      <c r="Y165" s="506"/>
      <c r="Z165" s="506"/>
      <c r="AA165" s="506"/>
      <c r="AC165" s="506"/>
      <c r="AD165" s="506"/>
      <c r="AE165" s="506"/>
      <c r="AF165" s="506"/>
      <c r="AG165" s="506"/>
      <c r="AH165" s="506"/>
      <c r="AI165" s="506"/>
      <c r="AJ165" s="506"/>
      <c r="AK165" s="506"/>
      <c r="AL165" s="506"/>
      <c r="AM165" s="506"/>
      <c r="AN165" s="506"/>
      <c r="AO165" s="506"/>
      <c r="AP165" s="506"/>
      <c r="AQ165" s="506"/>
      <c r="AR165" s="506"/>
      <c r="AS165" s="506"/>
      <c r="AT165" s="506"/>
      <c r="AU165" s="506"/>
      <c r="AV165" s="506"/>
      <c r="AW165" s="506"/>
      <c r="AX165" s="506"/>
      <c r="AY165" s="506"/>
    </row>
    <row r="166" spans="1:51" s="505" customFormat="1" ht="12" customHeight="1" x14ac:dyDescent="0.55000000000000004">
      <c r="A166" s="506"/>
      <c r="B166" s="506"/>
      <c r="C166" s="506"/>
      <c r="Q166" s="506"/>
      <c r="R166" s="506"/>
      <c r="S166" s="506"/>
      <c r="T166" s="506"/>
      <c r="U166" s="506"/>
      <c r="V166" s="506"/>
      <c r="W166" s="506"/>
      <c r="X166" s="506"/>
      <c r="Y166" s="506"/>
      <c r="Z166" s="506"/>
      <c r="AA166" s="506"/>
      <c r="AC166" s="506"/>
      <c r="AD166" s="506"/>
      <c r="AE166" s="506"/>
      <c r="AF166" s="506"/>
      <c r="AG166" s="506"/>
      <c r="AH166" s="506"/>
      <c r="AI166" s="506"/>
      <c r="AJ166" s="506"/>
      <c r="AK166" s="506"/>
      <c r="AL166" s="506"/>
      <c r="AM166" s="506"/>
      <c r="AN166" s="506"/>
      <c r="AO166" s="506"/>
      <c r="AP166" s="506"/>
      <c r="AQ166" s="506"/>
      <c r="AR166" s="506"/>
      <c r="AS166" s="506"/>
      <c r="AT166" s="506"/>
      <c r="AU166" s="506"/>
      <c r="AV166" s="506"/>
      <c r="AW166" s="506"/>
      <c r="AX166" s="506"/>
      <c r="AY166" s="506"/>
    </row>
    <row r="167" spans="1:51" ht="12" customHeight="1" x14ac:dyDescent="0.55000000000000004">
      <c r="D167" s="505"/>
      <c r="K167" s="505"/>
      <c r="L167" s="505"/>
      <c r="M167" s="505"/>
      <c r="N167" s="505"/>
      <c r="O167" s="505"/>
      <c r="P167" s="505"/>
    </row>
    <row r="168" spans="1:51" ht="12" customHeight="1" x14ac:dyDescent="0.55000000000000004">
      <c r="D168" s="505"/>
      <c r="K168" s="505"/>
      <c r="L168" s="505"/>
      <c r="M168" s="505"/>
      <c r="N168" s="505"/>
      <c r="O168" s="773"/>
      <c r="P168" s="505"/>
    </row>
    <row r="169" spans="1:51" ht="12" customHeight="1" x14ac:dyDescent="0.55000000000000004">
      <c r="D169" s="505"/>
      <c r="K169" s="505"/>
      <c r="L169" s="505"/>
      <c r="M169" s="505"/>
      <c r="N169" s="505"/>
      <c r="O169" s="773"/>
      <c r="P169" s="505"/>
    </row>
    <row r="170" spans="1:51" ht="12" customHeight="1" x14ac:dyDescent="0.55000000000000004">
      <c r="D170" s="505"/>
      <c r="K170" s="505"/>
      <c r="L170" s="505"/>
      <c r="M170" s="505"/>
      <c r="N170" s="505"/>
      <c r="O170" s="505"/>
      <c r="P170" s="505"/>
    </row>
    <row r="171" spans="1:51" ht="12" customHeight="1" x14ac:dyDescent="0.55000000000000004">
      <c r="D171" s="505"/>
      <c r="K171" s="505"/>
      <c r="L171" s="505"/>
      <c r="M171" s="505"/>
      <c r="N171" s="505"/>
      <c r="O171" s="505"/>
      <c r="P171" s="505"/>
    </row>
    <row r="172" spans="1:51" ht="12" customHeight="1" x14ac:dyDescent="0.55000000000000004">
      <c r="O172" s="511"/>
    </row>
    <row r="173" spans="1:51" ht="12" customHeight="1" x14ac:dyDescent="0.55000000000000004">
      <c r="O173" s="511"/>
    </row>
  </sheetData>
  <mergeCells count="3">
    <mergeCell ref="AF5:AL5"/>
    <mergeCell ref="AM5:AP5"/>
    <mergeCell ref="AQ5:AT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E91B6-F74C-4ED9-B402-9F526FE01000}">
  <dimension ref="B1:AB157"/>
  <sheetViews>
    <sheetView zoomScaleNormal="100" workbookViewId="0"/>
  </sheetViews>
  <sheetFormatPr defaultColWidth="9" defaultRowHeight="15" x14ac:dyDescent="0.55000000000000004"/>
  <cols>
    <col min="1" max="1" width="3" style="32" customWidth="1"/>
    <col min="2" max="2" width="26.640625" style="32" customWidth="1"/>
    <col min="3" max="3" width="9.35546875" style="32" bestFit="1" customWidth="1"/>
    <col min="4" max="4" width="9" style="32"/>
    <col min="5" max="5" width="19.35546875" style="32" customWidth="1"/>
    <col min="6" max="6" width="19.640625" style="32" customWidth="1"/>
    <col min="7" max="7" width="14.85546875" style="32" bestFit="1" customWidth="1"/>
    <col min="8" max="9" width="12.2109375" style="32" bestFit="1" customWidth="1"/>
    <col min="10" max="10" width="14.85546875" style="32" bestFit="1" customWidth="1"/>
    <col min="11" max="11" width="2.5" style="32" customWidth="1"/>
    <col min="12" max="12" width="14.85546875" style="32" bestFit="1" customWidth="1"/>
    <col min="13" max="13" width="9" style="32"/>
    <col min="14" max="14" width="38.7109375" style="32" customWidth="1"/>
    <col min="15" max="15" width="9.140625" style="32" bestFit="1" customWidth="1"/>
    <col min="16" max="16" width="9" style="32"/>
    <col min="17" max="22" width="15.640625" style="32" customWidth="1"/>
    <col min="23" max="24" width="12.140625" style="32" bestFit="1" customWidth="1"/>
    <col min="25" max="25" width="13" style="32" bestFit="1" customWidth="1"/>
    <col min="26" max="26" width="12.640625" style="32" bestFit="1" customWidth="1"/>
    <col min="27" max="27" width="13" style="32" bestFit="1" customWidth="1"/>
    <col min="28" max="28" width="12.140625" style="32" bestFit="1" customWidth="1"/>
    <col min="29" max="16384" width="9" style="32"/>
  </cols>
  <sheetData>
    <row r="1" spans="2:28" ht="15.45" thickBot="1" x14ac:dyDescent="0.6">
      <c r="V1" s="485">
        <f>V5-Q5</f>
        <v>16186979442</v>
      </c>
      <c r="Y1" s="489">
        <f>Y5+X17+X14-Q5</f>
        <v>16186979442</v>
      </c>
      <c r="Z1" s="485">
        <f>V17+V27-Q39+X44</f>
        <v>674000000</v>
      </c>
    </row>
    <row r="2" spans="2:28" x14ac:dyDescent="0.55000000000000004">
      <c r="B2" s="33" t="s">
        <v>152</v>
      </c>
      <c r="C2" s="33" t="s">
        <v>153</v>
      </c>
      <c r="D2" s="34" t="s">
        <v>154</v>
      </c>
      <c r="E2" s="35" t="s">
        <v>155</v>
      </c>
      <c r="F2" s="36" t="s">
        <v>156</v>
      </c>
      <c r="G2" s="37"/>
      <c r="H2" s="38"/>
      <c r="I2" s="39"/>
      <c r="J2" s="37" t="s">
        <v>157</v>
      </c>
      <c r="K2" s="40"/>
      <c r="L2" s="41" t="s">
        <v>157</v>
      </c>
      <c r="N2" s="33" t="s">
        <v>152</v>
      </c>
      <c r="O2" s="33" t="s">
        <v>153</v>
      </c>
      <c r="P2" s="34" t="s">
        <v>154</v>
      </c>
      <c r="Q2" s="35" t="s">
        <v>158</v>
      </c>
      <c r="R2" s="42" t="s">
        <v>158</v>
      </c>
      <c r="S2" s="42" t="s">
        <v>158</v>
      </c>
      <c r="T2" s="42" t="s">
        <v>158</v>
      </c>
      <c r="U2" s="36" t="s">
        <v>159</v>
      </c>
      <c r="V2" s="43"/>
      <c r="W2" s="38"/>
      <c r="X2" s="39"/>
      <c r="Y2" s="43" t="s">
        <v>159</v>
      </c>
      <c r="Z2" s="40">
        <f>-Q58</f>
        <v>-1850000000</v>
      </c>
      <c r="AA2" s="41" t="s">
        <v>159</v>
      </c>
      <c r="AB2" s="44" t="s">
        <v>160</v>
      </c>
    </row>
    <row r="3" spans="2:28" x14ac:dyDescent="0.55000000000000004">
      <c r="B3" s="34"/>
      <c r="C3" s="34"/>
      <c r="D3" s="34"/>
      <c r="E3" s="45" t="s">
        <v>161</v>
      </c>
      <c r="F3" s="46" t="s">
        <v>162</v>
      </c>
      <c r="G3" s="37" t="s">
        <v>163</v>
      </c>
      <c r="H3" s="47">
        <v>100000000</v>
      </c>
      <c r="I3" s="48">
        <v>100000000</v>
      </c>
      <c r="J3" s="43" t="s">
        <v>164</v>
      </c>
      <c r="K3" s="40"/>
      <c r="L3" s="49" t="s">
        <v>162</v>
      </c>
      <c r="N3" s="34"/>
      <c r="O3" s="34"/>
      <c r="P3" s="34"/>
      <c r="Q3" s="45" t="s">
        <v>165</v>
      </c>
      <c r="R3" s="37" t="s">
        <v>166</v>
      </c>
      <c r="S3" s="37" t="s">
        <v>167</v>
      </c>
      <c r="T3" s="37" t="s">
        <v>161</v>
      </c>
      <c r="U3" s="46" t="s">
        <v>162</v>
      </c>
      <c r="V3" s="43" t="s">
        <v>163</v>
      </c>
      <c r="W3" s="47">
        <v>6651989393</v>
      </c>
      <c r="X3" s="50">
        <v>6651989393</v>
      </c>
      <c r="Y3" s="43" t="s">
        <v>168</v>
      </c>
      <c r="Z3" s="40"/>
      <c r="AA3" s="49" t="s">
        <v>162</v>
      </c>
      <c r="AB3" s="51" t="s">
        <v>162</v>
      </c>
    </row>
    <row r="4" spans="2:28" ht="15.45" thickBot="1" x14ac:dyDescent="0.6">
      <c r="B4" s="34"/>
      <c r="C4" s="34"/>
      <c r="D4" s="52"/>
      <c r="E4" s="53" t="s">
        <v>169</v>
      </c>
      <c r="F4" s="54" t="s">
        <v>170</v>
      </c>
      <c r="G4" s="55" t="s">
        <v>171</v>
      </c>
      <c r="H4" s="56" t="s">
        <v>172</v>
      </c>
      <c r="I4" s="57" t="s">
        <v>173</v>
      </c>
      <c r="J4" s="58" t="s">
        <v>174</v>
      </c>
      <c r="K4" s="40"/>
      <c r="L4" s="59" t="s">
        <v>171</v>
      </c>
      <c r="N4" s="34"/>
      <c r="O4" s="34"/>
      <c r="P4" s="52"/>
      <c r="Q4" s="53" t="s">
        <v>175</v>
      </c>
      <c r="R4" s="55" t="s">
        <v>176</v>
      </c>
      <c r="S4" s="55" t="s">
        <v>169</v>
      </c>
      <c r="T4" s="55" t="s">
        <v>177</v>
      </c>
      <c r="U4" s="54" t="s">
        <v>178</v>
      </c>
      <c r="V4" s="60" t="s">
        <v>179</v>
      </c>
      <c r="W4" s="56" t="s">
        <v>172</v>
      </c>
      <c r="X4" s="57" t="s">
        <v>173</v>
      </c>
      <c r="Y4" s="58" t="s">
        <v>180</v>
      </c>
      <c r="Z4" s="40"/>
      <c r="AA4" s="59" t="s">
        <v>181</v>
      </c>
      <c r="AB4" s="61" t="s">
        <v>182</v>
      </c>
    </row>
    <row r="5" spans="2:28" x14ac:dyDescent="0.55000000000000004">
      <c r="B5" s="62" t="s">
        <v>183</v>
      </c>
      <c r="C5" s="63">
        <v>1</v>
      </c>
      <c r="D5" s="64" t="s">
        <v>184</v>
      </c>
      <c r="E5" s="65">
        <v>42679929</v>
      </c>
      <c r="F5" s="66">
        <v>3351160454</v>
      </c>
      <c r="G5" s="67">
        <v>3393840383</v>
      </c>
      <c r="H5" s="68">
        <v>0</v>
      </c>
      <c r="I5" s="69">
        <v>0</v>
      </c>
      <c r="J5" s="70">
        <v>3393840383</v>
      </c>
      <c r="K5" s="71"/>
      <c r="L5" s="72">
        <v>3393840383</v>
      </c>
      <c r="N5" s="62" t="s">
        <v>183</v>
      </c>
      <c r="O5" s="63">
        <v>1</v>
      </c>
      <c r="P5" s="62" t="s">
        <v>184</v>
      </c>
      <c r="Q5" s="65">
        <v>623948949</v>
      </c>
      <c r="R5" s="67">
        <v>3782756101</v>
      </c>
      <c r="S5" s="67">
        <v>230106131</v>
      </c>
      <c r="T5" s="67">
        <v>3599642825</v>
      </c>
      <c r="U5" s="66">
        <v>8574474385</v>
      </c>
      <c r="V5" s="73">
        <v>16810928391</v>
      </c>
      <c r="W5" s="68">
        <v>0</v>
      </c>
      <c r="X5" s="69">
        <v>0</v>
      </c>
      <c r="Y5" s="70">
        <v>15559677391</v>
      </c>
      <c r="Z5" s="71"/>
      <c r="AA5" s="72">
        <v>15559677391</v>
      </c>
      <c r="AB5" s="74">
        <v>3393840383</v>
      </c>
    </row>
    <row r="6" spans="2:28" x14ac:dyDescent="0.55000000000000004">
      <c r="B6" s="75" t="s">
        <v>185</v>
      </c>
      <c r="C6" s="76">
        <v>2</v>
      </c>
      <c r="D6" s="77" t="s">
        <v>186</v>
      </c>
      <c r="E6" s="78">
        <v>42679929</v>
      </c>
      <c r="F6" s="79">
        <v>3351160454</v>
      </c>
      <c r="G6" s="80">
        <v>3393840383</v>
      </c>
      <c r="H6" s="68">
        <v>0</v>
      </c>
      <c r="I6" s="69">
        <v>0</v>
      </c>
      <c r="J6" s="81">
        <v>3393840383</v>
      </c>
      <c r="K6" s="71"/>
      <c r="L6" s="82">
        <v>3393840383</v>
      </c>
      <c r="N6" s="75" t="s">
        <v>185</v>
      </c>
      <c r="O6" s="76">
        <v>2</v>
      </c>
      <c r="P6" s="75" t="s">
        <v>186</v>
      </c>
      <c r="Q6" s="78">
        <v>623948949</v>
      </c>
      <c r="R6" s="80">
        <v>3782756101</v>
      </c>
      <c r="S6" s="80">
        <v>230106131</v>
      </c>
      <c r="T6" s="80">
        <v>3599642825</v>
      </c>
      <c r="U6" s="79">
        <v>8574474385</v>
      </c>
      <c r="V6" s="83">
        <v>16810928391</v>
      </c>
      <c r="W6" s="68">
        <v>0</v>
      </c>
      <c r="X6" s="69">
        <v>0</v>
      </c>
      <c r="Y6" s="81">
        <v>15559677391</v>
      </c>
      <c r="Z6" s="71"/>
      <c r="AA6" s="82">
        <v>15559677391</v>
      </c>
      <c r="AB6" s="84">
        <v>3393840383</v>
      </c>
    </row>
    <row r="7" spans="2:28" x14ac:dyDescent="0.55000000000000004">
      <c r="B7" s="85" t="s">
        <v>187</v>
      </c>
      <c r="C7" s="86">
        <v>4</v>
      </c>
      <c r="D7" s="87" t="s">
        <v>188</v>
      </c>
      <c r="E7" s="88">
        <v>0</v>
      </c>
      <c r="F7" s="89">
        <v>0</v>
      </c>
      <c r="G7" s="90">
        <v>0</v>
      </c>
      <c r="H7" s="68">
        <v>0</v>
      </c>
      <c r="I7" s="69">
        <v>0</v>
      </c>
      <c r="J7" s="91">
        <v>0</v>
      </c>
      <c r="K7" s="71"/>
      <c r="L7" s="92">
        <v>0</v>
      </c>
      <c r="N7" s="85" t="s">
        <v>187</v>
      </c>
      <c r="O7" s="86">
        <v>4</v>
      </c>
      <c r="P7" s="93" t="s">
        <v>188</v>
      </c>
      <c r="Q7" s="88">
        <v>0</v>
      </c>
      <c r="R7" s="90">
        <v>0</v>
      </c>
      <c r="S7" s="90">
        <v>0</v>
      </c>
      <c r="T7" s="90">
        <v>0</v>
      </c>
      <c r="U7" s="89">
        <v>0</v>
      </c>
      <c r="V7" s="94">
        <v>0</v>
      </c>
      <c r="W7" s="68">
        <v>0</v>
      </c>
      <c r="X7" s="69">
        <v>0</v>
      </c>
      <c r="Y7" s="91">
        <v>0</v>
      </c>
      <c r="Z7" s="71"/>
      <c r="AA7" s="92">
        <v>0</v>
      </c>
      <c r="AB7" s="95">
        <v>0</v>
      </c>
    </row>
    <row r="8" spans="2:28" x14ac:dyDescent="0.55000000000000004">
      <c r="B8" s="85" t="s">
        <v>189</v>
      </c>
      <c r="C8" s="86">
        <v>4</v>
      </c>
      <c r="D8" s="87" t="s">
        <v>190</v>
      </c>
      <c r="E8" s="88">
        <v>5101124</v>
      </c>
      <c r="F8" s="89">
        <v>1156453830</v>
      </c>
      <c r="G8" s="96">
        <v>1161554954</v>
      </c>
      <c r="H8" s="68">
        <v>0</v>
      </c>
      <c r="I8" s="69">
        <v>0</v>
      </c>
      <c r="J8" s="91">
        <v>1161554954</v>
      </c>
      <c r="K8" s="71"/>
      <c r="L8" s="92">
        <v>1161554954</v>
      </c>
      <c r="N8" s="85" t="s">
        <v>189</v>
      </c>
      <c r="O8" s="86">
        <v>4</v>
      </c>
      <c r="P8" s="93" t="s">
        <v>190</v>
      </c>
      <c r="Q8" s="88">
        <v>615179229</v>
      </c>
      <c r="R8" s="90">
        <v>702331581</v>
      </c>
      <c r="S8" s="90">
        <v>112404898</v>
      </c>
      <c r="T8" s="90">
        <v>915898496</v>
      </c>
      <c r="U8" s="89">
        <v>3258793368</v>
      </c>
      <c r="V8" s="97">
        <v>5604607572</v>
      </c>
      <c r="W8" s="68">
        <v>0</v>
      </c>
      <c r="X8" s="69">
        <v>0</v>
      </c>
      <c r="Y8" s="91">
        <v>5604607572</v>
      </c>
      <c r="Z8" s="71"/>
      <c r="AA8" s="92">
        <v>5604607572</v>
      </c>
      <c r="AB8" s="95">
        <v>1161554954</v>
      </c>
    </row>
    <row r="9" spans="2:28" x14ac:dyDescent="0.55000000000000004">
      <c r="B9" s="98" t="s">
        <v>191</v>
      </c>
      <c r="C9" s="86">
        <v>4</v>
      </c>
      <c r="D9" s="87" t="s">
        <v>192</v>
      </c>
      <c r="E9" s="88"/>
      <c r="F9" s="89">
        <v>221279</v>
      </c>
      <c r="G9" s="90">
        <v>221279</v>
      </c>
      <c r="H9" s="68">
        <v>0</v>
      </c>
      <c r="I9" s="69">
        <v>0</v>
      </c>
      <c r="J9" s="91">
        <v>221279</v>
      </c>
      <c r="K9" s="71"/>
      <c r="L9" s="92">
        <v>221279</v>
      </c>
      <c r="N9" s="98" t="s">
        <v>191</v>
      </c>
      <c r="O9" s="86">
        <v>4</v>
      </c>
      <c r="P9" s="93" t="s">
        <v>192</v>
      </c>
      <c r="Q9" s="88"/>
      <c r="R9" s="90"/>
      <c r="S9" s="90"/>
      <c r="T9" s="90"/>
      <c r="U9" s="89">
        <v>100224360</v>
      </c>
      <c r="V9" s="94">
        <v>100224360</v>
      </c>
      <c r="W9" s="68">
        <v>0</v>
      </c>
      <c r="X9" s="69">
        <v>0</v>
      </c>
      <c r="Y9" s="91">
        <v>100224360</v>
      </c>
      <c r="Z9" s="71"/>
      <c r="AA9" s="92">
        <v>100224360</v>
      </c>
      <c r="AB9" s="95">
        <v>221279</v>
      </c>
    </row>
    <row r="10" spans="2:28" x14ac:dyDescent="0.55000000000000004">
      <c r="B10" s="99" t="s">
        <v>193</v>
      </c>
      <c r="C10" s="100">
        <v>4</v>
      </c>
      <c r="D10" s="87" t="s">
        <v>194</v>
      </c>
      <c r="E10" s="88"/>
      <c r="F10" s="89">
        <v>187099372</v>
      </c>
      <c r="G10" s="90">
        <v>187099372</v>
      </c>
      <c r="H10" s="68">
        <v>0</v>
      </c>
      <c r="I10" s="69">
        <v>0</v>
      </c>
      <c r="J10" s="101">
        <v>187099372</v>
      </c>
      <c r="K10" s="71"/>
      <c r="L10" s="92">
        <v>187099372</v>
      </c>
      <c r="N10" s="99" t="s">
        <v>193</v>
      </c>
      <c r="O10" s="100">
        <v>4</v>
      </c>
      <c r="P10" s="93" t="s">
        <v>194</v>
      </c>
      <c r="Q10" s="88"/>
      <c r="R10" s="90"/>
      <c r="S10" s="90"/>
      <c r="T10" s="90">
        <v>80000000</v>
      </c>
      <c r="U10" s="89">
        <v>216654188</v>
      </c>
      <c r="V10" s="94">
        <v>296654188</v>
      </c>
      <c r="W10" s="68">
        <v>0</v>
      </c>
      <c r="X10" s="69">
        <v>0</v>
      </c>
      <c r="Y10" s="101">
        <v>296654188</v>
      </c>
      <c r="Z10" s="71"/>
      <c r="AA10" s="92">
        <v>296654188</v>
      </c>
      <c r="AB10" s="102">
        <v>187099372</v>
      </c>
    </row>
    <row r="11" spans="2:28" x14ac:dyDescent="0.55000000000000004">
      <c r="B11" s="103" t="s">
        <v>195</v>
      </c>
      <c r="C11" s="100">
        <v>4</v>
      </c>
      <c r="D11" s="87" t="s">
        <v>196</v>
      </c>
      <c r="E11" s="88">
        <v>20339403</v>
      </c>
      <c r="F11" s="89">
        <v>1403947806</v>
      </c>
      <c r="G11" s="90">
        <v>1424287209</v>
      </c>
      <c r="H11" s="68">
        <v>0</v>
      </c>
      <c r="I11" s="69">
        <v>0</v>
      </c>
      <c r="J11" s="101">
        <v>1424287209</v>
      </c>
      <c r="K11" s="71"/>
      <c r="L11" s="92">
        <v>1424287209</v>
      </c>
      <c r="N11" s="103" t="s">
        <v>195</v>
      </c>
      <c r="O11" s="100">
        <v>4</v>
      </c>
      <c r="P11" s="93" t="s">
        <v>196</v>
      </c>
      <c r="Q11" s="88"/>
      <c r="R11" s="90">
        <v>2971359731</v>
      </c>
      <c r="S11" s="90">
        <v>116806311</v>
      </c>
      <c r="T11" s="90">
        <v>1555327521</v>
      </c>
      <c r="U11" s="89">
        <v>1671729441</v>
      </c>
      <c r="V11" s="94">
        <v>6315223004</v>
      </c>
      <c r="W11" s="68">
        <v>0</v>
      </c>
      <c r="X11" s="69">
        <v>0</v>
      </c>
      <c r="Y11" s="101">
        <v>6315223004</v>
      </c>
      <c r="Z11" s="71"/>
      <c r="AA11" s="92">
        <v>6315223004</v>
      </c>
      <c r="AB11" s="102">
        <v>1424287209</v>
      </c>
    </row>
    <row r="12" spans="2:28" x14ac:dyDescent="0.55000000000000004">
      <c r="B12" s="103" t="s">
        <v>197</v>
      </c>
      <c r="C12" s="100">
        <v>4</v>
      </c>
      <c r="D12" s="87" t="s">
        <v>198</v>
      </c>
      <c r="E12" s="88">
        <v>1358000</v>
      </c>
      <c r="F12" s="89">
        <v>29851895</v>
      </c>
      <c r="G12" s="90">
        <v>31209895</v>
      </c>
      <c r="H12" s="68">
        <v>0</v>
      </c>
      <c r="I12" s="69">
        <v>0</v>
      </c>
      <c r="J12" s="91">
        <v>31209895</v>
      </c>
      <c r="K12" s="71"/>
      <c r="L12" s="92">
        <v>31209895</v>
      </c>
      <c r="N12" s="103" t="s">
        <v>197</v>
      </c>
      <c r="O12" s="100">
        <v>4</v>
      </c>
      <c r="P12" s="93" t="s">
        <v>198</v>
      </c>
      <c r="Q12" s="88">
        <v>2610000</v>
      </c>
      <c r="R12" s="90"/>
      <c r="S12" s="90"/>
      <c r="T12" s="90">
        <v>4762815</v>
      </c>
      <c r="U12" s="89">
        <v>6067555</v>
      </c>
      <c r="V12" s="94">
        <v>13440370</v>
      </c>
      <c r="W12" s="68">
        <v>0</v>
      </c>
      <c r="X12" s="69">
        <v>0</v>
      </c>
      <c r="Y12" s="91">
        <v>13440370</v>
      </c>
      <c r="Z12" s="71"/>
      <c r="AA12" s="92">
        <v>13440370</v>
      </c>
      <c r="AB12" s="95">
        <v>31209895</v>
      </c>
    </row>
    <row r="13" spans="2:28" x14ac:dyDescent="0.55000000000000004">
      <c r="B13" s="103" t="s">
        <v>199</v>
      </c>
      <c r="C13" s="86">
        <v>4</v>
      </c>
      <c r="D13" s="87" t="s">
        <v>200</v>
      </c>
      <c r="E13" s="88">
        <v>12453320</v>
      </c>
      <c r="F13" s="89">
        <v>204397399</v>
      </c>
      <c r="G13" s="90">
        <v>216850719</v>
      </c>
      <c r="H13" s="68">
        <v>0</v>
      </c>
      <c r="I13" s="69">
        <v>0</v>
      </c>
      <c r="J13" s="91">
        <v>216850719</v>
      </c>
      <c r="K13" s="71"/>
      <c r="L13" s="92">
        <v>216850719</v>
      </c>
      <c r="N13" s="103" t="s">
        <v>199</v>
      </c>
      <c r="O13" s="86">
        <v>4</v>
      </c>
      <c r="P13" s="93" t="s">
        <v>200</v>
      </c>
      <c r="Q13" s="88">
        <v>6144280</v>
      </c>
      <c r="R13" s="90">
        <v>105625532</v>
      </c>
      <c r="S13" s="90">
        <v>52700</v>
      </c>
      <c r="T13" s="90">
        <v>54888484</v>
      </c>
      <c r="U13" s="89">
        <v>1698883220</v>
      </c>
      <c r="V13" s="94">
        <v>1865594216</v>
      </c>
      <c r="W13" s="68">
        <v>0</v>
      </c>
      <c r="X13" s="69">
        <v>0</v>
      </c>
      <c r="Y13" s="91">
        <v>1865594216</v>
      </c>
      <c r="Z13" s="71"/>
      <c r="AA13" s="92">
        <v>1865594216</v>
      </c>
      <c r="AB13" s="95">
        <v>216850719</v>
      </c>
    </row>
    <row r="14" spans="2:28" x14ac:dyDescent="0.55000000000000004">
      <c r="B14" s="103" t="s">
        <v>201</v>
      </c>
      <c r="C14" s="86">
        <v>4</v>
      </c>
      <c r="D14" s="87" t="s">
        <v>202</v>
      </c>
      <c r="E14" s="88">
        <v>3428082</v>
      </c>
      <c r="F14" s="89">
        <v>0</v>
      </c>
      <c r="G14" s="90">
        <v>3428082</v>
      </c>
      <c r="H14" s="68">
        <v>0</v>
      </c>
      <c r="I14" s="69">
        <v>0</v>
      </c>
      <c r="J14" s="91">
        <v>3428082</v>
      </c>
      <c r="K14" s="71"/>
      <c r="L14" s="92">
        <v>3428082</v>
      </c>
      <c r="N14" s="103" t="s">
        <v>201</v>
      </c>
      <c r="O14" s="86">
        <v>4</v>
      </c>
      <c r="P14" s="93" t="s">
        <v>202</v>
      </c>
      <c r="Q14" s="88"/>
      <c r="R14" s="90">
        <v>3016257</v>
      </c>
      <c r="S14" s="90">
        <v>840822</v>
      </c>
      <c r="T14" s="90">
        <v>3428082</v>
      </c>
      <c r="U14" s="89">
        <v>15933380</v>
      </c>
      <c r="V14" s="94">
        <v>23218541</v>
      </c>
      <c r="W14" s="68">
        <v>0</v>
      </c>
      <c r="X14" s="69">
        <v>1251000</v>
      </c>
      <c r="Y14" s="91">
        <v>21967541</v>
      </c>
      <c r="Z14" s="71"/>
      <c r="AA14" s="92">
        <v>21967541</v>
      </c>
      <c r="AB14" s="95">
        <v>3428082</v>
      </c>
    </row>
    <row r="15" spans="2:28" x14ac:dyDescent="0.55000000000000004">
      <c r="B15" s="103" t="s">
        <v>203</v>
      </c>
      <c r="C15" s="86">
        <v>4</v>
      </c>
      <c r="D15" s="87" t="s">
        <v>204</v>
      </c>
      <c r="E15" s="88"/>
      <c r="F15" s="89">
        <v>0</v>
      </c>
      <c r="G15" s="90">
        <v>0</v>
      </c>
      <c r="H15" s="68">
        <v>0</v>
      </c>
      <c r="I15" s="69">
        <v>0</v>
      </c>
      <c r="J15" s="91">
        <v>0</v>
      </c>
      <c r="K15" s="71"/>
      <c r="L15" s="92">
        <v>0</v>
      </c>
      <c r="N15" s="103" t="s">
        <v>203</v>
      </c>
      <c r="O15" s="86">
        <v>4</v>
      </c>
      <c r="P15" s="93" t="s">
        <v>204</v>
      </c>
      <c r="Q15" s="88"/>
      <c r="R15" s="90">
        <v>423000</v>
      </c>
      <c r="S15" s="90"/>
      <c r="T15" s="90"/>
      <c r="U15" s="89">
        <v>0</v>
      </c>
      <c r="V15" s="94">
        <v>423000</v>
      </c>
      <c r="W15" s="68">
        <v>0</v>
      </c>
      <c r="X15" s="69">
        <v>423000</v>
      </c>
      <c r="Y15" s="91">
        <v>0</v>
      </c>
      <c r="Z15" s="71"/>
      <c r="AA15" s="92">
        <v>0</v>
      </c>
      <c r="AB15" s="95">
        <v>0</v>
      </c>
    </row>
    <row r="16" spans="2:28" x14ac:dyDescent="0.55000000000000004">
      <c r="B16" s="103" t="s">
        <v>205</v>
      </c>
      <c r="C16" s="86">
        <v>4</v>
      </c>
      <c r="D16" s="87" t="s">
        <v>206</v>
      </c>
      <c r="E16" s="88"/>
      <c r="F16" s="89">
        <v>0</v>
      </c>
      <c r="G16" s="90">
        <v>0</v>
      </c>
      <c r="H16" s="68">
        <v>0</v>
      </c>
      <c r="I16" s="69">
        <v>0</v>
      </c>
      <c r="J16" s="91">
        <v>0</v>
      </c>
      <c r="K16" s="71"/>
      <c r="L16" s="92">
        <v>0</v>
      </c>
      <c r="N16" s="103" t="s">
        <v>205</v>
      </c>
      <c r="O16" s="86">
        <v>4</v>
      </c>
      <c r="P16" s="93" t="s">
        <v>206</v>
      </c>
      <c r="Q16" s="88">
        <v>15440</v>
      </c>
      <c r="R16" s="90"/>
      <c r="S16" s="90">
        <v>1400</v>
      </c>
      <c r="T16" s="90">
        <v>33730</v>
      </c>
      <c r="U16" s="89">
        <v>0</v>
      </c>
      <c r="V16" s="94">
        <v>50570</v>
      </c>
      <c r="W16" s="68">
        <v>0</v>
      </c>
      <c r="X16" s="69">
        <v>0</v>
      </c>
      <c r="Y16" s="91">
        <v>50570</v>
      </c>
      <c r="Z16" s="71"/>
      <c r="AA16" s="92">
        <v>50570</v>
      </c>
      <c r="AB16" s="95">
        <v>0</v>
      </c>
    </row>
    <row r="17" spans="2:28" x14ac:dyDescent="0.55000000000000004">
      <c r="B17" s="103" t="s">
        <v>207</v>
      </c>
      <c r="C17" s="86">
        <v>4</v>
      </c>
      <c r="D17" s="87" t="s">
        <v>208</v>
      </c>
      <c r="E17" s="88"/>
      <c r="F17" s="89">
        <v>0</v>
      </c>
      <c r="G17" s="90">
        <v>0</v>
      </c>
      <c r="H17" s="68">
        <v>0</v>
      </c>
      <c r="I17" s="69">
        <v>0</v>
      </c>
      <c r="J17" s="101">
        <v>0</v>
      </c>
      <c r="K17" s="71"/>
      <c r="L17" s="92">
        <v>0</v>
      </c>
      <c r="N17" s="103" t="s">
        <v>207</v>
      </c>
      <c r="O17" s="86">
        <v>4</v>
      </c>
      <c r="P17" s="93" t="s">
        <v>208</v>
      </c>
      <c r="Q17" s="88"/>
      <c r="R17" s="90"/>
      <c r="S17" s="90"/>
      <c r="T17" s="90"/>
      <c r="U17" s="89">
        <v>1250000000</v>
      </c>
      <c r="V17" s="94">
        <v>1250000000</v>
      </c>
      <c r="W17" s="68">
        <v>0</v>
      </c>
      <c r="X17" s="69">
        <v>1250000000</v>
      </c>
      <c r="Y17" s="101">
        <v>0</v>
      </c>
      <c r="Z17" s="71"/>
      <c r="AA17" s="92">
        <v>0</v>
      </c>
      <c r="AB17" s="102">
        <v>0</v>
      </c>
    </row>
    <row r="18" spans="2:28" x14ac:dyDescent="0.55000000000000004">
      <c r="B18" s="104" t="s">
        <v>209</v>
      </c>
      <c r="C18" s="86">
        <v>4</v>
      </c>
      <c r="D18" s="87" t="s">
        <v>210</v>
      </c>
      <c r="E18" s="88"/>
      <c r="F18" s="89">
        <v>369188873</v>
      </c>
      <c r="G18" s="90">
        <v>369188873</v>
      </c>
      <c r="H18" s="68">
        <v>0</v>
      </c>
      <c r="I18" s="69">
        <v>0</v>
      </c>
      <c r="J18" s="91">
        <v>369188873</v>
      </c>
      <c r="K18" s="71"/>
      <c r="L18" s="92">
        <v>369188873</v>
      </c>
      <c r="N18" s="104" t="s">
        <v>209</v>
      </c>
      <c r="O18" s="86">
        <v>4</v>
      </c>
      <c r="P18" s="93" t="s">
        <v>210</v>
      </c>
      <c r="Q18" s="88"/>
      <c r="R18" s="90"/>
      <c r="S18" s="90"/>
      <c r="T18" s="105">
        <v>985303697</v>
      </c>
      <c r="U18" s="89">
        <v>356188873</v>
      </c>
      <c r="V18" s="94">
        <v>1341492570</v>
      </c>
      <c r="W18" s="68">
        <v>650423000</v>
      </c>
      <c r="X18" s="69">
        <v>650000000</v>
      </c>
      <c r="Y18" s="91">
        <v>1341915570</v>
      </c>
      <c r="Z18" s="71"/>
      <c r="AA18" s="92">
        <v>1341915570</v>
      </c>
      <c r="AB18" s="102">
        <v>369188873</v>
      </c>
    </row>
    <row r="19" spans="2:28" x14ac:dyDescent="0.55000000000000004">
      <c r="B19" s="75" t="s">
        <v>211</v>
      </c>
      <c r="C19" s="76">
        <v>2</v>
      </c>
      <c r="D19" s="77" t="s">
        <v>212</v>
      </c>
      <c r="E19" s="78">
        <v>0</v>
      </c>
      <c r="F19" s="79">
        <v>0</v>
      </c>
      <c r="G19" s="80">
        <v>0</v>
      </c>
      <c r="H19" s="68">
        <v>0</v>
      </c>
      <c r="I19" s="69">
        <v>0</v>
      </c>
      <c r="J19" s="81">
        <v>0</v>
      </c>
      <c r="K19" s="71"/>
      <c r="L19" s="82">
        <v>0</v>
      </c>
      <c r="N19" s="75" t="s">
        <v>211</v>
      </c>
      <c r="O19" s="76">
        <v>2</v>
      </c>
      <c r="P19" s="75" t="s">
        <v>212</v>
      </c>
      <c r="Q19" s="78">
        <v>0</v>
      </c>
      <c r="R19" s="80">
        <v>0</v>
      </c>
      <c r="S19" s="80">
        <v>0</v>
      </c>
      <c r="T19" s="80">
        <v>0</v>
      </c>
      <c r="U19" s="79">
        <v>0</v>
      </c>
      <c r="V19" s="83">
        <v>0</v>
      </c>
      <c r="W19" s="68">
        <v>0</v>
      </c>
      <c r="X19" s="69">
        <v>0</v>
      </c>
      <c r="Y19" s="81">
        <v>0</v>
      </c>
      <c r="Z19" s="71"/>
      <c r="AA19" s="82">
        <v>0</v>
      </c>
      <c r="AB19" s="84">
        <v>0</v>
      </c>
    </row>
    <row r="20" spans="2:28" x14ac:dyDescent="0.55000000000000004">
      <c r="B20" s="98" t="s">
        <v>213</v>
      </c>
      <c r="C20" s="86">
        <v>4</v>
      </c>
      <c r="D20" s="106" t="s">
        <v>214</v>
      </c>
      <c r="E20" s="107">
        <v>0</v>
      </c>
      <c r="F20" s="108">
        <v>0</v>
      </c>
      <c r="G20" s="109">
        <v>0</v>
      </c>
      <c r="H20" s="68">
        <v>0</v>
      </c>
      <c r="I20" s="69">
        <v>0</v>
      </c>
      <c r="J20" s="91">
        <v>0</v>
      </c>
      <c r="K20" s="71"/>
      <c r="L20" s="110">
        <v>0</v>
      </c>
      <c r="N20" s="98" t="s">
        <v>213</v>
      </c>
      <c r="O20" s="86">
        <v>4</v>
      </c>
      <c r="P20" s="111" t="s">
        <v>214</v>
      </c>
      <c r="Q20" s="107">
        <v>0</v>
      </c>
      <c r="R20" s="109"/>
      <c r="S20" s="109">
        <v>0</v>
      </c>
      <c r="T20" s="109">
        <v>0</v>
      </c>
      <c r="U20" s="108">
        <v>0</v>
      </c>
      <c r="V20" s="112">
        <v>0</v>
      </c>
      <c r="W20" s="68">
        <v>0</v>
      </c>
      <c r="X20" s="69">
        <v>0</v>
      </c>
      <c r="Y20" s="91">
        <v>0</v>
      </c>
      <c r="Z20" s="71"/>
      <c r="AA20" s="110">
        <v>0</v>
      </c>
      <c r="AB20" s="95">
        <v>0</v>
      </c>
    </row>
    <row r="21" spans="2:28" x14ac:dyDescent="0.55000000000000004">
      <c r="B21" s="62" t="s">
        <v>215</v>
      </c>
      <c r="C21" s="63">
        <v>1</v>
      </c>
      <c r="D21" s="64" t="s">
        <v>184</v>
      </c>
      <c r="E21" s="65">
        <v>4000000</v>
      </c>
      <c r="F21" s="66">
        <v>1172226144</v>
      </c>
      <c r="G21" s="67">
        <v>1176226144</v>
      </c>
      <c r="H21" s="68">
        <v>0</v>
      </c>
      <c r="I21" s="69">
        <v>0</v>
      </c>
      <c r="J21" s="70">
        <v>1137226144</v>
      </c>
      <c r="K21" s="71"/>
      <c r="L21" s="72">
        <v>1137226144</v>
      </c>
      <c r="N21" s="62" t="s">
        <v>215</v>
      </c>
      <c r="O21" s="63">
        <v>1</v>
      </c>
      <c r="P21" s="62" t="s">
        <v>184</v>
      </c>
      <c r="Q21" s="65">
        <v>1526000000</v>
      </c>
      <c r="R21" s="67">
        <v>49046546</v>
      </c>
      <c r="S21" s="67">
        <v>26177001</v>
      </c>
      <c r="T21" s="67">
        <v>989643648</v>
      </c>
      <c r="U21" s="66">
        <v>1561865929</v>
      </c>
      <c r="V21" s="73">
        <v>4152733124</v>
      </c>
      <c r="W21" s="68">
        <v>0</v>
      </c>
      <c r="X21" s="69">
        <v>0</v>
      </c>
      <c r="Y21" s="70">
        <v>3082459208</v>
      </c>
      <c r="Z21" s="71">
        <f>Y21-Q39+X44+X27</f>
        <v>2506459208</v>
      </c>
      <c r="AA21" s="72">
        <v>3082459208</v>
      </c>
      <c r="AB21" s="74">
        <v>1137226144</v>
      </c>
    </row>
    <row r="22" spans="2:28" x14ac:dyDescent="0.55000000000000004">
      <c r="B22" s="75" t="s">
        <v>216</v>
      </c>
      <c r="C22" s="76">
        <v>2</v>
      </c>
      <c r="D22" s="77" t="s">
        <v>217</v>
      </c>
      <c r="E22" s="78">
        <v>0</v>
      </c>
      <c r="F22" s="79">
        <v>39000000</v>
      </c>
      <c r="G22" s="80">
        <v>39000000</v>
      </c>
      <c r="H22" s="68">
        <v>0</v>
      </c>
      <c r="I22" s="69">
        <v>0</v>
      </c>
      <c r="J22" s="81">
        <v>0</v>
      </c>
      <c r="K22" s="71"/>
      <c r="L22" s="82">
        <v>0</v>
      </c>
      <c r="N22" s="75" t="s">
        <v>216</v>
      </c>
      <c r="O22" s="76">
        <v>2</v>
      </c>
      <c r="P22" s="75" t="s">
        <v>217</v>
      </c>
      <c r="Q22" s="78">
        <v>0</v>
      </c>
      <c r="R22" s="80">
        <v>0</v>
      </c>
      <c r="S22" s="80">
        <v>0</v>
      </c>
      <c r="T22" s="80">
        <v>160000000</v>
      </c>
      <c r="U22" s="79">
        <v>224700000</v>
      </c>
      <c r="V22" s="83">
        <v>384700000</v>
      </c>
      <c r="W22" s="68">
        <v>0</v>
      </c>
      <c r="X22" s="69">
        <v>0</v>
      </c>
      <c r="Y22" s="81">
        <v>10000000</v>
      </c>
      <c r="Z22" s="71"/>
      <c r="AA22" s="82">
        <v>10000000</v>
      </c>
      <c r="AB22" s="84">
        <v>0</v>
      </c>
    </row>
    <row r="23" spans="2:28" x14ac:dyDescent="0.55000000000000004">
      <c r="B23" s="113" t="s">
        <v>218</v>
      </c>
      <c r="C23" s="114">
        <v>3</v>
      </c>
      <c r="D23" s="115" t="s">
        <v>219</v>
      </c>
      <c r="E23" s="116">
        <v>0</v>
      </c>
      <c r="F23" s="117">
        <v>39000000</v>
      </c>
      <c r="G23" s="118">
        <v>39000000</v>
      </c>
      <c r="H23" s="68">
        <v>0</v>
      </c>
      <c r="I23" s="69">
        <v>0</v>
      </c>
      <c r="J23" s="119">
        <v>0</v>
      </c>
      <c r="K23" s="71"/>
      <c r="L23" s="120">
        <v>0</v>
      </c>
      <c r="N23" s="113" t="s">
        <v>218</v>
      </c>
      <c r="O23" s="114">
        <v>3</v>
      </c>
      <c r="P23" s="121" t="s">
        <v>219</v>
      </c>
      <c r="Q23" s="116">
        <v>0</v>
      </c>
      <c r="R23" s="118">
        <v>0</v>
      </c>
      <c r="S23" s="118">
        <v>0</v>
      </c>
      <c r="T23" s="118">
        <v>160000000</v>
      </c>
      <c r="U23" s="117">
        <v>224700000</v>
      </c>
      <c r="V23" s="122">
        <v>384700000</v>
      </c>
      <c r="W23" s="68">
        <v>0</v>
      </c>
      <c r="X23" s="69">
        <v>0</v>
      </c>
      <c r="Y23" s="119">
        <v>10000000</v>
      </c>
      <c r="Z23" s="71"/>
      <c r="AA23" s="120">
        <v>10000000</v>
      </c>
      <c r="AB23" s="123">
        <v>0</v>
      </c>
    </row>
    <row r="24" spans="2:28" x14ac:dyDescent="0.55000000000000004">
      <c r="B24" s="124" t="s">
        <v>220</v>
      </c>
      <c r="C24" s="125">
        <v>4</v>
      </c>
      <c r="D24" s="126" t="s">
        <v>221</v>
      </c>
      <c r="E24" s="127">
        <v>0</v>
      </c>
      <c r="F24" s="128">
        <v>39000000</v>
      </c>
      <c r="G24" s="129">
        <v>39000000</v>
      </c>
      <c r="H24" s="68">
        <v>0</v>
      </c>
      <c r="I24" s="69">
        <v>39000000</v>
      </c>
      <c r="J24" s="130">
        <v>0</v>
      </c>
      <c r="K24" s="71"/>
      <c r="L24" s="131">
        <v>0</v>
      </c>
      <c r="N24" s="124" t="s">
        <v>220</v>
      </c>
      <c r="O24" s="125">
        <v>4</v>
      </c>
      <c r="P24" s="132" t="s">
        <v>221</v>
      </c>
      <c r="Q24" s="127">
        <v>0</v>
      </c>
      <c r="R24" s="129"/>
      <c r="S24" s="129">
        <v>0</v>
      </c>
      <c r="T24" s="129">
        <v>0</v>
      </c>
      <c r="U24" s="128">
        <v>39000000</v>
      </c>
      <c r="V24" s="133">
        <v>39000000</v>
      </c>
      <c r="W24" s="68">
        <v>0</v>
      </c>
      <c r="X24" s="69">
        <v>39000000</v>
      </c>
      <c r="Y24" s="130">
        <v>0</v>
      </c>
      <c r="Z24" s="71"/>
      <c r="AA24" s="131">
        <v>0</v>
      </c>
      <c r="AB24" s="134">
        <v>0</v>
      </c>
    </row>
    <row r="25" spans="2:28" x14ac:dyDescent="0.55000000000000004">
      <c r="B25" s="124" t="s">
        <v>222</v>
      </c>
      <c r="C25" s="125">
        <v>4</v>
      </c>
      <c r="D25" s="126" t="s">
        <v>223</v>
      </c>
      <c r="E25" s="127">
        <v>0</v>
      </c>
      <c r="F25" s="128">
        <v>0</v>
      </c>
      <c r="G25" s="129">
        <v>0</v>
      </c>
      <c r="H25" s="68">
        <v>0</v>
      </c>
      <c r="I25" s="69">
        <v>0</v>
      </c>
      <c r="J25" s="130">
        <v>0</v>
      </c>
      <c r="K25" s="71"/>
      <c r="L25" s="131">
        <v>0</v>
      </c>
      <c r="N25" s="124" t="s">
        <v>222</v>
      </c>
      <c r="O25" s="125">
        <v>4</v>
      </c>
      <c r="P25" s="132" t="s">
        <v>223</v>
      </c>
      <c r="Q25" s="127">
        <v>0</v>
      </c>
      <c r="R25" s="129"/>
      <c r="S25" s="129">
        <v>0</v>
      </c>
      <c r="T25" s="129">
        <v>0</v>
      </c>
      <c r="U25" s="128">
        <v>5100000</v>
      </c>
      <c r="V25" s="133">
        <v>5100000</v>
      </c>
      <c r="W25" s="68">
        <v>0</v>
      </c>
      <c r="X25" s="69">
        <v>5100000</v>
      </c>
      <c r="Y25" s="130">
        <v>0</v>
      </c>
      <c r="Z25" s="71"/>
      <c r="AA25" s="131">
        <v>0</v>
      </c>
      <c r="AB25" s="134">
        <v>0</v>
      </c>
    </row>
    <row r="26" spans="2:28" x14ac:dyDescent="0.55000000000000004">
      <c r="B26" s="135" t="s">
        <v>224</v>
      </c>
      <c r="C26" s="125">
        <v>4</v>
      </c>
      <c r="D26" s="126" t="s">
        <v>225</v>
      </c>
      <c r="E26" s="127"/>
      <c r="F26" s="128">
        <v>0</v>
      </c>
      <c r="G26" s="129">
        <v>0</v>
      </c>
      <c r="H26" s="68">
        <v>0</v>
      </c>
      <c r="I26" s="69">
        <v>0</v>
      </c>
      <c r="J26" s="130">
        <v>0</v>
      </c>
      <c r="K26" s="71"/>
      <c r="L26" s="131">
        <v>0</v>
      </c>
      <c r="N26" s="135" t="s">
        <v>224</v>
      </c>
      <c r="O26" s="125">
        <v>4</v>
      </c>
      <c r="P26" s="132" t="s">
        <v>225</v>
      </c>
      <c r="Q26" s="127"/>
      <c r="R26" s="129"/>
      <c r="S26" s="129"/>
      <c r="T26" s="129"/>
      <c r="U26" s="128">
        <v>30600000</v>
      </c>
      <c r="V26" s="133">
        <v>30600000</v>
      </c>
      <c r="W26" s="68">
        <v>0</v>
      </c>
      <c r="X26" s="69">
        <v>30600000</v>
      </c>
      <c r="Y26" s="130">
        <v>0</v>
      </c>
      <c r="Z26" s="71"/>
      <c r="AA26" s="131">
        <v>0</v>
      </c>
      <c r="AB26" s="134">
        <v>0</v>
      </c>
    </row>
    <row r="27" spans="2:28" ht="30" x14ac:dyDescent="0.55000000000000004">
      <c r="B27" s="135" t="s">
        <v>226</v>
      </c>
      <c r="C27" s="125">
        <v>4</v>
      </c>
      <c r="D27" s="126" t="s">
        <v>227</v>
      </c>
      <c r="E27" s="127"/>
      <c r="F27" s="128">
        <v>0</v>
      </c>
      <c r="G27" s="129">
        <v>0</v>
      </c>
      <c r="H27" s="68">
        <v>0</v>
      </c>
      <c r="I27" s="69">
        <v>0</v>
      </c>
      <c r="J27" s="130">
        <v>0</v>
      </c>
      <c r="K27" s="71"/>
      <c r="L27" s="131">
        <v>0</v>
      </c>
      <c r="N27" s="135" t="s">
        <v>226</v>
      </c>
      <c r="O27" s="125">
        <v>4</v>
      </c>
      <c r="P27" s="132" t="s">
        <v>227</v>
      </c>
      <c r="Q27" s="127"/>
      <c r="R27" s="129"/>
      <c r="S27" s="129"/>
      <c r="T27" s="129">
        <v>150000000</v>
      </c>
      <c r="U27" s="128">
        <v>150000000</v>
      </c>
      <c r="V27" s="133">
        <v>300000000</v>
      </c>
      <c r="W27" s="68">
        <v>0</v>
      </c>
      <c r="X27" s="69">
        <v>300000000</v>
      </c>
      <c r="Y27" s="130">
        <v>0</v>
      </c>
      <c r="Z27" s="71"/>
      <c r="AA27" s="131">
        <v>0</v>
      </c>
      <c r="AB27" s="134">
        <v>0</v>
      </c>
    </row>
    <row r="28" spans="2:28" x14ac:dyDescent="0.55000000000000004">
      <c r="B28" s="135"/>
      <c r="C28" s="125"/>
      <c r="D28" s="126"/>
      <c r="E28" s="127"/>
      <c r="F28" s="128"/>
      <c r="G28" s="129"/>
      <c r="H28" s="68"/>
      <c r="I28" s="69"/>
      <c r="J28" s="130"/>
      <c r="K28" s="71"/>
      <c r="L28" s="131"/>
      <c r="N28" s="124" t="s">
        <v>228</v>
      </c>
      <c r="O28" s="136">
        <v>4</v>
      </c>
      <c r="P28" s="137" t="s">
        <v>229</v>
      </c>
      <c r="Q28" s="127"/>
      <c r="R28" s="129"/>
      <c r="S28" s="129"/>
      <c r="T28" s="129">
        <v>0</v>
      </c>
      <c r="U28" s="128"/>
      <c r="V28" s="133">
        <v>0</v>
      </c>
      <c r="W28" s="68">
        <v>0</v>
      </c>
      <c r="X28" s="69">
        <v>0</v>
      </c>
      <c r="Y28" s="130">
        <v>0</v>
      </c>
      <c r="Z28" s="71"/>
      <c r="AA28" s="131">
        <v>0</v>
      </c>
      <c r="AB28" s="134">
        <v>0</v>
      </c>
    </row>
    <row r="29" spans="2:28" x14ac:dyDescent="0.55000000000000004">
      <c r="B29" s="135"/>
      <c r="C29" s="125"/>
      <c r="D29" s="126"/>
      <c r="E29" s="127"/>
      <c r="F29" s="128"/>
      <c r="G29" s="129"/>
      <c r="H29" s="68"/>
      <c r="I29" s="69"/>
      <c r="J29" s="130"/>
      <c r="K29" s="71"/>
      <c r="L29" s="131"/>
      <c r="N29" s="124" t="s">
        <v>230</v>
      </c>
      <c r="O29" s="136">
        <v>4</v>
      </c>
      <c r="P29" s="137" t="s">
        <v>231</v>
      </c>
      <c r="Q29" s="127"/>
      <c r="R29" s="129"/>
      <c r="S29" s="129"/>
      <c r="T29" s="129">
        <v>5000000</v>
      </c>
      <c r="U29" s="128"/>
      <c r="V29" s="133">
        <v>5000000</v>
      </c>
      <c r="W29" s="68">
        <v>0</v>
      </c>
      <c r="X29" s="69">
        <v>0</v>
      </c>
      <c r="Y29" s="130">
        <v>5000000</v>
      </c>
      <c r="Z29" s="71"/>
      <c r="AA29" s="131">
        <v>5000000</v>
      </c>
      <c r="AB29" s="134">
        <v>0</v>
      </c>
    </row>
    <row r="30" spans="2:28" x14ac:dyDescent="0.55000000000000004">
      <c r="B30" s="135"/>
      <c r="C30" s="125"/>
      <c r="D30" s="126"/>
      <c r="E30" s="127"/>
      <c r="F30" s="128"/>
      <c r="G30" s="129"/>
      <c r="H30" s="68"/>
      <c r="I30" s="69"/>
      <c r="J30" s="130"/>
      <c r="K30" s="71"/>
      <c r="L30" s="131"/>
      <c r="N30" s="124" t="s">
        <v>232</v>
      </c>
      <c r="O30" s="136">
        <v>4</v>
      </c>
      <c r="P30" s="137" t="s">
        <v>233</v>
      </c>
      <c r="Q30" s="127"/>
      <c r="R30" s="129"/>
      <c r="S30" s="129"/>
      <c r="T30" s="129">
        <v>5000000</v>
      </c>
      <c r="U30" s="128"/>
      <c r="V30" s="133">
        <v>5000000</v>
      </c>
      <c r="W30" s="68">
        <v>0</v>
      </c>
      <c r="X30" s="69">
        <v>0</v>
      </c>
      <c r="Y30" s="130">
        <v>5000000</v>
      </c>
      <c r="Z30" s="71"/>
      <c r="AA30" s="131">
        <v>5000000</v>
      </c>
      <c r="AB30" s="134">
        <v>0</v>
      </c>
    </row>
    <row r="31" spans="2:28" x14ac:dyDescent="0.55000000000000004">
      <c r="B31" s="138" t="s">
        <v>234</v>
      </c>
      <c r="C31" s="76">
        <v>2</v>
      </c>
      <c r="D31" s="77" t="s">
        <v>235</v>
      </c>
      <c r="E31" s="78">
        <v>0</v>
      </c>
      <c r="F31" s="79">
        <v>987435824</v>
      </c>
      <c r="G31" s="80">
        <v>987435824</v>
      </c>
      <c r="H31" s="68">
        <v>0</v>
      </c>
      <c r="I31" s="69">
        <v>0</v>
      </c>
      <c r="J31" s="81">
        <v>987435824</v>
      </c>
      <c r="K31" s="71"/>
      <c r="L31" s="82">
        <v>987435824</v>
      </c>
      <c r="N31" s="138" t="s">
        <v>234</v>
      </c>
      <c r="O31" s="76">
        <v>2</v>
      </c>
      <c r="P31" s="75" t="s">
        <v>235</v>
      </c>
      <c r="Q31" s="78">
        <v>1526000000</v>
      </c>
      <c r="R31" s="80">
        <v>10438546</v>
      </c>
      <c r="S31" s="80">
        <v>26177001</v>
      </c>
      <c r="T31" s="80">
        <v>61001964</v>
      </c>
      <c r="U31" s="79">
        <v>984225609</v>
      </c>
      <c r="V31" s="83">
        <v>2607843120</v>
      </c>
      <c r="W31" s="68">
        <v>0</v>
      </c>
      <c r="X31" s="69">
        <v>0</v>
      </c>
      <c r="Y31" s="81">
        <v>2606910888</v>
      </c>
      <c r="Z31" s="71"/>
      <c r="AA31" s="82">
        <v>2606910888</v>
      </c>
      <c r="AB31" s="84">
        <v>987435824</v>
      </c>
    </row>
    <row r="32" spans="2:28" x14ac:dyDescent="0.55000000000000004">
      <c r="B32" s="85" t="s">
        <v>236</v>
      </c>
      <c r="C32" s="86">
        <v>4</v>
      </c>
      <c r="D32" s="87" t="s">
        <v>237</v>
      </c>
      <c r="E32" s="139"/>
      <c r="F32" s="140">
        <v>567250274</v>
      </c>
      <c r="G32" s="141">
        <v>567250274</v>
      </c>
      <c r="H32" s="68">
        <v>0</v>
      </c>
      <c r="I32" s="69">
        <v>0</v>
      </c>
      <c r="J32" s="91">
        <v>567250274</v>
      </c>
      <c r="K32" s="71"/>
      <c r="L32" s="110">
        <v>567250274</v>
      </c>
      <c r="N32" s="85" t="s">
        <v>236</v>
      </c>
      <c r="O32" s="86">
        <v>4</v>
      </c>
      <c r="P32" s="93" t="s">
        <v>237</v>
      </c>
      <c r="Q32" s="139"/>
      <c r="R32" s="141"/>
      <c r="S32" s="141"/>
      <c r="T32" s="141"/>
      <c r="U32" s="140">
        <v>567250274</v>
      </c>
      <c r="V32" s="142">
        <v>567250274</v>
      </c>
      <c r="W32" s="68">
        <v>0</v>
      </c>
      <c r="X32" s="69">
        <v>0</v>
      </c>
      <c r="Y32" s="91">
        <v>567250274</v>
      </c>
      <c r="Z32" s="71"/>
      <c r="AA32" s="110">
        <v>567250274</v>
      </c>
      <c r="AB32" s="95">
        <v>567250274</v>
      </c>
    </row>
    <row r="33" spans="2:28" x14ac:dyDescent="0.55000000000000004">
      <c r="B33" s="98" t="s">
        <v>238</v>
      </c>
      <c r="C33" s="86">
        <v>4</v>
      </c>
      <c r="D33" s="106" t="s">
        <v>239</v>
      </c>
      <c r="E33" s="107"/>
      <c r="F33" s="108">
        <v>242353726</v>
      </c>
      <c r="G33" s="109">
        <v>242353726</v>
      </c>
      <c r="H33" s="68">
        <v>0</v>
      </c>
      <c r="I33" s="69">
        <v>0</v>
      </c>
      <c r="J33" s="91">
        <v>242353726</v>
      </c>
      <c r="K33" s="71"/>
      <c r="L33" s="110">
        <v>242353726</v>
      </c>
      <c r="N33" s="98" t="s">
        <v>238</v>
      </c>
      <c r="O33" s="86">
        <v>4</v>
      </c>
      <c r="P33" s="111" t="s">
        <v>239</v>
      </c>
      <c r="Q33" s="88"/>
      <c r="R33" s="90"/>
      <c r="S33" s="90"/>
      <c r="T33" s="90"/>
      <c r="U33" s="89">
        <v>242353726</v>
      </c>
      <c r="V33" s="112">
        <v>242353726</v>
      </c>
      <c r="W33" s="68">
        <v>0</v>
      </c>
      <c r="X33" s="69">
        <v>0</v>
      </c>
      <c r="Y33" s="91">
        <v>242353726</v>
      </c>
      <c r="Z33" s="71"/>
      <c r="AA33" s="110">
        <v>242353726</v>
      </c>
      <c r="AB33" s="95">
        <v>242353726</v>
      </c>
    </row>
    <row r="34" spans="2:28" x14ac:dyDescent="0.55000000000000004">
      <c r="B34" s="143" t="s">
        <v>240</v>
      </c>
      <c r="C34" s="86">
        <v>4</v>
      </c>
      <c r="D34" s="87" t="s">
        <v>241</v>
      </c>
      <c r="E34" s="107"/>
      <c r="F34" s="108">
        <v>-8240026</v>
      </c>
      <c r="G34" s="109">
        <v>-8240026</v>
      </c>
      <c r="H34" s="68">
        <v>0</v>
      </c>
      <c r="I34" s="69">
        <v>0</v>
      </c>
      <c r="J34" s="91">
        <v>-8240026</v>
      </c>
      <c r="K34" s="71"/>
      <c r="L34" s="110">
        <v>-8240026</v>
      </c>
      <c r="N34" s="143" t="s">
        <v>240</v>
      </c>
      <c r="O34" s="86">
        <v>4</v>
      </c>
      <c r="P34" s="93" t="s">
        <v>241</v>
      </c>
      <c r="Q34" s="88"/>
      <c r="R34" s="90"/>
      <c r="S34" s="90"/>
      <c r="T34" s="90"/>
      <c r="U34" s="89">
        <v>-12360039</v>
      </c>
      <c r="V34" s="112">
        <v>-12360039</v>
      </c>
      <c r="W34" s="68">
        <v>0</v>
      </c>
      <c r="X34" s="69">
        <v>0</v>
      </c>
      <c r="Y34" s="91">
        <v>-12360039</v>
      </c>
      <c r="Z34" s="71"/>
      <c r="AA34" s="110">
        <v>-12360039</v>
      </c>
      <c r="AB34" s="95">
        <v>-8240026</v>
      </c>
    </row>
    <row r="35" spans="2:28" x14ac:dyDescent="0.55000000000000004">
      <c r="B35" s="98" t="s">
        <v>141</v>
      </c>
      <c r="C35" s="86">
        <v>4</v>
      </c>
      <c r="D35" s="87" t="s">
        <v>242</v>
      </c>
      <c r="E35" s="107"/>
      <c r="F35" s="108">
        <v>97058628</v>
      </c>
      <c r="G35" s="109">
        <v>97058628</v>
      </c>
      <c r="H35" s="68">
        <v>0</v>
      </c>
      <c r="I35" s="69">
        <v>0</v>
      </c>
      <c r="J35" s="91">
        <v>97058628</v>
      </c>
      <c r="K35" s="71"/>
      <c r="L35" s="110">
        <v>97058628</v>
      </c>
      <c r="N35" s="98" t="s">
        <v>141</v>
      </c>
      <c r="O35" s="86">
        <v>4</v>
      </c>
      <c r="P35" s="93" t="s">
        <v>242</v>
      </c>
      <c r="Q35" s="88"/>
      <c r="R35" s="90">
        <v>10438546</v>
      </c>
      <c r="S35" s="90">
        <v>28309429</v>
      </c>
      <c r="T35" s="90">
        <v>47647991</v>
      </c>
      <c r="U35" s="89">
        <v>118554428</v>
      </c>
      <c r="V35" s="112">
        <v>204950394</v>
      </c>
      <c r="W35" s="68">
        <v>0</v>
      </c>
      <c r="X35" s="69">
        <v>0</v>
      </c>
      <c r="Y35" s="91">
        <v>204950394</v>
      </c>
      <c r="Z35" s="71"/>
      <c r="AA35" s="110">
        <v>204950394</v>
      </c>
      <c r="AB35" s="95">
        <v>97058628</v>
      </c>
    </row>
    <row r="36" spans="2:28" x14ac:dyDescent="0.55000000000000004">
      <c r="B36" s="143" t="s">
        <v>240</v>
      </c>
      <c r="C36" s="86">
        <v>4</v>
      </c>
      <c r="D36" s="106" t="s">
        <v>243</v>
      </c>
      <c r="E36" s="107"/>
      <c r="F36" s="108">
        <v>-32416543</v>
      </c>
      <c r="G36" s="109">
        <v>-32416543</v>
      </c>
      <c r="H36" s="68">
        <v>0</v>
      </c>
      <c r="I36" s="69">
        <v>0</v>
      </c>
      <c r="J36" s="91">
        <v>-32416543</v>
      </c>
      <c r="K36" s="71"/>
      <c r="L36" s="110">
        <v>-32416543</v>
      </c>
      <c r="N36" s="143" t="s">
        <v>240</v>
      </c>
      <c r="O36" s="86">
        <v>4</v>
      </c>
      <c r="P36" s="111" t="s">
        <v>243</v>
      </c>
      <c r="Q36" s="88"/>
      <c r="R36" s="90"/>
      <c r="S36" s="90">
        <v>-2132428</v>
      </c>
      <c r="T36" s="90">
        <v>-5572711</v>
      </c>
      <c r="U36" s="89">
        <v>-46438807</v>
      </c>
      <c r="V36" s="112">
        <v>-54143946</v>
      </c>
      <c r="W36" s="68">
        <v>0</v>
      </c>
      <c r="X36" s="69">
        <v>932232</v>
      </c>
      <c r="Y36" s="91">
        <v>-55076178</v>
      </c>
      <c r="Z36" s="71"/>
      <c r="AA36" s="110">
        <v>-55076178</v>
      </c>
      <c r="AB36" s="95">
        <v>-32416543</v>
      </c>
    </row>
    <row r="37" spans="2:28" x14ac:dyDescent="0.55000000000000004">
      <c r="B37" s="98" t="s">
        <v>142</v>
      </c>
      <c r="C37" s="86">
        <v>4</v>
      </c>
      <c r="D37" s="87" t="s">
        <v>244</v>
      </c>
      <c r="E37" s="107"/>
      <c r="F37" s="108">
        <v>254817800</v>
      </c>
      <c r="G37" s="109">
        <v>254817800</v>
      </c>
      <c r="H37" s="68">
        <v>0</v>
      </c>
      <c r="I37" s="69">
        <v>0</v>
      </c>
      <c r="J37" s="91">
        <v>254817800</v>
      </c>
      <c r="K37" s="71"/>
      <c r="L37" s="110">
        <v>254817800</v>
      </c>
      <c r="N37" s="98" t="s">
        <v>142</v>
      </c>
      <c r="O37" s="86">
        <v>4</v>
      </c>
      <c r="P37" s="93" t="s">
        <v>244</v>
      </c>
      <c r="Q37" s="88"/>
      <c r="R37" s="90"/>
      <c r="S37" s="90"/>
      <c r="T37" s="90">
        <v>21550000</v>
      </c>
      <c r="U37" s="89">
        <v>276025800</v>
      </c>
      <c r="V37" s="112">
        <v>297575800</v>
      </c>
      <c r="W37" s="68">
        <v>0</v>
      </c>
      <c r="X37" s="69">
        <v>0</v>
      </c>
      <c r="Y37" s="91">
        <v>297575800</v>
      </c>
      <c r="Z37" s="71"/>
      <c r="AA37" s="110">
        <v>297575800</v>
      </c>
      <c r="AB37" s="95">
        <v>254817800</v>
      </c>
    </row>
    <row r="38" spans="2:28" x14ac:dyDescent="0.55000000000000004">
      <c r="B38" s="143" t="s">
        <v>240</v>
      </c>
      <c r="C38" s="86">
        <v>4</v>
      </c>
      <c r="D38" s="87" t="s">
        <v>245</v>
      </c>
      <c r="E38" s="107"/>
      <c r="F38" s="108">
        <v>-133388035</v>
      </c>
      <c r="G38" s="109">
        <v>-133388035</v>
      </c>
      <c r="H38" s="68">
        <v>0</v>
      </c>
      <c r="I38" s="69">
        <v>0</v>
      </c>
      <c r="J38" s="91">
        <v>-133388035</v>
      </c>
      <c r="K38" s="71"/>
      <c r="L38" s="110">
        <v>-133388035</v>
      </c>
      <c r="N38" s="143" t="s">
        <v>240</v>
      </c>
      <c r="O38" s="86">
        <v>4</v>
      </c>
      <c r="P38" s="93" t="s">
        <v>245</v>
      </c>
      <c r="Q38" s="88"/>
      <c r="R38" s="90"/>
      <c r="S38" s="90"/>
      <c r="T38" s="90">
        <v>-2623316</v>
      </c>
      <c r="U38" s="89">
        <v>-161159773</v>
      </c>
      <c r="V38" s="112">
        <v>-163783089</v>
      </c>
      <c r="W38" s="68">
        <v>0</v>
      </c>
      <c r="X38" s="69">
        <v>0</v>
      </c>
      <c r="Y38" s="91">
        <v>-163783089</v>
      </c>
      <c r="Z38" s="71"/>
      <c r="AA38" s="110">
        <v>-163783089</v>
      </c>
      <c r="AB38" s="95">
        <v>-133388035</v>
      </c>
    </row>
    <row r="39" spans="2:28" x14ac:dyDescent="0.55000000000000004">
      <c r="B39" s="98" t="s">
        <v>246</v>
      </c>
      <c r="C39" s="86">
        <v>4</v>
      </c>
      <c r="D39" s="106" t="s">
        <v>247</v>
      </c>
      <c r="E39" s="107"/>
      <c r="F39" s="108">
        <v>0</v>
      </c>
      <c r="G39" s="109">
        <v>0</v>
      </c>
      <c r="H39" s="68">
        <v>0</v>
      </c>
      <c r="I39" s="69">
        <v>0</v>
      </c>
      <c r="J39" s="91">
        <v>0</v>
      </c>
      <c r="K39" s="71"/>
      <c r="L39" s="110">
        <v>0</v>
      </c>
      <c r="N39" s="98" t="s">
        <v>246</v>
      </c>
      <c r="O39" s="86">
        <v>4</v>
      </c>
      <c r="P39" s="111" t="s">
        <v>247</v>
      </c>
      <c r="Q39" s="88">
        <v>1526000000</v>
      </c>
      <c r="R39" s="90"/>
      <c r="S39" s="90"/>
      <c r="T39" s="90"/>
      <c r="U39" s="89">
        <v>0</v>
      </c>
      <c r="V39" s="112">
        <v>1526000000</v>
      </c>
      <c r="W39" s="68">
        <v>0</v>
      </c>
      <c r="X39" s="69">
        <v>0</v>
      </c>
      <c r="Y39" s="91">
        <v>1526000000</v>
      </c>
      <c r="Z39" s="71"/>
      <c r="AA39" s="110">
        <v>1526000000</v>
      </c>
      <c r="AB39" s="95">
        <v>0</v>
      </c>
    </row>
    <row r="40" spans="2:28" x14ac:dyDescent="0.55000000000000004">
      <c r="B40" s="138" t="s">
        <v>248</v>
      </c>
      <c r="C40" s="76">
        <v>2</v>
      </c>
      <c r="D40" s="77" t="s">
        <v>249</v>
      </c>
      <c r="E40" s="78">
        <v>0</v>
      </c>
      <c r="F40" s="79">
        <v>0</v>
      </c>
      <c r="G40" s="80">
        <v>0</v>
      </c>
      <c r="H40" s="68">
        <v>0</v>
      </c>
      <c r="I40" s="69">
        <v>0</v>
      </c>
      <c r="J40" s="81">
        <v>0</v>
      </c>
      <c r="K40" s="71"/>
      <c r="L40" s="82">
        <v>0</v>
      </c>
      <c r="N40" s="138" t="s">
        <v>248</v>
      </c>
      <c r="O40" s="76">
        <v>2</v>
      </c>
      <c r="P40" s="75" t="s">
        <v>249</v>
      </c>
      <c r="Q40" s="78">
        <v>0</v>
      </c>
      <c r="R40" s="80">
        <v>0</v>
      </c>
      <c r="S40" s="80">
        <v>0</v>
      </c>
      <c r="T40" s="80">
        <v>44641684</v>
      </c>
      <c r="U40" s="79">
        <v>0</v>
      </c>
      <c r="V40" s="83">
        <v>44641684</v>
      </c>
      <c r="W40" s="68">
        <v>0</v>
      </c>
      <c r="X40" s="69">
        <v>0</v>
      </c>
      <c r="Y40" s="81">
        <v>0</v>
      </c>
      <c r="Z40" s="71"/>
      <c r="AA40" s="82">
        <v>0</v>
      </c>
      <c r="AB40" s="84">
        <v>0</v>
      </c>
    </row>
    <row r="41" spans="2:28" x14ac:dyDescent="0.55000000000000004">
      <c r="B41" s="98" t="s">
        <v>250</v>
      </c>
      <c r="C41" s="86">
        <v>4</v>
      </c>
      <c r="D41" s="87" t="s">
        <v>251</v>
      </c>
      <c r="E41" s="107"/>
      <c r="F41" s="89">
        <v>0</v>
      </c>
      <c r="G41" s="90">
        <v>0</v>
      </c>
      <c r="H41" s="68">
        <v>0</v>
      </c>
      <c r="I41" s="69">
        <v>0</v>
      </c>
      <c r="J41" s="91">
        <v>0</v>
      </c>
      <c r="K41" s="71"/>
      <c r="L41" s="110">
        <v>0</v>
      </c>
      <c r="N41" s="98" t="s">
        <v>250</v>
      </c>
      <c r="O41" s="86">
        <v>4</v>
      </c>
      <c r="P41" s="93" t="s">
        <v>251</v>
      </c>
      <c r="Q41" s="107"/>
      <c r="R41" s="109"/>
      <c r="S41" s="109"/>
      <c r="T41" s="90">
        <v>44641684</v>
      </c>
      <c r="U41" s="89">
        <v>0</v>
      </c>
      <c r="V41" s="94">
        <v>44641684</v>
      </c>
      <c r="W41" s="68">
        <v>0</v>
      </c>
      <c r="X41" s="69">
        <v>44641684</v>
      </c>
      <c r="Y41" s="91">
        <v>0</v>
      </c>
      <c r="Z41" s="71"/>
      <c r="AA41" s="110">
        <v>0</v>
      </c>
      <c r="AB41" s="95">
        <v>0</v>
      </c>
    </row>
    <row r="42" spans="2:28" x14ac:dyDescent="0.55000000000000004">
      <c r="B42" s="98" t="s">
        <v>252</v>
      </c>
      <c r="C42" s="86">
        <v>4</v>
      </c>
      <c r="D42" s="87" t="s">
        <v>253</v>
      </c>
      <c r="E42" s="107"/>
      <c r="F42" s="108">
        <v>0</v>
      </c>
      <c r="G42" s="109">
        <v>0</v>
      </c>
      <c r="H42" s="68">
        <v>0</v>
      </c>
      <c r="I42" s="69">
        <v>0</v>
      </c>
      <c r="J42" s="91">
        <v>0</v>
      </c>
      <c r="K42" s="71"/>
      <c r="L42" s="110">
        <v>0</v>
      </c>
      <c r="N42" s="98" t="s">
        <v>252</v>
      </c>
      <c r="O42" s="86">
        <v>4</v>
      </c>
      <c r="P42" s="93" t="s">
        <v>253</v>
      </c>
      <c r="Q42" s="107"/>
      <c r="R42" s="109"/>
      <c r="S42" s="109"/>
      <c r="T42" s="109"/>
      <c r="U42" s="108">
        <v>0</v>
      </c>
      <c r="V42" s="112">
        <v>0</v>
      </c>
      <c r="W42" s="68">
        <v>0</v>
      </c>
      <c r="X42" s="69">
        <v>0</v>
      </c>
      <c r="Y42" s="91">
        <v>0</v>
      </c>
      <c r="Z42" s="71"/>
      <c r="AA42" s="110">
        <v>0</v>
      </c>
      <c r="AB42" s="95">
        <v>0</v>
      </c>
    </row>
    <row r="43" spans="2:28" x14ac:dyDescent="0.55000000000000004">
      <c r="B43" s="75" t="s">
        <v>254</v>
      </c>
      <c r="C43" s="76">
        <v>2</v>
      </c>
      <c r="D43" s="77" t="s">
        <v>255</v>
      </c>
      <c r="E43" s="78">
        <v>0</v>
      </c>
      <c r="F43" s="79">
        <v>0</v>
      </c>
      <c r="G43" s="80">
        <v>0</v>
      </c>
      <c r="H43" s="68">
        <v>0</v>
      </c>
      <c r="I43" s="69">
        <v>0</v>
      </c>
      <c r="J43" s="81">
        <v>0</v>
      </c>
      <c r="K43" s="71"/>
      <c r="L43" s="82">
        <v>0</v>
      </c>
      <c r="N43" s="75" t="s">
        <v>254</v>
      </c>
      <c r="O43" s="76">
        <v>2</v>
      </c>
      <c r="P43" s="75" t="s">
        <v>255</v>
      </c>
      <c r="Q43" s="78">
        <v>0</v>
      </c>
      <c r="R43" s="80">
        <v>0</v>
      </c>
      <c r="S43" s="80">
        <v>0</v>
      </c>
      <c r="T43" s="80">
        <v>650000000</v>
      </c>
      <c r="U43" s="79">
        <v>0</v>
      </c>
      <c r="V43" s="83">
        <v>650000000</v>
      </c>
      <c r="W43" s="68">
        <v>0</v>
      </c>
      <c r="X43" s="69">
        <v>0</v>
      </c>
      <c r="Y43" s="81">
        <v>0</v>
      </c>
      <c r="Z43" s="71"/>
      <c r="AA43" s="82">
        <v>0</v>
      </c>
      <c r="AB43" s="84">
        <v>0</v>
      </c>
    </row>
    <row r="44" spans="2:28" x14ac:dyDescent="0.55000000000000004">
      <c r="B44" s="99" t="s">
        <v>256</v>
      </c>
      <c r="C44" s="100">
        <v>4</v>
      </c>
      <c r="D44" s="144" t="s">
        <v>257</v>
      </c>
      <c r="E44" s="88"/>
      <c r="F44" s="89">
        <v>0</v>
      </c>
      <c r="G44" s="90">
        <v>0</v>
      </c>
      <c r="H44" s="68">
        <v>0</v>
      </c>
      <c r="I44" s="69">
        <v>0</v>
      </c>
      <c r="J44" s="91">
        <v>0</v>
      </c>
      <c r="K44" s="71"/>
      <c r="L44" s="110">
        <v>0</v>
      </c>
      <c r="N44" s="99" t="s">
        <v>256</v>
      </c>
      <c r="O44" s="100">
        <v>4</v>
      </c>
      <c r="P44" s="145" t="s">
        <v>257</v>
      </c>
      <c r="Q44" s="88"/>
      <c r="R44" s="90"/>
      <c r="S44" s="90"/>
      <c r="T44" s="105">
        <v>650000000</v>
      </c>
      <c r="U44" s="89">
        <v>0</v>
      </c>
      <c r="V44" s="94">
        <v>650000000</v>
      </c>
      <c r="W44" s="68">
        <v>0</v>
      </c>
      <c r="X44" s="69">
        <v>650000000</v>
      </c>
      <c r="Y44" s="91">
        <v>0</v>
      </c>
      <c r="Z44" s="71"/>
      <c r="AA44" s="110">
        <v>0</v>
      </c>
      <c r="AB44" s="95">
        <v>0</v>
      </c>
    </row>
    <row r="45" spans="2:28" x14ac:dyDescent="0.55000000000000004">
      <c r="B45" s="99"/>
      <c r="C45" s="100">
        <v>4</v>
      </c>
      <c r="D45" s="144" t="s">
        <v>258</v>
      </c>
      <c r="E45" s="88"/>
      <c r="F45" s="89">
        <v>0</v>
      </c>
      <c r="G45" s="90">
        <v>0</v>
      </c>
      <c r="H45" s="68">
        <v>0</v>
      </c>
      <c r="I45" s="69">
        <v>0</v>
      </c>
      <c r="J45" s="91">
        <v>0</v>
      </c>
      <c r="K45" s="71"/>
      <c r="L45" s="92">
        <v>0</v>
      </c>
      <c r="N45" s="99"/>
      <c r="O45" s="100">
        <v>4</v>
      </c>
      <c r="P45" s="145" t="s">
        <v>258</v>
      </c>
      <c r="Q45" s="88"/>
      <c r="R45" s="90"/>
      <c r="S45" s="90"/>
      <c r="T45" s="90"/>
      <c r="U45" s="89">
        <v>0</v>
      </c>
      <c r="V45" s="94">
        <v>0</v>
      </c>
      <c r="W45" s="68">
        <v>0</v>
      </c>
      <c r="X45" s="69">
        <v>0</v>
      </c>
      <c r="Y45" s="91">
        <v>0</v>
      </c>
      <c r="Z45" s="71"/>
      <c r="AA45" s="92">
        <v>0</v>
      </c>
      <c r="AB45" s="95">
        <v>0</v>
      </c>
    </row>
    <row r="46" spans="2:28" x14ac:dyDescent="0.55000000000000004">
      <c r="B46" s="75" t="s">
        <v>259</v>
      </c>
      <c r="C46" s="76">
        <v>2</v>
      </c>
      <c r="D46" s="77" t="s">
        <v>260</v>
      </c>
      <c r="E46" s="78">
        <v>4000000</v>
      </c>
      <c r="F46" s="79">
        <v>145790320</v>
      </c>
      <c r="G46" s="80">
        <v>149790320</v>
      </c>
      <c r="H46" s="68">
        <v>0</v>
      </c>
      <c r="I46" s="69">
        <v>0</v>
      </c>
      <c r="J46" s="81">
        <v>149790320</v>
      </c>
      <c r="K46" s="71"/>
      <c r="L46" s="82">
        <v>149790320</v>
      </c>
      <c r="N46" s="75" t="s">
        <v>259</v>
      </c>
      <c r="O46" s="76">
        <v>2</v>
      </c>
      <c r="P46" s="75" t="s">
        <v>260</v>
      </c>
      <c r="Q46" s="78">
        <v>0</v>
      </c>
      <c r="R46" s="80">
        <v>38608000</v>
      </c>
      <c r="S46" s="80">
        <v>0</v>
      </c>
      <c r="T46" s="80">
        <v>74000000</v>
      </c>
      <c r="U46" s="79">
        <v>352940320</v>
      </c>
      <c r="V46" s="83">
        <v>465548320</v>
      </c>
      <c r="W46" s="68">
        <v>0</v>
      </c>
      <c r="X46" s="69">
        <v>0</v>
      </c>
      <c r="Y46" s="81">
        <v>465548320</v>
      </c>
      <c r="Z46" s="71"/>
      <c r="AA46" s="82">
        <v>465548320</v>
      </c>
      <c r="AB46" s="84">
        <v>149790320</v>
      </c>
    </row>
    <row r="47" spans="2:28" x14ac:dyDescent="0.55000000000000004">
      <c r="B47" s="99" t="s">
        <v>261</v>
      </c>
      <c r="C47" s="100">
        <v>4</v>
      </c>
      <c r="D47" s="144" t="s">
        <v>262</v>
      </c>
      <c r="E47" s="88">
        <v>4000000</v>
      </c>
      <c r="F47" s="89">
        <v>35100000</v>
      </c>
      <c r="G47" s="90">
        <v>39100000</v>
      </c>
      <c r="H47" s="68">
        <v>0</v>
      </c>
      <c r="I47" s="69">
        <v>0</v>
      </c>
      <c r="J47" s="91">
        <v>39100000</v>
      </c>
      <c r="K47" s="71"/>
      <c r="L47" s="110">
        <v>39100000</v>
      </c>
      <c r="N47" s="99" t="s">
        <v>261</v>
      </c>
      <c r="O47" s="100">
        <v>4</v>
      </c>
      <c r="P47" s="145" t="s">
        <v>262</v>
      </c>
      <c r="Q47" s="88"/>
      <c r="R47" s="90">
        <v>30000000</v>
      </c>
      <c r="S47" s="90"/>
      <c r="T47" s="90">
        <v>74000000</v>
      </c>
      <c r="U47" s="89">
        <v>135100000</v>
      </c>
      <c r="V47" s="94">
        <v>239100000</v>
      </c>
      <c r="W47" s="68">
        <v>0</v>
      </c>
      <c r="X47" s="69">
        <v>0</v>
      </c>
      <c r="Y47" s="91">
        <v>239100000</v>
      </c>
      <c r="Z47" s="71"/>
      <c r="AA47" s="110">
        <v>239100000</v>
      </c>
      <c r="AB47" s="95">
        <v>39100000</v>
      </c>
    </row>
    <row r="48" spans="2:28" x14ac:dyDescent="0.55000000000000004">
      <c r="B48" s="99" t="s">
        <v>263</v>
      </c>
      <c r="C48" s="100">
        <v>4</v>
      </c>
      <c r="D48" s="144" t="s">
        <v>264</v>
      </c>
      <c r="E48" s="88"/>
      <c r="F48" s="89">
        <v>110690320</v>
      </c>
      <c r="G48" s="90">
        <v>110690320</v>
      </c>
      <c r="H48" s="68">
        <v>0</v>
      </c>
      <c r="I48" s="69">
        <v>0</v>
      </c>
      <c r="J48" s="91">
        <v>110690320</v>
      </c>
      <c r="K48" s="71"/>
      <c r="L48" s="92">
        <v>110690320</v>
      </c>
      <c r="N48" s="99" t="s">
        <v>263</v>
      </c>
      <c r="O48" s="100">
        <v>4</v>
      </c>
      <c r="P48" s="145" t="s">
        <v>264</v>
      </c>
      <c r="Q48" s="88"/>
      <c r="R48" s="90">
        <v>8608000</v>
      </c>
      <c r="S48" s="90"/>
      <c r="T48" s="90"/>
      <c r="U48" s="89">
        <v>217840320</v>
      </c>
      <c r="V48" s="94">
        <v>226448320</v>
      </c>
      <c r="W48" s="68">
        <v>0</v>
      </c>
      <c r="X48" s="69">
        <v>0</v>
      </c>
      <c r="Y48" s="91">
        <v>226448320</v>
      </c>
      <c r="Z48" s="71"/>
      <c r="AA48" s="92">
        <v>226448320</v>
      </c>
      <c r="AB48" s="95">
        <v>110690320</v>
      </c>
    </row>
    <row r="49" spans="2:28" x14ac:dyDescent="0.55000000000000004">
      <c r="B49" s="99" t="s">
        <v>265</v>
      </c>
      <c r="C49" s="100">
        <v>4</v>
      </c>
      <c r="D49" s="144" t="s">
        <v>266</v>
      </c>
      <c r="E49" s="88"/>
      <c r="F49" s="89">
        <v>0</v>
      </c>
      <c r="G49" s="90">
        <v>0</v>
      </c>
      <c r="H49" s="68">
        <v>0</v>
      </c>
      <c r="I49" s="69">
        <v>0</v>
      </c>
      <c r="J49" s="101">
        <v>0</v>
      </c>
      <c r="K49" s="71"/>
      <c r="L49" s="92">
        <v>0</v>
      </c>
      <c r="N49" s="99" t="s">
        <v>265</v>
      </c>
      <c r="O49" s="100">
        <v>4</v>
      </c>
      <c r="P49" s="145" t="s">
        <v>266</v>
      </c>
      <c r="Q49" s="88"/>
      <c r="R49" s="90"/>
      <c r="S49" s="90"/>
      <c r="T49" s="90"/>
      <c r="U49" s="89">
        <v>0</v>
      </c>
      <c r="V49" s="94">
        <v>0</v>
      </c>
      <c r="W49" s="68">
        <v>0</v>
      </c>
      <c r="X49" s="69">
        <v>0</v>
      </c>
      <c r="Y49" s="101">
        <v>0</v>
      </c>
      <c r="Z49" s="71"/>
      <c r="AA49" s="92">
        <v>0</v>
      </c>
      <c r="AB49" s="95">
        <v>0</v>
      </c>
    </row>
    <row r="50" spans="2:28" x14ac:dyDescent="0.55000000000000004">
      <c r="B50" s="104" t="s">
        <v>267</v>
      </c>
      <c r="C50" s="100">
        <v>4</v>
      </c>
      <c r="D50" s="144" t="s">
        <v>268</v>
      </c>
      <c r="E50" s="107"/>
      <c r="F50" s="108">
        <v>0</v>
      </c>
      <c r="G50" s="109">
        <v>0</v>
      </c>
      <c r="H50" s="68">
        <v>0</v>
      </c>
      <c r="I50" s="69">
        <v>0</v>
      </c>
      <c r="J50" s="91">
        <v>0</v>
      </c>
      <c r="K50" s="71"/>
      <c r="L50" s="110">
        <v>0</v>
      </c>
      <c r="N50" s="104" t="s">
        <v>267</v>
      </c>
      <c r="O50" s="100">
        <v>4</v>
      </c>
      <c r="P50" s="145" t="s">
        <v>268</v>
      </c>
      <c r="Q50" s="107"/>
      <c r="R50" s="109"/>
      <c r="S50" s="109"/>
      <c r="T50" s="109"/>
      <c r="U50" s="108">
        <v>0</v>
      </c>
      <c r="V50" s="112">
        <v>0</v>
      </c>
      <c r="W50" s="68">
        <v>0</v>
      </c>
      <c r="X50" s="69">
        <v>0</v>
      </c>
      <c r="Y50" s="91">
        <v>0</v>
      </c>
      <c r="Z50" s="71"/>
      <c r="AA50" s="110">
        <v>0</v>
      </c>
      <c r="AB50" s="95">
        <v>0</v>
      </c>
    </row>
    <row r="51" spans="2:28" x14ac:dyDescent="0.55000000000000004">
      <c r="B51" s="146" t="s">
        <v>269</v>
      </c>
      <c r="C51" s="147">
        <v>1</v>
      </c>
      <c r="D51" s="148" t="s">
        <v>184</v>
      </c>
      <c r="E51" s="149">
        <v>46679929</v>
      </c>
      <c r="F51" s="150">
        <v>4523386598</v>
      </c>
      <c r="G51" s="151">
        <v>4570066527</v>
      </c>
      <c r="H51" s="68">
        <v>0</v>
      </c>
      <c r="I51" s="69">
        <v>0</v>
      </c>
      <c r="J51" s="152">
        <v>4531066527</v>
      </c>
      <c r="K51" s="71"/>
      <c r="L51" s="153">
        <v>4531066527</v>
      </c>
      <c r="N51" s="146" t="s">
        <v>269</v>
      </c>
      <c r="O51" s="147">
        <v>1</v>
      </c>
      <c r="P51" s="154" t="s">
        <v>184</v>
      </c>
      <c r="Q51" s="149">
        <v>2149948949</v>
      </c>
      <c r="R51" s="151">
        <v>3831802647</v>
      </c>
      <c r="S51" s="151">
        <v>256283132</v>
      </c>
      <c r="T51" s="151">
        <v>4589286473</v>
      </c>
      <c r="U51" s="150">
        <v>10136340314</v>
      </c>
      <c r="V51" s="155">
        <v>20963661515</v>
      </c>
      <c r="W51" s="68">
        <v>0</v>
      </c>
      <c r="X51" s="69">
        <v>0</v>
      </c>
      <c r="Y51" s="152">
        <v>18642136599</v>
      </c>
      <c r="Z51" s="71"/>
      <c r="AA51" s="153">
        <v>18642136599</v>
      </c>
      <c r="AB51" s="156">
        <v>4531066527</v>
      </c>
    </row>
    <row r="52" spans="2:28" x14ac:dyDescent="0.55000000000000004">
      <c r="B52" s="62" t="s">
        <v>270</v>
      </c>
      <c r="C52" s="63">
        <v>2</v>
      </c>
      <c r="D52" s="64" t="s">
        <v>271</v>
      </c>
      <c r="E52" s="65">
        <v>3611600</v>
      </c>
      <c r="F52" s="66">
        <v>1200117596</v>
      </c>
      <c r="G52" s="67">
        <v>1203729196</v>
      </c>
      <c r="H52" s="68">
        <v>0</v>
      </c>
      <c r="I52" s="69">
        <v>0</v>
      </c>
      <c r="J52" s="70">
        <v>1203729196</v>
      </c>
      <c r="K52" s="71"/>
      <c r="L52" s="72">
        <v>1203729196</v>
      </c>
      <c r="N52" s="62" t="s">
        <v>270</v>
      </c>
      <c r="O52" s="63">
        <v>2</v>
      </c>
      <c r="P52" s="62" t="s">
        <v>271</v>
      </c>
      <c r="Q52" s="65">
        <v>1850000000</v>
      </c>
      <c r="R52" s="67">
        <v>285128155</v>
      </c>
      <c r="S52" s="67">
        <v>232600815</v>
      </c>
      <c r="T52" s="67">
        <v>753305854</v>
      </c>
      <c r="U52" s="66">
        <v>412381840</v>
      </c>
      <c r="V52" s="73">
        <v>3533416664</v>
      </c>
      <c r="W52" s="68">
        <v>0</v>
      </c>
      <c r="X52" s="69">
        <v>0</v>
      </c>
      <c r="Y52" s="70">
        <v>1631868664</v>
      </c>
      <c r="Z52" s="71">
        <f>Y52+Q58</f>
        <v>3481868664</v>
      </c>
      <c r="AA52" s="72">
        <v>1631868664</v>
      </c>
      <c r="AB52" s="74">
        <v>1203729196</v>
      </c>
    </row>
    <row r="53" spans="2:28" x14ac:dyDescent="0.55000000000000004">
      <c r="B53" s="85" t="s">
        <v>151</v>
      </c>
      <c r="C53" s="86">
        <v>4</v>
      </c>
      <c r="D53" s="87" t="s">
        <v>272</v>
      </c>
      <c r="E53" s="107">
        <v>2686750</v>
      </c>
      <c r="F53" s="108">
        <v>435225978</v>
      </c>
      <c r="G53" s="109">
        <v>437912728</v>
      </c>
      <c r="H53" s="68">
        <v>0</v>
      </c>
      <c r="I53" s="69">
        <v>0</v>
      </c>
      <c r="J53" s="91">
        <v>437912728</v>
      </c>
      <c r="K53" s="71"/>
      <c r="L53" s="92">
        <v>437912728</v>
      </c>
      <c r="N53" s="85" t="s">
        <v>151</v>
      </c>
      <c r="O53" s="86">
        <v>4</v>
      </c>
      <c r="P53" s="93" t="s">
        <v>272</v>
      </c>
      <c r="Q53" s="107"/>
      <c r="R53" s="109">
        <v>7402399</v>
      </c>
      <c r="S53" s="109">
        <v>179534585</v>
      </c>
      <c r="T53" s="109">
        <v>534721414</v>
      </c>
      <c r="U53" s="108">
        <v>205820205</v>
      </c>
      <c r="V53" s="112">
        <v>927478603</v>
      </c>
      <c r="W53" s="68">
        <v>1251000</v>
      </c>
      <c r="X53" s="69">
        <v>114461539</v>
      </c>
      <c r="Y53" s="91">
        <v>1040689142</v>
      </c>
      <c r="Z53" s="71"/>
      <c r="AA53" s="92">
        <v>1040689142</v>
      </c>
      <c r="AB53" s="95">
        <v>437912728</v>
      </c>
    </row>
    <row r="54" spans="2:28" x14ac:dyDescent="0.55000000000000004">
      <c r="B54" s="85" t="s">
        <v>273</v>
      </c>
      <c r="C54" s="86">
        <v>4</v>
      </c>
      <c r="D54" s="87" t="s">
        <v>274</v>
      </c>
      <c r="E54" s="107"/>
      <c r="F54" s="108">
        <v>0</v>
      </c>
      <c r="G54" s="109">
        <v>0</v>
      </c>
      <c r="H54" s="68">
        <v>0</v>
      </c>
      <c r="I54" s="69">
        <v>0</v>
      </c>
      <c r="J54" s="91">
        <v>0</v>
      </c>
      <c r="K54" s="71"/>
      <c r="L54" s="92">
        <v>0</v>
      </c>
      <c r="N54" s="85" t="s">
        <v>273</v>
      </c>
      <c r="O54" s="86">
        <v>4</v>
      </c>
      <c r="P54" s="93" t="s">
        <v>274</v>
      </c>
      <c r="Q54" s="107"/>
      <c r="R54" s="90">
        <v>114461539</v>
      </c>
      <c r="S54" s="90"/>
      <c r="T54" s="90"/>
      <c r="U54" s="89">
        <v>0</v>
      </c>
      <c r="V54" s="112">
        <v>114461539</v>
      </c>
      <c r="W54" s="68">
        <v>114461539</v>
      </c>
      <c r="X54" s="69">
        <v>0</v>
      </c>
      <c r="Y54" s="91">
        <v>0</v>
      </c>
      <c r="Z54" s="71"/>
      <c r="AA54" s="92">
        <v>0</v>
      </c>
      <c r="AB54" s="95">
        <v>0</v>
      </c>
    </row>
    <row r="55" spans="2:28" x14ac:dyDescent="0.55000000000000004">
      <c r="B55" s="85" t="s">
        <v>275</v>
      </c>
      <c r="C55" s="86">
        <v>4</v>
      </c>
      <c r="D55" s="87" t="s">
        <v>276</v>
      </c>
      <c r="E55" s="157">
        <v>924850</v>
      </c>
      <c r="F55" s="158">
        <v>13694037</v>
      </c>
      <c r="G55" s="159">
        <v>14618887</v>
      </c>
      <c r="H55" s="68">
        <v>0</v>
      </c>
      <c r="I55" s="69">
        <v>0</v>
      </c>
      <c r="J55" s="91">
        <v>14618887</v>
      </c>
      <c r="K55" s="71"/>
      <c r="L55" s="92">
        <v>14618887</v>
      </c>
      <c r="N55" s="85" t="s">
        <v>275</v>
      </c>
      <c r="O55" s="86">
        <v>4</v>
      </c>
      <c r="P55" s="93" t="s">
        <v>276</v>
      </c>
      <c r="Q55" s="157"/>
      <c r="R55" s="160">
        <v>4530880</v>
      </c>
      <c r="S55" s="160">
        <v>2769230</v>
      </c>
      <c r="T55" s="160">
        <v>11101410</v>
      </c>
      <c r="U55" s="161">
        <v>19722900</v>
      </c>
      <c r="V55" s="162">
        <v>38124420</v>
      </c>
      <c r="W55" s="68">
        <v>0</v>
      </c>
      <c r="X55" s="69">
        <v>0</v>
      </c>
      <c r="Y55" s="91">
        <v>38124420</v>
      </c>
      <c r="Z55" s="71"/>
      <c r="AA55" s="92">
        <v>38124420</v>
      </c>
      <c r="AB55" s="95">
        <v>14618887</v>
      </c>
    </row>
    <row r="56" spans="2:28" x14ac:dyDescent="0.55000000000000004">
      <c r="B56" s="85" t="s">
        <v>277</v>
      </c>
      <c r="C56" s="86">
        <v>4</v>
      </c>
      <c r="D56" s="87" t="s">
        <v>278</v>
      </c>
      <c r="E56" s="157"/>
      <c r="F56" s="158">
        <v>0</v>
      </c>
      <c r="G56" s="159">
        <v>0</v>
      </c>
      <c r="H56" s="68">
        <v>0</v>
      </c>
      <c r="I56" s="69">
        <v>0</v>
      </c>
      <c r="J56" s="91">
        <v>0</v>
      </c>
      <c r="K56" s="71"/>
      <c r="L56" s="92">
        <v>0</v>
      </c>
      <c r="N56" s="85" t="s">
        <v>277</v>
      </c>
      <c r="O56" s="86">
        <v>4</v>
      </c>
      <c r="P56" s="93" t="s">
        <v>278</v>
      </c>
      <c r="Q56" s="157"/>
      <c r="R56" s="160"/>
      <c r="S56" s="160"/>
      <c r="T56" s="160"/>
      <c r="U56" s="161">
        <v>4351740</v>
      </c>
      <c r="V56" s="162">
        <v>4351740</v>
      </c>
      <c r="W56" s="68">
        <v>0</v>
      </c>
      <c r="X56" s="69">
        <v>0</v>
      </c>
      <c r="Y56" s="91">
        <v>4351740</v>
      </c>
      <c r="Z56" s="71"/>
      <c r="AA56" s="92">
        <v>4351740</v>
      </c>
      <c r="AB56" s="95">
        <v>0</v>
      </c>
    </row>
    <row r="57" spans="2:28" x14ac:dyDescent="0.55000000000000004">
      <c r="B57" s="85" t="s">
        <v>279</v>
      </c>
      <c r="C57" s="86">
        <v>4</v>
      </c>
      <c r="D57" s="87" t="s">
        <v>280</v>
      </c>
      <c r="E57" s="107"/>
      <c r="F57" s="108">
        <v>0</v>
      </c>
      <c r="G57" s="109">
        <v>0</v>
      </c>
      <c r="H57" s="68">
        <v>0</v>
      </c>
      <c r="I57" s="69">
        <v>0</v>
      </c>
      <c r="J57" s="91">
        <v>0</v>
      </c>
      <c r="K57" s="71"/>
      <c r="L57" s="92">
        <v>0</v>
      </c>
      <c r="N57" s="85" t="s">
        <v>279</v>
      </c>
      <c r="O57" s="86">
        <v>4</v>
      </c>
      <c r="P57" s="93" t="s">
        <v>280</v>
      </c>
      <c r="Q57" s="107"/>
      <c r="R57" s="90"/>
      <c r="S57" s="90">
        <v>0</v>
      </c>
      <c r="T57" s="90"/>
      <c r="U57" s="89">
        <v>0</v>
      </c>
      <c r="V57" s="112">
        <v>0</v>
      </c>
      <c r="W57" s="68">
        <v>0</v>
      </c>
      <c r="X57" s="69">
        <v>0</v>
      </c>
      <c r="Y57" s="91">
        <v>0</v>
      </c>
      <c r="Z57" s="71"/>
      <c r="AA57" s="92">
        <v>0</v>
      </c>
      <c r="AB57" s="95">
        <v>0</v>
      </c>
    </row>
    <row r="58" spans="2:28" x14ac:dyDescent="0.55000000000000004">
      <c r="B58" s="85" t="s">
        <v>281</v>
      </c>
      <c r="C58" s="86">
        <v>4</v>
      </c>
      <c r="D58" s="87" t="s">
        <v>282</v>
      </c>
      <c r="E58" s="107"/>
      <c r="F58" s="108">
        <v>0</v>
      </c>
      <c r="G58" s="109">
        <v>0</v>
      </c>
      <c r="H58" s="68">
        <v>0</v>
      </c>
      <c r="I58" s="69">
        <v>0</v>
      </c>
      <c r="J58" s="91">
        <v>0</v>
      </c>
      <c r="K58" s="71"/>
      <c r="L58" s="92">
        <v>0</v>
      </c>
      <c r="N58" s="85" t="s">
        <v>281</v>
      </c>
      <c r="O58" s="86">
        <v>4</v>
      </c>
      <c r="P58" s="93" t="s">
        <v>282</v>
      </c>
      <c r="Q58" s="107">
        <v>1850000000</v>
      </c>
      <c r="R58" s="90"/>
      <c r="S58" s="90">
        <v>50297000</v>
      </c>
      <c r="T58" s="90"/>
      <c r="U58" s="89">
        <v>0</v>
      </c>
      <c r="V58" s="112">
        <v>1900297000</v>
      </c>
      <c r="W58" s="68">
        <v>1900297000</v>
      </c>
      <c r="X58" s="69">
        <v>0</v>
      </c>
      <c r="Y58" s="91">
        <v>0</v>
      </c>
      <c r="Z58" s="71"/>
      <c r="AA58" s="92">
        <v>0</v>
      </c>
      <c r="AB58" s="95">
        <v>0</v>
      </c>
    </row>
    <row r="59" spans="2:28" x14ac:dyDescent="0.55000000000000004">
      <c r="B59" s="85" t="s">
        <v>283</v>
      </c>
      <c r="C59" s="86">
        <v>4</v>
      </c>
      <c r="D59" s="87" t="s">
        <v>284</v>
      </c>
      <c r="E59" s="107"/>
      <c r="F59" s="108">
        <v>0</v>
      </c>
      <c r="G59" s="109">
        <v>0</v>
      </c>
      <c r="H59" s="68">
        <v>0</v>
      </c>
      <c r="I59" s="69">
        <v>0</v>
      </c>
      <c r="J59" s="91">
        <v>0</v>
      </c>
      <c r="K59" s="71"/>
      <c r="L59" s="92">
        <v>0</v>
      </c>
      <c r="N59" s="85" t="s">
        <v>283</v>
      </c>
      <c r="O59" s="86">
        <v>4</v>
      </c>
      <c r="P59" s="93" t="s">
        <v>284</v>
      </c>
      <c r="Q59" s="107"/>
      <c r="R59" s="90"/>
      <c r="S59" s="90"/>
      <c r="T59" s="90"/>
      <c r="U59" s="89">
        <v>0</v>
      </c>
      <c r="V59" s="112">
        <v>0</v>
      </c>
      <c r="W59" s="68">
        <v>0</v>
      </c>
      <c r="X59" s="69">
        <v>0</v>
      </c>
      <c r="Y59" s="91">
        <v>0</v>
      </c>
      <c r="Z59" s="71"/>
      <c r="AA59" s="92">
        <v>0</v>
      </c>
      <c r="AB59" s="95">
        <v>0</v>
      </c>
    </row>
    <row r="60" spans="2:28" x14ac:dyDescent="0.55000000000000004">
      <c r="B60" s="85" t="s">
        <v>285</v>
      </c>
      <c r="C60" s="86">
        <v>4</v>
      </c>
      <c r="D60" s="87" t="s">
        <v>286</v>
      </c>
      <c r="E60" s="107"/>
      <c r="F60" s="89">
        <v>596787933</v>
      </c>
      <c r="G60" s="109">
        <v>596787933</v>
      </c>
      <c r="H60" s="68">
        <v>0</v>
      </c>
      <c r="I60" s="69">
        <v>0</v>
      </c>
      <c r="J60" s="91">
        <v>596787933</v>
      </c>
      <c r="K60" s="71"/>
      <c r="L60" s="92">
        <v>596787933</v>
      </c>
      <c r="N60" s="85" t="s">
        <v>285</v>
      </c>
      <c r="O60" s="86">
        <v>4</v>
      </c>
      <c r="P60" s="93" t="s">
        <v>286</v>
      </c>
      <c r="Q60" s="107"/>
      <c r="R60" s="90">
        <v>125692388</v>
      </c>
      <c r="S60" s="90"/>
      <c r="T60" s="90">
        <v>196239450</v>
      </c>
      <c r="U60" s="89">
        <v>14531543</v>
      </c>
      <c r="V60" s="112">
        <v>336463381</v>
      </c>
      <c r="W60" s="68">
        <v>0</v>
      </c>
      <c r="X60" s="69">
        <v>0</v>
      </c>
      <c r="Y60" s="91">
        <v>336463381</v>
      </c>
      <c r="Z60" s="71"/>
      <c r="AA60" s="92">
        <v>336463381</v>
      </c>
      <c r="AB60" s="95">
        <v>596787933</v>
      </c>
    </row>
    <row r="61" spans="2:28" x14ac:dyDescent="0.55000000000000004">
      <c r="B61" s="99" t="s">
        <v>287</v>
      </c>
      <c r="C61" s="100">
        <v>4</v>
      </c>
      <c r="D61" s="87" t="s">
        <v>288</v>
      </c>
      <c r="E61" s="107"/>
      <c r="F61" s="108">
        <v>54409648</v>
      </c>
      <c r="G61" s="109">
        <v>54409648</v>
      </c>
      <c r="H61" s="68">
        <v>0</v>
      </c>
      <c r="I61" s="69">
        <v>0</v>
      </c>
      <c r="J61" s="91">
        <v>54409648</v>
      </c>
      <c r="K61" s="71"/>
      <c r="L61" s="92">
        <v>54409648</v>
      </c>
      <c r="N61" s="99" t="s">
        <v>287</v>
      </c>
      <c r="O61" s="100">
        <v>4</v>
      </c>
      <c r="P61" s="93" t="s">
        <v>288</v>
      </c>
      <c r="Q61" s="107"/>
      <c r="R61" s="90">
        <v>33040949</v>
      </c>
      <c r="S61" s="90"/>
      <c r="T61" s="90">
        <v>11243580</v>
      </c>
      <c r="U61" s="89">
        <v>67955452</v>
      </c>
      <c r="V61" s="112">
        <v>112239981</v>
      </c>
      <c r="W61" s="68">
        <v>0</v>
      </c>
      <c r="X61" s="69">
        <v>0</v>
      </c>
      <c r="Y61" s="91">
        <v>112239981</v>
      </c>
      <c r="Z61" s="71"/>
      <c r="AA61" s="92">
        <v>112239981</v>
      </c>
      <c r="AB61" s="95">
        <v>54409648</v>
      </c>
    </row>
    <row r="62" spans="2:28" x14ac:dyDescent="0.55000000000000004">
      <c r="B62" s="104" t="s">
        <v>289</v>
      </c>
      <c r="C62" s="100">
        <v>4</v>
      </c>
      <c r="D62" s="87" t="s">
        <v>290</v>
      </c>
      <c r="E62" s="163"/>
      <c r="F62" s="164">
        <v>100000000</v>
      </c>
      <c r="G62" s="165">
        <v>100000000</v>
      </c>
      <c r="H62" s="68">
        <v>0</v>
      </c>
      <c r="I62" s="69">
        <v>0</v>
      </c>
      <c r="J62" s="91">
        <v>100000000</v>
      </c>
      <c r="K62" s="71"/>
      <c r="L62" s="92">
        <v>100000000</v>
      </c>
      <c r="N62" s="104" t="s">
        <v>289</v>
      </c>
      <c r="O62" s="100">
        <v>4</v>
      </c>
      <c r="P62" s="93" t="s">
        <v>290</v>
      </c>
      <c r="Q62" s="163"/>
      <c r="R62" s="165"/>
      <c r="S62" s="165"/>
      <c r="T62" s="165"/>
      <c r="U62" s="164">
        <v>100000000</v>
      </c>
      <c r="V62" s="166">
        <v>100000000</v>
      </c>
      <c r="W62" s="68">
        <v>0</v>
      </c>
      <c r="X62" s="69">
        <v>0</v>
      </c>
      <c r="Y62" s="91">
        <v>100000000</v>
      </c>
      <c r="Z62" s="71"/>
      <c r="AA62" s="92">
        <v>100000000</v>
      </c>
      <c r="AB62" s="102">
        <v>100000000</v>
      </c>
    </row>
    <row r="63" spans="2:28" x14ac:dyDescent="0.55000000000000004">
      <c r="B63" s="62" t="s">
        <v>291</v>
      </c>
      <c r="C63" s="63">
        <v>2</v>
      </c>
      <c r="D63" s="64" t="s">
        <v>292</v>
      </c>
      <c r="E63" s="65">
        <v>0</v>
      </c>
      <c r="F63" s="66">
        <v>575190278</v>
      </c>
      <c r="G63" s="67">
        <v>575190278</v>
      </c>
      <c r="H63" s="68">
        <v>0</v>
      </c>
      <c r="I63" s="69">
        <v>0</v>
      </c>
      <c r="J63" s="70">
        <v>575190278</v>
      </c>
      <c r="K63" s="71"/>
      <c r="L63" s="72">
        <v>575190278</v>
      </c>
      <c r="N63" s="62" t="s">
        <v>291</v>
      </c>
      <c r="O63" s="63">
        <v>2</v>
      </c>
      <c r="P63" s="62" t="s">
        <v>292</v>
      </c>
      <c r="Q63" s="65">
        <v>0</v>
      </c>
      <c r="R63" s="67">
        <v>0</v>
      </c>
      <c r="S63" s="67">
        <v>0</v>
      </c>
      <c r="T63" s="67">
        <v>0</v>
      </c>
      <c r="U63" s="66">
        <v>611758310</v>
      </c>
      <c r="V63" s="73">
        <v>611758310</v>
      </c>
      <c r="W63" s="68">
        <v>0</v>
      </c>
      <c r="X63" s="69">
        <v>0</v>
      </c>
      <c r="Y63" s="70">
        <v>611758310</v>
      </c>
      <c r="Z63" s="71"/>
      <c r="AA63" s="72">
        <v>611758310</v>
      </c>
      <c r="AB63" s="74">
        <v>575190278</v>
      </c>
    </row>
    <row r="64" spans="2:28" x14ac:dyDescent="0.55000000000000004">
      <c r="B64" s="85" t="s">
        <v>293</v>
      </c>
      <c r="C64" s="86">
        <v>4</v>
      </c>
      <c r="D64" s="87" t="s">
        <v>294</v>
      </c>
      <c r="E64" s="107"/>
      <c r="F64" s="108">
        <v>33190278</v>
      </c>
      <c r="G64" s="109">
        <v>33190278</v>
      </c>
      <c r="H64" s="68">
        <v>0</v>
      </c>
      <c r="I64" s="69">
        <v>0</v>
      </c>
      <c r="J64" s="91">
        <v>33190278</v>
      </c>
      <c r="K64" s="71"/>
      <c r="L64" s="110">
        <v>33190278</v>
      </c>
      <c r="N64" s="85" t="s">
        <v>293</v>
      </c>
      <c r="O64" s="86">
        <v>4</v>
      </c>
      <c r="P64" s="93" t="s">
        <v>294</v>
      </c>
      <c r="Q64" s="107"/>
      <c r="R64" s="109"/>
      <c r="S64" s="109"/>
      <c r="T64" s="109"/>
      <c r="U64" s="108">
        <v>69758310</v>
      </c>
      <c r="V64" s="112">
        <v>69758310</v>
      </c>
      <c r="W64" s="68">
        <v>0</v>
      </c>
      <c r="X64" s="69">
        <v>0</v>
      </c>
      <c r="Y64" s="91">
        <v>69758310</v>
      </c>
      <c r="Z64" s="71"/>
      <c r="AA64" s="110">
        <v>69758310</v>
      </c>
      <c r="AB64" s="95">
        <v>33190278</v>
      </c>
    </row>
    <row r="65" spans="2:28" x14ac:dyDescent="0.55000000000000004">
      <c r="B65" s="167" t="s">
        <v>295</v>
      </c>
      <c r="C65" s="86">
        <v>4</v>
      </c>
      <c r="D65" s="87" t="s">
        <v>296</v>
      </c>
      <c r="E65" s="107"/>
      <c r="F65" s="108">
        <v>0</v>
      </c>
      <c r="G65" s="109">
        <v>0</v>
      </c>
      <c r="H65" s="68">
        <v>0</v>
      </c>
      <c r="I65" s="69">
        <v>0</v>
      </c>
      <c r="J65" s="91">
        <v>0</v>
      </c>
      <c r="K65" s="71"/>
      <c r="L65" s="110">
        <v>0</v>
      </c>
      <c r="N65" s="167" t="s">
        <v>295</v>
      </c>
      <c r="O65" s="86">
        <v>4</v>
      </c>
      <c r="P65" s="93" t="s">
        <v>296</v>
      </c>
      <c r="Q65" s="107"/>
      <c r="R65" s="109"/>
      <c r="S65" s="109"/>
      <c r="T65" s="109"/>
      <c r="U65" s="108">
        <v>0</v>
      </c>
      <c r="V65" s="112">
        <v>0</v>
      </c>
      <c r="W65" s="68">
        <v>0</v>
      </c>
      <c r="X65" s="69">
        <v>0</v>
      </c>
      <c r="Y65" s="91">
        <v>0</v>
      </c>
      <c r="Z65" s="71"/>
      <c r="AA65" s="110">
        <v>0</v>
      </c>
      <c r="AB65" s="95">
        <v>0</v>
      </c>
    </row>
    <row r="66" spans="2:28" x14ac:dyDescent="0.55000000000000004">
      <c r="B66" s="85" t="s">
        <v>297</v>
      </c>
      <c r="C66" s="86">
        <v>4</v>
      </c>
      <c r="D66" s="87" t="s">
        <v>298</v>
      </c>
      <c r="E66" s="107"/>
      <c r="F66" s="108">
        <v>542000000</v>
      </c>
      <c r="G66" s="109">
        <v>542000000</v>
      </c>
      <c r="H66" s="68">
        <v>0</v>
      </c>
      <c r="I66" s="69">
        <v>0</v>
      </c>
      <c r="J66" s="91">
        <v>542000000</v>
      </c>
      <c r="K66" s="71"/>
      <c r="L66" s="110">
        <v>542000000</v>
      </c>
      <c r="N66" s="85" t="s">
        <v>297</v>
      </c>
      <c r="O66" s="86">
        <v>4</v>
      </c>
      <c r="P66" s="93" t="s">
        <v>298</v>
      </c>
      <c r="Q66" s="107"/>
      <c r="R66" s="109"/>
      <c r="S66" s="109"/>
      <c r="T66" s="109"/>
      <c r="U66" s="108">
        <v>542000000</v>
      </c>
      <c r="V66" s="112">
        <v>542000000</v>
      </c>
      <c r="W66" s="68">
        <v>0</v>
      </c>
      <c r="X66" s="69">
        <v>0</v>
      </c>
      <c r="Y66" s="91">
        <v>542000000</v>
      </c>
      <c r="Z66" s="71"/>
      <c r="AA66" s="110">
        <v>542000000</v>
      </c>
      <c r="AB66" s="95">
        <v>542000000</v>
      </c>
    </row>
    <row r="67" spans="2:28" x14ac:dyDescent="0.55000000000000004">
      <c r="B67" s="85" t="s">
        <v>299</v>
      </c>
      <c r="C67" s="86">
        <v>4</v>
      </c>
      <c r="D67" s="87" t="s">
        <v>300</v>
      </c>
      <c r="E67" s="107"/>
      <c r="F67" s="108">
        <v>0</v>
      </c>
      <c r="G67" s="109">
        <v>0</v>
      </c>
      <c r="H67" s="68">
        <v>0</v>
      </c>
      <c r="I67" s="69">
        <v>0</v>
      </c>
      <c r="J67" s="91">
        <v>0</v>
      </c>
      <c r="K67" s="71"/>
      <c r="L67" s="110">
        <v>0</v>
      </c>
      <c r="N67" s="85" t="s">
        <v>299</v>
      </c>
      <c r="O67" s="86">
        <v>4</v>
      </c>
      <c r="P67" s="93" t="s">
        <v>300</v>
      </c>
      <c r="Q67" s="107"/>
      <c r="R67" s="109"/>
      <c r="S67" s="109"/>
      <c r="T67" s="109"/>
      <c r="U67" s="108">
        <v>0</v>
      </c>
      <c r="V67" s="112">
        <v>0</v>
      </c>
      <c r="W67" s="68">
        <v>0</v>
      </c>
      <c r="X67" s="69">
        <v>0</v>
      </c>
      <c r="Y67" s="91">
        <v>0</v>
      </c>
      <c r="Z67" s="71"/>
      <c r="AA67" s="110">
        <v>0</v>
      </c>
      <c r="AB67" s="95">
        <v>0</v>
      </c>
    </row>
    <row r="68" spans="2:28" x14ac:dyDescent="0.55000000000000004">
      <c r="B68" s="103" t="s">
        <v>213</v>
      </c>
      <c r="C68" s="168">
        <v>4</v>
      </c>
      <c r="D68" s="87" t="s">
        <v>299</v>
      </c>
      <c r="E68" s="107"/>
      <c r="F68" s="108">
        <v>0</v>
      </c>
      <c r="G68" s="109">
        <v>0</v>
      </c>
      <c r="H68" s="68">
        <v>0</v>
      </c>
      <c r="I68" s="69">
        <v>0</v>
      </c>
      <c r="J68" s="91">
        <v>0</v>
      </c>
      <c r="K68" s="71"/>
      <c r="L68" s="110">
        <v>0</v>
      </c>
      <c r="N68" s="103" t="s">
        <v>213</v>
      </c>
      <c r="O68" s="168">
        <v>4</v>
      </c>
      <c r="P68" s="93" t="s">
        <v>299</v>
      </c>
      <c r="Q68" s="107"/>
      <c r="R68" s="109"/>
      <c r="S68" s="109"/>
      <c r="T68" s="109"/>
      <c r="U68" s="108">
        <v>0</v>
      </c>
      <c r="V68" s="112">
        <v>0</v>
      </c>
      <c r="W68" s="68">
        <v>0</v>
      </c>
      <c r="X68" s="69">
        <v>0</v>
      </c>
      <c r="Y68" s="91">
        <v>0</v>
      </c>
      <c r="Z68" s="71"/>
      <c r="AA68" s="110">
        <v>0</v>
      </c>
      <c r="AB68" s="95">
        <v>0</v>
      </c>
    </row>
    <row r="69" spans="2:28" x14ac:dyDescent="0.55000000000000004">
      <c r="B69" s="146" t="s">
        <v>301</v>
      </c>
      <c r="C69" s="147">
        <v>1</v>
      </c>
      <c r="D69" s="148" t="s">
        <v>302</v>
      </c>
      <c r="E69" s="149">
        <v>3611600</v>
      </c>
      <c r="F69" s="150">
        <v>1775307874</v>
      </c>
      <c r="G69" s="151">
        <v>1778919474</v>
      </c>
      <c r="H69" s="68">
        <v>0</v>
      </c>
      <c r="I69" s="69">
        <v>0</v>
      </c>
      <c r="J69" s="152">
        <v>1778919474</v>
      </c>
      <c r="K69" s="71"/>
      <c r="L69" s="169">
        <v>1778919474</v>
      </c>
      <c r="N69" s="146" t="s">
        <v>301</v>
      </c>
      <c r="O69" s="147">
        <v>1</v>
      </c>
      <c r="P69" s="154" t="s">
        <v>302</v>
      </c>
      <c r="Q69" s="149">
        <v>1850000000</v>
      </c>
      <c r="R69" s="151">
        <v>285128155</v>
      </c>
      <c r="S69" s="151">
        <v>232600815</v>
      </c>
      <c r="T69" s="151">
        <v>753305854</v>
      </c>
      <c r="U69" s="150">
        <v>1024140150</v>
      </c>
      <c r="V69" s="155">
        <v>4145174974</v>
      </c>
      <c r="W69" s="68">
        <v>0</v>
      </c>
      <c r="X69" s="69">
        <v>0</v>
      </c>
      <c r="Y69" s="152">
        <v>2243626974</v>
      </c>
      <c r="Z69" s="71"/>
      <c r="AA69" s="169">
        <v>2243626974</v>
      </c>
      <c r="AB69" s="156">
        <v>1778919474</v>
      </c>
    </row>
    <row r="70" spans="2:28" x14ac:dyDescent="0.55000000000000004">
      <c r="B70" s="62" t="s">
        <v>303</v>
      </c>
      <c r="C70" s="63">
        <v>1</v>
      </c>
      <c r="D70" s="64" t="s">
        <v>304</v>
      </c>
      <c r="E70" s="65">
        <v>43068329</v>
      </c>
      <c r="F70" s="66">
        <v>2748078724</v>
      </c>
      <c r="G70" s="67">
        <v>2791147053</v>
      </c>
      <c r="H70" s="68">
        <v>0</v>
      </c>
      <c r="I70" s="69">
        <v>0</v>
      </c>
      <c r="J70" s="70">
        <v>2691147053</v>
      </c>
      <c r="K70" s="71"/>
      <c r="L70" s="72">
        <v>2691147053</v>
      </c>
      <c r="N70" s="62" t="s">
        <v>303</v>
      </c>
      <c r="O70" s="63">
        <v>1</v>
      </c>
      <c r="P70" s="62" t="s">
        <v>304</v>
      </c>
      <c r="Q70" s="65">
        <v>299948949</v>
      </c>
      <c r="R70" s="67">
        <v>3546674492</v>
      </c>
      <c r="S70" s="67">
        <v>23682317</v>
      </c>
      <c r="T70" s="67">
        <v>3835980619</v>
      </c>
      <c r="U70" s="66">
        <v>9112200164</v>
      </c>
      <c r="V70" s="73">
        <v>16818486541</v>
      </c>
      <c r="W70" s="68">
        <v>0</v>
      </c>
      <c r="X70" s="69">
        <v>0</v>
      </c>
      <c r="Y70" s="70">
        <v>16303209625</v>
      </c>
      <c r="Z70" s="71"/>
      <c r="AA70" s="72">
        <v>16303209625</v>
      </c>
      <c r="AB70" s="74">
        <v>2691147053</v>
      </c>
    </row>
    <row r="71" spans="2:28" x14ac:dyDescent="0.55000000000000004">
      <c r="B71" s="170" t="s">
        <v>305</v>
      </c>
      <c r="C71" s="171">
        <v>2</v>
      </c>
      <c r="D71" s="172" t="s">
        <v>306</v>
      </c>
      <c r="E71" s="78">
        <v>100000000</v>
      </c>
      <c r="F71" s="79">
        <v>100000000</v>
      </c>
      <c r="G71" s="80">
        <v>200000000</v>
      </c>
      <c r="H71" s="68">
        <v>0</v>
      </c>
      <c r="I71" s="69">
        <v>0</v>
      </c>
      <c r="J71" s="81">
        <v>100000000</v>
      </c>
      <c r="K71" s="71"/>
      <c r="L71" s="82">
        <v>100000000</v>
      </c>
      <c r="N71" s="170" t="s">
        <v>305</v>
      </c>
      <c r="O71" s="171">
        <v>2</v>
      </c>
      <c r="P71" s="170" t="s">
        <v>306</v>
      </c>
      <c r="Q71" s="78">
        <v>300000000</v>
      </c>
      <c r="R71" s="80">
        <v>60000000</v>
      </c>
      <c r="S71" s="80">
        <v>10000000</v>
      </c>
      <c r="T71" s="80">
        <v>100000000</v>
      </c>
      <c r="U71" s="79">
        <v>100000000</v>
      </c>
      <c r="V71" s="83">
        <v>570000000</v>
      </c>
      <c r="W71" s="68">
        <v>0</v>
      </c>
      <c r="X71" s="69">
        <v>0</v>
      </c>
      <c r="Y71" s="81">
        <v>100000000</v>
      </c>
      <c r="Z71" s="71"/>
      <c r="AA71" s="82">
        <v>100000000</v>
      </c>
      <c r="AB71" s="84">
        <v>100000000</v>
      </c>
    </row>
    <row r="72" spans="2:28" x14ac:dyDescent="0.55000000000000004">
      <c r="B72" s="85" t="s">
        <v>307</v>
      </c>
      <c r="C72" s="86">
        <v>4</v>
      </c>
      <c r="D72" s="87" t="s">
        <v>308</v>
      </c>
      <c r="E72" s="88">
        <v>100000000</v>
      </c>
      <c r="F72" s="108">
        <v>100000000</v>
      </c>
      <c r="G72" s="109">
        <v>200000000</v>
      </c>
      <c r="H72" s="68">
        <v>100000000</v>
      </c>
      <c r="I72" s="69">
        <v>0</v>
      </c>
      <c r="J72" s="91">
        <v>100000000</v>
      </c>
      <c r="K72" s="71"/>
      <c r="L72" s="110">
        <v>100000000</v>
      </c>
      <c r="N72" s="85" t="s">
        <v>307</v>
      </c>
      <c r="O72" s="86">
        <v>4</v>
      </c>
      <c r="P72" s="93" t="s">
        <v>308</v>
      </c>
      <c r="Q72" s="107">
        <v>300000000</v>
      </c>
      <c r="R72" s="109">
        <v>60000000</v>
      </c>
      <c r="S72" s="90">
        <v>10000000</v>
      </c>
      <c r="T72" s="109">
        <v>100000000</v>
      </c>
      <c r="U72" s="108">
        <v>100000000</v>
      </c>
      <c r="V72" s="112">
        <v>570000000</v>
      </c>
      <c r="W72" s="68">
        <v>470000000</v>
      </c>
      <c r="X72" s="69">
        <v>0</v>
      </c>
      <c r="Y72" s="91">
        <v>100000000</v>
      </c>
      <c r="Z72" s="71"/>
      <c r="AA72" s="110">
        <v>100000000</v>
      </c>
      <c r="AB72" s="95">
        <v>100000000</v>
      </c>
    </row>
    <row r="73" spans="2:28" x14ac:dyDescent="0.55000000000000004">
      <c r="B73" s="170" t="s">
        <v>309</v>
      </c>
      <c r="C73" s="171">
        <v>2</v>
      </c>
      <c r="D73" s="172" t="s">
        <v>310</v>
      </c>
      <c r="E73" s="78">
        <v>0</v>
      </c>
      <c r="F73" s="79">
        <v>0</v>
      </c>
      <c r="G73" s="80">
        <v>0</v>
      </c>
      <c r="H73" s="68">
        <v>0</v>
      </c>
      <c r="I73" s="69">
        <v>0</v>
      </c>
      <c r="J73" s="81">
        <v>0</v>
      </c>
      <c r="K73" s="71"/>
      <c r="L73" s="82">
        <v>0</v>
      </c>
      <c r="N73" s="170" t="s">
        <v>309</v>
      </c>
      <c r="O73" s="171">
        <v>2</v>
      </c>
      <c r="P73" s="170" t="s">
        <v>310</v>
      </c>
      <c r="Q73" s="78">
        <v>0</v>
      </c>
      <c r="R73" s="80">
        <v>0</v>
      </c>
      <c r="S73" s="80">
        <v>0</v>
      </c>
      <c r="T73" s="80">
        <v>0</v>
      </c>
      <c r="U73" s="79">
        <v>0</v>
      </c>
      <c r="V73" s="83">
        <v>0</v>
      </c>
      <c r="W73" s="68">
        <v>0</v>
      </c>
      <c r="X73" s="69">
        <v>0</v>
      </c>
      <c r="Y73" s="81">
        <v>0</v>
      </c>
      <c r="Z73" s="71"/>
      <c r="AA73" s="82">
        <v>0</v>
      </c>
      <c r="AB73" s="84">
        <v>0</v>
      </c>
    </row>
    <row r="74" spans="2:28" x14ac:dyDescent="0.55000000000000004">
      <c r="B74" s="85" t="s">
        <v>311</v>
      </c>
      <c r="C74" s="86">
        <v>4</v>
      </c>
      <c r="D74" s="87" t="s">
        <v>312</v>
      </c>
      <c r="E74" s="107"/>
      <c r="F74" s="108">
        <v>0</v>
      </c>
      <c r="G74" s="109">
        <v>0</v>
      </c>
      <c r="H74" s="68">
        <v>0</v>
      </c>
      <c r="I74" s="69">
        <v>0</v>
      </c>
      <c r="J74" s="91">
        <v>0</v>
      </c>
      <c r="K74" s="71"/>
      <c r="L74" s="110">
        <v>0</v>
      </c>
      <c r="N74" s="85" t="s">
        <v>311</v>
      </c>
      <c r="O74" s="86">
        <v>4</v>
      </c>
      <c r="P74" s="93" t="s">
        <v>312</v>
      </c>
      <c r="Q74" s="107"/>
      <c r="R74" s="109"/>
      <c r="S74" s="109"/>
      <c r="T74" s="109"/>
      <c r="U74" s="108"/>
      <c r="V74" s="112">
        <v>0</v>
      </c>
      <c r="W74" s="68">
        <v>0</v>
      </c>
      <c r="X74" s="69">
        <v>0</v>
      </c>
      <c r="Y74" s="91">
        <v>0</v>
      </c>
      <c r="Z74" s="71"/>
      <c r="AA74" s="110">
        <v>0</v>
      </c>
      <c r="AB74" s="95">
        <v>0</v>
      </c>
    </row>
    <row r="75" spans="2:28" x14ac:dyDescent="0.55000000000000004">
      <c r="B75" s="99" t="s">
        <v>213</v>
      </c>
      <c r="C75" s="100">
        <v>4</v>
      </c>
      <c r="D75" s="144" t="s">
        <v>313</v>
      </c>
      <c r="E75" s="107"/>
      <c r="F75" s="108">
        <v>0</v>
      </c>
      <c r="G75" s="109">
        <v>0</v>
      </c>
      <c r="H75" s="68">
        <v>0</v>
      </c>
      <c r="I75" s="69">
        <v>0</v>
      </c>
      <c r="J75" s="91">
        <v>0</v>
      </c>
      <c r="K75" s="71"/>
      <c r="L75" s="110">
        <v>0</v>
      </c>
      <c r="N75" s="99" t="s">
        <v>213</v>
      </c>
      <c r="O75" s="100">
        <v>4</v>
      </c>
      <c r="P75" s="145" t="s">
        <v>313</v>
      </c>
      <c r="Q75" s="107"/>
      <c r="R75" s="109"/>
      <c r="S75" s="109"/>
      <c r="T75" s="109"/>
      <c r="U75" s="108"/>
      <c r="V75" s="112">
        <v>0</v>
      </c>
      <c r="W75" s="68">
        <v>0</v>
      </c>
      <c r="X75" s="69">
        <v>0</v>
      </c>
      <c r="Y75" s="91">
        <v>0</v>
      </c>
      <c r="Z75" s="71"/>
      <c r="AA75" s="110">
        <v>0</v>
      </c>
      <c r="AB75" s="95">
        <v>0</v>
      </c>
    </row>
    <row r="76" spans="2:28" x14ac:dyDescent="0.55000000000000004">
      <c r="B76" s="170" t="s">
        <v>314</v>
      </c>
      <c r="C76" s="171">
        <v>2</v>
      </c>
      <c r="D76" s="172" t="s">
        <v>315</v>
      </c>
      <c r="E76" s="78">
        <v>0</v>
      </c>
      <c r="F76" s="79">
        <v>0</v>
      </c>
      <c r="G76" s="80">
        <v>0</v>
      </c>
      <c r="H76" s="68">
        <v>0</v>
      </c>
      <c r="I76" s="69">
        <v>0</v>
      </c>
      <c r="J76" s="81">
        <v>0</v>
      </c>
      <c r="K76" s="71"/>
      <c r="L76" s="82">
        <v>0</v>
      </c>
      <c r="N76" s="170" t="s">
        <v>314</v>
      </c>
      <c r="O76" s="171">
        <v>2</v>
      </c>
      <c r="P76" s="170" t="s">
        <v>315</v>
      </c>
      <c r="Q76" s="78">
        <v>0</v>
      </c>
      <c r="R76" s="80">
        <v>0</v>
      </c>
      <c r="S76" s="80">
        <v>0</v>
      </c>
      <c r="T76" s="80">
        <v>0</v>
      </c>
      <c r="U76" s="79">
        <v>0</v>
      </c>
      <c r="V76" s="83">
        <v>0</v>
      </c>
      <c r="W76" s="68">
        <v>0</v>
      </c>
      <c r="X76" s="69">
        <v>0</v>
      </c>
      <c r="Y76" s="81">
        <v>0</v>
      </c>
      <c r="Z76" s="71"/>
      <c r="AA76" s="82">
        <v>0</v>
      </c>
      <c r="AB76" s="84">
        <v>0</v>
      </c>
    </row>
    <row r="77" spans="2:28" x14ac:dyDescent="0.55000000000000004">
      <c r="B77" s="99" t="s">
        <v>213</v>
      </c>
      <c r="C77" s="100">
        <v>4</v>
      </c>
      <c r="D77" s="144" t="s">
        <v>316</v>
      </c>
      <c r="E77" s="107"/>
      <c r="F77" s="108">
        <v>0</v>
      </c>
      <c r="G77" s="109">
        <v>0</v>
      </c>
      <c r="H77" s="68">
        <v>0</v>
      </c>
      <c r="I77" s="69">
        <v>0</v>
      </c>
      <c r="J77" s="91">
        <v>0</v>
      </c>
      <c r="K77" s="71"/>
      <c r="L77" s="110">
        <v>0</v>
      </c>
      <c r="N77" s="99" t="s">
        <v>213</v>
      </c>
      <c r="O77" s="100">
        <v>4</v>
      </c>
      <c r="P77" s="145" t="s">
        <v>316</v>
      </c>
      <c r="Q77" s="107"/>
      <c r="R77" s="109"/>
      <c r="S77" s="109"/>
      <c r="T77" s="109"/>
      <c r="U77" s="108"/>
      <c r="V77" s="112">
        <v>0</v>
      </c>
      <c r="W77" s="68">
        <v>0</v>
      </c>
      <c r="X77" s="69">
        <v>0</v>
      </c>
      <c r="Y77" s="91">
        <v>0</v>
      </c>
      <c r="Z77" s="71"/>
      <c r="AA77" s="110">
        <v>0</v>
      </c>
      <c r="AB77" s="95">
        <v>0</v>
      </c>
    </row>
    <row r="78" spans="2:28" x14ac:dyDescent="0.55000000000000004">
      <c r="B78" s="170" t="s">
        <v>317</v>
      </c>
      <c r="C78" s="171">
        <v>2</v>
      </c>
      <c r="D78" s="172" t="s">
        <v>318</v>
      </c>
      <c r="E78" s="78">
        <v>0</v>
      </c>
      <c r="F78" s="79">
        <v>0</v>
      </c>
      <c r="G78" s="80">
        <v>0</v>
      </c>
      <c r="H78" s="68">
        <v>0</v>
      </c>
      <c r="I78" s="69">
        <v>0</v>
      </c>
      <c r="J78" s="81">
        <v>0</v>
      </c>
      <c r="K78" s="71"/>
      <c r="L78" s="82">
        <v>0</v>
      </c>
      <c r="N78" s="170" t="s">
        <v>317</v>
      </c>
      <c r="O78" s="171">
        <v>2</v>
      </c>
      <c r="P78" s="170" t="s">
        <v>318</v>
      </c>
      <c r="Q78" s="78">
        <v>0</v>
      </c>
      <c r="R78" s="80">
        <v>0</v>
      </c>
      <c r="S78" s="80">
        <v>0</v>
      </c>
      <c r="T78" s="80">
        <v>0</v>
      </c>
      <c r="U78" s="79">
        <v>0</v>
      </c>
      <c r="V78" s="83">
        <v>0</v>
      </c>
      <c r="W78" s="68">
        <v>0</v>
      </c>
      <c r="X78" s="69">
        <v>0</v>
      </c>
      <c r="Y78" s="81">
        <v>0</v>
      </c>
      <c r="Z78" s="71"/>
      <c r="AA78" s="82">
        <v>0</v>
      </c>
      <c r="AB78" s="84">
        <v>0</v>
      </c>
    </row>
    <row r="79" spans="2:28" x14ac:dyDescent="0.55000000000000004">
      <c r="B79" s="173" t="s">
        <v>319</v>
      </c>
      <c r="C79" s="174">
        <v>4</v>
      </c>
      <c r="D79" s="175" t="s">
        <v>320</v>
      </c>
      <c r="E79" s="107"/>
      <c r="F79" s="108">
        <v>0</v>
      </c>
      <c r="G79" s="109">
        <v>0</v>
      </c>
      <c r="H79" s="68">
        <v>0</v>
      </c>
      <c r="I79" s="69">
        <v>0</v>
      </c>
      <c r="J79" s="101">
        <v>0</v>
      </c>
      <c r="K79" s="71"/>
      <c r="L79" s="92">
        <v>0</v>
      </c>
      <c r="N79" s="173" t="s">
        <v>319</v>
      </c>
      <c r="O79" s="174">
        <v>4</v>
      </c>
      <c r="P79" s="176" t="s">
        <v>320</v>
      </c>
      <c r="Q79" s="107"/>
      <c r="R79" s="109"/>
      <c r="S79" s="109"/>
      <c r="T79" s="109"/>
      <c r="U79" s="108"/>
      <c r="V79" s="112">
        <v>0</v>
      </c>
      <c r="W79" s="68">
        <v>0</v>
      </c>
      <c r="X79" s="69">
        <v>0</v>
      </c>
      <c r="Y79" s="101">
        <v>0</v>
      </c>
      <c r="Z79" s="71"/>
      <c r="AA79" s="92">
        <v>0</v>
      </c>
      <c r="AB79" s="95">
        <v>0</v>
      </c>
    </row>
    <row r="80" spans="2:28" x14ac:dyDescent="0.55000000000000004">
      <c r="B80" s="85" t="s">
        <v>321</v>
      </c>
      <c r="C80" s="86">
        <v>4</v>
      </c>
      <c r="D80" s="87" t="s">
        <v>322</v>
      </c>
      <c r="E80" s="107"/>
      <c r="F80" s="108">
        <v>0</v>
      </c>
      <c r="G80" s="109">
        <v>0</v>
      </c>
      <c r="H80" s="68">
        <v>0</v>
      </c>
      <c r="I80" s="69">
        <v>0</v>
      </c>
      <c r="J80" s="91">
        <v>0</v>
      </c>
      <c r="K80" s="71"/>
      <c r="L80" s="92">
        <v>0</v>
      </c>
      <c r="N80" s="85" t="s">
        <v>321</v>
      </c>
      <c r="O80" s="86">
        <v>4</v>
      </c>
      <c r="P80" s="93" t="s">
        <v>322</v>
      </c>
      <c r="Q80" s="107"/>
      <c r="R80" s="109"/>
      <c r="S80" s="109"/>
      <c r="T80" s="109"/>
      <c r="U80" s="108">
        <v>0</v>
      </c>
      <c r="V80" s="112">
        <v>0</v>
      </c>
      <c r="W80" s="68">
        <v>0</v>
      </c>
      <c r="X80" s="69">
        <v>0</v>
      </c>
      <c r="Y80" s="91">
        <v>0</v>
      </c>
      <c r="Z80" s="71"/>
      <c r="AA80" s="92">
        <v>0</v>
      </c>
      <c r="AB80" s="95">
        <v>0</v>
      </c>
    </row>
    <row r="81" spans="2:28" x14ac:dyDescent="0.55000000000000004">
      <c r="B81" s="85" t="s">
        <v>213</v>
      </c>
      <c r="C81" s="86">
        <v>4</v>
      </c>
      <c r="D81" s="87" t="s">
        <v>299</v>
      </c>
      <c r="E81" s="107"/>
      <c r="F81" s="108">
        <v>0</v>
      </c>
      <c r="G81" s="109">
        <v>0</v>
      </c>
      <c r="H81" s="68">
        <v>0</v>
      </c>
      <c r="I81" s="69">
        <v>0</v>
      </c>
      <c r="J81" s="91">
        <v>0</v>
      </c>
      <c r="K81" s="71"/>
      <c r="L81" s="110">
        <v>0</v>
      </c>
      <c r="N81" s="85" t="s">
        <v>213</v>
      </c>
      <c r="O81" s="86">
        <v>4</v>
      </c>
      <c r="P81" s="93" t="s">
        <v>299</v>
      </c>
      <c r="Q81" s="107"/>
      <c r="R81" s="109"/>
      <c r="S81" s="109"/>
      <c r="T81" s="109"/>
      <c r="U81" s="108">
        <v>0</v>
      </c>
      <c r="V81" s="112">
        <v>0</v>
      </c>
      <c r="W81" s="68">
        <v>0</v>
      </c>
      <c r="X81" s="69">
        <v>0</v>
      </c>
      <c r="Y81" s="91">
        <v>0</v>
      </c>
      <c r="Z81" s="71"/>
      <c r="AA81" s="110">
        <v>0</v>
      </c>
      <c r="AB81" s="95">
        <v>0</v>
      </c>
    </row>
    <row r="82" spans="2:28" x14ac:dyDescent="0.55000000000000004">
      <c r="B82" s="170" t="s">
        <v>323</v>
      </c>
      <c r="C82" s="171">
        <v>2</v>
      </c>
      <c r="D82" s="172" t="s">
        <v>324</v>
      </c>
      <c r="E82" s="78">
        <v>-56931671</v>
      </c>
      <c r="F82" s="79">
        <v>2648078724</v>
      </c>
      <c r="G82" s="80">
        <v>2591147053</v>
      </c>
      <c r="H82" s="68">
        <v>0</v>
      </c>
      <c r="I82" s="69">
        <v>0</v>
      </c>
      <c r="J82" s="81">
        <v>2591147053</v>
      </c>
      <c r="K82" s="71"/>
      <c r="L82" s="82">
        <v>2591147053</v>
      </c>
      <c r="N82" s="170" t="s">
        <v>323</v>
      </c>
      <c r="O82" s="171">
        <v>2</v>
      </c>
      <c r="P82" s="170" t="s">
        <v>324</v>
      </c>
      <c r="Q82" s="78">
        <v>-51051</v>
      </c>
      <c r="R82" s="80">
        <v>3486674492</v>
      </c>
      <c r="S82" s="80">
        <v>13682317</v>
      </c>
      <c r="T82" s="80">
        <v>3735980619</v>
      </c>
      <c r="U82" s="79">
        <v>9012200164</v>
      </c>
      <c r="V82" s="83">
        <v>16248486541</v>
      </c>
      <c r="W82" s="68">
        <v>0</v>
      </c>
      <c r="X82" s="69">
        <v>0</v>
      </c>
      <c r="Y82" s="81">
        <v>16203209625</v>
      </c>
      <c r="Z82" s="71"/>
      <c r="AA82" s="82">
        <v>16203209625</v>
      </c>
      <c r="AB82" s="84">
        <v>2591147053</v>
      </c>
    </row>
    <row r="83" spans="2:28" x14ac:dyDescent="0.55000000000000004">
      <c r="B83" s="85" t="s">
        <v>325</v>
      </c>
      <c r="C83" s="86">
        <v>4</v>
      </c>
      <c r="D83" s="87" t="s">
        <v>326</v>
      </c>
      <c r="E83" s="107"/>
      <c r="F83" s="108">
        <v>0</v>
      </c>
      <c r="G83" s="109">
        <v>0</v>
      </c>
      <c r="H83" s="68">
        <v>0</v>
      </c>
      <c r="I83" s="69">
        <v>0</v>
      </c>
      <c r="J83" s="91">
        <v>0</v>
      </c>
      <c r="K83" s="71"/>
      <c r="L83" s="92">
        <v>0</v>
      </c>
      <c r="N83" s="85" t="s">
        <v>325</v>
      </c>
      <c r="O83" s="86">
        <v>4</v>
      </c>
      <c r="P83" s="93" t="s">
        <v>326</v>
      </c>
      <c r="Q83" s="107"/>
      <c r="R83" s="109"/>
      <c r="S83" s="109"/>
      <c r="T83" s="109"/>
      <c r="U83" s="108">
        <v>2857143</v>
      </c>
      <c r="V83" s="112">
        <v>2857143</v>
      </c>
      <c r="W83" s="68">
        <v>0</v>
      </c>
      <c r="X83" s="69">
        <v>0</v>
      </c>
      <c r="Y83" s="91">
        <v>2857143</v>
      </c>
      <c r="Z83" s="71"/>
      <c r="AA83" s="92">
        <v>2857143</v>
      </c>
      <c r="AB83" s="95">
        <v>0</v>
      </c>
    </row>
    <row r="84" spans="2:28" x14ac:dyDescent="0.55000000000000004">
      <c r="B84" s="85" t="s">
        <v>327</v>
      </c>
      <c r="C84" s="86">
        <v>4</v>
      </c>
      <c r="D84" s="87" t="s">
        <v>328</v>
      </c>
      <c r="E84" s="107"/>
      <c r="F84" s="108">
        <v>215325032</v>
      </c>
      <c r="G84" s="109">
        <v>215325032</v>
      </c>
      <c r="H84" s="68">
        <v>0</v>
      </c>
      <c r="I84" s="69">
        <v>0</v>
      </c>
      <c r="J84" s="91">
        <v>215325032</v>
      </c>
      <c r="K84" s="71"/>
      <c r="L84" s="92">
        <v>215325032</v>
      </c>
      <c r="N84" s="85" t="s">
        <v>327</v>
      </c>
      <c r="O84" s="86">
        <v>4</v>
      </c>
      <c r="P84" s="93" t="s">
        <v>328</v>
      </c>
      <c r="Q84" s="107"/>
      <c r="R84" s="109"/>
      <c r="S84" s="109"/>
      <c r="T84" s="109"/>
      <c r="U84" s="108">
        <v>2648078724</v>
      </c>
      <c r="V84" s="112">
        <v>2648078724</v>
      </c>
      <c r="W84" s="68">
        <v>0</v>
      </c>
      <c r="X84" s="69">
        <v>0</v>
      </c>
      <c r="Y84" s="91">
        <v>2648078724</v>
      </c>
      <c r="Z84" s="71"/>
      <c r="AA84" s="92">
        <v>2648078724</v>
      </c>
      <c r="AB84" s="95">
        <v>215325032</v>
      </c>
    </row>
    <row r="85" spans="2:28" x14ac:dyDescent="0.55000000000000004">
      <c r="B85" s="85" t="s">
        <v>329</v>
      </c>
      <c r="C85" s="86">
        <v>4</v>
      </c>
      <c r="D85" s="87" t="s">
        <v>330</v>
      </c>
      <c r="E85" s="107"/>
      <c r="F85" s="108">
        <v>0</v>
      </c>
      <c r="G85" s="109">
        <v>0</v>
      </c>
      <c r="H85" s="68">
        <v>0</v>
      </c>
      <c r="I85" s="69">
        <v>0</v>
      </c>
      <c r="J85" s="91">
        <v>0</v>
      </c>
      <c r="K85" s="71"/>
      <c r="L85" s="92">
        <v>0</v>
      </c>
      <c r="N85" s="85" t="s">
        <v>329</v>
      </c>
      <c r="O85" s="86">
        <v>4</v>
      </c>
      <c r="P85" s="93" t="s">
        <v>330</v>
      </c>
      <c r="Q85" s="107"/>
      <c r="R85" s="109"/>
      <c r="S85" s="109"/>
      <c r="T85" s="109"/>
      <c r="U85" s="108">
        <v>-31428572</v>
      </c>
      <c r="V85" s="112">
        <v>-31428572</v>
      </c>
      <c r="W85" s="68">
        <v>0</v>
      </c>
      <c r="X85" s="69">
        <v>0</v>
      </c>
      <c r="Y85" s="91">
        <v>-31428572</v>
      </c>
      <c r="Z85" s="71"/>
      <c r="AA85" s="92">
        <v>-31428572</v>
      </c>
      <c r="AB85" s="95">
        <v>0</v>
      </c>
    </row>
    <row r="86" spans="2:28" x14ac:dyDescent="0.55000000000000004">
      <c r="B86" s="85" t="s">
        <v>331</v>
      </c>
      <c r="C86" s="86">
        <v>4</v>
      </c>
      <c r="D86" s="87" t="s">
        <v>332</v>
      </c>
      <c r="E86" s="107"/>
      <c r="F86" s="108">
        <v>0</v>
      </c>
      <c r="G86" s="109">
        <v>0</v>
      </c>
      <c r="H86" s="68">
        <v>0</v>
      </c>
      <c r="I86" s="69">
        <v>0</v>
      </c>
      <c r="J86" s="91">
        <v>0</v>
      </c>
      <c r="K86" s="71"/>
      <c r="L86" s="92">
        <v>0</v>
      </c>
      <c r="N86" s="85" t="s">
        <v>331</v>
      </c>
      <c r="O86" s="86">
        <v>4</v>
      </c>
      <c r="P86" s="93" t="s">
        <v>332</v>
      </c>
      <c r="Q86" s="107"/>
      <c r="R86" s="109"/>
      <c r="S86" s="109"/>
      <c r="T86" s="109">
        <v>-56931671</v>
      </c>
      <c r="U86" s="108">
        <v>0</v>
      </c>
      <c r="V86" s="112">
        <v>-56931671</v>
      </c>
      <c r="W86" s="68">
        <v>0</v>
      </c>
      <c r="X86" s="69">
        <v>0</v>
      </c>
      <c r="Y86" s="91">
        <v>-56931671</v>
      </c>
      <c r="Z86" s="71"/>
      <c r="AA86" s="92">
        <v>-56931671</v>
      </c>
      <c r="AB86" s="95">
        <v>0</v>
      </c>
    </row>
    <row r="87" spans="2:28" x14ac:dyDescent="0.55000000000000004">
      <c r="B87" s="99" t="s">
        <v>333</v>
      </c>
      <c r="C87" s="100">
        <v>4</v>
      </c>
      <c r="D87" s="87" t="s">
        <v>334</v>
      </c>
      <c r="E87" s="107">
        <v>-56931671</v>
      </c>
      <c r="F87" s="108">
        <v>2432753692</v>
      </c>
      <c r="G87" s="109">
        <v>2375822021</v>
      </c>
      <c r="H87" s="68">
        <v>0</v>
      </c>
      <c r="I87" s="69">
        <v>0</v>
      </c>
      <c r="J87" s="91">
        <v>2375822021</v>
      </c>
      <c r="K87" s="71"/>
      <c r="L87" s="110">
        <v>2375822021</v>
      </c>
      <c r="N87" s="99" t="s">
        <v>333</v>
      </c>
      <c r="O87" s="100">
        <v>4</v>
      </c>
      <c r="P87" s="93" t="s">
        <v>334</v>
      </c>
      <c r="Q87" s="107">
        <v>-51051</v>
      </c>
      <c r="R87" s="109">
        <v>3486674492</v>
      </c>
      <c r="S87" s="109">
        <v>13682317</v>
      </c>
      <c r="T87" s="109">
        <v>3792912290</v>
      </c>
      <c r="U87" s="108">
        <v>6392692869</v>
      </c>
      <c r="V87" s="112">
        <v>13685910917</v>
      </c>
      <c r="W87" s="68">
        <v>0</v>
      </c>
      <c r="X87" s="69">
        <v>0</v>
      </c>
      <c r="Y87" s="91">
        <v>13640634001</v>
      </c>
      <c r="Z87" s="71"/>
      <c r="AA87" s="110">
        <v>13640634001</v>
      </c>
      <c r="AB87" s="95">
        <v>2375822021</v>
      </c>
    </row>
    <row r="88" spans="2:28" x14ac:dyDescent="0.55000000000000004">
      <c r="B88" s="62" t="s">
        <v>335</v>
      </c>
      <c r="C88" s="63">
        <v>4</v>
      </c>
      <c r="D88" s="64" t="s">
        <v>336</v>
      </c>
      <c r="E88" s="65"/>
      <c r="F88" s="66"/>
      <c r="G88" s="67">
        <v>0</v>
      </c>
      <c r="H88" s="68">
        <v>0</v>
      </c>
      <c r="I88" s="69">
        <v>61000000</v>
      </c>
      <c r="J88" s="70">
        <v>61000000</v>
      </c>
      <c r="K88" s="71"/>
      <c r="L88" s="72">
        <v>61000000</v>
      </c>
      <c r="N88" s="62" t="s">
        <v>335</v>
      </c>
      <c r="O88" s="63">
        <v>4</v>
      </c>
      <c r="P88" s="64" t="s">
        <v>336</v>
      </c>
      <c r="Q88" s="65"/>
      <c r="R88" s="67"/>
      <c r="S88" s="67"/>
      <c r="T88" s="67"/>
      <c r="U88" s="66"/>
      <c r="V88" s="73">
        <v>0</v>
      </c>
      <c r="W88" s="68">
        <v>0</v>
      </c>
      <c r="X88" s="69">
        <v>95300000</v>
      </c>
      <c r="Y88" s="70">
        <v>95300000</v>
      </c>
      <c r="Z88" s="71"/>
      <c r="AA88" s="72">
        <v>95300000</v>
      </c>
      <c r="AB88" s="74">
        <v>61000000</v>
      </c>
    </row>
    <row r="89" spans="2:28" x14ac:dyDescent="0.55000000000000004">
      <c r="B89" s="146" t="s">
        <v>337</v>
      </c>
      <c r="C89" s="147">
        <v>1</v>
      </c>
      <c r="D89" s="148" t="s">
        <v>338</v>
      </c>
      <c r="E89" s="149">
        <v>43068329</v>
      </c>
      <c r="F89" s="150">
        <v>2748078724</v>
      </c>
      <c r="G89" s="151">
        <v>2791147053</v>
      </c>
      <c r="H89" s="68">
        <v>0</v>
      </c>
      <c r="I89" s="69">
        <v>0</v>
      </c>
      <c r="J89" s="152">
        <v>2752147053</v>
      </c>
      <c r="K89" s="71"/>
      <c r="L89" s="153">
        <v>2752147053</v>
      </c>
      <c r="N89" s="146" t="s">
        <v>337</v>
      </c>
      <c r="O89" s="147">
        <v>1</v>
      </c>
      <c r="P89" s="154" t="s">
        <v>339</v>
      </c>
      <c r="Q89" s="149">
        <v>299948949</v>
      </c>
      <c r="R89" s="151">
        <v>3546674492</v>
      </c>
      <c r="S89" s="151">
        <v>23682317</v>
      </c>
      <c r="T89" s="151">
        <v>3835980619</v>
      </c>
      <c r="U89" s="150">
        <v>9112200164</v>
      </c>
      <c r="V89" s="155">
        <v>16818486541</v>
      </c>
      <c r="W89" s="68">
        <v>0</v>
      </c>
      <c r="X89" s="69">
        <v>0</v>
      </c>
      <c r="Y89" s="152">
        <v>16398509625</v>
      </c>
      <c r="Z89" s="71"/>
      <c r="AA89" s="153">
        <v>16398509625</v>
      </c>
      <c r="AB89" s="156">
        <v>2752147053</v>
      </c>
    </row>
    <row r="90" spans="2:28" ht="15.45" thickBot="1" x14ac:dyDescent="0.6">
      <c r="B90" s="146" t="s">
        <v>340</v>
      </c>
      <c r="C90" s="147">
        <v>1</v>
      </c>
      <c r="D90" s="148" t="s">
        <v>339</v>
      </c>
      <c r="E90" s="177">
        <v>46679929</v>
      </c>
      <c r="F90" s="178">
        <v>4523386598</v>
      </c>
      <c r="G90" s="151">
        <v>4570066527</v>
      </c>
      <c r="H90" s="68">
        <v>0</v>
      </c>
      <c r="I90" s="69">
        <v>0</v>
      </c>
      <c r="J90" s="152">
        <v>4531066527</v>
      </c>
      <c r="K90" s="71"/>
      <c r="L90" s="179">
        <v>4531066527</v>
      </c>
      <c r="N90" s="146" t="s">
        <v>340</v>
      </c>
      <c r="O90" s="147">
        <v>1</v>
      </c>
      <c r="P90" s="154" t="s">
        <v>339</v>
      </c>
      <c r="Q90" s="177">
        <v>2149948949</v>
      </c>
      <c r="R90" s="180">
        <v>3831802647</v>
      </c>
      <c r="S90" s="180">
        <v>256283132</v>
      </c>
      <c r="T90" s="180">
        <v>4589286473</v>
      </c>
      <c r="U90" s="178">
        <v>10136340314</v>
      </c>
      <c r="V90" s="155">
        <v>20963661515</v>
      </c>
      <c r="W90" s="68">
        <v>0</v>
      </c>
      <c r="X90" s="69">
        <v>0</v>
      </c>
      <c r="Y90" s="152">
        <v>18642136599</v>
      </c>
      <c r="Z90" s="71"/>
      <c r="AA90" s="179">
        <v>18642136599</v>
      </c>
      <c r="AB90" s="181">
        <v>4531066527</v>
      </c>
    </row>
    <row r="91" spans="2:28" x14ac:dyDescent="0.55000000000000004">
      <c r="B91" s="71"/>
      <c r="C91" s="182" t="s">
        <v>338</v>
      </c>
      <c r="D91" s="71" t="s">
        <v>338</v>
      </c>
      <c r="E91" s="183">
        <v>0</v>
      </c>
      <c r="F91" s="183">
        <v>0</v>
      </c>
      <c r="G91" s="183">
        <v>0</v>
      </c>
      <c r="H91" s="68">
        <v>0</v>
      </c>
      <c r="I91" s="69">
        <v>0</v>
      </c>
      <c r="J91" s="184">
        <v>0</v>
      </c>
      <c r="K91" s="71"/>
      <c r="L91" s="184">
        <v>0</v>
      </c>
      <c r="N91" s="71"/>
      <c r="O91" s="182" t="s">
        <v>338</v>
      </c>
      <c r="P91" s="71" t="s">
        <v>338</v>
      </c>
      <c r="Q91" s="183">
        <v>0</v>
      </c>
      <c r="R91" s="183">
        <v>0</v>
      </c>
      <c r="S91" s="183">
        <v>0</v>
      </c>
      <c r="T91" s="183">
        <v>0</v>
      </c>
      <c r="U91" s="183">
        <v>0</v>
      </c>
      <c r="V91" s="183">
        <v>0</v>
      </c>
      <c r="W91" s="68">
        <v>0</v>
      </c>
      <c r="X91" s="69">
        <v>0</v>
      </c>
      <c r="Y91" s="184">
        <v>0</v>
      </c>
      <c r="Z91" s="71"/>
      <c r="AA91" s="184">
        <v>0</v>
      </c>
      <c r="AB91" s="184">
        <v>0</v>
      </c>
    </row>
    <row r="92" spans="2:28" ht="15.45" thickBot="1" x14ac:dyDescent="0.6">
      <c r="B92" s="71"/>
      <c r="C92" s="182" t="s">
        <v>338</v>
      </c>
      <c r="D92" s="71" t="s">
        <v>338</v>
      </c>
      <c r="E92" s="185"/>
      <c r="F92" s="185"/>
      <c r="G92" s="185"/>
      <c r="H92" s="68">
        <v>0</v>
      </c>
      <c r="I92" s="69">
        <v>0</v>
      </c>
      <c r="J92" s="185"/>
      <c r="K92" s="71"/>
      <c r="L92" s="185"/>
      <c r="N92" s="71"/>
      <c r="O92" s="182" t="s">
        <v>338</v>
      </c>
      <c r="P92" s="71" t="s">
        <v>338</v>
      </c>
      <c r="Q92" s="185"/>
      <c r="R92" s="185"/>
      <c r="S92" s="185" t="s">
        <v>341</v>
      </c>
      <c r="T92" s="185"/>
      <c r="U92" s="185"/>
      <c r="V92" s="185"/>
      <c r="W92" s="68">
        <v>0</v>
      </c>
      <c r="X92" s="69">
        <v>0</v>
      </c>
      <c r="Y92" s="185"/>
      <c r="Z92" s="71"/>
      <c r="AA92" s="185"/>
      <c r="AB92" s="185"/>
    </row>
    <row r="93" spans="2:28" x14ac:dyDescent="0.55000000000000004">
      <c r="B93" s="186" t="s">
        <v>342</v>
      </c>
      <c r="C93" s="186" t="s">
        <v>343</v>
      </c>
      <c r="D93" s="187" t="s">
        <v>344</v>
      </c>
      <c r="E93" s="188" t="s">
        <v>155</v>
      </c>
      <c r="F93" s="36" t="s">
        <v>159</v>
      </c>
      <c r="G93" s="189">
        <v>0</v>
      </c>
      <c r="H93" s="68">
        <v>0</v>
      </c>
      <c r="I93" s="69">
        <v>0</v>
      </c>
      <c r="J93" s="190" t="s">
        <v>157</v>
      </c>
      <c r="K93" s="71"/>
      <c r="L93" s="41" t="s">
        <v>157</v>
      </c>
      <c r="N93" s="186" t="s">
        <v>342</v>
      </c>
      <c r="O93" s="186" t="s">
        <v>343</v>
      </c>
      <c r="P93" s="186" t="s">
        <v>344</v>
      </c>
      <c r="Q93" s="188" t="s">
        <v>158</v>
      </c>
      <c r="R93" s="191" t="s">
        <v>158</v>
      </c>
      <c r="S93" s="191" t="s">
        <v>158</v>
      </c>
      <c r="T93" s="191" t="s">
        <v>158</v>
      </c>
      <c r="U93" s="36" t="s">
        <v>159</v>
      </c>
      <c r="V93" s="192">
        <v>0</v>
      </c>
      <c r="W93" s="68">
        <v>0</v>
      </c>
      <c r="X93" s="69">
        <v>0</v>
      </c>
      <c r="Y93" s="190" t="s">
        <v>159</v>
      </c>
      <c r="Z93" s="71"/>
      <c r="AA93" s="41" t="s">
        <v>159</v>
      </c>
      <c r="AB93" s="44" t="s">
        <v>345</v>
      </c>
    </row>
    <row r="94" spans="2:28" x14ac:dyDescent="0.55000000000000004">
      <c r="B94" s="186"/>
      <c r="C94" s="186" t="s">
        <v>338</v>
      </c>
      <c r="D94" s="187" t="s">
        <v>338</v>
      </c>
      <c r="E94" s="193" t="s">
        <v>346</v>
      </c>
      <c r="F94" s="194" t="s">
        <v>162</v>
      </c>
      <c r="G94" s="189" t="s">
        <v>347</v>
      </c>
      <c r="H94" s="68">
        <v>0</v>
      </c>
      <c r="I94" s="69">
        <v>0</v>
      </c>
      <c r="J94" s="190" t="s">
        <v>164</v>
      </c>
      <c r="K94" s="71"/>
      <c r="L94" s="49" t="s">
        <v>162</v>
      </c>
      <c r="N94" s="186"/>
      <c r="O94" s="186" t="s">
        <v>338</v>
      </c>
      <c r="P94" s="186" t="s">
        <v>338</v>
      </c>
      <c r="Q94" s="193" t="s">
        <v>348</v>
      </c>
      <c r="R94" s="189" t="s">
        <v>349</v>
      </c>
      <c r="S94" s="189" t="s">
        <v>350</v>
      </c>
      <c r="T94" s="189" t="s">
        <v>346</v>
      </c>
      <c r="U94" s="194" t="s">
        <v>162</v>
      </c>
      <c r="V94" s="192" t="s">
        <v>347</v>
      </c>
      <c r="W94" s="68">
        <v>0</v>
      </c>
      <c r="X94" s="69">
        <v>0</v>
      </c>
      <c r="Y94" s="190" t="s">
        <v>351</v>
      </c>
      <c r="Z94" s="71"/>
      <c r="AA94" s="49" t="s">
        <v>162</v>
      </c>
      <c r="AB94" s="51" t="s">
        <v>162</v>
      </c>
    </row>
    <row r="95" spans="2:28" x14ac:dyDescent="0.55000000000000004">
      <c r="B95" s="186"/>
      <c r="C95" s="195" t="s">
        <v>338</v>
      </c>
      <c r="D95" s="187" t="s">
        <v>299</v>
      </c>
      <c r="E95" s="193" t="s">
        <v>169</v>
      </c>
      <c r="F95" s="194" t="s">
        <v>178</v>
      </c>
      <c r="G95" s="189" t="s">
        <v>171</v>
      </c>
      <c r="H95" s="68">
        <v>0</v>
      </c>
      <c r="I95" s="69">
        <v>0</v>
      </c>
      <c r="J95" s="190" t="s">
        <v>171</v>
      </c>
      <c r="K95" s="71"/>
      <c r="L95" s="196" t="s">
        <v>352</v>
      </c>
      <c r="N95" s="186"/>
      <c r="O95" s="195" t="s">
        <v>338</v>
      </c>
      <c r="P95" s="186" t="s">
        <v>299</v>
      </c>
      <c r="Q95" s="193" t="s">
        <v>169</v>
      </c>
      <c r="R95" s="189" t="s">
        <v>353</v>
      </c>
      <c r="S95" s="189" t="s">
        <v>169</v>
      </c>
      <c r="T95" s="189" t="s">
        <v>177</v>
      </c>
      <c r="U95" s="194" t="s">
        <v>178</v>
      </c>
      <c r="V95" s="192" t="s">
        <v>179</v>
      </c>
      <c r="W95" s="68">
        <v>0</v>
      </c>
      <c r="X95" s="69">
        <v>0</v>
      </c>
      <c r="Y95" s="190" t="s">
        <v>179</v>
      </c>
      <c r="Z95" s="71"/>
      <c r="AA95" s="196" t="s">
        <v>352</v>
      </c>
      <c r="AB95" s="197" t="s">
        <v>354</v>
      </c>
    </row>
    <row r="96" spans="2:28" x14ac:dyDescent="0.55000000000000004">
      <c r="B96" s="198" t="s">
        <v>355</v>
      </c>
      <c r="C96" s="199">
        <v>1</v>
      </c>
      <c r="D96" s="200" t="s">
        <v>356</v>
      </c>
      <c r="E96" s="65">
        <v>19900000</v>
      </c>
      <c r="F96" s="66">
        <v>11203458977</v>
      </c>
      <c r="G96" s="67">
        <v>11223358977</v>
      </c>
      <c r="H96" s="68">
        <v>0</v>
      </c>
      <c r="I96" s="69">
        <v>0</v>
      </c>
      <c r="J96" s="70">
        <v>11223358977</v>
      </c>
      <c r="K96" s="71"/>
      <c r="L96" s="72">
        <v>11223358977</v>
      </c>
      <c r="N96" s="198" t="s">
        <v>355</v>
      </c>
      <c r="O96" s="199">
        <v>1</v>
      </c>
      <c r="P96" s="198" t="s">
        <v>356</v>
      </c>
      <c r="Q96" s="65">
        <v>0</v>
      </c>
      <c r="R96" s="67">
        <v>5406086357</v>
      </c>
      <c r="S96" s="67">
        <v>261845176</v>
      </c>
      <c r="T96" s="67">
        <v>10266381021</v>
      </c>
      <c r="U96" s="66">
        <v>17504878434</v>
      </c>
      <c r="V96" s="73">
        <v>33439190988</v>
      </c>
      <c r="W96" s="68">
        <v>0</v>
      </c>
      <c r="X96" s="69">
        <v>0</v>
      </c>
      <c r="Y96" s="70">
        <v>33392893260</v>
      </c>
      <c r="Z96" s="71"/>
      <c r="AA96" s="72">
        <v>33392893260</v>
      </c>
      <c r="AB96" s="74">
        <v>1907385734</v>
      </c>
    </row>
    <row r="97" spans="2:28" x14ac:dyDescent="0.55000000000000004">
      <c r="B97" s="85" t="s">
        <v>357</v>
      </c>
      <c r="C97" s="86">
        <v>4</v>
      </c>
      <c r="D97" s="87" t="s">
        <v>358</v>
      </c>
      <c r="E97" s="107">
        <v>0</v>
      </c>
      <c r="F97" s="108">
        <v>11154544</v>
      </c>
      <c r="G97" s="109">
        <v>11154544</v>
      </c>
      <c r="H97" s="68">
        <v>0</v>
      </c>
      <c r="I97" s="69">
        <v>0</v>
      </c>
      <c r="J97" s="91">
        <v>11154544</v>
      </c>
      <c r="K97" s="71"/>
      <c r="L97" s="110">
        <v>11154544</v>
      </c>
      <c r="N97" s="85" t="s">
        <v>357</v>
      </c>
      <c r="O97" s="86">
        <v>4</v>
      </c>
      <c r="P97" s="93" t="s">
        <v>358</v>
      </c>
      <c r="Q97" s="107">
        <v>0</v>
      </c>
      <c r="R97" s="109">
        <v>0</v>
      </c>
      <c r="S97" s="109">
        <v>0</v>
      </c>
      <c r="T97" s="109">
        <v>0</v>
      </c>
      <c r="U97" s="108">
        <v>0</v>
      </c>
      <c r="V97" s="112">
        <v>0</v>
      </c>
      <c r="W97" s="68">
        <v>0</v>
      </c>
      <c r="X97" s="69">
        <v>0</v>
      </c>
      <c r="Y97" s="91">
        <v>0</v>
      </c>
      <c r="Z97" s="71"/>
      <c r="AA97" s="110">
        <v>0</v>
      </c>
      <c r="AB97" s="95">
        <v>0</v>
      </c>
    </row>
    <row r="98" spans="2:28" x14ac:dyDescent="0.55000000000000004">
      <c r="B98" s="85" t="s">
        <v>359</v>
      </c>
      <c r="C98" s="86">
        <v>4</v>
      </c>
      <c r="D98" s="87" t="s">
        <v>360</v>
      </c>
      <c r="E98" s="88">
        <v>19900000</v>
      </c>
      <c r="F98" s="108">
        <v>11192304433</v>
      </c>
      <c r="G98" s="109">
        <v>11212204433</v>
      </c>
      <c r="H98" s="68">
        <v>0</v>
      </c>
      <c r="I98" s="69">
        <v>0</v>
      </c>
      <c r="J98" s="91">
        <v>11212204433</v>
      </c>
      <c r="K98" s="71"/>
      <c r="L98" s="110">
        <v>11212204433</v>
      </c>
      <c r="N98" s="85" t="s">
        <v>359</v>
      </c>
      <c r="O98" s="86">
        <v>4</v>
      </c>
      <c r="P98" s="93" t="s">
        <v>360</v>
      </c>
      <c r="Q98" s="107"/>
      <c r="R98" s="109">
        <v>5406086357</v>
      </c>
      <c r="S98" s="109"/>
      <c r="T98" s="109">
        <v>10266381021</v>
      </c>
      <c r="U98" s="108">
        <v>17501105706</v>
      </c>
      <c r="V98" s="112">
        <v>33173573084</v>
      </c>
      <c r="W98" s="68">
        <v>0</v>
      </c>
      <c r="X98" s="69">
        <v>0</v>
      </c>
      <c r="Y98" s="91">
        <v>33173573084</v>
      </c>
      <c r="Z98" s="71"/>
      <c r="AA98" s="110">
        <v>33173573084</v>
      </c>
      <c r="AB98" s="95">
        <v>1907385734</v>
      </c>
    </row>
    <row r="99" spans="2:28" x14ac:dyDescent="0.55000000000000004">
      <c r="B99" s="85" t="s">
        <v>361</v>
      </c>
      <c r="C99" s="86">
        <v>4</v>
      </c>
      <c r="D99" s="87" t="s">
        <v>362</v>
      </c>
      <c r="E99" s="107"/>
      <c r="F99" s="108">
        <v>0</v>
      </c>
      <c r="G99" s="109">
        <v>0</v>
      </c>
      <c r="H99" s="68">
        <v>0</v>
      </c>
      <c r="I99" s="69">
        <v>0</v>
      </c>
      <c r="J99" s="91">
        <v>0</v>
      </c>
      <c r="K99" s="71"/>
      <c r="L99" s="110">
        <v>0</v>
      </c>
      <c r="N99" s="85" t="s">
        <v>361</v>
      </c>
      <c r="O99" s="86">
        <v>4</v>
      </c>
      <c r="P99" s="93" t="s">
        <v>362</v>
      </c>
      <c r="Q99" s="107"/>
      <c r="R99" s="109"/>
      <c r="S99" s="90">
        <v>261845176</v>
      </c>
      <c r="T99" s="109"/>
      <c r="U99" s="108">
        <v>0</v>
      </c>
      <c r="V99" s="112">
        <v>261845176</v>
      </c>
      <c r="W99" s="68">
        <v>42525000</v>
      </c>
      <c r="X99" s="69">
        <v>0</v>
      </c>
      <c r="Y99" s="91">
        <v>219320176</v>
      </c>
      <c r="Z99" s="71"/>
      <c r="AA99" s="110">
        <v>219320176</v>
      </c>
      <c r="AB99" s="95">
        <v>0</v>
      </c>
    </row>
    <row r="100" spans="2:28" x14ac:dyDescent="0.55000000000000004">
      <c r="B100" s="85" t="s">
        <v>363</v>
      </c>
      <c r="C100" s="86">
        <v>4</v>
      </c>
      <c r="D100" s="87" t="s">
        <v>364</v>
      </c>
      <c r="E100" s="107"/>
      <c r="F100" s="108">
        <v>0</v>
      </c>
      <c r="G100" s="109">
        <v>0</v>
      </c>
      <c r="H100" s="68">
        <v>0</v>
      </c>
      <c r="I100" s="69">
        <v>0</v>
      </c>
      <c r="J100" s="101">
        <v>0</v>
      </c>
      <c r="K100" s="71"/>
      <c r="L100" s="110">
        <v>0</v>
      </c>
      <c r="N100" s="85" t="s">
        <v>363</v>
      </c>
      <c r="O100" s="86">
        <v>4</v>
      </c>
      <c r="P100" s="93" t="s">
        <v>364</v>
      </c>
      <c r="Q100" s="107"/>
      <c r="R100" s="109"/>
      <c r="S100" s="109"/>
      <c r="T100" s="109"/>
      <c r="U100" s="108">
        <v>3772728</v>
      </c>
      <c r="V100" s="112">
        <v>3772728</v>
      </c>
      <c r="W100" s="68">
        <v>3772728</v>
      </c>
      <c r="X100" s="69">
        <v>0</v>
      </c>
      <c r="Y100" s="101">
        <v>0</v>
      </c>
      <c r="Z100" s="71"/>
      <c r="AA100" s="110">
        <v>0</v>
      </c>
      <c r="AB100" s="95">
        <v>0</v>
      </c>
    </row>
    <row r="101" spans="2:28" x14ac:dyDescent="0.55000000000000004">
      <c r="B101" s="198" t="s">
        <v>365</v>
      </c>
      <c r="C101" s="199">
        <v>1</v>
      </c>
      <c r="D101" s="200" t="s">
        <v>366</v>
      </c>
      <c r="E101" s="65">
        <v>0</v>
      </c>
      <c r="F101" s="66">
        <v>8723845</v>
      </c>
      <c r="G101" s="67">
        <v>8723845</v>
      </c>
      <c r="H101" s="68">
        <v>0</v>
      </c>
      <c r="I101" s="69">
        <v>0</v>
      </c>
      <c r="J101" s="70">
        <v>8723845</v>
      </c>
      <c r="K101" s="71"/>
      <c r="L101" s="72">
        <v>8723845</v>
      </c>
      <c r="N101" s="198" t="s">
        <v>365</v>
      </c>
      <c r="O101" s="199">
        <v>1</v>
      </c>
      <c r="P101" s="198" t="s">
        <v>366</v>
      </c>
      <c r="Q101" s="65">
        <v>0</v>
      </c>
      <c r="R101" s="67">
        <v>0</v>
      </c>
      <c r="S101" s="67">
        <v>0</v>
      </c>
      <c r="T101" s="67">
        <v>0</v>
      </c>
      <c r="U101" s="66">
        <v>0</v>
      </c>
      <c r="V101" s="73">
        <v>0</v>
      </c>
      <c r="W101" s="68">
        <v>0</v>
      </c>
      <c r="X101" s="69">
        <v>0</v>
      </c>
      <c r="Y101" s="70">
        <v>0</v>
      </c>
      <c r="Z101" s="71"/>
      <c r="AA101" s="72">
        <v>0</v>
      </c>
      <c r="AB101" s="74">
        <v>0</v>
      </c>
    </row>
    <row r="102" spans="2:28" x14ac:dyDescent="0.55000000000000004">
      <c r="B102" s="201" t="s">
        <v>367</v>
      </c>
      <c r="C102" s="202">
        <v>2</v>
      </c>
      <c r="D102" s="203" t="s">
        <v>368</v>
      </c>
      <c r="E102" s="116">
        <v>0</v>
      </c>
      <c r="F102" s="117">
        <v>8723845</v>
      </c>
      <c r="G102" s="118">
        <v>8723845</v>
      </c>
      <c r="H102" s="204">
        <v>0</v>
      </c>
      <c r="I102" s="205">
        <v>0</v>
      </c>
      <c r="J102" s="122">
        <v>8723845</v>
      </c>
      <c r="K102" s="206"/>
      <c r="L102" s="207">
        <v>8723845</v>
      </c>
      <c r="N102" s="201" t="s">
        <v>367</v>
      </c>
      <c r="O102" s="202">
        <v>2</v>
      </c>
      <c r="P102" s="118" t="s">
        <v>368</v>
      </c>
      <c r="Q102" s="116">
        <v>0</v>
      </c>
      <c r="R102" s="118">
        <v>0</v>
      </c>
      <c r="S102" s="118">
        <v>0</v>
      </c>
      <c r="T102" s="118">
        <v>0</v>
      </c>
      <c r="U102" s="117">
        <v>0</v>
      </c>
      <c r="V102" s="122">
        <v>0</v>
      </c>
      <c r="W102" s="204">
        <v>0</v>
      </c>
      <c r="X102" s="205">
        <v>0</v>
      </c>
      <c r="Y102" s="122">
        <v>0</v>
      </c>
      <c r="Z102" s="206"/>
      <c r="AA102" s="207">
        <v>0</v>
      </c>
      <c r="AB102" s="208">
        <v>0</v>
      </c>
    </row>
    <row r="103" spans="2:28" x14ac:dyDescent="0.55000000000000004">
      <c r="B103" s="209" t="s">
        <v>369</v>
      </c>
      <c r="C103" s="210">
        <v>4</v>
      </c>
      <c r="D103" s="211" t="s">
        <v>370</v>
      </c>
      <c r="E103" s="107">
        <v>0</v>
      </c>
      <c r="F103" s="108">
        <v>0</v>
      </c>
      <c r="G103" s="109">
        <v>0</v>
      </c>
      <c r="H103" s="204">
        <v>0</v>
      </c>
      <c r="I103" s="205">
        <v>0</v>
      </c>
      <c r="J103" s="112">
        <v>0</v>
      </c>
      <c r="K103" s="206"/>
      <c r="L103" s="212">
        <v>0</v>
      </c>
      <c r="N103" s="209" t="s">
        <v>369</v>
      </c>
      <c r="O103" s="210">
        <v>4</v>
      </c>
      <c r="P103" s="109" t="s">
        <v>370</v>
      </c>
      <c r="Q103" s="107">
        <v>0</v>
      </c>
      <c r="R103" s="109">
        <v>0</v>
      </c>
      <c r="S103" s="109">
        <v>0</v>
      </c>
      <c r="T103" s="109">
        <v>0</v>
      </c>
      <c r="U103" s="108">
        <v>0</v>
      </c>
      <c r="V103" s="112">
        <v>0</v>
      </c>
      <c r="W103" s="204">
        <v>0</v>
      </c>
      <c r="X103" s="205">
        <v>0</v>
      </c>
      <c r="Y103" s="112">
        <v>0</v>
      </c>
      <c r="Z103" s="206"/>
      <c r="AA103" s="212">
        <v>0</v>
      </c>
      <c r="AB103" s="213">
        <v>0</v>
      </c>
    </row>
    <row r="104" spans="2:28" x14ac:dyDescent="0.55000000000000004">
      <c r="B104" s="209" t="s">
        <v>371</v>
      </c>
      <c r="C104" s="210">
        <v>4</v>
      </c>
      <c r="D104" s="211" t="s">
        <v>372</v>
      </c>
      <c r="E104" s="107">
        <v>0</v>
      </c>
      <c r="F104" s="108">
        <v>8723845</v>
      </c>
      <c r="G104" s="109">
        <v>8723845</v>
      </c>
      <c r="H104" s="204">
        <v>0</v>
      </c>
      <c r="I104" s="205">
        <v>0</v>
      </c>
      <c r="J104" s="112">
        <v>8723845</v>
      </c>
      <c r="K104" s="206"/>
      <c r="L104" s="212">
        <v>8723845</v>
      </c>
      <c r="N104" s="209" t="s">
        <v>371</v>
      </c>
      <c r="O104" s="210">
        <v>4</v>
      </c>
      <c r="P104" s="109" t="s">
        <v>372</v>
      </c>
      <c r="Q104" s="107">
        <v>0</v>
      </c>
      <c r="R104" s="109">
        <v>0</v>
      </c>
      <c r="S104" s="109">
        <v>0</v>
      </c>
      <c r="T104" s="109">
        <v>0</v>
      </c>
      <c r="U104" s="108">
        <v>0</v>
      </c>
      <c r="V104" s="112">
        <v>0</v>
      </c>
      <c r="W104" s="204">
        <v>0</v>
      </c>
      <c r="X104" s="205">
        <v>0</v>
      </c>
      <c r="Y104" s="112">
        <v>0</v>
      </c>
      <c r="Z104" s="206"/>
      <c r="AA104" s="212">
        <v>0</v>
      </c>
      <c r="AB104" s="213">
        <v>0</v>
      </c>
    </row>
    <row r="105" spans="2:28" x14ac:dyDescent="0.55000000000000004">
      <c r="B105" s="99" t="s">
        <v>373</v>
      </c>
      <c r="C105" s="100">
        <v>4</v>
      </c>
      <c r="D105" s="211" t="s">
        <v>374</v>
      </c>
      <c r="E105" s="107">
        <v>0</v>
      </c>
      <c r="F105" s="108">
        <v>0</v>
      </c>
      <c r="G105" s="109">
        <v>0</v>
      </c>
      <c r="H105" s="204">
        <v>0</v>
      </c>
      <c r="I105" s="205">
        <v>0</v>
      </c>
      <c r="J105" s="112">
        <v>0</v>
      </c>
      <c r="K105" s="206"/>
      <c r="L105" s="212">
        <v>0</v>
      </c>
      <c r="N105" s="99" t="s">
        <v>373</v>
      </c>
      <c r="O105" s="100">
        <v>4</v>
      </c>
      <c r="P105" s="109" t="s">
        <v>374</v>
      </c>
      <c r="Q105" s="107">
        <v>0</v>
      </c>
      <c r="R105" s="109">
        <v>0</v>
      </c>
      <c r="S105" s="109">
        <v>0</v>
      </c>
      <c r="T105" s="109">
        <v>0</v>
      </c>
      <c r="U105" s="108">
        <v>0</v>
      </c>
      <c r="V105" s="112">
        <v>0</v>
      </c>
      <c r="W105" s="204">
        <v>0</v>
      </c>
      <c r="X105" s="205">
        <v>0</v>
      </c>
      <c r="Y105" s="112">
        <v>0</v>
      </c>
      <c r="Z105" s="206"/>
      <c r="AA105" s="212">
        <v>0</v>
      </c>
      <c r="AB105" s="213">
        <v>0</v>
      </c>
    </row>
    <row r="106" spans="2:28" x14ac:dyDescent="0.55000000000000004">
      <c r="B106" s="201" t="s">
        <v>375</v>
      </c>
      <c r="C106" s="202">
        <v>4</v>
      </c>
      <c r="D106" s="203" t="s">
        <v>376</v>
      </c>
      <c r="E106" s="116"/>
      <c r="F106" s="117">
        <v>0</v>
      </c>
      <c r="G106" s="118">
        <v>0</v>
      </c>
      <c r="H106" s="204">
        <v>0</v>
      </c>
      <c r="I106" s="205">
        <v>0</v>
      </c>
      <c r="J106" s="122">
        <v>0</v>
      </c>
      <c r="K106" s="206"/>
      <c r="L106" s="207">
        <v>0</v>
      </c>
      <c r="N106" s="201" t="s">
        <v>375</v>
      </c>
      <c r="O106" s="202">
        <v>4</v>
      </c>
      <c r="P106" s="118" t="s">
        <v>376</v>
      </c>
      <c r="Q106" s="116"/>
      <c r="R106" s="118"/>
      <c r="S106" s="118"/>
      <c r="T106" s="118"/>
      <c r="U106" s="117"/>
      <c r="V106" s="122">
        <v>0</v>
      </c>
      <c r="W106" s="204">
        <v>0</v>
      </c>
      <c r="X106" s="205">
        <v>0</v>
      </c>
      <c r="Y106" s="122">
        <v>0</v>
      </c>
      <c r="Z106" s="206"/>
      <c r="AA106" s="207">
        <v>0</v>
      </c>
      <c r="AB106" s="208">
        <v>0</v>
      </c>
    </row>
    <row r="107" spans="2:28" x14ac:dyDescent="0.55000000000000004">
      <c r="B107" s="198" t="s">
        <v>377</v>
      </c>
      <c r="C107" s="199">
        <v>1</v>
      </c>
      <c r="D107" s="214" t="s">
        <v>378</v>
      </c>
      <c r="E107" s="65">
        <v>19900000</v>
      </c>
      <c r="F107" s="66">
        <v>11194735132</v>
      </c>
      <c r="G107" s="67">
        <v>11214635132</v>
      </c>
      <c r="H107" s="204">
        <v>0</v>
      </c>
      <c r="I107" s="205">
        <v>0</v>
      </c>
      <c r="J107" s="73">
        <v>11214635132</v>
      </c>
      <c r="K107" s="206"/>
      <c r="L107" s="215">
        <v>11214635132</v>
      </c>
      <c r="N107" s="198" t="s">
        <v>377</v>
      </c>
      <c r="O107" s="199">
        <v>1</v>
      </c>
      <c r="P107" s="67" t="s">
        <v>378</v>
      </c>
      <c r="Q107" s="65">
        <v>0</v>
      </c>
      <c r="R107" s="67">
        <v>5406086357</v>
      </c>
      <c r="S107" s="67">
        <v>261845176</v>
      </c>
      <c r="T107" s="67">
        <v>10266381021</v>
      </c>
      <c r="U107" s="66">
        <v>17504878434</v>
      </c>
      <c r="V107" s="73">
        <v>33439190988</v>
      </c>
      <c r="W107" s="204">
        <v>0</v>
      </c>
      <c r="X107" s="205">
        <v>0</v>
      </c>
      <c r="Y107" s="73">
        <v>33392893260</v>
      </c>
      <c r="Z107" s="206"/>
      <c r="AA107" s="215">
        <v>33392893260</v>
      </c>
      <c r="AB107" s="216">
        <v>1907385734</v>
      </c>
    </row>
    <row r="108" spans="2:28" x14ac:dyDescent="0.55000000000000004">
      <c r="B108" s="198" t="s">
        <v>379</v>
      </c>
      <c r="C108" s="199">
        <v>1</v>
      </c>
      <c r="D108" s="214" t="s">
        <v>380</v>
      </c>
      <c r="E108" s="65">
        <v>76833572</v>
      </c>
      <c r="F108" s="66">
        <v>7796645399</v>
      </c>
      <c r="G108" s="67">
        <v>7873478971</v>
      </c>
      <c r="H108" s="204">
        <v>0</v>
      </c>
      <c r="I108" s="205">
        <v>0</v>
      </c>
      <c r="J108" s="73">
        <v>7873478971</v>
      </c>
      <c r="K108" s="206"/>
      <c r="L108" s="215">
        <v>7873478971</v>
      </c>
      <c r="N108" s="198" t="s">
        <v>379</v>
      </c>
      <c r="O108" s="199">
        <v>1</v>
      </c>
      <c r="P108" s="67" t="s">
        <v>380</v>
      </c>
      <c r="Q108" s="65">
        <v>155000</v>
      </c>
      <c r="R108" s="67">
        <v>1919479315</v>
      </c>
      <c r="S108" s="67">
        <v>247986811</v>
      </c>
      <c r="T108" s="67">
        <v>6468495012</v>
      </c>
      <c r="U108" s="66">
        <v>10871796025</v>
      </c>
      <c r="V108" s="73">
        <v>19507912163</v>
      </c>
      <c r="W108" s="204">
        <v>0</v>
      </c>
      <c r="X108" s="205">
        <v>0</v>
      </c>
      <c r="Y108" s="73">
        <v>19481012441</v>
      </c>
      <c r="Z108" s="206"/>
      <c r="AA108" s="215">
        <v>19481012441</v>
      </c>
      <c r="AB108" s="216">
        <v>1132133760</v>
      </c>
    </row>
    <row r="109" spans="2:28" x14ac:dyDescent="0.55000000000000004">
      <c r="B109" s="99" t="s">
        <v>381</v>
      </c>
      <c r="C109" s="86">
        <v>4</v>
      </c>
      <c r="D109" s="211" t="s">
        <v>382</v>
      </c>
      <c r="E109" s="88">
        <v>17824220</v>
      </c>
      <c r="F109" s="108">
        <v>501061864</v>
      </c>
      <c r="G109" s="109">
        <v>518886084</v>
      </c>
      <c r="H109" s="204">
        <v>0</v>
      </c>
      <c r="I109" s="205">
        <v>0</v>
      </c>
      <c r="J109" s="112">
        <v>518886084</v>
      </c>
      <c r="K109" s="206"/>
      <c r="L109" s="212">
        <v>518886084</v>
      </c>
      <c r="N109" s="99" t="s">
        <v>381</v>
      </c>
      <c r="O109" s="86">
        <v>4</v>
      </c>
      <c r="P109" s="109" t="s">
        <v>382</v>
      </c>
      <c r="Q109" s="107"/>
      <c r="R109" s="109">
        <v>32622618</v>
      </c>
      <c r="S109" s="90">
        <v>35188940</v>
      </c>
      <c r="T109" s="109">
        <v>251626470</v>
      </c>
      <c r="U109" s="108">
        <v>412753054</v>
      </c>
      <c r="V109" s="112">
        <v>732191082</v>
      </c>
      <c r="W109" s="204">
        <v>0</v>
      </c>
      <c r="X109" s="205">
        <v>0</v>
      </c>
      <c r="Y109" s="112">
        <v>732191082</v>
      </c>
      <c r="Z109" s="206"/>
      <c r="AA109" s="212">
        <v>732191082</v>
      </c>
      <c r="AB109" s="217">
        <v>226336029</v>
      </c>
    </row>
    <row r="110" spans="2:28" x14ac:dyDescent="0.55000000000000004">
      <c r="B110" s="99" t="s">
        <v>383</v>
      </c>
      <c r="C110" s="86">
        <v>4</v>
      </c>
      <c r="D110" s="211" t="s">
        <v>384</v>
      </c>
      <c r="E110" s="88">
        <v>798819</v>
      </c>
      <c r="F110" s="108">
        <v>32267745</v>
      </c>
      <c r="G110" s="109">
        <v>33066564</v>
      </c>
      <c r="H110" s="204">
        <v>0</v>
      </c>
      <c r="I110" s="205">
        <v>0</v>
      </c>
      <c r="J110" s="112">
        <v>33066564</v>
      </c>
      <c r="K110" s="206"/>
      <c r="L110" s="212">
        <v>33066564</v>
      </c>
      <c r="N110" s="99" t="s">
        <v>383</v>
      </c>
      <c r="O110" s="86">
        <v>4</v>
      </c>
      <c r="P110" s="109" t="s">
        <v>384</v>
      </c>
      <c r="Q110" s="107"/>
      <c r="R110" s="109">
        <v>6800000</v>
      </c>
      <c r="S110" s="90">
        <v>12000000</v>
      </c>
      <c r="T110" s="109">
        <v>57871860</v>
      </c>
      <c r="U110" s="108">
        <v>62522608</v>
      </c>
      <c r="V110" s="112">
        <v>139194468</v>
      </c>
      <c r="W110" s="204">
        <v>0</v>
      </c>
      <c r="X110" s="205">
        <v>0</v>
      </c>
      <c r="Y110" s="112">
        <v>139194468</v>
      </c>
      <c r="Z110" s="206"/>
      <c r="AA110" s="212">
        <v>139194468</v>
      </c>
      <c r="AB110" s="217">
        <v>3000000</v>
      </c>
    </row>
    <row r="111" spans="2:28" x14ac:dyDescent="0.55000000000000004">
      <c r="B111" s="99" t="s">
        <v>385</v>
      </c>
      <c r="C111" s="86">
        <v>4</v>
      </c>
      <c r="D111" s="211" t="s">
        <v>386</v>
      </c>
      <c r="E111" s="88"/>
      <c r="F111" s="108">
        <v>0</v>
      </c>
      <c r="G111" s="109">
        <v>0</v>
      </c>
      <c r="H111" s="204">
        <v>0</v>
      </c>
      <c r="I111" s="205">
        <v>0</v>
      </c>
      <c r="J111" s="112">
        <v>0</v>
      </c>
      <c r="K111" s="206"/>
      <c r="L111" s="212">
        <v>0</v>
      </c>
      <c r="N111" s="99" t="s">
        <v>385</v>
      </c>
      <c r="O111" s="86">
        <v>4</v>
      </c>
      <c r="P111" s="109" t="s">
        <v>386</v>
      </c>
      <c r="Q111" s="107"/>
      <c r="R111" s="109">
        <v>0</v>
      </c>
      <c r="S111" s="90"/>
      <c r="T111" s="109"/>
      <c r="U111" s="108">
        <v>0</v>
      </c>
      <c r="V111" s="112">
        <v>0</v>
      </c>
      <c r="W111" s="204">
        <v>0</v>
      </c>
      <c r="X111" s="205">
        <v>0</v>
      </c>
      <c r="Y111" s="112">
        <v>0</v>
      </c>
      <c r="Z111" s="206"/>
      <c r="AA111" s="212">
        <v>0</v>
      </c>
      <c r="AB111" s="217">
        <v>0</v>
      </c>
    </row>
    <row r="112" spans="2:28" x14ac:dyDescent="0.55000000000000004">
      <c r="B112" s="99" t="s">
        <v>387</v>
      </c>
      <c r="C112" s="86">
        <v>4</v>
      </c>
      <c r="D112" s="211" t="s">
        <v>388</v>
      </c>
      <c r="E112" s="88"/>
      <c r="F112" s="108">
        <v>46187144</v>
      </c>
      <c r="G112" s="109">
        <v>46187144</v>
      </c>
      <c r="H112" s="204">
        <v>0</v>
      </c>
      <c r="I112" s="205">
        <v>0</v>
      </c>
      <c r="J112" s="112">
        <v>46187144</v>
      </c>
      <c r="K112" s="206"/>
      <c r="L112" s="212">
        <v>46187144</v>
      </c>
      <c r="N112" s="99" t="s">
        <v>387</v>
      </c>
      <c r="O112" s="86">
        <v>4</v>
      </c>
      <c r="P112" s="109" t="s">
        <v>388</v>
      </c>
      <c r="Q112" s="107"/>
      <c r="R112" s="109"/>
      <c r="S112" s="90"/>
      <c r="T112" s="109"/>
      <c r="U112" s="108">
        <v>45841642</v>
      </c>
      <c r="V112" s="112">
        <v>45841642</v>
      </c>
      <c r="W112" s="204">
        <v>0</v>
      </c>
      <c r="X112" s="205">
        <v>0</v>
      </c>
      <c r="Y112" s="112">
        <v>45841642</v>
      </c>
      <c r="Z112" s="206"/>
      <c r="AA112" s="212">
        <v>45841642</v>
      </c>
      <c r="AB112" s="217">
        <v>24314159</v>
      </c>
    </row>
    <row r="113" spans="2:28" x14ac:dyDescent="0.55000000000000004">
      <c r="B113" s="99" t="s">
        <v>389</v>
      </c>
      <c r="C113" s="86">
        <v>4</v>
      </c>
      <c r="D113" s="211" t="s">
        <v>390</v>
      </c>
      <c r="E113" s="107"/>
      <c r="F113" s="108">
        <v>66754700</v>
      </c>
      <c r="G113" s="109">
        <v>66754700</v>
      </c>
      <c r="H113" s="204">
        <v>0</v>
      </c>
      <c r="I113" s="205">
        <v>0</v>
      </c>
      <c r="J113" s="112">
        <v>66754700</v>
      </c>
      <c r="K113" s="206"/>
      <c r="L113" s="212">
        <v>66754700</v>
      </c>
      <c r="N113" s="99" t="s">
        <v>389</v>
      </c>
      <c r="O113" s="86">
        <v>4</v>
      </c>
      <c r="P113" s="109" t="s">
        <v>390</v>
      </c>
      <c r="Q113" s="107"/>
      <c r="R113" s="109">
        <v>10274919</v>
      </c>
      <c r="S113" s="109">
        <v>946215</v>
      </c>
      <c r="T113" s="109"/>
      <c r="U113" s="108">
        <v>60229419</v>
      </c>
      <c r="V113" s="112">
        <v>71450553</v>
      </c>
      <c r="W113" s="204">
        <v>0</v>
      </c>
      <c r="X113" s="205">
        <v>0</v>
      </c>
      <c r="Y113" s="112">
        <v>71450553</v>
      </c>
      <c r="Z113" s="206"/>
      <c r="AA113" s="212">
        <v>71450553</v>
      </c>
      <c r="AB113" s="217">
        <v>17887298</v>
      </c>
    </row>
    <row r="114" spans="2:28" x14ac:dyDescent="0.55000000000000004">
      <c r="B114" s="99" t="s">
        <v>107</v>
      </c>
      <c r="C114" s="86">
        <v>4</v>
      </c>
      <c r="D114" s="211" t="s">
        <v>391</v>
      </c>
      <c r="E114" s="107">
        <v>231630</v>
      </c>
      <c r="F114" s="108">
        <v>11800834</v>
      </c>
      <c r="G114" s="109">
        <v>12032464</v>
      </c>
      <c r="H114" s="204">
        <v>0</v>
      </c>
      <c r="I114" s="205">
        <v>0</v>
      </c>
      <c r="J114" s="112">
        <v>12032464</v>
      </c>
      <c r="K114" s="206"/>
      <c r="L114" s="212">
        <v>12032464</v>
      </c>
      <c r="N114" s="237" t="s">
        <v>107</v>
      </c>
      <c r="O114" s="86">
        <v>4</v>
      </c>
      <c r="P114" s="109" t="s">
        <v>391</v>
      </c>
      <c r="Q114" s="107"/>
      <c r="R114" s="109">
        <v>1534202</v>
      </c>
      <c r="S114" s="109">
        <v>816539</v>
      </c>
      <c r="T114" s="109">
        <v>18470808</v>
      </c>
      <c r="U114" s="108">
        <v>46363120</v>
      </c>
      <c r="V114" s="112">
        <v>67184669</v>
      </c>
      <c r="W114" s="204">
        <v>0</v>
      </c>
      <c r="X114" s="205">
        <v>0</v>
      </c>
      <c r="Y114" s="112">
        <v>67184669</v>
      </c>
      <c r="Z114" s="206"/>
      <c r="AA114" s="212">
        <v>67184669</v>
      </c>
      <c r="AB114" s="217">
        <v>5303160</v>
      </c>
    </row>
    <row r="115" spans="2:28" x14ac:dyDescent="0.55000000000000004">
      <c r="B115" s="99" t="s">
        <v>108</v>
      </c>
      <c r="C115" s="86">
        <v>4</v>
      </c>
      <c r="D115" s="211" t="s">
        <v>392</v>
      </c>
      <c r="E115" s="107">
        <v>929500</v>
      </c>
      <c r="F115" s="108">
        <v>30268460</v>
      </c>
      <c r="G115" s="109">
        <v>31197960</v>
      </c>
      <c r="H115" s="204">
        <v>0</v>
      </c>
      <c r="I115" s="205">
        <v>0</v>
      </c>
      <c r="J115" s="112">
        <v>31197960</v>
      </c>
      <c r="K115" s="206"/>
      <c r="L115" s="212">
        <v>31197960</v>
      </c>
      <c r="N115" s="237" t="s">
        <v>108</v>
      </c>
      <c r="O115" s="86">
        <v>4</v>
      </c>
      <c r="P115" s="109" t="s">
        <v>392</v>
      </c>
      <c r="Q115" s="107"/>
      <c r="R115" s="109">
        <v>550000</v>
      </c>
      <c r="S115" s="109">
        <v>150000</v>
      </c>
      <c r="T115" s="109">
        <v>20275700</v>
      </c>
      <c r="U115" s="108">
        <v>10659750</v>
      </c>
      <c r="V115" s="112">
        <v>31635450</v>
      </c>
      <c r="W115" s="204">
        <v>0</v>
      </c>
      <c r="X115" s="205">
        <v>0</v>
      </c>
      <c r="Y115" s="112">
        <v>31635450</v>
      </c>
      <c r="Z115" s="206"/>
      <c r="AA115" s="212">
        <v>31635450</v>
      </c>
      <c r="AB115" s="217">
        <v>19803660</v>
      </c>
    </row>
    <row r="116" spans="2:28" x14ac:dyDescent="0.55000000000000004">
      <c r="B116" s="99" t="s">
        <v>393</v>
      </c>
      <c r="C116" s="86">
        <v>4</v>
      </c>
      <c r="D116" s="211" t="s">
        <v>394</v>
      </c>
      <c r="E116" s="107">
        <v>0</v>
      </c>
      <c r="F116" s="108">
        <v>7814562</v>
      </c>
      <c r="G116" s="109">
        <v>7814562</v>
      </c>
      <c r="H116" s="204">
        <v>0</v>
      </c>
      <c r="I116" s="205">
        <v>0</v>
      </c>
      <c r="J116" s="112">
        <v>7814562</v>
      </c>
      <c r="K116" s="206"/>
      <c r="L116" s="212">
        <v>7814562</v>
      </c>
      <c r="N116" s="99" t="s">
        <v>393</v>
      </c>
      <c r="O116" s="86">
        <v>4</v>
      </c>
      <c r="P116" s="109" t="s">
        <v>394</v>
      </c>
      <c r="Q116" s="107"/>
      <c r="R116" s="109">
        <v>183384</v>
      </c>
      <c r="S116" s="109">
        <v>21481</v>
      </c>
      <c r="T116" s="109">
        <v>2081266</v>
      </c>
      <c r="U116" s="108">
        <v>8473141</v>
      </c>
      <c r="V116" s="112">
        <v>10759272</v>
      </c>
      <c r="W116" s="204">
        <v>0</v>
      </c>
      <c r="X116" s="205">
        <v>0</v>
      </c>
      <c r="Y116" s="112">
        <v>10759272</v>
      </c>
      <c r="Z116" s="206"/>
      <c r="AA116" s="212">
        <v>10759272</v>
      </c>
      <c r="AB116" s="217">
        <v>5642972</v>
      </c>
    </row>
    <row r="117" spans="2:28" x14ac:dyDescent="0.55000000000000004">
      <c r="B117" s="99" t="s">
        <v>395</v>
      </c>
      <c r="C117" s="86">
        <v>4</v>
      </c>
      <c r="D117" s="211" t="s">
        <v>396</v>
      </c>
      <c r="E117" s="107"/>
      <c r="F117" s="108">
        <v>534505</v>
      </c>
      <c r="G117" s="109">
        <v>534505</v>
      </c>
      <c r="H117" s="204">
        <v>0</v>
      </c>
      <c r="I117" s="205">
        <v>0</v>
      </c>
      <c r="J117" s="112">
        <v>534505</v>
      </c>
      <c r="K117" s="206"/>
      <c r="L117" s="218">
        <v>534505</v>
      </c>
      <c r="N117" s="99" t="s">
        <v>395</v>
      </c>
      <c r="O117" s="86">
        <v>4</v>
      </c>
      <c r="P117" s="109" t="s">
        <v>396</v>
      </c>
      <c r="Q117" s="107"/>
      <c r="R117" s="109"/>
      <c r="S117" s="109"/>
      <c r="T117" s="109"/>
      <c r="U117" s="108">
        <v>11040</v>
      </c>
      <c r="V117" s="112">
        <v>11040</v>
      </c>
      <c r="W117" s="204">
        <v>0</v>
      </c>
      <c r="X117" s="205">
        <v>0</v>
      </c>
      <c r="Y117" s="112">
        <v>11040</v>
      </c>
      <c r="Z117" s="206"/>
      <c r="AA117" s="218">
        <v>11040</v>
      </c>
      <c r="AB117" s="213">
        <v>534505</v>
      </c>
    </row>
    <row r="118" spans="2:28" x14ac:dyDescent="0.55000000000000004">
      <c r="B118" s="99" t="s">
        <v>397</v>
      </c>
      <c r="C118" s="86">
        <v>4</v>
      </c>
      <c r="D118" s="211" t="s">
        <v>398</v>
      </c>
      <c r="E118" s="107"/>
      <c r="F118" s="108">
        <v>0</v>
      </c>
      <c r="G118" s="109">
        <v>0</v>
      </c>
      <c r="H118" s="204">
        <v>0</v>
      </c>
      <c r="I118" s="205">
        <v>0</v>
      </c>
      <c r="J118" s="112">
        <v>0</v>
      </c>
      <c r="K118" s="206"/>
      <c r="L118" s="218">
        <v>0</v>
      </c>
      <c r="N118" s="99" t="s">
        <v>397</v>
      </c>
      <c r="O118" s="86">
        <v>4</v>
      </c>
      <c r="P118" s="109" t="s">
        <v>398</v>
      </c>
      <c r="Q118" s="107"/>
      <c r="R118" s="109"/>
      <c r="S118" s="109"/>
      <c r="T118" s="109"/>
      <c r="U118" s="108">
        <v>734610</v>
      </c>
      <c r="V118" s="112">
        <v>734610</v>
      </c>
      <c r="W118" s="204">
        <v>0</v>
      </c>
      <c r="X118" s="205">
        <v>0</v>
      </c>
      <c r="Y118" s="112">
        <v>734610</v>
      </c>
      <c r="Z118" s="206"/>
      <c r="AA118" s="218">
        <v>734610</v>
      </c>
      <c r="AB118" s="213">
        <v>0</v>
      </c>
    </row>
    <row r="119" spans="2:28" x14ac:dyDescent="0.55000000000000004">
      <c r="B119" s="99" t="s">
        <v>399</v>
      </c>
      <c r="C119" s="86">
        <v>4</v>
      </c>
      <c r="D119" s="211" t="s">
        <v>400</v>
      </c>
      <c r="E119" s="107">
        <v>40500</v>
      </c>
      <c r="F119" s="108">
        <v>17287829</v>
      </c>
      <c r="G119" s="109">
        <v>17328329</v>
      </c>
      <c r="H119" s="204">
        <v>0</v>
      </c>
      <c r="I119" s="205">
        <v>0</v>
      </c>
      <c r="J119" s="112">
        <v>17328329</v>
      </c>
      <c r="K119" s="206"/>
      <c r="L119" s="218">
        <v>17328329</v>
      </c>
      <c r="N119" s="99" t="s">
        <v>399</v>
      </c>
      <c r="O119" s="86">
        <v>4</v>
      </c>
      <c r="P119" s="109" t="s">
        <v>400</v>
      </c>
      <c r="Q119" s="107">
        <v>54000</v>
      </c>
      <c r="R119" s="109">
        <v>87500</v>
      </c>
      <c r="S119" s="109">
        <v>908820</v>
      </c>
      <c r="T119" s="109">
        <v>7024590</v>
      </c>
      <c r="U119" s="108">
        <v>17190960</v>
      </c>
      <c r="V119" s="112">
        <v>25265870</v>
      </c>
      <c r="W119" s="204">
        <v>0</v>
      </c>
      <c r="X119" s="205">
        <v>0</v>
      </c>
      <c r="Y119" s="112">
        <v>25265870</v>
      </c>
      <c r="Z119" s="206"/>
      <c r="AA119" s="218">
        <v>25265870</v>
      </c>
      <c r="AB119" s="213">
        <v>6980370</v>
      </c>
    </row>
    <row r="120" spans="2:28" x14ac:dyDescent="0.55000000000000004">
      <c r="B120" s="99" t="s">
        <v>109</v>
      </c>
      <c r="C120" s="86">
        <v>4</v>
      </c>
      <c r="D120" s="211" t="s">
        <v>401</v>
      </c>
      <c r="E120" s="107">
        <v>0</v>
      </c>
      <c r="F120" s="89">
        <v>127878059</v>
      </c>
      <c r="G120" s="109">
        <v>127878059</v>
      </c>
      <c r="H120" s="204">
        <v>0</v>
      </c>
      <c r="I120" s="205">
        <v>0</v>
      </c>
      <c r="J120" s="112">
        <v>127878059</v>
      </c>
      <c r="K120" s="206"/>
      <c r="L120" s="219">
        <v>127878059</v>
      </c>
      <c r="N120" s="237" t="s">
        <v>109</v>
      </c>
      <c r="O120" s="86">
        <v>4</v>
      </c>
      <c r="P120" s="109" t="s">
        <v>401</v>
      </c>
      <c r="Q120" s="107"/>
      <c r="R120" s="109"/>
      <c r="S120" s="90">
        <v>2132428</v>
      </c>
      <c r="T120" s="90">
        <v>8196027</v>
      </c>
      <c r="U120" s="89">
        <v>45914015</v>
      </c>
      <c r="V120" s="112">
        <v>56242470</v>
      </c>
      <c r="W120" s="204">
        <v>932232</v>
      </c>
      <c r="X120" s="205">
        <v>0</v>
      </c>
      <c r="Y120" s="112">
        <v>57174702</v>
      </c>
      <c r="Z120" s="206"/>
      <c r="AA120" s="219">
        <v>57174702</v>
      </c>
      <c r="AB120" s="220">
        <v>61892681</v>
      </c>
    </row>
    <row r="121" spans="2:28" x14ac:dyDescent="0.55000000000000004">
      <c r="B121" s="99" t="s">
        <v>110</v>
      </c>
      <c r="C121" s="86">
        <v>4</v>
      </c>
      <c r="D121" s="211" t="s">
        <v>402</v>
      </c>
      <c r="E121" s="107">
        <v>645000</v>
      </c>
      <c r="F121" s="89">
        <v>49312996</v>
      </c>
      <c r="G121" s="109">
        <v>49957996</v>
      </c>
      <c r="H121" s="204">
        <v>0</v>
      </c>
      <c r="I121" s="205">
        <v>0</v>
      </c>
      <c r="J121" s="112">
        <v>49957996</v>
      </c>
      <c r="K121" s="206"/>
      <c r="L121" s="218">
        <v>49957996</v>
      </c>
      <c r="N121" s="237" t="s">
        <v>110</v>
      </c>
      <c r="O121" s="86">
        <v>4</v>
      </c>
      <c r="P121" s="109" t="s">
        <v>402</v>
      </c>
      <c r="Q121" s="107"/>
      <c r="R121" s="109">
        <v>15333636</v>
      </c>
      <c r="S121" s="109"/>
      <c r="T121" s="90">
        <v>24285432</v>
      </c>
      <c r="U121" s="89">
        <v>49812207</v>
      </c>
      <c r="V121" s="112">
        <v>89431275</v>
      </c>
      <c r="W121" s="204">
        <v>0</v>
      </c>
      <c r="X121" s="205">
        <v>0</v>
      </c>
      <c r="Y121" s="112">
        <v>89431275</v>
      </c>
      <c r="Z121" s="206"/>
      <c r="AA121" s="218">
        <v>89431275</v>
      </c>
      <c r="AB121" s="213">
        <v>26739400</v>
      </c>
    </row>
    <row r="122" spans="2:28" x14ac:dyDescent="0.55000000000000004">
      <c r="B122" s="99" t="s">
        <v>403</v>
      </c>
      <c r="C122" s="86">
        <v>4</v>
      </c>
      <c r="D122" s="211" t="s">
        <v>404</v>
      </c>
      <c r="E122" s="107"/>
      <c r="F122" s="89">
        <v>7128000</v>
      </c>
      <c r="G122" s="109">
        <v>7128000</v>
      </c>
      <c r="H122" s="204">
        <v>0</v>
      </c>
      <c r="I122" s="205">
        <v>0</v>
      </c>
      <c r="J122" s="112">
        <v>7128000</v>
      </c>
      <c r="K122" s="206"/>
      <c r="L122" s="218">
        <v>7128000</v>
      </c>
      <c r="N122" s="99" t="s">
        <v>403</v>
      </c>
      <c r="O122" s="86">
        <v>4</v>
      </c>
      <c r="P122" s="109" t="s">
        <v>404</v>
      </c>
      <c r="Q122" s="107"/>
      <c r="R122" s="109">
        <v>1360000</v>
      </c>
      <c r="S122" s="109"/>
      <c r="T122" s="90">
        <v>0</v>
      </c>
      <c r="U122" s="89">
        <v>11592000</v>
      </c>
      <c r="V122" s="112">
        <v>12952000</v>
      </c>
      <c r="W122" s="204">
        <v>979000</v>
      </c>
      <c r="X122" s="205">
        <v>0</v>
      </c>
      <c r="Y122" s="112">
        <v>13931000</v>
      </c>
      <c r="Z122" s="206"/>
      <c r="AA122" s="218">
        <v>13931000</v>
      </c>
      <c r="AB122" s="213">
        <v>0</v>
      </c>
    </row>
    <row r="123" spans="2:28" x14ac:dyDescent="0.55000000000000004">
      <c r="B123" s="99" t="s">
        <v>111</v>
      </c>
      <c r="C123" s="86">
        <v>4</v>
      </c>
      <c r="D123" s="211" t="s">
        <v>405</v>
      </c>
      <c r="E123" s="107">
        <v>146918</v>
      </c>
      <c r="F123" s="89">
        <v>57024687</v>
      </c>
      <c r="G123" s="109">
        <v>57171605</v>
      </c>
      <c r="H123" s="204">
        <v>0</v>
      </c>
      <c r="I123" s="205">
        <v>0</v>
      </c>
      <c r="J123" s="112">
        <v>57171605</v>
      </c>
      <c r="K123" s="206"/>
      <c r="L123" s="218">
        <v>57171605</v>
      </c>
      <c r="N123" s="237" t="s">
        <v>111</v>
      </c>
      <c r="O123" s="86">
        <v>4</v>
      </c>
      <c r="P123" s="109" t="s">
        <v>405</v>
      </c>
      <c r="Q123" s="107"/>
      <c r="R123" s="109">
        <v>2420540</v>
      </c>
      <c r="S123" s="109">
        <v>1789578</v>
      </c>
      <c r="T123" s="90">
        <v>3418170</v>
      </c>
      <c r="U123" s="89">
        <v>41440246</v>
      </c>
      <c r="V123" s="112">
        <v>49068534</v>
      </c>
      <c r="W123" s="204">
        <v>0</v>
      </c>
      <c r="X123" s="205">
        <v>0</v>
      </c>
      <c r="Y123" s="112">
        <v>49068534</v>
      </c>
      <c r="Z123" s="206"/>
      <c r="AA123" s="218">
        <v>49068534</v>
      </c>
      <c r="AB123" s="213">
        <v>22482709</v>
      </c>
    </row>
    <row r="124" spans="2:28" x14ac:dyDescent="0.55000000000000004">
      <c r="B124" s="99" t="s">
        <v>406</v>
      </c>
      <c r="C124" s="86">
        <v>4</v>
      </c>
      <c r="D124" s="211" t="s">
        <v>407</v>
      </c>
      <c r="E124" s="107"/>
      <c r="F124" s="108">
        <v>2845213</v>
      </c>
      <c r="G124" s="109">
        <v>2845213</v>
      </c>
      <c r="H124" s="204">
        <v>0</v>
      </c>
      <c r="I124" s="205">
        <v>0</v>
      </c>
      <c r="J124" s="112">
        <v>2845213</v>
      </c>
      <c r="K124" s="206"/>
      <c r="L124" s="212">
        <v>2845213</v>
      </c>
      <c r="N124" s="99" t="s">
        <v>406</v>
      </c>
      <c r="O124" s="86">
        <v>4</v>
      </c>
      <c r="P124" s="109" t="s">
        <v>407</v>
      </c>
      <c r="Q124" s="107"/>
      <c r="R124" s="109">
        <v>2837550</v>
      </c>
      <c r="S124" s="109"/>
      <c r="T124" s="90"/>
      <c r="U124" s="108">
        <v>4857853</v>
      </c>
      <c r="V124" s="112">
        <v>7695403</v>
      </c>
      <c r="W124" s="204">
        <v>0</v>
      </c>
      <c r="X124" s="205">
        <v>0</v>
      </c>
      <c r="Y124" s="112">
        <v>7695403</v>
      </c>
      <c r="Z124" s="206"/>
      <c r="AA124" s="212">
        <v>7695403</v>
      </c>
      <c r="AB124" s="217">
        <v>500496</v>
      </c>
    </row>
    <row r="125" spans="2:28" x14ac:dyDescent="0.55000000000000004">
      <c r="B125" s="99" t="s">
        <v>408</v>
      </c>
      <c r="C125" s="86">
        <v>4</v>
      </c>
      <c r="D125" s="211" t="s">
        <v>409</v>
      </c>
      <c r="E125" s="107">
        <v>0</v>
      </c>
      <c r="F125" s="108">
        <v>19364</v>
      </c>
      <c r="G125" s="109">
        <v>19364</v>
      </c>
      <c r="H125" s="204">
        <v>0</v>
      </c>
      <c r="I125" s="205">
        <v>0</v>
      </c>
      <c r="J125" s="112">
        <v>19364</v>
      </c>
      <c r="K125" s="206"/>
      <c r="L125" s="212">
        <v>19364</v>
      </c>
      <c r="N125" s="99" t="s">
        <v>408</v>
      </c>
      <c r="O125" s="86">
        <v>4</v>
      </c>
      <c r="P125" s="109" t="s">
        <v>409</v>
      </c>
      <c r="Q125" s="107"/>
      <c r="R125" s="109">
        <v>84637</v>
      </c>
      <c r="S125" s="109"/>
      <c r="T125" s="90">
        <v>160900</v>
      </c>
      <c r="U125" s="108">
        <v>661000</v>
      </c>
      <c r="V125" s="112">
        <v>906537</v>
      </c>
      <c r="W125" s="204">
        <v>0</v>
      </c>
      <c r="X125" s="205">
        <v>0</v>
      </c>
      <c r="Y125" s="112">
        <v>906537</v>
      </c>
      <c r="Z125" s="206"/>
      <c r="AA125" s="212">
        <v>906537</v>
      </c>
      <c r="AB125" s="217">
        <v>3000</v>
      </c>
    </row>
    <row r="126" spans="2:28" x14ac:dyDescent="0.55000000000000004">
      <c r="B126" s="99" t="s">
        <v>410</v>
      </c>
      <c r="C126" s="86">
        <v>4</v>
      </c>
      <c r="D126" s="211" t="s">
        <v>411</v>
      </c>
      <c r="E126" s="107"/>
      <c r="F126" s="108">
        <v>6658500</v>
      </c>
      <c r="G126" s="109">
        <v>6658500</v>
      </c>
      <c r="H126" s="204">
        <v>0</v>
      </c>
      <c r="I126" s="205">
        <v>0</v>
      </c>
      <c r="J126" s="112">
        <v>6658500</v>
      </c>
      <c r="K126" s="206"/>
      <c r="L126" s="212">
        <v>6658500</v>
      </c>
      <c r="N126" s="99" t="s">
        <v>410</v>
      </c>
      <c r="O126" s="86">
        <v>4</v>
      </c>
      <c r="P126" s="109" t="s">
        <v>411</v>
      </c>
      <c r="Q126" s="107"/>
      <c r="R126" s="109"/>
      <c r="S126" s="109"/>
      <c r="T126" s="90"/>
      <c r="U126" s="108">
        <v>0</v>
      </c>
      <c r="V126" s="112">
        <v>0</v>
      </c>
      <c r="W126" s="204">
        <v>0</v>
      </c>
      <c r="X126" s="205">
        <v>0</v>
      </c>
      <c r="Y126" s="112">
        <v>0</v>
      </c>
      <c r="Z126" s="206"/>
      <c r="AA126" s="212">
        <v>0</v>
      </c>
      <c r="AB126" s="217">
        <v>0</v>
      </c>
    </row>
    <row r="127" spans="2:28" x14ac:dyDescent="0.55000000000000004">
      <c r="B127" s="99" t="s">
        <v>412</v>
      </c>
      <c r="C127" s="86">
        <v>4</v>
      </c>
      <c r="D127" s="211" t="s">
        <v>413</v>
      </c>
      <c r="E127" s="107">
        <v>0</v>
      </c>
      <c r="F127" s="108">
        <v>1173139</v>
      </c>
      <c r="G127" s="109">
        <v>1173139</v>
      </c>
      <c r="H127" s="204">
        <v>0</v>
      </c>
      <c r="I127" s="205">
        <v>0</v>
      </c>
      <c r="J127" s="112">
        <v>1173139</v>
      </c>
      <c r="K127" s="206"/>
      <c r="L127" s="212">
        <v>1173139</v>
      </c>
      <c r="N127" s="99" t="s">
        <v>412</v>
      </c>
      <c r="O127" s="86">
        <v>4</v>
      </c>
      <c r="P127" s="109" t="s">
        <v>413</v>
      </c>
      <c r="Q127" s="107"/>
      <c r="R127" s="109"/>
      <c r="S127" s="109"/>
      <c r="T127" s="90">
        <v>19356870</v>
      </c>
      <c r="U127" s="108">
        <v>117473</v>
      </c>
      <c r="V127" s="112">
        <v>19474343</v>
      </c>
      <c r="W127" s="204">
        <v>0</v>
      </c>
      <c r="X127" s="205">
        <v>0</v>
      </c>
      <c r="Y127" s="112">
        <v>19474343</v>
      </c>
      <c r="Z127" s="206"/>
      <c r="AA127" s="212">
        <v>19474343</v>
      </c>
      <c r="AB127" s="217">
        <v>469291</v>
      </c>
    </row>
    <row r="128" spans="2:28" x14ac:dyDescent="0.55000000000000004">
      <c r="B128" s="99" t="s">
        <v>414</v>
      </c>
      <c r="C128" s="86">
        <v>4</v>
      </c>
      <c r="D128" s="211" t="s">
        <v>415</v>
      </c>
      <c r="E128" s="107">
        <v>0</v>
      </c>
      <c r="F128" s="108">
        <v>85746</v>
      </c>
      <c r="G128" s="109">
        <v>85746</v>
      </c>
      <c r="H128" s="204">
        <v>0</v>
      </c>
      <c r="I128" s="205">
        <v>0</v>
      </c>
      <c r="J128" s="112">
        <v>85746</v>
      </c>
      <c r="K128" s="206"/>
      <c r="L128" s="212">
        <v>85746</v>
      </c>
      <c r="N128" s="99" t="s">
        <v>414</v>
      </c>
      <c r="O128" s="86">
        <v>4</v>
      </c>
      <c r="P128" s="109" t="s">
        <v>415</v>
      </c>
      <c r="Q128" s="107"/>
      <c r="R128" s="109"/>
      <c r="S128" s="109"/>
      <c r="T128" s="90">
        <v>62778593</v>
      </c>
      <c r="U128" s="108">
        <v>575295</v>
      </c>
      <c r="V128" s="112">
        <v>63353888</v>
      </c>
      <c r="W128" s="204">
        <v>0</v>
      </c>
      <c r="X128" s="205">
        <v>0</v>
      </c>
      <c r="Y128" s="112">
        <v>63353888</v>
      </c>
      <c r="Z128" s="206"/>
      <c r="AA128" s="212">
        <v>63353888</v>
      </c>
      <c r="AB128" s="217">
        <v>0</v>
      </c>
    </row>
    <row r="129" spans="2:28" x14ac:dyDescent="0.55000000000000004">
      <c r="B129" s="85" t="s">
        <v>416</v>
      </c>
      <c r="C129" s="86">
        <v>4</v>
      </c>
      <c r="D129" s="211" t="s">
        <v>417</v>
      </c>
      <c r="E129" s="107">
        <v>454908</v>
      </c>
      <c r="F129" s="108">
        <v>199659357</v>
      </c>
      <c r="G129" s="109">
        <v>200114265</v>
      </c>
      <c r="H129" s="204">
        <v>0</v>
      </c>
      <c r="I129" s="205">
        <v>0</v>
      </c>
      <c r="J129" s="112">
        <v>200114265</v>
      </c>
      <c r="K129" s="206"/>
      <c r="L129" s="218">
        <v>200114265</v>
      </c>
      <c r="N129" s="85" t="s">
        <v>416</v>
      </c>
      <c r="O129" s="86">
        <v>4</v>
      </c>
      <c r="P129" s="109" t="s">
        <v>417</v>
      </c>
      <c r="Q129" s="107"/>
      <c r="R129" s="109">
        <v>52984943</v>
      </c>
      <c r="S129" s="109">
        <v>9148240</v>
      </c>
      <c r="T129" s="90">
        <v>93114044</v>
      </c>
      <c r="U129" s="108">
        <v>345402564</v>
      </c>
      <c r="V129" s="112">
        <v>500649791</v>
      </c>
      <c r="W129" s="204">
        <v>0</v>
      </c>
      <c r="X129" s="205">
        <v>0</v>
      </c>
      <c r="Y129" s="112">
        <v>500649791</v>
      </c>
      <c r="Z129" s="206"/>
      <c r="AA129" s="218">
        <v>500649791</v>
      </c>
      <c r="AB129" s="213">
        <v>60581534</v>
      </c>
    </row>
    <row r="130" spans="2:28" x14ac:dyDescent="0.55000000000000004">
      <c r="B130" s="237" t="s">
        <v>102</v>
      </c>
      <c r="C130" s="86">
        <v>4</v>
      </c>
      <c r="D130" s="211" t="s">
        <v>418</v>
      </c>
      <c r="E130" s="107">
        <v>12706238</v>
      </c>
      <c r="F130" s="108">
        <v>4807133859</v>
      </c>
      <c r="G130" s="109">
        <v>4819840097</v>
      </c>
      <c r="H130" s="204">
        <v>0</v>
      </c>
      <c r="I130" s="205">
        <v>0</v>
      </c>
      <c r="J130" s="112">
        <v>4819840097</v>
      </c>
      <c r="K130" s="206"/>
      <c r="L130" s="218">
        <v>4819840097</v>
      </c>
      <c r="N130" s="264" t="s">
        <v>102</v>
      </c>
      <c r="O130" s="86">
        <v>4</v>
      </c>
      <c r="P130" s="109" t="s">
        <v>418</v>
      </c>
      <c r="Q130" s="107">
        <v>101000</v>
      </c>
      <c r="R130" s="90">
        <v>1221319054</v>
      </c>
      <c r="S130" s="90">
        <v>162654570</v>
      </c>
      <c r="T130" s="90">
        <v>745515849</v>
      </c>
      <c r="U130" s="108">
        <v>7022303450</v>
      </c>
      <c r="V130" s="112">
        <v>9151893923</v>
      </c>
      <c r="W130" s="204">
        <v>0</v>
      </c>
      <c r="X130" s="205">
        <v>26047728</v>
      </c>
      <c r="Y130" s="112">
        <v>9125846195</v>
      </c>
      <c r="Z130" s="206"/>
      <c r="AA130" s="218">
        <v>9125846195</v>
      </c>
      <c r="AB130" s="213">
        <v>373072509</v>
      </c>
    </row>
    <row r="131" spans="2:28" x14ac:dyDescent="0.55000000000000004">
      <c r="B131" s="237" t="s">
        <v>104</v>
      </c>
      <c r="C131" s="86">
        <v>4</v>
      </c>
      <c r="D131" s="211" t="s">
        <v>419</v>
      </c>
      <c r="E131" s="88">
        <v>43055839</v>
      </c>
      <c r="F131" s="108">
        <v>1288318707</v>
      </c>
      <c r="G131" s="109">
        <v>1331374546</v>
      </c>
      <c r="H131" s="204">
        <v>0</v>
      </c>
      <c r="I131" s="205">
        <v>0</v>
      </c>
      <c r="J131" s="112">
        <v>1331374546</v>
      </c>
      <c r="K131" s="206"/>
      <c r="L131" s="218">
        <v>1331374546</v>
      </c>
      <c r="N131" s="264" t="s">
        <v>104</v>
      </c>
      <c r="O131" s="86">
        <v>4</v>
      </c>
      <c r="P131" s="109" t="s">
        <v>419</v>
      </c>
      <c r="Q131" s="107"/>
      <c r="R131" s="90">
        <v>527395568</v>
      </c>
      <c r="S131" s="90"/>
      <c r="T131" s="90">
        <v>1636512063</v>
      </c>
      <c r="U131" s="108">
        <v>2132901003</v>
      </c>
      <c r="V131" s="112">
        <v>4296808634</v>
      </c>
      <c r="W131" s="204">
        <v>0</v>
      </c>
      <c r="X131" s="205">
        <v>0</v>
      </c>
      <c r="Y131" s="112">
        <v>4296808634</v>
      </c>
      <c r="Z131" s="206"/>
      <c r="AA131" s="218">
        <v>4296808634</v>
      </c>
      <c r="AB131" s="213">
        <v>236984695</v>
      </c>
    </row>
    <row r="132" spans="2:28" x14ac:dyDescent="0.55000000000000004">
      <c r="B132" s="85" t="s">
        <v>113</v>
      </c>
      <c r="C132" s="86">
        <v>4</v>
      </c>
      <c r="D132" s="211" t="s">
        <v>420</v>
      </c>
      <c r="E132" s="107">
        <v>0</v>
      </c>
      <c r="F132" s="108">
        <v>52947444</v>
      </c>
      <c r="G132" s="109">
        <v>52947444</v>
      </c>
      <c r="H132" s="204">
        <v>0</v>
      </c>
      <c r="I132" s="205">
        <v>0</v>
      </c>
      <c r="J132" s="112">
        <v>52947444</v>
      </c>
      <c r="K132" s="206"/>
      <c r="L132" s="218">
        <v>52947444</v>
      </c>
      <c r="N132" s="237" t="s">
        <v>113</v>
      </c>
      <c r="O132" s="86">
        <v>4</v>
      </c>
      <c r="P132" s="109" t="s">
        <v>420</v>
      </c>
      <c r="Q132" s="107"/>
      <c r="R132" s="109"/>
      <c r="S132" s="109"/>
      <c r="T132" s="90">
        <v>1116737</v>
      </c>
      <c r="U132" s="108">
        <v>52376322</v>
      </c>
      <c r="V132" s="112">
        <v>53493059</v>
      </c>
      <c r="W132" s="204">
        <v>0</v>
      </c>
      <c r="X132" s="205">
        <v>0</v>
      </c>
      <c r="Y132" s="112">
        <v>53493059</v>
      </c>
      <c r="Z132" s="206"/>
      <c r="AA132" s="218">
        <v>53493059</v>
      </c>
      <c r="AB132" s="213">
        <v>25999333</v>
      </c>
    </row>
    <row r="133" spans="2:28" x14ac:dyDescent="0.55000000000000004">
      <c r="B133" s="85" t="s">
        <v>421</v>
      </c>
      <c r="C133" s="86">
        <v>4</v>
      </c>
      <c r="D133" s="211" t="s">
        <v>422</v>
      </c>
      <c r="E133" s="107"/>
      <c r="F133" s="108">
        <v>0</v>
      </c>
      <c r="G133" s="109">
        <v>0</v>
      </c>
      <c r="H133" s="204">
        <v>0</v>
      </c>
      <c r="I133" s="205">
        <v>0</v>
      </c>
      <c r="J133" s="112">
        <v>0</v>
      </c>
      <c r="K133" s="206"/>
      <c r="L133" s="219">
        <v>0</v>
      </c>
      <c r="N133" s="237" t="s">
        <v>421</v>
      </c>
      <c r="O133" s="86">
        <v>4</v>
      </c>
      <c r="P133" s="109" t="s">
        <v>422</v>
      </c>
      <c r="Q133" s="107"/>
      <c r="R133" s="109"/>
      <c r="S133" s="109"/>
      <c r="T133" s="90">
        <v>1784226</v>
      </c>
      <c r="U133" s="108">
        <v>0</v>
      </c>
      <c r="V133" s="112">
        <v>1784226</v>
      </c>
      <c r="W133" s="204">
        <v>0</v>
      </c>
      <c r="X133" s="205">
        <v>1784226</v>
      </c>
      <c r="Y133" s="112">
        <v>0</v>
      </c>
      <c r="Z133" s="206"/>
      <c r="AA133" s="219">
        <v>0</v>
      </c>
      <c r="AB133" s="220">
        <v>0</v>
      </c>
    </row>
    <row r="134" spans="2:28" x14ac:dyDescent="0.55000000000000004">
      <c r="B134" s="85" t="s">
        <v>114</v>
      </c>
      <c r="C134" s="86">
        <v>4</v>
      </c>
      <c r="D134" s="211" t="s">
        <v>423</v>
      </c>
      <c r="E134" s="107"/>
      <c r="F134" s="89">
        <v>48082017</v>
      </c>
      <c r="G134" s="109">
        <v>48082017</v>
      </c>
      <c r="H134" s="204">
        <v>0</v>
      </c>
      <c r="I134" s="205">
        <v>0</v>
      </c>
      <c r="J134" s="112">
        <v>48082017</v>
      </c>
      <c r="K134" s="206"/>
      <c r="L134" s="212">
        <v>48082017</v>
      </c>
      <c r="N134" s="237" t="s">
        <v>114</v>
      </c>
      <c r="O134" s="86">
        <v>4</v>
      </c>
      <c r="P134" s="109" t="s">
        <v>423</v>
      </c>
      <c r="Q134" s="107"/>
      <c r="R134" s="109"/>
      <c r="S134" s="109"/>
      <c r="T134" s="90">
        <v>0</v>
      </c>
      <c r="U134" s="89">
        <v>42200597</v>
      </c>
      <c r="V134" s="112">
        <v>42200597</v>
      </c>
      <c r="W134" s="204">
        <v>0</v>
      </c>
      <c r="X134" s="205">
        <v>0</v>
      </c>
      <c r="Y134" s="112">
        <v>42200597</v>
      </c>
      <c r="Z134" s="206"/>
      <c r="AA134" s="212">
        <v>42200597</v>
      </c>
      <c r="AB134" s="217">
        <v>9676299</v>
      </c>
    </row>
    <row r="135" spans="2:28" x14ac:dyDescent="0.55000000000000004">
      <c r="B135" s="237" t="s">
        <v>105</v>
      </c>
      <c r="C135" s="86">
        <v>4</v>
      </c>
      <c r="D135" s="211" t="s">
        <v>424</v>
      </c>
      <c r="E135" s="107"/>
      <c r="F135" s="89">
        <v>434400668</v>
      </c>
      <c r="G135" s="109">
        <v>434400668</v>
      </c>
      <c r="H135" s="204">
        <v>0</v>
      </c>
      <c r="I135" s="205">
        <v>0</v>
      </c>
      <c r="J135" s="112">
        <v>434400668</v>
      </c>
      <c r="K135" s="206"/>
      <c r="L135" s="212">
        <v>434400668</v>
      </c>
      <c r="N135" s="264" t="s">
        <v>105</v>
      </c>
      <c r="O135" s="86">
        <v>4</v>
      </c>
      <c r="P135" s="109" t="s">
        <v>424</v>
      </c>
      <c r="Q135" s="107"/>
      <c r="R135" s="109">
        <v>43690764</v>
      </c>
      <c r="S135" s="109">
        <v>22230000</v>
      </c>
      <c r="T135" s="90">
        <v>72946090</v>
      </c>
      <c r="U135" s="89">
        <v>456862656</v>
      </c>
      <c r="V135" s="112">
        <v>595729510</v>
      </c>
      <c r="W135" s="204">
        <v>3440980317</v>
      </c>
      <c r="X135" s="205">
        <v>0</v>
      </c>
      <c r="Y135" s="112">
        <v>4036709827</v>
      </c>
      <c r="Z135" s="206"/>
      <c r="AA135" s="212">
        <v>4036709827</v>
      </c>
      <c r="AB135" s="217">
        <v>3929660</v>
      </c>
    </row>
    <row r="136" spans="2:28" x14ac:dyDescent="0.55000000000000004">
      <c r="B136" s="237" t="s">
        <v>425</v>
      </c>
      <c r="C136" s="86">
        <v>4</v>
      </c>
      <c r="D136" s="211" t="s">
        <v>426</v>
      </c>
      <c r="E136" s="107"/>
      <c r="F136" s="89">
        <v>0</v>
      </c>
      <c r="G136" s="109">
        <v>0</v>
      </c>
      <c r="H136" s="204">
        <v>0</v>
      </c>
      <c r="I136" s="205">
        <v>0</v>
      </c>
      <c r="J136" s="112">
        <v>0</v>
      </c>
      <c r="K136" s="206"/>
      <c r="L136" s="212">
        <v>0</v>
      </c>
      <c r="N136" s="264" t="s">
        <v>425</v>
      </c>
      <c r="O136" s="86">
        <v>4</v>
      </c>
      <c r="P136" s="109" t="s">
        <v>426</v>
      </c>
      <c r="Q136" s="107"/>
      <c r="R136" s="109"/>
      <c r="S136" s="109"/>
      <c r="T136" s="90">
        <v>3440980317</v>
      </c>
      <c r="U136" s="89">
        <v>0</v>
      </c>
      <c r="V136" s="112">
        <v>3440980317</v>
      </c>
      <c r="W136" s="204">
        <v>0</v>
      </c>
      <c r="X136" s="205">
        <v>3440980317</v>
      </c>
      <c r="Y136" s="112">
        <v>0</v>
      </c>
      <c r="Z136" s="206"/>
      <c r="AA136" s="212">
        <v>0</v>
      </c>
      <c r="AB136" s="217">
        <v>0</v>
      </c>
    </row>
    <row r="137" spans="2:28" x14ac:dyDescent="0.55000000000000004">
      <c r="B137" s="85" t="s">
        <v>427</v>
      </c>
      <c r="C137" s="86">
        <v>4</v>
      </c>
      <c r="D137" s="211" t="s">
        <v>428</v>
      </c>
      <c r="E137" s="107"/>
      <c r="F137" s="108">
        <v>0</v>
      </c>
      <c r="G137" s="109">
        <v>0</v>
      </c>
      <c r="H137" s="204">
        <v>0</v>
      </c>
      <c r="I137" s="205">
        <v>0</v>
      </c>
      <c r="J137" s="112">
        <v>0</v>
      </c>
      <c r="K137" s="206"/>
      <c r="L137" s="212">
        <v>0</v>
      </c>
      <c r="N137" s="85" t="s">
        <v>427</v>
      </c>
      <c r="O137" s="86">
        <v>4</v>
      </c>
      <c r="P137" s="109" t="s">
        <v>428</v>
      </c>
      <c r="Q137" s="107"/>
      <c r="R137" s="109"/>
      <c r="S137" s="109"/>
      <c r="T137" s="109">
        <v>979000</v>
      </c>
      <c r="U137" s="108">
        <v>0</v>
      </c>
      <c r="V137" s="112">
        <v>979000</v>
      </c>
      <c r="W137" s="204">
        <v>0</v>
      </c>
      <c r="X137" s="205">
        <v>979000</v>
      </c>
      <c r="Y137" s="112">
        <v>0</v>
      </c>
      <c r="Z137" s="206"/>
      <c r="AA137" s="212">
        <v>0</v>
      </c>
      <c r="AB137" s="217">
        <v>0</v>
      </c>
    </row>
    <row r="138" spans="2:28" x14ac:dyDescent="0.55000000000000004">
      <c r="B138" s="198" t="s">
        <v>429</v>
      </c>
      <c r="C138" s="199">
        <v>1</v>
      </c>
      <c r="D138" s="214" t="s">
        <v>430</v>
      </c>
      <c r="E138" s="65">
        <v>-56933572</v>
      </c>
      <c r="F138" s="66">
        <v>3398089733</v>
      </c>
      <c r="G138" s="67">
        <v>3341156161</v>
      </c>
      <c r="H138" s="204">
        <v>0</v>
      </c>
      <c r="I138" s="205">
        <v>0</v>
      </c>
      <c r="J138" s="73">
        <v>3341156161</v>
      </c>
      <c r="K138" s="206"/>
      <c r="L138" s="215">
        <v>3341156161</v>
      </c>
      <c r="N138" s="198" t="s">
        <v>429</v>
      </c>
      <c r="O138" s="199">
        <v>1</v>
      </c>
      <c r="P138" s="67" t="s">
        <v>430</v>
      </c>
      <c r="Q138" s="65">
        <v>-155000</v>
      </c>
      <c r="R138" s="67">
        <v>3486607042</v>
      </c>
      <c r="S138" s="67">
        <v>13858365</v>
      </c>
      <c r="T138" s="67">
        <v>3797886009</v>
      </c>
      <c r="U138" s="66">
        <v>6633082409</v>
      </c>
      <c r="V138" s="73">
        <v>13931278825</v>
      </c>
      <c r="W138" s="204">
        <v>0</v>
      </c>
      <c r="X138" s="205">
        <v>0</v>
      </c>
      <c r="Y138" s="73">
        <v>13911880819</v>
      </c>
      <c r="Z138" s="206"/>
      <c r="AA138" s="215">
        <v>13911880819</v>
      </c>
      <c r="AB138" s="216">
        <v>775251974</v>
      </c>
    </row>
    <row r="139" spans="2:28" x14ac:dyDescent="0.55000000000000004">
      <c r="B139" s="170" t="s">
        <v>431</v>
      </c>
      <c r="C139" s="171">
        <v>2</v>
      </c>
      <c r="D139" s="221" t="s">
        <v>432</v>
      </c>
      <c r="E139" s="78">
        <v>1907</v>
      </c>
      <c r="F139" s="79">
        <v>26241991</v>
      </c>
      <c r="G139" s="80">
        <v>26243898</v>
      </c>
      <c r="H139" s="204">
        <v>0</v>
      </c>
      <c r="I139" s="205">
        <v>0</v>
      </c>
      <c r="J139" s="80">
        <v>26243898</v>
      </c>
      <c r="K139" s="206"/>
      <c r="L139" s="222">
        <v>26243898</v>
      </c>
      <c r="N139" s="170" t="s">
        <v>431</v>
      </c>
      <c r="O139" s="171">
        <v>2</v>
      </c>
      <c r="P139" s="80" t="s">
        <v>432</v>
      </c>
      <c r="Q139" s="78">
        <v>103949</v>
      </c>
      <c r="R139" s="80">
        <v>95093</v>
      </c>
      <c r="S139" s="80">
        <v>49165</v>
      </c>
      <c r="T139" s="80">
        <v>481219</v>
      </c>
      <c r="U139" s="79">
        <v>38200284</v>
      </c>
      <c r="V139" s="83">
        <v>38929710</v>
      </c>
      <c r="W139" s="204">
        <v>0</v>
      </c>
      <c r="X139" s="205">
        <v>0</v>
      </c>
      <c r="Y139" s="80">
        <v>39035043</v>
      </c>
      <c r="Z139" s="206">
        <f>Y139-Y146</f>
        <v>-271246818</v>
      </c>
      <c r="AA139" s="222">
        <v>39035043</v>
      </c>
      <c r="AB139" s="223">
        <v>7762842</v>
      </c>
    </row>
    <row r="140" spans="2:28" x14ac:dyDescent="0.55000000000000004">
      <c r="B140" s="85" t="s">
        <v>433</v>
      </c>
      <c r="C140" s="86">
        <v>4</v>
      </c>
      <c r="D140" s="211" t="s">
        <v>434</v>
      </c>
      <c r="E140" s="107">
        <v>1907</v>
      </c>
      <c r="F140" s="108">
        <v>151022</v>
      </c>
      <c r="G140" s="109">
        <v>152929</v>
      </c>
      <c r="H140" s="204">
        <v>0</v>
      </c>
      <c r="I140" s="205">
        <v>0</v>
      </c>
      <c r="J140" s="112">
        <v>152929</v>
      </c>
      <c r="K140" s="206"/>
      <c r="L140" s="212">
        <v>152929</v>
      </c>
      <c r="N140" s="85" t="s">
        <v>433</v>
      </c>
      <c r="O140" s="86">
        <v>4</v>
      </c>
      <c r="P140" s="109" t="s">
        <v>434</v>
      </c>
      <c r="Q140" s="107">
        <v>103949</v>
      </c>
      <c r="R140" s="109">
        <v>62264</v>
      </c>
      <c r="S140" s="109">
        <v>9165</v>
      </c>
      <c r="T140" s="109">
        <v>219176</v>
      </c>
      <c r="U140" s="108">
        <v>499920</v>
      </c>
      <c r="V140" s="112">
        <v>894474</v>
      </c>
      <c r="W140" s="204">
        <v>191667</v>
      </c>
      <c r="X140" s="205">
        <v>0</v>
      </c>
      <c r="Y140" s="112">
        <v>702807</v>
      </c>
      <c r="Z140" s="206"/>
      <c r="AA140" s="212">
        <v>702807</v>
      </c>
      <c r="AB140" s="217">
        <v>5250</v>
      </c>
    </row>
    <row r="141" spans="2:28" x14ac:dyDescent="0.55000000000000004">
      <c r="B141" s="85" t="s">
        <v>435</v>
      </c>
      <c r="C141" s="86">
        <v>4</v>
      </c>
      <c r="D141" s="211" t="s">
        <v>436</v>
      </c>
      <c r="E141" s="107"/>
      <c r="F141" s="108">
        <v>260336</v>
      </c>
      <c r="G141" s="109">
        <v>260336</v>
      </c>
      <c r="H141" s="204">
        <v>0</v>
      </c>
      <c r="I141" s="205">
        <v>0</v>
      </c>
      <c r="J141" s="112">
        <v>260336</v>
      </c>
      <c r="K141" s="206"/>
      <c r="L141" s="212">
        <v>260336</v>
      </c>
      <c r="N141" s="85" t="s">
        <v>435</v>
      </c>
      <c r="O141" s="86">
        <v>4</v>
      </c>
      <c r="P141" s="109" t="s">
        <v>436</v>
      </c>
      <c r="Q141" s="107"/>
      <c r="R141" s="109"/>
      <c r="S141" s="109"/>
      <c r="T141" s="109"/>
      <c r="U141" s="108">
        <v>0</v>
      </c>
      <c r="V141" s="112">
        <v>0</v>
      </c>
      <c r="W141" s="204">
        <v>0</v>
      </c>
      <c r="X141" s="205">
        <v>0</v>
      </c>
      <c r="Y141" s="112">
        <v>0</v>
      </c>
      <c r="Z141" s="206"/>
      <c r="AA141" s="212">
        <v>0</v>
      </c>
      <c r="AB141" s="217">
        <v>0</v>
      </c>
    </row>
    <row r="142" spans="2:28" x14ac:dyDescent="0.55000000000000004">
      <c r="B142" s="85" t="s">
        <v>437</v>
      </c>
      <c r="C142" s="86">
        <v>4</v>
      </c>
      <c r="D142" s="211" t="s">
        <v>438</v>
      </c>
      <c r="E142" s="107"/>
      <c r="F142" s="108">
        <v>6715310</v>
      </c>
      <c r="G142" s="109">
        <v>6715310</v>
      </c>
      <c r="H142" s="204">
        <v>0</v>
      </c>
      <c r="I142" s="205">
        <v>0</v>
      </c>
      <c r="J142" s="112">
        <v>6715310</v>
      </c>
      <c r="K142" s="206"/>
      <c r="L142" s="219">
        <v>6715310</v>
      </c>
      <c r="N142" s="85" t="s">
        <v>437</v>
      </c>
      <c r="O142" s="86">
        <v>4</v>
      </c>
      <c r="P142" s="109" t="s">
        <v>438</v>
      </c>
      <c r="Q142" s="107"/>
      <c r="R142" s="109"/>
      <c r="S142" s="109"/>
      <c r="T142" s="109"/>
      <c r="U142" s="108">
        <v>0</v>
      </c>
      <c r="V142" s="112">
        <v>0</v>
      </c>
      <c r="W142" s="204">
        <v>0</v>
      </c>
      <c r="X142" s="205">
        <v>0</v>
      </c>
      <c r="Y142" s="112">
        <v>0</v>
      </c>
      <c r="Z142" s="206"/>
      <c r="AA142" s="219">
        <v>0</v>
      </c>
      <c r="AB142" s="220">
        <v>0</v>
      </c>
    </row>
    <row r="143" spans="2:28" x14ac:dyDescent="0.55000000000000004">
      <c r="B143" s="85" t="s">
        <v>439</v>
      </c>
      <c r="C143" s="86">
        <v>4</v>
      </c>
      <c r="D143" s="211" t="s">
        <v>440</v>
      </c>
      <c r="E143" s="107"/>
      <c r="F143" s="108">
        <v>18000172</v>
      </c>
      <c r="G143" s="109">
        <v>18000172</v>
      </c>
      <c r="H143" s="204">
        <v>0</v>
      </c>
      <c r="I143" s="205">
        <v>0</v>
      </c>
      <c r="J143" s="112">
        <v>18000172</v>
      </c>
      <c r="K143" s="206"/>
      <c r="L143" s="212">
        <v>18000172</v>
      </c>
      <c r="N143" s="85" t="s">
        <v>439</v>
      </c>
      <c r="O143" s="86">
        <v>4</v>
      </c>
      <c r="P143" s="109" t="s">
        <v>440</v>
      </c>
      <c r="Q143" s="107"/>
      <c r="R143" s="109">
        <v>32829</v>
      </c>
      <c r="S143" s="109">
        <v>40000</v>
      </c>
      <c r="T143" s="109">
        <v>262043</v>
      </c>
      <c r="U143" s="108">
        <v>3600093</v>
      </c>
      <c r="V143" s="112">
        <v>3934965</v>
      </c>
      <c r="W143" s="204">
        <v>0</v>
      </c>
      <c r="X143" s="205">
        <v>297000</v>
      </c>
      <c r="Y143" s="112">
        <v>4231965</v>
      </c>
      <c r="Z143" s="206"/>
      <c r="AA143" s="212">
        <v>4231965</v>
      </c>
      <c r="AB143" s="217">
        <v>7200016</v>
      </c>
    </row>
    <row r="144" spans="2:28" x14ac:dyDescent="0.55000000000000004">
      <c r="B144" s="99" t="s">
        <v>441</v>
      </c>
      <c r="C144" s="100">
        <v>4</v>
      </c>
      <c r="D144" s="211" t="s">
        <v>442</v>
      </c>
      <c r="E144" s="107"/>
      <c r="F144" s="108">
        <v>1115151</v>
      </c>
      <c r="G144" s="109">
        <v>1115151</v>
      </c>
      <c r="H144" s="204">
        <v>0</v>
      </c>
      <c r="I144" s="205">
        <v>0</v>
      </c>
      <c r="J144" s="112">
        <v>1115151</v>
      </c>
      <c r="K144" s="206"/>
      <c r="L144" s="219">
        <v>1115151</v>
      </c>
      <c r="N144" s="99" t="s">
        <v>441</v>
      </c>
      <c r="O144" s="100">
        <v>4</v>
      </c>
      <c r="P144" s="109" t="s">
        <v>442</v>
      </c>
      <c r="Q144" s="107"/>
      <c r="R144" s="109"/>
      <c r="S144" s="109"/>
      <c r="T144" s="109"/>
      <c r="U144" s="108">
        <v>29554816</v>
      </c>
      <c r="V144" s="112">
        <v>29554816</v>
      </c>
      <c r="W144" s="204">
        <v>0</v>
      </c>
      <c r="X144" s="205">
        <v>0</v>
      </c>
      <c r="Y144" s="112">
        <v>29554816</v>
      </c>
      <c r="Z144" s="206"/>
      <c r="AA144" s="219">
        <v>29554816</v>
      </c>
      <c r="AB144" s="220">
        <v>557576</v>
      </c>
    </row>
    <row r="145" spans="2:28" x14ac:dyDescent="0.55000000000000004">
      <c r="B145" s="99" t="s">
        <v>443</v>
      </c>
      <c r="C145" s="100">
        <v>4</v>
      </c>
      <c r="D145" s="211" t="s">
        <v>444</v>
      </c>
      <c r="E145" s="107"/>
      <c r="F145" s="108">
        <v>0</v>
      </c>
      <c r="G145" s="109">
        <v>0</v>
      </c>
      <c r="H145" s="204">
        <v>0</v>
      </c>
      <c r="I145" s="205">
        <v>0</v>
      </c>
      <c r="J145" s="112">
        <v>0</v>
      </c>
      <c r="K145" s="206"/>
      <c r="L145" s="219">
        <v>0</v>
      </c>
      <c r="N145" s="99" t="s">
        <v>443</v>
      </c>
      <c r="O145" s="100">
        <v>4</v>
      </c>
      <c r="P145" s="109" t="s">
        <v>444</v>
      </c>
      <c r="Q145" s="107"/>
      <c r="R145" s="109"/>
      <c r="S145" s="109"/>
      <c r="T145" s="109"/>
      <c r="U145" s="108">
        <v>4545455</v>
      </c>
      <c r="V145" s="112">
        <v>4545455</v>
      </c>
      <c r="W145" s="204">
        <v>0</v>
      </c>
      <c r="X145" s="205">
        <v>0</v>
      </c>
      <c r="Y145" s="112">
        <v>4545455</v>
      </c>
      <c r="Z145" s="206"/>
      <c r="AA145" s="219">
        <v>4545455</v>
      </c>
      <c r="AB145" s="220">
        <v>0</v>
      </c>
    </row>
    <row r="146" spans="2:28" x14ac:dyDescent="0.55000000000000004">
      <c r="B146" s="170" t="s">
        <v>445</v>
      </c>
      <c r="C146" s="171">
        <v>2</v>
      </c>
      <c r="D146" s="221" t="s">
        <v>446</v>
      </c>
      <c r="E146" s="78">
        <v>6</v>
      </c>
      <c r="F146" s="79">
        <v>185405629</v>
      </c>
      <c r="G146" s="80">
        <v>185405635</v>
      </c>
      <c r="H146" s="204">
        <v>0</v>
      </c>
      <c r="I146" s="205">
        <v>0</v>
      </c>
      <c r="J146" s="83">
        <v>185405635</v>
      </c>
      <c r="K146" s="206"/>
      <c r="L146" s="222">
        <v>185405635</v>
      </c>
      <c r="N146" s="170" t="s">
        <v>445</v>
      </c>
      <c r="O146" s="171">
        <v>2</v>
      </c>
      <c r="P146" s="80" t="s">
        <v>446</v>
      </c>
      <c r="Q146" s="78">
        <v>0</v>
      </c>
      <c r="R146" s="80">
        <v>27643</v>
      </c>
      <c r="S146" s="80">
        <v>225213</v>
      </c>
      <c r="T146" s="80">
        <v>5454938</v>
      </c>
      <c r="U146" s="79">
        <v>278589824</v>
      </c>
      <c r="V146" s="83">
        <v>284297618</v>
      </c>
      <c r="W146" s="204">
        <v>0</v>
      </c>
      <c r="X146" s="205">
        <v>0</v>
      </c>
      <c r="Y146" s="83">
        <v>310281861</v>
      </c>
      <c r="Z146" s="206"/>
      <c r="AA146" s="222">
        <v>310281861</v>
      </c>
      <c r="AB146" s="223">
        <v>63424157</v>
      </c>
    </row>
    <row r="147" spans="2:28" x14ac:dyDescent="0.55000000000000004">
      <c r="B147" s="85" t="s">
        <v>447</v>
      </c>
      <c r="C147" s="86">
        <v>4</v>
      </c>
      <c r="D147" s="211" t="s">
        <v>448</v>
      </c>
      <c r="E147" s="107"/>
      <c r="F147" s="108">
        <v>36830795</v>
      </c>
      <c r="G147" s="109">
        <v>36830795</v>
      </c>
      <c r="H147" s="204">
        <v>0</v>
      </c>
      <c r="I147" s="205">
        <v>0</v>
      </c>
      <c r="J147" s="112">
        <v>36830795</v>
      </c>
      <c r="K147" s="206"/>
      <c r="L147" s="218">
        <v>36830795</v>
      </c>
      <c r="N147" s="85" t="s">
        <v>447</v>
      </c>
      <c r="O147" s="86">
        <v>4</v>
      </c>
      <c r="P147" s="109" t="s">
        <v>448</v>
      </c>
      <c r="Q147" s="107"/>
      <c r="R147" s="109"/>
      <c r="S147" s="109">
        <v>191667</v>
      </c>
      <c r="T147" s="109"/>
      <c r="U147" s="108">
        <v>14810261</v>
      </c>
      <c r="V147" s="112">
        <v>15001928</v>
      </c>
      <c r="W147" s="204">
        <v>0</v>
      </c>
      <c r="X147" s="205">
        <v>191667</v>
      </c>
      <c r="Y147" s="112">
        <v>14810261</v>
      </c>
      <c r="Z147" s="206"/>
      <c r="AA147" s="218">
        <v>14810261</v>
      </c>
      <c r="AB147" s="217">
        <v>17583610</v>
      </c>
    </row>
    <row r="148" spans="2:28" x14ac:dyDescent="0.55000000000000004">
      <c r="B148" s="99" t="s">
        <v>449</v>
      </c>
      <c r="C148" s="86">
        <v>4</v>
      </c>
      <c r="D148" s="211" t="s">
        <v>450</v>
      </c>
      <c r="E148" s="107"/>
      <c r="F148" s="108">
        <v>15179671</v>
      </c>
      <c r="G148" s="109">
        <v>15179671</v>
      </c>
      <c r="H148" s="204">
        <v>0</v>
      </c>
      <c r="I148" s="205">
        <v>0</v>
      </c>
      <c r="J148" s="112">
        <v>15179671</v>
      </c>
      <c r="K148" s="206"/>
      <c r="L148" s="218">
        <v>15179671</v>
      </c>
      <c r="N148" s="99" t="s">
        <v>449</v>
      </c>
      <c r="O148" s="86">
        <v>4</v>
      </c>
      <c r="P148" s="109" t="s">
        <v>450</v>
      </c>
      <c r="Q148" s="107"/>
      <c r="R148" s="109"/>
      <c r="S148" s="109"/>
      <c r="T148" s="109"/>
      <c r="U148" s="108">
        <v>0</v>
      </c>
      <c r="V148" s="112">
        <v>0</v>
      </c>
      <c r="W148" s="204">
        <v>0</v>
      </c>
      <c r="X148" s="205">
        <v>0</v>
      </c>
      <c r="Y148" s="112">
        <v>0</v>
      </c>
      <c r="Z148" s="206"/>
      <c r="AA148" s="218">
        <v>0</v>
      </c>
      <c r="AB148" s="217">
        <v>0</v>
      </c>
    </row>
    <row r="149" spans="2:28" x14ac:dyDescent="0.55000000000000004">
      <c r="B149" s="99" t="s">
        <v>451</v>
      </c>
      <c r="C149" s="86">
        <v>4</v>
      </c>
      <c r="D149" s="211" t="s">
        <v>452</v>
      </c>
      <c r="E149" s="107"/>
      <c r="F149" s="108">
        <v>0</v>
      </c>
      <c r="G149" s="109">
        <v>0</v>
      </c>
      <c r="H149" s="204">
        <v>0</v>
      </c>
      <c r="I149" s="205">
        <v>0</v>
      </c>
      <c r="J149" s="112">
        <v>0</v>
      </c>
      <c r="K149" s="206"/>
      <c r="L149" s="219">
        <v>0</v>
      </c>
      <c r="N149" s="99" t="s">
        <v>451</v>
      </c>
      <c r="O149" s="86">
        <v>4</v>
      </c>
      <c r="P149" s="109" t="s">
        <v>452</v>
      </c>
      <c r="Q149" s="107"/>
      <c r="R149" s="109"/>
      <c r="S149" s="109"/>
      <c r="T149" s="109"/>
      <c r="U149" s="108">
        <v>0</v>
      </c>
      <c r="V149" s="112">
        <v>0</v>
      </c>
      <c r="W149" s="204">
        <v>0</v>
      </c>
      <c r="X149" s="205">
        <v>0</v>
      </c>
      <c r="Y149" s="112">
        <v>0</v>
      </c>
      <c r="Z149" s="206"/>
      <c r="AA149" s="219">
        <v>0</v>
      </c>
      <c r="AB149" s="220">
        <v>0</v>
      </c>
    </row>
    <row r="150" spans="2:28" x14ac:dyDescent="0.55000000000000004">
      <c r="B150" s="99" t="s">
        <v>453</v>
      </c>
      <c r="C150" s="86">
        <v>4</v>
      </c>
      <c r="D150" s="211" t="s">
        <v>454</v>
      </c>
      <c r="E150" s="107"/>
      <c r="F150" s="108">
        <v>0</v>
      </c>
      <c r="G150" s="109">
        <v>0</v>
      </c>
      <c r="H150" s="204">
        <v>0</v>
      </c>
      <c r="I150" s="205">
        <v>0</v>
      </c>
      <c r="J150" s="112">
        <v>0</v>
      </c>
      <c r="K150" s="206"/>
      <c r="L150" s="219">
        <v>0</v>
      </c>
      <c r="N150" s="99" t="s">
        <v>453</v>
      </c>
      <c r="O150" s="86">
        <v>4</v>
      </c>
      <c r="P150" s="109" t="s">
        <v>454</v>
      </c>
      <c r="Q150" s="107"/>
      <c r="R150" s="109"/>
      <c r="S150" s="109"/>
      <c r="T150" s="109"/>
      <c r="U150" s="108">
        <v>900000</v>
      </c>
      <c r="V150" s="112">
        <v>900000</v>
      </c>
      <c r="W150" s="204">
        <v>0</v>
      </c>
      <c r="X150" s="205">
        <v>0</v>
      </c>
      <c r="Y150" s="112">
        <v>900000</v>
      </c>
      <c r="Z150" s="206"/>
      <c r="AA150" s="219">
        <v>900000</v>
      </c>
      <c r="AB150" s="220">
        <v>0</v>
      </c>
    </row>
    <row r="151" spans="2:28" x14ac:dyDescent="0.55000000000000004">
      <c r="B151" s="85" t="s">
        <v>455</v>
      </c>
      <c r="C151" s="86">
        <v>4</v>
      </c>
      <c r="D151" s="211" t="s">
        <v>456</v>
      </c>
      <c r="E151" s="107">
        <v>6</v>
      </c>
      <c r="F151" s="108">
        <v>87561829</v>
      </c>
      <c r="G151" s="109">
        <v>87561835</v>
      </c>
      <c r="H151" s="204">
        <v>0</v>
      </c>
      <c r="I151" s="205">
        <v>0</v>
      </c>
      <c r="J151" s="112">
        <v>87561835</v>
      </c>
      <c r="K151" s="206"/>
      <c r="L151" s="218">
        <v>87561835</v>
      </c>
      <c r="N151" s="85" t="s">
        <v>455</v>
      </c>
      <c r="O151" s="86">
        <v>4</v>
      </c>
      <c r="P151" s="109" t="s">
        <v>456</v>
      </c>
      <c r="Q151" s="107"/>
      <c r="R151" s="109">
        <v>27643</v>
      </c>
      <c r="S151" s="109">
        <v>33546</v>
      </c>
      <c r="T151" s="109">
        <v>5454938</v>
      </c>
      <c r="U151" s="108">
        <v>262879563</v>
      </c>
      <c r="V151" s="112">
        <v>268395690</v>
      </c>
      <c r="W151" s="204">
        <v>0</v>
      </c>
      <c r="X151" s="205">
        <v>0</v>
      </c>
      <c r="Y151" s="112">
        <v>268395690</v>
      </c>
      <c r="Z151" s="206"/>
      <c r="AA151" s="218">
        <v>268395690</v>
      </c>
      <c r="AB151" s="217">
        <v>7213</v>
      </c>
    </row>
    <row r="152" spans="2:28" x14ac:dyDescent="0.55000000000000004">
      <c r="B152" s="99" t="s">
        <v>457</v>
      </c>
      <c r="C152" s="100">
        <v>4</v>
      </c>
      <c r="D152" s="211" t="s">
        <v>458</v>
      </c>
      <c r="E152" s="107"/>
      <c r="F152" s="108">
        <v>45833334</v>
      </c>
      <c r="G152" s="109">
        <v>45833334</v>
      </c>
      <c r="H152" s="204">
        <v>0</v>
      </c>
      <c r="I152" s="205">
        <v>0</v>
      </c>
      <c r="J152" s="112">
        <v>45833334</v>
      </c>
      <c r="K152" s="206"/>
      <c r="L152" s="219">
        <v>45833334</v>
      </c>
      <c r="N152" s="99" t="s">
        <v>457</v>
      </c>
      <c r="O152" s="100">
        <v>4</v>
      </c>
      <c r="P152" s="109" t="s">
        <v>458</v>
      </c>
      <c r="Q152" s="107"/>
      <c r="R152" s="109"/>
      <c r="S152" s="109"/>
      <c r="T152" s="109"/>
      <c r="U152" s="108">
        <v>0</v>
      </c>
      <c r="V152" s="112">
        <v>0</v>
      </c>
      <c r="W152" s="204">
        <v>26175910</v>
      </c>
      <c r="X152" s="205">
        <v>0</v>
      </c>
      <c r="Y152" s="112">
        <v>26175910</v>
      </c>
      <c r="Z152" s="206"/>
      <c r="AA152" s="219">
        <v>26175910</v>
      </c>
      <c r="AB152" s="220">
        <v>45833334</v>
      </c>
    </row>
    <row r="153" spans="2:28" x14ac:dyDescent="0.55000000000000004">
      <c r="B153" s="198" t="s">
        <v>459</v>
      </c>
      <c r="C153" s="199">
        <v>1</v>
      </c>
      <c r="D153" s="214" t="s">
        <v>378</v>
      </c>
      <c r="E153" s="65">
        <v>-56931671</v>
      </c>
      <c r="F153" s="66">
        <v>3238926095</v>
      </c>
      <c r="G153" s="67">
        <v>3181994424</v>
      </c>
      <c r="H153" s="204">
        <v>0</v>
      </c>
      <c r="I153" s="205">
        <v>0</v>
      </c>
      <c r="J153" s="73">
        <v>3181994424</v>
      </c>
      <c r="K153" s="206"/>
      <c r="L153" s="215">
        <v>3181994424</v>
      </c>
      <c r="N153" s="198" t="s">
        <v>459</v>
      </c>
      <c r="O153" s="199">
        <v>1</v>
      </c>
      <c r="P153" s="67" t="s">
        <v>378</v>
      </c>
      <c r="Q153" s="65">
        <v>-51051</v>
      </c>
      <c r="R153" s="67">
        <v>3486674492</v>
      </c>
      <c r="S153" s="67">
        <v>13682317</v>
      </c>
      <c r="T153" s="67">
        <v>3792912290</v>
      </c>
      <c r="U153" s="66">
        <v>6392692869</v>
      </c>
      <c r="V153" s="73">
        <v>13685910917</v>
      </c>
      <c r="W153" s="204">
        <v>0</v>
      </c>
      <c r="X153" s="205">
        <v>0</v>
      </c>
      <c r="Y153" s="73">
        <v>13640634001</v>
      </c>
      <c r="Z153" s="206"/>
      <c r="AA153" s="215">
        <v>13640634001</v>
      </c>
      <c r="AB153" s="216">
        <v>719590659</v>
      </c>
    </row>
    <row r="154" spans="2:28" x14ac:dyDescent="0.55000000000000004">
      <c r="B154" s="224" t="s">
        <v>460</v>
      </c>
      <c r="C154" s="225">
        <v>4</v>
      </c>
      <c r="D154" s="211" t="s">
        <v>461</v>
      </c>
      <c r="E154" s="107"/>
      <c r="F154" s="108">
        <v>806172403</v>
      </c>
      <c r="G154" s="109">
        <v>806172403</v>
      </c>
      <c r="H154" s="204">
        <v>0</v>
      </c>
      <c r="I154" s="205">
        <v>0</v>
      </c>
      <c r="J154" s="112">
        <v>806172403</v>
      </c>
      <c r="K154" s="206"/>
      <c r="L154" s="218">
        <v>806172403</v>
      </c>
      <c r="N154" s="224" t="s">
        <v>460</v>
      </c>
      <c r="O154" s="225">
        <v>4</v>
      </c>
      <c r="P154" s="109" t="s">
        <v>461</v>
      </c>
      <c r="Q154" s="107"/>
      <c r="R154" s="109"/>
      <c r="S154" s="109"/>
      <c r="T154" s="109"/>
      <c r="U154" s="108"/>
      <c r="V154" s="112">
        <v>0</v>
      </c>
      <c r="W154" s="204">
        <v>0</v>
      </c>
      <c r="X154" s="205">
        <v>0</v>
      </c>
      <c r="Y154" s="112">
        <v>0</v>
      </c>
      <c r="Z154" s="206"/>
      <c r="AA154" s="218">
        <v>0</v>
      </c>
      <c r="AB154" s="217">
        <v>0</v>
      </c>
    </row>
    <row r="155" spans="2:28" ht="15.45" thickBot="1" x14ac:dyDescent="0.6">
      <c r="B155" s="198" t="s">
        <v>462</v>
      </c>
      <c r="C155" s="199">
        <v>1</v>
      </c>
      <c r="D155" s="214" t="s">
        <v>378</v>
      </c>
      <c r="E155" s="226">
        <v>-56931671</v>
      </c>
      <c r="F155" s="227">
        <v>2432753692</v>
      </c>
      <c r="G155" s="67">
        <v>2375822021</v>
      </c>
      <c r="H155" s="204">
        <v>0</v>
      </c>
      <c r="I155" s="205">
        <v>0</v>
      </c>
      <c r="J155" s="73">
        <v>2375822021</v>
      </c>
      <c r="K155" s="206"/>
      <c r="L155" s="215">
        <v>2375822021</v>
      </c>
      <c r="N155" s="198" t="s">
        <v>462</v>
      </c>
      <c r="O155" s="199">
        <v>1</v>
      </c>
      <c r="P155" s="67" t="s">
        <v>378</v>
      </c>
      <c r="Q155" s="226">
        <v>-51051</v>
      </c>
      <c r="R155" s="228">
        <v>3486674492</v>
      </c>
      <c r="S155" s="228">
        <v>13682317</v>
      </c>
      <c r="T155" s="228">
        <v>3792912290</v>
      </c>
      <c r="U155" s="227">
        <v>6392692869</v>
      </c>
      <c r="V155" s="73">
        <v>13685910917</v>
      </c>
      <c r="W155" s="204">
        <v>0</v>
      </c>
      <c r="X155" s="205">
        <v>0</v>
      </c>
      <c r="Y155" s="73">
        <v>13640634001</v>
      </c>
      <c r="Z155" s="206"/>
      <c r="AA155" s="215">
        <v>13640634001</v>
      </c>
      <c r="AB155" s="216">
        <v>719590659</v>
      </c>
    </row>
    <row r="156" spans="2:28" ht="15.45" thickBot="1" x14ac:dyDescent="0.6">
      <c r="B156" s="71"/>
      <c r="C156" s="71"/>
      <c r="D156" s="206"/>
      <c r="E156" s="185">
        <v>0</v>
      </c>
      <c r="F156" s="185">
        <v>0</v>
      </c>
      <c r="G156" s="185">
        <v>0</v>
      </c>
      <c r="H156" s="229">
        <v>0</v>
      </c>
      <c r="I156" s="229">
        <v>0</v>
      </c>
      <c r="J156" s="185">
        <v>0</v>
      </c>
      <c r="K156" s="206"/>
      <c r="L156" s="206"/>
      <c r="N156" s="71"/>
      <c r="O156" s="71"/>
      <c r="P156" s="206"/>
      <c r="Q156" s="185">
        <v>0</v>
      </c>
      <c r="R156" s="185">
        <v>0</v>
      </c>
      <c r="S156" s="185">
        <v>0</v>
      </c>
      <c r="T156" s="185">
        <v>0</v>
      </c>
      <c r="U156" s="185">
        <v>0</v>
      </c>
      <c r="V156" s="185">
        <v>0</v>
      </c>
      <c r="W156" s="229">
        <v>3515556854</v>
      </c>
      <c r="X156" s="229">
        <v>3470279938</v>
      </c>
      <c r="Y156" s="185">
        <v>0</v>
      </c>
      <c r="Z156" s="206"/>
      <c r="AA156" s="206"/>
      <c r="AB156" s="230" t="b">
        <v>1</v>
      </c>
    </row>
    <row r="157" spans="2:28" ht="15.45" thickTop="1" x14ac:dyDescent="0.55000000000000004"/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8C267-9592-42EA-8855-4681A0EE365C}">
  <dimension ref="A1:D52"/>
  <sheetViews>
    <sheetView workbookViewId="0"/>
  </sheetViews>
  <sheetFormatPr defaultRowHeight="17.600000000000001" x14ac:dyDescent="0.55000000000000004"/>
  <cols>
    <col min="1" max="1" width="26.85546875" bestFit="1" customWidth="1"/>
    <col min="3" max="3" width="11" bestFit="1" customWidth="1"/>
    <col min="4" max="4" width="10.5" bestFit="1" customWidth="1"/>
  </cols>
  <sheetData>
    <row r="1" spans="1:4" x14ac:dyDescent="0.55000000000000004">
      <c r="A1" s="491" t="s">
        <v>1801</v>
      </c>
      <c r="B1" s="491"/>
      <c r="C1" s="492"/>
      <c r="D1" s="493">
        <v>7587916136</v>
      </c>
    </row>
    <row r="2" spans="1:4" x14ac:dyDescent="0.55000000000000004">
      <c r="A2" s="494" t="s">
        <v>1802</v>
      </c>
      <c r="B2" s="495"/>
      <c r="C2" s="496">
        <v>13640634001</v>
      </c>
      <c r="D2" s="497"/>
    </row>
    <row r="3" spans="1:4" x14ac:dyDescent="0.55000000000000004">
      <c r="A3" s="494" t="s">
        <v>1803</v>
      </c>
      <c r="B3" s="495"/>
      <c r="C3" s="496">
        <v>59642463</v>
      </c>
      <c r="D3" s="497"/>
    </row>
    <row r="4" spans="1:4" x14ac:dyDescent="0.55000000000000004">
      <c r="A4" s="498" t="s">
        <v>1804</v>
      </c>
      <c r="B4" s="499"/>
      <c r="C4" s="500">
        <v>36568032</v>
      </c>
      <c r="D4" s="501"/>
    </row>
    <row r="5" spans="1:4" x14ac:dyDescent="0.55000000000000004">
      <c r="A5" s="498" t="s">
        <v>1805</v>
      </c>
      <c r="B5" s="499"/>
      <c r="C5" s="500">
        <v>57174702</v>
      </c>
      <c r="D5" s="501"/>
    </row>
    <row r="6" spans="1:4" x14ac:dyDescent="0.55000000000000004">
      <c r="A6" s="498" t="s">
        <v>1806</v>
      </c>
      <c r="B6" s="499"/>
      <c r="C6" s="500">
        <v>0</v>
      </c>
      <c r="D6" s="501"/>
    </row>
    <row r="7" spans="1:4" x14ac:dyDescent="0.55000000000000004">
      <c r="A7" s="498" t="s">
        <v>1770</v>
      </c>
      <c r="B7" s="499"/>
      <c r="C7" s="500">
        <v>0</v>
      </c>
      <c r="D7" s="501"/>
    </row>
    <row r="8" spans="1:4" x14ac:dyDescent="0.55000000000000004">
      <c r="A8" s="498" t="s">
        <v>441</v>
      </c>
      <c r="B8" s="499"/>
      <c r="C8" s="500">
        <v>-29554816</v>
      </c>
      <c r="D8" s="501"/>
    </row>
    <row r="9" spans="1:4" x14ac:dyDescent="0.55000000000000004">
      <c r="A9" s="498" t="s">
        <v>1771</v>
      </c>
      <c r="B9" s="499"/>
      <c r="C9" s="500">
        <v>-4545455</v>
      </c>
      <c r="D9" s="501"/>
    </row>
    <row r="10" spans="1:4" x14ac:dyDescent="0.55000000000000004">
      <c r="A10" s="498" t="s">
        <v>1772</v>
      </c>
      <c r="B10" s="499"/>
      <c r="C10" s="500">
        <v>0</v>
      </c>
      <c r="D10" s="501"/>
    </row>
    <row r="11" spans="1:4" x14ac:dyDescent="0.55000000000000004">
      <c r="A11" s="494" t="s">
        <v>1807</v>
      </c>
      <c r="B11" s="495"/>
      <c r="C11" s="496">
        <v>-6112360328</v>
      </c>
      <c r="D11" s="497"/>
    </row>
    <row r="12" spans="1:4" x14ac:dyDescent="0.55000000000000004">
      <c r="A12" s="498" t="s">
        <v>1773</v>
      </c>
      <c r="B12" s="499"/>
      <c r="C12" s="500">
        <v>-4890935795</v>
      </c>
      <c r="D12" s="501"/>
    </row>
    <row r="13" spans="1:4" x14ac:dyDescent="0.55000000000000004">
      <c r="A13" s="498" t="s">
        <v>1774</v>
      </c>
      <c r="B13" s="499"/>
      <c r="C13" s="500">
        <v>17769525</v>
      </c>
      <c r="D13" s="501"/>
    </row>
    <row r="14" spans="1:4" x14ac:dyDescent="0.55000000000000004">
      <c r="A14" s="498" t="s">
        <v>1775</v>
      </c>
      <c r="B14" s="499"/>
      <c r="C14" s="500">
        <v>-1648743497</v>
      </c>
      <c r="D14" s="501"/>
    </row>
    <row r="15" spans="1:4" x14ac:dyDescent="0.55000000000000004">
      <c r="A15" s="498" t="s">
        <v>1776</v>
      </c>
      <c r="B15" s="499"/>
      <c r="C15" s="500">
        <v>-18539459</v>
      </c>
      <c r="D15" s="501"/>
    </row>
    <row r="16" spans="1:4" x14ac:dyDescent="0.55000000000000004">
      <c r="A16" s="498" t="s">
        <v>1777</v>
      </c>
      <c r="B16" s="499"/>
      <c r="C16" s="500">
        <v>0</v>
      </c>
      <c r="D16" s="501"/>
    </row>
    <row r="17" spans="1:4" x14ac:dyDescent="0.55000000000000004">
      <c r="A17" s="498" t="s">
        <v>1778</v>
      </c>
      <c r="B17" s="499"/>
      <c r="C17" s="500">
        <v>-50570</v>
      </c>
      <c r="D17" s="501"/>
    </row>
    <row r="18" spans="1:4" x14ac:dyDescent="0.55000000000000004">
      <c r="A18" s="498" t="s">
        <v>1779</v>
      </c>
      <c r="B18" s="499"/>
      <c r="C18" s="500">
        <v>602776414</v>
      </c>
      <c r="D18" s="501"/>
    </row>
    <row r="19" spans="1:4" x14ac:dyDescent="0.55000000000000004">
      <c r="A19" s="498" t="s">
        <v>1780</v>
      </c>
      <c r="B19" s="499"/>
      <c r="C19" s="500">
        <v>0</v>
      </c>
      <c r="D19" s="501"/>
    </row>
    <row r="20" spans="1:4" x14ac:dyDescent="0.55000000000000004">
      <c r="A20" s="498" t="s">
        <v>1781</v>
      </c>
      <c r="B20" s="499"/>
      <c r="C20" s="500">
        <v>23505533</v>
      </c>
      <c r="D20" s="501"/>
    </row>
    <row r="21" spans="1:4" x14ac:dyDescent="0.55000000000000004">
      <c r="A21" s="498" t="s">
        <v>1782</v>
      </c>
      <c r="B21" s="499"/>
      <c r="C21" s="500">
        <v>4351740</v>
      </c>
      <c r="D21" s="501"/>
    </row>
    <row r="22" spans="1:4" x14ac:dyDescent="0.55000000000000004">
      <c r="A22" s="498" t="s">
        <v>1783</v>
      </c>
      <c r="B22" s="499"/>
      <c r="C22" s="500">
        <v>0</v>
      </c>
      <c r="D22" s="501"/>
    </row>
    <row r="23" spans="1:4" x14ac:dyDescent="0.55000000000000004">
      <c r="A23" s="498" t="s">
        <v>1784</v>
      </c>
      <c r="B23" s="499"/>
      <c r="C23" s="500">
        <v>-260324552</v>
      </c>
      <c r="D23" s="501"/>
    </row>
    <row r="24" spans="1:4" x14ac:dyDescent="0.55000000000000004">
      <c r="A24" s="498" t="s">
        <v>1785</v>
      </c>
      <c r="B24" s="499"/>
      <c r="C24" s="500">
        <v>57830333</v>
      </c>
      <c r="D24" s="501"/>
    </row>
    <row r="25" spans="1:4" x14ac:dyDescent="0.55000000000000004">
      <c r="A25" s="498" t="s">
        <v>1786</v>
      </c>
      <c r="B25" s="499"/>
      <c r="C25" s="500">
        <v>0</v>
      </c>
      <c r="D25" s="501"/>
    </row>
    <row r="26" spans="1:4" x14ac:dyDescent="0.55000000000000004">
      <c r="A26" s="502" t="s">
        <v>1808</v>
      </c>
      <c r="B26" s="503"/>
      <c r="C26" s="492"/>
      <c r="D26" s="493">
        <v>-3016289008</v>
      </c>
    </row>
    <row r="27" spans="1:4" x14ac:dyDescent="0.55000000000000004">
      <c r="A27" s="494" t="s">
        <v>1809</v>
      </c>
      <c r="B27" s="495"/>
      <c r="C27" s="496">
        <v>62300000</v>
      </c>
      <c r="D27" s="497"/>
    </row>
    <row r="28" spans="1:4" x14ac:dyDescent="0.55000000000000004">
      <c r="A28" s="498" t="s">
        <v>1787</v>
      </c>
      <c r="B28" s="499"/>
      <c r="C28" s="500">
        <v>13000000</v>
      </c>
      <c r="D28" s="501"/>
    </row>
    <row r="29" spans="1:4" x14ac:dyDescent="0.55000000000000004">
      <c r="A29" s="498" t="s">
        <v>1788</v>
      </c>
      <c r="B29" s="499"/>
      <c r="C29" s="500">
        <v>0</v>
      </c>
      <c r="D29" s="501"/>
    </row>
    <row r="30" spans="1:4" x14ac:dyDescent="0.55000000000000004">
      <c r="A30" s="498" t="s">
        <v>1789</v>
      </c>
      <c r="B30" s="499"/>
      <c r="C30" s="500">
        <v>15000000</v>
      </c>
      <c r="D30" s="501"/>
    </row>
    <row r="31" spans="1:4" x14ac:dyDescent="0.55000000000000004">
      <c r="A31" s="498" t="s">
        <v>1790</v>
      </c>
      <c r="B31" s="499"/>
      <c r="C31" s="500">
        <v>0</v>
      </c>
      <c r="D31" s="501"/>
    </row>
    <row r="32" spans="1:4" x14ac:dyDescent="0.55000000000000004">
      <c r="A32" s="498" t="s">
        <v>1791</v>
      </c>
      <c r="B32" s="499"/>
      <c r="C32" s="500">
        <v>34300000</v>
      </c>
      <c r="D32" s="501"/>
    </row>
    <row r="33" spans="1:4" x14ac:dyDescent="0.55000000000000004">
      <c r="A33" s="494" t="s">
        <v>1810</v>
      </c>
      <c r="B33" s="495"/>
      <c r="C33" s="496">
        <v>-3078589008</v>
      </c>
      <c r="D33" s="497"/>
    </row>
    <row r="34" spans="1:4" x14ac:dyDescent="0.55000000000000004">
      <c r="A34" s="498" t="s">
        <v>1792</v>
      </c>
      <c r="B34" s="499"/>
      <c r="C34" s="500">
        <v>-985726697</v>
      </c>
      <c r="D34" s="501"/>
    </row>
    <row r="35" spans="1:4" x14ac:dyDescent="0.55000000000000004">
      <c r="A35" s="498" t="s">
        <v>1793</v>
      </c>
      <c r="B35" s="499"/>
      <c r="C35" s="500">
        <v>-10000000</v>
      </c>
      <c r="D35" s="501"/>
    </row>
    <row r="36" spans="1:4" x14ac:dyDescent="0.55000000000000004">
      <c r="A36" s="498" t="s">
        <v>1794</v>
      </c>
      <c r="B36" s="499"/>
      <c r="C36" s="500">
        <v>-107891766</v>
      </c>
      <c r="D36" s="501"/>
    </row>
    <row r="37" spans="1:4" x14ac:dyDescent="0.55000000000000004">
      <c r="A37" s="498" t="s">
        <v>1795</v>
      </c>
      <c r="B37" s="499"/>
      <c r="C37" s="500">
        <v>-42758000</v>
      </c>
      <c r="D37" s="501"/>
    </row>
    <row r="38" spans="1:4" x14ac:dyDescent="0.55000000000000004">
      <c r="A38" s="498" t="s">
        <v>1796</v>
      </c>
      <c r="B38" s="499"/>
      <c r="C38" s="500">
        <v>-10454545</v>
      </c>
      <c r="D38" s="501"/>
    </row>
    <row r="39" spans="1:4" x14ac:dyDescent="0.55000000000000004">
      <c r="A39" s="498" t="s">
        <v>1797</v>
      </c>
      <c r="B39" s="499"/>
      <c r="C39" s="500">
        <v>-315758000</v>
      </c>
      <c r="D39" s="501"/>
    </row>
    <row r="40" spans="1:4" x14ac:dyDescent="0.55000000000000004">
      <c r="A40" s="498" t="s">
        <v>1798</v>
      </c>
      <c r="B40" s="499"/>
      <c r="C40" s="500">
        <v>-80000000</v>
      </c>
      <c r="D40" s="501"/>
    </row>
    <row r="41" spans="1:4" x14ac:dyDescent="0.55000000000000004">
      <c r="A41" s="498" t="s">
        <v>1799</v>
      </c>
      <c r="B41" s="499"/>
      <c r="C41" s="500">
        <v>-1526000000</v>
      </c>
      <c r="D41" s="501"/>
    </row>
    <row r="42" spans="1:4" x14ac:dyDescent="0.55000000000000004">
      <c r="A42" s="502" t="s">
        <v>1811</v>
      </c>
      <c r="B42" s="503"/>
      <c r="C42" s="492"/>
      <c r="D42" s="493">
        <v>-28571429</v>
      </c>
    </row>
    <row r="43" spans="1:4" x14ac:dyDescent="0.55000000000000004">
      <c r="A43" s="494" t="s">
        <v>1812</v>
      </c>
      <c r="B43" s="495"/>
      <c r="C43" s="496">
        <v>0</v>
      </c>
      <c r="D43" s="497"/>
    </row>
    <row r="44" spans="1:4" x14ac:dyDescent="0.55000000000000004">
      <c r="A44" s="498" t="s">
        <v>1813</v>
      </c>
      <c r="B44" s="499"/>
      <c r="C44" s="500">
        <v>0</v>
      </c>
      <c r="D44" s="501"/>
    </row>
    <row r="45" spans="1:4" x14ac:dyDescent="0.55000000000000004">
      <c r="A45" s="498" t="s">
        <v>213</v>
      </c>
      <c r="B45" s="499"/>
      <c r="C45" s="500">
        <v>0</v>
      </c>
      <c r="D45" s="501"/>
    </row>
    <row r="46" spans="1:4" x14ac:dyDescent="0.55000000000000004">
      <c r="A46" s="494" t="s">
        <v>1814</v>
      </c>
      <c r="B46" s="495"/>
      <c r="C46" s="496">
        <v>-28571429</v>
      </c>
      <c r="D46" s="497"/>
    </row>
    <row r="47" spans="1:4" x14ac:dyDescent="0.55000000000000004">
      <c r="A47" s="498" t="s">
        <v>1815</v>
      </c>
      <c r="B47" s="499"/>
      <c r="C47" s="500">
        <v>0</v>
      </c>
      <c r="D47" s="501"/>
    </row>
    <row r="48" spans="1:4" x14ac:dyDescent="0.55000000000000004">
      <c r="A48" s="498" t="s">
        <v>1800</v>
      </c>
      <c r="B48" s="499"/>
      <c r="C48" s="500">
        <v>-28571429</v>
      </c>
      <c r="D48" s="501"/>
    </row>
    <row r="49" spans="1:4" x14ac:dyDescent="0.55000000000000004">
      <c r="A49" s="498" t="s">
        <v>213</v>
      </c>
      <c r="B49" s="499"/>
      <c r="C49" s="500">
        <v>0</v>
      </c>
      <c r="D49" s="501"/>
    </row>
    <row r="50" spans="1:4" x14ac:dyDescent="0.55000000000000004">
      <c r="A50" s="502" t="s">
        <v>1816</v>
      </c>
      <c r="B50" s="503"/>
      <c r="C50" s="492"/>
      <c r="D50" s="493">
        <v>4543055699</v>
      </c>
    </row>
    <row r="51" spans="1:4" x14ac:dyDescent="0.55000000000000004">
      <c r="A51" s="502" t="s">
        <v>1817</v>
      </c>
      <c r="B51" s="503"/>
      <c r="C51" s="492"/>
      <c r="D51" s="493">
        <v>1161776233</v>
      </c>
    </row>
    <row r="52" spans="1:4" x14ac:dyDescent="0.55000000000000004">
      <c r="A52" s="502" t="s">
        <v>1818</v>
      </c>
      <c r="B52" s="503"/>
      <c r="C52" s="492"/>
      <c r="D52" s="493">
        <v>5704831932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92D8A-FB1F-415A-BD98-D3904320FA24}">
  <dimension ref="A1:P76"/>
  <sheetViews>
    <sheetView showGridLines="0" zoomScaleNormal="100" workbookViewId="0"/>
  </sheetViews>
  <sheetFormatPr defaultColWidth="9" defaultRowHeight="11.6" x14ac:dyDescent="0.55000000000000004"/>
  <cols>
    <col min="1" max="1" width="2.7109375" style="291" customWidth="1"/>
    <col min="2" max="3" width="9" style="291"/>
    <col min="4" max="4" width="9.5" style="291" bestFit="1" customWidth="1"/>
    <col min="5" max="6" width="9.140625" style="291" bestFit="1" customWidth="1"/>
    <col min="7" max="7" width="9.5" style="291" bestFit="1" customWidth="1"/>
    <col min="8" max="8" width="23.85546875" style="291" customWidth="1"/>
    <col min="9" max="10" width="15.2109375" style="291" customWidth="1"/>
    <col min="11" max="11" width="19.85546875" style="291" customWidth="1"/>
    <col min="12" max="13" width="15.2109375" style="291" customWidth="1"/>
    <col min="14" max="16384" width="9" style="291"/>
  </cols>
  <sheetData>
    <row r="1" spans="1:13" x14ac:dyDescent="0.55000000000000004">
      <c r="A1" s="265"/>
      <c r="B1" s="266"/>
      <c r="C1" s="267"/>
      <c r="D1" s="266"/>
      <c r="E1" s="266"/>
      <c r="F1" s="267"/>
      <c r="G1" s="266"/>
      <c r="H1" s="266"/>
      <c r="I1" s="267"/>
      <c r="J1" s="266"/>
      <c r="K1" s="266"/>
      <c r="L1" s="267"/>
      <c r="M1" s="266"/>
    </row>
    <row r="2" spans="1:13" ht="12" thickBot="1" x14ac:dyDescent="0.6">
      <c r="A2" s="265"/>
      <c r="B2" s="292" t="s">
        <v>463</v>
      </c>
      <c r="C2" s="267"/>
      <c r="D2" s="268">
        <v>100000000</v>
      </c>
      <c r="E2" s="269" t="b">
        <v>1</v>
      </c>
      <c r="F2" s="270">
        <v>0</v>
      </c>
      <c r="G2" s="268">
        <v>100000000</v>
      </c>
      <c r="H2" s="292" t="s">
        <v>464</v>
      </c>
      <c r="I2" s="267"/>
      <c r="J2" s="268">
        <v>6651989393</v>
      </c>
      <c r="K2" s="269" t="b">
        <v>1</v>
      </c>
      <c r="L2" s="270">
        <v>0</v>
      </c>
      <c r="M2" s="268">
        <v>6651989393</v>
      </c>
    </row>
    <row r="3" spans="1:13" ht="12" thickBot="1" x14ac:dyDescent="0.6">
      <c r="A3" s="265"/>
      <c r="B3" s="271" t="s">
        <v>465</v>
      </c>
      <c r="C3" s="272" t="s">
        <v>344</v>
      </c>
      <c r="D3" s="272" t="s">
        <v>466</v>
      </c>
      <c r="E3" s="273" t="s">
        <v>467</v>
      </c>
      <c r="F3" s="272" t="s">
        <v>344</v>
      </c>
      <c r="G3" s="274" t="s">
        <v>468</v>
      </c>
      <c r="H3" s="271" t="s">
        <v>465</v>
      </c>
      <c r="I3" s="272" t="s">
        <v>344</v>
      </c>
      <c r="J3" s="272" t="s">
        <v>466</v>
      </c>
      <c r="K3" s="273" t="s">
        <v>467</v>
      </c>
      <c r="L3" s="272" t="s">
        <v>344</v>
      </c>
      <c r="M3" s="274" t="s">
        <v>468</v>
      </c>
    </row>
    <row r="4" spans="1:13" x14ac:dyDescent="0.55000000000000004">
      <c r="A4" s="265"/>
      <c r="B4" s="275" t="s">
        <v>161</v>
      </c>
      <c r="C4" s="276"/>
      <c r="D4" s="277"/>
      <c r="E4" s="278"/>
      <c r="F4" s="276"/>
      <c r="G4" s="279"/>
      <c r="H4" s="275" t="s">
        <v>346</v>
      </c>
      <c r="I4" s="276"/>
      <c r="J4" s="277"/>
      <c r="K4" s="278"/>
      <c r="L4" s="276"/>
      <c r="M4" s="279"/>
    </row>
    <row r="5" spans="1:13" x14ac:dyDescent="0.55000000000000004">
      <c r="A5" s="265"/>
      <c r="B5" s="280" t="s">
        <v>469</v>
      </c>
      <c r="C5" s="281"/>
      <c r="D5" s="282"/>
      <c r="E5" s="283"/>
      <c r="F5" s="281"/>
      <c r="G5" s="284"/>
      <c r="H5" s="280" t="s">
        <v>469</v>
      </c>
      <c r="I5" s="281"/>
      <c r="J5" s="282"/>
      <c r="K5" s="283"/>
      <c r="L5" s="281"/>
      <c r="M5" s="284"/>
    </row>
    <row r="6" spans="1:13" x14ac:dyDescent="0.55000000000000004">
      <c r="A6" s="265"/>
      <c r="B6" s="285" t="s">
        <v>470</v>
      </c>
      <c r="C6" s="281" t="s">
        <v>471</v>
      </c>
      <c r="D6" s="282">
        <v>100000000</v>
      </c>
      <c r="E6" s="283" t="s">
        <v>161</v>
      </c>
      <c r="F6" s="281" t="s">
        <v>472</v>
      </c>
      <c r="G6" s="284">
        <v>39000000</v>
      </c>
      <c r="H6" s="285" t="s">
        <v>470</v>
      </c>
      <c r="I6" s="281" t="s">
        <v>471</v>
      </c>
      <c r="J6" s="282">
        <v>100000000</v>
      </c>
      <c r="K6" s="283" t="s">
        <v>473</v>
      </c>
      <c r="L6" s="281" t="s">
        <v>472</v>
      </c>
      <c r="M6" s="284">
        <v>39000000</v>
      </c>
    </row>
    <row r="7" spans="1:13" x14ac:dyDescent="0.55000000000000004">
      <c r="A7" s="265"/>
      <c r="B7" s="285"/>
      <c r="C7" s="281"/>
      <c r="D7" s="282"/>
      <c r="E7" s="283" t="s">
        <v>474</v>
      </c>
      <c r="F7" s="281" t="s">
        <v>475</v>
      </c>
      <c r="G7" s="284">
        <v>61000000</v>
      </c>
      <c r="H7" s="285"/>
      <c r="I7" s="281"/>
      <c r="J7" s="282"/>
      <c r="K7" s="283" t="s">
        <v>474</v>
      </c>
      <c r="L7" s="281" t="s">
        <v>475</v>
      </c>
      <c r="M7" s="284">
        <v>61000000</v>
      </c>
    </row>
    <row r="8" spans="1:13" x14ac:dyDescent="0.55000000000000004">
      <c r="A8" s="265"/>
      <c r="B8" s="285"/>
      <c r="C8" s="281"/>
      <c r="D8" s="282"/>
      <c r="E8" s="283"/>
      <c r="F8" s="281"/>
      <c r="G8" s="284"/>
      <c r="H8" s="285"/>
      <c r="I8" s="281"/>
      <c r="J8" s="282"/>
      <c r="K8" s="283"/>
      <c r="L8" s="281"/>
      <c r="M8" s="284"/>
    </row>
    <row r="9" spans="1:13" x14ac:dyDescent="0.55000000000000004">
      <c r="A9" s="265"/>
      <c r="B9" s="280" t="s">
        <v>476</v>
      </c>
      <c r="C9" s="281"/>
      <c r="D9" s="282"/>
      <c r="E9" s="283"/>
      <c r="F9" s="281"/>
      <c r="G9" s="284"/>
      <c r="H9" s="280" t="s">
        <v>476</v>
      </c>
      <c r="I9" s="281"/>
      <c r="J9" s="282"/>
      <c r="K9" s="283"/>
      <c r="L9" s="281"/>
      <c r="M9" s="284"/>
    </row>
    <row r="10" spans="1:13" x14ac:dyDescent="0.55000000000000004">
      <c r="A10" s="265"/>
      <c r="B10" s="285" t="s">
        <v>477</v>
      </c>
      <c r="C10" s="281"/>
      <c r="D10" s="282"/>
      <c r="E10" s="283"/>
      <c r="F10" s="281"/>
      <c r="G10" s="284"/>
      <c r="H10" s="285" t="s">
        <v>478</v>
      </c>
      <c r="I10" s="281" t="s">
        <v>479</v>
      </c>
      <c r="J10" s="947">
        <v>3772728</v>
      </c>
      <c r="K10" s="293" t="s">
        <v>102</v>
      </c>
      <c r="L10" s="294" t="s">
        <v>418</v>
      </c>
      <c r="M10" s="295">
        <v>3772728</v>
      </c>
    </row>
    <row r="11" spans="1:13" x14ac:dyDescent="0.55000000000000004">
      <c r="A11" s="265"/>
      <c r="B11" s="285"/>
      <c r="C11" s="281"/>
      <c r="D11" s="282"/>
      <c r="E11" s="283"/>
      <c r="F11" s="281"/>
      <c r="G11" s="284"/>
      <c r="H11" s="285"/>
      <c r="I11" s="281"/>
      <c r="J11" s="282"/>
      <c r="K11" s="283"/>
      <c r="L11" s="281"/>
      <c r="M11" s="284"/>
    </row>
    <row r="12" spans="1:13" x14ac:dyDescent="0.55000000000000004">
      <c r="A12" s="265"/>
      <c r="B12" s="285"/>
      <c r="C12" s="281"/>
      <c r="D12" s="282"/>
      <c r="E12" s="283"/>
      <c r="F12" s="281"/>
      <c r="G12" s="284"/>
      <c r="H12" s="285"/>
      <c r="I12" s="281"/>
      <c r="J12" s="282"/>
      <c r="K12" s="283"/>
      <c r="L12" s="281"/>
      <c r="M12" s="284"/>
    </row>
    <row r="13" spans="1:13" x14ac:dyDescent="0.55000000000000004">
      <c r="A13" s="265"/>
      <c r="B13" s="275" t="s">
        <v>167</v>
      </c>
      <c r="C13" s="276"/>
      <c r="D13" s="277"/>
      <c r="E13" s="278"/>
      <c r="F13" s="276"/>
      <c r="G13" s="279"/>
      <c r="H13" s="275" t="s">
        <v>167</v>
      </c>
      <c r="I13" s="276"/>
      <c r="J13" s="277"/>
      <c r="K13" s="278"/>
      <c r="L13" s="276"/>
      <c r="M13" s="279"/>
    </row>
    <row r="14" spans="1:13" x14ac:dyDescent="0.55000000000000004">
      <c r="A14" s="265"/>
      <c r="B14" s="280" t="s">
        <v>469</v>
      </c>
      <c r="C14" s="281"/>
      <c r="D14" s="282"/>
      <c r="E14" s="283"/>
      <c r="F14" s="281"/>
      <c r="G14" s="284"/>
      <c r="H14" s="280" t="s">
        <v>469</v>
      </c>
      <c r="I14" s="281"/>
      <c r="J14" s="282"/>
      <c r="K14" s="283"/>
      <c r="L14" s="281"/>
      <c r="M14" s="284"/>
    </row>
    <row r="15" spans="1:13" x14ac:dyDescent="0.55000000000000004">
      <c r="A15" s="265"/>
      <c r="B15" s="285"/>
      <c r="C15" s="281"/>
      <c r="D15" s="282"/>
      <c r="E15" s="283"/>
      <c r="F15" s="281"/>
      <c r="G15" s="284"/>
      <c r="H15" s="285" t="s">
        <v>470</v>
      </c>
      <c r="I15" s="281" t="s">
        <v>471</v>
      </c>
      <c r="J15" s="282">
        <v>10000000</v>
      </c>
      <c r="K15" s="283" t="s">
        <v>480</v>
      </c>
      <c r="L15" s="281" t="s">
        <v>481</v>
      </c>
      <c r="M15" s="284">
        <v>5100000</v>
      </c>
    </row>
    <row r="16" spans="1:13" x14ac:dyDescent="0.55000000000000004">
      <c r="A16" s="265"/>
      <c r="B16" s="285"/>
      <c r="C16" s="281"/>
      <c r="D16" s="282"/>
      <c r="E16" s="283"/>
      <c r="F16" s="281"/>
      <c r="G16" s="284"/>
      <c r="H16" s="285"/>
      <c r="I16" s="281"/>
      <c r="J16" s="282"/>
      <c r="K16" s="283" t="s">
        <v>482</v>
      </c>
      <c r="L16" s="281" t="s">
        <v>475</v>
      </c>
      <c r="M16" s="284">
        <v>4900000</v>
      </c>
    </row>
    <row r="17" spans="1:14" x14ac:dyDescent="0.55000000000000004">
      <c r="A17" s="265"/>
      <c r="B17" s="285"/>
      <c r="C17" s="281"/>
      <c r="D17" s="282"/>
      <c r="E17" s="283"/>
      <c r="F17" s="281"/>
      <c r="G17" s="284"/>
      <c r="H17" s="285"/>
      <c r="I17" s="281"/>
      <c r="J17" s="282"/>
      <c r="K17" s="283"/>
      <c r="L17" s="281"/>
      <c r="M17" s="284"/>
    </row>
    <row r="18" spans="1:14" x14ac:dyDescent="0.55000000000000004">
      <c r="A18" s="265"/>
      <c r="B18" s="285"/>
      <c r="C18" s="281"/>
      <c r="D18" s="282"/>
      <c r="E18" s="283"/>
      <c r="F18" s="281"/>
      <c r="G18" s="284"/>
      <c r="H18" s="280" t="s">
        <v>476</v>
      </c>
      <c r="I18" s="281"/>
      <c r="J18" s="282"/>
      <c r="K18" s="283"/>
      <c r="L18" s="281"/>
      <c r="M18" s="284"/>
    </row>
    <row r="19" spans="1:14" x14ac:dyDescent="0.55000000000000004">
      <c r="A19" s="265"/>
      <c r="B19" s="285"/>
      <c r="C19" s="281"/>
      <c r="D19" s="282"/>
      <c r="E19" s="283"/>
      <c r="F19" s="281"/>
      <c r="G19" s="284"/>
      <c r="H19" s="285" t="s">
        <v>483</v>
      </c>
      <c r="I19" s="281" t="s">
        <v>362</v>
      </c>
      <c r="J19" s="947">
        <v>22275000</v>
      </c>
      <c r="K19" s="293" t="s">
        <v>484</v>
      </c>
      <c r="L19" s="294" t="s">
        <v>418</v>
      </c>
      <c r="M19" s="295">
        <v>22275000</v>
      </c>
    </row>
    <row r="20" spans="1:14" x14ac:dyDescent="0.55000000000000004">
      <c r="A20" s="265"/>
      <c r="B20" s="285"/>
      <c r="C20" s="281"/>
      <c r="D20" s="282"/>
      <c r="E20" s="283"/>
      <c r="F20" s="281"/>
      <c r="G20" s="284"/>
      <c r="H20" s="285" t="s">
        <v>485</v>
      </c>
      <c r="I20" s="281" t="s">
        <v>486</v>
      </c>
      <c r="J20" s="282">
        <v>191667</v>
      </c>
      <c r="K20" s="283" t="s">
        <v>487</v>
      </c>
      <c r="L20" s="281" t="s">
        <v>488</v>
      </c>
      <c r="M20" s="284">
        <v>191667</v>
      </c>
      <c r="N20" s="774"/>
    </row>
    <row r="21" spans="1:14" x14ac:dyDescent="0.55000000000000004">
      <c r="A21" s="265"/>
      <c r="B21" s="285"/>
      <c r="C21" s="281"/>
      <c r="D21" s="282"/>
      <c r="E21" s="283"/>
      <c r="F21" s="281"/>
      <c r="G21" s="284"/>
      <c r="H21" s="285"/>
      <c r="I21" s="281"/>
      <c r="J21" s="282"/>
      <c r="K21" s="283"/>
      <c r="L21" s="281"/>
      <c r="M21" s="284"/>
    </row>
    <row r="22" spans="1:14" x14ac:dyDescent="0.55000000000000004">
      <c r="A22" s="265"/>
      <c r="B22" s="285"/>
      <c r="C22" s="281"/>
      <c r="D22" s="282"/>
      <c r="E22" s="283"/>
      <c r="F22" s="281"/>
      <c r="G22" s="284"/>
      <c r="H22" s="285" t="s">
        <v>489</v>
      </c>
      <c r="I22" s="281" t="s">
        <v>282</v>
      </c>
      <c r="J22" s="282">
        <v>50000000</v>
      </c>
      <c r="K22" s="486" t="s">
        <v>490</v>
      </c>
      <c r="L22" s="487" t="s">
        <v>208</v>
      </c>
      <c r="M22" s="488">
        <v>50000000</v>
      </c>
    </row>
    <row r="23" spans="1:14" x14ac:dyDescent="0.55000000000000004">
      <c r="A23" s="265"/>
      <c r="B23" s="285"/>
      <c r="C23" s="281"/>
      <c r="D23" s="282"/>
      <c r="E23" s="283"/>
      <c r="F23" s="281"/>
      <c r="G23" s="284"/>
      <c r="H23" s="285"/>
      <c r="I23" s="281"/>
      <c r="J23" s="282"/>
      <c r="K23" s="283"/>
      <c r="L23" s="281"/>
      <c r="M23" s="284"/>
    </row>
    <row r="24" spans="1:14" x14ac:dyDescent="0.55000000000000004">
      <c r="A24" s="265"/>
      <c r="B24" s="275" t="s">
        <v>491</v>
      </c>
      <c r="C24" s="276"/>
      <c r="D24" s="277"/>
      <c r="E24" s="278"/>
      <c r="F24" s="276"/>
      <c r="G24" s="279"/>
      <c r="H24" s="275" t="s">
        <v>491</v>
      </c>
      <c r="I24" s="276"/>
      <c r="J24" s="277"/>
      <c r="K24" s="278"/>
      <c r="L24" s="276"/>
      <c r="M24" s="279"/>
    </row>
    <row r="25" spans="1:14" x14ac:dyDescent="0.55000000000000004">
      <c r="A25" s="265"/>
      <c r="B25" s="280" t="s">
        <v>469</v>
      </c>
      <c r="C25" s="281"/>
      <c r="D25" s="282"/>
      <c r="E25" s="283"/>
      <c r="F25" s="281"/>
      <c r="G25" s="284"/>
      <c r="H25" s="280" t="s">
        <v>469</v>
      </c>
      <c r="I25" s="281"/>
      <c r="J25" s="282"/>
      <c r="K25" s="283"/>
      <c r="L25" s="281"/>
      <c r="M25" s="284"/>
    </row>
    <row r="26" spans="1:14" x14ac:dyDescent="0.55000000000000004">
      <c r="A26" s="265"/>
      <c r="B26" s="285"/>
      <c r="C26" s="281"/>
      <c r="D26" s="282"/>
      <c r="E26" s="283"/>
      <c r="F26" s="281"/>
      <c r="G26" s="284"/>
      <c r="H26" s="285" t="s">
        <v>470</v>
      </c>
      <c r="I26" s="281" t="s">
        <v>471</v>
      </c>
      <c r="J26" s="282">
        <v>60000000</v>
      </c>
      <c r="K26" s="283" t="s">
        <v>492</v>
      </c>
      <c r="L26" s="281" t="s">
        <v>493</v>
      </c>
      <c r="M26" s="284">
        <v>30600000</v>
      </c>
    </row>
    <row r="27" spans="1:14" x14ac:dyDescent="0.55000000000000004">
      <c r="A27" s="265"/>
      <c r="B27" s="285"/>
      <c r="C27" s="281"/>
      <c r="D27" s="282"/>
      <c r="E27" s="283"/>
      <c r="F27" s="281"/>
      <c r="G27" s="284"/>
      <c r="H27" s="285"/>
      <c r="I27" s="281"/>
      <c r="J27" s="282"/>
      <c r="K27" s="283" t="s">
        <v>482</v>
      </c>
      <c r="L27" s="281" t="s">
        <v>475</v>
      </c>
      <c r="M27" s="284">
        <v>29400000</v>
      </c>
    </row>
    <row r="28" spans="1:14" x14ac:dyDescent="0.55000000000000004">
      <c r="A28" s="265"/>
      <c r="B28" s="285"/>
      <c r="C28" s="281"/>
      <c r="D28" s="282"/>
      <c r="E28" s="283"/>
      <c r="F28" s="281"/>
      <c r="G28" s="284"/>
      <c r="H28" s="285"/>
      <c r="I28" s="281"/>
      <c r="J28" s="282"/>
      <c r="K28" s="283"/>
      <c r="L28" s="281"/>
      <c r="M28" s="284"/>
    </row>
    <row r="29" spans="1:14" x14ac:dyDescent="0.55000000000000004">
      <c r="A29" s="265"/>
      <c r="B29" s="285"/>
      <c r="C29" s="281"/>
      <c r="D29" s="282"/>
      <c r="E29" s="283"/>
      <c r="F29" s="281"/>
      <c r="G29" s="284"/>
      <c r="H29" s="280" t="s">
        <v>476</v>
      </c>
      <c r="I29" s="281"/>
      <c r="J29" s="282"/>
      <c r="K29" s="283"/>
      <c r="L29" s="281"/>
      <c r="M29" s="284"/>
    </row>
    <row r="30" spans="1:14" x14ac:dyDescent="0.55000000000000004">
      <c r="A30" s="265"/>
      <c r="B30" s="285"/>
      <c r="C30" s="281"/>
      <c r="D30" s="282"/>
      <c r="E30" s="283"/>
      <c r="F30" s="281"/>
      <c r="G30" s="284"/>
      <c r="H30" s="285" t="s">
        <v>494</v>
      </c>
      <c r="I30" s="281" t="s">
        <v>495</v>
      </c>
      <c r="J30" s="282">
        <v>1251000</v>
      </c>
      <c r="K30" s="486" t="s">
        <v>496</v>
      </c>
      <c r="L30" s="487" t="s">
        <v>202</v>
      </c>
      <c r="M30" s="488">
        <v>1251000</v>
      </c>
    </row>
    <row r="31" spans="1:14" x14ac:dyDescent="0.55000000000000004">
      <c r="A31" s="265"/>
      <c r="B31" s="285"/>
      <c r="C31" s="281"/>
      <c r="D31" s="282"/>
      <c r="E31" s="283"/>
      <c r="F31" s="281"/>
      <c r="G31" s="284"/>
      <c r="H31" s="285"/>
      <c r="I31" s="281"/>
      <c r="J31" s="282"/>
      <c r="K31" s="283"/>
      <c r="L31" s="281"/>
      <c r="M31" s="284"/>
    </row>
    <row r="32" spans="1:14" x14ac:dyDescent="0.55000000000000004">
      <c r="A32" s="265"/>
      <c r="B32" s="285"/>
      <c r="C32" s="281"/>
      <c r="D32" s="282"/>
      <c r="E32" s="283"/>
      <c r="F32" s="281"/>
      <c r="G32" s="284"/>
      <c r="H32" s="285"/>
      <c r="I32" s="281"/>
      <c r="J32" s="282"/>
      <c r="K32" s="283"/>
      <c r="L32" s="281"/>
      <c r="M32" s="284"/>
    </row>
    <row r="33" spans="1:16" x14ac:dyDescent="0.55000000000000004">
      <c r="A33" s="265"/>
      <c r="B33" s="275" t="s">
        <v>165</v>
      </c>
      <c r="C33" s="276"/>
      <c r="D33" s="277"/>
      <c r="E33" s="278"/>
      <c r="F33" s="276"/>
      <c r="G33" s="279"/>
      <c r="H33" s="275" t="s">
        <v>165</v>
      </c>
      <c r="I33" s="276"/>
      <c r="J33" s="277"/>
      <c r="K33" s="278"/>
      <c r="L33" s="276"/>
      <c r="M33" s="279"/>
    </row>
    <row r="34" spans="1:16" x14ac:dyDescent="0.55000000000000004">
      <c r="A34" s="265"/>
      <c r="B34" s="280" t="s">
        <v>469</v>
      </c>
      <c r="C34" s="281"/>
      <c r="D34" s="282"/>
      <c r="E34" s="283"/>
      <c r="F34" s="281"/>
      <c r="G34" s="284"/>
      <c r="H34" s="280" t="s">
        <v>469</v>
      </c>
      <c r="I34" s="281"/>
      <c r="J34" s="282"/>
      <c r="K34" s="283"/>
      <c r="L34" s="281"/>
      <c r="M34" s="284"/>
    </row>
    <row r="35" spans="1:16" x14ac:dyDescent="0.55000000000000004">
      <c r="A35" s="265"/>
      <c r="B35" s="285"/>
      <c r="C35" s="281"/>
      <c r="D35" s="282"/>
      <c r="E35" s="283"/>
      <c r="F35" s="281"/>
      <c r="G35" s="284"/>
      <c r="H35" s="285" t="s">
        <v>470</v>
      </c>
      <c r="I35" s="281" t="s">
        <v>471</v>
      </c>
      <c r="J35" s="282">
        <v>300000000</v>
      </c>
      <c r="K35" s="283" t="s">
        <v>497</v>
      </c>
      <c r="L35" s="281" t="s">
        <v>498</v>
      </c>
      <c r="M35" s="284">
        <v>300000000</v>
      </c>
    </row>
    <row r="36" spans="1:16" x14ac:dyDescent="0.55000000000000004">
      <c r="A36" s="265"/>
      <c r="B36" s="285"/>
      <c r="C36" s="281"/>
      <c r="D36" s="282"/>
      <c r="E36" s="283"/>
      <c r="F36" s="281"/>
      <c r="G36" s="284"/>
      <c r="H36" s="285"/>
      <c r="I36" s="281"/>
      <c r="J36" s="282"/>
      <c r="K36" s="283"/>
      <c r="L36" s="281"/>
      <c r="M36" s="284"/>
    </row>
    <row r="37" spans="1:16" x14ac:dyDescent="0.55000000000000004">
      <c r="A37" s="265"/>
      <c r="B37" s="285"/>
      <c r="C37" s="281"/>
      <c r="D37" s="282"/>
      <c r="E37" s="283"/>
      <c r="F37" s="281"/>
      <c r="G37" s="284"/>
      <c r="H37" s="280" t="s">
        <v>476</v>
      </c>
      <c r="I37" s="281"/>
      <c r="J37" s="282"/>
      <c r="K37" s="283"/>
      <c r="L37" s="281"/>
      <c r="M37" s="284"/>
    </row>
    <row r="38" spans="1:16" x14ac:dyDescent="0.55000000000000004">
      <c r="A38" s="265"/>
      <c r="B38" s="285"/>
      <c r="C38" s="281"/>
      <c r="D38" s="282"/>
      <c r="E38" s="283"/>
      <c r="F38" s="281"/>
      <c r="G38" s="284"/>
      <c r="H38" s="285" t="s">
        <v>489</v>
      </c>
      <c r="I38" s="281" t="s">
        <v>282</v>
      </c>
      <c r="J38" s="282">
        <v>1200000000</v>
      </c>
      <c r="K38" s="486" t="s">
        <v>499</v>
      </c>
      <c r="L38" s="487" t="s">
        <v>208</v>
      </c>
      <c r="M38" s="488">
        <v>1200000000</v>
      </c>
    </row>
    <row r="39" spans="1:16" x14ac:dyDescent="0.55000000000000004">
      <c r="A39" s="265"/>
      <c r="B39" s="285"/>
      <c r="C39" s="281"/>
      <c r="D39" s="282"/>
      <c r="E39" s="283"/>
      <c r="F39" s="281"/>
      <c r="G39" s="284"/>
      <c r="H39" s="285"/>
      <c r="I39" s="281"/>
      <c r="J39" s="282"/>
      <c r="K39" s="283"/>
      <c r="L39" s="281"/>
      <c r="M39" s="284"/>
    </row>
    <row r="40" spans="1:16" x14ac:dyDescent="0.55000000000000004">
      <c r="A40" s="265"/>
      <c r="B40" s="285"/>
      <c r="C40" s="281"/>
      <c r="D40" s="282"/>
      <c r="E40" s="283"/>
      <c r="F40" s="281"/>
      <c r="G40" s="284"/>
      <c r="H40" s="285"/>
      <c r="I40" s="281"/>
      <c r="J40" s="282"/>
      <c r="K40" s="283"/>
      <c r="L40" s="281"/>
      <c r="M40" s="284"/>
    </row>
    <row r="41" spans="1:16" x14ac:dyDescent="0.55000000000000004">
      <c r="A41" s="265"/>
      <c r="B41" s="275" t="s">
        <v>500</v>
      </c>
      <c r="C41" s="276"/>
      <c r="D41" s="277"/>
      <c r="E41" s="278"/>
      <c r="F41" s="276"/>
      <c r="G41" s="279"/>
      <c r="H41" s="275" t="s">
        <v>500</v>
      </c>
      <c r="I41" s="276"/>
      <c r="J41" s="277"/>
      <c r="K41" s="278"/>
      <c r="L41" s="276"/>
      <c r="M41" s="279"/>
    </row>
    <row r="42" spans="1:16" x14ac:dyDescent="0.55000000000000004">
      <c r="A42" s="265"/>
      <c r="B42" s="285"/>
      <c r="C42" s="281"/>
      <c r="D42" s="282"/>
      <c r="E42" s="283"/>
      <c r="F42" s="281"/>
      <c r="G42" s="284"/>
      <c r="H42" s="285" t="s">
        <v>501</v>
      </c>
      <c r="I42" s="281" t="s">
        <v>362</v>
      </c>
      <c r="J42" s="947">
        <v>20250000</v>
      </c>
      <c r="K42" s="486" t="s">
        <v>502</v>
      </c>
      <c r="L42" s="487" t="s">
        <v>503</v>
      </c>
      <c r="M42" s="488">
        <v>18465774</v>
      </c>
    </row>
    <row r="43" spans="1:16" x14ac:dyDescent="0.55000000000000004">
      <c r="A43" s="265"/>
      <c r="B43" s="285"/>
      <c r="C43" s="281"/>
      <c r="D43" s="282"/>
      <c r="E43" s="283"/>
      <c r="F43" s="281"/>
      <c r="G43" s="284"/>
      <c r="H43" s="285"/>
      <c r="I43" s="281"/>
      <c r="J43" s="282"/>
      <c r="K43" s="309" t="s">
        <v>504</v>
      </c>
      <c r="L43" s="310" t="s">
        <v>422</v>
      </c>
      <c r="M43" s="311">
        <v>1784226</v>
      </c>
      <c r="P43" s="291">
        <f>J42/5/3</f>
        <v>1350000</v>
      </c>
    </row>
    <row r="44" spans="1:16" x14ac:dyDescent="0.55000000000000004">
      <c r="A44" s="265"/>
      <c r="B44" s="285"/>
      <c r="C44" s="281"/>
      <c r="D44" s="282"/>
      <c r="E44" s="283"/>
      <c r="F44" s="281"/>
      <c r="G44" s="284"/>
      <c r="H44" s="285"/>
      <c r="I44" s="281"/>
      <c r="J44" s="282"/>
      <c r="K44" s="283"/>
      <c r="L44" s="281"/>
      <c r="M44" s="284"/>
    </row>
    <row r="45" spans="1:16" x14ac:dyDescent="0.55000000000000004">
      <c r="A45" s="265"/>
      <c r="B45" s="285"/>
      <c r="C45" s="281"/>
      <c r="D45" s="282"/>
      <c r="E45" s="283"/>
      <c r="F45" s="281"/>
      <c r="G45" s="284"/>
      <c r="H45" s="285" t="s">
        <v>505</v>
      </c>
      <c r="I45" s="281" t="s">
        <v>282</v>
      </c>
      <c r="J45" s="282">
        <v>650000000</v>
      </c>
      <c r="K45" s="486" t="s">
        <v>506</v>
      </c>
      <c r="L45" s="487" t="s">
        <v>210</v>
      </c>
      <c r="M45" s="488">
        <v>650000000</v>
      </c>
    </row>
    <row r="46" spans="1:16" x14ac:dyDescent="0.55000000000000004">
      <c r="A46" s="265"/>
      <c r="B46" s="285"/>
      <c r="C46" s="281"/>
      <c r="D46" s="282"/>
      <c r="E46" s="283"/>
      <c r="F46" s="281"/>
      <c r="G46" s="284"/>
      <c r="H46" s="285"/>
      <c r="I46" s="281"/>
      <c r="J46" s="282"/>
      <c r="K46" s="283"/>
      <c r="L46" s="281"/>
      <c r="M46" s="284"/>
    </row>
    <row r="47" spans="1:16" x14ac:dyDescent="0.55000000000000004">
      <c r="A47" s="265"/>
      <c r="B47" s="285"/>
      <c r="C47" s="281"/>
      <c r="D47" s="282"/>
      <c r="E47" s="283"/>
      <c r="F47" s="281"/>
      <c r="G47" s="284"/>
      <c r="H47" s="285"/>
      <c r="I47" s="281"/>
      <c r="J47" s="282"/>
      <c r="K47" s="283"/>
      <c r="L47" s="281"/>
      <c r="M47" s="284"/>
    </row>
    <row r="48" spans="1:16" x14ac:dyDescent="0.55000000000000004">
      <c r="A48" s="265"/>
      <c r="B48" s="285"/>
      <c r="C48" s="281"/>
      <c r="D48" s="282"/>
      <c r="E48" s="283"/>
      <c r="F48" s="281"/>
      <c r="G48" s="284"/>
      <c r="H48" s="285"/>
      <c r="I48" s="281"/>
      <c r="J48" s="282"/>
      <c r="K48" s="283"/>
      <c r="L48" s="281"/>
      <c r="M48" s="284"/>
    </row>
    <row r="49" spans="1:14" x14ac:dyDescent="0.55000000000000004">
      <c r="A49" s="265"/>
      <c r="B49" s="285"/>
      <c r="C49" s="281"/>
      <c r="D49" s="282"/>
      <c r="E49" s="283"/>
      <c r="F49" s="281"/>
      <c r="G49" s="284"/>
      <c r="H49" s="285"/>
      <c r="I49" s="281"/>
      <c r="J49" s="282"/>
      <c r="K49" s="283"/>
      <c r="L49" s="281"/>
      <c r="M49" s="284"/>
    </row>
    <row r="50" spans="1:14" x14ac:dyDescent="0.55000000000000004">
      <c r="A50" s="265"/>
      <c r="B50" s="285"/>
      <c r="C50" s="281"/>
      <c r="D50" s="282"/>
      <c r="E50" s="283"/>
      <c r="F50" s="281"/>
      <c r="G50" s="284"/>
      <c r="H50" s="285"/>
      <c r="I50" s="281"/>
      <c r="J50" s="282"/>
      <c r="K50" s="283"/>
      <c r="L50" s="281"/>
      <c r="M50" s="284"/>
    </row>
    <row r="51" spans="1:14" x14ac:dyDescent="0.55000000000000004">
      <c r="A51" s="265"/>
      <c r="B51" s="275" t="s">
        <v>507</v>
      </c>
      <c r="C51" s="276"/>
      <c r="D51" s="277"/>
      <c r="E51" s="278"/>
      <c r="F51" s="276"/>
      <c r="G51" s="279"/>
      <c r="H51" s="275" t="s">
        <v>507</v>
      </c>
      <c r="I51" s="276"/>
      <c r="J51" s="277"/>
      <c r="K51" s="278"/>
      <c r="L51" s="276"/>
      <c r="M51" s="279"/>
    </row>
    <row r="52" spans="1:14" x14ac:dyDescent="0.55000000000000004">
      <c r="A52" s="265"/>
      <c r="B52" s="285"/>
      <c r="C52" s="281"/>
      <c r="D52" s="282"/>
      <c r="E52" s="283"/>
      <c r="F52" s="281"/>
      <c r="G52" s="284"/>
      <c r="H52" s="285"/>
      <c r="I52" s="281"/>
      <c r="J52" s="282"/>
      <c r="K52" s="283"/>
      <c r="L52" s="281"/>
      <c r="M52" s="284"/>
    </row>
    <row r="53" spans="1:14" x14ac:dyDescent="0.55000000000000004">
      <c r="A53" s="265"/>
      <c r="B53" s="285"/>
      <c r="C53" s="281"/>
      <c r="D53" s="282"/>
      <c r="E53" s="283"/>
      <c r="F53" s="281"/>
      <c r="G53" s="284"/>
      <c r="H53" s="280" t="s">
        <v>508</v>
      </c>
      <c r="I53" s="281"/>
      <c r="J53" s="282"/>
      <c r="K53" s="283"/>
      <c r="L53" s="281"/>
      <c r="M53" s="284"/>
    </row>
    <row r="54" spans="1:14" x14ac:dyDescent="0.55000000000000004">
      <c r="A54" s="265"/>
      <c r="B54" s="285"/>
      <c r="C54" s="281"/>
      <c r="D54" s="282"/>
      <c r="E54" s="283"/>
      <c r="F54" s="281"/>
      <c r="G54" s="284"/>
      <c r="H54" s="285" t="s">
        <v>509</v>
      </c>
      <c r="I54" s="281" t="s">
        <v>510</v>
      </c>
      <c r="J54" s="282">
        <v>26175910</v>
      </c>
      <c r="K54" s="283" t="s">
        <v>502</v>
      </c>
      <c r="L54" s="281" t="s">
        <v>503</v>
      </c>
      <c r="M54" s="284">
        <v>26175910</v>
      </c>
    </row>
    <row r="55" spans="1:14" x14ac:dyDescent="0.55000000000000004">
      <c r="A55" s="265"/>
      <c r="B55" s="285"/>
      <c r="C55" s="281"/>
      <c r="D55" s="282"/>
      <c r="E55" s="283"/>
      <c r="F55" s="281"/>
      <c r="G55" s="284"/>
      <c r="H55" s="285"/>
      <c r="I55" s="281"/>
      <c r="J55" s="282"/>
      <c r="K55" s="283"/>
      <c r="L55" s="281"/>
      <c r="M55" s="284"/>
    </row>
    <row r="56" spans="1:14" x14ac:dyDescent="0.55000000000000004">
      <c r="A56" s="265"/>
      <c r="B56" s="285"/>
      <c r="C56" s="281"/>
      <c r="D56" s="282"/>
      <c r="E56" s="283"/>
      <c r="F56" s="281"/>
      <c r="G56" s="284"/>
      <c r="H56" s="280" t="s">
        <v>511</v>
      </c>
      <c r="I56" s="281"/>
      <c r="J56" s="282"/>
      <c r="K56" s="283"/>
      <c r="L56" s="281"/>
      <c r="M56" s="284"/>
    </row>
    <row r="57" spans="1:14" x14ac:dyDescent="0.55000000000000004">
      <c r="A57" s="265"/>
      <c r="B57" s="285"/>
      <c r="C57" s="281"/>
      <c r="D57" s="282"/>
      <c r="E57" s="283"/>
      <c r="F57" s="281"/>
      <c r="G57" s="284"/>
      <c r="H57" s="479" t="s">
        <v>512</v>
      </c>
      <c r="I57" s="310" t="s">
        <v>424</v>
      </c>
      <c r="J57" s="480">
        <v>3440980317</v>
      </c>
      <c r="K57" s="309" t="s">
        <v>513</v>
      </c>
      <c r="L57" s="310" t="s">
        <v>426</v>
      </c>
      <c r="M57" s="311">
        <v>3440980317</v>
      </c>
      <c r="N57" s="291" t="s">
        <v>1508</v>
      </c>
    </row>
    <row r="58" spans="1:14" x14ac:dyDescent="0.55000000000000004">
      <c r="A58" s="265"/>
      <c r="B58" s="285"/>
      <c r="C58" s="281"/>
      <c r="D58" s="282"/>
      <c r="E58" s="283"/>
      <c r="F58" s="281"/>
      <c r="G58" s="284"/>
      <c r="H58" s="285"/>
      <c r="I58" s="281"/>
      <c r="J58" s="282"/>
      <c r="K58" s="283"/>
      <c r="L58" s="281"/>
      <c r="M58" s="284"/>
    </row>
    <row r="59" spans="1:14" x14ac:dyDescent="0.55000000000000004">
      <c r="A59" s="265"/>
      <c r="B59" s="285"/>
      <c r="C59" s="281"/>
      <c r="D59" s="282"/>
      <c r="E59" s="283"/>
      <c r="F59" s="281"/>
      <c r="G59" s="284"/>
      <c r="H59" s="280" t="s">
        <v>514</v>
      </c>
      <c r="I59" s="281"/>
      <c r="J59" s="282"/>
      <c r="K59" s="283"/>
      <c r="L59" s="281"/>
      <c r="M59" s="284"/>
    </row>
    <row r="60" spans="1:14" x14ac:dyDescent="0.55000000000000004">
      <c r="A60" s="265"/>
      <c r="B60" s="285"/>
      <c r="C60" s="281"/>
      <c r="D60" s="282"/>
      <c r="E60" s="283"/>
      <c r="F60" s="281"/>
      <c r="G60" s="284"/>
      <c r="H60" s="285" t="s">
        <v>209</v>
      </c>
      <c r="I60" s="281" t="s">
        <v>210</v>
      </c>
      <c r="J60" s="282">
        <v>650000000</v>
      </c>
      <c r="K60" s="283" t="s">
        <v>515</v>
      </c>
      <c r="L60" s="281" t="s">
        <v>516</v>
      </c>
      <c r="M60" s="284">
        <v>650000000</v>
      </c>
      <c r="N60" s="291" t="s">
        <v>1508</v>
      </c>
    </row>
    <row r="61" spans="1:14" x14ac:dyDescent="0.55000000000000004">
      <c r="A61" s="265"/>
      <c r="B61" s="285"/>
      <c r="C61" s="281"/>
      <c r="D61" s="282"/>
      <c r="E61" s="283"/>
      <c r="F61" s="281"/>
      <c r="G61" s="284"/>
      <c r="H61" s="285"/>
      <c r="I61" s="281"/>
      <c r="J61" s="282"/>
      <c r="K61" s="283"/>
      <c r="L61" s="281"/>
      <c r="M61" s="284"/>
    </row>
    <row r="62" spans="1:14" x14ac:dyDescent="0.55000000000000004">
      <c r="A62" s="265"/>
      <c r="B62" s="285"/>
      <c r="C62" s="281"/>
      <c r="D62" s="282"/>
      <c r="E62" s="283"/>
      <c r="F62" s="281"/>
      <c r="G62" s="284"/>
      <c r="H62" s="280" t="s">
        <v>517</v>
      </c>
      <c r="I62" s="281"/>
      <c r="J62" s="282"/>
      <c r="K62" s="283"/>
      <c r="L62" s="281"/>
      <c r="M62" s="284"/>
    </row>
    <row r="63" spans="1:14" x14ac:dyDescent="0.55000000000000004">
      <c r="A63" s="265"/>
      <c r="B63" s="285"/>
      <c r="C63" s="281"/>
      <c r="D63" s="282"/>
      <c r="E63" s="283"/>
      <c r="F63" s="281"/>
      <c r="G63" s="284"/>
      <c r="H63" s="285" t="s">
        <v>403</v>
      </c>
      <c r="I63" s="281" t="s">
        <v>404</v>
      </c>
      <c r="J63" s="282">
        <v>979000</v>
      </c>
      <c r="K63" s="283" t="s">
        <v>427</v>
      </c>
      <c r="L63" s="281" t="s">
        <v>428</v>
      </c>
      <c r="M63" s="284">
        <v>979000</v>
      </c>
      <c r="N63" s="291" t="s">
        <v>1508</v>
      </c>
    </row>
    <row r="64" spans="1:14" x14ac:dyDescent="0.55000000000000004">
      <c r="A64" s="265"/>
      <c r="B64" s="285"/>
      <c r="C64" s="281"/>
      <c r="D64" s="282"/>
      <c r="E64" s="283"/>
      <c r="F64" s="281"/>
      <c r="G64" s="284"/>
      <c r="H64" s="285"/>
      <c r="I64" s="281"/>
      <c r="J64" s="282"/>
      <c r="K64" s="283"/>
      <c r="L64" s="281"/>
      <c r="M64" s="284"/>
    </row>
    <row r="65" spans="1:13" x14ac:dyDescent="0.55000000000000004">
      <c r="A65" s="265"/>
      <c r="B65" s="285"/>
      <c r="C65" s="281"/>
      <c r="D65" s="282"/>
      <c r="E65" s="283"/>
      <c r="F65" s="281"/>
      <c r="G65" s="284"/>
      <c r="H65" s="280" t="s">
        <v>518</v>
      </c>
      <c r="I65" s="281"/>
      <c r="J65" s="282"/>
      <c r="K65" s="283"/>
      <c r="L65" s="281"/>
      <c r="M65" s="284"/>
    </row>
    <row r="66" spans="1:13" x14ac:dyDescent="0.55000000000000004">
      <c r="A66" s="265"/>
      <c r="B66" s="285"/>
      <c r="C66" s="281"/>
      <c r="D66" s="282"/>
      <c r="E66" s="283"/>
      <c r="F66" s="281"/>
      <c r="G66" s="284"/>
      <c r="H66" s="285" t="s">
        <v>519</v>
      </c>
      <c r="I66" s="281" t="s">
        <v>282</v>
      </c>
      <c r="J66" s="282">
        <v>297000</v>
      </c>
      <c r="K66" s="283" t="s">
        <v>520</v>
      </c>
      <c r="L66" s="281" t="s">
        <v>440</v>
      </c>
      <c r="M66" s="284">
        <v>297000</v>
      </c>
    </row>
    <row r="67" spans="1:13" x14ac:dyDescent="0.55000000000000004">
      <c r="A67" s="265"/>
      <c r="B67" s="285"/>
      <c r="C67" s="281"/>
      <c r="D67" s="282"/>
      <c r="E67" s="283"/>
      <c r="F67" s="281"/>
      <c r="G67" s="284"/>
      <c r="H67" s="285"/>
      <c r="I67" s="281"/>
      <c r="J67" s="282"/>
      <c r="K67" s="283"/>
      <c r="L67" s="281"/>
      <c r="M67" s="284"/>
    </row>
    <row r="68" spans="1:13" x14ac:dyDescent="0.55000000000000004">
      <c r="A68" s="265"/>
      <c r="B68" s="285"/>
      <c r="C68" s="281"/>
      <c r="D68" s="282"/>
      <c r="E68" s="283"/>
      <c r="F68" s="281"/>
      <c r="G68" s="284"/>
      <c r="H68" s="280" t="s">
        <v>521</v>
      </c>
      <c r="I68" s="281"/>
      <c r="J68" s="282"/>
      <c r="K68" s="283"/>
      <c r="L68" s="281"/>
      <c r="M68" s="284"/>
    </row>
    <row r="69" spans="1:13" x14ac:dyDescent="0.55000000000000004">
      <c r="A69" s="265"/>
      <c r="B69" s="285"/>
      <c r="C69" s="281"/>
      <c r="D69" s="282"/>
      <c r="E69" s="283"/>
      <c r="F69" s="281"/>
      <c r="G69" s="284"/>
      <c r="H69" s="479" t="s">
        <v>522</v>
      </c>
      <c r="I69" s="310" t="s">
        <v>401</v>
      </c>
      <c r="J69" s="480">
        <v>932232</v>
      </c>
      <c r="K69" s="309" t="s">
        <v>523</v>
      </c>
      <c r="L69" s="310" t="s">
        <v>243</v>
      </c>
      <c r="M69" s="311">
        <v>932232</v>
      </c>
    </row>
    <row r="70" spans="1:13" x14ac:dyDescent="0.55000000000000004">
      <c r="A70" s="265"/>
      <c r="B70" s="285"/>
      <c r="C70" s="281"/>
      <c r="D70" s="282"/>
      <c r="E70" s="283"/>
      <c r="F70" s="281"/>
      <c r="G70" s="284"/>
      <c r="H70" s="285"/>
      <c r="I70" s="281"/>
      <c r="J70" s="282"/>
      <c r="K70" s="283"/>
      <c r="L70" s="281"/>
      <c r="M70" s="284"/>
    </row>
    <row r="71" spans="1:13" x14ac:dyDescent="0.55000000000000004">
      <c r="A71" s="265"/>
      <c r="B71" s="285"/>
      <c r="C71" s="281"/>
      <c r="D71" s="282"/>
      <c r="E71" s="283"/>
      <c r="F71" s="281"/>
      <c r="G71" s="284"/>
      <c r="H71" s="280" t="s">
        <v>524</v>
      </c>
      <c r="I71" s="281"/>
      <c r="J71" s="282"/>
      <c r="K71" s="283"/>
      <c r="L71" s="281"/>
      <c r="M71" s="284"/>
    </row>
    <row r="72" spans="1:13" x14ac:dyDescent="0.55000000000000004">
      <c r="A72" s="265"/>
      <c r="B72" s="285"/>
      <c r="C72" s="281"/>
      <c r="D72" s="282"/>
      <c r="E72" s="283"/>
      <c r="F72" s="281"/>
      <c r="G72" s="284"/>
      <c r="H72" s="285" t="s">
        <v>209</v>
      </c>
      <c r="I72" s="281" t="s">
        <v>210</v>
      </c>
      <c r="J72" s="282">
        <v>423000</v>
      </c>
      <c r="K72" s="283" t="s">
        <v>525</v>
      </c>
      <c r="L72" s="281" t="s">
        <v>204</v>
      </c>
      <c r="M72" s="284">
        <v>423000</v>
      </c>
    </row>
    <row r="73" spans="1:13" x14ac:dyDescent="0.55000000000000004">
      <c r="A73" s="265"/>
      <c r="B73" s="285"/>
      <c r="C73" s="281"/>
      <c r="D73" s="282"/>
      <c r="E73" s="283"/>
      <c r="F73" s="281"/>
      <c r="G73" s="284"/>
      <c r="H73" s="285"/>
      <c r="I73" s="281"/>
      <c r="J73" s="282"/>
      <c r="K73" s="283"/>
      <c r="L73" s="281"/>
      <c r="M73" s="284"/>
    </row>
    <row r="74" spans="1:13" x14ac:dyDescent="0.55000000000000004">
      <c r="A74" s="265"/>
      <c r="B74" s="285"/>
      <c r="C74" s="281"/>
      <c r="D74" s="282"/>
      <c r="E74" s="283"/>
      <c r="F74" s="281"/>
      <c r="G74" s="284"/>
      <c r="H74" s="280" t="s">
        <v>526</v>
      </c>
      <c r="I74" s="281"/>
      <c r="J74" s="282"/>
      <c r="K74" s="283"/>
      <c r="L74" s="281"/>
      <c r="M74" s="284"/>
    </row>
    <row r="75" spans="1:13" x14ac:dyDescent="0.55000000000000004">
      <c r="A75" s="265"/>
      <c r="B75" s="285"/>
      <c r="C75" s="281"/>
      <c r="D75" s="282"/>
      <c r="E75" s="283"/>
      <c r="F75" s="281"/>
      <c r="G75" s="284"/>
      <c r="H75" s="285" t="s">
        <v>527</v>
      </c>
      <c r="I75" s="281" t="s">
        <v>274</v>
      </c>
      <c r="J75" s="282">
        <v>114461539</v>
      </c>
      <c r="K75" s="283" t="s">
        <v>151</v>
      </c>
      <c r="L75" s="281" t="s">
        <v>495</v>
      </c>
      <c r="M75" s="284">
        <v>114461539</v>
      </c>
    </row>
    <row r="76" spans="1:13" ht="12" thickBot="1" x14ac:dyDescent="0.6">
      <c r="A76" s="265"/>
      <c r="B76" s="286"/>
      <c r="C76" s="287"/>
      <c r="D76" s="288"/>
      <c r="E76" s="289"/>
      <c r="F76" s="287"/>
      <c r="G76" s="290"/>
      <c r="H76" s="286"/>
      <c r="I76" s="287"/>
      <c r="J76" s="288"/>
      <c r="K76" s="289"/>
      <c r="L76" s="287"/>
      <c r="M76" s="29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FD885-F6F2-4326-9D61-1AEFBC481D4A}">
  <dimension ref="A1:Y5"/>
  <sheetViews>
    <sheetView workbookViewId="0"/>
  </sheetViews>
  <sheetFormatPr defaultRowHeight="17.600000000000001" x14ac:dyDescent="0.55000000000000004"/>
  <cols>
    <col min="18" max="19" width="9.2109375" bestFit="1" customWidth="1"/>
    <col min="21" max="21" width="9.2109375" bestFit="1" customWidth="1"/>
  </cols>
  <sheetData>
    <row r="1" spans="1:25" x14ac:dyDescent="0.55000000000000004">
      <c r="A1" s="779" t="s">
        <v>1254</v>
      </c>
      <c r="B1" s="779" t="s">
        <v>1972</v>
      </c>
      <c r="C1" s="779" t="s">
        <v>1510</v>
      </c>
      <c r="D1" s="779" t="s">
        <v>1973</v>
      </c>
      <c r="E1" s="779" t="s">
        <v>1974</v>
      </c>
      <c r="F1" s="779" t="s">
        <v>1171</v>
      </c>
      <c r="G1" s="779" t="s">
        <v>1172</v>
      </c>
      <c r="H1" s="779" t="s">
        <v>1173</v>
      </c>
      <c r="I1" s="779" t="s">
        <v>1174</v>
      </c>
      <c r="J1" s="779" t="s">
        <v>1512</v>
      </c>
      <c r="K1" s="779" t="s">
        <v>1513</v>
      </c>
      <c r="L1" s="779" t="s">
        <v>1484</v>
      </c>
      <c r="M1" s="779" t="s">
        <v>1514</v>
      </c>
      <c r="N1" s="779" t="s">
        <v>1515</v>
      </c>
      <c r="O1" s="779" t="s">
        <v>1516</v>
      </c>
      <c r="P1" s="779" t="s">
        <v>1517</v>
      </c>
      <c r="Q1" s="779" t="s">
        <v>1178</v>
      </c>
      <c r="S1" s="793" t="s">
        <v>4</v>
      </c>
      <c r="U1">
        <v>2026</v>
      </c>
      <c r="V1">
        <v>2027</v>
      </c>
      <c r="W1">
        <v>2028</v>
      </c>
      <c r="X1">
        <v>2029</v>
      </c>
      <c r="Y1">
        <v>2030</v>
      </c>
    </row>
    <row r="2" spans="1:25" x14ac:dyDescent="0.55000000000000004">
      <c r="A2" s="780" t="s">
        <v>1180</v>
      </c>
      <c r="B2" s="781" t="s">
        <v>1975</v>
      </c>
      <c r="C2" s="782" t="s">
        <v>1976</v>
      </c>
      <c r="D2" s="782" t="s">
        <v>1977</v>
      </c>
      <c r="E2" s="783" t="s">
        <v>1978</v>
      </c>
      <c r="F2" s="784">
        <v>0</v>
      </c>
      <c r="G2" s="784">
        <v>4894546</v>
      </c>
      <c r="H2" s="784">
        <v>4894546</v>
      </c>
      <c r="I2" s="784">
        <v>0</v>
      </c>
      <c r="J2" s="784">
        <v>4894546</v>
      </c>
      <c r="K2" s="785">
        <v>4</v>
      </c>
      <c r="L2" s="785">
        <v>0.52800000000000002</v>
      </c>
      <c r="M2" s="785">
        <v>2</v>
      </c>
      <c r="N2" s="784">
        <v>430720</v>
      </c>
      <c r="O2" s="784">
        <v>0</v>
      </c>
      <c r="P2" s="784">
        <v>430720</v>
      </c>
      <c r="Q2" s="784">
        <v>4463826</v>
      </c>
      <c r="R2" s="30"/>
      <c r="S2" s="30">
        <f>N2*3</f>
        <v>1292160</v>
      </c>
      <c r="U2" s="30">
        <f>($Q2-$S2)*$L2</f>
        <v>1674639.648</v>
      </c>
      <c r="V2" s="30">
        <f>($Q2-$S2-$U2)*$L2</f>
        <v>790429.91385600006</v>
      </c>
      <c r="W2" s="30">
        <f>($Q2-$S2-$U2-$V2)*$L2</f>
        <v>373082.91934003198</v>
      </c>
      <c r="X2" s="30">
        <f>Q2-S2-U2-V2-W2</f>
        <v>333513.51880396792</v>
      </c>
    </row>
    <row r="3" spans="1:25" x14ac:dyDescent="0.55000000000000004">
      <c r="A3" s="780" t="s">
        <v>1191</v>
      </c>
      <c r="B3" s="781" t="s">
        <v>1975</v>
      </c>
      <c r="C3" s="782" t="s">
        <v>1979</v>
      </c>
      <c r="D3" s="782" t="s">
        <v>1977</v>
      </c>
      <c r="E3" s="783" t="s">
        <v>1978</v>
      </c>
      <c r="F3" s="784">
        <v>0</v>
      </c>
      <c r="G3" s="784">
        <v>5544000</v>
      </c>
      <c r="H3" s="784">
        <v>5544000</v>
      </c>
      <c r="I3" s="784">
        <v>0</v>
      </c>
      <c r="J3" s="784">
        <v>5544000</v>
      </c>
      <c r="K3" s="785">
        <v>4</v>
      </c>
      <c r="L3" s="785">
        <v>0.52800000000000002</v>
      </c>
      <c r="M3" s="785">
        <v>2</v>
      </c>
      <c r="N3" s="784">
        <v>487872</v>
      </c>
      <c r="O3" s="784">
        <v>0</v>
      </c>
      <c r="P3" s="784">
        <v>487872</v>
      </c>
      <c r="Q3" s="784">
        <v>5056128</v>
      </c>
      <c r="S3" s="30">
        <f>N3*3</f>
        <v>1463616</v>
      </c>
      <c r="U3" s="30">
        <f>($Q3-$S3)*$L3</f>
        <v>1896846.3360000001</v>
      </c>
      <c r="V3" s="30">
        <f>($Q3-$S3-$U3)*$L3</f>
        <v>895311.47059199994</v>
      </c>
      <c r="W3" s="30">
        <f>($Q3-$S3-$U3-$V3)*$L3</f>
        <v>422587.01411942398</v>
      </c>
      <c r="X3" s="30">
        <f>Q3-S3-U3-V3-W3</f>
        <v>377767.17928857595</v>
      </c>
    </row>
    <row r="4" spans="1:25" x14ac:dyDescent="0.55000000000000004">
      <c r="A4" s="786" t="s">
        <v>1186</v>
      </c>
      <c r="B4" s="787" t="s">
        <v>1538</v>
      </c>
      <c r="C4" s="788" t="s">
        <v>1186</v>
      </c>
      <c r="D4" s="788" t="s">
        <v>1186</v>
      </c>
      <c r="E4" s="789" t="s">
        <v>1186</v>
      </c>
      <c r="F4" s="790">
        <v>0</v>
      </c>
      <c r="G4" s="790">
        <v>10438546</v>
      </c>
      <c r="H4" s="790">
        <v>10438546</v>
      </c>
      <c r="I4" s="790">
        <v>0</v>
      </c>
      <c r="J4" s="790">
        <v>10438546</v>
      </c>
      <c r="K4" s="788">
        <v>0</v>
      </c>
      <c r="L4" s="788">
        <v>0</v>
      </c>
      <c r="M4" s="788">
        <v>0</v>
      </c>
      <c r="N4" s="790">
        <v>918592</v>
      </c>
      <c r="O4" s="790">
        <v>0</v>
      </c>
      <c r="P4" s="790">
        <v>918592</v>
      </c>
      <c r="Q4" s="790">
        <v>9519954</v>
      </c>
    </row>
    <row r="5" spans="1:25" x14ac:dyDescent="0.55000000000000004">
      <c r="A5" s="979" t="s">
        <v>1544</v>
      </c>
      <c r="B5" s="980"/>
      <c r="C5" s="791" t="s">
        <v>1186</v>
      </c>
      <c r="D5" s="791" t="s">
        <v>1186</v>
      </c>
      <c r="E5" s="791" t="s">
        <v>1186</v>
      </c>
      <c r="F5" s="792" t="s">
        <v>1186</v>
      </c>
      <c r="G5" s="792" t="s">
        <v>1980</v>
      </c>
      <c r="H5" s="792" t="s">
        <v>1980</v>
      </c>
      <c r="I5" s="792" t="s">
        <v>1186</v>
      </c>
      <c r="J5" s="792" t="s">
        <v>1980</v>
      </c>
      <c r="K5" s="791" t="s">
        <v>1186</v>
      </c>
      <c r="L5" s="791" t="s">
        <v>1186</v>
      </c>
      <c r="M5" s="791" t="s">
        <v>1186</v>
      </c>
      <c r="N5" s="792" t="s">
        <v>1981</v>
      </c>
      <c r="O5" s="792" t="s">
        <v>1186</v>
      </c>
      <c r="P5" s="792" t="s">
        <v>1981</v>
      </c>
      <c r="Q5" s="792" t="s">
        <v>1982</v>
      </c>
    </row>
  </sheetData>
  <mergeCells count="1">
    <mergeCell ref="A5:B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15C54-966C-4ADA-9D91-D4FAEFA77ABF}">
  <dimension ref="A1:BL34"/>
  <sheetViews>
    <sheetView workbookViewId="0"/>
  </sheetViews>
  <sheetFormatPr defaultRowHeight="17.600000000000001" x14ac:dyDescent="0.55000000000000004"/>
  <cols>
    <col min="3" max="3" width="17.2109375" customWidth="1"/>
    <col min="10" max="10" width="14.7109375" customWidth="1"/>
    <col min="13" max="13" width="13.85546875" customWidth="1"/>
    <col min="15" max="15" width="11.5" bestFit="1" customWidth="1"/>
    <col min="16" max="16" width="9.140625" bestFit="1" customWidth="1"/>
    <col min="17" max="17" width="10.2109375" bestFit="1" customWidth="1"/>
    <col min="18" max="18" width="9.35546875" bestFit="1" customWidth="1"/>
    <col min="19" max="19" width="9.140625" bestFit="1" customWidth="1"/>
    <col min="23" max="23" width="12.85546875" bestFit="1" customWidth="1"/>
    <col min="25" max="25" width="9.140625" bestFit="1" customWidth="1"/>
    <col min="26" max="26" width="9.35546875" bestFit="1" customWidth="1"/>
    <col min="27" max="27" width="10.2109375" bestFit="1" customWidth="1"/>
    <col min="31" max="31" width="9.140625" bestFit="1" customWidth="1"/>
    <col min="33" max="33" width="9.35546875" bestFit="1" customWidth="1"/>
    <col min="43" max="43" width="9.140625" bestFit="1" customWidth="1"/>
    <col min="45" max="45" width="9.140625" bestFit="1" customWidth="1"/>
    <col min="51" max="51" width="9.140625" bestFit="1" customWidth="1"/>
  </cols>
  <sheetData>
    <row r="1" spans="1:64" x14ac:dyDescent="0.55000000000000004">
      <c r="W1" s="30">
        <f>SUBTOTAL(9,W3:W31)</f>
        <v>8902637408</v>
      </c>
    </row>
    <row r="2" spans="1:64" x14ac:dyDescent="0.55000000000000004">
      <c r="A2" t="s">
        <v>616</v>
      </c>
      <c r="B2" t="s">
        <v>1445</v>
      </c>
      <c r="C2" s="1" t="s">
        <v>619</v>
      </c>
      <c r="D2" s="1" t="s">
        <v>620</v>
      </c>
      <c r="E2" s="1" t="s">
        <v>621</v>
      </c>
      <c r="F2" s="1" t="s">
        <v>1340</v>
      </c>
      <c r="G2" s="1" t="s">
        <v>1341</v>
      </c>
      <c r="H2" s="1" t="s">
        <v>1342</v>
      </c>
      <c r="I2" s="1" t="s">
        <v>1343</v>
      </c>
      <c r="J2" s="1" t="s">
        <v>1344</v>
      </c>
      <c r="K2" s="1" t="s">
        <v>1345</v>
      </c>
      <c r="L2" s="1" t="s">
        <v>1346</v>
      </c>
      <c r="M2" s="1" t="s">
        <v>1347</v>
      </c>
      <c r="N2" s="1" t="s">
        <v>1348</v>
      </c>
      <c r="O2" s="1" t="s">
        <v>1349</v>
      </c>
      <c r="P2" s="1" t="s">
        <v>622</v>
      </c>
      <c r="Q2" s="1" t="s">
        <v>1350</v>
      </c>
      <c r="R2" s="1" t="s">
        <v>1351</v>
      </c>
      <c r="S2" s="1" t="s">
        <v>1352</v>
      </c>
      <c r="T2" s="1" t="s">
        <v>1353</v>
      </c>
      <c r="U2" s="1" t="s">
        <v>1354</v>
      </c>
      <c r="V2" s="1" t="s">
        <v>1355</v>
      </c>
      <c r="W2" s="313" t="s">
        <v>623</v>
      </c>
      <c r="X2" s="1" t="s">
        <v>1356</v>
      </c>
      <c r="Y2" s="1" t="s">
        <v>1357</v>
      </c>
      <c r="Z2" s="1" t="s">
        <v>624</v>
      </c>
      <c r="AA2" s="1" t="s">
        <v>625</v>
      </c>
      <c r="AB2" s="1" t="s">
        <v>1358</v>
      </c>
      <c r="AC2" s="1" t="s">
        <v>1359</v>
      </c>
      <c r="AD2" s="1" t="s">
        <v>1360</v>
      </c>
      <c r="AE2" s="1" t="s">
        <v>1361</v>
      </c>
      <c r="AF2" s="1" t="s">
        <v>1362</v>
      </c>
      <c r="AG2" s="1" t="s">
        <v>626</v>
      </c>
      <c r="AH2" s="1" t="s">
        <v>1363</v>
      </c>
      <c r="AI2" s="1" t="s">
        <v>1364</v>
      </c>
      <c r="AJ2" s="1" t="s">
        <v>1365</v>
      </c>
      <c r="AK2" s="1" t="s">
        <v>627</v>
      </c>
      <c r="AL2" s="1" t="s">
        <v>1366</v>
      </c>
      <c r="AM2" s="1" t="s">
        <v>628</v>
      </c>
      <c r="AN2" s="1" t="s">
        <v>629</v>
      </c>
      <c r="AO2" s="1" t="s">
        <v>1367</v>
      </c>
      <c r="AP2" s="1" t="s">
        <v>1368</v>
      </c>
      <c r="AQ2" s="1" t="s">
        <v>630</v>
      </c>
      <c r="AR2" s="1" t="s">
        <v>631</v>
      </c>
      <c r="AS2" s="1" t="s">
        <v>632</v>
      </c>
      <c r="AT2" s="1" t="s">
        <v>633</v>
      </c>
      <c r="AU2" s="1" t="s">
        <v>1369</v>
      </c>
      <c r="AV2" s="1" t="s">
        <v>1370</v>
      </c>
      <c r="AW2" s="1" t="s">
        <v>1371</v>
      </c>
      <c r="AX2" s="1" t="s">
        <v>1372</v>
      </c>
      <c r="AY2" s="1" t="s">
        <v>1373</v>
      </c>
      <c r="AZ2" s="1" t="s">
        <v>1374</v>
      </c>
      <c r="BA2" s="1" t="s">
        <v>636</v>
      </c>
      <c r="BB2" s="1" t="s">
        <v>637</v>
      </c>
      <c r="BC2" s="1" t="s">
        <v>638</v>
      </c>
      <c r="BD2" s="1" t="s">
        <v>639</v>
      </c>
      <c r="BE2" s="1" t="s">
        <v>640</v>
      </c>
      <c r="BF2" s="1" t="s">
        <v>641</v>
      </c>
      <c r="BH2" t="s">
        <v>1375</v>
      </c>
      <c r="BI2" t="s">
        <v>1376</v>
      </c>
      <c r="BJ2" t="s">
        <v>1377</v>
      </c>
      <c r="BK2" t="s">
        <v>1378</v>
      </c>
      <c r="BL2" t="s">
        <v>1379</v>
      </c>
    </row>
    <row r="3" spans="1:64" x14ac:dyDescent="0.55000000000000004">
      <c r="A3" s="367" t="s">
        <v>3</v>
      </c>
      <c r="B3" s="367" t="s">
        <v>65</v>
      </c>
      <c r="C3" s="1" t="s">
        <v>1380</v>
      </c>
      <c r="D3" s="1" t="s">
        <v>644</v>
      </c>
      <c r="E3" s="1" t="s">
        <v>1381</v>
      </c>
      <c r="F3" s="1"/>
      <c r="G3" s="1"/>
      <c r="H3" s="1"/>
      <c r="I3" s="1"/>
      <c r="J3" s="315">
        <v>3000</v>
      </c>
      <c r="K3" s="1"/>
      <c r="L3" s="1"/>
      <c r="M3" s="1"/>
      <c r="N3" s="1"/>
      <c r="O3" s="315">
        <v>300000000</v>
      </c>
      <c r="P3" s="1">
        <v>168</v>
      </c>
      <c r="Q3" s="1">
        <v>0</v>
      </c>
      <c r="R3" s="1">
        <v>296040000</v>
      </c>
      <c r="S3" s="1"/>
      <c r="T3" s="1"/>
      <c r="U3" s="1"/>
      <c r="V3" s="1"/>
      <c r="W3" s="315">
        <v>285267002</v>
      </c>
      <c r="X3" s="1"/>
      <c r="Y3" s="1"/>
      <c r="Z3" s="1"/>
      <c r="AA3" s="1"/>
      <c r="AB3" s="1"/>
      <c r="AC3" s="1"/>
      <c r="AD3" s="1"/>
      <c r="AE3" s="1" t="s">
        <v>1382</v>
      </c>
      <c r="AF3" s="1"/>
      <c r="AG3" s="1" t="s">
        <v>1383</v>
      </c>
      <c r="AH3" s="1"/>
      <c r="AI3" s="1"/>
      <c r="AJ3" s="1"/>
      <c r="AK3" s="1"/>
      <c r="AL3" s="1"/>
      <c r="AM3" s="1"/>
      <c r="AN3" s="1"/>
      <c r="AO3" s="1"/>
      <c r="AP3" s="1"/>
      <c r="AQ3" s="1">
        <v>0</v>
      </c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 spans="1:64" x14ac:dyDescent="0.55000000000000004">
      <c r="A4" s="367" t="s">
        <v>3</v>
      </c>
      <c r="B4" s="367" t="s">
        <v>65</v>
      </c>
      <c r="C4" s="1" t="s">
        <v>1384</v>
      </c>
      <c r="D4" s="1" t="s">
        <v>644</v>
      </c>
      <c r="E4" s="1" t="s">
        <v>1385</v>
      </c>
      <c r="F4" s="1"/>
      <c r="G4" s="1"/>
      <c r="H4" s="1"/>
      <c r="I4" s="1"/>
      <c r="J4" s="315">
        <v>3000</v>
      </c>
      <c r="K4" s="1"/>
      <c r="L4" s="1"/>
      <c r="M4" s="1"/>
      <c r="N4" s="1"/>
      <c r="O4" s="315">
        <v>190000000</v>
      </c>
      <c r="P4" s="1">
        <v>131</v>
      </c>
      <c r="Q4" s="1"/>
      <c r="R4" s="1">
        <v>232746674</v>
      </c>
      <c r="S4" s="1">
        <v>1800000</v>
      </c>
      <c r="T4" s="1"/>
      <c r="U4" s="1"/>
      <c r="V4" s="1"/>
      <c r="W4" s="315">
        <v>234546674</v>
      </c>
      <c r="X4" s="1"/>
      <c r="Y4" s="1">
        <v>6.8000000000000005E-2</v>
      </c>
      <c r="Z4" s="1">
        <v>15939000</v>
      </c>
      <c r="AA4" s="1">
        <v>218607674</v>
      </c>
      <c r="AB4" s="1"/>
      <c r="AC4" s="1"/>
      <c r="AD4" s="1"/>
      <c r="AE4" s="1">
        <v>0.3</v>
      </c>
      <c r="AF4" s="1"/>
      <c r="AG4" s="1" t="s">
        <v>1386</v>
      </c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 spans="1:64" x14ac:dyDescent="0.55000000000000004">
      <c r="A5" s="367" t="s">
        <v>3</v>
      </c>
      <c r="B5" s="367" t="s">
        <v>65</v>
      </c>
      <c r="C5" s="1" t="s">
        <v>1387</v>
      </c>
      <c r="D5" s="1" t="s">
        <v>644</v>
      </c>
      <c r="E5" s="1" t="s">
        <v>1388</v>
      </c>
      <c r="F5" s="1"/>
      <c r="G5" s="1"/>
      <c r="H5" s="1"/>
      <c r="I5" s="1"/>
      <c r="J5" s="315">
        <v>20000</v>
      </c>
      <c r="K5" s="1"/>
      <c r="L5" s="1"/>
      <c r="M5" s="1"/>
      <c r="N5" s="1"/>
      <c r="O5" s="315">
        <v>660000000</v>
      </c>
      <c r="P5" s="1">
        <v>226</v>
      </c>
      <c r="Q5" s="1"/>
      <c r="R5" s="1">
        <v>702544330</v>
      </c>
      <c r="S5" s="1"/>
      <c r="T5" s="1"/>
      <c r="U5" s="1"/>
      <c r="V5" s="1"/>
      <c r="W5" s="315">
        <v>702544330</v>
      </c>
      <c r="X5" s="1"/>
      <c r="Y5" s="1"/>
      <c r="Z5" s="1">
        <v>50537575</v>
      </c>
      <c r="AA5" s="1">
        <v>652006755</v>
      </c>
      <c r="AB5" s="1"/>
      <c r="AC5" s="1"/>
      <c r="AD5" s="1"/>
      <c r="AE5" s="1">
        <v>0.6</v>
      </c>
      <c r="AF5" s="1"/>
      <c r="AG5" s="1" t="s">
        <v>1389</v>
      </c>
      <c r="AH5" s="1"/>
      <c r="AI5" s="1"/>
      <c r="AJ5" s="1"/>
      <c r="AK5" s="1"/>
      <c r="AL5" s="1"/>
      <c r="AM5" s="1"/>
      <c r="AN5" s="1"/>
      <c r="AO5" s="1"/>
      <c r="AP5" s="1"/>
      <c r="AQ5" s="1">
        <v>9760446</v>
      </c>
      <c r="AR5" s="1"/>
      <c r="AS5" s="1"/>
      <c r="AT5" s="1"/>
      <c r="AU5" s="1"/>
      <c r="AV5" s="1"/>
      <c r="AW5" s="1"/>
      <c r="AX5" s="1"/>
      <c r="AY5" s="1">
        <v>9760446</v>
      </c>
      <c r="AZ5" s="1"/>
      <c r="BA5" s="1"/>
      <c r="BB5" s="1"/>
      <c r="BC5" s="1"/>
      <c r="BD5" s="1"/>
      <c r="BE5" s="1"/>
      <c r="BF5" s="1"/>
    </row>
    <row r="6" spans="1:64" x14ac:dyDescent="0.55000000000000004">
      <c r="A6" s="367" t="s">
        <v>3</v>
      </c>
      <c r="B6" s="367" t="s">
        <v>65</v>
      </c>
      <c r="C6" s="1" t="s">
        <v>1390</v>
      </c>
      <c r="D6" s="1" t="s">
        <v>644</v>
      </c>
      <c r="E6" s="1" t="s">
        <v>1391</v>
      </c>
      <c r="F6" s="1"/>
      <c r="G6" s="1"/>
      <c r="H6" s="1"/>
      <c r="I6" s="1"/>
      <c r="J6" s="315">
        <v>2000</v>
      </c>
      <c r="K6" s="1"/>
      <c r="L6" s="1"/>
      <c r="M6" s="1"/>
      <c r="N6" s="1"/>
      <c r="O6" s="315">
        <v>280000000</v>
      </c>
      <c r="P6" s="1">
        <v>130</v>
      </c>
      <c r="Q6" s="1"/>
      <c r="R6" s="1">
        <v>284700000</v>
      </c>
      <c r="S6" s="1"/>
      <c r="T6" s="1"/>
      <c r="U6" s="1"/>
      <c r="V6" s="1"/>
      <c r="W6" s="315">
        <v>293852000</v>
      </c>
      <c r="X6" s="1"/>
      <c r="Y6" s="1">
        <v>7.2700000000000001E-2</v>
      </c>
      <c r="Z6" s="1">
        <v>21373125</v>
      </c>
      <c r="AA6" s="1">
        <v>272478875</v>
      </c>
      <c r="AB6" s="1"/>
      <c r="AC6" s="1"/>
      <c r="AD6" s="1"/>
      <c r="AE6" s="1" t="s">
        <v>1382</v>
      </c>
      <c r="AF6" s="1"/>
      <c r="AG6" s="1">
        <v>124340764</v>
      </c>
      <c r="AH6" s="1"/>
      <c r="AI6" s="1"/>
      <c r="AJ6" s="1"/>
      <c r="AK6" s="1"/>
      <c r="AL6" s="1"/>
      <c r="AM6" s="1"/>
      <c r="AN6" s="1"/>
      <c r="AO6" s="1"/>
      <c r="AP6" s="1"/>
      <c r="AQ6" s="1">
        <v>12071143</v>
      </c>
      <c r="AR6" s="1"/>
      <c r="AS6" s="1"/>
      <c r="AT6" s="1"/>
      <c r="AU6" s="1"/>
      <c r="AV6" s="1"/>
      <c r="AW6" s="1"/>
      <c r="AX6" s="1"/>
      <c r="AY6" s="1">
        <v>12071143</v>
      </c>
      <c r="AZ6" s="1"/>
      <c r="BA6" s="1"/>
      <c r="BB6" s="1"/>
      <c r="BC6" s="1"/>
      <c r="BD6" s="1"/>
      <c r="BE6" s="1"/>
      <c r="BF6" s="1"/>
    </row>
    <row r="7" spans="1:64" x14ac:dyDescent="0.55000000000000004">
      <c r="A7" s="367" t="s">
        <v>3</v>
      </c>
      <c r="B7" s="367" t="s">
        <v>65</v>
      </c>
      <c r="C7" s="1" t="s">
        <v>1392</v>
      </c>
      <c r="D7" s="1" t="s">
        <v>644</v>
      </c>
      <c r="E7" s="1" t="s">
        <v>1393</v>
      </c>
      <c r="F7" s="1"/>
      <c r="G7" s="1"/>
      <c r="H7" s="1"/>
      <c r="I7" s="1"/>
      <c r="J7" s="315">
        <v>2000</v>
      </c>
      <c r="K7" s="1"/>
      <c r="L7" s="1"/>
      <c r="M7" s="1"/>
      <c r="N7" s="1"/>
      <c r="O7" s="315">
        <v>65000000</v>
      </c>
      <c r="P7" s="1">
        <v>44</v>
      </c>
      <c r="Q7" s="1">
        <v>14940000</v>
      </c>
      <c r="R7" s="1">
        <v>51740000</v>
      </c>
      <c r="S7" s="1"/>
      <c r="T7" s="1"/>
      <c r="U7" s="1"/>
      <c r="V7" s="1"/>
      <c r="W7" s="315">
        <v>66680000</v>
      </c>
      <c r="X7" s="1"/>
      <c r="Y7" s="1">
        <v>7.0499999999999993E-2</v>
      </c>
      <c r="Z7" s="1">
        <v>4702500</v>
      </c>
      <c r="AA7" s="1">
        <v>61977500</v>
      </c>
      <c r="AB7" s="1"/>
      <c r="AC7" s="1"/>
      <c r="AD7" s="1"/>
      <c r="AE7" s="1" t="s">
        <v>1382</v>
      </c>
      <c r="AF7" s="1"/>
      <c r="AG7" s="1">
        <v>30789750</v>
      </c>
      <c r="AH7" s="1"/>
      <c r="AI7" s="1"/>
      <c r="AJ7" s="1"/>
      <c r="AK7" s="1"/>
      <c r="AL7" s="1"/>
      <c r="AM7" s="1"/>
      <c r="AN7" s="1"/>
      <c r="AO7" s="1"/>
      <c r="AP7" s="1"/>
      <c r="AQ7" s="1">
        <v>8266401</v>
      </c>
      <c r="AR7" s="1"/>
      <c r="AS7" s="1">
        <v>8796347</v>
      </c>
      <c r="AT7" s="1"/>
      <c r="AU7" s="1"/>
      <c r="AV7" s="1"/>
      <c r="AW7" s="1"/>
      <c r="AX7" s="1"/>
      <c r="AY7" s="1">
        <v>17062748</v>
      </c>
      <c r="AZ7" s="1"/>
      <c r="BA7" s="1"/>
      <c r="BB7" s="1"/>
      <c r="BC7" s="1"/>
      <c r="BD7" s="1"/>
      <c r="BE7" s="1"/>
      <c r="BF7" s="1"/>
    </row>
    <row r="8" spans="1:64" x14ac:dyDescent="0.55000000000000004">
      <c r="A8" s="367" t="s">
        <v>3</v>
      </c>
      <c r="B8" s="367" t="s">
        <v>65</v>
      </c>
      <c r="C8" s="1" t="s">
        <v>1394</v>
      </c>
      <c r="D8" s="1" t="s">
        <v>644</v>
      </c>
      <c r="E8" s="1" t="s">
        <v>1395</v>
      </c>
      <c r="F8" s="1"/>
      <c r="G8" s="1"/>
      <c r="H8" s="1"/>
      <c r="I8" s="1"/>
      <c r="J8" s="315">
        <v>4000</v>
      </c>
      <c r="K8" s="1"/>
      <c r="L8" s="1"/>
      <c r="M8" s="1"/>
      <c r="N8" s="1"/>
      <c r="O8" s="315">
        <v>360000000</v>
      </c>
      <c r="P8" s="1">
        <v>165</v>
      </c>
      <c r="Q8" s="1">
        <v>123450000</v>
      </c>
      <c r="R8" s="1">
        <v>257600000</v>
      </c>
      <c r="S8" s="1"/>
      <c r="T8" s="1"/>
      <c r="U8" s="1"/>
      <c r="V8" s="1"/>
      <c r="W8" s="315">
        <v>383197000</v>
      </c>
      <c r="X8" s="1"/>
      <c r="Y8" s="1">
        <v>7.3999999999999996E-2</v>
      </c>
      <c r="Z8" s="1">
        <v>28368525</v>
      </c>
      <c r="AA8" s="1">
        <v>354828475</v>
      </c>
      <c r="AB8" s="1"/>
      <c r="AC8" s="1"/>
      <c r="AD8" s="1"/>
      <c r="AE8" s="1" t="s">
        <v>1396</v>
      </c>
      <c r="AF8" s="1"/>
      <c r="AG8" s="1" t="s">
        <v>1397</v>
      </c>
      <c r="AH8" s="1"/>
      <c r="AI8" s="1"/>
      <c r="AJ8" s="1"/>
      <c r="AK8" s="1"/>
      <c r="AL8" s="1"/>
      <c r="AM8" s="1"/>
      <c r="AN8" s="1"/>
      <c r="AO8" s="1"/>
      <c r="AP8" s="1"/>
      <c r="AQ8" s="1">
        <v>10203236</v>
      </c>
      <c r="AR8" s="1"/>
      <c r="AS8" s="1">
        <v>12814819</v>
      </c>
      <c r="AT8" s="1"/>
      <c r="AU8" s="1"/>
      <c r="AV8" s="1"/>
      <c r="AW8" s="1"/>
      <c r="AX8" s="1"/>
      <c r="AY8" s="1">
        <v>23018055</v>
      </c>
      <c r="AZ8" s="1"/>
      <c r="BA8" s="1"/>
      <c r="BB8" s="1"/>
      <c r="BC8" s="1"/>
      <c r="BD8" s="1"/>
      <c r="BE8" s="1"/>
      <c r="BF8" s="1"/>
    </row>
    <row r="9" spans="1:64" x14ac:dyDescent="0.55000000000000004">
      <c r="A9" s="367" t="s">
        <v>3</v>
      </c>
      <c r="B9" s="367" t="s">
        <v>65</v>
      </c>
      <c r="C9" s="1" t="s">
        <v>1398</v>
      </c>
      <c r="D9" s="1" t="s">
        <v>644</v>
      </c>
      <c r="E9" s="1" t="s">
        <v>1399</v>
      </c>
      <c r="F9" s="1"/>
      <c r="G9" s="1"/>
      <c r="H9" s="1"/>
      <c r="I9" s="1"/>
      <c r="J9" s="315">
        <v>2000</v>
      </c>
      <c r="K9" s="1"/>
      <c r="L9" s="1"/>
      <c r="M9" s="1"/>
      <c r="N9" s="1"/>
      <c r="O9" s="315">
        <v>130000000</v>
      </c>
      <c r="P9" s="1">
        <v>63</v>
      </c>
      <c r="Q9" s="1"/>
      <c r="R9" s="1">
        <v>139020000</v>
      </c>
      <c r="S9" s="1"/>
      <c r="T9" s="1"/>
      <c r="U9" s="1"/>
      <c r="V9" s="1"/>
      <c r="W9" s="315">
        <v>139020000</v>
      </c>
      <c r="X9" s="1"/>
      <c r="Y9" s="1">
        <v>7.2700000000000001E-2</v>
      </c>
      <c r="Z9" s="1">
        <v>10108500</v>
      </c>
      <c r="AA9" s="1">
        <v>128911500</v>
      </c>
      <c r="AB9" s="1"/>
      <c r="AC9" s="1"/>
      <c r="AD9" s="1"/>
      <c r="AE9" s="1" t="s">
        <v>1400</v>
      </c>
      <c r="AF9" s="1"/>
      <c r="AG9" s="1" t="s">
        <v>1401</v>
      </c>
      <c r="AH9" s="1"/>
      <c r="AI9" s="1"/>
      <c r="AJ9" s="1"/>
      <c r="AK9" s="1"/>
      <c r="AL9" s="1"/>
      <c r="AM9" s="1"/>
      <c r="AN9" s="1"/>
      <c r="AO9" s="1"/>
      <c r="AP9" s="1"/>
      <c r="AQ9" s="1">
        <v>12029426</v>
      </c>
      <c r="AR9" s="1"/>
      <c r="AS9" s="1">
        <v>10138160</v>
      </c>
      <c r="AT9" s="1"/>
      <c r="AU9" s="1"/>
      <c r="AV9" s="1"/>
      <c r="AW9" s="1"/>
      <c r="AX9" s="1"/>
      <c r="AY9" s="1">
        <v>22167586</v>
      </c>
      <c r="AZ9" s="1"/>
      <c r="BA9" s="1"/>
      <c r="BB9" s="1"/>
      <c r="BC9" s="1"/>
      <c r="BD9" s="1"/>
      <c r="BE9" s="1"/>
      <c r="BF9" s="1"/>
    </row>
    <row r="10" spans="1:64" x14ac:dyDescent="0.55000000000000004">
      <c r="A10" s="367" t="s">
        <v>3</v>
      </c>
      <c r="B10" s="367" t="s">
        <v>65</v>
      </c>
      <c r="C10" s="1" t="s">
        <v>1402</v>
      </c>
      <c r="D10" s="1" t="s">
        <v>662</v>
      </c>
      <c r="E10" s="1" t="s">
        <v>1403</v>
      </c>
      <c r="F10" s="1"/>
      <c r="G10" s="1"/>
      <c r="H10" s="1"/>
      <c r="I10" s="1"/>
      <c r="J10" s="315">
        <v>3000</v>
      </c>
      <c r="K10" s="1"/>
      <c r="L10" s="1"/>
      <c r="M10" s="1"/>
      <c r="N10" s="1"/>
      <c r="O10" s="315">
        <v>180000000</v>
      </c>
      <c r="P10" s="1">
        <v>82</v>
      </c>
      <c r="Q10" s="1"/>
      <c r="R10" s="1">
        <v>187780000</v>
      </c>
      <c r="S10" s="1"/>
      <c r="T10" s="1"/>
      <c r="U10" s="1"/>
      <c r="V10" s="1"/>
      <c r="W10" s="315">
        <v>187780000</v>
      </c>
      <c r="X10" s="1"/>
      <c r="Y10" s="1">
        <v>7.1300000000000002E-2</v>
      </c>
      <c r="Z10" s="1">
        <v>13396500</v>
      </c>
      <c r="AA10" s="1">
        <v>174383500</v>
      </c>
      <c r="AB10" s="1"/>
      <c r="AC10" s="1"/>
      <c r="AD10" s="1"/>
      <c r="AE10" s="1" t="s">
        <v>1400</v>
      </c>
      <c r="AF10" s="1"/>
      <c r="AG10" s="1" t="s">
        <v>1404</v>
      </c>
      <c r="AH10" s="1"/>
      <c r="AI10" s="1"/>
      <c r="AJ10" s="1"/>
      <c r="AK10" s="1"/>
      <c r="AL10" s="1"/>
      <c r="AM10" s="1"/>
      <c r="AN10" s="1"/>
      <c r="AO10" s="1"/>
      <c r="AP10" s="1"/>
      <c r="AQ10" s="1">
        <v>13050343</v>
      </c>
      <c r="AR10" s="1"/>
      <c r="AS10" s="1">
        <v>9773146</v>
      </c>
      <c r="AT10" s="1"/>
      <c r="AU10" s="1"/>
      <c r="AV10" s="1"/>
      <c r="AW10" s="1"/>
      <c r="AX10" s="1"/>
      <c r="AY10" s="1">
        <v>22823489</v>
      </c>
      <c r="AZ10" s="1"/>
      <c r="BA10" s="1"/>
      <c r="BB10" s="1"/>
      <c r="BC10" s="1"/>
      <c r="BD10" s="1"/>
      <c r="BE10" s="1"/>
      <c r="BF10" s="1"/>
    </row>
    <row r="11" spans="1:64" x14ac:dyDescent="0.55000000000000004">
      <c r="A11" s="367" t="s">
        <v>3</v>
      </c>
      <c r="B11" s="367" t="s">
        <v>65</v>
      </c>
      <c r="C11" s="1" t="s">
        <v>1405</v>
      </c>
      <c r="D11" s="1" t="s">
        <v>644</v>
      </c>
      <c r="E11" s="1" t="s">
        <v>1406</v>
      </c>
      <c r="F11" s="1"/>
      <c r="G11" s="1"/>
      <c r="H11" s="1"/>
      <c r="I11" s="1"/>
      <c r="J11" s="315">
        <v>2000</v>
      </c>
      <c r="K11" s="1"/>
      <c r="L11" s="1"/>
      <c r="M11" s="1"/>
      <c r="N11" s="1"/>
      <c r="O11" s="315">
        <v>14000000</v>
      </c>
      <c r="P11" s="1">
        <v>6</v>
      </c>
      <c r="Q11" s="1">
        <v>14340000</v>
      </c>
      <c r="R11" s="1"/>
      <c r="S11" s="1"/>
      <c r="T11" s="1"/>
      <c r="U11" s="1"/>
      <c r="V11" s="1"/>
      <c r="W11" s="315">
        <v>14340000</v>
      </c>
      <c r="X11" s="1"/>
      <c r="Y11" s="1">
        <v>7.4999999999999997E-2</v>
      </c>
      <c r="Z11" s="1">
        <v>1075500</v>
      </c>
      <c r="AA11" s="1">
        <v>13264500</v>
      </c>
      <c r="AB11" s="1"/>
      <c r="AC11" s="1"/>
      <c r="AD11" s="1"/>
      <c r="AE11" s="1" t="s">
        <v>1400</v>
      </c>
      <c r="AF11" s="1"/>
      <c r="AG11" s="1">
        <v>6190100</v>
      </c>
      <c r="AH11" s="1"/>
      <c r="AI11" s="1"/>
      <c r="AJ11" s="1"/>
      <c r="AK11" s="1"/>
      <c r="AL11" s="1"/>
      <c r="AM11" s="1"/>
      <c r="AN11" s="1"/>
      <c r="AO11" s="1"/>
      <c r="AP11" s="1"/>
      <c r="AQ11" s="1">
        <v>10596126</v>
      </c>
      <c r="AR11" s="1"/>
      <c r="AS11" s="1">
        <v>9288179</v>
      </c>
      <c r="AT11" s="1"/>
      <c r="AU11" s="1"/>
      <c r="AV11" s="1"/>
      <c r="AW11" s="1"/>
      <c r="AX11" s="1"/>
      <c r="AY11" s="1">
        <v>19884305</v>
      </c>
      <c r="AZ11" s="1"/>
      <c r="BA11" s="1"/>
      <c r="BB11" s="1"/>
      <c r="BC11" s="1"/>
      <c r="BD11" s="1"/>
      <c r="BE11" s="1"/>
      <c r="BF11" s="1"/>
    </row>
    <row r="12" spans="1:64" x14ac:dyDescent="0.55000000000000004">
      <c r="A12" s="367" t="s">
        <v>3</v>
      </c>
      <c r="B12" s="367" t="s">
        <v>65</v>
      </c>
      <c r="C12" s="1" t="s">
        <v>1407</v>
      </c>
      <c r="D12" s="1" t="s">
        <v>644</v>
      </c>
      <c r="E12" s="1" t="s">
        <v>1408</v>
      </c>
      <c r="F12" s="1"/>
      <c r="G12" s="1"/>
      <c r="H12" s="1"/>
      <c r="I12" s="1"/>
      <c r="J12" s="315">
        <v>4000</v>
      </c>
      <c r="K12" s="1"/>
      <c r="L12" s="1"/>
      <c r="M12" s="1"/>
      <c r="N12" s="1"/>
      <c r="O12" s="315">
        <v>380000000</v>
      </c>
      <c r="P12" s="1">
        <v>145</v>
      </c>
      <c r="Q12" s="1">
        <v>98400000</v>
      </c>
      <c r="R12" s="1">
        <v>314780000</v>
      </c>
      <c r="S12" s="1"/>
      <c r="T12" s="1"/>
      <c r="U12" s="1"/>
      <c r="V12" s="1"/>
      <c r="W12" s="315">
        <v>414680000</v>
      </c>
      <c r="X12" s="1"/>
      <c r="Y12" s="1">
        <v>7.3999999999999996E-2</v>
      </c>
      <c r="Z12" s="1">
        <v>30693000</v>
      </c>
      <c r="AA12" s="1">
        <v>383987000</v>
      </c>
      <c r="AB12" s="1"/>
      <c r="AC12" s="1"/>
      <c r="AD12" s="1"/>
      <c r="AE12" s="1" t="s">
        <v>1396</v>
      </c>
      <c r="AF12" s="1"/>
      <c r="AG12" s="1">
        <v>221389414</v>
      </c>
      <c r="AH12" s="1"/>
      <c r="AI12" s="1"/>
      <c r="AJ12" s="1"/>
      <c r="AK12" s="1"/>
      <c r="AL12" s="1"/>
      <c r="AM12" s="1"/>
      <c r="AN12" s="1"/>
      <c r="AO12" s="1"/>
      <c r="AP12" s="1"/>
      <c r="AQ12" s="1">
        <v>20197433</v>
      </c>
      <c r="AR12" s="1"/>
      <c r="AS12" s="1">
        <v>18918496</v>
      </c>
      <c r="AT12" s="1"/>
      <c r="AU12" s="1"/>
      <c r="AV12" s="1"/>
      <c r="AW12" s="1"/>
      <c r="AX12" s="1"/>
      <c r="AY12" s="1">
        <v>39115929</v>
      </c>
      <c r="AZ12" s="1"/>
      <c r="BA12" s="1"/>
      <c r="BB12" s="1"/>
      <c r="BC12" s="1"/>
      <c r="BD12" s="1"/>
      <c r="BE12" s="1"/>
      <c r="BF12" s="1"/>
    </row>
    <row r="13" spans="1:64" x14ac:dyDescent="0.55000000000000004">
      <c r="A13" s="367" t="s">
        <v>3</v>
      </c>
      <c r="B13" s="367" t="s">
        <v>65</v>
      </c>
      <c r="C13" s="1" t="s">
        <v>1409</v>
      </c>
      <c r="D13" s="1" t="s">
        <v>644</v>
      </c>
      <c r="E13" s="1" t="s">
        <v>1410</v>
      </c>
      <c r="F13" s="1"/>
      <c r="G13" s="1"/>
      <c r="H13" s="1"/>
      <c r="I13" s="1"/>
      <c r="J13" s="315">
        <v>4000</v>
      </c>
      <c r="K13" s="1"/>
      <c r="L13" s="1"/>
      <c r="M13" s="1"/>
      <c r="N13" s="1"/>
      <c r="O13" s="315">
        <v>300000000</v>
      </c>
      <c r="P13" s="1">
        <v>133</v>
      </c>
      <c r="Q13" s="1">
        <v>101410000</v>
      </c>
      <c r="R13" s="1">
        <v>216260000</v>
      </c>
      <c r="S13" s="1"/>
      <c r="T13" s="1"/>
      <c r="U13" s="1"/>
      <c r="V13" s="1"/>
      <c r="W13" s="315">
        <v>322821666</v>
      </c>
      <c r="X13" s="1"/>
      <c r="Y13" s="1">
        <v>7.3200000000000001E-2</v>
      </c>
      <c r="Z13" s="1">
        <v>23644625</v>
      </c>
      <c r="AA13" s="1">
        <v>299177041</v>
      </c>
      <c r="AB13" s="1"/>
      <c r="AC13" s="1"/>
      <c r="AD13" s="1"/>
      <c r="AE13" s="1" t="s">
        <v>1400</v>
      </c>
      <c r="AF13" s="1"/>
      <c r="AG13" s="1">
        <v>131316592</v>
      </c>
      <c r="AH13" s="1"/>
      <c r="AI13" s="1"/>
      <c r="AJ13" s="1"/>
      <c r="AK13" s="1"/>
      <c r="AL13" s="1"/>
      <c r="AM13" s="1"/>
      <c r="AN13" s="1"/>
      <c r="AO13" s="1"/>
      <c r="AP13" s="1"/>
      <c r="AQ13" s="1">
        <v>568939</v>
      </c>
      <c r="AR13" s="1"/>
      <c r="AS13" s="1">
        <v>21580938</v>
      </c>
      <c r="AT13" s="1"/>
      <c r="AU13" s="1"/>
      <c r="AV13" s="1"/>
      <c r="AW13" s="1"/>
      <c r="AX13" s="1"/>
      <c r="AY13" s="1">
        <v>22149877</v>
      </c>
      <c r="AZ13" s="1"/>
      <c r="BA13" s="1"/>
      <c r="BB13" s="1"/>
      <c r="BC13" s="1"/>
      <c r="BD13" s="1"/>
      <c r="BE13" s="1"/>
      <c r="BF13" s="1"/>
    </row>
    <row r="14" spans="1:64" x14ac:dyDescent="0.55000000000000004">
      <c r="A14" s="367" t="s">
        <v>3</v>
      </c>
      <c r="B14" s="367" t="s">
        <v>65</v>
      </c>
      <c r="C14" s="1" t="s">
        <v>1411</v>
      </c>
      <c r="D14" s="1" t="s">
        <v>662</v>
      </c>
      <c r="E14" s="1" t="s">
        <v>1385</v>
      </c>
      <c r="F14" s="1"/>
      <c r="G14" s="1"/>
      <c r="H14" s="1"/>
      <c r="I14" s="1"/>
      <c r="J14" s="315">
        <v>3000</v>
      </c>
      <c r="K14" s="1"/>
      <c r="L14" s="1"/>
      <c r="M14" s="1"/>
      <c r="N14" s="1"/>
      <c r="O14" s="315">
        <v>400000000</v>
      </c>
      <c r="P14" s="1">
        <v>171</v>
      </c>
      <c r="Q14" s="1"/>
      <c r="R14" s="1">
        <v>420810000</v>
      </c>
      <c r="S14" s="1"/>
      <c r="T14" s="1"/>
      <c r="U14" s="1"/>
      <c r="V14" s="1"/>
      <c r="W14" s="315">
        <v>425790000</v>
      </c>
      <c r="X14" s="1"/>
      <c r="Y14" s="1">
        <v>7.4999999999999997E-2</v>
      </c>
      <c r="Z14" s="1">
        <v>30575250</v>
      </c>
      <c r="AA14" s="1">
        <v>395214750</v>
      </c>
      <c r="AB14" s="1"/>
      <c r="AC14" s="1"/>
      <c r="AD14" s="1"/>
      <c r="AE14" s="1" t="s">
        <v>1382</v>
      </c>
      <c r="AF14" s="1"/>
      <c r="AG14" s="1" t="s">
        <v>1386</v>
      </c>
      <c r="AH14" s="1"/>
      <c r="AI14" s="1"/>
      <c r="AJ14" s="1"/>
      <c r="AK14" s="1"/>
      <c r="AL14" s="1"/>
      <c r="AM14" s="1"/>
      <c r="AN14" s="1"/>
      <c r="AO14" s="1"/>
      <c r="AP14" s="1"/>
      <c r="AQ14" s="1">
        <v>11926010</v>
      </c>
      <c r="AR14" s="1"/>
      <c r="AS14" s="1">
        <v>7273157</v>
      </c>
      <c r="AT14" s="1"/>
      <c r="AU14" s="1"/>
      <c r="AV14" s="1"/>
      <c r="AW14" s="1"/>
      <c r="AX14" s="1"/>
      <c r="AY14" s="1">
        <v>19199167</v>
      </c>
      <c r="AZ14" s="1"/>
      <c r="BA14" s="1"/>
      <c r="BB14" s="1"/>
      <c r="BC14" s="1"/>
      <c r="BD14" s="1"/>
      <c r="BE14" s="1"/>
      <c r="BF14" s="1"/>
    </row>
    <row r="15" spans="1:64" x14ac:dyDescent="0.55000000000000004">
      <c r="A15" s="367" t="s">
        <v>3</v>
      </c>
      <c r="B15" s="367" t="s">
        <v>65</v>
      </c>
      <c r="C15" s="1" t="s">
        <v>1412</v>
      </c>
      <c r="D15" s="1" t="s">
        <v>662</v>
      </c>
      <c r="E15" s="1" t="s">
        <v>1391</v>
      </c>
      <c r="F15" s="1"/>
      <c r="G15" s="1"/>
      <c r="H15" s="1"/>
      <c r="I15" s="1"/>
      <c r="J15" s="315">
        <v>2200</v>
      </c>
      <c r="K15" s="1"/>
      <c r="L15" s="1"/>
      <c r="M15" s="1"/>
      <c r="N15" s="1"/>
      <c r="O15" s="315">
        <v>160000000</v>
      </c>
      <c r="P15" s="1">
        <v>77</v>
      </c>
      <c r="Q15" s="1"/>
      <c r="R15" s="1">
        <v>167540000</v>
      </c>
      <c r="S15" s="1">
        <v>4000000</v>
      </c>
      <c r="T15" s="1"/>
      <c r="U15" s="1"/>
      <c r="V15" s="1"/>
      <c r="W15" s="315">
        <v>171540000</v>
      </c>
      <c r="X15" s="1"/>
      <c r="Y15" s="1">
        <v>7.3999999999999996E-2</v>
      </c>
      <c r="Z15" s="1">
        <v>12693750</v>
      </c>
      <c r="AA15" s="1">
        <v>158846250</v>
      </c>
      <c r="AB15" s="1"/>
      <c r="AC15" s="1"/>
      <c r="AD15" s="1"/>
      <c r="AE15" s="1" t="s">
        <v>1382</v>
      </c>
      <c r="AF15" s="1"/>
      <c r="AG15" s="1">
        <v>78288774</v>
      </c>
      <c r="AH15" s="1"/>
      <c r="AI15" s="1"/>
      <c r="AJ15" s="1"/>
      <c r="AK15" s="1"/>
      <c r="AL15" s="1"/>
      <c r="AM15" s="1"/>
      <c r="AN15" s="1"/>
      <c r="AO15" s="1"/>
      <c r="AP15" s="1"/>
      <c r="AQ15" s="1">
        <v>15835394</v>
      </c>
      <c r="AR15" s="1"/>
      <c r="AS15" s="1">
        <v>12376542</v>
      </c>
      <c r="AT15" s="1"/>
      <c r="AU15" s="1"/>
      <c r="AV15" s="1"/>
      <c r="AW15" s="1"/>
      <c r="AX15" s="1"/>
      <c r="AY15" s="1">
        <v>28211936</v>
      </c>
      <c r="AZ15" s="1"/>
      <c r="BA15" s="1"/>
      <c r="BB15" s="1"/>
      <c r="BC15" s="1"/>
      <c r="BD15" s="1"/>
      <c r="BE15" s="1"/>
      <c r="BF15" s="1"/>
    </row>
    <row r="16" spans="1:64" x14ac:dyDescent="0.55000000000000004">
      <c r="A16" s="367" t="s">
        <v>3</v>
      </c>
      <c r="B16" s="367" t="s">
        <v>65</v>
      </c>
      <c r="C16" s="1" t="s">
        <v>1413</v>
      </c>
      <c r="D16" s="1" t="s">
        <v>644</v>
      </c>
      <c r="E16" s="1" t="s">
        <v>1414</v>
      </c>
      <c r="F16" s="1"/>
      <c r="G16" s="1"/>
      <c r="H16" s="1"/>
      <c r="I16" s="1"/>
      <c r="J16" s="315">
        <v>21300</v>
      </c>
      <c r="K16" s="1"/>
      <c r="L16" s="1"/>
      <c r="M16" s="1"/>
      <c r="N16" s="1"/>
      <c r="O16" s="315">
        <v>1400000000</v>
      </c>
      <c r="P16" s="1">
        <v>592</v>
      </c>
      <c r="Q16" s="1">
        <v>1476300000</v>
      </c>
      <c r="R16" s="1"/>
      <c r="S16" s="1"/>
      <c r="T16" s="1"/>
      <c r="U16" s="1"/>
      <c r="V16" s="1"/>
      <c r="W16" s="315">
        <v>1499730002</v>
      </c>
      <c r="X16" s="1"/>
      <c r="Y16" s="1">
        <v>7.3400000000000007E-2</v>
      </c>
      <c r="Z16" s="1">
        <v>110030250</v>
      </c>
      <c r="AA16" s="1">
        <v>1389699752</v>
      </c>
      <c r="AB16" s="1"/>
      <c r="AC16" s="1"/>
      <c r="AD16" s="1"/>
      <c r="AE16" s="1">
        <v>0.55000000000000004</v>
      </c>
      <c r="AF16" s="1"/>
      <c r="AG16" s="1" t="s">
        <v>1415</v>
      </c>
      <c r="AH16" s="1"/>
      <c r="AI16" s="1"/>
      <c r="AJ16" s="1"/>
      <c r="AK16" s="1"/>
      <c r="AL16" s="1"/>
      <c r="AM16" s="1"/>
      <c r="AN16" s="1"/>
      <c r="AO16" s="1"/>
      <c r="AP16" s="1"/>
      <c r="AQ16" s="1">
        <v>23072818</v>
      </c>
      <c r="AR16" s="1"/>
      <c r="AS16" s="1">
        <v>15940724</v>
      </c>
      <c r="AT16" s="1"/>
      <c r="AU16" s="1"/>
      <c r="AV16" s="1"/>
      <c r="AW16" s="1"/>
      <c r="AX16" s="1"/>
      <c r="AY16" s="1">
        <v>39013542</v>
      </c>
      <c r="AZ16" s="1"/>
      <c r="BA16" s="1"/>
      <c r="BB16" s="1"/>
      <c r="BC16" s="1"/>
      <c r="BD16" s="1"/>
      <c r="BE16" s="1"/>
      <c r="BF16" s="1"/>
    </row>
    <row r="17" spans="1:58" x14ac:dyDescent="0.55000000000000004">
      <c r="A17" s="367" t="s">
        <v>3</v>
      </c>
      <c r="B17" s="367" t="s">
        <v>65</v>
      </c>
      <c r="C17" s="1" t="s">
        <v>1416</v>
      </c>
      <c r="D17" s="1" t="s">
        <v>662</v>
      </c>
      <c r="E17" s="1" t="s">
        <v>1408</v>
      </c>
      <c r="F17" s="1"/>
      <c r="G17" s="1"/>
      <c r="H17" s="1"/>
      <c r="I17" s="1"/>
      <c r="J17" s="315">
        <v>2500</v>
      </c>
      <c r="K17" s="1"/>
      <c r="L17" s="1"/>
      <c r="M17" s="1"/>
      <c r="N17" s="1"/>
      <c r="O17" s="315">
        <v>300000000</v>
      </c>
      <c r="P17" s="1">
        <v>117</v>
      </c>
      <c r="Q17" s="1">
        <v>66520000</v>
      </c>
      <c r="R17" s="1">
        <v>249060000</v>
      </c>
      <c r="S17" s="1">
        <v>6760000</v>
      </c>
      <c r="T17" s="1"/>
      <c r="U17" s="1"/>
      <c r="V17" s="1"/>
      <c r="W17" s="315">
        <v>322340000</v>
      </c>
      <c r="X17" s="1"/>
      <c r="Y17" s="1">
        <v>7.2499999999999995E-2</v>
      </c>
      <c r="Z17" s="1">
        <v>23382000</v>
      </c>
      <c r="AA17" s="1">
        <v>298958000</v>
      </c>
      <c r="AB17" s="1"/>
      <c r="AC17" s="1"/>
      <c r="AD17" s="1"/>
      <c r="AE17" s="1" t="s">
        <v>1396</v>
      </c>
      <c r="AF17" s="1"/>
      <c r="AG17" s="1">
        <v>178203972</v>
      </c>
      <c r="AH17" s="1"/>
      <c r="AI17" s="1"/>
      <c r="AJ17" s="1"/>
      <c r="AK17" s="1"/>
      <c r="AL17" s="1"/>
      <c r="AM17" s="1"/>
      <c r="AN17" s="1"/>
      <c r="AO17" s="1"/>
      <c r="AP17" s="1"/>
      <c r="AQ17" s="1">
        <v>11619746</v>
      </c>
      <c r="AR17" s="1"/>
      <c r="AS17" s="1">
        <v>17427306</v>
      </c>
      <c r="AT17" s="1"/>
      <c r="AU17" s="1"/>
      <c r="AV17" s="1"/>
      <c r="AW17" s="1"/>
      <c r="AX17" s="1"/>
      <c r="AY17" s="1">
        <v>29047052</v>
      </c>
      <c r="AZ17" s="1"/>
      <c r="BA17" s="1"/>
      <c r="BB17" s="1"/>
      <c r="BC17" s="1"/>
      <c r="BD17" s="1"/>
      <c r="BE17" s="1"/>
      <c r="BF17" s="1"/>
    </row>
    <row r="18" spans="1:58" x14ac:dyDescent="0.55000000000000004">
      <c r="A18" s="367"/>
      <c r="B18" s="367"/>
      <c r="C18" s="1" t="s">
        <v>1417</v>
      </c>
      <c r="D18" s="1" t="s">
        <v>644</v>
      </c>
      <c r="E18" s="1" t="s">
        <v>1418</v>
      </c>
      <c r="F18" s="1"/>
      <c r="G18" s="1"/>
      <c r="H18" s="1"/>
      <c r="I18" s="1"/>
      <c r="J18" s="1"/>
      <c r="K18" s="1"/>
      <c r="L18" s="1"/>
      <c r="M18" s="1"/>
      <c r="N18" s="1"/>
      <c r="O18" s="315">
        <v>123784375</v>
      </c>
      <c r="P18" s="1">
        <v>49</v>
      </c>
      <c r="Q18" s="1"/>
      <c r="R18" s="1">
        <v>132000000</v>
      </c>
      <c r="S18" s="1"/>
      <c r="T18" s="1"/>
      <c r="U18" s="1"/>
      <c r="V18" s="1"/>
      <c r="W18" s="315">
        <v>133375000</v>
      </c>
      <c r="X18" s="1"/>
      <c r="Y18" s="1">
        <v>7.1900000000000006E-2</v>
      </c>
      <c r="Z18" s="1">
        <v>9590625</v>
      </c>
      <c r="AA18" s="1">
        <v>123784375</v>
      </c>
      <c r="AB18" s="1"/>
      <c r="AC18" s="1"/>
      <c r="AD18" s="1"/>
      <c r="AE18" s="1" t="s">
        <v>1382</v>
      </c>
      <c r="AF18" s="1"/>
      <c r="AG18" s="1">
        <v>55766775</v>
      </c>
      <c r="AH18" s="1"/>
      <c r="AI18" s="1"/>
      <c r="AJ18" s="1"/>
      <c r="AK18" s="1"/>
      <c r="AL18" s="1"/>
      <c r="AM18" s="1"/>
      <c r="AN18" s="1"/>
      <c r="AO18" s="1"/>
      <c r="AP18" s="1"/>
      <c r="AQ18" s="1">
        <v>828886</v>
      </c>
      <c r="AR18" s="1"/>
      <c r="AS18" s="1">
        <v>1591520</v>
      </c>
      <c r="AT18" s="1"/>
      <c r="AU18" s="1"/>
      <c r="AV18" s="1"/>
      <c r="AW18" s="1"/>
      <c r="AX18" s="1"/>
      <c r="AY18" s="1">
        <v>2420406</v>
      </c>
      <c r="AZ18" s="1"/>
      <c r="BA18" s="1"/>
      <c r="BB18" s="1"/>
      <c r="BC18" s="1"/>
      <c r="BD18" s="1"/>
      <c r="BE18" s="1"/>
      <c r="BF18" s="1"/>
    </row>
    <row r="19" spans="1:58" x14ac:dyDescent="0.55000000000000004">
      <c r="A19" s="367"/>
      <c r="B19" s="367"/>
      <c r="C19" s="1" t="s">
        <v>1419</v>
      </c>
      <c r="D19" s="1" t="s">
        <v>644</v>
      </c>
      <c r="E19" s="1" t="s">
        <v>1420</v>
      </c>
      <c r="F19" s="1"/>
      <c r="G19" s="1"/>
      <c r="H19" s="1"/>
      <c r="I19" s="1"/>
      <c r="J19" s="1">
        <v>4700</v>
      </c>
      <c r="K19" s="1"/>
      <c r="L19" s="1"/>
      <c r="M19" s="1"/>
      <c r="N19" s="1"/>
      <c r="O19" s="315">
        <v>298882400</v>
      </c>
      <c r="P19" s="1">
        <v>146</v>
      </c>
      <c r="Q19" s="1"/>
      <c r="R19" s="1">
        <v>286730000</v>
      </c>
      <c r="S19" s="1">
        <v>4800000</v>
      </c>
      <c r="T19" s="1"/>
      <c r="U19" s="1"/>
      <c r="V19" s="1"/>
      <c r="W19" s="315">
        <v>298882400</v>
      </c>
      <c r="X19" s="1"/>
      <c r="Y19" s="1">
        <v>7.3200000000000001E-2</v>
      </c>
      <c r="Z19" s="1">
        <v>21878430</v>
      </c>
      <c r="AA19" s="1">
        <v>277003970</v>
      </c>
      <c r="AB19" s="1"/>
      <c r="AC19" s="1"/>
      <c r="AD19" s="1"/>
      <c r="AE19" s="1" t="s">
        <v>1382</v>
      </c>
      <c r="AF19" s="1"/>
      <c r="AG19" s="1">
        <v>124771455</v>
      </c>
      <c r="AH19" s="1"/>
      <c r="AI19" s="1"/>
      <c r="AJ19" s="1"/>
      <c r="AK19" s="1"/>
      <c r="AL19" s="1"/>
      <c r="AM19" s="1"/>
      <c r="AN19" s="1"/>
      <c r="AO19" s="1"/>
      <c r="AP19" s="1"/>
      <c r="AQ19" s="1">
        <v>500109</v>
      </c>
      <c r="AR19" s="1"/>
      <c r="AS19" s="1">
        <v>26858223</v>
      </c>
      <c r="AT19" s="1"/>
      <c r="AU19" s="1"/>
      <c r="AV19" s="1"/>
      <c r="AW19" s="1"/>
      <c r="AX19" s="1"/>
      <c r="AY19" s="1">
        <v>27358332</v>
      </c>
      <c r="AZ19" s="1"/>
      <c r="BA19" s="1"/>
      <c r="BB19" s="1"/>
      <c r="BC19" s="1"/>
      <c r="BD19" s="1"/>
      <c r="BE19" s="1"/>
      <c r="BF19" s="1"/>
    </row>
    <row r="20" spans="1:58" x14ac:dyDescent="0.55000000000000004">
      <c r="A20" s="367"/>
      <c r="B20" s="367"/>
      <c r="C20" s="1" t="s">
        <v>1421</v>
      </c>
      <c r="D20" s="1" t="s">
        <v>662</v>
      </c>
      <c r="E20" s="1" t="s">
        <v>1395</v>
      </c>
      <c r="F20" s="1"/>
      <c r="G20" s="1"/>
      <c r="H20" s="1"/>
      <c r="I20" s="1"/>
      <c r="J20" s="1">
        <v>4300</v>
      </c>
      <c r="K20" s="1"/>
      <c r="L20" s="1"/>
      <c r="M20" s="1"/>
      <c r="N20" s="1"/>
      <c r="O20" s="315">
        <v>526984000</v>
      </c>
      <c r="P20" s="1">
        <v>175</v>
      </c>
      <c r="Q20" s="1">
        <v>131900000</v>
      </c>
      <c r="R20" s="1">
        <v>381900000</v>
      </c>
      <c r="S20" s="1">
        <v>13184000</v>
      </c>
      <c r="T20" s="1"/>
      <c r="U20" s="1"/>
      <c r="V20" s="1"/>
      <c r="W20" s="315">
        <v>526984000</v>
      </c>
      <c r="X20" s="1"/>
      <c r="Y20" s="1">
        <v>7.1400000000000005E-2</v>
      </c>
      <c r="Z20" s="1">
        <v>37641300</v>
      </c>
      <c r="AA20" s="1">
        <v>489342700</v>
      </c>
      <c r="AB20" s="1"/>
      <c r="AC20" s="1"/>
      <c r="AD20" s="1"/>
      <c r="AE20" s="1" t="s">
        <v>1396</v>
      </c>
      <c r="AF20" s="1"/>
      <c r="AG20" s="1">
        <v>288513330</v>
      </c>
      <c r="AH20" s="1"/>
      <c r="AI20" s="1"/>
      <c r="AJ20" s="1"/>
      <c r="AK20" s="1"/>
      <c r="AL20" s="1"/>
      <c r="AM20" s="1"/>
      <c r="AN20" s="1"/>
      <c r="AO20" s="1"/>
      <c r="AP20" s="1"/>
      <c r="AQ20" s="1">
        <v>27526595</v>
      </c>
      <c r="AR20" s="1"/>
      <c r="AS20" s="1">
        <v>39271521</v>
      </c>
      <c r="AT20" s="1"/>
      <c r="AU20" s="1"/>
      <c r="AV20" s="1"/>
      <c r="AW20" s="1"/>
      <c r="AX20" s="1"/>
      <c r="AY20" s="1">
        <v>66798116</v>
      </c>
      <c r="AZ20" s="1"/>
      <c r="BA20" s="1"/>
      <c r="BB20" s="1"/>
      <c r="BC20" s="1"/>
      <c r="BD20" s="1"/>
      <c r="BE20" s="1"/>
      <c r="BF20" s="1"/>
    </row>
    <row r="21" spans="1:58" x14ac:dyDescent="0.55000000000000004">
      <c r="A21" s="367"/>
      <c r="B21" s="367"/>
      <c r="C21" s="1" t="s">
        <v>1422</v>
      </c>
      <c r="D21" s="1" t="s">
        <v>662</v>
      </c>
      <c r="E21" s="1" t="s">
        <v>1423</v>
      </c>
      <c r="F21" s="1"/>
      <c r="G21" s="1"/>
      <c r="H21" s="1"/>
      <c r="I21" s="1"/>
      <c r="J21" s="1">
        <v>1800</v>
      </c>
      <c r="K21" s="1"/>
      <c r="L21" s="1"/>
      <c r="M21" s="1"/>
      <c r="N21" s="1"/>
      <c r="O21" s="315">
        <v>231744600</v>
      </c>
      <c r="P21" s="1">
        <v>103</v>
      </c>
      <c r="Q21" s="1">
        <v>64560000</v>
      </c>
      <c r="R21" s="1">
        <v>162060000</v>
      </c>
      <c r="S21" s="1">
        <v>5124600</v>
      </c>
      <c r="T21" s="1"/>
      <c r="U21" s="1"/>
      <c r="V21" s="1"/>
      <c r="W21" s="315">
        <v>231744600</v>
      </c>
      <c r="X21" s="1"/>
      <c r="Y21" s="1">
        <v>6.8500000000000005E-2</v>
      </c>
      <c r="Z21" s="1">
        <v>15873345</v>
      </c>
      <c r="AA21" s="1">
        <v>215871255</v>
      </c>
      <c r="AB21" s="1"/>
      <c r="AC21" s="1"/>
      <c r="AD21" s="1"/>
      <c r="AE21" s="1" t="s">
        <v>1382</v>
      </c>
      <c r="AF21" s="1"/>
      <c r="AG21" s="1">
        <v>104234758</v>
      </c>
      <c r="AH21" s="1"/>
      <c r="AI21" s="1"/>
      <c r="AJ21" s="1"/>
      <c r="AK21" s="1"/>
      <c r="AL21" s="1"/>
      <c r="AM21" s="1"/>
      <c r="AN21" s="1"/>
      <c r="AO21" s="1"/>
      <c r="AP21" s="1"/>
      <c r="AQ21" s="1">
        <v>19691340</v>
      </c>
      <c r="AR21" s="1"/>
      <c r="AS21" s="1">
        <v>17689540</v>
      </c>
      <c r="AT21" s="1"/>
      <c r="AU21" s="1"/>
      <c r="AV21" s="1"/>
      <c r="AW21" s="1"/>
      <c r="AX21" s="1"/>
      <c r="AY21" s="1">
        <v>37380880</v>
      </c>
      <c r="AZ21" s="1"/>
      <c r="BA21" s="1"/>
      <c r="BB21" s="1"/>
      <c r="BC21" s="1"/>
      <c r="BD21" s="1"/>
      <c r="BE21" s="1"/>
      <c r="BF21" s="1"/>
    </row>
    <row r="22" spans="1:58" x14ac:dyDescent="0.55000000000000004">
      <c r="A22" s="367"/>
      <c r="B22" s="367"/>
      <c r="C22" s="1" t="s">
        <v>1424</v>
      </c>
      <c r="D22" s="1" t="s">
        <v>644</v>
      </c>
      <c r="E22" s="1" t="s">
        <v>1425</v>
      </c>
      <c r="F22" s="1"/>
      <c r="G22" s="1"/>
      <c r="H22" s="1"/>
      <c r="I22" s="1"/>
      <c r="J22" s="1">
        <v>3000</v>
      </c>
      <c r="K22" s="1"/>
      <c r="L22" s="1"/>
      <c r="M22" s="1"/>
      <c r="N22" s="1"/>
      <c r="O22" s="315">
        <v>250000000</v>
      </c>
      <c r="P22" s="1">
        <v>99</v>
      </c>
      <c r="Q22" s="1">
        <v>52010000</v>
      </c>
      <c r="R22" s="1">
        <v>200640000</v>
      </c>
      <c r="S22" s="1">
        <v>17200000</v>
      </c>
      <c r="T22" s="1"/>
      <c r="U22" s="1"/>
      <c r="V22" s="1"/>
      <c r="W22" s="315">
        <v>273350400</v>
      </c>
      <c r="X22" s="1"/>
      <c r="Y22" s="1">
        <v>7.0099999999999996E-2</v>
      </c>
      <c r="Z22" s="1">
        <v>19155030</v>
      </c>
      <c r="AA22" s="1">
        <v>254195370</v>
      </c>
      <c r="AB22" s="1"/>
      <c r="AC22" s="1"/>
      <c r="AD22" s="1"/>
      <c r="AE22" s="1" t="s">
        <v>1396</v>
      </c>
      <c r="AF22" s="1"/>
      <c r="AG22" s="1">
        <v>152191671</v>
      </c>
      <c r="AH22" s="1"/>
      <c r="AI22" s="1"/>
      <c r="AJ22" s="1"/>
      <c r="AK22" s="1"/>
      <c r="AL22" s="1"/>
      <c r="AM22" s="1"/>
      <c r="AN22" s="1"/>
      <c r="AO22" s="1"/>
      <c r="AP22" s="1"/>
      <c r="AQ22" s="1">
        <v>25542439</v>
      </c>
      <c r="AR22" s="1"/>
      <c r="AS22" s="1">
        <v>27349726</v>
      </c>
      <c r="AT22" s="1"/>
      <c r="AU22" s="1"/>
      <c r="AV22" s="1"/>
      <c r="AW22" s="1"/>
      <c r="AX22" s="1"/>
      <c r="AY22" s="1">
        <v>52892165</v>
      </c>
      <c r="AZ22" s="1"/>
      <c r="BA22" s="1"/>
      <c r="BB22" s="1"/>
      <c r="BC22" s="1"/>
      <c r="BD22" s="1"/>
      <c r="BE22" s="1"/>
      <c r="BF22" s="1"/>
    </row>
    <row r="23" spans="1:58" x14ac:dyDescent="0.55000000000000004">
      <c r="A23" s="367"/>
      <c r="B23" s="367"/>
      <c r="C23" s="1" t="s">
        <v>1426</v>
      </c>
      <c r="D23" s="1" t="s">
        <v>680</v>
      </c>
      <c r="E23" s="1" t="s">
        <v>1395</v>
      </c>
      <c r="F23" s="1"/>
      <c r="G23" s="1"/>
      <c r="H23" s="1"/>
      <c r="I23" s="1"/>
      <c r="J23" s="1">
        <v>4800</v>
      </c>
      <c r="K23" s="1"/>
      <c r="L23" s="1"/>
      <c r="M23" s="1">
        <v>1512</v>
      </c>
      <c r="N23" s="1"/>
      <c r="O23" s="315">
        <v>590000000</v>
      </c>
      <c r="P23" s="1">
        <v>193</v>
      </c>
      <c r="Q23" s="1">
        <v>464400000</v>
      </c>
      <c r="R23" s="1">
        <v>149190000</v>
      </c>
      <c r="S23" s="1">
        <v>5080000</v>
      </c>
      <c r="T23" s="1"/>
      <c r="U23" s="1"/>
      <c r="V23" s="1"/>
      <c r="W23" s="315">
        <v>618670000</v>
      </c>
      <c r="X23" s="1"/>
      <c r="Y23" s="1">
        <v>7.1999999999999995E-2</v>
      </c>
      <c r="Z23" s="1">
        <v>44539500</v>
      </c>
      <c r="AA23" s="1">
        <v>574130500</v>
      </c>
      <c r="AB23" s="1"/>
      <c r="AC23" s="1"/>
      <c r="AD23" s="1"/>
      <c r="AE23" s="1" t="s">
        <v>1396</v>
      </c>
      <c r="AF23" s="1"/>
      <c r="AG23" s="1">
        <v>371202000</v>
      </c>
      <c r="AH23" s="1"/>
      <c r="AI23" s="1"/>
      <c r="AJ23" s="1"/>
      <c r="AK23" s="1"/>
      <c r="AL23" s="1"/>
      <c r="AM23" s="1"/>
      <c r="AN23" s="1"/>
      <c r="AO23" s="1"/>
      <c r="AP23" s="1"/>
      <c r="AQ23" s="1">
        <v>20054001</v>
      </c>
      <c r="AR23" s="1"/>
      <c r="AS23" s="1">
        <v>35954918</v>
      </c>
      <c r="AT23" s="1"/>
      <c r="AU23" s="1"/>
      <c r="AV23" s="1"/>
      <c r="AW23" s="1"/>
      <c r="AX23" s="1"/>
      <c r="AY23" s="1">
        <v>56008919</v>
      </c>
      <c r="AZ23" s="1"/>
      <c r="BA23" s="1"/>
      <c r="BB23" s="1"/>
      <c r="BC23" s="1"/>
      <c r="BD23" s="1"/>
      <c r="BE23" s="1"/>
      <c r="BF23" s="1"/>
    </row>
    <row r="24" spans="1:58" x14ac:dyDescent="0.55000000000000004">
      <c r="A24" s="367"/>
      <c r="B24" s="367"/>
      <c r="C24" s="1" t="s">
        <v>1427</v>
      </c>
      <c r="D24" s="1" t="s">
        <v>662</v>
      </c>
      <c r="E24" s="1" t="s">
        <v>1399</v>
      </c>
      <c r="F24" s="1"/>
      <c r="G24" s="1"/>
      <c r="H24" s="1"/>
      <c r="I24" s="1"/>
      <c r="J24" s="1">
        <v>3200</v>
      </c>
      <c r="K24" s="1"/>
      <c r="L24" s="1"/>
      <c r="M24" s="1">
        <v>820</v>
      </c>
      <c r="N24" s="1"/>
      <c r="O24" s="315">
        <v>82010000</v>
      </c>
      <c r="P24" s="1">
        <v>33</v>
      </c>
      <c r="Q24" s="1">
        <v>81450000</v>
      </c>
      <c r="R24" s="1"/>
      <c r="S24" s="1">
        <v>560000</v>
      </c>
      <c r="T24" s="1"/>
      <c r="U24" s="1"/>
      <c r="V24" s="1"/>
      <c r="W24" s="315">
        <v>82010000</v>
      </c>
      <c r="X24" s="1"/>
      <c r="Y24" s="1">
        <v>7.4999999999999997E-2</v>
      </c>
      <c r="Z24" s="1">
        <v>6150750</v>
      </c>
      <c r="AA24" s="1">
        <v>75859250</v>
      </c>
      <c r="AB24" s="1"/>
      <c r="AC24" s="1"/>
      <c r="AD24" s="1"/>
      <c r="AE24" s="1" t="s">
        <v>1382</v>
      </c>
      <c r="AF24" s="1"/>
      <c r="AG24" s="1">
        <v>41461090</v>
      </c>
      <c r="AH24" s="1"/>
      <c r="AI24" s="1"/>
      <c r="AJ24" s="1"/>
      <c r="AK24" s="1"/>
      <c r="AL24" s="1"/>
      <c r="AM24" s="1"/>
      <c r="AN24" s="1"/>
      <c r="AO24" s="1"/>
      <c r="AP24" s="1"/>
      <c r="AQ24" s="1">
        <v>5829491</v>
      </c>
      <c r="AR24" s="1"/>
      <c r="AS24" s="1">
        <v>21467293</v>
      </c>
      <c r="AT24" s="1"/>
      <c r="AU24" s="1"/>
      <c r="AV24" s="1"/>
      <c r="AW24" s="1"/>
      <c r="AX24" s="1"/>
      <c r="AY24" s="1">
        <v>27296784</v>
      </c>
      <c r="AZ24" s="1"/>
      <c r="BA24" s="1"/>
      <c r="BB24" s="1"/>
      <c r="BC24" s="1"/>
      <c r="BD24" s="1"/>
      <c r="BE24" s="1"/>
      <c r="BF24" s="1"/>
    </row>
    <row r="25" spans="1:58" x14ac:dyDescent="0.55000000000000004">
      <c r="A25" s="367"/>
      <c r="B25" s="367"/>
      <c r="C25" s="1" t="s">
        <v>1428</v>
      </c>
      <c r="D25" s="1" t="s">
        <v>662</v>
      </c>
      <c r="E25" s="1" t="s">
        <v>1414</v>
      </c>
      <c r="F25" s="1"/>
      <c r="G25" s="1"/>
      <c r="H25" s="1"/>
      <c r="I25" s="1"/>
      <c r="J25" s="1">
        <v>5000</v>
      </c>
      <c r="K25" s="1"/>
      <c r="L25" s="1"/>
      <c r="M25" s="1">
        <v>1821</v>
      </c>
      <c r="N25" s="1"/>
      <c r="O25" s="315">
        <v>108810000</v>
      </c>
      <c r="P25" s="1">
        <v>41</v>
      </c>
      <c r="Q25" s="1">
        <v>108810000</v>
      </c>
      <c r="R25" s="1"/>
      <c r="S25" s="1"/>
      <c r="T25" s="1"/>
      <c r="U25" s="1"/>
      <c r="V25" s="1"/>
      <c r="W25" s="315">
        <v>108810000</v>
      </c>
      <c r="X25" s="1"/>
      <c r="Y25" s="1">
        <v>7.3099999999999998E-2</v>
      </c>
      <c r="Z25" s="1">
        <v>7972425</v>
      </c>
      <c r="AA25" s="1">
        <v>101116575</v>
      </c>
      <c r="AB25" s="1"/>
      <c r="AC25" s="1"/>
      <c r="AD25" s="1"/>
      <c r="AE25" s="1" t="s">
        <v>1382</v>
      </c>
      <c r="AF25" s="1"/>
      <c r="AG25" s="1">
        <v>65286000</v>
      </c>
      <c r="AH25" s="1"/>
      <c r="AI25" s="1"/>
      <c r="AJ25" s="1"/>
      <c r="AK25" s="1"/>
      <c r="AL25" s="1"/>
      <c r="AM25" s="1"/>
      <c r="AN25" s="1"/>
      <c r="AO25" s="1"/>
      <c r="AP25" s="1"/>
      <c r="AQ25" s="1">
        <v>7179102</v>
      </c>
      <c r="AR25" s="1"/>
      <c r="AS25" s="1">
        <v>20689322</v>
      </c>
      <c r="AT25" s="1"/>
      <c r="AU25" s="1"/>
      <c r="AV25" s="1"/>
      <c r="AW25" s="1"/>
      <c r="AX25" s="1"/>
      <c r="AY25" s="1">
        <v>27868424</v>
      </c>
      <c r="AZ25" s="1"/>
      <c r="BA25" s="1"/>
      <c r="BB25" s="1"/>
      <c r="BC25" s="1"/>
      <c r="BD25" s="1"/>
      <c r="BE25" s="1"/>
      <c r="BF25" s="1"/>
    </row>
    <row r="26" spans="1:58" x14ac:dyDescent="0.55000000000000004">
      <c r="A26" s="367"/>
      <c r="B26" s="367"/>
      <c r="C26" s="1" t="s">
        <v>1429</v>
      </c>
      <c r="D26" s="1" t="s">
        <v>662</v>
      </c>
      <c r="E26" s="1" t="s">
        <v>1410</v>
      </c>
      <c r="F26" s="1"/>
      <c r="G26" s="1"/>
      <c r="H26" s="1"/>
      <c r="I26" s="1"/>
      <c r="J26" s="1">
        <v>4300</v>
      </c>
      <c r="K26" s="1"/>
      <c r="L26" s="1"/>
      <c r="M26" s="1">
        <v>1299</v>
      </c>
      <c r="N26" s="1"/>
      <c r="O26" s="315">
        <v>469502334</v>
      </c>
      <c r="P26" s="1">
        <v>200</v>
      </c>
      <c r="Q26" s="1">
        <v>378170000</v>
      </c>
      <c r="R26" s="1">
        <v>86610000</v>
      </c>
      <c r="S26" s="1">
        <v>4722334</v>
      </c>
      <c r="T26" s="1"/>
      <c r="U26" s="1"/>
      <c r="V26" s="1"/>
      <c r="W26" s="315">
        <v>469502334</v>
      </c>
      <c r="X26" s="1"/>
      <c r="Y26" s="1">
        <v>6.9400000000000003E-2</v>
      </c>
      <c r="Z26" s="1">
        <v>32604175</v>
      </c>
      <c r="AA26" s="1">
        <v>436898159</v>
      </c>
      <c r="AB26" s="1"/>
      <c r="AC26" s="1"/>
      <c r="AD26" s="1"/>
      <c r="AE26" s="1" t="s">
        <v>1382</v>
      </c>
      <c r="AF26" s="1"/>
      <c r="AG26" s="1">
        <v>234751167</v>
      </c>
      <c r="AH26" s="1"/>
      <c r="AI26" s="1"/>
      <c r="AJ26" s="1"/>
      <c r="AK26" s="1"/>
      <c r="AL26" s="1"/>
      <c r="AM26" s="1"/>
      <c r="AN26" s="1"/>
      <c r="AO26" s="1"/>
      <c r="AP26" s="1"/>
      <c r="AQ26" s="1">
        <v>10676955</v>
      </c>
      <c r="AR26" s="1"/>
      <c r="AS26" s="1">
        <v>14682606</v>
      </c>
      <c r="AT26" s="1"/>
      <c r="AU26" s="1"/>
      <c r="AV26" s="1"/>
      <c r="AW26" s="1"/>
      <c r="AX26" s="1"/>
      <c r="AY26" s="1">
        <v>25359561</v>
      </c>
      <c r="AZ26" s="1"/>
      <c r="BA26" s="1"/>
      <c r="BB26" s="1"/>
      <c r="BC26" s="1"/>
      <c r="BD26" s="1"/>
      <c r="BE26" s="1"/>
      <c r="BF26" s="1"/>
    </row>
    <row r="27" spans="1:58" x14ac:dyDescent="0.55000000000000004">
      <c r="A27" s="367"/>
      <c r="B27" s="367"/>
      <c r="C27" s="1" t="s">
        <v>1430</v>
      </c>
      <c r="D27" s="1" t="s">
        <v>680</v>
      </c>
      <c r="E27" s="1" t="s">
        <v>1381</v>
      </c>
      <c r="F27" s="1"/>
      <c r="G27" s="1"/>
      <c r="H27" s="1"/>
      <c r="I27" s="1"/>
      <c r="J27" s="1">
        <v>5500</v>
      </c>
      <c r="K27" s="1"/>
      <c r="L27" s="1"/>
      <c r="M27" s="1">
        <v>1345</v>
      </c>
      <c r="N27" s="1"/>
      <c r="O27" s="315">
        <v>400000000</v>
      </c>
      <c r="P27" s="1">
        <v>163</v>
      </c>
      <c r="Q27" s="1">
        <v>417930000</v>
      </c>
      <c r="R27" s="1"/>
      <c r="S27" s="1"/>
      <c r="T27" s="1"/>
      <c r="U27" s="1"/>
      <c r="V27" s="1"/>
      <c r="W27" s="315">
        <v>417930000</v>
      </c>
      <c r="X27" s="1"/>
      <c r="Y27" s="1">
        <v>7.2599999999999998E-2</v>
      </c>
      <c r="Z27" s="1">
        <v>30336000</v>
      </c>
      <c r="AA27" s="1">
        <v>387594000</v>
      </c>
      <c r="AB27" s="1"/>
      <c r="AC27" s="1"/>
      <c r="AD27" s="1"/>
      <c r="AE27" s="1" t="s">
        <v>1382</v>
      </c>
      <c r="AF27" s="1"/>
      <c r="AG27" s="1">
        <v>180649056</v>
      </c>
      <c r="AH27" s="1"/>
      <c r="AI27" s="1"/>
      <c r="AJ27" s="1"/>
      <c r="AK27" s="1"/>
      <c r="AL27" s="1"/>
      <c r="AM27" s="1"/>
      <c r="AN27" s="1"/>
      <c r="AO27" s="1"/>
      <c r="AP27" s="1"/>
      <c r="AQ27" s="1">
        <v>13538287</v>
      </c>
      <c r="AR27" s="1"/>
      <c r="AS27" s="1">
        <v>13271388</v>
      </c>
      <c r="AT27" s="1"/>
      <c r="AU27" s="1"/>
      <c r="AV27" s="1"/>
      <c r="AW27" s="1"/>
      <c r="AX27" s="1"/>
      <c r="AY27" s="1">
        <v>26809675</v>
      </c>
      <c r="AZ27" s="1"/>
      <c r="BA27" s="1"/>
      <c r="BB27" s="1"/>
      <c r="BC27" s="1"/>
      <c r="BD27" s="1"/>
      <c r="BE27" s="1"/>
      <c r="BF27" s="1"/>
    </row>
    <row r="28" spans="1:58" x14ac:dyDescent="0.55000000000000004">
      <c r="A28" s="367"/>
      <c r="B28" s="367"/>
      <c r="C28" s="1" t="s">
        <v>785</v>
      </c>
      <c r="D28" s="1" t="s">
        <v>644</v>
      </c>
      <c r="E28" s="1" t="s">
        <v>1431</v>
      </c>
      <c r="F28" s="1"/>
      <c r="G28" s="1"/>
      <c r="H28" s="1"/>
      <c r="I28" s="1"/>
      <c r="J28" s="1">
        <v>1700</v>
      </c>
      <c r="K28" s="1"/>
      <c r="L28" s="1"/>
      <c r="M28" s="1">
        <v>358</v>
      </c>
      <c r="N28" s="1"/>
      <c r="O28" s="315">
        <v>400000000</v>
      </c>
      <c r="P28" s="1">
        <v>21</v>
      </c>
      <c r="Q28" s="1">
        <v>24450000</v>
      </c>
      <c r="R28" s="1"/>
      <c r="S28" s="1"/>
      <c r="T28" s="1"/>
      <c r="U28" s="1"/>
      <c r="V28" s="1"/>
      <c r="W28" s="315">
        <v>24450000</v>
      </c>
      <c r="X28" s="1"/>
      <c r="Y28" s="1">
        <v>7.4999999999999997E-2</v>
      </c>
      <c r="Z28" s="1">
        <v>1833750</v>
      </c>
      <c r="AA28" s="1">
        <v>22616250</v>
      </c>
      <c r="AB28" s="1"/>
      <c r="AC28" s="1"/>
      <c r="AD28" s="1"/>
      <c r="AE28" s="1" t="s">
        <v>1382</v>
      </c>
      <c r="AF28" s="1"/>
      <c r="AG28" s="1">
        <v>12225000</v>
      </c>
      <c r="AH28" s="1"/>
      <c r="AI28" s="1"/>
      <c r="AJ28" s="1"/>
      <c r="AK28" s="1"/>
      <c r="AL28" s="1"/>
      <c r="AM28" s="1"/>
      <c r="AN28" s="1"/>
      <c r="AO28" s="1"/>
      <c r="AP28" s="1"/>
      <c r="AQ28" s="1">
        <v>7438326</v>
      </c>
      <c r="AR28" s="1"/>
      <c r="AS28" s="1">
        <v>6674818</v>
      </c>
      <c r="AT28" s="1"/>
      <c r="AU28" s="1"/>
      <c r="AV28" s="1"/>
      <c r="AW28" s="1"/>
      <c r="AX28" s="1"/>
      <c r="AY28" s="1">
        <v>14113144</v>
      </c>
      <c r="AZ28" s="1"/>
      <c r="BA28" s="1"/>
      <c r="BB28" s="1"/>
      <c r="BC28" s="1"/>
      <c r="BD28" s="1"/>
      <c r="BE28" s="1"/>
      <c r="BF28" s="1"/>
    </row>
    <row r="29" spans="1:58" x14ac:dyDescent="0.55000000000000004">
      <c r="A29" s="367"/>
      <c r="B29" s="367"/>
      <c r="C29" s="1" t="s">
        <v>1432</v>
      </c>
      <c r="D29" s="1" t="s">
        <v>662</v>
      </c>
      <c r="E29" s="1" t="s">
        <v>1420</v>
      </c>
      <c r="F29" s="1"/>
      <c r="G29" s="1"/>
      <c r="H29" s="1"/>
      <c r="I29" s="1"/>
      <c r="J29" s="1">
        <v>7000</v>
      </c>
      <c r="K29" s="1"/>
      <c r="L29" s="1"/>
      <c r="M29" s="1">
        <v>2703</v>
      </c>
      <c r="N29" s="1"/>
      <c r="O29" s="315">
        <v>219000000</v>
      </c>
      <c r="P29" s="1">
        <v>93</v>
      </c>
      <c r="Q29" s="1"/>
      <c r="R29" s="1"/>
      <c r="S29" s="1"/>
      <c r="T29" s="1"/>
      <c r="U29" s="1"/>
      <c r="V29" s="1"/>
      <c r="W29" s="315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>
        <v>20497936</v>
      </c>
      <c r="AR29" s="1"/>
      <c r="AS29" s="1">
        <v>22738095</v>
      </c>
      <c r="AT29" s="1"/>
      <c r="AU29" s="1"/>
      <c r="AV29" s="1"/>
      <c r="AW29" s="1"/>
      <c r="AX29" s="1"/>
      <c r="AY29" s="1">
        <v>43236031</v>
      </c>
      <c r="AZ29" s="1"/>
      <c r="BA29" s="1"/>
      <c r="BB29" s="1"/>
      <c r="BC29" s="1"/>
      <c r="BD29" s="1"/>
      <c r="BE29" s="1"/>
      <c r="BF29" s="1"/>
    </row>
    <row r="30" spans="1:58" x14ac:dyDescent="0.55000000000000004">
      <c r="A30" s="367"/>
      <c r="B30" s="367"/>
      <c r="C30" s="1" t="s">
        <v>1433</v>
      </c>
      <c r="D30" s="1" t="s">
        <v>644</v>
      </c>
      <c r="E30" s="1" t="s">
        <v>1434</v>
      </c>
      <c r="F30" s="1"/>
      <c r="G30" s="1"/>
      <c r="H30" s="1"/>
      <c r="I30" s="1"/>
      <c r="J30" s="1">
        <v>2600</v>
      </c>
      <c r="K30" s="1"/>
      <c r="L30" s="1"/>
      <c r="M30" s="1">
        <v>748</v>
      </c>
      <c r="N30" s="1"/>
      <c r="O30" s="315">
        <v>96990000</v>
      </c>
      <c r="P30" s="1">
        <v>52</v>
      </c>
      <c r="Q30" s="1">
        <v>96990000</v>
      </c>
      <c r="R30" s="1"/>
      <c r="S30" s="1"/>
      <c r="T30" s="1"/>
      <c r="U30" s="1"/>
      <c r="V30" s="1"/>
      <c r="W30" s="315">
        <v>96990000</v>
      </c>
      <c r="X30" s="1"/>
      <c r="Y30" s="1">
        <v>5.11E-2</v>
      </c>
      <c r="Z30" s="1">
        <v>4954500</v>
      </c>
      <c r="AA30" s="1">
        <v>92035500</v>
      </c>
      <c r="AB30" s="1"/>
      <c r="AC30" s="1"/>
      <c r="AD30" s="1"/>
      <c r="AE30" s="1">
        <v>0.3</v>
      </c>
      <c r="AF30" s="1"/>
      <c r="AG30" s="1">
        <v>26333298</v>
      </c>
      <c r="AH30" s="1"/>
      <c r="AI30" s="1"/>
      <c r="AJ30" s="1"/>
      <c r="AK30" s="1"/>
      <c r="AL30" s="1"/>
      <c r="AM30" s="1"/>
      <c r="AN30" s="1"/>
      <c r="AO30" s="1"/>
      <c r="AP30" s="1"/>
      <c r="AQ30" s="1">
        <v>10484933</v>
      </c>
      <c r="AR30" s="1"/>
      <c r="AS30" s="1">
        <v>7897448</v>
      </c>
      <c r="AT30" s="1"/>
      <c r="AU30" s="1"/>
      <c r="AV30" s="1"/>
      <c r="AW30" s="1"/>
      <c r="AX30" s="1"/>
      <c r="AY30" s="1">
        <v>18382381</v>
      </c>
      <c r="AZ30" s="1"/>
      <c r="BA30" s="1"/>
      <c r="BB30" s="1"/>
      <c r="BC30" s="1"/>
      <c r="BD30" s="1"/>
      <c r="BE30" s="1"/>
      <c r="BF30" s="1"/>
    </row>
    <row r="31" spans="1:58" x14ac:dyDescent="0.55000000000000004">
      <c r="A31" s="367"/>
      <c r="B31" s="367"/>
      <c r="C31" s="1" t="s">
        <v>1435</v>
      </c>
      <c r="D31" s="1" t="s">
        <v>680</v>
      </c>
      <c r="E31" s="1" t="s">
        <v>1393</v>
      </c>
      <c r="F31" s="1"/>
      <c r="G31" s="1"/>
      <c r="H31" s="1"/>
      <c r="I31" s="1"/>
      <c r="J31" s="1">
        <v>2600</v>
      </c>
      <c r="K31" s="1"/>
      <c r="L31" s="1"/>
      <c r="M31" s="1"/>
      <c r="N31" s="1"/>
      <c r="O31" s="315">
        <v>150000000</v>
      </c>
      <c r="P31" s="1">
        <v>69</v>
      </c>
      <c r="Q31" s="1">
        <v>121040000</v>
      </c>
      <c r="R31" s="1">
        <v>34770000</v>
      </c>
      <c r="S31" s="1"/>
      <c r="T31" s="1"/>
      <c r="U31" s="1"/>
      <c r="V31" s="1"/>
      <c r="W31" s="315">
        <v>155810000</v>
      </c>
      <c r="X31" s="1"/>
      <c r="Y31" s="1">
        <v>5.6399999999999999E-2</v>
      </c>
      <c r="Z31" s="1">
        <v>8789250</v>
      </c>
      <c r="AA31" s="1">
        <v>147020750</v>
      </c>
      <c r="AB31" s="1"/>
      <c r="AC31" s="1"/>
      <c r="AD31" s="1"/>
      <c r="AE31" s="1" t="s">
        <v>1382</v>
      </c>
      <c r="AF31" s="1"/>
      <c r="AG31" s="1">
        <v>70682436</v>
      </c>
      <c r="AH31" s="1"/>
      <c r="AI31" s="1"/>
      <c r="AJ31" s="1"/>
      <c r="AK31" s="1"/>
      <c r="AL31" s="1"/>
      <c r="AM31" s="1"/>
      <c r="AN31" s="1"/>
      <c r="AO31" s="1"/>
      <c r="AP31" s="1"/>
      <c r="AQ31" s="1">
        <v>7348941</v>
      </c>
      <c r="AR31" s="1"/>
      <c r="AS31" s="1">
        <v>6353549</v>
      </c>
      <c r="AT31" s="1"/>
      <c r="AU31" s="1"/>
      <c r="AV31" s="1"/>
      <c r="AW31" s="1"/>
      <c r="AX31" s="1"/>
      <c r="AY31" s="1">
        <v>13702490</v>
      </c>
      <c r="AZ31" s="1"/>
      <c r="BA31" s="1"/>
      <c r="BB31" s="1"/>
      <c r="BC31" s="1"/>
      <c r="BD31" s="1"/>
      <c r="BE31" s="1"/>
      <c r="BF31" s="1"/>
    </row>
    <row r="32" spans="1:58" x14ac:dyDescent="0.55000000000000004">
      <c r="A32" s="367"/>
      <c r="B32" s="367"/>
      <c r="C32" s="1" t="s">
        <v>1436</v>
      </c>
      <c r="D32" s="1" t="s">
        <v>644</v>
      </c>
      <c r="E32" s="1"/>
      <c r="F32" s="1"/>
      <c r="G32" s="1"/>
      <c r="H32" s="1"/>
      <c r="I32" s="1"/>
      <c r="J32" s="1">
        <v>1600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>
        <v>7348941</v>
      </c>
      <c r="AR32" s="1"/>
      <c r="AS32" s="1">
        <v>6654099</v>
      </c>
      <c r="AT32" s="1"/>
      <c r="AU32" s="1"/>
      <c r="AV32" s="1"/>
      <c r="AW32" s="1"/>
      <c r="AX32" s="1"/>
      <c r="AY32" s="1">
        <v>14003040</v>
      </c>
      <c r="AZ32" s="1"/>
      <c r="BA32" s="1"/>
      <c r="BB32" s="1"/>
      <c r="BC32" s="1"/>
      <c r="BD32" s="1"/>
      <c r="BE32" s="1"/>
      <c r="BF32" s="1"/>
    </row>
    <row r="33" spans="1:58" x14ac:dyDescent="0.55000000000000004">
      <c r="A33" s="367"/>
      <c r="B33" s="367"/>
      <c r="C33" s="1" t="s">
        <v>1437</v>
      </c>
      <c r="D33" s="1" t="s">
        <v>644</v>
      </c>
      <c r="E33" s="1"/>
      <c r="F33" s="1"/>
      <c r="G33" s="1"/>
      <c r="H33" s="1"/>
      <c r="I33" s="1"/>
      <c r="J33" s="1">
        <v>2200</v>
      </c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>
        <v>6573422</v>
      </c>
      <c r="AR33" s="1"/>
      <c r="AS33" s="1">
        <v>6586055</v>
      </c>
      <c r="AT33" s="1"/>
      <c r="AU33" s="1"/>
      <c r="AV33" s="1"/>
      <c r="AW33" s="1"/>
      <c r="AX33" s="1"/>
      <c r="AY33" s="1">
        <v>13159477</v>
      </c>
      <c r="AZ33" s="1"/>
      <c r="BA33" s="1"/>
      <c r="BB33" s="1"/>
      <c r="BC33" s="1"/>
      <c r="BD33" s="1"/>
      <c r="BE33" s="1"/>
      <c r="BF33" s="1"/>
    </row>
    <row r="34" spans="1:58" x14ac:dyDescent="0.55000000000000004">
      <c r="A34" s="367"/>
      <c r="B34" s="367"/>
      <c r="C34" s="1" t="s">
        <v>1438</v>
      </c>
      <c r="D34" s="1" t="s">
        <v>644</v>
      </c>
      <c r="E34" s="1"/>
      <c r="F34" s="1"/>
      <c r="G34" s="1"/>
      <c r="H34" s="1"/>
      <c r="I34" s="1"/>
      <c r="J34" s="1">
        <v>3500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>
        <v>10406729</v>
      </c>
      <c r="AR34" s="1"/>
      <c r="AS34" s="1">
        <v>13635656</v>
      </c>
      <c r="AT34" s="1"/>
      <c r="AU34" s="1"/>
      <c r="AV34" s="1"/>
      <c r="AW34" s="1"/>
      <c r="AX34" s="1"/>
      <c r="AY34" s="1">
        <v>24042385</v>
      </c>
      <c r="AZ34" s="1"/>
      <c r="BA34" s="1"/>
      <c r="BB34" s="1"/>
      <c r="BC34" s="1"/>
      <c r="BD34" s="1"/>
      <c r="BE34" s="1"/>
      <c r="BF34" s="1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22DD8-3B6F-41E5-85BA-6D52F16E085B}">
  <dimension ref="A1:V85"/>
  <sheetViews>
    <sheetView workbookViewId="0"/>
  </sheetViews>
  <sheetFormatPr defaultRowHeight="17.600000000000001" x14ac:dyDescent="0.55000000000000004"/>
  <cols>
    <col min="7" max="7" width="12.7109375" bestFit="1" customWidth="1"/>
    <col min="8" max="8" width="11.640625" bestFit="1" customWidth="1"/>
    <col min="9" max="9" width="12.7109375" bestFit="1" customWidth="1"/>
    <col min="10" max="10" width="21.35546875" customWidth="1"/>
    <col min="11" max="11" width="16.7109375" bestFit="1" customWidth="1"/>
    <col min="12" max="12" width="20.5" bestFit="1" customWidth="1"/>
    <col min="13" max="13" width="16.85546875" bestFit="1" customWidth="1"/>
    <col min="14" max="14" width="12.7109375" bestFit="1" customWidth="1"/>
    <col min="15" max="15" width="2.5" customWidth="1"/>
    <col min="16" max="16" width="12.85546875" bestFit="1" customWidth="1"/>
    <col min="18" max="19" width="12.85546875" bestFit="1" customWidth="1"/>
    <col min="20" max="20" width="9.2109375" bestFit="1" customWidth="1"/>
  </cols>
  <sheetData>
    <row r="1" spans="1:14" x14ac:dyDescent="0.5">
      <c r="A1" s="305"/>
      <c r="B1" s="305"/>
      <c r="C1" s="305"/>
      <c r="D1" s="305"/>
      <c r="E1" s="305"/>
      <c r="F1" s="305"/>
      <c r="G1" s="305"/>
      <c r="H1" s="306" t="s">
        <v>1160</v>
      </c>
      <c r="I1" s="305"/>
      <c r="J1" s="305"/>
      <c r="K1" s="305"/>
      <c r="L1" s="305"/>
      <c r="M1" s="305"/>
      <c r="N1" s="305"/>
    </row>
    <row r="2" spans="1:14" x14ac:dyDescent="0.5">
      <c r="A2" s="305"/>
      <c r="B2" s="305"/>
      <c r="C2" s="305"/>
      <c r="D2" s="305"/>
      <c r="E2" s="305"/>
      <c r="F2" s="305"/>
      <c r="G2" s="305"/>
      <c r="H2" s="305"/>
      <c r="I2" s="305"/>
      <c r="J2" s="305"/>
      <c r="K2" s="305"/>
      <c r="L2" s="305"/>
      <c r="M2" s="305"/>
      <c r="N2" s="305"/>
    </row>
    <row r="3" spans="1:14" x14ac:dyDescent="0.5">
      <c r="A3" s="305"/>
      <c r="B3" s="305"/>
      <c r="C3" s="305"/>
      <c r="D3" s="305"/>
      <c r="E3" s="305"/>
      <c r="F3" s="305"/>
      <c r="G3" s="305"/>
      <c r="H3" s="307" t="s">
        <v>1161</v>
      </c>
      <c r="I3" s="305"/>
      <c r="J3" s="305"/>
      <c r="K3" s="305"/>
      <c r="L3" s="305"/>
      <c r="M3" s="305"/>
      <c r="N3" s="305"/>
    </row>
    <row r="4" spans="1:14" x14ac:dyDescent="0.5">
      <c r="A4" s="305"/>
      <c r="B4" s="305"/>
      <c r="C4" s="305"/>
      <c r="D4" s="305"/>
      <c r="E4" s="305"/>
      <c r="F4" s="305"/>
      <c r="G4" s="305"/>
      <c r="H4" s="305"/>
      <c r="I4" s="305"/>
      <c r="J4" s="305"/>
      <c r="K4" s="305"/>
      <c r="L4" s="305"/>
      <c r="M4" s="305"/>
      <c r="N4" s="305"/>
    </row>
    <row r="5" spans="1:14" x14ac:dyDescent="0.5">
      <c r="A5" s="383" t="s">
        <v>1162</v>
      </c>
      <c r="B5" s="308" t="s">
        <v>1163</v>
      </c>
      <c r="C5" s="305"/>
      <c r="D5" s="305"/>
      <c r="E5" s="305"/>
      <c r="F5" s="305"/>
      <c r="G5" s="305"/>
      <c r="H5" s="305"/>
      <c r="I5" s="305"/>
      <c r="J5" s="305"/>
      <c r="K5" s="305"/>
      <c r="L5" s="305"/>
      <c r="M5" s="305"/>
      <c r="N5" s="383" t="s">
        <v>1164</v>
      </c>
    </row>
    <row r="6" spans="1:14" x14ac:dyDescent="0.55000000000000004">
      <c r="A6" s="384" t="s">
        <v>1165</v>
      </c>
      <c r="B6" s="384" t="s">
        <v>1166</v>
      </c>
      <c r="C6" s="384" t="s">
        <v>1167</v>
      </c>
      <c r="D6" s="384" t="s">
        <v>1168</v>
      </c>
      <c r="E6" s="384" t="s">
        <v>1169</v>
      </c>
      <c r="F6" s="384" t="s">
        <v>1170</v>
      </c>
      <c r="G6" s="384" t="s">
        <v>1171</v>
      </c>
      <c r="H6" s="384" t="s">
        <v>1172</v>
      </c>
      <c r="I6" s="384" t="s">
        <v>1173</v>
      </c>
      <c r="J6" s="384" t="s">
        <v>1174</v>
      </c>
      <c r="K6" s="384" t="s">
        <v>1175</v>
      </c>
      <c r="L6" s="385" t="s">
        <v>1176</v>
      </c>
      <c r="M6" s="385" t="s">
        <v>1177</v>
      </c>
      <c r="N6" s="384" t="s">
        <v>1178</v>
      </c>
    </row>
    <row r="7" spans="1:14" x14ac:dyDescent="0.55000000000000004">
      <c r="A7" s="386" t="s">
        <v>1179</v>
      </c>
      <c r="B7" s="387" t="s">
        <v>238</v>
      </c>
      <c r="C7" s="386" t="s">
        <v>1180</v>
      </c>
      <c r="D7" s="387" t="s">
        <v>1181</v>
      </c>
      <c r="E7" s="386" t="s">
        <v>1182</v>
      </c>
      <c r="F7" s="386" t="s">
        <v>1183</v>
      </c>
      <c r="G7" s="388">
        <v>242353726</v>
      </c>
      <c r="H7" s="388">
        <v>0</v>
      </c>
      <c r="I7" s="388">
        <v>242353726</v>
      </c>
      <c r="J7" s="388">
        <v>0</v>
      </c>
      <c r="K7" s="388">
        <v>8240026</v>
      </c>
      <c r="L7" s="388">
        <v>8240026</v>
      </c>
      <c r="M7" s="388">
        <v>8240026</v>
      </c>
      <c r="N7" s="388">
        <v>234113700</v>
      </c>
    </row>
    <row r="8" spans="1:14" x14ac:dyDescent="0.55000000000000004">
      <c r="A8" s="385" t="s">
        <v>1184</v>
      </c>
      <c r="B8" s="389" t="s">
        <v>1185</v>
      </c>
      <c r="C8" s="385" t="s">
        <v>1186</v>
      </c>
      <c r="D8" s="389" t="s">
        <v>238</v>
      </c>
      <c r="E8" s="385" t="s">
        <v>1187</v>
      </c>
      <c r="F8" s="385" t="s">
        <v>1186</v>
      </c>
      <c r="G8" s="390">
        <v>242353726</v>
      </c>
      <c r="H8" s="390">
        <v>0</v>
      </c>
      <c r="I8" s="390">
        <v>242353726</v>
      </c>
      <c r="J8" s="390">
        <v>0</v>
      </c>
      <c r="K8" s="390">
        <v>8240026</v>
      </c>
      <c r="L8" s="390">
        <v>8240026</v>
      </c>
      <c r="M8" s="390">
        <v>8240026</v>
      </c>
      <c r="N8" s="390">
        <v>234113700</v>
      </c>
    </row>
    <row r="9" spans="1:14" x14ac:dyDescent="0.55000000000000004">
      <c r="A9" s="386" t="s">
        <v>1188</v>
      </c>
      <c r="B9" s="387" t="s">
        <v>141</v>
      </c>
      <c r="C9" s="386" t="s">
        <v>1180</v>
      </c>
      <c r="D9" s="387" t="s">
        <v>1189</v>
      </c>
      <c r="E9" s="386" t="s">
        <v>1190</v>
      </c>
      <c r="F9" s="386" t="s">
        <v>1183</v>
      </c>
      <c r="G9" s="388">
        <v>13280910</v>
      </c>
      <c r="H9" s="388">
        <v>0</v>
      </c>
      <c r="I9" s="388">
        <v>13280910</v>
      </c>
      <c r="J9" s="388">
        <v>2994845</v>
      </c>
      <c r="K9" s="388">
        <v>4639015</v>
      </c>
      <c r="L9" s="388">
        <v>4639015</v>
      </c>
      <c r="M9" s="388">
        <v>4639015</v>
      </c>
      <c r="N9" s="388">
        <v>5647050</v>
      </c>
    </row>
    <row r="10" spans="1:14" x14ac:dyDescent="0.55000000000000004">
      <c r="A10" s="386" t="s">
        <v>1188</v>
      </c>
      <c r="B10" s="387" t="s">
        <v>141</v>
      </c>
      <c r="C10" s="386" t="s">
        <v>1191</v>
      </c>
      <c r="D10" s="387" t="s">
        <v>1192</v>
      </c>
      <c r="E10" s="386" t="s">
        <v>1193</v>
      </c>
      <c r="F10" s="386" t="s">
        <v>1183</v>
      </c>
      <c r="G10" s="388">
        <v>10890000</v>
      </c>
      <c r="H10" s="388">
        <v>0</v>
      </c>
      <c r="I10" s="388">
        <v>10890000</v>
      </c>
      <c r="J10" s="388">
        <v>1637130</v>
      </c>
      <c r="K10" s="388">
        <v>4173044</v>
      </c>
      <c r="L10" s="388">
        <v>4173044</v>
      </c>
      <c r="M10" s="388">
        <v>4173044</v>
      </c>
      <c r="N10" s="388">
        <v>5079826</v>
      </c>
    </row>
    <row r="11" spans="1:14" x14ac:dyDescent="0.55000000000000004">
      <c r="A11" s="386" t="s">
        <v>1188</v>
      </c>
      <c r="B11" s="387" t="s">
        <v>141</v>
      </c>
      <c r="C11" s="386" t="s">
        <v>1194</v>
      </c>
      <c r="D11" s="387" t="s">
        <v>1195</v>
      </c>
      <c r="E11" s="386" t="s">
        <v>1196</v>
      </c>
      <c r="F11" s="386" t="s">
        <v>1183</v>
      </c>
      <c r="G11" s="388">
        <v>13892728</v>
      </c>
      <c r="H11" s="388">
        <v>0</v>
      </c>
      <c r="I11" s="388">
        <v>13892728</v>
      </c>
      <c r="J11" s="388">
        <v>2088540</v>
      </c>
      <c r="K11" s="388">
        <v>5323688</v>
      </c>
      <c r="L11" s="388">
        <v>5323688</v>
      </c>
      <c r="M11" s="388">
        <v>5323688</v>
      </c>
      <c r="N11" s="388">
        <v>6480500</v>
      </c>
    </row>
    <row r="12" spans="1:14" x14ac:dyDescent="0.55000000000000004">
      <c r="A12" s="386" t="s">
        <v>1188</v>
      </c>
      <c r="B12" s="387" t="s">
        <v>141</v>
      </c>
      <c r="C12" s="386" t="s">
        <v>1197</v>
      </c>
      <c r="D12" s="387" t="s">
        <v>1198</v>
      </c>
      <c r="E12" s="386" t="s">
        <v>1199</v>
      </c>
      <c r="F12" s="386" t="s">
        <v>1183</v>
      </c>
      <c r="G12" s="388">
        <v>3336366</v>
      </c>
      <c r="H12" s="388">
        <v>0</v>
      </c>
      <c r="I12" s="388">
        <v>3336366</v>
      </c>
      <c r="J12" s="388">
        <v>376175</v>
      </c>
      <c r="K12" s="388">
        <v>1335046</v>
      </c>
      <c r="L12" s="388">
        <v>1335046</v>
      </c>
      <c r="M12" s="388">
        <v>1335046</v>
      </c>
      <c r="N12" s="388">
        <v>1625145</v>
      </c>
    </row>
    <row r="13" spans="1:14" x14ac:dyDescent="0.55000000000000004">
      <c r="A13" s="386" t="s">
        <v>1188</v>
      </c>
      <c r="B13" s="387" t="s">
        <v>141</v>
      </c>
      <c r="C13" s="386" t="s">
        <v>1200</v>
      </c>
      <c r="D13" s="387" t="s">
        <v>1201</v>
      </c>
      <c r="E13" s="386" t="s">
        <v>1202</v>
      </c>
      <c r="F13" s="386" t="s">
        <v>1183</v>
      </c>
      <c r="G13" s="388">
        <v>1150000</v>
      </c>
      <c r="H13" s="388">
        <v>0</v>
      </c>
      <c r="I13" s="388">
        <v>1150000</v>
      </c>
      <c r="J13" s="388">
        <v>129662</v>
      </c>
      <c r="K13" s="388">
        <v>460172</v>
      </c>
      <c r="L13" s="388">
        <v>460172</v>
      </c>
      <c r="M13" s="388">
        <v>460172</v>
      </c>
      <c r="N13" s="388">
        <v>560166</v>
      </c>
    </row>
    <row r="14" spans="1:14" x14ac:dyDescent="0.55000000000000004">
      <c r="A14" s="386" t="s">
        <v>1188</v>
      </c>
      <c r="B14" s="387" t="s">
        <v>141</v>
      </c>
      <c r="C14" s="386" t="s">
        <v>1203</v>
      </c>
      <c r="D14" s="387" t="s">
        <v>1204</v>
      </c>
      <c r="E14" s="386" t="s">
        <v>1205</v>
      </c>
      <c r="F14" s="386" t="s">
        <v>1183</v>
      </c>
      <c r="G14" s="388">
        <v>2836364</v>
      </c>
      <c r="H14" s="388">
        <v>0</v>
      </c>
      <c r="I14" s="388">
        <v>2836364</v>
      </c>
      <c r="J14" s="388">
        <v>319800</v>
      </c>
      <c r="K14" s="388">
        <v>1134970</v>
      </c>
      <c r="L14" s="388">
        <v>1134970</v>
      </c>
      <c r="M14" s="388">
        <v>1134970</v>
      </c>
      <c r="N14" s="388">
        <v>1381594</v>
      </c>
    </row>
    <row r="15" spans="1:14" x14ac:dyDescent="0.55000000000000004">
      <c r="A15" s="386" t="s">
        <v>1188</v>
      </c>
      <c r="B15" s="387" t="s">
        <v>141</v>
      </c>
      <c r="C15" s="386" t="s">
        <v>1206</v>
      </c>
      <c r="D15" s="387" t="s">
        <v>1207</v>
      </c>
      <c r="E15" s="386" t="s">
        <v>1205</v>
      </c>
      <c r="F15" s="386" t="s">
        <v>1183</v>
      </c>
      <c r="G15" s="388">
        <v>7043637</v>
      </c>
      <c r="H15" s="388">
        <v>0</v>
      </c>
      <c r="I15" s="388">
        <v>7043637</v>
      </c>
      <c r="J15" s="388">
        <v>794170</v>
      </c>
      <c r="K15" s="388">
        <v>2818509</v>
      </c>
      <c r="L15" s="388">
        <v>2818509</v>
      </c>
      <c r="M15" s="388">
        <v>2818509</v>
      </c>
      <c r="N15" s="388">
        <v>3430958</v>
      </c>
    </row>
    <row r="16" spans="1:14" x14ac:dyDescent="0.55000000000000004">
      <c r="A16" s="386" t="s">
        <v>1188</v>
      </c>
      <c r="B16" s="387" t="s">
        <v>141</v>
      </c>
      <c r="C16" s="386" t="s">
        <v>1208</v>
      </c>
      <c r="D16" s="387" t="s">
        <v>1209</v>
      </c>
      <c r="E16" s="386" t="s">
        <v>1210</v>
      </c>
      <c r="F16" s="386" t="s">
        <v>1183</v>
      </c>
      <c r="G16" s="388">
        <v>4172728</v>
      </c>
      <c r="H16" s="388">
        <v>0</v>
      </c>
      <c r="I16" s="388">
        <v>4172728</v>
      </c>
      <c r="J16" s="388">
        <v>156825</v>
      </c>
      <c r="K16" s="388">
        <v>1811172</v>
      </c>
      <c r="L16" s="388">
        <v>1811172</v>
      </c>
      <c r="M16" s="388">
        <v>1811172</v>
      </c>
      <c r="N16" s="388">
        <v>2204731</v>
      </c>
    </row>
    <row r="17" spans="1:14" x14ac:dyDescent="0.55000000000000004">
      <c r="A17" s="386" t="s">
        <v>1188</v>
      </c>
      <c r="B17" s="387" t="s">
        <v>141</v>
      </c>
      <c r="C17" s="386" t="s">
        <v>1211</v>
      </c>
      <c r="D17" s="387" t="s">
        <v>1212</v>
      </c>
      <c r="E17" s="386" t="s">
        <v>1213</v>
      </c>
      <c r="F17" s="386" t="s">
        <v>1183</v>
      </c>
      <c r="G17" s="388">
        <v>0</v>
      </c>
      <c r="H17" s="388">
        <v>1900000</v>
      </c>
      <c r="I17" s="388">
        <v>1900000</v>
      </c>
      <c r="J17" s="388">
        <v>0</v>
      </c>
      <c r="K17" s="388">
        <v>571266</v>
      </c>
      <c r="L17" s="388">
        <v>571266</v>
      </c>
      <c r="M17" s="388">
        <v>571266</v>
      </c>
      <c r="N17" s="388">
        <v>1328734</v>
      </c>
    </row>
    <row r="18" spans="1:14" x14ac:dyDescent="0.55000000000000004">
      <c r="A18" s="386" t="s">
        <v>1188</v>
      </c>
      <c r="B18" s="387" t="s">
        <v>141</v>
      </c>
      <c r="C18" s="386" t="s">
        <v>1214</v>
      </c>
      <c r="D18" s="387" t="s">
        <v>1215</v>
      </c>
      <c r="E18" s="386" t="s">
        <v>1216</v>
      </c>
      <c r="F18" s="386" t="s">
        <v>1183</v>
      </c>
      <c r="G18" s="388">
        <v>0</v>
      </c>
      <c r="H18" s="388">
        <v>1421455</v>
      </c>
      <c r="I18" s="388">
        <v>1421455</v>
      </c>
      <c r="J18" s="388">
        <v>0</v>
      </c>
      <c r="K18" s="388">
        <v>373961</v>
      </c>
      <c r="L18" s="388">
        <v>373961</v>
      </c>
      <c r="M18" s="388">
        <v>373961</v>
      </c>
      <c r="N18" s="388">
        <v>1047494</v>
      </c>
    </row>
    <row r="19" spans="1:14" x14ac:dyDescent="0.55000000000000004">
      <c r="A19" s="386" t="s">
        <v>1188</v>
      </c>
      <c r="B19" s="387" t="s">
        <v>141</v>
      </c>
      <c r="C19" s="386" t="s">
        <v>1217</v>
      </c>
      <c r="D19" s="387" t="s">
        <v>1215</v>
      </c>
      <c r="E19" s="386" t="s">
        <v>1218</v>
      </c>
      <c r="F19" s="386" t="s">
        <v>1183</v>
      </c>
      <c r="G19" s="388">
        <v>0</v>
      </c>
      <c r="H19" s="388">
        <v>3193200</v>
      </c>
      <c r="I19" s="388">
        <v>3193200</v>
      </c>
      <c r="J19" s="388">
        <v>0</v>
      </c>
      <c r="K19" s="388">
        <v>720066</v>
      </c>
      <c r="L19" s="388">
        <v>720066</v>
      </c>
      <c r="M19" s="388">
        <v>720066</v>
      </c>
      <c r="N19" s="388">
        <v>2473134</v>
      </c>
    </row>
    <row r="20" spans="1:14" x14ac:dyDescent="0.55000000000000004">
      <c r="A20" s="386" t="s">
        <v>1188</v>
      </c>
      <c r="B20" s="387" t="s">
        <v>141</v>
      </c>
      <c r="C20" s="386" t="s">
        <v>1219</v>
      </c>
      <c r="D20" s="387" t="s">
        <v>1220</v>
      </c>
      <c r="E20" s="386" t="s">
        <v>1221</v>
      </c>
      <c r="F20" s="386" t="s">
        <v>1183</v>
      </c>
      <c r="G20" s="388">
        <v>0</v>
      </c>
      <c r="H20" s="388">
        <v>1386000</v>
      </c>
      <c r="I20" s="388">
        <v>1386000</v>
      </c>
      <c r="J20" s="388">
        <v>0</v>
      </c>
      <c r="K20" s="388">
        <v>260452</v>
      </c>
      <c r="L20" s="388">
        <v>260452</v>
      </c>
      <c r="M20" s="388">
        <v>260452</v>
      </c>
      <c r="N20" s="388">
        <v>1125548</v>
      </c>
    </row>
    <row r="21" spans="1:14" x14ac:dyDescent="0.55000000000000004">
      <c r="A21" s="386" t="s">
        <v>1188</v>
      </c>
      <c r="B21" s="387" t="s">
        <v>141</v>
      </c>
      <c r="C21" s="386" t="s">
        <v>1222</v>
      </c>
      <c r="D21" s="387" t="s">
        <v>1223</v>
      </c>
      <c r="E21" s="386" t="s">
        <v>1224</v>
      </c>
      <c r="F21" s="386" t="s">
        <v>1183</v>
      </c>
      <c r="G21" s="388">
        <v>0</v>
      </c>
      <c r="H21" s="388">
        <v>1586000</v>
      </c>
      <c r="I21" s="388">
        <v>1586000</v>
      </c>
      <c r="J21" s="388">
        <v>0</v>
      </c>
      <c r="K21" s="388">
        <v>298035</v>
      </c>
      <c r="L21" s="388">
        <v>298035</v>
      </c>
      <c r="M21" s="388">
        <v>298035</v>
      </c>
      <c r="N21" s="388">
        <v>1287965</v>
      </c>
    </row>
    <row r="22" spans="1:14" x14ac:dyDescent="0.55000000000000004">
      <c r="A22" s="385" t="s">
        <v>1184</v>
      </c>
      <c r="B22" s="389" t="s">
        <v>1185</v>
      </c>
      <c r="C22" s="385" t="s">
        <v>1186</v>
      </c>
      <c r="D22" s="389" t="s">
        <v>141</v>
      </c>
      <c r="E22" s="385" t="s">
        <v>1225</v>
      </c>
      <c r="F22" s="385" t="s">
        <v>1186</v>
      </c>
      <c r="G22" s="390">
        <v>56602733</v>
      </c>
      <c r="H22" s="390">
        <v>9486655</v>
      </c>
      <c r="I22" s="390">
        <v>66089388</v>
      </c>
      <c r="J22" s="390">
        <v>8497147</v>
      </c>
      <c r="K22" s="390">
        <v>23919396</v>
      </c>
      <c r="L22" s="390">
        <v>23919396</v>
      </c>
      <c r="M22" s="390">
        <v>23919396</v>
      </c>
      <c r="N22" s="390">
        <v>33672845</v>
      </c>
    </row>
    <row r="23" spans="1:14" x14ac:dyDescent="0.55000000000000004">
      <c r="A23" s="386" t="s">
        <v>1226</v>
      </c>
      <c r="B23" s="387" t="s">
        <v>142</v>
      </c>
      <c r="C23" s="386" t="s">
        <v>1180</v>
      </c>
      <c r="D23" s="387" t="s">
        <v>1227</v>
      </c>
      <c r="E23" s="386" t="s">
        <v>1228</v>
      </c>
      <c r="F23" s="386" t="s">
        <v>1183</v>
      </c>
      <c r="G23" s="388">
        <v>96760000</v>
      </c>
      <c r="H23" s="388">
        <v>0</v>
      </c>
      <c r="I23" s="388">
        <v>96760000</v>
      </c>
      <c r="J23" s="388">
        <v>18182816</v>
      </c>
      <c r="K23" s="388">
        <v>35438309</v>
      </c>
      <c r="L23" s="388">
        <v>35438309</v>
      </c>
      <c r="M23" s="388">
        <v>35438309</v>
      </c>
      <c r="N23" s="388">
        <v>43138875</v>
      </c>
    </row>
    <row r="24" spans="1:14" x14ac:dyDescent="0.55000000000000004">
      <c r="A24" s="386" t="s">
        <v>1226</v>
      </c>
      <c r="B24" s="387" t="s">
        <v>142</v>
      </c>
      <c r="C24" s="386" t="s">
        <v>1191</v>
      </c>
      <c r="D24" s="387" t="s">
        <v>1227</v>
      </c>
      <c r="E24" s="386" t="s">
        <v>1229</v>
      </c>
      <c r="F24" s="386" t="s">
        <v>1183</v>
      </c>
      <c r="G24" s="388">
        <v>72570000</v>
      </c>
      <c r="H24" s="388">
        <v>0</v>
      </c>
      <c r="I24" s="388">
        <v>72570000</v>
      </c>
      <c r="J24" s="388">
        <v>13637112</v>
      </c>
      <c r="K24" s="388">
        <v>26578732</v>
      </c>
      <c r="L24" s="388">
        <v>26578732</v>
      </c>
      <c r="M24" s="388">
        <v>26578732</v>
      </c>
      <c r="N24" s="388">
        <v>32354156</v>
      </c>
    </row>
    <row r="25" spans="1:14" x14ac:dyDescent="0.55000000000000004">
      <c r="A25" s="386" t="s">
        <v>1226</v>
      </c>
      <c r="B25" s="387" t="s">
        <v>142</v>
      </c>
      <c r="C25" s="386" t="s">
        <v>1194</v>
      </c>
      <c r="D25" s="387" t="s">
        <v>1230</v>
      </c>
      <c r="E25" s="386" t="s">
        <v>1202</v>
      </c>
      <c r="F25" s="386" t="s">
        <v>1183</v>
      </c>
      <c r="G25" s="388">
        <v>3500000</v>
      </c>
      <c r="H25" s="388">
        <v>0</v>
      </c>
      <c r="I25" s="388">
        <v>3500000</v>
      </c>
      <c r="J25" s="388">
        <v>394625</v>
      </c>
      <c r="K25" s="388">
        <v>1400524</v>
      </c>
      <c r="L25" s="388">
        <v>1400524</v>
      </c>
      <c r="M25" s="388">
        <v>1400524</v>
      </c>
      <c r="N25" s="388">
        <v>1704851</v>
      </c>
    </row>
    <row r="26" spans="1:14" x14ac:dyDescent="0.55000000000000004">
      <c r="A26" s="386" t="s">
        <v>1226</v>
      </c>
      <c r="B26" s="387" t="s">
        <v>142</v>
      </c>
      <c r="C26" s="386" t="s">
        <v>1197</v>
      </c>
      <c r="D26" s="387" t="s">
        <v>1231</v>
      </c>
      <c r="E26" s="386" t="s">
        <v>1232</v>
      </c>
      <c r="F26" s="386" t="s">
        <v>1183</v>
      </c>
      <c r="G26" s="388">
        <v>72570000</v>
      </c>
      <c r="H26" s="388">
        <v>0</v>
      </c>
      <c r="I26" s="388">
        <v>72570000</v>
      </c>
      <c r="J26" s="388">
        <v>5454845</v>
      </c>
      <c r="K26" s="388">
        <v>30268934</v>
      </c>
      <c r="L26" s="388">
        <v>30268934</v>
      </c>
      <c r="M26" s="388">
        <v>30268934</v>
      </c>
      <c r="N26" s="388">
        <v>36846221</v>
      </c>
    </row>
    <row r="27" spans="1:14" x14ac:dyDescent="0.55000000000000004">
      <c r="A27" s="386" t="s">
        <v>1226</v>
      </c>
      <c r="B27" s="387" t="s">
        <v>142</v>
      </c>
      <c r="C27" s="386" t="s">
        <v>1200</v>
      </c>
      <c r="D27" s="387" t="s">
        <v>1233</v>
      </c>
      <c r="E27" s="386" t="s">
        <v>1234</v>
      </c>
      <c r="F27" s="386" t="s">
        <v>1183</v>
      </c>
      <c r="G27" s="388">
        <v>0</v>
      </c>
      <c r="H27" s="388">
        <v>1348000</v>
      </c>
      <c r="I27" s="388">
        <v>1348000</v>
      </c>
      <c r="J27" s="388">
        <v>0</v>
      </c>
      <c r="K27" s="388">
        <v>303974</v>
      </c>
      <c r="L27" s="388">
        <v>303974</v>
      </c>
      <c r="M27" s="388">
        <v>303974</v>
      </c>
      <c r="N27" s="388">
        <v>1044026</v>
      </c>
    </row>
    <row r="28" spans="1:14" x14ac:dyDescent="0.55000000000000004">
      <c r="A28" s="386" t="s">
        <v>1226</v>
      </c>
      <c r="B28" s="387" t="s">
        <v>142</v>
      </c>
      <c r="C28" s="386" t="s">
        <v>1203</v>
      </c>
      <c r="D28" s="387" t="s">
        <v>1235</v>
      </c>
      <c r="E28" s="386" t="s">
        <v>1236</v>
      </c>
      <c r="F28" s="386" t="s">
        <v>1183</v>
      </c>
      <c r="G28" s="388">
        <v>0</v>
      </c>
      <c r="H28" s="388">
        <v>3272727</v>
      </c>
      <c r="I28" s="388">
        <v>3272727</v>
      </c>
      <c r="J28" s="388">
        <v>0</v>
      </c>
      <c r="K28" s="388">
        <v>737999</v>
      </c>
      <c r="L28" s="388">
        <v>737999</v>
      </c>
      <c r="M28" s="388">
        <v>737999</v>
      </c>
      <c r="N28" s="388">
        <v>2534728</v>
      </c>
    </row>
    <row r="29" spans="1:14" x14ac:dyDescent="0.5">
      <c r="A29" s="305"/>
      <c r="B29" s="305"/>
      <c r="C29" s="305"/>
      <c r="D29" s="305"/>
      <c r="E29" s="305"/>
      <c r="F29" s="305"/>
      <c r="G29" s="305"/>
      <c r="H29" s="305"/>
      <c r="I29" s="305"/>
      <c r="J29" s="305"/>
      <c r="K29" s="305"/>
      <c r="L29" s="305"/>
      <c r="M29" s="305"/>
      <c r="N29" s="305"/>
    </row>
    <row r="30" spans="1:14" x14ac:dyDescent="0.5">
      <c r="A30" s="305"/>
      <c r="B30" s="305"/>
      <c r="C30" s="305"/>
      <c r="D30" s="305"/>
      <c r="E30" s="305"/>
      <c r="F30" s="305"/>
      <c r="G30" s="305"/>
      <c r="H30" s="305"/>
      <c r="I30" s="305"/>
      <c r="J30" s="305"/>
      <c r="K30" s="305"/>
      <c r="L30" s="305"/>
      <c r="M30" s="305"/>
      <c r="N30" s="305"/>
    </row>
    <row r="31" spans="1:14" x14ac:dyDescent="0.5">
      <c r="A31" s="305"/>
      <c r="B31" s="305"/>
      <c r="C31" s="305"/>
      <c r="D31" s="305"/>
      <c r="E31" s="305"/>
      <c r="F31" s="305"/>
      <c r="G31" s="305"/>
      <c r="H31" s="306" t="s">
        <v>1160</v>
      </c>
      <c r="I31" s="305"/>
      <c r="J31" s="305"/>
      <c r="K31" s="305"/>
      <c r="L31" s="305"/>
      <c r="M31" s="305"/>
      <c r="N31" s="305"/>
    </row>
    <row r="32" spans="1:14" x14ac:dyDescent="0.5">
      <c r="A32" s="305"/>
      <c r="B32" s="305"/>
      <c r="C32" s="305"/>
      <c r="D32" s="305"/>
      <c r="E32" s="305"/>
      <c r="F32" s="305"/>
      <c r="G32" s="305"/>
      <c r="H32" s="305"/>
      <c r="I32" s="305"/>
      <c r="J32" s="305"/>
      <c r="K32" s="305"/>
      <c r="L32" s="305"/>
      <c r="M32" s="305"/>
      <c r="N32" s="305"/>
    </row>
    <row r="33" spans="1:14" x14ac:dyDescent="0.5">
      <c r="A33" s="305"/>
      <c r="B33" s="305"/>
      <c r="C33" s="305"/>
      <c r="D33" s="305"/>
      <c r="E33" s="305"/>
      <c r="F33" s="305"/>
      <c r="G33" s="305"/>
      <c r="H33" s="307" t="s">
        <v>1161</v>
      </c>
      <c r="I33" s="305"/>
      <c r="J33" s="305"/>
      <c r="K33" s="305"/>
      <c r="L33" s="305"/>
      <c r="M33" s="305"/>
      <c r="N33" s="305"/>
    </row>
    <row r="34" spans="1:14" x14ac:dyDescent="0.5">
      <c r="A34" s="305"/>
      <c r="B34" s="305"/>
      <c r="C34" s="305"/>
      <c r="D34" s="305"/>
      <c r="E34" s="305"/>
      <c r="F34" s="305"/>
      <c r="G34" s="305"/>
      <c r="H34" s="305"/>
      <c r="I34" s="305"/>
      <c r="J34" s="305"/>
      <c r="K34" s="305"/>
      <c r="L34" s="305"/>
      <c r="M34" s="305"/>
      <c r="N34" s="305"/>
    </row>
    <row r="35" spans="1:14" x14ac:dyDescent="0.5">
      <c r="A35" s="383" t="s">
        <v>1162</v>
      </c>
      <c r="B35" s="308" t="s">
        <v>1163</v>
      </c>
      <c r="C35" s="305"/>
      <c r="D35" s="305"/>
      <c r="E35" s="305"/>
      <c r="F35" s="305"/>
      <c r="G35" s="305"/>
      <c r="H35" s="305"/>
      <c r="I35" s="305"/>
      <c r="J35" s="305"/>
      <c r="K35" s="305"/>
      <c r="L35" s="305"/>
      <c r="M35" s="305"/>
      <c r="N35" s="383" t="s">
        <v>1164</v>
      </c>
    </row>
    <row r="36" spans="1:14" x14ac:dyDescent="0.55000000000000004">
      <c r="A36" s="384" t="s">
        <v>1165</v>
      </c>
      <c r="B36" s="384" t="s">
        <v>1166</v>
      </c>
      <c r="C36" s="384" t="s">
        <v>1167</v>
      </c>
      <c r="D36" s="384" t="s">
        <v>1168</v>
      </c>
      <c r="E36" s="384" t="s">
        <v>1169</v>
      </c>
      <c r="F36" s="384" t="s">
        <v>1170</v>
      </c>
      <c r="G36" s="384" t="s">
        <v>1171</v>
      </c>
      <c r="H36" s="384" t="s">
        <v>1172</v>
      </c>
      <c r="I36" s="384" t="s">
        <v>1173</v>
      </c>
      <c r="J36" s="384" t="s">
        <v>1174</v>
      </c>
      <c r="K36" s="384" t="s">
        <v>1175</v>
      </c>
      <c r="L36" s="385" t="s">
        <v>1176</v>
      </c>
      <c r="M36" s="385" t="s">
        <v>1177</v>
      </c>
      <c r="N36" s="384" t="s">
        <v>1178</v>
      </c>
    </row>
    <row r="37" spans="1:14" x14ac:dyDescent="0.55000000000000004">
      <c r="A37" s="386" t="s">
        <v>1226</v>
      </c>
      <c r="B37" s="387" t="s">
        <v>142</v>
      </c>
      <c r="C37" s="386" t="s">
        <v>1206</v>
      </c>
      <c r="D37" s="387" t="s">
        <v>1237</v>
      </c>
      <c r="E37" s="386" t="s">
        <v>1238</v>
      </c>
      <c r="F37" s="386" t="s">
        <v>1183</v>
      </c>
      <c r="G37" s="388">
        <v>0</v>
      </c>
      <c r="H37" s="388">
        <v>181818</v>
      </c>
      <c r="I37" s="388">
        <v>181818</v>
      </c>
      <c r="J37" s="388">
        <v>0</v>
      </c>
      <c r="K37" s="388">
        <v>34166</v>
      </c>
      <c r="L37" s="388">
        <v>34166</v>
      </c>
      <c r="M37" s="388">
        <v>34166</v>
      </c>
      <c r="N37" s="388">
        <v>147652</v>
      </c>
    </row>
    <row r="38" spans="1:14" x14ac:dyDescent="0.55000000000000004">
      <c r="A38" s="386" t="s">
        <v>1226</v>
      </c>
      <c r="B38" s="387" t="s">
        <v>142</v>
      </c>
      <c r="C38" s="386" t="s">
        <v>1208</v>
      </c>
      <c r="D38" s="387" t="s">
        <v>1192</v>
      </c>
      <c r="E38" s="386" t="s">
        <v>1239</v>
      </c>
      <c r="F38" s="386" t="s">
        <v>1183</v>
      </c>
      <c r="G38" s="388">
        <v>0</v>
      </c>
      <c r="H38" s="388">
        <v>4135000</v>
      </c>
      <c r="I38" s="388">
        <v>4135000</v>
      </c>
      <c r="J38" s="388">
        <v>0</v>
      </c>
      <c r="K38" s="388">
        <v>621628</v>
      </c>
      <c r="L38" s="388">
        <v>621628</v>
      </c>
      <c r="M38" s="388">
        <v>621628</v>
      </c>
      <c r="N38" s="388">
        <v>3513372</v>
      </c>
    </row>
    <row r="39" spans="1:14" x14ac:dyDescent="0.55000000000000004">
      <c r="A39" s="386" t="s">
        <v>1226</v>
      </c>
      <c r="B39" s="387" t="s">
        <v>142</v>
      </c>
      <c r="C39" s="386" t="s">
        <v>1211</v>
      </c>
      <c r="D39" s="387" t="s">
        <v>1233</v>
      </c>
      <c r="E39" s="386" t="s">
        <v>1234</v>
      </c>
      <c r="F39" s="386" t="s">
        <v>1183</v>
      </c>
      <c r="G39" s="388">
        <v>0</v>
      </c>
      <c r="H39" s="388">
        <v>1482800</v>
      </c>
      <c r="I39" s="388">
        <v>1482800</v>
      </c>
      <c r="J39" s="388">
        <v>0</v>
      </c>
      <c r="K39" s="388">
        <v>334371</v>
      </c>
      <c r="L39" s="388">
        <v>334371</v>
      </c>
      <c r="M39" s="388">
        <v>334371</v>
      </c>
      <c r="N39" s="388">
        <v>1148429</v>
      </c>
    </row>
    <row r="40" spans="1:14" x14ac:dyDescent="0.55000000000000004">
      <c r="A40" s="385" t="s">
        <v>1184</v>
      </c>
      <c r="B40" s="389" t="s">
        <v>1185</v>
      </c>
      <c r="C40" s="385" t="s">
        <v>1186</v>
      </c>
      <c r="D40" s="389" t="s">
        <v>142</v>
      </c>
      <c r="E40" s="385" t="s">
        <v>1225</v>
      </c>
      <c r="F40" s="385" t="s">
        <v>1186</v>
      </c>
      <c r="G40" s="390">
        <v>245400000</v>
      </c>
      <c r="H40" s="390">
        <v>10420345</v>
      </c>
      <c r="I40" s="390">
        <v>255820345</v>
      </c>
      <c r="J40" s="390">
        <v>37669398</v>
      </c>
      <c r="K40" s="390">
        <v>95718637</v>
      </c>
      <c r="L40" s="390">
        <v>95718637</v>
      </c>
      <c r="M40" s="390">
        <v>95718637</v>
      </c>
      <c r="N40" s="390">
        <v>122432310</v>
      </c>
    </row>
    <row r="41" spans="1:14" x14ac:dyDescent="0.55000000000000004">
      <c r="A41" s="386" t="s">
        <v>1240</v>
      </c>
      <c r="B41" s="387" t="s">
        <v>1241</v>
      </c>
      <c r="C41" s="386" t="s">
        <v>1180</v>
      </c>
      <c r="D41" s="387" t="s">
        <v>1242</v>
      </c>
      <c r="E41" s="386" t="s">
        <v>1243</v>
      </c>
      <c r="F41" s="386" t="s">
        <v>1183</v>
      </c>
      <c r="G41" s="388">
        <v>45833334</v>
      </c>
      <c r="H41" s="388">
        <v>0</v>
      </c>
      <c r="I41" s="388">
        <v>45833334</v>
      </c>
      <c r="J41" s="388">
        <v>4166666</v>
      </c>
      <c r="K41" s="388">
        <v>10000000</v>
      </c>
      <c r="L41" s="388">
        <v>10000000</v>
      </c>
      <c r="M41" s="388">
        <v>10000000</v>
      </c>
      <c r="N41" s="388">
        <v>35833334</v>
      </c>
    </row>
    <row r="42" spans="1:14" x14ac:dyDescent="0.55000000000000004">
      <c r="A42" s="385" t="s">
        <v>1184</v>
      </c>
      <c r="B42" s="389" t="s">
        <v>1185</v>
      </c>
      <c r="C42" s="385" t="s">
        <v>1186</v>
      </c>
      <c r="D42" s="389" t="s">
        <v>1241</v>
      </c>
      <c r="E42" s="385" t="s">
        <v>1187</v>
      </c>
      <c r="F42" s="385" t="s">
        <v>1186</v>
      </c>
      <c r="G42" s="390">
        <v>45833334</v>
      </c>
      <c r="H42" s="390">
        <v>0</v>
      </c>
      <c r="I42" s="390">
        <v>45833334</v>
      </c>
      <c r="J42" s="390">
        <v>4166666</v>
      </c>
      <c r="K42" s="390">
        <v>10000000</v>
      </c>
      <c r="L42" s="390">
        <v>10000000</v>
      </c>
      <c r="M42" s="390">
        <v>10000000</v>
      </c>
      <c r="N42" s="390">
        <v>35833334</v>
      </c>
    </row>
    <row r="43" spans="1:14" x14ac:dyDescent="0.55000000000000004">
      <c r="A43" s="385" t="s">
        <v>1186</v>
      </c>
      <c r="B43" s="389" t="s">
        <v>1185</v>
      </c>
      <c r="C43" s="385" t="s">
        <v>1186</v>
      </c>
      <c r="D43" s="389" t="s">
        <v>1244</v>
      </c>
      <c r="E43" s="385" t="s">
        <v>1186</v>
      </c>
      <c r="F43" s="385" t="s">
        <v>1186</v>
      </c>
      <c r="G43" s="390">
        <v>590189793</v>
      </c>
      <c r="H43" s="390">
        <v>19907000</v>
      </c>
      <c r="I43" s="390">
        <v>610096793</v>
      </c>
      <c r="J43" s="390">
        <v>50333211</v>
      </c>
      <c r="K43" s="390">
        <v>137878059</v>
      </c>
      <c r="L43" s="390">
        <v>137878059</v>
      </c>
      <c r="M43" s="390">
        <v>137878059</v>
      </c>
      <c r="N43" s="390">
        <v>426052189</v>
      </c>
    </row>
    <row r="44" spans="1:14" x14ac:dyDescent="0.55000000000000004">
      <c r="A44" s="385" t="s">
        <v>1245</v>
      </c>
      <c r="B44" s="389" t="s">
        <v>1186</v>
      </c>
      <c r="C44" s="385" t="s">
        <v>1186</v>
      </c>
      <c r="D44" s="389" t="s">
        <v>1186</v>
      </c>
      <c r="E44" s="385" t="s">
        <v>1186</v>
      </c>
      <c r="F44" s="385" t="s">
        <v>1186</v>
      </c>
      <c r="G44" s="390">
        <v>590189793</v>
      </c>
      <c r="H44" s="390">
        <v>19907000</v>
      </c>
      <c r="I44" s="390">
        <v>610096793</v>
      </c>
      <c r="J44" s="390">
        <v>50333211</v>
      </c>
      <c r="K44" s="390">
        <v>137878059</v>
      </c>
      <c r="L44" s="390">
        <v>137878059</v>
      </c>
      <c r="M44" s="390">
        <v>137878059</v>
      </c>
      <c r="N44" s="390">
        <v>426052189</v>
      </c>
    </row>
    <row r="49" spans="1:22" x14ac:dyDescent="0.55000000000000004">
      <c r="A49" s="384" t="s">
        <v>1165</v>
      </c>
      <c r="B49" s="384" t="s">
        <v>1166</v>
      </c>
      <c r="C49" s="384" t="s">
        <v>1167</v>
      </c>
      <c r="D49" s="384" t="s">
        <v>1168</v>
      </c>
      <c r="E49" s="384" t="s">
        <v>1169</v>
      </c>
      <c r="F49" s="384" t="s">
        <v>1170</v>
      </c>
      <c r="G49" s="384" t="s">
        <v>1171</v>
      </c>
      <c r="H49" s="384" t="s">
        <v>1172</v>
      </c>
      <c r="I49" s="384" t="s">
        <v>1173</v>
      </c>
      <c r="J49" s="384" t="s">
        <v>1174</v>
      </c>
      <c r="K49" s="384" t="s">
        <v>1175</v>
      </c>
      <c r="L49" s="385" t="s">
        <v>1486</v>
      </c>
      <c r="M49" s="385" t="s">
        <v>1487</v>
      </c>
      <c r="N49" s="384" t="s">
        <v>1178</v>
      </c>
      <c r="P49" t="s">
        <v>4</v>
      </c>
      <c r="R49" t="s">
        <v>6</v>
      </c>
      <c r="S49" t="s">
        <v>7</v>
      </c>
      <c r="T49" t="s">
        <v>1477</v>
      </c>
      <c r="U49" t="s">
        <v>1478</v>
      </c>
      <c r="V49" t="s">
        <v>1479</v>
      </c>
    </row>
    <row r="50" spans="1:22" x14ac:dyDescent="0.55000000000000004">
      <c r="A50" s="386" t="s">
        <v>1179</v>
      </c>
      <c r="B50" s="387" t="s">
        <v>238</v>
      </c>
      <c r="C50" s="386" t="s">
        <v>1180</v>
      </c>
      <c r="D50" s="387" t="s">
        <v>1181</v>
      </c>
      <c r="E50" s="386" t="s">
        <v>1182</v>
      </c>
      <c r="F50" s="386" t="s">
        <v>1183</v>
      </c>
      <c r="G50" s="388">
        <v>242353726</v>
      </c>
      <c r="H50" s="388">
        <v>0</v>
      </c>
      <c r="I50" s="388">
        <v>242353726</v>
      </c>
      <c r="J50" s="388">
        <v>8240026</v>
      </c>
      <c r="K50" s="388">
        <v>8240026</v>
      </c>
      <c r="L50" s="388">
        <v>4120013</v>
      </c>
      <c r="M50" s="388">
        <v>4120013</v>
      </c>
      <c r="N50" s="388">
        <v>229993687</v>
      </c>
      <c r="P50" s="424">
        <f>L50</f>
        <v>4120013</v>
      </c>
      <c r="R50" s="30">
        <f>K50</f>
        <v>8240026</v>
      </c>
      <c r="S50" s="30">
        <f>R50</f>
        <v>8240026</v>
      </c>
      <c r="T50" s="30">
        <f t="shared" ref="T50:V50" si="0">S50</f>
        <v>8240026</v>
      </c>
      <c r="U50" s="30">
        <f t="shared" si="0"/>
        <v>8240026</v>
      </c>
      <c r="V50" s="30">
        <f t="shared" si="0"/>
        <v>8240026</v>
      </c>
    </row>
    <row r="51" spans="1:22" x14ac:dyDescent="0.55000000000000004">
      <c r="A51" s="385" t="s">
        <v>1184</v>
      </c>
      <c r="B51" s="389" t="s">
        <v>1185</v>
      </c>
      <c r="C51" s="385" t="s">
        <v>1186</v>
      </c>
      <c r="D51" s="389" t="s">
        <v>238</v>
      </c>
      <c r="E51" s="385" t="s">
        <v>1187</v>
      </c>
      <c r="F51" s="385" t="s">
        <v>1186</v>
      </c>
      <c r="G51" s="390">
        <v>242353726</v>
      </c>
      <c r="H51" s="390">
        <v>0</v>
      </c>
      <c r="I51" s="390">
        <v>242353726</v>
      </c>
      <c r="J51" s="390">
        <v>8240026</v>
      </c>
      <c r="K51" s="390">
        <v>8240026</v>
      </c>
      <c r="L51" s="390">
        <v>4120013</v>
      </c>
      <c r="M51" s="390">
        <v>4120013</v>
      </c>
      <c r="N51" s="390">
        <v>229993687</v>
      </c>
    </row>
    <row r="52" spans="1:22" x14ac:dyDescent="0.55000000000000004">
      <c r="A52" s="386" t="s">
        <v>1188</v>
      </c>
      <c r="B52" s="387" t="s">
        <v>141</v>
      </c>
      <c r="C52" s="386" t="s">
        <v>1180</v>
      </c>
      <c r="D52" s="387" t="s">
        <v>1189</v>
      </c>
      <c r="E52" s="386" t="s">
        <v>1190</v>
      </c>
      <c r="F52" s="386" t="s">
        <v>1183</v>
      </c>
      <c r="G52" s="388">
        <v>13280910</v>
      </c>
      <c r="H52" s="388">
        <v>0</v>
      </c>
      <c r="I52" s="388">
        <v>13280910</v>
      </c>
      <c r="J52" s="388">
        <v>7633860</v>
      </c>
      <c r="K52" s="388">
        <v>2546819</v>
      </c>
      <c r="L52" s="388">
        <v>1273409</v>
      </c>
      <c r="M52" s="388">
        <v>1273409</v>
      </c>
      <c r="N52" s="388">
        <v>4373641</v>
      </c>
      <c r="P52" s="30">
        <f>M52</f>
        <v>1273409</v>
      </c>
      <c r="Q52" s="425"/>
      <c r="R52" s="30">
        <f>($N52-$P52)*0.451</f>
        <v>1398204.632</v>
      </c>
      <c r="S52" s="30">
        <f>($N52-$P52-$R52)*0.451</f>
        <v>767614.34296799998</v>
      </c>
      <c r="T52" s="30">
        <f>($N52-$P52-$R52-$S52)*0.451</f>
        <v>421420.27428943204</v>
      </c>
      <c r="U52" s="30">
        <f>($N52-$P52-$R52-$S52-$T52)*0.451</f>
        <v>231359.73058489818</v>
      </c>
      <c r="V52" s="30">
        <f>($N52-$P52-$R52-$S52-$T52-$U52)*0.451</f>
        <v>127016.49209110907</v>
      </c>
    </row>
    <row r="53" spans="1:22" x14ac:dyDescent="0.55000000000000004">
      <c r="A53" s="386" t="s">
        <v>1188</v>
      </c>
      <c r="B53" s="387" t="s">
        <v>141</v>
      </c>
      <c r="C53" s="386" t="s">
        <v>1191</v>
      </c>
      <c r="D53" s="387" t="s">
        <v>1192</v>
      </c>
      <c r="E53" s="386" t="s">
        <v>1193</v>
      </c>
      <c r="F53" s="386" t="s">
        <v>1183</v>
      </c>
      <c r="G53" s="388">
        <v>10890000</v>
      </c>
      <c r="H53" s="388">
        <v>0</v>
      </c>
      <c r="I53" s="388">
        <v>10890000</v>
      </c>
      <c r="J53" s="388">
        <v>5810174</v>
      </c>
      <c r="K53" s="388">
        <v>2291001</v>
      </c>
      <c r="L53" s="388">
        <v>1145500</v>
      </c>
      <c r="M53" s="388">
        <v>1145500</v>
      </c>
      <c r="N53" s="388">
        <v>3934326</v>
      </c>
      <c r="P53" s="30">
        <f t="shared" ref="P53:P70" si="1">M53</f>
        <v>1145500</v>
      </c>
      <c r="Q53" s="425"/>
      <c r="R53" s="30">
        <f t="shared" ref="R53:R80" si="2">($N53-$P53)*0.451</f>
        <v>1257760.5260000001</v>
      </c>
      <c r="S53" s="30">
        <f t="shared" ref="S53:S80" si="3">($N53-$P53-$R53)*0.451</f>
        <v>690510.52877400001</v>
      </c>
      <c r="T53" s="30">
        <f t="shared" ref="T53:T80" si="4">($N53-$P53-$R53-$S53)*0.451</f>
        <v>379090.28029692598</v>
      </c>
      <c r="U53" s="30">
        <f t="shared" ref="U53:U80" si="5">($N53-$P53-$R53-$S53-$T53)*0.451</f>
        <v>208120.56388301236</v>
      </c>
      <c r="V53" s="30">
        <f t="shared" ref="V53:V80" si="6">($N53-$P53-$R53-$S53-$T53-$U53)*0.451</f>
        <v>114258.18957177378</v>
      </c>
    </row>
    <row r="54" spans="1:22" x14ac:dyDescent="0.55000000000000004">
      <c r="A54" s="386" t="s">
        <v>1188</v>
      </c>
      <c r="B54" s="387" t="s">
        <v>141</v>
      </c>
      <c r="C54" s="386" t="s">
        <v>1194</v>
      </c>
      <c r="D54" s="387" t="s">
        <v>1195</v>
      </c>
      <c r="E54" s="386" t="s">
        <v>1196</v>
      </c>
      <c r="F54" s="386" t="s">
        <v>1183</v>
      </c>
      <c r="G54" s="388">
        <v>13892728</v>
      </c>
      <c r="H54" s="388">
        <v>0</v>
      </c>
      <c r="I54" s="388">
        <v>13892728</v>
      </c>
      <c r="J54" s="388">
        <v>7412228</v>
      </c>
      <c r="K54" s="388">
        <v>2922705</v>
      </c>
      <c r="L54" s="388">
        <v>1461352</v>
      </c>
      <c r="M54" s="388">
        <v>1461352</v>
      </c>
      <c r="N54" s="388">
        <v>5019148</v>
      </c>
      <c r="P54" s="30">
        <f t="shared" si="1"/>
        <v>1461352</v>
      </c>
      <c r="Q54" s="425"/>
      <c r="R54" s="30">
        <f t="shared" si="2"/>
        <v>1604565.996</v>
      </c>
      <c r="S54" s="30">
        <f t="shared" si="3"/>
        <v>880906.73180399998</v>
      </c>
      <c r="T54" s="30">
        <f t="shared" si="4"/>
        <v>483617.79576039599</v>
      </c>
      <c r="U54" s="30">
        <f t="shared" si="5"/>
        <v>265506.16987245745</v>
      </c>
      <c r="V54" s="30">
        <f t="shared" si="6"/>
        <v>145762.88725997912</v>
      </c>
    </row>
    <row r="55" spans="1:22" x14ac:dyDescent="0.55000000000000004">
      <c r="A55" s="386" t="s">
        <v>1188</v>
      </c>
      <c r="B55" s="387" t="s">
        <v>141</v>
      </c>
      <c r="C55" s="386" t="s">
        <v>1197</v>
      </c>
      <c r="D55" s="387" t="s">
        <v>1198</v>
      </c>
      <c r="E55" s="386" t="s">
        <v>1199</v>
      </c>
      <c r="F55" s="386" t="s">
        <v>1183</v>
      </c>
      <c r="G55" s="388">
        <v>3336366</v>
      </c>
      <c r="H55" s="388">
        <v>0</v>
      </c>
      <c r="I55" s="388">
        <v>3336366</v>
      </c>
      <c r="J55" s="388">
        <v>1711221</v>
      </c>
      <c r="K55" s="388">
        <v>732940</v>
      </c>
      <c r="L55" s="388">
        <v>366470</v>
      </c>
      <c r="M55" s="388">
        <v>366470</v>
      </c>
      <c r="N55" s="388">
        <v>1258675</v>
      </c>
      <c r="P55" s="30">
        <f t="shared" si="1"/>
        <v>366470</v>
      </c>
      <c r="Q55" s="425"/>
      <c r="R55" s="30">
        <f t="shared" si="2"/>
        <v>402384.45500000002</v>
      </c>
      <c r="S55" s="30">
        <f t="shared" si="3"/>
        <v>220909.065795</v>
      </c>
      <c r="T55" s="30">
        <f t="shared" si="4"/>
        <v>121279.07712145499</v>
      </c>
      <c r="U55" s="30">
        <f t="shared" si="5"/>
        <v>66582.213339678798</v>
      </c>
      <c r="V55" s="30">
        <f t="shared" si="6"/>
        <v>36553.635123483655</v>
      </c>
    </row>
    <row r="56" spans="1:22" x14ac:dyDescent="0.55000000000000004">
      <c r="A56" s="386" t="s">
        <v>1188</v>
      </c>
      <c r="B56" s="387" t="s">
        <v>141</v>
      </c>
      <c r="C56" s="386" t="s">
        <v>1200</v>
      </c>
      <c r="D56" s="387" t="s">
        <v>1201</v>
      </c>
      <c r="E56" s="386" t="s">
        <v>1202</v>
      </c>
      <c r="F56" s="386" t="s">
        <v>1183</v>
      </c>
      <c r="G56" s="388">
        <v>1150000</v>
      </c>
      <c r="H56" s="388">
        <v>0</v>
      </c>
      <c r="I56" s="388">
        <v>1150000</v>
      </c>
      <c r="J56" s="388">
        <v>589834</v>
      </c>
      <c r="K56" s="388">
        <v>252634</v>
      </c>
      <c r="L56" s="388">
        <v>126317</v>
      </c>
      <c r="M56" s="388">
        <v>126317</v>
      </c>
      <c r="N56" s="388">
        <v>433849</v>
      </c>
      <c r="P56" s="30">
        <f t="shared" si="1"/>
        <v>126317</v>
      </c>
      <c r="Q56" s="425"/>
      <c r="R56" s="30">
        <f t="shared" si="2"/>
        <v>138696.932</v>
      </c>
      <c r="S56" s="30">
        <f t="shared" si="3"/>
        <v>76144.615667999999</v>
      </c>
      <c r="T56" s="30">
        <f t="shared" si="4"/>
        <v>41803.394001731998</v>
      </c>
      <c r="U56" s="30">
        <f t="shared" si="5"/>
        <v>22950.063306950869</v>
      </c>
      <c r="V56" s="30">
        <f t="shared" si="6"/>
        <v>12599.584755516027</v>
      </c>
    </row>
    <row r="57" spans="1:22" x14ac:dyDescent="0.55000000000000004">
      <c r="A57" s="386" t="s">
        <v>1188</v>
      </c>
      <c r="B57" s="387" t="s">
        <v>141</v>
      </c>
      <c r="C57" s="386" t="s">
        <v>1203</v>
      </c>
      <c r="D57" s="387" t="s">
        <v>1204</v>
      </c>
      <c r="E57" s="386" t="s">
        <v>1205</v>
      </c>
      <c r="F57" s="386" t="s">
        <v>1183</v>
      </c>
      <c r="G57" s="388">
        <v>2836364</v>
      </c>
      <c r="H57" s="388">
        <v>0</v>
      </c>
      <c r="I57" s="388">
        <v>2836364</v>
      </c>
      <c r="J57" s="388">
        <v>1454770</v>
      </c>
      <c r="K57" s="388">
        <v>623098</v>
      </c>
      <c r="L57" s="388">
        <v>311549</v>
      </c>
      <c r="M57" s="388">
        <v>311549</v>
      </c>
      <c r="N57" s="388">
        <v>1070045</v>
      </c>
      <c r="P57" s="30">
        <f t="shared" si="1"/>
        <v>311549</v>
      </c>
      <c r="Q57" s="425"/>
      <c r="R57" s="30">
        <f t="shared" si="2"/>
        <v>342081.696</v>
      </c>
      <c r="S57" s="30">
        <f t="shared" si="3"/>
        <v>187802.851104</v>
      </c>
      <c r="T57" s="30">
        <f t="shared" si="4"/>
        <v>103103.765256096</v>
      </c>
      <c r="U57" s="30">
        <f t="shared" si="5"/>
        <v>56603.967125596704</v>
      </c>
      <c r="V57" s="30">
        <f t="shared" si="6"/>
        <v>31075.57795195259</v>
      </c>
    </row>
    <row r="58" spans="1:22" x14ac:dyDescent="0.55000000000000004">
      <c r="A58" s="386" t="s">
        <v>1188</v>
      </c>
      <c r="B58" s="387" t="s">
        <v>141</v>
      </c>
      <c r="C58" s="386" t="s">
        <v>1206</v>
      </c>
      <c r="D58" s="387" t="s">
        <v>1207</v>
      </c>
      <c r="E58" s="386" t="s">
        <v>1205</v>
      </c>
      <c r="F58" s="386" t="s">
        <v>1183</v>
      </c>
      <c r="G58" s="388">
        <v>7043637</v>
      </c>
      <c r="H58" s="388">
        <v>0</v>
      </c>
      <c r="I58" s="388">
        <v>7043637</v>
      </c>
      <c r="J58" s="388">
        <v>3612679</v>
      </c>
      <c r="K58" s="388">
        <v>1547362</v>
      </c>
      <c r="L58" s="388">
        <v>773681</v>
      </c>
      <c r="M58" s="388">
        <v>773681</v>
      </c>
      <c r="N58" s="388">
        <v>2657277</v>
      </c>
      <c r="P58" s="30">
        <f t="shared" si="1"/>
        <v>773681</v>
      </c>
      <c r="Q58" s="425"/>
      <c r="R58" s="30">
        <f t="shared" si="2"/>
        <v>849501.79599999997</v>
      </c>
      <c r="S58" s="30">
        <f t="shared" si="3"/>
        <v>466376.48600400001</v>
      </c>
      <c r="T58" s="30">
        <f t="shared" si="4"/>
        <v>256040.69081619603</v>
      </c>
      <c r="U58" s="30">
        <f t="shared" si="5"/>
        <v>140566.33925809164</v>
      </c>
      <c r="V58" s="30">
        <f t="shared" si="6"/>
        <v>77170.920252692304</v>
      </c>
    </row>
    <row r="59" spans="1:22" x14ac:dyDescent="0.55000000000000004">
      <c r="A59" s="386" t="s">
        <v>1188</v>
      </c>
      <c r="B59" s="387" t="s">
        <v>141</v>
      </c>
      <c r="C59" s="386" t="s">
        <v>1208</v>
      </c>
      <c r="D59" s="387" t="s">
        <v>1209</v>
      </c>
      <c r="E59" s="386" t="s">
        <v>1210</v>
      </c>
      <c r="F59" s="386" t="s">
        <v>1183</v>
      </c>
      <c r="G59" s="388">
        <v>4172728</v>
      </c>
      <c r="H59" s="388">
        <v>0</v>
      </c>
      <c r="I59" s="388">
        <v>4172728</v>
      </c>
      <c r="J59" s="388">
        <v>1967997</v>
      </c>
      <c r="K59" s="388">
        <v>994333</v>
      </c>
      <c r="L59" s="388">
        <v>497166</v>
      </c>
      <c r="M59" s="388">
        <v>497166</v>
      </c>
      <c r="N59" s="388">
        <v>1707565</v>
      </c>
      <c r="P59" s="30">
        <f t="shared" si="1"/>
        <v>497166</v>
      </c>
      <c r="Q59" s="425"/>
      <c r="R59" s="30">
        <f t="shared" si="2"/>
        <v>545889.94900000002</v>
      </c>
      <c r="S59" s="30">
        <f t="shared" si="3"/>
        <v>299693.582001</v>
      </c>
      <c r="T59" s="30">
        <f t="shared" si="4"/>
        <v>164531.77651854898</v>
      </c>
      <c r="U59" s="30">
        <f t="shared" si="5"/>
        <v>90327.945308683396</v>
      </c>
      <c r="V59" s="30">
        <f t="shared" si="6"/>
        <v>49590.041974467189</v>
      </c>
    </row>
    <row r="60" spans="1:22" x14ac:dyDescent="0.55000000000000004">
      <c r="A60" s="386" t="s">
        <v>1188</v>
      </c>
      <c r="B60" s="387" t="s">
        <v>141</v>
      </c>
      <c r="C60" s="386" t="s">
        <v>1211</v>
      </c>
      <c r="D60" s="387" t="s">
        <v>1212</v>
      </c>
      <c r="E60" s="386" t="s">
        <v>1213</v>
      </c>
      <c r="F60" s="386" t="s">
        <v>1183</v>
      </c>
      <c r="G60" s="388">
        <v>1900000</v>
      </c>
      <c r="H60" s="388">
        <v>0</v>
      </c>
      <c r="I60" s="388">
        <v>1900000</v>
      </c>
      <c r="J60" s="388">
        <v>571266</v>
      </c>
      <c r="K60" s="388">
        <v>599259</v>
      </c>
      <c r="L60" s="388">
        <v>299629</v>
      </c>
      <c r="M60" s="388">
        <v>299629</v>
      </c>
      <c r="N60" s="388">
        <v>1029105</v>
      </c>
      <c r="P60" s="30">
        <f t="shared" si="1"/>
        <v>299629</v>
      </c>
      <c r="Q60" s="425"/>
      <c r="R60" s="30">
        <f t="shared" si="2"/>
        <v>328993.67600000004</v>
      </c>
      <c r="S60" s="30">
        <f t="shared" si="3"/>
        <v>180617.52812399997</v>
      </c>
      <c r="T60" s="30">
        <f t="shared" si="4"/>
        <v>99159.022940076</v>
      </c>
      <c r="U60" s="30">
        <f t="shared" si="5"/>
        <v>54438.303594101722</v>
      </c>
      <c r="V60" s="30">
        <f t="shared" si="6"/>
        <v>29886.628673161838</v>
      </c>
    </row>
    <row r="61" spans="1:22" x14ac:dyDescent="0.55000000000000004">
      <c r="A61" s="386" t="s">
        <v>1188</v>
      </c>
      <c r="B61" s="387" t="s">
        <v>141</v>
      </c>
      <c r="C61" s="386" t="s">
        <v>1214</v>
      </c>
      <c r="D61" s="387" t="s">
        <v>1215</v>
      </c>
      <c r="E61" s="386" t="s">
        <v>1216</v>
      </c>
      <c r="F61" s="386" t="s">
        <v>1183</v>
      </c>
      <c r="G61" s="388">
        <v>1421455</v>
      </c>
      <c r="H61" s="388">
        <v>0</v>
      </c>
      <c r="I61" s="388">
        <v>1421455</v>
      </c>
      <c r="J61" s="388">
        <v>373961</v>
      </c>
      <c r="K61" s="388">
        <v>472419</v>
      </c>
      <c r="L61" s="388">
        <v>236209</v>
      </c>
      <c r="M61" s="388">
        <v>236209</v>
      </c>
      <c r="N61" s="388">
        <v>811285</v>
      </c>
      <c r="P61" s="30">
        <f t="shared" si="1"/>
        <v>236209</v>
      </c>
      <c r="Q61" s="425"/>
      <c r="R61" s="30">
        <f t="shared" si="2"/>
        <v>259359.27600000001</v>
      </c>
      <c r="S61" s="30">
        <f t="shared" si="3"/>
        <v>142388.242524</v>
      </c>
      <c r="T61" s="30">
        <f t="shared" si="4"/>
        <v>78171.145145675997</v>
      </c>
      <c r="U61" s="30">
        <f t="shared" si="5"/>
        <v>42915.958684976118</v>
      </c>
      <c r="V61" s="30">
        <f t="shared" si="6"/>
        <v>23560.861318051891</v>
      </c>
    </row>
    <row r="62" spans="1:22" x14ac:dyDescent="0.55000000000000004">
      <c r="A62" s="386" t="s">
        <v>1188</v>
      </c>
      <c r="B62" s="387" t="s">
        <v>141</v>
      </c>
      <c r="C62" s="386" t="s">
        <v>1217</v>
      </c>
      <c r="D62" s="387" t="s">
        <v>1215</v>
      </c>
      <c r="E62" s="386" t="s">
        <v>1218</v>
      </c>
      <c r="F62" s="386" t="s">
        <v>1183</v>
      </c>
      <c r="G62" s="388">
        <v>3193200</v>
      </c>
      <c r="H62" s="388">
        <v>0</v>
      </c>
      <c r="I62" s="388">
        <v>3193200</v>
      </c>
      <c r="J62" s="388">
        <v>720066</v>
      </c>
      <c r="K62" s="388">
        <v>1115383</v>
      </c>
      <c r="L62" s="388">
        <v>557691</v>
      </c>
      <c r="M62" s="388">
        <v>557691</v>
      </c>
      <c r="N62" s="388">
        <v>1915443</v>
      </c>
      <c r="P62" s="30">
        <f t="shared" si="1"/>
        <v>557691</v>
      </c>
      <c r="Q62" s="425"/>
      <c r="R62" s="30">
        <f t="shared" si="2"/>
        <v>612346.152</v>
      </c>
      <c r="S62" s="30">
        <f t="shared" si="3"/>
        <v>336178.03744799999</v>
      </c>
      <c r="T62" s="30">
        <f t="shared" si="4"/>
        <v>184561.74255895201</v>
      </c>
      <c r="U62" s="30">
        <f t="shared" si="5"/>
        <v>101324.39666486465</v>
      </c>
      <c r="V62" s="30">
        <f t="shared" si="6"/>
        <v>55627.093769010695</v>
      </c>
    </row>
    <row r="63" spans="1:22" x14ac:dyDescent="0.55000000000000004">
      <c r="A63" s="386" t="s">
        <v>1188</v>
      </c>
      <c r="B63" s="387" t="s">
        <v>141</v>
      </c>
      <c r="C63" s="386" t="s">
        <v>1219</v>
      </c>
      <c r="D63" s="387" t="s">
        <v>1220</v>
      </c>
      <c r="E63" s="386" t="s">
        <v>1221</v>
      </c>
      <c r="F63" s="386" t="s">
        <v>1183</v>
      </c>
      <c r="G63" s="388">
        <v>1386000</v>
      </c>
      <c r="H63" s="388">
        <v>0</v>
      </c>
      <c r="I63" s="388">
        <v>1386000</v>
      </c>
      <c r="J63" s="388">
        <v>260452</v>
      </c>
      <c r="K63" s="388">
        <v>507622</v>
      </c>
      <c r="L63" s="388">
        <v>253811</v>
      </c>
      <c r="M63" s="388">
        <v>253811</v>
      </c>
      <c r="N63" s="388">
        <v>871737</v>
      </c>
      <c r="P63" s="30">
        <f t="shared" si="1"/>
        <v>253811</v>
      </c>
      <c r="Q63" s="425"/>
      <c r="R63" s="30">
        <f t="shared" si="2"/>
        <v>278684.62599999999</v>
      </c>
      <c r="S63" s="30">
        <f t="shared" si="3"/>
        <v>152997.85967400001</v>
      </c>
      <c r="T63" s="30">
        <f t="shared" si="4"/>
        <v>83995.82496102601</v>
      </c>
      <c r="U63" s="30">
        <f t="shared" si="5"/>
        <v>46113.707903603274</v>
      </c>
      <c r="V63" s="30">
        <f t="shared" si="6"/>
        <v>25316.425639078196</v>
      </c>
    </row>
    <row r="64" spans="1:22" x14ac:dyDescent="0.55000000000000004">
      <c r="A64" s="386" t="s">
        <v>1188</v>
      </c>
      <c r="B64" s="387" t="s">
        <v>141</v>
      </c>
      <c r="C64" s="386" t="s">
        <v>1222</v>
      </c>
      <c r="D64" s="387" t="s">
        <v>1223</v>
      </c>
      <c r="E64" s="386" t="s">
        <v>1224</v>
      </c>
      <c r="F64" s="386" t="s">
        <v>1183</v>
      </c>
      <c r="G64" s="388">
        <v>1586000</v>
      </c>
      <c r="H64" s="388">
        <v>0</v>
      </c>
      <c r="I64" s="388">
        <v>1586000</v>
      </c>
      <c r="J64" s="388">
        <v>298035</v>
      </c>
      <c r="K64" s="388">
        <v>580872</v>
      </c>
      <c r="L64" s="388">
        <v>290436</v>
      </c>
      <c r="M64" s="388">
        <v>290436</v>
      </c>
      <c r="N64" s="388">
        <v>997529</v>
      </c>
      <c r="P64" s="30">
        <f t="shared" si="1"/>
        <v>290436</v>
      </c>
      <c r="Q64" s="425"/>
      <c r="R64" s="30">
        <f t="shared" si="2"/>
        <v>318898.94300000003</v>
      </c>
      <c r="S64" s="30">
        <f t="shared" si="3"/>
        <v>175075.519707</v>
      </c>
      <c r="T64" s="30">
        <f t="shared" si="4"/>
        <v>96116.460319142992</v>
      </c>
      <c r="U64" s="30">
        <f t="shared" si="5"/>
        <v>52767.9367152095</v>
      </c>
      <c r="V64" s="30">
        <f t="shared" si="6"/>
        <v>28969.597256650013</v>
      </c>
    </row>
    <row r="65" spans="1:22" x14ac:dyDescent="0.55000000000000004">
      <c r="A65" s="386" t="s">
        <v>1188</v>
      </c>
      <c r="B65" s="387" t="s">
        <v>141</v>
      </c>
      <c r="C65" s="386" t="s">
        <v>1488</v>
      </c>
      <c r="D65" s="387" t="s">
        <v>1489</v>
      </c>
      <c r="E65" s="386" t="s">
        <v>1490</v>
      </c>
      <c r="F65" s="386" t="s">
        <v>1183</v>
      </c>
      <c r="G65" s="388">
        <v>10078400</v>
      </c>
      <c r="H65" s="388">
        <v>0</v>
      </c>
      <c r="I65" s="388">
        <v>10078400</v>
      </c>
      <c r="J65" s="388">
        <v>1136339</v>
      </c>
      <c r="K65" s="388">
        <v>4032869</v>
      </c>
      <c r="L65" s="388">
        <v>2016434</v>
      </c>
      <c r="M65" s="388">
        <v>2016434</v>
      </c>
      <c r="N65" s="388">
        <v>6925627</v>
      </c>
      <c r="P65" s="30">
        <f t="shared" si="1"/>
        <v>2016434</v>
      </c>
      <c r="Q65" s="425"/>
      <c r="R65" s="30">
        <f t="shared" si="2"/>
        <v>2214046.0430000001</v>
      </c>
      <c r="S65" s="30">
        <f t="shared" si="3"/>
        <v>1215511.277607</v>
      </c>
      <c r="T65" s="30">
        <f t="shared" si="4"/>
        <v>667315.69140624302</v>
      </c>
      <c r="U65" s="30">
        <f t="shared" si="5"/>
        <v>366356.31458202738</v>
      </c>
      <c r="V65" s="30">
        <f t="shared" si="6"/>
        <v>201129.61670553303</v>
      </c>
    </row>
    <row r="66" spans="1:22" x14ac:dyDescent="0.55000000000000004">
      <c r="A66" s="386" t="s">
        <v>1188</v>
      </c>
      <c r="B66" s="387" t="s">
        <v>141</v>
      </c>
      <c r="C66" s="386" t="s">
        <v>1491</v>
      </c>
      <c r="D66" s="387" t="s">
        <v>1492</v>
      </c>
      <c r="E66" s="386" t="s">
        <v>1493</v>
      </c>
      <c r="F66" s="386" t="s">
        <v>1183</v>
      </c>
      <c r="G66" s="388">
        <v>1023840</v>
      </c>
      <c r="H66" s="388">
        <v>0</v>
      </c>
      <c r="I66" s="388">
        <v>1023840</v>
      </c>
      <c r="J66" s="388">
        <v>76958</v>
      </c>
      <c r="K66" s="388">
        <v>427043</v>
      </c>
      <c r="L66" s="388">
        <v>213521</v>
      </c>
      <c r="M66" s="388">
        <v>213521</v>
      </c>
      <c r="N66" s="388">
        <v>733361</v>
      </c>
      <c r="P66" s="30">
        <f t="shared" si="1"/>
        <v>213521</v>
      </c>
      <c r="Q66" s="425"/>
      <c r="R66" s="30">
        <f t="shared" si="2"/>
        <v>234447.84</v>
      </c>
      <c r="S66" s="30">
        <f t="shared" si="3"/>
        <v>128711.86416000001</v>
      </c>
      <c r="T66" s="30">
        <f t="shared" si="4"/>
        <v>70662.813423840023</v>
      </c>
      <c r="U66" s="30">
        <f t="shared" si="5"/>
        <v>38793.884569688169</v>
      </c>
      <c r="V66" s="30">
        <f t="shared" si="6"/>
        <v>21297.842628758801</v>
      </c>
    </row>
    <row r="67" spans="1:22" x14ac:dyDescent="0.55000000000000004">
      <c r="A67" s="386" t="s">
        <v>1188</v>
      </c>
      <c r="B67" s="387" t="s">
        <v>141</v>
      </c>
      <c r="C67" s="386" t="s">
        <v>1494</v>
      </c>
      <c r="D67" s="387" t="s">
        <v>1489</v>
      </c>
      <c r="E67" s="386" t="s">
        <v>1495</v>
      </c>
      <c r="F67" s="386" t="s">
        <v>1183</v>
      </c>
      <c r="G67" s="388">
        <v>8653900</v>
      </c>
      <c r="H67" s="388">
        <v>0</v>
      </c>
      <c r="I67" s="388">
        <v>8653900</v>
      </c>
      <c r="J67" s="388">
        <v>650484</v>
      </c>
      <c r="K67" s="388">
        <v>3609540</v>
      </c>
      <c r="L67" s="388">
        <v>1804770</v>
      </c>
      <c r="M67" s="388">
        <v>1804770</v>
      </c>
      <c r="N67" s="388">
        <v>6198646</v>
      </c>
      <c r="P67" s="30">
        <f t="shared" si="1"/>
        <v>1804770</v>
      </c>
      <c r="Q67" s="425"/>
      <c r="R67" s="30">
        <f t="shared" si="2"/>
        <v>1981638.0760000001</v>
      </c>
      <c r="S67" s="30">
        <f t="shared" si="3"/>
        <v>1087919.3037239998</v>
      </c>
      <c r="T67" s="30">
        <f t="shared" si="4"/>
        <v>597267.69774447591</v>
      </c>
      <c r="U67" s="30">
        <f t="shared" si="5"/>
        <v>327899.96606171731</v>
      </c>
      <c r="V67" s="30">
        <f t="shared" si="6"/>
        <v>180017.08136788281</v>
      </c>
    </row>
    <row r="68" spans="1:22" x14ac:dyDescent="0.55000000000000004">
      <c r="A68" s="386" t="s">
        <v>1188</v>
      </c>
      <c r="B68" s="387" t="s">
        <v>141</v>
      </c>
      <c r="C68" s="386" t="s">
        <v>1496</v>
      </c>
      <c r="D68" s="387" t="s">
        <v>1215</v>
      </c>
      <c r="E68" s="386" t="s">
        <v>1497</v>
      </c>
      <c r="F68" s="386" t="s">
        <v>1183</v>
      </c>
      <c r="G68" s="388">
        <v>4625700</v>
      </c>
      <c r="H68" s="388">
        <v>0</v>
      </c>
      <c r="I68" s="388">
        <v>4625700</v>
      </c>
      <c r="J68" s="388">
        <v>347698</v>
      </c>
      <c r="K68" s="388">
        <v>1929378</v>
      </c>
      <c r="L68" s="388">
        <v>964689</v>
      </c>
      <c r="M68" s="388">
        <v>964689</v>
      </c>
      <c r="N68" s="388">
        <v>3313313</v>
      </c>
      <c r="P68" s="30">
        <f t="shared" si="1"/>
        <v>964689</v>
      </c>
      <c r="Q68" s="425"/>
      <c r="R68" s="30">
        <f t="shared" si="2"/>
        <v>1059229.4240000001</v>
      </c>
      <c r="S68" s="30">
        <f t="shared" si="3"/>
        <v>581516.95377599995</v>
      </c>
      <c r="T68" s="30">
        <f t="shared" si="4"/>
        <v>319252.80762302398</v>
      </c>
      <c r="U68" s="30">
        <f t="shared" si="5"/>
        <v>175269.79138504015</v>
      </c>
      <c r="V68" s="30">
        <f t="shared" si="6"/>
        <v>96223.115470387042</v>
      </c>
    </row>
    <row r="69" spans="1:22" x14ac:dyDescent="0.55000000000000004">
      <c r="A69" s="386" t="s">
        <v>1188</v>
      </c>
      <c r="B69" s="387" t="s">
        <v>141</v>
      </c>
      <c r="C69" s="386" t="s">
        <v>1498</v>
      </c>
      <c r="D69" s="387" t="s">
        <v>1215</v>
      </c>
      <c r="E69" s="386" t="s">
        <v>1499</v>
      </c>
      <c r="F69" s="386" t="s">
        <v>1183</v>
      </c>
      <c r="G69" s="388">
        <v>5032200</v>
      </c>
      <c r="H69" s="388">
        <v>0</v>
      </c>
      <c r="I69" s="388">
        <v>5032200</v>
      </c>
      <c r="J69" s="388">
        <v>189126</v>
      </c>
      <c r="K69" s="388">
        <v>2184226</v>
      </c>
      <c r="L69" s="388">
        <v>1092113</v>
      </c>
      <c r="M69" s="388">
        <v>1092113</v>
      </c>
      <c r="N69" s="388">
        <v>3750961</v>
      </c>
      <c r="P69" s="30">
        <f t="shared" si="1"/>
        <v>1092113</v>
      </c>
      <c r="Q69" s="425"/>
      <c r="R69" s="30">
        <f t="shared" si="2"/>
        <v>1199140.4480000001</v>
      </c>
      <c r="S69" s="30">
        <f t="shared" si="3"/>
        <v>658328.10595200001</v>
      </c>
      <c r="T69" s="30">
        <f t="shared" si="4"/>
        <v>361422.13016764796</v>
      </c>
      <c r="U69" s="30">
        <f t="shared" si="5"/>
        <v>198420.74946203872</v>
      </c>
      <c r="V69" s="30">
        <f t="shared" si="6"/>
        <v>108932.99145465926</v>
      </c>
    </row>
    <row r="70" spans="1:22" x14ac:dyDescent="0.55000000000000004">
      <c r="A70" s="386" t="s">
        <v>1188</v>
      </c>
      <c r="B70" s="387" t="s">
        <v>141</v>
      </c>
      <c r="C70" s="386" t="s">
        <v>1500</v>
      </c>
      <c r="D70" s="387" t="s">
        <v>1215</v>
      </c>
      <c r="E70" s="386" t="s">
        <v>1501</v>
      </c>
      <c r="F70" s="386" t="s">
        <v>1183</v>
      </c>
      <c r="G70" s="388">
        <v>1555200</v>
      </c>
      <c r="H70" s="388">
        <v>0</v>
      </c>
      <c r="I70" s="388">
        <v>1555200</v>
      </c>
      <c r="J70" s="388">
        <v>58449</v>
      </c>
      <c r="K70" s="388">
        <v>675034</v>
      </c>
      <c r="L70" s="388">
        <v>337517</v>
      </c>
      <c r="M70" s="388">
        <v>337517</v>
      </c>
      <c r="N70" s="388">
        <v>1159234</v>
      </c>
      <c r="P70" s="30">
        <f t="shared" si="1"/>
        <v>337517</v>
      </c>
      <c r="Q70" s="425"/>
      <c r="R70" s="30">
        <f t="shared" si="2"/>
        <v>370594.36700000003</v>
      </c>
      <c r="S70" s="30">
        <f t="shared" si="3"/>
        <v>203456.30748299998</v>
      </c>
      <c r="T70" s="30">
        <f t="shared" si="4"/>
        <v>111697.512808167</v>
      </c>
      <c r="U70" s="30">
        <f t="shared" si="5"/>
        <v>61321.934531683684</v>
      </c>
      <c r="V70" s="30">
        <f t="shared" si="6"/>
        <v>33665.742057894342</v>
      </c>
    </row>
    <row r="71" spans="1:22" x14ac:dyDescent="0.55000000000000004">
      <c r="A71" s="421" t="s">
        <v>1184</v>
      </c>
      <c r="B71" s="422" t="s">
        <v>1185</v>
      </c>
      <c r="C71" s="421" t="s">
        <v>1186</v>
      </c>
      <c r="D71" s="422" t="s">
        <v>141</v>
      </c>
      <c r="E71" s="421" t="s">
        <v>1225</v>
      </c>
      <c r="F71" s="421" t="s">
        <v>1186</v>
      </c>
      <c r="G71" s="423">
        <v>97058628</v>
      </c>
      <c r="H71" s="423">
        <v>0</v>
      </c>
      <c r="I71" s="423">
        <v>97058628</v>
      </c>
      <c r="J71" s="423">
        <v>34875597</v>
      </c>
      <c r="K71" s="423">
        <v>28044537</v>
      </c>
      <c r="L71" s="423">
        <v>14022264</v>
      </c>
      <c r="M71" s="423">
        <v>14022264</v>
      </c>
      <c r="N71" s="423">
        <v>48160767</v>
      </c>
    </row>
    <row r="72" spans="1:22" x14ac:dyDescent="0.55000000000000004">
      <c r="A72" s="386" t="s">
        <v>1226</v>
      </c>
      <c r="B72" s="387" t="s">
        <v>142</v>
      </c>
      <c r="C72" s="386" t="s">
        <v>1180</v>
      </c>
      <c r="D72" s="387" t="s">
        <v>1227</v>
      </c>
      <c r="E72" s="386" t="s">
        <v>1228</v>
      </c>
      <c r="F72" s="386" t="s">
        <v>1183</v>
      </c>
      <c r="G72" s="388">
        <v>96760000</v>
      </c>
      <c r="H72" s="388">
        <v>0</v>
      </c>
      <c r="I72" s="388">
        <v>96760000</v>
      </c>
      <c r="J72" s="388">
        <v>53621125</v>
      </c>
      <c r="K72" s="388">
        <v>19455632</v>
      </c>
      <c r="L72" s="388">
        <v>9727816</v>
      </c>
      <c r="M72" s="388">
        <v>9727816</v>
      </c>
      <c r="N72" s="388">
        <v>33411059</v>
      </c>
      <c r="P72" s="30">
        <f t="shared" ref="P72:P80" si="7">M72</f>
        <v>9727816</v>
      </c>
      <c r="Q72" s="425"/>
      <c r="R72" s="30">
        <f t="shared" si="2"/>
        <v>10681142.593</v>
      </c>
      <c r="S72" s="30">
        <f t="shared" si="3"/>
        <v>5863947.2835569996</v>
      </c>
      <c r="T72" s="30">
        <f t="shared" si="4"/>
        <v>3219307.0586727932</v>
      </c>
      <c r="U72" s="30">
        <f t="shared" si="5"/>
        <v>1767399.5752113634</v>
      </c>
      <c r="V72" s="30">
        <f t="shared" si="6"/>
        <v>970302.36679103842</v>
      </c>
    </row>
    <row r="73" spans="1:22" x14ac:dyDescent="0.55000000000000004">
      <c r="A73" s="386" t="s">
        <v>1226</v>
      </c>
      <c r="B73" s="387" t="s">
        <v>142</v>
      </c>
      <c r="C73" s="386" t="s">
        <v>1191</v>
      </c>
      <c r="D73" s="387" t="s">
        <v>1227</v>
      </c>
      <c r="E73" s="386" t="s">
        <v>1229</v>
      </c>
      <c r="F73" s="386" t="s">
        <v>1183</v>
      </c>
      <c r="G73" s="388">
        <v>72570000</v>
      </c>
      <c r="H73" s="388">
        <v>0</v>
      </c>
      <c r="I73" s="388">
        <v>72570000</v>
      </c>
      <c r="J73" s="388">
        <v>40215844</v>
      </c>
      <c r="K73" s="388">
        <v>14591724</v>
      </c>
      <c r="L73" s="388">
        <v>7295862</v>
      </c>
      <c r="M73" s="388">
        <v>7295862</v>
      </c>
      <c r="N73" s="388">
        <v>25058294</v>
      </c>
      <c r="P73" s="30">
        <f t="shared" si="7"/>
        <v>7295862</v>
      </c>
      <c r="Q73" s="425"/>
      <c r="R73" s="30">
        <f t="shared" si="2"/>
        <v>8010856.8320000004</v>
      </c>
      <c r="S73" s="30">
        <f t="shared" si="3"/>
        <v>4397960.4007679997</v>
      </c>
      <c r="T73" s="30">
        <f t="shared" si="4"/>
        <v>2414480.2600216321</v>
      </c>
      <c r="U73" s="30">
        <f t="shared" si="5"/>
        <v>1325549.6627518758</v>
      </c>
      <c r="V73" s="30">
        <f t="shared" si="6"/>
        <v>727726.7648507799</v>
      </c>
    </row>
    <row r="74" spans="1:22" x14ac:dyDescent="0.55000000000000004">
      <c r="A74" s="386" t="s">
        <v>1226</v>
      </c>
      <c r="B74" s="387" t="s">
        <v>142</v>
      </c>
      <c r="C74" s="386" t="s">
        <v>1194</v>
      </c>
      <c r="D74" s="387" t="s">
        <v>1230</v>
      </c>
      <c r="E74" s="386" t="s">
        <v>1202</v>
      </c>
      <c r="F74" s="386" t="s">
        <v>1183</v>
      </c>
      <c r="G74" s="388">
        <v>3500000</v>
      </c>
      <c r="H74" s="388">
        <v>0</v>
      </c>
      <c r="I74" s="388">
        <v>3500000</v>
      </c>
      <c r="J74" s="388">
        <v>1795149</v>
      </c>
      <c r="K74" s="388">
        <v>768887</v>
      </c>
      <c r="L74" s="388">
        <v>384443</v>
      </c>
      <c r="M74" s="388">
        <v>384443</v>
      </c>
      <c r="N74" s="388">
        <v>1320408</v>
      </c>
      <c r="P74" s="30">
        <f t="shared" si="7"/>
        <v>384443</v>
      </c>
      <c r="Q74" s="425"/>
      <c r="R74" s="30">
        <f t="shared" si="2"/>
        <v>422120.21500000003</v>
      </c>
      <c r="S74" s="30">
        <f t="shared" si="3"/>
        <v>231743.998035</v>
      </c>
      <c r="T74" s="30">
        <f t="shared" si="4"/>
        <v>127227.45492121499</v>
      </c>
      <c r="U74" s="30">
        <f t="shared" si="5"/>
        <v>69847.87275174704</v>
      </c>
      <c r="V74" s="30">
        <f t="shared" si="6"/>
        <v>38346.482140709115</v>
      </c>
    </row>
    <row r="75" spans="1:22" x14ac:dyDescent="0.55000000000000004">
      <c r="A75" s="386" t="s">
        <v>1226</v>
      </c>
      <c r="B75" s="387" t="s">
        <v>142</v>
      </c>
      <c r="C75" s="386" t="s">
        <v>1197</v>
      </c>
      <c r="D75" s="387" t="s">
        <v>1231</v>
      </c>
      <c r="E75" s="386" t="s">
        <v>1232</v>
      </c>
      <c r="F75" s="386" t="s">
        <v>1183</v>
      </c>
      <c r="G75" s="388">
        <v>72570000</v>
      </c>
      <c r="H75" s="388">
        <v>0</v>
      </c>
      <c r="I75" s="388">
        <v>72570000</v>
      </c>
      <c r="J75" s="388">
        <v>35723779</v>
      </c>
      <c r="K75" s="388">
        <v>16617645</v>
      </c>
      <c r="L75" s="388">
        <v>8308822</v>
      </c>
      <c r="M75" s="388">
        <v>8308822</v>
      </c>
      <c r="N75" s="388">
        <v>28537399</v>
      </c>
      <c r="P75" s="30">
        <f t="shared" si="7"/>
        <v>8308822</v>
      </c>
      <c r="Q75" s="425"/>
      <c r="R75" s="30">
        <f t="shared" si="2"/>
        <v>9123088.227</v>
      </c>
      <c r="S75" s="30">
        <f t="shared" si="3"/>
        <v>5008575.4366230005</v>
      </c>
      <c r="T75" s="30">
        <f t="shared" si="4"/>
        <v>2749707.9147060267</v>
      </c>
      <c r="U75" s="30">
        <f t="shared" si="5"/>
        <v>1509589.6451736088</v>
      </c>
      <c r="V75" s="30">
        <f t="shared" si="6"/>
        <v>828764.71520031116</v>
      </c>
    </row>
    <row r="76" spans="1:22" x14ac:dyDescent="0.55000000000000004">
      <c r="A76" s="386" t="s">
        <v>1226</v>
      </c>
      <c r="B76" s="387" t="s">
        <v>142</v>
      </c>
      <c r="C76" s="386" t="s">
        <v>1200</v>
      </c>
      <c r="D76" s="387" t="s">
        <v>1233</v>
      </c>
      <c r="E76" s="386" t="s">
        <v>1234</v>
      </c>
      <c r="F76" s="386" t="s">
        <v>1183</v>
      </c>
      <c r="G76" s="388">
        <v>1482800</v>
      </c>
      <c r="H76" s="388">
        <v>0</v>
      </c>
      <c r="I76" s="388">
        <v>1482800</v>
      </c>
      <c r="J76" s="388">
        <v>334371</v>
      </c>
      <c r="K76" s="388">
        <v>517941</v>
      </c>
      <c r="L76" s="388">
        <v>258970</v>
      </c>
      <c r="M76" s="388">
        <v>258970</v>
      </c>
      <c r="N76" s="388">
        <v>889459</v>
      </c>
      <c r="P76" s="30">
        <f t="shared" si="7"/>
        <v>258970</v>
      </c>
      <c r="Q76" s="425"/>
      <c r="R76" s="30">
        <f t="shared" si="2"/>
        <v>284350.53899999999</v>
      </c>
      <c r="S76" s="30">
        <f t="shared" si="3"/>
        <v>156108.44591100002</v>
      </c>
      <c r="T76" s="30">
        <f t="shared" si="4"/>
        <v>85703.536805138996</v>
      </c>
      <c r="U76" s="30">
        <f t="shared" si="5"/>
        <v>47051.241706021312</v>
      </c>
      <c r="V76" s="30">
        <f t="shared" si="6"/>
        <v>25831.131696605698</v>
      </c>
    </row>
    <row r="77" spans="1:22" x14ac:dyDescent="0.55000000000000004">
      <c r="A77" s="386" t="s">
        <v>1226</v>
      </c>
      <c r="B77" s="387" t="s">
        <v>142</v>
      </c>
      <c r="C77" s="386" t="s">
        <v>1203</v>
      </c>
      <c r="D77" s="387" t="s">
        <v>1235</v>
      </c>
      <c r="E77" s="386" t="s">
        <v>1236</v>
      </c>
      <c r="F77" s="386" t="s">
        <v>1183</v>
      </c>
      <c r="G77" s="388">
        <v>3600000</v>
      </c>
      <c r="H77" s="388">
        <v>0</v>
      </c>
      <c r="I77" s="388">
        <v>3600000</v>
      </c>
      <c r="J77" s="388">
        <v>811800</v>
      </c>
      <c r="K77" s="388">
        <v>1257478</v>
      </c>
      <c r="L77" s="388">
        <v>628739</v>
      </c>
      <c r="M77" s="388">
        <v>628739</v>
      </c>
      <c r="N77" s="388">
        <v>2159461</v>
      </c>
      <c r="P77" s="30">
        <f t="shared" si="7"/>
        <v>628739</v>
      </c>
      <c r="Q77" s="425"/>
      <c r="R77" s="30">
        <f t="shared" si="2"/>
        <v>690355.62199999997</v>
      </c>
      <c r="S77" s="30">
        <f t="shared" si="3"/>
        <v>379005.23647800001</v>
      </c>
      <c r="T77" s="30">
        <f t="shared" si="4"/>
        <v>208073.87482642202</v>
      </c>
      <c r="U77" s="30">
        <f t="shared" si="5"/>
        <v>114232.55727970568</v>
      </c>
      <c r="V77" s="30">
        <f t="shared" si="6"/>
        <v>62713.673946558418</v>
      </c>
    </row>
    <row r="78" spans="1:22" x14ac:dyDescent="0.55000000000000004">
      <c r="A78" s="386" t="s">
        <v>1226</v>
      </c>
      <c r="B78" s="387" t="s">
        <v>142</v>
      </c>
      <c r="C78" s="386" t="s">
        <v>1206</v>
      </c>
      <c r="D78" s="387" t="s">
        <v>1237</v>
      </c>
      <c r="E78" s="386" t="s">
        <v>1238</v>
      </c>
      <c r="F78" s="386" t="s">
        <v>1183</v>
      </c>
      <c r="G78" s="388">
        <v>200000</v>
      </c>
      <c r="H78" s="388">
        <v>0</v>
      </c>
      <c r="I78" s="388">
        <v>200000</v>
      </c>
      <c r="J78" s="388">
        <v>37583</v>
      </c>
      <c r="K78" s="388">
        <v>73250</v>
      </c>
      <c r="L78" s="388">
        <v>36625</v>
      </c>
      <c r="M78" s="388">
        <v>36625</v>
      </c>
      <c r="N78" s="388">
        <v>125792</v>
      </c>
      <c r="P78" s="30">
        <f t="shared" si="7"/>
        <v>36625</v>
      </c>
      <c r="Q78" s="425"/>
      <c r="R78" s="30">
        <f t="shared" si="2"/>
        <v>40214.317000000003</v>
      </c>
      <c r="S78" s="30">
        <f t="shared" si="3"/>
        <v>22077.660033</v>
      </c>
      <c r="T78" s="30">
        <f t="shared" si="4"/>
        <v>12120.635358116999</v>
      </c>
      <c r="U78" s="30">
        <f t="shared" si="5"/>
        <v>6654.2288116062327</v>
      </c>
      <c r="V78" s="30">
        <f t="shared" si="6"/>
        <v>3653.1716175718216</v>
      </c>
    </row>
    <row r="79" spans="1:22" x14ac:dyDescent="0.55000000000000004">
      <c r="A79" s="386" t="s">
        <v>1226</v>
      </c>
      <c r="B79" s="387" t="s">
        <v>142</v>
      </c>
      <c r="C79" s="386" t="s">
        <v>1208</v>
      </c>
      <c r="D79" s="387" t="s">
        <v>1192</v>
      </c>
      <c r="E79" s="386" t="s">
        <v>1239</v>
      </c>
      <c r="F79" s="386" t="s">
        <v>1183</v>
      </c>
      <c r="G79" s="388">
        <v>4548500</v>
      </c>
      <c r="H79" s="388">
        <v>0</v>
      </c>
      <c r="I79" s="388">
        <v>4548500</v>
      </c>
      <c r="J79" s="388">
        <v>683791</v>
      </c>
      <c r="K79" s="388">
        <v>1742983</v>
      </c>
      <c r="L79" s="388">
        <v>871491</v>
      </c>
      <c r="M79" s="388">
        <v>871491</v>
      </c>
      <c r="N79" s="388">
        <v>2993218</v>
      </c>
      <c r="P79" s="30">
        <f t="shared" si="7"/>
        <v>871491</v>
      </c>
      <c r="Q79" s="425"/>
      <c r="R79" s="30">
        <f t="shared" si="2"/>
        <v>956898.87699999998</v>
      </c>
      <c r="S79" s="30">
        <f t="shared" si="3"/>
        <v>525337.48347300012</v>
      </c>
      <c r="T79" s="30">
        <f t="shared" si="4"/>
        <v>288410.27842667699</v>
      </c>
      <c r="U79" s="30">
        <f t="shared" si="5"/>
        <v>158337.24285624569</v>
      </c>
      <c r="V79" s="30">
        <f t="shared" si="6"/>
        <v>86927.146328078888</v>
      </c>
    </row>
    <row r="80" spans="1:22" x14ac:dyDescent="0.55000000000000004">
      <c r="A80" s="386" t="s">
        <v>1226</v>
      </c>
      <c r="B80" s="387" t="s">
        <v>142</v>
      </c>
      <c r="C80" s="386" t="s">
        <v>1211</v>
      </c>
      <c r="D80" s="387" t="s">
        <v>1233</v>
      </c>
      <c r="E80" s="386" t="s">
        <v>1234</v>
      </c>
      <c r="F80" s="386" t="s">
        <v>1183</v>
      </c>
      <c r="G80" s="388">
        <v>1482800</v>
      </c>
      <c r="H80" s="388">
        <v>0</v>
      </c>
      <c r="I80" s="388">
        <v>1482800</v>
      </c>
      <c r="J80" s="388">
        <v>334371</v>
      </c>
      <c r="K80" s="388">
        <v>517941</v>
      </c>
      <c r="L80" s="388">
        <v>258970</v>
      </c>
      <c r="M80" s="388">
        <v>258970</v>
      </c>
      <c r="N80" s="388">
        <v>889459</v>
      </c>
      <c r="P80" s="30">
        <f t="shared" si="7"/>
        <v>258970</v>
      </c>
      <c r="Q80" s="425"/>
      <c r="R80" s="30">
        <f t="shared" si="2"/>
        <v>284350.53899999999</v>
      </c>
      <c r="S80" s="30">
        <f t="shared" si="3"/>
        <v>156108.44591100002</v>
      </c>
      <c r="T80" s="30">
        <f t="shared" si="4"/>
        <v>85703.536805138996</v>
      </c>
      <c r="U80" s="30">
        <f t="shared" si="5"/>
        <v>47051.241706021312</v>
      </c>
      <c r="V80" s="30">
        <f t="shared" si="6"/>
        <v>25831.131696605698</v>
      </c>
    </row>
    <row r="81" spans="1:20" x14ac:dyDescent="0.55000000000000004">
      <c r="A81" s="385" t="s">
        <v>1184</v>
      </c>
      <c r="B81" s="389" t="s">
        <v>1185</v>
      </c>
      <c r="C81" s="385" t="s">
        <v>1186</v>
      </c>
      <c r="D81" s="389" t="s">
        <v>142</v>
      </c>
      <c r="E81" s="385" t="s">
        <v>1225</v>
      </c>
      <c r="F81" s="385" t="s">
        <v>1186</v>
      </c>
      <c r="G81" s="390">
        <v>256714100</v>
      </c>
      <c r="H81" s="390">
        <v>0</v>
      </c>
      <c r="I81" s="390">
        <v>256714100</v>
      </c>
      <c r="J81" s="390">
        <v>133557813</v>
      </c>
      <c r="K81" s="390">
        <v>55543481</v>
      </c>
      <c r="L81" s="390">
        <v>27771738</v>
      </c>
      <c r="M81" s="390">
        <v>27771738</v>
      </c>
      <c r="N81" s="390">
        <v>95384549</v>
      </c>
    </row>
    <row r="82" spans="1:20" x14ac:dyDescent="0.55000000000000004">
      <c r="A82" s="386" t="s">
        <v>1240</v>
      </c>
      <c r="B82" s="387" t="s">
        <v>1241</v>
      </c>
      <c r="C82" s="386" t="s">
        <v>1180</v>
      </c>
      <c r="D82" s="387" t="s">
        <v>1242</v>
      </c>
      <c r="E82" s="386" t="s">
        <v>1243</v>
      </c>
      <c r="F82" s="386" t="s">
        <v>1183</v>
      </c>
      <c r="G82" s="388">
        <v>35833334</v>
      </c>
      <c r="H82" s="388">
        <v>0</v>
      </c>
      <c r="I82" s="388">
        <v>35833334</v>
      </c>
      <c r="J82" s="388">
        <v>14166666</v>
      </c>
      <c r="K82" s="388">
        <v>10000000</v>
      </c>
      <c r="L82" s="388">
        <v>5000000</v>
      </c>
      <c r="M82" s="388">
        <v>5000000</v>
      </c>
      <c r="N82" s="388">
        <v>30833334</v>
      </c>
      <c r="P82" s="30">
        <f>M82</f>
        <v>5000000</v>
      </c>
      <c r="R82" s="424">
        <f>$K$82</f>
        <v>10000000</v>
      </c>
      <c r="S82" s="424">
        <f>$K$82</f>
        <v>10000000</v>
      </c>
      <c r="T82" s="424">
        <f>N82-S82-R82-P82</f>
        <v>5833334</v>
      </c>
    </row>
    <row r="83" spans="1:20" x14ac:dyDescent="0.55000000000000004">
      <c r="A83" s="385" t="s">
        <v>1184</v>
      </c>
      <c r="B83" s="389" t="s">
        <v>1185</v>
      </c>
      <c r="C83" s="385" t="s">
        <v>1186</v>
      </c>
      <c r="D83" s="389" t="s">
        <v>1241</v>
      </c>
      <c r="E83" s="385" t="s">
        <v>1187</v>
      </c>
      <c r="F83" s="385" t="s">
        <v>1186</v>
      </c>
      <c r="G83" s="390">
        <v>35833334</v>
      </c>
      <c r="H83" s="390">
        <v>0</v>
      </c>
      <c r="I83" s="390">
        <v>35833334</v>
      </c>
      <c r="J83" s="390">
        <v>14166666</v>
      </c>
      <c r="K83" s="390">
        <v>10000000</v>
      </c>
      <c r="L83" s="390">
        <v>5000000</v>
      </c>
      <c r="M83" s="390">
        <v>5000000</v>
      </c>
      <c r="N83" s="390">
        <v>30833334</v>
      </c>
    </row>
    <row r="84" spans="1:20" x14ac:dyDescent="0.55000000000000004">
      <c r="A84" s="385" t="s">
        <v>1186</v>
      </c>
      <c r="B84" s="389" t="s">
        <v>1185</v>
      </c>
      <c r="C84" s="385" t="s">
        <v>1186</v>
      </c>
      <c r="D84" s="389" t="s">
        <v>1244</v>
      </c>
      <c r="E84" s="385" t="s">
        <v>1186</v>
      </c>
      <c r="F84" s="385" t="s">
        <v>1186</v>
      </c>
      <c r="G84" s="390">
        <v>631959788</v>
      </c>
      <c r="H84" s="390">
        <v>0</v>
      </c>
      <c r="I84" s="390">
        <v>631959788</v>
      </c>
      <c r="J84" s="390">
        <v>190840102</v>
      </c>
      <c r="K84" s="390">
        <v>101828044</v>
      </c>
      <c r="L84" s="390">
        <v>50914015</v>
      </c>
      <c r="M84" s="390">
        <v>50914015</v>
      </c>
      <c r="N84" s="390">
        <v>404372337</v>
      </c>
    </row>
    <row r="85" spans="1:20" x14ac:dyDescent="0.55000000000000004">
      <c r="A85" s="385" t="s">
        <v>1245</v>
      </c>
      <c r="B85" s="389" t="s">
        <v>1186</v>
      </c>
      <c r="C85" s="385" t="s">
        <v>1186</v>
      </c>
      <c r="D85" s="389" t="s">
        <v>1186</v>
      </c>
      <c r="E85" s="385" t="s">
        <v>1186</v>
      </c>
      <c r="F85" s="385" t="s">
        <v>1186</v>
      </c>
      <c r="G85" s="390">
        <v>631959788</v>
      </c>
      <c r="H85" s="390">
        <v>0</v>
      </c>
      <c r="I85" s="390">
        <v>631959788</v>
      </c>
      <c r="J85" s="390">
        <v>190840102</v>
      </c>
      <c r="K85" s="390">
        <v>101828044</v>
      </c>
      <c r="L85" s="390">
        <v>50914015</v>
      </c>
      <c r="M85" s="390">
        <v>50914015</v>
      </c>
      <c r="N85" s="390">
        <v>404372337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650E1-929B-4EFD-85D5-6E9EA436F9E8}">
  <dimension ref="A2:V35"/>
  <sheetViews>
    <sheetView workbookViewId="0"/>
  </sheetViews>
  <sheetFormatPr defaultRowHeight="17.600000000000001" x14ac:dyDescent="0.55000000000000004"/>
  <cols>
    <col min="1" max="1" width="19.7109375" customWidth="1"/>
    <col min="18" max="19" width="9.2109375" bestFit="1" customWidth="1"/>
  </cols>
  <sheetData>
    <row r="2" spans="1:22" x14ac:dyDescent="0.55000000000000004">
      <c r="A2" s="439" t="s">
        <v>1168</v>
      </c>
      <c r="B2" s="439" t="s">
        <v>1510</v>
      </c>
      <c r="C2" s="981" t="s">
        <v>1511</v>
      </c>
      <c r="D2" s="981"/>
      <c r="E2" s="439" t="s">
        <v>1171</v>
      </c>
      <c r="F2" s="439" t="s">
        <v>1172</v>
      </c>
      <c r="G2" s="439" t="s">
        <v>1173</v>
      </c>
      <c r="H2" s="439" t="s">
        <v>1174</v>
      </c>
      <c r="I2" s="439" t="s">
        <v>1512</v>
      </c>
      <c r="J2" s="439" t="s">
        <v>1513</v>
      </c>
      <c r="K2" s="439" t="s">
        <v>1484</v>
      </c>
      <c r="L2" s="439" t="s">
        <v>1514</v>
      </c>
      <c r="M2" s="439" t="s">
        <v>1515</v>
      </c>
      <c r="N2" s="439" t="s">
        <v>1516</v>
      </c>
      <c r="O2" s="439" t="s">
        <v>1517</v>
      </c>
      <c r="P2" s="439" t="s">
        <v>1178</v>
      </c>
      <c r="R2">
        <v>2026</v>
      </c>
      <c r="S2">
        <v>2027</v>
      </c>
      <c r="T2">
        <v>2028</v>
      </c>
      <c r="U2">
        <v>2029</v>
      </c>
      <c r="V2">
        <v>2030</v>
      </c>
    </row>
    <row r="3" spans="1:22" x14ac:dyDescent="0.55000000000000004">
      <c r="A3" s="440" t="s">
        <v>1518</v>
      </c>
      <c r="B3" s="441" t="s">
        <v>1519</v>
      </c>
      <c r="C3" s="442" t="s">
        <v>1186</v>
      </c>
      <c r="D3" s="443" t="s">
        <v>1186</v>
      </c>
      <c r="E3" s="444"/>
      <c r="F3" s="444">
        <v>1009091</v>
      </c>
      <c r="G3" s="444">
        <v>1009091</v>
      </c>
      <c r="H3" s="444"/>
      <c r="I3" s="444">
        <v>1009091</v>
      </c>
      <c r="J3" s="445">
        <v>5</v>
      </c>
      <c r="K3" s="446">
        <v>0.45100000000000001</v>
      </c>
      <c r="L3" s="445">
        <v>12</v>
      </c>
      <c r="M3" s="444">
        <v>455100</v>
      </c>
      <c r="N3" s="444"/>
      <c r="O3" s="444">
        <v>455100</v>
      </c>
      <c r="P3" s="444">
        <v>553991</v>
      </c>
      <c r="R3" s="30">
        <f>$P3*$K3</f>
        <v>249849.94100000002</v>
      </c>
      <c r="S3" s="30">
        <f>($P3-$R3)*$K3</f>
        <v>137167.61760900001</v>
      </c>
      <c r="T3" s="30">
        <f>($P3-$R3-$S3)*$K3</f>
        <v>75305.022067341008</v>
      </c>
      <c r="U3" s="30">
        <f>($P3-$R3-$S3-$T3)*$K3</f>
        <v>41342.45711497021</v>
      </c>
      <c r="V3" s="30">
        <f>($P3-$R3-$S3-$T3-$U3)*$K3</f>
        <v>22697.008956118643</v>
      </c>
    </row>
    <row r="4" spans="1:22" x14ac:dyDescent="0.55000000000000004">
      <c r="A4" s="440" t="s">
        <v>1215</v>
      </c>
      <c r="B4" s="441" t="s">
        <v>1520</v>
      </c>
      <c r="C4" s="442" t="s">
        <v>1186</v>
      </c>
      <c r="D4" s="443" t="s">
        <v>1186</v>
      </c>
      <c r="E4" s="444"/>
      <c r="F4" s="444">
        <v>6096200</v>
      </c>
      <c r="G4" s="444">
        <v>6096200</v>
      </c>
      <c r="H4" s="444"/>
      <c r="I4" s="444">
        <v>6096200</v>
      </c>
      <c r="J4" s="445">
        <v>5</v>
      </c>
      <c r="K4" s="446">
        <v>0.45100000000000001</v>
      </c>
      <c r="L4" s="445">
        <v>10</v>
      </c>
      <c r="M4" s="444">
        <v>2291155</v>
      </c>
      <c r="N4" s="444"/>
      <c r="O4" s="444">
        <v>2291155</v>
      </c>
      <c r="P4" s="444">
        <v>3805045</v>
      </c>
      <c r="R4" s="30">
        <f t="shared" ref="R4:R23" si="0">$P4*$K4</f>
        <v>1716075.2950000002</v>
      </c>
      <c r="S4" s="30">
        <f t="shared" ref="S4:S23" si="1">($P4-$R4)*$K4</f>
        <v>942125.33695499995</v>
      </c>
      <c r="T4" s="30">
        <f t="shared" ref="T4:T23" si="2">($P4-$R4-$S4)*$K4</f>
        <v>517226.80998829496</v>
      </c>
      <c r="U4" s="30">
        <f t="shared" ref="U4:U23" si="3">($P4-$R4-$S4-$T4)*$K4</f>
        <v>283957.51868357393</v>
      </c>
      <c r="V4" s="30">
        <f t="shared" ref="V4:V23" si="4">($P4-$R4-$S4-$T4-$U4)*$K4</f>
        <v>155892.6777572821</v>
      </c>
    </row>
    <row r="5" spans="1:22" x14ac:dyDescent="0.55000000000000004">
      <c r="A5" s="440" t="s">
        <v>1215</v>
      </c>
      <c r="B5" s="441" t="s">
        <v>1521</v>
      </c>
      <c r="C5" s="442" t="s">
        <v>1186</v>
      </c>
      <c r="D5" s="443" t="s">
        <v>1186</v>
      </c>
      <c r="E5" s="444"/>
      <c r="F5" s="444">
        <v>1363000</v>
      </c>
      <c r="G5" s="444">
        <v>1363000</v>
      </c>
      <c r="H5" s="444"/>
      <c r="I5" s="444">
        <v>1363000</v>
      </c>
      <c r="J5" s="445">
        <v>5</v>
      </c>
      <c r="K5" s="446">
        <v>0.45100000000000001</v>
      </c>
      <c r="L5" s="445">
        <v>10</v>
      </c>
      <c r="M5" s="444">
        <v>512260</v>
      </c>
      <c r="N5" s="444"/>
      <c r="O5" s="444">
        <v>512260</v>
      </c>
      <c r="P5" s="444">
        <v>850740</v>
      </c>
      <c r="R5" s="30">
        <f t="shared" si="0"/>
        <v>383683.74</v>
      </c>
      <c r="S5" s="30">
        <f t="shared" si="1"/>
        <v>210642.37326000002</v>
      </c>
      <c r="T5" s="30">
        <f t="shared" si="2"/>
        <v>115642.66291974</v>
      </c>
      <c r="U5" s="30">
        <f t="shared" si="3"/>
        <v>63487.821942937248</v>
      </c>
      <c r="V5" s="30">
        <f t="shared" si="4"/>
        <v>34854.814246672555</v>
      </c>
    </row>
    <row r="6" spans="1:22" x14ac:dyDescent="0.55000000000000004">
      <c r="A6" s="440" t="s">
        <v>1518</v>
      </c>
      <c r="B6" s="441" t="s">
        <v>1522</v>
      </c>
      <c r="C6" s="442" t="s">
        <v>1186</v>
      </c>
      <c r="D6" s="443" t="s">
        <v>1186</v>
      </c>
      <c r="E6" s="444"/>
      <c r="F6" s="444">
        <v>6300000</v>
      </c>
      <c r="G6" s="444">
        <v>6300000</v>
      </c>
      <c r="H6" s="444"/>
      <c r="I6" s="444">
        <v>6300000</v>
      </c>
      <c r="J6" s="445">
        <v>5</v>
      </c>
      <c r="K6" s="446">
        <v>0.45100000000000001</v>
      </c>
      <c r="L6" s="445">
        <v>8</v>
      </c>
      <c r="M6" s="444">
        <v>1894200</v>
      </c>
      <c r="N6" s="444"/>
      <c r="O6" s="444">
        <v>1894200</v>
      </c>
      <c r="P6" s="444">
        <v>4405800</v>
      </c>
      <c r="R6" s="30">
        <f t="shared" si="0"/>
        <v>1987015.8</v>
      </c>
      <c r="S6" s="30">
        <f t="shared" si="1"/>
        <v>1090871.6742</v>
      </c>
      <c r="T6" s="30">
        <f t="shared" si="2"/>
        <v>598888.5491358001</v>
      </c>
      <c r="U6" s="30">
        <f t="shared" si="3"/>
        <v>328789.81347555423</v>
      </c>
      <c r="V6" s="30">
        <f t="shared" si="4"/>
        <v>180505.60759807928</v>
      </c>
    </row>
    <row r="7" spans="1:22" x14ac:dyDescent="0.55000000000000004">
      <c r="A7" s="440" t="s">
        <v>1215</v>
      </c>
      <c r="B7" s="441" t="s">
        <v>1523</v>
      </c>
      <c r="C7" s="442" t="s">
        <v>1186</v>
      </c>
      <c r="D7" s="443" t="s">
        <v>1186</v>
      </c>
      <c r="E7" s="444"/>
      <c r="F7" s="444">
        <v>2011600</v>
      </c>
      <c r="G7" s="444">
        <v>2011600</v>
      </c>
      <c r="H7" s="444"/>
      <c r="I7" s="444">
        <v>2011600</v>
      </c>
      <c r="J7" s="445">
        <v>5</v>
      </c>
      <c r="K7" s="446">
        <v>0.45100000000000001</v>
      </c>
      <c r="L7" s="445">
        <v>10</v>
      </c>
      <c r="M7" s="444">
        <v>756026</v>
      </c>
      <c r="N7" s="444"/>
      <c r="O7" s="444">
        <v>756026</v>
      </c>
      <c r="P7" s="444">
        <v>1255574</v>
      </c>
      <c r="R7" s="30">
        <f t="shared" si="0"/>
        <v>566263.87400000007</v>
      </c>
      <c r="S7" s="30">
        <f t="shared" si="1"/>
        <v>310878.86682599998</v>
      </c>
      <c r="T7" s="30">
        <f t="shared" si="2"/>
        <v>170672.49788747399</v>
      </c>
      <c r="U7" s="30">
        <f t="shared" si="3"/>
        <v>93699.201340223211</v>
      </c>
      <c r="V7" s="30">
        <f t="shared" si="4"/>
        <v>51440.86153578254</v>
      </c>
    </row>
    <row r="8" spans="1:22" x14ac:dyDescent="0.55000000000000004">
      <c r="A8" s="440" t="s">
        <v>1524</v>
      </c>
      <c r="B8" s="441" t="s">
        <v>1525</v>
      </c>
      <c r="C8" s="442" t="s">
        <v>1186</v>
      </c>
      <c r="D8" s="443" t="s">
        <v>1186</v>
      </c>
      <c r="E8" s="444"/>
      <c r="F8" s="444">
        <v>4840000</v>
      </c>
      <c r="G8" s="444">
        <v>4840000</v>
      </c>
      <c r="H8" s="444"/>
      <c r="I8" s="444">
        <v>4840000</v>
      </c>
      <c r="J8" s="445">
        <v>5</v>
      </c>
      <c r="K8" s="446">
        <v>0.45100000000000001</v>
      </c>
      <c r="L8" s="445">
        <v>10</v>
      </c>
      <c r="M8" s="444">
        <v>1819033</v>
      </c>
      <c r="N8" s="444"/>
      <c r="O8" s="444">
        <v>1819033</v>
      </c>
      <c r="P8" s="444">
        <v>3020967</v>
      </c>
      <c r="R8" s="30">
        <f t="shared" si="0"/>
        <v>1362456.1170000001</v>
      </c>
      <c r="S8" s="30">
        <f t="shared" si="1"/>
        <v>747988.40823299997</v>
      </c>
      <c r="T8" s="30">
        <f t="shared" si="2"/>
        <v>410645.63611991698</v>
      </c>
      <c r="U8" s="30">
        <f t="shared" si="3"/>
        <v>225444.45422983443</v>
      </c>
      <c r="V8" s="30">
        <f t="shared" si="4"/>
        <v>123769.00537217909</v>
      </c>
    </row>
    <row r="9" spans="1:22" x14ac:dyDescent="0.55000000000000004">
      <c r="A9" s="440" t="s">
        <v>1526</v>
      </c>
      <c r="B9" s="441" t="s">
        <v>1525</v>
      </c>
      <c r="C9" s="442" t="s">
        <v>1186</v>
      </c>
      <c r="D9" s="443" t="s">
        <v>1186</v>
      </c>
      <c r="E9" s="444"/>
      <c r="F9" s="444">
        <v>5230000</v>
      </c>
      <c r="G9" s="444">
        <v>5230000</v>
      </c>
      <c r="H9" s="444"/>
      <c r="I9" s="444">
        <v>5230000</v>
      </c>
      <c r="J9" s="445">
        <v>5</v>
      </c>
      <c r="K9" s="446">
        <v>0.45100000000000001</v>
      </c>
      <c r="L9" s="445">
        <v>10</v>
      </c>
      <c r="M9" s="444">
        <v>1965608</v>
      </c>
      <c r="N9" s="444"/>
      <c r="O9" s="444">
        <v>1965608</v>
      </c>
      <c r="P9" s="444">
        <v>3264392</v>
      </c>
      <c r="R9" s="30">
        <f t="shared" si="0"/>
        <v>1472240.7920000001</v>
      </c>
      <c r="S9" s="30">
        <f t="shared" si="1"/>
        <v>808260.194808</v>
      </c>
      <c r="T9" s="30">
        <f t="shared" si="2"/>
        <v>443734.84694959194</v>
      </c>
      <c r="U9" s="30">
        <f t="shared" si="3"/>
        <v>243610.43097532596</v>
      </c>
      <c r="V9" s="30">
        <f t="shared" si="4"/>
        <v>133742.12660545393</v>
      </c>
    </row>
    <row r="10" spans="1:22" x14ac:dyDescent="0.55000000000000004">
      <c r="A10" s="440" t="s">
        <v>1524</v>
      </c>
      <c r="B10" s="441" t="s">
        <v>1527</v>
      </c>
      <c r="C10" s="442" t="s">
        <v>1186</v>
      </c>
      <c r="D10" s="443" t="s">
        <v>1186</v>
      </c>
      <c r="E10" s="444"/>
      <c r="F10" s="444">
        <v>1210000</v>
      </c>
      <c r="G10" s="444">
        <v>1210000</v>
      </c>
      <c r="H10" s="444"/>
      <c r="I10" s="444">
        <v>1210000</v>
      </c>
      <c r="J10" s="445">
        <v>5</v>
      </c>
      <c r="K10" s="446">
        <v>0.45100000000000001</v>
      </c>
      <c r="L10" s="445">
        <v>10</v>
      </c>
      <c r="M10" s="444">
        <v>454758</v>
      </c>
      <c r="N10" s="444"/>
      <c r="O10" s="444">
        <v>454758</v>
      </c>
      <c r="P10" s="444">
        <v>755242</v>
      </c>
      <c r="R10" s="30">
        <f t="shared" si="0"/>
        <v>340614.14199999999</v>
      </c>
      <c r="S10" s="30">
        <f t="shared" si="1"/>
        <v>186997.16395800002</v>
      </c>
      <c r="T10" s="30">
        <f t="shared" si="2"/>
        <v>102661.44301294199</v>
      </c>
      <c r="U10" s="30">
        <f t="shared" si="3"/>
        <v>56361.132214105157</v>
      </c>
      <c r="V10" s="30">
        <f t="shared" si="4"/>
        <v>30942.261585543736</v>
      </c>
    </row>
    <row r="11" spans="1:22" x14ac:dyDescent="0.55000000000000004">
      <c r="A11" s="440" t="s">
        <v>1215</v>
      </c>
      <c r="B11" s="441" t="s">
        <v>1528</v>
      </c>
      <c r="C11" s="442" t="s">
        <v>1186</v>
      </c>
      <c r="D11" s="443" t="s">
        <v>1186</v>
      </c>
      <c r="E11" s="444"/>
      <c r="F11" s="444">
        <v>3351900</v>
      </c>
      <c r="G11" s="444">
        <v>3351900</v>
      </c>
      <c r="H11" s="444"/>
      <c r="I11" s="444">
        <v>3351900</v>
      </c>
      <c r="J11" s="445">
        <v>5</v>
      </c>
      <c r="K11" s="446">
        <v>0.45100000000000001</v>
      </c>
      <c r="L11" s="445">
        <v>10</v>
      </c>
      <c r="M11" s="444">
        <v>1259755</v>
      </c>
      <c r="N11" s="444"/>
      <c r="O11" s="444">
        <v>1259755</v>
      </c>
      <c r="P11" s="444">
        <v>2092145</v>
      </c>
      <c r="R11" s="30">
        <f t="shared" si="0"/>
        <v>943557.39500000002</v>
      </c>
      <c r="S11" s="30">
        <f t="shared" si="1"/>
        <v>518013.00985500001</v>
      </c>
      <c r="T11" s="30">
        <f t="shared" si="2"/>
        <v>284389.14241039497</v>
      </c>
      <c r="U11" s="30">
        <f t="shared" si="3"/>
        <v>156129.63918330683</v>
      </c>
      <c r="V11" s="30">
        <f t="shared" si="4"/>
        <v>85715.171911635451</v>
      </c>
    </row>
    <row r="12" spans="1:22" x14ac:dyDescent="0.55000000000000004">
      <c r="A12" s="440" t="s">
        <v>1215</v>
      </c>
      <c r="B12" s="441" t="s">
        <v>1529</v>
      </c>
      <c r="C12" s="442" t="s">
        <v>1186</v>
      </c>
      <c r="D12" s="443" t="s">
        <v>1186</v>
      </c>
      <c r="E12" s="444"/>
      <c r="F12" s="444">
        <v>2930000</v>
      </c>
      <c r="G12" s="444">
        <v>2930000</v>
      </c>
      <c r="H12" s="444"/>
      <c r="I12" s="444">
        <v>2930000</v>
      </c>
      <c r="J12" s="445">
        <v>5</v>
      </c>
      <c r="K12" s="446">
        <v>0.45100000000000001</v>
      </c>
      <c r="L12" s="445">
        <v>9</v>
      </c>
      <c r="M12" s="444">
        <v>991072</v>
      </c>
      <c r="N12" s="444"/>
      <c r="O12" s="444">
        <v>991072</v>
      </c>
      <c r="P12" s="444">
        <v>1938928</v>
      </c>
      <c r="R12" s="30">
        <f t="shared" si="0"/>
        <v>874456.52800000005</v>
      </c>
      <c r="S12" s="30">
        <f t="shared" si="1"/>
        <v>480076.63387200003</v>
      </c>
      <c r="T12" s="30">
        <f t="shared" si="2"/>
        <v>263562.07199572801</v>
      </c>
      <c r="U12" s="30">
        <f t="shared" si="3"/>
        <v>144695.57752565469</v>
      </c>
      <c r="V12" s="30">
        <f t="shared" si="4"/>
        <v>79437.872061584421</v>
      </c>
    </row>
    <row r="13" spans="1:22" x14ac:dyDescent="0.55000000000000004">
      <c r="A13" s="440" t="s">
        <v>1215</v>
      </c>
      <c r="B13" s="441" t="s">
        <v>1530</v>
      </c>
      <c r="C13" s="442" t="s">
        <v>1186</v>
      </c>
      <c r="D13" s="443" t="s">
        <v>1186</v>
      </c>
      <c r="E13" s="444"/>
      <c r="F13" s="444">
        <v>3152500</v>
      </c>
      <c r="G13" s="444">
        <v>3152500</v>
      </c>
      <c r="H13" s="444"/>
      <c r="I13" s="444">
        <v>3152500</v>
      </c>
      <c r="J13" s="445">
        <v>5</v>
      </c>
      <c r="K13" s="446">
        <v>0.45100000000000001</v>
      </c>
      <c r="L13" s="445">
        <v>9</v>
      </c>
      <c r="M13" s="444">
        <v>1066333</v>
      </c>
      <c r="N13" s="444"/>
      <c r="O13" s="444">
        <v>1066333</v>
      </c>
      <c r="P13" s="444">
        <v>2086167</v>
      </c>
      <c r="R13" s="30">
        <f t="shared" si="0"/>
        <v>940861.31700000004</v>
      </c>
      <c r="S13" s="30">
        <f t="shared" si="1"/>
        <v>516532.86303299997</v>
      </c>
      <c r="T13" s="30">
        <f t="shared" si="2"/>
        <v>283576.54180511704</v>
      </c>
      <c r="U13" s="30">
        <f t="shared" si="3"/>
        <v>155683.52145100923</v>
      </c>
      <c r="V13" s="30">
        <f t="shared" si="4"/>
        <v>85470.253276604068</v>
      </c>
    </row>
    <row r="14" spans="1:22" x14ac:dyDescent="0.55000000000000004">
      <c r="A14" s="440" t="s">
        <v>1215</v>
      </c>
      <c r="B14" s="441" t="s">
        <v>1531</v>
      </c>
      <c r="C14" s="442" t="s">
        <v>1186</v>
      </c>
      <c r="D14" s="443" t="s">
        <v>1186</v>
      </c>
      <c r="E14" s="444"/>
      <c r="F14" s="444">
        <v>720700</v>
      </c>
      <c r="G14" s="444">
        <v>720700</v>
      </c>
      <c r="H14" s="444"/>
      <c r="I14" s="444">
        <v>720700</v>
      </c>
      <c r="J14" s="445">
        <v>5</v>
      </c>
      <c r="K14" s="446">
        <v>0.45100000000000001</v>
      </c>
      <c r="L14" s="445">
        <v>8</v>
      </c>
      <c r="M14" s="444">
        <v>216690</v>
      </c>
      <c r="N14" s="444"/>
      <c r="O14" s="444">
        <v>216690</v>
      </c>
      <c r="P14" s="444">
        <v>504010</v>
      </c>
      <c r="R14" s="30">
        <f t="shared" si="0"/>
        <v>227308.51</v>
      </c>
      <c r="S14" s="30">
        <f t="shared" si="1"/>
        <v>124792.37199</v>
      </c>
      <c r="T14" s="30">
        <f t="shared" si="2"/>
        <v>68511.012222509991</v>
      </c>
      <c r="U14" s="30">
        <f t="shared" si="3"/>
        <v>37612.545710157981</v>
      </c>
      <c r="V14" s="30">
        <f t="shared" si="4"/>
        <v>20649.287594876736</v>
      </c>
    </row>
    <row r="15" spans="1:22" x14ac:dyDescent="0.55000000000000004">
      <c r="A15" s="440" t="s">
        <v>1532</v>
      </c>
      <c r="B15" s="441" t="s">
        <v>1533</v>
      </c>
      <c r="C15" s="442" t="s">
        <v>1186</v>
      </c>
      <c r="D15" s="443" t="s">
        <v>1186</v>
      </c>
      <c r="E15" s="444"/>
      <c r="F15" s="444">
        <v>3360000</v>
      </c>
      <c r="G15" s="444">
        <v>3360000</v>
      </c>
      <c r="H15" s="444"/>
      <c r="I15" s="444">
        <v>3360000</v>
      </c>
      <c r="J15" s="445">
        <v>5</v>
      </c>
      <c r="K15" s="446">
        <v>0.45100000000000001</v>
      </c>
      <c r="L15" s="445">
        <v>7</v>
      </c>
      <c r="M15" s="444">
        <v>883960</v>
      </c>
      <c r="N15" s="444"/>
      <c r="O15" s="444">
        <v>883960</v>
      </c>
      <c r="P15" s="444">
        <v>2476040</v>
      </c>
      <c r="R15" s="30">
        <f t="shared" si="0"/>
        <v>1116694.04</v>
      </c>
      <c r="S15" s="30">
        <f t="shared" si="1"/>
        <v>613065.02795999998</v>
      </c>
      <c r="T15" s="30">
        <f t="shared" si="2"/>
        <v>336572.70035003999</v>
      </c>
      <c r="U15" s="30">
        <f t="shared" si="3"/>
        <v>184778.41249217198</v>
      </c>
      <c r="V15" s="30">
        <f t="shared" si="4"/>
        <v>101443.3484582024</v>
      </c>
    </row>
    <row r="16" spans="1:22" x14ac:dyDescent="0.55000000000000004">
      <c r="A16" s="440" t="s">
        <v>1534</v>
      </c>
      <c r="B16" s="441" t="s">
        <v>1535</v>
      </c>
      <c r="C16" s="442" t="s">
        <v>1186</v>
      </c>
      <c r="D16" s="443" t="s">
        <v>1186</v>
      </c>
      <c r="E16" s="444"/>
      <c r="F16" s="444">
        <v>1350000</v>
      </c>
      <c r="G16" s="444">
        <v>1350000</v>
      </c>
      <c r="H16" s="444"/>
      <c r="I16" s="444">
        <v>1350000</v>
      </c>
      <c r="J16" s="445">
        <v>5</v>
      </c>
      <c r="K16" s="446">
        <v>0.45100000000000001</v>
      </c>
      <c r="L16" s="445">
        <v>7</v>
      </c>
      <c r="M16" s="444">
        <v>355162</v>
      </c>
      <c r="N16" s="444"/>
      <c r="O16" s="444">
        <v>355162</v>
      </c>
      <c r="P16" s="444">
        <v>994838</v>
      </c>
      <c r="R16" s="30">
        <f t="shared" si="0"/>
        <v>448671.93800000002</v>
      </c>
      <c r="S16" s="30">
        <f t="shared" si="1"/>
        <v>246320.89396199997</v>
      </c>
      <c r="T16" s="30">
        <f t="shared" si="2"/>
        <v>135230.17078513798</v>
      </c>
      <c r="U16" s="30">
        <f t="shared" si="3"/>
        <v>74241.363761040746</v>
      </c>
      <c r="V16" s="30">
        <f t="shared" si="4"/>
        <v>40758.508704811371</v>
      </c>
    </row>
    <row r="17" spans="1:22" x14ac:dyDescent="0.55000000000000004">
      <c r="A17" s="440" t="s">
        <v>1536</v>
      </c>
      <c r="B17" s="441" t="s">
        <v>1537</v>
      </c>
      <c r="C17" s="442" t="s">
        <v>1186</v>
      </c>
      <c r="D17" s="443" t="s">
        <v>1186</v>
      </c>
      <c r="E17" s="444"/>
      <c r="F17" s="444">
        <v>3360000</v>
      </c>
      <c r="G17" s="444">
        <v>3360000</v>
      </c>
      <c r="H17" s="444"/>
      <c r="I17" s="444">
        <v>3360000</v>
      </c>
      <c r="J17" s="445">
        <v>5</v>
      </c>
      <c r="K17" s="446">
        <v>0.45100000000000001</v>
      </c>
      <c r="L17" s="445">
        <v>7</v>
      </c>
      <c r="M17" s="444">
        <v>883960</v>
      </c>
      <c r="N17" s="444"/>
      <c r="O17" s="444">
        <v>883960</v>
      </c>
      <c r="P17" s="444">
        <v>2476040</v>
      </c>
      <c r="R17" s="30">
        <f t="shared" si="0"/>
        <v>1116694.04</v>
      </c>
      <c r="S17" s="30">
        <f t="shared" si="1"/>
        <v>613065.02795999998</v>
      </c>
      <c r="T17" s="30">
        <f t="shared" si="2"/>
        <v>336572.70035003999</v>
      </c>
      <c r="U17" s="30">
        <f t="shared" si="3"/>
        <v>184778.41249217198</v>
      </c>
      <c r="V17" s="30">
        <f t="shared" si="4"/>
        <v>101443.3484582024</v>
      </c>
    </row>
    <row r="18" spans="1:22" x14ac:dyDescent="0.55000000000000004">
      <c r="A18" s="440" t="s">
        <v>1215</v>
      </c>
      <c r="B18" s="441" t="s">
        <v>1523</v>
      </c>
      <c r="C18" s="442" t="s">
        <v>1186</v>
      </c>
      <c r="D18" s="443" t="s">
        <v>1186</v>
      </c>
      <c r="E18" s="444"/>
      <c r="F18" s="444">
        <v>1363000</v>
      </c>
      <c r="G18" s="444">
        <v>1363000</v>
      </c>
      <c r="H18" s="444"/>
      <c r="I18" s="444">
        <v>1363000</v>
      </c>
      <c r="J18" s="445">
        <v>5</v>
      </c>
      <c r="K18" s="446">
        <v>0.45100000000000001</v>
      </c>
      <c r="L18" s="445">
        <v>10</v>
      </c>
      <c r="M18" s="444">
        <v>512260</v>
      </c>
      <c r="N18" s="444"/>
      <c r="O18" s="444">
        <v>512260</v>
      </c>
      <c r="P18" s="444">
        <v>850740</v>
      </c>
      <c r="R18" s="30">
        <f t="shared" si="0"/>
        <v>383683.74</v>
      </c>
      <c r="S18" s="30">
        <f t="shared" si="1"/>
        <v>210642.37326000002</v>
      </c>
      <c r="T18" s="30">
        <f t="shared" si="2"/>
        <v>115642.66291974</v>
      </c>
      <c r="U18" s="30">
        <f t="shared" si="3"/>
        <v>63487.821942937248</v>
      </c>
      <c r="V18" s="30">
        <f t="shared" si="4"/>
        <v>34854.814246672555</v>
      </c>
    </row>
    <row r="19" spans="1:22" x14ac:dyDescent="0.55000000000000004">
      <c r="A19" s="447" t="s">
        <v>1538</v>
      </c>
      <c r="B19" s="448" t="s">
        <v>1186</v>
      </c>
      <c r="C19" s="449" t="s">
        <v>1186</v>
      </c>
      <c r="D19" s="450" t="s">
        <v>1186</v>
      </c>
      <c r="E19" s="451"/>
      <c r="F19" s="451">
        <v>47647991</v>
      </c>
      <c r="G19" s="451">
        <v>47647991</v>
      </c>
      <c r="H19" s="451"/>
      <c r="I19" s="451">
        <v>47647991</v>
      </c>
      <c r="J19" s="448"/>
      <c r="K19" s="452"/>
      <c r="L19" s="448"/>
      <c r="M19" s="451">
        <v>16317332</v>
      </c>
      <c r="N19" s="451"/>
      <c r="O19" s="451">
        <v>16317332</v>
      </c>
      <c r="P19" s="451">
        <v>31330659</v>
      </c>
    </row>
    <row r="20" spans="1:22" x14ac:dyDescent="0.55000000000000004">
      <c r="A20" s="440" t="s">
        <v>1539</v>
      </c>
      <c r="B20" s="441" t="s">
        <v>1528</v>
      </c>
      <c r="C20" s="442" t="s">
        <v>1186</v>
      </c>
      <c r="D20" s="443" t="s">
        <v>1186</v>
      </c>
      <c r="E20" s="444"/>
      <c r="F20" s="444">
        <v>4600000</v>
      </c>
      <c r="G20" s="444">
        <v>4600000</v>
      </c>
      <c r="H20" s="444"/>
      <c r="I20" s="444">
        <v>4600000</v>
      </c>
      <c r="J20" s="445">
        <v>5</v>
      </c>
      <c r="K20" s="446">
        <v>0.45100000000000001</v>
      </c>
      <c r="L20" s="445">
        <v>10</v>
      </c>
      <c r="M20" s="444">
        <v>1728833</v>
      </c>
      <c r="N20" s="444"/>
      <c r="O20" s="444">
        <v>1728833</v>
      </c>
      <c r="P20" s="444">
        <v>2871167</v>
      </c>
      <c r="R20" s="30">
        <f t="shared" si="0"/>
        <v>1294896.317</v>
      </c>
      <c r="S20" s="30">
        <f t="shared" si="1"/>
        <v>710898.078033</v>
      </c>
      <c r="T20" s="30">
        <f t="shared" si="2"/>
        <v>390283.04484011699</v>
      </c>
      <c r="U20" s="30">
        <f t="shared" si="3"/>
        <v>214265.39161722423</v>
      </c>
      <c r="V20" s="30">
        <f t="shared" si="4"/>
        <v>117631.69999785609</v>
      </c>
    </row>
    <row r="21" spans="1:22" x14ac:dyDescent="0.55000000000000004">
      <c r="A21" s="440" t="s">
        <v>1539</v>
      </c>
      <c r="B21" s="441" t="s">
        <v>1540</v>
      </c>
      <c r="C21" s="442" t="s">
        <v>1186</v>
      </c>
      <c r="D21" s="443" t="s">
        <v>1186</v>
      </c>
      <c r="E21" s="444"/>
      <c r="F21" s="444">
        <v>550000</v>
      </c>
      <c r="G21" s="444">
        <v>550000</v>
      </c>
      <c r="H21" s="444"/>
      <c r="I21" s="444">
        <v>550000</v>
      </c>
      <c r="J21" s="445">
        <v>5</v>
      </c>
      <c r="K21" s="446">
        <v>0.45100000000000001</v>
      </c>
      <c r="L21" s="445">
        <v>10</v>
      </c>
      <c r="M21" s="444">
        <v>206708</v>
      </c>
      <c r="N21" s="444"/>
      <c r="O21" s="444">
        <v>206708</v>
      </c>
      <c r="P21" s="444">
        <v>343292</v>
      </c>
      <c r="R21" s="30">
        <f t="shared" si="0"/>
        <v>154824.69200000001</v>
      </c>
      <c r="S21" s="30">
        <f t="shared" si="1"/>
        <v>84998.755907999992</v>
      </c>
      <c r="T21" s="30">
        <f t="shared" si="2"/>
        <v>46664.316993492001</v>
      </c>
      <c r="U21" s="30">
        <f t="shared" si="3"/>
        <v>25618.710029427108</v>
      </c>
      <c r="V21" s="30">
        <f t="shared" si="4"/>
        <v>14064.671806155482</v>
      </c>
    </row>
    <row r="22" spans="1:22" x14ac:dyDescent="0.55000000000000004">
      <c r="A22" s="440" t="s">
        <v>1539</v>
      </c>
      <c r="B22" s="441" t="s">
        <v>1541</v>
      </c>
      <c r="C22" s="442" t="s">
        <v>1186</v>
      </c>
      <c r="D22" s="443" t="s">
        <v>1186</v>
      </c>
      <c r="E22" s="444"/>
      <c r="F22" s="444">
        <v>15500000</v>
      </c>
      <c r="G22" s="444">
        <v>15500000</v>
      </c>
      <c r="H22" s="444"/>
      <c r="I22" s="444">
        <v>15500000</v>
      </c>
      <c r="J22" s="445">
        <v>5</v>
      </c>
      <c r="K22" s="446">
        <v>0.45100000000000001</v>
      </c>
      <c r="L22" s="445">
        <v>9</v>
      </c>
      <c r="M22" s="444">
        <v>5242875</v>
      </c>
      <c r="N22" s="444"/>
      <c r="O22" s="444">
        <v>5242875</v>
      </c>
      <c r="P22" s="444">
        <v>10257125</v>
      </c>
      <c r="R22" s="30">
        <f t="shared" si="0"/>
        <v>4625963.375</v>
      </c>
      <c r="S22" s="30">
        <f t="shared" si="1"/>
        <v>2539653.8928749999</v>
      </c>
      <c r="T22" s="30">
        <f t="shared" si="2"/>
        <v>1394269.9871883751</v>
      </c>
      <c r="U22" s="30">
        <f t="shared" si="3"/>
        <v>765454.2229664179</v>
      </c>
      <c r="V22" s="30">
        <f t="shared" si="4"/>
        <v>420234.36840856343</v>
      </c>
    </row>
    <row r="23" spans="1:22" x14ac:dyDescent="0.55000000000000004">
      <c r="A23" s="440" t="s">
        <v>1539</v>
      </c>
      <c r="B23" s="441" t="s">
        <v>1542</v>
      </c>
      <c r="C23" s="442" t="s">
        <v>1186</v>
      </c>
      <c r="D23" s="443" t="s">
        <v>1186</v>
      </c>
      <c r="E23" s="444"/>
      <c r="F23" s="444">
        <v>900000</v>
      </c>
      <c r="G23" s="444">
        <v>900000</v>
      </c>
      <c r="H23" s="444"/>
      <c r="I23" s="444">
        <v>900000</v>
      </c>
      <c r="J23" s="445">
        <v>5</v>
      </c>
      <c r="K23" s="446">
        <v>0.45100000000000001</v>
      </c>
      <c r="L23" s="445">
        <v>9</v>
      </c>
      <c r="M23" s="444">
        <v>304425</v>
      </c>
      <c r="N23" s="444"/>
      <c r="O23" s="444">
        <v>304425</v>
      </c>
      <c r="P23" s="444">
        <v>595575</v>
      </c>
      <c r="R23" s="30">
        <f t="shared" si="0"/>
        <v>268604.32500000001</v>
      </c>
      <c r="S23" s="30">
        <f t="shared" si="1"/>
        <v>147463.77442500001</v>
      </c>
      <c r="T23" s="30">
        <f t="shared" si="2"/>
        <v>80957.612159324999</v>
      </c>
      <c r="U23" s="30">
        <f t="shared" si="3"/>
        <v>44445.729075469419</v>
      </c>
      <c r="V23" s="30">
        <f t="shared" si="4"/>
        <v>24400.705262432708</v>
      </c>
    </row>
    <row r="24" spans="1:22" x14ac:dyDescent="0.55000000000000004">
      <c r="A24" s="447" t="s">
        <v>1543</v>
      </c>
      <c r="B24" s="448" t="s">
        <v>1186</v>
      </c>
      <c r="C24" s="449" t="s">
        <v>1186</v>
      </c>
      <c r="D24" s="450" t="s">
        <v>1186</v>
      </c>
      <c r="E24" s="451"/>
      <c r="F24" s="451">
        <v>21550000</v>
      </c>
      <c r="G24" s="451">
        <v>21550000</v>
      </c>
      <c r="H24" s="451"/>
      <c r="I24" s="451">
        <v>21550000</v>
      </c>
      <c r="J24" s="448"/>
      <c r="K24" s="452"/>
      <c r="L24" s="448"/>
      <c r="M24" s="451">
        <v>7482841</v>
      </c>
      <c r="N24" s="451"/>
      <c r="O24" s="451">
        <v>7482841</v>
      </c>
      <c r="P24" s="451">
        <v>14067159</v>
      </c>
    </row>
    <row r="25" spans="1:22" x14ac:dyDescent="0.55000000000000004">
      <c r="A25" s="453" t="s">
        <v>1544</v>
      </c>
      <c r="B25" s="453" t="s">
        <v>1186</v>
      </c>
      <c r="C25" s="982" t="s">
        <v>1186</v>
      </c>
      <c r="D25" s="982"/>
      <c r="E25" s="451"/>
      <c r="F25" s="451">
        <v>69197991</v>
      </c>
      <c r="G25" s="451">
        <v>69197991</v>
      </c>
      <c r="H25" s="451"/>
      <c r="I25" s="451">
        <v>69197991</v>
      </c>
      <c r="J25" s="453" t="s">
        <v>1186</v>
      </c>
      <c r="K25" s="454" t="s">
        <v>1186</v>
      </c>
      <c r="L25" s="453" t="s">
        <v>1186</v>
      </c>
      <c r="M25" s="451">
        <v>23800173</v>
      </c>
      <c r="N25" s="451"/>
      <c r="O25" s="451">
        <v>23800173</v>
      </c>
      <c r="P25" s="451">
        <v>45397818</v>
      </c>
    </row>
    <row r="28" spans="1:22" x14ac:dyDescent="0.55000000000000004">
      <c r="A28" s="439" t="s">
        <v>1168</v>
      </c>
      <c r="B28" s="439" t="s">
        <v>1510</v>
      </c>
      <c r="C28" s="981" t="s">
        <v>1511</v>
      </c>
      <c r="D28" s="981"/>
      <c r="E28" s="439" t="s">
        <v>1171</v>
      </c>
      <c r="F28" s="439" t="s">
        <v>1172</v>
      </c>
      <c r="G28" s="439" t="s">
        <v>1173</v>
      </c>
      <c r="H28" s="439" t="s">
        <v>1174</v>
      </c>
      <c r="I28" s="439" t="s">
        <v>1512</v>
      </c>
      <c r="J28" s="439" t="s">
        <v>1513</v>
      </c>
      <c r="K28" s="439" t="s">
        <v>1484</v>
      </c>
      <c r="L28" s="439" t="s">
        <v>1514</v>
      </c>
      <c r="M28" s="439" t="s">
        <v>1515</v>
      </c>
      <c r="N28" s="439" t="s">
        <v>1516</v>
      </c>
      <c r="O28" s="439" t="s">
        <v>1517</v>
      </c>
      <c r="P28" s="439" t="s">
        <v>1178</v>
      </c>
      <c r="R28">
        <v>2026</v>
      </c>
      <c r="S28">
        <v>2027</v>
      </c>
      <c r="T28">
        <v>2028</v>
      </c>
      <c r="U28">
        <v>2029</v>
      </c>
      <c r="V28">
        <v>2030</v>
      </c>
    </row>
    <row r="29" spans="1:22" x14ac:dyDescent="0.55000000000000004">
      <c r="A29" s="440" t="s">
        <v>1545</v>
      </c>
      <c r="B29" s="441" t="s">
        <v>1546</v>
      </c>
      <c r="C29" s="442" t="s">
        <v>1186</v>
      </c>
      <c r="D29" s="443" t="s">
        <v>1186</v>
      </c>
      <c r="E29" s="444"/>
      <c r="F29" s="444">
        <v>11000000</v>
      </c>
      <c r="G29" s="444">
        <v>11000000</v>
      </c>
      <c r="H29" s="444"/>
      <c r="I29" s="444">
        <v>11000000</v>
      </c>
      <c r="J29" s="445">
        <v>5</v>
      </c>
      <c r="K29" s="446">
        <v>0.2</v>
      </c>
      <c r="L29" s="445">
        <v>10</v>
      </c>
      <c r="M29" s="444">
        <v>1833333</v>
      </c>
      <c r="N29" s="444"/>
      <c r="O29" s="444">
        <v>1833333</v>
      </c>
      <c r="P29" s="444">
        <v>9166667</v>
      </c>
      <c r="R29" s="30">
        <f>F29*K29</f>
        <v>2200000</v>
      </c>
      <c r="S29" s="30">
        <f>R29</f>
        <v>2200000</v>
      </c>
      <c r="T29" s="30">
        <f t="shared" ref="T29:U29" si="5">S29</f>
        <v>2200000</v>
      </c>
      <c r="U29" s="30">
        <f t="shared" si="5"/>
        <v>2200000</v>
      </c>
      <c r="V29" s="30">
        <f>P29-R29-S29-T29-U29</f>
        <v>366667</v>
      </c>
    </row>
    <row r="30" spans="1:22" x14ac:dyDescent="0.55000000000000004">
      <c r="A30" s="440" t="s">
        <v>1545</v>
      </c>
      <c r="B30" s="441" t="s">
        <v>1547</v>
      </c>
      <c r="C30" s="442" t="s">
        <v>1186</v>
      </c>
      <c r="D30" s="443" t="s">
        <v>1186</v>
      </c>
      <c r="E30" s="444"/>
      <c r="F30" s="444">
        <v>1050910</v>
      </c>
      <c r="G30" s="444">
        <v>1050910</v>
      </c>
      <c r="H30" s="444"/>
      <c r="I30" s="444">
        <v>1050910</v>
      </c>
      <c r="J30" s="445">
        <v>5</v>
      </c>
      <c r="K30" s="446">
        <v>0.2</v>
      </c>
      <c r="L30" s="445">
        <v>10</v>
      </c>
      <c r="M30" s="444">
        <v>175151</v>
      </c>
      <c r="N30" s="444"/>
      <c r="O30" s="444">
        <v>175151</v>
      </c>
      <c r="P30" s="444">
        <v>875759</v>
      </c>
      <c r="R30" s="30">
        <f t="shared" ref="R30:R33" si="6">F30*K30</f>
        <v>210182</v>
      </c>
      <c r="S30" s="30">
        <f t="shared" ref="S30:U30" si="7">R30</f>
        <v>210182</v>
      </c>
      <c r="T30" s="30">
        <f t="shared" si="7"/>
        <v>210182</v>
      </c>
      <c r="U30" s="30">
        <f t="shared" si="7"/>
        <v>210182</v>
      </c>
      <c r="V30" s="30">
        <f t="shared" ref="V30:V33" si="8">P30-R30-S30-T30-U30</f>
        <v>35031</v>
      </c>
    </row>
    <row r="31" spans="1:22" x14ac:dyDescent="0.55000000000000004">
      <c r="A31" s="440" t="s">
        <v>1545</v>
      </c>
      <c r="B31" s="441" t="s">
        <v>1541</v>
      </c>
      <c r="C31" s="442" t="s">
        <v>1186</v>
      </c>
      <c r="D31" s="443" t="s">
        <v>1186</v>
      </c>
      <c r="E31" s="444"/>
      <c r="F31" s="444">
        <v>1100000</v>
      </c>
      <c r="G31" s="444">
        <v>1100000</v>
      </c>
      <c r="H31" s="444"/>
      <c r="I31" s="444">
        <v>1100000</v>
      </c>
      <c r="J31" s="445">
        <v>5</v>
      </c>
      <c r="K31" s="446">
        <v>0.2</v>
      </c>
      <c r="L31" s="445">
        <v>9</v>
      </c>
      <c r="M31" s="444">
        <v>165000</v>
      </c>
      <c r="N31" s="444"/>
      <c r="O31" s="444">
        <v>165000</v>
      </c>
      <c r="P31" s="444">
        <v>935000</v>
      </c>
      <c r="R31" s="30">
        <f t="shared" si="6"/>
        <v>220000</v>
      </c>
      <c r="S31" s="30">
        <f t="shared" ref="S31:U31" si="9">R31</f>
        <v>220000</v>
      </c>
      <c r="T31" s="30">
        <f t="shared" si="9"/>
        <v>220000</v>
      </c>
      <c r="U31" s="30">
        <f t="shared" si="9"/>
        <v>220000</v>
      </c>
      <c r="V31" s="30">
        <f t="shared" si="8"/>
        <v>55000</v>
      </c>
    </row>
    <row r="32" spans="1:22" x14ac:dyDescent="0.55000000000000004">
      <c r="A32" s="797" t="s">
        <v>1545</v>
      </c>
      <c r="B32" s="798" t="s">
        <v>1548</v>
      </c>
      <c r="C32" s="799" t="s">
        <v>1186</v>
      </c>
      <c r="D32" s="800" t="s">
        <v>1186</v>
      </c>
      <c r="E32" s="801"/>
      <c r="F32" s="801">
        <v>22275000</v>
      </c>
      <c r="G32" s="801">
        <v>22275000</v>
      </c>
      <c r="H32" s="801"/>
      <c r="I32" s="801">
        <v>22275000</v>
      </c>
      <c r="J32" s="802">
        <v>5</v>
      </c>
      <c r="K32" s="803">
        <v>0.2</v>
      </c>
      <c r="L32" s="802">
        <v>8</v>
      </c>
      <c r="M32" s="801">
        <v>2970000</v>
      </c>
      <c r="N32" s="801"/>
      <c r="O32" s="801">
        <v>2970000</v>
      </c>
      <c r="P32" s="801">
        <v>19305000</v>
      </c>
      <c r="R32" s="30">
        <f t="shared" si="6"/>
        <v>4455000</v>
      </c>
      <c r="S32" s="30">
        <f t="shared" ref="S32:U32" si="10">R32</f>
        <v>4455000</v>
      </c>
      <c r="T32" s="30">
        <f t="shared" si="10"/>
        <v>4455000</v>
      </c>
      <c r="U32" s="30">
        <f t="shared" si="10"/>
        <v>4455000</v>
      </c>
      <c r="V32" s="30">
        <f t="shared" si="8"/>
        <v>1485000</v>
      </c>
    </row>
    <row r="33" spans="1:22" x14ac:dyDescent="0.55000000000000004">
      <c r="A33" s="440" t="s">
        <v>1549</v>
      </c>
      <c r="B33" s="441" t="s">
        <v>1550</v>
      </c>
      <c r="C33" s="442" t="s">
        <v>1186</v>
      </c>
      <c r="D33" s="443" t="s">
        <v>1186</v>
      </c>
      <c r="E33" s="444"/>
      <c r="F33" s="444">
        <v>11000000</v>
      </c>
      <c r="G33" s="444">
        <v>11000000</v>
      </c>
      <c r="H33" s="444"/>
      <c r="I33" s="444">
        <v>11000000</v>
      </c>
      <c r="J33" s="445">
        <v>5</v>
      </c>
      <c r="K33" s="446">
        <v>0.2</v>
      </c>
      <c r="L33" s="445">
        <v>7</v>
      </c>
      <c r="M33" s="444">
        <v>1283333</v>
      </c>
      <c r="N33" s="444"/>
      <c r="O33" s="444">
        <v>1283333</v>
      </c>
      <c r="P33" s="444">
        <v>9716667</v>
      </c>
      <c r="R33" s="30">
        <f t="shared" si="6"/>
        <v>2200000</v>
      </c>
      <c r="S33" s="30">
        <f t="shared" ref="S33:U33" si="11">R33</f>
        <v>2200000</v>
      </c>
      <c r="T33" s="30">
        <f t="shared" si="11"/>
        <v>2200000</v>
      </c>
      <c r="U33" s="30">
        <f t="shared" si="11"/>
        <v>2200000</v>
      </c>
      <c r="V33" s="30">
        <f t="shared" si="8"/>
        <v>916667</v>
      </c>
    </row>
    <row r="34" spans="1:22" x14ac:dyDescent="0.55000000000000004">
      <c r="A34" s="447" t="s">
        <v>1551</v>
      </c>
      <c r="B34" s="448" t="s">
        <v>1186</v>
      </c>
      <c r="C34" s="449" t="s">
        <v>1186</v>
      </c>
      <c r="D34" s="450" t="s">
        <v>1186</v>
      </c>
      <c r="E34" s="451"/>
      <c r="F34" s="451">
        <v>46425910</v>
      </c>
      <c r="G34" s="451">
        <v>46425910</v>
      </c>
      <c r="H34" s="451"/>
      <c r="I34" s="451">
        <v>46425910</v>
      </c>
      <c r="J34" s="448"/>
      <c r="K34" s="452"/>
      <c r="L34" s="448"/>
      <c r="M34" s="451">
        <v>6426817</v>
      </c>
      <c r="N34" s="451"/>
      <c r="O34" s="451">
        <v>6426817</v>
      </c>
      <c r="P34" s="451">
        <v>39999093</v>
      </c>
    </row>
    <row r="35" spans="1:22" x14ac:dyDescent="0.55000000000000004">
      <c r="A35" s="453" t="s">
        <v>1544</v>
      </c>
      <c r="B35" s="453" t="s">
        <v>1186</v>
      </c>
      <c r="C35" s="982" t="s">
        <v>1186</v>
      </c>
      <c r="D35" s="982"/>
      <c r="E35" s="451"/>
      <c r="F35" s="451">
        <v>46425910</v>
      </c>
      <c r="G35" s="451">
        <v>46425910</v>
      </c>
      <c r="H35" s="451"/>
      <c r="I35" s="451">
        <v>46425910</v>
      </c>
      <c r="J35" s="453" t="s">
        <v>1186</v>
      </c>
      <c r="K35" s="454" t="s">
        <v>1186</v>
      </c>
      <c r="L35" s="453" t="s">
        <v>1186</v>
      </c>
      <c r="M35" s="451">
        <v>6426817</v>
      </c>
      <c r="N35" s="451"/>
      <c r="O35" s="451">
        <v>6426817</v>
      </c>
      <c r="P35" s="451">
        <v>39999093</v>
      </c>
    </row>
  </sheetData>
  <mergeCells count="4">
    <mergeCell ref="C2:D2"/>
    <mergeCell ref="C25:D25"/>
    <mergeCell ref="C28:D28"/>
    <mergeCell ref="C35:D35"/>
  </mergeCells>
  <phoneticPr fontId="2" type="noConversion"/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23ECA-FAD2-4DD7-A697-AD46FD450A30}">
  <dimension ref="A1:C29"/>
  <sheetViews>
    <sheetView workbookViewId="0"/>
  </sheetViews>
  <sheetFormatPr defaultRowHeight="17.600000000000001" x14ac:dyDescent="0.55000000000000004"/>
  <cols>
    <col min="2" max="2" width="15" style="30" bestFit="1" customWidth="1"/>
    <col min="3" max="3" width="15" bestFit="1" customWidth="1"/>
  </cols>
  <sheetData>
    <row r="1" spans="1:3" x14ac:dyDescent="0.55000000000000004">
      <c r="A1" t="s">
        <v>528</v>
      </c>
    </row>
    <row r="2" spans="1:3" x14ac:dyDescent="0.55000000000000004">
      <c r="A2" s="396" t="s">
        <v>1288</v>
      </c>
      <c r="B2" s="403" t="s">
        <v>2</v>
      </c>
      <c r="C2" s="396" t="s">
        <v>3</v>
      </c>
    </row>
    <row r="3" spans="1:3" x14ac:dyDescent="0.55000000000000004">
      <c r="A3" s="397" t="s">
        <v>1289</v>
      </c>
      <c r="B3" s="30">
        <v>575776060</v>
      </c>
      <c r="C3" s="30">
        <v>1108650765</v>
      </c>
    </row>
    <row r="4" spans="1:3" x14ac:dyDescent="0.55000000000000004">
      <c r="A4" s="397" t="s">
        <v>1290</v>
      </c>
      <c r="B4" s="30">
        <v>3754491865</v>
      </c>
      <c r="C4" s="30">
        <v>4491041096</v>
      </c>
    </row>
    <row r="5" spans="1:3" x14ac:dyDescent="0.55000000000000004">
      <c r="A5" s="397" t="s">
        <v>1291</v>
      </c>
      <c r="B5" s="30">
        <v>275961071</v>
      </c>
      <c r="C5" s="30">
        <v>222238754</v>
      </c>
    </row>
    <row r="6" spans="1:3" x14ac:dyDescent="0.55000000000000004">
      <c r="A6" s="397" t="s">
        <v>637</v>
      </c>
      <c r="B6" s="30">
        <v>194741797</v>
      </c>
      <c r="C6" s="30">
        <v>992772344</v>
      </c>
    </row>
    <row r="7" spans="1:3" x14ac:dyDescent="0.55000000000000004">
      <c r="A7" s="397" t="s">
        <v>1292</v>
      </c>
      <c r="B7" s="30">
        <v>8245000</v>
      </c>
      <c r="C7" s="30"/>
    </row>
    <row r="8" spans="1:3" x14ac:dyDescent="0.55000000000000004">
      <c r="A8" s="397" t="s">
        <v>1470</v>
      </c>
      <c r="C8" s="30">
        <v>207600491</v>
      </c>
    </row>
    <row r="9" spans="1:3" x14ac:dyDescent="0.55000000000000004">
      <c r="A9" s="398" t="s">
        <v>1293</v>
      </c>
      <c r="B9" s="399">
        <v>4809215793</v>
      </c>
      <c r="C9" s="399">
        <v>7022303450</v>
      </c>
    </row>
    <row r="11" spans="1:3" x14ac:dyDescent="0.55000000000000004">
      <c r="A11" s="397" t="s">
        <v>47</v>
      </c>
    </row>
    <row r="12" spans="1:3" x14ac:dyDescent="0.55000000000000004">
      <c r="A12" s="396" t="s">
        <v>1288</v>
      </c>
      <c r="B12" s="396" t="s">
        <v>3</v>
      </c>
    </row>
    <row r="13" spans="1:3" x14ac:dyDescent="0.55000000000000004">
      <c r="A13" s="397" t="s">
        <v>1289</v>
      </c>
      <c r="B13" s="30">
        <v>342899350</v>
      </c>
    </row>
    <row r="14" spans="1:3" x14ac:dyDescent="0.55000000000000004">
      <c r="A14" s="397" t="s">
        <v>1290</v>
      </c>
      <c r="B14" s="30">
        <v>498982204</v>
      </c>
    </row>
    <row r="15" spans="1:3" x14ac:dyDescent="0.55000000000000004">
      <c r="A15" s="397" t="s">
        <v>1461</v>
      </c>
      <c r="B15" s="30">
        <v>129501036</v>
      </c>
    </row>
    <row r="16" spans="1:3" x14ac:dyDescent="0.55000000000000004">
      <c r="A16" s="397" t="s">
        <v>1292</v>
      </c>
      <c r="B16" s="30">
        <v>249936464</v>
      </c>
    </row>
    <row r="17" spans="1:2" x14ac:dyDescent="0.55000000000000004">
      <c r="A17" s="398" t="s">
        <v>1293</v>
      </c>
      <c r="B17" s="399">
        <v>1221319054</v>
      </c>
    </row>
    <row r="19" spans="1:2" x14ac:dyDescent="0.55000000000000004">
      <c r="A19" s="397" t="s">
        <v>1508</v>
      </c>
    </row>
    <row r="20" spans="1:2" x14ac:dyDescent="0.55000000000000004">
      <c r="A20" s="396" t="s">
        <v>1288</v>
      </c>
      <c r="B20" s="396" t="s">
        <v>3</v>
      </c>
    </row>
    <row r="21" spans="1:2" x14ac:dyDescent="0.55000000000000004">
      <c r="A21" s="397" t="s">
        <v>1289</v>
      </c>
      <c r="B21" s="436">
        <v>671202201</v>
      </c>
    </row>
    <row r="22" spans="1:2" x14ac:dyDescent="0.55000000000000004">
      <c r="A22" s="397" t="s">
        <v>1456</v>
      </c>
      <c r="B22" s="436">
        <v>74313648</v>
      </c>
    </row>
    <row r="23" spans="1:2" x14ac:dyDescent="0.55000000000000004">
      <c r="A23" s="398" t="s">
        <v>1293</v>
      </c>
      <c r="B23" s="437">
        <v>745515849</v>
      </c>
    </row>
    <row r="25" spans="1:2" x14ac:dyDescent="0.55000000000000004">
      <c r="A25" t="s">
        <v>1561</v>
      </c>
    </row>
    <row r="26" spans="1:2" x14ac:dyDescent="0.55000000000000004">
      <c r="A26" s="396" t="s">
        <v>1288</v>
      </c>
      <c r="B26" s="396" t="s">
        <v>1560</v>
      </c>
    </row>
    <row r="27" spans="1:2" x14ac:dyDescent="0.55000000000000004">
      <c r="A27" s="397" t="s">
        <v>1289</v>
      </c>
      <c r="B27" s="459">
        <v>158689316</v>
      </c>
    </row>
    <row r="28" spans="1:2" x14ac:dyDescent="0.55000000000000004">
      <c r="A28" s="397" t="s">
        <v>1456</v>
      </c>
      <c r="B28" s="459">
        <v>3965254</v>
      </c>
    </row>
    <row r="29" spans="1:2" x14ac:dyDescent="0.55000000000000004">
      <c r="A29" s="398" t="s">
        <v>1293</v>
      </c>
      <c r="B29" s="460">
        <v>162654570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F26A2-57E4-48BE-8916-2881FD7F4F49}">
  <dimension ref="A1:P104"/>
  <sheetViews>
    <sheetView workbookViewId="0"/>
  </sheetViews>
  <sheetFormatPr defaultColWidth="9" defaultRowHeight="15" x14ac:dyDescent="0.55000000000000004"/>
  <cols>
    <col min="1" max="1" width="21.85546875" style="32" bestFit="1" customWidth="1"/>
    <col min="2" max="2" width="40.140625" style="32" customWidth="1"/>
    <col min="3" max="3" width="9" style="32"/>
    <col min="4" max="4" width="9.7109375" style="32" bestFit="1" customWidth="1"/>
    <col min="5" max="5" width="9.640625" style="32" bestFit="1" customWidth="1"/>
    <col min="6" max="7" width="9.140625" style="32" bestFit="1" customWidth="1"/>
    <col min="8" max="8" width="9.640625" style="32" bestFit="1" customWidth="1"/>
    <col min="9" max="10" width="9" style="32"/>
    <col min="11" max="12" width="9.2109375" style="32" bestFit="1" customWidth="1"/>
    <col min="13" max="16" width="9.140625" style="32" bestFit="1" customWidth="1"/>
    <col min="17" max="16384" width="9" style="32"/>
  </cols>
  <sheetData>
    <row r="1" spans="1:16" x14ac:dyDescent="0.55000000000000004">
      <c r="H1" s="476">
        <f>SUM(H3:H1048576)</f>
        <v>6237100</v>
      </c>
      <c r="K1" s="476">
        <f t="shared" ref="K1:P1" si="0">SUM(K3:K1048576)</f>
        <v>11895098.691666659</v>
      </c>
      <c r="L1" s="476">
        <f t="shared" si="0"/>
        <v>12454135.580058331</v>
      </c>
      <c r="M1" s="476">
        <f t="shared" si="0"/>
        <v>6837320.4334520288</v>
      </c>
      <c r="N1" s="476">
        <f t="shared" si="0"/>
        <v>3753688.9179651616</v>
      </c>
      <c r="O1" s="476">
        <f t="shared" si="0"/>
        <v>2060775.2159628738</v>
      </c>
      <c r="P1" s="476">
        <f t="shared" si="0"/>
        <v>1131365.5935636172</v>
      </c>
    </row>
    <row r="2" spans="1:16" x14ac:dyDescent="0.55000000000000004">
      <c r="A2" s="461" t="s">
        <v>1564</v>
      </c>
      <c r="B2" s="461" t="s">
        <v>1565</v>
      </c>
      <c r="C2" s="461" t="s">
        <v>1566</v>
      </c>
      <c r="D2" s="461" t="s">
        <v>1567</v>
      </c>
      <c r="E2" s="461" t="s">
        <v>1568</v>
      </c>
      <c r="F2" s="462" t="s">
        <v>1485</v>
      </c>
      <c r="G2" s="462" t="s">
        <v>1569</v>
      </c>
      <c r="H2" s="462" t="s">
        <v>1570</v>
      </c>
      <c r="I2" s="1" t="s">
        <v>1724</v>
      </c>
      <c r="J2" s="1" t="s">
        <v>1725</v>
      </c>
      <c r="K2" s="1">
        <v>2025</v>
      </c>
      <c r="L2" s="1">
        <v>2026</v>
      </c>
      <c r="M2" s="1">
        <v>2027</v>
      </c>
      <c r="N2" s="1">
        <v>2028</v>
      </c>
      <c r="O2" s="1">
        <v>2029</v>
      </c>
      <c r="P2" s="1">
        <v>2030</v>
      </c>
    </row>
    <row r="3" spans="1:16" x14ac:dyDescent="0.55000000000000004">
      <c r="A3" s="463" t="s">
        <v>1571</v>
      </c>
      <c r="B3" s="464" t="s">
        <v>1572</v>
      </c>
      <c r="C3" s="1" t="s">
        <v>1223</v>
      </c>
      <c r="D3" s="465">
        <v>45733</v>
      </c>
      <c r="E3" s="466">
        <v>229890</v>
      </c>
      <c r="F3" s="467"/>
      <c r="G3" s="466"/>
      <c r="H3" s="466"/>
      <c r="I3" s="315"/>
      <c r="J3" s="1"/>
      <c r="K3" s="315">
        <f t="shared" ref="K3:K66" si="1">E3*0.451*(12-MONTH($D3)+1)/12</f>
        <v>86400.324999999997</v>
      </c>
      <c r="L3" s="315">
        <f t="shared" ref="L3:L66" si="2">($E3-$K3)*0.451</f>
        <v>64713.843424999999</v>
      </c>
      <c r="M3" s="315">
        <f t="shared" ref="M3:M66" si="3">($E3-$K3-$L3)*0.451</f>
        <v>35527.900040324996</v>
      </c>
      <c r="N3" s="315">
        <f t="shared" ref="N3:N66" si="4">($E3-$K3-$L3-$M3)*0.451</f>
        <v>19504.817122138422</v>
      </c>
      <c r="O3" s="315">
        <f t="shared" ref="O3:O66" si="5">($E3-$K3-$L3-$M3-$N3)*0.451</f>
        <v>10708.144600053995</v>
      </c>
      <c r="P3" s="315">
        <f t="shared" ref="P3:P66" si="6">($E3-$K3-$L3-$M3-$N3-$O3)*0.451</f>
        <v>5878.7713854296426</v>
      </c>
    </row>
    <row r="4" spans="1:16" x14ac:dyDescent="0.55000000000000004">
      <c r="A4" s="463" t="s">
        <v>1573</v>
      </c>
      <c r="B4" s="464" t="s">
        <v>1574</v>
      </c>
      <c r="C4" s="1" t="s">
        <v>1575</v>
      </c>
      <c r="D4" s="465">
        <v>45734</v>
      </c>
      <c r="E4" s="466">
        <v>1365800</v>
      </c>
      <c r="F4" s="467">
        <f t="shared" ref="F4:F60" si="7">2/5</f>
        <v>0.4</v>
      </c>
      <c r="G4" s="466">
        <f>IF(2025=YEAR(D4),12-MONTH(D4)+1,12)</f>
        <v>10</v>
      </c>
      <c r="H4" s="466">
        <f t="shared" ref="H4:H60" si="8">E4*F4*G4/12</f>
        <v>455266.66666666669</v>
      </c>
      <c r="I4" s="315"/>
      <c r="J4" s="1"/>
      <c r="K4" s="315">
        <f t="shared" si="1"/>
        <v>513313.16666666669</v>
      </c>
      <c r="L4" s="315">
        <f t="shared" si="2"/>
        <v>384471.56183333328</v>
      </c>
      <c r="M4" s="315">
        <f t="shared" si="3"/>
        <v>211074.88744649998</v>
      </c>
      <c r="N4" s="315">
        <f t="shared" si="4"/>
        <v>115880.1132081285</v>
      </c>
      <c r="O4" s="315">
        <f t="shared" si="5"/>
        <v>63618.182151262539</v>
      </c>
      <c r="P4" s="315">
        <f t="shared" si="6"/>
        <v>34926.38200104313</v>
      </c>
    </row>
    <row r="5" spans="1:16" x14ac:dyDescent="0.55000000000000004">
      <c r="A5" s="463" t="s">
        <v>1576</v>
      </c>
      <c r="B5" s="464" t="s">
        <v>1577</v>
      </c>
      <c r="C5" s="1" t="s">
        <v>1578</v>
      </c>
      <c r="D5" s="465">
        <v>45748</v>
      </c>
      <c r="E5" s="466">
        <v>132050</v>
      </c>
      <c r="F5" s="467"/>
      <c r="G5" s="466"/>
      <c r="H5" s="466"/>
      <c r="I5" s="315"/>
      <c r="J5" s="1"/>
      <c r="K5" s="315">
        <f t="shared" si="1"/>
        <v>44665.912500000006</v>
      </c>
      <c r="L5" s="315">
        <f t="shared" si="2"/>
        <v>39410.223462499998</v>
      </c>
      <c r="M5" s="315">
        <f t="shared" si="3"/>
        <v>21636.2126809125</v>
      </c>
      <c r="N5" s="315">
        <f t="shared" si="4"/>
        <v>11878.280761820961</v>
      </c>
      <c r="O5" s="315">
        <f t="shared" si="5"/>
        <v>6521.1761382397071</v>
      </c>
      <c r="P5" s="315">
        <f t="shared" si="6"/>
        <v>3580.1256998935992</v>
      </c>
    </row>
    <row r="6" spans="1:16" x14ac:dyDescent="0.55000000000000004">
      <c r="A6" s="463" t="s">
        <v>1579</v>
      </c>
      <c r="B6" s="464" t="s">
        <v>1580</v>
      </c>
      <c r="C6" s="1" t="s">
        <v>1581</v>
      </c>
      <c r="D6" s="465">
        <v>45748</v>
      </c>
      <c r="E6" s="466">
        <v>56900</v>
      </c>
      <c r="F6" s="467"/>
      <c r="G6" s="466"/>
      <c r="H6" s="466"/>
      <c r="I6" s="315"/>
      <c r="J6" s="1"/>
      <c r="K6" s="315">
        <f t="shared" si="1"/>
        <v>19246.424999999999</v>
      </c>
      <c r="L6" s="315">
        <f t="shared" si="2"/>
        <v>16981.762325</v>
      </c>
      <c r="M6" s="315">
        <f t="shared" si="3"/>
        <v>9322.9875164249988</v>
      </c>
      <c r="N6" s="315">
        <f t="shared" si="4"/>
        <v>5118.3201465173242</v>
      </c>
      <c r="O6" s="315">
        <f t="shared" si="5"/>
        <v>2809.9577604380111</v>
      </c>
      <c r="P6" s="315">
        <f t="shared" si="6"/>
        <v>1542.6668104804683</v>
      </c>
    </row>
    <row r="7" spans="1:16" x14ac:dyDescent="0.55000000000000004">
      <c r="A7" s="463" t="s">
        <v>1582</v>
      </c>
      <c r="B7" s="464" t="s">
        <v>1583</v>
      </c>
      <c r="C7" s="1" t="s">
        <v>1578</v>
      </c>
      <c r="D7" s="465">
        <v>45750</v>
      </c>
      <c r="E7" s="466">
        <v>149000</v>
      </c>
      <c r="F7" s="467"/>
      <c r="G7" s="466"/>
      <c r="H7" s="466"/>
      <c r="I7" s="315"/>
      <c r="J7" s="1"/>
      <c r="K7" s="315">
        <f t="shared" si="1"/>
        <v>50399.25</v>
      </c>
      <c r="L7" s="315">
        <f t="shared" si="2"/>
        <v>44468.938249999999</v>
      </c>
      <c r="M7" s="315">
        <f t="shared" si="3"/>
        <v>24413.447099250003</v>
      </c>
      <c r="N7" s="315">
        <f t="shared" si="4"/>
        <v>13402.98245748825</v>
      </c>
      <c r="O7" s="315">
        <f t="shared" si="5"/>
        <v>7358.2373691610492</v>
      </c>
      <c r="P7" s="315">
        <f t="shared" si="6"/>
        <v>4039.6723156694152</v>
      </c>
    </row>
    <row r="8" spans="1:16" x14ac:dyDescent="0.55000000000000004">
      <c r="A8" s="463" t="s">
        <v>1584</v>
      </c>
      <c r="B8" s="464" t="s">
        <v>1585</v>
      </c>
      <c r="C8" s="1" t="s">
        <v>1586</v>
      </c>
      <c r="D8" s="465">
        <v>45750</v>
      </c>
      <c r="E8" s="466">
        <v>169000</v>
      </c>
      <c r="F8" s="467"/>
      <c r="G8" s="466"/>
      <c r="H8" s="466"/>
      <c r="I8" s="315"/>
      <c r="J8" s="1"/>
      <c r="K8" s="315">
        <f t="shared" si="1"/>
        <v>57164.25</v>
      </c>
      <c r="L8" s="315">
        <f t="shared" si="2"/>
        <v>50437.92325</v>
      </c>
      <c r="M8" s="315">
        <f t="shared" si="3"/>
        <v>27690.419864250001</v>
      </c>
      <c r="N8" s="315">
        <f t="shared" si="4"/>
        <v>15202.040505473247</v>
      </c>
      <c r="O8" s="315">
        <f t="shared" si="5"/>
        <v>8345.9202375048135</v>
      </c>
      <c r="P8" s="315">
        <f t="shared" si="6"/>
        <v>4581.9102103901423</v>
      </c>
    </row>
    <row r="9" spans="1:16" x14ac:dyDescent="0.55000000000000004">
      <c r="A9" s="463" t="s">
        <v>1587</v>
      </c>
      <c r="B9" s="464" t="s">
        <v>1588</v>
      </c>
      <c r="C9" s="1" t="s">
        <v>1223</v>
      </c>
      <c r="D9" s="465">
        <v>45750</v>
      </c>
      <c r="E9" s="466">
        <v>1750000</v>
      </c>
      <c r="F9" s="467">
        <f t="shared" si="7"/>
        <v>0.4</v>
      </c>
      <c r="G9" s="466">
        <f>IF(2025=YEAR(D9),12-MONTH(D9)+1,12)</f>
        <v>9</v>
      </c>
      <c r="H9" s="466">
        <f t="shared" si="8"/>
        <v>525000</v>
      </c>
      <c r="I9" s="315"/>
      <c r="J9" s="1"/>
      <c r="K9" s="315">
        <f t="shared" si="1"/>
        <v>591937.5</v>
      </c>
      <c r="L9" s="315">
        <f t="shared" si="2"/>
        <v>522286.1875</v>
      </c>
      <c r="M9" s="315">
        <f t="shared" si="3"/>
        <v>286735.11693750002</v>
      </c>
      <c r="N9" s="315">
        <f t="shared" si="4"/>
        <v>157417.57919868748</v>
      </c>
      <c r="O9" s="315">
        <f t="shared" si="5"/>
        <v>86422.250980079436</v>
      </c>
      <c r="P9" s="315">
        <f t="shared" si="6"/>
        <v>47445.815788063614</v>
      </c>
    </row>
    <row r="10" spans="1:16" x14ac:dyDescent="0.55000000000000004">
      <c r="A10" s="463" t="s">
        <v>1589</v>
      </c>
      <c r="B10" s="464" t="s">
        <v>1590</v>
      </c>
      <c r="C10" s="1" t="s">
        <v>1581</v>
      </c>
      <c r="D10" s="465">
        <v>45750</v>
      </c>
      <c r="E10" s="466">
        <v>169000</v>
      </c>
      <c r="F10" s="467"/>
      <c r="G10" s="466"/>
      <c r="H10" s="466"/>
      <c r="I10" s="315"/>
      <c r="J10" s="1"/>
      <c r="K10" s="315">
        <f t="shared" si="1"/>
        <v>57164.25</v>
      </c>
      <c r="L10" s="315">
        <f t="shared" si="2"/>
        <v>50437.92325</v>
      </c>
      <c r="M10" s="315">
        <f t="shared" si="3"/>
        <v>27690.419864250001</v>
      </c>
      <c r="N10" s="315">
        <f t="shared" si="4"/>
        <v>15202.040505473247</v>
      </c>
      <c r="O10" s="315">
        <f t="shared" si="5"/>
        <v>8345.9202375048135</v>
      </c>
      <c r="P10" s="315">
        <f t="shared" si="6"/>
        <v>4581.9102103901423</v>
      </c>
    </row>
    <row r="11" spans="1:16" x14ac:dyDescent="0.55000000000000004">
      <c r="A11" s="463" t="s">
        <v>1591</v>
      </c>
      <c r="B11" s="464" t="s">
        <v>1592</v>
      </c>
      <c r="C11" s="1" t="s">
        <v>1575</v>
      </c>
      <c r="D11" s="465">
        <v>45750</v>
      </c>
      <c r="E11" s="466">
        <v>1985500</v>
      </c>
      <c r="F11" s="467">
        <f t="shared" si="7"/>
        <v>0.4</v>
      </c>
      <c r="G11" s="466">
        <f>IF(2025=YEAR(D11),12-MONTH(D11)+1,12)</f>
        <v>9</v>
      </c>
      <c r="H11" s="466">
        <f t="shared" si="8"/>
        <v>595650</v>
      </c>
      <c r="I11" s="315"/>
      <c r="J11" s="1"/>
      <c r="K11" s="315">
        <f t="shared" si="1"/>
        <v>671595.375</v>
      </c>
      <c r="L11" s="315">
        <f t="shared" si="2"/>
        <v>592570.98587500001</v>
      </c>
      <c r="M11" s="315">
        <f t="shared" si="3"/>
        <v>325321.471245375</v>
      </c>
      <c r="N11" s="315">
        <f t="shared" si="4"/>
        <v>178601.48771371087</v>
      </c>
      <c r="O11" s="315">
        <f t="shared" si="5"/>
        <v>98052.21675482727</v>
      </c>
      <c r="P11" s="315">
        <f t="shared" si="6"/>
        <v>53830.666998400171</v>
      </c>
    </row>
    <row r="12" spans="1:16" x14ac:dyDescent="0.55000000000000004">
      <c r="A12" s="463" t="s">
        <v>1593</v>
      </c>
      <c r="B12" s="464" t="s">
        <v>1594</v>
      </c>
      <c r="C12" s="1" t="s">
        <v>1578</v>
      </c>
      <c r="D12" s="465">
        <v>45754</v>
      </c>
      <c r="E12" s="466">
        <v>22450</v>
      </c>
      <c r="F12" s="467"/>
      <c r="G12" s="466"/>
      <c r="H12" s="466"/>
      <c r="I12" s="315"/>
      <c r="J12" s="1"/>
      <c r="K12" s="315">
        <f t="shared" si="1"/>
        <v>7593.7125000000005</v>
      </c>
      <c r="L12" s="315">
        <f t="shared" si="2"/>
        <v>6700.1856624999991</v>
      </c>
      <c r="M12" s="315">
        <f t="shared" si="3"/>
        <v>3678.4019287124997</v>
      </c>
      <c r="N12" s="315">
        <f t="shared" si="4"/>
        <v>2019.4426588631623</v>
      </c>
      <c r="O12" s="315">
        <f t="shared" si="5"/>
        <v>1108.6740197158761</v>
      </c>
      <c r="P12" s="315">
        <f t="shared" si="6"/>
        <v>608.6620368240159</v>
      </c>
    </row>
    <row r="13" spans="1:16" x14ac:dyDescent="0.55000000000000004">
      <c r="A13" s="463" t="s">
        <v>1595</v>
      </c>
      <c r="B13" s="464" t="s">
        <v>1594</v>
      </c>
      <c r="C13" s="1" t="s">
        <v>1578</v>
      </c>
      <c r="D13" s="465">
        <v>45754</v>
      </c>
      <c r="E13" s="466">
        <v>22450</v>
      </c>
      <c r="F13" s="467"/>
      <c r="G13" s="466"/>
      <c r="H13" s="466"/>
      <c r="I13" s="315"/>
      <c r="J13" s="1"/>
      <c r="K13" s="315">
        <f t="shared" si="1"/>
        <v>7593.7125000000005</v>
      </c>
      <c r="L13" s="315">
        <f t="shared" si="2"/>
        <v>6700.1856624999991</v>
      </c>
      <c r="M13" s="315">
        <f t="shared" si="3"/>
        <v>3678.4019287124997</v>
      </c>
      <c r="N13" s="315">
        <f t="shared" si="4"/>
        <v>2019.4426588631623</v>
      </c>
      <c r="O13" s="315">
        <f t="shared" si="5"/>
        <v>1108.6740197158761</v>
      </c>
      <c r="P13" s="315">
        <f t="shared" si="6"/>
        <v>608.6620368240159</v>
      </c>
    </row>
    <row r="14" spans="1:16" x14ac:dyDescent="0.55000000000000004">
      <c r="A14" s="463" t="s">
        <v>1596</v>
      </c>
      <c r="B14" s="464" t="s">
        <v>1597</v>
      </c>
      <c r="C14" s="1" t="s">
        <v>1586</v>
      </c>
      <c r="D14" s="465">
        <v>45754</v>
      </c>
      <c r="E14" s="466">
        <v>127980</v>
      </c>
      <c r="F14" s="467"/>
      <c r="G14" s="466"/>
      <c r="H14" s="466"/>
      <c r="I14" s="315"/>
      <c r="J14" s="1"/>
      <c r="K14" s="315">
        <f t="shared" si="1"/>
        <v>43289.235000000001</v>
      </c>
      <c r="L14" s="315">
        <f t="shared" si="2"/>
        <v>38195.535015000001</v>
      </c>
      <c r="M14" s="315">
        <f t="shared" si="3"/>
        <v>20969.348723234998</v>
      </c>
      <c r="N14" s="315">
        <f t="shared" si="4"/>
        <v>11512.172449056015</v>
      </c>
      <c r="O14" s="315">
        <f t="shared" si="5"/>
        <v>6320.1826745317521</v>
      </c>
      <c r="P14" s="315">
        <f t="shared" si="6"/>
        <v>3469.780288317932</v>
      </c>
    </row>
    <row r="15" spans="1:16" x14ac:dyDescent="0.55000000000000004">
      <c r="A15" s="463" t="s">
        <v>1598</v>
      </c>
      <c r="B15" s="464" t="s">
        <v>1597</v>
      </c>
      <c r="C15" s="1" t="s">
        <v>1586</v>
      </c>
      <c r="D15" s="465">
        <v>45754</v>
      </c>
      <c r="E15" s="466">
        <v>127980</v>
      </c>
      <c r="F15" s="467"/>
      <c r="G15" s="466"/>
      <c r="H15" s="466"/>
      <c r="I15" s="315"/>
      <c r="J15" s="1"/>
      <c r="K15" s="315">
        <f t="shared" si="1"/>
        <v>43289.235000000001</v>
      </c>
      <c r="L15" s="315">
        <f t="shared" si="2"/>
        <v>38195.535015000001</v>
      </c>
      <c r="M15" s="315">
        <f t="shared" si="3"/>
        <v>20969.348723234998</v>
      </c>
      <c r="N15" s="315">
        <f t="shared" si="4"/>
        <v>11512.172449056015</v>
      </c>
      <c r="O15" s="315">
        <f t="shared" si="5"/>
        <v>6320.1826745317521</v>
      </c>
      <c r="P15" s="315">
        <f t="shared" si="6"/>
        <v>3469.780288317932</v>
      </c>
    </row>
    <row r="16" spans="1:16" x14ac:dyDescent="0.55000000000000004">
      <c r="A16" s="463" t="s">
        <v>1599</v>
      </c>
      <c r="B16" s="464" t="s">
        <v>1597</v>
      </c>
      <c r="C16" s="1" t="s">
        <v>1586</v>
      </c>
      <c r="D16" s="465">
        <v>45754</v>
      </c>
      <c r="E16" s="466">
        <v>127980</v>
      </c>
      <c r="F16" s="467"/>
      <c r="G16" s="466"/>
      <c r="H16" s="466"/>
      <c r="I16" s="315"/>
      <c r="J16" s="1"/>
      <c r="K16" s="315">
        <f t="shared" si="1"/>
        <v>43289.235000000001</v>
      </c>
      <c r="L16" s="315">
        <f t="shared" si="2"/>
        <v>38195.535015000001</v>
      </c>
      <c r="M16" s="315">
        <f t="shared" si="3"/>
        <v>20969.348723234998</v>
      </c>
      <c r="N16" s="315">
        <f t="shared" si="4"/>
        <v>11512.172449056015</v>
      </c>
      <c r="O16" s="315">
        <f t="shared" si="5"/>
        <v>6320.1826745317521</v>
      </c>
      <c r="P16" s="315">
        <f t="shared" si="6"/>
        <v>3469.780288317932</v>
      </c>
    </row>
    <row r="17" spans="1:16" x14ac:dyDescent="0.55000000000000004">
      <c r="A17" s="463" t="s">
        <v>1600</v>
      </c>
      <c r="B17" s="464" t="s">
        <v>1601</v>
      </c>
      <c r="C17" s="1" t="s">
        <v>1223</v>
      </c>
      <c r="D17" s="465">
        <v>45754</v>
      </c>
      <c r="E17" s="466">
        <v>229890</v>
      </c>
      <c r="F17" s="467"/>
      <c r="G17" s="466"/>
      <c r="H17" s="466"/>
      <c r="I17" s="315"/>
      <c r="J17" s="1"/>
      <c r="K17" s="315">
        <f t="shared" si="1"/>
        <v>77760.292499999996</v>
      </c>
      <c r="L17" s="315">
        <f t="shared" si="2"/>
        <v>68610.498082500009</v>
      </c>
      <c r="M17" s="315">
        <f t="shared" si="3"/>
        <v>37667.163447292507</v>
      </c>
      <c r="N17" s="315">
        <f t="shared" si="4"/>
        <v>20679.272732563582</v>
      </c>
      <c r="O17" s="315">
        <f t="shared" si="5"/>
        <v>11352.920730177408</v>
      </c>
      <c r="P17" s="315">
        <f t="shared" si="6"/>
        <v>6232.7534808673972</v>
      </c>
    </row>
    <row r="18" spans="1:16" x14ac:dyDescent="0.55000000000000004">
      <c r="A18" s="463" t="s">
        <v>1602</v>
      </c>
      <c r="B18" s="464" t="s">
        <v>1601</v>
      </c>
      <c r="C18" s="1" t="s">
        <v>1223</v>
      </c>
      <c r="D18" s="465">
        <v>45754</v>
      </c>
      <c r="E18" s="466">
        <v>229890</v>
      </c>
      <c r="F18" s="467"/>
      <c r="G18" s="466"/>
      <c r="H18" s="466"/>
      <c r="I18" s="315"/>
      <c r="J18" s="1"/>
      <c r="K18" s="315">
        <f t="shared" si="1"/>
        <v>77760.292499999996</v>
      </c>
      <c r="L18" s="315">
        <f t="shared" si="2"/>
        <v>68610.498082500009</v>
      </c>
      <c r="M18" s="315">
        <f t="shared" si="3"/>
        <v>37667.163447292507</v>
      </c>
      <c r="N18" s="315">
        <f t="shared" si="4"/>
        <v>20679.272732563582</v>
      </c>
      <c r="O18" s="315">
        <f t="shared" si="5"/>
        <v>11352.920730177408</v>
      </c>
      <c r="P18" s="315">
        <f t="shared" si="6"/>
        <v>6232.7534808673972</v>
      </c>
    </row>
    <row r="19" spans="1:16" x14ac:dyDescent="0.55000000000000004">
      <c r="A19" s="463" t="s">
        <v>1603</v>
      </c>
      <c r="B19" s="464" t="s">
        <v>1601</v>
      </c>
      <c r="C19" s="1" t="s">
        <v>1223</v>
      </c>
      <c r="D19" s="465">
        <v>45754</v>
      </c>
      <c r="E19" s="466">
        <v>229890</v>
      </c>
      <c r="F19" s="467"/>
      <c r="G19" s="466"/>
      <c r="H19" s="466"/>
      <c r="I19" s="315"/>
      <c r="J19" s="1"/>
      <c r="K19" s="315">
        <f t="shared" si="1"/>
        <v>77760.292499999996</v>
      </c>
      <c r="L19" s="315">
        <f t="shared" si="2"/>
        <v>68610.498082500009</v>
      </c>
      <c r="M19" s="315">
        <f t="shared" si="3"/>
        <v>37667.163447292507</v>
      </c>
      <c r="N19" s="315">
        <f t="shared" si="4"/>
        <v>20679.272732563582</v>
      </c>
      <c r="O19" s="315">
        <f t="shared" si="5"/>
        <v>11352.920730177408</v>
      </c>
      <c r="P19" s="315">
        <f t="shared" si="6"/>
        <v>6232.7534808673972</v>
      </c>
    </row>
    <row r="20" spans="1:16" x14ac:dyDescent="0.55000000000000004">
      <c r="A20" s="463" t="s">
        <v>1604</v>
      </c>
      <c r="B20" s="464" t="s">
        <v>1605</v>
      </c>
      <c r="C20" s="1" t="s">
        <v>1581</v>
      </c>
      <c r="D20" s="465">
        <v>45754</v>
      </c>
      <c r="E20" s="466">
        <v>22450</v>
      </c>
      <c r="F20" s="467"/>
      <c r="G20" s="466"/>
      <c r="H20" s="466"/>
      <c r="I20" s="315"/>
      <c r="J20" s="1"/>
      <c r="K20" s="315">
        <f t="shared" si="1"/>
        <v>7593.7125000000005</v>
      </c>
      <c r="L20" s="315">
        <f t="shared" si="2"/>
        <v>6700.1856624999991</v>
      </c>
      <c r="M20" s="315">
        <f t="shared" si="3"/>
        <v>3678.4019287124997</v>
      </c>
      <c r="N20" s="315">
        <f t="shared" si="4"/>
        <v>2019.4426588631623</v>
      </c>
      <c r="O20" s="315">
        <f t="shared" si="5"/>
        <v>1108.6740197158761</v>
      </c>
      <c r="P20" s="315">
        <f t="shared" si="6"/>
        <v>608.6620368240159</v>
      </c>
    </row>
    <row r="21" spans="1:16" x14ac:dyDescent="0.55000000000000004">
      <c r="A21" s="463" t="s">
        <v>1606</v>
      </c>
      <c r="B21" s="464" t="s">
        <v>1605</v>
      </c>
      <c r="C21" s="1" t="s">
        <v>1581</v>
      </c>
      <c r="D21" s="465">
        <v>45754</v>
      </c>
      <c r="E21" s="466">
        <v>22450</v>
      </c>
      <c r="F21" s="467"/>
      <c r="G21" s="466"/>
      <c r="H21" s="466"/>
      <c r="I21" s="315"/>
      <c r="J21" s="1"/>
      <c r="K21" s="315">
        <f t="shared" si="1"/>
        <v>7593.7125000000005</v>
      </c>
      <c r="L21" s="315">
        <f t="shared" si="2"/>
        <v>6700.1856624999991</v>
      </c>
      <c r="M21" s="315">
        <f t="shared" si="3"/>
        <v>3678.4019287124997</v>
      </c>
      <c r="N21" s="315">
        <f t="shared" si="4"/>
        <v>2019.4426588631623</v>
      </c>
      <c r="O21" s="315">
        <f t="shared" si="5"/>
        <v>1108.6740197158761</v>
      </c>
      <c r="P21" s="315">
        <f t="shared" si="6"/>
        <v>608.6620368240159</v>
      </c>
    </row>
    <row r="22" spans="1:16" x14ac:dyDescent="0.55000000000000004">
      <c r="A22" s="463" t="s">
        <v>1607</v>
      </c>
      <c r="B22" s="464" t="s">
        <v>1608</v>
      </c>
      <c r="C22" s="1" t="s">
        <v>1609</v>
      </c>
      <c r="D22" s="465">
        <v>45754</v>
      </c>
      <c r="E22" s="466">
        <v>409000</v>
      </c>
      <c r="F22" s="467"/>
      <c r="G22" s="466"/>
      <c r="H22" s="466"/>
      <c r="I22" s="315"/>
      <c r="J22" s="1"/>
      <c r="K22" s="315">
        <f t="shared" si="1"/>
        <v>138344.25</v>
      </c>
      <c r="L22" s="315">
        <f t="shared" si="2"/>
        <v>122065.74325</v>
      </c>
      <c r="M22" s="315">
        <f t="shared" si="3"/>
        <v>67014.093044249996</v>
      </c>
      <c r="N22" s="315">
        <f t="shared" si="4"/>
        <v>36790.73708129325</v>
      </c>
      <c r="O22" s="315">
        <f t="shared" si="5"/>
        <v>20198.114657629998</v>
      </c>
      <c r="P22" s="315">
        <f t="shared" si="6"/>
        <v>11088.764947038868</v>
      </c>
    </row>
    <row r="23" spans="1:16" x14ac:dyDescent="0.55000000000000004">
      <c r="A23" s="463" t="s">
        <v>1610</v>
      </c>
      <c r="B23" s="464" t="s">
        <v>1608</v>
      </c>
      <c r="C23" s="1" t="s">
        <v>1609</v>
      </c>
      <c r="D23" s="465">
        <v>45754</v>
      </c>
      <c r="E23" s="466">
        <v>409000</v>
      </c>
      <c r="F23" s="467"/>
      <c r="G23" s="466"/>
      <c r="H23" s="466"/>
      <c r="I23" s="315"/>
      <c r="J23" s="1"/>
      <c r="K23" s="315">
        <f t="shared" si="1"/>
        <v>138344.25</v>
      </c>
      <c r="L23" s="315">
        <f t="shared" si="2"/>
        <v>122065.74325</v>
      </c>
      <c r="M23" s="315">
        <f t="shared" si="3"/>
        <v>67014.093044249996</v>
      </c>
      <c r="N23" s="315">
        <f t="shared" si="4"/>
        <v>36790.73708129325</v>
      </c>
      <c r="O23" s="315">
        <f t="shared" si="5"/>
        <v>20198.114657629998</v>
      </c>
      <c r="P23" s="315">
        <f t="shared" si="6"/>
        <v>11088.764947038868</v>
      </c>
    </row>
    <row r="24" spans="1:16" x14ac:dyDescent="0.55000000000000004">
      <c r="A24" s="468" t="s">
        <v>1611</v>
      </c>
      <c r="B24" s="469" t="s">
        <v>1594</v>
      </c>
      <c r="C24" s="343" t="s">
        <v>1578</v>
      </c>
      <c r="D24" s="470">
        <v>45754</v>
      </c>
      <c r="E24" s="471">
        <v>22450</v>
      </c>
      <c r="F24" s="467"/>
      <c r="G24" s="466"/>
      <c r="H24" s="466"/>
      <c r="I24" s="315"/>
      <c r="J24" s="1"/>
      <c r="K24" s="315">
        <f t="shared" si="1"/>
        <v>7593.7125000000005</v>
      </c>
      <c r="L24" s="315">
        <f t="shared" si="2"/>
        <v>6700.1856624999991</v>
      </c>
      <c r="M24" s="315">
        <f t="shared" si="3"/>
        <v>3678.4019287124997</v>
      </c>
      <c r="N24" s="315">
        <f t="shared" si="4"/>
        <v>2019.4426588631623</v>
      </c>
      <c r="O24" s="315">
        <f t="shared" si="5"/>
        <v>1108.6740197158761</v>
      </c>
      <c r="P24" s="315">
        <f t="shared" si="6"/>
        <v>608.6620368240159</v>
      </c>
    </row>
    <row r="25" spans="1:16" x14ac:dyDescent="0.55000000000000004">
      <c r="A25" s="468" t="s">
        <v>1612</v>
      </c>
      <c r="B25" s="469" t="s">
        <v>1605</v>
      </c>
      <c r="C25" s="343" t="s">
        <v>1581</v>
      </c>
      <c r="D25" s="470">
        <v>45754</v>
      </c>
      <c r="E25" s="471">
        <v>22450</v>
      </c>
      <c r="F25" s="467"/>
      <c r="G25" s="466"/>
      <c r="H25" s="466"/>
      <c r="I25" s="315"/>
      <c r="J25" s="1"/>
      <c r="K25" s="315">
        <f t="shared" si="1"/>
        <v>7593.7125000000005</v>
      </c>
      <c r="L25" s="315">
        <f t="shared" si="2"/>
        <v>6700.1856624999991</v>
      </c>
      <c r="M25" s="315">
        <f t="shared" si="3"/>
        <v>3678.4019287124997</v>
      </c>
      <c r="N25" s="315">
        <f t="shared" si="4"/>
        <v>2019.4426588631623</v>
      </c>
      <c r="O25" s="315">
        <f t="shared" si="5"/>
        <v>1108.6740197158761</v>
      </c>
      <c r="P25" s="315">
        <f t="shared" si="6"/>
        <v>608.6620368240159</v>
      </c>
    </row>
    <row r="26" spans="1:16" x14ac:dyDescent="0.55000000000000004">
      <c r="A26" s="463" t="s">
        <v>1613</v>
      </c>
      <c r="B26" s="464" t="s">
        <v>1614</v>
      </c>
      <c r="C26" s="1" t="s">
        <v>1575</v>
      </c>
      <c r="D26" s="465">
        <v>45755</v>
      </c>
      <c r="E26" s="466">
        <v>2676700</v>
      </c>
      <c r="F26" s="467">
        <f t="shared" si="7"/>
        <v>0.4</v>
      </c>
      <c r="G26" s="466">
        <f>IF(2025=YEAR(D26),12-MONTH(D26)+1,12)</f>
        <v>9</v>
      </c>
      <c r="H26" s="466">
        <f t="shared" si="8"/>
        <v>803010</v>
      </c>
      <c r="I26" s="315"/>
      <c r="J26" s="1"/>
      <c r="K26" s="315">
        <f t="shared" si="1"/>
        <v>905393.77499999991</v>
      </c>
      <c r="L26" s="315">
        <f t="shared" si="2"/>
        <v>798859.10747500008</v>
      </c>
      <c r="M26" s="315">
        <f t="shared" si="3"/>
        <v>438573.65000377502</v>
      </c>
      <c r="N26" s="315">
        <f t="shared" si="4"/>
        <v>240776.93385207249</v>
      </c>
      <c r="O26" s="315">
        <f t="shared" si="5"/>
        <v>132186.5366847878</v>
      </c>
      <c r="P26" s="315">
        <f t="shared" si="6"/>
        <v>72570.408639948495</v>
      </c>
    </row>
    <row r="27" spans="1:16" x14ac:dyDescent="0.55000000000000004">
      <c r="A27" s="463" t="s">
        <v>1615</v>
      </c>
      <c r="B27" s="464" t="s">
        <v>1616</v>
      </c>
      <c r="C27" s="1" t="s">
        <v>1492</v>
      </c>
      <c r="D27" s="465">
        <v>45769</v>
      </c>
      <c r="E27" s="466">
        <v>126400</v>
      </c>
      <c r="F27" s="467"/>
      <c r="G27" s="466"/>
      <c r="H27" s="466"/>
      <c r="I27" s="315"/>
      <c r="J27" s="1"/>
      <c r="K27" s="315">
        <f t="shared" si="1"/>
        <v>42754.8</v>
      </c>
      <c r="L27" s="315">
        <f t="shared" si="2"/>
        <v>37723.985200000003</v>
      </c>
      <c r="M27" s="315">
        <f t="shared" si="3"/>
        <v>20710.467874799997</v>
      </c>
      <c r="N27" s="315">
        <f t="shared" si="4"/>
        <v>11370.046863265199</v>
      </c>
      <c r="O27" s="315">
        <f t="shared" si="5"/>
        <v>6242.1557279325943</v>
      </c>
      <c r="P27" s="315">
        <f t="shared" si="6"/>
        <v>3426.9434946349938</v>
      </c>
    </row>
    <row r="28" spans="1:16" x14ac:dyDescent="0.55000000000000004">
      <c r="A28" s="463" t="s">
        <v>1617</v>
      </c>
      <c r="B28" s="464" t="s">
        <v>1616</v>
      </c>
      <c r="C28" s="1" t="s">
        <v>1492</v>
      </c>
      <c r="D28" s="465">
        <v>45769</v>
      </c>
      <c r="E28" s="466">
        <v>126400</v>
      </c>
      <c r="F28" s="467"/>
      <c r="G28" s="466"/>
      <c r="H28" s="466"/>
      <c r="I28" s="315"/>
      <c r="J28" s="1"/>
      <c r="K28" s="315">
        <f t="shared" si="1"/>
        <v>42754.8</v>
      </c>
      <c r="L28" s="315">
        <f t="shared" si="2"/>
        <v>37723.985200000003</v>
      </c>
      <c r="M28" s="315">
        <f t="shared" si="3"/>
        <v>20710.467874799997</v>
      </c>
      <c r="N28" s="315">
        <f t="shared" si="4"/>
        <v>11370.046863265199</v>
      </c>
      <c r="O28" s="315">
        <f t="shared" si="5"/>
        <v>6242.1557279325943</v>
      </c>
      <c r="P28" s="315">
        <f t="shared" si="6"/>
        <v>3426.9434946349938</v>
      </c>
    </row>
    <row r="29" spans="1:16" x14ac:dyDescent="0.55000000000000004">
      <c r="A29" s="463" t="s">
        <v>1618</v>
      </c>
      <c r="B29" s="464" t="s">
        <v>1616</v>
      </c>
      <c r="C29" s="1" t="s">
        <v>1492</v>
      </c>
      <c r="D29" s="465">
        <v>45769</v>
      </c>
      <c r="E29" s="466">
        <v>126400</v>
      </c>
      <c r="F29" s="467"/>
      <c r="G29" s="466"/>
      <c r="H29" s="466"/>
      <c r="I29" s="315"/>
      <c r="J29" s="1"/>
      <c r="K29" s="315">
        <f t="shared" si="1"/>
        <v>42754.8</v>
      </c>
      <c r="L29" s="315">
        <f t="shared" si="2"/>
        <v>37723.985200000003</v>
      </c>
      <c r="M29" s="315">
        <f t="shared" si="3"/>
        <v>20710.467874799997</v>
      </c>
      <c r="N29" s="315">
        <f t="shared" si="4"/>
        <v>11370.046863265199</v>
      </c>
      <c r="O29" s="315">
        <f t="shared" si="5"/>
        <v>6242.1557279325943</v>
      </c>
      <c r="P29" s="315">
        <f t="shared" si="6"/>
        <v>3426.9434946349938</v>
      </c>
    </row>
    <row r="30" spans="1:16" x14ac:dyDescent="0.55000000000000004">
      <c r="A30" s="463" t="s">
        <v>1619</v>
      </c>
      <c r="B30" s="464" t="s">
        <v>1616</v>
      </c>
      <c r="C30" s="1" t="s">
        <v>1492</v>
      </c>
      <c r="D30" s="465">
        <v>45769</v>
      </c>
      <c r="E30" s="466">
        <v>126400</v>
      </c>
      <c r="F30" s="467"/>
      <c r="G30" s="466"/>
      <c r="H30" s="466"/>
      <c r="I30" s="315"/>
      <c r="J30" s="1"/>
      <c r="K30" s="315">
        <f t="shared" si="1"/>
        <v>42754.8</v>
      </c>
      <c r="L30" s="315">
        <f t="shared" si="2"/>
        <v>37723.985200000003</v>
      </c>
      <c r="M30" s="315">
        <f t="shared" si="3"/>
        <v>20710.467874799997</v>
      </c>
      <c r="N30" s="315">
        <f t="shared" si="4"/>
        <v>11370.046863265199</v>
      </c>
      <c r="O30" s="315">
        <f t="shared" si="5"/>
        <v>6242.1557279325943</v>
      </c>
      <c r="P30" s="315">
        <f t="shared" si="6"/>
        <v>3426.9434946349938</v>
      </c>
    </row>
    <row r="31" spans="1:16" x14ac:dyDescent="0.55000000000000004">
      <c r="A31" s="463" t="s">
        <v>1620</v>
      </c>
      <c r="B31" s="464" t="s">
        <v>1616</v>
      </c>
      <c r="C31" s="1" t="s">
        <v>1492</v>
      </c>
      <c r="D31" s="465">
        <v>45769</v>
      </c>
      <c r="E31" s="466">
        <v>126400</v>
      </c>
      <c r="F31" s="467"/>
      <c r="G31" s="466"/>
      <c r="H31" s="466"/>
      <c r="I31" s="315"/>
      <c r="J31" s="1"/>
      <c r="K31" s="315">
        <f t="shared" si="1"/>
        <v>42754.8</v>
      </c>
      <c r="L31" s="315">
        <f t="shared" si="2"/>
        <v>37723.985200000003</v>
      </c>
      <c r="M31" s="315">
        <f t="shared" si="3"/>
        <v>20710.467874799997</v>
      </c>
      <c r="N31" s="315">
        <f t="shared" si="4"/>
        <v>11370.046863265199</v>
      </c>
      <c r="O31" s="315">
        <f t="shared" si="5"/>
        <v>6242.1557279325943</v>
      </c>
      <c r="P31" s="315">
        <f t="shared" si="6"/>
        <v>3426.9434946349938</v>
      </c>
    </row>
    <row r="32" spans="1:16" x14ac:dyDescent="0.55000000000000004">
      <c r="A32" s="463" t="s">
        <v>1621</v>
      </c>
      <c r="B32" s="464" t="s">
        <v>1616</v>
      </c>
      <c r="C32" s="1" t="s">
        <v>1492</v>
      </c>
      <c r="D32" s="465">
        <v>45769</v>
      </c>
      <c r="E32" s="466">
        <v>126400</v>
      </c>
      <c r="F32" s="467"/>
      <c r="G32" s="466"/>
      <c r="H32" s="466"/>
      <c r="I32" s="315"/>
      <c r="J32" s="1"/>
      <c r="K32" s="315">
        <f t="shared" si="1"/>
        <v>42754.8</v>
      </c>
      <c r="L32" s="315">
        <f t="shared" si="2"/>
        <v>37723.985200000003</v>
      </c>
      <c r="M32" s="315">
        <f t="shared" si="3"/>
        <v>20710.467874799997</v>
      </c>
      <c r="N32" s="315">
        <f t="shared" si="4"/>
        <v>11370.046863265199</v>
      </c>
      <c r="O32" s="315">
        <f t="shared" si="5"/>
        <v>6242.1557279325943</v>
      </c>
      <c r="P32" s="315">
        <f t="shared" si="6"/>
        <v>3426.9434946349938</v>
      </c>
    </row>
    <row r="33" spans="1:16" x14ac:dyDescent="0.55000000000000004">
      <c r="A33" s="463" t="s">
        <v>1622</v>
      </c>
      <c r="B33" s="464" t="s">
        <v>1623</v>
      </c>
      <c r="C33" s="1" t="s">
        <v>1624</v>
      </c>
      <c r="D33" s="465">
        <v>45772</v>
      </c>
      <c r="E33" s="466">
        <v>126000</v>
      </c>
      <c r="F33" s="467"/>
      <c r="G33" s="466"/>
      <c r="H33" s="466"/>
      <c r="I33" s="315"/>
      <c r="J33" s="1"/>
      <c r="K33" s="315">
        <f t="shared" si="1"/>
        <v>42619.5</v>
      </c>
      <c r="L33" s="315">
        <f t="shared" si="2"/>
        <v>37604.605499999998</v>
      </c>
      <c r="M33" s="315">
        <f t="shared" si="3"/>
        <v>20644.9284195</v>
      </c>
      <c r="N33" s="315">
        <f t="shared" si="4"/>
        <v>11334.065702305501</v>
      </c>
      <c r="O33" s="315">
        <f t="shared" si="5"/>
        <v>6222.4020705657204</v>
      </c>
      <c r="P33" s="315">
        <f t="shared" si="6"/>
        <v>3416.0987367405801</v>
      </c>
    </row>
    <row r="34" spans="1:16" x14ac:dyDescent="0.55000000000000004">
      <c r="A34" s="463" t="s">
        <v>1625</v>
      </c>
      <c r="B34" s="464" t="s">
        <v>1626</v>
      </c>
      <c r="C34" s="1" t="s">
        <v>1627</v>
      </c>
      <c r="D34" s="465">
        <v>45775</v>
      </c>
      <c r="E34" s="472">
        <v>95800</v>
      </c>
      <c r="F34" s="467"/>
      <c r="G34" s="466"/>
      <c r="H34" s="466"/>
      <c r="I34" s="315"/>
      <c r="J34" s="1"/>
      <c r="K34" s="315">
        <f t="shared" si="1"/>
        <v>32404.350000000002</v>
      </c>
      <c r="L34" s="315">
        <f t="shared" si="2"/>
        <v>28591.438149999998</v>
      </c>
      <c r="M34" s="315">
        <f t="shared" si="3"/>
        <v>15696.699544349996</v>
      </c>
      <c r="N34" s="315">
        <f t="shared" si="4"/>
        <v>8617.4880498481471</v>
      </c>
      <c r="O34" s="315">
        <f t="shared" si="5"/>
        <v>4731.0009393666332</v>
      </c>
      <c r="P34" s="315">
        <f t="shared" si="6"/>
        <v>2597.3195157122814</v>
      </c>
    </row>
    <row r="35" spans="1:16" x14ac:dyDescent="0.55000000000000004">
      <c r="A35" s="463" t="s">
        <v>1628</v>
      </c>
      <c r="B35" s="464" t="s">
        <v>1629</v>
      </c>
      <c r="C35" s="1" t="s">
        <v>1609</v>
      </c>
      <c r="D35" s="465">
        <v>45804</v>
      </c>
      <c r="E35" s="466">
        <v>297990</v>
      </c>
      <c r="F35" s="467"/>
      <c r="G35" s="466"/>
      <c r="H35" s="466"/>
      <c r="I35" s="315"/>
      <c r="J35" s="1"/>
      <c r="K35" s="315">
        <f t="shared" si="1"/>
        <v>89595.659999999989</v>
      </c>
      <c r="L35" s="315">
        <f t="shared" si="2"/>
        <v>93985.847340000008</v>
      </c>
      <c r="M35" s="315">
        <f t="shared" si="3"/>
        <v>51598.230189660011</v>
      </c>
      <c r="N35" s="315">
        <f t="shared" si="4"/>
        <v>28327.428374123345</v>
      </c>
      <c r="O35" s="315">
        <f t="shared" si="5"/>
        <v>15551.758177393715</v>
      </c>
      <c r="P35" s="315">
        <f t="shared" si="6"/>
        <v>8537.9152393891509</v>
      </c>
    </row>
    <row r="36" spans="1:16" x14ac:dyDescent="0.55000000000000004">
      <c r="A36" s="463" t="s">
        <v>1630</v>
      </c>
      <c r="B36" s="464" t="s">
        <v>1629</v>
      </c>
      <c r="C36" s="1" t="s">
        <v>1609</v>
      </c>
      <c r="D36" s="465">
        <v>45804</v>
      </c>
      <c r="E36" s="466">
        <v>297990</v>
      </c>
      <c r="F36" s="467"/>
      <c r="G36" s="466"/>
      <c r="H36" s="466"/>
      <c r="I36" s="315"/>
      <c r="J36" s="1"/>
      <c r="K36" s="315">
        <f t="shared" si="1"/>
        <v>89595.659999999989</v>
      </c>
      <c r="L36" s="315">
        <f t="shared" si="2"/>
        <v>93985.847340000008</v>
      </c>
      <c r="M36" s="315">
        <f t="shared" si="3"/>
        <v>51598.230189660011</v>
      </c>
      <c r="N36" s="315">
        <f t="shared" si="4"/>
        <v>28327.428374123345</v>
      </c>
      <c r="O36" s="315">
        <f t="shared" si="5"/>
        <v>15551.758177393715</v>
      </c>
      <c r="P36" s="315">
        <f t="shared" si="6"/>
        <v>8537.9152393891509</v>
      </c>
    </row>
    <row r="37" spans="1:16" x14ac:dyDescent="0.55000000000000004">
      <c r="A37" s="463" t="s">
        <v>1631</v>
      </c>
      <c r="B37" s="464" t="s">
        <v>1629</v>
      </c>
      <c r="C37" s="1" t="s">
        <v>1609</v>
      </c>
      <c r="D37" s="465">
        <v>45804</v>
      </c>
      <c r="E37" s="466">
        <v>297980</v>
      </c>
      <c r="F37" s="467"/>
      <c r="G37" s="466"/>
      <c r="H37" s="466"/>
      <c r="I37" s="315"/>
      <c r="J37" s="1"/>
      <c r="K37" s="315">
        <f t="shared" si="1"/>
        <v>89592.653333333335</v>
      </c>
      <c r="L37" s="315">
        <f t="shared" si="2"/>
        <v>93982.693346666681</v>
      </c>
      <c r="M37" s="315">
        <f t="shared" si="3"/>
        <v>51596.498647319997</v>
      </c>
      <c r="N37" s="315">
        <f t="shared" si="4"/>
        <v>28326.477757378681</v>
      </c>
      <c r="O37" s="315">
        <f t="shared" si="5"/>
        <v>15551.236288800894</v>
      </c>
      <c r="P37" s="315">
        <f t="shared" si="6"/>
        <v>8537.6287225516899</v>
      </c>
    </row>
    <row r="38" spans="1:16" x14ac:dyDescent="0.55000000000000004">
      <c r="A38" s="463" t="s">
        <v>1632</v>
      </c>
      <c r="B38" s="464" t="s">
        <v>1629</v>
      </c>
      <c r="C38" s="1" t="s">
        <v>1609</v>
      </c>
      <c r="D38" s="465">
        <v>45804</v>
      </c>
      <c r="E38" s="466">
        <v>297980</v>
      </c>
      <c r="F38" s="467"/>
      <c r="G38" s="466"/>
      <c r="H38" s="466"/>
      <c r="I38" s="315"/>
      <c r="J38" s="1"/>
      <c r="K38" s="315">
        <f t="shared" si="1"/>
        <v>89592.653333333335</v>
      </c>
      <c r="L38" s="315">
        <f t="shared" si="2"/>
        <v>93982.693346666681</v>
      </c>
      <c r="M38" s="315">
        <f t="shared" si="3"/>
        <v>51596.498647319997</v>
      </c>
      <c r="N38" s="315">
        <f t="shared" si="4"/>
        <v>28326.477757378681</v>
      </c>
      <c r="O38" s="315">
        <f t="shared" si="5"/>
        <v>15551.236288800894</v>
      </c>
      <c r="P38" s="315">
        <f t="shared" si="6"/>
        <v>8537.6287225516899</v>
      </c>
    </row>
    <row r="39" spans="1:16" x14ac:dyDescent="0.55000000000000004">
      <c r="A39" s="463" t="s">
        <v>1633</v>
      </c>
      <c r="B39" s="464" t="s">
        <v>1634</v>
      </c>
      <c r="C39" s="1" t="s">
        <v>1635</v>
      </c>
      <c r="D39" s="465">
        <v>45804</v>
      </c>
      <c r="E39" s="466">
        <v>1990000</v>
      </c>
      <c r="F39" s="467"/>
      <c r="G39" s="466"/>
      <c r="H39" s="466"/>
      <c r="I39" s="315"/>
      <c r="J39" s="1"/>
      <c r="K39" s="315">
        <f t="shared" si="1"/>
        <v>598326.66666666663</v>
      </c>
      <c r="L39" s="315">
        <f t="shared" si="2"/>
        <v>627644.67333333346</v>
      </c>
      <c r="M39" s="315">
        <f t="shared" si="3"/>
        <v>344576.92566000001</v>
      </c>
      <c r="N39" s="315">
        <f t="shared" si="4"/>
        <v>189172.73218734001</v>
      </c>
      <c r="O39" s="315">
        <f t="shared" si="5"/>
        <v>103855.82997084968</v>
      </c>
      <c r="P39" s="315">
        <f t="shared" si="6"/>
        <v>57016.850653996466</v>
      </c>
    </row>
    <row r="40" spans="1:16" x14ac:dyDescent="0.55000000000000004">
      <c r="A40" s="468" t="s">
        <v>1636</v>
      </c>
      <c r="B40" s="469" t="s">
        <v>1629</v>
      </c>
      <c r="C40" s="343" t="s">
        <v>1609</v>
      </c>
      <c r="D40" s="470">
        <v>45804</v>
      </c>
      <c r="E40" s="471">
        <v>297990</v>
      </c>
      <c r="F40" s="467"/>
      <c r="G40" s="466"/>
      <c r="H40" s="466"/>
      <c r="I40" s="315"/>
      <c r="J40" s="343"/>
      <c r="K40" s="315">
        <f t="shared" si="1"/>
        <v>89595.659999999989</v>
      </c>
      <c r="L40" s="315">
        <f t="shared" si="2"/>
        <v>93985.847340000008</v>
      </c>
      <c r="M40" s="315">
        <f t="shared" si="3"/>
        <v>51598.230189660011</v>
      </c>
      <c r="N40" s="315">
        <f t="shared" si="4"/>
        <v>28327.428374123345</v>
      </c>
      <c r="O40" s="315">
        <f t="shared" si="5"/>
        <v>15551.758177393715</v>
      </c>
      <c r="P40" s="315">
        <f t="shared" si="6"/>
        <v>8537.9152393891509</v>
      </c>
    </row>
    <row r="41" spans="1:16" x14ac:dyDescent="0.55000000000000004">
      <c r="A41" s="468" t="s">
        <v>1637</v>
      </c>
      <c r="B41" s="469" t="s">
        <v>1629</v>
      </c>
      <c r="C41" s="343" t="s">
        <v>1609</v>
      </c>
      <c r="D41" s="470">
        <v>45804</v>
      </c>
      <c r="E41" s="471">
        <v>297990</v>
      </c>
      <c r="F41" s="467"/>
      <c r="G41" s="466"/>
      <c r="H41" s="466"/>
      <c r="I41" s="315"/>
      <c r="J41" s="343"/>
      <c r="K41" s="315">
        <f t="shared" si="1"/>
        <v>89595.659999999989</v>
      </c>
      <c r="L41" s="315">
        <f t="shared" si="2"/>
        <v>93985.847340000008</v>
      </c>
      <c r="M41" s="315">
        <f t="shared" si="3"/>
        <v>51598.230189660011</v>
      </c>
      <c r="N41" s="315">
        <f t="shared" si="4"/>
        <v>28327.428374123345</v>
      </c>
      <c r="O41" s="315">
        <f t="shared" si="5"/>
        <v>15551.758177393715</v>
      </c>
      <c r="P41" s="315">
        <f t="shared" si="6"/>
        <v>8537.9152393891509</v>
      </c>
    </row>
    <row r="42" spans="1:16" x14ac:dyDescent="0.55000000000000004">
      <c r="A42" s="468" t="s">
        <v>1638</v>
      </c>
      <c r="B42" s="469" t="s">
        <v>1629</v>
      </c>
      <c r="C42" s="343" t="s">
        <v>1609</v>
      </c>
      <c r="D42" s="470">
        <v>45804</v>
      </c>
      <c r="E42" s="471">
        <v>297990</v>
      </c>
      <c r="F42" s="467"/>
      <c r="G42" s="466"/>
      <c r="H42" s="466"/>
      <c r="I42" s="315"/>
      <c r="J42" s="343"/>
      <c r="K42" s="315">
        <f t="shared" si="1"/>
        <v>89595.659999999989</v>
      </c>
      <c r="L42" s="315">
        <f t="shared" si="2"/>
        <v>93985.847340000008</v>
      </c>
      <c r="M42" s="315">
        <f t="shared" si="3"/>
        <v>51598.230189660011</v>
      </c>
      <c r="N42" s="315">
        <f t="shared" si="4"/>
        <v>28327.428374123345</v>
      </c>
      <c r="O42" s="315">
        <f t="shared" si="5"/>
        <v>15551.758177393715</v>
      </c>
      <c r="P42" s="315">
        <f t="shared" si="6"/>
        <v>8537.9152393891509</v>
      </c>
    </row>
    <row r="43" spans="1:16" x14ac:dyDescent="0.55000000000000004">
      <c r="A43" s="468" t="s">
        <v>1639</v>
      </c>
      <c r="B43" s="469" t="s">
        <v>1629</v>
      </c>
      <c r="C43" s="343" t="s">
        <v>1609</v>
      </c>
      <c r="D43" s="470">
        <v>45804</v>
      </c>
      <c r="E43" s="471">
        <v>297990</v>
      </c>
      <c r="F43" s="467"/>
      <c r="G43" s="466"/>
      <c r="H43" s="466"/>
      <c r="I43" s="315"/>
      <c r="J43" s="343"/>
      <c r="K43" s="315">
        <f t="shared" si="1"/>
        <v>89595.659999999989</v>
      </c>
      <c r="L43" s="315">
        <f t="shared" si="2"/>
        <v>93985.847340000008</v>
      </c>
      <c r="M43" s="315">
        <f t="shared" si="3"/>
        <v>51598.230189660011</v>
      </c>
      <c r="N43" s="315">
        <f t="shared" si="4"/>
        <v>28327.428374123345</v>
      </c>
      <c r="O43" s="315">
        <f t="shared" si="5"/>
        <v>15551.758177393715</v>
      </c>
      <c r="P43" s="315">
        <f t="shared" si="6"/>
        <v>8537.9152393891509</v>
      </c>
    </row>
    <row r="44" spans="1:16" x14ac:dyDescent="0.55000000000000004">
      <c r="A44" s="463" t="s">
        <v>1640</v>
      </c>
      <c r="B44" s="464" t="s">
        <v>1597</v>
      </c>
      <c r="C44" s="1" t="s">
        <v>1586</v>
      </c>
      <c r="D44" s="465">
        <v>45805</v>
      </c>
      <c r="E44" s="466">
        <v>127980</v>
      </c>
      <c r="F44" s="467"/>
      <c r="G44" s="466"/>
      <c r="H44" s="466"/>
      <c r="I44" s="315"/>
      <c r="J44" s="1"/>
      <c r="K44" s="315">
        <f t="shared" si="1"/>
        <v>38479.32</v>
      </c>
      <c r="L44" s="315">
        <f t="shared" si="2"/>
        <v>40364.806680000002</v>
      </c>
      <c r="M44" s="315">
        <f t="shared" si="3"/>
        <v>22160.278867319998</v>
      </c>
      <c r="N44" s="315">
        <f t="shared" si="4"/>
        <v>12165.993098158677</v>
      </c>
      <c r="O44" s="315">
        <f t="shared" si="5"/>
        <v>6679.1302108891141</v>
      </c>
      <c r="P44" s="315">
        <f t="shared" si="6"/>
        <v>3666.8424857781238</v>
      </c>
    </row>
    <row r="45" spans="1:16" x14ac:dyDescent="0.55000000000000004">
      <c r="A45" s="463" t="s">
        <v>1641</v>
      </c>
      <c r="B45" s="464" t="s">
        <v>1597</v>
      </c>
      <c r="C45" s="1" t="s">
        <v>1586</v>
      </c>
      <c r="D45" s="465">
        <v>45805</v>
      </c>
      <c r="E45" s="466">
        <v>127980</v>
      </c>
      <c r="F45" s="467"/>
      <c r="G45" s="466"/>
      <c r="H45" s="466"/>
      <c r="I45" s="315"/>
      <c r="J45" s="1"/>
      <c r="K45" s="315">
        <f t="shared" si="1"/>
        <v>38479.32</v>
      </c>
      <c r="L45" s="315">
        <f t="shared" si="2"/>
        <v>40364.806680000002</v>
      </c>
      <c r="M45" s="315">
        <f t="shared" si="3"/>
        <v>22160.278867319998</v>
      </c>
      <c r="N45" s="315">
        <f t="shared" si="4"/>
        <v>12165.993098158677</v>
      </c>
      <c r="O45" s="315">
        <f t="shared" si="5"/>
        <v>6679.1302108891141</v>
      </c>
      <c r="P45" s="315">
        <f t="shared" si="6"/>
        <v>3666.8424857781238</v>
      </c>
    </row>
    <row r="46" spans="1:16" x14ac:dyDescent="0.55000000000000004">
      <c r="A46" s="463" t="s">
        <v>1642</v>
      </c>
      <c r="B46" s="464" t="s">
        <v>1597</v>
      </c>
      <c r="C46" s="1" t="s">
        <v>1586</v>
      </c>
      <c r="D46" s="465">
        <v>45805</v>
      </c>
      <c r="E46" s="466">
        <v>127980</v>
      </c>
      <c r="F46" s="467"/>
      <c r="G46" s="466"/>
      <c r="H46" s="466"/>
      <c r="I46" s="315"/>
      <c r="J46" s="1"/>
      <c r="K46" s="315">
        <f t="shared" si="1"/>
        <v>38479.32</v>
      </c>
      <c r="L46" s="315">
        <f t="shared" si="2"/>
        <v>40364.806680000002</v>
      </c>
      <c r="M46" s="315">
        <f t="shared" si="3"/>
        <v>22160.278867319998</v>
      </c>
      <c r="N46" s="315">
        <f t="shared" si="4"/>
        <v>12165.993098158677</v>
      </c>
      <c r="O46" s="315">
        <f t="shared" si="5"/>
        <v>6679.1302108891141</v>
      </c>
      <c r="P46" s="315">
        <f t="shared" si="6"/>
        <v>3666.8424857781238</v>
      </c>
    </row>
    <row r="47" spans="1:16" x14ac:dyDescent="0.55000000000000004">
      <c r="A47" s="463" t="s">
        <v>1643</v>
      </c>
      <c r="B47" s="464" t="s">
        <v>1597</v>
      </c>
      <c r="C47" s="1" t="s">
        <v>1586</v>
      </c>
      <c r="D47" s="465">
        <v>45805</v>
      </c>
      <c r="E47" s="466">
        <v>127980</v>
      </c>
      <c r="F47" s="467"/>
      <c r="G47" s="466"/>
      <c r="H47" s="466"/>
      <c r="I47" s="315"/>
      <c r="J47" s="1"/>
      <c r="K47" s="315">
        <f t="shared" si="1"/>
        <v>38479.32</v>
      </c>
      <c r="L47" s="315">
        <f t="shared" si="2"/>
        <v>40364.806680000002</v>
      </c>
      <c r="M47" s="315">
        <f t="shared" si="3"/>
        <v>22160.278867319998</v>
      </c>
      <c r="N47" s="315">
        <f t="shared" si="4"/>
        <v>12165.993098158677</v>
      </c>
      <c r="O47" s="315">
        <f t="shared" si="5"/>
        <v>6679.1302108891141</v>
      </c>
      <c r="P47" s="315">
        <f t="shared" si="6"/>
        <v>3666.8424857781238</v>
      </c>
    </row>
    <row r="48" spans="1:16" x14ac:dyDescent="0.55000000000000004">
      <c r="A48" s="463" t="s">
        <v>1644</v>
      </c>
      <c r="B48" s="464" t="s">
        <v>1601</v>
      </c>
      <c r="C48" s="1" t="s">
        <v>1223</v>
      </c>
      <c r="D48" s="465">
        <v>45805</v>
      </c>
      <c r="E48" s="466">
        <v>229890</v>
      </c>
      <c r="F48" s="467"/>
      <c r="G48" s="466"/>
      <c r="H48" s="466"/>
      <c r="I48" s="315"/>
      <c r="J48" s="1"/>
      <c r="K48" s="315">
        <f t="shared" si="1"/>
        <v>69120.259999999995</v>
      </c>
      <c r="L48" s="315">
        <f t="shared" si="2"/>
        <v>72507.152740000005</v>
      </c>
      <c r="M48" s="315">
        <f t="shared" si="3"/>
        <v>39806.426854259997</v>
      </c>
      <c r="N48" s="315">
        <f t="shared" si="4"/>
        <v>21853.728342988736</v>
      </c>
      <c r="O48" s="315">
        <f t="shared" si="5"/>
        <v>11997.696860300815</v>
      </c>
      <c r="P48" s="315">
        <f t="shared" si="6"/>
        <v>6586.7355763051473</v>
      </c>
    </row>
    <row r="49" spans="1:16" x14ac:dyDescent="0.55000000000000004">
      <c r="A49" s="463" t="s">
        <v>1645</v>
      </c>
      <c r="B49" s="464" t="s">
        <v>1601</v>
      </c>
      <c r="C49" s="1" t="s">
        <v>1223</v>
      </c>
      <c r="D49" s="465">
        <v>45805</v>
      </c>
      <c r="E49" s="466">
        <v>229890</v>
      </c>
      <c r="F49" s="467"/>
      <c r="G49" s="466"/>
      <c r="H49" s="466"/>
      <c r="I49" s="315"/>
      <c r="J49" s="1"/>
      <c r="K49" s="315">
        <f t="shared" si="1"/>
        <v>69120.259999999995</v>
      </c>
      <c r="L49" s="315">
        <f t="shared" si="2"/>
        <v>72507.152740000005</v>
      </c>
      <c r="M49" s="315">
        <f t="shared" si="3"/>
        <v>39806.426854259997</v>
      </c>
      <c r="N49" s="315">
        <f t="shared" si="4"/>
        <v>21853.728342988736</v>
      </c>
      <c r="O49" s="315">
        <f t="shared" si="5"/>
        <v>11997.696860300815</v>
      </c>
      <c r="P49" s="315">
        <f t="shared" si="6"/>
        <v>6586.7355763051473</v>
      </c>
    </row>
    <row r="50" spans="1:16" x14ac:dyDescent="0.55000000000000004">
      <c r="A50" s="463" t="s">
        <v>1646</v>
      </c>
      <c r="B50" s="464" t="s">
        <v>1601</v>
      </c>
      <c r="C50" s="1" t="s">
        <v>1223</v>
      </c>
      <c r="D50" s="465">
        <v>45805</v>
      </c>
      <c r="E50" s="466">
        <v>229890</v>
      </c>
      <c r="F50" s="467"/>
      <c r="G50" s="466"/>
      <c r="H50" s="466"/>
      <c r="I50" s="315"/>
      <c r="J50" s="477"/>
      <c r="K50" s="315">
        <f t="shared" si="1"/>
        <v>69120.259999999995</v>
      </c>
      <c r="L50" s="315">
        <f t="shared" si="2"/>
        <v>72507.152740000005</v>
      </c>
      <c r="M50" s="315">
        <f t="shared" si="3"/>
        <v>39806.426854259997</v>
      </c>
      <c r="N50" s="315">
        <f t="shared" si="4"/>
        <v>21853.728342988736</v>
      </c>
      <c r="O50" s="315">
        <f t="shared" si="5"/>
        <v>11997.696860300815</v>
      </c>
      <c r="P50" s="315">
        <f t="shared" si="6"/>
        <v>6586.7355763051473</v>
      </c>
    </row>
    <row r="51" spans="1:16" x14ac:dyDescent="0.55000000000000004">
      <c r="A51" s="463" t="s">
        <v>1647</v>
      </c>
      <c r="B51" s="464" t="s">
        <v>1601</v>
      </c>
      <c r="C51" s="1" t="s">
        <v>1223</v>
      </c>
      <c r="D51" s="465">
        <v>45805</v>
      </c>
      <c r="E51" s="466">
        <v>229890</v>
      </c>
      <c r="F51" s="467"/>
      <c r="G51" s="466"/>
      <c r="H51" s="466"/>
      <c r="I51" s="315"/>
      <c r="J51" s="477"/>
      <c r="K51" s="315">
        <f t="shared" si="1"/>
        <v>69120.259999999995</v>
      </c>
      <c r="L51" s="315">
        <f t="shared" si="2"/>
        <v>72507.152740000005</v>
      </c>
      <c r="M51" s="315">
        <f t="shared" si="3"/>
        <v>39806.426854259997</v>
      </c>
      <c r="N51" s="315">
        <f t="shared" si="4"/>
        <v>21853.728342988736</v>
      </c>
      <c r="O51" s="315">
        <f t="shared" si="5"/>
        <v>11997.696860300815</v>
      </c>
      <c r="P51" s="315">
        <f t="shared" si="6"/>
        <v>6586.7355763051473</v>
      </c>
    </row>
    <row r="52" spans="1:16" x14ac:dyDescent="0.55000000000000004">
      <c r="A52" s="463" t="s">
        <v>1648</v>
      </c>
      <c r="B52" s="464" t="s">
        <v>1574</v>
      </c>
      <c r="C52" s="1" t="s">
        <v>1575</v>
      </c>
      <c r="D52" s="465">
        <v>45805</v>
      </c>
      <c r="E52" s="466">
        <v>974400</v>
      </c>
      <c r="F52" s="467"/>
      <c r="G52" s="466"/>
      <c r="H52" s="466"/>
      <c r="I52" s="315"/>
      <c r="J52" s="477"/>
      <c r="K52" s="315">
        <f t="shared" si="1"/>
        <v>292969.60000000003</v>
      </c>
      <c r="L52" s="315">
        <f t="shared" si="2"/>
        <v>307325.11039999995</v>
      </c>
      <c r="M52" s="315">
        <f t="shared" si="3"/>
        <v>168721.4856096</v>
      </c>
      <c r="N52" s="315">
        <f t="shared" si="4"/>
        <v>92628.095599670385</v>
      </c>
      <c r="O52" s="315">
        <f t="shared" si="5"/>
        <v>50852.82448421904</v>
      </c>
      <c r="P52" s="315">
        <f t="shared" si="6"/>
        <v>27918.200641836251</v>
      </c>
    </row>
    <row r="53" spans="1:16" x14ac:dyDescent="0.55000000000000004">
      <c r="A53" s="463" t="s">
        <v>1649</v>
      </c>
      <c r="B53" s="464" t="s">
        <v>1650</v>
      </c>
      <c r="C53" s="1" t="s">
        <v>1635</v>
      </c>
      <c r="D53" s="465">
        <v>45805</v>
      </c>
      <c r="E53" s="466">
        <v>3290000</v>
      </c>
      <c r="F53" s="467">
        <f t="shared" si="7"/>
        <v>0.4</v>
      </c>
      <c r="G53" s="466">
        <f>IF(2025=YEAR(D53),12-MONTH(D53)+1,12)</f>
        <v>8</v>
      </c>
      <c r="H53" s="466">
        <f t="shared" si="8"/>
        <v>877333.33333333337</v>
      </c>
      <c r="I53" s="315"/>
      <c r="J53" s="477"/>
      <c r="K53" s="315">
        <f t="shared" si="1"/>
        <v>989193.33333333337</v>
      </c>
      <c r="L53" s="315">
        <f t="shared" si="2"/>
        <v>1037663.8066666666</v>
      </c>
      <c r="M53" s="315">
        <f t="shared" si="3"/>
        <v>569677.42985999992</v>
      </c>
      <c r="N53" s="315">
        <f t="shared" si="4"/>
        <v>312752.90899313998</v>
      </c>
      <c r="O53" s="315">
        <f t="shared" si="5"/>
        <v>171701.34703723385</v>
      </c>
      <c r="P53" s="315">
        <f t="shared" si="6"/>
        <v>94264.039523441388</v>
      </c>
    </row>
    <row r="54" spans="1:16" x14ac:dyDescent="0.55000000000000004">
      <c r="A54" s="463" t="s">
        <v>1651</v>
      </c>
      <c r="B54" s="464" t="s">
        <v>1652</v>
      </c>
      <c r="C54" s="1" t="s">
        <v>1635</v>
      </c>
      <c r="D54" s="465">
        <v>45805</v>
      </c>
      <c r="E54" s="466">
        <v>3090000</v>
      </c>
      <c r="F54" s="467">
        <f t="shared" si="7"/>
        <v>0.4</v>
      </c>
      <c r="G54" s="466">
        <f>IF(2025=YEAR(D54),12-MONTH(D54)+1,12)</f>
        <v>8</v>
      </c>
      <c r="H54" s="466">
        <f t="shared" si="8"/>
        <v>824000</v>
      </c>
      <c r="I54" s="315"/>
      <c r="J54" s="477"/>
      <c r="K54" s="315">
        <f t="shared" si="1"/>
        <v>929060</v>
      </c>
      <c r="L54" s="315">
        <f t="shared" si="2"/>
        <v>974583.94000000006</v>
      </c>
      <c r="M54" s="315">
        <f t="shared" si="3"/>
        <v>535046.58306000009</v>
      </c>
      <c r="N54" s="315">
        <f t="shared" si="4"/>
        <v>293740.57409994002</v>
      </c>
      <c r="O54" s="315">
        <f t="shared" si="5"/>
        <v>161263.57518086705</v>
      </c>
      <c r="P54" s="315">
        <f t="shared" si="6"/>
        <v>88533.702774296005</v>
      </c>
    </row>
    <row r="55" spans="1:16" x14ac:dyDescent="0.55000000000000004">
      <c r="A55" s="463" t="s">
        <v>1653</v>
      </c>
      <c r="B55" s="464" t="s">
        <v>1654</v>
      </c>
      <c r="C55" s="1" t="s">
        <v>1609</v>
      </c>
      <c r="D55" s="465">
        <v>45807</v>
      </c>
      <c r="E55" s="466">
        <v>449000</v>
      </c>
      <c r="F55" s="467"/>
      <c r="G55" s="466"/>
      <c r="H55" s="466"/>
      <c r="I55" s="315"/>
      <c r="J55" s="477"/>
      <c r="K55" s="315">
        <f t="shared" si="1"/>
        <v>134999.33333333334</v>
      </c>
      <c r="L55" s="315">
        <f t="shared" si="2"/>
        <v>141614.30066666665</v>
      </c>
      <c r="M55" s="315">
        <f t="shared" si="3"/>
        <v>77746.251065999997</v>
      </c>
      <c r="N55" s="315">
        <f t="shared" si="4"/>
        <v>42682.691835233993</v>
      </c>
      <c r="O55" s="315">
        <f t="shared" si="5"/>
        <v>23432.797817543462</v>
      </c>
      <c r="P55" s="315">
        <f t="shared" si="6"/>
        <v>12864.60600183136</v>
      </c>
    </row>
    <row r="56" spans="1:16" x14ac:dyDescent="0.55000000000000004">
      <c r="A56" s="463" t="s">
        <v>1655</v>
      </c>
      <c r="B56" s="464" t="s">
        <v>1654</v>
      </c>
      <c r="C56" s="1" t="s">
        <v>1609</v>
      </c>
      <c r="D56" s="465">
        <v>45807</v>
      </c>
      <c r="E56" s="466">
        <v>449000</v>
      </c>
      <c r="F56" s="467"/>
      <c r="G56" s="466"/>
      <c r="H56" s="466"/>
      <c r="I56" s="315"/>
      <c r="J56" s="477"/>
      <c r="K56" s="315">
        <f t="shared" si="1"/>
        <v>134999.33333333334</v>
      </c>
      <c r="L56" s="315">
        <f t="shared" si="2"/>
        <v>141614.30066666665</v>
      </c>
      <c r="M56" s="315">
        <f t="shared" si="3"/>
        <v>77746.251065999997</v>
      </c>
      <c r="N56" s="315">
        <f t="shared" si="4"/>
        <v>42682.691835233993</v>
      </c>
      <c r="O56" s="315">
        <f t="shared" si="5"/>
        <v>23432.797817543462</v>
      </c>
      <c r="P56" s="315">
        <f t="shared" si="6"/>
        <v>12864.60600183136</v>
      </c>
    </row>
    <row r="57" spans="1:16" x14ac:dyDescent="0.55000000000000004">
      <c r="A57" s="463" t="s">
        <v>1656</v>
      </c>
      <c r="B57" s="464" t="s">
        <v>1654</v>
      </c>
      <c r="C57" s="1" t="s">
        <v>1609</v>
      </c>
      <c r="D57" s="465">
        <v>45807</v>
      </c>
      <c r="E57" s="466">
        <v>449000</v>
      </c>
      <c r="F57" s="467"/>
      <c r="G57" s="466"/>
      <c r="H57" s="466"/>
      <c r="I57" s="315"/>
      <c r="J57" s="477"/>
      <c r="K57" s="315">
        <f t="shared" si="1"/>
        <v>134999.33333333334</v>
      </c>
      <c r="L57" s="315">
        <f t="shared" si="2"/>
        <v>141614.30066666665</v>
      </c>
      <c r="M57" s="315">
        <f t="shared" si="3"/>
        <v>77746.251065999997</v>
      </c>
      <c r="N57" s="315">
        <f t="shared" si="4"/>
        <v>42682.691835233993</v>
      </c>
      <c r="O57" s="315">
        <f t="shared" si="5"/>
        <v>23432.797817543462</v>
      </c>
      <c r="P57" s="315">
        <f t="shared" si="6"/>
        <v>12864.60600183136</v>
      </c>
    </row>
    <row r="58" spans="1:16" x14ac:dyDescent="0.55000000000000004">
      <c r="A58" s="463" t="s">
        <v>1657</v>
      </c>
      <c r="B58" s="464" t="s">
        <v>1654</v>
      </c>
      <c r="C58" s="1" t="s">
        <v>1609</v>
      </c>
      <c r="D58" s="465">
        <v>45807</v>
      </c>
      <c r="E58" s="472">
        <v>449000</v>
      </c>
      <c r="F58" s="473"/>
      <c r="G58" s="472"/>
      <c r="H58" s="472"/>
      <c r="I58" s="315"/>
      <c r="J58" s="477"/>
      <c r="K58" s="315">
        <f t="shared" si="1"/>
        <v>134999.33333333334</v>
      </c>
      <c r="L58" s="315">
        <f t="shared" si="2"/>
        <v>141614.30066666665</v>
      </c>
      <c r="M58" s="315">
        <f t="shared" si="3"/>
        <v>77746.251065999997</v>
      </c>
      <c r="N58" s="315">
        <f t="shared" si="4"/>
        <v>42682.691835233993</v>
      </c>
      <c r="O58" s="315">
        <f t="shared" si="5"/>
        <v>23432.797817543462</v>
      </c>
      <c r="P58" s="315">
        <f t="shared" si="6"/>
        <v>12864.60600183136</v>
      </c>
    </row>
    <row r="59" spans="1:16" x14ac:dyDescent="0.55000000000000004">
      <c r="A59" s="463" t="s">
        <v>1658</v>
      </c>
      <c r="B59" s="464" t="s">
        <v>1659</v>
      </c>
      <c r="C59" s="1" t="s">
        <v>1578</v>
      </c>
      <c r="D59" s="465">
        <v>45826</v>
      </c>
      <c r="E59" s="474">
        <v>26900</v>
      </c>
      <c r="F59" s="467"/>
      <c r="G59" s="466"/>
      <c r="H59" s="466"/>
      <c r="I59" s="315"/>
      <c r="J59" s="1"/>
      <c r="K59" s="315">
        <f t="shared" si="1"/>
        <v>7076.9416666666666</v>
      </c>
      <c r="L59" s="315">
        <f t="shared" si="2"/>
        <v>8940.1993083333346</v>
      </c>
      <c r="M59" s="315">
        <f t="shared" si="3"/>
        <v>4908.1694202750004</v>
      </c>
      <c r="N59" s="315">
        <f t="shared" si="4"/>
        <v>2694.5850117309747</v>
      </c>
      <c r="O59" s="315">
        <f t="shared" si="5"/>
        <v>1479.3271714403052</v>
      </c>
      <c r="P59" s="315">
        <f t="shared" si="6"/>
        <v>812.15061712072747</v>
      </c>
    </row>
    <row r="60" spans="1:16" x14ac:dyDescent="0.55000000000000004">
      <c r="A60" s="463" t="s">
        <v>1660</v>
      </c>
      <c r="B60" s="464" t="s">
        <v>1661</v>
      </c>
      <c r="C60" s="1" t="s">
        <v>1635</v>
      </c>
      <c r="D60" s="465">
        <v>45826</v>
      </c>
      <c r="E60" s="475">
        <v>1757700</v>
      </c>
      <c r="F60" s="467">
        <f t="shared" si="7"/>
        <v>0.4</v>
      </c>
      <c r="G60" s="466">
        <f>IF(2025=YEAR(D60),12-MONTH(D60)+1,12)</f>
        <v>7</v>
      </c>
      <c r="H60" s="466">
        <f t="shared" si="8"/>
        <v>410130</v>
      </c>
      <c r="I60" s="315"/>
      <c r="J60" s="1"/>
      <c r="K60" s="315">
        <f t="shared" si="1"/>
        <v>462421.57500000001</v>
      </c>
      <c r="L60" s="315">
        <f t="shared" si="2"/>
        <v>584170.56967500004</v>
      </c>
      <c r="M60" s="315">
        <f t="shared" si="3"/>
        <v>320709.64275157504</v>
      </c>
      <c r="N60" s="315">
        <f t="shared" si="4"/>
        <v>176069.59387061466</v>
      </c>
      <c r="O60" s="315">
        <f t="shared" si="5"/>
        <v>96662.207034967461</v>
      </c>
      <c r="P60" s="315">
        <f t="shared" si="6"/>
        <v>53067.551662197126</v>
      </c>
    </row>
    <row r="61" spans="1:16" x14ac:dyDescent="0.55000000000000004">
      <c r="A61" s="463" t="s">
        <v>1662</v>
      </c>
      <c r="B61" s="464" t="s">
        <v>1663</v>
      </c>
      <c r="C61" s="1" t="s">
        <v>1492</v>
      </c>
      <c r="D61" s="465">
        <v>45826</v>
      </c>
      <c r="E61" s="475">
        <v>10800</v>
      </c>
      <c r="F61" s="467"/>
      <c r="G61" s="466"/>
      <c r="H61" s="466"/>
      <c r="I61" s="315"/>
      <c r="J61" s="1"/>
      <c r="K61" s="315">
        <f t="shared" si="1"/>
        <v>2841.2999999999997</v>
      </c>
      <c r="L61" s="315">
        <f t="shared" si="2"/>
        <v>3589.3737000000006</v>
      </c>
      <c r="M61" s="315">
        <f t="shared" si="3"/>
        <v>1970.5661613000004</v>
      </c>
      <c r="N61" s="315">
        <f t="shared" si="4"/>
        <v>1081.8408225537003</v>
      </c>
      <c r="O61" s="315">
        <f t="shared" si="5"/>
        <v>593.93061158198134</v>
      </c>
      <c r="P61" s="315">
        <f t="shared" si="6"/>
        <v>326.06790575850778</v>
      </c>
    </row>
    <row r="62" spans="1:16" x14ac:dyDescent="0.55000000000000004">
      <c r="A62" s="463" t="s">
        <v>1664</v>
      </c>
      <c r="B62" s="464" t="s">
        <v>1665</v>
      </c>
      <c r="C62" s="1" t="s">
        <v>1492</v>
      </c>
      <c r="D62" s="465">
        <v>45826</v>
      </c>
      <c r="E62" s="475">
        <v>31110</v>
      </c>
      <c r="F62" s="467"/>
      <c r="G62" s="466"/>
      <c r="H62" s="466"/>
      <c r="I62" s="315"/>
      <c r="J62" s="1"/>
      <c r="K62" s="315">
        <f t="shared" si="1"/>
        <v>8184.5225</v>
      </c>
      <c r="L62" s="315">
        <f t="shared" si="2"/>
        <v>10339.390352500001</v>
      </c>
      <c r="M62" s="315">
        <f t="shared" si="3"/>
        <v>5676.3253035225007</v>
      </c>
      <c r="N62" s="315">
        <f t="shared" si="4"/>
        <v>3116.3025916338524</v>
      </c>
      <c r="O62" s="315">
        <f t="shared" si="5"/>
        <v>1710.8501228069849</v>
      </c>
      <c r="P62" s="315">
        <f t="shared" si="6"/>
        <v>939.25671742103475</v>
      </c>
    </row>
    <row r="63" spans="1:16" x14ac:dyDescent="0.55000000000000004">
      <c r="A63" s="463" t="s">
        <v>1666</v>
      </c>
      <c r="B63" s="464" t="s">
        <v>1665</v>
      </c>
      <c r="C63" s="1" t="s">
        <v>1492</v>
      </c>
      <c r="D63" s="465">
        <v>45826</v>
      </c>
      <c r="E63" s="475">
        <v>31110</v>
      </c>
      <c r="F63" s="467"/>
      <c r="G63" s="466"/>
      <c r="H63" s="466"/>
      <c r="I63" s="315"/>
      <c r="J63" s="1"/>
      <c r="K63" s="315">
        <f t="shared" si="1"/>
        <v>8184.5225</v>
      </c>
      <c r="L63" s="315">
        <f t="shared" si="2"/>
        <v>10339.390352500001</v>
      </c>
      <c r="M63" s="315">
        <f t="shared" si="3"/>
        <v>5676.3253035225007</v>
      </c>
      <c r="N63" s="315">
        <f t="shared" si="4"/>
        <v>3116.3025916338524</v>
      </c>
      <c r="O63" s="315">
        <f t="shared" si="5"/>
        <v>1710.8501228069849</v>
      </c>
      <c r="P63" s="315">
        <f t="shared" si="6"/>
        <v>939.25671742103475</v>
      </c>
    </row>
    <row r="64" spans="1:16" x14ac:dyDescent="0.55000000000000004">
      <c r="A64" s="463" t="s">
        <v>1667</v>
      </c>
      <c r="B64" s="464" t="s">
        <v>1668</v>
      </c>
      <c r="C64" s="1" t="s">
        <v>1669</v>
      </c>
      <c r="D64" s="465">
        <v>45826</v>
      </c>
      <c r="E64" s="475">
        <v>26000</v>
      </c>
      <c r="F64" s="467"/>
      <c r="G64" s="466"/>
      <c r="H64" s="466"/>
      <c r="I64" s="315"/>
      <c r="J64" s="1"/>
      <c r="K64" s="315">
        <f t="shared" si="1"/>
        <v>6840.166666666667</v>
      </c>
      <c r="L64" s="315">
        <f t="shared" si="2"/>
        <v>8641.0848333333324</v>
      </c>
      <c r="M64" s="315">
        <f t="shared" si="3"/>
        <v>4743.9555735000004</v>
      </c>
      <c r="N64" s="315">
        <f t="shared" si="4"/>
        <v>2604.4316098514996</v>
      </c>
      <c r="O64" s="315">
        <f t="shared" si="5"/>
        <v>1429.8329538084733</v>
      </c>
      <c r="P64" s="315">
        <f t="shared" si="6"/>
        <v>784.97829164085192</v>
      </c>
    </row>
    <row r="65" spans="1:16" x14ac:dyDescent="0.55000000000000004">
      <c r="A65" s="463" t="s">
        <v>1670</v>
      </c>
      <c r="B65" s="464" t="s">
        <v>1668</v>
      </c>
      <c r="C65" s="1" t="s">
        <v>1669</v>
      </c>
      <c r="D65" s="465">
        <v>45826</v>
      </c>
      <c r="E65" s="475">
        <v>26000</v>
      </c>
      <c r="F65" s="467"/>
      <c r="G65" s="466"/>
      <c r="H65" s="466"/>
      <c r="I65" s="315"/>
      <c r="J65" s="1"/>
      <c r="K65" s="315">
        <f t="shared" si="1"/>
        <v>6840.166666666667</v>
      </c>
      <c r="L65" s="315">
        <f t="shared" si="2"/>
        <v>8641.0848333333324</v>
      </c>
      <c r="M65" s="315">
        <f t="shared" si="3"/>
        <v>4743.9555735000004</v>
      </c>
      <c r="N65" s="315">
        <f t="shared" si="4"/>
        <v>2604.4316098514996</v>
      </c>
      <c r="O65" s="315">
        <f t="shared" si="5"/>
        <v>1429.8329538084733</v>
      </c>
      <c r="P65" s="315">
        <f t="shared" si="6"/>
        <v>784.97829164085192</v>
      </c>
    </row>
    <row r="66" spans="1:16" x14ac:dyDescent="0.55000000000000004">
      <c r="A66" s="463" t="s">
        <v>1671</v>
      </c>
      <c r="B66" s="464" t="s">
        <v>1672</v>
      </c>
      <c r="C66" s="1" t="s">
        <v>1673</v>
      </c>
      <c r="D66" s="465">
        <v>45826</v>
      </c>
      <c r="E66" s="475">
        <v>5400</v>
      </c>
      <c r="F66" s="467"/>
      <c r="G66" s="466"/>
      <c r="H66" s="466"/>
      <c r="I66" s="315"/>
      <c r="J66" s="1"/>
      <c r="K66" s="315">
        <f t="shared" si="1"/>
        <v>1420.6499999999999</v>
      </c>
      <c r="L66" s="315">
        <f t="shared" si="2"/>
        <v>1794.6868500000003</v>
      </c>
      <c r="M66" s="315">
        <f t="shared" si="3"/>
        <v>985.28308065000022</v>
      </c>
      <c r="N66" s="315">
        <f t="shared" si="4"/>
        <v>540.92041127685013</v>
      </c>
      <c r="O66" s="315">
        <f t="shared" si="5"/>
        <v>296.96530579099067</v>
      </c>
      <c r="P66" s="315">
        <f t="shared" si="6"/>
        <v>163.03395287925389</v>
      </c>
    </row>
    <row r="67" spans="1:16" x14ac:dyDescent="0.55000000000000004">
      <c r="A67" s="463" t="s">
        <v>1674</v>
      </c>
      <c r="B67" s="464" t="s">
        <v>1672</v>
      </c>
      <c r="C67" s="1" t="s">
        <v>1673</v>
      </c>
      <c r="D67" s="465">
        <v>45826</v>
      </c>
      <c r="E67" s="475">
        <v>5400</v>
      </c>
      <c r="F67" s="467"/>
      <c r="G67" s="466"/>
      <c r="H67" s="466"/>
      <c r="I67" s="315"/>
      <c r="J67" s="1"/>
      <c r="K67" s="315">
        <f t="shared" ref="K67:K103" si="9">E67*0.451*(12-MONTH($D67)+1)/12</f>
        <v>1420.6499999999999</v>
      </c>
      <c r="L67" s="315">
        <f t="shared" ref="L67:L103" si="10">($E67-$K67)*0.451</f>
        <v>1794.6868500000003</v>
      </c>
      <c r="M67" s="315">
        <f t="shared" ref="M67:M103" si="11">($E67-$K67-$L67)*0.451</f>
        <v>985.28308065000022</v>
      </c>
      <c r="N67" s="315">
        <f t="shared" ref="N67:N103" si="12">($E67-$K67-$L67-$M67)*0.451</f>
        <v>540.92041127685013</v>
      </c>
      <c r="O67" s="315">
        <f t="shared" ref="O67:O103" si="13">($E67-$K67-$L67-$M67-$N67)*0.451</f>
        <v>296.96530579099067</v>
      </c>
      <c r="P67" s="315">
        <f t="shared" ref="P67:P103" si="14">($E67-$K67-$L67-$M67-$N67-$O67)*0.451</f>
        <v>163.03395287925389</v>
      </c>
    </row>
    <row r="68" spans="1:16" x14ac:dyDescent="0.55000000000000004">
      <c r="A68" s="463" t="s">
        <v>1675</v>
      </c>
      <c r="B68" s="464" t="s">
        <v>1676</v>
      </c>
      <c r="C68" s="1" t="s">
        <v>1627</v>
      </c>
      <c r="D68" s="465">
        <v>45826</v>
      </c>
      <c r="E68" s="475">
        <v>4330</v>
      </c>
      <c r="F68" s="467"/>
      <c r="G68" s="466"/>
      <c r="H68" s="466"/>
      <c r="I68" s="315"/>
      <c r="J68" s="1"/>
      <c r="K68" s="315">
        <f t="shared" si="9"/>
        <v>1139.1508333333334</v>
      </c>
      <c r="L68" s="315">
        <f t="shared" si="10"/>
        <v>1439.0729741666669</v>
      </c>
      <c r="M68" s="315">
        <f t="shared" si="11"/>
        <v>790.0510628175</v>
      </c>
      <c r="N68" s="315">
        <f t="shared" si="12"/>
        <v>433.73803348680752</v>
      </c>
      <c r="O68" s="315">
        <f t="shared" si="13"/>
        <v>238.12218038425729</v>
      </c>
      <c r="P68" s="315">
        <f t="shared" si="14"/>
        <v>130.72907703095726</v>
      </c>
    </row>
    <row r="69" spans="1:16" x14ac:dyDescent="0.55000000000000004">
      <c r="A69" s="463" t="s">
        <v>1677</v>
      </c>
      <c r="B69" s="464" t="s">
        <v>1676</v>
      </c>
      <c r="C69" s="1" t="s">
        <v>1627</v>
      </c>
      <c r="D69" s="465">
        <v>45826</v>
      </c>
      <c r="E69" s="475">
        <v>4330</v>
      </c>
      <c r="F69" s="467"/>
      <c r="G69" s="466"/>
      <c r="H69" s="466"/>
      <c r="I69" s="315"/>
      <c r="J69" s="1"/>
      <c r="K69" s="315">
        <f t="shared" si="9"/>
        <v>1139.1508333333334</v>
      </c>
      <c r="L69" s="315">
        <f t="shared" si="10"/>
        <v>1439.0729741666669</v>
      </c>
      <c r="M69" s="315">
        <f t="shared" si="11"/>
        <v>790.0510628175</v>
      </c>
      <c r="N69" s="315">
        <f t="shared" si="12"/>
        <v>433.73803348680752</v>
      </c>
      <c r="O69" s="315">
        <f t="shared" si="13"/>
        <v>238.12218038425729</v>
      </c>
      <c r="P69" s="315">
        <f t="shared" si="14"/>
        <v>130.72907703095726</v>
      </c>
    </row>
    <row r="70" spans="1:16" x14ac:dyDescent="0.55000000000000004">
      <c r="A70" s="463" t="s">
        <v>1678</v>
      </c>
      <c r="B70" s="464" t="s">
        <v>1676</v>
      </c>
      <c r="C70" s="1" t="s">
        <v>1627</v>
      </c>
      <c r="D70" s="465">
        <v>45826</v>
      </c>
      <c r="E70" s="475">
        <v>4330</v>
      </c>
      <c r="F70" s="467"/>
      <c r="G70" s="466"/>
      <c r="H70" s="466"/>
      <c r="I70" s="315"/>
      <c r="J70" s="1"/>
      <c r="K70" s="315">
        <f t="shared" si="9"/>
        <v>1139.1508333333334</v>
      </c>
      <c r="L70" s="315">
        <f t="shared" si="10"/>
        <v>1439.0729741666669</v>
      </c>
      <c r="M70" s="315">
        <f t="shared" si="11"/>
        <v>790.0510628175</v>
      </c>
      <c r="N70" s="315">
        <f t="shared" si="12"/>
        <v>433.73803348680752</v>
      </c>
      <c r="O70" s="315">
        <f t="shared" si="13"/>
        <v>238.12218038425729</v>
      </c>
      <c r="P70" s="315">
        <f t="shared" si="14"/>
        <v>130.72907703095726</v>
      </c>
    </row>
    <row r="71" spans="1:16" x14ac:dyDescent="0.55000000000000004">
      <c r="A71" s="463" t="s">
        <v>1679</v>
      </c>
      <c r="B71" s="464" t="s">
        <v>1676</v>
      </c>
      <c r="C71" s="1" t="s">
        <v>1627</v>
      </c>
      <c r="D71" s="465">
        <v>45826</v>
      </c>
      <c r="E71" s="475">
        <v>4330</v>
      </c>
      <c r="F71" s="467"/>
      <c r="G71" s="466"/>
      <c r="H71" s="466"/>
      <c r="I71" s="315"/>
      <c r="J71" s="1"/>
      <c r="K71" s="315">
        <f t="shared" si="9"/>
        <v>1139.1508333333334</v>
      </c>
      <c r="L71" s="315">
        <f t="shared" si="10"/>
        <v>1439.0729741666669</v>
      </c>
      <c r="M71" s="315">
        <f t="shared" si="11"/>
        <v>790.0510628175</v>
      </c>
      <c r="N71" s="315">
        <f t="shared" si="12"/>
        <v>433.73803348680752</v>
      </c>
      <c r="O71" s="315">
        <f t="shared" si="13"/>
        <v>238.12218038425729</v>
      </c>
      <c r="P71" s="315">
        <f t="shared" si="14"/>
        <v>130.72907703095726</v>
      </c>
    </row>
    <row r="72" spans="1:16" x14ac:dyDescent="0.55000000000000004">
      <c r="A72" s="463" t="s">
        <v>1680</v>
      </c>
      <c r="B72" s="464" t="s">
        <v>1681</v>
      </c>
      <c r="C72" s="1" t="s">
        <v>1578</v>
      </c>
      <c r="D72" s="465">
        <v>45826</v>
      </c>
      <c r="E72" s="475">
        <v>76270</v>
      </c>
      <c r="F72" s="467"/>
      <c r="G72" s="466"/>
      <c r="H72" s="466"/>
      <c r="I72" s="315"/>
      <c r="J72" s="1"/>
      <c r="K72" s="315">
        <f t="shared" si="9"/>
        <v>20065.365833333333</v>
      </c>
      <c r="L72" s="315">
        <f t="shared" si="10"/>
        <v>25348.290009166671</v>
      </c>
      <c r="M72" s="315">
        <f t="shared" si="11"/>
        <v>13916.211215032501</v>
      </c>
      <c r="N72" s="315">
        <f t="shared" si="12"/>
        <v>7639.9999570528425</v>
      </c>
      <c r="O72" s="315">
        <f t="shared" si="13"/>
        <v>4194.3599764220107</v>
      </c>
      <c r="P72" s="315">
        <f t="shared" si="14"/>
        <v>2302.7036270556837</v>
      </c>
    </row>
    <row r="73" spans="1:16" x14ac:dyDescent="0.55000000000000004">
      <c r="A73" s="463" t="s">
        <v>1682</v>
      </c>
      <c r="B73" s="464" t="s">
        <v>1681</v>
      </c>
      <c r="C73" s="1" t="s">
        <v>1578</v>
      </c>
      <c r="D73" s="465">
        <v>45826</v>
      </c>
      <c r="E73" s="475">
        <v>76270</v>
      </c>
      <c r="F73" s="467"/>
      <c r="G73" s="466"/>
      <c r="H73" s="466"/>
      <c r="I73" s="315"/>
      <c r="J73" s="1"/>
      <c r="K73" s="315">
        <f t="shared" si="9"/>
        <v>20065.365833333333</v>
      </c>
      <c r="L73" s="315">
        <f t="shared" si="10"/>
        <v>25348.290009166671</v>
      </c>
      <c r="M73" s="315">
        <f t="shared" si="11"/>
        <v>13916.211215032501</v>
      </c>
      <c r="N73" s="315">
        <f t="shared" si="12"/>
        <v>7639.9999570528425</v>
      </c>
      <c r="O73" s="315">
        <f t="shared" si="13"/>
        <v>4194.3599764220107</v>
      </c>
      <c r="P73" s="315">
        <f t="shared" si="14"/>
        <v>2302.7036270556837</v>
      </c>
    </row>
    <row r="74" spans="1:16" x14ac:dyDescent="0.55000000000000004">
      <c r="A74" s="463" t="s">
        <v>1683</v>
      </c>
      <c r="B74" s="464" t="s">
        <v>1684</v>
      </c>
      <c r="C74" s="1" t="s">
        <v>1673</v>
      </c>
      <c r="D74" s="465">
        <v>45826</v>
      </c>
      <c r="E74" s="475">
        <v>4380</v>
      </c>
      <c r="F74" s="467"/>
      <c r="G74" s="466"/>
      <c r="H74" s="466"/>
      <c r="I74" s="315"/>
      <c r="J74" s="1"/>
      <c r="K74" s="315">
        <f t="shared" si="9"/>
        <v>1152.3050000000001</v>
      </c>
      <c r="L74" s="315">
        <f t="shared" si="10"/>
        <v>1455.690445</v>
      </c>
      <c r="M74" s="315">
        <f t="shared" si="11"/>
        <v>799.17405430499991</v>
      </c>
      <c r="N74" s="315">
        <f t="shared" si="12"/>
        <v>438.74655581344496</v>
      </c>
      <c r="O74" s="315">
        <f t="shared" si="13"/>
        <v>240.87185914158127</v>
      </c>
      <c r="P74" s="315">
        <f t="shared" si="14"/>
        <v>132.23865066872813</v>
      </c>
    </row>
    <row r="75" spans="1:16" x14ac:dyDescent="0.55000000000000004">
      <c r="A75" s="463" t="s">
        <v>1685</v>
      </c>
      <c r="B75" s="464" t="s">
        <v>1684</v>
      </c>
      <c r="C75" s="1" t="s">
        <v>1673</v>
      </c>
      <c r="D75" s="465">
        <v>45826</v>
      </c>
      <c r="E75" s="475">
        <v>4380</v>
      </c>
      <c r="F75" s="467"/>
      <c r="G75" s="466"/>
      <c r="H75" s="466"/>
      <c r="I75" s="315"/>
      <c r="J75" s="1"/>
      <c r="K75" s="315">
        <f t="shared" si="9"/>
        <v>1152.3050000000001</v>
      </c>
      <c r="L75" s="315">
        <f t="shared" si="10"/>
        <v>1455.690445</v>
      </c>
      <c r="M75" s="315">
        <f t="shared" si="11"/>
        <v>799.17405430499991</v>
      </c>
      <c r="N75" s="315">
        <f t="shared" si="12"/>
        <v>438.74655581344496</v>
      </c>
      <c r="O75" s="315">
        <f t="shared" si="13"/>
        <v>240.87185914158127</v>
      </c>
      <c r="P75" s="315">
        <f t="shared" si="14"/>
        <v>132.23865066872813</v>
      </c>
    </row>
    <row r="76" spans="1:16" x14ac:dyDescent="0.55000000000000004">
      <c r="A76" s="463" t="s">
        <v>1686</v>
      </c>
      <c r="B76" s="464" t="s">
        <v>1687</v>
      </c>
      <c r="C76" s="1" t="s">
        <v>1673</v>
      </c>
      <c r="D76" s="465">
        <v>45826</v>
      </c>
      <c r="E76" s="475">
        <v>34470</v>
      </c>
      <c r="F76" s="467"/>
      <c r="G76" s="466"/>
      <c r="H76" s="466"/>
      <c r="I76" s="315"/>
      <c r="J76" s="1"/>
      <c r="K76" s="315">
        <f t="shared" si="9"/>
        <v>9068.4825000000001</v>
      </c>
      <c r="L76" s="315">
        <f t="shared" si="10"/>
        <v>11456.084392500001</v>
      </c>
      <c r="M76" s="315">
        <f t="shared" si="11"/>
        <v>6289.3903314825002</v>
      </c>
      <c r="N76" s="315">
        <f t="shared" si="12"/>
        <v>3452.875291983893</v>
      </c>
      <c r="O76" s="315">
        <f t="shared" si="13"/>
        <v>1895.628535299157</v>
      </c>
      <c r="P76" s="315">
        <f t="shared" si="14"/>
        <v>1040.7000658792369</v>
      </c>
    </row>
    <row r="77" spans="1:16" x14ac:dyDescent="0.55000000000000004">
      <c r="A77" s="463" t="s">
        <v>1688</v>
      </c>
      <c r="B77" s="464" t="s">
        <v>1590</v>
      </c>
      <c r="C77" s="1" t="s">
        <v>1581</v>
      </c>
      <c r="D77" s="465">
        <v>45826</v>
      </c>
      <c r="E77" s="475">
        <v>156780</v>
      </c>
      <c r="F77" s="467"/>
      <c r="G77" s="466"/>
      <c r="H77" s="466"/>
      <c r="I77" s="315"/>
      <c r="J77" s="1"/>
      <c r="K77" s="315">
        <f t="shared" si="9"/>
        <v>41246.204999999994</v>
      </c>
      <c r="L77" s="315">
        <f t="shared" si="10"/>
        <v>52105.741545000004</v>
      </c>
      <c r="M77" s="315">
        <f t="shared" si="11"/>
        <v>28606.052108205004</v>
      </c>
      <c r="N77" s="315">
        <f t="shared" si="12"/>
        <v>15704.722607404548</v>
      </c>
      <c r="O77" s="315">
        <f t="shared" si="13"/>
        <v>8621.892711465096</v>
      </c>
      <c r="P77" s="315">
        <f t="shared" si="14"/>
        <v>4733.4190985943387</v>
      </c>
    </row>
    <row r="78" spans="1:16" x14ac:dyDescent="0.55000000000000004">
      <c r="A78" s="463" t="s">
        <v>1689</v>
      </c>
      <c r="B78" s="464" t="s">
        <v>1690</v>
      </c>
      <c r="C78" s="1" t="s">
        <v>1673</v>
      </c>
      <c r="D78" s="465">
        <v>45826</v>
      </c>
      <c r="E78" s="475">
        <v>12700</v>
      </c>
      <c r="F78" s="467"/>
      <c r="G78" s="466"/>
      <c r="H78" s="466"/>
      <c r="I78" s="315"/>
      <c r="J78" s="1"/>
      <c r="K78" s="315">
        <f t="shared" si="9"/>
        <v>3341.1583333333333</v>
      </c>
      <c r="L78" s="315">
        <f t="shared" si="10"/>
        <v>4220.8375916666673</v>
      </c>
      <c r="M78" s="315">
        <f t="shared" si="11"/>
        <v>2317.239837825</v>
      </c>
      <c r="N78" s="315">
        <f t="shared" si="12"/>
        <v>1272.1646709659249</v>
      </c>
      <c r="O78" s="315">
        <f t="shared" si="13"/>
        <v>698.41840436029281</v>
      </c>
      <c r="P78" s="315">
        <f t="shared" si="14"/>
        <v>383.43170399380074</v>
      </c>
    </row>
    <row r="79" spans="1:16" x14ac:dyDescent="0.55000000000000004">
      <c r="A79" s="463" t="s">
        <v>1691</v>
      </c>
      <c r="B79" s="464" t="s">
        <v>1690</v>
      </c>
      <c r="C79" s="1" t="s">
        <v>1673</v>
      </c>
      <c r="D79" s="465">
        <v>45826</v>
      </c>
      <c r="E79" s="475">
        <v>12700</v>
      </c>
      <c r="F79" s="467"/>
      <c r="G79" s="466"/>
      <c r="H79" s="466"/>
      <c r="I79" s="315"/>
      <c r="J79" s="1"/>
      <c r="K79" s="315">
        <f t="shared" si="9"/>
        <v>3341.1583333333333</v>
      </c>
      <c r="L79" s="315">
        <f t="shared" si="10"/>
        <v>4220.8375916666673</v>
      </c>
      <c r="M79" s="315">
        <f t="shared" si="11"/>
        <v>2317.239837825</v>
      </c>
      <c r="N79" s="315">
        <f t="shared" si="12"/>
        <v>1272.1646709659249</v>
      </c>
      <c r="O79" s="315">
        <f t="shared" si="13"/>
        <v>698.41840436029281</v>
      </c>
      <c r="P79" s="315">
        <f t="shared" si="14"/>
        <v>383.43170399380074</v>
      </c>
    </row>
    <row r="80" spans="1:16" x14ac:dyDescent="0.55000000000000004">
      <c r="A80" s="463" t="s">
        <v>1692</v>
      </c>
      <c r="B80" s="464" t="s">
        <v>1693</v>
      </c>
      <c r="C80" s="1" t="s">
        <v>1673</v>
      </c>
      <c r="D80" s="465">
        <v>45826</v>
      </c>
      <c r="E80" s="475">
        <v>21990</v>
      </c>
      <c r="F80" s="467"/>
      <c r="G80" s="466"/>
      <c r="H80" s="466"/>
      <c r="I80" s="315"/>
      <c r="J80" s="1"/>
      <c r="K80" s="315">
        <f t="shared" si="9"/>
        <v>5785.2024999999994</v>
      </c>
      <c r="L80" s="315">
        <f t="shared" si="10"/>
        <v>7308.3636725000006</v>
      </c>
      <c r="M80" s="315">
        <f t="shared" si="11"/>
        <v>4012.2916562025007</v>
      </c>
      <c r="N80" s="315">
        <f t="shared" si="12"/>
        <v>2202.7481192551727</v>
      </c>
      <c r="O80" s="315">
        <f t="shared" si="13"/>
        <v>1209.3087174710899</v>
      </c>
      <c r="P80" s="315">
        <f t="shared" si="14"/>
        <v>663.91048589162835</v>
      </c>
    </row>
    <row r="81" spans="1:16" x14ac:dyDescent="0.55000000000000004">
      <c r="A81" s="463" t="s">
        <v>1694</v>
      </c>
      <c r="B81" s="464" t="s">
        <v>1693</v>
      </c>
      <c r="C81" s="1" t="s">
        <v>1673</v>
      </c>
      <c r="D81" s="465">
        <v>45826</v>
      </c>
      <c r="E81" s="475">
        <v>21990</v>
      </c>
      <c r="F81" s="467"/>
      <c r="G81" s="466"/>
      <c r="H81" s="466"/>
      <c r="I81" s="315"/>
      <c r="J81" s="1"/>
      <c r="K81" s="315">
        <f t="shared" si="9"/>
        <v>5785.2024999999994</v>
      </c>
      <c r="L81" s="315">
        <f t="shared" si="10"/>
        <v>7308.3636725000006</v>
      </c>
      <c r="M81" s="315">
        <f t="shared" si="11"/>
        <v>4012.2916562025007</v>
      </c>
      <c r="N81" s="315">
        <f t="shared" si="12"/>
        <v>2202.7481192551727</v>
      </c>
      <c r="O81" s="315">
        <f t="shared" si="13"/>
        <v>1209.3087174710899</v>
      </c>
      <c r="P81" s="315">
        <f t="shared" si="14"/>
        <v>663.91048589162835</v>
      </c>
    </row>
    <row r="82" spans="1:16" x14ac:dyDescent="0.55000000000000004">
      <c r="A82" s="463" t="s">
        <v>1695</v>
      </c>
      <c r="B82" s="464" t="s">
        <v>1696</v>
      </c>
      <c r="C82" s="1" t="s">
        <v>1581</v>
      </c>
      <c r="D82" s="465">
        <v>45826</v>
      </c>
      <c r="E82" s="475">
        <v>82000</v>
      </c>
      <c r="F82" s="467"/>
      <c r="G82" s="466"/>
      <c r="H82" s="466"/>
      <c r="I82" s="315"/>
      <c r="J82" s="1"/>
      <c r="K82" s="315">
        <f t="shared" si="9"/>
        <v>21572.833333333332</v>
      </c>
      <c r="L82" s="315">
        <f t="shared" si="10"/>
        <v>27252.65216666667</v>
      </c>
      <c r="M82" s="315">
        <f t="shared" si="11"/>
        <v>14961.706039500003</v>
      </c>
      <c r="N82" s="315">
        <f t="shared" si="12"/>
        <v>8213.9766156855021</v>
      </c>
      <c r="O82" s="315">
        <f t="shared" si="13"/>
        <v>4509.4731620113407</v>
      </c>
      <c r="P82" s="315">
        <f t="shared" si="14"/>
        <v>2475.7007659442256</v>
      </c>
    </row>
    <row r="83" spans="1:16" x14ac:dyDescent="0.55000000000000004">
      <c r="A83" s="463" t="s">
        <v>1697</v>
      </c>
      <c r="B83" s="464" t="s">
        <v>1696</v>
      </c>
      <c r="C83" s="1" t="s">
        <v>1581</v>
      </c>
      <c r="D83" s="465">
        <v>45826</v>
      </c>
      <c r="E83" s="475">
        <v>82000</v>
      </c>
      <c r="F83" s="467"/>
      <c r="G83" s="466"/>
      <c r="H83" s="466"/>
      <c r="I83" s="315"/>
      <c r="J83" s="1"/>
      <c r="K83" s="315">
        <f t="shared" si="9"/>
        <v>21572.833333333332</v>
      </c>
      <c r="L83" s="315">
        <f t="shared" si="10"/>
        <v>27252.65216666667</v>
      </c>
      <c r="M83" s="315">
        <f t="shared" si="11"/>
        <v>14961.706039500003</v>
      </c>
      <c r="N83" s="315">
        <f t="shared" si="12"/>
        <v>8213.9766156855021</v>
      </c>
      <c r="O83" s="315">
        <f t="shared" si="13"/>
        <v>4509.4731620113407</v>
      </c>
      <c r="P83" s="315">
        <f t="shared" si="14"/>
        <v>2475.7007659442256</v>
      </c>
    </row>
    <row r="84" spans="1:16" x14ac:dyDescent="0.55000000000000004">
      <c r="A84" s="463" t="s">
        <v>1698</v>
      </c>
      <c r="B84" s="464" t="s">
        <v>1629</v>
      </c>
      <c r="C84" s="1" t="s">
        <v>1609</v>
      </c>
      <c r="D84" s="465">
        <v>45826</v>
      </c>
      <c r="E84" s="475">
        <v>298000</v>
      </c>
      <c r="F84" s="467"/>
      <c r="G84" s="466"/>
      <c r="H84" s="466"/>
      <c r="I84" s="315"/>
      <c r="J84" s="1"/>
      <c r="K84" s="315">
        <f t="shared" si="9"/>
        <v>78398.833333333328</v>
      </c>
      <c r="L84" s="315">
        <f t="shared" si="10"/>
        <v>99040.126166666683</v>
      </c>
      <c r="M84" s="315">
        <f t="shared" si="11"/>
        <v>54373.029265500001</v>
      </c>
      <c r="N84" s="315">
        <f t="shared" si="12"/>
        <v>29850.793066759506</v>
      </c>
      <c r="O84" s="315">
        <f t="shared" si="13"/>
        <v>16388.085393650967</v>
      </c>
      <c r="P84" s="315">
        <f t="shared" si="14"/>
        <v>8997.0588811143807</v>
      </c>
    </row>
    <row r="85" spans="1:16" x14ac:dyDescent="0.55000000000000004">
      <c r="A85" s="463" t="s">
        <v>1699</v>
      </c>
      <c r="B85" s="464" t="s">
        <v>1629</v>
      </c>
      <c r="C85" s="1" t="s">
        <v>1609</v>
      </c>
      <c r="D85" s="465">
        <v>45826</v>
      </c>
      <c r="E85" s="475">
        <v>298000</v>
      </c>
      <c r="F85" s="467"/>
      <c r="G85" s="466"/>
      <c r="H85" s="466"/>
      <c r="I85" s="315"/>
      <c r="J85" s="1"/>
      <c r="K85" s="315">
        <f t="shared" si="9"/>
        <v>78398.833333333328</v>
      </c>
      <c r="L85" s="315">
        <f t="shared" si="10"/>
        <v>99040.126166666683</v>
      </c>
      <c r="M85" s="315">
        <f t="shared" si="11"/>
        <v>54373.029265500001</v>
      </c>
      <c r="N85" s="315">
        <f t="shared" si="12"/>
        <v>29850.793066759506</v>
      </c>
      <c r="O85" s="315">
        <f t="shared" si="13"/>
        <v>16388.085393650967</v>
      </c>
      <c r="P85" s="315">
        <f t="shared" si="14"/>
        <v>8997.0588811143807</v>
      </c>
    </row>
    <row r="86" spans="1:16" x14ac:dyDescent="0.55000000000000004">
      <c r="A86" s="463" t="s">
        <v>1700</v>
      </c>
      <c r="B86" s="464" t="s">
        <v>1681</v>
      </c>
      <c r="C86" s="1" t="s">
        <v>1578</v>
      </c>
      <c r="D86" s="465">
        <v>45827</v>
      </c>
      <c r="E86" s="475">
        <v>76270</v>
      </c>
      <c r="F86" s="467"/>
      <c r="G86" s="466"/>
      <c r="H86" s="466"/>
      <c r="I86" s="315"/>
      <c r="J86" s="1"/>
      <c r="K86" s="315">
        <f t="shared" si="9"/>
        <v>20065.365833333333</v>
      </c>
      <c r="L86" s="315">
        <f t="shared" si="10"/>
        <v>25348.290009166671</v>
      </c>
      <c r="M86" s="315">
        <f t="shared" si="11"/>
        <v>13916.211215032501</v>
      </c>
      <c r="N86" s="315">
        <f t="shared" si="12"/>
        <v>7639.9999570528425</v>
      </c>
      <c r="O86" s="315">
        <f t="shared" si="13"/>
        <v>4194.3599764220107</v>
      </c>
      <c r="P86" s="315">
        <f t="shared" si="14"/>
        <v>2302.7036270556837</v>
      </c>
    </row>
    <row r="87" spans="1:16" x14ac:dyDescent="0.55000000000000004">
      <c r="A87" s="463" t="s">
        <v>1701</v>
      </c>
      <c r="B87" s="464" t="s">
        <v>1676</v>
      </c>
      <c r="C87" s="1" t="s">
        <v>1627</v>
      </c>
      <c r="D87" s="465">
        <v>45827</v>
      </c>
      <c r="E87" s="475">
        <v>4330</v>
      </c>
      <c r="F87" s="467"/>
      <c r="G87" s="466"/>
      <c r="H87" s="466"/>
      <c r="I87" s="315"/>
      <c r="J87" s="1"/>
      <c r="K87" s="315">
        <f t="shared" si="9"/>
        <v>1139.1508333333334</v>
      </c>
      <c r="L87" s="315">
        <f t="shared" si="10"/>
        <v>1439.0729741666669</v>
      </c>
      <c r="M87" s="315">
        <f t="shared" si="11"/>
        <v>790.0510628175</v>
      </c>
      <c r="N87" s="315">
        <f t="shared" si="12"/>
        <v>433.73803348680752</v>
      </c>
      <c r="O87" s="315">
        <f t="shared" si="13"/>
        <v>238.12218038425729</v>
      </c>
      <c r="P87" s="315">
        <f t="shared" si="14"/>
        <v>130.72907703095726</v>
      </c>
    </row>
    <row r="88" spans="1:16" x14ac:dyDescent="0.55000000000000004">
      <c r="A88" s="463" t="s">
        <v>1702</v>
      </c>
      <c r="B88" s="464" t="s">
        <v>1693</v>
      </c>
      <c r="C88" s="1" t="s">
        <v>1673</v>
      </c>
      <c r="D88" s="465">
        <v>45827</v>
      </c>
      <c r="E88" s="475">
        <v>21990</v>
      </c>
      <c r="F88" s="467"/>
      <c r="G88" s="466"/>
      <c r="H88" s="466"/>
      <c r="I88" s="315"/>
      <c r="J88" s="1"/>
      <c r="K88" s="315">
        <f t="shared" si="9"/>
        <v>5785.2024999999994</v>
      </c>
      <c r="L88" s="315">
        <f t="shared" si="10"/>
        <v>7308.3636725000006</v>
      </c>
      <c r="M88" s="315">
        <f t="shared" si="11"/>
        <v>4012.2916562025007</v>
      </c>
      <c r="N88" s="315">
        <f t="shared" si="12"/>
        <v>2202.7481192551727</v>
      </c>
      <c r="O88" s="315">
        <f t="shared" si="13"/>
        <v>1209.3087174710899</v>
      </c>
      <c r="P88" s="315">
        <f t="shared" si="14"/>
        <v>663.91048589162835</v>
      </c>
    </row>
    <row r="89" spans="1:16" x14ac:dyDescent="0.55000000000000004">
      <c r="A89" s="463" t="s">
        <v>1703</v>
      </c>
      <c r="B89" s="464" t="s">
        <v>1684</v>
      </c>
      <c r="C89" s="1" t="s">
        <v>1673</v>
      </c>
      <c r="D89" s="465">
        <v>45827</v>
      </c>
      <c r="E89" s="475">
        <v>2615</v>
      </c>
      <c r="F89" s="467"/>
      <c r="G89" s="466"/>
      <c r="H89" s="466"/>
      <c r="I89" s="315"/>
      <c r="J89" s="1"/>
      <c r="K89" s="315">
        <f t="shared" si="9"/>
        <v>687.96291666666673</v>
      </c>
      <c r="L89" s="315">
        <f t="shared" si="10"/>
        <v>869.09372458333326</v>
      </c>
      <c r="M89" s="315">
        <f t="shared" si="11"/>
        <v>477.13245479624993</v>
      </c>
      <c r="N89" s="315">
        <f t="shared" si="12"/>
        <v>261.9457176831412</v>
      </c>
      <c r="O89" s="315">
        <f t="shared" si="13"/>
        <v>143.80819900804451</v>
      </c>
      <c r="P89" s="315">
        <f t="shared" si="14"/>
        <v>78.950701255416433</v>
      </c>
    </row>
    <row r="90" spans="1:16" x14ac:dyDescent="0.55000000000000004">
      <c r="A90" s="463" t="s">
        <v>1704</v>
      </c>
      <c r="B90" s="464" t="s">
        <v>1684</v>
      </c>
      <c r="C90" s="1" t="s">
        <v>1673</v>
      </c>
      <c r="D90" s="465">
        <v>45827</v>
      </c>
      <c r="E90" s="475">
        <v>2615</v>
      </c>
      <c r="F90" s="467"/>
      <c r="G90" s="466"/>
      <c r="H90" s="466"/>
      <c r="I90" s="315"/>
      <c r="J90" s="1"/>
      <c r="K90" s="315">
        <f t="shared" si="9"/>
        <v>687.96291666666673</v>
      </c>
      <c r="L90" s="315">
        <f t="shared" si="10"/>
        <v>869.09372458333326</v>
      </c>
      <c r="M90" s="315">
        <f t="shared" si="11"/>
        <v>477.13245479624993</v>
      </c>
      <c r="N90" s="315">
        <f t="shared" si="12"/>
        <v>261.9457176831412</v>
      </c>
      <c r="O90" s="315">
        <f t="shared" si="13"/>
        <v>143.80819900804451</v>
      </c>
      <c r="P90" s="315">
        <f t="shared" si="14"/>
        <v>78.950701255416433</v>
      </c>
    </row>
    <row r="91" spans="1:16" x14ac:dyDescent="0.55000000000000004">
      <c r="A91" s="463" t="s">
        <v>1705</v>
      </c>
      <c r="B91" s="464" t="s">
        <v>1668</v>
      </c>
      <c r="C91" s="1" t="s">
        <v>1669</v>
      </c>
      <c r="D91" s="465">
        <v>45827</v>
      </c>
      <c r="E91" s="475">
        <v>26000</v>
      </c>
      <c r="F91" s="467"/>
      <c r="G91" s="466"/>
      <c r="H91" s="466"/>
      <c r="I91" s="315"/>
      <c r="J91" s="1"/>
      <c r="K91" s="315">
        <f t="shared" si="9"/>
        <v>6840.166666666667</v>
      </c>
      <c r="L91" s="315">
        <f t="shared" si="10"/>
        <v>8641.0848333333324</v>
      </c>
      <c r="M91" s="315">
        <f t="shared" si="11"/>
        <v>4743.9555735000004</v>
      </c>
      <c r="N91" s="315">
        <f t="shared" si="12"/>
        <v>2604.4316098514996</v>
      </c>
      <c r="O91" s="315">
        <f t="shared" si="13"/>
        <v>1429.8329538084733</v>
      </c>
      <c r="P91" s="315">
        <f t="shared" si="14"/>
        <v>784.97829164085192</v>
      </c>
    </row>
    <row r="92" spans="1:16" x14ac:dyDescent="0.55000000000000004">
      <c r="A92" s="463" t="s">
        <v>1706</v>
      </c>
      <c r="B92" s="464" t="s">
        <v>1668</v>
      </c>
      <c r="C92" s="1" t="s">
        <v>1669</v>
      </c>
      <c r="D92" s="465">
        <v>45827</v>
      </c>
      <c r="E92" s="475">
        <v>26000</v>
      </c>
      <c r="F92" s="467"/>
      <c r="G92" s="466"/>
      <c r="H92" s="466"/>
      <c r="I92" s="315"/>
      <c r="J92" s="1"/>
      <c r="K92" s="315">
        <f t="shared" si="9"/>
        <v>6840.166666666667</v>
      </c>
      <c r="L92" s="315">
        <f t="shared" si="10"/>
        <v>8641.0848333333324</v>
      </c>
      <c r="M92" s="315">
        <f t="shared" si="11"/>
        <v>4743.9555735000004</v>
      </c>
      <c r="N92" s="315">
        <f t="shared" si="12"/>
        <v>2604.4316098514996</v>
      </c>
      <c r="O92" s="315">
        <f t="shared" si="13"/>
        <v>1429.8329538084733</v>
      </c>
      <c r="P92" s="315">
        <f t="shared" si="14"/>
        <v>784.97829164085192</v>
      </c>
    </row>
    <row r="93" spans="1:16" x14ac:dyDescent="0.55000000000000004">
      <c r="A93" s="463" t="s">
        <v>1707</v>
      </c>
      <c r="B93" s="464" t="s">
        <v>1629</v>
      </c>
      <c r="C93" s="1" t="s">
        <v>1609</v>
      </c>
      <c r="D93" s="465">
        <v>45833</v>
      </c>
      <c r="E93" s="475">
        <v>297650</v>
      </c>
      <c r="F93" s="467"/>
      <c r="G93" s="466"/>
      <c r="H93" s="466"/>
      <c r="I93" s="315"/>
      <c r="J93" s="1"/>
      <c r="K93" s="315">
        <f t="shared" si="9"/>
        <v>78306.754166666666</v>
      </c>
      <c r="L93" s="315">
        <f t="shared" si="10"/>
        <v>98923.803870833348</v>
      </c>
      <c r="M93" s="315">
        <f t="shared" si="11"/>
        <v>54309.168325087499</v>
      </c>
      <c r="N93" s="315">
        <f t="shared" si="12"/>
        <v>29815.733410473036</v>
      </c>
      <c r="O93" s="315">
        <f t="shared" si="13"/>
        <v>16368.837642349694</v>
      </c>
      <c r="P93" s="315">
        <f t="shared" si="14"/>
        <v>8986.4918656499813</v>
      </c>
    </row>
    <row r="94" spans="1:16" x14ac:dyDescent="0.55000000000000004">
      <c r="A94" s="463" t="s">
        <v>1708</v>
      </c>
      <c r="B94" s="464" t="s">
        <v>1629</v>
      </c>
      <c r="C94" s="1" t="s">
        <v>1609</v>
      </c>
      <c r="D94" s="465">
        <v>45833</v>
      </c>
      <c r="E94" s="475">
        <v>297650</v>
      </c>
      <c r="F94" s="467"/>
      <c r="G94" s="466"/>
      <c r="H94" s="466"/>
      <c r="I94" s="315"/>
      <c r="J94" s="1"/>
      <c r="K94" s="315">
        <f t="shared" si="9"/>
        <v>78306.754166666666</v>
      </c>
      <c r="L94" s="315">
        <f t="shared" si="10"/>
        <v>98923.803870833348</v>
      </c>
      <c r="M94" s="315">
        <f t="shared" si="11"/>
        <v>54309.168325087499</v>
      </c>
      <c r="N94" s="315">
        <f t="shared" si="12"/>
        <v>29815.733410473036</v>
      </c>
      <c r="O94" s="315">
        <f t="shared" si="13"/>
        <v>16368.837642349694</v>
      </c>
      <c r="P94" s="315">
        <f t="shared" si="14"/>
        <v>8986.4918656499813</v>
      </c>
    </row>
    <row r="95" spans="1:16" x14ac:dyDescent="0.55000000000000004">
      <c r="A95" s="463" t="s">
        <v>1709</v>
      </c>
      <c r="B95" s="464" t="s">
        <v>1710</v>
      </c>
      <c r="C95" s="1" t="s">
        <v>1635</v>
      </c>
      <c r="D95" s="465">
        <v>45833</v>
      </c>
      <c r="E95" s="475">
        <v>2036700</v>
      </c>
      <c r="F95" s="467">
        <f t="shared" ref="F95:F98" si="15">2/5</f>
        <v>0.4</v>
      </c>
      <c r="G95" s="466">
        <f>IF(2025=YEAR(D95),12-MONTH(D95)+1,12)</f>
        <v>7</v>
      </c>
      <c r="H95" s="466">
        <f t="shared" ref="H95:H98" si="16">E95*F95*G95/12</f>
        <v>475230</v>
      </c>
      <c r="I95" s="315"/>
      <c r="J95" s="1"/>
      <c r="K95" s="315">
        <f t="shared" si="9"/>
        <v>535821.82500000007</v>
      </c>
      <c r="L95" s="315">
        <f t="shared" si="10"/>
        <v>676896.05692499992</v>
      </c>
      <c r="M95" s="315">
        <f t="shared" si="11"/>
        <v>371615.93525182497</v>
      </c>
      <c r="N95" s="315">
        <f t="shared" si="12"/>
        <v>204017.1484532519</v>
      </c>
      <c r="O95" s="315">
        <f t="shared" si="13"/>
        <v>112005.41450083529</v>
      </c>
      <c r="P95" s="315">
        <f t="shared" si="14"/>
        <v>61490.972560958573</v>
      </c>
    </row>
    <row r="96" spans="1:16" x14ac:dyDescent="0.55000000000000004">
      <c r="A96" s="463" t="s">
        <v>1711</v>
      </c>
      <c r="B96" s="464" t="s">
        <v>1712</v>
      </c>
      <c r="C96" s="1" t="s">
        <v>1635</v>
      </c>
      <c r="D96" s="465">
        <v>45833</v>
      </c>
      <c r="E96" s="475">
        <v>2315700</v>
      </c>
      <c r="F96" s="467">
        <f t="shared" si="15"/>
        <v>0.4</v>
      </c>
      <c r="G96" s="466">
        <f>IF(2025=YEAR(D96),12-MONTH(D96)+1,12)</f>
        <v>7</v>
      </c>
      <c r="H96" s="466">
        <f t="shared" si="16"/>
        <v>540330</v>
      </c>
      <c r="I96" s="315"/>
      <c r="J96" s="1"/>
      <c r="K96" s="315">
        <f t="shared" si="9"/>
        <v>609222.07500000007</v>
      </c>
      <c r="L96" s="315">
        <f t="shared" si="10"/>
        <v>769621.54417499993</v>
      </c>
      <c r="M96" s="315">
        <f t="shared" si="11"/>
        <v>422522.22775207495</v>
      </c>
      <c r="N96" s="315">
        <f t="shared" si="12"/>
        <v>231964.70303588916</v>
      </c>
      <c r="O96" s="315">
        <f t="shared" si="13"/>
        <v>127348.62196670313</v>
      </c>
      <c r="P96" s="315">
        <f t="shared" si="14"/>
        <v>69914.393459720013</v>
      </c>
    </row>
    <row r="97" spans="1:16" x14ac:dyDescent="0.55000000000000004">
      <c r="A97" s="463" t="s">
        <v>1713</v>
      </c>
      <c r="B97" s="464" t="s">
        <v>1714</v>
      </c>
      <c r="C97" s="1" t="s">
        <v>1627</v>
      </c>
      <c r="D97" s="465">
        <v>45833</v>
      </c>
      <c r="E97" s="475">
        <v>5250</v>
      </c>
      <c r="F97" s="467"/>
      <c r="G97" s="466"/>
      <c r="H97" s="466"/>
      <c r="I97" s="315"/>
      <c r="J97" s="1"/>
      <c r="K97" s="315">
        <f t="shared" si="9"/>
        <v>1381.1875</v>
      </c>
      <c r="L97" s="315">
        <f t="shared" si="10"/>
        <v>1744.8344375000001</v>
      </c>
      <c r="M97" s="315">
        <f t="shared" si="11"/>
        <v>957.91410618750001</v>
      </c>
      <c r="N97" s="315">
        <f t="shared" si="12"/>
        <v>525.89484429693744</v>
      </c>
      <c r="O97" s="315">
        <f t="shared" si="13"/>
        <v>288.71626951901862</v>
      </c>
      <c r="P97" s="315">
        <f t="shared" si="14"/>
        <v>158.50523196594125</v>
      </c>
    </row>
    <row r="98" spans="1:16" x14ac:dyDescent="0.55000000000000004">
      <c r="A98" s="463" t="s">
        <v>1715</v>
      </c>
      <c r="B98" s="464" t="s">
        <v>1614</v>
      </c>
      <c r="C98" s="1" t="s">
        <v>1575</v>
      </c>
      <c r="D98" s="465">
        <v>45834</v>
      </c>
      <c r="E98" s="475">
        <f>3188500-55000</f>
        <v>3133500</v>
      </c>
      <c r="F98" s="467">
        <f t="shared" si="15"/>
        <v>0.4</v>
      </c>
      <c r="G98" s="466">
        <f>IF(2025=YEAR(D98),12-MONTH(D98)+1,12)</f>
        <v>7</v>
      </c>
      <c r="H98" s="466">
        <f t="shared" si="16"/>
        <v>731150</v>
      </c>
      <c r="I98" s="315"/>
      <c r="J98" s="1"/>
      <c r="K98" s="315">
        <f t="shared" si="9"/>
        <v>824371.625</v>
      </c>
      <c r="L98" s="315">
        <f t="shared" si="10"/>
        <v>1041416.897125</v>
      </c>
      <c r="M98" s="315">
        <f t="shared" si="11"/>
        <v>571737.87652162497</v>
      </c>
      <c r="N98" s="315">
        <f t="shared" si="12"/>
        <v>313884.09421037207</v>
      </c>
      <c r="O98" s="315">
        <f t="shared" si="13"/>
        <v>172322.36772149429</v>
      </c>
      <c r="P98" s="315">
        <f t="shared" si="14"/>
        <v>94604.979879100356</v>
      </c>
    </row>
    <row r="99" spans="1:16" x14ac:dyDescent="0.55000000000000004">
      <c r="A99" s="463" t="s">
        <v>1716</v>
      </c>
      <c r="B99" s="464" t="s">
        <v>1629</v>
      </c>
      <c r="C99" s="1" t="s">
        <v>1609</v>
      </c>
      <c r="D99" s="465">
        <v>45834</v>
      </c>
      <c r="E99" s="475">
        <v>297510</v>
      </c>
      <c r="F99" s="467"/>
      <c r="G99" s="466"/>
      <c r="H99" s="466"/>
      <c r="I99" s="315"/>
      <c r="J99" s="1"/>
      <c r="K99" s="315">
        <f t="shared" si="9"/>
        <v>78269.922500000001</v>
      </c>
      <c r="L99" s="315">
        <f t="shared" si="10"/>
        <v>98877.274952500011</v>
      </c>
      <c r="M99" s="315">
        <f t="shared" si="11"/>
        <v>54283.623948922504</v>
      </c>
      <c r="N99" s="315">
        <f t="shared" si="12"/>
        <v>29801.709547958457</v>
      </c>
      <c r="O99" s="315">
        <f t="shared" si="13"/>
        <v>16361.138541829194</v>
      </c>
      <c r="P99" s="315">
        <f t="shared" si="14"/>
        <v>8982.2650594642273</v>
      </c>
    </row>
    <row r="100" spans="1:16" x14ac:dyDescent="0.55000000000000004">
      <c r="A100" s="463" t="s">
        <v>1717</v>
      </c>
      <c r="B100" s="464" t="s">
        <v>1629</v>
      </c>
      <c r="C100" s="1" t="s">
        <v>1609</v>
      </c>
      <c r="D100" s="465">
        <v>45834</v>
      </c>
      <c r="E100" s="475">
        <v>297510</v>
      </c>
      <c r="F100" s="467"/>
      <c r="G100" s="466"/>
      <c r="H100" s="466"/>
      <c r="I100" s="315"/>
      <c r="J100" s="1"/>
      <c r="K100" s="315">
        <f t="shared" si="9"/>
        <v>78269.922500000001</v>
      </c>
      <c r="L100" s="315">
        <f t="shared" si="10"/>
        <v>98877.274952500011</v>
      </c>
      <c r="M100" s="315">
        <f t="shared" si="11"/>
        <v>54283.623948922504</v>
      </c>
      <c r="N100" s="315">
        <f t="shared" si="12"/>
        <v>29801.709547958457</v>
      </c>
      <c r="O100" s="315">
        <f t="shared" si="13"/>
        <v>16361.138541829194</v>
      </c>
      <c r="P100" s="315">
        <f t="shared" si="14"/>
        <v>8982.2650594642273</v>
      </c>
    </row>
    <row r="101" spans="1:16" x14ac:dyDescent="0.55000000000000004">
      <c r="A101" s="463" t="s">
        <v>1718</v>
      </c>
      <c r="B101" s="464" t="s">
        <v>1719</v>
      </c>
      <c r="C101" s="1" t="s">
        <v>1578</v>
      </c>
      <c r="D101" s="465">
        <v>45834</v>
      </c>
      <c r="E101" s="475">
        <v>22250</v>
      </c>
      <c r="F101" s="467"/>
      <c r="G101" s="466"/>
      <c r="H101" s="466"/>
      <c r="I101" s="315"/>
      <c r="J101" s="1"/>
      <c r="K101" s="315">
        <f t="shared" si="9"/>
        <v>5853.604166666667</v>
      </c>
      <c r="L101" s="315">
        <f t="shared" si="10"/>
        <v>7394.7745208333326</v>
      </c>
      <c r="M101" s="315">
        <f t="shared" si="11"/>
        <v>4059.7312119374997</v>
      </c>
      <c r="N101" s="315">
        <f t="shared" si="12"/>
        <v>2228.7924353536873</v>
      </c>
      <c r="O101" s="315">
        <f t="shared" si="13"/>
        <v>1223.6070470091743</v>
      </c>
      <c r="P101" s="315">
        <f t="shared" si="14"/>
        <v>671.7602688080367</v>
      </c>
    </row>
    <row r="102" spans="1:16" x14ac:dyDescent="0.55000000000000004">
      <c r="A102" s="463" t="s">
        <v>1720</v>
      </c>
      <c r="B102" s="464" t="s">
        <v>1605</v>
      </c>
      <c r="C102" s="1" t="s">
        <v>1581</v>
      </c>
      <c r="D102" s="465">
        <v>45834</v>
      </c>
      <c r="E102" s="475">
        <v>22250</v>
      </c>
      <c r="F102" s="467"/>
      <c r="G102" s="466"/>
      <c r="H102" s="466"/>
      <c r="I102" s="315"/>
      <c r="J102" s="1"/>
      <c r="K102" s="315">
        <f t="shared" si="9"/>
        <v>5853.604166666667</v>
      </c>
      <c r="L102" s="315">
        <f t="shared" si="10"/>
        <v>7394.7745208333326</v>
      </c>
      <c r="M102" s="315">
        <f t="shared" si="11"/>
        <v>4059.7312119374997</v>
      </c>
      <c r="N102" s="315">
        <f t="shared" si="12"/>
        <v>2228.7924353536873</v>
      </c>
      <c r="O102" s="315">
        <f t="shared" si="13"/>
        <v>1223.6070470091743</v>
      </c>
      <c r="P102" s="315">
        <f t="shared" si="14"/>
        <v>671.7602688080367</v>
      </c>
    </row>
    <row r="103" spans="1:16" x14ac:dyDescent="0.55000000000000004">
      <c r="A103" s="463" t="s">
        <v>1721</v>
      </c>
      <c r="B103" s="464" t="s">
        <v>1722</v>
      </c>
      <c r="C103" s="1" t="s">
        <v>1609</v>
      </c>
      <c r="D103" s="465">
        <v>45838</v>
      </c>
      <c r="E103" s="475">
        <v>429000</v>
      </c>
      <c r="F103" s="467"/>
      <c r="G103" s="466"/>
      <c r="H103" s="466"/>
      <c r="I103" s="315"/>
      <c r="J103" s="1"/>
      <c r="K103" s="315">
        <f t="shared" si="9"/>
        <v>112862.75</v>
      </c>
      <c r="L103" s="315">
        <f t="shared" si="10"/>
        <v>142577.89975000001</v>
      </c>
      <c r="M103" s="315">
        <f t="shared" si="11"/>
        <v>78275.26696275</v>
      </c>
      <c r="N103" s="315">
        <f t="shared" si="12"/>
        <v>42973.121562549743</v>
      </c>
      <c r="O103" s="315">
        <f t="shared" si="13"/>
        <v>23592.24373783981</v>
      </c>
      <c r="P103" s="315">
        <f t="shared" si="14"/>
        <v>12952.141812074056</v>
      </c>
    </row>
    <row r="104" spans="1:16" x14ac:dyDescent="0.55000000000000004">
      <c r="A104" s="463" t="s">
        <v>1723</v>
      </c>
      <c r="B104" s="464" t="s">
        <v>1722</v>
      </c>
      <c r="C104" s="1" t="s">
        <v>1609</v>
      </c>
      <c r="D104" s="465">
        <v>45838</v>
      </c>
      <c r="E104" s="475">
        <v>429000</v>
      </c>
      <c r="F104" s="467"/>
      <c r="G104" s="466"/>
      <c r="H104" s="466"/>
      <c r="I104" s="315"/>
      <c r="J104" s="1"/>
      <c r="K104" s="315">
        <f>E104*0.451*(12-MONTH($D104)+1)/12</f>
        <v>112862.75</v>
      </c>
      <c r="L104" s="315">
        <f>($E104-$K104)*0.451</f>
        <v>142577.89975000001</v>
      </c>
      <c r="M104" s="315">
        <f>($E104-$K104-$L104)*0.451</f>
        <v>78275.26696275</v>
      </c>
      <c r="N104" s="315">
        <f>($E104-$K104-$L104-$M104)*0.451</f>
        <v>42973.121562549743</v>
      </c>
      <c r="O104" s="315">
        <f>($E104-$K104-$L104-$M104-$N104)*0.451</f>
        <v>23592.24373783981</v>
      </c>
      <c r="P104" s="315">
        <f>($E104-$K104-$L104-$M104-$N104-$O104)*0.451</f>
        <v>12952.141812074056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F2D69-F5C0-476E-A253-63AAA10AF9BE}">
  <dimension ref="A2:G20"/>
  <sheetViews>
    <sheetView workbookViewId="0"/>
  </sheetViews>
  <sheetFormatPr defaultColWidth="9" defaultRowHeight="15" x14ac:dyDescent="0.55000000000000004"/>
  <cols>
    <col min="1" max="1" width="5.640625" style="32" bestFit="1" customWidth="1"/>
    <col min="2" max="2" width="5.85546875" style="32" bestFit="1" customWidth="1"/>
    <col min="3" max="3" width="14.7109375" style="32" bestFit="1" customWidth="1"/>
    <col min="4" max="5" width="9.7109375" style="32" bestFit="1" customWidth="1"/>
    <col min="6" max="6" width="19.35546875" style="32" bestFit="1" customWidth="1"/>
    <col min="7" max="7" width="22.35546875" style="32" bestFit="1" customWidth="1"/>
    <col min="8" max="16384" width="9" style="32"/>
  </cols>
  <sheetData>
    <row r="2" spans="1:7" x14ac:dyDescent="0.55000000000000004">
      <c r="A2" s="32" t="s">
        <v>1329</v>
      </c>
    </row>
    <row r="3" spans="1:7" ht="15.45" thickBot="1" x14ac:dyDescent="0.6">
      <c r="A3" s="400" t="s">
        <v>1294</v>
      </c>
      <c r="B3" s="400" t="s">
        <v>1295</v>
      </c>
      <c r="C3" s="400" t="s">
        <v>1296</v>
      </c>
      <c r="D3" s="400" t="s">
        <v>1325</v>
      </c>
      <c r="E3" s="400" t="s">
        <v>1326</v>
      </c>
      <c r="F3" s="400" t="s">
        <v>1327</v>
      </c>
      <c r="G3" s="400" t="s">
        <v>1328</v>
      </c>
    </row>
    <row r="4" spans="1:7" x14ac:dyDescent="0.5">
      <c r="A4" s="401" t="s">
        <v>1297</v>
      </c>
      <c r="B4" s="401" t="s">
        <v>1298</v>
      </c>
      <c r="C4" s="401" t="s">
        <v>1299</v>
      </c>
      <c r="D4" s="401">
        <v>30600000</v>
      </c>
      <c r="E4" s="401">
        <v>0</v>
      </c>
      <c r="F4" s="401" t="s">
        <v>1300</v>
      </c>
      <c r="G4" s="401" t="s">
        <v>1301</v>
      </c>
    </row>
    <row r="5" spans="1:7" x14ac:dyDescent="0.5">
      <c r="A5" s="402" t="s">
        <v>1297</v>
      </c>
      <c r="B5" s="402" t="s">
        <v>1298</v>
      </c>
      <c r="C5" s="402" t="s">
        <v>189</v>
      </c>
      <c r="D5" s="402">
        <v>0</v>
      </c>
      <c r="E5" s="402">
        <v>30600000</v>
      </c>
      <c r="F5" s="402" t="s">
        <v>1300</v>
      </c>
      <c r="G5" s="402" t="s">
        <v>1301</v>
      </c>
    </row>
    <row r="6" spans="1:7" x14ac:dyDescent="0.5">
      <c r="A6" s="402" t="s">
        <v>1297</v>
      </c>
      <c r="B6" s="402" t="s">
        <v>1302</v>
      </c>
      <c r="C6" s="402" t="s">
        <v>1303</v>
      </c>
      <c r="D6" s="402">
        <v>6000000</v>
      </c>
      <c r="E6" s="402">
        <v>0</v>
      </c>
      <c r="F6" s="402" t="s">
        <v>1304</v>
      </c>
      <c r="G6" s="402" t="s">
        <v>1305</v>
      </c>
    </row>
    <row r="7" spans="1:7" x14ac:dyDescent="0.5">
      <c r="A7" s="402" t="s">
        <v>1297</v>
      </c>
      <c r="B7" s="402" t="s">
        <v>1302</v>
      </c>
      <c r="C7" s="402" t="s">
        <v>189</v>
      </c>
      <c r="D7" s="402">
        <v>0</v>
      </c>
      <c r="E7" s="402">
        <v>6000000</v>
      </c>
      <c r="F7" s="402" t="s">
        <v>1304</v>
      </c>
      <c r="G7" s="402" t="s">
        <v>1305</v>
      </c>
    </row>
    <row r="8" spans="1:7" x14ac:dyDescent="0.5">
      <c r="A8" s="402" t="s">
        <v>1306</v>
      </c>
      <c r="B8" s="402" t="s">
        <v>1307</v>
      </c>
      <c r="C8" s="402" t="s">
        <v>189</v>
      </c>
      <c r="D8" s="402">
        <v>1251000</v>
      </c>
      <c r="E8" s="402">
        <v>0</v>
      </c>
      <c r="F8" s="402" t="s">
        <v>1300</v>
      </c>
      <c r="G8" s="402" t="s">
        <v>1308</v>
      </c>
    </row>
    <row r="9" spans="1:7" x14ac:dyDescent="0.5">
      <c r="A9" s="402" t="s">
        <v>1306</v>
      </c>
      <c r="B9" s="402" t="s">
        <v>1307</v>
      </c>
      <c r="C9" s="402" t="s">
        <v>151</v>
      </c>
      <c r="D9" s="402">
        <v>0</v>
      </c>
      <c r="E9" s="402">
        <v>1251000</v>
      </c>
      <c r="F9" s="402" t="s">
        <v>1300</v>
      </c>
      <c r="G9" s="402" t="s">
        <v>1308</v>
      </c>
    </row>
    <row r="10" spans="1:7" x14ac:dyDescent="0.5">
      <c r="A10" s="402" t="s">
        <v>1309</v>
      </c>
      <c r="B10" s="402" t="s">
        <v>1310</v>
      </c>
      <c r="C10" s="402" t="s">
        <v>141</v>
      </c>
      <c r="D10" s="402">
        <v>2219000</v>
      </c>
      <c r="E10" s="402">
        <v>0</v>
      </c>
      <c r="F10" s="402" t="s">
        <v>1311</v>
      </c>
      <c r="G10" s="402" t="s">
        <v>1312</v>
      </c>
    </row>
    <row r="11" spans="1:7" x14ac:dyDescent="0.5">
      <c r="A11" s="402" t="s">
        <v>1309</v>
      </c>
      <c r="B11" s="402" t="s">
        <v>1310</v>
      </c>
      <c r="C11" s="402" t="s">
        <v>151</v>
      </c>
      <c r="D11" s="402">
        <v>0</v>
      </c>
      <c r="E11" s="402">
        <v>2219000</v>
      </c>
      <c r="F11" s="402" t="s">
        <v>1311</v>
      </c>
      <c r="G11" s="402" t="s">
        <v>1312</v>
      </c>
    </row>
    <row r="12" spans="1:7" x14ac:dyDescent="0.5">
      <c r="A12" s="402" t="s">
        <v>1313</v>
      </c>
      <c r="B12" s="402" t="s">
        <v>1310</v>
      </c>
      <c r="C12" s="402" t="s">
        <v>1314</v>
      </c>
      <c r="D12" s="402">
        <v>4150000</v>
      </c>
      <c r="E12" s="402">
        <v>0</v>
      </c>
      <c r="F12" s="402" t="s">
        <v>1311</v>
      </c>
      <c r="G12" s="402" t="s">
        <v>1315</v>
      </c>
    </row>
    <row r="13" spans="1:7" x14ac:dyDescent="0.5">
      <c r="A13" s="402" t="s">
        <v>1313</v>
      </c>
      <c r="B13" s="402" t="s">
        <v>1310</v>
      </c>
      <c r="C13" s="402" t="s">
        <v>279</v>
      </c>
      <c r="D13" s="402">
        <v>0</v>
      </c>
      <c r="E13" s="402">
        <v>377272</v>
      </c>
      <c r="F13" s="402" t="s">
        <v>1311</v>
      </c>
      <c r="G13" s="402" t="s">
        <v>1315</v>
      </c>
    </row>
    <row r="14" spans="1:7" x14ac:dyDescent="0.5">
      <c r="A14" s="402" t="s">
        <v>1313</v>
      </c>
      <c r="B14" s="402" t="s">
        <v>1310</v>
      </c>
      <c r="C14" s="402" t="s">
        <v>1316</v>
      </c>
      <c r="D14" s="402">
        <v>0</v>
      </c>
      <c r="E14" s="402">
        <v>3772728</v>
      </c>
      <c r="F14" s="402" t="s">
        <v>1311</v>
      </c>
      <c r="G14" s="402" t="s">
        <v>1315</v>
      </c>
    </row>
    <row r="15" spans="1:7" x14ac:dyDescent="0.5">
      <c r="A15" s="402" t="s">
        <v>1317</v>
      </c>
      <c r="B15" s="402" t="s">
        <v>1318</v>
      </c>
      <c r="C15" s="402" t="s">
        <v>189</v>
      </c>
      <c r="D15" s="402">
        <v>4150000</v>
      </c>
      <c r="E15" s="402">
        <v>0</v>
      </c>
      <c r="F15" s="402" t="s">
        <v>1311</v>
      </c>
      <c r="G15" s="402" t="s">
        <v>1311</v>
      </c>
    </row>
    <row r="16" spans="1:7" x14ac:dyDescent="0.5">
      <c r="A16" s="402" t="s">
        <v>1317</v>
      </c>
      <c r="B16" s="402" t="s">
        <v>1318</v>
      </c>
      <c r="C16" s="402" t="s">
        <v>1314</v>
      </c>
      <c r="D16" s="402">
        <v>0</v>
      </c>
      <c r="E16" s="402">
        <v>4150000</v>
      </c>
      <c r="F16" s="402" t="s">
        <v>1311</v>
      </c>
      <c r="G16" s="402" t="s">
        <v>1311</v>
      </c>
    </row>
    <row r="17" spans="1:7" x14ac:dyDescent="0.5">
      <c r="A17" s="402" t="s">
        <v>1317</v>
      </c>
      <c r="B17" s="402" t="s">
        <v>1319</v>
      </c>
      <c r="C17" s="402" t="s">
        <v>1320</v>
      </c>
      <c r="D17" s="402">
        <v>22275000</v>
      </c>
      <c r="E17" s="402">
        <v>0</v>
      </c>
      <c r="F17" s="402" t="s">
        <v>1304</v>
      </c>
      <c r="G17" s="402" t="s">
        <v>1321</v>
      </c>
    </row>
    <row r="18" spans="1:7" x14ac:dyDescent="0.5">
      <c r="A18" s="402" t="s">
        <v>1317</v>
      </c>
      <c r="B18" s="402" t="s">
        <v>1319</v>
      </c>
      <c r="C18" s="402" t="s">
        <v>151</v>
      </c>
      <c r="D18" s="402">
        <v>0</v>
      </c>
      <c r="E18" s="402">
        <v>22275000</v>
      </c>
      <c r="F18" s="402" t="s">
        <v>1304</v>
      </c>
      <c r="G18" s="402" t="s">
        <v>1321</v>
      </c>
    </row>
    <row r="19" spans="1:7" x14ac:dyDescent="0.5">
      <c r="A19" s="402" t="s">
        <v>1322</v>
      </c>
      <c r="B19" s="402" t="s">
        <v>1323</v>
      </c>
      <c r="C19" s="402" t="s">
        <v>189</v>
      </c>
      <c r="D19" s="402">
        <v>191667</v>
      </c>
      <c r="E19" s="402">
        <v>0</v>
      </c>
      <c r="F19" s="402" t="s">
        <v>1304</v>
      </c>
      <c r="G19" s="402" t="s">
        <v>1324</v>
      </c>
    </row>
    <row r="20" spans="1:7" x14ac:dyDescent="0.5">
      <c r="A20" s="402" t="s">
        <v>1322</v>
      </c>
      <c r="B20" s="402" t="s">
        <v>1323</v>
      </c>
      <c r="C20" s="402" t="s">
        <v>433</v>
      </c>
      <c r="D20" s="402">
        <v>0</v>
      </c>
      <c r="E20" s="402">
        <v>191667</v>
      </c>
      <c r="F20" s="402" t="s">
        <v>1304</v>
      </c>
      <c r="G20" s="402" t="s">
        <v>1324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94689-EA96-477F-88E9-2DDB66DFE4AD}">
  <dimension ref="A1:W12"/>
  <sheetViews>
    <sheetView workbookViewId="0"/>
  </sheetViews>
  <sheetFormatPr defaultRowHeight="17.600000000000001" x14ac:dyDescent="0.55000000000000004"/>
  <cols>
    <col min="1" max="1" width="49.85546875" customWidth="1"/>
    <col min="2" max="7" width="0" hidden="1" customWidth="1"/>
  </cols>
  <sheetData>
    <row r="1" spans="1:23" x14ac:dyDescent="0.55000000000000004">
      <c r="A1" s="246"/>
      <c r="B1" s="246"/>
      <c r="C1" s="246"/>
      <c r="D1" s="246"/>
      <c r="E1" s="246"/>
      <c r="F1" s="246"/>
      <c r="G1" s="246"/>
      <c r="H1" s="246"/>
      <c r="I1" s="247"/>
      <c r="J1" s="247"/>
      <c r="K1" s="247"/>
      <c r="L1" s="247"/>
      <c r="M1" s="247"/>
      <c r="N1" s="247"/>
      <c r="O1" s="247"/>
      <c r="P1" s="247"/>
      <c r="Q1" s="247"/>
      <c r="R1" s="247"/>
      <c r="S1" s="247"/>
      <c r="T1" s="247"/>
      <c r="U1" s="247"/>
      <c r="V1" s="247"/>
      <c r="W1" s="247"/>
    </row>
    <row r="2" spans="1:23" ht="20.6" x14ac:dyDescent="0.55000000000000004">
      <c r="A2" s="248" t="s">
        <v>1246</v>
      </c>
      <c r="B2" s="246"/>
      <c r="C2" s="246"/>
      <c r="D2" s="246"/>
      <c r="E2" s="246"/>
      <c r="F2" s="246"/>
      <c r="G2" s="246"/>
      <c r="H2" s="246"/>
      <c r="I2" s="247"/>
      <c r="J2" s="247"/>
      <c r="K2" s="247"/>
      <c r="L2" s="247"/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</row>
    <row r="3" spans="1:23" x14ac:dyDescent="0.55000000000000004">
      <c r="A3" s="249" t="s">
        <v>1247</v>
      </c>
      <c r="B3" s="246"/>
      <c r="C3" s="246"/>
      <c r="D3" s="246"/>
      <c r="E3" s="246"/>
      <c r="F3" s="246"/>
      <c r="G3" s="246"/>
      <c r="H3" s="246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  <c r="T3" s="247"/>
      <c r="U3" s="247"/>
      <c r="V3" s="247"/>
      <c r="W3" s="247"/>
    </row>
    <row r="4" spans="1:23" x14ac:dyDescent="0.55000000000000004">
      <c r="A4" s="250" t="s">
        <v>1248</v>
      </c>
      <c r="B4" s="246"/>
      <c r="C4" s="246"/>
      <c r="D4" s="246"/>
      <c r="E4" s="246"/>
      <c r="F4" s="246"/>
      <c r="G4" s="246"/>
      <c r="H4" s="246"/>
      <c r="I4" s="247"/>
      <c r="J4" s="247"/>
      <c r="K4" s="247"/>
      <c r="L4" s="247"/>
      <c r="M4" s="247"/>
      <c r="N4" s="247"/>
      <c r="O4" s="247"/>
      <c r="P4" s="247"/>
      <c r="Q4" s="247"/>
      <c r="R4" s="247"/>
      <c r="S4" s="247"/>
      <c r="T4" s="247"/>
      <c r="U4" s="247"/>
      <c r="V4" s="247"/>
      <c r="W4" s="247"/>
    </row>
    <row r="5" spans="1:23" x14ac:dyDescent="0.55000000000000004">
      <c r="A5" s="251" t="s">
        <v>1249</v>
      </c>
      <c r="B5" s="246"/>
      <c r="C5" s="246"/>
      <c r="D5" s="246"/>
      <c r="E5" s="246"/>
      <c r="F5" s="246"/>
      <c r="G5" s="246"/>
      <c r="H5" s="246"/>
      <c r="I5" s="247"/>
      <c r="J5" s="247"/>
      <c r="K5" s="247"/>
      <c r="L5" s="247"/>
      <c r="M5" s="247"/>
      <c r="N5" s="247"/>
      <c r="O5" s="247"/>
      <c r="P5" s="247"/>
      <c r="Q5" s="247"/>
      <c r="R5" s="247"/>
      <c r="S5" s="247"/>
      <c r="T5" s="247"/>
      <c r="U5" s="247"/>
      <c r="V5" s="247"/>
      <c r="W5" s="247"/>
    </row>
    <row r="6" spans="1:23" x14ac:dyDescent="0.55000000000000004">
      <c r="A6" s="252" t="s">
        <v>1250</v>
      </c>
      <c r="B6" s="246"/>
      <c r="C6" s="246"/>
      <c r="D6" s="246"/>
      <c r="E6" s="246"/>
      <c r="F6" s="246"/>
      <c r="G6" s="246"/>
      <c r="H6" s="246"/>
      <c r="I6" s="247"/>
      <c r="J6" s="247"/>
      <c r="K6" s="247"/>
      <c r="L6" s="247"/>
      <c r="M6" s="247"/>
      <c r="N6" s="247"/>
      <c r="O6" s="247"/>
      <c r="P6" s="247"/>
      <c r="Q6" s="247"/>
      <c r="R6" s="247"/>
      <c r="S6" s="247"/>
      <c r="T6" s="247"/>
      <c r="U6" s="247"/>
      <c r="V6" s="247"/>
      <c r="W6" s="247"/>
    </row>
    <row r="7" spans="1:23" x14ac:dyDescent="0.55000000000000004">
      <c r="A7" s="253" t="s">
        <v>1251</v>
      </c>
      <c r="B7" s="246"/>
      <c r="C7" s="246"/>
      <c r="D7" s="246"/>
      <c r="E7" s="246"/>
      <c r="F7" s="246"/>
      <c r="G7" s="246"/>
      <c r="H7" s="246"/>
      <c r="I7" s="247"/>
      <c r="J7" s="247"/>
      <c r="K7" s="247"/>
      <c r="L7" s="247"/>
      <c r="M7" s="247"/>
      <c r="N7" s="247"/>
      <c r="O7" s="247"/>
      <c r="P7" s="247"/>
      <c r="Q7" s="247"/>
      <c r="R7" s="247"/>
      <c r="S7" s="247"/>
      <c r="T7" s="247"/>
      <c r="U7" s="247"/>
      <c r="V7" s="247"/>
      <c r="W7" s="247"/>
    </row>
    <row r="8" spans="1:23" x14ac:dyDescent="0.55000000000000004">
      <c r="A8" s="254" t="s">
        <v>1252</v>
      </c>
      <c r="B8" s="246"/>
      <c r="C8" s="246"/>
      <c r="D8" s="246"/>
      <c r="E8" s="246"/>
      <c r="F8" s="246"/>
      <c r="G8" s="246"/>
      <c r="H8" s="246"/>
      <c r="I8" s="247"/>
      <c r="J8" s="247"/>
      <c r="K8" s="247"/>
      <c r="L8" s="247"/>
      <c r="M8" s="247"/>
      <c r="N8" s="247"/>
      <c r="O8" s="247"/>
      <c r="P8" s="247"/>
      <c r="Q8" s="247"/>
      <c r="R8" s="247"/>
      <c r="S8" s="247"/>
      <c r="T8" s="247"/>
      <c r="U8" s="247"/>
      <c r="V8" s="247"/>
      <c r="W8" s="247"/>
    </row>
    <row r="9" spans="1:23" x14ac:dyDescent="0.25">
      <c r="A9" s="255" t="s">
        <v>1253</v>
      </c>
      <c r="B9" s="255" t="s">
        <v>1254</v>
      </c>
      <c r="C9" s="255" t="s">
        <v>1255</v>
      </c>
      <c r="D9" s="255" t="s">
        <v>1256</v>
      </c>
      <c r="E9" s="255" t="s">
        <v>1257</v>
      </c>
      <c r="F9" s="255" t="s">
        <v>1258</v>
      </c>
      <c r="G9" s="255" t="s">
        <v>1259</v>
      </c>
      <c r="H9" s="255" t="s">
        <v>1260</v>
      </c>
      <c r="I9" s="256" t="s">
        <v>1261</v>
      </c>
      <c r="J9" s="256" t="s">
        <v>1262</v>
      </c>
      <c r="K9" s="256" t="s">
        <v>1263</v>
      </c>
      <c r="L9" s="256" t="s">
        <v>1264</v>
      </c>
      <c r="M9" s="256" t="s">
        <v>1265</v>
      </c>
      <c r="N9" s="256" t="s">
        <v>1266</v>
      </c>
      <c r="O9" s="256" t="s">
        <v>1267</v>
      </c>
      <c r="P9" s="256" t="s">
        <v>1268</v>
      </c>
      <c r="Q9" s="256" t="s">
        <v>1269</v>
      </c>
      <c r="R9" s="256" t="s">
        <v>1270</v>
      </c>
      <c r="S9" s="256" t="s">
        <v>1271</v>
      </c>
      <c r="T9" s="256" t="s">
        <v>1272</v>
      </c>
      <c r="U9" s="256" t="s">
        <v>1273</v>
      </c>
      <c r="V9" s="256" t="s">
        <v>1274</v>
      </c>
      <c r="W9" s="256" t="s">
        <v>1275</v>
      </c>
    </row>
    <row r="10" spans="1:23" ht="92.6" x14ac:dyDescent="0.25">
      <c r="A10" s="257" t="s">
        <v>1276</v>
      </c>
      <c r="B10" s="258" t="s">
        <v>1277</v>
      </c>
      <c r="C10" s="258" t="s">
        <v>1186</v>
      </c>
      <c r="D10" s="258" t="s">
        <v>1186</v>
      </c>
      <c r="E10" s="258" t="s">
        <v>1278</v>
      </c>
      <c r="F10" s="258" t="s">
        <v>1279</v>
      </c>
      <c r="G10" s="258" t="s">
        <v>1186</v>
      </c>
      <c r="H10" s="258" t="s">
        <v>1280</v>
      </c>
      <c r="I10" s="259">
        <v>3.807060967</v>
      </c>
      <c r="J10" s="259">
        <v>2.705607369</v>
      </c>
      <c r="K10" s="259">
        <v>5.0966847939999997</v>
      </c>
      <c r="L10" s="259">
        <v>3.3021786770000001</v>
      </c>
      <c r="M10" s="259">
        <v>0.68614222810000003</v>
      </c>
      <c r="N10" s="259">
        <v>5.0238910199999998</v>
      </c>
      <c r="O10" s="259">
        <v>4.8966653129999997</v>
      </c>
      <c r="P10" s="259">
        <v>2.2132300630000001</v>
      </c>
      <c r="Q10" s="259">
        <v>2.7308641549999999</v>
      </c>
      <c r="R10" s="260">
        <v>1.6078203520000001</v>
      </c>
      <c r="S10" s="260">
        <v>1.867095615</v>
      </c>
      <c r="T10" s="260">
        <v>2.6143999999999998</v>
      </c>
      <c r="U10" s="260">
        <v>3.3252000000000002</v>
      </c>
      <c r="V10" s="260">
        <v>2.8170999999999999</v>
      </c>
      <c r="W10" s="259" t="s">
        <v>1281</v>
      </c>
    </row>
    <row r="11" spans="1:23" ht="113.15" x14ac:dyDescent="0.25">
      <c r="A11" s="257" t="s">
        <v>1282</v>
      </c>
      <c r="B11" s="258" t="s">
        <v>1283</v>
      </c>
      <c r="C11" s="258" t="s">
        <v>1186</v>
      </c>
      <c r="D11" s="258" t="s">
        <v>1186</v>
      </c>
      <c r="E11" s="258" t="s">
        <v>1278</v>
      </c>
      <c r="F11" s="258" t="s">
        <v>1284</v>
      </c>
      <c r="G11" s="258" t="s">
        <v>1186</v>
      </c>
      <c r="H11" s="258" t="s">
        <v>1280</v>
      </c>
      <c r="I11" s="259">
        <v>0.97168573989999996</v>
      </c>
      <c r="J11" s="259">
        <v>1.944332304</v>
      </c>
      <c r="K11" s="259">
        <v>1.475839347</v>
      </c>
      <c r="L11" s="259">
        <v>0.38300030359999998</v>
      </c>
      <c r="M11" s="259">
        <v>0.53728802679999998</v>
      </c>
      <c r="N11" s="259">
        <v>2.4983333000000001</v>
      </c>
      <c r="O11" s="259">
        <v>5.089513685</v>
      </c>
      <c r="P11" s="259">
        <v>3.59745625</v>
      </c>
      <c r="Q11" s="259">
        <v>2.3217432570000001</v>
      </c>
      <c r="R11" s="260">
        <v>1.9135610350000001</v>
      </c>
      <c r="S11" s="260">
        <v>1.6637680779999999</v>
      </c>
      <c r="T11" s="260">
        <v>1.8</v>
      </c>
      <c r="U11" s="260">
        <v>2.1</v>
      </c>
      <c r="V11" s="260">
        <v>1.9</v>
      </c>
      <c r="W11" s="260">
        <v>1.9564128030000001</v>
      </c>
    </row>
    <row r="12" spans="1:23" ht="61.75" x14ac:dyDescent="0.25">
      <c r="A12" s="257" t="s">
        <v>1285</v>
      </c>
      <c r="B12" s="258" t="s">
        <v>1286</v>
      </c>
      <c r="C12" s="258" t="s">
        <v>1186</v>
      </c>
      <c r="D12" s="258" t="s">
        <v>1186</v>
      </c>
      <c r="E12" s="258" t="s">
        <v>1278</v>
      </c>
      <c r="F12" s="258" t="s">
        <v>1287</v>
      </c>
      <c r="G12" s="258" t="s">
        <v>1186</v>
      </c>
      <c r="H12" s="258" t="s">
        <v>1280</v>
      </c>
      <c r="I12" s="259">
        <v>-1.815090844</v>
      </c>
      <c r="J12" s="259">
        <v>3.45068821</v>
      </c>
      <c r="K12" s="259">
        <v>1.877430299</v>
      </c>
      <c r="L12" s="259">
        <v>2.240273479E-2</v>
      </c>
      <c r="M12" s="259">
        <v>-0.45459073550000001</v>
      </c>
      <c r="N12" s="259">
        <v>6.3775000000000004</v>
      </c>
      <c r="O12" s="259">
        <v>8.3797482550000009</v>
      </c>
      <c r="P12" s="259">
        <v>1.5757137109999999</v>
      </c>
      <c r="Q12" s="259">
        <v>1.681491525</v>
      </c>
      <c r="R12" s="260">
        <v>1.0711003400000001</v>
      </c>
      <c r="S12" s="260">
        <v>1.3083957960000001</v>
      </c>
      <c r="T12" s="260">
        <v>1.7</v>
      </c>
      <c r="U12" s="260">
        <v>1.9</v>
      </c>
      <c r="V12" s="260">
        <v>2.2000000000000002</v>
      </c>
      <c r="W12" s="259" t="s">
        <v>1281</v>
      </c>
    </row>
  </sheetData>
  <phoneticPr fontId="2" type="noConversion"/>
  <pageMargins left="0.7" right="0.7" top="0.75" bottom="0.75" header="0.3" footer="0.3"/>
  <pageSetup paperSize="9" orientation="portrait" verticalDpi="0" r:id="rId1"/>
  <drawing r:id="rId2"/>
</worksheet>
</file>

<file path=docMetadata/LabelInfo.xml><?xml version="1.0" encoding="utf-8"?>
<clbl:labelList xmlns:clbl="http://schemas.microsoft.com/office/2020/mipLabelMetadata"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30</vt:i4>
      </vt:variant>
    </vt:vector>
  </HeadingPairs>
  <TitlesOfParts>
    <vt:vector size="30" baseType="lpstr">
      <vt:lpstr>for IM</vt:lpstr>
      <vt:lpstr>DCF</vt:lpstr>
      <vt:lpstr>Pro forma BS</vt:lpstr>
      <vt:lpstr>Pro forma CF</vt:lpstr>
      <vt:lpstr>Pro forma CE</vt:lpstr>
      <vt:lpstr>Pro forma PL</vt:lpstr>
      <vt:lpstr>Key Assumption</vt:lpstr>
      <vt:lpstr>TITAN</vt:lpstr>
      <vt:lpstr>CLASS</vt:lpstr>
      <vt:lpstr>NOVA</vt:lpstr>
      <vt:lpstr>TTA</vt:lpstr>
      <vt:lpstr>클래스매출</vt:lpstr>
      <vt:lpstr>강의료이월</vt:lpstr>
      <vt:lpstr>HR</vt:lpstr>
      <vt:lpstr>시스템노바매출</vt:lpstr>
      <vt:lpstr>타이탄_하반기</vt:lpstr>
      <vt:lpstr>타이탄매출</vt:lpstr>
      <vt:lpstr>티티에이매출v2</vt:lpstr>
      <vt:lpstr>연결정산표_우모건제외</vt:lpstr>
      <vt:lpstr>연결정산표</vt:lpstr>
      <vt:lpstr>CF</vt:lpstr>
      <vt:lpstr>조정</vt:lpstr>
      <vt:lpstr>티티에이고정자산</vt:lpstr>
      <vt:lpstr>티티에이매출</vt:lpstr>
      <vt:lpstr>타이탄고정자산</vt:lpstr>
      <vt:lpstr>클래스고정자산</vt:lpstr>
      <vt:lpstr>비용취합</vt:lpstr>
      <vt:lpstr>노바고정자산</vt:lpstr>
      <vt:lpstr>내부거래</vt:lpstr>
      <vt:lpstr>EIU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2025-11-14T14:03:36Z</dcterms:created>
  <dcterms:modified xsi:type="dcterms:W3CDTF">2025-11-26T06:41:13Z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2025-11-24T09:33:41Z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98aec3aa-eeb3-4a62-8855-86f648c2b350</vt:lpwstr>
  </property>
  <property fmtid="{D5CDD505-2E9C-101B-9397-08002B2CF9AE}" pid="7" name="MSIP_Label_defa4170-0d19-0005-0004-bc88714345d2_ActionId">
    <vt:lpwstr>754e9d90-4185-492e-9f9a-262105789ee3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