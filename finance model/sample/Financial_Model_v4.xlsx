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e34cf513ea8e82/문서/Model-AI/"/>
    </mc:Choice>
  </mc:AlternateContent>
  <xr:revisionPtr revIDLastSave="16" documentId="11_3011E4D00002E437DB702E2C0CDBEC1EF6EE6149" xr6:coauthVersionLast="47" xr6:coauthVersionMax="47" xr10:uidLastSave="{F8EB34EC-88D3-4230-ADA9-6F3A2ED4E2F6}"/>
  <bookViews>
    <workbookView xWindow="-98" yWindow="-98" windowWidth="21795" windowHeight="12975" tabRatio="500" activeTab="4" xr2:uid="{00000000-000D-0000-FFFF-FFFF00000000}"/>
  </bookViews>
  <sheets>
    <sheet name="Legend" sheetId="1" r:id="rId1"/>
    <sheet name="Input" sheetId="2" r:id="rId2"/>
    <sheet name="Calculation" sheetId="3" r:id="rId3"/>
    <sheet name="DCF" sheetId="4" r:id="rId4"/>
    <sheet name="WACC" sheetId="5" r:id="rId5"/>
    <sheet name="GPCM" sheetId="6" r:id="rId6"/>
    <sheet name="GTM" sheetId="7" r:id="rId7"/>
  </sheets>
  <definedNames>
    <definedName name="CPI">Input!$E$22</definedName>
    <definedName name="mn">Input!$E$17</definedName>
    <definedName name="PPI">Input!#REF!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7" i="7" l="1"/>
  <c r="L22" i="7"/>
  <c r="K22" i="7"/>
  <c r="J22" i="7"/>
  <c r="L21" i="7"/>
  <c r="K21" i="7"/>
  <c r="J21" i="7"/>
  <c r="L20" i="7"/>
  <c r="K20" i="7"/>
  <c r="J20" i="7"/>
  <c r="L19" i="7"/>
  <c r="K19" i="7"/>
  <c r="J19" i="7"/>
  <c r="L18" i="7"/>
  <c r="L30" i="7" s="1"/>
  <c r="K18" i="7"/>
  <c r="K29" i="7" s="1"/>
  <c r="J18" i="7"/>
  <c r="O10" i="7"/>
  <c r="O6" i="7"/>
  <c r="N6" i="7"/>
  <c r="M6" i="7"/>
  <c r="L6" i="7"/>
  <c r="K6" i="7"/>
  <c r="J6" i="7"/>
  <c r="I6" i="7"/>
  <c r="H6" i="7"/>
  <c r="G6" i="7"/>
  <c r="B1" i="7"/>
  <c r="N22" i="6"/>
  <c r="M22" i="6"/>
  <c r="L22" i="6"/>
  <c r="K22" i="6"/>
  <c r="N21" i="6"/>
  <c r="M21" i="6"/>
  <c r="L21" i="6"/>
  <c r="K21" i="6"/>
  <c r="N20" i="6"/>
  <c r="M20" i="6"/>
  <c r="L20" i="6"/>
  <c r="K20" i="6"/>
  <c r="N19" i="6"/>
  <c r="N29" i="6" s="1"/>
  <c r="M19" i="6"/>
  <c r="L19" i="6"/>
  <c r="L29" i="6" s="1"/>
  <c r="K19" i="6"/>
  <c r="N18" i="6"/>
  <c r="N30" i="6" s="1"/>
  <c r="M18" i="6"/>
  <c r="M29" i="6" s="1"/>
  <c r="L18" i="6"/>
  <c r="L30" i="6" s="1"/>
  <c r="K18" i="6"/>
  <c r="K29" i="6" s="1"/>
  <c r="O10" i="6"/>
  <c r="O6" i="6"/>
  <c r="N6" i="6"/>
  <c r="M6" i="6"/>
  <c r="L6" i="6"/>
  <c r="K6" i="6"/>
  <c r="J6" i="6"/>
  <c r="I6" i="6"/>
  <c r="H6" i="6"/>
  <c r="G6" i="6"/>
  <c r="B1" i="6"/>
  <c r="I53" i="5"/>
  <c r="H53" i="5"/>
  <c r="G53" i="5"/>
  <c r="F53" i="5"/>
  <c r="E53" i="5"/>
  <c r="I52" i="5"/>
  <c r="H52" i="5"/>
  <c r="G52" i="5"/>
  <c r="F52" i="5"/>
  <c r="E52" i="5"/>
  <c r="I51" i="5"/>
  <c r="H51" i="5"/>
  <c r="G51" i="5"/>
  <c r="F51" i="5"/>
  <c r="E51" i="5"/>
  <c r="I50" i="5"/>
  <c r="H50" i="5"/>
  <c r="G50" i="5"/>
  <c r="F50" i="5"/>
  <c r="E50" i="5"/>
  <c r="I49" i="5"/>
  <c r="H49" i="5"/>
  <c r="G49" i="5"/>
  <c r="F49" i="5"/>
  <c r="E49" i="5"/>
  <c r="E42" i="5"/>
  <c r="E22" i="5"/>
  <c r="O10" i="5"/>
  <c r="O6" i="5"/>
  <c r="N6" i="5"/>
  <c r="M6" i="5"/>
  <c r="L6" i="5"/>
  <c r="K6" i="5"/>
  <c r="J6" i="5"/>
  <c r="I6" i="5"/>
  <c r="H6" i="5"/>
  <c r="G6" i="5"/>
  <c r="B1" i="5"/>
  <c r="N120" i="4"/>
  <c r="M120" i="4"/>
  <c r="L120" i="4"/>
  <c r="K120" i="4"/>
  <c r="J120" i="4"/>
  <c r="L118" i="4"/>
  <c r="K107" i="4"/>
  <c r="L107" i="4" s="1"/>
  <c r="M107" i="4" s="1"/>
  <c r="N107" i="4" s="1"/>
  <c r="J107" i="4"/>
  <c r="I107" i="4"/>
  <c r="H107" i="4"/>
  <c r="G107" i="4"/>
  <c r="K106" i="4"/>
  <c r="L106" i="4" s="1"/>
  <c r="M106" i="4" s="1"/>
  <c r="N106" i="4" s="1"/>
  <c r="J106" i="4"/>
  <c r="I106" i="4"/>
  <c r="H106" i="4"/>
  <c r="G106" i="4"/>
  <c r="I105" i="4"/>
  <c r="H105" i="4"/>
  <c r="H103" i="4" s="1"/>
  <c r="G105" i="4"/>
  <c r="I104" i="4"/>
  <c r="H104" i="4"/>
  <c r="G104" i="4"/>
  <c r="I103" i="4"/>
  <c r="I108" i="4" s="1"/>
  <c r="G103" i="4"/>
  <c r="G108" i="4" s="1"/>
  <c r="K102" i="4"/>
  <c r="L102" i="4" s="1"/>
  <c r="M102" i="4" s="1"/>
  <c r="N102" i="4" s="1"/>
  <c r="J102" i="4"/>
  <c r="I102" i="4"/>
  <c r="H102" i="4"/>
  <c r="G102" i="4"/>
  <c r="I101" i="4"/>
  <c r="H101" i="4"/>
  <c r="G101" i="4"/>
  <c r="K100" i="4"/>
  <c r="L100" i="4" s="1"/>
  <c r="M100" i="4" s="1"/>
  <c r="N100" i="4" s="1"/>
  <c r="J100" i="4"/>
  <c r="I100" i="4"/>
  <c r="H100" i="4"/>
  <c r="H98" i="4" s="1"/>
  <c r="H108" i="4" s="1"/>
  <c r="G100" i="4"/>
  <c r="I99" i="4"/>
  <c r="H99" i="4"/>
  <c r="G99" i="4"/>
  <c r="I98" i="4"/>
  <c r="G98" i="4"/>
  <c r="K96" i="4"/>
  <c r="L96" i="4" s="1"/>
  <c r="M96" i="4" s="1"/>
  <c r="N96" i="4" s="1"/>
  <c r="J96" i="4"/>
  <c r="I96" i="4"/>
  <c r="H96" i="4"/>
  <c r="G96" i="4"/>
  <c r="N95" i="4"/>
  <c r="K95" i="4"/>
  <c r="L95" i="4" s="1"/>
  <c r="M95" i="4" s="1"/>
  <c r="J95" i="4"/>
  <c r="I95" i="4"/>
  <c r="H95" i="4"/>
  <c r="G95" i="4"/>
  <c r="M94" i="4"/>
  <c r="N94" i="4" s="1"/>
  <c r="K94" i="4"/>
  <c r="L94" i="4" s="1"/>
  <c r="J94" i="4"/>
  <c r="I94" i="4"/>
  <c r="H94" i="4"/>
  <c r="G94" i="4"/>
  <c r="K93" i="4"/>
  <c r="L93" i="4" s="1"/>
  <c r="M93" i="4" s="1"/>
  <c r="N93" i="4" s="1"/>
  <c r="J93" i="4"/>
  <c r="I93" i="4"/>
  <c r="H93" i="4"/>
  <c r="G93" i="4"/>
  <c r="K92" i="4"/>
  <c r="J92" i="4"/>
  <c r="I92" i="4"/>
  <c r="H92" i="4"/>
  <c r="G92" i="4"/>
  <c r="J91" i="4"/>
  <c r="I91" i="4"/>
  <c r="I97" i="4" s="1"/>
  <c r="I109" i="4" s="1"/>
  <c r="G91" i="4"/>
  <c r="G97" i="4" s="1"/>
  <c r="M90" i="4"/>
  <c r="N90" i="4" s="1"/>
  <c r="K90" i="4"/>
  <c r="L90" i="4" s="1"/>
  <c r="J90" i="4"/>
  <c r="I90" i="4"/>
  <c r="H90" i="4"/>
  <c r="G90" i="4"/>
  <c r="I89" i="4"/>
  <c r="H89" i="4"/>
  <c r="G89" i="4"/>
  <c r="I88" i="4"/>
  <c r="H88" i="4"/>
  <c r="G88" i="4"/>
  <c r="I87" i="4"/>
  <c r="I129" i="4" s="1"/>
  <c r="J127" i="4" s="1"/>
  <c r="H87" i="4"/>
  <c r="G87" i="4"/>
  <c r="I86" i="4"/>
  <c r="H86" i="4"/>
  <c r="G86" i="4"/>
  <c r="I79" i="4"/>
  <c r="H79" i="4"/>
  <c r="G79" i="4"/>
  <c r="I77" i="4"/>
  <c r="H77" i="4"/>
  <c r="H73" i="4" s="1"/>
  <c r="G77" i="4"/>
  <c r="I76" i="4"/>
  <c r="H76" i="4"/>
  <c r="G76" i="4"/>
  <c r="I75" i="4"/>
  <c r="H75" i="4"/>
  <c r="G75" i="4"/>
  <c r="I74" i="4"/>
  <c r="H74" i="4"/>
  <c r="G74" i="4"/>
  <c r="I73" i="4"/>
  <c r="G73" i="4"/>
  <c r="N70" i="4"/>
  <c r="N118" i="4" s="1"/>
  <c r="M70" i="4"/>
  <c r="M118" i="4" s="1"/>
  <c r="L70" i="4"/>
  <c r="K70" i="4"/>
  <c r="K118" i="4" s="1"/>
  <c r="J70" i="4"/>
  <c r="J118" i="4" s="1"/>
  <c r="H66" i="4"/>
  <c r="G62" i="4"/>
  <c r="G35" i="4"/>
  <c r="I34" i="4"/>
  <c r="I32" i="4"/>
  <c r="H32" i="4"/>
  <c r="G32" i="4"/>
  <c r="I29" i="4"/>
  <c r="I70" i="4" s="1"/>
  <c r="H29" i="4"/>
  <c r="H34" i="4" s="1"/>
  <c r="G29" i="4"/>
  <c r="G70" i="4" s="1"/>
  <c r="I20" i="4"/>
  <c r="I61" i="4" s="1"/>
  <c r="H20" i="4"/>
  <c r="G20" i="4"/>
  <c r="G61" i="4" s="1"/>
  <c r="E16" i="4"/>
  <c r="E15" i="4"/>
  <c r="O6" i="4"/>
  <c r="N6" i="4"/>
  <c r="M6" i="4"/>
  <c r="L6" i="4"/>
  <c r="K6" i="4"/>
  <c r="J6" i="4"/>
  <c r="I6" i="4"/>
  <c r="H6" i="4"/>
  <c r="G6" i="4"/>
  <c r="B1" i="4"/>
  <c r="J177" i="3"/>
  <c r="J74" i="4" s="1"/>
  <c r="J176" i="3"/>
  <c r="K176" i="3" s="1"/>
  <c r="L176" i="3" s="1"/>
  <c r="M176" i="3" s="1"/>
  <c r="N176" i="3" s="1"/>
  <c r="E176" i="3"/>
  <c r="I175" i="3"/>
  <c r="H150" i="3"/>
  <c r="G150" i="3"/>
  <c r="G65" i="3" s="1"/>
  <c r="E124" i="3"/>
  <c r="I111" i="3"/>
  <c r="H111" i="3"/>
  <c r="G111" i="3"/>
  <c r="I110" i="3"/>
  <c r="H110" i="3"/>
  <c r="G110" i="3"/>
  <c r="I109" i="3"/>
  <c r="H109" i="3"/>
  <c r="G109" i="3"/>
  <c r="I108" i="3"/>
  <c r="H108" i="3"/>
  <c r="G108" i="3"/>
  <c r="E85" i="3"/>
  <c r="I67" i="3"/>
  <c r="H67" i="3"/>
  <c r="G67" i="3"/>
  <c r="I66" i="3"/>
  <c r="H66" i="3"/>
  <c r="G66" i="3"/>
  <c r="H65" i="3"/>
  <c r="O6" i="3"/>
  <c r="N6" i="3"/>
  <c r="M6" i="3"/>
  <c r="L6" i="3"/>
  <c r="K6" i="3"/>
  <c r="J6" i="3"/>
  <c r="I6" i="3"/>
  <c r="H6" i="3"/>
  <c r="G6" i="3"/>
  <c r="B1" i="3"/>
  <c r="I253" i="2"/>
  <c r="O42" i="4" s="1"/>
  <c r="I247" i="2"/>
  <c r="I246" i="2"/>
  <c r="I245" i="2"/>
  <c r="G245" i="2"/>
  <c r="G244" i="2" s="1"/>
  <c r="I244" i="2"/>
  <c r="H244" i="2"/>
  <c r="G243" i="2"/>
  <c r="I243" i="2" s="1"/>
  <c r="H242" i="2"/>
  <c r="H248" i="2" s="1"/>
  <c r="G242" i="2"/>
  <c r="I236" i="2"/>
  <c r="J233" i="2" s="1"/>
  <c r="J236" i="2" s="1"/>
  <c r="K233" i="2" s="1"/>
  <c r="K236" i="2" s="1"/>
  <c r="L233" i="2" s="1"/>
  <c r="L236" i="2" s="1"/>
  <c r="M233" i="2" s="1"/>
  <c r="M236" i="2" s="1"/>
  <c r="N233" i="2" s="1"/>
  <c r="N236" i="2" s="1"/>
  <c r="H236" i="2"/>
  <c r="G236" i="2"/>
  <c r="I233" i="2"/>
  <c r="H233" i="2"/>
  <c r="I230" i="2"/>
  <c r="H230" i="2"/>
  <c r="I227" i="2" s="1"/>
  <c r="G230" i="2"/>
  <c r="J227" i="2"/>
  <c r="J230" i="2" s="1"/>
  <c r="K227" i="2" s="1"/>
  <c r="K230" i="2" s="1"/>
  <c r="L227" i="2" s="1"/>
  <c r="L230" i="2" s="1"/>
  <c r="M227" i="2" s="1"/>
  <c r="M230" i="2" s="1"/>
  <c r="N227" i="2" s="1"/>
  <c r="N230" i="2" s="1"/>
  <c r="H227" i="2"/>
  <c r="I224" i="2"/>
  <c r="J221" i="2" s="1"/>
  <c r="J224" i="2" s="1"/>
  <c r="K221" i="2" s="1"/>
  <c r="K224" i="2" s="1"/>
  <c r="H224" i="2"/>
  <c r="G224" i="2"/>
  <c r="H221" i="2" s="1"/>
  <c r="L221" i="2"/>
  <c r="L224" i="2" s="1"/>
  <c r="M221" i="2" s="1"/>
  <c r="M224" i="2" s="1"/>
  <c r="N221" i="2" s="1"/>
  <c r="N224" i="2" s="1"/>
  <c r="I221" i="2"/>
  <c r="N218" i="2"/>
  <c r="M218" i="2"/>
  <c r="K218" i="2"/>
  <c r="I218" i="2"/>
  <c r="H218" i="2"/>
  <c r="G218" i="2"/>
  <c r="E218" i="2"/>
  <c r="L218" i="2" s="1"/>
  <c r="I217" i="2"/>
  <c r="H217" i="2"/>
  <c r="G217" i="2"/>
  <c r="E217" i="2"/>
  <c r="I214" i="2"/>
  <c r="H214" i="2"/>
  <c r="G214" i="2"/>
  <c r="E214" i="2"/>
  <c r="M214" i="2" s="1"/>
  <c r="N213" i="2"/>
  <c r="M213" i="2"/>
  <c r="L213" i="2"/>
  <c r="K213" i="2"/>
  <c r="J213" i="2"/>
  <c r="I201" i="2"/>
  <c r="H201" i="2"/>
  <c r="G201" i="2"/>
  <c r="G200" i="2"/>
  <c r="I199" i="2"/>
  <c r="H199" i="2"/>
  <c r="G199" i="2"/>
  <c r="G197" i="2" s="1"/>
  <c r="G202" i="2" s="1"/>
  <c r="I198" i="2"/>
  <c r="I197" i="2" s="1"/>
  <c r="H198" i="2"/>
  <c r="G198" i="2"/>
  <c r="H197" i="2"/>
  <c r="I195" i="2"/>
  <c r="H195" i="2"/>
  <c r="G195" i="2"/>
  <c r="I190" i="2"/>
  <c r="E190" i="2" s="1"/>
  <c r="E143" i="3" s="1"/>
  <c r="I182" i="2"/>
  <c r="I151" i="3" s="1"/>
  <c r="I107" i="3" s="1"/>
  <c r="H182" i="2"/>
  <c r="H151" i="3" s="1"/>
  <c r="H107" i="3" s="1"/>
  <c r="G182" i="2"/>
  <c r="G151" i="3" s="1"/>
  <c r="G107" i="3" s="1"/>
  <c r="I181" i="2"/>
  <c r="H181" i="2"/>
  <c r="H189" i="2" s="1"/>
  <c r="G181" i="2"/>
  <c r="G189" i="2" s="1"/>
  <c r="K174" i="2"/>
  <c r="L174" i="2" s="1"/>
  <c r="M174" i="2" s="1"/>
  <c r="N174" i="2" s="1"/>
  <c r="J174" i="2"/>
  <c r="L173" i="2"/>
  <c r="M173" i="2" s="1"/>
  <c r="N173" i="2" s="1"/>
  <c r="K173" i="2"/>
  <c r="J173" i="2"/>
  <c r="I168" i="2"/>
  <c r="H168" i="2"/>
  <c r="G168" i="2"/>
  <c r="E168" i="2"/>
  <c r="I163" i="2"/>
  <c r="G163" i="2"/>
  <c r="E163" i="2"/>
  <c r="J163" i="2" s="1"/>
  <c r="K163" i="2" s="1"/>
  <c r="L163" i="2" s="1"/>
  <c r="M163" i="2" s="1"/>
  <c r="N163" i="2" s="1"/>
  <c r="M162" i="2"/>
  <c r="N162" i="2" s="1"/>
  <c r="J162" i="2"/>
  <c r="K162" i="2" s="1"/>
  <c r="L162" i="2" s="1"/>
  <c r="I162" i="2"/>
  <c r="H162" i="2"/>
  <c r="H163" i="2" s="1"/>
  <c r="G162" i="2"/>
  <c r="H158" i="2"/>
  <c r="G158" i="2"/>
  <c r="E158" i="2" s="1"/>
  <c r="K157" i="2"/>
  <c r="L157" i="2" s="1"/>
  <c r="M157" i="2" s="1"/>
  <c r="N157" i="2" s="1"/>
  <c r="J157" i="2"/>
  <c r="I157" i="2"/>
  <c r="I158" i="2" s="1"/>
  <c r="H157" i="2"/>
  <c r="G157" i="2"/>
  <c r="J152" i="2"/>
  <c r="K152" i="2" s="1"/>
  <c r="L152" i="2" s="1"/>
  <c r="M152" i="2" s="1"/>
  <c r="N152" i="2" s="1"/>
  <c r="I152" i="2"/>
  <c r="I153" i="2" s="1"/>
  <c r="H152" i="2"/>
  <c r="H153" i="2" s="1"/>
  <c r="G152" i="2"/>
  <c r="G153" i="2" s="1"/>
  <c r="E153" i="2" s="1"/>
  <c r="J143" i="2"/>
  <c r="K143" i="2" s="1"/>
  <c r="L143" i="2" s="1"/>
  <c r="M143" i="2" s="1"/>
  <c r="N143" i="2" s="1"/>
  <c r="J142" i="2"/>
  <c r="K142" i="2" s="1"/>
  <c r="L142" i="2" s="1"/>
  <c r="M142" i="2" s="1"/>
  <c r="N142" i="2" s="1"/>
  <c r="J137" i="2"/>
  <c r="K137" i="2" s="1"/>
  <c r="L137" i="2" s="1"/>
  <c r="M137" i="2" s="1"/>
  <c r="N137" i="2" s="1"/>
  <c r="K136" i="2"/>
  <c r="L136" i="2" s="1"/>
  <c r="M136" i="2" s="1"/>
  <c r="N136" i="2" s="1"/>
  <c r="J136" i="2"/>
  <c r="K131" i="2"/>
  <c r="L131" i="2" s="1"/>
  <c r="M131" i="2" s="1"/>
  <c r="N131" i="2" s="1"/>
  <c r="I131" i="2"/>
  <c r="H131" i="2"/>
  <c r="G131" i="2"/>
  <c r="E131" i="2"/>
  <c r="J131" i="2" s="1"/>
  <c r="I126" i="2"/>
  <c r="G126" i="2"/>
  <c r="E126" i="2" s="1"/>
  <c r="M125" i="2"/>
  <c r="N125" i="2" s="1"/>
  <c r="J125" i="2"/>
  <c r="K125" i="2" s="1"/>
  <c r="L125" i="2" s="1"/>
  <c r="I125" i="2"/>
  <c r="H125" i="2"/>
  <c r="H126" i="2" s="1"/>
  <c r="G125" i="2"/>
  <c r="J120" i="2"/>
  <c r="K120" i="2" s="1"/>
  <c r="L120" i="2" s="1"/>
  <c r="M120" i="2" s="1"/>
  <c r="N120" i="2" s="1"/>
  <c r="J119" i="2"/>
  <c r="K119" i="2" s="1"/>
  <c r="L119" i="2" s="1"/>
  <c r="M119" i="2" s="1"/>
  <c r="N119" i="2" s="1"/>
  <c r="J110" i="2"/>
  <c r="K110" i="2" s="1"/>
  <c r="L110" i="2" s="1"/>
  <c r="M110" i="2" s="1"/>
  <c r="N110" i="2" s="1"/>
  <c r="N109" i="2"/>
  <c r="M109" i="2"/>
  <c r="L109" i="2"/>
  <c r="K109" i="2"/>
  <c r="J109" i="2"/>
  <c r="J104" i="2"/>
  <c r="K104" i="2" s="1"/>
  <c r="L104" i="2" s="1"/>
  <c r="M104" i="2" s="1"/>
  <c r="N104" i="2" s="1"/>
  <c r="N103" i="2"/>
  <c r="M103" i="2"/>
  <c r="L103" i="2"/>
  <c r="K103" i="2"/>
  <c r="J103" i="2"/>
  <c r="K98" i="2"/>
  <c r="L98" i="2" s="1"/>
  <c r="M98" i="2" s="1"/>
  <c r="N98" i="2" s="1"/>
  <c r="J98" i="2"/>
  <c r="N97" i="2"/>
  <c r="M97" i="2"/>
  <c r="L97" i="2"/>
  <c r="K97" i="2"/>
  <c r="J97" i="2"/>
  <c r="M92" i="2"/>
  <c r="N92" i="2" s="1"/>
  <c r="J92" i="2"/>
  <c r="K92" i="2" s="1"/>
  <c r="L92" i="2" s="1"/>
  <c r="N91" i="2"/>
  <c r="M91" i="2"/>
  <c r="L91" i="2"/>
  <c r="K91" i="2"/>
  <c r="J91" i="2"/>
  <c r="J86" i="2"/>
  <c r="K86" i="2" s="1"/>
  <c r="L86" i="2" s="1"/>
  <c r="M86" i="2" s="1"/>
  <c r="N86" i="2" s="1"/>
  <c r="N85" i="2"/>
  <c r="M85" i="2"/>
  <c r="L85" i="2"/>
  <c r="K85" i="2"/>
  <c r="J85" i="2"/>
  <c r="I78" i="2"/>
  <c r="H78" i="2"/>
  <c r="G78" i="2"/>
  <c r="I73" i="2"/>
  <c r="H73" i="2"/>
  <c r="G73" i="2"/>
  <c r="I68" i="2"/>
  <c r="H68" i="2"/>
  <c r="G68" i="2"/>
  <c r="I67" i="2"/>
  <c r="I79" i="2" s="1"/>
  <c r="H67" i="2"/>
  <c r="H79" i="2" s="1"/>
  <c r="I61" i="2"/>
  <c r="H61" i="2"/>
  <c r="G61" i="2"/>
  <c r="I56" i="2"/>
  <c r="H56" i="2"/>
  <c r="G56" i="2"/>
  <c r="G67" i="2" s="1"/>
  <c r="G79" i="2" s="1"/>
  <c r="I55" i="2"/>
  <c r="I250" i="2" s="1"/>
  <c r="I48" i="2"/>
  <c r="H48" i="2"/>
  <c r="G48" i="2"/>
  <c r="I45" i="2"/>
  <c r="H45" i="2"/>
  <c r="H44" i="2" s="1"/>
  <c r="G45" i="2"/>
  <c r="G44" i="2" s="1"/>
  <c r="I44" i="2"/>
  <c r="I35" i="2"/>
  <c r="I25" i="4" s="1"/>
  <c r="H35" i="2"/>
  <c r="H25" i="4" s="1"/>
  <c r="H26" i="4" s="1"/>
  <c r="H67" i="4" s="1"/>
  <c r="G35" i="2"/>
  <c r="G25" i="4" s="1"/>
  <c r="I29" i="2"/>
  <c r="H29" i="2"/>
  <c r="G29" i="2"/>
  <c r="G34" i="2" s="1"/>
  <c r="G41" i="2" s="1"/>
  <c r="E15" i="2"/>
  <c r="E16" i="2" s="1"/>
  <c r="I10" i="2" s="1"/>
  <c r="B1" i="2"/>
  <c r="L28" i="7" l="1"/>
  <c r="K30" i="7"/>
  <c r="K27" i="7"/>
  <c r="J27" i="7"/>
  <c r="E116" i="3"/>
  <c r="J153" i="2"/>
  <c r="K153" i="2" s="1"/>
  <c r="L153" i="2" s="1"/>
  <c r="M153" i="2" s="1"/>
  <c r="N153" i="2" s="1"/>
  <c r="M217" i="2"/>
  <c r="G43" i="2"/>
  <c r="G51" i="2"/>
  <c r="G53" i="2" s="1"/>
  <c r="E120" i="3"/>
  <c r="J158" i="2"/>
  <c r="K158" i="2" s="1"/>
  <c r="L158" i="2" s="1"/>
  <c r="M158" i="2" s="1"/>
  <c r="N158" i="2" s="1"/>
  <c r="J126" i="2"/>
  <c r="K126" i="2" s="1"/>
  <c r="L126" i="2" s="1"/>
  <c r="M126" i="2" s="1"/>
  <c r="N126" i="2" s="1"/>
  <c r="E80" i="3"/>
  <c r="I189" i="2"/>
  <c r="E189" i="2" s="1"/>
  <c r="E142" i="3" s="1"/>
  <c r="I150" i="3"/>
  <c r="I241" i="2"/>
  <c r="H22" i="4"/>
  <c r="H63" i="4" s="1"/>
  <c r="H34" i="2"/>
  <c r="H41" i="2" s="1"/>
  <c r="H196" i="2"/>
  <c r="L217" i="2"/>
  <c r="J168" i="2"/>
  <c r="K168" i="2" s="1"/>
  <c r="L168" i="2" s="1"/>
  <c r="M168" i="2" s="1"/>
  <c r="N168" i="2" s="1"/>
  <c r="E129" i="3"/>
  <c r="I200" i="2"/>
  <c r="I202" i="2" s="1"/>
  <c r="I203" i="2" s="1"/>
  <c r="I35" i="4" s="1"/>
  <c r="E181" i="3"/>
  <c r="I34" i="2"/>
  <c r="I41" i="2" s="1"/>
  <c r="I22" i="4"/>
  <c r="I196" i="2"/>
  <c r="E26" i="5"/>
  <c r="E28" i="5" s="1"/>
  <c r="K217" i="2"/>
  <c r="J217" i="2"/>
  <c r="G152" i="3"/>
  <c r="G190" i="2"/>
  <c r="N217" i="2"/>
  <c r="J124" i="3"/>
  <c r="N124" i="3"/>
  <c r="M124" i="3"/>
  <c r="L124" i="3"/>
  <c r="K124" i="3"/>
  <c r="I66" i="4"/>
  <c r="I26" i="4"/>
  <c r="I67" i="4" s="1"/>
  <c r="I10" i="5"/>
  <c r="I10" i="7"/>
  <c r="I10" i="6"/>
  <c r="I10" i="3"/>
  <c r="I27" i="2"/>
  <c r="J10" i="2"/>
  <c r="I10" i="4"/>
  <c r="I8" i="2"/>
  <c r="I7" i="2"/>
  <c r="H10" i="2"/>
  <c r="E178" i="3"/>
  <c r="J178" i="3" s="1"/>
  <c r="L214" i="2"/>
  <c r="K214" i="2"/>
  <c r="J214" i="2"/>
  <c r="G248" i="2"/>
  <c r="I248" i="2" s="1"/>
  <c r="I242" i="2"/>
  <c r="G22" i="4"/>
  <c r="G63" i="4" s="1"/>
  <c r="G196" i="2"/>
  <c r="H190" i="2"/>
  <c r="N214" i="2"/>
  <c r="J218" i="2"/>
  <c r="E182" i="3"/>
  <c r="J182" i="3" s="1"/>
  <c r="H152" i="3"/>
  <c r="H23" i="4"/>
  <c r="H21" i="4"/>
  <c r="H62" i="4" s="1"/>
  <c r="H61" i="4"/>
  <c r="H200" i="2"/>
  <c r="H202" i="2" s="1"/>
  <c r="H203" i="2" s="1"/>
  <c r="H35" i="4" s="1"/>
  <c r="L92" i="4"/>
  <c r="K91" i="4"/>
  <c r="G66" i="4"/>
  <c r="G26" i="4"/>
  <c r="G67" i="4" s="1"/>
  <c r="I21" i="4"/>
  <c r="I62" i="4" s="1"/>
  <c r="H70" i="4"/>
  <c r="H91" i="4"/>
  <c r="H97" i="4" s="1"/>
  <c r="H109" i="4" s="1"/>
  <c r="G109" i="4"/>
  <c r="K28" i="6"/>
  <c r="K30" i="6"/>
  <c r="L29" i="7"/>
  <c r="G34" i="4"/>
  <c r="L28" i="6"/>
  <c r="L27" i="7"/>
  <c r="J30" i="7"/>
  <c r="M28" i="6"/>
  <c r="M30" i="6"/>
  <c r="N28" i="6"/>
  <c r="J28" i="7"/>
  <c r="K27" i="6"/>
  <c r="K28" i="7"/>
  <c r="L27" i="6"/>
  <c r="M27" i="6"/>
  <c r="J29" i="7"/>
  <c r="N27" i="6"/>
  <c r="I8" i="5" l="1"/>
  <c r="I8" i="7"/>
  <c r="I8" i="6"/>
  <c r="I8" i="4"/>
  <c r="I8" i="3"/>
  <c r="I11" i="2"/>
  <c r="I43" i="2"/>
  <c r="I51" i="2"/>
  <c r="I53" i="2" s="1"/>
  <c r="G23" i="4"/>
  <c r="J77" i="4"/>
  <c r="K182" i="3"/>
  <c r="L91" i="4"/>
  <c r="M92" i="4"/>
  <c r="H43" i="2"/>
  <c r="H51" i="2"/>
  <c r="H53" i="2" s="1"/>
  <c r="I7" i="5"/>
  <c r="I7" i="7"/>
  <c r="I7" i="6"/>
  <c r="I7" i="4"/>
  <c r="I7" i="3"/>
  <c r="I9" i="2"/>
  <c r="I115" i="4"/>
  <c r="I85" i="4"/>
  <c r="I60" i="4"/>
  <c r="I19" i="4"/>
  <c r="J75" i="4"/>
  <c r="K178" i="3"/>
  <c r="N116" i="3"/>
  <c r="M116" i="3"/>
  <c r="L116" i="3"/>
  <c r="J116" i="3"/>
  <c r="K116" i="3"/>
  <c r="I63" i="4"/>
  <c r="I23" i="4"/>
  <c r="I152" i="3"/>
  <c r="I65" i="3"/>
  <c r="H27" i="4"/>
  <c r="H24" i="4"/>
  <c r="H65" i="4" s="1"/>
  <c r="H64" i="4"/>
  <c r="E33" i="5"/>
  <c r="O44" i="4"/>
  <c r="J10" i="5"/>
  <c r="J10" i="7"/>
  <c r="J10" i="6"/>
  <c r="K10" i="2"/>
  <c r="J10" i="4"/>
  <c r="J8" i="2"/>
  <c r="J7" i="2"/>
  <c r="J10" i="3"/>
  <c r="N80" i="3"/>
  <c r="M80" i="3"/>
  <c r="J80" i="3"/>
  <c r="K80" i="3"/>
  <c r="L80" i="3"/>
  <c r="H10" i="5"/>
  <c r="H10" i="7"/>
  <c r="H10" i="6"/>
  <c r="H10" i="4"/>
  <c r="H55" i="2"/>
  <c r="H10" i="3"/>
  <c r="H27" i="2"/>
  <c r="H8" i="2"/>
  <c r="H7" i="2"/>
  <c r="G10" i="2"/>
  <c r="K120" i="3"/>
  <c r="J120" i="3"/>
  <c r="M120" i="3"/>
  <c r="L120" i="3"/>
  <c r="N120" i="3"/>
  <c r="J8" i="5" l="1"/>
  <c r="J8" i="7"/>
  <c r="J8" i="6"/>
  <c r="J8" i="4"/>
  <c r="J11" i="2"/>
  <c r="J8" i="3"/>
  <c r="J115" i="4"/>
  <c r="J85" i="4"/>
  <c r="J60" i="4"/>
  <c r="J19" i="4"/>
  <c r="H28" i="4"/>
  <c r="H69" i="4" s="1"/>
  <c r="H68" i="4"/>
  <c r="H78" i="4" s="1"/>
  <c r="H80" i="4" s="1"/>
  <c r="H30" i="4"/>
  <c r="I11" i="5"/>
  <c r="I11" i="7"/>
  <c r="I11" i="6"/>
  <c r="I11" i="3"/>
  <c r="I11" i="4"/>
  <c r="I206" i="2"/>
  <c r="E206" i="2" s="1"/>
  <c r="I207" i="2"/>
  <c r="E207" i="2" s="1"/>
  <c r="I208" i="2"/>
  <c r="E208" i="2" s="1"/>
  <c r="H115" i="4"/>
  <c r="H85" i="4"/>
  <c r="H60" i="4"/>
  <c r="H19" i="4"/>
  <c r="I27" i="4"/>
  <c r="I64" i="4"/>
  <c r="I24" i="4"/>
  <c r="I65" i="4" s="1"/>
  <c r="K75" i="4"/>
  <c r="L178" i="3"/>
  <c r="K77" i="4"/>
  <c r="L182" i="3"/>
  <c r="K10" i="5"/>
  <c r="K10" i="7"/>
  <c r="K10" i="6"/>
  <c r="K10" i="4"/>
  <c r="K8" i="2"/>
  <c r="K7" i="2"/>
  <c r="K10" i="3"/>
  <c r="L10" i="2"/>
  <c r="I9" i="5"/>
  <c r="I9" i="7"/>
  <c r="I9" i="6"/>
  <c r="I9" i="3"/>
  <c r="I9" i="4"/>
  <c r="N92" i="4"/>
  <c r="N91" i="4" s="1"/>
  <c r="M91" i="4"/>
  <c r="G10" i="7"/>
  <c r="G10" i="6"/>
  <c r="G10" i="5"/>
  <c r="G55" i="2"/>
  <c r="G10" i="3"/>
  <c r="G27" i="2"/>
  <c r="G10" i="4"/>
  <c r="G7" i="2"/>
  <c r="G8" i="2"/>
  <c r="H7" i="5"/>
  <c r="H7" i="7"/>
  <c r="H7" i="6"/>
  <c r="H7" i="4"/>
  <c r="H7" i="3"/>
  <c r="H9" i="2"/>
  <c r="H8" i="5"/>
  <c r="H8" i="7"/>
  <c r="H8" i="6"/>
  <c r="H8" i="4"/>
  <c r="H8" i="3"/>
  <c r="H11" i="2"/>
  <c r="J7" i="5"/>
  <c r="J7" i="7"/>
  <c r="J7" i="6"/>
  <c r="J7" i="4"/>
  <c r="J9" i="2"/>
  <c r="J7" i="3"/>
  <c r="G64" i="4"/>
  <c r="G24" i="4"/>
  <c r="G65" i="4" s="1"/>
  <c r="G27" i="4"/>
  <c r="E159" i="3" l="1"/>
  <c r="K208" i="2"/>
  <c r="J208" i="2"/>
  <c r="M208" i="2"/>
  <c r="L208" i="2"/>
  <c r="O208" i="2"/>
  <c r="O159" i="3" s="1"/>
  <c r="N208" i="2"/>
  <c r="H31" i="4"/>
  <c r="H72" i="4" s="1"/>
  <c r="H33" i="4"/>
  <c r="H37" i="4" s="1"/>
  <c r="H71" i="4"/>
  <c r="J11" i="5"/>
  <c r="J11" i="7"/>
  <c r="J11" i="6"/>
  <c r="J11" i="4"/>
  <c r="J11" i="3"/>
  <c r="G68" i="4"/>
  <c r="G78" i="4" s="1"/>
  <c r="G80" i="4" s="1"/>
  <c r="G28" i="4"/>
  <c r="G69" i="4" s="1"/>
  <c r="G30" i="4"/>
  <c r="G115" i="4"/>
  <c r="G85" i="4"/>
  <c r="G60" i="4"/>
  <c r="G19" i="4"/>
  <c r="K7" i="5"/>
  <c r="K7" i="7"/>
  <c r="K7" i="6"/>
  <c r="K7" i="4"/>
  <c r="K9" i="2"/>
  <c r="K7" i="3"/>
  <c r="E158" i="3"/>
  <c r="M207" i="2"/>
  <c r="L207" i="2"/>
  <c r="K207" i="2"/>
  <c r="J207" i="2"/>
  <c r="O207" i="2"/>
  <c r="O158" i="3" s="1"/>
  <c r="N207" i="2"/>
  <c r="J38" i="4"/>
  <c r="G8" i="7"/>
  <c r="G8" i="6"/>
  <c r="G8" i="5"/>
  <c r="G8" i="4"/>
  <c r="G8" i="3"/>
  <c r="G11" i="2"/>
  <c r="H9" i="5"/>
  <c r="H9" i="7"/>
  <c r="H9" i="6"/>
  <c r="H9" i="4"/>
  <c r="H9" i="3"/>
  <c r="G7" i="7"/>
  <c r="G7" i="6"/>
  <c r="G7" i="5"/>
  <c r="G7" i="3"/>
  <c r="G7" i="4"/>
  <c r="G9" i="2"/>
  <c r="K8" i="5"/>
  <c r="K8" i="7"/>
  <c r="K8" i="6"/>
  <c r="K8" i="4"/>
  <c r="K11" i="2"/>
  <c r="K8" i="3"/>
  <c r="L75" i="4"/>
  <c r="M178" i="3"/>
  <c r="E157" i="3"/>
  <c r="O206" i="2"/>
  <c r="O157" i="3" s="1"/>
  <c r="N206" i="2"/>
  <c r="M206" i="2"/>
  <c r="L206" i="2"/>
  <c r="J206" i="2"/>
  <c r="K206" i="2"/>
  <c r="J9" i="5"/>
  <c r="J9" i="7"/>
  <c r="J9" i="6"/>
  <c r="J9" i="4"/>
  <c r="J9" i="3"/>
  <c r="L77" i="4"/>
  <c r="M182" i="3"/>
  <c r="H11" i="5"/>
  <c r="H11" i="7"/>
  <c r="H11" i="6"/>
  <c r="H11" i="4"/>
  <c r="H11" i="3"/>
  <c r="H206" i="2"/>
  <c r="H208" i="2"/>
  <c r="H207" i="2"/>
  <c r="K115" i="4"/>
  <c r="K85" i="4"/>
  <c r="K19" i="4"/>
  <c r="K60" i="4"/>
  <c r="I68" i="4"/>
  <c r="I78" i="4" s="1"/>
  <c r="I80" i="4" s="1"/>
  <c r="I28" i="4"/>
  <c r="I69" i="4" s="1"/>
  <c r="I30" i="4"/>
  <c r="L10" i="5"/>
  <c r="L10" i="7"/>
  <c r="L10" i="6"/>
  <c r="L10" i="4"/>
  <c r="L7" i="2"/>
  <c r="L10" i="3"/>
  <c r="L8" i="2"/>
  <c r="M10" i="2"/>
  <c r="G11" i="5" l="1"/>
  <c r="G11" i="7"/>
  <c r="G11" i="6"/>
  <c r="G11" i="4"/>
  <c r="G11" i="3"/>
  <c r="G206" i="2"/>
  <c r="G208" i="2"/>
  <c r="G207" i="2"/>
  <c r="M75" i="4"/>
  <c r="N178" i="3"/>
  <c r="N75" i="4" s="1"/>
  <c r="G71" i="4"/>
  <c r="G31" i="4"/>
  <c r="G72" i="4" s="1"/>
  <c r="G33" i="4"/>
  <c r="G37" i="4" s="1"/>
  <c r="M10" i="5"/>
  <c r="M10" i="7"/>
  <c r="M10" i="6"/>
  <c r="M10" i="4"/>
  <c r="M10" i="3"/>
  <c r="N10" i="2"/>
  <c r="M7" i="2"/>
  <c r="M8" i="2"/>
  <c r="I33" i="4"/>
  <c r="I37" i="4" s="1"/>
  <c r="I71" i="4"/>
  <c r="I31" i="4"/>
  <c r="I72" i="4" s="1"/>
  <c r="K11" i="5"/>
  <c r="K11" i="7"/>
  <c r="K11" i="6"/>
  <c r="K11" i="3"/>
  <c r="K11" i="4"/>
  <c r="L8" i="5"/>
  <c r="L8" i="7"/>
  <c r="L8" i="6"/>
  <c r="L8" i="4"/>
  <c r="L11" i="2"/>
  <c r="L8" i="3"/>
  <c r="G9" i="7"/>
  <c r="G9" i="6"/>
  <c r="G9" i="5"/>
  <c r="G9" i="3"/>
  <c r="G9" i="4"/>
  <c r="K9" i="5"/>
  <c r="K9" i="7"/>
  <c r="K9" i="6"/>
  <c r="K9" i="4"/>
  <c r="K9" i="3"/>
  <c r="K38" i="4"/>
  <c r="J39" i="4"/>
  <c r="L115" i="4"/>
  <c r="L85" i="4"/>
  <c r="L60" i="4"/>
  <c r="L19" i="4"/>
  <c r="M77" i="4"/>
  <c r="N182" i="3"/>
  <c r="N77" i="4" s="1"/>
  <c r="L7" i="5"/>
  <c r="L7" i="7"/>
  <c r="L7" i="6"/>
  <c r="L7" i="4"/>
  <c r="L9" i="2"/>
  <c r="L7" i="3"/>
  <c r="L9" i="5" l="1"/>
  <c r="L9" i="7"/>
  <c r="L9" i="6"/>
  <c r="L9" i="4"/>
  <c r="L9" i="3"/>
  <c r="G89" i="3"/>
  <c r="I35" i="3"/>
  <c r="N10" i="7"/>
  <c r="N10" i="6"/>
  <c r="N10" i="5"/>
  <c r="N10" i="4"/>
  <c r="N10" i="3"/>
  <c r="N7" i="2"/>
  <c r="K73" i="3" s="1"/>
  <c r="N8" i="2"/>
  <c r="G33" i="3"/>
  <c r="G56" i="3"/>
  <c r="G26" i="3"/>
  <c r="G186" i="3"/>
  <c r="G162" i="3"/>
  <c r="I191" i="3"/>
  <c r="I188" i="3"/>
  <c r="H42" i="3"/>
  <c r="L11" i="5"/>
  <c r="L11" i="7"/>
  <c r="L11" i="6"/>
  <c r="L11" i="4"/>
  <c r="L11" i="3"/>
  <c r="H28" i="3"/>
  <c r="K25" i="3"/>
  <c r="K42" i="3"/>
  <c r="K84" i="3"/>
  <c r="K95" i="3"/>
  <c r="K146" i="3"/>
  <c r="J39" i="3"/>
  <c r="J41" i="3" s="1"/>
  <c r="M7" i="5"/>
  <c r="M7" i="7"/>
  <c r="M7" i="6"/>
  <c r="M7" i="4"/>
  <c r="M9" i="2"/>
  <c r="M7" i="3"/>
  <c r="J157" i="3"/>
  <c r="J147" i="3"/>
  <c r="J53" i="3"/>
  <c r="J55" i="3" s="1"/>
  <c r="J40" i="3"/>
  <c r="I199" i="3"/>
  <c r="I26" i="3"/>
  <c r="J200" i="3"/>
  <c r="J105" i="4" s="1"/>
  <c r="J98" i="3"/>
  <c r="J89" i="3"/>
  <c r="I76" i="3"/>
  <c r="J199" i="3"/>
  <c r="J33" i="3"/>
  <c r="H46" i="3"/>
  <c r="I159" i="3"/>
  <c r="J198" i="3"/>
  <c r="J158" i="3"/>
  <c r="J25" i="3"/>
  <c r="I128" i="3"/>
  <c r="H162" i="3"/>
  <c r="I88" i="3"/>
  <c r="I168" i="3"/>
  <c r="I167" i="3" s="1"/>
  <c r="J42" i="3"/>
  <c r="J193" i="3"/>
  <c r="J133" i="3"/>
  <c r="J84" i="3"/>
  <c r="J85" i="3" s="1"/>
  <c r="J49" i="3"/>
  <c r="J28" i="3"/>
  <c r="J56" i="3"/>
  <c r="H53" i="3"/>
  <c r="H54" i="3"/>
  <c r="I47" i="3"/>
  <c r="J187" i="3"/>
  <c r="J123" i="4" s="1"/>
  <c r="J88" i="3"/>
  <c r="J95" i="3"/>
  <c r="J97" i="3" s="1"/>
  <c r="H47" i="3"/>
  <c r="J197" i="3"/>
  <c r="J192" i="3"/>
  <c r="J146" i="3"/>
  <c r="J141" i="3"/>
  <c r="J47" i="3"/>
  <c r="J76" i="3"/>
  <c r="J26" i="3"/>
  <c r="H76" i="3"/>
  <c r="J188" i="3"/>
  <c r="J101" i="4" s="1"/>
  <c r="J35" i="3"/>
  <c r="H166" i="3"/>
  <c r="I197" i="3"/>
  <c r="J96" i="3"/>
  <c r="I32" i="3"/>
  <c r="H194" i="3"/>
  <c r="H147" i="3"/>
  <c r="I84" i="3"/>
  <c r="J46" i="3"/>
  <c r="H168" i="3"/>
  <c r="H167" i="3" s="1"/>
  <c r="H135" i="3"/>
  <c r="H40" i="3"/>
  <c r="J73" i="3"/>
  <c r="J75" i="3" s="1"/>
  <c r="H198" i="3"/>
  <c r="H163" i="3"/>
  <c r="H95" i="3"/>
  <c r="H73" i="3"/>
  <c r="H89" i="3"/>
  <c r="I54" i="3"/>
  <c r="I200" i="3"/>
  <c r="I25" i="3"/>
  <c r="I27" i="3" s="1"/>
  <c r="I29" i="3" s="1"/>
  <c r="I16" i="3" s="1"/>
  <c r="H186" i="3"/>
  <c r="I192" i="3"/>
  <c r="I98" i="3"/>
  <c r="J54" i="3"/>
  <c r="H133" i="3"/>
  <c r="H49" i="3"/>
  <c r="H32" i="3"/>
  <c r="I49" i="3"/>
  <c r="H96" i="3"/>
  <c r="I187" i="3"/>
  <c r="J91" i="3"/>
  <c r="J132" i="3"/>
  <c r="J134" i="3" s="1"/>
  <c r="I163" i="3"/>
  <c r="J135" i="3"/>
  <c r="H187" i="3"/>
  <c r="G28" i="3"/>
  <c r="G187" i="3"/>
  <c r="G135" i="3"/>
  <c r="H188" i="3"/>
  <c r="K198" i="3"/>
  <c r="H88" i="3"/>
  <c r="H90" i="3" s="1"/>
  <c r="H92" i="3" s="1"/>
  <c r="H68" i="3" s="1"/>
  <c r="G35" i="3"/>
  <c r="G76" i="3"/>
  <c r="G32" i="3"/>
  <c r="G34" i="3" s="1"/>
  <c r="G36" i="3" s="1"/>
  <c r="G17" i="3" s="1"/>
  <c r="G199" i="3"/>
  <c r="G198" i="3"/>
  <c r="G163" i="3"/>
  <c r="G168" i="3"/>
  <c r="G167" i="3" s="1"/>
  <c r="I40" i="3"/>
  <c r="I198" i="3"/>
  <c r="H33" i="3"/>
  <c r="H25" i="3"/>
  <c r="K26" i="3"/>
  <c r="K46" i="3"/>
  <c r="K76" i="3"/>
  <c r="K157" i="3"/>
  <c r="K96" i="3"/>
  <c r="K147" i="3"/>
  <c r="I194" i="3"/>
  <c r="M115" i="4"/>
  <c r="M85" i="4"/>
  <c r="M19" i="4"/>
  <c r="M60" i="4"/>
  <c r="J74" i="3"/>
  <c r="H158" i="3"/>
  <c r="L199" i="3"/>
  <c r="L187" i="3"/>
  <c r="L123" i="4" s="1"/>
  <c r="L135" i="3"/>
  <c r="L98" i="3"/>
  <c r="L96" i="3"/>
  <c r="L95" i="3"/>
  <c r="L91" i="3"/>
  <c r="L200" i="3"/>
  <c r="L105" i="4" s="1"/>
  <c r="L188" i="3"/>
  <c r="L101" i="4" s="1"/>
  <c r="L146" i="3"/>
  <c r="L128" i="3"/>
  <c r="L191" i="3"/>
  <c r="L147" i="3"/>
  <c r="L141" i="3"/>
  <c r="L192" i="3"/>
  <c r="L159" i="3"/>
  <c r="L193" i="3"/>
  <c r="L133" i="3"/>
  <c r="L89" i="3"/>
  <c r="L88" i="3"/>
  <c r="L197" i="3"/>
  <c r="L158" i="3"/>
  <c r="L76" i="3"/>
  <c r="L74" i="3"/>
  <c r="L73" i="3"/>
  <c r="L56" i="3"/>
  <c r="L54" i="3"/>
  <c r="L53" i="3"/>
  <c r="L49" i="3"/>
  <c r="L47" i="3"/>
  <c r="L46" i="3"/>
  <c r="L42" i="3"/>
  <c r="L40" i="3"/>
  <c r="L39" i="3"/>
  <c r="L35" i="3"/>
  <c r="L33" i="3"/>
  <c r="L32" i="3"/>
  <c r="L28" i="3"/>
  <c r="L26" i="3"/>
  <c r="L25" i="3"/>
  <c r="L186" i="3"/>
  <c r="L132" i="3"/>
  <c r="L157" i="3"/>
  <c r="L198" i="3"/>
  <c r="L194" i="3"/>
  <c r="L104" i="4" s="1"/>
  <c r="L103" i="4" s="1"/>
  <c r="L84" i="3"/>
  <c r="L185" i="3"/>
  <c r="H39" i="3"/>
  <c r="G39" i="3"/>
  <c r="G192" i="3"/>
  <c r="G40" i="3"/>
  <c r="G146" i="3"/>
  <c r="G185" i="3"/>
  <c r="G165" i="3"/>
  <c r="I91" i="3"/>
  <c r="I95" i="3"/>
  <c r="I28" i="3"/>
  <c r="H197" i="3"/>
  <c r="K39" i="4"/>
  <c r="L38" i="4"/>
  <c r="H192" i="3"/>
  <c r="H91" i="3"/>
  <c r="K28" i="3"/>
  <c r="K47" i="3"/>
  <c r="K158" i="3"/>
  <c r="K141" i="3"/>
  <c r="K98" i="3"/>
  <c r="I89" i="3"/>
  <c r="I158" i="3"/>
  <c r="I146" i="3"/>
  <c r="M8" i="5"/>
  <c r="M8" i="7"/>
  <c r="M8" i="6"/>
  <c r="M8" i="4"/>
  <c r="M8" i="3"/>
  <c r="M11" i="2"/>
  <c r="G25" i="3"/>
  <c r="G27" i="3" s="1"/>
  <c r="G29" i="3" s="1"/>
  <c r="G16" i="3" s="1"/>
  <c r="G84" i="3"/>
  <c r="G159" i="3"/>
  <c r="I42" i="3"/>
  <c r="H128" i="3"/>
  <c r="H141" i="3"/>
  <c r="K193" i="3"/>
  <c r="H98" i="3"/>
  <c r="G47" i="3"/>
  <c r="G128" i="3"/>
  <c r="G46" i="3"/>
  <c r="G191" i="3"/>
  <c r="G197" i="3"/>
  <c r="G166" i="3"/>
  <c r="I166" i="3"/>
  <c r="I186" i="3"/>
  <c r="I56" i="3"/>
  <c r="H200" i="3"/>
  <c r="I53" i="3"/>
  <c r="I55" i="3" s="1"/>
  <c r="K159" i="3"/>
  <c r="K32" i="3"/>
  <c r="K49" i="3"/>
  <c r="K197" i="3"/>
  <c r="K191" i="3"/>
  <c r="K135" i="3"/>
  <c r="J159" i="3"/>
  <c r="K85" i="3" l="1"/>
  <c r="J67" i="3"/>
  <c r="H199" i="3"/>
  <c r="H146" i="3"/>
  <c r="I73" i="3"/>
  <c r="J194" i="3"/>
  <c r="J104" i="4" s="1"/>
  <c r="J103" i="4" s="1"/>
  <c r="I157" i="3"/>
  <c r="I133" i="3"/>
  <c r="H193" i="3"/>
  <c r="N19" i="4"/>
  <c r="N85" i="4"/>
  <c r="N60" i="4"/>
  <c r="N115" i="4"/>
  <c r="I34" i="3"/>
  <c r="I36" i="3" s="1"/>
  <c r="I17" i="3" s="1"/>
  <c r="K41" i="3"/>
  <c r="J43" i="3"/>
  <c r="J18" i="3" s="1"/>
  <c r="G41" i="3"/>
  <c r="L124" i="4"/>
  <c r="L122" i="4" s="1"/>
  <c r="J143" i="3"/>
  <c r="J142" i="3"/>
  <c r="M128" i="3"/>
  <c r="M200" i="3"/>
  <c r="M105" i="4" s="1"/>
  <c r="M188" i="3"/>
  <c r="M101" i="4" s="1"/>
  <c r="M146" i="3"/>
  <c r="M191" i="3"/>
  <c r="M147" i="3"/>
  <c r="M141" i="3"/>
  <c r="M192" i="3"/>
  <c r="M159" i="3"/>
  <c r="M193" i="3"/>
  <c r="M158" i="3"/>
  <c r="M89" i="3"/>
  <c r="M88" i="3"/>
  <c r="M197" i="3"/>
  <c r="M135" i="3"/>
  <c r="M76" i="3"/>
  <c r="M74" i="3"/>
  <c r="M73" i="3"/>
  <c r="M56" i="3"/>
  <c r="M54" i="3"/>
  <c r="M53" i="3"/>
  <c r="M49" i="3"/>
  <c r="M47" i="3"/>
  <c r="M46" i="3"/>
  <c r="M42" i="3"/>
  <c r="M40" i="3"/>
  <c r="M39" i="3"/>
  <c r="M35" i="3"/>
  <c r="M33" i="3"/>
  <c r="M32" i="3"/>
  <c r="M28" i="3"/>
  <c r="M26" i="3"/>
  <c r="M25" i="3"/>
  <c r="M186" i="3"/>
  <c r="M132" i="3"/>
  <c r="M95" i="3"/>
  <c r="M199" i="3"/>
  <c r="M98" i="3"/>
  <c r="M194" i="3"/>
  <c r="M104" i="4" s="1"/>
  <c r="M103" i="4" s="1"/>
  <c r="M91" i="3"/>
  <c r="M198" i="3"/>
  <c r="M133" i="3"/>
  <c r="M187" i="3"/>
  <c r="M123" i="4" s="1"/>
  <c r="M157" i="3"/>
  <c r="M96" i="3"/>
  <c r="M185" i="3"/>
  <c r="M84" i="3"/>
  <c r="G141" i="3"/>
  <c r="J128" i="3"/>
  <c r="J129" i="3" s="1"/>
  <c r="K91" i="3"/>
  <c r="J27" i="3"/>
  <c r="M9" i="5"/>
  <c r="M9" i="7"/>
  <c r="M9" i="6"/>
  <c r="M9" i="4"/>
  <c r="M9" i="3"/>
  <c r="N8" i="7"/>
  <c r="N8" i="6"/>
  <c r="N8" i="5"/>
  <c r="N8" i="3"/>
  <c r="N11" i="2"/>
  <c r="N8" i="4"/>
  <c r="K55" i="3"/>
  <c r="J57" i="3"/>
  <c r="J20" i="3" s="1"/>
  <c r="M11" i="7"/>
  <c r="M11" i="6"/>
  <c r="M11" i="4"/>
  <c r="M11" i="5"/>
  <c r="M11" i="3"/>
  <c r="K97" i="3"/>
  <c r="J99" i="3"/>
  <c r="J69" i="3" s="1"/>
  <c r="I21" i="3"/>
  <c r="I22" i="3" s="1"/>
  <c r="J90" i="3"/>
  <c r="H48" i="3"/>
  <c r="H50" i="3" s="1"/>
  <c r="H19" i="3" s="1"/>
  <c r="H34" i="3"/>
  <c r="J136" i="3"/>
  <c r="J112" i="3" s="1"/>
  <c r="H75" i="3"/>
  <c r="H77" i="3" s="1"/>
  <c r="H64" i="3" s="1"/>
  <c r="J48" i="3"/>
  <c r="H55" i="3"/>
  <c r="N7" i="7"/>
  <c r="N7" i="6"/>
  <c r="N7" i="5"/>
  <c r="N7" i="4"/>
  <c r="N7" i="3"/>
  <c r="N9" i="2"/>
  <c r="K186" i="3"/>
  <c r="K124" i="4" s="1"/>
  <c r="I147" i="3"/>
  <c r="K185" i="3"/>
  <c r="I141" i="3"/>
  <c r="G96" i="3"/>
  <c r="K33" i="3"/>
  <c r="G200" i="3"/>
  <c r="K200" i="3"/>
  <c r="K105" i="4" s="1"/>
  <c r="K132" i="3"/>
  <c r="H191" i="3"/>
  <c r="I165" i="3"/>
  <c r="I164" i="3" s="1"/>
  <c r="I169" i="3" s="1"/>
  <c r="G133" i="3"/>
  <c r="G158" i="3"/>
  <c r="G42" i="3"/>
  <c r="I185" i="3"/>
  <c r="K188" i="3"/>
  <c r="K101" i="4" s="1"/>
  <c r="K35" i="3"/>
  <c r="I96" i="3"/>
  <c r="I97" i="3" s="1"/>
  <c r="I99" i="3" s="1"/>
  <c r="I69" i="3" s="1"/>
  <c r="K53" i="3"/>
  <c r="I162" i="3"/>
  <c r="G193" i="3"/>
  <c r="G157" i="3"/>
  <c r="G88" i="3"/>
  <c r="G90" i="3" s="1"/>
  <c r="G92" i="3" s="1"/>
  <c r="G68" i="3" s="1"/>
  <c r="K56" i="3"/>
  <c r="I74" i="3"/>
  <c r="G91" i="3"/>
  <c r="G73" i="3"/>
  <c r="G75" i="3" s="1"/>
  <c r="G77" i="3" s="1"/>
  <c r="G64" i="3" s="1"/>
  <c r="K54" i="3"/>
  <c r="H56" i="3"/>
  <c r="G194" i="3"/>
  <c r="G53" i="3"/>
  <c r="G55" i="3" s="1"/>
  <c r="G57" i="3" s="1"/>
  <c r="G20" i="3" s="1"/>
  <c r="I39" i="3"/>
  <c r="I41" i="3" s="1"/>
  <c r="I43" i="3" s="1"/>
  <c r="I18" i="3" s="1"/>
  <c r="K133" i="3"/>
  <c r="K134" i="3" s="1"/>
  <c r="K39" i="3"/>
  <c r="H165" i="3"/>
  <c r="H164" i="3" s="1"/>
  <c r="H169" i="3" s="1"/>
  <c r="H35" i="3"/>
  <c r="G147" i="3"/>
  <c r="G98" i="3"/>
  <c r="K199" i="3"/>
  <c r="H132" i="3"/>
  <c r="H134" i="3" s="1"/>
  <c r="H136" i="3" s="1"/>
  <c r="H112" i="3" s="1"/>
  <c r="H113" i="3" s="1"/>
  <c r="H185" i="3"/>
  <c r="I33" i="3"/>
  <c r="G132" i="3"/>
  <c r="G134" i="3" s="1"/>
  <c r="G136" i="3" s="1"/>
  <c r="G112" i="3" s="1"/>
  <c r="G113" i="3" s="1"/>
  <c r="G74" i="3"/>
  <c r="G95" i="3"/>
  <c r="G97" i="3" s="1"/>
  <c r="K187" i="3"/>
  <c r="I132" i="3"/>
  <c r="H84" i="3"/>
  <c r="H26" i="3"/>
  <c r="H27" i="3" s="1"/>
  <c r="H29" i="3" s="1"/>
  <c r="H16" i="3" s="1"/>
  <c r="J191" i="3"/>
  <c r="K89" i="3"/>
  <c r="I46" i="3"/>
  <c r="I48" i="3" s="1"/>
  <c r="I50" i="3" s="1"/>
  <c r="I19" i="3" s="1"/>
  <c r="I193" i="3"/>
  <c r="K128" i="3"/>
  <c r="K88" i="3"/>
  <c r="K194" i="3"/>
  <c r="K104" i="4" s="1"/>
  <c r="K103" i="4" s="1"/>
  <c r="I135" i="3"/>
  <c r="G54" i="3"/>
  <c r="G49" i="3"/>
  <c r="K40" i="3"/>
  <c r="M38" i="4"/>
  <c r="L39" i="4"/>
  <c r="I90" i="3"/>
  <c r="I92" i="3" s="1"/>
  <c r="I68" i="3" s="1"/>
  <c r="K75" i="3"/>
  <c r="J77" i="3"/>
  <c r="J64" i="3" s="1"/>
  <c r="H41" i="3"/>
  <c r="H43" i="3" s="1"/>
  <c r="H18" i="3" s="1"/>
  <c r="I57" i="3"/>
  <c r="I20" i="3" s="1"/>
  <c r="G48" i="3"/>
  <c r="L181" i="3"/>
  <c r="L76" i="4" s="1"/>
  <c r="G164" i="3"/>
  <c r="G169" i="3" s="1"/>
  <c r="H97" i="3"/>
  <c r="H99" i="3" s="1"/>
  <c r="H69" i="3" s="1"/>
  <c r="H159" i="3"/>
  <c r="J185" i="3"/>
  <c r="J186" i="3"/>
  <c r="J124" i="4" s="1"/>
  <c r="J122" i="4" s="1"/>
  <c r="H74" i="3"/>
  <c r="J32" i="3"/>
  <c r="J34" i="3" s="1"/>
  <c r="K74" i="3"/>
  <c r="G188" i="3"/>
  <c r="K192" i="3"/>
  <c r="H157" i="3"/>
  <c r="K136" i="3" l="1"/>
  <c r="K112" i="3" s="1"/>
  <c r="L134" i="3"/>
  <c r="L75" i="3"/>
  <c r="K77" i="3"/>
  <c r="K64" i="3" s="1"/>
  <c r="K48" i="3"/>
  <c r="J50" i="3"/>
  <c r="J19" i="3" s="1"/>
  <c r="L55" i="3"/>
  <c r="K57" i="3"/>
  <c r="K20" i="3" s="1"/>
  <c r="N159" i="3"/>
  <c r="N191" i="3"/>
  <c r="N147" i="3"/>
  <c r="N141" i="3"/>
  <c r="N128" i="3"/>
  <c r="N192" i="3"/>
  <c r="N193" i="3"/>
  <c r="N158" i="3"/>
  <c r="N194" i="3"/>
  <c r="N104" i="4" s="1"/>
  <c r="N157" i="3"/>
  <c r="N132" i="3"/>
  <c r="N197" i="3"/>
  <c r="N135" i="3"/>
  <c r="N76" i="3"/>
  <c r="N74" i="3"/>
  <c r="N73" i="3"/>
  <c r="N56" i="3"/>
  <c r="N54" i="3"/>
  <c r="N53" i="3"/>
  <c r="N49" i="3"/>
  <c r="N47" i="3"/>
  <c r="N46" i="3"/>
  <c r="N42" i="3"/>
  <c r="N40" i="3"/>
  <c r="N39" i="3"/>
  <c r="N35" i="3"/>
  <c r="N33" i="3"/>
  <c r="N32" i="3"/>
  <c r="N28" i="3"/>
  <c r="N26" i="3"/>
  <c r="N25" i="3"/>
  <c r="N186" i="3"/>
  <c r="N146" i="3"/>
  <c r="N95" i="3"/>
  <c r="N199" i="3"/>
  <c r="N98" i="3"/>
  <c r="N188" i="3"/>
  <c r="N101" i="4" s="1"/>
  <c r="N91" i="3"/>
  <c r="N185" i="3"/>
  <c r="N181" i="3" s="1"/>
  <c r="N76" i="4" s="1"/>
  <c r="N84" i="3"/>
  <c r="N198" i="3"/>
  <c r="N187" i="3"/>
  <c r="N200" i="3"/>
  <c r="N105" i="4" s="1"/>
  <c r="N88" i="3"/>
  <c r="N96" i="3"/>
  <c r="N133" i="3"/>
  <c r="N89" i="3"/>
  <c r="N11" i="7"/>
  <c r="N11" i="6"/>
  <c r="N11" i="5"/>
  <c r="N11" i="4"/>
  <c r="N11" i="3"/>
  <c r="I75" i="3"/>
  <c r="I77" i="3" s="1"/>
  <c r="I64" i="3" s="1"/>
  <c r="I70" i="3" s="1"/>
  <c r="K34" i="3"/>
  <c r="J36" i="3"/>
  <c r="J17" i="3" s="1"/>
  <c r="G50" i="3"/>
  <c r="G19" i="3" s="1"/>
  <c r="N38" i="4"/>
  <c r="M39" i="4"/>
  <c r="G99" i="3"/>
  <c r="G69" i="3" s="1"/>
  <c r="G43" i="3"/>
  <c r="G18" i="3" s="1"/>
  <c r="G21" i="3" s="1"/>
  <c r="G22" i="3" s="1"/>
  <c r="L41" i="3"/>
  <c r="K43" i="3"/>
  <c r="K18" i="3" s="1"/>
  <c r="H70" i="3"/>
  <c r="I134" i="3"/>
  <c r="I136" i="3" s="1"/>
  <c r="I112" i="3" s="1"/>
  <c r="I113" i="3" s="1"/>
  <c r="M181" i="3"/>
  <c r="M76" i="4" s="1"/>
  <c r="H36" i="3"/>
  <c r="H17" i="3" s="1"/>
  <c r="H21" i="3" s="1"/>
  <c r="H22" i="3" s="1"/>
  <c r="K27" i="3"/>
  <c r="J29" i="3"/>
  <c r="J16" i="3" s="1"/>
  <c r="J111" i="3"/>
  <c r="K129" i="3"/>
  <c r="L97" i="3"/>
  <c r="K99" i="3"/>
  <c r="K69" i="3" s="1"/>
  <c r="K143" i="3"/>
  <c r="J151" i="3"/>
  <c r="J107" i="3" s="1"/>
  <c r="G70" i="3"/>
  <c r="I170" i="3"/>
  <c r="K181" i="3"/>
  <c r="K76" i="4" s="1"/>
  <c r="N9" i="7"/>
  <c r="N9" i="6"/>
  <c r="N9" i="5"/>
  <c r="N9" i="4"/>
  <c r="N9" i="3"/>
  <c r="K142" i="3"/>
  <c r="J150" i="3"/>
  <c r="K123" i="4"/>
  <c r="K122" i="4" s="1"/>
  <c r="H170" i="3"/>
  <c r="J181" i="3"/>
  <c r="J76" i="4" s="1"/>
  <c r="J73" i="4" s="1"/>
  <c r="H57" i="3"/>
  <c r="H20" i="3" s="1"/>
  <c r="J92" i="3"/>
  <c r="J68" i="3" s="1"/>
  <c r="K90" i="3"/>
  <c r="M124" i="4"/>
  <c r="M122" i="4" s="1"/>
  <c r="L85" i="3"/>
  <c r="K67" i="3"/>
  <c r="M55" i="3" l="1"/>
  <c r="L57" i="3"/>
  <c r="L20" i="3" s="1"/>
  <c r="K150" i="3"/>
  <c r="L142" i="3"/>
  <c r="L48" i="3"/>
  <c r="K50" i="3"/>
  <c r="K19" i="3" s="1"/>
  <c r="L27" i="3"/>
  <c r="K29" i="3"/>
  <c r="K16" i="3" s="1"/>
  <c r="K151" i="3"/>
  <c r="K107" i="3" s="1"/>
  <c r="L143" i="3"/>
  <c r="M75" i="3"/>
  <c r="L77" i="3"/>
  <c r="L64" i="3" s="1"/>
  <c r="J152" i="3"/>
  <c r="J65" i="3"/>
  <c r="J21" i="3"/>
  <c r="M41" i="3"/>
  <c r="L43" i="3"/>
  <c r="L18" i="3" s="1"/>
  <c r="N123" i="4"/>
  <c r="L136" i="3"/>
  <c r="L112" i="3" s="1"/>
  <c r="M134" i="3"/>
  <c r="L90" i="3"/>
  <c r="K92" i="3"/>
  <c r="K68" i="3" s="1"/>
  <c r="K111" i="3"/>
  <c r="L129" i="3"/>
  <c r="L34" i="3"/>
  <c r="K36" i="3"/>
  <c r="K17" i="3" s="1"/>
  <c r="L99" i="3"/>
  <c r="L69" i="3" s="1"/>
  <c r="M97" i="3"/>
  <c r="N39" i="4"/>
  <c r="O38" i="4"/>
  <c r="O39" i="4" s="1"/>
  <c r="N103" i="4"/>
  <c r="M85" i="3"/>
  <c r="L67" i="3"/>
  <c r="N124" i="4"/>
  <c r="N41" i="3" l="1"/>
  <c r="N43" i="3" s="1"/>
  <c r="N18" i="3" s="1"/>
  <c r="M43" i="3"/>
  <c r="M18" i="3" s="1"/>
  <c r="K21" i="3"/>
  <c r="L92" i="3"/>
  <c r="L68" i="3" s="1"/>
  <c r="M90" i="3"/>
  <c r="J125" i="3"/>
  <c r="J110" i="3" s="1"/>
  <c r="J81" i="3"/>
  <c r="J66" i="3" s="1"/>
  <c r="J70" i="3" s="1"/>
  <c r="J22" i="4" s="1"/>
  <c r="J20" i="4"/>
  <c r="J121" i="3"/>
  <c r="J109" i="3" s="1"/>
  <c r="J117" i="3"/>
  <c r="J108" i="3" s="1"/>
  <c r="M27" i="3"/>
  <c r="L29" i="3"/>
  <c r="L16" i="3" s="1"/>
  <c r="N97" i="3"/>
  <c r="N99" i="3" s="1"/>
  <c r="N69" i="3" s="1"/>
  <c r="M99" i="3"/>
  <c r="M69" i="3" s="1"/>
  <c r="M136" i="3"/>
  <c r="M112" i="3" s="1"/>
  <c r="N134" i="3"/>
  <c r="N136" i="3" s="1"/>
  <c r="N112" i="3" s="1"/>
  <c r="M48" i="3"/>
  <c r="L50" i="3"/>
  <c r="L19" i="3" s="1"/>
  <c r="L150" i="3"/>
  <c r="M142" i="3"/>
  <c r="M34" i="3"/>
  <c r="L36" i="3"/>
  <c r="L17" i="3" s="1"/>
  <c r="N75" i="3"/>
  <c r="N77" i="3" s="1"/>
  <c r="N64" i="3" s="1"/>
  <c r="M77" i="3"/>
  <c r="M64" i="3" s="1"/>
  <c r="K152" i="3"/>
  <c r="K65" i="3"/>
  <c r="L111" i="3"/>
  <c r="M129" i="3"/>
  <c r="N122" i="4"/>
  <c r="M67" i="3"/>
  <c r="N85" i="3"/>
  <c r="N67" i="3" s="1"/>
  <c r="M143" i="3"/>
  <c r="L151" i="3"/>
  <c r="L107" i="3" s="1"/>
  <c r="N55" i="3"/>
  <c r="N57" i="3" s="1"/>
  <c r="N20" i="3" s="1"/>
  <c r="M57" i="3"/>
  <c r="M20" i="3" s="1"/>
  <c r="J63" i="4" l="1"/>
  <c r="J163" i="3"/>
  <c r="J61" i="4"/>
  <c r="J162" i="3"/>
  <c r="J165" i="3" s="1"/>
  <c r="J23" i="4"/>
  <c r="J21" i="4"/>
  <c r="J62" i="4" s="1"/>
  <c r="N34" i="3"/>
  <c r="N36" i="3" s="1"/>
  <c r="N17" i="3" s="1"/>
  <c r="M36" i="3"/>
  <c r="M17" i="3" s="1"/>
  <c r="K125" i="3"/>
  <c r="K110" i="3" s="1"/>
  <c r="K81" i="3"/>
  <c r="K66" i="3" s="1"/>
  <c r="K20" i="4"/>
  <c r="K121" i="3"/>
  <c r="K109" i="3" s="1"/>
  <c r="K117" i="3"/>
  <c r="K108" i="3" s="1"/>
  <c r="K113" i="3" s="1"/>
  <c r="K25" i="4" s="1"/>
  <c r="N129" i="3"/>
  <c r="N111" i="3" s="1"/>
  <c r="M111" i="3"/>
  <c r="M150" i="3"/>
  <c r="N142" i="3"/>
  <c r="N150" i="3" s="1"/>
  <c r="N90" i="3"/>
  <c r="N92" i="3" s="1"/>
  <c r="N68" i="3" s="1"/>
  <c r="M92" i="3"/>
  <c r="M68" i="3" s="1"/>
  <c r="K70" i="3"/>
  <c r="K22" i="4" s="1"/>
  <c r="L65" i="3"/>
  <c r="L152" i="3"/>
  <c r="L21" i="3"/>
  <c r="N27" i="3"/>
  <c r="N29" i="3" s="1"/>
  <c r="N16" i="3" s="1"/>
  <c r="M29" i="3"/>
  <c r="M16" i="3" s="1"/>
  <c r="M151" i="3"/>
  <c r="M107" i="3" s="1"/>
  <c r="N143" i="3"/>
  <c r="N151" i="3" s="1"/>
  <c r="N107" i="3" s="1"/>
  <c r="N48" i="3"/>
  <c r="N50" i="3" s="1"/>
  <c r="N19" i="3" s="1"/>
  <c r="M50" i="3"/>
  <c r="M19" i="3" s="1"/>
  <c r="J113" i="3"/>
  <c r="J25" i="4" s="1"/>
  <c r="L125" i="3" l="1"/>
  <c r="L110" i="3" s="1"/>
  <c r="L121" i="3"/>
  <c r="L109" i="3" s="1"/>
  <c r="L20" i="4"/>
  <c r="L117" i="3"/>
  <c r="L108" i="3" s="1"/>
  <c r="L113" i="3" s="1"/>
  <c r="L25" i="4" s="1"/>
  <c r="L81" i="3"/>
  <c r="L66" i="3" s="1"/>
  <c r="K26" i="4"/>
  <c r="K67" i="4" s="1"/>
  <c r="K66" i="4"/>
  <c r="J64" i="4"/>
  <c r="J27" i="4"/>
  <c r="J24" i="4"/>
  <c r="J65" i="4" s="1"/>
  <c r="J66" i="4"/>
  <c r="J26" i="4"/>
  <c r="J67" i="4" s="1"/>
  <c r="L70" i="3"/>
  <c r="L22" i="4" s="1"/>
  <c r="K63" i="4"/>
  <c r="K163" i="3"/>
  <c r="K61" i="4"/>
  <c r="K162" i="3"/>
  <c r="K165" i="3" s="1"/>
  <c r="K23" i="4"/>
  <c r="K21" i="4"/>
  <c r="K62" i="4" s="1"/>
  <c r="J88" i="4"/>
  <c r="J164" i="3"/>
  <c r="M21" i="3"/>
  <c r="N152" i="3"/>
  <c r="N65" i="3"/>
  <c r="J168" i="3"/>
  <c r="J166" i="3"/>
  <c r="J89" i="4" s="1"/>
  <c r="N21" i="3"/>
  <c r="M65" i="3"/>
  <c r="M152" i="3"/>
  <c r="M125" i="3" l="1"/>
  <c r="M110" i="3" s="1"/>
  <c r="M121" i="3"/>
  <c r="M109" i="3" s="1"/>
  <c r="M20" i="4"/>
  <c r="M117" i="3"/>
  <c r="M108" i="3" s="1"/>
  <c r="M113" i="3" s="1"/>
  <c r="M25" i="4" s="1"/>
  <c r="M81" i="3"/>
  <c r="M66" i="3" s="1"/>
  <c r="M70" i="3" s="1"/>
  <c r="M22" i="4" s="1"/>
  <c r="L63" i="4"/>
  <c r="L163" i="3"/>
  <c r="N20" i="4"/>
  <c r="N121" i="3"/>
  <c r="N109" i="3" s="1"/>
  <c r="N117" i="3"/>
  <c r="N108" i="3" s="1"/>
  <c r="N81" i="3"/>
  <c r="N66" i="3" s="1"/>
  <c r="N70" i="3" s="1"/>
  <c r="N22" i="4" s="1"/>
  <c r="N125" i="3"/>
  <c r="N110" i="3" s="1"/>
  <c r="K24" i="4"/>
  <c r="K65" i="4" s="1"/>
  <c r="K27" i="4"/>
  <c r="K64" i="4"/>
  <c r="L66" i="4"/>
  <c r="L26" i="4"/>
  <c r="L67" i="4" s="1"/>
  <c r="J99" i="4"/>
  <c r="J98" i="4" s="1"/>
  <c r="J108" i="4" s="1"/>
  <c r="J167" i="3"/>
  <c r="J169" i="3" s="1"/>
  <c r="J170" i="3" s="1"/>
  <c r="J35" i="4" s="1"/>
  <c r="J119" i="4" s="1"/>
  <c r="K88" i="4"/>
  <c r="L61" i="4"/>
  <c r="L23" i="4"/>
  <c r="L162" i="3"/>
  <c r="L165" i="3" s="1"/>
  <c r="L21" i="4"/>
  <c r="L62" i="4" s="1"/>
  <c r="K168" i="3"/>
  <c r="K166" i="3"/>
  <c r="K89" i="4" s="1"/>
  <c r="J28" i="4"/>
  <c r="J69" i="4" s="1"/>
  <c r="J68" i="4"/>
  <c r="J78" i="4" s="1"/>
  <c r="J80" i="4" s="1"/>
  <c r="J117" i="4" s="1"/>
  <c r="J32" i="4"/>
  <c r="J79" i="4" s="1"/>
  <c r="J30" i="4"/>
  <c r="M63" i="4" l="1"/>
  <c r="M163" i="3"/>
  <c r="O22" i="4"/>
  <c r="O163" i="3" s="1"/>
  <c r="N163" i="3"/>
  <c r="N63" i="4"/>
  <c r="K30" i="4"/>
  <c r="K32" i="4"/>
  <c r="K79" i="4" s="1"/>
  <c r="K68" i="4"/>
  <c r="K28" i="4"/>
  <c r="K69" i="4" s="1"/>
  <c r="L168" i="3"/>
  <c r="L166" i="3"/>
  <c r="L89" i="4" s="1"/>
  <c r="N113" i="3"/>
  <c r="N25" i="4" s="1"/>
  <c r="M162" i="3"/>
  <c r="M165" i="3" s="1"/>
  <c r="M21" i="4"/>
  <c r="M62" i="4" s="1"/>
  <c r="M61" i="4"/>
  <c r="M23" i="4"/>
  <c r="J116" i="4"/>
  <c r="J128" i="4" s="1"/>
  <c r="J129" i="4" s="1"/>
  <c r="K164" i="3"/>
  <c r="K99" i="4"/>
  <c r="K98" i="4" s="1"/>
  <c r="K108" i="4" s="1"/>
  <c r="K167" i="3"/>
  <c r="M66" i="4"/>
  <c r="M26" i="4"/>
  <c r="M67" i="4" s="1"/>
  <c r="J71" i="4"/>
  <c r="J31" i="4"/>
  <c r="J72" i="4" s="1"/>
  <c r="J33" i="4"/>
  <c r="J37" i="4" s="1"/>
  <c r="J40" i="4" s="1"/>
  <c r="L88" i="4"/>
  <c r="L164" i="3"/>
  <c r="G38" i="7"/>
  <c r="G43" i="7" s="1"/>
  <c r="G37" i="6"/>
  <c r="G43" i="6" s="1"/>
  <c r="N61" i="4"/>
  <c r="N21" i="4"/>
  <c r="N62" i="4" s="1"/>
  <c r="O20" i="4"/>
  <c r="N162" i="3"/>
  <c r="N165" i="3" s="1"/>
  <c r="N23" i="4"/>
  <c r="L64" i="4"/>
  <c r="L27" i="4"/>
  <c r="L24" i="4"/>
  <c r="L65" i="4" s="1"/>
  <c r="M88" i="4" l="1"/>
  <c r="O25" i="4"/>
  <c r="O26" i="4" s="1"/>
  <c r="N66" i="4"/>
  <c r="N26" i="4"/>
  <c r="N67" i="4" s="1"/>
  <c r="N168" i="3"/>
  <c r="N166" i="3"/>
  <c r="N89" i="4" s="1"/>
  <c r="O162" i="3"/>
  <c r="O165" i="3" s="1"/>
  <c r="O23" i="4"/>
  <c r="O21" i="4"/>
  <c r="O168" i="3"/>
  <c r="O167" i="3" s="1"/>
  <c r="O166" i="3"/>
  <c r="M27" i="4"/>
  <c r="M24" i="4"/>
  <c r="M65" i="4" s="1"/>
  <c r="M64" i="4"/>
  <c r="K33" i="4"/>
  <c r="K31" i="4"/>
  <c r="K72" i="4" s="1"/>
  <c r="K71" i="4"/>
  <c r="L68" i="4"/>
  <c r="L32" i="4"/>
  <c r="L79" i="4" s="1"/>
  <c r="L30" i="4"/>
  <c r="L28" i="4"/>
  <c r="L69" i="4" s="1"/>
  <c r="L169" i="3"/>
  <c r="L170" i="3" s="1"/>
  <c r="L35" i="4" s="1"/>
  <c r="L119" i="4" s="1"/>
  <c r="N27" i="4"/>
  <c r="N64" i="4"/>
  <c r="N24" i="4"/>
  <c r="N65" i="4" s="1"/>
  <c r="K169" i="3"/>
  <c r="K170" i="3" s="1"/>
  <c r="K35" i="4" s="1"/>
  <c r="K119" i="4" s="1"/>
  <c r="L99" i="4"/>
  <c r="L98" i="4" s="1"/>
  <c r="L108" i="4" s="1"/>
  <c r="L167" i="3"/>
  <c r="M168" i="3"/>
  <c r="M166" i="3"/>
  <c r="M89" i="4" s="1"/>
  <c r="N88" i="4"/>
  <c r="J87" i="4"/>
  <c r="K127" i="4"/>
  <c r="M164" i="3" l="1"/>
  <c r="M99" i="4"/>
  <c r="M98" i="4" s="1"/>
  <c r="M108" i="4" s="1"/>
  <c r="M167" i="3"/>
  <c r="J86" i="4"/>
  <c r="J97" i="4" s="1"/>
  <c r="J109" i="4" s="1"/>
  <c r="J175" i="3"/>
  <c r="K177" i="3" s="1"/>
  <c r="K74" i="4" s="1"/>
  <c r="K73" i="4" s="1"/>
  <c r="K78" i="4" s="1"/>
  <c r="K80" i="4" s="1"/>
  <c r="K117" i="4" s="1"/>
  <c r="K116" i="4" s="1"/>
  <c r="K128" i="4" s="1"/>
  <c r="K129" i="4" s="1"/>
  <c r="N99" i="4"/>
  <c r="N98" i="4" s="1"/>
  <c r="N108" i="4" s="1"/>
  <c r="N167" i="3"/>
  <c r="L71" i="4"/>
  <c r="L33" i="4"/>
  <c r="L37" i="4" s="1"/>
  <c r="L40" i="4" s="1"/>
  <c r="L31" i="4"/>
  <c r="L72" i="4" s="1"/>
  <c r="M32" i="4"/>
  <c r="M79" i="4" s="1"/>
  <c r="M30" i="4"/>
  <c r="M28" i="4"/>
  <c r="M69" i="4" s="1"/>
  <c r="M68" i="4"/>
  <c r="N164" i="3"/>
  <c r="O24" i="4"/>
  <c r="O27" i="4"/>
  <c r="G40" i="7"/>
  <c r="G45" i="7" s="1"/>
  <c r="G49" i="7" s="1"/>
  <c r="G39" i="6"/>
  <c r="G45" i="6" s="1"/>
  <c r="N30" i="4"/>
  <c r="N28" i="4"/>
  <c r="N69" i="4" s="1"/>
  <c r="N68" i="4"/>
  <c r="N32" i="4"/>
  <c r="N79" i="4" s="1"/>
  <c r="K37" i="4"/>
  <c r="K40" i="4" s="1"/>
  <c r="O164" i="3"/>
  <c r="O169" i="3" s="1"/>
  <c r="L127" i="4" l="1"/>
  <c r="K87" i="4"/>
  <c r="M31" i="4"/>
  <c r="M72" i="4" s="1"/>
  <c r="M71" i="4"/>
  <c r="M33" i="4"/>
  <c r="N33" i="4"/>
  <c r="G39" i="7"/>
  <c r="G44" i="7" s="1"/>
  <c r="G48" i="7" s="1"/>
  <c r="G55" i="7" s="1"/>
  <c r="G38" i="6"/>
  <c r="G44" i="6" s="1"/>
  <c r="G49" i="6" s="1"/>
  <c r="G54" i="7" s="1"/>
  <c r="N71" i="4"/>
  <c r="N31" i="4"/>
  <c r="N72" i="4" s="1"/>
  <c r="O170" i="3"/>
  <c r="O35" i="4" s="1"/>
  <c r="O32" i="4"/>
  <c r="O28" i="4"/>
  <c r="O30" i="4"/>
  <c r="N169" i="3"/>
  <c r="M169" i="3"/>
  <c r="M170" i="3" s="1"/>
  <c r="M35" i="4" s="1"/>
  <c r="M119" i="4" s="1"/>
  <c r="M37" i="4" l="1"/>
  <c r="M40" i="4" s="1"/>
  <c r="O33" i="4"/>
  <c r="O37" i="4" s="1"/>
  <c r="O40" i="4" s="1"/>
  <c r="O31" i="4"/>
  <c r="N170" i="3"/>
  <c r="N35" i="4" s="1"/>
  <c r="N119" i="4" s="1"/>
  <c r="K175" i="3"/>
  <c r="L177" i="3" s="1"/>
  <c r="L74" i="4" s="1"/>
  <c r="L73" i="4" s="1"/>
  <c r="L78" i="4" s="1"/>
  <c r="L80" i="4" s="1"/>
  <c r="L117" i="4" s="1"/>
  <c r="L116" i="4" s="1"/>
  <c r="L128" i="4" s="1"/>
  <c r="L129" i="4" s="1"/>
  <c r="K86" i="4"/>
  <c r="K97" i="4" s="1"/>
  <c r="K109" i="4" s="1"/>
  <c r="L87" i="4" l="1"/>
  <c r="M127" i="4"/>
  <c r="N37" i="4"/>
  <c r="N40" i="4" s="1"/>
  <c r="O41" i="4"/>
  <c r="O43" i="4" s="1"/>
  <c r="O45" i="4" s="1"/>
  <c r="E32" i="5" l="1"/>
  <c r="G53" i="7"/>
  <c r="G57" i="7" s="1"/>
  <c r="K52" i="4"/>
  <c r="O47" i="4"/>
  <c r="L86" i="4"/>
  <c r="L97" i="4" s="1"/>
  <c r="L109" i="4" s="1"/>
  <c r="L175" i="3"/>
  <c r="M177" i="3" s="1"/>
  <c r="M74" i="4" s="1"/>
  <c r="M73" i="4" s="1"/>
  <c r="M78" i="4" s="1"/>
  <c r="M80" i="4" s="1"/>
  <c r="M117" i="4" s="1"/>
  <c r="M116" i="4" s="1"/>
  <c r="M128" i="4" s="1"/>
  <c r="M129" i="4" s="1"/>
  <c r="N127" i="4" l="1"/>
  <c r="M87" i="4"/>
  <c r="E34" i="5"/>
  <c r="E36" i="5" s="1"/>
  <c r="E35" i="5"/>
  <c r="E40" i="5" s="1"/>
  <c r="M86" i="4" l="1"/>
  <c r="M97" i="4" s="1"/>
  <c r="M109" i="4" s="1"/>
  <c r="M175" i="3"/>
  <c r="N177" i="3" s="1"/>
  <c r="N74" i="4" s="1"/>
  <c r="N73" i="4" s="1"/>
  <c r="N78" i="4" s="1"/>
  <c r="N80" i="4" s="1"/>
  <c r="G40" i="6" l="1"/>
  <c r="G48" i="6" s="1"/>
  <c r="N117" i="4"/>
  <c r="N116" i="4" s="1"/>
  <c r="N128" i="4" s="1"/>
  <c r="N129" i="4" s="1"/>
  <c r="N87" i="4" s="1"/>
  <c r="N86" i="4" l="1"/>
  <c r="N97" i="4" s="1"/>
  <c r="N109" i="4" s="1"/>
  <c r="N17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gyeongwookim</author>
  </authors>
  <commentList>
    <comment ref="E17" authorId="0" shapeId="0" xr:uid="{00000000-0006-0000-0100-000001000000}">
      <text>
        <r>
          <rPr>
            <sz val="10"/>
            <rFont val="Arial"/>
            <family val="2"/>
          </rPr>
          <t xml:space="preserve">gyeongwookim:
</t>
        </r>
        <r>
          <rPr>
            <sz val="10"/>
            <rFont val="DejaVu Sans"/>
            <family val="2"/>
          </rPr>
          <t xml:space="preserve">특별한 언급이 없는한 </t>
        </r>
        <r>
          <rPr>
            <sz val="10"/>
            <rFont val="Arial"/>
            <family val="2"/>
          </rPr>
          <t>Financial model</t>
        </r>
        <r>
          <rPr>
            <sz val="10"/>
            <rFont val="DejaVu Sans"/>
            <family val="2"/>
          </rPr>
          <t>은 백만원 단위</t>
        </r>
      </text>
    </comment>
  </commentList>
</comments>
</file>

<file path=xl/sharedStrings.xml><?xml version="1.0" encoding="utf-8"?>
<sst xmlns="http://schemas.openxmlformats.org/spreadsheetml/2006/main" count="827" uniqueCount="341">
  <si>
    <t>Title</t>
  </si>
  <si>
    <t>Project dummy Financial Model</t>
  </si>
  <si>
    <t>Version</t>
  </si>
  <si>
    <t>Draft</t>
  </si>
  <si>
    <t>Date</t>
  </si>
  <si>
    <t>Currency</t>
  </si>
  <si>
    <r>
      <rPr>
        <sz val="10"/>
        <color rgb="FF0F3A32"/>
        <rFont val="DejaVu Sans"/>
        <family val="2"/>
      </rPr>
      <t>별도표시가 없는 한 모든통화는 원</t>
    </r>
    <r>
      <rPr>
        <sz val="10"/>
        <color rgb="FF0F3A32"/>
        <rFont val="DejaVu Sans"/>
        <family val="2"/>
        <charset val="1"/>
      </rPr>
      <t>(KRW)</t>
    </r>
    <r>
      <rPr>
        <sz val="10"/>
        <color rgb="FF0F3A32"/>
        <rFont val="DejaVu Sans"/>
        <family val="2"/>
      </rPr>
      <t>임</t>
    </r>
  </si>
  <si>
    <t>Legend</t>
  </si>
  <si>
    <t>구분</t>
  </si>
  <si>
    <t>설 명</t>
  </si>
  <si>
    <t>Value</t>
  </si>
  <si>
    <t>상수</t>
  </si>
  <si>
    <r>
      <rPr>
        <sz val="9"/>
        <color rgb="FF0F3A32"/>
        <rFont val="맑은 고딕"/>
        <family val="3"/>
        <charset val="129"/>
      </rPr>
      <t xml:space="preserve">Control </t>
    </r>
    <r>
      <rPr>
        <sz val="9"/>
        <color rgb="FF0F3A32"/>
        <rFont val="DejaVu Sans"/>
        <family val="2"/>
      </rPr>
      <t>변수</t>
    </r>
  </si>
  <si>
    <t>참조값</t>
  </si>
  <si>
    <t>수식결과값</t>
  </si>
  <si>
    <t>총 합계</t>
  </si>
  <si>
    <t>운영기간 합계</t>
  </si>
  <si>
    <t>VBA</t>
  </si>
  <si>
    <r>
      <rPr>
        <sz val="9"/>
        <color rgb="FF0F3A32"/>
        <rFont val="맑은 고딕"/>
        <family val="3"/>
        <charset val="129"/>
      </rPr>
      <t>VBA</t>
    </r>
    <r>
      <rPr>
        <sz val="9"/>
        <color rgb="FF0F3A32"/>
        <rFont val="DejaVu Sans"/>
        <family val="2"/>
      </rPr>
      <t xml:space="preserve">참조셀 </t>
    </r>
    <r>
      <rPr>
        <sz val="9"/>
        <color rgb="FF0F3A32"/>
        <rFont val="맑은 고딕"/>
        <family val="3"/>
        <charset val="129"/>
      </rPr>
      <t>[</t>
    </r>
    <r>
      <rPr>
        <sz val="9"/>
        <color rgb="FF0F3A32"/>
        <rFont val="DejaVu Sans"/>
        <family val="2"/>
      </rPr>
      <t>삭제금지</t>
    </r>
    <r>
      <rPr>
        <sz val="9"/>
        <color rgb="FF0F3A32"/>
        <rFont val="맑은 고딕"/>
        <family val="3"/>
        <charset val="129"/>
      </rPr>
      <t>]</t>
    </r>
  </si>
  <si>
    <t>Text</t>
  </si>
  <si>
    <r>
      <rPr>
        <sz val="9"/>
        <color rgb="FF0F3A32"/>
        <rFont val="DejaVu Sans"/>
        <family val="2"/>
      </rPr>
      <t>출처</t>
    </r>
    <r>
      <rPr>
        <sz val="9"/>
        <color rgb="FF0F3A32"/>
        <rFont val="DejaVu Sans"/>
        <family val="2"/>
        <charset val="1"/>
      </rPr>
      <t>/</t>
    </r>
    <r>
      <rPr>
        <sz val="9"/>
        <color rgb="FF0F3A32"/>
        <rFont val="DejaVu Sans"/>
        <family val="2"/>
      </rPr>
      <t>설명</t>
    </r>
  </si>
  <si>
    <t>Flag</t>
  </si>
  <si>
    <r>
      <rPr>
        <sz val="9"/>
        <color rgb="FF0F3A32"/>
        <rFont val="맑은 고딕"/>
        <family val="3"/>
        <charset val="129"/>
      </rPr>
      <t>FALSE(</t>
    </r>
    <r>
      <rPr>
        <sz val="9"/>
        <color rgb="FF0F3A32"/>
        <rFont val="DejaVu Sans"/>
        <family val="2"/>
      </rPr>
      <t>논리값</t>
    </r>
    <r>
      <rPr>
        <sz val="9"/>
        <color rgb="FF0F3A32"/>
        <rFont val="맑은 고딕"/>
        <family val="3"/>
        <charset val="129"/>
      </rPr>
      <t xml:space="preserve">) </t>
    </r>
  </si>
  <si>
    <r>
      <rPr>
        <sz val="9"/>
        <color rgb="FF0F3A32"/>
        <rFont val="맑은 고딕"/>
        <family val="3"/>
        <charset val="129"/>
      </rPr>
      <t>TRUE(</t>
    </r>
    <r>
      <rPr>
        <sz val="9"/>
        <color rgb="FF0F3A32"/>
        <rFont val="DejaVu Sans"/>
        <family val="2"/>
      </rPr>
      <t>논리값</t>
    </r>
    <r>
      <rPr>
        <sz val="9"/>
        <color rgb="FF0F3A32"/>
        <rFont val="맑은 고딕"/>
        <family val="3"/>
        <charset val="129"/>
      </rPr>
      <t>)</t>
    </r>
  </si>
  <si>
    <t>Blank</t>
  </si>
  <si>
    <t>DRAFT - For Discussion Purposes Only</t>
  </si>
  <si>
    <t>Assumptions</t>
  </si>
  <si>
    <t>Time Period</t>
  </si>
  <si>
    <t>Actual/Forecast</t>
  </si>
  <si>
    <t>Actual</t>
  </si>
  <si>
    <t>Forecast</t>
  </si>
  <si>
    <t>Period Start</t>
  </si>
  <si>
    <t>TV</t>
  </si>
  <si>
    <t>Period End</t>
  </si>
  <si>
    <t>Month</t>
  </si>
  <si>
    <t>Year</t>
  </si>
  <si>
    <t>Days</t>
  </si>
  <si>
    <t>1. General Assumptions</t>
  </si>
  <si>
    <t>Model Date</t>
  </si>
  <si>
    <t>Model Year</t>
  </si>
  <si>
    <t>Unit</t>
  </si>
  <si>
    <t>KRW</t>
  </si>
  <si>
    <t>WACC</t>
  </si>
  <si>
    <t>%</t>
  </si>
  <si>
    <t>Perpetual Growth</t>
  </si>
  <si>
    <t>Industry Growth</t>
  </si>
  <si>
    <t>Nominal Wage Growth</t>
  </si>
  <si>
    <t>CPI</t>
  </si>
  <si>
    <t>PPI</t>
  </si>
  <si>
    <t>2. Historical Financials</t>
  </si>
  <si>
    <t>[Profit &amp; Loss]</t>
  </si>
  <si>
    <t>매출</t>
  </si>
  <si>
    <t>원가</t>
  </si>
  <si>
    <t>재료비</t>
  </si>
  <si>
    <t>인건비</t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</si>
  <si>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family val="2"/>
        <charset val="1"/>
      </rPr>
      <t>-</t>
    </r>
    <r>
      <rPr>
        <sz val="10"/>
        <color rgb="FF0F3A32"/>
        <rFont val="DejaVu Sans"/>
        <family val="2"/>
      </rPr>
      <t>변동비</t>
    </r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</si>
  <si>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family val="2"/>
        <charset val="1"/>
      </rPr>
      <t>-</t>
    </r>
    <r>
      <rPr>
        <sz val="10"/>
        <color rgb="FF0F3A32"/>
        <rFont val="DejaVu Sans"/>
        <family val="2"/>
      </rPr>
      <t>고정비</t>
    </r>
  </si>
  <si>
    <t>매출총이익</t>
  </si>
  <si>
    <t>판관비</t>
  </si>
  <si>
    <r>
      <rPr>
        <sz val="10"/>
        <color rgb="FF0F3A32"/>
        <rFont val="DejaVu Sans"/>
        <family val="2"/>
      </rPr>
      <t>변동비</t>
    </r>
    <r>
      <rPr>
        <sz val="10"/>
        <color rgb="FF0F3A32"/>
        <rFont val="DejaVu Sans"/>
        <family val="2"/>
        <charset val="1"/>
      </rPr>
      <t>-#1</t>
    </r>
  </si>
  <si>
    <r>
      <rPr>
        <sz val="10"/>
        <color rgb="FF0F3A32"/>
        <rFont val="DejaVu Sans"/>
        <family val="2"/>
      </rPr>
      <t>변동비</t>
    </r>
    <r>
      <rPr>
        <sz val="10"/>
        <color rgb="FF0F3A32"/>
        <rFont val="DejaVu Sans"/>
        <family val="2"/>
        <charset val="1"/>
      </rPr>
      <t>-#2</t>
    </r>
  </si>
  <si>
    <r>
      <rPr>
        <sz val="10"/>
        <color rgb="FF0F3A32"/>
        <rFont val="DejaVu Sans"/>
        <family val="2"/>
      </rPr>
      <t>변동비</t>
    </r>
    <r>
      <rPr>
        <sz val="10"/>
        <color rgb="FF0F3A32"/>
        <rFont val="DejaVu Sans"/>
        <family val="2"/>
        <charset val="1"/>
      </rPr>
      <t>-#3</t>
    </r>
  </si>
  <si>
    <t>고정비</t>
  </si>
  <si>
    <t>영업이익</t>
  </si>
  <si>
    <t>감가상각비</t>
  </si>
  <si>
    <t>EBITDA</t>
  </si>
  <si>
    <t>영업외손익</t>
  </si>
  <si>
    <t>영업외수익</t>
  </si>
  <si>
    <t>이자손익</t>
  </si>
  <si>
    <t>기타</t>
  </si>
  <si>
    <t>영업외비용</t>
  </si>
  <si>
    <t>이자비용</t>
  </si>
  <si>
    <t>세전이익</t>
  </si>
  <si>
    <t>법인세</t>
  </si>
  <si>
    <t>당기순이익</t>
  </si>
  <si>
    <t>[Balance Sheet]</t>
  </si>
  <si>
    <t>유동자산</t>
  </si>
  <si>
    <t>현금및현금성자산</t>
  </si>
  <si>
    <t>매출채권</t>
  </si>
  <si>
    <t>재고자산</t>
  </si>
  <si>
    <t>기타유동자산</t>
  </si>
  <si>
    <t>비유동자산</t>
  </si>
  <si>
    <t>유형자산</t>
  </si>
  <si>
    <t>무형자산</t>
  </si>
  <si>
    <t>투자자산</t>
  </si>
  <si>
    <t>지분법투자주식</t>
  </si>
  <si>
    <t>기타비유동자산</t>
  </si>
  <si>
    <t>총자산</t>
  </si>
  <si>
    <t>유동부채</t>
  </si>
  <si>
    <t>매입채무</t>
  </si>
  <si>
    <t>미지급금</t>
  </si>
  <si>
    <t>단기차입금</t>
  </si>
  <si>
    <t>기타유동부채</t>
  </si>
  <si>
    <t>비유동부채</t>
  </si>
  <si>
    <t>장기차입금</t>
  </si>
  <si>
    <t>사채</t>
  </si>
  <si>
    <t>퇴직급여충당부채</t>
  </si>
  <si>
    <t>기타비유동부채</t>
  </si>
  <si>
    <t>총부채</t>
  </si>
  <si>
    <t>순자산</t>
  </si>
  <si>
    <t>3. Revenue Assumptions</t>
  </si>
  <si>
    <t>[Revenue breakdown] - #1</t>
  </si>
  <si>
    <t>Price</t>
  </si>
  <si>
    <t>KRW/kg</t>
  </si>
  <si>
    <t>Quantity</t>
  </si>
  <si>
    <t>kg</t>
  </si>
  <si>
    <t>[Revenue breakdown] - #2</t>
  </si>
  <si>
    <t>[Revenue breakdown] - #3</t>
  </si>
  <si>
    <t>[Revenue breakdown] - #4</t>
  </si>
  <si>
    <t>[Revenue breakdown] - #5</t>
  </si>
  <si>
    <t>4. COGS Assumptions</t>
  </si>
  <si>
    <r>
      <rPr>
        <b/>
        <sz val="10"/>
        <color rgb="FFFFFFFF"/>
        <rFont val="Arial"/>
        <family val="2"/>
      </rPr>
      <t xml:space="preserve">[COGS breakdown] - </t>
    </r>
    <r>
      <rPr>
        <b/>
        <sz val="10"/>
        <color rgb="FFFFFFFF"/>
        <rFont val="DejaVu Sans"/>
        <family val="2"/>
      </rPr>
      <t xml:space="preserve">재료비 </t>
    </r>
    <r>
      <rPr>
        <b/>
        <sz val="10"/>
        <color rgb="FFFFFFFF"/>
        <rFont val="Arial"/>
        <family val="2"/>
      </rPr>
      <t>(P*Q)</t>
    </r>
  </si>
  <si>
    <r>
      <rPr>
        <b/>
        <sz val="10"/>
        <color rgb="FFFFFFFF"/>
        <rFont val="Arial"/>
        <family val="2"/>
      </rPr>
      <t xml:space="preserve">[COGS breakdown] - </t>
    </r>
    <r>
      <rPr>
        <b/>
        <sz val="10"/>
        <color rgb="FFFFFFFF"/>
        <rFont val="DejaVu Sans"/>
        <family val="2"/>
      </rPr>
      <t>기타경비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변동비</t>
    </r>
    <r>
      <rPr>
        <b/>
        <sz val="10"/>
        <color rgb="FFFFFFFF"/>
        <rFont val="Arial"/>
        <family val="2"/>
      </rPr>
      <t>)</t>
    </r>
  </si>
  <si>
    <t>기타경비</t>
  </si>
  <si>
    <t>KRW mn</t>
  </si>
  <si>
    <t>% of revenue</t>
  </si>
  <si>
    <r>
      <rPr>
        <b/>
        <sz val="10"/>
        <color rgb="FFFFFFFF"/>
        <rFont val="Arial"/>
        <family val="2"/>
      </rPr>
      <t xml:space="preserve">[COGS breakdown] - </t>
    </r>
    <r>
      <rPr>
        <b/>
        <sz val="10"/>
        <color rgb="FFFFFFFF"/>
        <rFont val="DejaVu Sans"/>
        <family val="2"/>
      </rPr>
      <t>기타경비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DejaVu Sans"/>
        <family val="2"/>
      </rPr>
      <t>고정비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</si>
  <si>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 xml:space="preserve">[COGS breakdown] - </t>
    </r>
    <r>
      <rPr>
        <b/>
        <sz val="10"/>
        <color rgb="FFFFFFFF"/>
        <rFont val="DejaVu Sans"/>
        <family val="2"/>
      </rPr>
      <t>별도 추정</t>
    </r>
    <r>
      <rPr>
        <b/>
        <sz val="10"/>
        <color rgb="FFFFFFFF"/>
        <rFont val="Arial"/>
        <family val="2"/>
      </rPr>
      <t>- #1</t>
    </r>
  </si>
  <si>
    <r>
      <rPr>
        <b/>
        <sz val="10"/>
        <color rgb="FFFFFFFF"/>
        <rFont val="Arial"/>
        <family val="2"/>
      </rPr>
      <t xml:space="preserve">[COGS breakdown] - </t>
    </r>
    <r>
      <rPr>
        <b/>
        <sz val="10"/>
        <color rgb="FFFFFFFF"/>
        <rFont val="DejaVu Sans"/>
        <family val="2"/>
      </rPr>
      <t>별도 추정</t>
    </r>
    <r>
      <rPr>
        <b/>
        <sz val="10"/>
        <color rgb="FFFFFFFF"/>
        <rFont val="Arial"/>
        <family val="2"/>
      </rPr>
      <t>- #2</t>
    </r>
  </si>
  <si>
    <t>5. SG&amp;A  Assumptions</t>
  </si>
  <si>
    <t>[SG&amp;A breakdown] - Variable cost #1</t>
  </si>
  <si>
    <t>판관 변동비</t>
  </si>
  <si>
    <t>[SG&amp;A breakdown] - Variable cost #2</t>
  </si>
  <si>
    <t>[SG&amp;A breakdown] - Variable cost #3</t>
  </si>
  <si>
    <t>[SG&amp;A breakdown] - Fixed cost</t>
  </si>
  <si>
    <t>판관 고정비</t>
  </si>
  <si>
    <r>
      <rPr>
        <b/>
        <sz val="10"/>
        <color rgb="FFFFFFFF"/>
        <rFont val="Arial"/>
        <family val="2"/>
      </rPr>
      <t xml:space="preserve">[SG&amp;A breakdown] - </t>
    </r>
    <r>
      <rPr>
        <b/>
        <sz val="10"/>
        <color rgb="FFFFFFFF"/>
        <rFont val="DejaVu Sans"/>
        <family val="2"/>
      </rPr>
      <t>별도 추정</t>
    </r>
  </si>
  <si>
    <t>6. Labor cost  Assumptions</t>
  </si>
  <si>
    <r>
      <rPr>
        <sz val="10"/>
        <color rgb="FFFFFFFF"/>
        <rFont val="Arial"/>
        <family val="2"/>
      </rPr>
      <t>[</t>
    </r>
    <r>
      <rPr>
        <sz val="10"/>
        <color rgb="FFFFFFFF"/>
        <rFont val="DejaVu Sans"/>
        <family val="2"/>
      </rPr>
      <t>인건비</t>
    </r>
    <r>
      <rPr>
        <sz val="10"/>
        <color rgb="FFFFFFFF"/>
        <rFont val="Arial"/>
        <family val="2"/>
      </rPr>
      <t>]</t>
    </r>
  </si>
  <si>
    <t>COGS</t>
  </si>
  <si>
    <t xml:space="preserve">KRW m </t>
  </si>
  <si>
    <t>SG&amp;A</t>
  </si>
  <si>
    <r>
      <rPr>
        <sz val="10"/>
        <color rgb="FFFFFFFF"/>
        <rFont val="Arial"/>
        <family val="2"/>
      </rPr>
      <t>[</t>
    </r>
    <r>
      <rPr>
        <sz val="10"/>
        <color rgb="FFFFFFFF"/>
        <rFont val="DejaVu Sans"/>
        <family val="2"/>
      </rPr>
      <t>인원수</t>
    </r>
    <r>
      <rPr>
        <sz val="10"/>
        <color rgb="FFFFFFFF"/>
        <rFont val="Arial"/>
        <family val="2"/>
      </rPr>
      <t>]</t>
    </r>
  </si>
  <si>
    <t xml:space="preserve">COGS </t>
  </si>
  <si>
    <t>명</t>
  </si>
  <si>
    <t xml:space="preserve">SG&amp;A </t>
  </si>
  <si>
    <r>
      <rPr>
        <sz val="10"/>
        <color rgb="FFFFFFFF"/>
        <rFont val="Arial"/>
        <family val="2"/>
      </rPr>
      <t>[</t>
    </r>
    <r>
      <rPr>
        <sz val="10"/>
        <color rgb="FFFFFFFF"/>
        <rFont val="DejaVu Sans"/>
        <family val="2"/>
      </rPr>
      <t>인당인건비</t>
    </r>
    <r>
      <rPr>
        <sz val="10"/>
        <color rgb="FFFFFFFF"/>
        <rFont val="Arial"/>
        <family val="2"/>
      </rPr>
      <t>]</t>
    </r>
  </si>
  <si>
    <t>7. Working Capital  Assumptions</t>
  </si>
  <si>
    <t xml:space="preserve">[NWC] </t>
  </si>
  <si>
    <t>매출액</t>
  </si>
  <si>
    <t>Current assets</t>
  </si>
  <si>
    <t>Current liabilities</t>
  </si>
  <si>
    <t>Net working capital</t>
  </si>
  <si>
    <t xml:space="preserve">△Net working capital
</t>
  </si>
  <si>
    <r>
      <rPr>
        <sz val="10"/>
        <color rgb="FFFFFFFF"/>
        <rFont val="Arial"/>
        <family val="2"/>
      </rPr>
      <t>[</t>
    </r>
    <r>
      <rPr>
        <sz val="10"/>
        <color rgb="FFFFFFFF"/>
        <rFont val="DejaVu Sans"/>
        <family val="2"/>
      </rPr>
      <t>회전기일</t>
    </r>
    <r>
      <rPr>
        <sz val="10"/>
        <color rgb="FFFFFFFF"/>
        <rFont val="Arial"/>
        <family val="2"/>
      </rPr>
      <t xml:space="preserve">] </t>
    </r>
  </si>
  <si>
    <t>DSO, Year-end</t>
  </si>
  <si>
    <t>DIO, Year-end</t>
  </si>
  <si>
    <t>DPO, Year-end</t>
  </si>
  <si>
    <r>
      <rPr>
        <b/>
        <sz val="10"/>
        <color rgb="FFFFFFFF"/>
        <rFont val="Arial"/>
        <family val="2"/>
      </rPr>
      <t xml:space="preserve">8. </t>
    </r>
    <r>
      <rPr>
        <b/>
        <sz val="10"/>
        <color rgb="FFFFFFFF"/>
        <rFont val="DejaVu Sans"/>
        <family val="2"/>
      </rPr>
      <t xml:space="preserve">영업외손익 </t>
    </r>
    <r>
      <rPr>
        <b/>
        <sz val="10"/>
        <color rgb="FFFFFFFF"/>
        <rFont val="Arial"/>
        <family val="2"/>
      </rPr>
      <t xml:space="preserve">&amp; </t>
    </r>
    <r>
      <rPr>
        <b/>
        <sz val="10"/>
        <color rgb="FFFFFFFF"/>
        <rFont val="DejaVu Sans"/>
        <family val="2"/>
      </rPr>
      <t>차입금</t>
    </r>
  </si>
  <si>
    <r>
      <rPr>
        <sz val="10"/>
        <color rgb="FFFFFFFF"/>
        <rFont val="Arial"/>
        <family val="2"/>
      </rPr>
      <t>[</t>
    </r>
    <r>
      <rPr>
        <sz val="10"/>
        <color rgb="FFFFFFFF"/>
        <rFont val="DejaVu Sans"/>
        <family val="2"/>
      </rPr>
      <t>영업외이익</t>
    </r>
    <r>
      <rPr>
        <sz val="10"/>
        <color rgb="FFFFFFFF"/>
        <rFont val="Arial"/>
        <family val="2"/>
      </rPr>
      <t xml:space="preserve">] </t>
    </r>
  </si>
  <si>
    <t>이자율</t>
  </si>
  <si>
    <r>
      <rPr>
        <sz val="10"/>
        <color rgb="FFFFFFFF"/>
        <rFont val="Arial"/>
        <family val="2"/>
      </rPr>
      <t>[</t>
    </r>
    <r>
      <rPr>
        <sz val="10"/>
        <color rgb="FFFFFFFF"/>
        <rFont val="DejaVu Sans"/>
        <family val="2"/>
      </rPr>
      <t>영업외비용</t>
    </r>
    <r>
      <rPr>
        <sz val="10"/>
        <color rgb="FFFFFFFF"/>
        <rFont val="Arial"/>
        <family val="2"/>
      </rPr>
      <t xml:space="preserve">] </t>
    </r>
  </si>
  <si>
    <r>
      <rPr>
        <sz val="10"/>
        <color rgb="FFFFFFFF"/>
        <rFont val="맑은 고딕"/>
        <family val="3"/>
        <charset val="129"/>
      </rPr>
      <t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3"/>
        <charset val="129"/>
      </rPr>
      <t>-</t>
    </r>
    <r>
      <rPr>
        <sz val="10"/>
        <color rgb="FFFFFFFF"/>
        <rFont val="DejaVu Sans"/>
        <family val="2"/>
      </rPr>
      <t>단기차입금</t>
    </r>
    <r>
      <rPr>
        <sz val="10"/>
        <color rgb="FFFFFFFF"/>
        <rFont val="맑은 고딕"/>
        <family val="3"/>
        <charset val="129"/>
      </rPr>
      <t>]</t>
    </r>
  </si>
  <si>
    <t>기초</t>
  </si>
  <si>
    <r>
      <rPr>
        <sz val="10"/>
        <color rgb="FF0F3A32"/>
        <rFont val="맑은 고딕"/>
        <family val="3"/>
        <charset val="129"/>
      </rPr>
      <t>(+)</t>
    </r>
    <r>
      <rPr>
        <sz val="10"/>
        <color rgb="FF0F3A32"/>
        <rFont val="DejaVu Sans"/>
        <family val="2"/>
      </rPr>
      <t>차입</t>
    </r>
  </si>
  <si>
    <r>
      <rPr>
        <sz val="10"/>
        <color rgb="FF0F3A32"/>
        <rFont val="맑은 고딕"/>
        <family val="3"/>
        <charset val="129"/>
      </rPr>
      <t>(-)</t>
    </r>
    <r>
      <rPr>
        <sz val="10"/>
        <color rgb="FF0F3A32"/>
        <rFont val="DejaVu Sans"/>
        <family val="2"/>
      </rPr>
      <t>상환</t>
    </r>
  </si>
  <si>
    <t>기말</t>
  </si>
  <si>
    <r>
      <rPr>
        <sz val="10"/>
        <color rgb="FFFFFFFF"/>
        <rFont val="맑은 고딕"/>
        <family val="3"/>
        <charset val="129"/>
      </rPr>
      <t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3"/>
        <charset val="129"/>
      </rPr>
      <t>-</t>
    </r>
    <r>
      <rPr>
        <sz val="10"/>
        <color rgb="FFFFFFFF"/>
        <rFont val="DejaVu Sans"/>
        <family val="2"/>
      </rPr>
      <t>장기차입금</t>
    </r>
    <r>
      <rPr>
        <sz val="10"/>
        <color rgb="FFFFFFFF"/>
        <rFont val="맑은 고딕"/>
        <family val="3"/>
        <charset val="129"/>
      </rPr>
      <t>]</t>
    </r>
  </si>
  <si>
    <r>
      <rPr>
        <sz val="10"/>
        <color rgb="FFFFFFFF"/>
        <rFont val="맑은 고딕"/>
        <family val="3"/>
        <charset val="129"/>
      </rPr>
      <t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3"/>
        <charset val="129"/>
      </rPr>
      <t>-</t>
    </r>
    <r>
      <rPr>
        <sz val="10"/>
        <color rgb="FFFFFFFF"/>
        <rFont val="DejaVu Sans"/>
        <family val="2"/>
      </rPr>
      <t>사채</t>
    </r>
    <r>
      <rPr>
        <sz val="10"/>
        <color rgb="FFFFFFFF"/>
        <rFont val="맑은 고딕"/>
        <family val="3"/>
        <charset val="129"/>
      </rPr>
      <t>]</t>
    </r>
  </si>
  <si>
    <t>9. Net debt &amp; NOA</t>
  </si>
  <si>
    <t>[Net debt]</t>
  </si>
  <si>
    <t>On-BS</t>
  </si>
  <si>
    <t>Off-BS</t>
  </si>
  <si>
    <t>Cash-like items</t>
  </si>
  <si>
    <t>Debt-like items</t>
  </si>
  <si>
    <t>장단기차입금</t>
  </si>
  <si>
    <t>리스부채</t>
  </si>
  <si>
    <t>Net debt (Cash)</t>
  </si>
  <si>
    <t>[NOA]</t>
  </si>
  <si>
    <t xml:space="preserve">매도가능증권 </t>
  </si>
  <si>
    <t>Total NOA</t>
  </si>
  <si>
    <t>Calculations</t>
  </si>
  <si>
    <t>Revenue</t>
  </si>
  <si>
    <t>[Total revenue]</t>
  </si>
  <si>
    <t>Revenue #1</t>
  </si>
  <si>
    <t>Revenue #2</t>
  </si>
  <si>
    <t>Revenue #3</t>
  </si>
  <si>
    <t>Revenue #4</t>
  </si>
  <si>
    <t>Revenue #5</t>
  </si>
  <si>
    <t>Total Revenue</t>
  </si>
  <si>
    <t>check</t>
  </si>
  <si>
    <t>Price_real</t>
  </si>
  <si>
    <t>KRW/Kg</t>
  </si>
  <si>
    <t>Price_Nominal</t>
  </si>
  <si>
    <t>Kg</t>
  </si>
  <si>
    <t>[Total COGS]</t>
  </si>
  <si>
    <t>Total COGS</t>
  </si>
  <si>
    <t>별도 추정</t>
  </si>
  <si>
    <t xml:space="preserve">판관 변동비 </t>
  </si>
  <si>
    <t>Labor cost</t>
  </si>
  <si>
    <r>
      <rPr>
        <sz val="10"/>
        <color rgb="FFFFFFFF"/>
        <rFont val="맑은 고딕"/>
        <family val="3"/>
        <charset val="129"/>
      </rPr>
      <t>[</t>
    </r>
    <r>
      <rPr>
        <sz val="10"/>
        <color rgb="FFFFFFFF"/>
        <rFont val="DejaVu Sans"/>
        <family val="2"/>
      </rPr>
      <t>인당인건비</t>
    </r>
    <r>
      <rPr>
        <sz val="10"/>
        <color rgb="FFFFFFFF"/>
        <rFont val="맑은 고딕"/>
        <family val="3"/>
        <charset val="129"/>
      </rPr>
      <t>]</t>
    </r>
  </si>
  <si>
    <t>Total</t>
  </si>
  <si>
    <t>NWC</t>
  </si>
  <si>
    <t>OOI/OOE &amp; Borrowings</t>
  </si>
  <si>
    <t>현금잔액</t>
  </si>
  <si>
    <t>기타 영업외이익</t>
  </si>
  <si>
    <t>기타 영업외 비용</t>
  </si>
  <si>
    <t>DCF</t>
  </si>
  <si>
    <t>Perptual Growth</t>
  </si>
  <si>
    <t>Currency: KRW mn</t>
  </si>
  <si>
    <t>Growth%</t>
  </si>
  <si>
    <t>Gross profit</t>
  </si>
  <si>
    <t>Gross margin</t>
  </si>
  <si>
    <t>SG&amp;A%</t>
  </si>
  <si>
    <t>EBIT</t>
  </si>
  <si>
    <t>EBIT%</t>
  </si>
  <si>
    <t>Dep&amp;Amor.</t>
  </si>
  <si>
    <t>EBITDA %</t>
  </si>
  <si>
    <t>CIT</t>
  </si>
  <si>
    <t>NOPLAT</t>
  </si>
  <si>
    <t>△Net working capital</t>
  </si>
  <si>
    <t>CAPEX</t>
  </si>
  <si>
    <t>Free cash flow</t>
  </si>
  <si>
    <t>Discount period</t>
  </si>
  <si>
    <t>PV factor</t>
  </si>
  <si>
    <t>PV of FCF</t>
  </si>
  <si>
    <t>Operating value</t>
  </si>
  <si>
    <t>Non-operating assets</t>
  </si>
  <si>
    <t>Enterprise value</t>
  </si>
  <si>
    <t>Net debt</t>
  </si>
  <si>
    <t>Equity value (100%)</t>
  </si>
  <si>
    <t>지분율</t>
  </si>
  <si>
    <t xml:space="preserve">Equity value </t>
  </si>
  <si>
    <t>Sensitivity</t>
  </si>
  <si>
    <r>
      <rPr>
        <b/>
        <sz val="10"/>
        <color rgb="FFFFFFFF"/>
        <rFont val="Arial"/>
        <family val="2"/>
      </rPr>
      <t xml:space="preserve"> Perpetual growth rate </t>
    </r>
    <r>
      <rPr>
        <b/>
        <sz val="10"/>
        <color rgb="FFFFFFFF"/>
        <rFont val="DejaVu Sans"/>
        <family val="2"/>
      </rPr>
      <t>　</t>
    </r>
  </si>
  <si>
    <t xml:space="preserve"> WACC </t>
  </si>
  <si>
    <t>Profit &amp; Loss</t>
  </si>
  <si>
    <t>OOI/OOE</t>
  </si>
  <si>
    <t>PBT</t>
  </si>
  <si>
    <t>Net income</t>
  </si>
  <si>
    <t>Balance Sheet</t>
  </si>
  <si>
    <t xml:space="preserve">CashFlow </t>
  </si>
  <si>
    <t>영업현금흐름</t>
  </si>
  <si>
    <r>
      <rPr>
        <sz val="10"/>
        <color rgb="FF0F3A32"/>
        <rFont val="맑은 고딕"/>
        <family val="3"/>
        <charset val="129"/>
      </rPr>
      <t xml:space="preserve">(+) </t>
    </r>
    <r>
      <rPr>
        <sz val="10"/>
        <color rgb="FF0F3A32"/>
        <rFont val="DejaVu Sans"/>
        <family val="2"/>
      </rPr>
      <t>감가상각비</t>
    </r>
  </si>
  <si>
    <r>
      <rPr>
        <sz val="10"/>
        <color rgb="FF0F3A32"/>
        <rFont val="Arial"/>
        <family val="2"/>
      </rPr>
      <t xml:space="preserve">(+/-) </t>
    </r>
    <r>
      <rPr>
        <sz val="10"/>
        <color rgb="FF0F3A32"/>
        <rFont val="DejaVu Sans"/>
        <family val="2"/>
      </rPr>
      <t>운전자본 증감</t>
    </r>
  </si>
  <si>
    <t>투자현금흐름</t>
  </si>
  <si>
    <t>(-) Capex</t>
  </si>
  <si>
    <t>재무현금흐름</t>
  </si>
  <si>
    <r>
      <rPr>
        <sz val="10"/>
        <color rgb="FF0F3A32"/>
        <rFont val="Arial"/>
        <family val="2"/>
      </rPr>
      <t xml:space="preserve">(-) </t>
    </r>
    <r>
      <rPr>
        <sz val="10"/>
        <color rgb="FF0F3A32"/>
        <rFont val="DejaVu Sans"/>
        <family val="2"/>
      </rPr>
      <t>차입금 상환</t>
    </r>
  </si>
  <si>
    <r>
      <rPr>
        <sz val="10"/>
        <color rgb="FF0F3A32"/>
        <rFont val="Arial"/>
        <family val="2"/>
      </rPr>
      <t xml:space="preserve">(+) </t>
    </r>
    <r>
      <rPr>
        <sz val="10"/>
        <color rgb="FF0F3A32"/>
        <rFont val="DejaVu Sans"/>
        <family val="2"/>
      </rPr>
      <t>차입금 추가차입</t>
    </r>
  </si>
  <si>
    <r>
      <rPr>
        <sz val="10"/>
        <color rgb="FF0F3A32"/>
        <rFont val="Arial"/>
        <family val="2"/>
      </rPr>
      <t xml:space="preserve">(+) </t>
    </r>
    <r>
      <rPr>
        <sz val="10"/>
        <color rgb="FF0F3A32"/>
        <rFont val="DejaVu Sans"/>
        <family val="2"/>
      </rPr>
      <t xml:space="preserve">현금 </t>
    </r>
    <r>
      <rPr>
        <sz val="10"/>
        <color rgb="FF0F3A32"/>
        <rFont val="Arial"/>
        <family val="2"/>
      </rPr>
      <t>injection</t>
    </r>
  </si>
  <si>
    <r>
      <rPr>
        <sz val="10"/>
        <color rgb="FF0F3A32"/>
        <rFont val="Arial"/>
        <family val="2"/>
      </rPr>
      <t xml:space="preserve">(-) </t>
    </r>
    <r>
      <rPr>
        <sz val="10"/>
        <color rgb="FF0F3A32"/>
        <rFont val="DejaVu Sans"/>
        <family val="2"/>
      </rPr>
      <t>현금 배당</t>
    </r>
  </si>
  <si>
    <t>기초현금</t>
  </si>
  <si>
    <r>
      <rPr>
        <b/>
        <sz val="10"/>
        <color rgb="FF0F3A32"/>
        <rFont val="Arial"/>
        <family val="2"/>
      </rPr>
      <t>(+)</t>
    </r>
    <r>
      <rPr>
        <b/>
        <sz val="10"/>
        <color rgb="FF0F3A32"/>
        <rFont val="DejaVu Sans"/>
        <family val="2"/>
      </rPr>
      <t>현금증가</t>
    </r>
  </si>
  <si>
    <t>기말현금</t>
  </si>
  <si>
    <t>WACC Analysis</t>
  </si>
  <si>
    <t>Weighted Average Cost of Capital (WACC)</t>
  </si>
  <si>
    <t>[Cost of Equity - CAPM]</t>
  </si>
  <si>
    <t>Risk-free Rate (Rf)</t>
  </si>
  <si>
    <t>Equity Risk Premium (ERP)</t>
  </si>
  <si>
    <t>Beta (β)</t>
  </si>
  <si>
    <t>x</t>
  </si>
  <si>
    <t>Size Premium</t>
  </si>
  <si>
    <t>Country Risk Premium</t>
  </si>
  <si>
    <t>Cost of Equity (Ke)</t>
  </si>
  <si>
    <t>[Cost of Debt]</t>
  </si>
  <si>
    <t>Pre-tax Cost of Debt</t>
  </si>
  <si>
    <t>Effective Tax Rate</t>
  </si>
  <si>
    <t>After-tax Cost of Debt (Kd)</t>
  </si>
  <si>
    <t>[Capital Structure]</t>
  </si>
  <si>
    <t>Equity Value (Market Cap)</t>
  </si>
  <si>
    <t>Debt Value (Book Value)</t>
  </si>
  <si>
    <t>Total Capital</t>
  </si>
  <si>
    <t>Equity Weight (We)</t>
  </si>
  <si>
    <t>Debt Weight (Wd)</t>
  </si>
  <si>
    <t>WACC Calculation</t>
  </si>
  <si>
    <t>vs Input WACC</t>
  </si>
  <si>
    <t>WACC Sensitivity Analysis</t>
  </si>
  <si>
    <t>ERP →</t>
  </si>
  <si>
    <t>β ↓</t>
  </si>
  <si>
    <t>Guideline Public Company Method (GPCM)</t>
  </si>
  <si>
    <t>Comparable Company Analysis</t>
  </si>
  <si>
    <t>[Comparable Companies]</t>
  </si>
  <si>
    <t>Company</t>
  </si>
  <si>
    <t>Ticker</t>
  </si>
  <si>
    <t>Market Cap
(KRW mn)</t>
  </si>
  <si>
    <t>EV
(KRW mn)</t>
  </si>
  <si>
    <t>Revenue
(KRW mn)</t>
  </si>
  <si>
    <t>EBITDA
(KRW mn)</t>
  </si>
  <si>
    <t>EBIT
(KRW mn)</t>
  </si>
  <si>
    <t>Net Income
(KRW mn)</t>
  </si>
  <si>
    <t>EV/Revenue</t>
  </si>
  <si>
    <t>EV/EBITDA</t>
  </si>
  <si>
    <t>EV/EBIT</t>
  </si>
  <si>
    <t>P/E</t>
  </si>
  <si>
    <t>Comp #1</t>
  </si>
  <si>
    <t>Comp #2</t>
  </si>
  <si>
    <t>Comp #3</t>
  </si>
  <si>
    <t>Comp #4</t>
  </si>
  <si>
    <t>Comp #5</t>
  </si>
  <si>
    <t>[Multiple Summary Statistics]</t>
  </si>
  <si>
    <t>Mean</t>
  </si>
  <si>
    <t>Median</t>
  </si>
  <si>
    <t>Max</t>
  </si>
  <si>
    <t>Min</t>
  </si>
  <si>
    <t>[Selected Multiples &amp; Valuation]</t>
  </si>
  <si>
    <t>Selected Multiple</t>
  </si>
  <si>
    <t>Target Company Financials</t>
  </si>
  <si>
    <t>Net Income</t>
  </si>
  <si>
    <t>Implied Enterprise Value</t>
  </si>
  <si>
    <t>EV (Revenue multiple)</t>
  </si>
  <si>
    <t>EV (EBITDA multiple)</t>
  </si>
  <si>
    <t>EV (EBIT multiple)</t>
  </si>
  <si>
    <t>Implied Equity Value</t>
  </si>
  <si>
    <t>Equity (P/E multiple)</t>
  </si>
  <si>
    <t>Equity (EV-based, EBITDA)</t>
  </si>
  <si>
    <t>Guideline Transaction Method (GTM)</t>
  </si>
  <si>
    <t>Comparable Transaction Analysis</t>
  </si>
  <si>
    <t>[Comparable Transactions]</t>
  </si>
  <si>
    <t>Target</t>
  </si>
  <si>
    <t>Acquirer</t>
  </si>
  <si>
    <t>Deal Value
(KRW mn)</t>
  </si>
  <si>
    <t>Control
Premium</t>
  </si>
  <si>
    <t>Target #1</t>
  </si>
  <si>
    <t>Acquirer #1</t>
  </si>
  <si>
    <t>Target #2</t>
  </si>
  <si>
    <t>Acquirer #2</t>
  </si>
  <si>
    <t>Target #3</t>
  </si>
  <si>
    <t>Acquirer #3</t>
  </si>
  <si>
    <t>Target #4</t>
  </si>
  <si>
    <t>Acquirer #4</t>
  </si>
  <si>
    <t>Target #5</t>
  </si>
  <si>
    <t>Acquirer #5</t>
  </si>
  <si>
    <t>[Transaction Multiple Summary]</t>
  </si>
  <si>
    <t>[Selected Transaction Multiples &amp; Valuation]</t>
  </si>
  <si>
    <t>Control Premium Applied</t>
  </si>
  <si>
    <t>Equity (EV/EBITDA-based)</t>
  </si>
  <si>
    <t>Equity (EV/EBIT-based)</t>
  </si>
  <si>
    <t>Valuation Summary (Cross-Method)</t>
  </si>
  <si>
    <t>DCF Equity Value</t>
  </si>
  <si>
    <t>GPCM Equity Value (EV/EBITDA)</t>
  </si>
  <si>
    <t>GTM Equity Value (EV/EBITDA)</t>
  </si>
  <si>
    <t>Average Equity Value</t>
  </si>
  <si>
    <r>
      <t xml:space="preserve">[COGS breakdown] - </t>
    </r>
    <r>
      <rPr>
        <sz val="10"/>
        <color theme="1"/>
        <rFont val="DejaVu Sans"/>
        <family val="2"/>
      </rPr>
      <t xml:space="preserve">재료비 </t>
    </r>
    <r>
      <rPr>
        <sz val="10"/>
        <color theme="1"/>
        <rFont val="Arial"/>
        <family val="2"/>
      </rPr>
      <t>(P*Q)</t>
    </r>
  </si>
  <si>
    <r>
      <t xml:space="preserve">[COGS breakdown] - </t>
    </r>
    <r>
      <rPr>
        <sz val="10"/>
        <color theme="1"/>
        <rFont val="DejaVu Sans"/>
        <family val="2"/>
      </rPr>
      <t>인건비</t>
    </r>
  </si>
  <si>
    <r>
      <t xml:space="preserve">[COGS breakdown] - </t>
    </r>
    <r>
      <rPr>
        <sz val="10"/>
        <color theme="1"/>
        <rFont val="DejaVu Sans"/>
        <family val="2"/>
      </rPr>
      <t>기타경비</t>
    </r>
    <r>
      <rPr>
        <sz val="10"/>
        <color theme="1"/>
        <rFont val="Arial"/>
        <family val="2"/>
      </rPr>
      <t>(</t>
    </r>
    <r>
      <rPr>
        <sz val="10"/>
        <color theme="1"/>
        <rFont val="DejaVu Sans"/>
        <family val="2"/>
      </rPr>
      <t>변동비</t>
    </r>
    <r>
      <rPr>
        <sz val="10"/>
        <color theme="1"/>
        <rFont val="Arial"/>
        <family val="2"/>
      </rPr>
      <t>)</t>
    </r>
  </si>
  <si>
    <r>
      <t xml:space="preserve">[COGS breakdown] - </t>
    </r>
    <r>
      <rPr>
        <sz val="10"/>
        <color theme="1"/>
        <rFont val="DejaVu Sans"/>
        <family val="2"/>
      </rPr>
      <t>기타경비</t>
    </r>
    <r>
      <rPr>
        <sz val="10"/>
        <color theme="1"/>
        <rFont val="Arial"/>
        <family val="2"/>
      </rPr>
      <t>(</t>
    </r>
    <r>
      <rPr>
        <sz val="10"/>
        <color theme="1"/>
        <rFont val="DejaVu Sans"/>
        <family val="2"/>
      </rPr>
      <t>고정비</t>
    </r>
    <r>
      <rPr>
        <sz val="10"/>
        <color theme="1"/>
        <rFont val="Arial"/>
        <family val="2"/>
      </rPr>
      <t>)</t>
    </r>
  </si>
  <si>
    <r>
      <t xml:space="preserve">[COGS breakdown] - </t>
    </r>
    <r>
      <rPr>
        <sz val="10"/>
        <color theme="1"/>
        <rFont val="DejaVu Sans"/>
        <family val="2"/>
      </rPr>
      <t>별도 추정</t>
    </r>
    <r>
      <rPr>
        <sz val="10"/>
        <color theme="1"/>
        <rFont val="Arial"/>
        <family val="2"/>
      </rPr>
      <t>- #1</t>
    </r>
  </si>
  <si>
    <r>
      <t xml:space="preserve">[COGS breakdown] - </t>
    </r>
    <r>
      <rPr>
        <sz val="10"/>
        <color theme="1"/>
        <rFont val="DejaVu Sans"/>
        <family val="2"/>
      </rPr>
      <t>별도 추정</t>
    </r>
    <r>
      <rPr>
        <sz val="10"/>
        <color theme="1"/>
        <rFont val="Arial"/>
        <family val="2"/>
      </rPr>
      <t>- #2</t>
    </r>
  </si>
  <si>
    <r>
      <t xml:space="preserve">[SG&amp;A breakdown] - </t>
    </r>
    <r>
      <rPr>
        <sz val="10"/>
        <color theme="1"/>
        <rFont val="DejaVu Sans"/>
        <family val="2"/>
      </rPr>
      <t>인건비</t>
    </r>
  </si>
  <si>
    <r>
      <t xml:space="preserve">[SG&amp;A breakdown] - </t>
    </r>
    <r>
      <rPr>
        <sz val="10"/>
        <color theme="1"/>
        <rFont val="DejaVu Sans"/>
        <family val="2"/>
      </rPr>
      <t>별도 추정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</si>
</sst>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\-_);_(@_)"/>
    <numFmt numFmtId="177" formatCode="_(\ #,##0.0%_);_(&quot; (&quot;#,##0.0%\);_(&quot;  - %&quot;_);_(@_)"/>
    <numFmt numFmtId="178" formatCode="#,##0_);\(#,##0\);&quot; - &quot;_);@_)"/>
    <numFmt numFmtId="179" formatCode="\ #,##0.0_);\(#,##0.0\);&quot; - &quot;_);@_)"/>
    <numFmt numFmtId="180" formatCode="\ #,##0.00_);\(#,##0.00\);&quot; - &quot;_);@_)"/>
    <numFmt numFmtId="181" formatCode="#,##0;\(#,##0\);\-"/>
    <numFmt numFmtId="182" formatCode="m/d/yyyy"/>
    <numFmt numFmtId="183" formatCode="_-* #,##0_-;\-* #,##0_-;_-* \-_-;_-@_-"/>
    <numFmt numFmtId="184" formatCode="[$-409]dd/mmm/yy;@"/>
    <numFmt numFmtId="185" formatCode="0.0%"/>
    <numFmt numFmtId="186" formatCode="_-* #,##0_-;\-* #,##0_-;_-* \-??_-;_-@_-"/>
    <numFmt numFmtId="187" formatCode="_-* #,##0.00_-;\-* #,##0.00_-;_-* \-_-;_-@_-"/>
    <numFmt numFmtId="188" formatCode="_-* #,##0.00_-;\-* #,##0.00_-;_-* \-??_-;_-@_-"/>
    <numFmt numFmtId="189" formatCode="#,##0_);[Red]\(#,##0\)"/>
    <numFmt numFmtId="190" formatCode="0.0\x"/>
    <numFmt numFmtId="191" formatCode="yyyy\-mm\-dd"/>
  </numFmts>
  <fonts count="72">
    <font>
      <sz val="11"/>
      <color theme="1"/>
      <name val="맑은 고딕"/>
      <family val="2"/>
      <charset val="129"/>
    </font>
    <font>
      <sz val="10"/>
      <name val="Arial"/>
      <family val="2"/>
      <charset val="1"/>
    </font>
    <font>
      <sz val="10"/>
      <name val="Arial Narrow"/>
      <family val="2"/>
      <charset val="1"/>
    </font>
    <font>
      <b/>
      <sz val="10"/>
      <color rgb="FF7F7E82"/>
      <name val="Arial Narrow"/>
      <family val="2"/>
      <charset val="1"/>
    </font>
    <font>
      <b/>
      <sz val="10"/>
      <color rgb="FF333333"/>
      <name val="Arial Narrow"/>
      <family val="2"/>
      <charset val="1"/>
    </font>
    <font>
      <b/>
      <sz val="10"/>
      <color rgb="FF000080"/>
      <name val="Arial Narrow"/>
      <family val="2"/>
      <charset val="1"/>
    </font>
    <font>
      <b/>
      <sz val="10"/>
      <color rgb="FF993366"/>
      <name val="Arial Narrow"/>
      <family val="2"/>
      <charset val="1"/>
    </font>
    <font>
      <b/>
      <u/>
      <sz val="10"/>
      <name val="Times New Roman"/>
      <family val="1"/>
      <charset val="1"/>
    </font>
    <font>
      <i/>
      <sz val="10"/>
      <color rgb="FF993366"/>
      <name val="Arial Narrow"/>
      <family val="2"/>
      <charset val="1"/>
    </font>
    <font>
      <i/>
      <sz val="10"/>
      <color rgb="FF000080"/>
      <name val="Arial Narrow"/>
      <family val="2"/>
      <charset val="1"/>
    </font>
    <font>
      <sz val="10"/>
      <color rgb="FF993366"/>
      <name val="Arial Narrow"/>
      <family val="2"/>
      <charset val="1"/>
    </font>
    <font>
      <sz val="10"/>
      <color rgb="FF000080"/>
      <name val="Arial Narrow"/>
      <family val="2"/>
      <charset val="1"/>
    </font>
    <font>
      <sz val="12"/>
      <name val="Arial"/>
      <family val="2"/>
      <charset val="1"/>
    </font>
    <font>
      <b/>
      <sz val="14"/>
      <color rgb="FF993366"/>
      <name val="Arial"/>
      <family val="2"/>
      <charset val="1"/>
    </font>
    <font>
      <b/>
      <sz val="14"/>
      <color rgb="FF000080"/>
      <name val="Arial"/>
      <family val="2"/>
      <charset val="1"/>
    </font>
    <font>
      <sz val="8"/>
      <color rgb="FF993366"/>
      <name val="Arial Narrow"/>
      <family val="2"/>
      <charset val="1"/>
    </font>
    <font>
      <sz val="8"/>
      <color rgb="FF000080"/>
      <name val="Arial Narrow"/>
      <family val="2"/>
      <charset val="1"/>
    </font>
    <font>
      <b/>
      <sz val="10"/>
      <name val="Arial Narrow"/>
      <family val="2"/>
      <charset val="1"/>
    </font>
    <font>
      <sz val="10"/>
      <name val="Tahoma"/>
      <family val="2"/>
      <charset val="1"/>
    </font>
    <font>
      <sz val="6"/>
      <name val="Arial"/>
      <family val="2"/>
      <charset val="1"/>
    </font>
    <font>
      <sz val="11"/>
      <color theme="1"/>
      <name val="맑은 고딕"/>
      <family val="2"/>
      <charset val="1"/>
    </font>
    <font>
      <sz val="10"/>
      <name val="Times New Roman"/>
      <family val="1"/>
      <charset val="1"/>
    </font>
    <font>
      <sz val="10"/>
      <name val="맑은 고딕"/>
      <family val="3"/>
      <charset val="129"/>
    </font>
    <font>
      <sz val="11"/>
      <color rgb="FF0F3A32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0"/>
      <color rgb="FF0F3A32"/>
      <name val="맑은 고딕"/>
      <family val="3"/>
      <charset val="129"/>
    </font>
    <font>
      <sz val="10"/>
      <color rgb="FF0F3A32"/>
      <name val="맑은 고딕"/>
      <family val="3"/>
      <charset val="129"/>
    </font>
    <font>
      <sz val="11"/>
      <color rgb="FF0F3A32"/>
      <name val="맑은 고딕"/>
      <family val="3"/>
      <charset val="129"/>
    </font>
    <font>
      <sz val="10"/>
      <color rgb="FF0F3A32"/>
      <name val="DejaVu Sans"/>
      <family val="2"/>
    </font>
    <font>
      <sz val="10"/>
      <color rgb="FF0F3A32"/>
      <name val="DejaVu Sans"/>
      <family val="2"/>
      <charset val="1"/>
    </font>
    <font>
      <b/>
      <sz val="10"/>
      <color rgb="FFFFFFFF"/>
      <name val="Arial"/>
      <family val="2"/>
    </font>
    <font>
      <sz val="10"/>
      <color rgb="FF0F3A32"/>
      <name val="맑은 고딕"/>
      <family val="3"/>
      <charset val="129"/>
    </font>
    <font>
      <b/>
      <sz val="10"/>
      <color rgb="FFFFFFFF"/>
      <name val="DejaVu Sans"/>
      <family val="2"/>
    </font>
    <font>
      <sz val="9"/>
      <name val="맑은 고딕"/>
      <family val="3"/>
      <charset val="129"/>
    </font>
    <font>
      <sz val="9"/>
      <color rgb="FF0F3A32"/>
      <name val="맑은 고딕"/>
      <family val="3"/>
      <charset val="129"/>
    </font>
    <font>
      <sz val="9"/>
      <color rgb="FF0F3A32"/>
      <name val="DejaVu Sans"/>
      <family val="2"/>
    </font>
    <font>
      <i/>
      <sz val="8"/>
      <color rgb="FF0F3A32"/>
      <name val="맑은 고딕"/>
      <family val="3"/>
      <charset val="129"/>
    </font>
    <font>
      <sz val="9"/>
      <color rgb="FF0F3A32"/>
      <name val="DejaVu Sans"/>
      <family val="2"/>
      <charset val="1"/>
    </font>
    <font>
      <i/>
      <sz val="8"/>
      <color rgb="FFFFFFFF"/>
      <name val="맑은 고딕"/>
      <family val="3"/>
      <charset val="129"/>
    </font>
    <font>
      <sz val="9"/>
      <color rgb="FF0F3A32"/>
      <name val="맑은 고딕"/>
      <family val="3"/>
      <charset val="129"/>
    </font>
    <font>
      <sz val="10"/>
      <color theme="1"/>
      <name val="Arial"/>
      <family val="2"/>
      <charset val="1"/>
    </font>
    <font>
      <b/>
      <sz val="2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0F3A32"/>
      <name val="Arial"/>
      <family val="2"/>
    </font>
    <font>
      <b/>
      <i/>
      <sz val="10"/>
      <color rgb="FF0F3A32"/>
      <name val="Arial"/>
      <family val="2"/>
    </font>
    <font>
      <sz val="10"/>
      <color rgb="FF0F3A32"/>
      <name val="Arial"/>
      <family val="2"/>
      <charset val="1"/>
    </font>
    <font>
      <sz val="10"/>
      <color rgb="FF0F3A32"/>
      <name val="Arial"/>
      <family val="2"/>
    </font>
    <font>
      <b/>
      <sz val="10"/>
      <color rgb="FF0F3A32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F3A32"/>
      <name val="DejaVu Sans"/>
      <family val="2"/>
    </font>
    <font>
      <b/>
      <sz val="10"/>
      <color rgb="FF0F3A32"/>
      <name val="맑은 고딕"/>
      <family val="3"/>
      <charset val="129"/>
    </font>
    <font>
      <sz val="10"/>
      <color rgb="FF0F3A32"/>
      <name val="돋움"/>
      <family val="3"/>
      <charset val="129"/>
    </font>
    <font>
      <sz val="10"/>
      <color rgb="FFFFFFFF"/>
      <name val="DejaVu Sans"/>
      <family val="2"/>
    </font>
    <font>
      <sz val="10"/>
      <color rgb="FFFFFFFF"/>
      <name val="Arial"/>
      <family val="2"/>
      <charset val="1"/>
    </font>
    <font>
      <sz val="10"/>
      <color rgb="FF0F3A32"/>
      <name val="Arial "/>
      <charset val="1"/>
    </font>
    <font>
      <sz val="10"/>
      <color rgb="FFFFFFFF"/>
      <name val="Arial "/>
      <charset val="1"/>
    </font>
    <font>
      <sz val="9"/>
      <color rgb="FFFFFFFF"/>
      <name val="맑은 고딕"/>
      <family val="3"/>
      <charset val="129"/>
    </font>
    <font>
      <sz val="10"/>
      <name val="Arial"/>
      <family val="2"/>
    </font>
    <font>
      <sz val="10"/>
      <name val="DejaVu Sans"/>
      <family val="2"/>
    </font>
    <font>
      <b/>
      <sz val="9"/>
      <color rgb="FF0F3A32"/>
      <name val="Arial"/>
      <family val="2"/>
    </font>
    <font>
      <b/>
      <sz val="9"/>
      <color rgb="FF0F3A32"/>
      <name val="맑은 고딕"/>
      <family val="3"/>
      <charset val="129"/>
    </font>
    <font>
      <i/>
      <sz val="10"/>
      <color rgb="FF0F3A32"/>
      <name val="Arial"/>
      <family val="2"/>
    </font>
    <font>
      <b/>
      <i/>
      <u/>
      <sz val="10"/>
      <color rgb="FFFFFFFF"/>
      <name val="Arial"/>
      <family val="2"/>
    </font>
    <font>
      <b/>
      <i/>
      <sz val="10"/>
      <color rgb="FFFFFFFF"/>
      <name val="Arial"/>
      <family val="2"/>
    </font>
    <font>
      <b/>
      <sz val="12"/>
      <color rgb="FFFFFFFF"/>
      <name val="Arial"/>
      <family val="2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rgb="FFFFFFFF"/>
      </patternFill>
    </fill>
    <fill>
      <patternFill patternType="solid">
        <fgColor rgb="FF0F3A32"/>
        <bgColor rgb="FF003366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theme="0"/>
        <bgColor rgb="FFF2F2F2"/>
      </patternFill>
    </fill>
    <fill>
      <patternFill patternType="solid">
        <fgColor rgb="FF1C8F57"/>
        <bgColor rgb="FF008080"/>
      </patternFill>
    </fill>
    <fill>
      <patternFill patternType="solid">
        <fgColor rgb="FF26C260"/>
        <bgColor rgb="FF1C8F57"/>
      </patternFill>
    </fill>
  </fills>
  <borders count="32">
    <border>
      <left/>
      <right/>
      <top/>
      <bottom/>
      <diagonal/>
    </border>
    <border>
      <left/>
      <right/>
      <top style="thin">
        <color rgb="FF993366"/>
      </top>
      <bottom style="thin">
        <color rgb="FF993366"/>
      </bottom>
      <diagonal/>
    </border>
    <border>
      <left/>
      <right/>
      <top style="thin">
        <color rgb="FF000080"/>
      </top>
      <bottom style="thin">
        <color rgb="FF000080"/>
      </bottom>
      <diagonal/>
    </border>
    <border>
      <left style="thin">
        <color rgb="FF26C260"/>
      </left>
      <right/>
      <top style="thin">
        <color rgb="FF26C260"/>
      </top>
      <bottom style="thin">
        <color rgb="FF26C260"/>
      </bottom>
      <diagonal/>
    </border>
    <border>
      <left/>
      <right/>
      <top style="thin">
        <color rgb="FF26C260"/>
      </top>
      <bottom style="thin">
        <color rgb="FF26C260"/>
      </bottom>
      <diagonal/>
    </border>
    <border>
      <left/>
      <right style="thin">
        <color rgb="FF26C260"/>
      </right>
      <top style="thin">
        <color rgb="FF26C260"/>
      </top>
      <bottom style="thin">
        <color rgb="FF26C260"/>
      </bottom>
      <diagonal/>
    </border>
    <border>
      <left style="thin">
        <color rgb="FF26C260"/>
      </left>
      <right style="thin">
        <color rgb="FF26C260"/>
      </right>
      <top style="thin">
        <color rgb="FF26C260"/>
      </top>
      <bottom style="thin">
        <color rgb="FF26C260"/>
      </bottom>
      <diagonal/>
    </border>
    <border>
      <left/>
      <right/>
      <top/>
      <bottom style="thin">
        <color rgb="FF26C260"/>
      </bottom>
      <diagonal/>
    </border>
    <border>
      <left style="thin">
        <color rgb="FF26C260"/>
      </left>
      <right/>
      <top style="thin">
        <color rgb="FF26C260"/>
      </top>
      <bottom style="hair">
        <color rgb="FF26C260"/>
      </bottom>
      <diagonal/>
    </border>
    <border>
      <left/>
      <right/>
      <top style="thin">
        <color rgb="FF26C260"/>
      </top>
      <bottom style="hair">
        <color rgb="FF26C260"/>
      </bottom>
      <diagonal/>
    </border>
    <border>
      <left/>
      <right style="thin">
        <color rgb="FF26C260"/>
      </right>
      <top style="thin">
        <color rgb="FF26C260"/>
      </top>
      <bottom style="hair">
        <color rgb="FF26C260"/>
      </bottom>
      <diagonal/>
    </border>
    <border>
      <left style="thin">
        <color rgb="FF26C260"/>
      </left>
      <right style="thin">
        <color rgb="FF26C260"/>
      </right>
      <top style="thin">
        <color rgb="FF26C260"/>
      </top>
      <bottom/>
      <diagonal/>
    </border>
    <border>
      <left style="thin">
        <color rgb="FF26C260"/>
      </left>
      <right/>
      <top style="hair">
        <color rgb="FF26C260"/>
      </top>
      <bottom style="hair">
        <color rgb="FF26C260"/>
      </bottom>
      <diagonal/>
    </border>
    <border>
      <left/>
      <right/>
      <top style="hair">
        <color rgb="FF26C260"/>
      </top>
      <bottom style="hair">
        <color rgb="FF26C260"/>
      </bottom>
      <diagonal/>
    </border>
    <border>
      <left/>
      <right style="thin">
        <color rgb="FF26C260"/>
      </right>
      <top style="hair">
        <color rgb="FF26C260"/>
      </top>
      <bottom style="hair">
        <color rgb="FF26C260"/>
      </bottom>
      <diagonal/>
    </border>
    <border>
      <left style="dotted">
        <color rgb="FF26C260"/>
      </left>
      <right style="dotted">
        <color rgb="FF26C260"/>
      </right>
      <top style="dotted">
        <color rgb="FF26C260"/>
      </top>
      <bottom style="dotted">
        <color rgb="FF26C260"/>
      </bottom>
      <diagonal/>
    </border>
    <border>
      <left style="thin">
        <color rgb="FF26C260"/>
      </left>
      <right style="thin">
        <color rgb="FF26C260"/>
      </right>
      <top/>
      <bottom style="thin">
        <color rgb="FF26C260"/>
      </bottom>
      <diagonal/>
    </border>
    <border>
      <left style="thin">
        <color rgb="FF26C260"/>
      </left>
      <right/>
      <top style="hair">
        <color rgb="FF26C260"/>
      </top>
      <bottom style="thin">
        <color rgb="FF26C260"/>
      </bottom>
      <diagonal/>
    </border>
    <border>
      <left/>
      <right/>
      <top style="hair">
        <color rgb="FF26C260"/>
      </top>
      <bottom style="thin">
        <color rgb="FF26C260"/>
      </bottom>
      <diagonal/>
    </border>
    <border>
      <left/>
      <right style="thin">
        <color rgb="FF26C260"/>
      </right>
      <top style="hair">
        <color rgb="FF26C260"/>
      </top>
      <bottom style="thin">
        <color rgb="FF26C260"/>
      </bottom>
      <diagonal/>
    </border>
    <border>
      <left/>
      <right/>
      <top style="thin">
        <color rgb="FF26C260"/>
      </top>
      <bottom style="double">
        <color rgb="FF26C260"/>
      </bottom>
      <diagonal/>
    </border>
    <border>
      <left style="thin">
        <color rgb="FF26C260"/>
      </left>
      <right style="thin">
        <color rgb="FF26C260"/>
      </right>
      <top/>
      <bottom/>
      <diagonal/>
    </border>
    <border>
      <left/>
      <right/>
      <top style="thin">
        <color rgb="FF26C260"/>
      </top>
      <bottom/>
      <diagonal/>
    </border>
    <border>
      <left style="dotted">
        <color rgb="FF26C260"/>
      </left>
      <right style="dotted">
        <color rgb="FF26C260"/>
      </right>
      <top/>
      <bottom style="dotted">
        <color rgb="FF26C260"/>
      </bottom>
      <diagonal/>
    </border>
    <border>
      <left style="dotted">
        <color rgb="FF26C260"/>
      </left>
      <right style="dotted">
        <color rgb="FF26C260"/>
      </right>
      <top style="dotted">
        <color rgb="FF26C260"/>
      </top>
      <bottom style="thin">
        <color rgb="FF26C260"/>
      </bottom>
      <diagonal/>
    </border>
    <border>
      <left style="dotted">
        <color rgb="FF26C260"/>
      </left>
      <right style="dotted">
        <color rgb="FF26C260"/>
      </right>
      <top/>
      <bottom style="thin">
        <color rgb="FF26C260"/>
      </bottom>
      <diagonal/>
    </border>
    <border>
      <left style="thin">
        <color rgb="FF26C260"/>
      </left>
      <right/>
      <top/>
      <bottom style="thin">
        <color rgb="FF26C260"/>
      </bottom>
      <diagonal/>
    </border>
    <border>
      <left/>
      <right style="thin">
        <color rgb="FF26C260"/>
      </right>
      <top/>
      <bottom style="thin">
        <color rgb="FF26C260"/>
      </bottom>
      <diagonal/>
    </border>
    <border>
      <left style="thin">
        <color rgb="FF26C260"/>
      </left>
      <right/>
      <top style="thin">
        <color rgb="FF26C260"/>
      </top>
      <bottom/>
      <diagonal/>
    </border>
    <border>
      <left/>
      <right style="thin">
        <color rgb="FF26C260"/>
      </right>
      <top style="thin">
        <color rgb="FF26C260"/>
      </top>
      <bottom/>
      <diagonal/>
    </border>
    <border>
      <left style="thin">
        <color rgb="FF26C260"/>
      </left>
      <right/>
      <top/>
      <bottom/>
      <diagonal/>
    </border>
    <border>
      <left/>
      <right style="thin">
        <color rgb="FF26C260"/>
      </right>
      <top/>
      <bottom/>
      <diagonal/>
    </border>
  </borders>
  <cellStyleXfs count="36">
    <xf numFmtId="0" fontId="0" fillId="0" borderId="0">
      <alignment vertical="center"/>
    </xf>
    <xf numFmtId="0" fontId="1" fillId="0" borderId="0"/>
    <xf numFmtId="176" fontId="67" fillId="0" borderId="0">
      <alignment vertical="center"/>
    </xf>
    <xf numFmtId="49" fontId="2" fillId="0" borderId="0">
      <alignment horizontal="center" vertical="top"/>
    </xf>
    <xf numFmtId="177" fontId="2" fillId="0" borderId="0">
      <alignment horizontal="right" vertical="top"/>
    </xf>
    <xf numFmtId="178" fontId="2" fillId="0" borderId="0">
      <alignment horizontal="right" vertical="top"/>
    </xf>
    <xf numFmtId="179" fontId="2" fillId="0" borderId="0">
      <alignment horizontal="right" vertical="top"/>
    </xf>
    <xf numFmtId="180" fontId="2" fillId="0" borderId="0">
      <alignment horizontal="right" vertical="top"/>
    </xf>
    <xf numFmtId="0" fontId="3" fillId="0" borderId="0">
      <alignment horizontal="left"/>
    </xf>
    <xf numFmtId="49" fontId="4" fillId="0" borderId="1">
      <alignment horizontal="right" wrapText="1"/>
    </xf>
    <xf numFmtId="0" fontId="5" fillId="0" borderId="2">
      <alignment horizontal="right"/>
    </xf>
    <xf numFmtId="0" fontId="6" fillId="0" borderId="1">
      <alignment horizontal="right" wrapText="1"/>
    </xf>
    <xf numFmtId="0" fontId="7" fillId="0" borderId="0">
      <alignment horizontal="center" wrapText="1"/>
    </xf>
    <xf numFmtId="181" fontId="8" fillId="0" borderId="1">
      <alignment horizontal="left"/>
    </xf>
    <xf numFmtId="181" fontId="9" fillId="0" borderId="2">
      <alignment horizontal="left"/>
    </xf>
    <xf numFmtId="181" fontId="2" fillId="0" borderId="0">
      <alignment horizontal="center"/>
    </xf>
    <xf numFmtId="181" fontId="10" fillId="0" borderId="1">
      <alignment horizontal="center"/>
    </xf>
    <xf numFmtId="181" fontId="11" fillId="0" borderId="2">
      <alignment horizontal="center"/>
    </xf>
    <xf numFmtId="176" fontId="2" fillId="0" borderId="1">
      <alignment horizontal="right" vertical="top"/>
    </xf>
    <xf numFmtId="181" fontId="12" fillId="0" borderId="0"/>
    <xf numFmtId="181" fontId="13" fillId="0" borderId="0"/>
    <xf numFmtId="181" fontId="14" fillId="0" borderId="0"/>
    <xf numFmtId="181" fontId="1" fillId="0" borderId="0"/>
    <xf numFmtId="181" fontId="15" fillId="0" borderId="0">
      <alignment horizontal="left" vertical="top"/>
    </xf>
    <xf numFmtId="181" fontId="16" fillId="0" borderId="0">
      <alignment horizontal="left" vertical="top"/>
    </xf>
    <xf numFmtId="0" fontId="2" fillId="0" borderId="0">
      <alignment horizontal="left" vertical="top" wrapText="1"/>
    </xf>
    <xf numFmtId="0" fontId="17" fillId="0" borderId="0">
      <alignment horizontal="left" vertical="top" wrapText="1"/>
    </xf>
    <xf numFmtId="0" fontId="1" fillId="0" borderId="0"/>
    <xf numFmtId="0" fontId="18" fillId="0" borderId="0"/>
    <xf numFmtId="0" fontId="67" fillId="0" borderId="0">
      <alignment vertical="center"/>
    </xf>
    <xf numFmtId="0" fontId="19" fillId="0" borderId="0"/>
    <xf numFmtId="0" fontId="20" fillId="0" borderId="0"/>
    <xf numFmtId="0" fontId="21" fillId="0" borderId="0"/>
    <xf numFmtId="9" fontId="67" fillId="0" borderId="0">
      <alignment vertical="center"/>
    </xf>
    <xf numFmtId="176" fontId="67" fillId="0" borderId="0">
      <alignment vertical="center"/>
    </xf>
    <xf numFmtId="0" fontId="1" fillId="0" borderId="0"/>
  </cellStyleXfs>
  <cellXfs count="272">
    <xf numFmtId="0" fontId="0" fillId="0" borderId="0" xfId="0">
      <alignment vertical="center"/>
    </xf>
    <xf numFmtId="0" fontId="32" fillId="6" borderId="16" xfId="0" applyFont="1" applyFill="1" applyBorder="1" applyAlignment="1">
      <alignment horizontal="center" vertical="center" wrapText="1" readingOrder="1"/>
    </xf>
    <xf numFmtId="0" fontId="32" fillId="6" borderId="5" xfId="0" applyFont="1" applyFill="1" applyBorder="1" applyAlignment="1">
      <alignment horizontal="center" wrapText="1" readingOrder="1"/>
    </xf>
    <xf numFmtId="0" fontId="44" fillId="6" borderId="7" xfId="0" applyFont="1" applyFill="1" applyBorder="1" applyAlignment="1">
      <alignment horizontal="center" vertical="center"/>
    </xf>
    <xf numFmtId="0" fontId="34" fillId="3" borderId="7" xfId="0" applyFont="1" applyFill="1" applyBorder="1" applyAlignment="1">
      <alignment horizontal="center"/>
    </xf>
    <xf numFmtId="0" fontId="32" fillId="3" borderId="6" xfId="0" applyFont="1" applyFill="1" applyBorder="1" applyAlignment="1">
      <alignment horizontal="center"/>
    </xf>
    <xf numFmtId="0" fontId="22" fillId="0" borderId="0" xfId="0" applyFont="1" applyAlignment="1"/>
    <xf numFmtId="0" fontId="22" fillId="2" borderId="0" xfId="0" applyFont="1" applyFill="1" applyAlignment="1"/>
    <xf numFmtId="0" fontId="23" fillId="0" borderId="0" xfId="0" applyFont="1" applyAlignment="1"/>
    <xf numFmtId="0" fontId="24" fillId="3" borderId="0" xfId="0" applyFont="1" applyFill="1" applyAlignment="1"/>
    <xf numFmtId="0" fontId="25" fillId="3" borderId="3" xfId="0" applyFont="1" applyFill="1" applyBorder="1" applyAlignment="1"/>
    <xf numFmtId="0" fontId="24" fillId="3" borderId="4" xfId="0" applyFont="1" applyFill="1" applyBorder="1" applyAlignment="1"/>
    <xf numFmtId="0" fontId="24" fillId="3" borderId="5" xfId="0" applyFont="1" applyFill="1" applyBorder="1" applyAlignment="1"/>
    <xf numFmtId="0" fontId="26" fillId="3" borderId="0" xfId="0" applyFont="1" applyFill="1" applyAlignment="1"/>
    <xf numFmtId="0" fontId="27" fillId="0" borderId="0" xfId="0" applyFont="1" applyAlignment="1"/>
    <xf numFmtId="0" fontId="24" fillId="3" borderId="3" xfId="0" applyFont="1" applyFill="1" applyBorder="1" applyAlignment="1"/>
    <xf numFmtId="0" fontId="28" fillId="0" borderId="0" xfId="0" applyFont="1" applyAlignment="1"/>
    <xf numFmtId="182" fontId="28" fillId="0" borderId="3" xfId="0" applyNumberFormat="1" applyFont="1" applyBorder="1" applyAlignment="1"/>
    <xf numFmtId="0" fontId="28" fillId="0" borderId="4" xfId="0" applyFont="1" applyBorder="1" applyAlignment="1"/>
    <xf numFmtId="0" fontId="28" fillId="0" borderId="5" xfId="0" applyFont="1" applyBorder="1" applyAlignment="1"/>
    <xf numFmtId="0" fontId="29" fillId="0" borderId="0" xfId="0" applyFont="1" applyAlignment="1"/>
    <xf numFmtId="0" fontId="30" fillId="0" borderId="3" xfId="0" applyFont="1" applyBorder="1" applyAlignment="1"/>
    <xf numFmtId="0" fontId="33" fillId="0" borderId="0" xfId="0" applyFont="1" applyAlignment="1"/>
    <xf numFmtId="0" fontId="22" fillId="4" borderId="0" xfId="0" applyFont="1" applyFill="1" applyAlignment="1"/>
    <xf numFmtId="0" fontId="34" fillId="3" borderId="7" xfId="0" applyFont="1" applyFill="1" applyBorder="1" applyAlignment="1">
      <alignment horizontal="center"/>
    </xf>
    <xf numFmtId="0" fontId="35" fillId="2" borderId="0" xfId="0" applyFont="1" applyFill="1" applyAlignment="1"/>
    <xf numFmtId="0" fontId="36" fillId="0" borderId="0" xfId="0" applyFont="1" applyAlignment="1"/>
    <xf numFmtId="0" fontId="36" fillId="0" borderId="6" xfId="0" applyFont="1" applyBorder="1" applyAlignment="1">
      <alignment horizontal="center"/>
    </xf>
    <xf numFmtId="0" fontId="37" fillId="0" borderId="8" xfId="0" applyFont="1" applyBorder="1" applyAlignment="1"/>
    <xf numFmtId="0" fontId="36" fillId="0" borderId="9" xfId="0" applyFont="1" applyBorder="1" applyAlignment="1"/>
    <xf numFmtId="0" fontId="36" fillId="0" borderId="10" xfId="0" applyFont="1" applyBorder="1" applyAlignment="1"/>
    <xf numFmtId="0" fontId="35" fillId="0" borderId="0" xfId="0" applyFont="1" applyAlignment="1"/>
    <xf numFmtId="0" fontId="36" fillId="0" borderId="11" xfId="0" applyFont="1" applyBorder="1" applyAlignment="1">
      <alignment horizontal="center"/>
    </xf>
    <xf numFmtId="0" fontId="36" fillId="0" borderId="12" xfId="0" applyFont="1" applyBorder="1" applyAlignment="1"/>
    <xf numFmtId="0" fontId="36" fillId="0" borderId="13" xfId="0" applyFont="1" applyBorder="1" applyAlignment="1"/>
    <xf numFmtId="0" fontId="36" fillId="0" borderId="14" xfId="0" applyFont="1" applyBorder="1" applyAlignment="1"/>
    <xf numFmtId="0" fontId="36" fillId="0" borderId="15" xfId="0" applyFont="1" applyBorder="1" applyAlignment="1">
      <alignment horizontal="center"/>
    </xf>
    <xf numFmtId="0" fontId="37" fillId="0" borderId="12" xfId="0" applyFont="1" applyBorder="1" applyAlignment="1"/>
    <xf numFmtId="0" fontId="36" fillId="0" borderId="16" xfId="0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6" fillId="0" borderId="12" xfId="0" applyFont="1" applyBorder="1" applyAlignment="1">
      <alignment horizontal="left"/>
    </xf>
    <xf numFmtId="0" fontId="35" fillId="4" borderId="0" xfId="0" applyFont="1" applyFill="1" applyAlignment="1"/>
    <xf numFmtId="0" fontId="40" fillId="0" borderId="6" xfId="0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18" xfId="0" applyFont="1" applyBorder="1" applyAlignment="1"/>
    <xf numFmtId="0" fontId="41" fillId="0" borderId="19" xfId="0" applyFont="1" applyBorder="1" applyAlignment="1"/>
    <xf numFmtId="0" fontId="42" fillId="5" borderId="0" xfId="0" applyFont="1" applyFill="1">
      <alignment vertical="center"/>
    </xf>
    <xf numFmtId="0" fontId="43" fillId="3" borderId="0" xfId="0" applyFont="1" applyFill="1">
      <alignment vertical="center"/>
    </xf>
    <xf numFmtId="0" fontId="32" fillId="3" borderId="0" xfId="0" applyFont="1" applyFill="1">
      <alignment vertical="center"/>
    </xf>
    <xf numFmtId="0" fontId="44" fillId="3" borderId="0" xfId="0" applyFont="1" applyFill="1">
      <alignment vertical="center"/>
    </xf>
    <xf numFmtId="0" fontId="32" fillId="3" borderId="0" xfId="0" applyFont="1" applyFill="1" applyAlignment="1">
      <alignment horizontal="right" vertical="center"/>
    </xf>
    <xf numFmtId="0" fontId="45" fillId="0" borderId="0" xfId="0" applyFont="1">
      <alignment vertical="center"/>
    </xf>
    <xf numFmtId="3" fontId="46" fillId="0" borderId="0" xfId="0" applyNumberFormat="1" applyFont="1">
      <alignment vertical="center"/>
    </xf>
    <xf numFmtId="183" fontId="46" fillId="0" borderId="0" xfId="0" applyNumberFormat="1" applyFont="1">
      <alignment vertical="center"/>
    </xf>
    <xf numFmtId="183" fontId="45" fillId="0" borderId="0" xfId="0" applyNumberFormat="1" applyFont="1">
      <alignment vertical="center"/>
    </xf>
    <xf numFmtId="0" fontId="45" fillId="0" borderId="0" xfId="0" applyFont="1" applyAlignment="1">
      <alignment horizontal="right" vertical="center"/>
    </xf>
    <xf numFmtId="0" fontId="47" fillId="0" borderId="0" xfId="0" applyFont="1" applyAlignment="1"/>
    <xf numFmtId="0" fontId="26" fillId="6" borderId="7" xfId="0" applyFont="1" applyFill="1" applyBorder="1" applyAlignment="1"/>
    <xf numFmtId="0" fontId="44" fillId="6" borderId="7" xfId="0" applyFont="1" applyFill="1" applyBorder="1" applyAlignment="1"/>
    <xf numFmtId="0" fontId="48" fillId="0" borderId="0" xfId="0" applyFont="1">
      <alignment vertical="center"/>
    </xf>
    <xf numFmtId="184" fontId="48" fillId="0" borderId="0" xfId="0" applyNumberFormat="1" applyFont="1" applyAlignment="1">
      <alignment horizontal="center" vertical="center"/>
    </xf>
    <xf numFmtId="0" fontId="48" fillId="0" borderId="0" xfId="0" applyFont="1" applyAlignment="1"/>
    <xf numFmtId="0" fontId="48" fillId="0" borderId="0" xfId="0" applyFont="1" applyAlignment="1">
      <alignment horizontal="center"/>
    </xf>
    <xf numFmtId="49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182" fontId="28" fillId="0" borderId="6" xfId="0" applyNumberFormat="1" applyFont="1" applyBorder="1" applyAlignment="1">
      <alignment horizontal="center"/>
    </xf>
    <xf numFmtId="49" fontId="28" fillId="0" borderId="6" xfId="0" applyNumberFormat="1" applyFont="1" applyBorder="1" applyAlignment="1">
      <alignment horizontal="center"/>
    </xf>
    <xf numFmtId="183" fontId="28" fillId="0" borderId="6" xfId="0" applyNumberFormat="1" applyFont="1" applyBorder="1" applyAlignment="1">
      <alignment horizontal="center"/>
    </xf>
    <xf numFmtId="0" fontId="26" fillId="7" borderId="20" xfId="0" applyFont="1" applyFill="1" applyBorder="1" applyAlignment="1"/>
    <xf numFmtId="0" fontId="44" fillId="7" borderId="20" xfId="0" applyFont="1" applyFill="1" applyBorder="1" applyAlignment="1"/>
    <xf numFmtId="9" fontId="24" fillId="7" borderId="20" xfId="0" applyNumberFormat="1" applyFont="1" applyFill="1" applyBorder="1" applyAlignment="1">
      <alignment horizontal="center"/>
    </xf>
    <xf numFmtId="0" fontId="44" fillId="7" borderId="20" xfId="0" applyFont="1" applyFill="1" applyBorder="1" applyAlignment="1">
      <alignment horizontal="center"/>
    </xf>
    <xf numFmtId="9" fontId="28" fillId="0" borderId="6" xfId="0" applyNumberFormat="1" applyFont="1" applyBorder="1" applyAlignment="1">
      <alignment horizontal="center"/>
    </xf>
    <xf numFmtId="9" fontId="28" fillId="0" borderId="0" xfId="0" applyNumberFormat="1" applyFont="1" applyAlignment="1">
      <alignment horizontal="center"/>
    </xf>
    <xf numFmtId="0" fontId="32" fillId="6" borderId="7" xfId="0" applyFont="1" applyFill="1" applyBorder="1" applyAlignment="1"/>
    <xf numFmtId="0" fontId="44" fillId="6" borderId="7" xfId="0" applyFont="1" applyFill="1" applyBorder="1" applyAlignment="1">
      <alignment horizontal="right" vertical="center"/>
    </xf>
    <xf numFmtId="0" fontId="30" fillId="0" borderId="4" xfId="0" applyFont="1" applyBorder="1" applyAlignment="1">
      <alignment horizontal="left"/>
    </xf>
    <xf numFmtId="0" fontId="48" fillId="0" borderId="4" xfId="0" applyFont="1" applyBorder="1">
      <alignment vertical="center"/>
    </xf>
    <xf numFmtId="0" fontId="48" fillId="0" borderId="7" xfId="0" applyFont="1" applyBorder="1">
      <alignment vertical="center"/>
    </xf>
    <xf numFmtId="183" fontId="28" fillId="0" borderId="16" xfId="0" applyNumberFormat="1" applyFont="1" applyBorder="1" applyAlignment="1">
      <alignment horizontal="center"/>
    </xf>
    <xf numFmtId="0" fontId="30" fillId="0" borderId="0" xfId="0" applyFont="1" applyAlignment="1">
      <alignment horizontal="left" vertical="center" indent="1"/>
    </xf>
    <xf numFmtId="183" fontId="28" fillId="0" borderId="11" xfId="0" applyNumberFormat="1" applyFont="1" applyBorder="1" applyAlignment="1">
      <alignment horizontal="center"/>
    </xf>
    <xf numFmtId="0" fontId="51" fillId="0" borderId="4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48" fillId="0" borderId="5" xfId="0" applyFont="1" applyBorder="1">
      <alignment vertical="center"/>
    </xf>
    <xf numFmtId="0" fontId="30" fillId="0" borderId="0" xfId="0" applyFont="1" applyAlignment="1">
      <alignment horizontal="left" vertical="center"/>
    </xf>
    <xf numFmtId="183" fontId="28" fillId="0" borderId="21" xfId="0" applyNumberFormat="1" applyFont="1" applyBorder="1" applyAlignment="1">
      <alignment horizontal="center"/>
    </xf>
    <xf numFmtId="0" fontId="52" fillId="0" borderId="4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30" fillId="0" borderId="0" xfId="0" applyFont="1" applyAlignment="1">
      <alignment horizontal="left" vertical="center" indent="2"/>
    </xf>
    <xf numFmtId="0" fontId="34" fillId="7" borderId="20" xfId="0" applyFont="1" applyFill="1" applyBorder="1" applyAlignment="1">
      <alignment horizontal="left" vertical="center"/>
    </xf>
    <xf numFmtId="0" fontId="44" fillId="7" borderId="20" xfId="0" applyFont="1" applyFill="1" applyBorder="1">
      <alignment vertical="center"/>
    </xf>
    <xf numFmtId="183" fontId="24" fillId="7" borderId="20" xfId="0" applyNumberFormat="1" applyFont="1" applyFill="1" applyBorder="1" applyAlignment="1">
      <alignment horizontal="center"/>
    </xf>
    <xf numFmtId="0" fontId="27" fillId="0" borderId="0" xfId="0" applyFont="1" applyAlignment="1">
      <alignment horizontal="left" vertical="center" indent="1"/>
    </xf>
    <xf numFmtId="0" fontId="25" fillId="6" borderId="7" xfId="0" applyFont="1" applyFill="1" applyBorder="1">
      <alignment vertical="center"/>
    </xf>
    <xf numFmtId="0" fontId="51" fillId="0" borderId="4" xfId="0" applyFont="1" applyBorder="1" applyAlignment="1">
      <alignment horizontal="left"/>
    </xf>
    <xf numFmtId="0" fontId="30" fillId="0" borderId="0" xfId="0" applyFont="1" applyAlignment="1">
      <alignment horizontal="left" indent="1"/>
    </xf>
    <xf numFmtId="183" fontId="52" fillId="0" borderId="6" xfId="0" applyNumberFormat="1" applyFont="1" applyBorder="1" applyAlignment="1">
      <alignment horizontal="center"/>
    </xf>
    <xf numFmtId="0" fontId="51" fillId="0" borderId="7" xfId="0" applyFont="1" applyBorder="1" applyAlignment="1">
      <alignment horizontal="left"/>
    </xf>
    <xf numFmtId="0" fontId="34" fillId="7" borderId="20" xfId="0" applyFont="1" applyFill="1" applyBorder="1" applyAlignment="1">
      <alignment horizontal="left"/>
    </xf>
    <xf numFmtId="183" fontId="25" fillId="7" borderId="20" xfId="0" applyNumberFormat="1" applyFont="1" applyFill="1" applyBorder="1" applyAlignment="1">
      <alignment horizontal="center"/>
    </xf>
    <xf numFmtId="0" fontId="53" fillId="0" borderId="22" xfId="0" applyFont="1" applyBorder="1">
      <alignment vertical="center"/>
    </xf>
    <xf numFmtId="0" fontId="47" fillId="0" borderId="22" xfId="0" applyFont="1" applyBorder="1">
      <alignment vertical="center"/>
    </xf>
    <xf numFmtId="0" fontId="32" fillId="6" borderId="7" xfId="0" applyFont="1" applyFill="1" applyBorder="1">
      <alignment vertical="center"/>
    </xf>
    <xf numFmtId="183" fontId="36" fillId="0" borderId="15" xfId="0" applyNumberFormat="1" applyFont="1" applyBorder="1" applyAlignment="1">
      <alignment horizontal="center"/>
    </xf>
    <xf numFmtId="183" fontId="28" fillId="0" borderId="0" xfId="0" applyNumberFormat="1" applyFont="1" applyAlignment="1">
      <alignment horizontal="center"/>
    </xf>
    <xf numFmtId="0" fontId="47" fillId="0" borderId="7" xfId="0" applyFont="1" applyBorder="1">
      <alignment vertical="center"/>
    </xf>
    <xf numFmtId="9" fontId="47" fillId="0" borderId="22" xfId="0" applyNumberFormat="1" applyFont="1" applyBorder="1">
      <alignment vertical="center"/>
    </xf>
    <xf numFmtId="9" fontId="47" fillId="0" borderId="0" xfId="0" applyNumberFormat="1" applyFont="1">
      <alignment vertical="center"/>
    </xf>
    <xf numFmtId="9" fontId="44" fillId="6" borderId="7" xfId="0" applyNumberFormat="1" applyFont="1" applyFill="1" applyBorder="1">
      <alignment vertical="center"/>
    </xf>
    <xf numFmtId="0" fontId="30" fillId="0" borderId="0" xfId="0" applyFont="1">
      <alignment vertical="center"/>
    </xf>
    <xf numFmtId="9" fontId="48" fillId="0" borderId="0" xfId="0" applyNumberFormat="1" applyFont="1">
      <alignment vertical="center"/>
    </xf>
    <xf numFmtId="183" fontId="48" fillId="0" borderId="0" xfId="0" applyNumberFormat="1" applyFont="1">
      <alignment vertical="center"/>
    </xf>
    <xf numFmtId="183" fontId="28" fillId="0" borderId="6" xfId="0" applyNumberFormat="1" applyFont="1" applyBorder="1" applyAlignment="1">
      <alignment horizontal="right"/>
    </xf>
    <xf numFmtId="183" fontId="28" fillId="0" borderId="0" xfId="0" applyNumberFormat="1" applyFont="1" applyAlignment="1">
      <alignment horizontal="right"/>
    </xf>
    <xf numFmtId="185" fontId="36" fillId="0" borderId="15" xfId="0" applyNumberFormat="1" applyFont="1" applyBorder="1" applyAlignment="1">
      <alignment horizontal="center"/>
    </xf>
    <xf numFmtId="185" fontId="48" fillId="0" borderId="0" xfId="0" applyNumberFormat="1" applyFont="1">
      <alignment vertical="center"/>
    </xf>
    <xf numFmtId="9" fontId="28" fillId="0" borderId="6" xfId="0" applyNumberFormat="1" applyFont="1" applyBorder="1" applyAlignment="1">
      <alignment horizontal="right"/>
    </xf>
    <xf numFmtId="9" fontId="28" fillId="0" borderId="0" xfId="0" applyNumberFormat="1" applyFont="1" applyAlignment="1">
      <alignment horizontal="right"/>
    </xf>
    <xf numFmtId="185" fontId="28" fillId="0" borderId="6" xfId="0" applyNumberFormat="1" applyFont="1" applyBorder="1" applyAlignment="1">
      <alignment horizontal="right"/>
    </xf>
    <xf numFmtId="185" fontId="28" fillId="0" borderId="0" xfId="0" applyNumberFormat="1" applyFont="1" applyAlignment="1">
      <alignment horizontal="right"/>
    </xf>
    <xf numFmtId="0" fontId="44" fillId="6" borderId="7" xfId="0" applyFont="1" applyFill="1" applyBorder="1">
      <alignment vertical="center"/>
    </xf>
    <xf numFmtId="0" fontId="48" fillId="0" borderId="7" xfId="0" applyFont="1" applyBorder="1" applyAlignment="1">
      <alignment horizontal="center"/>
    </xf>
    <xf numFmtId="183" fontId="48" fillId="0" borderId="7" xfId="0" applyNumberFormat="1" applyFont="1" applyBorder="1">
      <alignment vertical="center"/>
    </xf>
    <xf numFmtId="0" fontId="30" fillId="0" borderId="0" xfId="0" applyFont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30" fillId="0" borderId="7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183" fontId="36" fillId="0" borderId="23" xfId="0" applyNumberFormat="1" applyFont="1" applyBorder="1" applyAlignment="1">
      <alignment horizontal="center"/>
    </xf>
    <xf numFmtId="183" fontId="36" fillId="0" borderId="24" xfId="0" applyNumberFormat="1" applyFont="1" applyBorder="1" applyAlignment="1">
      <alignment horizontal="center"/>
    </xf>
    <xf numFmtId="0" fontId="51" fillId="0" borderId="0" xfId="0" applyFont="1">
      <alignment vertical="center"/>
    </xf>
    <xf numFmtId="185" fontId="48" fillId="0" borderId="6" xfId="0" applyNumberFormat="1" applyFont="1" applyBorder="1">
      <alignment vertical="center"/>
    </xf>
    <xf numFmtId="0" fontId="30" fillId="0" borderId="7" xfId="0" applyFont="1" applyBorder="1">
      <alignment vertical="center"/>
    </xf>
    <xf numFmtId="183" fontId="48" fillId="0" borderId="6" xfId="0" applyNumberFormat="1" applyFont="1" applyBorder="1">
      <alignment vertical="center"/>
    </xf>
    <xf numFmtId="0" fontId="24" fillId="6" borderId="7" xfId="0" applyFont="1" applyFill="1" applyBorder="1">
      <alignment vertical="center"/>
    </xf>
    <xf numFmtId="0" fontId="28" fillId="0" borderId="0" xfId="0" applyFont="1">
      <alignment vertical="center"/>
    </xf>
    <xf numFmtId="0" fontId="55" fillId="0" borderId="0" xfId="0" applyFont="1" applyAlignment="1">
      <alignment horizontal="center"/>
    </xf>
    <xf numFmtId="183" fontId="47" fillId="0" borderId="0" xfId="0" applyNumberFormat="1" applyFont="1">
      <alignment vertical="center"/>
    </xf>
    <xf numFmtId="0" fontId="48" fillId="0" borderId="6" xfId="0" applyFont="1" applyBorder="1">
      <alignment vertical="center"/>
    </xf>
    <xf numFmtId="183" fontId="56" fillId="0" borderId="16" xfId="0" applyNumberFormat="1" applyFont="1" applyBorder="1" applyAlignment="1">
      <alignment horizontal="center"/>
    </xf>
    <xf numFmtId="183" fontId="56" fillId="0" borderId="6" xfId="0" applyNumberFormat="1" applyFont="1" applyBorder="1">
      <alignment vertical="center"/>
    </xf>
    <xf numFmtId="183" fontId="56" fillId="0" borderId="6" xfId="0" applyNumberFormat="1" applyFont="1" applyBorder="1" applyAlignment="1">
      <alignment horizontal="center"/>
    </xf>
    <xf numFmtId="183" fontId="57" fillId="7" borderId="20" xfId="0" applyNumberFormat="1" applyFont="1" applyFill="1" applyBorder="1" applyAlignment="1">
      <alignment horizontal="center"/>
    </xf>
    <xf numFmtId="183" fontId="36" fillId="0" borderId="16" xfId="0" applyNumberFormat="1" applyFont="1" applyBorder="1" applyAlignment="1">
      <alignment horizontal="center"/>
    </xf>
    <xf numFmtId="183" fontId="58" fillId="7" borderId="20" xfId="0" applyNumberFormat="1" applyFont="1" applyFill="1" applyBorder="1" applyAlignment="1">
      <alignment horizontal="center"/>
    </xf>
    <xf numFmtId="0" fontId="48" fillId="0" borderId="22" xfId="0" applyFont="1" applyBorder="1">
      <alignment vertical="center"/>
    </xf>
    <xf numFmtId="0" fontId="48" fillId="0" borderId="22" xfId="0" applyFont="1" applyBorder="1" applyAlignment="1">
      <alignment horizontal="center"/>
    </xf>
    <xf numFmtId="183" fontId="48" fillId="0" borderId="22" xfId="0" applyNumberFormat="1" applyFont="1" applyBorder="1">
      <alignment vertical="center"/>
    </xf>
    <xf numFmtId="0" fontId="61" fillId="0" borderId="3" xfId="0" applyFont="1" applyBorder="1" applyAlignment="1"/>
    <xf numFmtId="0" fontId="45" fillId="0" borderId="4" xfId="0" applyFont="1" applyBorder="1">
      <alignment vertical="center"/>
    </xf>
    <xf numFmtId="0" fontId="48" fillId="0" borderId="4" xfId="0" applyFont="1" applyBorder="1" applyAlignment="1">
      <alignment horizontal="center"/>
    </xf>
    <xf numFmtId="183" fontId="62" fillId="0" borderId="4" xfId="0" applyNumberFormat="1" applyFont="1" applyBorder="1" applyAlignment="1">
      <alignment horizontal="right"/>
    </xf>
    <xf numFmtId="183" fontId="62" fillId="0" borderId="5" xfId="0" applyNumberFormat="1" applyFont="1" applyBorder="1" applyAlignment="1">
      <alignment horizontal="right"/>
    </xf>
    <xf numFmtId="183" fontId="62" fillId="0" borderId="0" xfId="0" applyNumberFormat="1" applyFont="1" applyAlignment="1">
      <alignment horizontal="right"/>
    </xf>
    <xf numFmtId="0" fontId="63" fillId="0" borderId="0" xfId="0" applyFont="1">
      <alignment vertical="center"/>
    </xf>
    <xf numFmtId="183" fontId="63" fillId="0" borderId="0" xfId="0" applyNumberFormat="1" applyFont="1" applyAlignment="1">
      <alignment horizontal="right" vertical="center"/>
    </xf>
    <xf numFmtId="186" fontId="48" fillId="0" borderId="7" xfId="0" applyNumberFormat="1" applyFont="1" applyBorder="1">
      <alignment vertical="center"/>
    </xf>
    <xf numFmtId="186" fontId="48" fillId="0" borderId="0" xfId="0" applyNumberFormat="1" applyFont="1">
      <alignment vertical="center"/>
    </xf>
    <xf numFmtId="0" fontId="48" fillId="0" borderId="22" xfId="0" applyFont="1" applyBorder="1" applyAlignment="1"/>
    <xf numFmtId="185" fontId="48" fillId="0" borderId="22" xfId="0" applyNumberFormat="1" applyFont="1" applyBorder="1">
      <alignment vertical="center"/>
    </xf>
    <xf numFmtId="0" fontId="53" fillId="0" borderId="0" xfId="0" applyFont="1">
      <alignment vertical="center"/>
    </xf>
    <xf numFmtId="183" fontId="36" fillId="0" borderId="25" xfId="0" applyNumberFormat="1" applyFont="1" applyBorder="1" applyAlignment="1">
      <alignment horizontal="center"/>
    </xf>
    <xf numFmtId="9" fontId="36" fillId="0" borderId="15" xfId="0" applyNumberFormat="1" applyFont="1" applyBorder="1" applyAlignment="1">
      <alignment horizontal="center"/>
    </xf>
    <xf numFmtId="9" fontId="48" fillId="0" borderId="6" xfId="0" applyNumberFormat="1" applyFont="1" applyBorder="1">
      <alignment vertical="center"/>
    </xf>
    <xf numFmtId="3" fontId="64" fillId="3" borderId="0" xfId="0" applyNumberFormat="1" applyFont="1" applyFill="1">
      <alignment vertical="center"/>
    </xf>
    <xf numFmtId="183" fontId="65" fillId="3" borderId="0" xfId="0" applyNumberFormat="1" applyFont="1" applyFill="1">
      <alignment vertical="center"/>
    </xf>
    <xf numFmtId="183" fontId="32" fillId="3" borderId="0" xfId="0" applyNumberFormat="1" applyFont="1" applyFill="1">
      <alignment vertical="center"/>
    </xf>
    <xf numFmtId="9" fontId="44" fillId="7" borderId="20" xfId="0" applyNumberFormat="1" applyFont="1" applyFill="1" applyBorder="1">
      <alignment vertical="center"/>
    </xf>
    <xf numFmtId="0" fontId="48" fillId="0" borderId="26" xfId="0" applyFont="1" applyBorder="1">
      <alignment vertical="center"/>
    </xf>
    <xf numFmtId="9" fontId="48" fillId="0" borderId="27" xfId="0" applyNumberFormat="1" applyFont="1" applyBorder="1">
      <alignment vertical="center"/>
    </xf>
    <xf numFmtId="0" fontId="45" fillId="0" borderId="28" xfId="0" applyFont="1" applyBorder="1">
      <alignment vertical="center"/>
    </xf>
    <xf numFmtId="0" fontId="45" fillId="0" borderId="22" xfId="0" applyFont="1" applyBorder="1">
      <alignment vertical="center"/>
    </xf>
    <xf numFmtId="183" fontId="45" fillId="0" borderId="22" xfId="0" applyNumberFormat="1" applyFont="1" applyBorder="1">
      <alignment vertical="center"/>
    </xf>
    <xf numFmtId="183" fontId="45" fillId="0" borderId="28" xfId="0" applyNumberFormat="1" applyFont="1" applyBorder="1">
      <alignment vertical="center"/>
    </xf>
    <xf numFmtId="183" fontId="45" fillId="0" borderId="29" xfId="0" applyNumberFormat="1" applyFont="1" applyBorder="1">
      <alignment vertical="center"/>
    </xf>
    <xf numFmtId="0" fontId="48" fillId="0" borderId="30" xfId="0" applyFont="1" applyBorder="1" applyAlignment="1">
      <alignment horizontal="left" vertical="center" indent="1"/>
    </xf>
    <xf numFmtId="185" fontId="48" fillId="0" borderId="30" xfId="0" applyNumberFormat="1" applyFont="1" applyBorder="1">
      <alignment vertical="center"/>
    </xf>
    <xf numFmtId="185" fontId="48" fillId="0" borderId="31" xfId="0" applyNumberFormat="1" applyFont="1" applyBorder="1">
      <alignment vertical="center"/>
    </xf>
    <xf numFmtId="0" fontId="45" fillId="0" borderId="26" xfId="0" applyFont="1" applyBorder="1">
      <alignment vertical="center"/>
    </xf>
    <xf numFmtId="0" fontId="45" fillId="0" borderId="7" xfId="0" applyFont="1" applyBorder="1">
      <alignment vertical="center"/>
    </xf>
    <xf numFmtId="183" fontId="45" fillId="0" borderId="7" xfId="0" applyNumberFormat="1" applyFont="1" applyBorder="1">
      <alignment vertical="center"/>
    </xf>
    <xf numFmtId="183" fontId="45" fillId="0" borderId="26" xfId="0" applyNumberFormat="1" applyFont="1" applyBorder="1">
      <alignment vertical="center"/>
    </xf>
    <xf numFmtId="183" fontId="45" fillId="0" borderId="27" xfId="0" applyNumberFormat="1" applyFont="1" applyBorder="1">
      <alignment vertical="center"/>
    </xf>
    <xf numFmtId="0" fontId="48" fillId="0" borderId="26" xfId="0" applyFont="1" applyBorder="1" applyAlignment="1">
      <alignment horizontal="left" vertical="center" indent="1"/>
    </xf>
    <xf numFmtId="185" fontId="48" fillId="0" borderId="7" xfId="0" applyNumberFormat="1" applyFont="1" applyBorder="1">
      <alignment vertical="center"/>
    </xf>
    <xf numFmtId="185" fontId="48" fillId="0" borderId="26" xfId="0" applyNumberFormat="1" applyFont="1" applyBorder="1">
      <alignment vertical="center"/>
    </xf>
    <xf numFmtId="185" fontId="48" fillId="0" borderId="27" xfId="0" applyNumberFormat="1" applyFont="1" applyBorder="1">
      <alignment vertical="center"/>
    </xf>
    <xf numFmtId="0" fontId="48" fillId="0" borderId="3" xfId="0" applyFont="1" applyBorder="1">
      <alignment vertical="center"/>
    </xf>
    <xf numFmtId="183" fontId="48" fillId="0" borderId="4" xfId="0" applyNumberFormat="1" applyFont="1" applyBorder="1">
      <alignment vertical="center"/>
    </xf>
    <xf numFmtId="183" fontId="48" fillId="0" borderId="3" xfId="0" applyNumberFormat="1" applyFont="1" applyBorder="1">
      <alignment vertical="center"/>
    </xf>
    <xf numFmtId="183" fontId="48" fillId="0" borderId="5" xfId="0" applyNumberFormat="1" applyFont="1" applyBorder="1">
      <alignment vertical="center"/>
    </xf>
    <xf numFmtId="183" fontId="48" fillId="0" borderId="30" xfId="0" applyNumberFormat="1" applyFont="1" applyBorder="1">
      <alignment vertical="center"/>
    </xf>
    <xf numFmtId="183" fontId="48" fillId="0" borderId="31" xfId="0" applyNumberFormat="1" applyFont="1" applyBorder="1">
      <alignment vertical="center"/>
    </xf>
    <xf numFmtId="183" fontId="48" fillId="0" borderId="26" xfId="0" applyNumberFormat="1" applyFont="1" applyBorder="1">
      <alignment vertical="center"/>
    </xf>
    <xf numFmtId="183" fontId="48" fillId="0" borderId="27" xfId="0" applyNumberFormat="1" applyFont="1" applyBorder="1">
      <alignment vertical="center"/>
    </xf>
    <xf numFmtId="0" fontId="32" fillId="7" borderId="20" xfId="0" applyFont="1" applyFill="1" applyBorder="1">
      <alignment vertical="center"/>
    </xf>
    <xf numFmtId="183" fontId="32" fillId="7" borderId="20" xfId="0" applyNumberFormat="1" applyFont="1" applyFill="1" applyBorder="1">
      <alignment vertical="center"/>
    </xf>
    <xf numFmtId="187" fontId="48" fillId="0" borderId="30" xfId="0" applyNumberFormat="1" applyFont="1" applyBorder="1">
      <alignment vertical="center"/>
    </xf>
    <xf numFmtId="188" fontId="48" fillId="0" borderId="0" xfId="0" applyNumberFormat="1" applyFont="1">
      <alignment vertical="center"/>
    </xf>
    <xf numFmtId="188" fontId="48" fillId="0" borderId="31" xfId="0" applyNumberFormat="1" applyFont="1" applyBorder="1">
      <alignment vertical="center"/>
    </xf>
    <xf numFmtId="0" fontId="30" fillId="0" borderId="26" xfId="0" applyFont="1" applyBorder="1" applyAlignment="1">
      <alignment horizontal="left" vertical="center" indent="1"/>
    </xf>
    <xf numFmtId="0" fontId="48" fillId="0" borderId="27" xfId="0" applyFont="1" applyBorder="1">
      <alignment vertical="center"/>
    </xf>
    <xf numFmtId="183" fontId="44" fillId="7" borderId="20" xfId="0" applyNumberFormat="1" applyFont="1" applyFill="1" applyBorder="1">
      <alignment vertical="center"/>
    </xf>
    <xf numFmtId="0" fontId="32" fillId="6" borderId="3" xfId="0" applyFont="1" applyFill="1" applyBorder="1" applyAlignment="1">
      <alignment horizontal="left" wrapText="1" readingOrder="1"/>
    </xf>
    <xf numFmtId="0" fontId="32" fillId="6" borderId="6" xfId="0" applyFont="1" applyFill="1" applyBorder="1" applyAlignment="1">
      <alignment horizontal="left" wrapText="1" readingOrder="1"/>
    </xf>
    <xf numFmtId="0" fontId="32" fillId="6" borderId="6" xfId="0" applyFont="1" applyFill="1" applyBorder="1" applyAlignment="1">
      <alignment horizontal="center" vertical="top" wrapText="1" readingOrder="1"/>
    </xf>
    <xf numFmtId="189" fontId="50" fillId="0" borderId="6" xfId="0" applyNumberFormat="1" applyFont="1" applyBorder="1" applyAlignment="1">
      <alignment vertical="top" wrapText="1" readingOrder="1"/>
    </xf>
    <xf numFmtId="10" fontId="49" fillId="0" borderId="6" xfId="0" applyNumberFormat="1" applyFont="1" applyBorder="1" applyAlignment="1">
      <alignment horizontal="right" vertical="center" wrapText="1" readingOrder="1"/>
    </xf>
    <xf numFmtId="10" fontId="32" fillId="6" borderId="6" xfId="0" applyNumberFormat="1" applyFont="1" applyFill="1" applyBorder="1" applyAlignment="1">
      <alignment horizontal="right" vertical="center" wrapText="1" readingOrder="1"/>
    </xf>
    <xf numFmtId="3" fontId="47" fillId="0" borderId="6" xfId="0" applyNumberFormat="1" applyFont="1" applyBorder="1" applyAlignment="1">
      <alignment horizontal="right" vertical="center" wrapText="1" readingOrder="1"/>
    </xf>
    <xf numFmtId="3" fontId="32" fillId="0" borderId="6" xfId="0" applyNumberFormat="1" applyFont="1" applyBorder="1" applyAlignment="1">
      <alignment horizontal="right" vertical="center" wrapText="1" readingOrder="1"/>
    </xf>
    <xf numFmtId="183" fontId="47" fillId="0" borderId="7" xfId="0" applyNumberFormat="1" applyFont="1" applyBorder="1">
      <alignment vertical="center"/>
    </xf>
    <xf numFmtId="10" fontId="47" fillId="0" borderId="7" xfId="0" applyNumberFormat="1" applyFont="1" applyBorder="1">
      <alignment vertical="center"/>
    </xf>
    <xf numFmtId="185" fontId="47" fillId="0" borderId="7" xfId="0" applyNumberFormat="1" applyFont="1" applyBorder="1">
      <alignment vertical="center"/>
    </xf>
    <xf numFmtId="0" fontId="52" fillId="0" borderId="3" xfId="0" applyFont="1" applyBorder="1" applyAlignment="1">
      <alignment horizontal="left" vertical="center"/>
    </xf>
    <xf numFmtId="0" fontId="30" fillId="0" borderId="30" xfId="0" applyFont="1" applyBorder="1" applyAlignment="1">
      <alignment horizontal="left" vertical="center" indent="1"/>
    </xf>
    <xf numFmtId="0" fontId="45" fillId="0" borderId="3" xfId="0" applyFont="1" applyBorder="1">
      <alignment vertical="center"/>
    </xf>
    <xf numFmtId="183" fontId="45" fillId="0" borderId="4" xfId="0" applyNumberFormat="1" applyFont="1" applyBorder="1">
      <alignment vertical="center"/>
    </xf>
    <xf numFmtId="183" fontId="45" fillId="0" borderId="3" xfId="0" applyNumberFormat="1" applyFont="1" applyBorder="1">
      <alignment vertical="center"/>
    </xf>
    <xf numFmtId="183" fontId="45" fillId="0" borderId="5" xfId="0" applyNumberFormat="1" applyFont="1" applyBorder="1">
      <alignment vertical="center"/>
    </xf>
    <xf numFmtId="0" fontId="48" fillId="0" borderId="3" xfId="0" applyFont="1" applyBorder="1" applyAlignment="1">
      <alignment horizontal="left" vertical="center" indent="1"/>
    </xf>
    <xf numFmtId="0" fontId="51" fillId="0" borderId="3" xfId="0" applyFont="1" applyBorder="1" applyAlignment="1">
      <alignment horizontal="left"/>
    </xf>
    <xf numFmtId="0" fontId="30" fillId="0" borderId="30" xfId="0" applyFont="1" applyBorder="1" applyAlignment="1">
      <alignment horizontal="left" indent="1"/>
    </xf>
    <xf numFmtId="0" fontId="30" fillId="0" borderId="26" xfId="0" applyFont="1" applyBorder="1" applyAlignment="1">
      <alignment horizontal="left" indent="1"/>
    </xf>
    <xf numFmtId="0" fontId="51" fillId="0" borderId="26" xfId="0" applyFont="1" applyBorder="1" applyAlignment="1">
      <alignment horizontal="left"/>
    </xf>
    <xf numFmtId="183" fontId="48" fillId="0" borderId="29" xfId="0" applyNumberFormat="1" applyFont="1" applyBorder="1">
      <alignment vertical="center"/>
    </xf>
    <xf numFmtId="0" fontId="51" fillId="0" borderId="3" xfId="0" applyFont="1" applyBorder="1">
      <alignment vertical="center"/>
    </xf>
    <xf numFmtId="0" fontId="54" fillId="7" borderId="20" xfId="0" applyFont="1" applyFill="1" applyBorder="1" applyAlignment="1">
      <alignment horizontal="left" vertical="center" indent="1"/>
    </xf>
    <xf numFmtId="0" fontId="28" fillId="0" borderId="30" xfId="0" applyFont="1" applyBorder="1" applyAlignment="1">
      <alignment horizontal="left" vertical="center" indent="1"/>
    </xf>
    <xf numFmtId="0" fontId="34" fillId="7" borderId="20" xfId="0" applyFont="1" applyFill="1" applyBorder="1">
      <alignment vertical="center"/>
    </xf>
    <xf numFmtId="0" fontId="0" fillId="0" borderId="0" xfId="0" applyAlignment="1"/>
    <xf numFmtId="0" fontId="44" fillId="3" borderId="0" xfId="0" applyFont="1" applyFill="1" applyAlignment="1"/>
    <xf numFmtId="0" fontId="66" fillId="3" borderId="0" xfId="0" applyFont="1" applyFill="1" applyAlignment="1"/>
    <xf numFmtId="0" fontId="32" fillId="3" borderId="0" xfId="0" applyFont="1" applyFill="1" applyAlignment="1"/>
    <xf numFmtId="0" fontId="24" fillId="6" borderId="7" xfId="0" applyFont="1" applyFill="1" applyBorder="1" applyAlignment="1"/>
    <xf numFmtId="184" fontId="28" fillId="0" borderId="0" xfId="0" applyNumberFormat="1" applyFont="1" applyAlignment="1"/>
    <xf numFmtId="185" fontId="28" fillId="0" borderId="0" xfId="0" applyNumberFormat="1" applyFont="1" applyAlignment="1"/>
    <xf numFmtId="190" fontId="28" fillId="0" borderId="0" xfId="0" applyNumberFormat="1" applyFont="1" applyAlignment="1"/>
    <xf numFmtId="0" fontId="32" fillId="7" borderId="20" xfId="0" applyFont="1" applyFill="1" applyBorder="1" applyAlignment="1"/>
    <xf numFmtId="185" fontId="32" fillId="7" borderId="20" xfId="0" applyNumberFormat="1" applyFont="1" applyFill="1" applyBorder="1" applyAlignment="1"/>
    <xf numFmtId="183" fontId="28" fillId="0" borderId="0" xfId="0" applyNumberFormat="1" applyFont="1" applyAlignment="1"/>
    <xf numFmtId="10" fontId="32" fillId="7" borderId="20" xfId="0" applyNumberFormat="1" applyFont="1" applyFill="1" applyBorder="1" applyAlignment="1"/>
    <xf numFmtId="0" fontId="58" fillId="7" borderId="20" xfId="0" applyFont="1" applyFill="1" applyBorder="1" applyAlignment="1"/>
    <xf numFmtId="185" fontId="58" fillId="7" borderId="20" xfId="0" applyNumberFormat="1" applyFont="1" applyFill="1" applyBorder="1" applyAlignment="1"/>
    <xf numFmtId="0" fontId="49" fillId="0" borderId="0" xfId="0" applyFont="1" applyAlignment="1"/>
    <xf numFmtId="185" fontId="32" fillId="6" borderId="0" xfId="0" applyNumberFormat="1" applyFont="1" applyFill="1" applyAlignment="1">
      <alignment horizontal="center"/>
    </xf>
    <xf numFmtId="190" fontId="32" fillId="6" borderId="0" xfId="0" applyNumberFormat="1" applyFont="1" applyFill="1" applyAlignment="1">
      <alignment horizontal="center"/>
    </xf>
    <xf numFmtId="185" fontId="33" fillId="0" borderId="0" xfId="0" applyNumberFormat="1" applyFont="1" applyAlignment="1">
      <alignment horizontal="center"/>
    </xf>
    <xf numFmtId="185" fontId="24" fillId="0" borderId="0" xfId="0" applyNumberFormat="1" applyFont="1" applyAlignment="1">
      <alignment horizontal="center"/>
    </xf>
    <xf numFmtId="0" fontId="32" fillId="3" borderId="0" xfId="0" applyFont="1" applyFill="1" applyAlignment="1">
      <alignment horizontal="center" wrapText="1"/>
    </xf>
    <xf numFmtId="3" fontId="28" fillId="0" borderId="0" xfId="0" applyNumberFormat="1" applyFont="1" applyAlignment="1"/>
    <xf numFmtId="0" fontId="32" fillId="6" borderId="7" xfId="0" applyFont="1" applyFill="1" applyBorder="1" applyAlignment="1">
      <alignment horizontal="center"/>
    </xf>
    <xf numFmtId="190" fontId="28" fillId="0" borderId="0" xfId="0" applyNumberFormat="1" applyFont="1" applyAlignment="1">
      <alignment horizontal="center"/>
    </xf>
    <xf numFmtId="0" fontId="45" fillId="0" borderId="0" xfId="0" applyFont="1" applyAlignment="1"/>
    <xf numFmtId="3" fontId="36" fillId="0" borderId="0" xfId="0" applyNumberFormat="1" applyFont="1" applyAlignment="1"/>
    <xf numFmtId="0" fontId="45" fillId="0" borderId="20" xfId="0" applyFont="1" applyBorder="1" applyAlignment="1"/>
    <xf numFmtId="3" fontId="45" fillId="0" borderId="20" xfId="0" applyNumberFormat="1" applyFont="1" applyBorder="1" applyAlignment="1"/>
    <xf numFmtId="191" fontId="28" fillId="0" borderId="0" xfId="0" applyNumberFormat="1" applyFont="1" applyAlignment="1"/>
    <xf numFmtId="3" fontId="32" fillId="7" borderId="20" xfId="0" applyNumberFormat="1" applyFont="1" applyFill="1" applyBorder="1" applyAlignment="1"/>
    <xf numFmtId="0" fontId="42" fillId="0" borderId="0" xfId="0" applyFont="1" applyFill="1">
      <alignment vertical="center"/>
    </xf>
    <xf numFmtId="0" fontId="26" fillId="0" borderId="0" xfId="0" applyFont="1" applyFill="1" applyBorder="1" applyAlignment="1"/>
    <xf numFmtId="0" fontId="42" fillId="0" borderId="0" xfId="0" applyFont="1" applyFill="1" applyBorder="1">
      <alignment vertical="center"/>
    </xf>
    <xf numFmtId="0" fontId="29" fillId="0" borderId="0" xfId="0" applyFont="1" applyFill="1" applyBorder="1" applyAlignment="1"/>
    <xf numFmtId="0" fontId="0" fillId="0" borderId="0" xfId="0" applyFill="1" applyBorder="1">
      <alignment vertical="center"/>
    </xf>
    <xf numFmtId="0" fontId="69" fillId="0" borderId="7" xfId="0" applyFont="1" applyFill="1" applyBorder="1" applyAlignment="1"/>
    <xf numFmtId="0" fontId="70" fillId="0" borderId="7" xfId="0" applyFont="1" applyFill="1" applyBorder="1">
      <alignment vertical="center"/>
    </xf>
    <xf numFmtId="0" fontId="70" fillId="0" borderId="7" xfId="0" applyFont="1" applyFill="1" applyBorder="1" applyAlignment="1">
      <alignment horizontal="center"/>
    </xf>
    <xf numFmtId="183" fontId="70" fillId="0" borderId="7" xfId="0" applyNumberFormat="1" applyFont="1" applyFill="1" applyBorder="1">
      <alignment vertical="center"/>
    </xf>
    <xf numFmtId="0" fontId="70" fillId="0" borderId="7" xfId="0" applyFont="1" applyFill="1" applyBorder="1" applyAlignment="1"/>
  </cellXfs>
  <cellStyles count="36">
    <cellStyle name="=C:\WINNT35\SYSTEM32\COMMAND.COM" xfId="1" xr:uid="{00000000-0005-0000-0000-000006000000}"/>
    <cellStyle name="Comma [0] 2" xfId="2" xr:uid="{00000000-0005-0000-0000-000007000000}"/>
    <cellStyle name="EY Narrative text" xfId="3" xr:uid="{00000000-0005-0000-0000-000008000000}"/>
    <cellStyle name="EY%input" xfId="4" xr:uid="{00000000-0005-0000-0000-000009000000}"/>
    <cellStyle name="EY0dp" xfId="5" xr:uid="{00000000-0005-0000-0000-00000A000000}"/>
    <cellStyle name="EY1dp" xfId="6" xr:uid="{00000000-0005-0000-0000-00000B000000}"/>
    <cellStyle name="EY2dp" xfId="7" xr:uid="{00000000-0005-0000-0000-00000C000000}"/>
    <cellStyle name="EYChartTitle" xfId="8" xr:uid="{00000000-0005-0000-0000-00000D000000}"/>
    <cellStyle name="EYColumnHeading" xfId="9" xr:uid="{00000000-0005-0000-0000-00000E000000}"/>
    <cellStyle name="EYColumnHeading 2" xfId="10" xr:uid="{00000000-0005-0000-0000-00000F000000}"/>
    <cellStyle name="EYColumnHeading 4 3" xfId="11" xr:uid="{00000000-0005-0000-0000-000010000000}"/>
    <cellStyle name="EYColumnHeading_EBITDA Bridge Template2" xfId="12" xr:uid="{00000000-0005-0000-0000-000011000000}"/>
    <cellStyle name="EYCurrency" xfId="13" xr:uid="{00000000-0005-0000-0000-000012000000}"/>
    <cellStyle name="EYCurrency 2" xfId="14" xr:uid="{00000000-0005-0000-0000-000013000000}"/>
    <cellStyle name="EYNotes" xfId="15" xr:uid="{00000000-0005-0000-0000-000014000000}"/>
    <cellStyle name="EYNotesHeading" xfId="16" xr:uid="{00000000-0005-0000-0000-000015000000}"/>
    <cellStyle name="EYNotesHeading 2" xfId="17" xr:uid="{00000000-0005-0000-0000-000016000000}"/>
    <cellStyle name="EYnumber" xfId="18" xr:uid="{00000000-0005-0000-0000-000017000000}"/>
    <cellStyle name="EYSectionHeading" xfId="19" xr:uid="{00000000-0005-0000-0000-000018000000}"/>
    <cellStyle name="EYSheetHeading" xfId="20" xr:uid="{00000000-0005-0000-0000-000019000000}"/>
    <cellStyle name="EYSheetHeading 2" xfId="21" xr:uid="{00000000-0005-0000-0000-00001A000000}"/>
    <cellStyle name="EYsmallheading" xfId="22" xr:uid="{00000000-0005-0000-0000-00001B000000}"/>
    <cellStyle name="EYSource" xfId="23" xr:uid="{00000000-0005-0000-0000-00001C000000}"/>
    <cellStyle name="EYSource 2" xfId="24" xr:uid="{00000000-0005-0000-0000-00001D000000}"/>
    <cellStyle name="EYtext" xfId="25" xr:uid="{00000000-0005-0000-0000-00001E000000}"/>
    <cellStyle name="EYtextbold" xfId="26" xr:uid="{00000000-0005-0000-0000-00001F000000}"/>
    <cellStyle name="Normal 2" xfId="27" xr:uid="{00000000-0005-0000-0000-000020000000}"/>
    <cellStyle name="Normal 2 2" xfId="28" xr:uid="{00000000-0005-0000-0000-000021000000}"/>
    <cellStyle name="Normal 2 3" xfId="29" xr:uid="{00000000-0005-0000-0000-000022000000}"/>
    <cellStyle name="Normal 3" xfId="30" xr:uid="{00000000-0005-0000-0000-000023000000}"/>
    <cellStyle name="Normal 4 2" xfId="31" xr:uid="{00000000-0005-0000-0000-000024000000}"/>
    <cellStyle name="Normal_Beta" xfId="32" xr:uid="{00000000-0005-0000-0000-000025000000}"/>
    <cellStyle name="Percent 2" xfId="33" xr:uid="{00000000-0005-0000-0000-000026000000}"/>
    <cellStyle name="쉼표 [0] 2" xfId="34" xr:uid="{00000000-0005-0000-0000-000027000000}"/>
    <cellStyle name="표준" xfId="0" builtinId="0"/>
    <cellStyle name="표준 2" xfId="35" xr:uid="{00000000-0005-0000-0000-00002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E82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6C260"/>
      <rgbColor rgb="FF99CC00"/>
      <rgbColor rgb="FFFFCC00"/>
      <rgbColor rgb="FFFF9900"/>
      <rgbColor rgb="FFFF6600"/>
      <rgbColor rgb="FF666699"/>
      <rgbColor rgb="FF969696"/>
      <rgbColor rgb="FF003366"/>
      <rgbColor rgb="FF1C8F57"/>
      <rgbColor rgb="FF0F3A32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6"/>
  <sheetViews>
    <sheetView showGridLines="0" zoomScale="70" zoomScaleNormal="70" workbookViewId="0"/>
  </sheetViews>
  <sheetFormatPr defaultColWidth="0" defaultRowHeight="15" customHeight="1" zeroHeight="1"/>
  <cols>
    <col min="1" max="1" width="1.625" style="6" customWidth="1"/>
    <col min="2" max="2" width="10.625" style="6" customWidth="1"/>
    <col min="3" max="3" width="1.625" style="6" customWidth="1"/>
    <col min="4" max="4" width="9.875" style="6" customWidth="1"/>
    <col min="5" max="11" width="8" style="6"/>
    <col min="12" max="13" width="1.625" style="7" customWidth="1"/>
    <col min="14" max="17" width="3.625" style="6" customWidth="1"/>
    <col min="18" max="18" width="1.625" style="6" customWidth="1"/>
    <col min="19" max="25" width="8" style="6"/>
    <col min="26" max="26" width="1.625" style="7" customWidth="1"/>
    <col min="27" max="16384" width="8" style="6" hidden="1"/>
  </cols>
  <sheetData>
    <row r="1" spans="1:27" s="7" customFormat="1" ht="1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7" ht="15" customHeight="1">
      <c r="A2" s="9"/>
      <c r="B2" s="9" t="s">
        <v>0</v>
      </c>
      <c r="C2" s="9"/>
      <c r="D2" s="10" t="s">
        <v>1</v>
      </c>
      <c r="E2" s="11"/>
      <c r="F2" s="11"/>
      <c r="G2" s="11"/>
      <c r="H2" s="11"/>
      <c r="I2" s="11"/>
      <c r="J2" s="11"/>
      <c r="K2" s="12"/>
      <c r="L2" s="13"/>
      <c r="M2" s="13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3"/>
      <c r="AA2" s="13"/>
    </row>
    <row r="3" spans="1:27" s="7" customFormat="1" ht="2.25" customHeight="1">
      <c r="A3" s="8"/>
      <c r="B3" s="1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7" ht="15" customHeight="1">
      <c r="A4" s="9"/>
      <c r="B4" s="9" t="s">
        <v>2</v>
      </c>
      <c r="C4" s="9"/>
      <c r="D4" s="15" t="s">
        <v>3</v>
      </c>
      <c r="E4" s="11"/>
      <c r="F4" s="11"/>
      <c r="G4" s="11"/>
      <c r="H4" s="11"/>
      <c r="I4" s="11"/>
      <c r="J4" s="11"/>
      <c r="K4" s="12"/>
      <c r="L4" s="13"/>
      <c r="M4" s="13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3"/>
      <c r="AA4" s="13"/>
    </row>
    <row r="5" spans="1:27" s="7" customFormat="1" ht="2.25" customHeight="1">
      <c r="A5" s="8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7" ht="15" customHeight="1">
      <c r="A6" s="16"/>
      <c r="B6" s="16" t="s">
        <v>4</v>
      </c>
      <c r="C6" s="16"/>
      <c r="D6" s="17">
        <v>46022</v>
      </c>
      <c r="E6" s="18"/>
      <c r="F6" s="18"/>
      <c r="G6" s="18"/>
      <c r="H6" s="18"/>
      <c r="I6" s="18"/>
      <c r="J6" s="18"/>
      <c r="K6" s="19"/>
      <c r="L6" s="20"/>
      <c r="M6" s="20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20"/>
      <c r="AA6" s="20"/>
    </row>
    <row r="7" spans="1:27" s="7" customFormat="1" ht="2.25" customHeight="1">
      <c r="A7" s="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7" ht="15" customHeight="1">
      <c r="A8" s="16"/>
      <c r="B8" s="16" t="s">
        <v>5</v>
      </c>
      <c r="C8" s="16"/>
      <c r="D8" s="21" t="s">
        <v>6</v>
      </c>
      <c r="E8" s="18"/>
      <c r="F8" s="18"/>
      <c r="G8" s="18"/>
      <c r="H8" s="18"/>
      <c r="I8" s="18"/>
      <c r="J8" s="18"/>
      <c r="K8" s="19"/>
      <c r="L8" s="20"/>
      <c r="M8" s="20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20"/>
      <c r="AA8" s="20"/>
    </row>
    <row r="9" spans="1:27" s="7" customFormat="1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7" ht="15" customHeight="1">
      <c r="A10" s="9"/>
      <c r="B10" s="5" t="s">
        <v>7</v>
      </c>
      <c r="C10" s="5"/>
      <c r="D10" s="5"/>
      <c r="E10" s="5"/>
      <c r="F10" s="5"/>
      <c r="G10" s="5"/>
      <c r="H10" s="5"/>
      <c r="I10" s="5"/>
      <c r="J10" s="5"/>
      <c r="K10" s="5"/>
      <c r="L10" s="13"/>
      <c r="M10" s="1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3"/>
      <c r="AA10" s="13"/>
    </row>
    <row r="11" spans="1:27" s="23" customFormat="1" ht="2.25" customHeight="1">
      <c r="A11" s="22"/>
      <c r="B11" s="8"/>
      <c r="C11" s="8"/>
      <c r="D11" s="8"/>
      <c r="E11" s="8"/>
      <c r="F11" s="8"/>
      <c r="G11" s="8"/>
      <c r="H11" s="8"/>
      <c r="I11" s="8"/>
      <c r="J11" s="8"/>
      <c r="K11" s="8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7" s="25" customFormat="1" ht="15" customHeight="1">
      <c r="A12" s="13"/>
      <c r="B12" s="24" t="s">
        <v>8</v>
      </c>
      <c r="C12" s="13"/>
      <c r="D12" s="4" t="s">
        <v>9</v>
      </c>
      <c r="E12" s="4"/>
      <c r="F12" s="4"/>
      <c r="G12" s="4"/>
      <c r="H12" s="4"/>
      <c r="I12" s="4"/>
      <c r="J12" s="4"/>
      <c r="K12" s="4"/>
      <c r="L12" s="13"/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3"/>
      <c r="AA12" s="13"/>
    </row>
    <row r="13" spans="1:27" s="31" customFormat="1" ht="15" customHeight="1">
      <c r="A13" s="26"/>
      <c r="B13" s="27" t="s">
        <v>10</v>
      </c>
      <c r="C13" s="26"/>
      <c r="D13" s="28" t="s">
        <v>11</v>
      </c>
      <c r="E13" s="29"/>
      <c r="F13" s="29"/>
      <c r="G13" s="29"/>
      <c r="H13" s="29"/>
      <c r="I13" s="29"/>
      <c r="J13" s="29"/>
      <c r="K13" s="30"/>
      <c r="L13" s="26"/>
      <c r="M13" s="2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26"/>
      <c r="AA13" s="20"/>
    </row>
    <row r="14" spans="1:27" s="31" customFormat="1" ht="12.75" customHeight="1">
      <c r="A14" s="26"/>
      <c r="B14" s="32" t="s">
        <v>10</v>
      </c>
      <c r="C14" s="26"/>
      <c r="D14" s="33" t="s">
        <v>12</v>
      </c>
      <c r="E14" s="34"/>
      <c r="F14" s="34"/>
      <c r="G14" s="34"/>
      <c r="H14" s="34"/>
      <c r="I14" s="34"/>
      <c r="J14" s="34"/>
      <c r="K14" s="35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0"/>
    </row>
    <row r="15" spans="1:27" s="31" customFormat="1" ht="12.75" customHeight="1">
      <c r="A15" s="26"/>
      <c r="B15" s="36" t="s">
        <v>10</v>
      </c>
      <c r="C15" s="26"/>
      <c r="D15" s="37" t="s">
        <v>13</v>
      </c>
      <c r="E15" s="34"/>
      <c r="F15" s="34"/>
      <c r="G15" s="34"/>
      <c r="H15" s="34"/>
      <c r="I15" s="34"/>
      <c r="J15" s="34"/>
      <c r="K15" s="35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0"/>
    </row>
    <row r="16" spans="1:27" s="31" customFormat="1" ht="12.75" customHeight="1">
      <c r="A16" s="26"/>
      <c r="B16" s="38" t="s">
        <v>10</v>
      </c>
      <c r="C16" s="26"/>
      <c r="D16" s="37" t="s">
        <v>14</v>
      </c>
      <c r="E16" s="34"/>
      <c r="F16" s="34"/>
      <c r="G16" s="34"/>
      <c r="H16" s="34"/>
      <c r="I16" s="34"/>
      <c r="J16" s="34"/>
      <c r="K16" s="35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0"/>
    </row>
    <row r="17" spans="1:27" s="31" customFormat="1" ht="12.75" customHeight="1">
      <c r="A17" s="26"/>
      <c r="B17" s="27" t="s">
        <v>10</v>
      </c>
      <c r="C17" s="26"/>
      <c r="D17" s="37" t="s">
        <v>15</v>
      </c>
      <c r="E17" s="34"/>
      <c r="F17" s="34"/>
      <c r="G17" s="34"/>
      <c r="H17" s="34"/>
      <c r="I17" s="34"/>
      <c r="J17" s="34"/>
      <c r="K17" s="35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0"/>
    </row>
    <row r="18" spans="1:27" s="31" customFormat="1" ht="12.75" customHeight="1">
      <c r="A18" s="26"/>
      <c r="B18" s="27" t="s">
        <v>10</v>
      </c>
      <c r="C18" s="26"/>
      <c r="D18" s="37" t="s">
        <v>16</v>
      </c>
      <c r="E18" s="34"/>
      <c r="F18" s="34"/>
      <c r="G18" s="34"/>
      <c r="H18" s="34"/>
      <c r="I18" s="34"/>
      <c r="J18" s="34"/>
      <c r="K18" s="35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0"/>
    </row>
    <row r="19" spans="1:27" s="31" customFormat="1" ht="12.75" customHeight="1">
      <c r="A19" s="26"/>
      <c r="B19" s="27" t="s">
        <v>17</v>
      </c>
      <c r="C19" s="26"/>
      <c r="D19" s="33" t="s">
        <v>18</v>
      </c>
      <c r="E19" s="34"/>
      <c r="F19" s="34"/>
      <c r="G19" s="34"/>
      <c r="H19" s="34"/>
      <c r="I19" s="34"/>
      <c r="J19" s="34"/>
      <c r="K19" s="35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0"/>
    </row>
    <row r="20" spans="1:27" s="31" customFormat="1" ht="12.75" customHeight="1">
      <c r="A20" s="26"/>
      <c r="B20" s="39" t="s">
        <v>19</v>
      </c>
      <c r="C20" s="26"/>
      <c r="D20" s="37" t="s">
        <v>20</v>
      </c>
      <c r="E20" s="34"/>
      <c r="F20" s="34"/>
      <c r="G20" s="34"/>
      <c r="H20" s="34"/>
      <c r="I20" s="34"/>
      <c r="J20" s="34"/>
      <c r="K20" s="35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0"/>
    </row>
    <row r="21" spans="1:27" s="41" customFormat="1" ht="12.75" customHeight="1">
      <c r="A21" s="26"/>
      <c r="B21" s="39" t="s">
        <v>21</v>
      </c>
      <c r="C21" s="26"/>
      <c r="D21" s="40" t="s">
        <v>22</v>
      </c>
      <c r="E21" s="34"/>
      <c r="F21" s="34"/>
      <c r="G21" s="34"/>
      <c r="H21" s="34"/>
      <c r="I21" s="34"/>
      <c r="J21" s="34"/>
      <c r="K21" s="35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0"/>
    </row>
    <row r="22" spans="1:27" s="41" customFormat="1" ht="12.75" customHeight="1">
      <c r="A22" s="26"/>
      <c r="B22" s="39" t="s">
        <v>21</v>
      </c>
      <c r="C22" s="26"/>
      <c r="D22" s="40" t="s">
        <v>23</v>
      </c>
      <c r="E22" s="34"/>
      <c r="F22" s="34"/>
      <c r="G22" s="34"/>
      <c r="H22" s="34"/>
      <c r="I22" s="34"/>
      <c r="J22" s="34"/>
      <c r="K22" s="35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0"/>
    </row>
    <row r="23" spans="1:27" s="23" customFormat="1" ht="15" customHeight="1">
      <c r="A23" s="22"/>
      <c r="B23" s="42"/>
      <c r="C23" s="22"/>
      <c r="D23" s="43" t="s">
        <v>24</v>
      </c>
      <c r="E23" s="44"/>
      <c r="F23" s="44"/>
      <c r="G23" s="44"/>
      <c r="H23" s="44"/>
      <c r="I23" s="44"/>
      <c r="J23" s="44"/>
      <c r="K23" s="45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7" s="7" customFormat="1" ht="2.25" customHeight="1"/>
    <row r="25" spans="1:27" s="7" customFormat="1" ht="15" customHeight="1"/>
    <row r="26" spans="1:27" s="7" customFormat="1" ht="15" customHeight="1"/>
    <row r="27" spans="1:27" s="7" customFormat="1" ht="15" customHeight="1"/>
    <row r="28" spans="1:27" s="7" customFormat="1" ht="15" customHeight="1"/>
    <row r="29" spans="1:27" s="7" customFormat="1" ht="15" customHeight="1"/>
    <row r="30" spans="1:27" s="7" customFormat="1" ht="15" customHeight="1"/>
    <row r="31" spans="1:27" s="7" customFormat="1" ht="15" customHeight="1"/>
    <row r="32" spans="1:27" s="7" customFormat="1" ht="15" customHeight="1"/>
    <row r="33" s="7" customFormat="1" ht="15" customHeight="1"/>
    <row r="34" s="7" customFormat="1" ht="15" customHeight="1"/>
    <row r="35" s="7" customFormat="1" ht="15" customHeight="1"/>
    <row r="36" s="7" customFormat="1" ht="15" customHeight="1"/>
    <row r="37" s="7" customFormat="1" ht="15" customHeight="1"/>
    <row r="38" s="7" customFormat="1" ht="15" customHeight="1"/>
    <row r="39" s="7" customFormat="1" ht="15" customHeight="1"/>
    <row r="40" s="7" customFormat="1" ht="15" customHeight="1"/>
    <row r="41" s="7" customFormat="1" ht="15" customHeight="1"/>
    <row r="42" s="6" customFormat="1" ht="15" hidden="1" customHeight="1"/>
    <row r="43" s="6" customFormat="1" ht="15" hidden="1" customHeight="1"/>
    <row r="44" s="6" customFormat="1" ht="15" hidden="1" customHeight="1"/>
    <row r="45" s="6" customFormat="1" ht="15" hidden="1" customHeight="1"/>
    <row r="46" s="6" customFormat="1" ht="15" hidden="1" customHeight="1"/>
  </sheetData>
  <mergeCells count="2">
    <mergeCell ref="B10:K10"/>
    <mergeCell ref="D12:K12"/>
  </mergeCells>
  <phoneticPr fontId="6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53"/>
  <sheetViews>
    <sheetView showGridLines="0" zoomScale="70" zoomScaleNormal="70" workbookViewId="0">
      <pane xSplit="1" ySplit="11" topLeftCell="B218" activePane="bottomRight" state="frozen"/>
      <selection pane="topRight" activeCell="B1" sqref="B1"/>
      <selection pane="bottomLeft" activeCell="A12" sqref="A12"/>
      <selection pane="bottomRight"/>
    </sheetView>
  </sheetViews>
  <sheetFormatPr defaultColWidth="0" defaultRowHeight="12.75" customHeight="1" zeroHeight="1" outlineLevelRow="1"/>
  <cols>
    <col min="1" max="1" width="1.6875" style="46" customWidth="1"/>
    <col min="2" max="2" width="28.6875" style="46" customWidth="1"/>
    <col min="3" max="4" width="1.6875" style="46" customWidth="1"/>
    <col min="5" max="5" width="10.375" style="46" customWidth="1"/>
    <col min="6" max="6" width="8.6875" style="46"/>
    <col min="7" max="15" width="10" style="46" customWidth="1"/>
    <col min="16" max="16" width="1.6875" style="46" customWidth="1"/>
    <col min="17" max="88" width="9.125" style="46" hidden="1" customWidth="1"/>
    <col min="89" max="16384" width="8.6875" style="46" hidden="1"/>
  </cols>
  <sheetData>
    <row r="1" spans="1:20" ht="24" customHeight="1">
      <c r="A1" s="13"/>
      <c r="B1" s="47" t="str">
        <f>Legend!D2</f>
        <v>Project dummy Financial Model</v>
      </c>
      <c r="C1" s="48"/>
      <c r="D1" s="48"/>
      <c r="E1" s="48"/>
      <c r="F1" s="48"/>
      <c r="G1" s="48"/>
      <c r="H1" s="48"/>
      <c r="I1" s="48"/>
      <c r="J1" s="48"/>
      <c r="K1" s="48"/>
      <c r="L1" s="49"/>
      <c r="M1" s="49"/>
      <c r="N1" s="50" t="s">
        <v>25</v>
      </c>
      <c r="O1" s="50"/>
      <c r="P1" s="13"/>
    </row>
    <row r="2" spans="1:20" ht="12.75" customHeight="1">
      <c r="A2" s="20"/>
      <c r="B2" s="51" t="s">
        <v>26</v>
      </c>
      <c r="C2" s="52"/>
      <c r="D2" s="52"/>
      <c r="E2" s="52"/>
      <c r="F2" s="52"/>
      <c r="G2" s="52"/>
      <c r="H2" s="52"/>
      <c r="I2" s="52"/>
      <c r="J2" s="53"/>
      <c r="K2" s="54"/>
      <c r="L2" s="55"/>
      <c r="M2" s="55"/>
      <c r="N2" s="55"/>
      <c r="O2" s="55"/>
      <c r="P2" s="20"/>
      <c r="Q2" s="20"/>
      <c r="R2" s="20"/>
      <c r="S2" s="20"/>
      <c r="T2" s="20"/>
    </row>
    <row r="3" spans="1:20" ht="12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20" ht="12.75" customHeight="1">
      <c r="A4" s="13"/>
      <c r="B4" s="48" t="s">
        <v>27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13"/>
    </row>
    <row r="5" spans="1:20" ht="12.75" customHeight="1">
      <c r="A5" s="8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20" ht="12.75" customHeight="1">
      <c r="A6" s="57"/>
      <c r="B6" s="58" t="s">
        <v>28</v>
      </c>
      <c r="C6" s="58"/>
      <c r="D6" s="58"/>
      <c r="E6" s="58"/>
      <c r="F6" s="58"/>
      <c r="G6" s="58" t="s">
        <v>29</v>
      </c>
      <c r="H6" s="58" t="s">
        <v>29</v>
      </c>
      <c r="I6" s="58" t="s">
        <v>29</v>
      </c>
      <c r="J6" s="58" t="s">
        <v>30</v>
      </c>
      <c r="K6" s="58" t="s">
        <v>30</v>
      </c>
      <c r="L6" s="58" t="s">
        <v>30</v>
      </c>
      <c r="M6" s="58" t="s">
        <v>30</v>
      </c>
      <c r="N6" s="58" t="s">
        <v>30</v>
      </c>
      <c r="O6" s="58" t="s">
        <v>30</v>
      </c>
      <c r="P6" s="57"/>
      <c r="Q6" s="57"/>
    </row>
    <row r="7" spans="1:20" ht="12.75" customHeight="1">
      <c r="A7" s="20"/>
      <c r="B7" s="59" t="s">
        <v>31</v>
      </c>
      <c r="C7" s="51"/>
      <c r="D7" s="51"/>
      <c r="E7" s="51"/>
      <c r="F7" s="51"/>
      <c r="G7" s="60">
        <f t="shared" ref="G7:N7" si="0">DATE(G10,1,1)</f>
        <v>44927</v>
      </c>
      <c r="H7" s="60">
        <f t="shared" si="0"/>
        <v>45292</v>
      </c>
      <c r="I7" s="60">
        <f t="shared" si="0"/>
        <v>45658</v>
      </c>
      <c r="J7" s="60">
        <f t="shared" si="0"/>
        <v>46023</v>
      </c>
      <c r="K7" s="60">
        <f t="shared" si="0"/>
        <v>46388</v>
      </c>
      <c r="L7" s="60">
        <f t="shared" si="0"/>
        <v>46753</v>
      </c>
      <c r="M7" s="60">
        <f t="shared" si="0"/>
        <v>47119</v>
      </c>
      <c r="N7" s="60">
        <f t="shared" si="0"/>
        <v>47484</v>
      </c>
      <c r="O7" s="60" t="s">
        <v>32</v>
      </c>
      <c r="P7" s="20"/>
    </row>
    <row r="8" spans="1:20" ht="12.75" customHeight="1">
      <c r="A8" s="20"/>
      <c r="B8" s="61" t="s">
        <v>33</v>
      </c>
      <c r="C8" s="61"/>
      <c r="D8" s="62"/>
      <c r="E8" s="62"/>
      <c r="F8" s="62"/>
      <c r="G8" s="60">
        <f t="shared" ref="G8:N8" si="1">DATE(G10,12,31)</f>
        <v>45291</v>
      </c>
      <c r="H8" s="60">
        <f t="shared" si="1"/>
        <v>45657</v>
      </c>
      <c r="I8" s="60">
        <f t="shared" si="1"/>
        <v>46022</v>
      </c>
      <c r="J8" s="60">
        <f t="shared" si="1"/>
        <v>46387</v>
      </c>
      <c r="K8" s="60">
        <f t="shared" si="1"/>
        <v>46752</v>
      </c>
      <c r="L8" s="60">
        <f t="shared" si="1"/>
        <v>47118</v>
      </c>
      <c r="M8" s="60">
        <f t="shared" si="1"/>
        <v>47483</v>
      </c>
      <c r="N8" s="60">
        <f t="shared" si="1"/>
        <v>47848</v>
      </c>
      <c r="O8" s="60"/>
      <c r="P8" s="20"/>
    </row>
    <row r="9" spans="1:20" ht="12.75" customHeight="1">
      <c r="A9" s="20"/>
      <c r="B9" s="61" t="s">
        <v>34</v>
      </c>
      <c r="C9" s="61"/>
      <c r="D9" s="62"/>
      <c r="E9" s="62"/>
      <c r="F9" s="62"/>
      <c r="G9" s="63">
        <f t="shared" ref="G9:N9" si="2">DATEDIF(G7,G8,"m")+1</f>
        <v>12</v>
      </c>
      <c r="H9" s="64">
        <f t="shared" si="2"/>
        <v>12</v>
      </c>
      <c r="I9" s="64">
        <f t="shared" si="2"/>
        <v>12</v>
      </c>
      <c r="J9" s="64">
        <f t="shared" si="2"/>
        <v>12</v>
      </c>
      <c r="K9" s="64">
        <f t="shared" si="2"/>
        <v>12</v>
      </c>
      <c r="L9" s="64">
        <f t="shared" si="2"/>
        <v>12</v>
      </c>
      <c r="M9" s="64">
        <f t="shared" si="2"/>
        <v>12</v>
      </c>
      <c r="N9" s="64">
        <f t="shared" si="2"/>
        <v>12</v>
      </c>
      <c r="O9" s="64"/>
      <c r="P9" s="20"/>
    </row>
    <row r="10" spans="1:20" ht="12.75" customHeight="1">
      <c r="A10" s="20"/>
      <c r="B10" s="61" t="s">
        <v>35</v>
      </c>
      <c r="C10" s="62"/>
      <c r="D10" s="64"/>
      <c r="E10" s="64"/>
      <c r="F10" s="64"/>
      <c r="G10" s="63">
        <f>H10-1</f>
        <v>2023</v>
      </c>
      <c r="H10" s="63">
        <f>I10-1</f>
        <v>2024</v>
      </c>
      <c r="I10" s="63">
        <f>E16</f>
        <v>2025</v>
      </c>
      <c r="J10" s="64">
        <f>I10+1</f>
        <v>2026</v>
      </c>
      <c r="K10" s="64">
        <f>J10+1</f>
        <v>2027</v>
      </c>
      <c r="L10" s="64">
        <f>K10+1</f>
        <v>2028</v>
      </c>
      <c r="M10" s="64">
        <f>L10+1</f>
        <v>2029</v>
      </c>
      <c r="N10" s="64">
        <f>M10+1</f>
        <v>2030</v>
      </c>
      <c r="O10" s="64"/>
      <c r="P10" s="20"/>
    </row>
    <row r="11" spans="1:20" ht="12.75" customHeight="1">
      <c r="A11" s="20"/>
      <c r="B11" s="59" t="s">
        <v>36</v>
      </c>
      <c r="C11" s="20"/>
      <c r="D11" s="20"/>
      <c r="E11" s="20"/>
      <c r="F11" s="20"/>
      <c r="G11" s="64">
        <f t="shared" ref="G11:N11" si="3">_xlfn.DAYS(G8,G7)</f>
        <v>364</v>
      </c>
      <c r="H11" s="64">
        <f t="shared" si="3"/>
        <v>365</v>
      </c>
      <c r="I11" s="64">
        <f t="shared" si="3"/>
        <v>364</v>
      </c>
      <c r="J11" s="64">
        <f t="shared" si="3"/>
        <v>364</v>
      </c>
      <c r="K11" s="64">
        <f t="shared" si="3"/>
        <v>364</v>
      </c>
      <c r="L11" s="64">
        <f t="shared" si="3"/>
        <v>365</v>
      </c>
      <c r="M11" s="64">
        <f t="shared" si="3"/>
        <v>364</v>
      </c>
      <c r="N11" s="64">
        <f t="shared" si="3"/>
        <v>364</v>
      </c>
      <c r="O11" s="64"/>
      <c r="P11" s="20"/>
    </row>
    <row r="12" spans="1:20" ht="12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20" ht="12.75" customHeight="1">
      <c r="A13" s="13"/>
      <c r="B13" s="48" t="s">
        <v>37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13"/>
    </row>
    <row r="14" spans="1:20" ht="12.75" customHeight="1">
      <c r="A14" s="8"/>
      <c r="B14" s="65"/>
      <c r="C14" s="65"/>
      <c r="D14" s="66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20" ht="15" customHeight="1">
      <c r="A15" s="20"/>
      <c r="B15" s="61" t="s">
        <v>38</v>
      </c>
      <c r="C15" s="20"/>
      <c r="D15" s="20"/>
      <c r="E15" s="67">
        <f>Legend!D6</f>
        <v>46022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1:20" ht="15" customHeight="1">
      <c r="A16" s="20"/>
      <c r="B16" s="61" t="s">
        <v>39</v>
      </c>
      <c r="C16" s="20"/>
      <c r="D16" s="20"/>
      <c r="E16" s="68">
        <f>YEAR(E15)</f>
        <v>2025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1:16" ht="15" customHeight="1">
      <c r="A17" s="20"/>
      <c r="B17" s="61" t="s">
        <v>40</v>
      </c>
      <c r="C17" s="20"/>
      <c r="D17" s="20"/>
      <c r="E17" s="69">
        <v>1000000</v>
      </c>
      <c r="F17" s="62" t="s">
        <v>41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1:16" ht="15" customHeight="1">
      <c r="A18" s="70"/>
      <c r="B18" s="71" t="s">
        <v>42</v>
      </c>
      <c r="C18" s="70"/>
      <c r="D18" s="70"/>
      <c r="E18" s="72">
        <v>0.1</v>
      </c>
      <c r="F18" s="73" t="s">
        <v>43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</row>
    <row r="19" spans="1:16" ht="15" customHeight="1">
      <c r="A19" s="20"/>
      <c r="B19" s="61" t="s">
        <v>44</v>
      </c>
      <c r="C19" s="20"/>
      <c r="D19" s="20"/>
      <c r="E19" s="74">
        <v>0.01</v>
      </c>
      <c r="F19" s="62" t="s">
        <v>43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6" ht="15" customHeight="1">
      <c r="A20" s="20"/>
      <c r="B20" s="61" t="s">
        <v>45</v>
      </c>
      <c r="C20" s="20"/>
      <c r="D20" s="20"/>
      <c r="E20" s="20"/>
      <c r="F20" s="62"/>
      <c r="G20" s="20"/>
      <c r="H20" s="20"/>
      <c r="I20" s="20"/>
      <c r="J20" s="74">
        <v>1.03</v>
      </c>
      <c r="K20" s="74">
        <v>1.03</v>
      </c>
      <c r="L20" s="74">
        <v>1.03</v>
      </c>
      <c r="M20" s="74">
        <v>1.03</v>
      </c>
      <c r="N20" s="74">
        <v>1.03</v>
      </c>
      <c r="O20" s="75"/>
      <c r="P20" s="20"/>
    </row>
    <row r="21" spans="1:16" ht="15" customHeight="1">
      <c r="A21" s="20"/>
      <c r="B21" s="61" t="s">
        <v>46</v>
      </c>
      <c r="C21" s="20"/>
      <c r="D21" s="20"/>
      <c r="E21" s="20"/>
      <c r="F21" s="62"/>
      <c r="G21" s="20"/>
      <c r="H21" s="20"/>
      <c r="I21" s="20"/>
      <c r="J21" s="74">
        <v>1.02</v>
      </c>
      <c r="K21" s="74">
        <v>1.02</v>
      </c>
      <c r="L21" s="74">
        <v>1.02</v>
      </c>
      <c r="M21" s="74">
        <v>1.02</v>
      </c>
      <c r="N21" s="74">
        <v>1.02</v>
      </c>
      <c r="O21" s="75"/>
      <c r="P21" s="20"/>
    </row>
    <row r="22" spans="1:16" ht="15" customHeight="1">
      <c r="A22" s="20"/>
      <c r="B22" s="59" t="s">
        <v>47</v>
      </c>
      <c r="C22" s="20"/>
      <c r="D22" s="20"/>
      <c r="E22" s="20"/>
      <c r="F22" s="62"/>
      <c r="G22" s="20"/>
      <c r="H22" s="20"/>
      <c r="I22" s="20"/>
      <c r="J22" s="74">
        <v>1.02</v>
      </c>
      <c r="K22" s="74">
        <v>1.02</v>
      </c>
      <c r="L22" s="74">
        <v>1.02</v>
      </c>
      <c r="M22" s="74">
        <v>1.02</v>
      </c>
      <c r="N22" s="74">
        <v>1.02</v>
      </c>
      <c r="O22" s="75"/>
      <c r="P22" s="20"/>
    </row>
    <row r="23" spans="1:16" ht="15" customHeight="1">
      <c r="A23" s="20"/>
      <c r="B23" s="59" t="s">
        <v>48</v>
      </c>
      <c r="C23" s="20"/>
      <c r="D23" s="20"/>
      <c r="E23" s="20"/>
      <c r="F23" s="62"/>
      <c r="G23" s="20"/>
      <c r="H23" s="20"/>
      <c r="I23" s="20"/>
      <c r="J23" s="74">
        <v>1.02</v>
      </c>
      <c r="K23" s="74">
        <v>1.02</v>
      </c>
      <c r="L23" s="74">
        <v>1.02</v>
      </c>
      <c r="M23" s="74">
        <v>1.02</v>
      </c>
      <c r="N23" s="74">
        <v>1.02</v>
      </c>
      <c r="O23" s="75"/>
      <c r="P23" s="20"/>
    </row>
    <row r="24" spans="1:16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6" ht="12.75" customHeight="1">
      <c r="A25" s="13"/>
      <c r="B25" s="48" t="s">
        <v>49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13"/>
    </row>
    <row r="26" spans="1:1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6" ht="12.75" customHeight="1">
      <c r="A27" s="57"/>
      <c r="B27" s="76" t="s">
        <v>50</v>
      </c>
      <c r="C27" s="57"/>
      <c r="D27" s="57"/>
      <c r="E27" s="57"/>
      <c r="F27" s="57"/>
      <c r="G27" s="77" t="str">
        <f>"FY"&amp;G10</f>
        <v>FY2023</v>
      </c>
      <c r="H27" s="77" t="str">
        <f>"FY"&amp;H10</f>
        <v>FY2024</v>
      </c>
      <c r="I27" s="77" t="str">
        <f>"FY"&amp;I10</f>
        <v>FY2025</v>
      </c>
      <c r="J27" s="57"/>
      <c r="K27" s="57"/>
      <c r="L27" s="57"/>
      <c r="M27" s="57"/>
      <c r="N27" s="57"/>
      <c r="O27" s="57"/>
      <c r="P27" s="57"/>
    </row>
    <row r="28" spans="1:16" ht="15" customHeight="1">
      <c r="A28" s="20"/>
      <c r="B28" s="78" t="s">
        <v>51</v>
      </c>
      <c r="C28" s="79"/>
      <c r="D28" s="79"/>
      <c r="E28" s="79"/>
      <c r="F28" s="79"/>
      <c r="G28" s="69">
        <v>1000</v>
      </c>
      <c r="H28" s="69">
        <v>1200</v>
      </c>
      <c r="I28" s="69">
        <v>1400</v>
      </c>
      <c r="J28" s="20"/>
      <c r="K28" s="20"/>
      <c r="L28" s="20"/>
      <c r="M28" s="20"/>
      <c r="N28" s="20"/>
      <c r="O28" s="20"/>
      <c r="P28" s="20"/>
    </row>
    <row r="29" spans="1:16" ht="15" customHeight="1">
      <c r="A29" s="20"/>
      <c r="B29" s="78" t="s">
        <v>52</v>
      </c>
      <c r="C29" s="80"/>
      <c r="D29" s="80"/>
      <c r="E29" s="80"/>
      <c r="F29" s="80"/>
      <c r="G29" s="81">
        <f>SUM(G30:G33)</f>
        <v>600</v>
      </c>
      <c r="H29" s="81">
        <f>SUM(H30:H33)</f>
        <v>600</v>
      </c>
      <c r="I29" s="81">
        <f>SUM(I30:I33)</f>
        <v>600</v>
      </c>
      <c r="J29" s="20"/>
      <c r="K29" s="20"/>
      <c r="L29" s="20"/>
      <c r="M29" s="20"/>
      <c r="N29" s="20"/>
      <c r="O29" s="20"/>
      <c r="P29" s="20"/>
    </row>
    <row r="30" spans="1:16" ht="15" customHeight="1">
      <c r="A30" s="20"/>
      <c r="B30" s="82" t="s">
        <v>53</v>
      </c>
      <c r="C30" s="20"/>
      <c r="D30" s="20"/>
      <c r="E30" s="20"/>
      <c r="F30" s="20"/>
      <c r="G30" s="81">
        <v>200</v>
      </c>
      <c r="H30" s="81">
        <v>200</v>
      </c>
      <c r="I30" s="81">
        <v>200</v>
      </c>
      <c r="J30" s="20"/>
      <c r="K30" s="20"/>
      <c r="L30" s="20"/>
      <c r="M30" s="20"/>
      <c r="N30" s="20"/>
      <c r="O30" s="20"/>
      <c r="P30" s="20"/>
    </row>
    <row r="31" spans="1:16" ht="15" customHeight="1">
      <c r="A31" s="20"/>
      <c r="B31" s="82" t="s">
        <v>54</v>
      </c>
      <c r="C31" s="20"/>
      <c r="D31" s="20"/>
      <c r="E31" s="20"/>
      <c r="F31" s="20"/>
      <c r="G31" s="69">
        <v>100</v>
      </c>
      <c r="H31" s="69">
        <v>100</v>
      </c>
      <c r="I31" s="69">
        <v>100</v>
      </c>
      <c r="J31" s="20"/>
      <c r="K31" s="20"/>
      <c r="L31" s="20"/>
      <c r="M31" s="20"/>
      <c r="N31" s="20"/>
      <c r="O31" s="20"/>
      <c r="P31" s="20"/>
    </row>
    <row r="32" spans="1:16" ht="15" customHeight="1">
      <c r="A32" s="20"/>
      <c r="B32" s="82" t="s">
        <v>55</v>
      </c>
      <c r="C32" s="20"/>
      <c r="D32" s="20"/>
      <c r="E32" s="20"/>
      <c r="F32" s="20"/>
      <c r="G32" s="69">
        <v>100</v>
      </c>
      <c r="H32" s="69">
        <v>100</v>
      </c>
      <c r="I32" s="69">
        <v>100</v>
      </c>
      <c r="J32" s="20"/>
      <c r="K32" s="20"/>
      <c r="L32" s="20"/>
      <c r="M32" s="20"/>
      <c r="N32" s="20"/>
      <c r="O32" s="20"/>
      <c r="P32" s="20"/>
    </row>
    <row r="33" spans="1:16" ht="15" customHeight="1">
      <c r="A33" s="20"/>
      <c r="B33" s="82" t="s">
        <v>56</v>
      </c>
      <c r="C33" s="20"/>
      <c r="D33" s="20"/>
      <c r="E33" s="20"/>
      <c r="F33" s="20"/>
      <c r="G33" s="83">
        <v>200</v>
      </c>
      <c r="H33" s="83">
        <v>200</v>
      </c>
      <c r="I33" s="83">
        <v>200</v>
      </c>
      <c r="J33" s="20"/>
      <c r="K33" s="20"/>
      <c r="L33" s="20"/>
      <c r="M33" s="20"/>
      <c r="N33" s="20"/>
      <c r="O33" s="20"/>
      <c r="P33" s="20"/>
    </row>
    <row r="34" spans="1:16" ht="15" customHeight="1">
      <c r="A34" s="20"/>
      <c r="B34" s="84" t="s">
        <v>57</v>
      </c>
      <c r="C34" s="79"/>
      <c r="D34" s="79"/>
      <c r="E34" s="79"/>
      <c r="F34" s="79"/>
      <c r="G34" s="69">
        <f>G28-G29</f>
        <v>400</v>
      </c>
      <c r="H34" s="69">
        <f>H28-H29</f>
        <v>600</v>
      </c>
      <c r="I34" s="69">
        <f>I28-I29</f>
        <v>800</v>
      </c>
      <c r="J34" s="20"/>
      <c r="K34" s="20"/>
      <c r="L34" s="20"/>
      <c r="M34" s="20"/>
      <c r="N34" s="20"/>
      <c r="O34" s="20"/>
      <c r="P34" s="20"/>
    </row>
    <row r="35" spans="1:16" ht="15" customHeight="1">
      <c r="A35" s="20"/>
      <c r="B35" s="85" t="s">
        <v>58</v>
      </c>
      <c r="C35" s="79"/>
      <c r="D35" s="79"/>
      <c r="E35" s="79"/>
      <c r="F35" s="86"/>
      <c r="G35" s="81">
        <f>SUM(G36:G40)</f>
        <v>330</v>
      </c>
      <c r="H35" s="81">
        <f>SUM(H36:H40)</f>
        <v>330</v>
      </c>
      <c r="I35" s="81">
        <f>SUM(I36:I40)</f>
        <v>330</v>
      </c>
      <c r="J35" s="20"/>
      <c r="K35" s="20"/>
      <c r="L35" s="20"/>
      <c r="M35" s="20"/>
      <c r="N35" s="20"/>
      <c r="O35" s="20"/>
      <c r="P35" s="20"/>
    </row>
    <row r="36" spans="1:16" ht="15" customHeight="1">
      <c r="A36" s="20"/>
      <c r="B36" s="82" t="s">
        <v>54</v>
      </c>
      <c r="C36" s="20"/>
      <c r="D36" s="20"/>
      <c r="E36" s="20"/>
      <c r="F36" s="20"/>
      <c r="G36" s="69">
        <v>100</v>
      </c>
      <c r="H36" s="69">
        <v>100</v>
      </c>
      <c r="I36" s="69">
        <v>100</v>
      </c>
      <c r="J36" s="20"/>
      <c r="K36" s="20"/>
      <c r="L36" s="20"/>
      <c r="M36" s="20"/>
      <c r="N36" s="20"/>
      <c r="O36" s="20"/>
      <c r="P36" s="20"/>
    </row>
    <row r="37" spans="1:16" ht="15" customHeight="1">
      <c r="A37" s="20"/>
      <c r="B37" s="82" t="s">
        <v>59</v>
      </c>
      <c r="C37" s="20"/>
      <c r="D37" s="20"/>
      <c r="E37" s="20"/>
      <c r="F37" s="20"/>
      <c r="G37" s="69">
        <v>50</v>
      </c>
      <c r="H37" s="69">
        <v>50</v>
      </c>
      <c r="I37" s="69">
        <v>50</v>
      </c>
      <c r="J37" s="20"/>
      <c r="K37" s="20"/>
      <c r="L37" s="20"/>
      <c r="M37" s="20"/>
      <c r="N37" s="20"/>
      <c r="O37" s="20"/>
      <c r="P37" s="20"/>
    </row>
    <row r="38" spans="1:16" ht="15" customHeight="1">
      <c r="A38" s="20"/>
      <c r="B38" s="82" t="s">
        <v>60</v>
      </c>
      <c r="C38" s="20"/>
      <c r="D38" s="20"/>
      <c r="E38" s="20"/>
      <c r="F38" s="20"/>
      <c r="G38" s="69">
        <v>60</v>
      </c>
      <c r="H38" s="69">
        <v>60</v>
      </c>
      <c r="I38" s="69">
        <v>60</v>
      </c>
      <c r="J38" s="20"/>
      <c r="K38" s="20"/>
      <c r="L38" s="20"/>
      <c r="M38" s="20"/>
      <c r="N38" s="20"/>
      <c r="O38" s="20"/>
      <c r="P38" s="20"/>
    </row>
    <row r="39" spans="1:16" ht="15" customHeight="1">
      <c r="A39" s="20"/>
      <c r="B39" s="82" t="s">
        <v>61</v>
      </c>
      <c r="C39" s="20"/>
      <c r="D39" s="20"/>
      <c r="E39" s="20"/>
      <c r="F39" s="20"/>
      <c r="G39" s="69">
        <v>70</v>
      </c>
      <c r="H39" s="69">
        <v>70</v>
      </c>
      <c r="I39" s="69">
        <v>70</v>
      </c>
      <c r="J39" s="20"/>
      <c r="K39" s="20"/>
      <c r="L39" s="20"/>
      <c r="M39" s="20"/>
      <c r="N39" s="20"/>
      <c r="O39" s="20"/>
      <c r="P39" s="20"/>
    </row>
    <row r="40" spans="1:16" ht="15" customHeight="1">
      <c r="A40" s="20"/>
      <c r="B40" s="82" t="s">
        <v>62</v>
      </c>
      <c r="C40" s="20"/>
      <c r="D40" s="20"/>
      <c r="E40" s="20"/>
      <c r="F40" s="20"/>
      <c r="G40" s="83">
        <v>50</v>
      </c>
      <c r="H40" s="83">
        <v>50</v>
      </c>
      <c r="I40" s="83">
        <v>50</v>
      </c>
      <c r="J40" s="20"/>
      <c r="K40" s="20"/>
      <c r="L40" s="20"/>
      <c r="M40" s="20"/>
      <c r="N40" s="20"/>
      <c r="O40" s="20"/>
      <c r="P40" s="20"/>
    </row>
    <row r="41" spans="1:16" ht="15" customHeight="1">
      <c r="A41" s="20"/>
      <c r="B41" s="84" t="s">
        <v>63</v>
      </c>
      <c r="C41" s="79"/>
      <c r="D41" s="79"/>
      <c r="E41" s="79"/>
      <c r="F41" s="79"/>
      <c r="G41" s="69">
        <f>G34-G35</f>
        <v>70</v>
      </c>
      <c r="H41" s="69">
        <f>H34-H35</f>
        <v>270</v>
      </c>
      <c r="I41" s="69">
        <f>I34-I35</f>
        <v>470</v>
      </c>
      <c r="J41" s="20"/>
      <c r="K41" s="20"/>
      <c r="L41" s="20"/>
      <c r="M41" s="20"/>
      <c r="N41" s="20"/>
      <c r="O41" s="20"/>
      <c r="P41" s="20"/>
    </row>
    <row r="42" spans="1:16" ht="15" customHeight="1">
      <c r="A42" s="20"/>
      <c r="B42" s="87" t="s">
        <v>64</v>
      </c>
      <c r="C42" s="20"/>
      <c r="D42" s="20"/>
      <c r="E42" s="20"/>
      <c r="F42" s="20"/>
      <c r="G42" s="88">
        <v>10</v>
      </c>
      <c r="H42" s="88">
        <v>10</v>
      </c>
      <c r="I42" s="88">
        <v>10</v>
      </c>
      <c r="J42" s="20"/>
      <c r="K42" s="20"/>
      <c r="L42" s="20"/>
      <c r="M42" s="20"/>
      <c r="N42" s="20"/>
      <c r="O42" s="20"/>
      <c r="P42" s="20"/>
    </row>
    <row r="43" spans="1:16" ht="15" customHeight="1">
      <c r="A43" s="20"/>
      <c r="B43" s="89" t="s">
        <v>65</v>
      </c>
      <c r="C43" s="79"/>
      <c r="D43" s="79"/>
      <c r="E43" s="79"/>
      <c r="F43" s="86"/>
      <c r="G43" s="69">
        <f>G41+G42</f>
        <v>80</v>
      </c>
      <c r="H43" s="69">
        <f>H41+H42</f>
        <v>280</v>
      </c>
      <c r="I43" s="69">
        <f>I41+I42</f>
        <v>480</v>
      </c>
      <c r="J43" s="20"/>
      <c r="K43" s="20"/>
      <c r="L43" s="20"/>
      <c r="M43" s="20"/>
      <c r="N43" s="20"/>
      <c r="O43" s="20"/>
      <c r="P43" s="20"/>
    </row>
    <row r="44" spans="1:16" ht="15" customHeight="1">
      <c r="A44" s="20"/>
      <c r="B44" s="90" t="s">
        <v>66</v>
      </c>
      <c r="C44" s="80"/>
      <c r="D44" s="80"/>
      <c r="E44" s="80"/>
      <c r="F44" s="80"/>
      <c r="G44" s="69">
        <f>G45-G48</f>
        <v>0</v>
      </c>
      <c r="H44" s="69">
        <f>H45-H48</f>
        <v>0</v>
      </c>
      <c r="I44" s="69">
        <f>I45-I48</f>
        <v>0</v>
      </c>
      <c r="J44" s="20"/>
      <c r="K44" s="20"/>
      <c r="L44" s="20"/>
      <c r="M44" s="20"/>
      <c r="N44" s="20"/>
      <c r="O44" s="20"/>
      <c r="P44" s="20"/>
    </row>
    <row r="45" spans="1:16" ht="15" customHeight="1">
      <c r="A45" s="20"/>
      <c r="B45" s="82" t="s">
        <v>67</v>
      </c>
      <c r="C45" s="20"/>
      <c r="D45" s="20"/>
      <c r="E45" s="20"/>
      <c r="F45" s="20"/>
      <c r="G45" s="69">
        <f>SUM(G46:G47)</f>
        <v>20</v>
      </c>
      <c r="H45" s="69">
        <f>SUM(H46:H47)</f>
        <v>20</v>
      </c>
      <c r="I45" s="69">
        <f>SUM(I46:I47)</f>
        <v>20</v>
      </c>
      <c r="J45" s="20"/>
      <c r="K45" s="20"/>
      <c r="L45" s="20"/>
      <c r="M45" s="20"/>
      <c r="N45" s="20"/>
      <c r="O45" s="20"/>
      <c r="P45" s="20"/>
    </row>
    <row r="46" spans="1:16" ht="15" customHeight="1">
      <c r="A46" s="20"/>
      <c r="B46" s="91" t="s">
        <v>68</v>
      </c>
      <c r="C46" s="20"/>
      <c r="D46" s="20"/>
      <c r="E46" s="20"/>
      <c r="F46" s="20"/>
      <c r="G46" s="69">
        <v>10</v>
      </c>
      <c r="H46" s="69">
        <v>10</v>
      </c>
      <c r="I46" s="69">
        <v>10</v>
      </c>
      <c r="J46" s="20"/>
      <c r="K46" s="20"/>
      <c r="L46" s="20"/>
      <c r="M46" s="20"/>
      <c r="N46" s="20"/>
      <c r="O46" s="20"/>
      <c r="P46" s="20"/>
    </row>
    <row r="47" spans="1:16" ht="15" customHeight="1">
      <c r="A47" s="20"/>
      <c r="B47" s="91" t="s">
        <v>69</v>
      </c>
      <c r="C47" s="20"/>
      <c r="D47" s="20"/>
      <c r="E47" s="20"/>
      <c r="F47" s="20"/>
      <c r="G47" s="69">
        <v>10</v>
      </c>
      <c r="H47" s="69">
        <v>10</v>
      </c>
      <c r="I47" s="69">
        <v>10</v>
      </c>
      <c r="J47" s="20"/>
      <c r="K47" s="20"/>
      <c r="L47" s="20"/>
      <c r="M47" s="20"/>
      <c r="N47" s="20"/>
      <c r="O47" s="20"/>
      <c r="P47" s="20"/>
    </row>
    <row r="48" spans="1:16" ht="15" customHeight="1">
      <c r="A48" s="20"/>
      <c r="B48" s="82" t="s">
        <v>70</v>
      </c>
      <c r="C48" s="20"/>
      <c r="D48" s="20"/>
      <c r="E48" s="20"/>
      <c r="F48" s="20"/>
      <c r="G48" s="69">
        <f>SUM(G49:G50)</f>
        <v>20</v>
      </c>
      <c r="H48" s="69">
        <f>SUM(H49:H50)</f>
        <v>20</v>
      </c>
      <c r="I48" s="69">
        <f>SUM(I49:I50)</f>
        <v>20</v>
      </c>
      <c r="J48" s="20"/>
      <c r="K48" s="20"/>
      <c r="L48" s="20"/>
      <c r="M48" s="20"/>
      <c r="N48" s="20"/>
      <c r="O48" s="20"/>
      <c r="P48" s="20"/>
    </row>
    <row r="49" spans="1:16" ht="15" customHeight="1">
      <c r="A49" s="20"/>
      <c r="B49" s="91" t="s">
        <v>71</v>
      </c>
      <c r="C49" s="20"/>
      <c r="D49" s="20"/>
      <c r="E49" s="20"/>
      <c r="F49" s="20"/>
      <c r="G49" s="69">
        <v>10</v>
      </c>
      <c r="H49" s="69">
        <v>10</v>
      </c>
      <c r="I49" s="69">
        <v>10</v>
      </c>
      <c r="J49" s="20"/>
      <c r="K49" s="20"/>
      <c r="L49" s="20"/>
      <c r="M49" s="20"/>
      <c r="N49" s="20"/>
      <c r="O49" s="20"/>
      <c r="P49" s="20"/>
    </row>
    <row r="50" spans="1:16" ht="15" customHeight="1">
      <c r="A50" s="20"/>
      <c r="B50" s="91" t="s">
        <v>69</v>
      </c>
      <c r="C50" s="20"/>
      <c r="D50" s="20"/>
      <c r="E50" s="20"/>
      <c r="F50" s="20"/>
      <c r="G50" s="69">
        <v>10</v>
      </c>
      <c r="H50" s="69">
        <v>10</v>
      </c>
      <c r="I50" s="69">
        <v>10</v>
      </c>
      <c r="J50" s="20"/>
      <c r="K50" s="20"/>
      <c r="L50" s="20"/>
      <c r="M50" s="20"/>
      <c r="N50" s="20"/>
      <c r="O50" s="20"/>
      <c r="P50" s="20"/>
    </row>
    <row r="51" spans="1:16" ht="15" customHeight="1">
      <c r="A51" s="20"/>
      <c r="B51" s="84" t="s">
        <v>72</v>
      </c>
      <c r="C51" s="79"/>
      <c r="D51" s="79"/>
      <c r="E51" s="79"/>
      <c r="F51" s="79"/>
      <c r="G51" s="69">
        <f>G41+G44</f>
        <v>70</v>
      </c>
      <c r="H51" s="69">
        <f>H41+H44</f>
        <v>270</v>
      </c>
      <c r="I51" s="69">
        <f>I41+I44</f>
        <v>470</v>
      </c>
      <c r="J51" s="20"/>
      <c r="K51" s="20"/>
      <c r="L51" s="20"/>
      <c r="M51" s="20"/>
      <c r="N51" s="20"/>
      <c r="O51" s="20"/>
      <c r="P51" s="20"/>
    </row>
    <row r="52" spans="1:16" ht="15" customHeight="1">
      <c r="A52" s="20"/>
      <c r="B52" s="87" t="s">
        <v>73</v>
      </c>
      <c r="C52" s="20"/>
      <c r="D52" s="20"/>
      <c r="E52" s="20"/>
      <c r="F52" s="20"/>
      <c r="G52" s="88">
        <v>20</v>
      </c>
      <c r="H52" s="88">
        <v>30</v>
      </c>
      <c r="I52" s="88">
        <v>40</v>
      </c>
      <c r="J52" s="20"/>
      <c r="K52" s="20"/>
      <c r="L52" s="20"/>
      <c r="M52" s="20"/>
      <c r="N52" s="20"/>
      <c r="O52" s="20"/>
      <c r="P52" s="20"/>
    </row>
    <row r="53" spans="1:16" ht="15" customHeight="1">
      <c r="A53" s="70"/>
      <c r="B53" s="92" t="s">
        <v>74</v>
      </c>
      <c r="C53" s="93"/>
      <c r="D53" s="93"/>
      <c r="E53" s="93"/>
      <c r="F53" s="93"/>
      <c r="G53" s="94">
        <f>G51-G52</f>
        <v>50</v>
      </c>
      <c r="H53" s="94">
        <f>H51-H52</f>
        <v>240</v>
      </c>
      <c r="I53" s="94">
        <f>I51-I52</f>
        <v>430</v>
      </c>
      <c r="J53" s="70"/>
      <c r="K53" s="70"/>
      <c r="L53" s="70"/>
      <c r="M53" s="70"/>
      <c r="N53" s="70"/>
      <c r="O53" s="70"/>
      <c r="P53" s="70"/>
    </row>
    <row r="54" spans="1:16" ht="15" customHeight="1">
      <c r="A54" s="8"/>
      <c r="B54" s="95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6" ht="15" customHeight="1">
      <c r="A55" s="57"/>
      <c r="B55" s="96" t="s">
        <v>75</v>
      </c>
      <c r="C55" s="57"/>
      <c r="D55" s="57"/>
      <c r="E55" s="57"/>
      <c r="F55" s="57"/>
      <c r="G55" s="77" t="str">
        <f>"Dec"&amp;G10</f>
        <v>Dec2023</v>
      </c>
      <c r="H55" s="77" t="str">
        <f>"Dec"&amp;H10</f>
        <v>Dec2024</v>
      </c>
      <c r="I55" s="77" t="str">
        <f>"Dec"&amp;I10</f>
        <v>Dec2025</v>
      </c>
      <c r="J55" s="57"/>
      <c r="K55" s="57"/>
      <c r="L55" s="57"/>
      <c r="M55" s="57"/>
      <c r="N55" s="57"/>
      <c r="O55" s="57"/>
      <c r="P55" s="57"/>
    </row>
    <row r="56" spans="1:16" ht="15" customHeight="1">
      <c r="A56" s="20"/>
      <c r="B56" s="97" t="s">
        <v>76</v>
      </c>
      <c r="C56" s="79"/>
      <c r="D56" s="79"/>
      <c r="E56" s="79"/>
      <c r="F56" s="79"/>
      <c r="G56" s="69">
        <f>SUM(G57:G60)</f>
        <v>250</v>
      </c>
      <c r="H56" s="69">
        <f>SUM(H57:H60)</f>
        <v>250</v>
      </c>
      <c r="I56" s="69">
        <f>SUM(I57:I60)</f>
        <v>250</v>
      </c>
      <c r="J56" s="20"/>
      <c r="K56" s="20"/>
      <c r="L56" s="20"/>
      <c r="M56" s="20"/>
      <c r="N56" s="20"/>
      <c r="O56" s="20"/>
      <c r="P56" s="20"/>
    </row>
    <row r="57" spans="1:16" ht="15" customHeight="1">
      <c r="A57" s="20"/>
      <c r="B57" s="98" t="s">
        <v>77</v>
      </c>
      <c r="C57" s="20"/>
      <c r="D57" s="20"/>
      <c r="E57" s="20"/>
      <c r="F57" s="20"/>
      <c r="G57" s="81">
        <v>50</v>
      </c>
      <c r="H57" s="81">
        <v>50</v>
      </c>
      <c r="I57" s="81">
        <v>50</v>
      </c>
      <c r="J57" s="20"/>
      <c r="K57" s="20"/>
      <c r="L57" s="20"/>
      <c r="M57" s="20"/>
      <c r="N57" s="20"/>
      <c r="O57" s="20"/>
      <c r="P57" s="20"/>
    </row>
    <row r="58" spans="1:16" ht="15" customHeight="1">
      <c r="A58" s="20"/>
      <c r="B58" s="98" t="s">
        <v>78</v>
      </c>
      <c r="C58" s="20"/>
      <c r="D58" s="20"/>
      <c r="E58" s="20"/>
      <c r="F58" s="20"/>
      <c r="G58" s="69">
        <v>100</v>
      </c>
      <c r="H58" s="69">
        <v>100</v>
      </c>
      <c r="I58" s="69">
        <v>100</v>
      </c>
      <c r="J58" s="20"/>
      <c r="K58" s="20"/>
      <c r="L58" s="20"/>
      <c r="M58" s="20"/>
      <c r="N58" s="20"/>
      <c r="O58" s="20"/>
      <c r="P58" s="20"/>
    </row>
    <row r="59" spans="1:16" ht="15" customHeight="1">
      <c r="A59" s="20"/>
      <c r="B59" s="98" t="s">
        <v>79</v>
      </c>
      <c r="C59" s="20"/>
      <c r="D59" s="20"/>
      <c r="E59" s="20"/>
      <c r="F59" s="20"/>
      <c r="G59" s="69">
        <v>100</v>
      </c>
      <c r="H59" s="69">
        <v>100</v>
      </c>
      <c r="I59" s="69">
        <v>100</v>
      </c>
      <c r="J59" s="20"/>
      <c r="K59" s="20"/>
      <c r="L59" s="20"/>
      <c r="M59" s="20"/>
      <c r="N59" s="20"/>
      <c r="O59" s="20"/>
      <c r="P59" s="20"/>
    </row>
    <row r="60" spans="1:16" ht="15" customHeight="1">
      <c r="A60" s="20"/>
      <c r="B60" s="98" t="s">
        <v>80</v>
      </c>
      <c r="C60" s="20"/>
      <c r="D60" s="20"/>
      <c r="E60" s="20"/>
      <c r="F60" s="20"/>
      <c r="G60" s="83"/>
      <c r="H60" s="83"/>
      <c r="I60" s="83"/>
      <c r="J60" s="20"/>
      <c r="K60" s="20"/>
      <c r="L60" s="20"/>
      <c r="M60" s="20"/>
      <c r="N60" s="20"/>
      <c r="O60" s="20"/>
      <c r="P60" s="20"/>
    </row>
    <row r="61" spans="1:16" ht="15" customHeight="1">
      <c r="A61" s="20"/>
      <c r="B61" s="97" t="s">
        <v>81</v>
      </c>
      <c r="C61" s="79"/>
      <c r="D61" s="79"/>
      <c r="E61" s="79"/>
      <c r="F61" s="79"/>
      <c r="G61" s="69">
        <f>SUM(G62:G65)</f>
        <v>0</v>
      </c>
      <c r="H61" s="69">
        <f>SUM(H62:H65)</f>
        <v>0</v>
      </c>
      <c r="I61" s="69">
        <f>SUM(I62:I65)</f>
        <v>0</v>
      </c>
      <c r="J61" s="20"/>
      <c r="K61" s="20"/>
      <c r="L61" s="20"/>
      <c r="M61" s="20"/>
      <c r="N61" s="20"/>
      <c r="O61" s="20"/>
      <c r="P61" s="20"/>
    </row>
    <row r="62" spans="1:16" ht="15" customHeight="1">
      <c r="A62" s="20"/>
      <c r="B62" s="98" t="s">
        <v>82</v>
      </c>
      <c r="C62" s="20"/>
      <c r="D62" s="20"/>
      <c r="E62" s="20"/>
      <c r="F62" s="20"/>
      <c r="G62" s="81"/>
      <c r="H62" s="81"/>
      <c r="I62" s="81"/>
      <c r="J62" s="20"/>
      <c r="K62" s="20"/>
      <c r="L62" s="20"/>
      <c r="M62" s="20"/>
      <c r="N62" s="20"/>
      <c r="O62" s="20"/>
      <c r="P62" s="20"/>
    </row>
    <row r="63" spans="1:16" ht="15" customHeight="1">
      <c r="A63" s="20"/>
      <c r="B63" s="98" t="s">
        <v>83</v>
      </c>
      <c r="C63" s="20"/>
      <c r="D63" s="20"/>
      <c r="E63" s="20"/>
      <c r="F63" s="20"/>
      <c r="G63" s="69"/>
      <c r="H63" s="69"/>
      <c r="I63" s="69"/>
      <c r="J63" s="20"/>
      <c r="K63" s="20"/>
      <c r="L63" s="20"/>
      <c r="M63" s="20"/>
      <c r="N63" s="20"/>
      <c r="O63" s="20"/>
      <c r="P63" s="20"/>
    </row>
    <row r="64" spans="1:16" ht="15" customHeight="1">
      <c r="A64" s="20"/>
      <c r="B64" s="98" t="s">
        <v>84</v>
      </c>
      <c r="C64" s="20"/>
      <c r="D64" s="20"/>
      <c r="E64" s="20"/>
      <c r="F64" s="20"/>
      <c r="G64" s="69"/>
      <c r="H64" s="69"/>
      <c r="I64" s="69"/>
      <c r="J64" s="20"/>
      <c r="K64" s="20"/>
      <c r="L64" s="20"/>
      <c r="M64" s="20"/>
      <c r="N64" s="20"/>
      <c r="O64" s="20"/>
      <c r="P64" s="20"/>
    </row>
    <row r="65" spans="1:16" ht="15" customHeight="1">
      <c r="A65" s="20"/>
      <c r="B65" s="98" t="s">
        <v>85</v>
      </c>
      <c r="C65" s="20"/>
      <c r="D65" s="20"/>
      <c r="E65" s="20"/>
      <c r="F65" s="20"/>
      <c r="G65" s="83"/>
      <c r="H65" s="83"/>
      <c r="I65" s="83"/>
      <c r="J65" s="20"/>
      <c r="K65" s="20"/>
      <c r="L65" s="20"/>
      <c r="M65" s="20"/>
      <c r="N65" s="20"/>
      <c r="O65" s="20"/>
      <c r="P65" s="20"/>
    </row>
    <row r="66" spans="1:16" ht="15" customHeight="1">
      <c r="A66" s="20"/>
      <c r="B66" s="98" t="s">
        <v>86</v>
      </c>
      <c r="C66" s="20"/>
      <c r="D66" s="20"/>
      <c r="E66" s="20"/>
      <c r="F66" s="20"/>
      <c r="G66" s="83"/>
      <c r="H66" s="83"/>
      <c r="I66" s="83"/>
      <c r="J66" s="20"/>
      <c r="K66" s="20"/>
      <c r="L66" s="20"/>
      <c r="M66" s="20"/>
      <c r="N66" s="20"/>
      <c r="O66" s="20"/>
      <c r="P66" s="20"/>
    </row>
    <row r="67" spans="1:16" ht="15" customHeight="1">
      <c r="A67" s="20"/>
      <c r="B67" s="97" t="s">
        <v>87</v>
      </c>
      <c r="C67" s="79"/>
      <c r="D67" s="79"/>
      <c r="E67" s="79"/>
      <c r="F67" s="86"/>
      <c r="G67" s="99">
        <f>+G56+G61</f>
        <v>250</v>
      </c>
      <c r="H67" s="99">
        <f>+H56+H61</f>
        <v>250</v>
      </c>
      <c r="I67" s="99">
        <f>+I56+I61</f>
        <v>250</v>
      </c>
      <c r="J67" s="20"/>
      <c r="K67" s="20"/>
      <c r="L67" s="20"/>
      <c r="M67" s="20"/>
      <c r="N67" s="20"/>
      <c r="O67" s="20"/>
      <c r="P67" s="20"/>
    </row>
    <row r="68" spans="1:16" ht="15" customHeight="1">
      <c r="A68" s="20"/>
      <c r="B68" s="100" t="s">
        <v>88</v>
      </c>
      <c r="C68" s="80"/>
      <c r="D68" s="80"/>
      <c r="E68" s="80"/>
      <c r="F68" s="80"/>
      <c r="G68" s="69">
        <f>SUM(G69:G72)</f>
        <v>300</v>
      </c>
      <c r="H68" s="69">
        <f>SUM(H69:H72)</f>
        <v>300</v>
      </c>
      <c r="I68" s="69">
        <f>SUM(I69:I72)</f>
        <v>300</v>
      </c>
      <c r="J68" s="20"/>
      <c r="K68" s="20"/>
      <c r="L68" s="20"/>
      <c r="M68" s="20"/>
      <c r="N68" s="20"/>
      <c r="O68" s="20"/>
      <c r="P68" s="20"/>
    </row>
    <row r="69" spans="1:16" ht="15" customHeight="1">
      <c r="A69" s="20"/>
      <c r="B69" s="98" t="s">
        <v>89</v>
      </c>
      <c r="C69" s="20"/>
      <c r="D69" s="20"/>
      <c r="E69" s="20"/>
      <c r="F69" s="20"/>
      <c r="G69" s="81">
        <v>200</v>
      </c>
      <c r="H69" s="81">
        <v>200</v>
      </c>
      <c r="I69" s="81">
        <v>200</v>
      </c>
      <c r="J69" s="20"/>
      <c r="K69" s="20"/>
      <c r="L69" s="20"/>
      <c r="M69" s="20"/>
      <c r="N69" s="20"/>
      <c r="O69" s="20"/>
      <c r="P69" s="20"/>
    </row>
    <row r="70" spans="1:16" ht="15" customHeight="1">
      <c r="A70" s="20"/>
      <c r="B70" s="98" t="s">
        <v>90</v>
      </c>
      <c r="C70" s="20"/>
      <c r="D70" s="20"/>
      <c r="E70" s="20"/>
      <c r="F70" s="20"/>
      <c r="G70" s="69"/>
      <c r="H70" s="69"/>
      <c r="I70" s="69"/>
      <c r="J70" s="20"/>
      <c r="K70" s="20"/>
      <c r="L70" s="20"/>
      <c r="M70" s="20"/>
      <c r="N70" s="20"/>
      <c r="O70" s="20"/>
      <c r="P70" s="20"/>
    </row>
    <row r="71" spans="1:16" ht="15" customHeight="1">
      <c r="A71" s="20"/>
      <c r="B71" s="98" t="s">
        <v>91</v>
      </c>
      <c r="C71" s="20"/>
      <c r="D71" s="20"/>
      <c r="E71" s="20"/>
      <c r="F71" s="20"/>
      <c r="G71" s="69">
        <v>100</v>
      </c>
      <c r="H71" s="69">
        <v>100</v>
      </c>
      <c r="I71" s="69">
        <v>100</v>
      </c>
      <c r="J71" s="20"/>
      <c r="K71" s="20"/>
      <c r="L71" s="20"/>
      <c r="M71" s="20"/>
      <c r="N71" s="20"/>
      <c r="O71" s="20"/>
      <c r="P71" s="20"/>
    </row>
    <row r="72" spans="1:16" ht="15" customHeight="1">
      <c r="A72" s="20"/>
      <c r="B72" s="98" t="s">
        <v>92</v>
      </c>
      <c r="C72" s="20"/>
      <c r="D72" s="20"/>
      <c r="E72" s="20"/>
      <c r="F72" s="20"/>
      <c r="G72" s="83"/>
      <c r="H72" s="83"/>
      <c r="I72" s="83"/>
      <c r="J72" s="20"/>
      <c r="K72" s="20"/>
      <c r="L72" s="20"/>
      <c r="M72" s="20"/>
      <c r="N72" s="20"/>
      <c r="O72" s="20"/>
      <c r="P72" s="20"/>
    </row>
    <row r="73" spans="1:16" ht="15" customHeight="1">
      <c r="A73" s="20"/>
      <c r="B73" s="97" t="s">
        <v>93</v>
      </c>
      <c r="C73" s="79"/>
      <c r="D73" s="79"/>
      <c r="E73" s="79"/>
      <c r="F73" s="79"/>
      <c r="G73" s="69">
        <f>SUM(G74:G77)</f>
        <v>200</v>
      </c>
      <c r="H73" s="69">
        <f>SUM(H74:H77)</f>
        <v>200</v>
      </c>
      <c r="I73" s="69">
        <f>SUM(I74:I77)</f>
        <v>200</v>
      </c>
      <c r="J73" s="20"/>
      <c r="K73" s="20"/>
      <c r="L73" s="20"/>
      <c r="M73" s="20"/>
      <c r="N73" s="20"/>
      <c r="O73" s="20"/>
      <c r="P73" s="20"/>
    </row>
    <row r="74" spans="1:16" ht="15" customHeight="1">
      <c r="A74" s="20"/>
      <c r="B74" s="98" t="s">
        <v>94</v>
      </c>
      <c r="C74" s="20"/>
      <c r="D74" s="20"/>
      <c r="E74" s="20"/>
      <c r="F74" s="20"/>
      <c r="G74" s="81">
        <v>200</v>
      </c>
      <c r="H74" s="81">
        <v>200</v>
      </c>
      <c r="I74" s="81">
        <v>200</v>
      </c>
      <c r="J74" s="20"/>
      <c r="K74" s="20"/>
      <c r="L74" s="20"/>
      <c r="M74" s="20"/>
      <c r="N74" s="20"/>
      <c r="O74" s="20"/>
      <c r="P74" s="20"/>
    </row>
    <row r="75" spans="1:16" ht="15" customHeight="1">
      <c r="A75" s="20"/>
      <c r="B75" s="98" t="s">
        <v>95</v>
      </c>
      <c r="C75" s="20"/>
      <c r="D75" s="20"/>
      <c r="E75" s="20"/>
      <c r="F75" s="20"/>
      <c r="G75" s="81"/>
      <c r="H75" s="81"/>
      <c r="I75" s="81"/>
      <c r="J75" s="20"/>
      <c r="K75" s="20"/>
      <c r="L75" s="20"/>
      <c r="M75" s="20"/>
      <c r="N75" s="20"/>
      <c r="O75" s="20"/>
      <c r="P75" s="20"/>
    </row>
    <row r="76" spans="1:16" ht="15" customHeight="1">
      <c r="A76" s="20"/>
      <c r="B76" s="98" t="s">
        <v>96</v>
      </c>
      <c r="C76" s="20"/>
      <c r="D76" s="20"/>
      <c r="E76" s="20"/>
      <c r="F76" s="20"/>
      <c r="G76" s="69"/>
      <c r="H76" s="69"/>
      <c r="I76" s="69"/>
      <c r="J76" s="20"/>
      <c r="K76" s="20"/>
      <c r="L76" s="20"/>
      <c r="M76" s="20"/>
      <c r="N76" s="20"/>
      <c r="O76" s="20"/>
      <c r="P76" s="20"/>
    </row>
    <row r="77" spans="1:16" ht="15" customHeight="1">
      <c r="A77" s="20"/>
      <c r="B77" s="98" t="s">
        <v>97</v>
      </c>
      <c r="C77" s="20"/>
      <c r="D77" s="20"/>
      <c r="E77" s="20"/>
      <c r="F77" s="20"/>
      <c r="G77" s="83"/>
      <c r="H77" s="83"/>
      <c r="I77" s="83"/>
      <c r="J77" s="20"/>
      <c r="K77" s="20"/>
      <c r="L77" s="20"/>
      <c r="M77" s="20"/>
      <c r="N77" s="20"/>
      <c r="O77" s="20"/>
      <c r="P77" s="20"/>
    </row>
    <row r="78" spans="1:16" ht="15" customHeight="1">
      <c r="A78" s="20"/>
      <c r="B78" s="97" t="s">
        <v>98</v>
      </c>
      <c r="C78" s="79"/>
      <c r="D78" s="79"/>
      <c r="E78" s="79"/>
      <c r="F78" s="79"/>
      <c r="G78" s="99">
        <f>+G68+G73</f>
        <v>500</v>
      </c>
      <c r="H78" s="99">
        <f>+H68+H73</f>
        <v>500</v>
      </c>
      <c r="I78" s="99">
        <f>+I68+I73</f>
        <v>500</v>
      </c>
      <c r="J78" s="20"/>
      <c r="K78" s="20"/>
      <c r="L78" s="20"/>
      <c r="M78" s="20"/>
      <c r="N78" s="20"/>
      <c r="O78" s="20"/>
      <c r="P78" s="20"/>
    </row>
    <row r="79" spans="1:16" ht="15" customHeight="1">
      <c r="A79" s="70"/>
      <c r="B79" s="101" t="s">
        <v>99</v>
      </c>
      <c r="C79" s="93"/>
      <c r="D79" s="93"/>
      <c r="E79" s="93"/>
      <c r="F79" s="93"/>
      <c r="G79" s="102">
        <f>G67-G78</f>
        <v>-250</v>
      </c>
      <c r="H79" s="102">
        <f>H67-H78</f>
        <v>-250</v>
      </c>
      <c r="I79" s="102">
        <f>I67-I78</f>
        <v>-250</v>
      </c>
      <c r="J79" s="70"/>
      <c r="K79" s="70"/>
      <c r="L79" s="70"/>
      <c r="M79" s="70"/>
      <c r="N79" s="70"/>
      <c r="O79" s="70"/>
      <c r="P79" s="70"/>
    </row>
    <row r="80" spans="1:16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6" ht="12.75" customHeight="1" outlineLevel="1">
      <c r="A81" s="13"/>
      <c r="B81" s="48" t="s">
        <v>100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13"/>
    </row>
    <row r="82" spans="1:16" ht="12.75" customHeight="1" outlineLevel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6" ht="12.75" customHeight="1" outlineLevel="1">
      <c r="A83" s="8"/>
      <c r="B83" s="103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8"/>
    </row>
    <row r="84" spans="1:16" ht="12.75" customHeight="1" outlineLevel="1">
      <c r="A84" s="57"/>
      <c r="B84" s="105" t="s">
        <v>101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</row>
    <row r="85" spans="1:16" ht="15" customHeight="1" outlineLevel="1">
      <c r="A85" s="20"/>
      <c r="B85" s="61" t="s">
        <v>102</v>
      </c>
      <c r="C85" s="20"/>
      <c r="D85" s="20"/>
      <c r="E85" s="106">
        <v>30000</v>
      </c>
      <c r="F85" s="62" t="s">
        <v>103</v>
      </c>
      <c r="G85" s="20"/>
      <c r="H85" s="20"/>
      <c r="I85" s="20"/>
      <c r="J85" s="69">
        <f>$E85</f>
        <v>30000</v>
      </c>
      <c r="K85" s="69">
        <f>$E85</f>
        <v>30000</v>
      </c>
      <c r="L85" s="69">
        <f>$E85</f>
        <v>30000</v>
      </c>
      <c r="M85" s="69">
        <f>$E85</f>
        <v>30000</v>
      </c>
      <c r="N85" s="69">
        <f>$E85</f>
        <v>30000</v>
      </c>
      <c r="O85" s="107"/>
      <c r="P85" s="20"/>
    </row>
    <row r="86" spans="1:16" ht="15" customHeight="1" outlineLevel="1">
      <c r="A86" s="20"/>
      <c r="B86" s="59" t="s">
        <v>104</v>
      </c>
      <c r="C86" s="20"/>
      <c r="D86" s="20"/>
      <c r="E86" s="106">
        <v>30000</v>
      </c>
      <c r="F86" s="62" t="s">
        <v>105</v>
      </c>
      <c r="G86" s="20"/>
      <c r="H86" s="20"/>
      <c r="I86" s="20"/>
      <c r="J86" s="69">
        <f>$E$86</f>
        <v>30000</v>
      </c>
      <c r="K86" s="69">
        <f>J86</f>
        <v>30000</v>
      </c>
      <c r="L86" s="69">
        <f>K86</f>
        <v>30000</v>
      </c>
      <c r="M86" s="69">
        <f>L86</f>
        <v>30000</v>
      </c>
      <c r="N86" s="69">
        <f>M86</f>
        <v>30000</v>
      </c>
      <c r="O86" s="107"/>
      <c r="P86" s="20"/>
    </row>
    <row r="87" spans="1:16" ht="12.75" customHeight="1" outlineLevel="1">
      <c r="A87" s="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8"/>
    </row>
    <row r="88" spans="1:16" ht="12.75" customHeight="1" outlineLevel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6" ht="12.75" customHeight="1" outlineLevel="1">
      <c r="A89" s="8"/>
      <c r="B89" s="103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8"/>
    </row>
    <row r="90" spans="1:16" ht="12.75" customHeight="1" outlineLevel="1">
      <c r="A90" s="57"/>
      <c r="B90" s="105" t="s">
        <v>106</v>
      </c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</row>
    <row r="91" spans="1:16" ht="15" customHeight="1" outlineLevel="1">
      <c r="A91" s="20"/>
      <c r="B91" s="61" t="s">
        <v>102</v>
      </c>
      <c r="C91" s="20"/>
      <c r="D91" s="20"/>
      <c r="E91" s="106">
        <v>20000</v>
      </c>
      <c r="F91" s="62" t="s">
        <v>103</v>
      </c>
      <c r="G91" s="20"/>
      <c r="H91" s="20"/>
      <c r="I91" s="20"/>
      <c r="J91" s="69">
        <f>$E91</f>
        <v>20000</v>
      </c>
      <c r="K91" s="69">
        <f>$E91</f>
        <v>20000</v>
      </c>
      <c r="L91" s="69">
        <f>$E91</f>
        <v>20000</v>
      </c>
      <c r="M91" s="69">
        <f>$E91</f>
        <v>20000</v>
      </c>
      <c r="N91" s="69">
        <f>$E91</f>
        <v>20000</v>
      </c>
      <c r="O91" s="107"/>
      <c r="P91" s="20"/>
    </row>
    <row r="92" spans="1:16" ht="15" customHeight="1" outlineLevel="1">
      <c r="A92" s="20"/>
      <c r="B92" s="59" t="s">
        <v>104</v>
      </c>
      <c r="C92" s="20"/>
      <c r="D92" s="20"/>
      <c r="E92" s="106">
        <v>20000</v>
      </c>
      <c r="F92" s="62" t="s">
        <v>105</v>
      </c>
      <c r="G92" s="20"/>
      <c r="H92" s="20"/>
      <c r="I92" s="20"/>
      <c r="J92" s="69">
        <f>$E$92</f>
        <v>20000</v>
      </c>
      <c r="K92" s="69">
        <f>J92</f>
        <v>20000</v>
      </c>
      <c r="L92" s="69">
        <f>K92</f>
        <v>20000</v>
      </c>
      <c r="M92" s="69">
        <f>L92</f>
        <v>20000</v>
      </c>
      <c r="N92" s="69">
        <f>M92</f>
        <v>20000</v>
      </c>
      <c r="O92" s="107"/>
      <c r="P92" s="20"/>
    </row>
    <row r="93" spans="1:16" ht="12.75" customHeight="1" outlineLevel="1">
      <c r="A93" s="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8"/>
    </row>
    <row r="94" spans="1:16" ht="12.75" customHeight="1" outlineLevel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6" ht="12.75" customHeight="1" outlineLevel="1">
      <c r="A95" s="8"/>
      <c r="B95" s="103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8"/>
    </row>
    <row r="96" spans="1:16" ht="12.75" customHeight="1" outlineLevel="1">
      <c r="A96" s="57"/>
      <c r="B96" s="105" t="s">
        <v>107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</row>
    <row r="97" spans="1:16" ht="15" customHeight="1" outlineLevel="1">
      <c r="A97" s="20"/>
      <c r="B97" s="61" t="s">
        <v>102</v>
      </c>
      <c r="C97" s="20"/>
      <c r="D97" s="20"/>
      <c r="E97" s="106">
        <v>30000</v>
      </c>
      <c r="F97" s="62" t="s">
        <v>103</v>
      </c>
      <c r="G97" s="20"/>
      <c r="H97" s="20"/>
      <c r="I97" s="20"/>
      <c r="J97" s="69">
        <f>$E97</f>
        <v>30000</v>
      </c>
      <c r="K97" s="69">
        <f>$E97</f>
        <v>30000</v>
      </c>
      <c r="L97" s="69">
        <f>$E97</f>
        <v>30000</v>
      </c>
      <c r="M97" s="69">
        <f>$E97</f>
        <v>30000</v>
      </c>
      <c r="N97" s="69">
        <f>$E97</f>
        <v>30000</v>
      </c>
      <c r="O97" s="107"/>
      <c r="P97" s="20"/>
    </row>
    <row r="98" spans="1:16" ht="15" customHeight="1" outlineLevel="1">
      <c r="A98" s="20"/>
      <c r="B98" s="59" t="s">
        <v>104</v>
      </c>
      <c r="C98" s="20"/>
      <c r="D98" s="20"/>
      <c r="E98" s="106">
        <v>0</v>
      </c>
      <c r="F98" s="62" t="s">
        <v>105</v>
      </c>
      <c r="G98" s="20"/>
      <c r="H98" s="20"/>
      <c r="I98" s="20"/>
      <c r="J98" s="69">
        <f>$E$98</f>
        <v>0</v>
      </c>
      <c r="K98" s="69">
        <f>J98</f>
        <v>0</v>
      </c>
      <c r="L98" s="69">
        <f>K98</f>
        <v>0</v>
      </c>
      <c r="M98" s="69">
        <f>L98</f>
        <v>0</v>
      </c>
      <c r="N98" s="69">
        <f>M98</f>
        <v>0</v>
      </c>
      <c r="O98" s="107"/>
      <c r="P98" s="20"/>
    </row>
    <row r="99" spans="1:16" ht="12.75" customHeight="1" outlineLevel="1">
      <c r="A99" s="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8"/>
    </row>
    <row r="100" spans="1:16" ht="12.75" customHeight="1" outlineLevel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6" ht="12.75" customHeight="1" outlineLevel="1">
      <c r="A101" s="8"/>
      <c r="B101" s="103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8"/>
    </row>
    <row r="102" spans="1:16" ht="12.75" customHeight="1" outlineLevel="1">
      <c r="A102" s="57"/>
      <c r="B102" s="105" t="s">
        <v>108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</row>
    <row r="103" spans="1:16" ht="15" customHeight="1" outlineLevel="1">
      <c r="A103" s="20"/>
      <c r="B103" s="61" t="s">
        <v>102</v>
      </c>
      <c r="C103" s="20"/>
      <c r="D103" s="20"/>
      <c r="E103" s="106">
        <v>40000</v>
      </c>
      <c r="F103" s="62" t="s">
        <v>103</v>
      </c>
      <c r="G103" s="20"/>
      <c r="H103" s="20"/>
      <c r="I103" s="20"/>
      <c r="J103" s="69">
        <f>$E103</f>
        <v>40000</v>
      </c>
      <c r="K103" s="69">
        <f>$E103</f>
        <v>40000</v>
      </c>
      <c r="L103" s="69">
        <f>$E103</f>
        <v>40000</v>
      </c>
      <c r="M103" s="69">
        <f>$E103</f>
        <v>40000</v>
      </c>
      <c r="N103" s="69">
        <f>$E103</f>
        <v>40000</v>
      </c>
      <c r="O103" s="107"/>
      <c r="P103" s="20"/>
    </row>
    <row r="104" spans="1:16" ht="15" customHeight="1" outlineLevel="1">
      <c r="A104" s="20"/>
      <c r="B104" s="59" t="s">
        <v>104</v>
      </c>
      <c r="C104" s="20"/>
      <c r="D104" s="20"/>
      <c r="E104" s="106">
        <v>20000</v>
      </c>
      <c r="F104" s="62" t="s">
        <v>105</v>
      </c>
      <c r="G104" s="20"/>
      <c r="H104" s="20"/>
      <c r="I104" s="20"/>
      <c r="J104" s="69">
        <f>$E$104</f>
        <v>20000</v>
      </c>
      <c r="K104" s="69">
        <f>J104</f>
        <v>20000</v>
      </c>
      <c r="L104" s="69">
        <f>K104</f>
        <v>20000</v>
      </c>
      <c r="M104" s="69">
        <f>L104</f>
        <v>20000</v>
      </c>
      <c r="N104" s="69">
        <f>M104</f>
        <v>20000</v>
      </c>
      <c r="O104" s="107"/>
      <c r="P104" s="20"/>
    </row>
    <row r="105" spans="1:16" ht="12.75" customHeight="1" outlineLevel="1">
      <c r="A105" s="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8"/>
    </row>
    <row r="106" spans="1:16" ht="12.75" customHeight="1" outlineLevel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6" ht="12.75" customHeight="1" outlineLevel="1">
      <c r="A107" s="8"/>
      <c r="B107" s="103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8"/>
    </row>
    <row r="108" spans="1:16" ht="12.75" customHeight="1" outlineLevel="1">
      <c r="A108" s="57"/>
      <c r="B108" s="105" t="s">
        <v>109</v>
      </c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</row>
    <row r="109" spans="1:16" ht="15" customHeight="1" outlineLevel="1">
      <c r="A109" s="20"/>
      <c r="B109" s="61" t="s">
        <v>102</v>
      </c>
      <c r="C109" s="20"/>
      <c r="D109" s="20"/>
      <c r="E109" s="106">
        <v>50000</v>
      </c>
      <c r="F109" s="62" t="s">
        <v>103</v>
      </c>
      <c r="G109" s="20"/>
      <c r="H109" s="20"/>
      <c r="I109" s="20"/>
      <c r="J109" s="69">
        <f>$E109</f>
        <v>50000</v>
      </c>
      <c r="K109" s="69">
        <f>$E109</f>
        <v>50000</v>
      </c>
      <c r="L109" s="69">
        <f>$E109</f>
        <v>50000</v>
      </c>
      <c r="M109" s="69">
        <f>$E109</f>
        <v>50000</v>
      </c>
      <c r="N109" s="69">
        <f>$E109</f>
        <v>50000</v>
      </c>
      <c r="O109" s="107"/>
      <c r="P109" s="20"/>
    </row>
    <row r="110" spans="1:16" ht="15" customHeight="1" outlineLevel="1">
      <c r="A110" s="20"/>
      <c r="B110" s="59" t="s">
        <v>104</v>
      </c>
      <c r="C110" s="20"/>
      <c r="D110" s="20"/>
      <c r="E110" s="106">
        <v>0</v>
      </c>
      <c r="F110" s="62" t="s">
        <v>105</v>
      </c>
      <c r="G110" s="20"/>
      <c r="H110" s="20"/>
      <c r="I110" s="20"/>
      <c r="J110" s="69">
        <f>$E$110</f>
        <v>0</v>
      </c>
      <c r="K110" s="69">
        <f>J110</f>
        <v>0</v>
      </c>
      <c r="L110" s="69">
        <f>K110</f>
        <v>0</v>
      </c>
      <c r="M110" s="69">
        <f>L110</f>
        <v>0</v>
      </c>
      <c r="N110" s="69">
        <f>M110</f>
        <v>0</v>
      </c>
      <c r="O110" s="107"/>
      <c r="P110" s="20"/>
    </row>
    <row r="111" spans="1:16" ht="12.75" customHeight="1" outlineLevel="1">
      <c r="A111" s="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8"/>
    </row>
    <row r="112" spans="1:16" ht="12.75" customHeight="1" outlineLevel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6" ht="12.75" customHeight="1" outlineLevel="1">
      <c r="A113" s="8"/>
      <c r="B113" s="103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8"/>
    </row>
    <row r="114" spans="1:16" ht="12.75" customHeight="1" outlineLevel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6" ht="12.75" customHeight="1" outlineLevel="1">
      <c r="A115" s="13"/>
      <c r="B115" s="48" t="s">
        <v>110</v>
      </c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13"/>
    </row>
    <row r="116" spans="1:16" ht="12.75" customHeight="1" outlineLevel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6" ht="12.75" customHeight="1" outlineLevel="1">
      <c r="A117" s="8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10"/>
    </row>
    <row r="118" spans="1:16" ht="12.75" customHeight="1" outlineLevel="1">
      <c r="A118" s="57"/>
      <c r="B118" s="105" t="s">
        <v>111</v>
      </c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57"/>
    </row>
    <row r="119" spans="1:16" ht="15" customHeight="1" outlineLevel="1">
      <c r="A119" s="20"/>
      <c r="B119" s="59" t="s">
        <v>102</v>
      </c>
      <c r="C119" s="20"/>
      <c r="D119" s="20"/>
      <c r="E119" s="106">
        <v>20000</v>
      </c>
      <c r="F119" s="62" t="s">
        <v>103</v>
      </c>
      <c r="G119" s="20"/>
      <c r="H119" s="20"/>
      <c r="I119" s="20"/>
      <c r="J119" s="69">
        <f>E119</f>
        <v>20000</v>
      </c>
      <c r="K119" s="69">
        <f t="shared" ref="K119:N120" si="4">J119</f>
        <v>20000</v>
      </c>
      <c r="L119" s="69">
        <f t="shared" si="4"/>
        <v>20000</v>
      </c>
      <c r="M119" s="69">
        <f t="shared" si="4"/>
        <v>20000</v>
      </c>
      <c r="N119" s="69">
        <f t="shared" si="4"/>
        <v>20000</v>
      </c>
      <c r="O119" s="107"/>
      <c r="P119" s="20"/>
    </row>
    <row r="120" spans="1:16" ht="15" customHeight="1" outlineLevel="1">
      <c r="A120" s="20"/>
      <c r="B120" s="59" t="s">
        <v>104</v>
      </c>
      <c r="C120" s="20"/>
      <c r="D120" s="20"/>
      <c r="E120" s="106">
        <v>20000</v>
      </c>
      <c r="F120" s="62" t="s">
        <v>105</v>
      </c>
      <c r="G120" s="20"/>
      <c r="H120" s="20"/>
      <c r="I120" s="20"/>
      <c r="J120" s="69">
        <f>E120</f>
        <v>20000</v>
      </c>
      <c r="K120" s="69">
        <f t="shared" si="4"/>
        <v>20000</v>
      </c>
      <c r="L120" s="69">
        <f t="shared" si="4"/>
        <v>20000</v>
      </c>
      <c r="M120" s="69">
        <f t="shared" si="4"/>
        <v>20000</v>
      </c>
      <c r="N120" s="69">
        <f t="shared" si="4"/>
        <v>20000</v>
      </c>
      <c r="O120" s="107"/>
      <c r="P120" s="20"/>
    </row>
    <row r="121" spans="1:16" ht="12.75" customHeight="1" outlineLevel="1">
      <c r="A121" s="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8"/>
    </row>
    <row r="122" spans="1:16" ht="12.75" customHeight="1" outlineLevel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6" ht="12.75" customHeight="1" outlineLevel="1">
      <c r="A123" s="8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10"/>
    </row>
    <row r="124" spans="1:16" ht="15" customHeight="1" outlineLevel="1">
      <c r="A124" s="57"/>
      <c r="B124" s="105" t="s">
        <v>112</v>
      </c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57"/>
    </row>
    <row r="125" spans="1:16" ht="15" customHeight="1" outlineLevel="1">
      <c r="A125" s="20"/>
      <c r="B125" s="112" t="s">
        <v>113</v>
      </c>
      <c r="C125" s="20"/>
      <c r="D125" s="20"/>
      <c r="E125" s="113"/>
      <c r="F125" s="62" t="s">
        <v>114</v>
      </c>
      <c r="G125" s="114">
        <f>G32</f>
        <v>100</v>
      </c>
      <c r="H125" s="114">
        <f>H32</f>
        <v>100</v>
      </c>
      <c r="I125" s="114">
        <f>I32</f>
        <v>100</v>
      </c>
      <c r="J125" s="115">
        <f>E125</f>
        <v>0</v>
      </c>
      <c r="K125" s="115">
        <f t="shared" ref="K125:N126" si="5">J125</f>
        <v>0</v>
      </c>
      <c r="L125" s="115">
        <f t="shared" si="5"/>
        <v>0</v>
      </c>
      <c r="M125" s="115">
        <f t="shared" si="5"/>
        <v>0</v>
      </c>
      <c r="N125" s="115">
        <f t="shared" si="5"/>
        <v>0</v>
      </c>
      <c r="O125" s="116"/>
      <c r="P125" s="20"/>
    </row>
    <row r="126" spans="1:16" ht="15" customHeight="1" outlineLevel="1">
      <c r="A126" s="20"/>
      <c r="B126" s="59" t="s">
        <v>115</v>
      </c>
      <c r="C126" s="20"/>
      <c r="D126" s="20"/>
      <c r="E126" s="117">
        <f>AVERAGE(G126:I126)</f>
        <v>8.492063492063491E-2</v>
      </c>
      <c r="F126" s="62" t="s">
        <v>43</v>
      </c>
      <c r="G126" s="118">
        <f>G125/G$28</f>
        <v>0.1</v>
      </c>
      <c r="H126" s="118">
        <f>H125/H$28</f>
        <v>8.3333333333333329E-2</v>
      </c>
      <c r="I126" s="118">
        <f>I125/I$28</f>
        <v>7.1428571428571425E-2</v>
      </c>
      <c r="J126" s="119">
        <f>E126</f>
        <v>8.492063492063491E-2</v>
      </c>
      <c r="K126" s="119">
        <f t="shared" si="5"/>
        <v>8.492063492063491E-2</v>
      </c>
      <c r="L126" s="119">
        <f t="shared" si="5"/>
        <v>8.492063492063491E-2</v>
      </c>
      <c r="M126" s="119">
        <f t="shared" si="5"/>
        <v>8.492063492063491E-2</v>
      </c>
      <c r="N126" s="119">
        <f t="shared" si="5"/>
        <v>8.492063492063491E-2</v>
      </c>
      <c r="O126" s="120"/>
      <c r="P126" s="20"/>
    </row>
    <row r="127" spans="1:16" ht="12.75" customHeight="1" outlineLevel="1">
      <c r="A127" s="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8"/>
    </row>
    <row r="128" spans="1:16" ht="12.75" customHeight="1" outlineLevel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6" ht="12.75" customHeight="1" outlineLevel="1">
      <c r="A129" s="8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10"/>
    </row>
    <row r="130" spans="1:16" ht="15" customHeight="1" outlineLevel="1">
      <c r="A130" s="57"/>
      <c r="B130" s="105" t="s">
        <v>116</v>
      </c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57"/>
    </row>
    <row r="131" spans="1:16" ht="15" customHeight="1" outlineLevel="1">
      <c r="A131" s="20"/>
      <c r="B131" s="112" t="s">
        <v>113</v>
      </c>
      <c r="C131" s="20"/>
      <c r="D131" s="20"/>
      <c r="E131" s="106">
        <f>I131</f>
        <v>200</v>
      </c>
      <c r="F131" s="62" t="s">
        <v>114</v>
      </c>
      <c r="G131" s="114">
        <f>G33</f>
        <v>200</v>
      </c>
      <c r="H131" s="114">
        <f>H33</f>
        <v>200</v>
      </c>
      <c r="I131" s="114">
        <f>I33</f>
        <v>200</v>
      </c>
      <c r="J131" s="69">
        <f>E131</f>
        <v>200</v>
      </c>
      <c r="K131" s="69">
        <f>J131</f>
        <v>200</v>
      </c>
      <c r="L131" s="69">
        <f>K131</f>
        <v>200</v>
      </c>
      <c r="M131" s="69">
        <f>L131</f>
        <v>200</v>
      </c>
      <c r="N131" s="69">
        <f>M131</f>
        <v>200</v>
      </c>
      <c r="O131" s="107"/>
      <c r="P131" s="20"/>
    </row>
    <row r="132" spans="1:16" ht="12.75" customHeight="1" outlineLevel="1">
      <c r="A132" s="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8"/>
    </row>
    <row r="133" spans="1:16" ht="12.75" customHeight="1" outlineLevel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6" ht="12.75" customHeight="1" outlineLevel="1">
      <c r="A134" s="8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10"/>
    </row>
    <row r="135" spans="1:16" ht="12.75" customHeight="1" outlineLevel="1">
      <c r="A135" s="57"/>
      <c r="B135" s="105" t="s">
        <v>117</v>
      </c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57"/>
    </row>
    <row r="136" spans="1:16" ht="15" customHeight="1" outlineLevel="1">
      <c r="A136" s="20"/>
      <c r="B136" s="59" t="s">
        <v>102</v>
      </c>
      <c r="C136" s="20"/>
      <c r="D136" s="20"/>
      <c r="E136" s="106">
        <v>0</v>
      </c>
      <c r="F136" s="62" t="s">
        <v>103</v>
      </c>
      <c r="G136" s="20"/>
      <c r="H136" s="20"/>
      <c r="I136" s="20"/>
      <c r="J136" s="115">
        <f>E136</f>
        <v>0</v>
      </c>
      <c r="K136" s="115">
        <f t="shared" ref="K136:N137" si="6">J136</f>
        <v>0</v>
      </c>
      <c r="L136" s="115">
        <f t="shared" si="6"/>
        <v>0</v>
      </c>
      <c r="M136" s="115">
        <f t="shared" si="6"/>
        <v>0</v>
      </c>
      <c r="N136" s="115">
        <f t="shared" si="6"/>
        <v>0</v>
      </c>
      <c r="O136" s="116"/>
      <c r="P136" s="20"/>
    </row>
    <row r="137" spans="1:16" ht="15" customHeight="1" outlineLevel="1">
      <c r="A137" s="20"/>
      <c r="B137" s="59" t="s">
        <v>104</v>
      </c>
      <c r="C137" s="20"/>
      <c r="D137" s="20"/>
      <c r="E137" s="106">
        <v>0</v>
      </c>
      <c r="F137" s="62" t="s">
        <v>105</v>
      </c>
      <c r="G137" s="20"/>
      <c r="H137" s="20"/>
      <c r="I137" s="20"/>
      <c r="J137" s="115">
        <f>E137</f>
        <v>0</v>
      </c>
      <c r="K137" s="115">
        <f t="shared" si="6"/>
        <v>0</v>
      </c>
      <c r="L137" s="115">
        <f t="shared" si="6"/>
        <v>0</v>
      </c>
      <c r="M137" s="115">
        <f t="shared" si="6"/>
        <v>0</v>
      </c>
      <c r="N137" s="115">
        <f t="shared" si="6"/>
        <v>0</v>
      </c>
      <c r="O137" s="116"/>
      <c r="P137" s="20"/>
    </row>
    <row r="138" spans="1:16" ht="12.75" customHeight="1" outlineLevel="1">
      <c r="A138" s="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8"/>
    </row>
    <row r="139" spans="1:16" ht="12.75" customHeight="1" outlineLevel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6" ht="12.75" customHeight="1" outlineLevel="1">
      <c r="A140" s="8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10"/>
    </row>
    <row r="141" spans="1:16" ht="12.75" customHeight="1" outlineLevel="1">
      <c r="A141" s="57"/>
      <c r="B141" s="105" t="s">
        <v>118</v>
      </c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57"/>
    </row>
    <row r="142" spans="1:16" ht="15" customHeight="1" outlineLevel="1">
      <c r="A142" s="20"/>
      <c r="B142" s="59" t="s">
        <v>102</v>
      </c>
      <c r="C142" s="20"/>
      <c r="D142" s="20"/>
      <c r="E142" s="106">
        <v>0</v>
      </c>
      <c r="F142" s="62" t="s">
        <v>103</v>
      </c>
      <c r="G142" s="20"/>
      <c r="H142" s="20"/>
      <c r="I142" s="20"/>
      <c r="J142" s="115">
        <f>E142</f>
        <v>0</v>
      </c>
      <c r="K142" s="115">
        <f t="shared" ref="K142:N143" si="7">J142</f>
        <v>0</v>
      </c>
      <c r="L142" s="115">
        <f t="shared" si="7"/>
        <v>0</v>
      </c>
      <c r="M142" s="115">
        <f t="shared" si="7"/>
        <v>0</v>
      </c>
      <c r="N142" s="115">
        <f t="shared" si="7"/>
        <v>0</v>
      </c>
      <c r="O142" s="116"/>
      <c r="P142" s="20"/>
    </row>
    <row r="143" spans="1:16" ht="15" customHeight="1" outlineLevel="1">
      <c r="A143" s="20"/>
      <c r="B143" s="59" t="s">
        <v>104</v>
      </c>
      <c r="C143" s="20"/>
      <c r="D143" s="20"/>
      <c r="E143" s="106">
        <v>0</v>
      </c>
      <c r="F143" s="62" t="s">
        <v>105</v>
      </c>
      <c r="G143" s="20"/>
      <c r="H143" s="20"/>
      <c r="I143" s="20"/>
      <c r="J143" s="115">
        <f>E143</f>
        <v>0</v>
      </c>
      <c r="K143" s="115">
        <f t="shared" si="7"/>
        <v>0</v>
      </c>
      <c r="L143" s="115">
        <f t="shared" si="7"/>
        <v>0</v>
      </c>
      <c r="M143" s="115">
        <f t="shared" si="7"/>
        <v>0</v>
      </c>
      <c r="N143" s="115">
        <f t="shared" si="7"/>
        <v>0</v>
      </c>
      <c r="O143" s="116"/>
      <c r="P143" s="20"/>
    </row>
    <row r="144" spans="1:16" ht="12.75" customHeight="1" outlineLevel="1">
      <c r="A144" s="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8"/>
    </row>
    <row r="145" spans="1:16" ht="12.75" customHeight="1" outlineLevel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6" ht="12.75" customHeight="1" outlineLevel="1">
      <c r="A146" s="8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10"/>
    </row>
    <row r="147" spans="1:16" ht="12.75" customHeight="1" outlineLevel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6" ht="12.75" customHeight="1" outlineLevel="1">
      <c r="A148" s="13"/>
      <c r="B148" s="48" t="s">
        <v>119</v>
      </c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13"/>
    </row>
    <row r="149" spans="1:16" ht="12.75" customHeight="1" outlineLevel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6" ht="12.75" customHeight="1" outlineLevel="1">
      <c r="A150" s="8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10"/>
    </row>
    <row r="151" spans="1:16" ht="12.75" customHeight="1" outlineLevel="1">
      <c r="A151" s="57"/>
      <c r="B151" s="105" t="s">
        <v>120</v>
      </c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57"/>
    </row>
    <row r="152" spans="1:16" ht="15" customHeight="1" outlineLevel="1">
      <c r="A152" s="20"/>
      <c r="B152" s="112" t="s">
        <v>121</v>
      </c>
      <c r="C152" s="20"/>
      <c r="D152" s="20"/>
      <c r="E152" s="113"/>
      <c r="F152" s="62" t="s">
        <v>114</v>
      </c>
      <c r="G152" s="114">
        <f>G37</f>
        <v>50</v>
      </c>
      <c r="H152" s="114">
        <f>H37</f>
        <v>50</v>
      </c>
      <c r="I152" s="114">
        <f>I37</f>
        <v>50</v>
      </c>
      <c r="J152" s="115">
        <f>E152</f>
        <v>0</v>
      </c>
      <c r="K152" s="115">
        <f t="shared" ref="K152:N153" si="8">J152</f>
        <v>0</v>
      </c>
      <c r="L152" s="115">
        <f t="shared" si="8"/>
        <v>0</v>
      </c>
      <c r="M152" s="115">
        <f t="shared" si="8"/>
        <v>0</v>
      </c>
      <c r="N152" s="115">
        <f t="shared" si="8"/>
        <v>0</v>
      </c>
      <c r="O152" s="116"/>
      <c r="P152" s="20"/>
    </row>
    <row r="153" spans="1:16" ht="15" customHeight="1" outlineLevel="1">
      <c r="A153" s="20"/>
      <c r="B153" s="59" t="s">
        <v>115</v>
      </c>
      <c r="C153" s="20"/>
      <c r="D153" s="20"/>
      <c r="E153" s="117">
        <f>AVERAGE(G153:I153)</f>
        <v>4.2460317460317455E-2</v>
      </c>
      <c r="F153" s="62" t="s">
        <v>43</v>
      </c>
      <c r="G153" s="118">
        <f>G152/G$28</f>
        <v>0.05</v>
      </c>
      <c r="H153" s="118">
        <f>H152/H$28</f>
        <v>4.1666666666666664E-2</v>
      </c>
      <c r="I153" s="118">
        <f>I152/I$28</f>
        <v>3.5714285714285712E-2</v>
      </c>
      <c r="J153" s="121">
        <f>E153</f>
        <v>4.2460317460317455E-2</v>
      </c>
      <c r="K153" s="121">
        <f t="shared" si="8"/>
        <v>4.2460317460317455E-2</v>
      </c>
      <c r="L153" s="121">
        <f t="shared" si="8"/>
        <v>4.2460317460317455E-2</v>
      </c>
      <c r="M153" s="121">
        <f t="shared" si="8"/>
        <v>4.2460317460317455E-2</v>
      </c>
      <c r="N153" s="121">
        <f t="shared" si="8"/>
        <v>4.2460317460317455E-2</v>
      </c>
      <c r="O153" s="122"/>
      <c r="P153" s="20"/>
    </row>
    <row r="154" spans="1:16" ht="12.75" customHeight="1" outlineLevel="1">
      <c r="A154" s="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8"/>
    </row>
    <row r="155" spans="1:16" ht="12.75" customHeight="1" outlineLevel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6" ht="12.75" customHeight="1" outlineLevel="1">
      <c r="A156" s="57"/>
      <c r="B156" s="105" t="s">
        <v>122</v>
      </c>
      <c r="C156" s="111"/>
      <c r="D156" s="111"/>
      <c r="E156" s="111"/>
      <c r="F156" s="111"/>
      <c r="G156" s="57"/>
      <c r="H156" s="111"/>
      <c r="I156" s="111"/>
      <c r="J156" s="111"/>
      <c r="K156" s="111"/>
      <c r="L156" s="111"/>
      <c r="M156" s="111"/>
      <c r="N156" s="111"/>
      <c r="O156" s="111"/>
      <c r="P156" s="57"/>
    </row>
    <row r="157" spans="1:16" ht="15" customHeight="1" outlineLevel="1">
      <c r="A157" s="20"/>
      <c r="B157" s="112" t="s">
        <v>121</v>
      </c>
      <c r="C157" s="20"/>
      <c r="D157" s="20"/>
      <c r="E157" s="113"/>
      <c r="F157" s="62" t="s">
        <v>114</v>
      </c>
      <c r="G157" s="114">
        <f>G38</f>
        <v>60</v>
      </c>
      <c r="H157" s="114">
        <f>H38</f>
        <v>60</v>
      </c>
      <c r="I157" s="114">
        <f>I38</f>
        <v>60</v>
      </c>
      <c r="J157" s="115">
        <f>E157</f>
        <v>0</v>
      </c>
      <c r="K157" s="115">
        <f t="shared" ref="K157:N158" si="9">J157</f>
        <v>0</v>
      </c>
      <c r="L157" s="115">
        <f t="shared" si="9"/>
        <v>0</v>
      </c>
      <c r="M157" s="115">
        <f t="shared" si="9"/>
        <v>0</v>
      </c>
      <c r="N157" s="115">
        <f t="shared" si="9"/>
        <v>0</v>
      </c>
      <c r="O157" s="116"/>
      <c r="P157" s="20"/>
    </row>
    <row r="158" spans="1:16" ht="15" customHeight="1" outlineLevel="1">
      <c r="A158" s="20"/>
      <c r="B158" s="59" t="s">
        <v>115</v>
      </c>
      <c r="C158" s="20"/>
      <c r="D158" s="20"/>
      <c r="E158" s="117">
        <f>AVERAGE(G158:I158)</f>
        <v>5.095238095238095E-2</v>
      </c>
      <c r="F158" s="62" t="s">
        <v>43</v>
      </c>
      <c r="G158" s="118">
        <f>G157/G$28</f>
        <v>0.06</v>
      </c>
      <c r="H158" s="118">
        <f>H157/H$28</f>
        <v>0.05</v>
      </c>
      <c r="I158" s="118">
        <f>I157/I$28</f>
        <v>4.2857142857142858E-2</v>
      </c>
      <c r="J158" s="121">
        <f>E158</f>
        <v>5.095238095238095E-2</v>
      </c>
      <c r="K158" s="121">
        <f t="shared" si="9"/>
        <v>5.095238095238095E-2</v>
      </c>
      <c r="L158" s="121">
        <f t="shared" si="9"/>
        <v>5.095238095238095E-2</v>
      </c>
      <c r="M158" s="121">
        <f t="shared" si="9"/>
        <v>5.095238095238095E-2</v>
      </c>
      <c r="N158" s="121">
        <f t="shared" si="9"/>
        <v>5.095238095238095E-2</v>
      </c>
      <c r="O158" s="122"/>
      <c r="P158" s="20"/>
    </row>
    <row r="159" spans="1:16" ht="12.75" customHeight="1" outlineLevel="1">
      <c r="A159" s="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8"/>
    </row>
    <row r="160" spans="1:16" ht="12.75" customHeight="1" outlineLevel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6" ht="12.75" customHeight="1" outlineLevel="1">
      <c r="A161" s="57"/>
      <c r="B161" s="105" t="s">
        <v>123</v>
      </c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57"/>
    </row>
    <row r="162" spans="1:16" ht="15" customHeight="1" outlineLevel="1">
      <c r="A162" s="20"/>
      <c r="B162" s="112" t="s">
        <v>121</v>
      </c>
      <c r="C162" s="20"/>
      <c r="D162" s="20"/>
      <c r="E162" s="113"/>
      <c r="F162" s="62" t="s">
        <v>114</v>
      </c>
      <c r="G162" s="114">
        <f>G39</f>
        <v>70</v>
      </c>
      <c r="H162" s="114">
        <f>H39</f>
        <v>70</v>
      </c>
      <c r="I162" s="114">
        <f>I39</f>
        <v>70</v>
      </c>
      <c r="J162" s="115">
        <f>E162</f>
        <v>0</v>
      </c>
      <c r="K162" s="115">
        <f t="shared" ref="K162:N163" si="10">J162</f>
        <v>0</v>
      </c>
      <c r="L162" s="115">
        <f t="shared" si="10"/>
        <v>0</v>
      </c>
      <c r="M162" s="115">
        <f t="shared" si="10"/>
        <v>0</v>
      </c>
      <c r="N162" s="115">
        <f t="shared" si="10"/>
        <v>0</v>
      </c>
      <c r="O162" s="116"/>
      <c r="P162" s="20"/>
    </row>
    <row r="163" spans="1:16" ht="15" customHeight="1" outlineLevel="1">
      <c r="A163" s="20"/>
      <c r="B163" s="59" t="s">
        <v>115</v>
      </c>
      <c r="C163" s="20"/>
      <c r="D163" s="20"/>
      <c r="E163" s="117">
        <f>AVERAGE(G163:I163)</f>
        <v>5.9444444444444446E-2</v>
      </c>
      <c r="F163" s="62" t="s">
        <v>43</v>
      </c>
      <c r="G163" s="118">
        <f>G162/G$28</f>
        <v>7.0000000000000007E-2</v>
      </c>
      <c r="H163" s="118">
        <f>H162/H$28</f>
        <v>5.8333333333333334E-2</v>
      </c>
      <c r="I163" s="118">
        <f>I162/I$28</f>
        <v>0.05</v>
      </c>
      <c r="J163" s="121">
        <f>E163</f>
        <v>5.9444444444444446E-2</v>
      </c>
      <c r="K163" s="121">
        <f t="shared" si="10"/>
        <v>5.9444444444444446E-2</v>
      </c>
      <c r="L163" s="121">
        <f t="shared" si="10"/>
        <v>5.9444444444444446E-2</v>
      </c>
      <c r="M163" s="121">
        <f t="shared" si="10"/>
        <v>5.9444444444444446E-2</v>
      </c>
      <c r="N163" s="121">
        <f t="shared" si="10"/>
        <v>5.9444444444444446E-2</v>
      </c>
      <c r="O163" s="122"/>
      <c r="P163" s="20"/>
    </row>
    <row r="164" spans="1:16" ht="12.75" customHeight="1" outlineLevel="1">
      <c r="A164" s="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8"/>
    </row>
    <row r="165" spans="1:16" ht="12.75" customHeight="1" outlineLevel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6" ht="12.75" customHeight="1" outlineLevel="1">
      <c r="A166" s="8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10"/>
    </row>
    <row r="167" spans="1:16" ht="12.75" customHeight="1" outlineLevel="1">
      <c r="A167" s="57"/>
      <c r="B167" s="105" t="s">
        <v>124</v>
      </c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57"/>
    </row>
    <row r="168" spans="1:16" ht="15" customHeight="1" outlineLevel="1">
      <c r="A168" s="20"/>
      <c r="B168" s="112" t="s">
        <v>125</v>
      </c>
      <c r="C168" s="20"/>
      <c r="D168" s="20"/>
      <c r="E168" s="106">
        <f>I168</f>
        <v>50</v>
      </c>
      <c r="F168" s="62" t="s">
        <v>114</v>
      </c>
      <c r="G168" s="114">
        <f>G40</f>
        <v>50</v>
      </c>
      <c r="H168" s="114">
        <f>H40</f>
        <v>50</v>
      </c>
      <c r="I168" s="114">
        <f>I40</f>
        <v>50</v>
      </c>
      <c r="J168" s="69">
        <f>E168</f>
        <v>50</v>
      </c>
      <c r="K168" s="69">
        <f>J168</f>
        <v>50</v>
      </c>
      <c r="L168" s="69">
        <f>K168</f>
        <v>50</v>
      </c>
      <c r="M168" s="69">
        <f>L168</f>
        <v>50</v>
      </c>
      <c r="N168" s="69">
        <f>M168</f>
        <v>50</v>
      </c>
      <c r="O168" s="107"/>
      <c r="P168" s="20"/>
    </row>
    <row r="169" spans="1:16" ht="12.75" customHeight="1" outlineLevel="1">
      <c r="A169" s="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8"/>
    </row>
    <row r="170" spans="1:16" ht="12.75" customHeight="1" outlineLevel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6" ht="12.75" customHeight="1" outlineLevel="1">
      <c r="A171" s="8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10"/>
    </row>
    <row r="172" spans="1:16" ht="12.75" customHeight="1" outlineLevel="1">
      <c r="A172" s="57"/>
      <c r="B172" s="105" t="s">
        <v>126</v>
      </c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57"/>
    </row>
    <row r="173" spans="1:16" ht="15" customHeight="1" outlineLevel="1">
      <c r="A173" s="20"/>
      <c r="B173" s="59" t="s">
        <v>102</v>
      </c>
      <c r="C173" s="20"/>
      <c r="D173" s="20"/>
      <c r="E173" s="106"/>
      <c r="F173" s="62" t="s">
        <v>103</v>
      </c>
      <c r="G173" s="20"/>
      <c r="H173" s="20"/>
      <c r="I173" s="20"/>
      <c r="J173" s="69">
        <f>E173</f>
        <v>0</v>
      </c>
      <c r="K173" s="69">
        <f t="shared" ref="K173:N174" si="11">J173</f>
        <v>0</v>
      </c>
      <c r="L173" s="69">
        <f t="shared" si="11"/>
        <v>0</v>
      </c>
      <c r="M173" s="69">
        <f t="shared" si="11"/>
        <v>0</v>
      </c>
      <c r="N173" s="69">
        <f t="shared" si="11"/>
        <v>0</v>
      </c>
      <c r="O173" s="107"/>
      <c r="P173" s="20"/>
    </row>
    <row r="174" spans="1:16" ht="15" customHeight="1" outlineLevel="1">
      <c r="A174" s="20"/>
      <c r="B174" s="59" t="s">
        <v>104</v>
      </c>
      <c r="C174" s="20"/>
      <c r="D174" s="20"/>
      <c r="E174" s="106"/>
      <c r="F174" s="62" t="s">
        <v>105</v>
      </c>
      <c r="G174" s="20"/>
      <c r="H174" s="20"/>
      <c r="I174" s="20"/>
      <c r="J174" s="69">
        <f>E174</f>
        <v>0</v>
      </c>
      <c r="K174" s="69">
        <f t="shared" si="11"/>
        <v>0</v>
      </c>
      <c r="L174" s="69">
        <f t="shared" si="11"/>
        <v>0</v>
      </c>
      <c r="M174" s="69">
        <f t="shared" si="11"/>
        <v>0</v>
      </c>
      <c r="N174" s="69">
        <f t="shared" si="11"/>
        <v>0</v>
      </c>
      <c r="O174" s="107"/>
      <c r="P174" s="20"/>
    </row>
    <row r="175" spans="1:16" ht="12.75" customHeight="1" outlineLevel="1">
      <c r="A175" s="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8"/>
    </row>
    <row r="176" spans="1:16" ht="12.75" customHeight="1" outlineLevel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26" ht="12.75" customHeight="1" outlineLevel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26" ht="12.75" customHeight="1" outlineLevel="1">
      <c r="A178" s="13"/>
      <c r="B178" s="48" t="s">
        <v>127</v>
      </c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13"/>
    </row>
    <row r="179" spans="1:26" ht="12.75" customHeight="1" outlineLevel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26" ht="15" customHeight="1" outlineLevel="1">
      <c r="A180" s="57"/>
      <c r="B180" s="123" t="s">
        <v>128</v>
      </c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57"/>
      <c r="P180" s="57"/>
    </row>
    <row r="181" spans="1:26" ht="12.75" customHeight="1" outlineLevel="1">
      <c r="A181" s="20"/>
      <c r="B181" s="59" t="s">
        <v>129</v>
      </c>
      <c r="C181" s="20"/>
      <c r="D181" s="20"/>
      <c r="E181" s="20"/>
      <c r="F181" s="62" t="s">
        <v>130</v>
      </c>
      <c r="G181" s="114">
        <f>G31</f>
        <v>100</v>
      </c>
      <c r="H181" s="114">
        <f>H31</f>
        <v>100</v>
      </c>
      <c r="I181" s="114">
        <f>I31</f>
        <v>100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 spans="1:26" ht="12.75" customHeight="1" outlineLevel="1">
      <c r="A182" s="20"/>
      <c r="B182" s="80" t="s">
        <v>131</v>
      </c>
      <c r="C182" s="80"/>
      <c r="D182" s="80"/>
      <c r="E182" s="80"/>
      <c r="F182" s="124" t="s">
        <v>130</v>
      </c>
      <c r="G182" s="125">
        <f>G36</f>
        <v>100</v>
      </c>
      <c r="H182" s="125">
        <f>H36</f>
        <v>100</v>
      </c>
      <c r="I182" s="125">
        <f>I36</f>
        <v>100</v>
      </c>
      <c r="J182" s="80"/>
      <c r="K182" s="80"/>
      <c r="L182" s="80"/>
      <c r="M182" s="80"/>
      <c r="N182" s="80"/>
      <c r="O182" s="20"/>
      <c r="P182" s="20"/>
      <c r="Q182" s="20"/>
      <c r="R182" s="20"/>
      <c r="S182" s="20"/>
      <c r="T182" s="20"/>
      <c r="U182" s="20"/>
      <c r="V182" s="20"/>
    </row>
    <row r="183" spans="1:26" ht="12.75" customHeight="1" outlineLevel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26" ht="15" customHeight="1" outlineLevel="1">
      <c r="A184" s="57"/>
      <c r="B184" s="123" t="s">
        <v>132</v>
      </c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57"/>
      <c r="P184" s="57"/>
    </row>
    <row r="185" spans="1:26" ht="15" customHeight="1" outlineLevel="1">
      <c r="A185" s="20"/>
      <c r="B185" s="59" t="s">
        <v>133</v>
      </c>
      <c r="C185" s="20"/>
      <c r="D185" s="20"/>
      <c r="E185" s="20"/>
      <c r="F185" s="126" t="s">
        <v>134</v>
      </c>
      <c r="G185" s="59">
        <v>2</v>
      </c>
      <c r="H185" s="59">
        <v>2</v>
      </c>
      <c r="I185" s="59">
        <v>2</v>
      </c>
      <c r="J185" s="127">
        <v>3</v>
      </c>
      <c r="K185" s="127">
        <v>3</v>
      </c>
      <c r="L185" s="127">
        <v>3</v>
      </c>
      <c r="M185" s="127">
        <v>3</v>
      </c>
      <c r="N185" s="127">
        <v>3</v>
      </c>
      <c r="O185" s="128"/>
      <c r="P185" s="20"/>
      <c r="Q185" s="20"/>
      <c r="R185" s="20"/>
      <c r="S185" s="20"/>
      <c r="T185" s="20"/>
      <c r="U185" s="20"/>
      <c r="V185" s="20"/>
      <c r="W185" s="20"/>
    </row>
    <row r="186" spans="1:26" ht="15" customHeight="1" outlineLevel="1">
      <c r="A186" s="20"/>
      <c r="B186" s="80" t="s">
        <v>135</v>
      </c>
      <c r="C186" s="80"/>
      <c r="D186" s="80"/>
      <c r="E186" s="80"/>
      <c r="F186" s="129" t="s">
        <v>134</v>
      </c>
      <c r="G186" s="80">
        <v>1</v>
      </c>
      <c r="H186" s="80">
        <v>1</v>
      </c>
      <c r="I186" s="80">
        <v>1</v>
      </c>
      <c r="J186" s="130">
        <v>2</v>
      </c>
      <c r="K186" s="130">
        <v>2</v>
      </c>
      <c r="L186" s="130">
        <v>2</v>
      </c>
      <c r="M186" s="130">
        <v>2</v>
      </c>
      <c r="N186" s="130">
        <v>2</v>
      </c>
      <c r="O186" s="128"/>
      <c r="P186" s="20"/>
      <c r="Q186" s="20"/>
      <c r="R186" s="20"/>
      <c r="S186" s="20"/>
      <c r="T186" s="20"/>
      <c r="U186" s="20"/>
      <c r="V186" s="20"/>
      <c r="W186" s="20"/>
      <c r="X186" s="20"/>
    </row>
    <row r="187" spans="1:26" ht="12.75" customHeight="1" outlineLevel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26" ht="15" customHeight="1" outlineLevel="1">
      <c r="A188" s="57"/>
      <c r="B188" s="123" t="s">
        <v>136</v>
      </c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57"/>
      <c r="P188" s="57"/>
    </row>
    <row r="189" spans="1:26" ht="13.5" customHeight="1" outlineLevel="1">
      <c r="A189" s="20"/>
      <c r="B189" s="59" t="s">
        <v>133</v>
      </c>
      <c r="C189" s="20"/>
      <c r="D189" s="20"/>
      <c r="E189" s="131">
        <f>I189</f>
        <v>50</v>
      </c>
      <c r="F189" s="62" t="s">
        <v>114</v>
      </c>
      <c r="G189" s="114">
        <f t="shared" ref="G189:I190" si="12">IFERROR(G181/G185,)</f>
        <v>50</v>
      </c>
      <c r="H189" s="114">
        <f t="shared" si="12"/>
        <v>50</v>
      </c>
      <c r="I189" s="114">
        <f t="shared" si="12"/>
        <v>50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6" ht="13.5" customHeight="1" outlineLevel="1">
      <c r="A190" s="20"/>
      <c r="B190" s="80" t="s">
        <v>135</v>
      </c>
      <c r="C190" s="80"/>
      <c r="D190" s="80"/>
      <c r="E190" s="132">
        <f>I190</f>
        <v>100</v>
      </c>
      <c r="F190" s="124" t="s">
        <v>114</v>
      </c>
      <c r="G190" s="125">
        <f t="shared" si="12"/>
        <v>100</v>
      </c>
      <c r="H190" s="125">
        <f t="shared" si="12"/>
        <v>100</v>
      </c>
      <c r="I190" s="125">
        <f t="shared" si="12"/>
        <v>100</v>
      </c>
      <c r="J190" s="80"/>
      <c r="K190" s="80"/>
      <c r="L190" s="80"/>
      <c r="M190" s="80"/>
      <c r="N190" s="8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outlineLevel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26" ht="12.75" customHeight="1" outlineLevel="1">
      <c r="A192" s="13"/>
      <c r="B192" s="48" t="s">
        <v>137</v>
      </c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13"/>
    </row>
    <row r="193" spans="1:16" ht="12.75" customHeight="1" outlineLevel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6" ht="12.75" customHeight="1" outlineLevel="1">
      <c r="A194" s="57"/>
      <c r="B194" s="123" t="s">
        <v>138</v>
      </c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57"/>
      <c r="P194" s="57"/>
    </row>
    <row r="195" spans="1:16" ht="15" customHeight="1" outlineLevel="1">
      <c r="A195" s="20"/>
      <c r="B195" s="133" t="s">
        <v>139</v>
      </c>
      <c r="C195" s="20"/>
      <c r="D195" s="20"/>
      <c r="E195" s="20"/>
      <c r="F195" s="20"/>
      <c r="G195" s="114">
        <f t="shared" ref="G195:I196" si="13">G28</f>
        <v>1000</v>
      </c>
      <c r="H195" s="114">
        <f t="shared" si="13"/>
        <v>1200</v>
      </c>
      <c r="I195" s="114">
        <f t="shared" si="13"/>
        <v>1400</v>
      </c>
      <c r="J195" s="20"/>
      <c r="K195" s="20"/>
      <c r="L195" s="20"/>
      <c r="M195" s="20"/>
      <c r="N195" s="20"/>
      <c r="O195" s="20"/>
      <c r="P195" s="20"/>
    </row>
    <row r="196" spans="1:16" ht="15" customHeight="1" outlineLevel="1">
      <c r="A196" s="20"/>
      <c r="B196" s="133" t="s">
        <v>52</v>
      </c>
      <c r="C196" s="20"/>
      <c r="D196" s="20"/>
      <c r="E196" s="20"/>
      <c r="F196" s="20"/>
      <c r="G196" s="114">
        <f t="shared" si="13"/>
        <v>600</v>
      </c>
      <c r="H196" s="114">
        <f t="shared" si="13"/>
        <v>600</v>
      </c>
      <c r="I196" s="114">
        <f t="shared" si="13"/>
        <v>600</v>
      </c>
      <c r="J196" s="20"/>
      <c r="K196" s="20"/>
      <c r="L196" s="20"/>
      <c r="M196" s="20"/>
      <c r="N196" s="20"/>
      <c r="O196" s="20"/>
      <c r="P196" s="20"/>
    </row>
    <row r="197" spans="1:16" ht="15" customHeight="1" outlineLevel="1">
      <c r="A197" s="20"/>
      <c r="B197" s="59" t="s">
        <v>140</v>
      </c>
      <c r="C197" s="20"/>
      <c r="D197" s="20"/>
      <c r="E197" s="20"/>
      <c r="F197" s="20"/>
      <c r="G197" s="69">
        <f>SUM(G198:G199)</f>
        <v>200</v>
      </c>
      <c r="H197" s="69">
        <f>SUM(H198:H199)</f>
        <v>200</v>
      </c>
      <c r="I197" s="69">
        <f>SUM(I198:I199)</f>
        <v>200</v>
      </c>
      <c r="J197" s="20"/>
      <c r="K197" s="20"/>
      <c r="L197" s="20"/>
      <c r="M197" s="20"/>
      <c r="N197" s="20"/>
      <c r="O197" s="20"/>
      <c r="P197" s="20"/>
    </row>
    <row r="198" spans="1:16" ht="15" customHeight="1" outlineLevel="1">
      <c r="A198" s="20"/>
      <c r="B198" s="82" t="s">
        <v>78</v>
      </c>
      <c r="C198" s="20"/>
      <c r="D198" s="20"/>
      <c r="E198" s="20"/>
      <c r="F198" s="20"/>
      <c r="G198" s="114">
        <f t="shared" ref="G198:I199" si="14">G58</f>
        <v>100</v>
      </c>
      <c r="H198" s="114">
        <f t="shared" si="14"/>
        <v>100</v>
      </c>
      <c r="I198" s="114">
        <f t="shared" si="14"/>
        <v>100</v>
      </c>
      <c r="J198" s="20"/>
      <c r="K198" s="20"/>
      <c r="L198" s="20"/>
      <c r="M198" s="20"/>
      <c r="N198" s="20"/>
      <c r="O198" s="20"/>
      <c r="P198" s="20"/>
    </row>
    <row r="199" spans="1:16" ht="15" customHeight="1" outlineLevel="1">
      <c r="A199" s="20"/>
      <c r="B199" s="82" t="s">
        <v>79</v>
      </c>
      <c r="C199" s="20"/>
      <c r="D199" s="20"/>
      <c r="E199" s="20"/>
      <c r="F199" s="20"/>
      <c r="G199" s="114">
        <f t="shared" si="14"/>
        <v>100</v>
      </c>
      <c r="H199" s="114">
        <f t="shared" si="14"/>
        <v>100</v>
      </c>
      <c r="I199" s="114">
        <f t="shared" si="14"/>
        <v>100</v>
      </c>
      <c r="J199" s="20"/>
      <c r="K199" s="20"/>
      <c r="L199" s="20"/>
      <c r="M199" s="20"/>
      <c r="N199" s="20"/>
      <c r="O199" s="20"/>
      <c r="P199" s="20"/>
    </row>
    <row r="200" spans="1:16" ht="15" customHeight="1" outlineLevel="1">
      <c r="A200" s="20"/>
      <c r="B200" s="59" t="s">
        <v>141</v>
      </c>
      <c r="C200" s="20"/>
      <c r="D200" s="20"/>
      <c r="E200" s="20"/>
      <c r="F200" s="20"/>
      <c r="G200" s="69">
        <f>SUM(G201)</f>
        <v>200</v>
      </c>
      <c r="H200" s="69">
        <f>SUM(H201)</f>
        <v>200</v>
      </c>
      <c r="I200" s="69">
        <f>SUM(I201)</f>
        <v>200</v>
      </c>
      <c r="J200" s="20"/>
      <c r="K200" s="20"/>
      <c r="L200" s="20"/>
      <c r="M200" s="20"/>
      <c r="N200" s="20"/>
      <c r="O200" s="20"/>
      <c r="P200" s="20"/>
    </row>
    <row r="201" spans="1:16" ht="15" customHeight="1" outlineLevel="1">
      <c r="A201" s="20"/>
      <c r="B201" s="82" t="s">
        <v>89</v>
      </c>
      <c r="C201" s="20"/>
      <c r="D201" s="20"/>
      <c r="E201" s="20"/>
      <c r="F201" s="20"/>
      <c r="G201" s="114">
        <f>G69</f>
        <v>200</v>
      </c>
      <c r="H201" s="114">
        <f>H69</f>
        <v>200</v>
      </c>
      <c r="I201" s="114">
        <f>I69</f>
        <v>200</v>
      </c>
      <c r="J201" s="20"/>
      <c r="K201" s="20"/>
      <c r="L201" s="20"/>
      <c r="M201" s="20"/>
      <c r="N201" s="20"/>
      <c r="O201" s="20"/>
      <c r="P201" s="20"/>
    </row>
    <row r="202" spans="1:16" ht="15" customHeight="1" outlineLevel="1">
      <c r="A202" s="20"/>
      <c r="B202" s="59" t="s">
        <v>142</v>
      </c>
      <c r="C202" s="20"/>
      <c r="D202" s="20"/>
      <c r="E202" s="20"/>
      <c r="F202" s="20"/>
      <c r="G202" s="69">
        <f>G197-G200</f>
        <v>0</v>
      </c>
      <c r="H202" s="69">
        <f>H197-H200</f>
        <v>0</v>
      </c>
      <c r="I202" s="69">
        <f>I197-I200</f>
        <v>0</v>
      </c>
      <c r="J202" s="20"/>
      <c r="K202" s="20"/>
      <c r="L202" s="20"/>
      <c r="M202" s="20"/>
      <c r="N202" s="20"/>
      <c r="O202" s="20"/>
      <c r="P202" s="20"/>
    </row>
    <row r="203" spans="1:16" ht="12.75" customHeight="1" outlineLevel="1">
      <c r="A203" s="20"/>
      <c r="B203" s="80" t="s">
        <v>143</v>
      </c>
      <c r="C203" s="80"/>
      <c r="D203" s="80"/>
      <c r="E203" s="80"/>
      <c r="F203" s="80"/>
      <c r="G203" s="80"/>
      <c r="H203" s="125">
        <f>-(H202-G202)</f>
        <v>0</v>
      </c>
      <c r="I203" s="125">
        <f>-(I202-H202)</f>
        <v>0</v>
      </c>
      <c r="J203" s="80"/>
      <c r="K203" s="80"/>
      <c r="L203" s="80"/>
      <c r="M203" s="80"/>
      <c r="N203" s="80"/>
      <c r="O203" s="20"/>
      <c r="P203" s="20"/>
    </row>
    <row r="204" spans="1:16" ht="12.75" customHeight="1" outlineLevel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6" ht="15" customHeight="1" outlineLevel="1">
      <c r="A205" s="57"/>
      <c r="B205" s="123" t="s">
        <v>144</v>
      </c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57"/>
    </row>
    <row r="206" spans="1:16" ht="13.5" customHeight="1" outlineLevel="1">
      <c r="A206" s="20"/>
      <c r="B206" s="59" t="s">
        <v>145</v>
      </c>
      <c r="C206" s="20"/>
      <c r="D206" s="20"/>
      <c r="E206" s="131">
        <f>I206</f>
        <v>26</v>
      </c>
      <c r="F206" s="62" t="s">
        <v>36</v>
      </c>
      <c r="G206" s="114">
        <f>G198/G195*G11</f>
        <v>36.4</v>
      </c>
      <c r="H206" s="114">
        <f>H198/H195*H11</f>
        <v>30.416666666666664</v>
      </c>
      <c r="I206" s="114">
        <f>I198/I195*I11</f>
        <v>26</v>
      </c>
      <c r="J206" s="114">
        <f t="shared" ref="J206:O208" si="15">$E206</f>
        <v>26</v>
      </c>
      <c r="K206" s="114">
        <f t="shared" si="15"/>
        <v>26</v>
      </c>
      <c r="L206" s="114">
        <f t="shared" si="15"/>
        <v>26</v>
      </c>
      <c r="M206" s="114">
        <f t="shared" si="15"/>
        <v>26</v>
      </c>
      <c r="N206" s="114">
        <f t="shared" si="15"/>
        <v>26</v>
      </c>
      <c r="O206" s="114">
        <f t="shared" si="15"/>
        <v>26</v>
      </c>
      <c r="P206" s="20"/>
    </row>
    <row r="207" spans="1:16" ht="13.5" customHeight="1" outlineLevel="1">
      <c r="A207" s="20"/>
      <c r="B207" s="59" t="s">
        <v>146</v>
      </c>
      <c r="C207" s="20"/>
      <c r="D207" s="20"/>
      <c r="E207" s="106">
        <f>I207</f>
        <v>60.666666666666664</v>
      </c>
      <c r="F207" s="62" t="s">
        <v>36</v>
      </c>
      <c r="G207" s="114">
        <f>G199/G196*G11</f>
        <v>60.666666666666664</v>
      </c>
      <c r="H207" s="114">
        <f>H199/H196*H11</f>
        <v>60.833333333333329</v>
      </c>
      <c r="I207" s="114">
        <f>I199/I196*I11</f>
        <v>60.666666666666664</v>
      </c>
      <c r="J207" s="114">
        <f t="shared" si="15"/>
        <v>60.666666666666664</v>
      </c>
      <c r="K207" s="114">
        <f t="shared" si="15"/>
        <v>60.666666666666664</v>
      </c>
      <c r="L207" s="114">
        <f t="shared" si="15"/>
        <v>60.666666666666664</v>
      </c>
      <c r="M207" s="114">
        <f t="shared" si="15"/>
        <v>60.666666666666664</v>
      </c>
      <c r="N207" s="114">
        <f t="shared" si="15"/>
        <v>60.666666666666664</v>
      </c>
      <c r="O207" s="114">
        <f t="shared" si="15"/>
        <v>60.666666666666664</v>
      </c>
      <c r="P207" s="20"/>
    </row>
    <row r="208" spans="1:16" ht="13.5" customHeight="1" outlineLevel="1">
      <c r="A208" s="20"/>
      <c r="B208" s="80" t="s">
        <v>147</v>
      </c>
      <c r="C208" s="80"/>
      <c r="D208" s="80"/>
      <c r="E208" s="132">
        <f>I208</f>
        <v>121.33333333333333</v>
      </c>
      <c r="F208" s="124" t="s">
        <v>36</v>
      </c>
      <c r="G208" s="125">
        <f>G201/G196*G11</f>
        <v>121.33333333333333</v>
      </c>
      <c r="H208" s="125">
        <f>H201/H196*H11</f>
        <v>121.66666666666666</v>
      </c>
      <c r="I208" s="125">
        <f>I201/I196*I11</f>
        <v>121.33333333333333</v>
      </c>
      <c r="J208" s="125">
        <f t="shared" si="15"/>
        <v>121.33333333333333</v>
      </c>
      <c r="K208" s="125">
        <f t="shared" si="15"/>
        <v>121.33333333333333</v>
      </c>
      <c r="L208" s="125">
        <f t="shared" si="15"/>
        <v>121.33333333333333</v>
      </c>
      <c r="M208" s="125">
        <f t="shared" si="15"/>
        <v>121.33333333333333</v>
      </c>
      <c r="N208" s="125">
        <f t="shared" si="15"/>
        <v>121.33333333333333</v>
      </c>
      <c r="O208" s="125">
        <f t="shared" si="15"/>
        <v>121.33333333333333</v>
      </c>
      <c r="P208" s="20"/>
    </row>
    <row r="209" spans="1:16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6" ht="15" customHeight="1">
      <c r="A210" s="13"/>
      <c r="B210" s="48" t="s">
        <v>148</v>
      </c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13"/>
    </row>
    <row r="211" spans="1:16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6" ht="15" customHeight="1">
      <c r="A212" s="57"/>
      <c r="B212" s="123" t="s">
        <v>149</v>
      </c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57"/>
      <c r="P212" s="57"/>
    </row>
    <row r="213" spans="1:16" ht="15" customHeight="1">
      <c r="A213" s="20"/>
      <c r="B213" s="112" t="s">
        <v>150</v>
      </c>
      <c r="C213" s="20"/>
      <c r="D213" s="20"/>
      <c r="E213" s="117">
        <v>0.02</v>
      </c>
      <c r="F213" s="62" t="s">
        <v>43</v>
      </c>
      <c r="G213" s="20"/>
      <c r="H213" s="20"/>
      <c r="I213" s="20"/>
      <c r="J213" s="134">
        <f t="shared" ref="J213:N214" si="16">$E213</f>
        <v>0.02</v>
      </c>
      <c r="K213" s="134">
        <f t="shared" si="16"/>
        <v>0.02</v>
      </c>
      <c r="L213" s="134">
        <f t="shared" si="16"/>
        <v>0.02</v>
      </c>
      <c r="M213" s="134">
        <f t="shared" si="16"/>
        <v>0.02</v>
      </c>
      <c r="N213" s="134">
        <f t="shared" si="16"/>
        <v>0.02</v>
      </c>
      <c r="O213" s="118"/>
      <c r="P213" s="20"/>
    </row>
    <row r="214" spans="1:16" ht="13.5" customHeight="1">
      <c r="A214" s="20"/>
      <c r="B214" s="135" t="s">
        <v>69</v>
      </c>
      <c r="C214" s="80"/>
      <c r="D214" s="80"/>
      <c r="E214" s="132">
        <f>I214</f>
        <v>10</v>
      </c>
      <c r="F214" s="124" t="s">
        <v>114</v>
      </c>
      <c r="G214" s="125">
        <f>G47</f>
        <v>10</v>
      </c>
      <c r="H214" s="125">
        <f>H47</f>
        <v>10</v>
      </c>
      <c r="I214" s="125">
        <f>I47</f>
        <v>10</v>
      </c>
      <c r="J214" s="136">
        <f t="shared" si="16"/>
        <v>10</v>
      </c>
      <c r="K214" s="136">
        <f t="shared" si="16"/>
        <v>10</v>
      </c>
      <c r="L214" s="136">
        <f t="shared" si="16"/>
        <v>10</v>
      </c>
      <c r="M214" s="136">
        <f t="shared" si="16"/>
        <v>10</v>
      </c>
      <c r="N214" s="136">
        <f t="shared" si="16"/>
        <v>10</v>
      </c>
      <c r="O214" s="114"/>
      <c r="P214" s="20"/>
    </row>
    <row r="215" spans="1:16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6" ht="15" customHeight="1">
      <c r="A216" s="57"/>
      <c r="B216" s="123" t="s">
        <v>151</v>
      </c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57"/>
      <c r="P216" s="57"/>
    </row>
    <row r="217" spans="1:16" ht="15" customHeight="1">
      <c r="A217" s="20"/>
      <c r="B217" s="112" t="s">
        <v>71</v>
      </c>
      <c r="C217" s="20"/>
      <c r="D217" s="20"/>
      <c r="E217" s="117">
        <f>I217/AVERAGE(I221,I224)</f>
        <v>0.1</v>
      </c>
      <c r="F217" s="62" t="s">
        <v>114</v>
      </c>
      <c r="G217" s="114">
        <f t="shared" ref="G217:I218" si="17">G49</f>
        <v>10</v>
      </c>
      <c r="H217" s="114">
        <f t="shared" si="17"/>
        <v>10</v>
      </c>
      <c r="I217" s="114">
        <f t="shared" si="17"/>
        <v>10</v>
      </c>
      <c r="J217" s="136">
        <f>$E$217*AVERAGE(J221,J224)</f>
        <v>7.5</v>
      </c>
      <c r="K217" s="136">
        <f>$E$217*AVERAGE(K221,K224)</f>
        <v>5</v>
      </c>
      <c r="L217" s="136">
        <f>$E$217*AVERAGE(L221,L224)</f>
        <v>5</v>
      </c>
      <c r="M217" s="136">
        <f>$E$217*AVERAGE(M221,M224)</f>
        <v>5</v>
      </c>
      <c r="N217" s="136">
        <f>$E$217*AVERAGE(N221,N224)</f>
        <v>5</v>
      </c>
      <c r="O217" s="114"/>
      <c r="P217" s="20"/>
    </row>
    <row r="218" spans="1:16" ht="15" customHeight="1">
      <c r="A218" s="20"/>
      <c r="B218" s="135" t="s">
        <v>69</v>
      </c>
      <c r="C218" s="80"/>
      <c r="D218" s="80"/>
      <c r="E218" s="132">
        <f>I218</f>
        <v>10</v>
      </c>
      <c r="F218" s="124" t="s">
        <v>114</v>
      </c>
      <c r="G218" s="125">
        <f t="shared" si="17"/>
        <v>10</v>
      </c>
      <c r="H218" s="125">
        <f t="shared" si="17"/>
        <v>10</v>
      </c>
      <c r="I218" s="125">
        <f t="shared" si="17"/>
        <v>10</v>
      </c>
      <c r="J218" s="136">
        <f>$E218</f>
        <v>10</v>
      </c>
      <c r="K218" s="136">
        <f>$E218</f>
        <v>10</v>
      </c>
      <c r="L218" s="136">
        <f>$E218</f>
        <v>10</v>
      </c>
      <c r="M218" s="136">
        <f>$E218</f>
        <v>10</v>
      </c>
      <c r="N218" s="136">
        <f>$E218</f>
        <v>10</v>
      </c>
      <c r="O218" s="114"/>
      <c r="P218" s="20"/>
    </row>
    <row r="219" spans="1:16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6" ht="15" customHeight="1">
      <c r="A220" s="57"/>
      <c r="B220" s="137" t="s">
        <v>152</v>
      </c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57"/>
      <c r="P220" s="57"/>
    </row>
    <row r="221" spans="1:16" ht="15" customHeight="1">
      <c r="A221" s="20"/>
      <c r="B221" s="112" t="s">
        <v>153</v>
      </c>
      <c r="C221" s="20"/>
      <c r="D221" s="20"/>
      <c r="E221" s="20"/>
      <c r="F221" s="62" t="s">
        <v>114</v>
      </c>
      <c r="G221" s="20"/>
      <c r="H221" s="114">
        <f t="shared" ref="H221:N221" si="18">G224</f>
        <v>100</v>
      </c>
      <c r="I221" s="114">
        <f t="shared" si="18"/>
        <v>100</v>
      </c>
      <c r="J221" s="114">
        <f t="shared" si="18"/>
        <v>100</v>
      </c>
      <c r="K221" s="114">
        <f t="shared" si="18"/>
        <v>50</v>
      </c>
      <c r="L221" s="114">
        <f t="shared" si="18"/>
        <v>50</v>
      </c>
      <c r="M221" s="114">
        <f t="shared" si="18"/>
        <v>50</v>
      </c>
      <c r="N221" s="114">
        <f t="shared" si="18"/>
        <v>50</v>
      </c>
      <c r="O221" s="114"/>
      <c r="P221" s="20"/>
    </row>
    <row r="222" spans="1:16" ht="15" customHeight="1">
      <c r="A222" s="20"/>
      <c r="B222" s="138" t="s">
        <v>154</v>
      </c>
      <c r="C222" s="20"/>
      <c r="D222" s="20"/>
      <c r="E222" s="20"/>
      <c r="F222" s="62" t="s">
        <v>114</v>
      </c>
      <c r="G222" s="20"/>
      <c r="H222" s="20"/>
      <c r="I222" s="20"/>
      <c r="J222" s="69"/>
      <c r="K222" s="69"/>
      <c r="L222" s="69"/>
      <c r="M222" s="69"/>
      <c r="N222" s="69"/>
      <c r="O222" s="107"/>
      <c r="P222" s="20"/>
    </row>
    <row r="223" spans="1:16" ht="15" customHeight="1">
      <c r="A223" s="20"/>
      <c r="B223" s="138" t="s">
        <v>155</v>
      </c>
      <c r="C223" s="20"/>
      <c r="D223" s="20"/>
      <c r="E223" s="20"/>
      <c r="F223" s="62" t="s">
        <v>114</v>
      </c>
      <c r="G223" s="20"/>
      <c r="H223" s="20"/>
      <c r="I223" s="20"/>
      <c r="J223" s="69">
        <v>50</v>
      </c>
      <c r="K223" s="69"/>
      <c r="L223" s="69"/>
      <c r="M223" s="69"/>
      <c r="N223" s="69"/>
      <c r="O223" s="107"/>
      <c r="P223" s="20"/>
    </row>
    <row r="224" spans="1:16" ht="15" customHeight="1">
      <c r="A224" s="20"/>
      <c r="B224" s="135" t="s">
        <v>156</v>
      </c>
      <c r="C224" s="80"/>
      <c r="D224" s="80"/>
      <c r="E224" s="80"/>
      <c r="F224" s="124" t="s">
        <v>114</v>
      </c>
      <c r="G224" s="125">
        <f>SUM(G71)</f>
        <v>100</v>
      </c>
      <c r="H224" s="125">
        <f>SUM(H71)</f>
        <v>100</v>
      </c>
      <c r="I224" s="125">
        <f>SUM(I71)</f>
        <v>100</v>
      </c>
      <c r="J224" s="125">
        <f>J221+J222-J223</f>
        <v>50</v>
      </c>
      <c r="K224" s="125">
        <f>K221+K222-K223</f>
        <v>50</v>
      </c>
      <c r="L224" s="125">
        <f>L221+L222-L223</f>
        <v>50</v>
      </c>
      <c r="M224" s="125">
        <f>M221+M222-M223</f>
        <v>50</v>
      </c>
      <c r="N224" s="125">
        <f>N221+N222-N223</f>
        <v>50</v>
      </c>
      <c r="O224" s="114"/>
      <c r="P224" s="20"/>
    </row>
    <row r="225" spans="1:16" ht="15" customHeight="1">
      <c r="A225" s="8"/>
      <c r="B225" s="112"/>
      <c r="C225" s="8"/>
      <c r="D225" s="8"/>
      <c r="E225" s="8"/>
      <c r="F225" s="139"/>
      <c r="G225" s="140"/>
      <c r="H225" s="140"/>
      <c r="I225" s="140"/>
      <c r="J225" s="140"/>
      <c r="K225" s="140"/>
      <c r="L225" s="140"/>
      <c r="M225" s="140"/>
      <c r="N225" s="140"/>
      <c r="O225" s="140"/>
    </row>
    <row r="226" spans="1:16" ht="15" customHeight="1">
      <c r="A226" s="57"/>
      <c r="B226" s="137" t="s">
        <v>157</v>
      </c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57"/>
      <c r="P226" s="57"/>
    </row>
    <row r="227" spans="1:16" ht="15" customHeight="1">
      <c r="A227" s="20"/>
      <c r="B227" s="112" t="s">
        <v>153</v>
      </c>
      <c r="C227" s="20"/>
      <c r="D227" s="20"/>
      <c r="E227" s="20"/>
      <c r="F227" s="62" t="s">
        <v>114</v>
      </c>
      <c r="G227" s="20"/>
      <c r="H227" s="114">
        <f t="shared" ref="H227:N227" si="19">G230</f>
        <v>200</v>
      </c>
      <c r="I227" s="114">
        <f t="shared" si="19"/>
        <v>200</v>
      </c>
      <c r="J227" s="114">
        <f t="shared" si="19"/>
        <v>200</v>
      </c>
      <c r="K227" s="114">
        <f t="shared" si="19"/>
        <v>200</v>
      </c>
      <c r="L227" s="114">
        <f t="shared" si="19"/>
        <v>200</v>
      </c>
      <c r="M227" s="114">
        <f t="shared" si="19"/>
        <v>200</v>
      </c>
      <c r="N227" s="114">
        <f t="shared" si="19"/>
        <v>200</v>
      </c>
      <c r="O227" s="114"/>
      <c r="P227" s="20"/>
    </row>
    <row r="228" spans="1:16" ht="15" customHeight="1">
      <c r="A228" s="20"/>
      <c r="B228" s="138" t="s">
        <v>154</v>
      </c>
      <c r="C228" s="20"/>
      <c r="D228" s="20"/>
      <c r="E228" s="20"/>
      <c r="F228" s="62" t="s">
        <v>114</v>
      </c>
      <c r="G228" s="20"/>
      <c r="H228" s="20"/>
      <c r="I228" s="20"/>
      <c r="J228" s="69"/>
      <c r="K228" s="141"/>
      <c r="L228" s="141"/>
      <c r="M228" s="141"/>
      <c r="N228" s="141"/>
      <c r="O228" s="20"/>
      <c r="P228" s="20"/>
    </row>
    <row r="229" spans="1:16" ht="15" customHeight="1">
      <c r="A229" s="20"/>
      <c r="B229" s="138" t="s">
        <v>155</v>
      </c>
      <c r="C229" s="20"/>
      <c r="D229" s="20"/>
      <c r="E229" s="20"/>
      <c r="F229" s="62" t="s">
        <v>114</v>
      </c>
      <c r="G229" s="20"/>
      <c r="H229" s="20"/>
      <c r="I229" s="20"/>
      <c r="J229" s="141"/>
      <c r="K229" s="141"/>
      <c r="L229" s="141"/>
      <c r="M229" s="141"/>
      <c r="N229" s="141"/>
      <c r="O229" s="20"/>
      <c r="P229" s="20"/>
    </row>
    <row r="230" spans="1:16" ht="15" customHeight="1">
      <c r="A230" s="20"/>
      <c r="B230" s="135" t="s">
        <v>156</v>
      </c>
      <c r="C230" s="80"/>
      <c r="D230" s="80"/>
      <c r="E230" s="80"/>
      <c r="F230" s="124" t="s">
        <v>114</v>
      </c>
      <c r="G230" s="125">
        <f>SUM(G74)</f>
        <v>200</v>
      </c>
      <c r="H230" s="125">
        <f>SUM(H74)</f>
        <v>200</v>
      </c>
      <c r="I230" s="125">
        <f>SUM(I74)</f>
        <v>200</v>
      </c>
      <c r="J230" s="125">
        <f>J227+J228-J229</f>
        <v>200</v>
      </c>
      <c r="K230" s="125">
        <f>K227+K228-K229</f>
        <v>200</v>
      </c>
      <c r="L230" s="125">
        <f>L227+L228-L229</f>
        <v>200</v>
      </c>
      <c r="M230" s="125">
        <f>M227+M228-M229</f>
        <v>200</v>
      </c>
      <c r="N230" s="125">
        <f>N227+N228-N229</f>
        <v>200</v>
      </c>
      <c r="O230" s="114"/>
      <c r="P230" s="20"/>
    </row>
    <row r="231" spans="1:16" ht="15" customHeight="1">
      <c r="A231" s="8"/>
      <c r="B231" s="112"/>
      <c r="C231" s="8"/>
      <c r="D231" s="8"/>
      <c r="E231" s="8"/>
      <c r="F231" s="139"/>
      <c r="G231" s="140"/>
      <c r="H231" s="140"/>
      <c r="I231" s="140"/>
      <c r="J231" s="140"/>
      <c r="K231" s="140"/>
      <c r="L231" s="140"/>
      <c r="M231" s="140"/>
      <c r="N231" s="140"/>
      <c r="O231" s="140"/>
    </row>
    <row r="232" spans="1:16" ht="15" customHeight="1">
      <c r="A232" s="57"/>
      <c r="B232" s="137" t="s">
        <v>158</v>
      </c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57"/>
      <c r="P232" s="57"/>
    </row>
    <row r="233" spans="1:16" ht="15" customHeight="1">
      <c r="A233" s="20"/>
      <c r="B233" s="112" t="s">
        <v>153</v>
      </c>
      <c r="C233" s="20"/>
      <c r="D233" s="20"/>
      <c r="E233" s="20"/>
      <c r="F233" s="62" t="s">
        <v>114</v>
      </c>
      <c r="G233" s="20"/>
      <c r="H233" s="114">
        <f t="shared" ref="H233:N233" si="20">G236</f>
        <v>0</v>
      </c>
      <c r="I233" s="114">
        <f t="shared" si="20"/>
        <v>0</v>
      </c>
      <c r="J233" s="114">
        <f t="shared" si="20"/>
        <v>0</v>
      </c>
      <c r="K233" s="114">
        <f t="shared" si="20"/>
        <v>0</v>
      </c>
      <c r="L233" s="114">
        <f t="shared" si="20"/>
        <v>0</v>
      </c>
      <c r="M233" s="114">
        <f t="shared" si="20"/>
        <v>0</v>
      </c>
      <c r="N233" s="114">
        <f t="shared" si="20"/>
        <v>0</v>
      </c>
      <c r="O233" s="114"/>
      <c r="P233" s="20"/>
    </row>
    <row r="234" spans="1:16" ht="15" customHeight="1">
      <c r="A234" s="20"/>
      <c r="B234" s="138" t="s">
        <v>154</v>
      </c>
      <c r="C234" s="20"/>
      <c r="D234" s="20"/>
      <c r="E234" s="20"/>
      <c r="F234" s="62" t="s">
        <v>114</v>
      </c>
      <c r="G234" s="20"/>
      <c r="H234" s="20"/>
      <c r="I234" s="20"/>
      <c r="J234" s="69"/>
      <c r="K234" s="141"/>
      <c r="L234" s="141"/>
      <c r="M234" s="141"/>
      <c r="N234" s="141"/>
      <c r="O234" s="20"/>
      <c r="P234" s="20"/>
    </row>
    <row r="235" spans="1:16" ht="15" customHeight="1">
      <c r="A235" s="20"/>
      <c r="B235" s="138" t="s">
        <v>155</v>
      </c>
      <c r="C235" s="20"/>
      <c r="D235" s="20"/>
      <c r="E235" s="20"/>
      <c r="F235" s="62" t="s">
        <v>114</v>
      </c>
      <c r="G235" s="20"/>
      <c r="H235" s="20"/>
      <c r="I235" s="20"/>
      <c r="J235" s="141"/>
      <c r="K235" s="141"/>
      <c r="L235" s="141"/>
      <c r="M235" s="141"/>
      <c r="N235" s="141"/>
      <c r="O235" s="20"/>
      <c r="P235" s="20"/>
    </row>
    <row r="236" spans="1:16" ht="15" customHeight="1">
      <c r="A236" s="20"/>
      <c r="B236" s="135" t="s">
        <v>156</v>
      </c>
      <c r="C236" s="80"/>
      <c r="D236" s="80"/>
      <c r="E236" s="80"/>
      <c r="F236" s="124" t="s">
        <v>114</v>
      </c>
      <c r="G236" s="125">
        <f>SUM(G75)</f>
        <v>0</v>
      </c>
      <c r="H236" s="125">
        <f>SUM(H75)</f>
        <v>0</v>
      </c>
      <c r="I236" s="125">
        <f>SUM(I75)</f>
        <v>0</v>
      </c>
      <c r="J236" s="125">
        <f>J233+J234-J235</f>
        <v>0</v>
      </c>
      <c r="K236" s="125">
        <f>K233+K234-K235</f>
        <v>0</v>
      </c>
      <c r="L236" s="125">
        <f>L233+L234-L235</f>
        <v>0</v>
      </c>
      <c r="M236" s="125">
        <f>M233+M234-M235</f>
        <v>0</v>
      </c>
      <c r="N236" s="125">
        <f>N233+N234-N235</f>
        <v>0</v>
      </c>
      <c r="O236" s="114"/>
      <c r="P236" s="20"/>
    </row>
    <row r="237" spans="1:16" ht="15" customHeight="1">
      <c r="A237" s="8"/>
      <c r="B237" s="112"/>
      <c r="C237" s="8"/>
      <c r="D237" s="8"/>
      <c r="E237" s="8"/>
      <c r="F237" s="139"/>
      <c r="G237" s="140"/>
      <c r="H237" s="140"/>
      <c r="I237" s="140"/>
      <c r="J237" s="140"/>
      <c r="K237" s="140"/>
      <c r="L237" s="140"/>
      <c r="M237" s="140"/>
      <c r="N237" s="140"/>
      <c r="O237" s="140"/>
    </row>
    <row r="238" spans="1:16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6" ht="12.75" customHeight="1">
      <c r="A239" s="13"/>
      <c r="B239" s="48" t="s">
        <v>159</v>
      </c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13"/>
    </row>
    <row r="240" spans="1:16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6" ht="12.75" customHeight="1">
      <c r="A241" s="57"/>
      <c r="B241" s="123" t="s">
        <v>160</v>
      </c>
      <c r="C241" s="123"/>
      <c r="D241" s="123"/>
      <c r="E241" s="123"/>
      <c r="F241" s="123"/>
      <c r="G241" s="123" t="s">
        <v>161</v>
      </c>
      <c r="H241" s="123" t="s">
        <v>162</v>
      </c>
      <c r="I241" s="123" t="str">
        <f>I55</f>
        <v>Dec2025</v>
      </c>
      <c r="J241" s="123"/>
      <c r="K241" s="123"/>
      <c r="L241" s="123"/>
      <c r="M241" s="123"/>
      <c r="N241" s="123"/>
      <c r="O241" s="57"/>
      <c r="P241" s="57"/>
    </row>
    <row r="242" spans="1:16" ht="12.75" customHeight="1">
      <c r="A242" s="20"/>
      <c r="B242" s="59" t="s">
        <v>163</v>
      </c>
      <c r="C242" s="20"/>
      <c r="D242" s="20"/>
      <c r="E242" s="20"/>
      <c r="F242" s="20"/>
      <c r="G242" s="142">
        <f>SUM(G243)</f>
        <v>-50</v>
      </c>
      <c r="H242" s="142">
        <f>SUM(H243)</f>
        <v>0</v>
      </c>
      <c r="I242" s="142">
        <f t="shared" ref="I242:I248" si="21">G242+H242</f>
        <v>-50</v>
      </c>
      <c r="J242" s="20"/>
      <c r="K242" s="20"/>
      <c r="L242" s="20"/>
      <c r="M242" s="20"/>
      <c r="N242" s="20"/>
      <c r="O242" s="20"/>
      <c r="P242" s="20"/>
    </row>
    <row r="243" spans="1:16" ht="12.75" customHeight="1">
      <c r="A243" s="20"/>
      <c r="B243" s="82" t="s">
        <v>77</v>
      </c>
      <c r="C243" s="20"/>
      <c r="D243" s="20"/>
      <c r="E243" s="20"/>
      <c r="F243" s="20"/>
      <c r="G243" s="143">
        <f>-I57</f>
        <v>-50</v>
      </c>
      <c r="H243" s="143"/>
      <c r="I243" s="143">
        <f t="shared" si="21"/>
        <v>-50</v>
      </c>
      <c r="J243" s="20"/>
      <c r="K243" s="20"/>
      <c r="L243" s="20"/>
      <c r="M243" s="20"/>
      <c r="N243" s="20"/>
      <c r="O243" s="20"/>
      <c r="P243" s="20"/>
    </row>
    <row r="244" spans="1:16" ht="12.75" customHeight="1">
      <c r="A244" s="20"/>
      <c r="B244" s="59" t="s">
        <v>164</v>
      </c>
      <c r="C244" s="20"/>
      <c r="D244" s="20"/>
      <c r="E244" s="20"/>
      <c r="F244" s="20"/>
      <c r="G244" s="144">
        <f>SUM(G245:G247)</f>
        <v>300</v>
      </c>
      <c r="H244" s="144">
        <f>SUM(H245:H247)</f>
        <v>0</v>
      </c>
      <c r="I244" s="144">
        <f t="shared" si="21"/>
        <v>300</v>
      </c>
      <c r="J244" s="20"/>
      <c r="K244" s="20"/>
      <c r="L244" s="20"/>
      <c r="M244" s="20"/>
      <c r="N244" s="20"/>
      <c r="O244" s="20"/>
      <c r="P244" s="20"/>
    </row>
    <row r="245" spans="1:16" ht="12.75" customHeight="1">
      <c r="A245" s="20"/>
      <c r="B245" s="82" t="s">
        <v>165</v>
      </c>
      <c r="C245" s="20"/>
      <c r="D245" s="20"/>
      <c r="E245" s="20"/>
      <c r="F245" s="20"/>
      <c r="G245" s="143">
        <f>I71+I74</f>
        <v>300</v>
      </c>
      <c r="H245" s="143"/>
      <c r="I245" s="143">
        <f t="shared" si="21"/>
        <v>300</v>
      </c>
      <c r="J245" s="20"/>
      <c r="K245" s="20"/>
      <c r="L245" s="20"/>
      <c r="M245" s="20"/>
      <c r="N245" s="20"/>
      <c r="O245" s="20"/>
      <c r="P245" s="20"/>
    </row>
    <row r="246" spans="1:16" ht="15" customHeight="1">
      <c r="A246" s="20"/>
      <c r="B246" s="82" t="s">
        <v>95</v>
      </c>
      <c r="C246" s="20"/>
      <c r="D246" s="20"/>
      <c r="E246" s="20"/>
      <c r="F246" s="20"/>
      <c r="G246" s="143"/>
      <c r="H246" s="143"/>
      <c r="I246" s="143">
        <f t="shared" si="21"/>
        <v>0</v>
      </c>
      <c r="J246" s="20"/>
      <c r="K246" s="20"/>
      <c r="L246" s="20"/>
      <c r="M246" s="20"/>
      <c r="N246" s="20"/>
      <c r="O246" s="20"/>
      <c r="P246" s="20"/>
    </row>
    <row r="247" spans="1:16" ht="15" customHeight="1">
      <c r="A247" s="20"/>
      <c r="B247" s="82" t="s">
        <v>166</v>
      </c>
      <c r="C247" s="20"/>
      <c r="D247" s="20"/>
      <c r="E247" s="20"/>
      <c r="F247" s="20"/>
      <c r="G247" s="143"/>
      <c r="H247" s="143"/>
      <c r="I247" s="143">
        <f t="shared" si="21"/>
        <v>0</v>
      </c>
      <c r="J247" s="20"/>
      <c r="K247" s="20"/>
      <c r="L247" s="20"/>
      <c r="M247" s="20"/>
      <c r="N247" s="20"/>
      <c r="O247" s="20"/>
      <c r="P247" s="20"/>
    </row>
    <row r="248" spans="1:16" ht="12.75" customHeight="1">
      <c r="A248" s="70"/>
      <c r="B248" s="93" t="s">
        <v>167</v>
      </c>
      <c r="C248" s="93"/>
      <c r="D248" s="93"/>
      <c r="E248" s="93"/>
      <c r="F248" s="93"/>
      <c r="G248" s="145">
        <f>G242+G244</f>
        <v>250</v>
      </c>
      <c r="H248" s="145">
        <f>H242+H244</f>
        <v>0</v>
      </c>
      <c r="I248" s="145">
        <f t="shared" si="21"/>
        <v>250</v>
      </c>
      <c r="J248" s="93"/>
      <c r="K248" s="93"/>
      <c r="L248" s="93"/>
      <c r="M248" s="93"/>
      <c r="N248" s="93"/>
      <c r="O248" s="70"/>
      <c r="P248" s="70"/>
    </row>
    <row r="249" spans="1:16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6" ht="12.75" customHeight="1">
      <c r="A250" s="57"/>
      <c r="B250" s="123" t="s">
        <v>168</v>
      </c>
      <c r="C250" s="123"/>
      <c r="D250" s="123"/>
      <c r="E250" s="123"/>
      <c r="F250" s="123"/>
      <c r="G250" s="123"/>
      <c r="H250" s="123"/>
      <c r="I250" s="123" t="str">
        <f>I55</f>
        <v>Dec2025</v>
      </c>
      <c r="J250" s="123"/>
      <c r="K250" s="123"/>
      <c r="L250" s="123"/>
      <c r="M250" s="123"/>
      <c r="N250" s="123"/>
      <c r="O250" s="57"/>
      <c r="P250" s="57"/>
    </row>
    <row r="251" spans="1:16" ht="15" customHeight="1">
      <c r="A251" s="20"/>
      <c r="B251" s="112" t="s">
        <v>169</v>
      </c>
      <c r="C251" s="20"/>
      <c r="D251" s="20"/>
      <c r="E251" s="20"/>
      <c r="F251" s="20"/>
      <c r="G251" s="20"/>
      <c r="H251" s="20"/>
      <c r="I251" s="146"/>
      <c r="J251" s="20"/>
      <c r="K251" s="20"/>
      <c r="L251" s="20"/>
      <c r="M251" s="20"/>
      <c r="N251" s="20"/>
      <c r="O251" s="20"/>
      <c r="P251" s="20"/>
    </row>
    <row r="252" spans="1:16" ht="15" customHeight="1">
      <c r="A252" s="20"/>
      <c r="B252" s="112" t="s">
        <v>85</v>
      </c>
      <c r="C252" s="20"/>
      <c r="D252" s="20"/>
      <c r="E252" s="20"/>
      <c r="F252" s="20"/>
      <c r="G252" s="20"/>
      <c r="H252" s="20"/>
      <c r="I252" s="146"/>
      <c r="J252" s="20"/>
      <c r="K252" s="20"/>
      <c r="L252" s="20"/>
      <c r="M252" s="20"/>
      <c r="N252" s="20"/>
      <c r="O252" s="20"/>
      <c r="P252" s="20"/>
    </row>
    <row r="253" spans="1:16" ht="12.75" customHeight="1">
      <c r="A253" s="70"/>
      <c r="B253" s="93" t="s">
        <v>170</v>
      </c>
      <c r="C253" s="93"/>
      <c r="D253" s="93"/>
      <c r="E253" s="93"/>
      <c r="F253" s="93"/>
      <c r="G253" s="93"/>
      <c r="H253" s="93"/>
      <c r="I253" s="147">
        <f>SUM(I251)</f>
        <v>0</v>
      </c>
      <c r="J253" s="93"/>
      <c r="K253" s="93"/>
      <c r="L253" s="93"/>
      <c r="M253" s="93"/>
      <c r="N253" s="93"/>
      <c r="O253" s="70"/>
      <c r="P253" s="70"/>
    </row>
  </sheetData>
  <phoneticPr fontId="68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K200"/>
  <sheetViews>
    <sheetView showGridLines="0" zoomScale="70" zoomScaleNormal="7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A107" sqref="A107:XFD112"/>
    </sheetView>
  </sheetViews>
  <sheetFormatPr defaultColWidth="0" defaultRowHeight="12.75" customHeight="1" zeroHeight="1"/>
  <cols>
    <col min="1" max="1" width="1.6875" style="46" customWidth="1"/>
    <col min="2" max="2" width="28.6875" style="46" customWidth="1"/>
    <col min="3" max="4" width="1.6875" style="46" customWidth="1"/>
    <col min="5" max="5" width="10.375" style="46" customWidth="1"/>
    <col min="6" max="6" width="8.6875" style="46"/>
    <col min="7" max="15" width="10" style="46" customWidth="1"/>
    <col min="16" max="16" width="1.6875" style="46" customWidth="1"/>
    <col min="17" max="323" width="9.125" style="46" hidden="1" customWidth="1"/>
    <col min="324" max="16384" width="8.6875" style="46" hidden="1"/>
  </cols>
  <sheetData>
    <row r="1" spans="1:20" ht="24" customHeight="1">
      <c r="A1" s="13"/>
      <c r="B1" s="47" t="str">
        <f>Legend!D2</f>
        <v>Project dummy Financial Model</v>
      </c>
      <c r="C1" s="48"/>
      <c r="D1" s="48"/>
      <c r="E1" s="48"/>
      <c r="F1" s="48"/>
      <c r="G1" s="48"/>
      <c r="H1" s="48"/>
      <c r="I1" s="49"/>
      <c r="J1" s="49"/>
      <c r="K1" s="49"/>
      <c r="L1" s="49"/>
      <c r="M1" s="49"/>
      <c r="N1" s="50"/>
      <c r="O1" s="50"/>
      <c r="P1" s="13"/>
    </row>
    <row r="2" spans="1:20" ht="12.75" customHeight="1">
      <c r="A2" s="20"/>
      <c r="B2" s="51" t="s">
        <v>171</v>
      </c>
      <c r="C2" s="52"/>
      <c r="D2" s="52"/>
      <c r="E2" s="52"/>
      <c r="F2" s="52"/>
      <c r="G2" s="53"/>
      <c r="H2" s="54"/>
      <c r="I2" s="55"/>
      <c r="J2" s="55"/>
      <c r="K2" s="55"/>
      <c r="L2" s="55"/>
      <c r="M2" s="55"/>
      <c r="N2" s="55"/>
      <c r="O2" s="55"/>
      <c r="P2" s="20"/>
      <c r="Q2" s="20"/>
      <c r="R2" s="20"/>
      <c r="S2" s="20"/>
    </row>
    <row r="3" spans="1:20" ht="12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20" ht="12.75" customHeight="1">
      <c r="A4" s="13"/>
      <c r="B4" s="48" t="s">
        <v>27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13"/>
    </row>
    <row r="5" spans="1:20" ht="12.75" customHeight="1">
      <c r="A5" s="8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20" ht="12.75" customHeight="1">
      <c r="A6" s="57"/>
      <c r="B6" s="123" t="s">
        <v>28</v>
      </c>
      <c r="C6" s="105"/>
      <c r="D6" s="105"/>
      <c r="E6" s="105"/>
      <c r="F6" s="105"/>
      <c r="G6" s="58" t="str">
        <f>Input!G6</f>
        <v>Actual</v>
      </c>
      <c r="H6" s="58" t="str">
        <f>Input!H6</f>
        <v>Actual</v>
      </c>
      <c r="I6" s="58" t="str">
        <f>Input!I6</f>
        <v>Actual</v>
      </c>
      <c r="J6" s="58" t="str">
        <f>Input!J6</f>
        <v>Forecast</v>
      </c>
      <c r="K6" s="58" t="str">
        <f>Input!K6</f>
        <v>Forecast</v>
      </c>
      <c r="L6" s="58" t="str">
        <f>Input!L6</f>
        <v>Forecast</v>
      </c>
      <c r="M6" s="58" t="str">
        <f>Input!M6</f>
        <v>Forecast</v>
      </c>
      <c r="N6" s="58" t="str">
        <f>Input!N6</f>
        <v>Forecast</v>
      </c>
      <c r="O6" s="58" t="str">
        <f>Input!O6</f>
        <v>Forecast</v>
      </c>
      <c r="P6" s="57"/>
    </row>
    <row r="7" spans="1:20" ht="12.75" customHeight="1">
      <c r="A7" s="20"/>
      <c r="B7" s="61" t="s">
        <v>31</v>
      </c>
      <c r="C7" s="61"/>
      <c r="D7" s="62"/>
      <c r="E7" s="62"/>
      <c r="F7" s="62"/>
      <c r="G7" s="60">
        <f>Input!G7</f>
        <v>44927</v>
      </c>
      <c r="H7" s="60">
        <f>Input!H7</f>
        <v>45292</v>
      </c>
      <c r="I7" s="60">
        <f>Input!I7</f>
        <v>45658</v>
      </c>
      <c r="J7" s="60">
        <f>Input!J7</f>
        <v>46023</v>
      </c>
      <c r="K7" s="60">
        <f>Input!K7</f>
        <v>46388</v>
      </c>
      <c r="L7" s="60">
        <f>Input!L7</f>
        <v>46753</v>
      </c>
      <c r="M7" s="60">
        <f>Input!M7</f>
        <v>47119</v>
      </c>
      <c r="N7" s="60">
        <f>Input!N7</f>
        <v>47484</v>
      </c>
      <c r="O7" s="60" t="s">
        <v>32</v>
      </c>
      <c r="P7" s="20"/>
    </row>
    <row r="8" spans="1:20" ht="12.75" customHeight="1">
      <c r="A8" s="20"/>
      <c r="B8" s="61" t="s">
        <v>33</v>
      </c>
      <c r="C8" s="61"/>
      <c r="D8" s="62"/>
      <c r="E8" s="62"/>
      <c r="F8" s="62"/>
      <c r="G8" s="60">
        <f>Input!G8</f>
        <v>45291</v>
      </c>
      <c r="H8" s="60">
        <f>Input!H8</f>
        <v>45657</v>
      </c>
      <c r="I8" s="60">
        <f>Input!I8</f>
        <v>46022</v>
      </c>
      <c r="J8" s="60">
        <f>Input!J8</f>
        <v>46387</v>
      </c>
      <c r="K8" s="60">
        <f>Input!K8</f>
        <v>46752</v>
      </c>
      <c r="L8" s="60">
        <f>Input!L8</f>
        <v>47118</v>
      </c>
      <c r="M8" s="60">
        <f>Input!M8</f>
        <v>47483</v>
      </c>
      <c r="N8" s="60">
        <f>Input!N8</f>
        <v>47848</v>
      </c>
      <c r="O8" s="60"/>
      <c r="P8" s="20"/>
    </row>
    <row r="9" spans="1:20" ht="12.75" customHeight="1">
      <c r="A9" s="20"/>
      <c r="B9" s="61" t="s">
        <v>34</v>
      </c>
      <c r="C9" s="61"/>
      <c r="D9" s="62"/>
      <c r="E9" s="62"/>
      <c r="F9" s="62"/>
      <c r="G9" s="63">
        <f>Input!G9</f>
        <v>12</v>
      </c>
      <c r="H9" s="64">
        <f>Input!H9</f>
        <v>12</v>
      </c>
      <c r="I9" s="64">
        <f>Input!I9</f>
        <v>12</v>
      </c>
      <c r="J9" s="64">
        <f>Input!J9</f>
        <v>12</v>
      </c>
      <c r="K9" s="64">
        <f>Input!K9</f>
        <v>12</v>
      </c>
      <c r="L9" s="64">
        <f>Input!L9</f>
        <v>12</v>
      </c>
      <c r="M9" s="64">
        <f>Input!M9</f>
        <v>12</v>
      </c>
      <c r="N9" s="64">
        <f>Input!N9</f>
        <v>12</v>
      </c>
      <c r="O9" s="64"/>
      <c r="P9" s="20"/>
    </row>
    <row r="10" spans="1:20" ht="12.75" customHeight="1">
      <c r="A10" s="20"/>
      <c r="B10" s="61" t="s">
        <v>35</v>
      </c>
      <c r="C10" s="61"/>
      <c r="D10" s="62"/>
      <c r="E10" s="62"/>
      <c r="F10" s="62"/>
      <c r="G10" s="63">
        <f>Input!G10</f>
        <v>2023</v>
      </c>
      <c r="H10" s="63">
        <f>Input!H10</f>
        <v>2024</v>
      </c>
      <c r="I10" s="64">
        <f>Input!I10</f>
        <v>2025</v>
      </c>
      <c r="J10" s="64">
        <f>Input!J10</f>
        <v>2026</v>
      </c>
      <c r="K10" s="64">
        <f>Input!K10</f>
        <v>2027</v>
      </c>
      <c r="L10" s="64">
        <f>Input!L10</f>
        <v>2028</v>
      </c>
      <c r="M10" s="64">
        <f>Input!M10</f>
        <v>2029</v>
      </c>
      <c r="N10" s="64">
        <f>Input!N10</f>
        <v>2030</v>
      </c>
      <c r="O10" s="64"/>
      <c r="P10" s="20"/>
    </row>
    <row r="11" spans="1:20" ht="12.75" customHeight="1">
      <c r="A11" s="20"/>
      <c r="B11" s="61" t="s">
        <v>36</v>
      </c>
      <c r="C11" s="62"/>
      <c r="D11" s="64"/>
      <c r="E11" s="64"/>
      <c r="F11" s="64"/>
      <c r="G11" s="64">
        <f>Input!G11</f>
        <v>364</v>
      </c>
      <c r="H11" s="64">
        <f>Input!H11</f>
        <v>365</v>
      </c>
      <c r="I11" s="64">
        <f>Input!I11</f>
        <v>364</v>
      </c>
      <c r="J11" s="64">
        <f>Input!J11</f>
        <v>364</v>
      </c>
      <c r="K11" s="64">
        <f>Input!K11</f>
        <v>364</v>
      </c>
      <c r="L11" s="64">
        <f>Input!L11</f>
        <v>365</v>
      </c>
      <c r="M11" s="64">
        <f>Input!M11</f>
        <v>364</v>
      </c>
      <c r="N11" s="64">
        <f>Input!N11</f>
        <v>364</v>
      </c>
      <c r="O11" s="64"/>
      <c r="P11" s="20"/>
    </row>
    <row r="12" spans="1:20" ht="12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20" ht="12.75" customHeight="1">
      <c r="A13" s="20"/>
      <c r="B13" s="51" t="s">
        <v>172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20"/>
      <c r="Q13" s="20"/>
      <c r="R13" s="20"/>
      <c r="S13" s="20"/>
      <c r="T13" s="20"/>
    </row>
    <row r="14" spans="1:20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20" ht="12.75" customHeight="1">
      <c r="A15" s="57"/>
      <c r="B15" s="105" t="s">
        <v>173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20" ht="12.75" customHeight="1">
      <c r="A16" s="20"/>
      <c r="B16" s="148" t="s">
        <v>174</v>
      </c>
      <c r="C16" s="148"/>
      <c r="D16" s="148"/>
      <c r="E16" s="148"/>
      <c r="F16" s="149" t="s">
        <v>114</v>
      </c>
      <c r="G16" s="150">
        <f t="shared" ref="G16:N16" si="0">G29</f>
        <v>0</v>
      </c>
      <c r="H16" s="150">
        <f t="shared" si="0"/>
        <v>0</v>
      </c>
      <c r="I16" s="150">
        <f t="shared" si="0"/>
        <v>0</v>
      </c>
      <c r="J16" s="150">
        <f t="shared" si="0"/>
        <v>927</v>
      </c>
      <c r="K16" s="150">
        <f t="shared" si="0"/>
        <v>954.81</v>
      </c>
      <c r="L16" s="150">
        <f t="shared" si="0"/>
        <v>983.45429999999988</v>
      </c>
      <c r="M16" s="150">
        <f t="shared" si="0"/>
        <v>1012.9579289999999</v>
      </c>
      <c r="N16" s="150">
        <f t="shared" si="0"/>
        <v>1043.34666687</v>
      </c>
      <c r="O16" s="114"/>
      <c r="P16" s="20"/>
    </row>
    <row r="17" spans="1:21" ht="12.75" customHeight="1">
      <c r="A17" s="20"/>
      <c r="B17" s="61" t="s">
        <v>175</v>
      </c>
      <c r="C17" s="20"/>
      <c r="D17" s="20"/>
      <c r="E17" s="20"/>
      <c r="F17" s="62" t="s">
        <v>114</v>
      </c>
      <c r="G17" s="114">
        <f t="shared" ref="G17:N17" si="1">G36</f>
        <v>0</v>
      </c>
      <c r="H17" s="114">
        <f t="shared" si="1"/>
        <v>0</v>
      </c>
      <c r="I17" s="114">
        <f t="shared" si="1"/>
        <v>0</v>
      </c>
      <c r="J17" s="114">
        <f t="shared" si="1"/>
        <v>412</v>
      </c>
      <c r="K17" s="114">
        <f t="shared" si="1"/>
        <v>424.36</v>
      </c>
      <c r="L17" s="114">
        <f t="shared" si="1"/>
        <v>437.0908</v>
      </c>
      <c r="M17" s="114">
        <f t="shared" si="1"/>
        <v>450.20352400000007</v>
      </c>
      <c r="N17" s="114">
        <f t="shared" si="1"/>
        <v>463.70962972000001</v>
      </c>
      <c r="O17" s="114"/>
      <c r="P17" s="20"/>
    </row>
    <row r="18" spans="1:21" ht="12.75" customHeight="1">
      <c r="A18" s="20"/>
      <c r="B18" s="61" t="s">
        <v>176</v>
      </c>
      <c r="C18" s="20"/>
      <c r="D18" s="20"/>
      <c r="E18" s="20"/>
      <c r="F18" s="62" t="s">
        <v>114</v>
      </c>
      <c r="G18" s="114">
        <f t="shared" ref="G18:N18" si="2">G43</f>
        <v>0</v>
      </c>
      <c r="H18" s="114">
        <f t="shared" si="2"/>
        <v>0</v>
      </c>
      <c r="I18" s="114">
        <f t="shared" si="2"/>
        <v>0</v>
      </c>
      <c r="J18" s="114">
        <f t="shared" si="2"/>
        <v>0</v>
      </c>
      <c r="K18" s="114">
        <f t="shared" si="2"/>
        <v>0</v>
      </c>
      <c r="L18" s="114">
        <f t="shared" si="2"/>
        <v>0</v>
      </c>
      <c r="M18" s="114">
        <f t="shared" si="2"/>
        <v>0</v>
      </c>
      <c r="N18" s="114">
        <f t="shared" si="2"/>
        <v>0</v>
      </c>
      <c r="O18" s="114"/>
      <c r="P18" s="20"/>
    </row>
    <row r="19" spans="1:21" ht="12.75" customHeight="1">
      <c r="A19" s="20"/>
      <c r="B19" s="61" t="s">
        <v>177</v>
      </c>
      <c r="C19" s="20"/>
      <c r="D19" s="20"/>
      <c r="E19" s="20"/>
      <c r="F19" s="62" t="s">
        <v>114</v>
      </c>
      <c r="G19" s="114">
        <f t="shared" ref="G19:N19" si="3">G50</f>
        <v>0</v>
      </c>
      <c r="H19" s="114">
        <f t="shared" si="3"/>
        <v>0</v>
      </c>
      <c r="I19" s="114">
        <f t="shared" si="3"/>
        <v>0</v>
      </c>
      <c r="J19" s="114">
        <f t="shared" si="3"/>
        <v>824</v>
      </c>
      <c r="K19" s="114">
        <f t="shared" si="3"/>
        <v>848.72</v>
      </c>
      <c r="L19" s="114">
        <f t="shared" si="3"/>
        <v>874.1816</v>
      </c>
      <c r="M19" s="114">
        <f t="shared" si="3"/>
        <v>900.40704800000015</v>
      </c>
      <c r="N19" s="114">
        <f t="shared" si="3"/>
        <v>927.41925944000002</v>
      </c>
      <c r="O19" s="114"/>
      <c r="P19" s="20"/>
    </row>
    <row r="20" spans="1:21" ht="12.75" customHeight="1">
      <c r="A20" s="20"/>
      <c r="B20" s="61" t="s">
        <v>178</v>
      </c>
      <c r="C20" s="20"/>
      <c r="D20" s="20"/>
      <c r="E20" s="20"/>
      <c r="F20" s="62" t="s">
        <v>114</v>
      </c>
      <c r="G20" s="114">
        <f t="shared" ref="G20:N20" si="4">G57</f>
        <v>0</v>
      </c>
      <c r="H20" s="114">
        <f t="shared" si="4"/>
        <v>0</v>
      </c>
      <c r="I20" s="114">
        <f t="shared" si="4"/>
        <v>0</v>
      </c>
      <c r="J20" s="114">
        <f t="shared" si="4"/>
        <v>0</v>
      </c>
      <c r="K20" s="114">
        <f t="shared" si="4"/>
        <v>0</v>
      </c>
      <c r="L20" s="114">
        <f t="shared" si="4"/>
        <v>0</v>
      </c>
      <c r="M20" s="114">
        <f t="shared" si="4"/>
        <v>0</v>
      </c>
      <c r="N20" s="114">
        <f t="shared" si="4"/>
        <v>0</v>
      </c>
      <c r="O20" s="114"/>
      <c r="P20" s="20"/>
    </row>
    <row r="21" spans="1:21" ht="13.5" customHeight="1">
      <c r="A21" s="20"/>
      <c r="B21" s="151" t="s">
        <v>179</v>
      </c>
      <c r="C21" s="152"/>
      <c r="D21" s="152"/>
      <c r="E21" s="152"/>
      <c r="F21" s="153" t="s">
        <v>114</v>
      </c>
      <c r="G21" s="154">
        <f t="shared" ref="G21:N21" si="5">SUM(G16:G20)</f>
        <v>0</v>
      </c>
      <c r="H21" s="154">
        <f t="shared" si="5"/>
        <v>0</v>
      </c>
      <c r="I21" s="154">
        <f t="shared" si="5"/>
        <v>0</v>
      </c>
      <c r="J21" s="154">
        <f t="shared" si="5"/>
        <v>2163</v>
      </c>
      <c r="K21" s="154">
        <f t="shared" si="5"/>
        <v>2227.8900000000003</v>
      </c>
      <c r="L21" s="154">
        <f t="shared" si="5"/>
        <v>2294.7266999999997</v>
      </c>
      <c r="M21" s="154">
        <f t="shared" si="5"/>
        <v>2363.5685010000002</v>
      </c>
      <c r="N21" s="155">
        <f t="shared" si="5"/>
        <v>2434.47555603</v>
      </c>
      <c r="O21" s="156"/>
      <c r="P21" s="20"/>
    </row>
    <row r="22" spans="1:21" ht="12.75" customHeight="1">
      <c r="A22" s="20"/>
      <c r="B22" s="157" t="s">
        <v>180</v>
      </c>
      <c r="C22" s="20"/>
      <c r="D22" s="20"/>
      <c r="E22" s="20"/>
      <c r="F22" s="20"/>
      <c r="G22" s="158" t="b">
        <f>G21=Input!G28</f>
        <v>0</v>
      </c>
      <c r="H22" s="158" t="b">
        <f>H21=Input!H28</f>
        <v>0</v>
      </c>
      <c r="I22" s="158" t="b">
        <f>I21=Input!I28</f>
        <v>0</v>
      </c>
      <c r="J22" s="20"/>
      <c r="K22" s="20"/>
      <c r="L22" s="20"/>
      <c r="M22" s="20"/>
      <c r="N22" s="20"/>
      <c r="O22" s="20"/>
      <c r="P22" s="20"/>
    </row>
    <row r="23" spans="1:21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21" ht="12.75" customHeight="1">
      <c r="A24" s="57"/>
      <c r="B24" s="105" t="s">
        <v>101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21" ht="12.75" customHeight="1">
      <c r="A25" s="20"/>
      <c r="B25" s="148" t="s">
        <v>181</v>
      </c>
      <c r="C25" s="148"/>
      <c r="D25" s="148"/>
      <c r="E25" s="148"/>
      <c r="F25" s="149" t="s">
        <v>182</v>
      </c>
      <c r="G25" s="150">
        <f>SUMIFS(Input!$G$85:$N$85,Input!$G$7:$N$7,Calculation!G$7)</f>
        <v>0</v>
      </c>
      <c r="H25" s="150">
        <f>SUMIFS(Input!$G$85:$N$85,Input!$G$7:$N$7,Calculation!H$7)</f>
        <v>0</v>
      </c>
      <c r="I25" s="150">
        <f>SUMIFS(Input!$G$85:$N$85,Input!$G$7:$N$7,Calculation!I$7)</f>
        <v>0</v>
      </c>
      <c r="J25" s="150">
        <f>SUMIFS(Input!$G$85:$N$85,Input!$G$7:$N$7,Calculation!J$7)</f>
        <v>30000</v>
      </c>
      <c r="K25" s="150">
        <f>SUMIFS(Input!$G$85:$N$85,Input!$G$7:$N$7,Calculation!K$7)</f>
        <v>30000</v>
      </c>
      <c r="L25" s="150">
        <f>SUMIFS(Input!$G$85:$N$85,Input!$G$7:$N$7,Calculation!L$7)</f>
        <v>30000</v>
      </c>
      <c r="M25" s="150">
        <f>SUMIFS(Input!$G$85:$N$85,Input!$G$7:$N$7,Calculation!M$7)</f>
        <v>30000</v>
      </c>
      <c r="N25" s="150">
        <f>SUMIFS(Input!$G$85:$N$85,Input!$G$7:$N$7,Calculation!N$7)</f>
        <v>30000</v>
      </c>
      <c r="O25" s="114"/>
      <c r="P25" s="20"/>
    </row>
    <row r="26" spans="1:21" ht="12.75" customHeight="1">
      <c r="A26" s="20"/>
      <c r="B26" s="61" t="s">
        <v>45</v>
      </c>
      <c r="C26" s="20"/>
      <c r="D26" s="20"/>
      <c r="E26" s="20"/>
      <c r="F26" s="62" t="s">
        <v>43</v>
      </c>
      <c r="G26" s="118">
        <f>SUMIFS(Input!$G$20:$N$20,Input!$G$7:$N$7,Calculation!G$7)</f>
        <v>0</v>
      </c>
      <c r="H26" s="118">
        <f>SUMIFS(Input!$G$20:$N$20,Input!$G$7:$N$7,Calculation!H$7)</f>
        <v>0</v>
      </c>
      <c r="I26" s="118">
        <f>SUMIFS(Input!$G$20:$N$20,Input!$G$7:$N$7,Calculation!I$7)</f>
        <v>0</v>
      </c>
      <c r="J26" s="118">
        <f>SUMIFS(Input!$G$20:$N$20,Input!$G$7:$N$7,Calculation!J$7)</f>
        <v>1.03</v>
      </c>
      <c r="K26" s="118">
        <f>SUMIFS(Input!$G$20:$N$20,Input!$G$7:$N$7,Calculation!K$7)</f>
        <v>1.03</v>
      </c>
      <c r="L26" s="118">
        <f>SUMIFS(Input!$G$20:$N$20,Input!$G$7:$N$7,Calculation!L$7)</f>
        <v>1.03</v>
      </c>
      <c r="M26" s="118">
        <f>SUMIFS(Input!$G$20:$N$20,Input!$G$7:$N$7,Calculation!M$7)</f>
        <v>1.03</v>
      </c>
      <c r="N26" s="118">
        <f>SUMIFS(Input!$G$20:$N$20,Input!$G$7:$N$7,Calculation!N$7)</f>
        <v>1.03</v>
      </c>
      <c r="O26" s="118"/>
      <c r="P26" s="20"/>
    </row>
    <row r="27" spans="1:21" ht="12.75" customHeight="1">
      <c r="A27" s="20"/>
      <c r="B27" s="59" t="s">
        <v>183</v>
      </c>
      <c r="C27" s="20"/>
      <c r="D27" s="20"/>
      <c r="E27" s="20"/>
      <c r="F27" s="62" t="s">
        <v>182</v>
      </c>
      <c r="G27" s="114">
        <f>IFERROR(G25*G26,"")</f>
        <v>0</v>
      </c>
      <c r="H27" s="114">
        <f>IFERROR(H25*H26,"")</f>
        <v>0</v>
      </c>
      <c r="I27" s="114">
        <f>IFERROR(I25*I26,"")</f>
        <v>0</v>
      </c>
      <c r="J27" s="114">
        <f>IFERROR(J25*J26,"")</f>
        <v>30900</v>
      </c>
      <c r="K27" s="114">
        <f>IFERROR(J27*K26,"")</f>
        <v>31827</v>
      </c>
      <c r="L27" s="114">
        <f>IFERROR(K27*L26,"")</f>
        <v>32781.81</v>
      </c>
      <c r="M27" s="114">
        <f>IFERROR(L27*M26,"")</f>
        <v>33765.264299999995</v>
      </c>
      <c r="N27" s="114">
        <f>IFERROR(M27*N26,"")</f>
        <v>34778.222228999999</v>
      </c>
      <c r="O27" s="114"/>
      <c r="P27" s="20"/>
    </row>
    <row r="28" spans="1:21" ht="12.75" customHeight="1">
      <c r="A28" s="20"/>
      <c r="B28" s="59" t="s">
        <v>104</v>
      </c>
      <c r="C28" s="20"/>
      <c r="D28" s="20"/>
      <c r="E28" s="20"/>
      <c r="F28" s="62" t="s">
        <v>184</v>
      </c>
      <c r="G28" s="114">
        <f>SUMIFS(Input!$G$86:$N$86,Input!$G$7:$N$7,Calculation!G$7)</f>
        <v>0</v>
      </c>
      <c r="H28" s="114">
        <f>SUMIFS(Input!$G$86:$N$86,Input!$G$7:$N$7,Calculation!H$7)</f>
        <v>0</v>
      </c>
      <c r="I28" s="114">
        <f>SUMIFS(Input!$G$86:$N$86,Input!$G$7:$N$7,Calculation!I$7)</f>
        <v>0</v>
      </c>
      <c r="J28" s="114">
        <f>SUMIFS(Input!$G$86:$N$86,Input!$G$7:$N$7,Calculation!J$7)</f>
        <v>30000</v>
      </c>
      <c r="K28" s="114">
        <f>SUMIFS(Input!$G$86:$N$86,Input!$G$7:$N$7,Calculation!K$7)</f>
        <v>30000</v>
      </c>
      <c r="L28" s="114">
        <f>SUMIFS(Input!$G$86:$N$86,Input!$G$7:$N$7,Calculation!L$7)</f>
        <v>30000</v>
      </c>
      <c r="M28" s="114">
        <f>SUMIFS(Input!$G$86:$N$86,Input!$G$7:$N$7,Calculation!M$7)</f>
        <v>30000</v>
      </c>
      <c r="N28" s="114">
        <f>SUMIFS(Input!$G$86:$N$86,Input!$G$7:$N$7,Calculation!N$7)</f>
        <v>30000</v>
      </c>
      <c r="O28" s="114"/>
      <c r="P28" s="20"/>
    </row>
    <row r="29" spans="1:21" ht="12.75" customHeight="1">
      <c r="A29" s="20"/>
      <c r="B29" s="80" t="s">
        <v>172</v>
      </c>
      <c r="C29" s="80"/>
      <c r="D29" s="80"/>
      <c r="E29" s="80"/>
      <c r="F29" s="124" t="s">
        <v>114</v>
      </c>
      <c r="G29" s="125">
        <f t="shared" ref="G29:N29" si="6">G27*G28/mn</f>
        <v>0</v>
      </c>
      <c r="H29" s="125">
        <f t="shared" si="6"/>
        <v>0</v>
      </c>
      <c r="I29" s="125">
        <f t="shared" si="6"/>
        <v>0</v>
      </c>
      <c r="J29" s="125">
        <f t="shared" si="6"/>
        <v>927</v>
      </c>
      <c r="K29" s="125">
        <f t="shared" si="6"/>
        <v>954.81</v>
      </c>
      <c r="L29" s="125">
        <f t="shared" si="6"/>
        <v>983.45429999999988</v>
      </c>
      <c r="M29" s="125">
        <f t="shared" si="6"/>
        <v>1012.9579289999999</v>
      </c>
      <c r="N29" s="125">
        <f t="shared" si="6"/>
        <v>1043.34666687</v>
      </c>
      <c r="O29" s="114"/>
      <c r="P29" s="20"/>
      <c r="Q29" s="20"/>
      <c r="R29" s="20"/>
      <c r="S29" s="20"/>
      <c r="T29" s="20"/>
      <c r="U29" s="20"/>
    </row>
    <row r="30" spans="1:21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21" ht="12.75" customHeight="1">
      <c r="A31" s="57"/>
      <c r="B31" s="105" t="s">
        <v>106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spans="1:21" ht="12.75" customHeight="1">
      <c r="A32" s="20"/>
      <c r="B32" s="148" t="s">
        <v>181</v>
      </c>
      <c r="C32" s="148"/>
      <c r="D32" s="148"/>
      <c r="E32" s="148"/>
      <c r="F32" s="149" t="s">
        <v>182</v>
      </c>
      <c r="G32" s="150">
        <f>SUMIFS(Input!$G$91:$N$91,Input!$G$7:$N$7,Calculation!G$7)</f>
        <v>0</v>
      </c>
      <c r="H32" s="150">
        <f>SUMIFS(Input!$G$91:$N$91,Input!$G$7:$N$7,Calculation!H$7)</f>
        <v>0</v>
      </c>
      <c r="I32" s="150">
        <f>SUMIFS(Input!$G$91:$N$91,Input!$G$7:$N$7,Calculation!I$7)</f>
        <v>0</v>
      </c>
      <c r="J32" s="150">
        <f>SUMIFS(Input!$G$91:$N$91,Input!$G$7:$N$7,Calculation!J$7)</f>
        <v>20000</v>
      </c>
      <c r="K32" s="150">
        <f>SUMIFS(Input!$G$91:$N$91,Input!$G$7:$N$7,Calculation!K$7)</f>
        <v>20000</v>
      </c>
      <c r="L32" s="150">
        <f>SUMIFS(Input!$G$91:$N$91,Input!$G$7:$N$7,Calculation!L$7)</f>
        <v>20000</v>
      </c>
      <c r="M32" s="150">
        <f>SUMIFS(Input!$G$91:$N$91,Input!$G$7:$N$7,Calculation!M$7)</f>
        <v>20000</v>
      </c>
      <c r="N32" s="150">
        <f>SUMIFS(Input!$G$91:$N$91,Input!$G$7:$N$7,Calculation!N$7)</f>
        <v>20000</v>
      </c>
      <c r="O32" s="114"/>
      <c r="P32" s="20"/>
    </row>
    <row r="33" spans="1:23" ht="12.75" customHeight="1">
      <c r="A33" s="20"/>
      <c r="B33" s="61" t="s">
        <v>45</v>
      </c>
      <c r="C33" s="20"/>
      <c r="D33" s="20"/>
      <c r="E33" s="20"/>
      <c r="F33" s="62" t="s">
        <v>43</v>
      </c>
      <c r="G33" s="118">
        <f>SUMIFS(Input!$G$20:$N$20,Input!$G$7:$N$7,Calculation!G$7)</f>
        <v>0</v>
      </c>
      <c r="H33" s="118">
        <f>SUMIFS(Input!$G$20:$N$20,Input!$G$7:$N$7,Calculation!H$7)</f>
        <v>0</v>
      </c>
      <c r="I33" s="118">
        <f>SUMIFS(Input!$G$20:$N$20,Input!$G$7:$N$7,Calculation!I$7)</f>
        <v>0</v>
      </c>
      <c r="J33" s="118">
        <f>SUMIFS(Input!$G$20:$N$20,Input!$G$7:$N$7,Calculation!J$7)</f>
        <v>1.03</v>
      </c>
      <c r="K33" s="118">
        <f>SUMIFS(Input!$G$20:$N$20,Input!$G$7:$N$7,Calculation!K$7)</f>
        <v>1.03</v>
      </c>
      <c r="L33" s="118">
        <f>SUMIFS(Input!$G$20:$N$20,Input!$G$7:$N$7,Calculation!L$7)</f>
        <v>1.03</v>
      </c>
      <c r="M33" s="118">
        <f>SUMIFS(Input!$G$20:$N$20,Input!$G$7:$N$7,Calculation!M$7)</f>
        <v>1.03</v>
      </c>
      <c r="N33" s="118">
        <f>SUMIFS(Input!$G$20:$N$20,Input!$G$7:$N$7,Calculation!N$7)</f>
        <v>1.03</v>
      </c>
      <c r="O33" s="118"/>
      <c r="P33" s="20"/>
    </row>
    <row r="34" spans="1:23" ht="12.75" customHeight="1">
      <c r="A34" s="20"/>
      <c r="B34" s="59" t="s">
        <v>183</v>
      </c>
      <c r="C34" s="20"/>
      <c r="D34" s="20"/>
      <c r="E34" s="20"/>
      <c r="F34" s="62" t="s">
        <v>182</v>
      </c>
      <c r="G34" s="114">
        <f>IFERROR(G32*G33,"")</f>
        <v>0</v>
      </c>
      <c r="H34" s="114">
        <f>IFERROR(H32*H33,"")</f>
        <v>0</v>
      </c>
      <c r="I34" s="114">
        <f>IFERROR(I32*I33,"")</f>
        <v>0</v>
      </c>
      <c r="J34" s="114">
        <f>IFERROR(J32*J33,"")</f>
        <v>20600</v>
      </c>
      <c r="K34" s="114">
        <f>IFERROR(J34*K33,"")</f>
        <v>21218</v>
      </c>
      <c r="L34" s="114">
        <f>IFERROR(K34*L33,"")</f>
        <v>21854.54</v>
      </c>
      <c r="M34" s="114">
        <f>IFERROR(L34*M33,"")</f>
        <v>22510.176200000002</v>
      </c>
      <c r="N34" s="114">
        <f>IFERROR(M34*N33,"")</f>
        <v>23185.481486000001</v>
      </c>
      <c r="O34" s="114"/>
      <c r="P34" s="20"/>
    </row>
    <row r="35" spans="1:23" ht="12.75" customHeight="1">
      <c r="A35" s="20"/>
      <c r="B35" s="59" t="s">
        <v>104</v>
      </c>
      <c r="C35" s="20"/>
      <c r="D35" s="20"/>
      <c r="E35" s="20"/>
      <c r="F35" s="62" t="s">
        <v>184</v>
      </c>
      <c r="G35" s="114">
        <f>SUMIFS(Input!$G$92:$N$92,Input!$G$7:$N$7,Calculation!G$7)</f>
        <v>0</v>
      </c>
      <c r="H35" s="114">
        <f>SUMIFS(Input!$G$92:$N$92,Input!$G$7:$N$7,Calculation!H$7)</f>
        <v>0</v>
      </c>
      <c r="I35" s="114">
        <f>SUMIFS(Input!$G$92:$N$92,Input!$G$7:$N$7,Calculation!I$7)</f>
        <v>0</v>
      </c>
      <c r="J35" s="114">
        <f>SUMIFS(Input!$G$92:$N$92,Input!$G$7:$N$7,Calculation!J$7)</f>
        <v>20000</v>
      </c>
      <c r="K35" s="114">
        <f>SUMIFS(Input!$G$92:$N$92,Input!$G$7:$N$7,Calculation!K$7)</f>
        <v>20000</v>
      </c>
      <c r="L35" s="114">
        <f>SUMIFS(Input!$G$92:$N$92,Input!$G$7:$N$7,Calculation!L$7)</f>
        <v>20000</v>
      </c>
      <c r="M35" s="114">
        <f>SUMIFS(Input!$G$92:$N$92,Input!$G$7:$N$7,Calculation!M$7)</f>
        <v>20000</v>
      </c>
      <c r="N35" s="114">
        <f>SUMIFS(Input!$G$92:$N$92,Input!$G$7:$N$7,Calculation!N$7)</f>
        <v>20000</v>
      </c>
      <c r="O35" s="114"/>
      <c r="P35" s="20"/>
    </row>
    <row r="36" spans="1:23" ht="12.75" customHeight="1">
      <c r="A36" s="20"/>
      <c r="B36" s="80" t="s">
        <v>172</v>
      </c>
      <c r="C36" s="80"/>
      <c r="D36" s="80"/>
      <c r="E36" s="80"/>
      <c r="F36" s="124" t="s">
        <v>114</v>
      </c>
      <c r="G36" s="125">
        <f t="shared" ref="G36:N36" si="7">G34*G35/mn</f>
        <v>0</v>
      </c>
      <c r="H36" s="125">
        <f t="shared" si="7"/>
        <v>0</v>
      </c>
      <c r="I36" s="125">
        <f t="shared" si="7"/>
        <v>0</v>
      </c>
      <c r="J36" s="125">
        <f t="shared" si="7"/>
        <v>412</v>
      </c>
      <c r="K36" s="125">
        <f t="shared" si="7"/>
        <v>424.36</v>
      </c>
      <c r="L36" s="125">
        <f t="shared" si="7"/>
        <v>437.0908</v>
      </c>
      <c r="M36" s="125">
        <f t="shared" si="7"/>
        <v>450.20352400000007</v>
      </c>
      <c r="N36" s="125">
        <f t="shared" si="7"/>
        <v>463.70962972000001</v>
      </c>
      <c r="O36" s="114"/>
      <c r="P36" s="20"/>
      <c r="Q36" s="20"/>
      <c r="R36" s="20"/>
      <c r="S36" s="20"/>
      <c r="T36" s="20"/>
      <c r="U36" s="20"/>
      <c r="V36" s="20"/>
    </row>
    <row r="37" spans="1:23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23" ht="12.75" customHeight="1">
      <c r="A38" s="57"/>
      <c r="B38" s="105" t="s">
        <v>107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</row>
    <row r="39" spans="1:23" ht="12.75" customHeight="1">
      <c r="A39" s="20"/>
      <c r="B39" s="148" t="s">
        <v>181</v>
      </c>
      <c r="C39" s="148"/>
      <c r="D39" s="148"/>
      <c r="E39" s="148"/>
      <c r="F39" s="149" t="s">
        <v>182</v>
      </c>
      <c r="G39" s="150">
        <f>SUMIFS(Input!$G$97:$N$97,Input!$G$7:$N$7,Calculation!G$7)</f>
        <v>0</v>
      </c>
      <c r="H39" s="150">
        <f>SUMIFS(Input!$G$97:$N$97,Input!$G$7:$N$7,Calculation!H$7)</f>
        <v>0</v>
      </c>
      <c r="I39" s="150">
        <f>SUMIFS(Input!$G$97:$N$97,Input!$G$7:$N$7,Calculation!I$7)</f>
        <v>0</v>
      </c>
      <c r="J39" s="150">
        <f>SUMIFS(Input!$G$97:$N$97,Input!$G$7:$N$7,Calculation!J$7)</f>
        <v>30000</v>
      </c>
      <c r="K39" s="150">
        <f>SUMIFS(Input!$G$97:$N$97,Input!$G$7:$N$7,Calculation!K$7)</f>
        <v>30000</v>
      </c>
      <c r="L39" s="150">
        <f>SUMIFS(Input!$G$97:$N$97,Input!$G$7:$N$7,Calculation!L$7)</f>
        <v>30000</v>
      </c>
      <c r="M39" s="150">
        <f>SUMIFS(Input!$G$97:$N$97,Input!$G$7:$N$7,Calculation!M$7)</f>
        <v>30000</v>
      </c>
      <c r="N39" s="150">
        <f>SUMIFS(Input!$G$97:$N$97,Input!$G$7:$N$7,Calculation!N$7)</f>
        <v>30000</v>
      </c>
      <c r="O39" s="114"/>
      <c r="P39" s="20"/>
    </row>
    <row r="40" spans="1:23" ht="12.75" customHeight="1">
      <c r="A40" s="20"/>
      <c r="B40" s="61" t="s">
        <v>45</v>
      </c>
      <c r="C40" s="20"/>
      <c r="D40" s="20"/>
      <c r="E40" s="20"/>
      <c r="F40" s="62" t="s">
        <v>43</v>
      </c>
      <c r="G40" s="118">
        <f>SUMIFS(Input!$G$20:$N$20,Input!$G$7:$N$7,Calculation!G$7)</f>
        <v>0</v>
      </c>
      <c r="H40" s="118">
        <f>SUMIFS(Input!$G$20:$N$20,Input!$G$7:$N$7,Calculation!H$7)</f>
        <v>0</v>
      </c>
      <c r="I40" s="118">
        <f>SUMIFS(Input!$G$20:$N$20,Input!$G$7:$N$7,Calculation!I$7)</f>
        <v>0</v>
      </c>
      <c r="J40" s="118">
        <f>SUMIFS(Input!$G$20:$N$20,Input!$G$7:$N$7,Calculation!J$7)</f>
        <v>1.03</v>
      </c>
      <c r="K40" s="118">
        <f>SUMIFS(Input!$G$20:$N$20,Input!$G$7:$N$7,Calculation!K$7)</f>
        <v>1.03</v>
      </c>
      <c r="L40" s="118">
        <f>SUMIFS(Input!$G$20:$N$20,Input!$G$7:$N$7,Calculation!L$7)</f>
        <v>1.03</v>
      </c>
      <c r="M40" s="118">
        <f>SUMIFS(Input!$G$20:$N$20,Input!$G$7:$N$7,Calculation!M$7)</f>
        <v>1.03</v>
      </c>
      <c r="N40" s="118">
        <f>SUMIFS(Input!$G$20:$N$20,Input!$G$7:$N$7,Calculation!N$7)</f>
        <v>1.03</v>
      </c>
      <c r="O40" s="118"/>
      <c r="P40" s="20"/>
    </row>
    <row r="41" spans="1:23" ht="12.75" customHeight="1">
      <c r="A41" s="20"/>
      <c r="B41" s="59" t="s">
        <v>183</v>
      </c>
      <c r="C41" s="20"/>
      <c r="D41" s="20"/>
      <c r="E41" s="20"/>
      <c r="F41" s="62" t="s">
        <v>182</v>
      </c>
      <c r="G41" s="114">
        <f>IFERROR(G39*G40,"")</f>
        <v>0</v>
      </c>
      <c r="H41" s="114">
        <f>IFERROR(H39*H40,"")</f>
        <v>0</v>
      </c>
      <c r="I41" s="114">
        <f>IFERROR(I39*I40,"")</f>
        <v>0</v>
      </c>
      <c r="J41" s="114">
        <f>IFERROR(J39*J40,"")</f>
        <v>30900</v>
      </c>
      <c r="K41" s="114">
        <f>IFERROR(J41*K40,"")</f>
        <v>31827</v>
      </c>
      <c r="L41" s="114">
        <f>IFERROR(K41*L40,"")</f>
        <v>32781.81</v>
      </c>
      <c r="M41" s="114">
        <f>IFERROR(L41*M40,"")</f>
        <v>33765.264299999995</v>
      </c>
      <c r="N41" s="114">
        <f>IFERROR(M41*N40,"")</f>
        <v>34778.222228999999</v>
      </c>
      <c r="O41" s="114"/>
      <c r="P41" s="20"/>
    </row>
    <row r="42" spans="1:23" ht="12.75" customHeight="1">
      <c r="A42" s="20"/>
      <c r="B42" s="59" t="s">
        <v>104</v>
      </c>
      <c r="C42" s="20"/>
      <c r="D42" s="20"/>
      <c r="E42" s="20"/>
      <c r="F42" s="62" t="s">
        <v>184</v>
      </c>
      <c r="G42" s="114">
        <f>SUMIFS(Input!$G$98:$N$98,Input!$G$7:$N$7,Calculation!G$7)</f>
        <v>0</v>
      </c>
      <c r="H42" s="114">
        <f>SUMIFS(Input!$G$98:$N$98,Input!$G$7:$N$7,Calculation!H$7)</f>
        <v>0</v>
      </c>
      <c r="I42" s="114">
        <f>SUMIFS(Input!$G$98:$N$98,Input!$G$7:$N$7,Calculation!I$7)</f>
        <v>0</v>
      </c>
      <c r="J42" s="114">
        <f>SUMIFS(Input!$G$98:$N$98,Input!$G$7:$N$7,Calculation!J$7)</f>
        <v>0</v>
      </c>
      <c r="K42" s="114">
        <f>SUMIFS(Input!$G$98:$N$98,Input!$G$7:$N$7,Calculation!K$7)</f>
        <v>0</v>
      </c>
      <c r="L42" s="114">
        <f>SUMIFS(Input!$G$98:$N$98,Input!$G$7:$N$7,Calculation!L$7)</f>
        <v>0</v>
      </c>
      <c r="M42" s="114">
        <f>SUMIFS(Input!$G$98:$N$98,Input!$G$7:$N$7,Calculation!M$7)</f>
        <v>0</v>
      </c>
      <c r="N42" s="114">
        <f>SUMIFS(Input!$G$98:$N$98,Input!$G$7:$N$7,Calculation!N$7)</f>
        <v>0</v>
      </c>
      <c r="O42" s="114"/>
      <c r="P42" s="20"/>
    </row>
    <row r="43" spans="1:23" ht="12.75" customHeight="1">
      <c r="A43" s="20"/>
      <c r="B43" s="80" t="s">
        <v>172</v>
      </c>
      <c r="C43" s="80"/>
      <c r="D43" s="80"/>
      <c r="E43" s="80"/>
      <c r="F43" s="124" t="s">
        <v>114</v>
      </c>
      <c r="G43" s="125">
        <f t="shared" ref="G43:N43" si="8">G41*G42/mn</f>
        <v>0</v>
      </c>
      <c r="H43" s="125">
        <f t="shared" si="8"/>
        <v>0</v>
      </c>
      <c r="I43" s="125">
        <f t="shared" si="8"/>
        <v>0</v>
      </c>
      <c r="J43" s="125">
        <f t="shared" si="8"/>
        <v>0</v>
      </c>
      <c r="K43" s="125">
        <f t="shared" si="8"/>
        <v>0</v>
      </c>
      <c r="L43" s="125">
        <f t="shared" si="8"/>
        <v>0</v>
      </c>
      <c r="M43" s="125">
        <f t="shared" si="8"/>
        <v>0</v>
      </c>
      <c r="N43" s="125">
        <f t="shared" si="8"/>
        <v>0</v>
      </c>
      <c r="O43" s="114"/>
      <c r="P43" s="20"/>
      <c r="Q43" s="20"/>
      <c r="R43" s="20"/>
      <c r="S43" s="20"/>
      <c r="T43" s="20"/>
      <c r="U43" s="20"/>
      <c r="V43" s="20"/>
      <c r="W43" s="20"/>
    </row>
    <row r="44" spans="1:23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23" ht="12.75" customHeight="1">
      <c r="A45" s="57"/>
      <c r="B45" s="105" t="s">
        <v>108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</row>
    <row r="46" spans="1:23" ht="12.75" customHeight="1">
      <c r="A46" s="20"/>
      <c r="B46" s="148" t="s">
        <v>181</v>
      </c>
      <c r="C46" s="148"/>
      <c r="D46" s="148"/>
      <c r="E46" s="148"/>
      <c r="F46" s="149" t="s">
        <v>182</v>
      </c>
      <c r="G46" s="150">
        <f>SUMIFS(Input!$G$103:$N$103,Input!$G$7:$N$7,Calculation!G$7)</f>
        <v>0</v>
      </c>
      <c r="H46" s="150">
        <f>SUMIFS(Input!$G$103:$N$103,Input!$G$7:$N$7,Calculation!H$7)</f>
        <v>0</v>
      </c>
      <c r="I46" s="150">
        <f>SUMIFS(Input!$G$103:$N$103,Input!$G$7:$N$7,Calculation!I$7)</f>
        <v>0</v>
      </c>
      <c r="J46" s="150">
        <f>SUMIFS(Input!$G$103:$N$103,Input!$G$7:$N$7,Calculation!J$7)</f>
        <v>40000</v>
      </c>
      <c r="K46" s="150">
        <f>SUMIFS(Input!$G$103:$N$103,Input!$G$7:$N$7,Calculation!K$7)</f>
        <v>40000</v>
      </c>
      <c r="L46" s="150">
        <f>SUMIFS(Input!$G$103:$N$103,Input!$G$7:$N$7,Calculation!L$7)</f>
        <v>40000</v>
      </c>
      <c r="M46" s="150">
        <f>SUMIFS(Input!$G$103:$N$103,Input!$G$7:$N$7,Calculation!M$7)</f>
        <v>40000</v>
      </c>
      <c r="N46" s="150">
        <f>SUMIFS(Input!$G$103:$N$103,Input!$G$7:$N$7,Calculation!N$7)</f>
        <v>40000</v>
      </c>
      <c r="O46" s="114"/>
      <c r="P46" s="20"/>
    </row>
    <row r="47" spans="1:23" ht="12.75" customHeight="1">
      <c r="A47" s="20"/>
      <c r="B47" s="61" t="s">
        <v>45</v>
      </c>
      <c r="C47" s="20"/>
      <c r="D47" s="20"/>
      <c r="E47" s="20"/>
      <c r="F47" s="62" t="s">
        <v>43</v>
      </c>
      <c r="G47" s="118">
        <f>SUMIFS(Input!$G$20:$N$20,Input!$G$7:$N$7,Calculation!G$7)</f>
        <v>0</v>
      </c>
      <c r="H47" s="118">
        <f>SUMIFS(Input!$G$20:$N$20,Input!$G$7:$N$7,Calculation!H$7)</f>
        <v>0</v>
      </c>
      <c r="I47" s="118">
        <f>SUMIFS(Input!$G$20:$N$20,Input!$G$7:$N$7,Calculation!I$7)</f>
        <v>0</v>
      </c>
      <c r="J47" s="118">
        <f>SUMIFS(Input!$G$20:$N$20,Input!$G$7:$N$7,Calculation!J$7)</f>
        <v>1.03</v>
      </c>
      <c r="K47" s="118">
        <f>SUMIFS(Input!$G$20:$N$20,Input!$G$7:$N$7,Calculation!K$7)</f>
        <v>1.03</v>
      </c>
      <c r="L47" s="118">
        <f>SUMIFS(Input!$G$20:$N$20,Input!$G$7:$N$7,Calculation!L$7)</f>
        <v>1.03</v>
      </c>
      <c r="M47" s="118">
        <f>SUMIFS(Input!$G$20:$N$20,Input!$G$7:$N$7,Calculation!M$7)</f>
        <v>1.03</v>
      </c>
      <c r="N47" s="118">
        <f>SUMIFS(Input!$G$20:$N$20,Input!$G$7:$N$7,Calculation!N$7)</f>
        <v>1.03</v>
      </c>
      <c r="O47" s="118"/>
      <c r="P47" s="20"/>
    </row>
    <row r="48" spans="1:23" ht="12.75" customHeight="1">
      <c r="A48" s="20"/>
      <c r="B48" s="59" t="s">
        <v>183</v>
      </c>
      <c r="C48" s="20"/>
      <c r="D48" s="20"/>
      <c r="E48" s="20"/>
      <c r="F48" s="62" t="s">
        <v>182</v>
      </c>
      <c r="G48" s="114">
        <f>IFERROR(G46*G47,"")</f>
        <v>0</v>
      </c>
      <c r="H48" s="114">
        <f>IFERROR(H46*H47,"")</f>
        <v>0</v>
      </c>
      <c r="I48" s="114">
        <f>IFERROR(I46*I47,"")</f>
        <v>0</v>
      </c>
      <c r="J48" s="114">
        <f>IFERROR(J46*J47,"")</f>
        <v>41200</v>
      </c>
      <c r="K48" s="114">
        <f>IFERROR(J48*K47,"")</f>
        <v>42436</v>
      </c>
      <c r="L48" s="114">
        <f>IFERROR(K48*L47,"")</f>
        <v>43709.08</v>
      </c>
      <c r="M48" s="114">
        <f>IFERROR(L48*M47,"")</f>
        <v>45020.352400000003</v>
      </c>
      <c r="N48" s="114">
        <f>IFERROR(M48*N47,"")</f>
        <v>46370.962972000001</v>
      </c>
      <c r="O48" s="114"/>
      <c r="P48" s="20"/>
    </row>
    <row r="49" spans="1:26" ht="12.75" customHeight="1">
      <c r="A49" s="20"/>
      <c r="B49" s="59" t="s">
        <v>104</v>
      </c>
      <c r="C49" s="20"/>
      <c r="D49" s="20"/>
      <c r="E49" s="20"/>
      <c r="F49" s="62" t="s">
        <v>184</v>
      </c>
      <c r="G49" s="114">
        <f>SUMIFS(Input!$G$104:$N$104,Input!$G$7:$N$7,Calculation!G$7)</f>
        <v>0</v>
      </c>
      <c r="H49" s="114">
        <f>SUMIFS(Input!$G$104:$N$104,Input!$G$7:$N$7,Calculation!H$7)</f>
        <v>0</v>
      </c>
      <c r="I49" s="114">
        <f>SUMIFS(Input!$G$104:$N$104,Input!$G$7:$N$7,Calculation!I$7)</f>
        <v>0</v>
      </c>
      <c r="J49" s="114">
        <f>SUMIFS(Input!$G$104:$N$104,Input!$G$7:$N$7,Calculation!J$7)</f>
        <v>20000</v>
      </c>
      <c r="K49" s="114">
        <f>SUMIFS(Input!$G$104:$N$104,Input!$G$7:$N$7,Calculation!K$7)</f>
        <v>20000</v>
      </c>
      <c r="L49" s="114">
        <f>SUMIFS(Input!$G$104:$N$104,Input!$G$7:$N$7,Calculation!L$7)</f>
        <v>20000</v>
      </c>
      <c r="M49" s="114">
        <f>SUMIFS(Input!$G$104:$N$104,Input!$G$7:$N$7,Calculation!M$7)</f>
        <v>20000</v>
      </c>
      <c r="N49" s="114">
        <f>SUMIFS(Input!$G$104:$N$104,Input!$G$7:$N$7,Calculation!N$7)</f>
        <v>20000</v>
      </c>
      <c r="O49" s="114"/>
      <c r="P49" s="20"/>
    </row>
    <row r="50" spans="1:26" ht="12.75" customHeight="1">
      <c r="A50" s="20"/>
      <c r="B50" s="80" t="s">
        <v>172</v>
      </c>
      <c r="C50" s="80"/>
      <c r="D50" s="80"/>
      <c r="E50" s="80"/>
      <c r="F50" s="124" t="s">
        <v>114</v>
      </c>
      <c r="G50" s="125">
        <f t="shared" ref="G50:N50" si="9">G48*G49/mn</f>
        <v>0</v>
      </c>
      <c r="H50" s="125">
        <f t="shared" si="9"/>
        <v>0</v>
      </c>
      <c r="I50" s="125">
        <f t="shared" si="9"/>
        <v>0</v>
      </c>
      <c r="J50" s="125">
        <f t="shared" si="9"/>
        <v>824</v>
      </c>
      <c r="K50" s="125">
        <f t="shared" si="9"/>
        <v>848.72</v>
      </c>
      <c r="L50" s="125">
        <f t="shared" si="9"/>
        <v>874.1816</v>
      </c>
      <c r="M50" s="125">
        <f t="shared" si="9"/>
        <v>900.40704800000015</v>
      </c>
      <c r="N50" s="125">
        <f t="shared" si="9"/>
        <v>927.41925944000002</v>
      </c>
      <c r="O50" s="114"/>
      <c r="P50" s="20"/>
      <c r="Q50" s="20"/>
      <c r="R50" s="20"/>
      <c r="S50" s="20"/>
      <c r="T50" s="20"/>
      <c r="U50" s="20"/>
      <c r="V50" s="20"/>
      <c r="W50" s="20"/>
      <c r="X50" s="20"/>
    </row>
    <row r="51" spans="1:26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26" ht="12.75" customHeight="1">
      <c r="A52" s="57"/>
      <c r="B52" s="105" t="s">
        <v>109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</row>
    <row r="53" spans="1:26" ht="12.75" customHeight="1">
      <c r="A53" s="20"/>
      <c r="B53" s="148" t="s">
        <v>181</v>
      </c>
      <c r="C53" s="148"/>
      <c r="D53" s="148"/>
      <c r="E53" s="148"/>
      <c r="F53" s="149" t="s">
        <v>182</v>
      </c>
      <c r="G53" s="150">
        <f>SUMIFS(Input!$G$109:$N$109,Input!$G$7:$N$7,Calculation!G$7)</f>
        <v>0</v>
      </c>
      <c r="H53" s="150">
        <f>SUMIFS(Input!$G$109:$N$109,Input!$G$7:$N$7,Calculation!H$7)</f>
        <v>0</v>
      </c>
      <c r="I53" s="150">
        <f>SUMIFS(Input!$G$109:$N$109,Input!$G$7:$N$7,Calculation!I$7)</f>
        <v>0</v>
      </c>
      <c r="J53" s="150">
        <f>SUMIFS(Input!$G$109:$N$109,Input!$G$7:$N$7,Calculation!J$7)</f>
        <v>50000</v>
      </c>
      <c r="K53" s="150">
        <f>SUMIFS(Input!$G$109:$N$109,Input!$G$7:$N$7,Calculation!K$7)</f>
        <v>50000</v>
      </c>
      <c r="L53" s="150">
        <f>SUMIFS(Input!$G$109:$N$109,Input!$G$7:$N$7,Calculation!L$7)</f>
        <v>50000</v>
      </c>
      <c r="M53" s="150">
        <f>SUMIFS(Input!$G$109:$N$109,Input!$G$7:$N$7,Calculation!M$7)</f>
        <v>50000</v>
      </c>
      <c r="N53" s="150">
        <f>SUMIFS(Input!$G$109:$N$109,Input!$G$7:$N$7,Calculation!N$7)</f>
        <v>50000</v>
      </c>
      <c r="O53" s="114"/>
      <c r="P53" s="20"/>
    </row>
    <row r="54" spans="1:26" ht="12.75" customHeight="1">
      <c r="A54" s="20"/>
      <c r="B54" s="61" t="s">
        <v>45</v>
      </c>
      <c r="C54" s="20"/>
      <c r="D54" s="20"/>
      <c r="E54" s="20"/>
      <c r="F54" s="62" t="s">
        <v>43</v>
      </c>
      <c r="G54" s="118">
        <f>SUMIFS(Input!$G$20:$N$20,Input!$G$7:$N$7,Calculation!G$7)</f>
        <v>0</v>
      </c>
      <c r="H54" s="118">
        <f>SUMIFS(Input!$G$20:$N$20,Input!$G$7:$N$7,Calculation!H$7)</f>
        <v>0</v>
      </c>
      <c r="I54" s="118">
        <f>SUMIFS(Input!$G$20:$N$20,Input!$G$7:$N$7,Calculation!I$7)</f>
        <v>0</v>
      </c>
      <c r="J54" s="118">
        <f>SUMIFS(Input!$G$20:$N$20,Input!$G$7:$N$7,Calculation!J$7)</f>
        <v>1.03</v>
      </c>
      <c r="K54" s="118">
        <f>SUMIFS(Input!$G$20:$N$20,Input!$G$7:$N$7,Calculation!K$7)</f>
        <v>1.03</v>
      </c>
      <c r="L54" s="118">
        <f>SUMIFS(Input!$G$20:$N$20,Input!$G$7:$N$7,Calculation!L$7)</f>
        <v>1.03</v>
      </c>
      <c r="M54" s="118">
        <f>SUMIFS(Input!$G$20:$N$20,Input!$G$7:$N$7,Calculation!M$7)</f>
        <v>1.03</v>
      </c>
      <c r="N54" s="118">
        <f>SUMIFS(Input!$G$20:$N$20,Input!$G$7:$N$7,Calculation!N$7)</f>
        <v>1.03</v>
      </c>
      <c r="O54" s="118"/>
      <c r="P54" s="20"/>
    </row>
    <row r="55" spans="1:26" ht="12.75" customHeight="1">
      <c r="A55" s="20"/>
      <c r="B55" s="59" t="s">
        <v>183</v>
      </c>
      <c r="C55" s="20"/>
      <c r="D55" s="20"/>
      <c r="E55" s="20"/>
      <c r="F55" s="62" t="s">
        <v>182</v>
      </c>
      <c r="G55" s="114">
        <f>IFERROR(G53*G54,"")</f>
        <v>0</v>
      </c>
      <c r="H55" s="114">
        <f>IFERROR(H53*H54,"")</f>
        <v>0</v>
      </c>
      <c r="I55" s="114">
        <f>IFERROR(I53*I54,"")</f>
        <v>0</v>
      </c>
      <c r="J55" s="114">
        <f>IFERROR(J53*J54,"")</f>
        <v>51500</v>
      </c>
      <c r="K55" s="114">
        <f>IFERROR(J55*K54,"")</f>
        <v>53045</v>
      </c>
      <c r="L55" s="114">
        <f>IFERROR(K55*L54,"")</f>
        <v>54636.35</v>
      </c>
      <c r="M55" s="114">
        <f>IFERROR(L55*M54,"")</f>
        <v>56275.440499999997</v>
      </c>
      <c r="N55" s="114">
        <f>IFERROR(M55*N54,"")</f>
        <v>57963.703714999996</v>
      </c>
      <c r="O55" s="114"/>
      <c r="P55" s="20"/>
    </row>
    <row r="56" spans="1:26" ht="12.75" customHeight="1">
      <c r="A56" s="20"/>
      <c r="B56" s="59" t="s">
        <v>104</v>
      </c>
      <c r="C56" s="20"/>
      <c r="D56" s="20"/>
      <c r="E56" s="20"/>
      <c r="F56" s="62" t="s">
        <v>184</v>
      </c>
      <c r="G56" s="114">
        <f>SUMIFS(Input!$G$110:$N$110,Input!$G$7:$N$7,Calculation!G$7)</f>
        <v>0</v>
      </c>
      <c r="H56" s="114">
        <f>SUMIFS(Input!$G$110:$N$110,Input!$G$7:$N$7,Calculation!H$7)</f>
        <v>0</v>
      </c>
      <c r="I56" s="114">
        <f>SUMIFS(Input!$G$110:$N$110,Input!$G$7:$N$7,Calculation!I$7)</f>
        <v>0</v>
      </c>
      <c r="J56" s="114">
        <f>SUMIFS(Input!$G$110:$N$110,Input!$G$7:$N$7,Calculation!J$7)</f>
        <v>0</v>
      </c>
      <c r="K56" s="114">
        <f>SUMIFS(Input!$G$110:$N$110,Input!$G$7:$N$7,Calculation!K$7)</f>
        <v>0</v>
      </c>
      <c r="L56" s="114">
        <f>SUMIFS(Input!$G$110:$N$110,Input!$G$7:$N$7,Calculation!L$7)</f>
        <v>0</v>
      </c>
      <c r="M56" s="114">
        <f>SUMIFS(Input!$G$110:$N$110,Input!$G$7:$N$7,Calculation!M$7)</f>
        <v>0</v>
      </c>
      <c r="N56" s="114">
        <f>SUMIFS(Input!$G$110:$N$110,Input!$G$7:$N$7,Calculation!N$7)</f>
        <v>0</v>
      </c>
      <c r="O56" s="114"/>
      <c r="P56" s="20"/>
    </row>
    <row r="57" spans="1:26" ht="12.75" customHeight="1">
      <c r="A57" s="20"/>
      <c r="B57" s="80" t="s">
        <v>172</v>
      </c>
      <c r="C57" s="80"/>
      <c r="D57" s="80"/>
      <c r="E57" s="80"/>
      <c r="F57" s="124" t="s">
        <v>114</v>
      </c>
      <c r="G57" s="125">
        <f t="shared" ref="G57:N57" si="10">G55*G56/mn</f>
        <v>0</v>
      </c>
      <c r="H57" s="125">
        <f t="shared" si="10"/>
        <v>0</v>
      </c>
      <c r="I57" s="125">
        <f t="shared" si="10"/>
        <v>0</v>
      </c>
      <c r="J57" s="125">
        <f t="shared" si="10"/>
        <v>0</v>
      </c>
      <c r="K57" s="125">
        <f t="shared" si="10"/>
        <v>0</v>
      </c>
      <c r="L57" s="125">
        <f t="shared" si="10"/>
        <v>0</v>
      </c>
      <c r="M57" s="125">
        <f t="shared" si="10"/>
        <v>0</v>
      </c>
      <c r="N57" s="125">
        <f t="shared" si="10"/>
        <v>0</v>
      </c>
      <c r="O57" s="114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6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26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26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26" ht="12.75" customHeight="1">
      <c r="A61" s="20"/>
      <c r="B61" s="51" t="s">
        <v>129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26" ht="12.75" customHeight="1">
      <c r="A63" s="57"/>
      <c r="B63" s="105" t="s">
        <v>185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</row>
    <row r="64" spans="1:26" s="262" customFormat="1" ht="12.75" customHeight="1">
      <c r="A64" s="267"/>
      <c r="B64" s="268" t="s">
        <v>333</v>
      </c>
      <c r="C64" s="268"/>
      <c r="D64" s="268"/>
      <c r="E64" s="268"/>
      <c r="F64" s="269" t="s">
        <v>114</v>
      </c>
      <c r="G64" s="270">
        <f t="shared" ref="G64:N64" si="11">G77</f>
        <v>0</v>
      </c>
      <c r="H64" s="270">
        <f t="shared" si="11"/>
        <v>0</v>
      </c>
      <c r="I64" s="270">
        <f t="shared" si="11"/>
        <v>0</v>
      </c>
      <c r="J64" s="270">
        <f t="shared" si="11"/>
        <v>408</v>
      </c>
      <c r="K64" s="270">
        <f t="shared" si="11"/>
        <v>416.16</v>
      </c>
      <c r="L64" s="270">
        <f t="shared" si="11"/>
        <v>424.48320000000001</v>
      </c>
      <c r="M64" s="270">
        <f t="shared" si="11"/>
        <v>432.97286400000002</v>
      </c>
      <c r="N64" s="270">
        <f t="shared" si="11"/>
        <v>441.63232127999999</v>
      </c>
      <c r="O64" s="270"/>
      <c r="P64" s="267"/>
    </row>
    <row r="65" spans="1:16" s="262" customFormat="1" ht="15" customHeight="1">
      <c r="A65" s="267"/>
      <c r="B65" s="268" t="s">
        <v>334</v>
      </c>
      <c r="C65" s="267"/>
      <c r="D65" s="267"/>
      <c r="E65" s="267"/>
      <c r="F65" s="269" t="s">
        <v>114</v>
      </c>
      <c r="G65" s="270">
        <f t="shared" ref="G65:N65" si="12">G150</f>
        <v>100</v>
      </c>
      <c r="H65" s="270">
        <f t="shared" si="12"/>
        <v>100</v>
      </c>
      <c r="I65" s="270">
        <f t="shared" si="12"/>
        <v>100</v>
      </c>
      <c r="J65" s="270">
        <f t="shared" si="12"/>
        <v>153</v>
      </c>
      <c r="K65" s="270">
        <f t="shared" si="12"/>
        <v>156.06</v>
      </c>
      <c r="L65" s="270">
        <f t="shared" si="12"/>
        <v>159.18119999999999</v>
      </c>
      <c r="M65" s="270">
        <f t="shared" si="12"/>
        <v>162.364824</v>
      </c>
      <c r="N65" s="270">
        <f t="shared" si="12"/>
        <v>165.61212048000002</v>
      </c>
      <c r="O65" s="270"/>
      <c r="P65" s="267"/>
    </row>
    <row r="66" spans="1:16" s="262" customFormat="1" ht="12.75" customHeight="1">
      <c r="A66" s="267"/>
      <c r="B66" s="271" t="s">
        <v>335</v>
      </c>
      <c r="C66" s="267"/>
      <c r="D66" s="267"/>
      <c r="E66" s="267"/>
      <c r="F66" s="269" t="s">
        <v>114</v>
      </c>
      <c r="G66" s="270">
        <f t="shared" ref="G66:N66" si="13">G81</f>
        <v>0</v>
      </c>
      <c r="H66" s="270">
        <f t="shared" si="13"/>
        <v>0</v>
      </c>
      <c r="I66" s="270">
        <f t="shared" si="13"/>
        <v>0</v>
      </c>
      <c r="J66" s="270">
        <f t="shared" si="13"/>
        <v>183.68333333333331</v>
      </c>
      <c r="K66" s="270">
        <f t="shared" si="13"/>
        <v>189.19383333333334</v>
      </c>
      <c r="L66" s="270">
        <f t="shared" si="13"/>
        <v>194.86964833333329</v>
      </c>
      <c r="M66" s="270">
        <f t="shared" si="13"/>
        <v>200.71573778333334</v>
      </c>
      <c r="N66" s="270">
        <f t="shared" si="13"/>
        <v>206.73720991683331</v>
      </c>
      <c r="O66" s="270"/>
      <c r="P66" s="267"/>
    </row>
    <row r="67" spans="1:16" s="262" customFormat="1" ht="12.75" customHeight="1">
      <c r="A67" s="267"/>
      <c r="B67" s="271" t="s">
        <v>336</v>
      </c>
      <c r="C67" s="267"/>
      <c r="D67" s="267"/>
      <c r="E67" s="267"/>
      <c r="F67" s="269" t="s">
        <v>114</v>
      </c>
      <c r="G67" s="270">
        <f t="shared" ref="G67:N67" si="14">G85</f>
        <v>0</v>
      </c>
      <c r="H67" s="270">
        <f t="shared" si="14"/>
        <v>0</v>
      </c>
      <c r="I67" s="270">
        <f t="shared" si="14"/>
        <v>0</v>
      </c>
      <c r="J67" s="270">
        <f t="shared" si="14"/>
        <v>204</v>
      </c>
      <c r="K67" s="270">
        <f t="shared" si="14"/>
        <v>208.08</v>
      </c>
      <c r="L67" s="270">
        <f t="shared" si="14"/>
        <v>212.24160000000001</v>
      </c>
      <c r="M67" s="270">
        <f t="shared" si="14"/>
        <v>216.48643200000001</v>
      </c>
      <c r="N67" s="270">
        <f t="shared" si="14"/>
        <v>220.81616064000002</v>
      </c>
      <c r="O67" s="270"/>
      <c r="P67" s="267"/>
    </row>
    <row r="68" spans="1:16" s="262" customFormat="1" ht="12.75" customHeight="1">
      <c r="A68" s="267"/>
      <c r="B68" s="271" t="s">
        <v>337</v>
      </c>
      <c r="C68" s="267"/>
      <c r="D68" s="267"/>
      <c r="E68" s="267"/>
      <c r="F68" s="269" t="s">
        <v>114</v>
      </c>
      <c r="G68" s="270">
        <f t="shared" ref="G68:N68" si="15">G92</f>
        <v>0</v>
      </c>
      <c r="H68" s="270">
        <f t="shared" si="15"/>
        <v>0</v>
      </c>
      <c r="I68" s="270">
        <f t="shared" si="15"/>
        <v>0</v>
      </c>
      <c r="J68" s="270">
        <f t="shared" si="15"/>
        <v>0</v>
      </c>
      <c r="K68" s="270">
        <f t="shared" si="15"/>
        <v>0</v>
      </c>
      <c r="L68" s="270">
        <f t="shared" si="15"/>
        <v>0</v>
      </c>
      <c r="M68" s="270">
        <f t="shared" si="15"/>
        <v>0</v>
      </c>
      <c r="N68" s="270">
        <f t="shared" si="15"/>
        <v>0</v>
      </c>
      <c r="O68" s="270"/>
      <c r="P68" s="267"/>
    </row>
    <row r="69" spans="1:16" s="262" customFormat="1" ht="12.75" customHeight="1">
      <c r="A69" s="267"/>
      <c r="B69" s="271" t="s">
        <v>338</v>
      </c>
      <c r="C69" s="267"/>
      <c r="D69" s="267"/>
      <c r="E69" s="267"/>
      <c r="F69" s="269" t="s">
        <v>114</v>
      </c>
      <c r="G69" s="270">
        <f t="shared" ref="G69:N69" si="16">G99</f>
        <v>0</v>
      </c>
      <c r="H69" s="270">
        <f t="shared" si="16"/>
        <v>0</v>
      </c>
      <c r="I69" s="270">
        <f t="shared" si="16"/>
        <v>0</v>
      </c>
      <c r="J69" s="270">
        <f t="shared" si="16"/>
        <v>0</v>
      </c>
      <c r="K69" s="270">
        <f t="shared" si="16"/>
        <v>0</v>
      </c>
      <c r="L69" s="270">
        <f t="shared" si="16"/>
        <v>0</v>
      </c>
      <c r="M69" s="270">
        <f t="shared" si="16"/>
        <v>0</v>
      </c>
      <c r="N69" s="270">
        <f t="shared" si="16"/>
        <v>0</v>
      </c>
      <c r="O69" s="270"/>
      <c r="P69" s="267"/>
    </row>
    <row r="70" spans="1:16" ht="13.5" customHeight="1">
      <c r="A70" s="20"/>
      <c r="B70" s="151" t="s">
        <v>186</v>
      </c>
      <c r="C70" s="152"/>
      <c r="D70" s="152"/>
      <c r="E70" s="152"/>
      <c r="F70" s="153" t="s">
        <v>114</v>
      </c>
      <c r="G70" s="154">
        <f t="shared" ref="G70:N70" si="17">SUM(G64:G69)</f>
        <v>100</v>
      </c>
      <c r="H70" s="154">
        <f t="shared" si="17"/>
        <v>100</v>
      </c>
      <c r="I70" s="154">
        <f t="shared" si="17"/>
        <v>100</v>
      </c>
      <c r="J70" s="154">
        <f t="shared" si="17"/>
        <v>948.68333333333328</v>
      </c>
      <c r="K70" s="154">
        <f t="shared" si="17"/>
        <v>969.49383333333344</v>
      </c>
      <c r="L70" s="154">
        <f t="shared" si="17"/>
        <v>990.77564833333327</v>
      </c>
      <c r="M70" s="154">
        <f t="shared" si="17"/>
        <v>1012.5398577833334</v>
      </c>
      <c r="N70" s="155">
        <f t="shared" si="17"/>
        <v>1034.7978123168332</v>
      </c>
      <c r="O70" s="156"/>
      <c r="P70" s="20"/>
    </row>
    <row r="71" spans="1:16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6" ht="12.75" customHeight="1">
      <c r="A72" s="57"/>
      <c r="B72" s="105" t="s">
        <v>111</v>
      </c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</row>
    <row r="73" spans="1:16" ht="12.75" customHeight="1">
      <c r="A73" s="20"/>
      <c r="B73" s="148" t="s">
        <v>181</v>
      </c>
      <c r="C73" s="148"/>
      <c r="D73" s="148"/>
      <c r="E73" s="148"/>
      <c r="F73" s="149" t="s">
        <v>182</v>
      </c>
      <c r="G73" s="150">
        <f>SUMIFS(Input!$G$119:$N$119,Input!$G$7:$N$7,Calculation!G$7)</f>
        <v>0</v>
      </c>
      <c r="H73" s="150">
        <f>SUMIFS(Input!$G$119:$N$119,Input!$G$7:$N$7,Calculation!H$7)</f>
        <v>0</v>
      </c>
      <c r="I73" s="150">
        <f>SUMIFS(Input!$G$119:$N$119,Input!$G$7:$N$7,Calculation!I$7)</f>
        <v>0</v>
      </c>
      <c r="J73" s="150">
        <f>SUMIFS(Input!$G$119:$N$119,Input!$G$7:$N$7,Calculation!J$7)</f>
        <v>20000</v>
      </c>
      <c r="K73" s="150">
        <f>SUMIFS(Input!$G$119:$N$119,Input!$G$7:$N$7,Calculation!K$7)</f>
        <v>20000</v>
      </c>
      <c r="L73" s="150">
        <f>SUMIFS(Input!$G$119:$N$119,Input!$G$7:$N$7,Calculation!L$7)</f>
        <v>20000</v>
      </c>
      <c r="M73" s="150">
        <f>SUMIFS(Input!$G$119:$N$119,Input!$G$7:$N$7,Calculation!M$7)</f>
        <v>20000</v>
      </c>
      <c r="N73" s="150">
        <f>SUMIFS(Input!$G$119:$N$119,Input!$G$7:$N$7,Calculation!N$7)</f>
        <v>20000</v>
      </c>
      <c r="O73" s="114"/>
      <c r="P73" s="20"/>
    </row>
    <row r="74" spans="1:16" ht="12.75" customHeight="1">
      <c r="A74" s="20"/>
      <c r="B74" s="61" t="s">
        <v>48</v>
      </c>
      <c r="C74" s="20"/>
      <c r="D74" s="20"/>
      <c r="E74" s="20"/>
      <c r="F74" s="62" t="s">
        <v>43</v>
      </c>
      <c r="G74" s="118">
        <f>SUMIFS(Input!$G$23:$N$23,Input!$G$7:$N$7,Calculation!G$7)</f>
        <v>0</v>
      </c>
      <c r="H74" s="118">
        <f>SUMIFS(Input!$G$23:$N$23,Input!$G$7:$N$7,Calculation!H$7)</f>
        <v>0</v>
      </c>
      <c r="I74" s="118">
        <f>SUMIFS(Input!$G$23:$N$23,Input!$G$7:$N$7,Calculation!I$7)</f>
        <v>0</v>
      </c>
      <c r="J74" s="118">
        <f>SUMIFS(Input!$G$23:$N$23,Input!$G$7:$N$7,Calculation!J$7)</f>
        <v>1.02</v>
      </c>
      <c r="K74" s="118">
        <f>SUMIFS(Input!$G$23:$N$23,Input!$G$7:$N$7,Calculation!K$7)</f>
        <v>1.02</v>
      </c>
      <c r="L74" s="118">
        <f>SUMIFS(Input!$G$23:$N$23,Input!$G$7:$N$7,Calculation!L$7)</f>
        <v>1.02</v>
      </c>
      <c r="M74" s="118">
        <f>SUMIFS(Input!$G$23:$N$23,Input!$G$7:$N$7,Calculation!M$7)</f>
        <v>1.02</v>
      </c>
      <c r="N74" s="118">
        <f>SUMIFS(Input!$G$23:$N$23,Input!$G$7:$N$7,Calculation!N$7)</f>
        <v>1.02</v>
      </c>
      <c r="O74" s="118"/>
      <c r="P74" s="20"/>
    </row>
    <row r="75" spans="1:16" ht="12.75" customHeight="1">
      <c r="A75" s="20"/>
      <c r="B75" s="59" t="s">
        <v>183</v>
      </c>
      <c r="C75" s="20"/>
      <c r="D75" s="20"/>
      <c r="E75" s="20"/>
      <c r="F75" s="62" t="s">
        <v>182</v>
      </c>
      <c r="G75" s="114">
        <f>IFERROR(G73*G74,"")</f>
        <v>0</v>
      </c>
      <c r="H75" s="114">
        <f>IFERROR(H73*H74,"")</f>
        <v>0</v>
      </c>
      <c r="I75" s="114">
        <f>IFERROR(I73*I74,"")</f>
        <v>0</v>
      </c>
      <c r="J75" s="114">
        <f>IFERROR(J73*J74,"")</f>
        <v>20400</v>
      </c>
      <c r="K75" s="114">
        <f>IFERROR(J75*K74,"")</f>
        <v>20808</v>
      </c>
      <c r="L75" s="114">
        <f>IFERROR(K75*L74,"")</f>
        <v>21224.16</v>
      </c>
      <c r="M75" s="114">
        <f>IFERROR(L75*M74,"")</f>
        <v>21648.643199999999</v>
      </c>
      <c r="N75" s="114">
        <f>IFERROR(M75*N74,"")</f>
        <v>22081.616063999998</v>
      </c>
      <c r="O75" s="114"/>
      <c r="P75" s="20"/>
    </row>
    <row r="76" spans="1:16" ht="12.75" customHeight="1">
      <c r="A76" s="20"/>
      <c r="B76" s="59" t="s">
        <v>104</v>
      </c>
      <c r="C76" s="20"/>
      <c r="D76" s="20"/>
      <c r="E76" s="20"/>
      <c r="F76" s="62" t="s">
        <v>184</v>
      </c>
      <c r="G76" s="114">
        <f>SUMIFS(Input!$G$120:$N$120,Input!$G$7:$N$7,Calculation!G$7)</f>
        <v>0</v>
      </c>
      <c r="H76" s="114">
        <f>SUMIFS(Input!$G$120:$N$120,Input!$G$7:$N$7,Calculation!H$7)</f>
        <v>0</v>
      </c>
      <c r="I76" s="114">
        <f>SUMIFS(Input!$G$120:$N$120,Input!$G$7:$N$7,Calculation!I$7)</f>
        <v>0</v>
      </c>
      <c r="J76" s="114">
        <f>SUMIFS(Input!$G$120:$N$120,Input!$G$7:$N$7,Calculation!J$7)</f>
        <v>20000</v>
      </c>
      <c r="K76" s="114">
        <f>SUMIFS(Input!$G$120:$N$120,Input!$G$7:$N$7,Calculation!K$7)</f>
        <v>20000</v>
      </c>
      <c r="L76" s="114">
        <f>SUMIFS(Input!$G$120:$N$120,Input!$G$7:$N$7,Calculation!L$7)</f>
        <v>20000</v>
      </c>
      <c r="M76" s="114">
        <f>SUMIFS(Input!$G$120:$N$120,Input!$G$7:$N$7,Calculation!M$7)</f>
        <v>20000</v>
      </c>
      <c r="N76" s="114">
        <f>SUMIFS(Input!$G$120:$N$120,Input!$G$7:$N$7,Calculation!N$7)</f>
        <v>20000</v>
      </c>
      <c r="O76" s="114"/>
      <c r="P76" s="20"/>
    </row>
    <row r="77" spans="1:16" ht="12.75" customHeight="1">
      <c r="A77" s="20"/>
      <c r="B77" s="135" t="s">
        <v>53</v>
      </c>
      <c r="C77" s="80"/>
      <c r="D77" s="80"/>
      <c r="E77" s="80"/>
      <c r="F77" s="124" t="s">
        <v>114</v>
      </c>
      <c r="G77" s="125">
        <f t="shared" ref="G77:N77" si="18">G75*G76/mn</f>
        <v>0</v>
      </c>
      <c r="H77" s="125">
        <f t="shared" si="18"/>
        <v>0</v>
      </c>
      <c r="I77" s="125">
        <f t="shared" si="18"/>
        <v>0</v>
      </c>
      <c r="J77" s="125">
        <f t="shared" si="18"/>
        <v>408</v>
      </c>
      <c r="K77" s="125">
        <f t="shared" si="18"/>
        <v>416.16</v>
      </c>
      <c r="L77" s="125">
        <f t="shared" si="18"/>
        <v>424.48320000000001</v>
      </c>
      <c r="M77" s="125">
        <f t="shared" si="18"/>
        <v>432.97286400000002</v>
      </c>
      <c r="N77" s="125">
        <f t="shared" si="18"/>
        <v>441.63232127999999</v>
      </c>
      <c r="O77" s="114"/>
      <c r="P77" s="20"/>
    </row>
    <row r="78" spans="1:16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6" ht="15" customHeight="1">
      <c r="A79" s="57"/>
      <c r="B79" s="105" t="s">
        <v>112</v>
      </c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57"/>
      <c r="P79" s="57"/>
    </row>
    <row r="80" spans="1:16" ht="13.5" customHeight="1">
      <c r="A80" s="20"/>
      <c r="B80" s="59" t="s">
        <v>115</v>
      </c>
      <c r="C80" s="20"/>
      <c r="D80" s="20"/>
      <c r="E80" s="117">
        <f>Input!E126</f>
        <v>8.492063492063491E-2</v>
      </c>
      <c r="F80" s="62" t="s">
        <v>43</v>
      </c>
      <c r="G80" s="20"/>
      <c r="H80" s="20"/>
      <c r="I80" s="20"/>
      <c r="J80" s="118">
        <f>$E80</f>
        <v>8.492063492063491E-2</v>
      </c>
      <c r="K80" s="118">
        <f>$E80</f>
        <v>8.492063492063491E-2</v>
      </c>
      <c r="L80" s="118">
        <f>$E80</f>
        <v>8.492063492063491E-2</v>
      </c>
      <c r="M80" s="118">
        <f>$E80</f>
        <v>8.492063492063491E-2</v>
      </c>
      <c r="N80" s="118">
        <f>$E80</f>
        <v>8.492063492063491E-2</v>
      </c>
      <c r="O80" s="118"/>
      <c r="P80" s="20"/>
    </row>
    <row r="81" spans="1:16" ht="15" customHeight="1">
      <c r="A81" s="20"/>
      <c r="B81" s="135" t="s">
        <v>113</v>
      </c>
      <c r="C81" s="80"/>
      <c r="D81" s="80"/>
      <c r="E81" s="80"/>
      <c r="F81" s="124" t="s">
        <v>114</v>
      </c>
      <c r="G81" s="80"/>
      <c r="H81" s="80"/>
      <c r="I81" s="80"/>
      <c r="J81" s="159">
        <f>J$21*J80</f>
        <v>183.68333333333331</v>
      </c>
      <c r="K81" s="159">
        <f>K$21*K80</f>
        <v>189.19383333333334</v>
      </c>
      <c r="L81" s="159">
        <f>L$21*L80</f>
        <v>194.86964833333329</v>
      </c>
      <c r="M81" s="159">
        <f>M$21*M80</f>
        <v>200.71573778333334</v>
      </c>
      <c r="N81" s="159">
        <f>N$21*N80</f>
        <v>206.73720991683331</v>
      </c>
      <c r="O81" s="160"/>
      <c r="P81" s="20"/>
    </row>
    <row r="82" spans="1:16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6" ht="12.75" customHeight="1">
      <c r="A83" s="57"/>
      <c r="B83" s="105" t="s">
        <v>116</v>
      </c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57"/>
      <c r="P83" s="57"/>
    </row>
    <row r="84" spans="1:16" ht="12.75" customHeight="1">
      <c r="A84" s="20"/>
      <c r="B84" s="161" t="s">
        <v>48</v>
      </c>
      <c r="C84" s="148"/>
      <c r="D84" s="148"/>
      <c r="E84" s="148"/>
      <c r="F84" s="149" t="s">
        <v>43</v>
      </c>
      <c r="G84" s="162">
        <f>SUMIFS(Input!$G$23:$N$23,Input!$G$7:$N$7,Calculation!G$7)</f>
        <v>0</v>
      </c>
      <c r="H84" s="162">
        <f>SUMIFS(Input!$G$23:$N$23,Input!$G$7:$N$7,Calculation!H$7)</f>
        <v>0</v>
      </c>
      <c r="I84" s="162">
        <f>SUMIFS(Input!$G$23:$N$23,Input!$G$7:$N$7,Calculation!I$7)</f>
        <v>0</v>
      </c>
      <c r="J84" s="162">
        <f>SUMIFS(Input!$G$23:$N$23,Input!$G$7:$N$7,Calculation!J$7)</f>
        <v>1.02</v>
      </c>
      <c r="K84" s="162">
        <f>SUMIFS(Input!$G$23:$N$23,Input!$G$7:$N$7,Calculation!K$7)</f>
        <v>1.02</v>
      </c>
      <c r="L84" s="162">
        <f>SUMIFS(Input!$G$23:$N$23,Input!$G$7:$N$7,Calculation!L$7)</f>
        <v>1.02</v>
      </c>
      <c r="M84" s="162">
        <f>SUMIFS(Input!$G$23:$N$23,Input!$G$7:$N$7,Calculation!M$7)</f>
        <v>1.02</v>
      </c>
      <c r="N84" s="162">
        <f>SUMIFS(Input!$G$23:$N$23,Input!$G$7:$N$7,Calculation!N$7)</f>
        <v>1.02</v>
      </c>
      <c r="O84" s="118"/>
      <c r="P84" s="20"/>
    </row>
    <row r="85" spans="1:16" ht="15" customHeight="1">
      <c r="A85" s="20"/>
      <c r="B85" s="135" t="s">
        <v>113</v>
      </c>
      <c r="C85" s="80"/>
      <c r="D85" s="80"/>
      <c r="E85" s="132">
        <f>Input!E131</f>
        <v>200</v>
      </c>
      <c r="F85" s="124" t="s">
        <v>114</v>
      </c>
      <c r="G85" s="125"/>
      <c r="H85" s="125"/>
      <c r="I85" s="125"/>
      <c r="J85" s="125">
        <f>E$85*J84</f>
        <v>204</v>
      </c>
      <c r="K85" s="125">
        <f>J$85*K84</f>
        <v>208.08</v>
      </c>
      <c r="L85" s="125">
        <f>K$85*L84</f>
        <v>212.24160000000001</v>
      </c>
      <c r="M85" s="125">
        <f>L$85*M84</f>
        <v>216.48643200000001</v>
      </c>
      <c r="N85" s="125">
        <f>M$85*N84</f>
        <v>220.81616064000002</v>
      </c>
      <c r="O85" s="114"/>
      <c r="P85" s="20"/>
    </row>
    <row r="86" spans="1:1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6" ht="12.75" customHeight="1">
      <c r="A87" s="57"/>
      <c r="B87" s="105" t="s">
        <v>117</v>
      </c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</row>
    <row r="88" spans="1:16" ht="12.75" customHeight="1">
      <c r="A88" s="20"/>
      <c r="B88" s="148" t="s">
        <v>181</v>
      </c>
      <c r="C88" s="148"/>
      <c r="D88" s="148"/>
      <c r="E88" s="148"/>
      <c r="F88" s="149" t="s">
        <v>182</v>
      </c>
      <c r="G88" s="150">
        <f>SUMIFS(Input!$G$136:$N$136,Input!$G$7:$N$7,Calculation!G$7)</f>
        <v>0</v>
      </c>
      <c r="H88" s="150">
        <f>SUMIFS(Input!$G$136:$N$136,Input!$G$7:$N$7,Calculation!H$7)</f>
        <v>0</v>
      </c>
      <c r="I88" s="150">
        <f>SUMIFS(Input!$G$136:$N$136,Input!$G$7:$N$7,Calculation!I$7)</f>
        <v>0</v>
      </c>
      <c r="J88" s="150">
        <f>SUMIFS(Input!$G$136:$N$136,Input!$G$7:$N$7,Calculation!J$7)</f>
        <v>0</v>
      </c>
      <c r="K88" s="150">
        <f>SUMIFS(Input!$G$136:$N$136,Input!$G$7:$N$7,Calculation!K$7)</f>
        <v>0</v>
      </c>
      <c r="L88" s="150">
        <f>SUMIFS(Input!$G$136:$N$136,Input!$G$7:$N$7,Calculation!L$7)</f>
        <v>0</v>
      </c>
      <c r="M88" s="150">
        <f>SUMIFS(Input!$G$136:$N$136,Input!$G$7:$N$7,Calculation!M$7)</f>
        <v>0</v>
      </c>
      <c r="N88" s="150">
        <f>SUMIFS(Input!$G$136:$N$136,Input!$G$7:$N$7,Calculation!N$7)</f>
        <v>0</v>
      </c>
      <c r="O88" s="114"/>
      <c r="P88" s="20"/>
    </row>
    <row r="89" spans="1:16" ht="12.75" customHeight="1">
      <c r="A89" s="20"/>
      <c r="B89" s="61" t="s">
        <v>48</v>
      </c>
      <c r="C89" s="20"/>
      <c r="D89" s="20"/>
      <c r="E89" s="20"/>
      <c r="F89" s="62" t="s">
        <v>43</v>
      </c>
      <c r="G89" s="118">
        <f>SUMIFS(Input!$G$23:$N$23,Input!$G$7:$N$7,Calculation!G$7)</f>
        <v>0</v>
      </c>
      <c r="H89" s="118">
        <f>SUMIFS(Input!$G$23:$N$23,Input!$G$7:$N$7,Calculation!H$7)</f>
        <v>0</v>
      </c>
      <c r="I89" s="118">
        <f>SUMIFS(Input!$G$23:$N$23,Input!$G$7:$N$7,Calculation!I$7)</f>
        <v>0</v>
      </c>
      <c r="J89" s="118">
        <f>SUMIFS(Input!$G$23:$N$23,Input!$G$7:$N$7,Calculation!J$7)</f>
        <v>1.02</v>
      </c>
      <c r="K89" s="118">
        <f>SUMIFS(Input!$G$23:$N$23,Input!$G$7:$N$7,Calculation!K$7)</f>
        <v>1.02</v>
      </c>
      <c r="L89" s="118">
        <f>SUMIFS(Input!$G$23:$N$23,Input!$G$7:$N$7,Calculation!L$7)</f>
        <v>1.02</v>
      </c>
      <c r="M89" s="118">
        <f>SUMIFS(Input!$G$23:$N$23,Input!$G$7:$N$7,Calculation!M$7)</f>
        <v>1.02</v>
      </c>
      <c r="N89" s="118">
        <f>SUMIFS(Input!$G$23:$N$23,Input!$G$7:$N$7,Calculation!N$7)</f>
        <v>1.02</v>
      </c>
      <c r="O89" s="118"/>
      <c r="P89" s="20"/>
    </row>
    <row r="90" spans="1:16" ht="12.75" customHeight="1">
      <c r="A90" s="20"/>
      <c r="B90" s="59" t="s">
        <v>183</v>
      </c>
      <c r="C90" s="20"/>
      <c r="D90" s="20"/>
      <c r="E90" s="20"/>
      <c r="F90" s="62" t="s">
        <v>182</v>
      </c>
      <c r="G90" s="114">
        <f>IFERROR(G88*G89,"")</f>
        <v>0</v>
      </c>
      <c r="H90" s="114">
        <f>IFERROR(H88*H89,"")</f>
        <v>0</v>
      </c>
      <c r="I90" s="114">
        <f>IFERROR(I88*I89,"")</f>
        <v>0</v>
      </c>
      <c r="J90" s="114">
        <f>IFERROR(J88*J89,"")</f>
        <v>0</v>
      </c>
      <c r="K90" s="114">
        <f>IFERROR(J90*K89,"")</f>
        <v>0</v>
      </c>
      <c r="L90" s="114">
        <f>IFERROR(K90*L89,"")</f>
        <v>0</v>
      </c>
      <c r="M90" s="114">
        <f>IFERROR(L90*M89,"")</f>
        <v>0</v>
      </c>
      <c r="N90" s="114">
        <f>IFERROR(M90*N89,"")</f>
        <v>0</v>
      </c>
      <c r="O90" s="114"/>
      <c r="P90" s="20"/>
    </row>
    <row r="91" spans="1:16" ht="12.75" customHeight="1">
      <c r="A91" s="20"/>
      <c r="B91" s="59" t="s">
        <v>104</v>
      </c>
      <c r="C91" s="20"/>
      <c r="D91" s="20"/>
      <c r="E91" s="20"/>
      <c r="F91" s="62" t="s">
        <v>184</v>
      </c>
      <c r="G91" s="114">
        <f>SUMIFS(Input!$G$137:$N$137,Input!$G$7:$N$7,Calculation!G$7)</f>
        <v>0</v>
      </c>
      <c r="H91" s="114">
        <f>SUMIFS(Input!$G$137:$N$137,Input!$G$7:$N$7,Calculation!H$7)</f>
        <v>0</v>
      </c>
      <c r="I91" s="114">
        <f>SUMIFS(Input!$G$137:$N$137,Input!$G$7:$N$7,Calculation!I$7)</f>
        <v>0</v>
      </c>
      <c r="J91" s="114">
        <f>SUMIFS(Input!$G$137:$N$137,Input!$G$7:$N$7,Calculation!J$7)</f>
        <v>0</v>
      </c>
      <c r="K91" s="114">
        <f>SUMIFS(Input!$G$137:$N$137,Input!$G$7:$N$7,Calculation!K$7)</f>
        <v>0</v>
      </c>
      <c r="L91" s="114">
        <f>SUMIFS(Input!$G$137:$N$137,Input!$G$7:$N$7,Calculation!L$7)</f>
        <v>0</v>
      </c>
      <c r="M91" s="114">
        <f>SUMIFS(Input!$G$137:$N$137,Input!$G$7:$N$7,Calculation!M$7)</f>
        <v>0</v>
      </c>
      <c r="N91" s="114">
        <f>SUMIFS(Input!$G$137:$N$137,Input!$G$7:$N$7,Calculation!N$7)</f>
        <v>0</v>
      </c>
      <c r="O91" s="114"/>
      <c r="P91" s="20"/>
    </row>
    <row r="92" spans="1:16" ht="12.75" customHeight="1">
      <c r="A92" s="20"/>
      <c r="B92" s="135" t="s">
        <v>187</v>
      </c>
      <c r="C92" s="80"/>
      <c r="D92" s="80"/>
      <c r="E92" s="80"/>
      <c r="F92" s="124" t="s">
        <v>114</v>
      </c>
      <c r="G92" s="125">
        <f t="shared" ref="G92:N92" si="19">G90*G91/mn</f>
        <v>0</v>
      </c>
      <c r="H92" s="125">
        <f t="shared" si="19"/>
        <v>0</v>
      </c>
      <c r="I92" s="125">
        <f t="shared" si="19"/>
        <v>0</v>
      </c>
      <c r="J92" s="125">
        <f t="shared" si="19"/>
        <v>0</v>
      </c>
      <c r="K92" s="125">
        <f t="shared" si="19"/>
        <v>0</v>
      </c>
      <c r="L92" s="125">
        <f t="shared" si="19"/>
        <v>0</v>
      </c>
      <c r="M92" s="125">
        <f t="shared" si="19"/>
        <v>0</v>
      </c>
      <c r="N92" s="125">
        <f t="shared" si="19"/>
        <v>0</v>
      </c>
      <c r="O92" s="114"/>
      <c r="P92" s="20"/>
    </row>
    <row r="93" spans="1:16" ht="12.75" customHeight="1">
      <c r="A93" s="8"/>
      <c r="B93" s="163"/>
      <c r="C93" s="8"/>
      <c r="D93" s="8"/>
      <c r="E93" s="8"/>
      <c r="F93" s="139"/>
      <c r="G93" s="140"/>
      <c r="H93" s="140"/>
      <c r="I93" s="140"/>
      <c r="J93" s="140"/>
      <c r="K93" s="140"/>
      <c r="L93" s="140"/>
      <c r="M93" s="140"/>
      <c r="N93" s="140"/>
      <c r="O93" s="140"/>
    </row>
    <row r="94" spans="1:16" ht="12.75" customHeight="1">
      <c r="A94" s="57"/>
      <c r="B94" s="105" t="s">
        <v>118</v>
      </c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</row>
    <row r="95" spans="1:16" ht="12.75" customHeight="1">
      <c r="A95" s="20"/>
      <c r="B95" s="148" t="s">
        <v>181</v>
      </c>
      <c r="C95" s="148"/>
      <c r="D95" s="148"/>
      <c r="E95" s="148"/>
      <c r="F95" s="149" t="s">
        <v>182</v>
      </c>
      <c r="G95" s="150">
        <f>SUMIFS(Input!$G$142:$N$142,Input!$G$7:$N$7,Calculation!G$7)</f>
        <v>0</v>
      </c>
      <c r="H95" s="150">
        <f>SUMIFS(Input!$G$142:$N$142,Input!$G$7:$N$7,Calculation!H$7)</f>
        <v>0</v>
      </c>
      <c r="I95" s="150">
        <f>SUMIFS(Input!$G$142:$N$142,Input!$G$7:$N$7,Calculation!I$7)</f>
        <v>0</v>
      </c>
      <c r="J95" s="150">
        <f>SUMIFS(Input!$G$142:$N$142,Input!$G$7:$N$7,Calculation!J$7)</f>
        <v>0</v>
      </c>
      <c r="K95" s="150">
        <f>SUMIFS(Input!$G$142:$N$142,Input!$G$7:$N$7,Calculation!K$7)</f>
        <v>0</v>
      </c>
      <c r="L95" s="150">
        <f>SUMIFS(Input!$G$142:$N$142,Input!$G$7:$N$7,Calculation!L$7)</f>
        <v>0</v>
      </c>
      <c r="M95" s="150">
        <f>SUMIFS(Input!$G$142:$N$142,Input!$G$7:$N$7,Calculation!M$7)</f>
        <v>0</v>
      </c>
      <c r="N95" s="150">
        <f>SUMIFS(Input!$G$142:$N$142,Input!$G$7:$N$7,Calculation!N$7)</f>
        <v>0</v>
      </c>
      <c r="O95" s="114"/>
      <c r="P95" s="20"/>
    </row>
    <row r="96" spans="1:16" ht="12.75" customHeight="1">
      <c r="A96" s="20"/>
      <c r="B96" s="61" t="s">
        <v>48</v>
      </c>
      <c r="C96" s="20"/>
      <c r="D96" s="20"/>
      <c r="E96" s="20"/>
      <c r="F96" s="62" t="s">
        <v>43</v>
      </c>
      <c r="G96" s="118">
        <f>SUMIFS(Input!$G$23:$N$23,Input!$G$7:$N$7,Calculation!G$7)</f>
        <v>0</v>
      </c>
      <c r="H96" s="118">
        <f>SUMIFS(Input!$G$23:$N$23,Input!$G$7:$N$7,Calculation!H$7)</f>
        <v>0</v>
      </c>
      <c r="I96" s="118">
        <f>SUMIFS(Input!$G$23:$N$23,Input!$G$7:$N$7,Calculation!I$7)</f>
        <v>0</v>
      </c>
      <c r="J96" s="118">
        <f>SUMIFS(Input!$G$23:$N$23,Input!$G$7:$N$7,Calculation!J$7)</f>
        <v>1.02</v>
      </c>
      <c r="K96" s="118">
        <f>SUMIFS(Input!$G$23:$N$23,Input!$G$7:$N$7,Calculation!K$7)</f>
        <v>1.02</v>
      </c>
      <c r="L96" s="118">
        <f>SUMIFS(Input!$G$23:$N$23,Input!$G$7:$N$7,Calculation!L$7)</f>
        <v>1.02</v>
      </c>
      <c r="M96" s="118">
        <f>SUMIFS(Input!$G$23:$N$23,Input!$G$7:$N$7,Calculation!M$7)</f>
        <v>1.02</v>
      </c>
      <c r="N96" s="118">
        <f>SUMIFS(Input!$G$23:$N$23,Input!$G$7:$N$7,Calculation!N$7)</f>
        <v>1.02</v>
      </c>
      <c r="O96" s="118"/>
      <c r="P96" s="20"/>
    </row>
    <row r="97" spans="1:27" ht="12.75" customHeight="1">
      <c r="A97" s="20"/>
      <c r="B97" s="59" t="s">
        <v>183</v>
      </c>
      <c r="C97" s="20"/>
      <c r="D97" s="20"/>
      <c r="E97" s="20"/>
      <c r="F97" s="62" t="s">
        <v>182</v>
      </c>
      <c r="G97" s="114">
        <f>IFERROR(G95*G96,"")</f>
        <v>0</v>
      </c>
      <c r="H97" s="114">
        <f>IFERROR(H95*H96,"")</f>
        <v>0</v>
      </c>
      <c r="I97" s="114">
        <f>IFERROR(I95*I96,"")</f>
        <v>0</v>
      </c>
      <c r="J97" s="114">
        <f>IFERROR(J95*J96,"")</f>
        <v>0</v>
      </c>
      <c r="K97" s="114">
        <f>IFERROR(J97*K96,"")</f>
        <v>0</v>
      </c>
      <c r="L97" s="114">
        <f>IFERROR(K97*L96,"")</f>
        <v>0</v>
      </c>
      <c r="M97" s="114">
        <f>IFERROR(L97*M96,"")</f>
        <v>0</v>
      </c>
      <c r="N97" s="114">
        <f>IFERROR(M97*N96,"")</f>
        <v>0</v>
      </c>
      <c r="O97" s="114"/>
      <c r="P97" s="20"/>
    </row>
    <row r="98" spans="1:27" ht="12.75" customHeight="1">
      <c r="A98" s="20"/>
      <c r="B98" s="59" t="s">
        <v>104</v>
      </c>
      <c r="C98" s="20"/>
      <c r="D98" s="20"/>
      <c r="E98" s="20"/>
      <c r="F98" s="62" t="s">
        <v>184</v>
      </c>
      <c r="G98" s="114">
        <f>SUMIFS(Input!$G$143:$N$143,Input!$G$7:$N$7,Calculation!G$7)</f>
        <v>0</v>
      </c>
      <c r="H98" s="114">
        <f>SUMIFS(Input!$G$143:$N$143,Input!$G$7:$N$7,Calculation!H$7)</f>
        <v>0</v>
      </c>
      <c r="I98" s="114">
        <f>SUMIFS(Input!$G$143:$N$143,Input!$G$7:$N$7,Calculation!I$7)</f>
        <v>0</v>
      </c>
      <c r="J98" s="114">
        <f>SUMIFS(Input!$G$143:$N$143,Input!$G$7:$N$7,Calculation!J$7)</f>
        <v>0</v>
      </c>
      <c r="K98" s="114">
        <f>SUMIFS(Input!$G$143:$N$143,Input!$G$7:$N$7,Calculation!K$7)</f>
        <v>0</v>
      </c>
      <c r="L98" s="114">
        <f>SUMIFS(Input!$G$143:$N$143,Input!$G$7:$N$7,Calculation!L$7)</f>
        <v>0</v>
      </c>
      <c r="M98" s="114">
        <f>SUMIFS(Input!$G$143:$N$143,Input!$G$7:$N$7,Calculation!M$7)</f>
        <v>0</v>
      </c>
      <c r="N98" s="114">
        <f>SUMIFS(Input!$G$143:$N$143,Input!$G$7:$N$7,Calculation!N$7)</f>
        <v>0</v>
      </c>
      <c r="O98" s="114"/>
      <c r="P98" s="20"/>
    </row>
    <row r="99" spans="1:27" ht="12.75" customHeight="1">
      <c r="A99" s="20"/>
      <c r="B99" s="135" t="s">
        <v>187</v>
      </c>
      <c r="C99" s="80"/>
      <c r="D99" s="80"/>
      <c r="E99" s="80"/>
      <c r="F99" s="124" t="s">
        <v>114</v>
      </c>
      <c r="G99" s="125">
        <f t="shared" ref="G99:N99" si="20">G97*G98/mn</f>
        <v>0</v>
      </c>
      <c r="H99" s="125">
        <f t="shared" si="20"/>
        <v>0</v>
      </c>
      <c r="I99" s="125">
        <f t="shared" si="20"/>
        <v>0</v>
      </c>
      <c r="J99" s="125">
        <f t="shared" si="20"/>
        <v>0</v>
      </c>
      <c r="K99" s="125">
        <f t="shared" si="20"/>
        <v>0</v>
      </c>
      <c r="L99" s="125">
        <f t="shared" si="20"/>
        <v>0</v>
      </c>
      <c r="M99" s="125">
        <f t="shared" si="20"/>
        <v>0</v>
      </c>
      <c r="N99" s="125">
        <f t="shared" si="20"/>
        <v>0</v>
      </c>
      <c r="O99" s="114"/>
      <c r="P99" s="20"/>
    </row>
    <row r="100" spans="1:27" ht="12.75" customHeight="1">
      <c r="A100" s="8"/>
      <c r="B100" s="163"/>
      <c r="C100" s="8"/>
      <c r="D100" s="8"/>
      <c r="E100" s="8"/>
      <c r="F100" s="139"/>
      <c r="G100" s="140"/>
      <c r="H100" s="140"/>
      <c r="I100" s="140"/>
      <c r="J100" s="140"/>
      <c r="K100" s="140"/>
      <c r="L100" s="140"/>
      <c r="M100" s="140"/>
      <c r="N100" s="140"/>
      <c r="O100" s="140"/>
    </row>
    <row r="101" spans="1:27" ht="12.75" customHeight="1">
      <c r="A101" s="8"/>
      <c r="B101" s="163"/>
      <c r="C101" s="8"/>
      <c r="D101" s="8"/>
      <c r="E101" s="8"/>
      <c r="F101" s="139"/>
      <c r="G101" s="140"/>
      <c r="H101" s="140"/>
      <c r="I101" s="140"/>
      <c r="J101" s="140"/>
      <c r="K101" s="140"/>
      <c r="L101" s="140"/>
      <c r="M101" s="140"/>
      <c r="N101" s="140"/>
      <c r="O101" s="140"/>
    </row>
    <row r="102" spans="1:27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27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27" ht="12.75" customHeight="1">
      <c r="A104" s="20"/>
      <c r="B104" s="51" t="s">
        <v>131</v>
      </c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27" ht="12.75" customHeight="1">
      <c r="A106" s="57"/>
      <c r="B106" s="105" t="s">
        <v>185</v>
      </c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</row>
    <row r="107" spans="1:27" s="262" customFormat="1" ht="15" customHeight="1">
      <c r="A107" s="267"/>
      <c r="B107" s="268" t="s">
        <v>339</v>
      </c>
      <c r="C107" s="268"/>
      <c r="D107" s="268"/>
      <c r="E107" s="268"/>
      <c r="F107" s="269" t="s">
        <v>114</v>
      </c>
      <c r="G107" s="270">
        <f t="shared" ref="G107:N107" si="21">G151</f>
        <v>100</v>
      </c>
      <c r="H107" s="270">
        <f t="shared" si="21"/>
        <v>100</v>
      </c>
      <c r="I107" s="270">
        <f t="shared" si="21"/>
        <v>100</v>
      </c>
      <c r="J107" s="270">
        <f t="shared" si="21"/>
        <v>204</v>
      </c>
      <c r="K107" s="270">
        <f t="shared" si="21"/>
        <v>208.08</v>
      </c>
      <c r="L107" s="270">
        <f t="shared" si="21"/>
        <v>212.24160000000001</v>
      </c>
      <c r="M107" s="270">
        <f t="shared" si="21"/>
        <v>216.48643200000001</v>
      </c>
      <c r="N107" s="270">
        <f t="shared" si="21"/>
        <v>220.81616064000002</v>
      </c>
      <c r="O107" s="270"/>
      <c r="P107" s="267"/>
    </row>
    <row r="108" spans="1:27" s="262" customFormat="1" ht="12.75" customHeight="1">
      <c r="A108" s="267"/>
      <c r="B108" s="268" t="s">
        <v>120</v>
      </c>
      <c r="C108" s="267"/>
      <c r="D108" s="267"/>
      <c r="E108" s="267"/>
      <c r="F108" s="269" t="s">
        <v>114</v>
      </c>
      <c r="G108" s="270">
        <f t="shared" ref="G108:N108" si="22">G117</f>
        <v>0</v>
      </c>
      <c r="H108" s="270">
        <f t="shared" si="22"/>
        <v>0</v>
      </c>
      <c r="I108" s="270">
        <f t="shared" si="22"/>
        <v>0</v>
      </c>
      <c r="J108" s="270">
        <f t="shared" si="22"/>
        <v>91.841666666666654</v>
      </c>
      <c r="K108" s="270">
        <f t="shared" si="22"/>
        <v>94.596916666666672</v>
      </c>
      <c r="L108" s="270">
        <f t="shared" si="22"/>
        <v>97.434824166666644</v>
      </c>
      <c r="M108" s="270">
        <f t="shared" si="22"/>
        <v>100.35786889166667</v>
      </c>
      <c r="N108" s="270">
        <f t="shared" si="22"/>
        <v>103.36860495841665</v>
      </c>
      <c r="O108" s="270"/>
      <c r="P108" s="267"/>
    </row>
    <row r="109" spans="1:27" s="262" customFormat="1" ht="12.75" customHeight="1">
      <c r="A109" s="267"/>
      <c r="B109" s="271" t="s">
        <v>122</v>
      </c>
      <c r="C109" s="267"/>
      <c r="D109" s="267"/>
      <c r="E109" s="267"/>
      <c r="F109" s="269" t="s">
        <v>114</v>
      </c>
      <c r="G109" s="270">
        <f t="shared" ref="G109:N109" si="23">G121</f>
        <v>0</v>
      </c>
      <c r="H109" s="270">
        <f t="shared" si="23"/>
        <v>0</v>
      </c>
      <c r="I109" s="270">
        <f t="shared" si="23"/>
        <v>0</v>
      </c>
      <c r="J109" s="270">
        <f t="shared" si="23"/>
        <v>110.21</v>
      </c>
      <c r="K109" s="270">
        <f t="shared" si="23"/>
        <v>113.51630000000002</v>
      </c>
      <c r="L109" s="270">
        <f t="shared" si="23"/>
        <v>116.92178899999998</v>
      </c>
      <c r="M109" s="270">
        <f t="shared" si="23"/>
        <v>120.42944267</v>
      </c>
      <c r="N109" s="270">
        <f t="shared" si="23"/>
        <v>124.04232595009999</v>
      </c>
      <c r="O109" s="270"/>
      <c r="P109" s="267"/>
    </row>
    <row r="110" spans="1:27" s="262" customFormat="1" ht="12.75" customHeight="1">
      <c r="A110" s="267"/>
      <c r="B110" s="271" t="s">
        <v>123</v>
      </c>
      <c r="C110" s="267"/>
      <c r="D110" s="267"/>
      <c r="E110" s="267"/>
      <c r="F110" s="269" t="s">
        <v>114</v>
      </c>
      <c r="G110" s="270">
        <f t="shared" ref="G110:N110" si="24">G125</f>
        <v>0</v>
      </c>
      <c r="H110" s="270">
        <f t="shared" si="24"/>
        <v>0</v>
      </c>
      <c r="I110" s="270">
        <f t="shared" si="24"/>
        <v>0</v>
      </c>
      <c r="J110" s="270">
        <f t="shared" si="24"/>
        <v>128.57833333333335</v>
      </c>
      <c r="K110" s="270">
        <f t="shared" si="24"/>
        <v>132.43568333333334</v>
      </c>
      <c r="L110" s="270">
        <f t="shared" si="24"/>
        <v>136.40875383333332</v>
      </c>
      <c r="M110" s="270">
        <f t="shared" si="24"/>
        <v>140.50101644833336</v>
      </c>
      <c r="N110" s="270">
        <f t="shared" si="24"/>
        <v>144.71604694178333</v>
      </c>
      <c r="O110" s="270"/>
      <c r="P110" s="267"/>
    </row>
    <row r="111" spans="1:27" s="262" customFormat="1" ht="12.75" customHeight="1">
      <c r="A111" s="267"/>
      <c r="B111" s="271" t="s">
        <v>124</v>
      </c>
      <c r="C111" s="267"/>
      <c r="D111" s="267"/>
      <c r="E111" s="267"/>
      <c r="F111" s="269" t="s">
        <v>114</v>
      </c>
      <c r="G111" s="270">
        <f t="shared" ref="G111:N111" si="25">G129</f>
        <v>0</v>
      </c>
      <c r="H111" s="270">
        <f t="shared" si="25"/>
        <v>0</v>
      </c>
      <c r="I111" s="270">
        <f t="shared" si="25"/>
        <v>0</v>
      </c>
      <c r="J111" s="270">
        <f t="shared" si="25"/>
        <v>51</v>
      </c>
      <c r="K111" s="270">
        <f t="shared" si="25"/>
        <v>52.02</v>
      </c>
      <c r="L111" s="270">
        <f t="shared" si="25"/>
        <v>53.060400000000001</v>
      </c>
      <c r="M111" s="270">
        <f t="shared" si="25"/>
        <v>54.121608000000002</v>
      </c>
      <c r="N111" s="270">
        <f t="shared" si="25"/>
        <v>55.204040160000005</v>
      </c>
      <c r="O111" s="270"/>
      <c r="P111" s="267"/>
    </row>
    <row r="112" spans="1:27" s="262" customFormat="1" ht="12.75" customHeight="1">
      <c r="A112" s="267"/>
      <c r="B112" s="271" t="s">
        <v>340</v>
      </c>
      <c r="C112" s="267"/>
      <c r="D112" s="267"/>
      <c r="E112" s="267"/>
      <c r="F112" s="269" t="s">
        <v>114</v>
      </c>
      <c r="G112" s="270">
        <f t="shared" ref="G112:N112" si="26">G136</f>
        <v>0</v>
      </c>
      <c r="H112" s="270">
        <f t="shared" si="26"/>
        <v>0</v>
      </c>
      <c r="I112" s="270">
        <f t="shared" si="26"/>
        <v>0</v>
      </c>
      <c r="J112" s="270">
        <f t="shared" si="26"/>
        <v>0</v>
      </c>
      <c r="K112" s="270">
        <f t="shared" si="26"/>
        <v>0</v>
      </c>
      <c r="L112" s="270">
        <f t="shared" si="26"/>
        <v>0</v>
      </c>
      <c r="M112" s="270">
        <f t="shared" si="26"/>
        <v>0</v>
      </c>
      <c r="N112" s="270">
        <f t="shared" si="26"/>
        <v>0</v>
      </c>
      <c r="O112" s="270"/>
      <c r="P112" s="267"/>
    </row>
    <row r="113" spans="1:16" ht="13.5" customHeight="1">
      <c r="A113" s="20"/>
      <c r="B113" s="151" t="s">
        <v>186</v>
      </c>
      <c r="C113" s="152"/>
      <c r="D113" s="152"/>
      <c r="E113" s="152"/>
      <c r="F113" s="153" t="s">
        <v>114</v>
      </c>
      <c r="G113" s="154">
        <f t="shared" ref="G113:N113" si="27">SUM(G107:G112)</f>
        <v>100</v>
      </c>
      <c r="H113" s="154">
        <f t="shared" si="27"/>
        <v>100</v>
      </c>
      <c r="I113" s="154">
        <f t="shared" si="27"/>
        <v>100</v>
      </c>
      <c r="J113" s="154">
        <f t="shared" si="27"/>
        <v>585.63</v>
      </c>
      <c r="K113" s="154">
        <f t="shared" si="27"/>
        <v>600.64890000000003</v>
      </c>
      <c r="L113" s="154">
        <f t="shared" si="27"/>
        <v>616.06736699999999</v>
      </c>
      <c r="M113" s="154">
        <f t="shared" si="27"/>
        <v>631.89636801000006</v>
      </c>
      <c r="N113" s="155">
        <f t="shared" si="27"/>
        <v>648.14717865030002</v>
      </c>
      <c r="O113" s="156"/>
      <c r="P113" s="20"/>
    </row>
    <row r="114" spans="1:16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6" ht="12.75" customHeight="1">
      <c r="A115" s="57"/>
      <c r="B115" s="105" t="s">
        <v>120</v>
      </c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57"/>
      <c r="P115" s="57"/>
    </row>
    <row r="116" spans="1:16" ht="13.5" customHeight="1">
      <c r="A116" s="20"/>
      <c r="B116" s="59" t="s">
        <v>115</v>
      </c>
      <c r="C116" s="20"/>
      <c r="D116" s="20"/>
      <c r="E116" s="117">
        <f>Input!E153</f>
        <v>4.2460317460317455E-2</v>
      </c>
      <c r="F116" s="62" t="s">
        <v>43</v>
      </c>
      <c r="G116" s="20"/>
      <c r="H116" s="20"/>
      <c r="I116" s="20"/>
      <c r="J116" s="118">
        <f>$E116</f>
        <v>4.2460317460317455E-2</v>
      </c>
      <c r="K116" s="118">
        <f>$E116</f>
        <v>4.2460317460317455E-2</v>
      </c>
      <c r="L116" s="118">
        <f>$E116</f>
        <v>4.2460317460317455E-2</v>
      </c>
      <c r="M116" s="118">
        <f>$E116</f>
        <v>4.2460317460317455E-2</v>
      </c>
      <c r="N116" s="118">
        <f>$E116</f>
        <v>4.2460317460317455E-2</v>
      </c>
      <c r="O116" s="118"/>
      <c r="P116" s="20"/>
    </row>
    <row r="117" spans="1:16" ht="15" customHeight="1">
      <c r="A117" s="20"/>
      <c r="B117" s="135" t="s">
        <v>188</v>
      </c>
      <c r="C117" s="80"/>
      <c r="D117" s="80"/>
      <c r="E117" s="80"/>
      <c r="F117" s="124" t="s">
        <v>114</v>
      </c>
      <c r="G117" s="80"/>
      <c r="H117" s="80"/>
      <c r="I117" s="80"/>
      <c r="J117" s="159">
        <f>J$21*J116</f>
        <v>91.841666666666654</v>
      </c>
      <c r="K117" s="159">
        <f>K$21*K116</f>
        <v>94.596916666666672</v>
      </c>
      <c r="L117" s="159">
        <f>L$21*L116</f>
        <v>97.434824166666644</v>
      </c>
      <c r="M117" s="159">
        <f>M$21*M116</f>
        <v>100.35786889166667</v>
      </c>
      <c r="N117" s="159">
        <f>N$21*N116</f>
        <v>103.36860495841665</v>
      </c>
      <c r="O117" s="160"/>
      <c r="P117" s="20"/>
    </row>
    <row r="118" spans="1:16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6" ht="12.75" customHeight="1">
      <c r="A119" s="57"/>
      <c r="B119" s="105" t="s">
        <v>122</v>
      </c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57"/>
      <c r="P119" s="57"/>
    </row>
    <row r="120" spans="1:16" ht="13.5" customHeight="1">
      <c r="A120" s="20"/>
      <c r="B120" s="59" t="s">
        <v>115</v>
      </c>
      <c r="C120" s="20"/>
      <c r="D120" s="20"/>
      <c r="E120" s="117">
        <f>Input!E158</f>
        <v>5.095238095238095E-2</v>
      </c>
      <c r="F120" s="62" t="s">
        <v>43</v>
      </c>
      <c r="G120" s="20"/>
      <c r="H120" s="20"/>
      <c r="I120" s="20"/>
      <c r="J120" s="118">
        <f>$E120</f>
        <v>5.095238095238095E-2</v>
      </c>
      <c r="K120" s="118">
        <f>$E120</f>
        <v>5.095238095238095E-2</v>
      </c>
      <c r="L120" s="118">
        <f>$E120</f>
        <v>5.095238095238095E-2</v>
      </c>
      <c r="M120" s="118">
        <f>$E120</f>
        <v>5.095238095238095E-2</v>
      </c>
      <c r="N120" s="118">
        <f>$E120</f>
        <v>5.095238095238095E-2</v>
      </c>
      <c r="O120" s="118"/>
      <c r="P120" s="20"/>
    </row>
    <row r="121" spans="1:16" ht="15" customHeight="1">
      <c r="A121" s="20"/>
      <c r="B121" s="135" t="s">
        <v>188</v>
      </c>
      <c r="C121" s="80"/>
      <c r="D121" s="80"/>
      <c r="E121" s="80"/>
      <c r="F121" s="124" t="s">
        <v>114</v>
      </c>
      <c r="G121" s="80"/>
      <c r="H121" s="80"/>
      <c r="I121" s="80"/>
      <c r="J121" s="159">
        <f>J$21*J120</f>
        <v>110.21</v>
      </c>
      <c r="K121" s="159">
        <f>K$21*K120</f>
        <v>113.51630000000002</v>
      </c>
      <c r="L121" s="159">
        <f>L$21*L120</f>
        <v>116.92178899999998</v>
      </c>
      <c r="M121" s="159">
        <f>M$21*M120</f>
        <v>120.42944267</v>
      </c>
      <c r="N121" s="159">
        <f>N$21*N120</f>
        <v>124.04232595009999</v>
      </c>
      <c r="O121" s="160"/>
      <c r="P121" s="20"/>
    </row>
    <row r="122" spans="1:16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6" ht="12.75" customHeight="1">
      <c r="A123" s="57"/>
      <c r="B123" s="105" t="s">
        <v>123</v>
      </c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57"/>
      <c r="P123" s="57"/>
    </row>
    <row r="124" spans="1:16" ht="13.5" customHeight="1">
      <c r="A124" s="20"/>
      <c r="B124" s="59" t="s">
        <v>115</v>
      </c>
      <c r="C124" s="20"/>
      <c r="D124" s="20"/>
      <c r="E124" s="117">
        <f>Input!E163</f>
        <v>5.9444444444444446E-2</v>
      </c>
      <c r="F124" s="62" t="s">
        <v>43</v>
      </c>
      <c r="G124" s="20"/>
      <c r="H124" s="20"/>
      <c r="I124" s="20"/>
      <c r="J124" s="118">
        <f>$E124</f>
        <v>5.9444444444444446E-2</v>
      </c>
      <c r="K124" s="118">
        <f>$E124</f>
        <v>5.9444444444444446E-2</v>
      </c>
      <c r="L124" s="118">
        <f>$E124</f>
        <v>5.9444444444444446E-2</v>
      </c>
      <c r="M124" s="118">
        <f>$E124</f>
        <v>5.9444444444444446E-2</v>
      </c>
      <c r="N124" s="118">
        <f>$E124</f>
        <v>5.9444444444444446E-2</v>
      </c>
      <c r="O124" s="118"/>
      <c r="P124" s="20"/>
    </row>
    <row r="125" spans="1:16" ht="15" customHeight="1">
      <c r="A125" s="20"/>
      <c r="B125" s="135" t="s">
        <v>188</v>
      </c>
      <c r="C125" s="80"/>
      <c r="D125" s="80"/>
      <c r="E125" s="80"/>
      <c r="F125" s="124" t="s">
        <v>114</v>
      </c>
      <c r="G125" s="80"/>
      <c r="H125" s="80"/>
      <c r="I125" s="80"/>
      <c r="J125" s="159">
        <f>J$21*J124</f>
        <v>128.57833333333335</v>
      </c>
      <c r="K125" s="159">
        <f>K$21*K124</f>
        <v>132.43568333333334</v>
      </c>
      <c r="L125" s="159">
        <f>L$21*L124</f>
        <v>136.40875383333332</v>
      </c>
      <c r="M125" s="159">
        <f>M$21*M124</f>
        <v>140.50101644833336</v>
      </c>
      <c r="N125" s="159">
        <f>N$21*N124</f>
        <v>144.71604694178333</v>
      </c>
      <c r="O125" s="160"/>
      <c r="P125" s="20"/>
    </row>
    <row r="126" spans="1:1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6" ht="12.75" customHeight="1">
      <c r="A127" s="57"/>
      <c r="B127" s="105" t="s">
        <v>124</v>
      </c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57"/>
      <c r="P127" s="57"/>
    </row>
    <row r="128" spans="1:16" ht="12.75" customHeight="1">
      <c r="A128" s="20"/>
      <c r="B128" s="161" t="s">
        <v>48</v>
      </c>
      <c r="C128" s="148"/>
      <c r="D128" s="148"/>
      <c r="E128" s="148"/>
      <c r="F128" s="149" t="s">
        <v>43</v>
      </c>
      <c r="G128" s="162">
        <f>SUMIFS(Input!$G$23:$N$23,Input!$G$7:$N$7,Calculation!G$7)</f>
        <v>0</v>
      </c>
      <c r="H128" s="162">
        <f>SUMIFS(Input!$G$23:$N$23,Input!$G$7:$N$7,Calculation!H$7)</f>
        <v>0</v>
      </c>
      <c r="I128" s="162">
        <f>SUMIFS(Input!$G$23:$N$23,Input!$G$7:$N$7,Calculation!I$7)</f>
        <v>0</v>
      </c>
      <c r="J128" s="162">
        <f>SUMIFS(Input!$G$23:$N$23,Input!$G$7:$N$7,Calculation!J$7)</f>
        <v>1.02</v>
      </c>
      <c r="K128" s="162">
        <f>SUMIFS(Input!$G$23:$N$23,Input!$G$7:$N$7,Calculation!K$7)</f>
        <v>1.02</v>
      </c>
      <c r="L128" s="162">
        <f>SUMIFS(Input!$G$23:$N$23,Input!$G$7:$N$7,Calculation!L$7)</f>
        <v>1.02</v>
      </c>
      <c r="M128" s="162">
        <f>SUMIFS(Input!$G$23:$N$23,Input!$G$7:$N$7,Calculation!M$7)</f>
        <v>1.02</v>
      </c>
      <c r="N128" s="162">
        <f>SUMIFS(Input!$G$23:$N$23,Input!$G$7:$N$7,Calculation!N$7)</f>
        <v>1.02</v>
      </c>
      <c r="O128" s="118"/>
      <c r="P128" s="20"/>
    </row>
    <row r="129" spans="1:30" ht="15" customHeight="1">
      <c r="A129" s="20"/>
      <c r="B129" s="135" t="s">
        <v>125</v>
      </c>
      <c r="C129" s="80"/>
      <c r="D129" s="80"/>
      <c r="E129" s="132">
        <f>Input!E168</f>
        <v>50</v>
      </c>
      <c r="F129" s="124" t="s">
        <v>114</v>
      </c>
      <c r="G129" s="125"/>
      <c r="H129" s="125"/>
      <c r="I129" s="125"/>
      <c r="J129" s="125">
        <f>E$129*J128</f>
        <v>51</v>
      </c>
      <c r="K129" s="125">
        <f>J$129*K128</f>
        <v>52.02</v>
      </c>
      <c r="L129" s="125">
        <f>K$129*L128</f>
        <v>53.060400000000001</v>
      </c>
      <c r="M129" s="125">
        <f>L$129*M128</f>
        <v>54.121608000000002</v>
      </c>
      <c r="N129" s="125">
        <f>M$129*N128</f>
        <v>55.204040160000005</v>
      </c>
      <c r="O129" s="114"/>
      <c r="P129" s="20"/>
    </row>
    <row r="130" spans="1: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30" ht="15" customHeight="1">
      <c r="A131" s="57"/>
      <c r="B131" s="105" t="s">
        <v>126</v>
      </c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</row>
    <row r="132" spans="1:30" ht="12.75" customHeight="1">
      <c r="A132" s="20"/>
      <c r="B132" s="148" t="s">
        <v>181</v>
      </c>
      <c r="C132" s="148"/>
      <c r="D132" s="148"/>
      <c r="E132" s="148"/>
      <c r="F132" s="149" t="s">
        <v>182</v>
      </c>
      <c r="G132" s="150">
        <f>SUMIFS(Input!$G$173:$N$173,Input!$G$7:$N$7,Calculation!G$7)</f>
        <v>0</v>
      </c>
      <c r="H132" s="150">
        <f>SUMIFS(Input!$G$173:$N$173,Input!$G$7:$N$7,Calculation!H$7)</f>
        <v>0</v>
      </c>
      <c r="I132" s="150">
        <f>SUMIFS(Input!$G$173:$N$173,Input!$G$7:$N$7,Calculation!I$7)</f>
        <v>0</v>
      </c>
      <c r="J132" s="150">
        <f>SUMIFS(Input!$G$173:$N$173,Input!$G$7:$N$7,Calculation!J$7)</f>
        <v>0</v>
      </c>
      <c r="K132" s="150">
        <f>SUMIFS(Input!$G$173:$N$173,Input!$G$7:$N$7,Calculation!K$7)</f>
        <v>0</v>
      </c>
      <c r="L132" s="150">
        <f>SUMIFS(Input!$G$173:$N$173,Input!$G$7:$N$7,Calculation!L$7)</f>
        <v>0</v>
      </c>
      <c r="M132" s="150">
        <f>SUMIFS(Input!$G$173:$N$173,Input!$G$7:$N$7,Calculation!M$7)</f>
        <v>0</v>
      </c>
      <c r="N132" s="150">
        <f>SUMIFS(Input!$G$173:$N$173,Input!$G$7:$N$7,Calculation!N$7)</f>
        <v>0</v>
      </c>
      <c r="O132" s="114"/>
      <c r="P132" s="20"/>
    </row>
    <row r="133" spans="1:30" ht="12.75" customHeight="1">
      <c r="A133" s="20"/>
      <c r="B133" s="61" t="s">
        <v>48</v>
      </c>
      <c r="C133" s="20"/>
      <c r="D133" s="20"/>
      <c r="E133" s="20"/>
      <c r="F133" s="62" t="s">
        <v>43</v>
      </c>
      <c r="G133" s="118">
        <f>SUMIFS(Input!$G$23:$N$23,Input!$G$7:$N$7,Calculation!G$7)</f>
        <v>0</v>
      </c>
      <c r="H133" s="118">
        <f>SUMIFS(Input!$G$23:$N$23,Input!$G$7:$N$7,Calculation!H$7)</f>
        <v>0</v>
      </c>
      <c r="I133" s="118">
        <f>SUMIFS(Input!$G$23:$N$23,Input!$G$7:$N$7,Calculation!I$7)</f>
        <v>0</v>
      </c>
      <c r="J133" s="118">
        <f>SUMIFS(Input!$G$23:$N$23,Input!$G$7:$N$7,Calculation!J$7)</f>
        <v>1.02</v>
      </c>
      <c r="K133" s="118">
        <f>SUMIFS(Input!$G$23:$N$23,Input!$G$7:$N$7,Calculation!K$7)</f>
        <v>1.02</v>
      </c>
      <c r="L133" s="118">
        <f>SUMIFS(Input!$G$23:$N$23,Input!$G$7:$N$7,Calculation!L$7)</f>
        <v>1.02</v>
      </c>
      <c r="M133" s="118">
        <f>SUMIFS(Input!$G$23:$N$23,Input!$G$7:$N$7,Calculation!M$7)</f>
        <v>1.02</v>
      </c>
      <c r="N133" s="118">
        <f>SUMIFS(Input!$G$23:$N$23,Input!$G$7:$N$7,Calculation!N$7)</f>
        <v>1.02</v>
      </c>
      <c r="O133" s="118"/>
      <c r="P133" s="20"/>
    </row>
    <row r="134" spans="1:30" ht="12.75" customHeight="1">
      <c r="A134" s="20"/>
      <c r="B134" s="59" t="s">
        <v>183</v>
      </c>
      <c r="C134" s="20"/>
      <c r="D134" s="20"/>
      <c r="E134" s="20"/>
      <c r="F134" s="62" t="s">
        <v>182</v>
      </c>
      <c r="G134" s="114">
        <f>IFERROR(G132*G133,"")</f>
        <v>0</v>
      </c>
      <c r="H134" s="114">
        <f>IFERROR(H132*H133,"")</f>
        <v>0</v>
      </c>
      <c r="I134" s="114">
        <f>IFERROR(I132*I133,"")</f>
        <v>0</v>
      </c>
      <c r="J134" s="114">
        <f>IFERROR(J132*J133,"")</f>
        <v>0</v>
      </c>
      <c r="K134" s="114">
        <f>IFERROR(J134*K133,"")</f>
        <v>0</v>
      </c>
      <c r="L134" s="114">
        <f>IFERROR(K134*L133,"")</f>
        <v>0</v>
      </c>
      <c r="M134" s="114">
        <f>IFERROR(L134*M133,"")</f>
        <v>0</v>
      </c>
      <c r="N134" s="114">
        <f>IFERROR(M134*N133,"")</f>
        <v>0</v>
      </c>
      <c r="O134" s="114"/>
      <c r="P134" s="20"/>
    </row>
    <row r="135" spans="1:30" ht="12.75" customHeight="1">
      <c r="A135" s="20"/>
      <c r="B135" s="59" t="s">
        <v>104</v>
      </c>
      <c r="C135" s="20"/>
      <c r="D135" s="20"/>
      <c r="E135" s="20"/>
      <c r="F135" s="62" t="s">
        <v>184</v>
      </c>
      <c r="G135" s="114">
        <f>SUMIFS(Input!$G$174:$N$174,Input!$G$7:$N$7,Calculation!G$7)</f>
        <v>0</v>
      </c>
      <c r="H135" s="114">
        <f>SUMIFS(Input!$G$174:$N$174,Input!$G$7:$N$7,Calculation!H$7)</f>
        <v>0</v>
      </c>
      <c r="I135" s="114">
        <f>SUMIFS(Input!$G$174:$N$174,Input!$G$7:$N$7,Calculation!I$7)</f>
        <v>0</v>
      </c>
      <c r="J135" s="114">
        <f>SUMIFS(Input!$G$174:$N$174,Input!$G$7:$N$7,Calculation!J$7)</f>
        <v>0</v>
      </c>
      <c r="K135" s="114">
        <f>SUMIFS(Input!$G$174:$N$174,Input!$G$7:$N$7,Calculation!K$7)</f>
        <v>0</v>
      </c>
      <c r="L135" s="114">
        <f>SUMIFS(Input!$G$174:$N$174,Input!$G$7:$N$7,Calculation!L$7)</f>
        <v>0</v>
      </c>
      <c r="M135" s="114">
        <f>SUMIFS(Input!$G$174:$N$174,Input!$G$7:$N$7,Calculation!M$7)</f>
        <v>0</v>
      </c>
      <c r="N135" s="114">
        <f>SUMIFS(Input!$G$174:$N$174,Input!$G$7:$N$7,Calculation!N$7)</f>
        <v>0</v>
      </c>
      <c r="O135" s="114"/>
      <c r="P135" s="20"/>
    </row>
    <row r="136" spans="1:30" ht="12.75" customHeight="1">
      <c r="A136" s="20"/>
      <c r="B136" s="135" t="s">
        <v>187</v>
      </c>
      <c r="C136" s="80"/>
      <c r="D136" s="80"/>
      <c r="E136" s="80"/>
      <c r="F136" s="124" t="s">
        <v>114</v>
      </c>
      <c r="G136" s="125">
        <f t="shared" ref="G136:N136" si="28">G134*G135/mn</f>
        <v>0</v>
      </c>
      <c r="H136" s="125">
        <f t="shared" si="28"/>
        <v>0</v>
      </c>
      <c r="I136" s="125">
        <f t="shared" si="28"/>
        <v>0</v>
      </c>
      <c r="J136" s="125">
        <f t="shared" si="28"/>
        <v>0</v>
      </c>
      <c r="K136" s="125">
        <f t="shared" si="28"/>
        <v>0</v>
      </c>
      <c r="L136" s="125">
        <f t="shared" si="28"/>
        <v>0</v>
      </c>
      <c r="M136" s="125">
        <f t="shared" si="28"/>
        <v>0</v>
      </c>
      <c r="N136" s="125">
        <f t="shared" si="28"/>
        <v>0</v>
      </c>
      <c r="O136" s="114"/>
      <c r="P136" s="20"/>
    </row>
    <row r="137" spans="1:30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30" ht="12.75" customHeight="1">
      <c r="A138" s="20"/>
      <c r="B138" s="51" t="s">
        <v>189</v>
      </c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30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30" ht="15" customHeight="1">
      <c r="A140" s="57"/>
      <c r="B140" s="137" t="s">
        <v>190</v>
      </c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57"/>
      <c r="P140" s="57"/>
    </row>
    <row r="141" spans="1:30" ht="12.75" customHeight="1">
      <c r="A141" s="20"/>
      <c r="B141" s="61" t="s">
        <v>46</v>
      </c>
      <c r="C141" s="20"/>
      <c r="D141" s="20"/>
      <c r="E141" s="20"/>
      <c r="F141" s="62" t="s">
        <v>43</v>
      </c>
      <c r="G141" s="118">
        <f>SUMIFS(Input!$G$21:$N$21,Input!$G$7:$N$7,Calculation!G$7)</f>
        <v>0</v>
      </c>
      <c r="H141" s="118">
        <f>SUMIFS(Input!$G$21:$N$21,Input!$G$7:$N$7,Calculation!H$7)</f>
        <v>0</v>
      </c>
      <c r="I141" s="118">
        <f>SUMIFS(Input!$G$21:$N$21,Input!$G$7:$N$7,Calculation!I$7)</f>
        <v>0</v>
      </c>
      <c r="J141" s="118">
        <f>SUMIFS(Input!$G$21:$N$21,Input!$G$7:$N$7,Calculation!J$7)</f>
        <v>1.02</v>
      </c>
      <c r="K141" s="118">
        <f>SUMIFS(Input!$G$21:$N$21,Input!$G$7:$N$7,Calculation!K$7)</f>
        <v>1.02</v>
      </c>
      <c r="L141" s="118">
        <f>SUMIFS(Input!$G$21:$N$21,Input!$G$7:$N$7,Calculation!L$7)</f>
        <v>1.02</v>
      </c>
      <c r="M141" s="118">
        <f>SUMIFS(Input!$G$21:$N$21,Input!$G$7:$N$7,Calculation!M$7)</f>
        <v>1.02</v>
      </c>
      <c r="N141" s="118">
        <f>SUMIFS(Input!$G$21:$N$21,Input!$G$7:$N$7,Calculation!N$7)</f>
        <v>1.02</v>
      </c>
      <c r="O141" s="118"/>
      <c r="P141" s="20"/>
    </row>
    <row r="142" spans="1:30" ht="13.5" customHeight="1">
      <c r="A142" s="20"/>
      <c r="B142" s="59" t="s">
        <v>129</v>
      </c>
      <c r="C142" s="20"/>
      <c r="D142" s="20"/>
      <c r="E142" s="106">
        <f>Input!E189</f>
        <v>50</v>
      </c>
      <c r="F142" s="62" t="s">
        <v>114</v>
      </c>
      <c r="G142" s="20"/>
      <c r="H142" s="20"/>
      <c r="I142" s="20"/>
      <c r="J142" s="114">
        <f>E$142*J$141</f>
        <v>51</v>
      </c>
      <c r="K142" s="114">
        <f>J$142*K$141</f>
        <v>52.02</v>
      </c>
      <c r="L142" s="114">
        <f>K$142*L$141</f>
        <v>53.060400000000001</v>
      </c>
      <c r="M142" s="114">
        <f>L$142*M$141</f>
        <v>54.121608000000002</v>
      </c>
      <c r="N142" s="114">
        <f>M$142*N$141</f>
        <v>55.204040160000005</v>
      </c>
      <c r="O142" s="114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30" ht="13.5" customHeight="1">
      <c r="A143" s="20"/>
      <c r="B143" s="80" t="s">
        <v>135</v>
      </c>
      <c r="C143" s="80"/>
      <c r="D143" s="80"/>
      <c r="E143" s="164">
        <f>Input!E190</f>
        <v>100</v>
      </c>
      <c r="F143" s="124" t="s">
        <v>114</v>
      </c>
      <c r="G143" s="80"/>
      <c r="H143" s="80"/>
      <c r="I143" s="80"/>
      <c r="J143" s="125">
        <f>E$143*J$141</f>
        <v>102</v>
      </c>
      <c r="K143" s="125">
        <f>J$143*K$141</f>
        <v>104.04</v>
      </c>
      <c r="L143" s="125">
        <f>K$143*L$141</f>
        <v>106.1208</v>
      </c>
      <c r="M143" s="125">
        <f>L$143*M$141</f>
        <v>108.243216</v>
      </c>
      <c r="N143" s="125">
        <f>M$143*N$141</f>
        <v>110.40808032000001</v>
      </c>
      <c r="O143" s="114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35" ht="12.75" customHeight="1">
      <c r="A145" s="57"/>
      <c r="B145" s="123" t="s">
        <v>132</v>
      </c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57"/>
      <c r="P145" s="57"/>
    </row>
    <row r="146" spans="1:35" ht="15" customHeight="1">
      <c r="A146" s="20"/>
      <c r="B146" s="59" t="s">
        <v>129</v>
      </c>
      <c r="C146" s="20"/>
      <c r="D146" s="20"/>
      <c r="E146" s="20"/>
      <c r="F146" s="126" t="s">
        <v>134</v>
      </c>
      <c r="G146" s="59">
        <f>SUMIFS(Input!$G$185:$N$185,Input!$G$7:$N$7,Calculation!G$7)</f>
        <v>2</v>
      </c>
      <c r="H146" s="59">
        <f>SUMIFS(Input!$G$185:$N$185,Input!$G$7:$N$7,Calculation!H$7)</f>
        <v>2</v>
      </c>
      <c r="I146" s="59">
        <f>SUMIFS(Input!$G$185:$N$185,Input!$G$7:$N$7,Calculation!I$7)</f>
        <v>2</v>
      </c>
      <c r="J146" s="59">
        <f>SUMIFS(Input!$G$185:$N$185,Input!$G$7:$N$7,Calculation!J$7)</f>
        <v>3</v>
      </c>
      <c r="K146" s="59">
        <f>SUMIFS(Input!$G$185:$N$185,Input!$G$7:$N$7,Calculation!K$7)</f>
        <v>3</v>
      </c>
      <c r="L146" s="59">
        <f>SUMIFS(Input!$G$185:$N$185,Input!$G$7:$N$7,Calculation!L$7)</f>
        <v>3</v>
      </c>
      <c r="M146" s="59">
        <f>SUMIFS(Input!$G$185:$N$185,Input!$G$7:$N$7,Calculation!M$7)</f>
        <v>3</v>
      </c>
      <c r="N146" s="59">
        <f>SUMIFS(Input!$G$185:$N$185,Input!$G$7:$N$7,Calculation!N$7)</f>
        <v>3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spans="1:35" ht="15" customHeight="1">
      <c r="A147" s="20"/>
      <c r="B147" s="80" t="s">
        <v>135</v>
      </c>
      <c r="C147" s="80"/>
      <c r="D147" s="80"/>
      <c r="E147" s="80"/>
      <c r="F147" s="129" t="s">
        <v>134</v>
      </c>
      <c r="G147" s="80">
        <f>SUMIFS(Input!$G$186:$N$186,Input!$G$7:$N$7,Calculation!G$7)</f>
        <v>1</v>
      </c>
      <c r="H147" s="80">
        <f>SUMIFS(Input!$G$186:$N$186,Input!$G$7:$N$7,Calculation!H$7)</f>
        <v>1</v>
      </c>
      <c r="I147" s="80">
        <f>SUMIFS(Input!$G$186:$N$186,Input!$G$7:$N$7,Calculation!I$7)</f>
        <v>1</v>
      </c>
      <c r="J147" s="80">
        <f>SUMIFS(Input!$G$186:$N$186,Input!$G$7:$N$7,Calculation!J$7)</f>
        <v>2</v>
      </c>
      <c r="K147" s="80">
        <f>SUMIFS(Input!$G$186:$N$186,Input!$G$7:$N$7,Calculation!K$7)</f>
        <v>2</v>
      </c>
      <c r="L147" s="80">
        <f>SUMIFS(Input!$G$186:$N$186,Input!$G$7:$N$7,Calculation!L$7)</f>
        <v>2</v>
      </c>
      <c r="M147" s="80">
        <f>SUMIFS(Input!$G$186:$N$186,Input!$G$7:$N$7,Calculation!M$7)</f>
        <v>2</v>
      </c>
      <c r="N147" s="80">
        <f>SUMIFS(Input!$G$186:$N$186,Input!$G$7:$N$7,Calculation!N$7)</f>
        <v>2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spans="1:35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35" ht="15" customHeight="1">
      <c r="A149" s="57"/>
      <c r="B149" s="123" t="s">
        <v>128</v>
      </c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57"/>
      <c r="P149" s="57"/>
    </row>
    <row r="150" spans="1:35" ht="12.75" customHeight="1">
      <c r="A150" s="20"/>
      <c r="B150" s="61" t="s">
        <v>129</v>
      </c>
      <c r="C150" s="20"/>
      <c r="D150" s="20"/>
      <c r="E150" s="20"/>
      <c r="F150" s="62" t="s">
        <v>43</v>
      </c>
      <c r="G150" s="114">
        <f>Input!G181</f>
        <v>100</v>
      </c>
      <c r="H150" s="114">
        <f>Input!H181</f>
        <v>100</v>
      </c>
      <c r="I150" s="114">
        <f>Input!I181</f>
        <v>100</v>
      </c>
      <c r="J150" s="114">
        <f t="shared" ref="J150:N151" si="29">J142*J146</f>
        <v>153</v>
      </c>
      <c r="K150" s="114">
        <f t="shared" si="29"/>
        <v>156.06</v>
      </c>
      <c r="L150" s="114">
        <f t="shared" si="29"/>
        <v>159.18119999999999</v>
      </c>
      <c r="M150" s="114">
        <f t="shared" si="29"/>
        <v>162.364824</v>
      </c>
      <c r="N150" s="114">
        <f t="shared" si="29"/>
        <v>165.61212048000002</v>
      </c>
      <c r="O150" s="114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 spans="1:35" ht="12.75" customHeight="1">
      <c r="A151" s="20"/>
      <c r="B151" s="59" t="s">
        <v>135</v>
      </c>
      <c r="C151" s="20"/>
      <c r="D151" s="20"/>
      <c r="E151" s="20"/>
      <c r="F151" s="62" t="s">
        <v>114</v>
      </c>
      <c r="G151" s="114">
        <f>Input!G182</f>
        <v>100</v>
      </c>
      <c r="H151" s="114">
        <f>Input!H182</f>
        <v>100</v>
      </c>
      <c r="I151" s="114">
        <f>Input!I182</f>
        <v>100</v>
      </c>
      <c r="J151" s="114">
        <f t="shared" si="29"/>
        <v>204</v>
      </c>
      <c r="K151" s="114">
        <f t="shared" si="29"/>
        <v>208.08</v>
      </c>
      <c r="L151" s="114">
        <f t="shared" si="29"/>
        <v>212.24160000000001</v>
      </c>
      <c r="M151" s="114">
        <f t="shared" si="29"/>
        <v>216.48643200000001</v>
      </c>
      <c r="N151" s="114">
        <f t="shared" si="29"/>
        <v>220.81616064000002</v>
      </c>
      <c r="O151" s="114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spans="1:35" ht="12.75" customHeight="1">
      <c r="A152" s="20"/>
      <c r="B152" s="80" t="s">
        <v>191</v>
      </c>
      <c r="C152" s="80"/>
      <c r="D152" s="80"/>
      <c r="E152" s="80"/>
      <c r="F152" s="124" t="s">
        <v>114</v>
      </c>
      <c r="G152" s="125">
        <f t="shared" ref="G152:N152" si="30">SUM(G150:G151)</f>
        <v>200</v>
      </c>
      <c r="H152" s="125">
        <f t="shared" si="30"/>
        <v>200</v>
      </c>
      <c r="I152" s="125">
        <f t="shared" si="30"/>
        <v>200</v>
      </c>
      <c r="J152" s="125">
        <f t="shared" si="30"/>
        <v>357</v>
      </c>
      <c r="K152" s="125">
        <f t="shared" si="30"/>
        <v>364.14</v>
      </c>
      <c r="L152" s="125">
        <f t="shared" si="30"/>
        <v>371.4228</v>
      </c>
      <c r="M152" s="125">
        <f t="shared" si="30"/>
        <v>378.85125600000003</v>
      </c>
      <c r="N152" s="125">
        <f t="shared" si="30"/>
        <v>386.42828112000007</v>
      </c>
      <c r="O152" s="114"/>
      <c r="P152" s="20"/>
    </row>
    <row r="153" spans="1:35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35" ht="12.75" customHeight="1">
      <c r="A154" s="20"/>
      <c r="B154" s="51" t="s">
        <v>192</v>
      </c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</row>
    <row r="155" spans="1:3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35" ht="15" customHeight="1">
      <c r="A156" s="57"/>
      <c r="B156" s="123" t="s">
        <v>144</v>
      </c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57"/>
    </row>
    <row r="157" spans="1:35" ht="13.5" customHeight="1">
      <c r="A157" s="20"/>
      <c r="B157" s="59" t="s">
        <v>145</v>
      </c>
      <c r="C157" s="20"/>
      <c r="D157" s="20"/>
      <c r="E157" s="131">
        <f>Input!E206</f>
        <v>26</v>
      </c>
      <c r="F157" s="62" t="s">
        <v>36</v>
      </c>
      <c r="G157" s="114">
        <f>SUMIFS(Input!$G$206:$N$206,Input!$G$7:$N$7,Calculation!G$7)</f>
        <v>36.4</v>
      </c>
      <c r="H157" s="114">
        <f>SUMIFS(Input!$G$206:$N$206,Input!$G$7:$N$7,Calculation!H$7)</f>
        <v>30.416666666666664</v>
      </c>
      <c r="I157" s="114">
        <f>SUMIFS(Input!$G$206:$N$206,Input!$G$7:$N$7,Calculation!I$7)</f>
        <v>26</v>
      </c>
      <c r="J157" s="114">
        <f>SUMIFS(Input!$G$206:$N$206,Input!$G$7:$N$7,Calculation!J$7)</f>
        <v>26</v>
      </c>
      <c r="K157" s="114">
        <f>SUMIFS(Input!$G$206:$N$206,Input!$G$7:$N$7,Calculation!K$7)</f>
        <v>26</v>
      </c>
      <c r="L157" s="114">
        <f>SUMIFS(Input!$G$206:$N$206,Input!$G$7:$N$7,Calculation!L$7)</f>
        <v>26</v>
      </c>
      <c r="M157" s="114">
        <f>SUMIFS(Input!$G$206:$N$206,Input!$G$7:$N$7,Calculation!M$7)</f>
        <v>26</v>
      </c>
      <c r="N157" s="114">
        <f>SUMIFS(Input!$G$206:$N$206,Input!$G$7:$N$7,Calculation!N$7)</f>
        <v>26</v>
      </c>
      <c r="O157" s="114">
        <f>Input!O206</f>
        <v>26</v>
      </c>
      <c r="P157" s="20"/>
    </row>
    <row r="158" spans="1:35" ht="13.5" customHeight="1">
      <c r="A158" s="20"/>
      <c r="B158" s="59" t="s">
        <v>146</v>
      </c>
      <c r="C158" s="20"/>
      <c r="D158" s="20"/>
      <c r="E158" s="106">
        <f>Input!E207</f>
        <v>60.666666666666664</v>
      </c>
      <c r="F158" s="62" t="s">
        <v>36</v>
      </c>
      <c r="G158" s="114">
        <f>SUMIFS(Input!$G$207:$N$207,Input!$G$7:$N$7,Calculation!G$7)</f>
        <v>60.666666666666664</v>
      </c>
      <c r="H158" s="114">
        <f>SUMIFS(Input!$G$207:$N$207,Input!$G$7:$N$7,Calculation!H$7)</f>
        <v>60.833333333333329</v>
      </c>
      <c r="I158" s="114">
        <f>SUMIFS(Input!$G$207:$N$207,Input!$G$7:$N$7,Calculation!I$7)</f>
        <v>60.666666666666664</v>
      </c>
      <c r="J158" s="114">
        <f>SUMIFS(Input!$G$207:$N$207,Input!$G$7:$N$7,Calculation!J$7)</f>
        <v>60.666666666666664</v>
      </c>
      <c r="K158" s="114">
        <f>SUMIFS(Input!$G$207:$N$207,Input!$G$7:$N$7,Calculation!K$7)</f>
        <v>60.666666666666664</v>
      </c>
      <c r="L158" s="114">
        <f>SUMIFS(Input!$G$207:$N$207,Input!$G$7:$N$7,Calculation!L$7)</f>
        <v>60.666666666666664</v>
      </c>
      <c r="M158" s="114">
        <f>SUMIFS(Input!$G$207:$N$207,Input!$G$7:$N$7,Calculation!M$7)</f>
        <v>60.666666666666664</v>
      </c>
      <c r="N158" s="114">
        <f>SUMIFS(Input!$G$207:$N$207,Input!$G$7:$N$7,Calculation!N$7)</f>
        <v>60.666666666666664</v>
      </c>
      <c r="O158" s="114">
        <f>Input!O207</f>
        <v>60.666666666666664</v>
      </c>
      <c r="P158" s="20"/>
    </row>
    <row r="159" spans="1:35" ht="13.5" customHeight="1">
      <c r="A159" s="20"/>
      <c r="B159" s="80" t="s">
        <v>147</v>
      </c>
      <c r="C159" s="80"/>
      <c r="D159" s="80"/>
      <c r="E159" s="132">
        <f>Input!E208</f>
        <v>121.33333333333333</v>
      </c>
      <c r="F159" s="124" t="s">
        <v>36</v>
      </c>
      <c r="G159" s="125">
        <f>SUMIFS(Input!$G$208:$N$208,Input!$G$7:$N$7,Calculation!G$7)</f>
        <v>121.33333333333333</v>
      </c>
      <c r="H159" s="125">
        <f>SUMIFS(Input!$G$208:$N$208,Input!$G$7:$N$7,Calculation!H$7)</f>
        <v>121.66666666666666</v>
      </c>
      <c r="I159" s="125">
        <f>SUMIFS(Input!$G$208:$N$208,Input!$G$7:$N$7,Calculation!I$7)</f>
        <v>121.33333333333333</v>
      </c>
      <c r="J159" s="125">
        <f>SUMIFS(Input!$G$208:$N$208,Input!$G$7:$N$7,Calculation!J$7)</f>
        <v>121.33333333333333</v>
      </c>
      <c r="K159" s="125">
        <f>SUMIFS(Input!$G$208:$N$208,Input!$G$7:$N$7,Calculation!K$7)</f>
        <v>121.33333333333333</v>
      </c>
      <c r="L159" s="125">
        <f>SUMIFS(Input!$G$208:$N$208,Input!$G$7:$N$7,Calculation!L$7)</f>
        <v>121.33333333333333</v>
      </c>
      <c r="M159" s="125">
        <f>SUMIFS(Input!$G$208:$N$208,Input!$G$7:$N$7,Calculation!M$7)</f>
        <v>121.33333333333333</v>
      </c>
      <c r="N159" s="125">
        <f>SUMIFS(Input!$G$208:$N$208,Input!$G$7:$N$7,Calculation!N$7)</f>
        <v>121.33333333333333</v>
      </c>
      <c r="O159" s="125">
        <f>Input!O208</f>
        <v>121.33333333333333</v>
      </c>
      <c r="P159" s="20"/>
    </row>
    <row r="160" spans="1:35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36" ht="12.75" customHeight="1">
      <c r="A161" s="57"/>
      <c r="B161" s="123" t="s">
        <v>138</v>
      </c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 t="s">
        <v>32</v>
      </c>
      <c r="P161" s="57"/>
    </row>
    <row r="162" spans="1:36" ht="15" customHeight="1">
      <c r="A162" s="20"/>
      <c r="B162" s="133" t="s">
        <v>139</v>
      </c>
      <c r="C162" s="20"/>
      <c r="D162" s="20"/>
      <c r="E162" s="20"/>
      <c r="F162" s="20"/>
      <c r="G162" s="114">
        <f>SUMIFS(Input!$G$195:$N$195,Input!$G$7:$N$7,Calculation!G$7)</f>
        <v>1000</v>
      </c>
      <c r="H162" s="114">
        <f>SUMIFS(Input!$G$195:$N$195,Input!$G$7:$N$7,Calculation!H$7)</f>
        <v>1200</v>
      </c>
      <c r="I162" s="114">
        <f>SUMIFS(Input!$G$195:$N$195,Input!$G$7:$N$7,Calculation!I$7)</f>
        <v>1400</v>
      </c>
      <c r="J162" s="114">
        <f>DCF!J20</f>
        <v>2163</v>
      </c>
      <c r="K162" s="114">
        <f>DCF!K20</f>
        <v>2227.8900000000003</v>
      </c>
      <c r="L162" s="114">
        <f>DCF!L20</f>
        <v>2294.7266999999997</v>
      </c>
      <c r="M162" s="114">
        <f>DCF!M20</f>
        <v>2363.5685010000002</v>
      </c>
      <c r="N162" s="114">
        <f>DCF!N20</f>
        <v>2434.47555603</v>
      </c>
      <c r="O162" s="114">
        <f>DCF!O20</f>
        <v>2458.8203115903002</v>
      </c>
      <c r="P162" s="20"/>
    </row>
    <row r="163" spans="1:36" ht="15" customHeight="1">
      <c r="A163" s="20"/>
      <c r="B163" s="133" t="s">
        <v>52</v>
      </c>
      <c r="C163" s="20"/>
      <c r="D163" s="20"/>
      <c r="E163" s="20"/>
      <c r="F163" s="20"/>
      <c r="G163" s="114">
        <f>SUMIFS(Input!$G$196:$N$196,Input!$G$7:$N$7,Calculation!G$7)</f>
        <v>600</v>
      </c>
      <c r="H163" s="114">
        <f>SUMIFS(Input!$G$196:$N$196,Input!$G$7:$N$7,Calculation!H$7)</f>
        <v>600</v>
      </c>
      <c r="I163" s="114">
        <f>SUMIFS(Input!$G$196:$N$196,Input!$G$7:$N$7,Calculation!I$7)</f>
        <v>600</v>
      </c>
      <c r="J163" s="114">
        <f>DCF!J22</f>
        <v>948.68333333333328</v>
      </c>
      <c r="K163" s="114">
        <f>DCF!K22</f>
        <v>969.49383333333344</v>
      </c>
      <c r="L163" s="114">
        <f>DCF!L22</f>
        <v>990.77564833333327</v>
      </c>
      <c r="M163" s="114">
        <f>DCF!M22</f>
        <v>1012.5398577833334</v>
      </c>
      <c r="N163" s="114">
        <f>DCF!N22</f>
        <v>1034.7978123168332</v>
      </c>
      <c r="O163" s="114">
        <f>DCF!O22</f>
        <v>1045.1457904400015</v>
      </c>
      <c r="P163" s="20"/>
    </row>
    <row r="164" spans="1:36" ht="15" customHeight="1">
      <c r="A164" s="20"/>
      <c r="B164" s="59" t="s">
        <v>140</v>
      </c>
      <c r="C164" s="20"/>
      <c r="D164" s="20"/>
      <c r="E164" s="20"/>
      <c r="F164" s="20"/>
      <c r="G164" s="69">
        <f t="shared" ref="G164:O164" si="31">SUM(G165:G166)</f>
        <v>200</v>
      </c>
      <c r="H164" s="69">
        <f t="shared" si="31"/>
        <v>200</v>
      </c>
      <c r="I164" s="69">
        <f t="shared" si="31"/>
        <v>200</v>
      </c>
      <c r="J164" s="69">
        <f t="shared" si="31"/>
        <v>312.61388888888888</v>
      </c>
      <c r="K164" s="69">
        <f t="shared" si="31"/>
        <v>320.71730555555558</v>
      </c>
      <c r="L164" s="69">
        <f t="shared" si="31"/>
        <v>328.13684985996952</v>
      </c>
      <c r="M164" s="69">
        <f t="shared" si="31"/>
        <v>337.58296446388886</v>
      </c>
      <c r="N164" s="69">
        <f t="shared" si="31"/>
        <v>346.3574131978055</v>
      </c>
      <c r="O164" s="69">
        <f t="shared" si="31"/>
        <v>348.86257366586636</v>
      </c>
      <c r="P164" s="20"/>
    </row>
    <row r="165" spans="1:36" ht="15" customHeight="1">
      <c r="A165" s="20"/>
      <c r="B165" s="82" t="s">
        <v>78</v>
      </c>
      <c r="C165" s="20"/>
      <c r="D165" s="20"/>
      <c r="E165" s="20"/>
      <c r="F165" s="20"/>
      <c r="G165" s="114">
        <f>SUMIFS(Input!$G$198:$N$198,Input!$G$7:$N$7,Calculation!G$7)</f>
        <v>100</v>
      </c>
      <c r="H165" s="114">
        <f>SUMIFS(Input!$G$198:$N$198,Input!$G$7:$N$7,Calculation!H$7)</f>
        <v>100</v>
      </c>
      <c r="I165" s="114">
        <f>SUMIFS(Input!$G$198:$N$198,Input!$G$7:$N$7,Calculation!I$7)</f>
        <v>100</v>
      </c>
      <c r="J165" s="114">
        <f t="shared" ref="J165:N166" si="32">J162/J$11*$E157</f>
        <v>154.5</v>
      </c>
      <c r="K165" s="114">
        <f t="shared" si="32"/>
        <v>159.13500000000002</v>
      </c>
      <c r="L165" s="114">
        <f t="shared" si="32"/>
        <v>163.45998410958902</v>
      </c>
      <c r="M165" s="114">
        <f t="shared" si="32"/>
        <v>168.82632150000001</v>
      </c>
      <c r="N165" s="114">
        <f t="shared" si="32"/>
        <v>173.891111145</v>
      </c>
      <c r="O165" s="114">
        <f>O162/365*$E157</f>
        <v>175.14884411328165</v>
      </c>
      <c r="P165" s="20"/>
    </row>
    <row r="166" spans="1:36" ht="15" customHeight="1">
      <c r="A166" s="20"/>
      <c r="B166" s="82" t="s">
        <v>79</v>
      </c>
      <c r="C166" s="20"/>
      <c r="D166" s="20"/>
      <c r="E166" s="20"/>
      <c r="F166" s="20"/>
      <c r="G166" s="114">
        <f>SUMIFS(Input!$G$199:$N$199,Input!$G$7:$N$7,Calculation!G$7)</f>
        <v>100</v>
      </c>
      <c r="H166" s="114">
        <f>SUMIFS(Input!$G$199:$N$199,Input!$G$7:$N$7,Calculation!H$7)</f>
        <v>100</v>
      </c>
      <c r="I166" s="114">
        <f>SUMIFS(Input!$G$199:$N$199,Input!$G$7:$N$7,Calculation!I$7)</f>
        <v>100</v>
      </c>
      <c r="J166" s="114">
        <f t="shared" si="32"/>
        <v>158.11388888888888</v>
      </c>
      <c r="K166" s="114">
        <f t="shared" si="32"/>
        <v>161.58230555555556</v>
      </c>
      <c r="L166" s="114">
        <f t="shared" si="32"/>
        <v>164.6768657503805</v>
      </c>
      <c r="M166" s="114">
        <f t="shared" si="32"/>
        <v>168.75664296388888</v>
      </c>
      <c r="N166" s="114">
        <f t="shared" si="32"/>
        <v>172.46630205280553</v>
      </c>
      <c r="O166" s="114">
        <f>O163/365*$E158</f>
        <v>173.71372955258471</v>
      </c>
      <c r="P166" s="20"/>
    </row>
    <row r="167" spans="1:36" ht="15" customHeight="1">
      <c r="A167" s="20"/>
      <c r="B167" s="59" t="s">
        <v>141</v>
      </c>
      <c r="C167" s="20"/>
      <c r="D167" s="20"/>
      <c r="E167" s="20"/>
      <c r="F167" s="20"/>
      <c r="G167" s="69">
        <f t="shared" ref="G167:O167" si="33">SUM(G168)</f>
        <v>200</v>
      </c>
      <c r="H167" s="69">
        <f t="shared" si="33"/>
        <v>200</v>
      </c>
      <c r="I167" s="69">
        <f t="shared" si="33"/>
        <v>200</v>
      </c>
      <c r="J167" s="69">
        <f t="shared" si="33"/>
        <v>316.22777777777776</v>
      </c>
      <c r="K167" s="69">
        <f t="shared" si="33"/>
        <v>323.16461111111113</v>
      </c>
      <c r="L167" s="69">
        <f t="shared" si="33"/>
        <v>329.353731500761</v>
      </c>
      <c r="M167" s="69">
        <f t="shared" si="33"/>
        <v>337.51328592777776</v>
      </c>
      <c r="N167" s="69">
        <f t="shared" si="33"/>
        <v>344.93260410561106</v>
      </c>
      <c r="O167" s="69">
        <f t="shared" si="33"/>
        <v>347.42745910516942</v>
      </c>
      <c r="P167" s="20"/>
    </row>
    <row r="168" spans="1:36" ht="15" customHeight="1">
      <c r="A168" s="20"/>
      <c r="B168" s="82" t="s">
        <v>89</v>
      </c>
      <c r="C168" s="20"/>
      <c r="D168" s="20"/>
      <c r="E168" s="20"/>
      <c r="F168" s="20"/>
      <c r="G168" s="114">
        <f>SUMIFS(Input!$G$201:$N$201,Input!$G$7:$N$7,Calculation!G$7)</f>
        <v>200</v>
      </c>
      <c r="H168" s="114">
        <f>SUMIFS(Input!$G$201:$N$201,Input!$G$7:$N$7,Calculation!H$7)</f>
        <v>200</v>
      </c>
      <c r="I168" s="114">
        <f>SUMIFS(Input!$G$201:$N$201,Input!$G$7:$N$7,Calculation!I$7)</f>
        <v>200</v>
      </c>
      <c r="J168" s="114">
        <f>J163/J$11*$E159</f>
        <v>316.22777777777776</v>
      </c>
      <c r="K168" s="114">
        <f>K163/K$11*$E159</f>
        <v>323.16461111111113</v>
      </c>
      <c r="L168" s="114">
        <f>L163/L$11*$E159</f>
        <v>329.353731500761</v>
      </c>
      <c r="M168" s="114">
        <f>M163/M$11*$E159</f>
        <v>337.51328592777776</v>
      </c>
      <c r="N168" s="114">
        <f>N163/N$11*$E159</f>
        <v>344.93260410561106</v>
      </c>
      <c r="O168" s="114">
        <f>O163/365*$E159</f>
        <v>347.42745910516942</v>
      </c>
      <c r="P168" s="20"/>
    </row>
    <row r="169" spans="1:36" ht="15" customHeight="1">
      <c r="A169" s="20"/>
      <c r="B169" s="59" t="s">
        <v>142</v>
      </c>
      <c r="C169" s="20"/>
      <c r="D169" s="20"/>
      <c r="E169" s="20"/>
      <c r="F169" s="20"/>
      <c r="G169" s="69">
        <f t="shared" ref="G169:O169" si="34">G164-G167</f>
        <v>0</v>
      </c>
      <c r="H169" s="69">
        <f t="shared" si="34"/>
        <v>0</v>
      </c>
      <c r="I169" s="69">
        <f t="shared" si="34"/>
        <v>0</v>
      </c>
      <c r="J169" s="69">
        <f t="shared" si="34"/>
        <v>-3.61388888888888</v>
      </c>
      <c r="K169" s="69">
        <f t="shared" si="34"/>
        <v>-2.4473055555555447</v>
      </c>
      <c r="L169" s="69">
        <f t="shared" si="34"/>
        <v>-1.2168816407914846</v>
      </c>
      <c r="M169" s="69">
        <f t="shared" si="34"/>
        <v>6.967853611109831E-2</v>
      </c>
      <c r="N169" s="69">
        <f t="shared" si="34"/>
        <v>1.4248090921944367</v>
      </c>
      <c r="O169" s="69">
        <f t="shared" si="34"/>
        <v>1.4351145606969453</v>
      </c>
      <c r="P169" s="20"/>
    </row>
    <row r="170" spans="1:36" ht="12.75" customHeight="1">
      <c r="A170" s="20"/>
      <c r="B170" s="80" t="s">
        <v>143</v>
      </c>
      <c r="C170" s="80"/>
      <c r="D170" s="80"/>
      <c r="E170" s="80"/>
      <c r="F170" s="80"/>
      <c r="G170" s="80"/>
      <c r="H170" s="125">
        <f t="shared" ref="H170:O170" si="35">-H169-G169</f>
        <v>0</v>
      </c>
      <c r="I170" s="125">
        <f t="shared" si="35"/>
        <v>0</v>
      </c>
      <c r="J170" s="125">
        <f t="shared" si="35"/>
        <v>3.61388888888888</v>
      </c>
      <c r="K170" s="125">
        <f t="shared" si="35"/>
        <v>6.0611944444444248</v>
      </c>
      <c r="L170" s="125">
        <f t="shared" si="35"/>
        <v>3.6641871963470294</v>
      </c>
      <c r="M170" s="125">
        <f t="shared" si="35"/>
        <v>1.1472031046803863</v>
      </c>
      <c r="N170" s="125">
        <f t="shared" si="35"/>
        <v>-1.4944876283055351</v>
      </c>
      <c r="O170" s="125">
        <f t="shared" si="35"/>
        <v>-2.8599236528913821</v>
      </c>
      <c r="P170" s="20"/>
    </row>
    <row r="171" spans="1:36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36" ht="12.75" customHeight="1">
      <c r="A172" s="20"/>
      <c r="B172" s="51" t="s">
        <v>193</v>
      </c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</row>
    <row r="173" spans="1:36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36" ht="15" customHeight="1">
      <c r="A174" s="57"/>
      <c r="B174" s="123" t="s">
        <v>149</v>
      </c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57"/>
      <c r="P174" s="57"/>
    </row>
    <row r="175" spans="1:36" ht="15" customHeight="1">
      <c r="A175" s="20"/>
      <c r="B175" s="112" t="s">
        <v>194</v>
      </c>
      <c r="C175" s="20"/>
      <c r="D175" s="20"/>
      <c r="E175" s="20"/>
      <c r="F175" s="20"/>
      <c r="G175" s="20"/>
      <c r="H175" s="20"/>
      <c r="I175" s="114">
        <f>Input!I57</f>
        <v>50</v>
      </c>
      <c r="J175" s="136">
        <f>DCF!J87</f>
        <v>542.4894888888889</v>
      </c>
      <c r="K175" s="136">
        <f>DCF!K87</f>
        <v>1097.7437615555557</v>
      </c>
      <c r="L175" s="136">
        <f>DCF!L87</f>
        <v>1663.0023475607913</v>
      </c>
      <c r="M175" s="136">
        <f>DCF!M87</f>
        <v>2238.812678375456</v>
      </c>
      <c r="N175" s="136">
        <f>DCF!N87</f>
        <v>2825.7357779286776</v>
      </c>
      <c r="O175" s="114"/>
      <c r="P175" s="20"/>
    </row>
    <row r="176" spans="1:36" ht="15" customHeight="1">
      <c r="A176" s="20"/>
      <c r="B176" s="112" t="s">
        <v>150</v>
      </c>
      <c r="C176" s="20"/>
      <c r="D176" s="20"/>
      <c r="E176" s="165">
        <f>Input!E213</f>
        <v>0.02</v>
      </c>
      <c r="F176" s="62" t="s">
        <v>43</v>
      </c>
      <c r="G176" s="20"/>
      <c r="H176" s="20"/>
      <c r="I176" s="20"/>
      <c r="J176" s="166">
        <f>$E176</f>
        <v>0.02</v>
      </c>
      <c r="K176" s="166">
        <f>J176</f>
        <v>0.02</v>
      </c>
      <c r="L176" s="166">
        <f>K176</f>
        <v>0.02</v>
      </c>
      <c r="M176" s="166">
        <f>L176</f>
        <v>0.02</v>
      </c>
      <c r="N176" s="166">
        <f>M176</f>
        <v>0.02</v>
      </c>
      <c r="O176" s="113"/>
      <c r="P176" s="20"/>
    </row>
    <row r="177" spans="1:16" ht="15" customHeight="1">
      <c r="A177" s="20"/>
      <c r="B177" s="112" t="s">
        <v>68</v>
      </c>
      <c r="C177" s="20"/>
      <c r="D177" s="20"/>
      <c r="E177" s="20"/>
      <c r="F177" s="20"/>
      <c r="G177" s="20"/>
      <c r="H177" s="20"/>
      <c r="I177" s="20"/>
      <c r="J177" s="59">
        <f>I175*J176</f>
        <v>1</v>
      </c>
      <c r="K177" s="114">
        <f>J175*K176</f>
        <v>10.849789777777778</v>
      </c>
      <c r="L177" s="114">
        <f>K175*L176</f>
        <v>21.954875231111114</v>
      </c>
      <c r="M177" s="114">
        <f>L175*M176</f>
        <v>33.260046951215827</v>
      </c>
      <c r="N177" s="114">
        <f>M175*N176</f>
        <v>44.776253567509123</v>
      </c>
      <c r="O177" s="114"/>
      <c r="P177" s="20"/>
    </row>
    <row r="178" spans="1:16" ht="15" customHeight="1">
      <c r="A178" s="20"/>
      <c r="B178" s="135" t="s">
        <v>195</v>
      </c>
      <c r="C178" s="80"/>
      <c r="D178" s="80"/>
      <c r="E178" s="132">
        <f>Input!E214</f>
        <v>10</v>
      </c>
      <c r="F178" s="124" t="s">
        <v>114</v>
      </c>
      <c r="G178" s="80"/>
      <c r="H178" s="80"/>
      <c r="I178" s="80"/>
      <c r="J178" s="125">
        <f>E178</f>
        <v>10</v>
      </c>
      <c r="K178" s="125">
        <f>J178</f>
        <v>10</v>
      </c>
      <c r="L178" s="125">
        <f>K178</f>
        <v>10</v>
      </c>
      <c r="M178" s="125">
        <f>L178</f>
        <v>10</v>
      </c>
      <c r="N178" s="125">
        <f>M178</f>
        <v>10</v>
      </c>
      <c r="O178" s="20"/>
      <c r="P178" s="20"/>
    </row>
    <row r="179" spans="1:16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6" ht="15" customHeight="1">
      <c r="A180" s="57"/>
      <c r="B180" s="123" t="s">
        <v>151</v>
      </c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57"/>
      <c r="P180" s="57"/>
    </row>
    <row r="181" spans="1:16" ht="15" customHeight="1">
      <c r="A181" s="20"/>
      <c r="B181" s="112" t="s">
        <v>71</v>
      </c>
      <c r="C181" s="20"/>
      <c r="D181" s="20"/>
      <c r="E181" s="165">
        <f>Input!E217</f>
        <v>0.1</v>
      </c>
      <c r="F181" s="62" t="s">
        <v>43</v>
      </c>
      <c r="G181" s="20"/>
      <c r="H181" s="20"/>
      <c r="I181" s="20"/>
      <c r="J181" s="136">
        <f>$E$181*AVERAGE(J185,J188)+$E$181*AVERAGE(J191,J194)+$E$181*AVERAGE(J197,J200)</f>
        <v>27.5</v>
      </c>
      <c r="K181" s="141">
        <f>$E$181*AVERAGE(K185,K188)+$E$181*AVERAGE(K191,K194)+$E$181*AVERAGE(K197,K200)</f>
        <v>25</v>
      </c>
      <c r="L181" s="141">
        <f>$E$181*AVERAGE(L185,L188)+$E$181*AVERAGE(L191,L194)+$E$181*AVERAGE(L197,L200)</f>
        <v>25</v>
      </c>
      <c r="M181" s="141">
        <f>$E$181*AVERAGE(M185,M188)+$E$181*AVERAGE(M191,M194)+$E$181*AVERAGE(M197,M200)</f>
        <v>25</v>
      </c>
      <c r="N181" s="141">
        <f>$E$181*AVERAGE(N185,N188)+$E$181*AVERAGE(N191,N194)+$E$181*AVERAGE(N197,N200)</f>
        <v>25</v>
      </c>
      <c r="O181" s="20"/>
      <c r="P181" s="20"/>
    </row>
    <row r="182" spans="1:16" ht="15" customHeight="1">
      <c r="A182" s="20"/>
      <c r="B182" s="135" t="s">
        <v>196</v>
      </c>
      <c r="C182" s="80"/>
      <c r="D182" s="80"/>
      <c r="E182" s="132">
        <f>Input!E218</f>
        <v>10</v>
      </c>
      <c r="F182" s="124" t="s">
        <v>114</v>
      </c>
      <c r="G182" s="80"/>
      <c r="H182" s="80"/>
      <c r="I182" s="80"/>
      <c r="J182" s="136">
        <f>E182</f>
        <v>10</v>
      </c>
      <c r="K182" s="136">
        <f>J182</f>
        <v>10</v>
      </c>
      <c r="L182" s="136">
        <f>K182</f>
        <v>10</v>
      </c>
      <c r="M182" s="136">
        <f>L182</f>
        <v>10</v>
      </c>
      <c r="N182" s="136">
        <f>M182</f>
        <v>10</v>
      </c>
      <c r="O182" s="20"/>
      <c r="P182" s="20"/>
    </row>
    <row r="183" spans="1:16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6" ht="15" customHeight="1">
      <c r="A184" s="57"/>
      <c r="B184" s="137" t="s">
        <v>152</v>
      </c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57"/>
      <c r="P184" s="57"/>
    </row>
    <row r="185" spans="1:16" ht="15" customHeight="1">
      <c r="A185" s="20"/>
      <c r="B185" s="112" t="s">
        <v>153</v>
      </c>
      <c r="C185" s="20"/>
      <c r="D185" s="20"/>
      <c r="E185" s="20"/>
      <c r="F185" s="20"/>
      <c r="G185" s="114">
        <f>SUMIFS(Input!$G$221:$N$221,Input!$G$7:$N$7,Calculation!G$7)</f>
        <v>0</v>
      </c>
      <c r="H185" s="114">
        <f>SUMIFS(Input!$G$221:$N$221,Input!$G$7:$N$7,Calculation!H$7)</f>
        <v>100</v>
      </c>
      <c r="I185" s="114">
        <f>SUMIFS(Input!$G$221:$N$221,Input!$G$7:$N$7,Calculation!I$7)</f>
        <v>100</v>
      </c>
      <c r="J185" s="114">
        <f>SUMIFS(Input!$G$221:$N$221,Input!$G$7:$N$7,Calculation!J$7)</f>
        <v>100</v>
      </c>
      <c r="K185" s="114">
        <f>SUMIFS(Input!$G$221:$N$221,Input!$G$7:$N$7,Calculation!K$7)</f>
        <v>50</v>
      </c>
      <c r="L185" s="114">
        <f>SUMIFS(Input!$G$221:$N$221,Input!$G$7:$N$7,Calculation!L$7)</f>
        <v>50</v>
      </c>
      <c r="M185" s="114">
        <f>SUMIFS(Input!$G$221:$N$221,Input!$G$7:$N$7,Calculation!M$7)</f>
        <v>50</v>
      </c>
      <c r="N185" s="114">
        <f>SUMIFS(Input!$G$221:$N$221,Input!$G$7:$N$7,Calculation!N$7)</f>
        <v>50</v>
      </c>
      <c r="O185" s="114"/>
      <c r="P185" s="20"/>
    </row>
    <row r="186" spans="1:16" ht="15" customHeight="1">
      <c r="A186" s="20"/>
      <c r="B186" s="138" t="s">
        <v>154</v>
      </c>
      <c r="C186" s="20"/>
      <c r="D186" s="20"/>
      <c r="E186" s="20"/>
      <c r="F186" s="20"/>
      <c r="G186" s="114">
        <f>SUMIFS(Input!$G$222:$N$222,Input!$G$7:$N$7,Calculation!G$7)</f>
        <v>0</v>
      </c>
      <c r="H186" s="114">
        <f>SUMIFS(Input!$G$222:$N$222,Input!$G$7:$N$7,Calculation!H$7)</f>
        <v>0</v>
      </c>
      <c r="I186" s="114">
        <f>SUMIFS(Input!$G$222:$N$222,Input!$G$7:$N$7,Calculation!I$7)</f>
        <v>0</v>
      </c>
      <c r="J186" s="114">
        <f>SUMIFS(Input!$G$222:$N$222,Input!$G$7:$N$7,Calculation!J$7)</f>
        <v>0</v>
      </c>
      <c r="K186" s="114">
        <f>SUMIFS(Input!$G$222:$N$222,Input!$G$7:$N$7,Calculation!K$7)</f>
        <v>0</v>
      </c>
      <c r="L186" s="114">
        <f>SUMIFS(Input!$G$222:$N$222,Input!$G$7:$N$7,Calculation!L$7)</f>
        <v>0</v>
      </c>
      <c r="M186" s="114">
        <f>SUMIFS(Input!$G$222:$N$222,Input!$G$7:$N$7,Calculation!M$7)</f>
        <v>0</v>
      </c>
      <c r="N186" s="114">
        <f>SUMIFS(Input!$G$222:$N$222,Input!$G$7:$N$7,Calculation!N$7)</f>
        <v>0</v>
      </c>
      <c r="O186" s="114"/>
      <c r="P186" s="20"/>
    </row>
    <row r="187" spans="1:16" ht="15" customHeight="1">
      <c r="A187" s="20"/>
      <c r="B187" s="138" t="s">
        <v>155</v>
      </c>
      <c r="C187" s="20"/>
      <c r="D187" s="20"/>
      <c r="E187" s="20"/>
      <c r="F187" s="20"/>
      <c r="G187" s="114">
        <f>SUMIFS(Input!$G$223:$N$223,Input!$G$7:$N$7,Calculation!G$7)</f>
        <v>0</v>
      </c>
      <c r="H187" s="114">
        <f>SUMIFS(Input!$G$223:$N$223,Input!$G$7:$N$7,Calculation!H$7)</f>
        <v>0</v>
      </c>
      <c r="I187" s="114">
        <f>SUMIFS(Input!$G$223:$N$223,Input!$G$7:$N$7,Calculation!I$7)</f>
        <v>0</v>
      </c>
      <c r="J187" s="114">
        <f>SUMIFS(Input!$G$223:$N$223,Input!$G$7:$N$7,Calculation!J$7)</f>
        <v>50</v>
      </c>
      <c r="K187" s="114">
        <f>SUMIFS(Input!$G$223:$N$223,Input!$G$7:$N$7,Calculation!K$7)</f>
        <v>0</v>
      </c>
      <c r="L187" s="114">
        <f>SUMIFS(Input!$G$223:$N$223,Input!$G$7:$N$7,Calculation!L$7)</f>
        <v>0</v>
      </c>
      <c r="M187" s="114">
        <f>SUMIFS(Input!$G$223:$N$223,Input!$G$7:$N$7,Calculation!M$7)</f>
        <v>0</v>
      </c>
      <c r="N187" s="114">
        <f>SUMIFS(Input!$G$223:$N$223,Input!$G$7:$N$7,Calculation!N$7)</f>
        <v>0</v>
      </c>
      <c r="O187" s="114"/>
      <c r="P187" s="20"/>
    </row>
    <row r="188" spans="1:16" ht="15" customHeight="1">
      <c r="A188" s="20"/>
      <c r="B188" s="135" t="s">
        <v>156</v>
      </c>
      <c r="C188" s="80"/>
      <c r="D188" s="80"/>
      <c r="E188" s="80"/>
      <c r="F188" s="80"/>
      <c r="G188" s="125">
        <f>SUMIFS(Input!$G$224:$N$224,Input!$G$7:$N$7,Calculation!G$7)</f>
        <v>100</v>
      </c>
      <c r="H188" s="125">
        <f>SUMIFS(Input!$G$224:$N$224,Input!$G$7:$N$7,Calculation!H$7)</f>
        <v>100</v>
      </c>
      <c r="I188" s="125">
        <f>SUMIFS(Input!$G$224:$N$224,Input!$G$7:$N$7,Calculation!I$7)</f>
        <v>100</v>
      </c>
      <c r="J188" s="125">
        <f>SUMIFS(Input!$G$224:$N$224,Input!$G$7:$N$7,Calculation!J$7)</f>
        <v>50</v>
      </c>
      <c r="K188" s="125">
        <f>SUMIFS(Input!$G$224:$N$224,Input!$G$7:$N$7,Calculation!K$7)</f>
        <v>50</v>
      </c>
      <c r="L188" s="125">
        <f>SUMIFS(Input!$G$224:$N$224,Input!$G$7:$N$7,Calculation!L$7)</f>
        <v>50</v>
      </c>
      <c r="M188" s="125">
        <f>SUMIFS(Input!$G$224:$N$224,Input!$G$7:$N$7,Calculation!M$7)</f>
        <v>50</v>
      </c>
      <c r="N188" s="125">
        <f>SUMIFS(Input!$G$224:$N$224,Input!$G$7:$N$7,Calculation!N$7)</f>
        <v>50</v>
      </c>
      <c r="O188" s="114"/>
      <c r="P188" s="20"/>
    </row>
    <row r="189" spans="1:16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6" ht="15" customHeight="1">
      <c r="A190" s="57"/>
      <c r="B190" s="137" t="s">
        <v>157</v>
      </c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57"/>
      <c r="P190" s="57"/>
    </row>
    <row r="191" spans="1:16" ht="15" customHeight="1">
      <c r="A191" s="20"/>
      <c r="B191" s="112" t="s">
        <v>153</v>
      </c>
      <c r="C191" s="20"/>
      <c r="D191" s="20"/>
      <c r="E191" s="20"/>
      <c r="F191" s="20"/>
      <c r="G191" s="114">
        <f>SUMIFS(Input!$G$227:$N$227,Input!$G$7:$N$7,Calculation!G$7)</f>
        <v>0</v>
      </c>
      <c r="H191" s="114">
        <f>SUMIFS(Input!$G$227:$N$227,Input!$G$7:$N$7,Calculation!H$7)</f>
        <v>200</v>
      </c>
      <c r="I191" s="114">
        <f>SUMIFS(Input!$G$227:$N$227,Input!$G$7:$N$7,Calculation!I$7)</f>
        <v>200</v>
      </c>
      <c r="J191" s="114">
        <f>SUMIFS(Input!$G$227:$N$227,Input!$G$7:$N$7,Calculation!J$7)</f>
        <v>200</v>
      </c>
      <c r="K191" s="114">
        <f>SUMIFS(Input!$G$227:$N$227,Input!$G$7:$N$7,Calculation!K$7)</f>
        <v>200</v>
      </c>
      <c r="L191" s="114">
        <f>SUMIFS(Input!$G$227:$N$227,Input!$G$7:$N$7,Calculation!L$7)</f>
        <v>200</v>
      </c>
      <c r="M191" s="114">
        <f>SUMIFS(Input!$G$227:$N$227,Input!$G$7:$N$7,Calculation!M$7)</f>
        <v>200</v>
      </c>
      <c r="N191" s="114">
        <f>SUMIFS(Input!$G$227:$N$227,Input!$G$7:$N$7,Calculation!N$7)</f>
        <v>200</v>
      </c>
      <c r="O191" s="114"/>
      <c r="P191" s="20"/>
    </row>
    <row r="192" spans="1:16" ht="15" customHeight="1">
      <c r="A192" s="20"/>
      <c r="B192" s="138" t="s">
        <v>154</v>
      </c>
      <c r="C192" s="20"/>
      <c r="D192" s="20"/>
      <c r="E192" s="20"/>
      <c r="F192" s="20"/>
      <c r="G192" s="114">
        <f>SUMIFS(Input!$G$228:$N$228,Input!$G$7:$N$7,Calculation!G$7)</f>
        <v>0</v>
      </c>
      <c r="H192" s="114">
        <f>SUMIFS(Input!$G$228:$N$228,Input!$G$7:$N$7,Calculation!H$7)</f>
        <v>0</v>
      </c>
      <c r="I192" s="114">
        <f>SUMIFS(Input!$G$228:$N$228,Input!$G$7:$N$7,Calculation!I$7)</f>
        <v>0</v>
      </c>
      <c r="J192" s="114">
        <f>SUMIFS(Input!$G$228:$N$228,Input!$G$7:$N$7,Calculation!J$7)</f>
        <v>0</v>
      </c>
      <c r="K192" s="114">
        <f>SUMIFS(Input!$G$228:$N$228,Input!$G$7:$N$7,Calculation!K$7)</f>
        <v>0</v>
      </c>
      <c r="L192" s="114">
        <f>SUMIFS(Input!$G$228:$N$228,Input!$G$7:$N$7,Calculation!L$7)</f>
        <v>0</v>
      </c>
      <c r="M192" s="114">
        <f>SUMIFS(Input!$G$228:$N$228,Input!$G$7:$N$7,Calculation!M$7)</f>
        <v>0</v>
      </c>
      <c r="N192" s="114">
        <f>SUMIFS(Input!$G$228:$N$228,Input!$G$7:$N$7,Calculation!N$7)</f>
        <v>0</v>
      </c>
      <c r="O192" s="114"/>
      <c r="P192" s="20"/>
    </row>
    <row r="193" spans="1:16" ht="15" customHeight="1">
      <c r="A193" s="20"/>
      <c r="B193" s="138" t="s">
        <v>155</v>
      </c>
      <c r="C193" s="20"/>
      <c r="D193" s="20"/>
      <c r="E193" s="20"/>
      <c r="F193" s="20"/>
      <c r="G193" s="114">
        <f>SUMIFS(Input!$G$229:$N$229,Input!$G$7:$N$7,Calculation!G$7)</f>
        <v>0</v>
      </c>
      <c r="H193" s="114">
        <f>SUMIFS(Input!$G$229:$N$229,Input!$G$7:$N$7,Calculation!H$7)</f>
        <v>0</v>
      </c>
      <c r="I193" s="114">
        <f>SUMIFS(Input!$G$229:$N$229,Input!$G$7:$N$7,Calculation!I$7)</f>
        <v>0</v>
      </c>
      <c r="J193" s="114">
        <f>SUMIFS(Input!$G$229:$N$229,Input!$G$7:$N$7,Calculation!J$7)</f>
        <v>0</v>
      </c>
      <c r="K193" s="114">
        <f>SUMIFS(Input!$G$229:$N$229,Input!$G$7:$N$7,Calculation!K$7)</f>
        <v>0</v>
      </c>
      <c r="L193" s="114">
        <f>SUMIFS(Input!$G$229:$N$229,Input!$G$7:$N$7,Calculation!L$7)</f>
        <v>0</v>
      </c>
      <c r="M193" s="114">
        <f>SUMIFS(Input!$G$229:$N$229,Input!$G$7:$N$7,Calculation!M$7)</f>
        <v>0</v>
      </c>
      <c r="N193" s="114">
        <f>SUMIFS(Input!$G$229:$N$229,Input!$G$7:$N$7,Calculation!N$7)</f>
        <v>0</v>
      </c>
      <c r="O193" s="114"/>
      <c r="P193" s="20"/>
    </row>
    <row r="194" spans="1:16" ht="15" customHeight="1">
      <c r="A194" s="20"/>
      <c r="B194" s="135" t="s">
        <v>156</v>
      </c>
      <c r="C194" s="80"/>
      <c r="D194" s="80"/>
      <c r="E194" s="80"/>
      <c r="F194" s="80"/>
      <c r="G194" s="125">
        <f>SUMIFS(Input!$G$230:$N$230,Input!$G$7:$N$7,Calculation!G$7)</f>
        <v>200</v>
      </c>
      <c r="H194" s="125">
        <f>SUMIFS(Input!$G$230:$N$230,Input!$G$7:$N$7,Calculation!H$7)</f>
        <v>200</v>
      </c>
      <c r="I194" s="125">
        <f>SUMIFS(Input!$G$230:$N$230,Input!$G$7:$N$7,Calculation!I$7)</f>
        <v>200</v>
      </c>
      <c r="J194" s="125">
        <f>SUMIFS(Input!$G$230:$N$230,Input!$G$7:$N$7,Calculation!J$7)</f>
        <v>200</v>
      </c>
      <c r="K194" s="125">
        <f>SUMIFS(Input!$G$230:$N$230,Input!$G$7:$N$7,Calculation!K$7)</f>
        <v>200</v>
      </c>
      <c r="L194" s="125">
        <f>SUMIFS(Input!$G$230:$N$230,Input!$G$7:$N$7,Calculation!L$7)</f>
        <v>200</v>
      </c>
      <c r="M194" s="125">
        <f>SUMIFS(Input!$G$230:$N$230,Input!$G$7:$N$7,Calculation!M$7)</f>
        <v>200</v>
      </c>
      <c r="N194" s="125">
        <f>SUMIFS(Input!$G$230:$N$230,Input!$G$7:$N$7,Calculation!N$7)</f>
        <v>200</v>
      </c>
      <c r="O194" s="114"/>
      <c r="P194" s="20"/>
    </row>
    <row r="195" spans="1:16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6" ht="15" customHeight="1">
      <c r="A196" s="57"/>
      <c r="B196" s="137" t="s">
        <v>158</v>
      </c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57"/>
      <c r="P196" s="57"/>
    </row>
    <row r="197" spans="1:16" ht="15" customHeight="1">
      <c r="A197" s="20"/>
      <c r="B197" s="112" t="s">
        <v>153</v>
      </c>
      <c r="C197" s="20"/>
      <c r="D197" s="20"/>
      <c r="E197" s="20"/>
      <c r="F197" s="20"/>
      <c r="G197" s="114">
        <f>SUMIFS(Input!$G$232:$N$232,Input!$G$7:$N$7,Calculation!G$7)</f>
        <v>0</v>
      </c>
      <c r="H197" s="114">
        <f>SUMIFS(Input!$G$232:$N$232,Input!$G$7:$N$7,Calculation!H$7)</f>
        <v>0</v>
      </c>
      <c r="I197" s="114">
        <f>SUMIFS(Input!$G$232:$N$232,Input!$G$7:$N$7,Calculation!I$7)</f>
        <v>0</v>
      </c>
      <c r="J197" s="114">
        <f>SUMIFS(Input!$G$232:$N$232,Input!$G$7:$N$7,Calculation!J$7)</f>
        <v>0</v>
      </c>
      <c r="K197" s="114">
        <f>SUMIFS(Input!$G$232:$N$232,Input!$G$7:$N$7,Calculation!K$7)</f>
        <v>0</v>
      </c>
      <c r="L197" s="114">
        <f>SUMIFS(Input!$G$232:$N$232,Input!$G$7:$N$7,Calculation!L$7)</f>
        <v>0</v>
      </c>
      <c r="M197" s="114">
        <f>SUMIFS(Input!$G$232:$N$232,Input!$G$7:$N$7,Calculation!M$7)</f>
        <v>0</v>
      </c>
      <c r="N197" s="114">
        <f>SUMIFS(Input!$G$232:$N$232,Input!$G$7:$N$7,Calculation!N$7)</f>
        <v>0</v>
      </c>
      <c r="O197" s="114"/>
      <c r="P197" s="20"/>
    </row>
    <row r="198" spans="1:16" ht="15" customHeight="1">
      <c r="A198" s="20"/>
      <c r="B198" s="138" t="s">
        <v>154</v>
      </c>
      <c r="C198" s="20"/>
      <c r="D198" s="20"/>
      <c r="E198" s="20"/>
      <c r="F198" s="20"/>
      <c r="G198" s="114">
        <f>SUMIFS(Input!$G$233:$N$233,Input!$G$7:$N$7,Calculation!G$7)</f>
        <v>0</v>
      </c>
      <c r="H198" s="114">
        <f>SUMIFS(Input!$G$233:$N$233,Input!$G$7:$N$7,Calculation!H$7)</f>
        <v>0</v>
      </c>
      <c r="I198" s="114">
        <f>SUMIFS(Input!$G$233:$N$233,Input!$G$7:$N$7,Calculation!I$7)</f>
        <v>0</v>
      </c>
      <c r="J198" s="114">
        <f>SUMIFS(Input!$G$233:$N$233,Input!$G$7:$N$7,Calculation!J$7)</f>
        <v>0</v>
      </c>
      <c r="K198" s="114">
        <f>SUMIFS(Input!$G$233:$N$233,Input!$G$7:$N$7,Calculation!K$7)</f>
        <v>0</v>
      </c>
      <c r="L198" s="114">
        <f>SUMIFS(Input!$G$233:$N$233,Input!$G$7:$N$7,Calculation!L$7)</f>
        <v>0</v>
      </c>
      <c r="M198" s="114">
        <f>SUMIFS(Input!$G$233:$N$233,Input!$G$7:$N$7,Calculation!M$7)</f>
        <v>0</v>
      </c>
      <c r="N198" s="114">
        <f>SUMIFS(Input!$G$233:$N$233,Input!$G$7:$N$7,Calculation!N$7)</f>
        <v>0</v>
      </c>
      <c r="O198" s="114"/>
      <c r="P198" s="20"/>
    </row>
    <row r="199" spans="1:16" ht="15" customHeight="1">
      <c r="A199" s="20"/>
      <c r="B199" s="138" t="s">
        <v>155</v>
      </c>
      <c r="C199" s="20"/>
      <c r="D199" s="20"/>
      <c r="E199" s="20"/>
      <c r="F199" s="20"/>
      <c r="G199" s="114">
        <f>SUMIFS(Input!$G$234:$N$234,Input!$G$7:$N$7,Calculation!G$7)</f>
        <v>0</v>
      </c>
      <c r="H199" s="114">
        <f>SUMIFS(Input!$G$234:$N$234,Input!$G$7:$N$7,Calculation!H$7)</f>
        <v>0</v>
      </c>
      <c r="I199" s="114">
        <f>SUMIFS(Input!$G$234:$N$234,Input!$G$7:$N$7,Calculation!I$7)</f>
        <v>0</v>
      </c>
      <c r="J199" s="114">
        <f>SUMIFS(Input!$G$234:$N$234,Input!$G$7:$N$7,Calculation!J$7)</f>
        <v>0</v>
      </c>
      <c r="K199" s="114">
        <f>SUMIFS(Input!$G$234:$N$234,Input!$G$7:$N$7,Calculation!K$7)</f>
        <v>0</v>
      </c>
      <c r="L199" s="114">
        <f>SUMIFS(Input!$G$234:$N$234,Input!$G$7:$N$7,Calculation!L$7)</f>
        <v>0</v>
      </c>
      <c r="M199" s="114">
        <f>SUMIFS(Input!$G$234:$N$234,Input!$G$7:$N$7,Calculation!M$7)</f>
        <v>0</v>
      </c>
      <c r="N199" s="114">
        <f>SUMIFS(Input!$G$234:$N$234,Input!$G$7:$N$7,Calculation!N$7)</f>
        <v>0</v>
      </c>
      <c r="O199" s="114"/>
      <c r="P199" s="20"/>
    </row>
    <row r="200" spans="1:16" ht="15" customHeight="1">
      <c r="A200" s="20"/>
      <c r="B200" s="135" t="s">
        <v>156</v>
      </c>
      <c r="C200" s="80"/>
      <c r="D200" s="80"/>
      <c r="E200" s="80"/>
      <c r="F200" s="80"/>
      <c r="G200" s="125">
        <f>SUMIFS(Input!$G$235:$N$235,Input!$G$7:$N$7,Calculation!G$7)</f>
        <v>0</v>
      </c>
      <c r="H200" s="125">
        <f>SUMIFS(Input!$G$235:$N$235,Input!$G$7:$N$7,Calculation!H$7)</f>
        <v>0</v>
      </c>
      <c r="I200" s="125">
        <f>SUMIFS(Input!$G$235:$N$235,Input!$G$7:$N$7,Calculation!I$7)</f>
        <v>0</v>
      </c>
      <c r="J200" s="125">
        <f>SUMIFS(Input!$G$235:$N$235,Input!$G$7:$N$7,Calculation!J$7)</f>
        <v>0</v>
      </c>
      <c r="K200" s="125">
        <f>SUMIFS(Input!$G$235:$N$235,Input!$G$7:$N$7,Calculation!K$7)</f>
        <v>0</v>
      </c>
      <c r="L200" s="125">
        <f>SUMIFS(Input!$G$235:$N$235,Input!$G$7:$N$7,Calculation!L$7)</f>
        <v>0</v>
      </c>
      <c r="M200" s="125">
        <f>SUMIFS(Input!$G$235:$N$235,Input!$G$7:$N$7,Calculation!M$7)</f>
        <v>0</v>
      </c>
      <c r="N200" s="125">
        <f>SUMIFS(Input!$G$235:$N$235,Input!$G$7:$N$7,Calculation!N$7)</f>
        <v>0</v>
      </c>
      <c r="O200" s="114"/>
      <c r="P200" s="20"/>
    </row>
  </sheetData>
  <phoneticPr fontId="6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29"/>
  <sheetViews>
    <sheetView showGridLines="0" topLeftCell="A100" zoomScale="70" zoomScaleNormal="70" workbookViewId="0">
      <selection activeCell="Q85" sqref="Q1:X1048576"/>
    </sheetView>
  </sheetViews>
  <sheetFormatPr defaultColWidth="8.5625" defaultRowHeight="0" customHeight="1" zeroHeight="1"/>
  <cols>
    <col min="1" max="1" width="1.6875" style="46" customWidth="1"/>
    <col min="2" max="2" width="28.6875" style="46" customWidth="1"/>
    <col min="3" max="4" width="1.6875" style="46" customWidth="1"/>
    <col min="5" max="5" width="10.375" style="46" customWidth="1"/>
    <col min="6" max="6" width="8.6875" style="46" customWidth="1"/>
    <col min="7" max="9" width="10" style="46" customWidth="1"/>
    <col min="10" max="10" width="12.5" style="46" customWidth="1"/>
    <col min="11" max="15" width="10" style="46" customWidth="1"/>
    <col min="16" max="16" width="1.6875" style="264" customWidth="1"/>
    <col min="17" max="24" width="8.5625" style="266"/>
  </cols>
  <sheetData>
    <row r="1" spans="1:16" ht="24" customHeight="1">
      <c r="A1" s="13"/>
      <c r="B1" s="47" t="str">
        <f>Legend!D2</f>
        <v>Project dummy Financial Model</v>
      </c>
      <c r="C1" s="48"/>
      <c r="D1" s="48"/>
      <c r="E1" s="48"/>
      <c r="F1" s="48"/>
      <c r="G1" s="48"/>
      <c r="H1" s="48"/>
      <c r="I1" s="49"/>
      <c r="J1" s="49"/>
      <c r="K1" s="49"/>
      <c r="L1" s="49"/>
      <c r="M1" s="49"/>
      <c r="N1" s="50"/>
      <c r="O1" s="50"/>
      <c r="P1" s="263"/>
    </row>
    <row r="2" spans="1:16" ht="17.25" customHeight="1">
      <c r="A2" s="13"/>
      <c r="B2" s="48" t="s">
        <v>197</v>
      </c>
      <c r="C2" s="167"/>
      <c r="D2" s="167"/>
      <c r="E2" s="167"/>
      <c r="F2" s="167"/>
      <c r="G2" s="168"/>
      <c r="H2" s="169"/>
      <c r="I2" s="50"/>
      <c r="J2" s="50"/>
      <c r="K2" s="50"/>
      <c r="L2" s="50"/>
      <c r="M2" s="50"/>
      <c r="N2" s="50"/>
      <c r="O2" s="50"/>
      <c r="P2" s="263"/>
    </row>
    <row r="3" spans="1:16" ht="17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6" ht="17.25" customHeight="1">
      <c r="A4" s="13"/>
      <c r="B4" s="48" t="s">
        <v>27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263"/>
    </row>
    <row r="5" spans="1:16" ht="17.25" customHeight="1">
      <c r="A5" s="8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6" ht="17.25" customHeight="1">
      <c r="A6" s="57"/>
      <c r="B6" s="123" t="s">
        <v>28</v>
      </c>
      <c r="C6" s="105"/>
      <c r="D6" s="105"/>
      <c r="E6" s="105"/>
      <c r="F6" s="105"/>
      <c r="G6" s="58" t="str">
        <f>Input!G6</f>
        <v>Actual</v>
      </c>
      <c r="H6" s="58" t="str">
        <f>Input!H6</f>
        <v>Actual</v>
      </c>
      <c r="I6" s="58" t="str">
        <f>Input!I6</f>
        <v>Actual</v>
      </c>
      <c r="J6" s="58" t="str">
        <f>Input!J6</f>
        <v>Forecast</v>
      </c>
      <c r="K6" s="58" t="str">
        <f>Input!K6</f>
        <v>Forecast</v>
      </c>
      <c r="L6" s="58" t="str">
        <f>Input!L6</f>
        <v>Forecast</v>
      </c>
      <c r="M6" s="58" t="str">
        <f>Input!M6</f>
        <v>Forecast</v>
      </c>
      <c r="N6" s="58" t="str">
        <f>Input!N6</f>
        <v>Forecast</v>
      </c>
      <c r="O6" s="58" t="str">
        <f>Input!O6</f>
        <v>Forecast</v>
      </c>
      <c r="P6" s="263"/>
    </row>
    <row r="7" spans="1:16" ht="17.25" customHeight="1">
      <c r="A7" s="20"/>
      <c r="B7" s="61" t="s">
        <v>31</v>
      </c>
      <c r="C7" s="61"/>
      <c r="D7" s="62"/>
      <c r="E7" s="62"/>
      <c r="F7" s="62"/>
      <c r="G7" s="60">
        <f>Input!G7</f>
        <v>44927</v>
      </c>
      <c r="H7" s="60">
        <f>Input!H7</f>
        <v>45292</v>
      </c>
      <c r="I7" s="60">
        <f>Input!I7</f>
        <v>45658</v>
      </c>
      <c r="J7" s="60">
        <f>Input!J7</f>
        <v>46023</v>
      </c>
      <c r="K7" s="60">
        <f>Input!K7</f>
        <v>46388</v>
      </c>
      <c r="L7" s="60">
        <f>Input!L7</f>
        <v>46753</v>
      </c>
      <c r="M7" s="60">
        <f>Input!M7</f>
        <v>47119</v>
      </c>
      <c r="N7" s="60">
        <f>Input!N7</f>
        <v>47484</v>
      </c>
      <c r="O7" s="60" t="s">
        <v>32</v>
      </c>
      <c r="P7" s="265"/>
    </row>
    <row r="8" spans="1:16" ht="17.25" customHeight="1">
      <c r="A8" s="20"/>
      <c r="B8" s="61" t="s">
        <v>33</v>
      </c>
      <c r="C8" s="61"/>
      <c r="D8" s="62"/>
      <c r="E8" s="62"/>
      <c r="F8" s="62"/>
      <c r="G8" s="60">
        <f>Input!G8</f>
        <v>45291</v>
      </c>
      <c r="H8" s="60">
        <f>Input!H8</f>
        <v>45657</v>
      </c>
      <c r="I8" s="60">
        <f>Input!I8</f>
        <v>46022</v>
      </c>
      <c r="J8" s="60">
        <f>Input!J8</f>
        <v>46387</v>
      </c>
      <c r="K8" s="60">
        <f>Input!K8</f>
        <v>46752</v>
      </c>
      <c r="L8" s="60">
        <f>Input!L8</f>
        <v>47118</v>
      </c>
      <c r="M8" s="60">
        <f>Input!M8</f>
        <v>47483</v>
      </c>
      <c r="N8" s="60">
        <f>Input!N8</f>
        <v>47848</v>
      </c>
      <c r="O8" s="60"/>
      <c r="P8" s="265"/>
    </row>
    <row r="9" spans="1:16" ht="17.25" customHeight="1">
      <c r="A9" s="20"/>
      <c r="B9" s="61" t="s">
        <v>34</v>
      </c>
      <c r="C9" s="61"/>
      <c r="D9" s="62"/>
      <c r="E9" s="62"/>
      <c r="F9" s="62"/>
      <c r="G9" s="63">
        <f>Input!G9</f>
        <v>12</v>
      </c>
      <c r="H9" s="64">
        <f>Input!H9</f>
        <v>12</v>
      </c>
      <c r="I9" s="64">
        <f>Input!I9</f>
        <v>12</v>
      </c>
      <c r="J9" s="64">
        <f>Input!J9</f>
        <v>12</v>
      </c>
      <c r="K9" s="64">
        <f>Input!K9</f>
        <v>12</v>
      </c>
      <c r="L9" s="64">
        <f>Input!L9</f>
        <v>12</v>
      </c>
      <c r="M9" s="64">
        <f>Input!M9</f>
        <v>12</v>
      </c>
      <c r="N9" s="64">
        <f>Input!N9</f>
        <v>12</v>
      </c>
      <c r="O9" s="64"/>
      <c r="P9" s="265"/>
    </row>
    <row r="10" spans="1:16" ht="17.25" customHeight="1">
      <c r="A10" s="20"/>
      <c r="B10" s="61" t="s">
        <v>35</v>
      </c>
      <c r="C10" s="61"/>
      <c r="D10" s="62"/>
      <c r="E10" s="62"/>
      <c r="F10" s="62"/>
      <c r="G10" s="63">
        <f>Input!G10</f>
        <v>2023</v>
      </c>
      <c r="H10" s="63">
        <f>Input!H10</f>
        <v>2024</v>
      </c>
      <c r="I10" s="64">
        <f>Input!I10</f>
        <v>2025</v>
      </c>
      <c r="J10" s="64">
        <f>Input!J10</f>
        <v>2026</v>
      </c>
      <c r="K10" s="64">
        <f>Input!K10</f>
        <v>2027</v>
      </c>
      <c r="L10" s="64">
        <f>Input!L10</f>
        <v>2028</v>
      </c>
      <c r="M10" s="64">
        <f>Input!M10</f>
        <v>2029</v>
      </c>
      <c r="N10" s="64">
        <f>Input!N10</f>
        <v>2030</v>
      </c>
      <c r="O10" s="64"/>
      <c r="P10" s="265"/>
    </row>
    <row r="11" spans="1:16" ht="17.25" customHeight="1">
      <c r="A11" s="20"/>
      <c r="B11" s="61" t="s">
        <v>36</v>
      </c>
      <c r="C11" s="62"/>
      <c r="D11" s="64"/>
      <c r="E11" s="64"/>
      <c r="F11" s="64"/>
      <c r="G11" s="64">
        <f>Input!G11</f>
        <v>364</v>
      </c>
      <c r="H11" s="64">
        <f>Input!H11</f>
        <v>365</v>
      </c>
      <c r="I11" s="64">
        <f>Input!I11</f>
        <v>364</v>
      </c>
      <c r="J11" s="64">
        <f>Input!J11</f>
        <v>364</v>
      </c>
      <c r="K11" s="64">
        <f>Input!K11</f>
        <v>364</v>
      </c>
      <c r="L11" s="64">
        <f>Input!L11</f>
        <v>365</v>
      </c>
      <c r="M11" s="64">
        <f>Input!M11</f>
        <v>364</v>
      </c>
      <c r="N11" s="64">
        <f>Input!N11</f>
        <v>364</v>
      </c>
      <c r="O11" s="64"/>
      <c r="P11" s="265"/>
    </row>
    <row r="12" spans="1:16" ht="17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6" ht="17.25" customHeight="1">
      <c r="A13" s="13"/>
      <c r="B13" s="48" t="s">
        <v>197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263"/>
    </row>
    <row r="14" spans="1:16" ht="17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6" ht="17.25" customHeight="1">
      <c r="A15" s="70"/>
      <c r="B15" s="93" t="s">
        <v>42</v>
      </c>
      <c r="C15" s="93"/>
      <c r="D15" s="93"/>
      <c r="E15" s="170">
        <f>Input!E18</f>
        <v>0.1</v>
      </c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263"/>
    </row>
    <row r="16" spans="1:16" ht="17.25" customHeight="1">
      <c r="A16" s="20"/>
      <c r="B16" s="171" t="s">
        <v>198</v>
      </c>
      <c r="C16" s="80"/>
      <c r="D16" s="80"/>
      <c r="E16" s="172">
        <f>Input!E19</f>
        <v>0.01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65"/>
    </row>
    <row r="17" spans="1:26" ht="17.25" customHeight="1">
      <c r="A17" s="8"/>
      <c r="B17" s="8"/>
      <c r="C17" s="8"/>
      <c r="D17" s="8"/>
      <c r="E17" s="110"/>
      <c r="F17" s="8"/>
      <c r="G17" s="108"/>
      <c r="H17" s="108"/>
      <c r="I17" s="108"/>
      <c r="J17" s="108"/>
      <c r="K17" s="108"/>
      <c r="L17" s="108"/>
      <c r="M17" s="108"/>
      <c r="N17" s="108"/>
      <c r="O17" s="108"/>
    </row>
    <row r="18" spans="1:26" ht="17.25" customHeight="1">
      <c r="A18" s="57"/>
      <c r="B18" s="123"/>
      <c r="C18" s="123"/>
      <c r="D18" s="123"/>
      <c r="E18" s="123"/>
      <c r="F18" s="123"/>
      <c r="G18" s="3" t="s">
        <v>29</v>
      </c>
      <c r="H18" s="3"/>
      <c r="I18" s="3"/>
      <c r="J18" s="3" t="s">
        <v>30</v>
      </c>
      <c r="K18" s="3"/>
      <c r="L18" s="3"/>
      <c r="M18" s="3"/>
      <c r="N18" s="3"/>
      <c r="O18" s="3"/>
      <c r="P18" s="263"/>
    </row>
    <row r="19" spans="1:26" ht="17.25" customHeight="1">
      <c r="A19" s="57"/>
      <c r="B19" s="123" t="s">
        <v>199</v>
      </c>
      <c r="C19" s="123"/>
      <c r="D19" s="123"/>
      <c r="E19" s="123"/>
      <c r="F19" s="123"/>
      <c r="G19" s="77" t="str">
        <f t="shared" ref="G19:N19" si="0">"FY"&amp;G10</f>
        <v>FY2023</v>
      </c>
      <c r="H19" s="77" t="str">
        <f t="shared" si="0"/>
        <v>FY2024</v>
      </c>
      <c r="I19" s="77" t="str">
        <f t="shared" si="0"/>
        <v>FY2025</v>
      </c>
      <c r="J19" s="77" t="str">
        <f t="shared" si="0"/>
        <v>FY2026</v>
      </c>
      <c r="K19" s="77" t="str">
        <f t="shared" si="0"/>
        <v>FY2027</v>
      </c>
      <c r="L19" s="77" t="str">
        <f t="shared" si="0"/>
        <v>FY2028</v>
      </c>
      <c r="M19" s="77" t="str">
        <f t="shared" si="0"/>
        <v>FY2029</v>
      </c>
      <c r="N19" s="77" t="str">
        <f t="shared" si="0"/>
        <v>FY2030</v>
      </c>
      <c r="O19" s="77" t="s">
        <v>32</v>
      </c>
      <c r="P19" s="263"/>
    </row>
    <row r="20" spans="1:26" ht="17.25" customHeight="1">
      <c r="A20" s="20"/>
      <c r="B20" s="173" t="s">
        <v>172</v>
      </c>
      <c r="C20" s="174"/>
      <c r="D20" s="174"/>
      <c r="E20" s="174"/>
      <c r="F20" s="174"/>
      <c r="G20" s="175">
        <f>Input!G28</f>
        <v>1000</v>
      </c>
      <c r="H20" s="175">
        <f>Input!H28</f>
        <v>1200</v>
      </c>
      <c r="I20" s="175">
        <f>Input!I28</f>
        <v>1400</v>
      </c>
      <c r="J20" s="176">
        <f>Calculation!J21</f>
        <v>2163</v>
      </c>
      <c r="K20" s="175">
        <f>Calculation!K21</f>
        <v>2227.8900000000003</v>
      </c>
      <c r="L20" s="175">
        <f>Calculation!L21</f>
        <v>2294.7266999999997</v>
      </c>
      <c r="M20" s="175">
        <f>Calculation!M21</f>
        <v>2363.5685010000002</v>
      </c>
      <c r="N20" s="175">
        <f>Calculation!N21</f>
        <v>2434.47555603</v>
      </c>
      <c r="O20" s="177">
        <f>N20*(1+$E$16)</f>
        <v>2458.8203115903002</v>
      </c>
      <c r="P20" s="265"/>
      <c r="S20" s="265"/>
      <c r="T20" s="265"/>
      <c r="U20" s="265"/>
      <c r="V20" s="265"/>
      <c r="W20" s="265"/>
      <c r="X20" s="265"/>
    </row>
    <row r="21" spans="1:26" ht="17.25" customHeight="1">
      <c r="A21" s="20"/>
      <c r="B21" s="178" t="s">
        <v>200</v>
      </c>
      <c r="C21" s="20"/>
      <c r="D21" s="20"/>
      <c r="E21" s="20"/>
      <c r="F21" s="20"/>
      <c r="G21" s="114"/>
      <c r="H21" s="118">
        <f t="shared" ref="H21:O21" si="1">H20/G20-1</f>
        <v>0.19999999999999996</v>
      </c>
      <c r="I21" s="118">
        <f t="shared" si="1"/>
        <v>0.16666666666666674</v>
      </c>
      <c r="J21" s="179">
        <f t="shared" si="1"/>
        <v>0.54499999999999993</v>
      </c>
      <c r="K21" s="118">
        <f t="shared" si="1"/>
        <v>3.0000000000000249E-2</v>
      </c>
      <c r="L21" s="118">
        <f t="shared" si="1"/>
        <v>2.9999999999999805E-2</v>
      </c>
      <c r="M21" s="118">
        <f t="shared" si="1"/>
        <v>3.0000000000000249E-2</v>
      </c>
      <c r="N21" s="118">
        <f t="shared" si="1"/>
        <v>3.0000000000000027E-2</v>
      </c>
      <c r="O21" s="180">
        <f t="shared" si="1"/>
        <v>1.0000000000000009E-2</v>
      </c>
      <c r="P21" s="265"/>
    </row>
    <row r="22" spans="1:26" ht="17.25" customHeight="1">
      <c r="A22" s="20"/>
      <c r="B22" s="181" t="s">
        <v>129</v>
      </c>
      <c r="C22" s="182"/>
      <c r="D22" s="182"/>
      <c r="E22" s="182"/>
      <c r="F22" s="182"/>
      <c r="G22" s="183">
        <f>Input!G29</f>
        <v>600</v>
      </c>
      <c r="H22" s="183">
        <f>Input!H29</f>
        <v>600</v>
      </c>
      <c r="I22" s="183">
        <f>Input!I29</f>
        <v>600</v>
      </c>
      <c r="J22" s="184">
        <f>Calculation!J70</f>
        <v>948.68333333333328</v>
      </c>
      <c r="K22" s="183">
        <f>Calculation!K70</f>
        <v>969.49383333333344</v>
      </c>
      <c r="L22" s="183">
        <f>Calculation!L70</f>
        <v>990.77564833333327</v>
      </c>
      <c r="M22" s="183">
        <f>Calculation!M70</f>
        <v>1012.5398577833334</v>
      </c>
      <c r="N22" s="183">
        <f>Calculation!N70</f>
        <v>1034.7978123168332</v>
      </c>
      <c r="O22" s="185">
        <f>N22*(1+$E$16)</f>
        <v>1045.1457904400015</v>
      </c>
      <c r="P22" s="265"/>
      <c r="S22" s="265"/>
      <c r="T22" s="265"/>
      <c r="U22" s="265"/>
      <c r="V22" s="265"/>
      <c r="W22" s="265"/>
      <c r="X22" s="265"/>
      <c r="Y22" s="20"/>
    </row>
    <row r="23" spans="1:26" ht="17.25" customHeight="1">
      <c r="A23" s="20"/>
      <c r="B23" s="173" t="s">
        <v>201</v>
      </c>
      <c r="C23" s="174"/>
      <c r="D23" s="174"/>
      <c r="E23" s="174"/>
      <c r="F23" s="174"/>
      <c r="G23" s="175">
        <f t="shared" ref="G23:O23" si="2">G20-G22</f>
        <v>400</v>
      </c>
      <c r="H23" s="175">
        <f t="shared" si="2"/>
        <v>600</v>
      </c>
      <c r="I23" s="175">
        <f t="shared" si="2"/>
        <v>800</v>
      </c>
      <c r="J23" s="176">
        <f t="shared" si="2"/>
        <v>1214.3166666666666</v>
      </c>
      <c r="K23" s="175">
        <f t="shared" si="2"/>
        <v>1258.3961666666669</v>
      </c>
      <c r="L23" s="175">
        <f t="shared" si="2"/>
        <v>1303.9510516666664</v>
      </c>
      <c r="M23" s="175">
        <f t="shared" si="2"/>
        <v>1351.0286432166668</v>
      </c>
      <c r="N23" s="175">
        <f t="shared" si="2"/>
        <v>1399.6777437131668</v>
      </c>
      <c r="O23" s="177">
        <f t="shared" si="2"/>
        <v>1413.6745211502987</v>
      </c>
      <c r="P23" s="265"/>
    </row>
    <row r="24" spans="1:26" ht="17.25" customHeight="1">
      <c r="A24" s="20"/>
      <c r="B24" s="186" t="s">
        <v>202</v>
      </c>
      <c r="C24" s="80"/>
      <c r="D24" s="80"/>
      <c r="E24" s="80"/>
      <c r="F24" s="80"/>
      <c r="G24" s="187">
        <f t="shared" ref="G24:O24" si="3">G23/G20</f>
        <v>0.4</v>
      </c>
      <c r="H24" s="187">
        <f t="shared" si="3"/>
        <v>0.5</v>
      </c>
      <c r="I24" s="187">
        <f t="shared" si="3"/>
        <v>0.5714285714285714</v>
      </c>
      <c r="J24" s="188">
        <f t="shared" si="3"/>
        <v>0.56140391431653569</v>
      </c>
      <c r="K24" s="187">
        <f t="shared" si="3"/>
        <v>0.56483765655695151</v>
      </c>
      <c r="L24" s="187">
        <f t="shared" si="3"/>
        <v>0.56823806149406231</v>
      </c>
      <c r="M24" s="187">
        <f t="shared" si="3"/>
        <v>0.57160545279100694</v>
      </c>
      <c r="N24" s="187">
        <f t="shared" si="3"/>
        <v>0.57494015096856388</v>
      </c>
      <c r="O24" s="189">
        <f t="shared" si="3"/>
        <v>0.57494015096856399</v>
      </c>
      <c r="P24" s="265"/>
    </row>
    <row r="25" spans="1:26" ht="17.25" customHeight="1">
      <c r="A25" s="20"/>
      <c r="B25" s="173" t="s">
        <v>131</v>
      </c>
      <c r="C25" s="174"/>
      <c r="D25" s="174"/>
      <c r="E25" s="174"/>
      <c r="F25" s="174"/>
      <c r="G25" s="175">
        <f>Input!G35</f>
        <v>330</v>
      </c>
      <c r="H25" s="175">
        <f>Input!H35</f>
        <v>330</v>
      </c>
      <c r="I25" s="175">
        <f>Input!I35</f>
        <v>330</v>
      </c>
      <c r="J25" s="176">
        <f>Calculation!J113</f>
        <v>585.63</v>
      </c>
      <c r="K25" s="175">
        <f>Calculation!K113</f>
        <v>600.64890000000003</v>
      </c>
      <c r="L25" s="175">
        <f>Calculation!L113</f>
        <v>616.06736699999999</v>
      </c>
      <c r="M25" s="175">
        <f>Calculation!M113</f>
        <v>631.89636801000006</v>
      </c>
      <c r="N25" s="175">
        <f>Calculation!N113</f>
        <v>648.14717865030002</v>
      </c>
      <c r="O25" s="177">
        <f>N25*(1+$E$16)</f>
        <v>654.62865043680301</v>
      </c>
      <c r="P25" s="265"/>
      <c r="Q25" s="265"/>
      <c r="R25" s="265"/>
      <c r="S25" s="265"/>
      <c r="T25" s="265"/>
      <c r="U25" s="265"/>
      <c r="V25" s="265"/>
      <c r="W25" s="265"/>
      <c r="X25" s="265"/>
      <c r="Y25" s="20"/>
      <c r="Z25" s="20"/>
    </row>
    <row r="26" spans="1:26" ht="17.25" customHeight="1">
      <c r="A26" s="20"/>
      <c r="B26" s="186" t="s">
        <v>203</v>
      </c>
      <c r="C26" s="80"/>
      <c r="D26" s="80"/>
      <c r="E26" s="80"/>
      <c r="F26" s="80"/>
      <c r="G26" s="187">
        <f t="shared" ref="G26:O26" si="4">G25/G20</f>
        <v>0.33</v>
      </c>
      <c r="H26" s="187">
        <f t="shared" si="4"/>
        <v>0.27500000000000002</v>
      </c>
      <c r="I26" s="187">
        <f t="shared" si="4"/>
        <v>0.23571428571428571</v>
      </c>
      <c r="J26" s="188">
        <f t="shared" si="4"/>
        <v>0.270748959778086</v>
      </c>
      <c r="K26" s="187">
        <f t="shared" si="4"/>
        <v>0.26960437903128071</v>
      </c>
      <c r="L26" s="187">
        <f t="shared" si="4"/>
        <v>0.26847091071891049</v>
      </c>
      <c r="M26" s="187">
        <f t="shared" si="4"/>
        <v>0.26734844695326221</v>
      </c>
      <c r="N26" s="187">
        <f t="shared" si="4"/>
        <v>0.2662368808940766</v>
      </c>
      <c r="O26" s="189">
        <f t="shared" si="4"/>
        <v>0.2662368808940766</v>
      </c>
      <c r="P26" s="265"/>
    </row>
    <row r="27" spans="1:26" ht="17.25" customHeight="1">
      <c r="A27" s="20"/>
      <c r="B27" s="173" t="s">
        <v>204</v>
      </c>
      <c r="C27" s="174"/>
      <c r="D27" s="174"/>
      <c r="E27" s="174"/>
      <c r="F27" s="174"/>
      <c r="G27" s="175">
        <f t="shared" ref="G27:O27" si="5">G23-G25</f>
        <v>70</v>
      </c>
      <c r="H27" s="175">
        <f t="shared" si="5"/>
        <v>270</v>
      </c>
      <c r="I27" s="175">
        <f t="shared" si="5"/>
        <v>470</v>
      </c>
      <c r="J27" s="176">
        <f t="shared" si="5"/>
        <v>628.68666666666661</v>
      </c>
      <c r="K27" s="175">
        <f t="shared" si="5"/>
        <v>657.74726666666686</v>
      </c>
      <c r="L27" s="175">
        <f t="shared" si="5"/>
        <v>687.88368466666645</v>
      </c>
      <c r="M27" s="175">
        <f t="shared" si="5"/>
        <v>719.13227520666669</v>
      </c>
      <c r="N27" s="175">
        <f t="shared" si="5"/>
        <v>751.5305650628668</v>
      </c>
      <c r="O27" s="177">
        <f t="shared" si="5"/>
        <v>759.04587071349567</v>
      </c>
      <c r="P27" s="265"/>
    </row>
    <row r="28" spans="1:26" ht="17.25" customHeight="1">
      <c r="A28" s="20"/>
      <c r="B28" s="186" t="s">
        <v>205</v>
      </c>
      <c r="C28" s="80"/>
      <c r="D28" s="80"/>
      <c r="E28" s="80"/>
      <c r="F28" s="80"/>
      <c r="G28" s="187">
        <f t="shared" ref="G28:O28" si="6">G27/G20</f>
        <v>7.0000000000000007E-2</v>
      </c>
      <c r="H28" s="187">
        <f t="shared" si="6"/>
        <v>0.22500000000000001</v>
      </c>
      <c r="I28" s="187">
        <f t="shared" si="6"/>
        <v>0.33571428571428569</v>
      </c>
      <c r="J28" s="188">
        <f t="shared" si="6"/>
        <v>0.29065495453844964</v>
      </c>
      <c r="K28" s="187">
        <f t="shared" si="6"/>
        <v>0.2952332775256708</v>
      </c>
      <c r="L28" s="187">
        <f t="shared" si="6"/>
        <v>0.29976715077515181</v>
      </c>
      <c r="M28" s="187">
        <f t="shared" si="6"/>
        <v>0.30425700583774479</v>
      </c>
      <c r="N28" s="187">
        <f t="shared" si="6"/>
        <v>0.30870327007448733</v>
      </c>
      <c r="O28" s="189">
        <f t="shared" si="6"/>
        <v>0.30870327007448739</v>
      </c>
      <c r="P28" s="265"/>
    </row>
    <row r="29" spans="1:26" ht="17.25" customHeight="1">
      <c r="A29" s="20"/>
      <c r="B29" s="190" t="s">
        <v>206</v>
      </c>
      <c r="C29" s="79"/>
      <c r="D29" s="79"/>
      <c r="E29" s="79"/>
      <c r="F29" s="79"/>
      <c r="G29" s="191">
        <f>Input!G42</f>
        <v>10</v>
      </c>
      <c r="H29" s="191">
        <f>Input!H42</f>
        <v>10</v>
      </c>
      <c r="I29" s="191">
        <f>Input!I42</f>
        <v>10</v>
      </c>
      <c r="J29" s="192"/>
      <c r="K29" s="191"/>
      <c r="L29" s="191"/>
      <c r="M29" s="191"/>
      <c r="N29" s="191"/>
      <c r="O29" s="193"/>
      <c r="P29" s="265"/>
    </row>
    <row r="30" spans="1:26" ht="17.25" customHeight="1">
      <c r="A30" s="20"/>
      <c r="B30" s="173" t="s">
        <v>65</v>
      </c>
      <c r="C30" s="174"/>
      <c r="D30" s="174"/>
      <c r="E30" s="174"/>
      <c r="F30" s="174"/>
      <c r="G30" s="175">
        <f t="shared" ref="G30:O30" si="7">G27+G29</f>
        <v>80</v>
      </c>
      <c r="H30" s="175">
        <f t="shared" si="7"/>
        <v>280</v>
      </c>
      <c r="I30" s="175">
        <f t="shared" si="7"/>
        <v>480</v>
      </c>
      <c r="J30" s="176">
        <f t="shared" si="7"/>
        <v>628.68666666666661</v>
      </c>
      <c r="K30" s="175">
        <f t="shared" si="7"/>
        <v>657.74726666666686</v>
      </c>
      <c r="L30" s="175">
        <f t="shared" si="7"/>
        <v>687.88368466666645</v>
      </c>
      <c r="M30" s="175">
        <f t="shared" si="7"/>
        <v>719.13227520666669</v>
      </c>
      <c r="N30" s="175">
        <f t="shared" si="7"/>
        <v>751.5305650628668</v>
      </c>
      <c r="O30" s="177">
        <f t="shared" si="7"/>
        <v>759.04587071349567</v>
      </c>
      <c r="P30" s="265"/>
    </row>
    <row r="31" spans="1:26" ht="17.25" customHeight="1">
      <c r="A31" s="20"/>
      <c r="B31" s="186" t="s">
        <v>207</v>
      </c>
      <c r="C31" s="80"/>
      <c r="D31" s="80"/>
      <c r="E31" s="80"/>
      <c r="F31" s="80"/>
      <c r="G31" s="187">
        <f>G30/G20</f>
        <v>0.08</v>
      </c>
      <c r="H31" s="187">
        <f t="shared" ref="H31:O31" si="8">H30/H23</f>
        <v>0.46666666666666667</v>
      </c>
      <c r="I31" s="187">
        <f t="shared" si="8"/>
        <v>0.6</v>
      </c>
      <c r="J31" s="188">
        <f t="shared" si="8"/>
        <v>0.51772876377660959</v>
      </c>
      <c r="K31" s="187">
        <f t="shared" si="8"/>
        <v>0.52268695986968605</v>
      </c>
      <c r="L31" s="187">
        <f t="shared" si="8"/>
        <v>0.52753796531506048</v>
      </c>
      <c r="M31" s="187">
        <f t="shared" si="8"/>
        <v>0.53228499544945496</v>
      </c>
      <c r="N31" s="187">
        <f t="shared" si="8"/>
        <v>0.5369311389271304</v>
      </c>
      <c r="O31" s="189">
        <f t="shared" si="8"/>
        <v>0.53693113892713051</v>
      </c>
      <c r="P31" s="265"/>
    </row>
    <row r="32" spans="1:26" ht="17.25" customHeight="1">
      <c r="A32" s="20"/>
      <c r="B32" s="190" t="s">
        <v>208</v>
      </c>
      <c r="C32" s="79"/>
      <c r="D32" s="79"/>
      <c r="E32" s="79"/>
      <c r="F32" s="79"/>
      <c r="G32" s="191">
        <f>Input!G52</f>
        <v>20</v>
      </c>
      <c r="H32" s="191">
        <f>Input!H52</f>
        <v>30</v>
      </c>
      <c r="I32" s="191">
        <f>Input!I52</f>
        <v>40</v>
      </c>
      <c r="J32" s="192">
        <f>IF(J27&lt;=200,
     J27*0.1*1.1,
 IF(J27&lt;=30000,
     ((J27-200)*0.2 + 200*0.1)*1.1,
 IF(J27&lt;=300000,
     ((J27-30000)*0.22 + (30000-200)*0.2 + 200*0.1)*1.1,
     ((J27-300000)*0.24 + (300000-30000)*0.22 + (30000-200)*0.2 + 200*0.1)*1.1)))</f>
        <v>116.31106666666666</v>
      </c>
      <c r="K32" s="191">
        <f>IF(K27&lt;=200,
     K27*0.1*1.1,
 IF(K27&lt;=30000,
     ((K27-200)*0.2 + 200*0.1)*1.1,
 IF(K27&lt;=300000,
     ((K27-30000)*0.22 + (30000-200)*0.2 + 200*0.1)*1.1,
     ((K27-300000)*0.24 + (300000-30000)*0.22 + (30000-200)*0.2 + 200*0.1)*1.1)))</f>
        <v>122.70439866666672</v>
      </c>
      <c r="L32" s="191">
        <f>IF(L27&lt;=200,
L27*0.1*1.1,
IF(L27&lt;=30000,
((L27-200)*0.2 + 200*0.1)*1.1,
IF(L27&lt;=300000,
((L27-30000)*0.22 + (30000-200)*0.2 + 200*0.1)*1.1,
((L27-300000)*0.24 + (300000-30000)*0.22 + (30000-200)*0.2 + 200*0.1)*1.1)))</f>
        <v>129.33441062666662</v>
      </c>
      <c r="M32" s="191">
        <f>IF(M27&lt;=200,
M27*0.1*1.1,
IF(M27&lt;=30000,
((M27-200)*0.2 + 200*0.1)*1.1,
IF(M27&lt;=300000,
((M27-30000)*0.22 + (30000-200)*0.2 + 200*0.1)*1.1,
((M27-300000)*0.24 + (300000-30000)*0.22 + (30000-200)*0.2 + 200*0.1)*1.1)))</f>
        <v>136.2091005454667</v>
      </c>
      <c r="N32" s="191">
        <f>IF(N27&lt;=200,
N27*0.1*1.1,
IF(N27&lt;=30000,
((N27-200)*0.2 + 200*0.1)*1.1,
IF(N27&lt;=300000,
((N27-30000)*0.22 + (30000-200)*0.2 + 200*0.1)*1.1,
((N27-300000)*0.24 + (300000-30000)*0.22 + (30000-200)*0.2 + 200*0.1)*1.1)))</f>
        <v>143.3367243138307</v>
      </c>
      <c r="O32" s="193">
        <f>IF(O27&lt;=200,
O27*0.1*1.1,
IF(O27&lt;=30000,
((O27-200)*0.2 + 200*0.1)*1.1,
IF(O27&lt;=300000,
((O27-30000)*0.22 + (30000-200)*0.2 + 200*0.1)*1.1,
((O27-300000)*0.24 + (300000-30000)*0.22 + (30000-200)*0.2 + 200*0.1)*1.1)))</f>
        <v>144.99009155696905</v>
      </c>
      <c r="P32" s="265"/>
    </row>
    <row r="33" spans="1:16" ht="17.25" customHeight="1">
      <c r="A33" s="20"/>
      <c r="B33" s="173" t="s">
        <v>209</v>
      </c>
      <c r="C33" s="174"/>
      <c r="D33" s="174"/>
      <c r="E33" s="174"/>
      <c r="F33" s="174"/>
      <c r="G33" s="175">
        <f t="shared" ref="G33:O33" si="9">G30-G32</f>
        <v>60</v>
      </c>
      <c r="H33" s="175">
        <f t="shared" si="9"/>
        <v>250</v>
      </c>
      <c r="I33" s="175">
        <f t="shared" si="9"/>
        <v>440</v>
      </c>
      <c r="J33" s="176">
        <f t="shared" si="9"/>
        <v>512.37559999999996</v>
      </c>
      <c r="K33" s="175">
        <f t="shared" si="9"/>
        <v>535.04286800000011</v>
      </c>
      <c r="L33" s="175">
        <f t="shared" si="9"/>
        <v>558.54927403999977</v>
      </c>
      <c r="M33" s="175">
        <f t="shared" si="9"/>
        <v>582.92317466119994</v>
      </c>
      <c r="N33" s="175">
        <f t="shared" si="9"/>
        <v>608.1938407490361</v>
      </c>
      <c r="O33" s="177">
        <f t="shared" si="9"/>
        <v>614.05577915652657</v>
      </c>
      <c r="P33" s="265"/>
    </row>
    <row r="34" spans="1:16" ht="17.25" customHeight="1">
      <c r="A34" s="20"/>
      <c r="B34" s="178" t="s">
        <v>206</v>
      </c>
      <c r="C34" s="20"/>
      <c r="D34" s="20"/>
      <c r="E34" s="20"/>
      <c r="F34" s="20"/>
      <c r="G34" s="114">
        <f>G29</f>
        <v>10</v>
      </c>
      <c r="H34" s="114">
        <f>H29</f>
        <v>10</v>
      </c>
      <c r="I34" s="114">
        <f>I29</f>
        <v>10</v>
      </c>
      <c r="J34" s="194"/>
      <c r="K34" s="114"/>
      <c r="L34" s="114"/>
      <c r="M34" s="114"/>
      <c r="N34" s="114"/>
      <c r="O34" s="195"/>
      <c r="P34" s="265"/>
    </row>
    <row r="35" spans="1:16" ht="17.25" customHeight="1">
      <c r="A35" s="20"/>
      <c r="B35" s="178" t="s">
        <v>210</v>
      </c>
      <c r="C35" s="20"/>
      <c r="D35" s="20"/>
      <c r="E35" s="20"/>
      <c r="F35" s="20"/>
      <c r="G35" s="114">
        <f>Input!G203</f>
        <v>0</v>
      </c>
      <c r="H35" s="114">
        <f>Input!H203</f>
        <v>0</v>
      </c>
      <c r="I35" s="114">
        <f>Input!I203</f>
        <v>0</v>
      </c>
      <c r="J35" s="194">
        <f>Calculation!J170</f>
        <v>3.61388888888888</v>
      </c>
      <c r="K35" s="114">
        <f>Calculation!K170</f>
        <v>6.0611944444444248</v>
      </c>
      <c r="L35" s="114">
        <f>Calculation!L170</f>
        <v>3.6641871963470294</v>
      </c>
      <c r="M35" s="114">
        <f>Calculation!M170</f>
        <v>1.1472031046803863</v>
      </c>
      <c r="N35" s="114">
        <f>Calculation!N170</f>
        <v>-1.4944876283055351</v>
      </c>
      <c r="O35" s="195">
        <f>Calculation!O170</f>
        <v>-2.8599236528913821</v>
      </c>
      <c r="P35" s="265"/>
    </row>
    <row r="36" spans="1:16" ht="17.25" customHeight="1">
      <c r="A36" s="20"/>
      <c r="B36" s="186" t="s">
        <v>211</v>
      </c>
      <c r="C36" s="80"/>
      <c r="D36" s="80"/>
      <c r="E36" s="80"/>
      <c r="F36" s="80"/>
      <c r="G36" s="125"/>
      <c r="H36" s="125"/>
      <c r="I36" s="125"/>
      <c r="J36" s="196"/>
      <c r="K36" s="125"/>
      <c r="L36" s="125"/>
      <c r="M36" s="125"/>
      <c r="N36" s="125"/>
      <c r="O36" s="197"/>
      <c r="P36" s="265"/>
    </row>
    <row r="37" spans="1:16" ht="17.25" customHeight="1">
      <c r="A37" s="70"/>
      <c r="B37" s="198" t="s">
        <v>212</v>
      </c>
      <c r="C37" s="198"/>
      <c r="D37" s="198"/>
      <c r="E37" s="198"/>
      <c r="F37" s="198"/>
      <c r="G37" s="199">
        <f t="shared" ref="G37:O37" si="10">SUM(G33:G36)</f>
        <v>70</v>
      </c>
      <c r="H37" s="199">
        <f t="shared" si="10"/>
        <v>260</v>
      </c>
      <c r="I37" s="199">
        <f t="shared" si="10"/>
        <v>450</v>
      </c>
      <c r="J37" s="199">
        <f t="shared" si="10"/>
        <v>515.9894888888889</v>
      </c>
      <c r="K37" s="199">
        <f t="shared" si="10"/>
        <v>541.10406244444448</v>
      </c>
      <c r="L37" s="199">
        <f t="shared" si="10"/>
        <v>562.2134612363468</v>
      </c>
      <c r="M37" s="199">
        <f t="shared" si="10"/>
        <v>584.07037776588027</v>
      </c>
      <c r="N37" s="199">
        <f t="shared" si="10"/>
        <v>606.69935312073062</v>
      </c>
      <c r="O37" s="199">
        <f t="shared" si="10"/>
        <v>611.19585550363513</v>
      </c>
      <c r="P37" s="263"/>
    </row>
    <row r="38" spans="1:16" ht="17.25" customHeight="1">
      <c r="A38" s="20"/>
      <c r="B38" s="178" t="s">
        <v>213</v>
      </c>
      <c r="C38" s="20"/>
      <c r="D38" s="20"/>
      <c r="E38" s="20"/>
      <c r="F38" s="20"/>
      <c r="G38" s="20"/>
      <c r="H38" s="20"/>
      <c r="I38" s="20"/>
      <c r="J38" s="200">
        <f>(J8-Input!E15)/DCF!J11/2</f>
        <v>0.50137362637362637</v>
      </c>
      <c r="K38" s="201">
        <f>J38+1</f>
        <v>1.5013736263736264</v>
      </c>
      <c r="L38" s="201">
        <f>K38+1</f>
        <v>2.5013736263736264</v>
      </c>
      <c r="M38" s="201">
        <f>L38+1</f>
        <v>3.5013736263736264</v>
      </c>
      <c r="N38" s="201">
        <f>M38+1</f>
        <v>4.5013736263736259</v>
      </c>
      <c r="O38" s="202">
        <f>N38</f>
        <v>4.5013736263736259</v>
      </c>
      <c r="P38" s="265"/>
    </row>
    <row r="39" spans="1:16" ht="17.25" customHeight="1">
      <c r="A39" s="20"/>
      <c r="B39" s="178" t="s">
        <v>214</v>
      </c>
      <c r="C39" s="20"/>
      <c r="D39" s="20"/>
      <c r="E39" s="20"/>
      <c r="F39" s="20"/>
      <c r="G39" s="20"/>
      <c r="H39" s="20"/>
      <c r="I39" s="20"/>
      <c r="J39" s="200">
        <f>1/(1+$E$15)^DCF!J38</f>
        <v>0.95333776954450189</v>
      </c>
      <c r="K39" s="201">
        <f>1/(1+$E$15)^DCF!K38</f>
        <v>0.8666706995859107</v>
      </c>
      <c r="L39" s="201">
        <f>1/(1+$E$15)^DCF!L38</f>
        <v>0.7878824541690097</v>
      </c>
      <c r="M39" s="201">
        <f>1/(1+$E$15)^DCF!M38</f>
        <v>0.71625677651728148</v>
      </c>
      <c r="N39" s="201">
        <f>1/(1+$E$15)^DCF!N38</f>
        <v>0.65114252410661955</v>
      </c>
      <c r="O39" s="202">
        <f>1/(1+$E$15)^DCF!O38</f>
        <v>0.65114252410661955</v>
      </c>
      <c r="P39" s="265"/>
    </row>
    <row r="40" spans="1:16" ht="17.25" customHeight="1">
      <c r="A40" s="20"/>
      <c r="B40" s="186" t="s">
        <v>215</v>
      </c>
      <c r="C40" s="80"/>
      <c r="D40" s="80"/>
      <c r="E40" s="80"/>
      <c r="F40" s="80"/>
      <c r="G40" s="80"/>
      <c r="H40" s="80"/>
      <c r="I40" s="80"/>
      <c r="J40" s="196">
        <f t="shared" ref="J40:O40" si="11">J37*J39</f>
        <v>491.91226844574089</v>
      </c>
      <c r="K40" s="125">
        <f t="shared" si="11"/>
        <v>468.95903634750499</v>
      </c>
      <c r="L40" s="125">
        <f t="shared" si="11"/>
        <v>442.95812160574633</v>
      </c>
      <c r="M40" s="125">
        <f t="shared" si="11"/>
        <v>418.34436603782029</v>
      </c>
      <c r="N40" s="125">
        <f t="shared" si="11"/>
        <v>395.04774816488583</v>
      </c>
      <c r="O40" s="197">
        <f t="shared" si="11"/>
        <v>397.97561207614172</v>
      </c>
      <c r="P40" s="265"/>
    </row>
    <row r="41" spans="1:16" ht="17.25" customHeight="1">
      <c r="A41" s="70"/>
      <c r="B41" s="198" t="s">
        <v>216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199">
        <f>SUM(J40:O40)</f>
        <v>2615.1971526778398</v>
      </c>
      <c r="P41" s="263"/>
    </row>
    <row r="42" spans="1:16" ht="17.25" customHeight="1">
      <c r="A42" s="20"/>
      <c r="B42" s="186" t="s">
        <v>217</v>
      </c>
      <c r="C42" s="80"/>
      <c r="D42" s="80"/>
      <c r="E42" s="80"/>
      <c r="F42" s="80"/>
      <c r="G42" s="80"/>
      <c r="H42" s="80"/>
      <c r="I42" s="80"/>
      <c r="J42" s="171"/>
      <c r="K42" s="80"/>
      <c r="L42" s="80"/>
      <c r="M42" s="80"/>
      <c r="N42" s="80"/>
      <c r="O42" s="197">
        <f>Input!I253</f>
        <v>0</v>
      </c>
      <c r="P42" s="265"/>
    </row>
    <row r="43" spans="1:16" ht="17.25" customHeight="1">
      <c r="A43" s="70"/>
      <c r="B43" s="93" t="s">
        <v>218</v>
      </c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199">
        <f>O41+O42</f>
        <v>2615.1971526778398</v>
      </c>
      <c r="P43" s="263"/>
    </row>
    <row r="44" spans="1:16" ht="18" customHeight="1">
      <c r="A44" s="20"/>
      <c r="B44" s="186" t="s">
        <v>219</v>
      </c>
      <c r="C44" s="80"/>
      <c r="D44" s="80"/>
      <c r="E44" s="80"/>
      <c r="F44" s="80"/>
      <c r="G44" s="80"/>
      <c r="H44" s="80"/>
      <c r="I44" s="80"/>
      <c r="J44" s="171"/>
      <c r="K44" s="80"/>
      <c r="L44" s="80"/>
      <c r="M44" s="80"/>
      <c r="N44" s="80"/>
      <c r="O44" s="195">
        <f>Input!I248</f>
        <v>250</v>
      </c>
      <c r="P44" s="265"/>
    </row>
    <row r="45" spans="1:16" ht="18" customHeight="1">
      <c r="A45" s="70"/>
      <c r="B45" s="93" t="s">
        <v>220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199">
        <f>O43-O44</f>
        <v>2365.1971526778398</v>
      </c>
      <c r="P45" s="263"/>
    </row>
    <row r="46" spans="1:16" ht="17.25" customHeight="1">
      <c r="A46" s="20"/>
      <c r="B46" s="203" t="s">
        <v>221</v>
      </c>
      <c r="C46" s="80"/>
      <c r="D46" s="80"/>
      <c r="E46" s="80"/>
      <c r="F46" s="80"/>
      <c r="G46" s="80"/>
      <c r="H46" s="80"/>
      <c r="I46" s="80"/>
      <c r="J46" s="171"/>
      <c r="K46" s="80"/>
      <c r="L46" s="80"/>
      <c r="M46" s="80"/>
      <c r="N46" s="80"/>
      <c r="O46" s="204"/>
      <c r="P46" s="265"/>
    </row>
    <row r="47" spans="1:16" ht="17.25" customHeight="1">
      <c r="A47" s="70"/>
      <c r="B47" s="93" t="s">
        <v>222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205">
        <f>O45*O46</f>
        <v>0</v>
      </c>
      <c r="P47" s="263"/>
    </row>
    <row r="48" spans="1:16" ht="17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28" ht="17.25" customHeight="1">
      <c r="A49" s="13"/>
      <c r="B49" s="48" t="s">
        <v>223</v>
      </c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263"/>
    </row>
    <row r="50" spans="1:28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28" ht="16.5" customHeight="1">
      <c r="A51" s="8"/>
      <c r="B51" s="8"/>
      <c r="C51" s="8"/>
      <c r="D51" s="8"/>
      <c r="E51" s="8"/>
      <c r="F51" s="8"/>
      <c r="G51" s="8"/>
      <c r="H51" s="8"/>
      <c r="I51" s="8"/>
      <c r="J51" s="206"/>
      <c r="K51" s="207"/>
      <c r="L51" s="2" t="s">
        <v>224</v>
      </c>
      <c r="M51" s="2"/>
      <c r="N51" s="2"/>
      <c r="O51" s="8"/>
    </row>
    <row r="52" spans="1:28" ht="17.25" customHeight="1">
      <c r="A52" s="8"/>
      <c r="B52" s="8"/>
      <c r="C52" s="8"/>
      <c r="D52" s="8"/>
      <c r="E52" s="8"/>
      <c r="F52" s="8"/>
      <c r="G52" s="8"/>
      <c r="H52" s="8"/>
      <c r="I52" s="8"/>
      <c r="J52" s="208" t="s">
        <v>114</v>
      </c>
      <c r="K52" s="209">
        <f>O45</f>
        <v>2365.1971526778398</v>
      </c>
      <c r="L52" s="210">
        <v>5.0000000000000001E-3</v>
      </c>
      <c r="M52" s="210">
        <v>0.01</v>
      </c>
      <c r="N52" s="210">
        <v>1.4999999999999999E-2</v>
      </c>
      <c r="O52" s="8"/>
    </row>
    <row r="53" spans="1:28" ht="17.25" customHeight="1">
      <c r="A53" s="8"/>
      <c r="B53" s="8"/>
      <c r="C53" s="8"/>
      <c r="D53" s="8"/>
      <c r="E53" s="8"/>
      <c r="F53" s="8"/>
      <c r="G53" s="8"/>
      <c r="H53" s="8"/>
      <c r="I53" s="8"/>
      <c r="J53" s="1" t="s">
        <v>225</v>
      </c>
      <c r="K53" s="211">
        <v>0.09</v>
      </c>
      <c r="L53" s="212">
        <v>2429.0533046443502</v>
      </c>
      <c r="M53" s="212">
        <v>2431.0370531735098</v>
      </c>
      <c r="N53" s="212">
        <v>2433.0208017026598</v>
      </c>
      <c r="O53" s="8"/>
    </row>
    <row r="54" spans="1:28" ht="17.25" customHeight="1">
      <c r="A54" s="8"/>
      <c r="B54" s="8"/>
      <c r="C54" s="8"/>
      <c r="D54" s="8"/>
      <c r="E54" s="8"/>
      <c r="F54" s="8"/>
      <c r="G54" s="8"/>
      <c r="H54" s="8"/>
      <c r="I54" s="8"/>
      <c r="J54" s="1"/>
      <c r="K54" s="211">
        <v>0.1</v>
      </c>
      <c r="L54" s="212">
        <v>2363.2933000524199</v>
      </c>
      <c r="M54" s="213">
        <v>2365.1971526778402</v>
      </c>
      <c r="N54" s="212">
        <v>2367.1010053032601</v>
      </c>
      <c r="O54" s="8"/>
    </row>
    <row r="55" spans="1:28" ht="17.25" customHeight="1">
      <c r="A55" s="8"/>
      <c r="B55" s="8"/>
      <c r="C55" s="8"/>
      <c r="D55" s="8"/>
      <c r="E55" s="8"/>
      <c r="F55" s="8"/>
      <c r="G55" s="8"/>
      <c r="H55" s="8"/>
      <c r="I55" s="8"/>
      <c r="J55" s="1"/>
      <c r="K55" s="211">
        <v>0.11</v>
      </c>
      <c r="L55" s="212">
        <v>2300.1948388558399</v>
      </c>
      <c r="M55" s="212">
        <v>2302.02269329214</v>
      </c>
      <c r="N55" s="212">
        <v>2303.8505477284298</v>
      </c>
      <c r="O55" s="8"/>
    </row>
    <row r="56" spans="1:28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28" ht="17.25" customHeight="1">
      <c r="A57" s="13"/>
      <c r="B57" s="48" t="s">
        <v>226</v>
      </c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263"/>
    </row>
    <row r="58" spans="1:28" ht="17.25" customHeight="1">
      <c r="A58" s="8"/>
      <c r="B58" s="8"/>
      <c r="C58" s="8"/>
      <c r="D58" s="8"/>
      <c r="E58" s="8"/>
      <c r="F58" s="8"/>
      <c r="G58" s="108"/>
      <c r="H58" s="108"/>
      <c r="I58" s="108"/>
      <c r="J58" s="108"/>
      <c r="K58" s="214"/>
      <c r="L58" s="215"/>
      <c r="M58" s="216"/>
      <c r="N58" s="215"/>
      <c r="O58" s="8"/>
    </row>
    <row r="59" spans="1:28" ht="17.25" customHeight="1">
      <c r="A59" s="57"/>
      <c r="B59" s="123"/>
      <c r="C59" s="123"/>
      <c r="D59" s="123"/>
      <c r="E59" s="123"/>
      <c r="F59" s="123"/>
      <c r="G59" s="3" t="s">
        <v>29</v>
      </c>
      <c r="H59" s="3"/>
      <c r="I59" s="3"/>
      <c r="J59" s="3" t="s">
        <v>30</v>
      </c>
      <c r="K59" s="3"/>
      <c r="L59" s="3"/>
      <c r="M59" s="3"/>
      <c r="N59" s="3"/>
      <c r="O59" s="57"/>
      <c r="P59" s="263"/>
    </row>
    <row r="60" spans="1:28" ht="17.25" customHeight="1">
      <c r="A60" s="57"/>
      <c r="B60" s="123" t="s">
        <v>199</v>
      </c>
      <c r="C60" s="57"/>
      <c r="D60" s="57"/>
      <c r="E60" s="57"/>
      <c r="F60" s="57"/>
      <c r="G60" s="77" t="str">
        <f t="shared" ref="G60:N60" si="12">"FY"&amp;G10</f>
        <v>FY2023</v>
      </c>
      <c r="H60" s="77" t="str">
        <f t="shared" si="12"/>
        <v>FY2024</v>
      </c>
      <c r="I60" s="77" t="str">
        <f t="shared" si="12"/>
        <v>FY2025</v>
      </c>
      <c r="J60" s="77" t="str">
        <f t="shared" si="12"/>
        <v>FY2026</v>
      </c>
      <c r="K60" s="77" t="str">
        <f t="shared" si="12"/>
        <v>FY2027</v>
      </c>
      <c r="L60" s="77" t="str">
        <f t="shared" si="12"/>
        <v>FY2028</v>
      </c>
      <c r="M60" s="77" t="str">
        <f t="shared" si="12"/>
        <v>FY2029</v>
      </c>
      <c r="N60" s="77" t="str">
        <f t="shared" si="12"/>
        <v>FY2030</v>
      </c>
      <c r="O60" s="57"/>
      <c r="P60" s="263"/>
    </row>
    <row r="61" spans="1:28" ht="17.25" customHeight="1">
      <c r="A61" s="20"/>
      <c r="B61" s="173" t="s">
        <v>172</v>
      </c>
      <c r="C61" s="174"/>
      <c r="D61" s="174"/>
      <c r="E61" s="174"/>
      <c r="F61" s="174"/>
      <c r="G61" s="175">
        <f t="shared" ref="G61:N72" si="13">G20</f>
        <v>1000</v>
      </c>
      <c r="H61" s="175">
        <f t="shared" si="13"/>
        <v>1200</v>
      </c>
      <c r="I61" s="175">
        <f t="shared" si="13"/>
        <v>1400</v>
      </c>
      <c r="J61" s="176">
        <f t="shared" si="13"/>
        <v>2163</v>
      </c>
      <c r="K61" s="175">
        <f t="shared" si="13"/>
        <v>2227.8900000000003</v>
      </c>
      <c r="L61" s="175">
        <f t="shared" si="13"/>
        <v>2294.7266999999997</v>
      </c>
      <c r="M61" s="175">
        <f t="shared" si="13"/>
        <v>2363.5685010000002</v>
      </c>
      <c r="N61" s="177">
        <f t="shared" si="13"/>
        <v>2434.47555603</v>
      </c>
      <c r="O61" s="20"/>
      <c r="P61" s="265"/>
      <c r="W61" s="265"/>
      <c r="X61" s="265"/>
      <c r="Y61" s="20"/>
      <c r="Z61" s="20"/>
      <c r="AA61" s="20"/>
    </row>
    <row r="62" spans="1:28" ht="17.25" customHeight="1">
      <c r="A62" s="20"/>
      <c r="B62" s="178" t="s">
        <v>200</v>
      </c>
      <c r="C62" s="20"/>
      <c r="D62" s="20"/>
      <c r="E62" s="20"/>
      <c r="F62" s="20"/>
      <c r="G62" s="114">
        <f t="shared" si="13"/>
        <v>0</v>
      </c>
      <c r="H62" s="118">
        <f t="shared" si="13"/>
        <v>0.19999999999999996</v>
      </c>
      <c r="I62" s="118">
        <f t="shared" si="13"/>
        <v>0.16666666666666674</v>
      </c>
      <c r="J62" s="179">
        <f t="shared" si="13"/>
        <v>0.54499999999999993</v>
      </c>
      <c r="K62" s="118">
        <f t="shared" si="13"/>
        <v>3.0000000000000249E-2</v>
      </c>
      <c r="L62" s="118">
        <f t="shared" si="13"/>
        <v>2.9999999999999805E-2</v>
      </c>
      <c r="M62" s="118">
        <f t="shared" si="13"/>
        <v>3.0000000000000249E-2</v>
      </c>
      <c r="N62" s="180">
        <f t="shared" si="13"/>
        <v>3.0000000000000027E-2</v>
      </c>
      <c r="O62" s="20"/>
      <c r="P62" s="265"/>
    </row>
    <row r="63" spans="1:28" ht="17.25" customHeight="1">
      <c r="A63" s="20"/>
      <c r="B63" s="181" t="s">
        <v>129</v>
      </c>
      <c r="C63" s="182"/>
      <c r="D63" s="182"/>
      <c r="E63" s="182"/>
      <c r="F63" s="182"/>
      <c r="G63" s="183">
        <f t="shared" si="13"/>
        <v>600</v>
      </c>
      <c r="H63" s="183">
        <f t="shared" si="13"/>
        <v>600</v>
      </c>
      <c r="I63" s="183">
        <f t="shared" si="13"/>
        <v>600</v>
      </c>
      <c r="J63" s="184">
        <f t="shared" si="13"/>
        <v>948.68333333333328</v>
      </c>
      <c r="K63" s="183">
        <f t="shared" si="13"/>
        <v>969.49383333333344</v>
      </c>
      <c r="L63" s="183">
        <f t="shared" si="13"/>
        <v>990.77564833333327</v>
      </c>
      <c r="M63" s="183">
        <f t="shared" si="13"/>
        <v>1012.5398577833334</v>
      </c>
      <c r="N63" s="185">
        <f t="shared" si="13"/>
        <v>1034.7978123168332</v>
      </c>
      <c r="O63" s="20"/>
      <c r="P63" s="265"/>
      <c r="W63" s="265"/>
      <c r="X63" s="265"/>
      <c r="Y63" s="20"/>
      <c r="Z63" s="20"/>
      <c r="AA63" s="20"/>
      <c r="AB63" s="20"/>
    </row>
    <row r="64" spans="1:28" ht="17.25" customHeight="1">
      <c r="A64" s="20"/>
      <c r="B64" s="173" t="s">
        <v>201</v>
      </c>
      <c r="C64" s="174"/>
      <c r="D64" s="174"/>
      <c r="E64" s="174"/>
      <c r="F64" s="174"/>
      <c r="G64" s="175">
        <f t="shared" si="13"/>
        <v>400</v>
      </c>
      <c r="H64" s="175">
        <f t="shared" si="13"/>
        <v>600</v>
      </c>
      <c r="I64" s="175">
        <f t="shared" si="13"/>
        <v>800</v>
      </c>
      <c r="J64" s="176">
        <f t="shared" si="13"/>
        <v>1214.3166666666666</v>
      </c>
      <c r="K64" s="175">
        <f t="shared" si="13"/>
        <v>1258.3961666666669</v>
      </c>
      <c r="L64" s="175">
        <f t="shared" si="13"/>
        <v>1303.9510516666664</v>
      </c>
      <c r="M64" s="175">
        <f t="shared" si="13"/>
        <v>1351.0286432166668</v>
      </c>
      <c r="N64" s="177">
        <f t="shared" si="13"/>
        <v>1399.6777437131668</v>
      </c>
      <c r="O64" s="20"/>
      <c r="P64" s="265"/>
    </row>
    <row r="65" spans="1:29" ht="17.25" customHeight="1">
      <c r="A65" s="20"/>
      <c r="B65" s="186" t="s">
        <v>202</v>
      </c>
      <c r="C65" s="80"/>
      <c r="D65" s="80"/>
      <c r="E65" s="80"/>
      <c r="F65" s="80"/>
      <c r="G65" s="187">
        <f t="shared" si="13"/>
        <v>0.4</v>
      </c>
      <c r="H65" s="187">
        <f t="shared" si="13"/>
        <v>0.5</v>
      </c>
      <c r="I65" s="187">
        <f t="shared" si="13"/>
        <v>0.5714285714285714</v>
      </c>
      <c r="J65" s="188">
        <f t="shared" si="13"/>
        <v>0.56140391431653569</v>
      </c>
      <c r="K65" s="187">
        <f t="shared" si="13"/>
        <v>0.56483765655695151</v>
      </c>
      <c r="L65" s="187">
        <f t="shared" si="13"/>
        <v>0.56823806149406231</v>
      </c>
      <c r="M65" s="187">
        <f t="shared" si="13"/>
        <v>0.57160545279100694</v>
      </c>
      <c r="N65" s="189">
        <f t="shared" si="13"/>
        <v>0.57494015096856388</v>
      </c>
      <c r="O65" s="20"/>
      <c r="P65" s="265"/>
    </row>
    <row r="66" spans="1:29" ht="17.25" customHeight="1">
      <c r="A66" s="20"/>
      <c r="B66" s="173" t="s">
        <v>131</v>
      </c>
      <c r="C66" s="174"/>
      <c r="D66" s="174"/>
      <c r="E66" s="174"/>
      <c r="F66" s="174"/>
      <c r="G66" s="175">
        <f t="shared" si="13"/>
        <v>330</v>
      </c>
      <c r="H66" s="175">
        <f t="shared" si="13"/>
        <v>330</v>
      </c>
      <c r="I66" s="175">
        <f t="shared" si="13"/>
        <v>330</v>
      </c>
      <c r="J66" s="176">
        <f t="shared" si="13"/>
        <v>585.63</v>
      </c>
      <c r="K66" s="175">
        <f t="shared" si="13"/>
        <v>600.64890000000003</v>
      </c>
      <c r="L66" s="175">
        <f t="shared" si="13"/>
        <v>616.06736699999999</v>
      </c>
      <c r="M66" s="175">
        <f t="shared" si="13"/>
        <v>631.89636801000006</v>
      </c>
      <c r="N66" s="177">
        <f t="shared" si="13"/>
        <v>648.14717865030002</v>
      </c>
      <c r="O66" s="20"/>
      <c r="P66" s="265"/>
      <c r="Q66" s="265"/>
      <c r="R66" s="265"/>
      <c r="S66" s="265"/>
      <c r="T66" s="265"/>
      <c r="U66" s="265"/>
      <c r="V66" s="265"/>
      <c r="W66" s="265"/>
      <c r="X66" s="265"/>
      <c r="Y66" s="20"/>
      <c r="Z66" s="20"/>
      <c r="AA66" s="20"/>
      <c r="AB66" s="20"/>
      <c r="AC66" s="20"/>
    </row>
    <row r="67" spans="1:29" ht="17.25" customHeight="1">
      <c r="A67" s="20"/>
      <c r="B67" s="186" t="s">
        <v>203</v>
      </c>
      <c r="C67" s="80"/>
      <c r="D67" s="80"/>
      <c r="E67" s="80"/>
      <c r="F67" s="80"/>
      <c r="G67" s="187">
        <f t="shared" si="13"/>
        <v>0.33</v>
      </c>
      <c r="H67" s="187">
        <f t="shared" si="13"/>
        <v>0.27500000000000002</v>
      </c>
      <c r="I67" s="187">
        <f t="shared" si="13"/>
        <v>0.23571428571428571</v>
      </c>
      <c r="J67" s="188">
        <f t="shared" si="13"/>
        <v>0.270748959778086</v>
      </c>
      <c r="K67" s="187">
        <f t="shared" si="13"/>
        <v>0.26960437903128071</v>
      </c>
      <c r="L67" s="187">
        <f t="shared" si="13"/>
        <v>0.26847091071891049</v>
      </c>
      <c r="M67" s="187">
        <f t="shared" si="13"/>
        <v>0.26734844695326221</v>
      </c>
      <c r="N67" s="189">
        <f t="shared" si="13"/>
        <v>0.2662368808940766</v>
      </c>
      <c r="O67" s="20"/>
      <c r="P67" s="265"/>
    </row>
    <row r="68" spans="1:29" ht="17.25" customHeight="1">
      <c r="A68" s="20"/>
      <c r="B68" s="173" t="s">
        <v>204</v>
      </c>
      <c r="C68" s="174"/>
      <c r="D68" s="174"/>
      <c r="E68" s="174"/>
      <c r="F68" s="174"/>
      <c r="G68" s="175">
        <f t="shared" si="13"/>
        <v>70</v>
      </c>
      <c r="H68" s="175">
        <f t="shared" si="13"/>
        <v>270</v>
      </c>
      <c r="I68" s="175">
        <f t="shared" si="13"/>
        <v>470</v>
      </c>
      <c r="J68" s="176">
        <f t="shared" si="13"/>
        <v>628.68666666666661</v>
      </c>
      <c r="K68" s="175">
        <f t="shared" si="13"/>
        <v>657.74726666666686</v>
      </c>
      <c r="L68" s="175">
        <f t="shared" si="13"/>
        <v>687.88368466666645</v>
      </c>
      <c r="M68" s="175">
        <f t="shared" si="13"/>
        <v>719.13227520666669</v>
      </c>
      <c r="N68" s="177">
        <f t="shared" si="13"/>
        <v>751.5305650628668</v>
      </c>
      <c r="O68" s="20"/>
      <c r="P68" s="265"/>
    </row>
    <row r="69" spans="1:29" ht="17.25" customHeight="1">
      <c r="A69" s="20"/>
      <c r="B69" s="186" t="s">
        <v>205</v>
      </c>
      <c r="C69" s="80"/>
      <c r="D69" s="80"/>
      <c r="E69" s="80"/>
      <c r="F69" s="80"/>
      <c r="G69" s="187">
        <f t="shared" si="13"/>
        <v>7.0000000000000007E-2</v>
      </c>
      <c r="H69" s="187">
        <f t="shared" si="13"/>
        <v>0.22500000000000001</v>
      </c>
      <c r="I69" s="187">
        <f t="shared" si="13"/>
        <v>0.33571428571428569</v>
      </c>
      <c r="J69" s="188">
        <f t="shared" si="13"/>
        <v>0.29065495453844964</v>
      </c>
      <c r="K69" s="187">
        <f t="shared" si="13"/>
        <v>0.2952332775256708</v>
      </c>
      <c r="L69" s="187">
        <f t="shared" si="13"/>
        <v>0.29976715077515181</v>
      </c>
      <c r="M69" s="187">
        <f t="shared" si="13"/>
        <v>0.30425700583774479</v>
      </c>
      <c r="N69" s="189">
        <f t="shared" si="13"/>
        <v>0.30870327007448733</v>
      </c>
      <c r="O69" s="20"/>
      <c r="P69" s="265"/>
    </row>
    <row r="70" spans="1:29" ht="17.25" customHeight="1">
      <c r="A70" s="20"/>
      <c r="B70" s="190" t="s">
        <v>206</v>
      </c>
      <c r="C70" s="79"/>
      <c r="D70" s="79"/>
      <c r="E70" s="79"/>
      <c r="F70" s="79"/>
      <c r="G70" s="191">
        <f t="shared" si="13"/>
        <v>10</v>
      </c>
      <c r="H70" s="191">
        <f t="shared" si="13"/>
        <v>10</v>
      </c>
      <c r="I70" s="191">
        <f t="shared" si="13"/>
        <v>10</v>
      </c>
      <c r="J70" s="192">
        <f t="shared" si="13"/>
        <v>0</v>
      </c>
      <c r="K70" s="191">
        <f t="shared" si="13"/>
        <v>0</v>
      </c>
      <c r="L70" s="191">
        <f t="shared" si="13"/>
        <v>0</v>
      </c>
      <c r="M70" s="191">
        <f t="shared" si="13"/>
        <v>0</v>
      </c>
      <c r="N70" s="193">
        <f t="shared" si="13"/>
        <v>0</v>
      </c>
      <c r="O70" s="20"/>
      <c r="P70" s="265"/>
    </row>
    <row r="71" spans="1:29" ht="17.25" customHeight="1">
      <c r="A71" s="20"/>
      <c r="B71" s="173" t="s">
        <v>65</v>
      </c>
      <c r="C71" s="174"/>
      <c r="D71" s="174"/>
      <c r="E71" s="174"/>
      <c r="F71" s="174"/>
      <c r="G71" s="175">
        <f t="shared" si="13"/>
        <v>80</v>
      </c>
      <c r="H71" s="175">
        <f t="shared" si="13"/>
        <v>280</v>
      </c>
      <c r="I71" s="175">
        <f t="shared" si="13"/>
        <v>480</v>
      </c>
      <c r="J71" s="176">
        <f t="shared" si="13"/>
        <v>628.68666666666661</v>
      </c>
      <c r="K71" s="175">
        <f t="shared" si="13"/>
        <v>657.74726666666686</v>
      </c>
      <c r="L71" s="175">
        <f t="shared" si="13"/>
        <v>687.88368466666645</v>
      </c>
      <c r="M71" s="175">
        <f t="shared" si="13"/>
        <v>719.13227520666669</v>
      </c>
      <c r="N71" s="177">
        <f t="shared" si="13"/>
        <v>751.5305650628668</v>
      </c>
      <c r="O71" s="20"/>
      <c r="P71" s="265"/>
    </row>
    <row r="72" spans="1:29" ht="17.25" customHeight="1">
      <c r="A72" s="20"/>
      <c r="B72" s="186" t="s">
        <v>207</v>
      </c>
      <c r="C72" s="80"/>
      <c r="D72" s="80"/>
      <c r="E72" s="80"/>
      <c r="F72" s="80"/>
      <c r="G72" s="187">
        <f t="shared" si="13"/>
        <v>0.08</v>
      </c>
      <c r="H72" s="187">
        <f t="shared" si="13"/>
        <v>0.46666666666666667</v>
      </c>
      <c r="I72" s="187">
        <f t="shared" si="13"/>
        <v>0.6</v>
      </c>
      <c r="J72" s="188">
        <f t="shared" si="13"/>
        <v>0.51772876377660959</v>
      </c>
      <c r="K72" s="187">
        <f t="shared" si="13"/>
        <v>0.52268695986968605</v>
      </c>
      <c r="L72" s="187">
        <f t="shared" si="13"/>
        <v>0.52753796531506048</v>
      </c>
      <c r="M72" s="187">
        <f t="shared" si="13"/>
        <v>0.53228499544945496</v>
      </c>
      <c r="N72" s="189">
        <f t="shared" si="13"/>
        <v>0.5369311389271304</v>
      </c>
      <c r="O72" s="20"/>
      <c r="P72" s="265"/>
    </row>
    <row r="73" spans="1:29" ht="17.25" customHeight="1">
      <c r="A73" s="20"/>
      <c r="B73" s="217" t="s">
        <v>227</v>
      </c>
      <c r="C73" s="79"/>
      <c r="D73" s="79"/>
      <c r="E73" s="79"/>
      <c r="F73" s="79"/>
      <c r="G73" s="191">
        <f t="shared" ref="G73:N73" si="14">G74+G75-G76-G77</f>
        <v>0</v>
      </c>
      <c r="H73" s="191">
        <f t="shared" si="14"/>
        <v>0</v>
      </c>
      <c r="I73" s="191">
        <f t="shared" si="14"/>
        <v>0</v>
      </c>
      <c r="J73" s="192">
        <f t="shared" si="14"/>
        <v>-26.5</v>
      </c>
      <c r="K73" s="191">
        <f t="shared" si="14"/>
        <v>-14.150210222222221</v>
      </c>
      <c r="L73" s="191">
        <f t="shared" si="14"/>
        <v>-3.0451247688888863</v>
      </c>
      <c r="M73" s="191">
        <f t="shared" si="14"/>
        <v>8.260046951215827</v>
      </c>
      <c r="N73" s="193">
        <f t="shared" si="14"/>
        <v>19.776253567509123</v>
      </c>
      <c r="O73" s="20"/>
      <c r="P73" s="265"/>
    </row>
    <row r="74" spans="1:29" ht="17.25" customHeight="1">
      <c r="A74" s="20"/>
      <c r="B74" s="218" t="s">
        <v>68</v>
      </c>
      <c r="C74" s="20"/>
      <c r="D74" s="20"/>
      <c r="E74" s="20"/>
      <c r="F74" s="20"/>
      <c r="G74" s="114">
        <f>Input!G46</f>
        <v>10</v>
      </c>
      <c r="H74" s="114">
        <f>Input!H46</f>
        <v>10</v>
      </c>
      <c r="I74" s="114">
        <f>Input!I46</f>
        <v>10</v>
      </c>
      <c r="J74" s="194">
        <f>Calculation!J177</f>
        <v>1</v>
      </c>
      <c r="K74" s="114">
        <f>Calculation!K177</f>
        <v>10.849789777777778</v>
      </c>
      <c r="L74" s="114">
        <f>Calculation!L177</f>
        <v>21.954875231111114</v>
      </c>
      <c r="M74" s="114">
        <f>Calculation!M177</f>
        <v>33.260046951215827</v>
      </c>
      <c r="N74" s="195">
        <f>Calculation!N177</f>
        <v>44.776253567509123</v>
      </c>
      <c r="O74" s="20"/>
      <c r="P74" s="265"/>
    </row>
    <row r="75" spans="1:29" ht="17.25" customHeight="1">
      <c r="A75" s="20"/>
      <c r="B75" s="218" t="s">
        <v>69</v>
      </c>
      <c r="C75" s="20"/>
      <c r="D75" s="20"/>
      <c r="E75" s="20"/>
      <c r="F75" s="20"/>
      <c r="G75" s="114">
        <f>Input!G47</f>
        <v>10</v>
      </c>
      <c r="H75" s="114">
        <f>Input!H47</f>
        <v>10</v>
      </c>
      <c r="I75" s="114">
        <f>Input!I47</f>
        <v>10</v>
      </c>
      <c r="J75" s="194">
        <f>Calculation!J178</f>
        <v>10</v>
      </c>
      <c r="K75" s="114">
        <f>Calculation!K178</f>
        <v>10</v>
      </c>
      <c r="L75" s="114">
        <f>Calculation!L178</f>
        <v>10</v>
      </c>
      <c r="M75" s="114">
        <f>Calculation!M178</f>
        <v>10</v>
      </c>
      <c r="N75" s="195">
        <f>Calculation!N178</f>
        <v>10</v>
      </c>
      <c r="O75" s="20"/>
      <c r="P75" s="265"/>
    </row>
    <row r="76" spans="1:29" ht="17.25" customHeight="1">
      <c r="A76" s="20"/>
      <c r="B76" s="218" t="s">
        <v>71</v>
      </c>
      <c r="C76" s="20"/>
      <c r="D76" s="20"/>
      <c r="E76" s="20"/>
      <c r="F76" s="20"/>
      <c r="G76" s="114">
        <f>Input!G49</f>
        <v>10</v>
      </c>
      <c r="H76" s="114">
        <f>Input!H49</f>
        <v>10</v>
      </c>
      <c r="I76" s="114">
        <f>Input!I49</f>
        <v>10</v>
      </c>
      <c r="J76" s="194">
        <f>Calculation!J181</f>
        <v>27.5</v>
      </c>
      <c r="K76" s="114">
        <f>Calculation!K181</f>
        <v>25</v>
      </c>
      <c r="L76" s="114">
        <f>Calculation!L181</f>
        <v>25</v>
      </c>
      <c r="M76" s="114">
        <f>Calculation!M181</f>
        <v>25</v>
      </c>
      <c r="N76" s="195">
        <f>Calculation!N181</f>
        <v>25</v>
      </c>
      <c r="O76" s="20"/>
      <c r="P76" s="265"/>
    </row>
    <row r="77" spans="1:29" ht="17.25" customHeight="1">
      <c r="A77" s="20"/>
      <c r="B77" s="203" t="s">
        <v>69</v>
      </c>
      <c r="C77" s="80"/>
      <c r="D77" s="80"/>
      <c r="E77" s="80"/>
      <c r="F77" s="80"/>
      <c r="G77" s="125">
        <f>Input!G50</f>
        <v>10</v>
      </c>
      <c r="H77" s="125">
        <f>Input!H50</f>
        <v>10</v>
      </c>
      <c r="I77" s="125">
        <f>Input!I50</f>
        <v>10</v>
      </c>
      <c r="J77" s="196">
        <f>Calculation!J182</f>
        <v>10</v>
      </c>
      <c r="K77" s="125">
        <f>Calculation!K182</f>
        <v>10</v>
      </c>
      <c r="L77" s="125">
        <f>Calculation!L182</f>
        <v>10</v>
      </c>
      <c r="M77" s="125">
        <f>Calculation!M182</f>
        <v>10</v>
      </c>
      <c r="N77" s="197">
        <f>Calculation!N182</f>
        <v>10</v>
      </c>
      <c r="O77" s="20"/>
      <c r="P77" s="265"/>
    </row>
    <row r="78" spans="1:29" ht="17.25" customHeight="1">
      <c r="A78" s="20"/>
      <c r="B78" s="219" t="s">
        <v>228</v>
      </c>
      <c r="C78" s="152"/>
      <c r="D78" s="152"/>
      <c r="E78" s="152"/>
      <c r="F78" s="152"/>
      <c r="G78" s="220">
        <f t="shared" ref="G78:N78" si="15">G68-G73</f>
        <v>70</v>
      </c>
      <c r="H78" s="220">
        <f t="shared" si="15"/>
        <v>270</v>
      </c>
      <c r="I78" s="220">
        <f t="shared" si="15"/>
        <v>470</v>
      </c>
      <c r="J78" s="221">
        <f t="shared" si="15"/>
        <v>655.18666666666661</v>
      </c>
      <c r="K78" s="220">
        <f t="shared" si="15"/>
        <v>671.89747688888906</v>
      </c>
      <c r="L78" s="220">
        <f t="shared" si="15"/>
        <v>690.92880943555531</v>
      </c>
      <c r="M78" s="220">
        <f t="shared" si="15"/>
        <v>710.87222825545086</v>
      </c>
      <c r="N78" s="222">
        <f t="shared" si="15"/>
        <v>731.75431149535768</v>
      </c>
      <c r="O78" s="20"/>
      <c r="P78" s="265"/>
    </row>
    <row r="79" spans="1:29" ht="17.25" customHeight="1">
      <c r="A79" s="20"/>
      <c r="B79" s="223" t="s">
        <v>208</v>
      </c>
      <c r="C79" s="79"/>
      <c r="D79" s="79"/>
      <c r="E79" s="79"/>
      <c r="F79" s="79"/>
      <c r="G79" s="191">
        <f>Input!G52</f>
        <v>20</v>
      </c>
      <c r="H79" s="191">
        <f>Input!H52</f>
        <v>30</v>
      </c>
      <c r="I79" s="191">
        <f>Input!I52</f>
        <v>40</v>
      </c>
      <c r="J79" s="192">
        <f>J32</f>
        <v>116.31106666666666</v>
      </c>
      <c r="K79" s="191">
        <f>K32</f>
        <v>122.70439866666672</v>
      </c>
      <c r="L79" s="191">
        <f>L32</f>
        <v>129.33441062666662</v>
      </c>
      <c r="M79" s="191">
        <f>M32</f>
        <v>136.2091005454667</v>
      </c>
      <c r="N79" s="193">
        <f>N32</f>
        <v>143.3367243138307</v>
      </c>
      <c r="O79" s="20"/>
      <c r="P79" s="265"/>
    </row>
    <row r="80" spans="1:29" ht="17.25" customHeight="1">
      <c r="A80" s="70"/>
      <c r="B80" s="198" t="s">
        <v>229</v>
      </c>
      <c r="C80" s="198"/>
      <c r="D80" s="198"/>
      <c r="E80" s="198"/>
      <c r="F80" s="198"/>
      <c r="G80" s="199">
        <f t="shared" ref="G80:N80" si="16">G78-G79</f>
        <v>50</v>
      </c>
      <c r="H80" s="199">
        <f t="shared" si="16"/>
        <v>240</v>
      </c>
      <c r="I80" s="199">
        <f t="shared" si="16"/>
        <v>430</v>
      </c>
      <c r="J80" s="199">
        <f t="shared" si="16"/>
        <v>538.87559999999996</v>
      </c>
      <c r="K80" s="199">
        <f t="shared" si="16"/>
        <v>549.19307822222231</v>
      </c>
      <c r="L80" s="199">
        <f t="shared" si="16"/>
        <v>561.59439880888863</v>
      </c>
      <c r="M80" s="199">
        <f t="shared" si="16"/>
        <v>574.66312770998411</v>
      </c>
      <c r="N80" s="199">
        <f t="shared" si="16"/>
        <v>588.41758718152698</v>
      </c>
      <c r="O80" s="70"/>
      <c r="P80" s="263"/>
    </row>
    <row r="81" spans="1:16" ht="17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6" ht="17.25" customHeight="1">
      <c r="A82" s="13"/>
      <c r="B82" s="48" t="s">
        <v>230</v>
      </c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263"/>
    </row>
    <row r="83" spans="1:16" ht="17.25" customHeight="1">
      <c r="A83" s="8"/>
      <c r="B83" s="8"/>
      <c r="C83" s="8"/>
      <c r="D83" s="8"/>
      <c r="E83" s="8"/>
      <c r="F83" s="8"/>
      <c r="G83" s="108"/>
      <c r="H83" s="108"/>
      <c r="I83" s="108"/>
      <c r="J83" s="108"/>
      <c r="K83" s="108"/>
      <c r="L83" s="108"/>
      <c r="M83" s="108"/>
      <c r="N83" s="108"/>
      <c r="O83" s="8"/>
    </row>
    <row r="84" spans="1:16" ht="17.25" customHeight="1">
      <c r="A84" s="57"/>
      <c r="B84" s="123"/>
      <c r="C84" s="123"/>
      <c r="D84" s="123"/>
      <c r="E84" s="123"/>
      <c r="F84" s="123"/>
      <c r="G84" s="3" t="s">
        <v>29</v>
      </c>
      <c r="H84" s="3"/>
      <c r="I84" s="3"/>
      <c r="J84" s="3" t="s">
        <v>30</v>
      </c>
      <c r="K84" s="3"/>
      <c r="L84" s="3"/>
      <c r="M84" s="3"/>
      <c r="N84" s="3"/>
      <c r="O84" s="57"/>
      <c r="P84" s="263"/>
    </row>
    <row r="85" spans="1:16" ht="17.25" customHeight="1">
      <c r="A85" s="57"/>
      <c r="B85" s="123" t="s">
        <v>199</v>
      </c>
      <c r="C85" s="123"/>
      <c r="D85" s="123"/>
      <c r="E85" s="123"/>
      <c r="F85" s="123"/>
      <c r="G85" s="77" t="str">
        <f t="shared" ref="G85:N85" si="17">"Dec"&amp;G10</f>
        <v>Dec2023</v>
      </c>
      <c r="H85" s="77" t="str">
        <f t="shared" si="17"/>
        <v>Dec2024</v>
      </c>
      <c r="I85" s="77" t="str">
        <f t="shared" si="17"/>
        <v>Dec2025</v>
      </c>
      <c r="J85" s="77" t="str">
        <f t="shared" si="17"/>
        <v>Dec2026</v>
      </c>
      <c r="K85" s="77" t="str">
        <f t="shared" si="17"/>
        <v>Dec2027</v>
      </c>
      <c r="L85" s="77" t="str">
        <f t="shared" si="17"/>
        <v>Dec2028</v>
      </c>
      <c r="M85" s="77" t="str">
        <f t="shared" si="17"/>
        <v>Dec2029</v>
      </c>
      <c r="N85" s="77" t="str">
        <f t="shared" si="17"/>
        <v>Dec2030</v>
      </c>
      <c r="O85" s="57"/>
      <c r="P85" s="263"/>
    </row>
    <row r="86" spans="1:16" ht="17.25" customHeight="1">
      <c r="A86" s="20"/>
      <c r="B86" s="224" t="s">
        <v>76</v>
      </c>
      <c r="C86" s="152"/>
      <c r="D86" s="152"/>
      <c r="E86" s="152"/>
      <c r="F86" s="152"/>
      <c r="G86" s="220">
        <f t="shared" ref="G86:N86" si="18">SUM(G87:G90)</f>
        <v>250</v>
      </c>
      <c r="H86" s="220">
        <f t="shared" si="18"/>
        <v>250</v>
      </c>
      <c r="I86" s="220">
        <f t="shared" si="18"/>
        <v>250</v>
      </c>
      <c r="J86" s="221">
        <f t="shared" si="18"/>
        <v>855.10337777777772</v>
      </c>
      <c r="K86" s="220">
        <f t="shared" si="18"/>
        <v>1418.4610671111113</v>
      </c>
      <c r="L86" s="220">
        <f t="shared" si="18"/>
        <v>1991.1391974207609</v>
      </c>
      <c r="M86" s="220">
        <f t="shared" si="18"/>
        <v>2576.3956428393449</v>
      </c>
      <c r="N86" s="222">
        <f t="shared" si="18"/>
        <v>3172.0931911264834</v>
      </c>
      <c r="O86" s="20"/>
      <c r="P86" s="265"/>
    </row>
    <row r="87" spans="1:16" ht="17.25" customHeight="1">
      <c r="A87" s="20"/>
      <c r="B87" s="225" t="s">
        <v>77</v>
      </c>
      <c r="C87" s="20"/>
      <c r="D87" s="20"/>
      <c r="E87" s="20"/>
      <c r="F87" s="20"/>
      <c r="G87" s="114">
        <f>Input!G57</f>
        <v>50</v>
      </c>
      <c r="H87" s="114">
        <f>Input!H57</f>
        <v>50</v>
      </c>
      <c r="I87" s="114">
        <f>Input!I57</f>
        <v>50</v>
      </c>
      <c r="J87" s="194">
        <f>J129</f>
        <v>542.4894888888889</v>
      </c>
      <c r="K87" s="114">
        <f>K129</f>
        <v>1097.7437615555557</v>
      </c>
      <c r="L87" s="114">
        <f>L129</f>
        <v>1663.0023475607913</v>
      </c>
      <c r="M87" s="114">
        <f>M129</f>
        <v>2238.812678375456</v>
      </c>
      <c r="N87" s="195">
        <f>N129</f>
        <v>2825.7357779286776</v>
      </c>
      <c r="O87" s="20"/>
      <c r="P87" s="265"/>
    </row>
    <row r="88" spans="1:16" ht="17.25" customHeight="1">
      <c r="A88" s="20"/>
      <c r="B88" s="225" t="s">
        <v>78</v>
      </c>
      <c r="C88" s="20"/>
      <c r="D88" s="20"/>
      <c r="E88" s="20"/>
      <c r="F88" s="20"/>
      <c r="G88" s="114">
        <f>Input!G58</f>
        <v>100</v>
      </c>
      <c r="H88" s="114">
        <f>Input!H58</f>
        <v>100</v>
      </c>
      <c r="I88" s="114">
        <f>Input!I58</f>
        <v>100</v>
      </c>
      <c r="J88" s="194">
        <f>Calculation!J165</f>
        <v>154.5</v>
      </c>
      <c r="K88" s="114">
        <f>Calculation!K165</f>
        <v>159.13500000000002</v>
      </c>
      <c r="L88" s="114">
        <f>Calculation!L165</f>
        <v>163.45998410958902</v>
      </c>
      <c r="M88" s="114">
        <f>Calculation!M165</f>
        <v>168.82632150000001</v>
      </c>
      <c r="N88" s="195">
        <f>Calculation!N165</f>
        <v>173.891111145</v>
      </c>
      <c r="O88" s="20"/>
      <c r="P88" s="265"/>
    </row>
    <row r="89" spans="1:16" ht="17.25" customHeight="1">
      <c r="A89" s="20"/>
      <c r="B89" s="225" t="s">
        <v>79</v>
      </c>
      <c r="C89" s="20"/>
      <c r="D89" s="20"/>
      <c r="E89" s="20"/>
      <c r="F89" s="20"/>
      <c r="G89" s="114">
        <f>Input!G59</f>
        <v>100</v>
      </c>
      <c r="H89" s="114">
        <f>Input!H59</f>
        <v>100</v>
      </c>
      <c r="I89" s="114">
        <f>Input!I59</f>
        <v>100</v>
      </c>
      <c r="J89" s="194">
        <f>Calculation!J166</f>
        <v>158.11388888888888</v>
      </c>
      <c r="K89" s="114">
        <f>Calculation!K166</f>
        <v>161.58230555555556</v>
      </c>
      <c r="L89" s="114">
        <f>Calculation!L166</f>
        <v>164.6768657503805</v>
      </c>
      <c r="M89" s="114">
        <f>Calculation!M166</f>
        <v>168.75664296388888</v>
      </c>
      <c r="N89" s="195">
        <f>Calculation!N166</f>
        <v>172.46630205280553</v>
      </c>
      <c r="O89" s="20"/>
      <c r="P89" s="265"/>
    </row>
    <row r="90" spans="1:16" ht="17.25" customHeight="1">
      <c r="A90" s="20"/>
      <c r="B90" s="226" t="s">
        <v>80</v>
      </c>
      <c r="C90" s="80"/>
      <c r="D90" s="80"/>
      <c r="E90" s="80"/>
      <c r="F90" s="80"/>
      <c r="G90" s="125">
        <f>Input!G60</f>
        <v>0</v>
      </c>
      <c r="H90" s="125">
        <f>Input!H60</f>
        <v>0</v>
      </c>
      <c r="I90" s="125">
        <f>Input!I60</f>
        <v>0</v>
      </c>
      <c r="J90" s="196">
        <f>I90</f>
        <v>0</v>
      </c>
      <c r="K90" s="125">
        <f>J90</f>
        <v>0</v>
      </c>
      <c r="L90" s="125">
        <f>K90</f>
        <v>0</v>
      </c>
      <c r="M90" s="125">
        <f>L90</f>
        <v>0</v>
      </c>
      <c r="N90" s="197">
        <f>M90</f>
        <v>0</v>
      </c>
      <c r="O90" s="20"/>
      <c r="P90" s="265"/>
    </row>
    <row r="91" spans="1:16" ht="17.25" customHeight="1">
      <c r="A91" s="20"/>
      <c r="B91" s="227" t="s">
        <v>81</v>
      </c>
      <c r="C91" s="182"/>
      <c r="D91" s="182"/>
      <c r="E91" s="182"/>
      <c r="F91" s="182"/>
      <c r="G91" s="183">
        <f t="shared" ref="G91:N91" si="19">SUM(G92:G96)</f>
        <v>0</v>
      </c>
      <c r="H91" s="183">
        <f t="shared" si="19"/>
        <v>0</v>
      </c>
      <c r="I91" s="183">
        <f t="shared" si="19"/>
        <v>0</v>
      </c>
      <c r="J91" s="184">
        <f t="shared" si="19"/>
        <v>0</v>
      </c>
      <c r="K91" s="183">
        <f t="shared" si="19"/>
        <v>0</v>
      </c>
      <c r="L91" s="183">
        <f t="shared" si="19"/>
        <v>0</v>
      </c>
      <c r="M91" s="183">
        <f t="shared" si="19"/>
        <v>0</v>
      </c>
      <c r="N91" s="185">
        <f t="shared" si="19"/>
        <v>0</v>
      </c>
      <c r="O91" s="20"/>
      <c r="P91" s="265"/>
    </row>
    <row r="92" spans="1:16" ht="17.25" customHeight="1">
      <c r="A92" s="20"/>
      <c r="B92" s="225" t="s">
        <v>82</v>
      </c>
      <c r="C92" s="20"/>
      <c r="D92" s="20"/>
      <c r="E92" s="20"/>
      <c r="F92" s="20"/>
      <c r="G92" s="150">
        <f>Input!G62</f>
        <v>0</v>
      </c>
      <c r="H92" s="150">
        <f>Input!H62</f>
        <v>0</v>
      </c>
      <c r="I92" s="228">
        <f>Input!I62</f>
        <v>0</v>
      </c>
      <c r="J92" s="194">
        <f t="shared" ref="J92:N96" si="20">I92</f>
        <v>0</v>
      </c>
      <c r="K92" s="114">
        <f t="shared" si="20"/>
        <v>0</v>
      </c>
      <c r="L92" s="114">
        <f t="shared" si="20"/>
        <v>0</v>
      </c>
      <c r="M92" s="114">
        <f t="shared" si="20"/>
        <v>0</v>
      </c>
      <c r="N92" s="195">
        <f t="shared" si="20"/>
        <v>0</v>
      </c>
      <c r="O92" s="20"/>
      <c r="P92" s="265"/>
    </row>
    <row r="93" spans="1:16" ht="17.25" customHeight="1">
      <c r="A93" s="20"/>
      <c r="B93" s="225" t="s">
        <v>83</v>
      </c>
      <c r="C93" s="20"/>
      <c r="D93" s="20"/>
      <c r="E93" s="20"/>
      <c r="F93" s="20"/>
      <c r="G93" s="114">
        <f>Input!G63</f>
        <v>0</v>
      </c>
      <c r="H93" s="114">
        <f>Input!H63</f>
        <v>0</v>
      </c>
      <c r="I93" s="114">
        <f>Input!I63</f>
        <v>0</v>
      </c>
      <c r="J93" s="194">
        <f t="shared" si="20"/>
        <v>0</v>
      </c>
      <c r="K93" s="114">
        <f t="shared" si="20"/>
        <v>0</v>
      </c>
      <c r="L93" s="114">
        <f t="shared" si="20"/>
        <v>0</v>
      </c>
      <c r="M93" s="114">
        <f t="shared" si="20"/>
        <v>0</v>
      </c>
      <c r="N93" s="195">
        <f t="shared" si="20"/>
        <v>0</v>
      </c>
      <c r="O93" s="20"/>
      <c r="P93" s="265"/>
    </row>
    <row r="94" spans="1:16" ht="17.25" customHeight="1">
      <c r="A94" s="20"/>
      <c r="B94" s="225" t="s">
        <v>84</v>
      </c>
      <c r="C94" s="20"/>
      <c r="D94" s="20"/>
      <c r="E94" s="20"/>
      <c r="F94" s="20"/>
      <c r="G94" s="114">
        <f>Input!G64</f>
        <v>0</v>
      </c>
      <c r="H94" s="114">
        <f>Input!H64</f>
        <v>0</v>
      </c>
      <c r="I94" s="114">
        <f>Input!I64</f>
        <v>0</v>
      </c>
      <c r="J94" s="194">
        <f t="shared" si="20"/>
        <v>0</v>
      </c>
      <c r="K94" s="114">
        <f t="shared" si="20"/>
        <v>0</v>
      </c>
      <c r="L94" s="114">
        <f t="shared" si="20"/>
        <v>0</v>
      </c>
      <c r="M94" s="114">
        <f t="shared" si="20"/>
        <v>0</v>
      </c>
      <c r="N94" s="195">
        <f t="shared" si="20"/>
        <v>0</v>
      </c>
      <c r="O94" s="20"/>
      <c r="P94" s="265"/>
    </row>
    <row r="95" spans="1:16" ht="17.25" customHeight="1">
      <c r="A95" s="20"/>
      <c r="B95" s="225" t="s">
        <v>85</v>
      </c>
      <c r="C95" s="20"/>
      <c r="D95" s="20"/>
      <c r="E95" s="20"/>
      <c r="F95" s="20"/>
      <c r="G95" s="114">
        <f>Input!G65</f>
        <v>0</v>
      </c>
      <c r="H95" s="114">
        <f>Input!H65</f>
        <v>0</v>
      </c>
      <c r="I95" s="114">
        <f>Input!I65</f>
        <v>0</v>
      </c>
      <c r="J95" s="194">
        <f t="shared" si="20"/>
        <v>0</v>
      </c>
      <c r="K95" s="114">
        <f t="shared" si="20"/>
        <v>0</v>
      </c>
      <c r="L95" s="114">
        <f t="shared" si="20"/>
        <v>0</v>
      </c>
      <c r="M95" s="114">
        <f t="shared" si="20"/>
        <v>0</v>
      </c>
      <c r="N95" s="195">
        <f t="shared" si="20"/>
        <v>0</v>
      </c>
      <c r="O95" s="20"/>
      <c r="P95" s="265"/>
    </row>
    <row r="96" spans="1:16" ht="17.25" customHeight="1">
      <c r="A96" s="20"/>
      <c r="B96" s="226" t="s">
        <v>86</v>
      </c>
      <c r="C96" s="80"/>
      <c r="D96" s="80"/>
      <c r="E96" s="80"/>
      <c r="F96" s="80"/>
      <c r="G96" s="125">
        <f>Input!G66</f>
        <v>0</v>
      </c>
      <c r="H96" s="125">
        <f>Input!H66</f>
        <v>0</v>
      </c>
      <c r="I96" s="125">
        <f>Input!I66</f>
        <v>0</v>
      </c>
      <c r="J96" s="196">
        <f t="shared" si="20"/>
        <v>0</v>
      </c>
      <c r="K96" s="125">
        <f t="shared" si="20"/>
        <v>0</v>
      </c>
      <c r="L96" s="125">
        <f t="shared" si="20"/>
        <v>0</v>
      </c>
      <c r="M96" s="125">
        <f t="shared" si="20"/>
        <v>0</v>
      </c>
      <c r="N96" s="197">
        <f t="shared" si="20"/>
        <v>0</v>
      </c>
      <c r="O96" s="20"/>
      <c r="P96" s="265"/>
    </row>
    <row r="97" spans="1:16" ht="17.25" customHeight="1">
      <c r="A97" s="20"/>
      <c r="B97" s="227" t="s">
        <v>87</v>
      </c>
      <c r="C97" s="182"/>
      <c r="D97" s="182"/>
      <c r="E97" s="182"/>
      <c r="F97" s="182"/>
      <c r="G97" s="220">
        <f t="shared" ref="G97:N97" si="21">SUM(G91,G86)</f>
        <v>250</v>
      </c>
      <c r="H97" s="183">
        <f t="shared" si="21"/>
        <v>250</v>
      </c>
      <c r="I97" s="183">
        <f t="shared" si="21"/>
        <v>250</v>
      </c>
      <c r="J97" s="184">
        <f t="shared" si="21"/>
        <v>855.10337777777772</v>
      </c>
      <c r="K97" s="183">
        <f t="shared" si="21"/>
        <v>1418.4610671111113</v>
      </c>
      <c r="L97" s="183">
        <f t="shared" si="21"/>
        <v>1991.1391974207609</v>
      </c>
      <c r="M97" s="183">
        <f t="shared" si="21"/>
        <v>2576.3956428393449</v>
      </c>
      <c r="N97" s="185">
        <f t="shared" si="21"/>
        <v>3172.0931911264834</v>
      </c>
      <c r="O97" s="20"/>
      <c r="P97" s="265"/>
    </row>
    <row r="98" spans="1:16" ht="17.25" customHeight="1">
      <c r="A98" s="20"/>
      <c r="B98" s="224" t="s">
        <v>88</v>
      </c>
      <c r="C98" s="152"/>
      <c r="D98" s="152"/>
      <c r="E98" s="152"/>
      <c r="F98" s="152"/>
      <c r="G98" s="220">
        <f t="shared" ref="G98:N98" si="22">SUM(G99:G102)</f>
        <v>300</v>
      </c>
      <c r="H98" s="220">
        <f t="shared" si="22"/>
        <v>300</v>
      </c>
      <c r="I98" s="220">
        <f t="shared" si="22"/>
        <v>300</v>
      </c>
      <c r="J98" s="221">
        <f t="shared" si="22"/>
        <v>366.22777777777776</v>
      </c>
      <c r="K98" s="220">
        <f t="shared" si="22"/>
        <v>373.16461111111113</v>
      </c>
      <c r="L98" s="220">
        <f t="shared" si="22"/>
        <v>379.353731500761</v>
      </c>
      <c r="M98" s="220">
        <f t="shared" si="22"/>
        <v>387.51328592777776</v>
      </c>
      <c r="N98" s="222">
        <f t="shared" si="22"/>
        <v>394.93260410561106</v>
      </c>
      <c r="O98" s="20"/>
      <c r="P98" s="265"/>
    </row>
    <row r="99" spans="1:16" ht="17.25" customHeight="1">
      <c r="A99" s="20"/>
      <c r="B99" s="225" t="s">
        <v>89</v>
      </c>
      <c r="C99" s="20"/>
      <c r="D99" s="20"/>
      <c r="E99" s="20"/>
      <c r="F99" s="20"/>
      <c r="G99" s="114">
        <f>Input!G69</f>
        <v>200</v>
      </c>
      <c r="H99" s="114">
        <f>Input!H69</f>
        <v>200</v>
      </c>
      <c r="I99" s="114">
        <f>Input!I69</f>
        <v>200</v>
      </c>
      <c r="J99" s="194">
        <f>Calculation!J168</f>
        <v>316.22777777777776</v>
      </c>
      <c r="K99" s="114">
        <f>Calculation!K168</f>
        <v>323.16461111111113</v>
      </c>
      <c r="L99" s="114">
        <f>Calculation!L168</f>
        <v>329.353731500761</v>
      </c>
      <c r="M99" s="114">
        <f>Calculation!M168</f>
        <v>337.51328592777776</v>
      </c>
      <c r="N99" s="195">
        <f>Calculation!N168</f>
        <v>344.93260410561106</v>
      </c>
      <c r="O99" s="20"/>
      <c r="P99" s="265"/>
    </row>
    <row r="100" spans="1:16" ht="17.25" customHeight="1">
      <c r="A100" s="20"/>
      <c r="B100" s="225" t="s">
        <v>90</v>
      </c>
      <c r="C100" s="20"/>
      <c r="D100" s="20"/>
      <c r="E100" s="20"/>
      <c r="F100" s="20"/>
      <c r="G100" s="114">
        <f>Input!G70</f>
        <v>0</v>
      </c>
      <c r="H100" s="114">
        <f>Input!H70</f>
        <v>0</v>
      </c>
      <c r="I100" s="114">
        <f>Input!I70</f>
        <v>0</v>
      </c>
      <c r="J100" s="194">
        <f>I100</f>
        <v>0</v>
      </c>
      <c r="K100" s="114">
        <f>J100</f>
        <v>0</v>
      </c>
      <c r="L100" s="114">
        <f>K100</f>
        <v>0</v>
      </c>
      <c r="M100" s="114">
        <f>L100</f>
        <v>0</v>
      </c>
      <c r="N100" s="195">
        <f>M100</f>
        <v>0</v>
      </c>
      <c r="O100" s="20"/>
      <c r="P100" s="265"/>
    </row>
    <row r="101" spans="1:16" ht="17.25" customHeight="1">
      <c r="A101" s="20"/>
      <c r="B101" s="225" t="s">
        <v>91</v>
      </c>
      <c r="C101" s="20"/>
      <c r="D101" s="20"/>
      <c r="E101" s="20"/>
      <c r="F101" s="20"/>
      <c r="G101" s="114">
        <f>Input!G71</f>
        <v>100</v>
      </c>
      <c r="H101" s="114">
        <f>Input!H71</f>
        <v>100</v>
      </c>
      <c r="I101" s="114">
        <f>Input!I71</f>
        <v>100</v>
      </c>
      <c r="J101" s="194">
        <f>Calculation!J188</f>
        <v>50</v>
      </c>
      <c r="K101" s="114">
        <f>Calculation!K188</f>
        <v>50</v>
      </c>
      <c r="L101" s="114">
        <f>Calculation!L188</f>
        <v>50</v>
      </c>
      <c r="M101" s="114">
        <f>Calculation!M188</f>
        <v>50</v>
      </c>
      <c r="N101" s="195">
        <f>Calculation!N188</f>
        <v>50</v>
      </c>
      <c r="O101" s="20"/>
      <c r="P101" s="265"/>
    </row>
    <row r="102" spans="1:16" ht="17.25" customHeight="1">
      <c r="A102" s="20"/>
      <c r="B102" s="226" t="s">
        <v>92</v>
      </c>
      <c r="C102" s="80"/>
      <c r="D102" s="80"/>
      <c r="E102" s="80"/>
      <c r="F102" s="80"/>
      <c r="G102" s="125">
        <f>Input!G72</f>
        <v>0</v>
      </c>
      <c r="H102" s="125">
        <f>Input!H72</f>
        <v>0</v>
      </c>
      <c r="I102" s="125">
        <f>Input!I72</f>
        <v>0</v>
      </c>
      <c r="J102" s="196">
        <f>I102</f>
        <v>0</v>
      </c>
      <c r="K102" s="125">
        <f>J102</f>
        <v>0</v>
      </c>
      <c r="L102" s="125">
        <f>K102</f>
        <v>0</v>
      </c>
      <c r="M102" s="125">
        <f>L102</f>
        <v>0</v>
      </c>
      <c r="N102" s="197">
        <f>M102</f>
        <v>0</v>
      </c>
      <c r="O102" s="20"/>
      <c r="P102" s="265"/>
    </row>
    <row r="103" spans="1:16" ht="17.25" customHeight="1">
      <c r="A103" s="20"/>
      <c r="B103" s="227" t="s">
        <v>93</v>
      </c>
      <c r="C103" s="182"/>
      <c r="D103" s="182"/>
      <c r="E103" s="182"/>
      <c r="F103" s="182"/>
      <c r="G103" s="183">
        <f t="shared" ref="G103:N103" si="23">SUM(G104:G107)</f>
        <v>200</v>
      </c>
      <c r="H103" s="183">
        <f t="shared" si="23"/>
        <v>200</v>
      </c>
      <c r="I103" s="183">
        <f t="shared" si="23"/>
        <v>200</v>
      </c>
      <c r="J103" s="184">
        <f t="shared" si="23"/>
        <v>200</v>
      </c>
      <c r="K103" s="183">
        <f t="shared" si="23"/>
        <v>200</v>
      </c>
      <c r="L103" s="183">
        <f t="shared" si="23"/>
        <v>200</v>
      </c>
      <c r="M103" s="183">
        <f t="shared" si="23"/>
        <v>200</v>
      </c>
      <c r="N103" s="185">
        <f t="shared" si="23"/>
        <v>200</v>
      </c>
      <c r="O103" s="20"/>
      <c r="P103" s="265"/>
    </row>
    <row r="104" spans="1:16" ht="17.25" customHeight="1">
      <c r="A104" s="20"/>
      <c r="B104" s="225" t="s">
        <v>94</v>
      </c>
      <c r="C104" s="20"/>
      <c r="D104" s="20"/>
      <c r="E104" s="20"/>
      <c r="F104" s="20"/>
      <c r="G104" s="114">
        <f>Input!G74</f>
        <v>200</v>
      </c>
      <c r="H104" s="114">
        <f>Input!H74</f>
        <v>200</v>
      </c>
      <c r="I104" s="114">
        <f>Input!I74</f>
        <v>200</v>
      </c>
      <c r="J104" s="194">
        <f>Calculation!J194</f>
        <v>200</v>
      </c>
      <c r="K104" s="114">
        <f>Calculation!K194</f>
        <v>200</v>
      </c>
      <c r="L104" s="114">
        <f>Calculation!L194</f>
        <v>200</v>
      </c>
      <c r="M104" s="114">
        <f>Calculation!M194</f>
        <v>200</v>
      </c>
      <c r="N104" s="195">
        <f>Calculation!N194</f>
        <v>200</v>
      </c>
      <c r="O104" s="20"/>
      <c r="P104" s="265"/>
    </row>
    <row r="105" spans="1:16" ht="17.25" customHeight="1">
      <c r="A105" s="20"/>
      <c r="B105" s="225" t="s">
        <v>95</v>
      </c>
      <c r="C105" s="20"/>
      <c r="D105" s="20"/>
      <c r="E105" s="20"/>
      <c r="F105" s="20"/>
      <c r="G105" s="114">
        <f>Input!G75</f>
        <v>0</v>
      </c>
      <c r="H105" s="114">
        <f>Input!H75</f>
        <v>0</v>
      </c>
      <c r="I105" s="114">
        <f>Input!I75</f>
        <v>0</v>
      </c>
      <c r="J105" s="194">
        <f>Calculation!J200</f>
        <v>0</v>
      </c>
      <c r="K105" s="114">
        <f>Calculation!K200</f>
        <v>0</v>
      </c>
      <c r="L105" s="114">
        <f>Calculation!L200</f>
        <v>0</v>
      </c>
      <c r="M105" s="114">
        <f>Calculation!M200</f>
        <v>0</v>
      </c>
      <c r="N105" s="195">
        <f>Calculation!N200</f>
        <v>0</v>
      </c>
      <c r="O105" s="20"/>
      <c r="P105" s="265"/>
    </row>
    <row r="106" spans="1:16" ht="17.25" customHeight="1">
      <c r="A106" s="20"/>
      <c r="B106" s="225" t="s">
        <v>96</v>
      </c>
      <c r="C106" s="20"/>
      <c r="D106" s="20"/>
      <c r="E106" s="20"/>
      <c r="F106" s="20"/>
      <c r="G106" s="114">
        <f>Input!G76</f>
        <v>0</v>
      </c>
      <c r="H106" s="114">
        <f>Input!H76</f>
        <v>0</v>
      </c>
      <c r="I106" s="114">
        <f>Input!I76</f>
        <v>0</v>
      </c>
      <c r="J106" s="194">
        <f t="shared" ref="J106:N107" si="24">I106</f>
        <v>0</v>
      </c>
      <c r="K106" s="114">
        <f t="shared" si="24"/>
        <v>0</v>
      </c>
      <c r="L106" s="114">
        <f t="shared" si="24"/>
        <v>0</v>
      </c>
      <c r="M106" s="114">
        <f t="shared" si="24"/>
        <v>0</v>
      </c>
      <c r="N106" s="195">
        <f t="shared" si="24"/>
        <v>0</v>
      </c>
      <c r="O106" s="20"/>
      <c r="P106" s="265"/>
    </row>
    <row r="107" spans="1:16" ht="17.25" customHeight="1">
      <c r="A107" s="20"/>
      <c r="B107" s="226" t="s">
        <v>97</v>
      </c>
      <c r="C107" s="80"/>
      <c r="D107" s="80"/>
      <c r="E107" s="80"/>
      <c r="F107" s="80"/>
      <c r="G107" s="125">
        <f>Input!G77</f>
        <v>0</v>
      </c>
      <c r="H107" s="125">
        <f>Input!H77</f>
        <v>0</v>
      </c>
      <c r="I107" s="125">
        <f>Input!I77</f>
        <v>0</v>
      </c>
      <c r="J107" s="196">
        <f t="shared" si="24"/>
        <v>0</v>
      </c>
      <c r="K107" s="125">
        <f t="shared" si="24"/>
        <v>0</v>
      </c>
      <c r="L107" s="125">
        <f t="shared" si="24"/>
        <v>0</v>
      </c>
      <c r="M107" s="125">
        <f t="shared" si="24"/>
        <v>0</v>
      </c>
      <c r="N107" s="197">
        <f t="shared" si="24"/>
        <v>0</v>
      </c>
      <c r="O107" s="20"/>
      <c r="P107" s="265"/>
    </row>
    <row r="108" spans="1:16" ht="17.25" customHeight="1">
      <c r="A108" s="20"/>
      <c r="B108" s="224" t="s">
        <v>98</v>
      </c>
      <c r="C108" s="152"/>
      <c r="D108" s="152"/>
      <c r="E108" s="152"/>
      <c r="F108" s="152"/>
      <c r="G108" s="220">
        <f t="shared" ref="G108:N108" si="25">SUM(G103,G98)</f>
        <v>500</v>
      </c>
      <c r="H108" s="220">
        <f t="shared" si="25"/>
        <v>500</v>
      </c>
      <c r="I108" s="220">
        <f t="shared" si="25"/>
        <v>500</v>
      </c>
      <c r="J108" s="221">
        <f t="shared" si="25"/>
        <v>566.22777777777776</v>
      </c>
      <c r="K108" s="220">
        <f t="shared" si="25"/>
        <v>573.16461111111107</v>
      </c>
      <c r="L108" s="220">
        <f t="shared" si="25"/>
        <v>579.353731500761</v>
      </c>
      <c r="M108" s="220">
        <f t="shared" si="25"/>
        <v>587.51328592777782</v>
      </c>
      <c r="N108" s="222">
        <f t="shared" si="25"/>
        <v>594.93260410561106</v>
      </c>
      <c r="O108" s="20"/>
      <c r="P108" s="265"/>
    </row>
    <row r="109" spans="1:16" ht="17.25" customHeight="1">
      <c r="A109" s="70"/>
      <c r="B109" s="101" t="s">
        <v>99</v>
      </c>
      <c r="C109" s="198"/>
      <c r="D109" s="198"/>
      <c r="E109" s="198"/>
      <c r="F109" s="198"/>
      <c r="G109" s="199">
        <f t="shared" ref="G109:N109" si="26">G97-G108</f>
        <v>-250</v>
      </c>
      <c r="H109" s="199">
        <f t="shared" si="26"/>
        <v>-250</v>
      </c>
      <c r="I109" s="199">
        <f t="shared" si="26"/>
        <v>-250</v>
      </c>
      <c r="J109" s="199">
        <f t="shared" si="26"/>
        <v>288.87559999999996</v>
      </c>
      <c r="K109" s="199">
        <f t="shared" si="26"/>
        <v>845.29645600000026</v>
      </c>
      <c r="L109" s="199">
        <f t="shared" si="26"/>
        <v>1411.7854659199998</v>
      </c>
      <c r="M109" s="199">
        <f t="shared" si="26"/>
        <v>1988.8823569115671</v>
      </c>
      <c r="N109" s="199">
        <f t="shared" si="26"/>
        <v>2577.1605870208723</v>
      </c>
      <c r="O109" s="70"/>
      <c r="P109" s="263"/>
    </row>
    <row r="110" spans="1:16" ht="17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6" ht="17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6" ht="17.25" customHeight="1">
      <c r="A112" s="20"/>
      <c r="B112" s="51" t="s">
        <v>231</v>
      </c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265"/>
    </row>
    <row r="113" spans="1:21" ht="17.25" customHeight="1">
      <c r="A113" s="8"/>
      <c r="B113" s="8"/>
      <c r="C113" s="8"/>
      <c r="D113" s="8"/>
      <c r="E113" s="8"/>
      <c r="F113" s="8"/>
      <c r="G113" s="108"/>
      <c r="H113" s="108"/>
      <c r="I113" s="108"/>
      <c r="J113" s="108"/>
      <c r="K113" s="214"/>
      <c r="L113" s="215"/>
      <c r="M113" s="216"/>
      <c r="N113" s="215"/>
      <c r="O113" s="8"/>
    </row>
    <row r="114" spans="1:21" ht="17.25" customHeight="1">
      <c r="A114" s="57"/>
      <c r="B114" s="123"/>
      <c r="C114" s="123"/>
      <c r="D114" s="123"/>
      <c r="E114" s="123"/>
      <c r="F114" s="123"/>
      <c r="G114" s="3" t="s">
        <v>29</v>
      </c>
      <c r="H114" s="3"/>
      <c r="I114" s="3"/>
      <c r="J114" s="3" t="s">
        <v>30</v>
      </c>
      <c r="K114" s="3"/>
      <c r="L114" s="3"/>
      <c r="M114" s="3"/>
      <c r="N114" s="3"/>
      <c r="O114" s="57"/>
      <c r="P114" s="263"/>
      <c r="Q114" s="263"/>
      <c r="R114" s="263"/>
      <c r="S114" s="263"/>
      <c r="T114" s="263"/>
      <c r="U114" s="263"/>
    </row>
    <row r="115" spans="1:21" ht="17.25" customHeight="1">
      <c r="A115" s="57"/>
      <c r="B115" s="123" t="s">
        <v>199</v>
      </c>
      <c r="C115" s="123"/>
      <c r="D115" s="123"/>
      <c r="E115" s="123"/>
      <c r="F115" s="123"/>
      <c r="G115" s="77" t="str">
        <f t="shared" ref="G115:N115" si="27">"FY"&amp;G10</f>
        <v>FY2023</v>
      </c>
      <c r="H115" s="77" t="str">
        <f t="shared" si="27"/>
        <v>FY2024</v>
      </c>
      <c r="I115" s="77" t="str">
        <f t="shared" si="27"/>
        <v>FY2025</v>
      </c>
      <c r="J115" s="77" t="str">
        <f t="shared" si="27"/>
        <v>FY2026</v>
      </c>
      <c r="K115" s="77" t="str">
        <f t="shared" si="27"/>
        <v>FY2027</v>
      </c>
      <c r="L115" s="77" t="str">
        <f t="shared" si="27"/>
        <v>FY2028</v>
      </c>
      <c r="M115" s="77" t="str">
        <f t="shared" si="27"/>
        <v>FY2029</v>
      </c>
      <c r="N115" s="77" t="str">
        <f t="shared" si="27"/>
        <v>FY2030</v>
      </c>
      <c r="O115" s="57"/>
      <c r="P115" s="263"/>
    </row>
    <row r="116" spans="1:21" ht="17.25" customHeight="1">
      <c r="A116" s="20"/>
      <c r="B116" s="229" t="s">
        <v>232</v>
      </c>
      <c r="C116" s="152"/>
      <c r="D116" s="152"/>
      <c r="E116" s="152"/>
      <c r="F116" s="152"/>
      <c r="G116" s="220"/>
      <c r="H116" s="220"/>
      <c r="I116" s="220"/>
      <c r="J116" s="221">
        <f>SUM(J117:J119)</f>
        <v>542.4894888888889</v>
      </c>
      <c r="K116" s="220">
        <f>SUM(K117:K119)</f>
        <v>555.25427266666679</v>
      </c>
      <c r="L116" s="220">
        <f>SUM(L117:L119)</f>
        <v>565.25858600523566</v>
      </c>
      <c r="M116" s="220">
        <f>SUM(M117:M119)</f>
        <v>575.81033081466444</v>
      </c>
      <c r="N116" s="222">
        <f>SUM(N117:N119)</f>
        <v>586.92309955322139</v>
      </c>
      <c r="O116" s="20"/>
      <c r="P116" s="265"/>
    </row>
    <row r="117" spans="1:21" ht="17.25" customHeight="1">
      <c r="A117" s="70"/>
      <c r="B117" s="230" t="s">
        <v>74</v>
      </c>
      <c r="C117" s="70"/>
      <c r="D117" s="70"/>
      <c r="E117" s="70"/>
      <c r="F117" s="70"/>
      <c r="G117" s="205"/>
      <c r="H117" s="205"/>
      <c r="I117" s="205"/>
      <c r="J117" s="205">
        <f>J80</f>
        <v>538.87559999999996</v>
      </c>
      <c r="K117" s="205">
        <f>K80</f>
        <v>549.19307822222231</v>
      </c>
      <c r="L117" s="205">
        <f>L80</f>
        <v>561.59439880888863</v>
      </c>
      <c r="M117" s="205">
        <f>M80</f>
        <v>574.66312770998411</v>
      </c>
      <c r="N117" s="205">
        <f>N80</f>
        <v>588.41758718152698</v>
      </c>
      <c r="O117" s="70"/>
      <c r="P117" s="263"/>
    </row>
    <row r="118" spans="1:21" ht="17.25" customHeight="1">
      <c r="A118" s="20"/>
      <c r="B118" s="231" t="s">
        <v>233</v>
      </c>
      <c r="C118" s="20"/>
      <c r="D118" s="20"/>
      <c r="E118" s="20"/>
      <c r="F118" s="20"/>
      <c r="G118" s="114"/>
      <c r="H118" s="114"/>
      <c r="I118" s="114"/>
      <c r="J118" s="194">
        <f>J70</f>
        <v>0</v>
      </c>
      <c r="K118" s="114">
        <f>K70</f>
        <v>0</v>
      </c>
      <c r="L118" s="114">
        <f>L70</f>
        <v>0</v>
      </c>
      <c r="M118" s="114">
        <f>M70</f>
        <v>0</v>
      </c>
      <c r="N118" s="195">
        <f>N70</f>
        <v>0</v>
      </c>
      <c r="O118" s="20"/>
      <c r="P118" s="265"/>
    </row>
    <row r="119" spans="1:21" ht="17.25" customHeight="1">
      <c r="A119" s="20"/>
      <c r="B119" s="178" t="s">
        <v>234</v>
      </c>
      <c r="C119" s="20"/>
      <c r="D119" s="20"/>
      <c r="E119" s="20"/>
      <c r="F119" s="20"/>
      <c r="G119" s="114"/>
      <c r="H119" s="114"/>
      <c r="I119" s="114"/>
      <c r="J119" s="194">
        <f>J35</f>
        <v>3.61388888888888</v>
      </c>
      <c r="K119" s="114">
        <f>K35</f>
        <v>6.0611944444444248</v>
      </c>
      <c r="L119" s="114">
        <f>L35</f>
        <v>3.6641871963470294</v>
      </c>
      <c r="M119" s="114">
        <f>M35</f>
        <v>1.1472031046803863</v>
      </c>
      <c r="N119" s="195">
        <f>N35</f>
        <v>-1.4944876283055351</v>
      </c>
      <c r="O119" s="20"/>
      <c r="P119" s="265"/>
    </row>
    <row r="120" spans="1:21" ht="17.25" customHeight="1">
      <c r="A120" s="20"/>
      <c r="B120" s="229" t="s">
        <v>235</v>
      </c>
      <c r="C120" s="152"/>
      <c r="D120" s="152"/>
      <c r="E120" s="152"/>
      <c r="F120" s="152"/>
      <c r="G120" s="220"/>
      <c r="H120" s="220"/>
      <c r="I120" s="220"/>
      <c r="J120" s="221">
        <f>SUM(J121)</f>
        <v>0</v>
      </c>
      <c r="K120" s="220">
        <f>SUM(K121)</f>
        <v>0</v>
      </c>
      <c r="L120" s="220">
        <f>SUM(L121)</f>
        <v>0</v>
      </c>
      <c r="M120" s="220">
        <f>SUM(M121)</f>
        <v>0</v>
      </c>
      <c r="N120" s="222">
        <f>SUM(N121)</f>
        <v>0</v>
      </c>
      <c r="O120" s="20"/>
      <c r="P120" s="265"/>
    </row>
    <row r="121" spans="1:21" ht="17.25" customHeight="1">
      <c r="A121" s="20"/>
      <c r="B121" s="178" t="s">
        <v>236</v>
      </c>
      <c r="C121" s="20"/>
      <c r="D121" s="20"/>
      <c r="E121" s="20"/>
      <c r="F121" s="20"/>
      <c r="G121" s="114"/>
      <c r="H121" s="114"/>
      <c r="I121" s="114"/>
      <c r="J121" s="194"/>
      <c r="K121" s="114"/>
      <c r="L121" s="114"/>
      <c r="M121" s="114"/>
      <c r="N121" s="195"/>
      <c r="O121" s="20"/>
      <c r="P121" s="265"/>
    </row>
    <row r="122" spans="1:21" ht="17.25" customHeight="1">
      <c r="A122" s="20"/>
      <c r="B122" s="229" t="s">
        <v>237</v>
      </c>
      <c r="C122" s="152"/>
      <c r="D122" s="152"/>
      <c r="E122" s="152"/>
      <c r="F122" s="152"/>
      <c r="G122" s="220"/>
      <c r="H122" s="220"/>
      <c r="I122" s="220"/>
      <c r="J122" s="221">
        <f>SUM(J123:J126)</f>
        <v>-50</v>
      </c>
      <c r="K122" s="220">
        <f>SUM(K123:K126)</f>
        <v>0</v>
      </c>
      <c r="L122" s="220">
        <f>SUM(L123:L126)</f>
        <v>0</v>
      </c>
      <c r="M122" s="220">
        <f>SUM(M123:M126)</f>
        <v>0</v>
      </c>
      <c r="N122" s="222">
        <f>SUM(N123:N126)</f>
        <v>0</v>
      </c>
      <c r="O122" s="20"/>
      <c r="P122" s="265"/>
    </row>
    <row r="123" spans="1:21" ht="17.25" customHeight="1">
      <c r="A123" s="20"/>
      <c r="B123" s="178" t="s">
        <v>238</v>
      </c>
      <c r="C123" s="20"/>
      <c r="D123" s="20"/>
      <c r="E123" s="20"/>
      <c r="F123" s="20"/>
      <c r="G123" s="114"/>
      <c r="H123" s="114"/>
      <c r="I123" s="114"/>
      <c r="J123" s="194">
        <f>-Calculation!J187-Calculation!J193-Calculation!J199</f>
        <v>-50</v>
      </c>
      <c r="K123" s="114">
        <f>-Calculation!K187-Calculation!K193-Calculation!K199</f>
        <v>0</v>
      </c>
      <c r="L123" s="114">
        <f>-Calculation!L187-Calculation!L193-Calculation!L199</f>
        <v>0</v>
      </c>
      <c r="M123" s="114">
        <f>-Calculation!M187-Calculation!M193-Calculation!M199</f>
        <v>0</v>
      </c>
      <c r="N123" s="195">
        <f>-Calculation!N187-Calculation!N193-Calculation!N199</f>
        <v>0</v>
      </c>
      <c r="O123" s="20"/>
      <c r="P123" s="265"/>
    </row>
    <row r="124" spans="1:21" ht="17.25" customHeight="1">
      <c r="A124" s="20"/>
      <c r="B124" s="178" t="s">
        <v>239</v>
      </c>
      <c r="C124" s="20"/>
      <c r="D124" s="20"/>
      <c r="E124" s="20"/>
      <c r="F124" s="20"/>
      <c r="G124" s="114"/>
      <c r="H124" s="114"/>
      <c r="I124" s="114"/>
      <c r="J124" s="194">
        <f>Calculation!J186+Calculation!J192+Calculation!J198</f>
        <v>0</v>
      </c>
      <c r="K124" s="114">
        <f>Calculation!K186+Calculation!K192+Calculation!K198</f>
        <v>0</v>
      </c>
      <c r="L124" s="114">
        <f>Calculation!L186+Calculation!L192+Calculation!L198</f>
        <v>0</v>
      </c>
      <c r="M124" s="114">
        <f>Calculation!M186+Calculation!M192+Calculation!M198</f>
        <v>0</v>
      </c>
      <c r="N124" s="195">
        <f>Calculation!N186+Calculation!N192+Calculation!N198</f>
        <v>0</v>
      </c>
      <c r="O124" s="20"/>
      <c r="P124" s="265"/>
    </row>
    <row r="125" spans="1:21" ht="17.25" customHeight="1">
      <c r="A125" s="20"/>
      <c r="B125" s="178" t="s">
        <v>240</v>
      </c>
      <c r="C125" s="20"/>
      <c r="D125" s="20"/>
      <c r="E125" s="20"/>
      <c r="F125" s="20"/>
      <c r="G125" s="114"/>
      <c r="H125" s="114"/>
      <c r="I125" s="114"/>
      <c r="J125" s="194"/>
      <c r="K125" s="114"/>
      <c r="L125" s="114"/>
      <c r="M125" s="114"/>
      <c r="N125" s="195"/>
      <c r="O125" s="20"/>
      <c r="P125" s="265"/>
    </row>
    <row r="126" spans="1:21" ht="17.25" customHeight="1">
      <c r="A126" s="20"/>
      <c r="B126" s="178" t="s">
        <v>241</v>
      </c>
      <c r="C126" s="20"/>
      <c r="D126" s="20"/>
      <c r="E126" s="20"/>
      <c r="F126" s="20"/>
      <c r="G126" s="114"/>
      <c r="H126" s="114"/>
      <c r="I126" s="114"/>
      <c r="J126" s="194"/>
      <c r="K126" s="114"/>
      <c r="L126" s="114"/>
      <c r="M126" s="114"/>
      <c r="N126" s="195"/>
      <c r="O126" s="20"/>
      <c r="P126" s="265"/>
    </row>
    <row r="127" spans="1:21" ht="17.25" customHeight="1">
      <c r="A127" s="20"/>
      <c r="B127" s="229" t="s">
        <v>242</v>
      </c>
      <c r="C127" s="152"/>
      <c r="D127" s="152"/>
      <c r="E127" s="152"/>
      <c r="F127" s="152"/>
      <c r="G127" s="220"/>
      <c r="H127" s="220"/>
      <c r="I127" s="220"/>
      <c r="J127" s="221">
        <f>I129</f>
        <v>50</v>
      </c>
      <c r="K127" s="220">
        <f>J129</f>
        <v>542.4894888888889</v>
      </c>
      <c r="L127" s="220">
        <f>K129</f>
        <v>1097.7437615555557</v>
      </c>
      <c r="M127" s="220">
        <f>L129</f>
        <v>1663.0023475607913</v>
      </c>
      <c r="N127" s="222">
        <f>M129</f>
        <v>2238.812678375456</v>
      </c>
      <c r="O127" s="20"/>
      <c r="P127" s="265"/>
    </row>
    <row r="128" spans="1:21" ht="17.25" customHeight="1">
      <c r="A128" s="20"/>
      <c r="B128" s="219" t="s">
        <v>243</v>
      </c>
      <c r="C128" s="152"/>
      <c r="D128" s="152"/>
      <c r="E128" s="152"/>
      <c r="F128" s="152"/>
      <c r="G128" s="220"/>
      <c r="H128" s="220"/>
      <c r="I128" s="220"/>
      <c r="J128" s="221">
        <f>J116+J120+J122</f>
        <v>492.4894888888889</v>
      </c>
      <c r="K128" s="220">
        <f>K116+K120+K122</f>
        <v>555.25427266666679</v>
      </c>
      <c r="L128" s="220">
        <f>L116+L120+L122</f>
        <v>565.25858600523566</v>
      </c>
      <c r="M128" s="220">
        <f>M116+M120+M122</f>
        <v>575.81033081466444</v>
      </c>
      <c r="N128" s="222">
        <f>N116+N120+N122</f>
        <v>586.92309955322139</v>
      </c>
      <c r="O128" s="20"/>
      <c r="P128" s="265"/>
    </row>
    <row r="129" spans="1:16" ht="17.25" customHeight="1">
      <c r="A129" s="70"/>
      <c r="B129" s="232" t="s">
        <v>244</v>
      </c>
      <c r="C129" s="198"/>
      <c r="D129" s="198"/>
      <c r="E129" s="198"/>
      <c r="F129" s="198"/>
      <c r="G129" s="199"/>
      <c r="H129" s="199"/>
      <c r="I129" s="199">
        <f>I87</f>
        <v>50</v>
      </c>
      <c r="J129" s="199">
        <f>J127+J128</f>
        <v>542.4894888888889</v>
      </c>
      <c r="K129" s="199">
        <f>K127+K128</f>
        <v>1097.7437615555557</v>
      </c>
      <c r="L129" s="199">
        <f>L127+L128</f>
        <v>1663.0023475607913</v>
      </c>
      <c r="M129" s="199">
        <f>M127+M128</f>
        <v>2238.812678375456</v>
      </c>
      <c r="N129" s="199">
        <f>N127+N128</f>
        <v>2825.7357779286776</v>
      </c>
      <c r="O129" s="70"/>
      <c r="P129" s="263"/>
    </row>
  </sheetData>
  <mergeCells count="10">
    <mergeCell ref="G84:I84"/>
    <mergeCell ref="J84:N84"/>
    <mergeCell ref="G114:I114"/>
    <mergeCell ref="J114:N114"/>
    <mergeCell ref="G18:I18"/>
    <mergeCell ref="J18:O18"/>
    <mergeCell ref="L51:N51"/>
    <mergeCell ref="J53:J55"/>
    <mergeCell ref="G59:I59"/>
    <mergeCell ref="J59:N59"/>
  </mergeCells>
  <phoneticPr fontId="6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7"/>
  <sheetViews>
    <sheetView showGridLines="0" tabSelected="1" zoomScale="70" zoomScaleNormal="70" workbookViewId="0">
      <selection activeCell="H19" sqref="H19"/>
    </sheetView>
  </sheetViews>
  <sheetFormatPr defaultColWidth="8.5625" defaultRowHeight="15" customHeight="1"/>
  <cols>
    <col min="1" max="1" width="1.6875" style="233" customWidth="1"/>
    <col min="2" max="2" width="28.6875" style="233" customWidth="1"/>
    <col min="3" max="3" width="1.6875" style="233" customWidth="1"/>
    <col min="4" max="5" width="13" style="233" customWidth="1"/>
    <col min="6" max="6" width="8.6875" style="233" customWidth="1"/>
    <col min="7" max="15" width="10" style="233" customWidth="1"/>
    <col min="16" max="16" width="1.6875" style="233" customWidth="1"/>
  </cols>
  <sheetData>
    <row r="1" spans="1:17" ht="24" customHeight="1">
      <c r="A1" s="13"/>
      <c r="B1" s="234" t="str">
        <f>Legend!D2</f>
        <v>Project dummy Financial Model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7.25" customHeight="1">
      <c r="A2" s="13"/>
      <c r="B2" s="235" t="s">
        <v>245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7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7" ht="17.25" customHeight="1">
      <c r="A4" s="13"/>
      <c r="B4" s="236" t="s">
        <v>27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7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7" ht="17.25" customHeight="1">
      <c r="A6" s="57"/>
      <c r="B6" s="58" t="s">
        <v>28</v>
      </c>
      <c r="C6" s="57"/>
      <c r="D6" s="57"/>
      <c r="E6" s="57"/>
      <c r="F6" s="57"/>
      <c r="G6" s="237" t="str">
        <f>Input!G6</f>
        <v>Actual</v>
      </c>
      <c r="H6" s="237" t="str">
        <f>Input!H6</f>
        <v>Actual</v>
      </c>
      <c r="I6" s="237" t="str">
        <f>Input!I6</f>
        <v>Actual</v>
      </c>
      <c r="J6" s="237" t="str">
        <f>Input!J6</f>
        <v>Forecast</v>
      </c>
      <c r="K6" s="237" t="str">
        <f>Input!K6</f>
        <v>Forecast</v>
      </c>
      <c r="L6" s="237" t="str">
        <f>Input!L6</f>
        <v>Forecast</v>
      </c>
      <c r="M6" s="237" t="str">
        <f>Input!M6</f>
        <v>Forecast</v>
      </c>
      <c r="N6" s="237" t="str">
        <f>Input!N6</f>
        <v>Forecast</v>
      </c>
      <c r="O6" s="237" t="str">
        <f>Input!O6</f>
        <v>Forecast</v>
      </c>
      <c r="P6" s="57"/>
      <c r="Q6" s="57"/>
    </row>
    <row r="7" spans="1:17" ht="17.25" customHeight="1">
      <c r="A7" s="20"/>
      <c r="B7" s="61" t="s">
        <v>31</v>
      </c>
      <c r="C7" s="20"/>
      <c r="D7" s="20"/>
      <c r="E7" s="20"/>
      <c r="F7" s="20"/>
      <c r="G7" s="238">
        <f>Input!G7</f>
        <v>44927</v>
      </c>
      <c r="H7" s="238">
        <f>Input!H7</f>
        <v>45292</v>
      </c>
      <c r="I7" s="238">
        <f>Input!I7</f>
        <v>45658</v>
      </c>
      <c r="J7" s="238">
        <f>Input!J7</f>
        <v>46023</v>
      </c>
      <c r="K7" s="238">
        <f>Input!K7</f>
        <v>46388</v>
      </c>
      <c r="L7" s="238">
        <f>Input!L7</f>
        <v>46753</v>
      </c>
      <c r="M7" s="238">
        <f>Input!M7</f>
        <v>47119</v>
      </c>
      <c r="N7" s="238">
        <f>Input!N7</f>
        <v>47484</v>
      </c>
      <c r="O7" s="16" t="s">
        <v>32</v>
      </c>
      <c r="P7" s="20"/>
      <c r="Q7" s="20"/>
    </row>
    <row r="8" spans="1:17" ht="17.25" customHeight="1">
      <c r="A8" s="20"/>
      <c r="B8" s="61" t="s">
        <v>33</v>
      </c>
      <c r="C8" s="20"/>
      <c r="D8" s="20"/>
      <c r="E8" s="20"/>
      <c r="F8" s="20"/>
      <c r="G8" s="238">
        <f>Input!G8</f>
        <v>45291</v>
      </c>
      <c r="H8" s="238">
        <f>Input!H8</f>
        <v>45657</v>
      </c>
      <c r="I8" s="238">
        <f>Input!I8</f>
        <v>46022</v>
      </c>
      <c r="J8" s="238">
        <f>Input!J8</f>
        <v>46387</v>
      </c>
      <c r="K8" s="238">
        <f>Input!K8</f>
        <v>46752</v>
      </c>
      <c r="L8" s="238">
        <f>Input!L8</f>
        <v>47118</v>
      </c>
      <c r="M8" s="238">
        <f>Input!M8</f>
        <v>47483</v>
      </c>
      <c r="N8" s="238">
        <f>Input!N8</f>
        <v>47848</v>
      </c>
      <c r="O8" s="16"/>
      <c r="P8" s="20"/>
      <c r="Q8" s="20"/>
    </row>
    <row r="9" spans="1:17" ht="17.25" customHeight="1">
      <c r="A9" s="20"/>
      <c r="B9" s="61" t="s">
        <v>34</v>
      </c>
      <c r="C9" s="20"/>
      <c r="D9" s="20"/>
      <c r="E9" s="20"/>
      <c r="F9" s="20"/>
      <c r="G9" s="16">
        <f>Input!G9</f>
        <v>12</v>
      </c>
      <c r="H9" s="16">
        <f>Input!H9</f>
        <v>12</v>
      </c>
      <c r="I9" s="16">
        <f>Input!I9</f>
        <v>12</v>
      </c>
      <c r="J9" s="16">
        <f>Input!J9</f>
        <v>12</v>
      </c>
      <c r="K9" s="16">
        <f>Input!K9</f>
        <v>12</v>
      </c>
      <c r="L9" s="16">
        <f>Input!L9</f>
        <v>12</v>
      </c>
      <c r="M9" s="16">
        <f>Input!M9</f>
        <v>12</v>
      </c>
      <c r="N9" s="16">
        <f>Input!N9</f>
        <v>12</v>
      </c>
      <c r="O9" s="16"/>
      <c r="P9" s="20"/>
      <c r="Q9" s="20"/>
    </row>
    <row r="10" spans="1:17" ht="17.25" customHeight="1">
      <c r="A10" s="20"/>
      <c r="B10" s="61" t="s">
        <v>35</v>
      </c>
      <c r="C10" s="20"/>
      <c r="D10" s="20"/>
      <c r="E10" s="20"/>
      <c r="F10" s="20"/>
      <c r="G10" s="16">
        <f>Input!G10</f>
        <v>2023</v>
      </c>
      <c r="H10" s="16">
        <f>Input!H10</f>
        <v>2024</v>
      </c>
      <c r="I10" s="16">
        <f>Input!I10</f>
        <v>2025</v>
      </c>
      <c r="J10" s="16">
        <f>Input!J10</f>
        <v>2026</v>
      </c>
      <c r="K10" s="16">
        <f>Input!K10</f>
        <v>2027</v>
      </c>
      <c r="L10" s="16">
        <f>Input!L10</f>
        <v>2028</v>
      </c>
      <c r="M10" s="16">
        <f>Input!M10</f>
        <v>2029</v>
      </c>
      <c r="N10" s="16">
        <f>Input!N10</f>
        <v>2030</v>
      </c>
      <c r="O10" s="16">
        <f>Input!O10</f>
        <v>0</v>
      </c>
      <c r="P10" s="20"/>
      <c r="Q10" s="20"/>
    </row>
    <row r="11" spans="1:17" ht="17.25" customHeight="1">
      <c r="A11" s="20"/>
      <c r="B11" s="61" t="s">
        <v>36</v>
      </c>
      <c r="C11" s="20"/>
      <c r="D11" s="20"/>
      <c r="E11" s="20"/>
      <c r="F11" s="20"/>
      <c r="G11" s="16">
        <f>Input!G11</f>
        <v>364</v>
      </c>
      <c r="H11" s="16">
        <f>Input!H11</f>
        <v>365</v>
      </c>
      <c r="I11" s="16">
        <f>Input!I11</f>
        <v>364</v>
      </c>
      <c r="J11" s="16">
        <f>Input!J11</f>
        <v>364</v>
      </c>
      <c r="K11" s="16">
        <f>Input!K11</f>
        <v>364</v>
      </c>
      <c r="L11" s="16">
        <f>Input!L11</f>
        <v>365</v>
      </c>
      <c r="M11" s="16">
        <f>Input!M11</f>
        <v>364</v>
      </c>
      <c r="N11" s="16">
        <f>Input!N11</f>
        <v>364</v>
      </c>
      <c r="O11" s="16"/>
      <c r="P11" s="20"/>
      <c r="Q11" s="20"/>
    </row>
    <row r="12" spans="1:17" ht="17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7" ht="17.25" customHeight="1">
      <c r="A13" s="13"/>
      <c r="B13" s="236" t="s">
        <v>246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13"/>
      <c r="Q13" s="13"/>
    </row>
    <row r="14" spans="1:17" ht="17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7" ht="17.25" customHeight="1">
      <c r="A15" s="57"/>
      <c r="B15" s="76" t="s">
        <v>247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17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7" ht="17.25" customHeight="1">
      <c r="A17" s="20"/>
      <c r="B17" s="61" t="s">
        <v>248</v>
      </c>
      <c r="C17" s="20"/>
      <c r="D17" s="20"/>
      <c r="E17" s="239">
        <v>3.5000000000000003E-2</v>
      </c>
      <c r="F17" s="26" t="s">
        <v>43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ht="17.25" customHeight="1">
      <c r="A18" s="20"/>
      <c r="B18" s="61" t="s">
        <v>249</v>
      </c>
      <c r="C18" s="20"/>
      <c r="D18" s="20"/>
      <c r="E18" s="239">
        <v>0.06</v>
      </c>
      <c r="F18" s="26" t="s">
        <v>43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1:17" ht="17.25" customHeight="1">
      <c r="A19" s="20"/>
      <c r="B19" s="61" t="s">
        <v>250</v>
      </c>
      <c r="C19" s="20"/>
      <c r="D19" s="20"/>
      <c r="E19" s="240">
        <v>1</v>
      </c>
      <c r="F19" s="26" t="s">
        <v>251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17.25" customHeight="1">
      <c r="A20" s="20"/>
      <c r="B20" s="61" t="s">
        <v>252</v>
      </c>
      <c r="C20" s="20"/>
      <c r="D20" s="20"/>
      <c r="E20" s="239">
        <v>0.02</v>
      </c>
      <c r="F20" s="26" t="s">
        <v>43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17" ht="17.25" customHeight="1">
      <c r="A21" s="20"/>
      <c r="B21" s="61" t="s">
        <v>253</v>
      </c>
      <c r="C21" s="20"/>
      <c r="D21" s="20"/>
      <c r="E21" s="239">
        <v>0.01</v>
      </c>
      <c r="F21" s="26" t="s">
        <v>43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ht="17.25" customHeight="1">
      <c r="A22" s="70"/>
      <c r="B22" s="241" t="s">
        <v>254</v>
      </c>
      <c r="C22" s="241"/>
      <c r="D22" s="241"/>
      <c r="E22" s="242">
        <f>E17+E19*E18+E20+E21</f>
        <v>0.125</v>
      </c>
      <c r="F22" s="241" t="s">
        <v>43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</row>
    <row r="23" spans="1:17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7" ht="17.25" customHeight="1">
      <c r="A24" s="57"/>
      <c r="B24" s="76" t="s">
        <v>255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7" ht="17.25" customHeight="1">
      <c r="A26" s="20"/>
      <c r="B26" s="61" t="s">
        <v>256</v>
      </c>
      <c r="C26" s="20"/>
      <c r="D26" s="20"/>
      <c r="E26" s="239">
        <f>Input!E217</f>
        <v>0.1</v>
      </c>
      <c r="F26" s="26" t="s">
        <v>43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spans="1:17" ht="17.25" customHeight="1">
      <c r="A27" s="20"/>
      <c r="B27" s="61" t="s">
        <v>257</v>
      </c>
      <c r="C27" s="20"/>
      <c r="D27" s="20"/>
      <c r="E27" s="239">
        <v>0.22</v>
      </c>
      <c r="F27" s="26" t="s">
        <v>43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spans="1:17" ht="17.25" customHeight="1">
      <c r="A28" s="70"/>
      <c r="B28" s="241" t="s">
        <v>258</v>
      </c>
      <c r="C28" s="241"/>
      <c r="D28" s="241"/>
      <c r="E28" s="242">
        <f>E26*(1-E27)</f>
        <v>7.8000000000000014E-2</v>
      </c>
      <c r="F28" s="241" t="s">
        <v>43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spans="1:17" ht="17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7" ht="17.25" customHeight="1">
      <c r="A30" s="57"/>
      <c r="B30" s="76" t="s">
        <v>259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1:17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7" ht="17.25" customHeight="1">
      <c r="A32" s="20"/>
      <c r="B32" s="61" t="s">
        <v>260</v>
      </c>
      <c r="C32" s="20"/>
      <c r="D32" s="20"/>
      <c r="E32" s="243">
        <f>DCF!O45</f>
        <v>2365.1971526778398</v>
      </c>
      <c r="F32" s="26" t="s">
        <v>114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1:17" ht="17.25" customHeight="1">
      <c r="A33" s="20"/>
      <c r="B33" s="61" t="s">
        <v>261</v>
      </c>
      <c r="C33" s="20"/>
      <c r="D33" s="20"/>
      <c r="E33" s="243">
        <f>Input!I248</f>
        <v>250</v>
      </c>
      <c r="F33" s="26" t="s">
        <v>114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ht="17.25" customHeight="1">
      <c r="A34" s="20"/>
      <c r="B34" s="61" t="s">
        <v>262</v>
      </c>
      <c r="C34" s="20"/>
      <c r="D34" s="20"/>
      <c r="E34" s="16">
        <f>E32+E33</f>
        <v>2615.1971526778398</v>
      </c>
      <c r="F34" s="26" t="s">
        <v>114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ht="17.25" customHeight="1">
      <c r="A35" s="20"/>
      <c r="B35" s="61" t="s">
        <v>263</v>
      </c>
      <c r="C35" s="20"/>
      <c r="D35" s="20"/>
      <c r="E35" s="239">
        <f>IFERROR(E32/E34,0)</f>
        <v>0.90440491274471924</v>
      </c>
      <c r="F35" s="26" t="s">
        <v>43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17" ht="17.25" customHeight="1">
      <c r="A36" s="20"/>
      <c r="B36" s="61" t="s">
        <v>264</v>
      </c>
      <c r="C36" s="20"/>
      <c r="D36" s="20"/>
      <c r="E36" s="239">
        <f>IFERROR(E33/E34,0)</f>
        <v>9.5595087255280806E-2</v>
      </c>
      <c r="F36" s="26" t="s">
        <v>43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17" ht="17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7" ht="17.25" customHeight="1">
      <c r="A38" s="13"/>
      <c r="B38" s="236" t="s">
        <v>265</v>
      </c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13"/>
      <c r="Q38" s="13"/>
    </row>
    <row r="39" spans="1:17" ht="17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7" ht="17.25" customHeight="1">
      <c r="A40" s="70"/>
      <c r="B40" s="241" t="s">
        <v>42</v>
      </c>
      <c r="C40" s="241"/>
      <c r="D40" s="241"/>
      <c r="E40" s="244">
        <f>E35*E22+E36*E28</f>
        <v>0.1205070308990018</v>
      </c>
      <c r="F40" s="241" t="s">
        <v>43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spans="1:17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7" ht="17.25" customHeight="1">
      <c r="A42" s="70"/>
      <c r="B42" s="245" t="s">
        <v>266</v>
      </c>
      <c r="C42" s="70"/>
      <c r="D42" s="70"/>
      <c r="E42" s="246">
        <f>Input!E18</f>
        <v>0.1</v>
      </c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</row>
    <row r="43" spans="1:17" ht="17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7" ht="17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7" ht="17.25" customHeight="1">
      <c r="A45" s="13"/>
      <c r="B45" s="236" t="s">
        <v>267</v>
      </c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13"/>
      <c r="Q45" s="13"/>
    </row>
    <row r="46" spans="1:17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7" ht="17.25" customHeight="1">
      <c r="A47" s="70"/>
      <c r="B47" s="241" t="s">
        <v>254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</row>
    <row r="48" spans="1:17" ht="17.25" customHeight="1">
      <c r="A48" s="8"/>
      <c r="B48" s="8"/>
      <c r="C48" s="8"/>
      <c r="D48" s="247" t="s">
        <v>268</v>
      </c>
      <c r="E48" s="248">
        <v>0.04</v>
      </c>
      <c r="F48" s="248">
        <v>0.05</v>
      </c>
      <c r="G48" s="248">
        <v>0.06</v>
      </c>
      <c r="H48" s="248">
        <v>7.0000000000000007E-2</v>
      </c>
      <c r="I48" s="248">
        <v>0.08</v>
      </c>
      <c r="J48" s="8"/>
      <c r="K48" s="8"/>
      <c r="L48" s="8"/>
      <c r="M48" s="8"/>
      <c r="N48" s="8"/>
      <c r="O48" s="8"/>
    </row>
    <row r="49" spans="1:15" ht="17.25" customHeight="1">
      <c r="A49" s="8"/>
      <c r="B49" s="8"/>
      <c r="C49" s="247" t="s">
        <v>269</v>
      </c>
      <c r="D49" s="249">
        <v>0.8</v>
      </c>
      <c r="E49" s="250">
        <f t="shared" ref="E49:I53" si="0">$E$17+$D49*E$48+$E$20+$E$21</f>
        <v>9.7000000000000003E-2</v>
      </c>
      <c r="F49" s="250">
        <f t="shared" si="0"/>
        <v>0.10500000000000001</v>
      </c>
      <c r="G49" s="250">
        <f t="shared" si="0"/>
        <v>0.113</v>
      </c>
      <c r="H49" s="250">
        <f t="shared" si="0"/>
        <v>0.12100000000000001</v>
      </c>
      <c r="I49" s="250">
        <f t="shared" si="0"/>
        <v>0.129</v>
      </c>
      <c r="J49" s="8"/>
      <c r="K49" s="8"/>
      <c r="L49" s="8"/>
      <c r="M49" s="8"/>
      <c r="N49" s="8"/>
      <c r="O49" s="8"/>
    </row>
    <row r="50" spans="1:15" ht="17.25" customHeight="1">
      <c r="A50" s="8"/>
      <c r="B50" s="8"/>
      <c r="C50" s="8"/>
      <c r="D50" s="249">
        <v>0.9</v>
      </c>
      <c r="E50" s="250">
        <f t="shared" si="0"/>
        <v>0.10100000000000001</v>
      </c>
      <c r="F50" s="250">
        <f t="shared" si="0"/>
        <v>0.11000000000000001</v>
      </c>
      <c r="G50" s="250">
        <f t="shared" si="0"/>
        <v>0.11899999999999999</v>
      </c>
      <c r="H50" s="250">
        <f t="shared" si="0"/>
        <v>0.12800000000000003</v>
      </c>
      <c r="I50" s="250">
        <f t="shared" si="0"/>
        <v>0.13700000000000001</v>
      </c>
      <c r="J50" s="8"/>
      <c r="K50" s="8"/>
      <c r="L50" s="8"/>
      <c r="M50" s="8"/>
      <c r="N50" s="8"/>
      <c r="O50" s="8"/>
    </row>
    <row r="51" spans="1:15" ht="17.25" customHeight="1">
      <c r="A51" s="8"/>
      <c r="B51" s="8"/>
      <c r="C51" s="8"/>
      <c r="D51" s="249">
        <v>1</v>
      </c>
      <c r="E51" s="250">
        <f t="shared" si="0"/>
        <v>0.10500000000000001</v>
      </c>
      <c r="F51" s="250">
        <f t="shared" si="0"/>
        <v>0.115</v>
      </c>
      <c r="G51" s="251">
        <f t="shared" si="0"/>
        <v>0.125</v>
      </c>
      <c r="H51" s="250">
        <f t="shared" si="0"/>
        <v>0.13500000000000001</v>
      </c>
      <c r="I51" s="250">
        <f t="shared" si="0"/>
        <v>0.14500000000000002</v>
      </c>
      <c r="J51" s="8"/>
      <c r="K51" s="8"/>
      <c r="L51" s="8"/>
      <c r="M51" s="8"/>
      <c r="N51" s="8"/>
      <c r="O51" s="8"/>
    </row>
    <row r="52" spans="1:15" ht="17.25" customHeight="1">
      <c r="A52" s="8"/>
      <c r="B52" s="8"/>
      <c r="C52" s="8"/>
      <c r="D52" s="249">
        <v>1.1000000000000001</v>
      </c>
      <c r="E52" s="250">
        <f t="shared" si="0"/>
        <v>0.10900000000000001</v>
      </c>
      <c r="F52" s="250">
        <f t="shared" si="0"/>
        <v>0.12000000000000001</v>
      </c>
      <c r="G52" s="250">
        <f t="shared" si="0"/>
        <v>0.13100000000000001</v>
      </c>
      <c r="H52" s="250">
        <f t="shared" si="0"/>
        <v>0.14200000000000002</v>
      </c>
      <c r="I52" s="250">
        <f t="shared" si="0"/>
        <v>0.15300000000000002</v>
      </c>
      <c r="J52" s="8"/>
      <c r="K52" s="8"/>
      <c r="L52" s="8"/>
      <c r="M52" s="8"/>
      <c r="N52" s="8"/>
      <c r="O52" s="8"/>
    </row>
    <row r="53" spans="1:15" ht="17.25" customHeight="1">
      <c r="A53" s="8"/>
      <c r="B53" s="8"/>
      <c r="C53" s="8"/>
      <c r="D53" s="249">
        <v>1.2</v>
      </c>
      <c r="E53" s="250">
        <f t="shared" si="0"/>
        <v>0.113</v>
      </c>
      <c r="F53" s="250">
        <f t="shared" si="0"/>
        <v>0.125</v>
      </c>
      <c r="G53" s="250">
        <f t="shared" si="0"/>
        <v>0.13700000000000001</v>
      </c>
      <c r="H53" s="250">
        <f t="shared" si="0"/>
        <v>0.14900000000000002</v>
      </c>
      <c r="I53" s="250">
        <f t="shared" si="0"/>
        <v>0.161</v>
      </c>
      <c r="J53" s="8"/>
      <c r="K53" s="8"/>
      <c r="L53" s="8"/>
      <c r="M53" s="8"/>
      <c r="N53" s="8"/>
      <c r="O53" s="8"/>
    </row>
    <row r="54" spans="1:15" ht="17.25" customHeight="1"/>
    <row r="55" spans="1:15" ht="17.25" customHeight="1"/>
    <row r="56" spans="1:15" ht="17.25" customHeight="1"/>
    <row r="57" spans="1:15" ht="17.25" customHeight="1"/>
  </sheetData>
  <phoneticPr fontId="6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3"/>
  <sheetViews>
    <sheetView showGridLines="0" topLeftCell="A29" zoomScale="70" zoomScaleNormal="70" workbookViewId="0">
      <selection activeCell="Q11" sqref="Q11"/>
    </sheetView>
  </sheetViews>
  <sheetFormatPr defaultColWidth="8.5625" defaultRowHeight="15" customHeight="1"/>
  <cols>
    <col min="1" max="1" width="1.6875" style="233" customWidth="1"/>
    <col min="2" max="2" width="28.6875" style="233" customWidth="1"/>
    <col min="3" max="16" width="10.5" style="233" customWidth="1"/>
  </cols>
  <sheetData>
    <row r="1" spans="1:17" ht="24" customHeight="1">
      <c r="A1" s="13"/>
      <c r="B1" s="234" t="str">
        <f>Legend!D2</f>
        <v>Project dummy Financial Model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7.25" customHeight="1">
      <c r="A2" s="13"/>
      <c r="B2" s="235" t="s">
        <v>270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7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7" ht="17.25" customHeight="1">
      <c r="A4" s="13"/>
      <c r="B4" s="236" t="s">
        <v>27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7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7" ht="17.25" customHeight="1">
      <c r="A6" s="57"/>
      <c r="B6" s="58" t="s">
        <v>28</v>
      </c>
      <c r="C6" s="57"/>
      <c r="D6" s="57"/>
      <c r="E6" s="57"/>
      <c r="F6" s="57"/>
      <c r="G6" s="237" t="str">
        <f>Input!G6</f>
        <v>Actual</v>
      </c>
      <c r="H6" s="237" t="str">
        <f>Input!H6</f>
        <v>Actual</v>
      </c>
      <c r="I6" s="237" t="str">
        <f>Input!I6</f>
        <v>Actual</v>
      </c>
      <c r="J6" s="237" t="str">
        <f>Input!J6</f>
        <v>Forecast</v>
      </c>
      <c r="K6" s="237" t="str">
        <f>Input!K6</f>
        <v>Forecast</v>
      </c>
      <c r="L6" s="237" t="str">
        <f>Input!L6</f>
        <v>Forecast</v>
      </c>
      <c r="M6" s="237" t="str">
        <f>Input!M6</f>
        <v>Forecast</v>
      </c>
      <c r="N6" s="237" t="str">
        <f>Input!N6</f>
        <v>Forecast</v>
      </c>
      <c r="O6" s="237" t="str">
        <f>Input!O6</f>
        <v>Forecast</v>
      </c>
      <c r="P6" s="57"/>
      <c r="Q6" s="57"/>
    </row>
    <row r="7" spans="1:17" ht="17.25" customHeight="1">
      <c r="A7" s="20"/>
      <c r="B7" s="61" t="s">
        <v>31</v>
      </c>
      <c r="C7" s="20"/>
      <c r="D7" s="20"/>
      <c r="E7" s="20"/>
      <c r="F7" s="20"/>
      <c r="G7" s="238">
        <f>Input!G7</f>
        <v>44927</v>
      </c>
      <c r="H7" s="238">
        <f>Input!H7</f>
        <v>45292</v>
      </c>
      <c r="I7" s="238">
        <f>Input!I7</f>
        <v>45658</v>
      </c>
      <c r="J7" s="238">
        <f>Input!J7</f>
        <v>46023</v>
      </c>
      <c r="K7" s="238">
        <f>Input!K7</f>
        <v>46388</v>
      </c>
      <c r="L7" s="238">
        <f>Input!L7</f>
        <v>46753</v>
      </c>
      <c r="M7" s="238">
        <f>Input!M7</f>
        <v>47119</v>
      </c>
      <c r="N7" s="238">
        <f>Input!N7</f>
        <v>47484</v>
      </c>
      <c r="O7" s="16" t="s">
        <v>32</v>
      </c>
      <c r="P7" s="20"/>
      <c r="Q7" s="20"/>
    </row>
    <row r="8" spans="1:17" ht="17.25" customHeight="1">
      <c r="A8" s="20"/>
      <c r="B8" s="61" t="s">
        <v>33</v>
      </c>
      <c r="C8" s="20"/>
      <c r="D8" s="20"/>
      <c r="E8" s="20"/>
      <c r="F8" s="20"/>
      <c r="G8" s="238">
        <f>Input!G8</f>
        <v>45291</v>
      </c>
      <c r="H8" s="238">
        <f>Input!H8</f>
        <v>45657</v>
      </c>
      <c r="I8" s="238">
        <f>Input!I8</f>
        <v>46022</v>
      </c>
      <c r="J8" s="238">
        <f>Input!J8</f>
        <v>46387</v>
      </c>
      <c r="K8" s="238">
        <f>Input!K8</f>
        <v>46752</v>
      </c>
      <c r="L8" s="238">
        <f>Input!L8</f>
        <v>47118</v>
      </c>
      <c r="M8" s="238">
        <f>Input!M8</f>
        <v>47483</v>
      </c>
      <c r="N8" s="238">
        <f>Input!N8</f>
        <v>47848</v>
      </c>
      <c r="O8" s="16"/>
      <c r="P8" s="20"/>
      <c r="Q8" s="20"/>
    </row>
    <row r="9" spans="1:17" ht="17.25" customHeight="1">
      <c r="A9" s="20"/>
      <c r="B9" s="61" t="s">
        <v>34</v>
      </c>
      <c r="C9" s="20"/>
      <c r="D9" s="20"/>
      <c r="E9" s="20"/>
      <c r="F9" s="20"/>
      <c r="G9" s="16">
        <f>Input!G9</f>
        <v>12</v>
      </c>
      <c r="H9" s="16">
        <f>Input!H9</f>
        <v>12</v>
      </c>
      <c r="I9" s="16">
        <f>Input!I9</f>
        <v>12</v>
      </c>
      <c r="J9" s="16">
        <f>Input!J9</f>
        <v>12</v>
      </c>
      <c r="K9" s="16">
        <f>Input!K9</f>
        <v>12</v>
      </c>
      <c r="L9" s="16">
        <f>Input!L9</f>
        <v>12</v>
      </c>
      <c r="M9" s="16">
        <f>Input!M9</f>
        <v>12</v>
      </c>
      <c r="N9" s="16">
        <f>Input!N9</f>
        <v>12</v>
      </c>
      <c r="O9" s="16"/>
      <c r="P9" s="20"/>
      <c r="Q9" s="20"/>
    </row>
    <row r="10" spans="1:17" ht="17.25" customHeight="1">
      <c r="A10" s="20"/>
      <c r="B10" s="61" t="s">
        <v>35</v>
      </c>
      <c r="C10" s="20"/>
      <c r="D10" s="20"/>
      <c r="E10" s="20"/>
      <c r="F10" s="20"/>
      <c r="G10" s="16">
        <f>Input!G10</f>
        <v>2023</v>
      </c>
      <c r="H10" s="16">
        <f>Input!H10</f>
        <v>2024</v>
      </c>
      <c r="I10" s="16">
        <f>Input!I10</f>
        <v>2025</v>
      </c>
      <c r="J10" s="16">
        <f>Input!J10</f>
        <v>2026</v>
      </c>
      <c r="K10" s="16">
        <f>Input!K10</f>
        <v>2027</v>
      </c>
      <c r="L10" s="16">
        <f>Input!L10</f>
        <v>2028</v>
      </c>
      <c r="M10" s="16">
        <f>Input!M10</f>
        <v>2029</v>
      </c>
      <c r="N10" s="16">
        <f>Input!N10</f>
        <v>2030</v>
      </c>
      <c r="O10" s="16">
        <f>Input!O10</f>
        <v>0</v>
      </c>
      <c r="P10" s="20"/>
      <c r="Q10" s="20"/>
    </row>
    <row r="11" spans="1:17" ht="17.25" customHeight="1">
      <c r="A11" s="20"/>
      <c r="B11" s="61" t="s">
        <v>36</v>
      </c>
      <c r="C11" s="20"/>
      <c r="D11" s="20"/>
      <c r="E11" s="20"/>
      <c r="F11" s="20"/>
      <c r="G11" s="16">
        <f>Input!G11</f>
        <v>364</v>
      </c>
      <c r="H11" s="16">
        <f>Input!H11</f>
        <v>365</v>
      </c>
      <c r="I11" s="16">
        <f>Input!I11</f>
        <v>364</v>
      </c>
      <c r="J11" s="16">
        <f>Input!J11</f>
        <v>364</v>
      </c>
      <c r="K11" s="16">
        <f>Input!K11</f>
        <v>364</v>
      </c>
      <c r="L11" s="16">
        <f>Input!L11</f>
        <v>365</v>
      </c>
      <c r="M11" s="16">
        <f>Input!M11</f>
        <v>364</v>
      </c>
      <c r="N11" s="16">
        <f>Input!N11</f>
        <v>364</v>
      </c>
      <c r="O11" s="16"/>
      <c r="P11" s="20"/>
      <c r="Q11" s="20"/>
    </row>
    <row r="12" spans="1:17" ht="17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7" ht="17.25" customHeight="1">
      <c r="A13" s="13"/>
      <c r="B13" s="236" t="s">
        <v>271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13"/>
      <c r="Q13" s="13"/>
    </row>
    <row r="14" spans="1:17" ht="17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7" ht="17.25" customHeight="1">
      <c r="A15" s="57"/>
      <c r="B15" s="76" t="s">
        <v>272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17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7" ht="17.25" customHeight="1">
      <c r="A17" s="13"/>
      <c r="B17" s="252" t="s">
        <v>273</v>
      </c>
      <c r="C17" s="252" t="s">
        <v>274</v>
      </c>
      <c r="D17" s="252" t="s">
        <v>275</v>
      </c>
      <c r="E17" s="252" t="s">
        <v>276</v>
      </c>
      <c r="F17" s="252" t="s">
        <v>277</v>
      </c>
      <c r="G17" s="252" t="s">
        <v>278</v>
      </c>
      <c r="H17" s="252" t="s">
        <v>279</v>
      </c>
      <c r="I17" s="252" t="s">
        <v>280</v>
      </c>
      <c r="J17" s="252" t="s">
        <v>281</v>
      </c>
      <c r="K17" s="252" t="s">
        <v>282</v>
      </c>
      <c r="L17" s="252" t="s">
        <v>283</v>
      </c>
      <c r="M17" s="252" t="s">
        <v>284</v>
      </c>
      <c r="N17" s="13"/>
      <c r="O17" s="13"/>
      <c r="P17" s="20"/>
      <c r="Q17" s="20"/>
    </row>
    <row r="18" spans="1:17" ht="17.25" customHeight="1">
      <c r="A18" s="20"/>
      <c r="B18" s="16" t="s">
        <v>285</v>
      </c>
      <c r="C18" s="16"/>
      <c r="D18" s="253"/>
      <c r="E18" s="253"/>
      <c r="F18" s="253"/>
      <c r="G18" s="253"/>
      <c r="H18" s="253"/>
      <c r="I18" s="253"/>
      <c r="J18" s="20"/>
      <c r="K18" s="240" t="str">
        <f>IFERROR(E18/G18,"-")</f>
        <v>-</v>
      </c>
      <c r="L18" s="240" t="str">
        <f>IFERROR(E18/H18,"-")</f>
        <v>-</v>
      </c>
      <c r="M18" s="240" t="str">
        <f>IFERROR(E18/I18,"-")</f>
        <v>-</v>
      </c>
      <c r="N18" s="240" t="str">
        <f>IFERROR(D18/J18,"-")</f>
        <v>-</v>
      </c>
      <c r="O18" s="20"/>
      <c r="P18" s="20"/>
      <c r="Q18" s="20"/>
    </row>
    <row r="19" spans="1:17" ht="17.25" customHeight="1">
      <c r="A19" s="20"/>
      <c r="B19" s="16" t="s">
        <v>286</v>
      </c>
      <c r="C19" s="16"/>
      <c r="D19" s="253"/>
      <c r="E19" s="253"/>
      <c r="F19" s="253"/>
      <c r="G19" s="253"/>
      <c r="H19" s="253"/>
      <c r="I19" s="253"/>
      <c r="J19" s="20"/>
      <c r="K19" s="240" t="str">
        <f>IFERROR(E19/G19,"-")</f>
        <v>-</v>
      </c>
      <c r="L19" s="240" t="str">
        <f>IFERROR(E19/H19,"-")</f>
        <v>-</v>
      </c>
      <c r="M19" s="240" t="str">
        <f>IFERROR(E19/I19,"-")</f>
        <v>-</v>
      </c>
      <c r="N19" s="240" t="str">
        <f>IFERROR(D19/J19,"-")</f>
        <v>-</v>
      </c>
      <c r="O19" s="20"/>
      <c r="P19" s="20"/>
      <c r="Q19" s="20"/>
    </row>
    <row r="20" spans="1:17" ht="17.25" customHeight="1">
      <c r="A20" s="20"/>
      <c r="B20" s="16" t="s">
        <v>287</v>
      </c>
      <c r="C20" s="16"/>
      <c r="D20" s="253"/>
      <c r="E20" s="253"/>
      <c r="F20" s="253"/>
      <c r="G20" s="253"/>
      <c r="H20" s="253"/>
      <c r="I20" s="253"/>
      <c r="J20" s="20"/>
      <c r="K20" s="240" t="str">
        <f>IFERROR(E20/G20,"-")</f>
        <v>-</v>
      </c>
      <c r="L20" s="240" t="str">
        <f>IFERROR(E20/H20,"-")</f>
        <v>-</v>
      </c>
      <c r="M20" s="240" t="str">
        <f>IFERROR(E20/I20,"-")</f>
        <v>-</v>
      </c>
      <c r="N20" s="240" t="str">
        <f>IFERROR(D20/J20,"-")</f>
        <v>-</v>
      </c>
      <c r="O20" s="20"/>
      <c r="P20" s="20"/>
      <c r="Q20" s="20"/>
    </row>
    <row r="21" spans="1:17" ht="17.25" customHeight="1">
      <c r="A21" s="20"/>
      <c r="B21" s="16" t="s">
        <v>288</v>
      </c>
      <c r="C21" s="16"/>
      <c r="D21" s="253"/>
      <c r="E21" s="253"/>
      <c r="F21" s="253"/>
      <c r="G21" s="253"/>
      <c r="H21" s="253"/>
      <c r="I21" s="253"/>
      <c r="J21" s="20"/>
      <c r="K21" s="240" t="str">
        <f>IFERROR(E21/G21,"-")</f>
        <v>-</v>
      </c>
      <c r="L21" s="240" t="str">
        <f>IFERROR(E21/H21,"-")</f>
        <v>-</v>
      </c>
      <c r="M21" s="240" t="str">
        <f>IFERROR(E21/I21,"-")</f>
        <v>-</v>
      </c>
      <c r="N21" s="240" t="str">
        <f>IFERROR(D21/J21,"-")</f>
        <v>-</v>
      </c>
      <c r="O21" s="20"/>
      <c r="P21" s="20"/>
      <c r="Q21" s="20"/>
    </row>
    <row r="22" spans="1:17" ht="17.25" customHeight="1">
      <c r="A22" s="20"/>
      <c r="B22" s="16" t="s">
        <v>289</v>
      </c>
      <c r="C22" s="16"/>
      <c r="D22" s="253"/>
      <c r="E22" s="253"/>
      <c r="F22" s="253"/>
      <c r="G22" s="253"/>
      <c r="H22" s="253"/>
      <c r="I22" s="253"/>
      <c r="J22" s="20"/>
      <c r="K22" s="240" t="str">
        <f>IFERROR(E22/G22,"-")</f>
        <v>-</v>
      </c>
      <c r="L22" s="240" t="str">
        <f>IFERROR(E22/H22,"-")</f>
        <v>-</v>
      </c>
      <c r="M22" s="240" t="str">
        <f>IFERROR(E22/I22,"-")</f>
        <v>-</v>
      </c>
      <c r="N22" s="240" t="str">
        <f>IFERROR(D22/J22,"-")</f>
        <v>-</v>
      </c>
      <c r="O22" s="20"/>
      <c r="P22" s="20"/>
      <c r="Q22" s="20"/>
    </row>
    <row r="23" spans="1:17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7" ht="17.25" customHeight="1">
      <c r="A24" s="57"/>
      <c r="B24" s="76" t="s">
        <v>290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7" ht="17.2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254" t="s">
        <v>281</v>
      </c>
      <c r="L26" s="254" t="s">
        <v>282</v>
      </c>
      <c r="M26" s="254" t="s">
        <v>283</v>
      </c>
      <c r="N26" s="254" t="s">
        <v>284</v>
      </c>
      <c r="O26" s="57"/>
    </row>
    <row r="27" spans="1:17" ht="17.25" customHeight="1">
      <c r="A27" s="20"/>
      <c r="B27" s="61" t="s">
        <v>291</v>
      </c>
      <c r="C27" s="20"/>
      <c r="D27" s="20"/>
      <c r="E27" s="20"/>
      <c r="F27" s="20"/>
      <c r="G27" s="20"/>
      <c r="H27" s="20"/>
      <c r="I27" s="20"/>
      <c r="J27" s="20"/>
      <c r="K27" s="255" t="str">
        <f>IFERROR(AVERAGE(K18:K22),"-")</f>
        <v>-</v>
      </c>
      <c r="L27" s="255" t="str">
        <f>IFERROR(AVERAGE(L18:L22),"-")</f>
        <v>-</v>
      </c>
      <c r="M27" s="255" t="str">
        <f>IFERROR(AVERAGE(M18:M22),"-")</f>
        <v>-</v>
      </c>
      <c r="N27" s="255" t="str">
        <f>IFERROR(AVERAGE(N18:N22),"-")</f>
        <v>-</v>
      </c>
      <c r="O27" s="20"/>
      <c r="P27" s="20"/>
      <c r="Q27" s="20"/>
    </row>
    <row r="28" spans="1:17" ht="17.25" customHeight="1">
      <c r="A28" s="20"/>
      <c r="B28" s="61" t="s">
        <v>292</v>
      </c>
      <c r="C28" s="20"/>
      <c r="D28" s="20"/>
      <c r="E28" s="20"/>
      <c r="F28" s="20"/>
      <c r="G28" s="20"/>
      <c r="H28" s="20"/>
      <c r="I28" s="20"/>
      <c r="J28" s="20"/>
      <c r="K28" s="255" t="str">
        <f>IFERROR(MEDIAN(K18:K22),"-")</f>
        <v>-</v>
      </c>
      <c r="L28" s="255" t="str">
        <f>IFERROR(MEDIAN(L18:L22),"-")</f>
        <v>-</v>
      </c>
      <c r="M28" s="255" t="str">
        <f>IFERROR(MEDIAN(M18:M22),"-")</f>
        <v>-</v>
      </c>
      <c r="N28" s="255" t="str">
        <f>IFERROR(MEDIAN(N18:N22),"-")</f>
        <v>-</v>
      </c>
      <c r="O28" s="20"/>
      <c r="P28" s="20"/>
      <c r="Q28" s="20"/>
    </row>
    <row r="29" spans="1:17" ht="17.25" customHeight="1">
      <c r="A29" s="20"/>
      <c r="B29" s="61" t="s">
        <v>293</v>
      </c>
      <c r="C29" s="20"/>
      <c r="D29" s="20"/>
      <c r="E29" s="20"/>
      <c r="F29" s="20"/>
      <c r="G29" s="20"/>
      <c r="H29" s="20"/>
      <c r="I29" s="20"/>
      <c r="J29" s="20"/>
      <c r="K29" s="255">
        <f>IFERROR(MAX(K18:K22),"-")</f>
        <v>0</v>
      </c>
      <c r="L29" s="255">
        <f>IFERROR(MAX(L18:L22),"-")</f>
        <v>0</v>
      </c>
      <c r="M29" s="255">
        <f>IFERROR(MAX(M18:M22),"-")</f>
        <v>0</v>
      </c>
      <c r="N29" s="255">
        <f>IFERROR(MAX(N18:N22),"-")</f>
        <v>0</v>
      </c>
      <c r="O29" s="20"/>
      <c r="P29" s="20"/>
      <c r="Q29" s="20"/>
    </row>
    <row r="30" spans="1:17" ht="17.25" customHeight="1">
      <c r="A30" s="20"/>
      <c r="B30" s="61" t="s">
        <v>294</v>
      </c>
      <c r="C30" s="20"/>
      <c r="D30" s="20"/>
      <c r="E30" s="20"/>
      <c r="F30" s="20"/>
      <c r="G30" s="20"/>
      <c r="H30" s="20"/>
      <c r="I30" s="20"/>
      <c r="J30" s="20"/>
      <c r="K30" s="255">
        <f>IFERROR(MIN(K18:K22),"-")</f>
        <v>0</v>
      </c>
      <c r="L30" s="255">
        <f>IFERROR(MIN(L18:L22),"-")</f>
        <v>0</v>
      </c>
      <c r="M30" s="255">
        <f>IFERROR(MIN(M18:M22),"-")</f>
        <v>0</v>
      </c>
      <c r="N30" s="255">
        <f>IFERROR(MIN(N18:N22),"-")</f>
        <v>0</v>
      </c>
      <c r="O30" s="20"/>
      <c r="P30" s="20"/>
      <c r="Q30" s="20"/>
    </row>
    <row r="31" spans="1:17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7" ht="17.25" customHeight="1">
      <c r="A32" s="13"/>
      <c r="B32" s="236" t="s">
        <v>295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20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20" ht="17.25" customHeight="1">
      <c r="A34" s="20"/>
      <c r="B34" s="256" t="s">
        <v>296</v>
      </c>
      <c r="C34" s="20"/>
      <c r="D34" s="20"/>
      <c r="E34" s="20"/>
      <c r="F34" s="20"/>
      <c r="G34" s="20"/>
      <c r="H34" s="20"/>
      <c r="I34" s="20"/>
      <c r="J34" s="20"/>
      <c r="K34" s="240"/>
      <c r="L34" s="240"/>
      <c r="M34" s="240"/>
      <c r="N34" s="240"/>
      <c r="O34" s="20"/>
      <c r="P34" s="20"/>
      <c r="Q34" s="20"/>
    </row>
    <row r="35" spans="1:20" ht="17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20" ht="17.25" customHeight="1">
      <c r="A36" s="20"/>
      <c r="B36" s="256" t="s">
        <v>297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spans="1:20" ht="17.25" customHeight="1">
      <c r="A37" s="20"/>
      <c r="B37" s="61" t="s">
        <v>172</v>
      </c>
      <c r="C37" s="20"/>
      <c r="D37" s="20"/>
      <c r="E37" s="20"/>
      <c r="F37" s="26" t="s">
        <v>114</v>
      </c>
      <c r="G37" s="257">
        <f>DCF!N20</f>
        <v>2434.47555603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0" ht="17.25" customHeight="1">
      <c r="A38" s="20"/>
      <c r="B38" s="61" t="s">
        <v>65</v>
      </c>
      <c r="C38" s="20"/>
      <c r="D38" s="20"/>
      <c r="E38" s="20"/>
      <c r="F38" s="26" t="s">
        <v>114</v>
      </c>
      <c r="G38" s="257">
        <f>DCF!N30</f>
        <v>751.5305650628668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spans="1:20" ht="17.25" customHeight="1">
      <c r="A39" s="20"/>
      <c r="B39" s="61" t="s">
        <v>204</v>
      </c>
      <c r="C39" s="20"/>
      <c r="D39" s="20"/>
      <c r="E39" s="20"/>
      <c r="F39" s="26" t="s">
        <v>114</v>
      </c>
      <c r="G39" s="257">
        <f>DCF!N27</f>
        <v>751.5305650628668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20" ht="17.25" customHeight="1">
      <c r="A40" s="20"/>
      <c r="B40" s="61" t="s">
        <v>298</v>
      </c>
      <c r="C40" s="20"/>
      <c r="D40" s="20"/>
      <c r="E40" s="20"/>
      <c r="F40" s="26" t="s">
        <v>114</v>
      </c>
      <c r="G40" s="257">
        <f>DCF!N80</f>
        <v>588.41758718152698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20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20" ht="17.25" customHeight="1">
      <c r="A42" s="20"/>
      <c r="B42" s="256" t="s">
        <v>299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20" ht="17.25" customHeight="1">
      <c r="A43" s="20"/>
      <c r="B43" s="61" t="s">
        <v>300</v>
      </c>
      <c r="C43" s="20"/>
      <c r="D43" s="20"/>
      <c r="E43" s="20"/>
      <c r="F43" s="26" t="s">
        <v>114</v>
      </c>
      <c r="G43" s="253">
        <f>K34*G37</f>
        <v>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20" ht="17.25" customHeight="1">
      <c r="A44" s="20"/>
      <c r="B44" s="61" t="s">
        <v>301</v>
      </c>
      <c r="C44" s="20"/>
      <c r="D44" s="20"/>
      <c r="E44" s="20"/>
      <c r="F44" s="26" t="s">
        <v>114</v>
      </c>
      <c r="G44" s="253">
        <f>L34*G38</f>
        <v>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20" ht="17.25" customHeight="1">
      <c r="A45" s="20"/>
      <c r="B45" s="61" t="s">
        <v>302</v>
      </c>
      <c r="C45" s="20"/>
      <c r="D45" s="20"/>
      <c r="E45" s="20"/>
      <c r="F45" s="26" t="s">
        <v>114</v>
      </c>
      <c r="G45" s="253">
        <f>M34*G39</f>
        <v>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20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20" ht="17.25" customHeight="1">
      <c r="A47" s="70"/>
      <c r="B47" s="241" t="s">
        <v>303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</row>
    <row r="48" spans="1:20" ht="17.25" customHeight="1">
      <c r="A48" s="20"/>
      <c r="B48" s="61" t="s">
        <v>304</v>
      </c>
      <c r="C48" s="20"/>
      <c r="D48" s="20"/>
      <c r="E48" s="20"/>
      <c r="F48" s="26" t="s">
        <v>114</v>
      </c>
      <c r="G48" s="253">
        <f>N34*G40</f>
        <v>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ht="17.25" customHeight="1">
      <c r="A49" s="20"/>
      <c r="B49" s="258" t="s">
        <v>305</v>
      </c>
      <c r="C49" s="258"/>
      <c r="D49" s="258"/>
      <c r="E49" s="258"/>
      <c r="F49" s="258" t="s">
        <v>114</v>
      </c>
      <c r="G49" s="259">
        <f>G44-Input!I248</f>
        <v>-250</v>
      </c>
      <c r="H49" s="258"/>
      <c r="I49" s="258"/>
      <c r="J49" s="258"/>
      <c r="K49" s="258"/>
      <c r="L49" s="258"/>
      <c r="M49" s="258"/>
      <c r="N49" s="258"/>
      <c r="O49" s="20"/>
      <c r="P49" s="20"/>
      <c r="Q49" s="20"/>
    </row>
    <row r="50" spans="1:17" ht="17.25" customHeight="1"/>
    <row r="51" spans="1:17" ht="17.25" customHeight="1"/>
    <row r="52" spans="1:17" ht="17.25" customHeight="1"/>
    <row r="53" spans="1:17" ht="17.25" customHeight="1"/>
  </sheetData>
  <phoneticPr fontId="6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1"/>
  <sheetViews>
    <sheetView showGridLines="0" topLeftCell="A32" zoomScale="70" zoomScaleNormal="70" workbookViewId="0">
      <selection activeCell="S8" sqref="S8"/>
    </sheetView>
  </sheetViews>
  <sheetFormatPr defaultColWidth="8.5625" defaultRowHeight="15" customHeight="1"/>
  <cols>
    <col min="1" max="1" width="1.6875" style="233" customWidth="1"/>
    <col min="2" max="2" width="28.6875" style="233" customWidth="1"/>
    <col min="3" max="4" width="1.6875" style="233" customWidth="1"/>
    <col min="5" max="15" width="10.375" style="233" customWidth="1"/>
    <col min="16" max="16" width="1.6875" style="233" customWidth="1"/>
  </cols>
  <sheetData>
    <row r="1" spans="1:17" ht="24" customHeight="1">
      <c r="A1" s="13"/>
      <c r="B1" s="234" t="str">
        <f>Legend!D2</f>
        <v>Project dummy Financial Model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7.25" customHeight="1">
      <c r="A2" s="13"/>
      <c r="B2" s="235" t="s">
        <v>306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7.2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7" ht="17.25" customHeight="1">
      <c r="A4" s="13"/>
      <c r="B4" s="236" t="s">
        <v>27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 ht="17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7" ht="17.25" customHeight="1">
      <c r="A6" s="57"/>
      <c r="B6" s="58" t="s">
        <v>28</v>
      </c>
      <c r="C6" s="57"/>
      <c r="D6" s="57"/>
      <c r="E6" s="57"/>
      <c r="F6" s="57"/>
      <c r="G6" s="237" t="str">
        <f>Input!G6</f>
        <v>Actual</v>
      </c>
      <c r="H6" s="237" t="str">
        <f>Input!H6</f>
        <v>Actual</v>
      </c>
      <c r="I6" s="237" t="str">
        <f>Input!I6</f>
        <v>Actual</v>
      </c>
      <c r="J6" s="237" t="str">
        <f>Input!J6</f>
        <v>Forecast</v>
      </c>
      <c r="K6" s="237" t="str">
        <f>Input!K6</f>
        <v>Forecast</v>
      </c>
      <c r="L6" s="237" t="str">
        <f>Input!L6</f>
        <v>Forecast</v>
      </c>
      <c r="M6" s="237" t="str">
        <f>Input!M6</f>
        <v>Forecast</v>
      </c>
      <c r="N6" s="237" t="str">
        <f>Input!N6</f>
        <v>Forecast</v>
      </c>
      <c r="O6" s="237" t="str">
        <f>Input!O6</f>
        <v>Forecast</v>
      </c>
      <c r="P6" s="57"/>
      <c r="Q6" s="57"/>
    </row>
    <row r="7" spans="1:17" ht="17.25" customHeight="1">
      <c r="A7" s="20"/>
      <c r="B7" s="61" t="s">
        <v>31</v>
      </c>
      <c r="C7" s="20"/>
      <c r="D7" s="20"/>
      <c r="E7" s="20"/>
      <c r="F7" s="20"/>
      <c r="G7" s="238">
        <f>Input!G7</f>
        <v>44927</v>
      </c>
      <c r="H7" s="238">
        <f>Input!H7</f>
        <v>45292</v>
      </c>
      <c r="I7" s="238">
        <f>Input!I7</f>
        <v>45658</v>
      </c>
      <c r="J7" s="238">
        <f>Input!J7</f>
        <v>46023</v>
      </c>
      <c r="K7" s="238">
        <f>Input!K7</f>
        <v>46388</v>
      </c>
      <c r="L7" s="238">
        <f>Input!L7</f>
        <v>46753</v>
      </c>
      <c r="M7" s="238">
        <f>Input!M7</f>
        <v>47119</v>
      </c>
      <c r="N7" s="238">
        <f>Input!N7</f>
        <v>47484</v>
      </c>
      <c r="O7" s="16" t="s">
        <v>32</v>
      </c>
      <c r="P7" s="20"/>
      <c r="Q7" s="20"/>
    </row>
    <row r="8" spans="1:17" ht="17.25" customHeight="1">
      <c r="A8" s="20"/>
      <c r="B8" s="61" t="s">
        <v>33</v>
      </c>
      <c r="C8" s="20"/>
      <c r="D8" s="20"/>
      <c r="E8" s="20"/>
      <c r="F8" s="20"/>
      <c r="G8" s="238">
        <f>Input!G8</f>
        <v>45291</v>
      </c>
      <c r="H8" s="238">
        <f>Input!H8</f>
        <v>45657</v>
      </c>
      <c r="I8" s="238">
        <f>Input!I8</f>
        <v>46022</v>
      </c>
      <c r="J8" s="238">
        <f>Input!J8</f>
        <v>46387</v>
      </c>
      <c r="K8" s="238">
        <f>Input!K8</f>
        <v>46752</v>
      </c>
      <c r="L8" s="238">
        <f>Input!L8</f>
        <v>47118</v>
      </c>
      <c r="M8" s="238">
        <f>Input!M8</f>
        <v>47483</v>
      </c>
      <c r="N8" s="238">
        <f>Input!N8</f>
        <v>47848</v>
      </c>
      <c r="O8" s="16"/>
      <c r="P8" s="20"/>
      <c r="Q8" s="20"/>
    </row>
    <row r="9" spans="1:17" ht="17.25" customHeight="1">
      <c r="A9" s="20"/>
      <c r="B9" s="61" t="s">
        <v>34</v>
      </c>
      <c r="C9" s="20"/>
      <c r="D9" s="20"/>
      <c r="E9" s="20"/>
      <c r="F9" s="20"/>
      <c r="G9" s="16">
        <f>Input!G9</f>
        <v>12</v>
      </c>
      <c r="H9" s="16">
        <f>Input!H9</f>
        <v>12</v>
      </c>
      <c r="I9" s="16">
        <f>Input!I9</f>
        <v>12</v>
      </c>
      <c r="J9" s="16">
        <f>Input!J9</f>
        <v>12</v>
      </c>
      <c r="K9" s="16">
        <f>Input!K9</f>
        <v>12</v>
      </c>
      <c r="L9" s="16">
        <f>Input!L9</f>
        <v>12</v>
      </c>
      <c r="M9" s="16">
        <f>Input!M9</f>
        <v>12</v>
      </c>
      <c r="N9" s="16">
        <f>Input!N9</f>
        <v>12</v>
      </c>
      <c r="O9" s="16"/>
      <c r="P9" s="20"/>
      <c r="Q9" s="20"/>
    </row>
    <row r="10" spans="1:17" ht="17.25" customHeight="1">
      <c r="A10" s="20"/>
      <c r="B10" s="61" t="s">
        <v>35</v>
      </c>
      <c r="C10" s="20"/>
      <c r="D10" s="20"/>
      <c r="E10" s="20"/>
      <c r="F10" s="20"/>
      <c r="G10" s="16">
        <f>Input!G10</f>
        <v>2023</v>
      </c>
      <c r="H10" s="16">
        <f>Input!H10</f>
        <v>2024</v>
      </c>
      <c r="I10" s="16">
        <f>Input!I10</f>
        <v>2025</v>
      </c>
      <c r="J10" s="16">
        <f>Input!J10</f>
        <v>2026</v>
      </c>
      <c r="K10" s="16">
        <f>Input!K10</f>
        <v>2027</v>
      </c>
      <c r="L10" s="16">
        <f>Input!L10</f>
        <v>2028</v>
      </c>
      <c r="M10" s="16">
        <f>Input!M10</f>
        <v>2029</v>
      </c>
      <c r="N10" s="16">
        <f>Input!N10</f>
        <v>2030</v>
      </c>
      <c r="O10" s="16">
        <f>Input!O10</f>
        <v>0</v>
      </c>
      <c r="P10" s="20"/>
      <c r="Q10" s="20"/>
    </row>
    <row r="11" spans="1:17" ht="17.25" customHeight="1">
      <c r="A11" s="20"/>
      <c r="B11" s="61" t="s">
        <v>36</v>
      </c>
      <c r="C11" s="20"/>
      <c r="D11" s="20"/>
      <c r="E11" s="20"/>
      <c r="F11" s="20"/>
      <c r="G11" s="16">
        <f>Input!G11</f>
        <v>364</v>
      </c>
      <c r="H11" s="16">
        <f>Input!H11</f>
        <v>365</v>
      </c>
      <c r="I11" s="16">
        <f>Input!I11</f>
        <v>364</v>
      </c>
      <c r="J11" s="16">
        <f>Input!J11</f>
        <v>364</v>
      </c>
      <c r="K11" s="16">
        <f>Input!K11</f>
        <v>364</v>
      </c>
      <c r="L11" s="16">
        <f>Input!L11</f>
        <v>365</v>
      </c>
      <c r="M11" s="16">
        <f>Input!M11</f>
        <v>364</v>
      </c>
      <c r="N11" s="16">
        <f>Input!N11</f>
        <v>364</v>
      </c>
      <c r="O11" s="16"/>
      <c r="P11" s="20"/>
      <c r="Q11" s="20"/>
    </row>
    <row r="12" spans="1:17" ht="17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7" ht="17.25" customHeight="1">
      <c r="A13" s="13"/>
      <c r="B13" s="236" t="s">
        <v>307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13"/>
      <c r="Q13" s="13"/>
    </row>
    <row r="14" spans="1:17" ht="17.2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7" ht="17.25" customHeight="1">
      <c r="A15" s="57"/>
      <c r="B15" s="76" t="s">
        <v>308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17" ht="17.2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7" ht="17.25" customHeight="1">
      <c r="A17" s="13"/>
      <c r="B17" s="252" t="s">
        <v>4</v>
      </c>
      <c r="C17" s="252" t="s">
        <v>309</v>
      </c>
      <c r="D17" s="252" t="s">
        <v>310</v>
      </c>
      <c r="E17" s="252" t="s">
        <v>311</v>
      </c>
      <c r="F17" s="252" t="s">
        <v>277</v>
      </c>
      <c r="G17" s="252" t="s">
        <v>278</v>
      </c>
      <c r="H17" s="252" t="s">
        <v>279</v>
      </c>
      <c r="I17" s="252" t="s">
        <v>281</v>
      </c>
      <c r="J17" s="252" t="s">
        <v>282</v>
      </c>
      <c r="K17" s="252" t="s">
        <v>283</v>
      </c>
      <c r="L17" s="252" t="s">
        <v>312</v>
      </c>
      <c r="M17" s="13"/>
      <c r="N17" s="13"/>
      <c r="O17" s="20"/>
      <c r="P17" s="20"/>
      <c r="Q17" s="20"/>
    </row>
    <row r="18" spans="1:17" ht="17.25" customHeight="1">
      <c r="A18" s="20"/>
      <c r="B18" s="260"/>
      <c r="C18" s="16" t="s">
        <v>313</v>
      </c>
      <c r="F18" s="16" t="s">
        <v>314</v>
      </c>
      <c r="G18" s="253"/>
      <c r="H18" s="253"/>
      <c r="I18" s="20"/>
      <c r="J18" s="240" t="str">
        <f>IFERROR(G18/#REF!,"-")</f>
        <v>-</v>
      </c>
      <c r="K18" s="240" t="str">
        <f>IFERROR(G18/H18,"-")</f>
        <v>-</v>
      </c>
      <c r="L18" s="240" t="str">
        <f>IFERROR(G18/I18,"-")</f>
        <v>-</v>
      </c>
      <c r="M18" s="239"/>
      <c r="N18" s="20"/>
      <c r="O18" s="8"/>
    </row>
    <row r="19" spans="1:17" ht="17.25" customHeight="1">
      <c r="A19" s="20"/>
      <c r="B19" s="260"/>
      <c r="C19" s="16" t="s">
        <v>315</v>
      </c>
      <c r="F19" s="16" t="s">
        <v>316</v>
      </c>
      <c r="G19" s="253"/>
      <c r="H19" s="253"/>
      <c r="I19" s="20"/>
      <c r="J19" s="240" t="str">
        <f>IFERROR(G19/#REF!,"-")</f>
        <v>-</v>
      </c>
      <c r="K19" s="240" t="str">
        <f>IFERROR(G19/H19,"-")</f>
        <v>-</v>
      </c>
      <c r="L19" s="240" t="str">
        <f>IFERROR(G19/I19,"-")</f>
        <v>-</v>
      </c>
      <c r="M19" s="239"/>
      <c r="N19" s="20"/>
      <c r="O19" s="8"/>
    </row>
    <row r="20" spans="1:17" ht="17.25" customHeight="1">
      <c r="A20" s="20"/>
      <c r="B20" s="260"/>
      <c r="C20" s="16" t="s">
        <v>317</v>
      </c>
      <c r="F20" s="16" t="s">
        <v>318</v>
      </c>
      <c r="G20" s="253"/>
      <c r="H20" s="253"/>
      <c r="I20" s="20"/>
      <c r="J20" s="240" t="str">
        <f>IFERROR(G20/#REF!,"-")</f>
        <v>-</v>
      </c>
      <c r="K20" s="240" t="str">
        <f>IFERROR(G20/H20,"-")</f>
        <v>-</v>
      </c>
      <c r="L20" s="240" t="str">
        <f>IFERROR(G20/I20,"-")</f>
        <v>-</v>
      </c>
      <c r="M20" s="239"/>
      <c r="N20" s="20"/>
      <c r="O20" s="8"/>
    </row>
    <row r="21" spans="1:17" ht="17.25" customHeight="1">
      <c r="A21" s="20"/>
      <c r="B21" s="260"/>
      <c r="C21" s="16" t="s">
        <v>319</v>
      </c>
      <c r="F21" s="16" t="s">
        <v>320</v>
      </c>
      <c r="G21" s="253"/>
      <c r="H21" s="253"/>
      <c r="I21" s="20"/>
      <c r="J21" s="240" t="str">
        <f>IFERROR(G21/#REF!,"-")</f>
        <v>-</v>
      </c>
      <c r="K21" s="240" t="str">
        <f>IFERROR(G21/H21,"-")</f>
        <v>-</v>
      </c>
      <c r="L21" s="240" t="str">
        <f>IFERROR(G21/I21,"-")</f>
        <v>-</v>
      </c>
      <c r="M21" s="239"/>
      <c r="N21" s="20"/>
      <c r="O21" s="8"/>
    </row>
    <row r="22" spans="1:17" ht="17.25" customHeight="1">
      <c r="A22" s="20"/>
      <c r="B22" s="260"/>
      <c r="C22" s="16" t="s">
        <v>321</v>
      </c>
      <c r="F22" s="16" t="s">
        <v>322</v>
      </c>
      <c r="G22" s="253"/>
      <c r="H22" s="253"/>
      <c r="I22" s="20"/>
      <c r="J22" s="240" t="str">
        <f>IFERROR(G22/#REF!,"-")</f>
        <v>-</v>
      </c>
      <c r="K22" s="240" t="str">
        <f>IFERROR(G22/H22,"-")</f>
        <v>-</v>
      </c>
      <c r="L22" s="240" t="str">
        <f>IFERROR(G22/I22,"-")</f>
        <v>-</v>
      </c>
      <c r="M22" s="239"/>
      <c r="N22" s="20"/>
      <c r="O22" s="8"/>
    </row>
    <row r="23" spans="1:17" ht="17.2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7" ht="17.25" customHeight="1">
      <c r="A24" s="57"/>
      <c r="B24" s="76" t="s">
        <v>323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 ht="17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7" ht="17.25" customHeight="1">
      <c r="A26" s="57"/>
      <c r="B26" s="57"/>
      <c r="C26" s="57"/>
      <c r="D26" s="57"/>
      <c r="E26" s="57"/>
      <c r="F26" s="57"/>
      <c r="G26" s="57"/>
      <c r="H26" s="57"/>
      <c r="I26" s="57"/>
      <c r="J26" s="254" t="s">
        <v>281</v>
      </c>
      <c r="K26" s="254" t="s">
        <v>282</v>
      </c>
      <c r="L26" s="254" t="s">
        <v>283</v>
      </c>
      <c r="M26" s="57"/>
      <c r="N26" s="57"/>
      <c r="O26" s="8"/>
    </row>
    <row r="27" spans="1:17" ht="17.25" customHeight="1">
      <c r="A27" s="20"/>
      <c r="B27" s="61" t="s">
        <v>291</v>
      </c>
      <c r="C27" s="20"/>
      <c r="D27" s="20"/>
      <c r="E27" s="20"/>
      <c r="F27" s="20"/>
      <c r="G27" s="20"/>
      <c r="H27" s="20"/>
      <c r="I27" s="20"/>
      <c r="J27" s="255" t="str">
        <f>IFERROR(AVERAGE(J18:J22),"-")</f>
        <v>-</v>
      </c>
      <c r="K27" s="255" t="str">
        <f>IFERROR(AVERAGE(K18:K22),"-")</f>
        <v>-</v>
      </c>
      <c r="L27" s="255" t="str">
        <f>IFERROR(AVERAGE(L18:L22),"-")</f>
        <v>-</v>
      </c>
      <c r="M27" s="239" t="str">
        <f>IFERROR(AVERAGE(M18:M22),"-")</f>
        <v>-</v>
      </c>
      <c r="N27" s="20"/>
      <c r="O27" s="20"/>
      <c r="P27" s="20"/>
      <c r="Q27" s="20"/>
    </row>
    <row r="28" spans="1:17" ht="17.25" customHeight="1">
      <c r="A28" s="20"/>
      <c r="B28" s="61" t="s">
        <v>292</v>
      </c>
      <c r="C28" s="20"/>
      <c r="D28" s="20"/>
      <c r="E28" s="20"/>
      <c r="F28" s="20"/>
      <c r="G28" s="20"/>
      <c r="H28" s="20"/>
      <c r="I28" s="20"/>
      <c r="J28" s="255" t="str">
        <f>IFERROR(MEDIAN(J18:J22),"-")</f>
        <v>-</v>
      </c>
      <c r="K28" s="255" t="str">
        <f>IFERROR(MEDIAN(K18:K22),"-")</f>
        <v>-</v>
      </c>
      <c r="L28" s="255" t="str">
        <f>IFERROR(MEDIAN(L18:L22),"-")</f>
        <v>-</v>
      </c>
      <c r="M28" s="20"/>
      <c r="N28" s="20"/>
      <c r="O28" s="20"/>
      <c r="P28" s="20"/>
      <c r="Q28" s="20"/>
    </row>
    <row r="29" spans="1:17" ht="17.25" customHeight="1">
      <c r="A29" s="20"/>
      <c r="B29" s="61" t="s">
        <v>293</v>
      </c>
      <c r="C29" s="20"/>
      <c r="D29" s="20"/>
      <c r="E29" s="20"/>
      <c r="F29" s="20"/>
      <c r="G29" s="20"/>
      <c r="H29" s="20"/>
      <c r="I29" s="20"/>
      <c r="J29" s="255">
        <f>IFERROR(MAX(J18:J22),"-")</f>
        <v>0</v>
      </c>
      <c r="K29" s="255">
        <f>IFERROR(MAX(K18:K22),"-")</f>
        <v>0</v>
      </c>
      <c r="L29" s="255">
        <f>IFERROR(MAX(L18:L22),"-")</f>
        <v>0</v>
      </c>
      <c r="M29" s="20"/>
      <c r="N29" s="20"/>
      <c r="O29" s="20"/>
      <c r="P29" s="20"/>
      <c r="Q29" s="20"/>
    </row>
    <row r="30" spans="1:17" ht="17.25" customHeight="1">
      <c r="A30" s="20"/>
      <c r="B30" s="61" t="s">
        <v>294</v>
      </c>
      <c r="C30" s="20"/>
      <c r="D30" s="20"/>
      <c r="E30" s="20"/>
      <c r="F30" s="20"/>
      <c r="G30" s="20"/>
      <c r="H30" s="20"/>
      <c r="I30" s="20"/>
      <c r="J30" s="255">
        <f>IFERROR(MIN(J18:J22),"-")</f>
        <v>0</v>
      </c>
      <c r="K30" s="255">
        <f>IFERROR(MIN(K18:K22),"-")</f>
        <v>0</v>
      </c>
      <c r="L30" s="255">
        <f>IFERROR(MIN(L18:L22),"-")</f>
        <v>0</v>
      </c>
      <c r="M30" s="20"/>
      <c r="N30" s="20"/>
      <c r="O30" s="20"/>
      <c r="P30" s="20"/>
      <c r="Q30" s="20"/>
    </row>
    <row r="31" spans="1:17" ht="17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7" ht="17.25" customHeight="1">
      <c r="A32" s="13"/>
      <c r="B32" s="236" t="s">
        <v>324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20" ht="17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20" ht="17.25" customHeight="1">
      <c r="A34" s="20"/>
      <c r="B34" s="256" t="s">
        <v>296</v>
      </c>
      <c r="C34" s="20"/>
      <c r="D34" s="20"/>
      <c r="E34" s="20"/>
      <c r="F34" s="20"/>
      <c r="G34" s="20"/>
      <c r="H34" s="20"/>
      <c r="I34" s="20"/>
      <c r="J34" s="240"/>
      <c r="K34" s="240"/>
      <c r="L34" s="240"/>
      <c r="M34" s="20"/>
      <c r="N34" s="20"/>
      <c r="O34" s="20"/>
      <c r="P34" s="20"/>
      <c r="Q34" s="20"/>
    </row>
    <row r="35" spans="1:20" ht="17.25" customHeight="1">
      <c r="A35" s="20"/>
      <c r="B35" s="61" t="s">
        <v>325</v>
      </c>
      <c r="C35" s="20"/>
      <c r="D35" s="20"/>
      <c r="E35" s="239">
        <v>0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spans="1:20" ht="17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20" ht="17.25" customHeight="1">
      <c r="A37" s="20"/>
      <c r="B37" s="256" t="s">
        <v>297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spans="1:20" ht="17.25" customHeight="1">
      <c r="A38" s="20"/>
      <c r="B38" s="61" t="s">
        <v>172</v>
      </c>
      <c r="C38" s="20"/>
      <c r="D38" s="20"/>
      <c r="E38" s="20"/>
      <c r="F38" s="26" t="s">
        <v>114</v>
      </c>
      <c r="G38" s="257">
        <f>DCF!N20</f>
        <v>2434.47555603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ht="17.25" customHeight="1">
      <c r="A39" s="20"/>
      <c r="B39" s="61" t="s">
        <v>65</v>
      </c>
      <c r="C39" s="20"/>
      <c r="D39" s="20"/>
      <c r="E39" s="20"/>
      <c r="F39" s="26" t="s">
        <v>114</v>
      </c>
      <c r="G39" s="257">
        <f>DCF!N30</f>
        <v>751.5305650628668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spans="1:20" ht="17.25" customHeight="1">
      <c r="A40" s="20"/>
      <c r="B40" s="61" t="s">
        <v>204</v>
      </c>
      <c r="C40" s="20"/>
      <c r="D40" s="20"/>
      <c r="E40" s="20"/>
      <c r="F40" s="26" t="s">
        <v>114</v>
      </c>
      <c r="G40" s="257">
        <f>DCF!N27</f>
        <v>751.5305650628668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spans="1:20" ht="17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20" ht="17.25" customHeight="1">
      <c r="A42" s="20"/>
      <c r="B42" s="256" t="s">
        <v>299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20" ht="17.25" customHeight="1">
      <c r="A43" s="20"/>
      <c r="B43" s="61" t="s">
        <v>300</v>
      </c>
      <c r="C43" s="20"/>
      <c r="D43" s="20"/>
      <c r="E43" s="20"/>
      <c r="F43" s="26" t="s">
        <v>114</v>
      </c>
      <c r="G43" s="253">
        <f>J34*G38*(1+$E$35)</f>
        <v>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20" ht="17.25" customHeight="1">
      <c r="A44" s="20"/>
      <c r="B44" s="61" t="s">
        <v>301</v>
      </c>
      <c r="C44" s="20"/>
      <c r="D44" s="20"/>
      <c r="E44" s="20"/>
      <c r="F44" s="26" t="s">
        <v>114</v>
      </c>
      <c r="G44" s="253">
        <f>K34*G39*(1+$E$35)</f>
        <v>0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spans="1:20" ht="17.25" customHeight="1">
      <c r="A45" s="20"/>
      <c r="B45" s="61" t="s">
        <v>302</v>
      </c>
      <c r="C45" s="20"/>
      <c r="D45" s="20"/>
      <c r="E45" s="20"/>
      <c r="F45" s="26" t="s">
        <v>114</v>
      </c>
      <c r="G45" s="253">
        <f>L34*G40*(1+$E$35)</f>
        <v>0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spans="1:20" ht="17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20" ht="17.25" customHeight="1">
      <c r="A47" s="70"/>
      <c r="B47" s="241" t="s">
        <v>303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</row>
    <row r="48" spans="1:20" ht="17.25" customHeight="1">
      <c r="A48" s="20"/>
      <c r="B48" s="61" t="s">
        <v>326</v>
      </c>
      <c r="C48" s="20"/>
      <c r="D48" s="20"/>
      <c r="E48" s="20"/>
      <c r="F48" s="26" t="s">
        <v>114</v>
      </c>
      <c r="G48" s="253">
        <f>G44-Input!I248</f>
        <v>-250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1:17" ht="17.25" customHeight="1">
      <c r="A49" s="20"/>
      <c r="B49" s="258" t="s">
        <v>327</v>
      </c>
      <c r="C49" s="258"/>
      <c r="D49" s="258"/>
      <c r="E49" s="258"/>
      <c r="F49" s="258" t="s">
        <v>114</v>
      </c>
      <c r="G49" s="259">
        <f>G45-Input!I248</f>
        <v>-250</v>
      </c>
      <c r="H49" s="258"/>
      <c r="I49" s="258"/>
      <c r="J49" s="258"/>
      <c r="K49" s="258"/>
      <c r="L49" s="258"/>
      <c r="M49" s="258"/>
      <c r="N49" s="20"/>
      <c r="O49" s="20"/>
      <c r="P49" s="20"/>
      <c r="Q49" s="20"/>
    </row>
    <row r="50" spans="1:17" ht="17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7" ht="17.25" customHeight="1">
      <c r="A51" s="13"/>
      <c r="B51" s="236" t="s">
        <v>328</v>
      </c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13"/>
      <c r="Q51" s="13"/>
    </row>
    <row r="52" spans="1:17" ht="17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7" ht="17.25" customHeight="1">
      <c r="A53" s="20"/>
      <c r="B53" s="61" t="s">
        <v>329</v>
      </c>
      <c r="C53" s="20"/>
      <c r="D53" s="20"/>
      <c r="E53" s="20"/>
      <c r="F53" s="26" t="s">
        <v>114</v>
      </c>
      <c r="G53" s="257">
        <f>DCF!O45</f>
        <v>2365.1971526778398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spans="1:17" ht="17.25" customHeight="1">
      <c r="A54" s="20"/>
      <c r="B54" s="61" t="s">
        <v>330</v>
      </c>
      <c r="C54" s="20"/>
      <c r="D54" s="20"/>
      <c r="E54" s="20"/>
      <c r="F54" s="26" t="s">
        <v>114</v>
      </c>
      <c r="G54" s="257">
        <f>GPCM!G49</f>
        <v>-250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spans="1:17" ht="17.25" customHeight="1">
      <c r="A55" s="20"/>
      <c r="B55" s="61" t="s">
        <v>331</v>
      </c>
      <c r="C55" s="20"/>
      <c r="D55" s="20"/>
      <c r="E55" s="20"/>
      <c r="F55" s="26" t="s">
        <v>114</v>
      </c>
      <c r="G55" s="257">
        <f>G48</f>
        <v>-250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spans="1:17" ht="17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7" ht="17.25" customHeight="1">
      <c r="A57" s="70"/>
      <c r="B57" s="241" t="s">
        <v>332</v>
      </c>
      <c r="C57" s="241"/>
      <c r="D57" s="241"/>
      <c r="E57" s="241"/>
      <c r="F57" s="241" t="s">
        <v>114</v>
      </c>
      <c r="G57" s="261">
        <f>AVERAGE(G53:G55)</f>
        <v>621.73238422594659</v>
      </c>
      <c r="H57" s="241"/>
      <c r="I57" s="241"/>
      <c r="J57" s="241"/>
      <c r="K57" s="241"/>
      <c r="L57" s="241"/>
      <c r="M57" s="241"/>
      <c r="N57" s="70"/>
      <c r="O57" s="70"/>
      <c r="P57" s="70"/>
      <c r="Q57" s="70"/>
    </row>
    <row r="58" spans="1:17" ht="17.25" customHeight="1"/>
    <row r="59" spans="1:17" ht="17.25" customHeight="1"/>
    <row r="60" spans="1:17" ht="17.25" customHeight="1"/>
    <row r="61" spans="1:17" ht="17.25" customHeight="1"/>
  </sheetData>
  <phoneticPr fontId="6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Legend</vt:lpstr>
      <vt:lpstr>Input</vt:lpstr>
      <vt:lpstr>Calculation</vt:lpstr>
      <vt:lpstr>DCF</vt:lpstr>
      <vt:lpstr>WACC</vt:lpstr>
      <vt:lpstr>GPCM</vt:lpstr>
      <vt:lpstr>GTM</vt:lpstr>
      <vt:lpstr>CPI</vt:lpstr>
      <vt:lpstr>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gyeongwookim</dc:creator>
  <dc:description/>
  <cp:lastModifiedBy>양태 김</cp:lastModifiedBy>
  <cp:revision>0</cp:revision>
  <dcterms:created xsi:type="dcterms:W3CDTF">2021-09-06T09:32:22Z</dcterms:created>
  <dcterms:modified xsi:type="dcterms:W3CDTF">2026-02-23T09:13:17Z</dcterms:modified>
  <dc:language>en-US</dc:language>
</cp:coreProperties>
</file>